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zytaj_mnie" sheetId="1" state="visible" r:id="rId3"/>
    <sheet name="Parametry" sheetId="2" state="visible" r:id="rId4"/>
    <sheet name="Ustawienia" sheetId="3" state="visible" r:id="rId5"/>
    <sheet name="L_S1" sheetId="4" state="visible" r:id="rId6"/>
    <sheet name="L_S0" sheetId="5" state="visible" r:id="rId7"/>
    <sheet name="L_I1" sheetId="6" state="visible" r:id="rId8"/>
    <sheet name="L_I2" sheetId="7" state="visible" r:id="rId9"/>
    <sheet name="L_I3" sheetId="8" state="visible" r:id="rId10"/>
    <sheet name="L_I4" sheetId="9" state="visible" r:id="rId11"/>
    <sheet name="L_I5" sheetId="10" state="visible" r:id="rId12"/>
    <sheet name="L_V1" sheetId="11" state="visible" r:id="rId13"/>
    <sheet name="Inw_S0" sheetId="12" state="visible" r:id="rId14"/>
    <sheet name="Inw_I1" sheetId="13" state="visible" r:id="rId15"/>
    <sheet name="Inw_I2" sheetId="14" state="visible" r:id="rId16"/>
    <sheet name="Inw_I3" sheetId="15" state="visible" r:id="rId17"/>
    <sheet name="Inw_I4" sheetId="16" state="visible" r:id="rId18"/>
    <sheet name="Inw_I5" sheetId="17" state="visible" r:id="rId19"/>
    <sheet name="Inw_V1" sheetId="18" state="visible" r:id="rId20"/>
    <sheet name="PSA_wyniki" sheetId="19" state="visible" r:id="rId21"/>
    <sheet name="Metodologia" sheetId="20" state="visible" r:id="rId22"/>
    <sheet name="Na_pacjenta" sheetId="21" state="visible" r:id="rId23"/>
    <sheet name="Analizy_scen" sheetId="22" state="visible" r:id="rId24"/>
    <sheet name="Leki_zamowienia" sheetId="23" state="visible" r:id="rId25"/>
    <sheet name="Zmiany" sheetId="24" state="visible" r:id="rId26"/>
  </sheets>
  <definedNames>
    <definedName function="false" hidden="false" name="x_ABS_D" vbProcedure="false">Parametry!$C$108</definedName>
    <definedName function="false" hidden="false" name="x_AF_B18" vbProcedure="false">Parametry!$C$57</definedName>
    <definedName function="false" hidden="false" name="x_AF_K74" vbProcedure="false">Parametry!$C$112</definedName>
    <definedName function="false" hidden="false" name="x_AF_LIVER" vbProcedure="false">Parametry!$C$58</definedName>
    <definedName function="false" hidden="false" name="x_AGE0" vbProcedure="false">Parametry!$C$3</definedName>
    <definedName function="false" hidden="false" name="x_AGEW_1" vbProcedure="false">Parametry!$C$95</definedName>
    <definedName function="false" hidden="false" name="x_AGEW_2" vbProcedure="false">Parametry!$C$96</definedName>
    <definedName function="false" hidden="false" name="x_AGEW_3" vbProcedure="false">Parametry!$C$97</definedName>
    <definedName function="false" hidden="false" name="x_AGEW_4" vbProcedure="false">Parametry!$C$98</definedName>
    <definedName function="false" hidden="false" name="x_AGE_INC" vbProcedure="false">Parametry!$C$75</definedName>
    <definedName function="false" hidden="false" name="x_AGRI" vbProcedure="false">Parametry!$C$63</definedName>
    <definedName function="false" hidden="false" name="x_CAP_OBS" vbProcedure="false">Parametry!$C$94</definedName>
    <definedName function="false" hidden="false" name="x_CARE_ALL" vbProcedure="false">Parametry!$C$106</definedName>
    <definedName function="false" hidden="false" name="x_CPI" vbProcedure="false">Parametry!$C$33</definedName>
    <definedName function="false" hidden="false" name="x_c_AHCV" vbProcedure="false">Parametry!$C$44</definedName>
    <definedName function="false" hidden="false" name="x_c_CC" vbProcedure="false">Parametry!$C$36</definedName>
    <definedName function="false" hidden="false" name="x_c_DAA" vbProcedure="false">Parametry!$C$42</definedName>
    <definedName function="false" hidden="false" name="x_c_DC" vbProcedure="false">Parametry!$C$38</definedName>
    <definedName function="false" hidden="false" name="x_c_F" vbProcedure="false">Parametry!$C$34</definedName>
    <definedName function="false" hidden="false" name="x_c_HCC" vbProcedure="false">Parametry!$C$39</definedName>
    <definedName function="false" hidden="false" name="x_c_LT" vbProcedure="false">Parametry!$C$40</definedName>
    <definedName function="false" hidden="false" name="x_c_LT1" vbProcedure="false">Parametry!$C$101</definedName>
    <definedName function="false" hidden="false" name="x_c_MON" vbProcedure="false">Parametry!$C$43</definedName>
    <definedName function="false" hidden="false" name="x_c_PLT" vbProcedure="false">Parametry!$C$41</definedName>
    <definedName function="false" hidden="false" name="x_c_RNA" vbProcedure="false">Parametry!$C$45</definedName>
    <definedName function="false" hidden="false" name="x_c_SVRcc" vbProcedure="false">Parametry!$C$37</definedName>
    <definedName function="false" hidden="false" name="x_c_SVRn" vbProcedure="false">Parametry!$C$35</definedName>
    <definedName function="false" hidden="false" name="x_DAYS_RATIO_B18" vbProcedure="false">Parametry!$C$55</definedName>
    <definedName function="false" hidden="false" name="x_DC0" vbProcedure="false">Parametry!$C$78</definedName>
    <definedName function="false" hidden="false" name="x_de" vbProcedure="false">Ustawienia!$B$3</definedName>
    <definedName function="false" hidden="false" name="x_dk" vbProcedure="false">Ustawienia!$B$2</definedName>
    <definedName function="false" hidden="false" name="x_DX_IN" vbProcedure="false">Parametry!$C$103</definedName>
    <definedName function="false" hidden="false" name="x_D_C" vbProcedure="false">Parametry!$C$71</definedName>
    <definedName function="false" hidden="false" name="x_D_E" vbProcedure="false">Parametry!$C$72</definedName>
    <definedName function="false" hidden="false" name="x_D_F0" vbProcedure="false">Parametry!$C$5</definedName>
    <definedName function="false" hidden="false" name="x_D_F1" vbProcedure="false">Parametry!$C$6</definedName>
    <definedName function="false" hidden="false" name="x_D_F2" vbProcedure="false">Parametry!$C$7</definedName>
    <definedName function="false" hidden="false" name="x_D_F3" vbProcedure="false">Parametry!$C$8</definedName>
    <definedName function="false" hidden="false" name="x_D_F4" vbProcedure="false">Parametry!$C$9</definedName>
    <definedName function="false" hidden="false" name="x_EMP" vbProcedure="false">Parametry!$C$62</definedName>
    <definedName function="false" hidden="false" name="x_FIX" vbProcedure="false">Parametry!$C$110</definedName>
    <definedName function="false" hidden="false" name="x_FRIC" vbProcedure="false">Parametry!$C$66</definedName>
    <definedName function="false" hidden="false" name="x_H" vbProcedure="false">Ustawienia!$B$4</definedName>
    <definedName function="false" hidden="false" name="x_HALF_CYCLE" vbProcedure="false">Parametry!$C$107</definedName>
    <definedName function="false" hidden="false" name="x_HCC0" vbProcedure="false">Parametry!$C$79</definedName>
    <definedName function="false" hidden="false" name="x_INC" vbProcedure="false">Parametry!$C$74</definedName>
    <definedName function="false" hidden="false" name="x_INC_TREND" vbProcedure="false">Parametry!$C$111</definedName>
    <definedName function="false" hidden="false" name="x_KEY_POOL" vbProcedure="false">Parametry!$C$87</definedName>
    <definedName function="false" hidden="false" name="x_K_DC" vbProcedure="false">Parametry!$C$91</definedName>
    <definedName function="false" hidden="false" name="x_K_HCC" vbProcedure="false">Parametry!$C$92</definedName>
    <definedName function="false" hidden="false" name="x_LINK" vbProcedure="false">Parametry!$C$81</definedName>
    <definedName function="false" hidden="false" name="x_LINK_UP" vbProcedure="false">Parametry!$C$82</definedName>
    <definedName function="false" hidden="false" name="x_N0" vbProcedure="false">Parametry!$C$2</definedName>
    <definedName function="false" hidden="false" name="x_NAV" vbProcedure="false">Parametry!$C$109</definedName>
    <definedName function="false" hidden="false" name="x_OH" vbProcedure="false">Parametry!$C$88</definedName>
    <definedName function="false" hidden="false" name="x_PEN_C22" vbProcedure="false">Parametry!$C$61</definedName>
    <definedName function="false" hidden="false" name="x_PEN_K74" vbProcedure="false">Parametry!$C$60</definedName>
    <definedName function="false" hidden="false" name="x_PLT0" vbProcedure="false">Parametry!$C$80</definedName>
    <definedName function="false" hidden="false" name="x_PREV_G" vbProcedure="false">Parametry!$C$46</definedName>
    <definedName function="false" hidden="false" name="x_PREV_K" vbProcedure="false">Parametry!$C$48</definedName>
    <definedName function="false" hidden="false" name="x_PROG_M" vbProcedure="false">Parametry!$C$114</definedName>
    <definedName function="false" hidden="false" name="x_PROG_Y" vbProcedure="false">Parametry!$C$89</definedName>
    <definedName function="false" hidden="false" name="x_PWID_SH" vbProcedure="false">Parametry!$C$77</definedName>
    <definedName function="false" hidden="false" name="x_p_CCDC" vbProcedure="false">Parametry!$C$14</definedName>
    <definedName function="false" hidden="false" name="x_p_CCHCC" vbProcedure="false">Parametry!$C$15</definedName>
    <definedName function="false" hidden="false" name="x_p_DCD" vbProcedure="false">Parametry!$C$18</definedName>
    <definedName function="false" hidden="false" name="x_p_DCHCC" vbProcedure="false">Parametry!$C$16</definedName>
    <definedName function="false" hidden="false" name="x_p_DCLT" vbProcedure="false">Parametry!$C$17</definedName>
    <definedName function="false" hidden="false" name="x_p_F0F1" vbProcedure="false">Parametry!$C$10</definedName>
    <definedName function="false" hidden="false" name="x_p_F1F2" vbProcedure="false">Parametry!$C$11</definedName>
    <definedName function="false" hidden="false" name="x_p_F2F3" vbProcedure="false">Parametry!$C$12</definedName>
    <definedName function="false" hidden="false" name="x_p_F3F4" vbProcedure="false">Parametry!$C$13</definedName>
    <definedName function="false" hidden="false" name="x_p_F3HCC" vbProcedure="false">Parametry!$C$113</definedName>
    <definedName function="false" hidden="false" name="x_p_HCCD" vbProcedure="false">Parametry!$C$19</definedName>
    <definedName function="false" hidden="false" name="x_p_HCCLT" vbProcedure="false">Parametry!$C$20</definedName>
    <definedName function="false" hidden="false" name="x_p_LTD" vbProcedure="false">Parametry!$C$21</definedName>
    <definedName function="false" hidden="false" name="x_p_PLTD" vbProcedure="false">Parametry!$C$22</definedName>
    <definedName function="false" hidden="false" name="x_p_SCCDC" vbProcedure="false">Parametry!$C$23</definedName>
    <definedName function="false" hidden="false" name="x_p_SCCHCC" vbProcedure="false">Parametry!$C$24</definedName>
    <definedName function="false" hidden="false" name="x_RAMP" vbProcedure="false">Parametry!$C$93</definedName>
    <definedName function="false" hidden="false" name="x_RE" vbProcedure="false">Parametry!$C$76</definedName>
    <definedName function="false" hidden="false" name="x_RET" vbProcedure="false">Parametry!$C$4</definedName>
    <definedName function="false" hidden="false" name="x_RE_KEY" vbProcedure="false">Parametry!$C$99</definedName>
    <definedName function="false" hidden="false" name="x_R_FP" vbProcedure="false">Parametry!$C$68</definedName>
    <definedName function="false" hidden="false" name="x_R_FUS" vbProcedure="false">Parametry!$C$67</definedName>
    <definedName function="false" hidden="false" name="x_R_NFZ" vbProcedure="false">Parametry!$C$69</definedName>
    <definedName function="false" hidden="false" name="x_R_PIT" vbProcedure="false">Parametry!$C$70</definedName>
    <definedName function="false" hidden="false" name="x_SB_DAY" vbProcedure="false">Parametry!$C$115</definedName>
    <definedName function="false" hidden="false" name="x_SMR_PWID" vbProcedure="false">Parametry!$C$100</definedName>
    <definedName function="false" hidden="false" name="x_SVR" vbProcedure="false">Parametry!$C$25</definedName>
    <definedName function="false" hidden="false" name="x_testy" vbProcedure="false">Ustawienia!$B$5</definedName>
    <definedName function="false" hidden="false" name="x_THR" vbProcedure="false">Parametry!$C$73</definedName>
    <definedName function="false" hidden="false" name="x_THR_INFO" vbProcedure="false">Parametry!$C$90</definedName>
    <definedName function="false" hidden="false" name="x_T_PRE" vbProcedure="false">Parametry!$C$104</definedName>
    <definedName function="false" hidden="false" name="x_T_SQ" vbProcedure="false">Parametry!$C$50</definedName>
    <definedName function="false" hidden="false" name="x_T_WHO" vbProcedure="false">Parametry!$C$51</definedName>
    <definedName function="false" hidden="false" name="x_u_CC" vbProcedure="false">Parametry!$C$27</definedName>
    <definedName function="false" hidden="false" name="x_u_DC" vbProcedure="false">Parametry!$C$28</definedName>
    <definedName function="false" hidden="false" name="x_u_F" vbProcedure="false">Parametry!$C$26</definedName>
    <definedName function="false" hidden="false" name="x_u_HCC" vbProcedure="false">Parametry!$C$29</definedName>
    <definedName function="false" hidden="false" name="x_u_LT" vbProcedure="false">Parametry!$C$30</definedName>
    <definedName function="false" hidden="false" name="x_u_PLT" vbProcedure="false">Parametry!$C$31</definedName>
    <definedName function="false" hidden="false" name="x_u_SVR" vbProcedure="false">Parametry!$C$32</definedName>
    <definedName function="false" hidden="false" name="x_VALP" vbProcedure="false">Parametry!$C$102</definedName>
    <definedName function="false" hidden="false" name="x_VIR" vbProcedure="false">Parametry!$C$47</definedName>
    <definedName function="false" hidden="false" name="x_VIR_K" vbProcedure="false">Parametry!$C$49</definedName>
    <definedName function="false" hidden="false" name="x_W0" vbProcedure="false">Parametry!$C$105</definedName>
    <definedName function="false" hidden="false" name="x_WAGE" vbProcedure="false">Parametry!$C$64</definedName>
    <definedName function="false" hidden="false" name="x_WLOSS" vbProcedure="false">Parametry!$C$65</definedName>
    <definedName function="false" hidden="false" name="x_W_RATIO" vbProcedure="false">Parametry!$C$56</definedName>
    <definedName function="false" hidden="false" name="x_Y_KEY" vbProcedure="false">Parametry!$C$86</definedName>
    <definedName function="false" hidden="false" name="x_Y_LAB" vbProcedure="false">Parametry!$C$85</definedName>
    <definedName function="false" hidden="false" name="x_Y_MZ" vbProcedure="false">Parametry!$C$83</definedName>
    <definedName function="false" hidden="false" name="x_Y_POZ" vbProcedure="false">Parametry!$C$84</definedName>
    <definedName function="false" hidden="false" name="x_ZUS12_B18" vbProcedure="false">Parametry!$C$52</definedName>
    <definedName function="false" hidden="false" name="x_ZUS12_C22" vbProcedure="false">Parametry!$C$54</definedName>
    <definedName function="false" hidden="false" name="x_ZUS12_K74" vbProcedure="false">Parametry!$C$53</definedName>
    <definedName function="false" hidden="false" name="x_z_F" vbProcedure="false">Parametry!$C$59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<sst xmlns="http://schemas.openxmlformats.org/spreadsheetml/2006/main" count="2370" uniqueCount="772">
  <si>
    <t xml:space="preserve">HCV w Polsce – model inwestycji w testowanie i leczenie (arkusz z formułami)</t>
  </si>
  <si>
    <t xml:space="preserve">Wszystkie wyniki są SZACUNKAMI MODELU, nie danymi. Stan danych: 28.10.2026 (wersja po audycie 2). Arkusze L_* i Inw_*: S0 (zaniechanie), I1, I2, I3, I4, I5, V1 wobec status quo (S1). ICER główny = perspektywa NFZ.</t>
  </si>
  <si>
    <t xml:space="preserve">Przełącznik Ustawienia!B5 (x_testy): 0 = wariant pełny (testy w porównaniu); 1 = testy finansuje inny płatnik – porównujemy tylko koszt wyleczenia (leki, monitorowanie, nawigacja) z kosztami nieleczenia. To przesunięcie kosztu testów do innego płatnika, nie jego zniknięcie z finansów publicznych.</t>
  </si>
  <si>
    <t xml:space="preserve">Arkusz Na_pacjenta: koszt wyleczenia vs koszt nieleczenia na jednego zdiagnozowanego pacjenta. Arkusz Analizy_scen: warianty założeń (K=1, cena 2017, malejąca zapadalność, opieka u wszystkich itd.). Arkusz Zmiany: lista zmian 28.10.2026.</t>
  </si>
  <si>
    <t xml:space="preserve">Żółte komórki = dane wejściowe (nazwy x_…). Zmiana parametru kosztowego przelicza koszty, salda, ROI i rok zwrotu.</t>
  </si>
  <si>
    <t xml:space="preserve">Liczebności stanów (arkusze L_*) pochodzą z silnika Markowa (JavaScript, ten sam co w aplikacji) i są wklejone jako wartości;</t>
  </si>
  <si>
    <t xml:space="preserve">zmiana parametrów przejść/epidemiologii wymaga ponownego uruchomienia silnika (kalkulator w aplikacji robi to na żywo).</t>
  </si>
  <si>
    <t xml:space="preserve">Perspektywy (AOTMiT): NFZ; sektor publiczny = NFZ + budżet (MZ/SW) + ZUS + KRUS + utracone składki i PIT; społeczna = NFZ + budżet + produktywność (ZUS to transfery).</t>
  </si>
  <si>
    <t xml:space="preserve">Dyskonto: koszty 5%, efekty 3,5% (AOTMiT). Saldo &gt; 0 = koszt netto dla państwa; saldo &lt; 0 = oszczędność netto.</t>
  </si>
  <si>
    <t xml:space="preserve">Liczby leczonych są roczne – nie sumuj osób między latami (suma kursów leczenia ≠ liczba unikalnych osób).</t>
  </si>
  <si>
    <t xml:space="preserve">Materiał edukacyjny, neutralny; bez nazw leków i firm. Recenzja panelu ról w aplikacji jest symulowana.</t>
  </si>
  <si>
    <t xml:space="preserve">Deklaracja finansowania i konfliktu interesów: Autor pracuje w sektorze farmaceutycznym. Analiza powstała prywatnie, bez zlecenia i finansowania jakiejkolwiek firmy. Nie wymienia ani nie promuje żadnych produktów leczniczych. Część wykorzystanych źródeł była finansowana przez przemysł — oznaczono to w Źródłach.</t>
  </si>
  <si>
    <t xml:space="preserve">id</t>
  </si>
  <si>
    <t xml:space="preserve">nazwa</t>
  </si>
  <si>
    <t xml:space="preserve">wartosc</t>
  </si>
  <si>
    <t xml:space="preserve">min</t>
  </si>
  <si>
    <t xml:space="preserve">max</t>
  </si>
  <si>
    <t xml:space="preserve">rozklad</t>
  </si>
  <si>
    <t xml:space="preserve">param_rozkladu</t>
  </si>
  <si>
    <t xml:space="preserve">zrodlo</t>
  </si>
  <si>
    <t xml:space="preserve">data_zrodla</t>
  </si>
  <si>
    <t xml:space="preserve">typ</t>
  </si>
  <si>
    <t xml:space="preserve">metoda</t>
  </si>
  <si>
    <t xml:space="preserve">platnik</t>
  </si>
  <si>
    <t xml:space="preserve">jednostka</t>
  </si>
  <si>
    <t xml:space="preserve">N0</t>
  </si>
  <si>
    <t xml:space="preserve">Osoby z wiremią HCV w PL na start (2026)</t>
  </si>
  <si>
    <t xml:space="preserve">trójkątny</t>
  </si>
  <si>
    <t xml:space="preserve">min=145000; moda=155000; max=165000</t>
  </si>
  <si>
    <t xml:space="preserve">Szacunki ekspertów i Polaris Observatory (przegląd w raporcie HCV); Flisiak i in. Eur J Gastroenterol Hepatol 2015;27:70–76</t>
  </si>
  <si>
    <t xml:space="preserve">2020–2024</t>
  </si>
  <si>
    <t xml:space="preserve">dane źródłowe</t>
  </si>
  <si>
    <t xml:space="preserve">punkt środkowy przedziału publikowanych szacunków</t>
  </si>
  <si>
    <t xml:space="preserve">—</t>
  </si>
  <si>
    <t xml:space="preserve">osoby</t>
  </si>
  <si>
    <t xml:space="preserve">AGE0</t>
  </si>
  <si>
    <t xml:space="preserve">Wiek startowy kohorty</t>
  </si>
  <si>
    <t xml:space="preserve">normalny</t>
  </si>
  <si>
    <t xml:space="preserve">sd=3</t>
  </si>
  <si>
    <t xml:space="preserve">NFZ app-stat B.71 2025 wg grup wieku (n=4 839)</t>
  </si>
  <si>
    <t xml:space="preserve">2025</t>
  </si>
  <si>
    <t xml:space="preserve">prognoza/szacunek</t>
  </si>
  <si>
    <t xml:space="preserve">średnia ważona środków grup wieku B.71 2025 (18–40 z 7–17: 29; 41–60: 50,5; 61–80: 70,5; 81+: 85 – założenie); przesuwa cały rozkład wieku kohorty; SD 3 lata w PSA = założenie (niepewność, czy leczeni odzwierciedlają niewykrytych)</t>
  </si>
  <si>
    <t xml:space="preserve">lata</t>
  </si>
  <si>
    <t xml:space="preserve">RET</t>
  </si>
  <si>
    <t xml:space="preserve">Wiek emerytalny ważony płcią</t>
  </si>
  <si>
    <t xml:space="preserve">stały (tornado)</t>
  </si>
  <si>
    <t xml:space="preserve">NFZ B.71 2025 wg płci (M 55,5%); ustawa o emeryturach (60/65)</t>
  </si>
  <si>
    <t xml:space="preserve">średnia ważona udziałem płci</t>
  </si>
  <si>
    <t xml:space="preserve">D_F0</t>
  </si>
  <si>
    <t xml:space="preserve">Rozkład włóknienia na starcie F0</t>
  </si>
  <si>
    <t xml:space="preserve">Dirichlet</t>
  </si>
  <si>
    <t xml:space="preserve">alfa=180 (n=845)</t>
  </si>
  <si>
    <t xml:space="preserve">Pierucka 2016 (nowo rozpoznani, n=845)</t>
  </si>
  <si>
    <t xml:space="preserve">2016</t>
  </si>
  <si>
    <t xml:space="preserve">udział obserwowany</t>
  </si>
  <si>
    <t xml:space="preserve">odsetek</t>
  </si>
  <si>
    <t xml:space="preserve">D_F1</t>
  </si>
  <si>
    <t xml:space="preserve">Rozkład włóknienia na starcie F1</t>
  </si>
  <si>
    <t xml:space="preserve">alfa=305 (n=845)</t>
  </si>
  <si>
    <t xml:space="preserve">D_F2</t>
  </si>
  <si>
    <t xml:space="preserve">Rozkład włóknienia na starcie F2</t>
  </si>
  <si>
    <t xml:space="preserve">alfa=197 (n=845)</t>
  </si>
  <si>
    <t xml:space="preserve">D_F3</t>
  </si>
  <si>
    <t xml:space="preserve">Rozkład włóknienia na starcie F3</t>
  </si>
  <si>
    <t xml:space="preserve">alfa=93 (n=845)</t>
  </si>
  <si>
    <t xml:space="preserve">D_F4</t>
  </si>
  <si>
    <t xml:space="preserve">Rozkład włóknienia na starcie F4</t>
  </si>
  <si>
    <t xml:space="preserve">alfa=70 (n=845)</t>
  </si>
  <si>
    <t xml:space="preserve">p_F0F1</t>
  </si>
  <si>
    <t xml:space="preserve">Prawdopodobieństwo roczne F0→F1</t>
  </si>
  <si>
    <t xml:space="preserve">beta</t>
  </si>
  <si>
    <t xml:space="preserve">alfa=274.65; beta=2072.75</t>
  </si>
  <si>
    <t xml:space="preserve">Thein 2008 Hepatology 48:418 (metaanaliza), doi 10.1002/hep.22375</t>
  </si>
  <si>
    <t xml:space="preserve">2008</t>
  </si>
  <si>
    <t xml:space="preserve">dane zagraniczne/literatura międzynarodowa</t>
  </si>
  <si>
    <t xml:space="preserve">metaanaliza; SE=(górny−dolny 95% CI)/3,92</t>
  </si>
  <si>
    <t xml:space="preserve">/rok</t>
  </si>
  <si>
    <t xml:space="preserve">p_F1F2</t>
  </si>
  <si>
    <t xml:space="preserve">Prawdopodobieństwo roczne F1→F2</t>
  </si>
  <si>
    <t xml:space="preserve">alfa=230.27; beta=2478.76</t>
  </si>
  <si>
    <t xml:space="preserve">p_F2F3</t>
  </si>
  <si>
    <t xml:space="preserve">Prawdopodobieństwo roczne F2→F3</t>
  </si>
  <si>
    <t xml:space="preserve">alfa=337.94; beta=2478.23</t>
  </si>
  <si>
    <t xml:space="preserve">p_F3F4</t>
  </si>
  <si>
    <t xml:space="preserve">Prawdopodobieństwo roczne F3→F4</t>
  </si>
  <si>
    <t xml:space="preserve">alfa=292.34; beta=2227.83</t>
  </si>
  <si>
    <t xml:space="preserve">p_CCDC</t>
  </si>
  <si>
    <t xml:space="preserve">Prawdopodobieństwo roczne CC→DC</t>
  </si>
  <si>
    <t xml:space="preserve">alfa=186.85; beta=2969.48</t>
  </si>
  <si>
    <t xml:space="preserve"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</si>
  <si>
    <t xml:space="preserve">2017</t>
  </si>
  <si>
    <t xml:space="preserve">dane źródłowe (PL HTA; pierwotnie lit. międzynar.)</t>
  </si>
  <si>
    <t xml:space="preserve">p_CCHCC</t>
  </si>
  <si>
    <t xml:space="preserve">Prawdopodobieństwo roczne CC→HCC</t>
  </si>
  <si>
    <t xml:space="preserve">alfa=112.20; beta=2945.03</t>
  </si>
  <si>
    <t xml:space="preserve">p_DCHCC</t>
  </si>
  <si>
    <t xml:space="preserve">Prawdopodobieństwo roczne DC→HCC</t>
  </si>
  <si>
    <t xml:space="preserve">alfa=28.25; beta=1285.61</t>
  </si>
  <si>
    <t xml:space="preserve">p_DCLT</t>
  </si>
  <si>
    <t xml:space="preserve">Prawdopodobieństwo roczne DC→LT</t>
  </si>
  <si>
    <t xml:space="preserve">alfa=3.02; beta=69.13</t>
  </si>
  <si>
    <t xml:space="preserve">p_DCD</t>
  </si>
  <si>
    <t xml:space="preserve">Prawdopodobieństwo roczne DC→zgon wątrobowy</t>
  </si>
  <si>
    <t xml:space="preserve">alfa=185.18; beta=1527.85</t>
  </si>
  <si>
    <t xml:space="preserve">p_HCCD</t>
  </si>
  <si>
    <t xml:space="preserve">Prawdopodobieństwo roczne HCC→zgon wątrobowy</t>
  </si>
  <si>
    <t xml:space="preserve">alfa=980.36; beta=2630.54</t>
  </si>
  <si>
    <t xml:space="preserve">p_HCCLT</t>
  </si>
  <si>
    <t xml:space="preserve">Prawdopodobieństwo roczne HCC→LT</t>
  </si>
  <si>
    <t xml:space="preserve">alfa=342.73; beta=36510.31</t>
  </si>
  <si>
    <t xml:space="preserve">p_LTD</t>
  </si>
  <si>
    <t xml:space="preserve">Prawdopodobieństwo roczne LT (rok 1)→zgon</t>
  </si>
  <si>
    <t xml:space="preserve">alfa=4250.70; beta=19364.30</t>
  </si>
  <si>
    <t xml:space="preserve">p_PLTD</t>
  </si>
  <si>
    <t xml:space="preserve">Prawdopodobieństwo roczne po LT→zgon</t>
  </si>
  <si>
    <t xml:space="preserve">alfa=1180.28; beta=24635.10</t>
  </si>
  <si>
    <t xml:space="preserve">p_SCCDC</t>
  </si>
  <si>
    <t xml:space="preserve">Prawdopodobieństwo roczne CC po SVR→DC</t>
  </si>
  <si>
    <t xml:space="preserve">alfa=38.56; beta=3046.38</t>
  </si>
  <si>
    <t xml:space="preserve">p_SCCHCC</t>
  </si>
  <si>
    <t xml:space="preserve">Prawdopodobieństwo roczne CC po SVR→HCC</t>
  </si>
  <si>
    <t xml:space="preserve">alfa=90.77; beta=7802.50</t>
  </si>
  <si>
    <t xml:space="preserve">wartość z Tab. 198 (1,15%); Tab. 28 tego samego źródła podaje 1,28% – niespójność w źródle, przyjęto wartość z tabeli PSA</t>
  </si>
  <si>
    <t xml:space="preserve">SVR</t>
  </si>
  <si>
    <t xml:space="preserve">Odsetek SVR po DAA (F0–F4)</t>
  </si>
  <si>
    <t xml:space="preserve">alfa=388; beta=12</t>
  </si>
  <si>
    <t xml:space="preserve">Rejestr EpiTer-2 (PL, praktyka kliniczna 97–99%); badania rejestracyjne pangenotypowych schematów DAA (ok. 99%)</t>
  </si>
  <si>
    <t xml:space="preserve">wartość praktyki klinicznej (konserwatywnie 97%); precyzja rozkładu beta (n=400) – założenie</t>
  </si>
  <si>
    <t xml:space="preserve">NFZ</t>
  </si>
  <si>
    <t xml:space="preserve">u_F</t>
  </si>
  <si>
    <t xml:space="preserve">Użyteczność F0–F3</t>
  </si>
  <si>
    <t xml:space="preserve">alfa=277.12; beta=110.46</t>
  </si>
  <si>
    <t xml:space="preserve"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 (Wright 2006 i in.)</t>
  </si>
  <si>
    <t xml:space="preserve">QALY/rok</t>
  </si>
  <si>
    <t xml:space="preserve">u_CC</t>
  </si>
  <si>
    <t xml:space="preserve">Użyteczność CC (F4)</t>
  </si>
  <si>
    <t xml:space="preserve">alfa=46.48; beta=38.03</t>
  </si>
  <si>
    <t xml:space="preserve">u_DC</t>
  </si>
  <si>
    <t xml:space="preserve">Użyteczność DC</t>
  </si>
  <si>
    <t xml:space="preserve">alfa=124.13; beta=151.71</t>
  </si>
  <si>
    <t xml:space="preserve">DC = HCC = LT = 0,45 jak w źródle (uproszczenie – w praktyce użyteczności różnią się)</t>
  </si>
  <si>
    <t xml:space="preserve">u_HCC</t>
  </si>
  <si>
    <t xml:space="preserve">Użyteczność HCC</t>
  </si>
  <si>
    <t xml:space="preserve">u_LT</t>
  </si>
  <si>
    <t xml:space="preserve">Użyteczność LT</t>
  </si>
  <si>
    <t xml:space="preserve">u_PLT</t>
  </si>
  <si>
    <t xml:space="preserve">Użyteczność po LT</t>
  </si>
  <si>
    <t xml:space="preserve">alfa=33.34; beta=16.42</t>
  </si>
  <si>
    <t xml:space="preserve">u_SVR</t>
  </si>
  <si>
    <t xml:space="preserve">Przyrost użyteczności po SVR</t>
  </si>
  <si>
    <t xml:space="preserve">gamma</t>
  </si>
  <si>
    <t xml:space="preserve">k=100.00; theta=0.00055</t>
  </si>
  <si>
    <t xml:space="preserve">CPI</t>
  </si>
  <si>
    <t xml:space="preserve">Indeks CPI GUS 2016→2025</t>
  </si>
  <si>
    <t xml:space="preserve">stały</t>
  </si>
  <si>
    <t xml:space="preserve">GUS: wskaźniki cen towarów i usług konsumpcyjnych 1950–2025 (rok poprzedni=100)</t>
  </si>
  <si>
    <t xml:space="preserve">2026</t>
  </si>
  <si>
    <t xml:space="preserve">inflacja kosztu: iloczyn rocznych CPI 2017–2025 (102,0;101,6;102,3;103,4;105,1;114,4;111,4;103,6;103,6)</t>
  </si>
  <si>
    <t xml:space="preserve">indeks</t>
  </si>
  <si>
    <t xml:space="preserve">c_F</t>
  </si>
  <si>
    <t xml:space="preserve">Koszt NFZ/rok: F0–F3 bez leczenia (ceny 2025)</t>
  </si>
  <si>
    <t xml:space="preserve">k=61.47; theta=48.1607</t>
  </si>
  <si>
    <t xml:space="preserve">Kaczor 2012 (koszty stanów, ceny 2016) via analiza ekonomiczna wnioskodawcy (firma konsultingowa) opublikowana w BIP AOTMiT, zlecenie 153/2017, Tab. 73/198 × CPI GUS</t>
  </si>
  <si>
    <t xml:space="preserve">2016→2025</t>
  </si>
  <si>
    <t xml:space="preserve">wartość źródłowa 1878.47 zł (2016) × CPI 1.5759; SE źródłowe przeskalowane</t>
  </si>
  <si>
    <t xml:space="preserve">zł/os./rok</t>
  </si>
  <si>
    <t xml:space="preserve">c_SVRn</t>
  </si>
  <si>
    <t xml:space="preserve">Koszt NFZ/rok: F0–F3 po SVR (ceny 2025)</t>
  </si>
  <si>
    <t xml:space="preserve">k=61.47; theta=9.9653</t>
  </si>
  <si>
    <t xml:space="preserve">wartość źródłowa 388.73 zł (2016) × CPI 1.5759; SE źródłowe przeskalowane</t>
  </si>
  <si>
    <t xml:space="preserve">c_CC</t>
  </si>
  <si>
    <t xml:space="preserve">Koszt NFZ/rok: CC (ceny 2025)</t>
  </si>
  <si>
    <t xml:space="preserve">k=100.00; theta=54.1556</t>
  </si>
  <si>
    <t xml:space="preserve">wartość źródłowa 3436.47 zł (2016) × CPI 1.5759; SE źródłowe przeskalowane</t>
  </si>
  <si>
    <t xml:space="preserve">c_SVRcc</t>
  </si>
  <si>
    <t xml:space="preserve">Koszt NFZ/rok: CC po SVR (ceny 2025)</t>
  </si>
  <si>
    <t xml:space="preserve">k=100.00; theta=27.3813</t>
  </si>
  <si>
    <t xml:space="preserve">wartość źródłowa 1737.48 zł (2016) × CPI 1.5759; SE źródłowe przeskalowane</t>
  </si>
  <si>
    <t xml:space="preserve">c_DC</t>
  </si>
  <si>
    <t xml:space="preserve">Koszt NFZ/rok: DC (ceny 2025)</t>
  </si>
  <si>
    <t xml:space="preserve">k=100.00; theta=180.6477</t>
  </si>
  <si>
    <t xml:space="preserve">wartość źródłowa 11463.32 zł (2016) × CPI 1.5759; SE źródłowe przeskalowane</t>
  </si>
  <si>
    <t xml:space="preserve">c_HCC</t>
  </si>
  <si>
    <t xml:space="preserve">Koszt NFZ/rok: HCC (ceny 2025)</t>
  </si>
  <si>
    <t xml:space="preserve">k=100.00; theta=628.7985</t>
  </si>
  <si>
    <t xml:space="preserve">wartość źródłowa 39901.41 zł (2016) × CPI 1.5759; SE źródłowe przeskalowane</t>
  </si>
  <si>
    <t xml:space="preserve">c_LT</t>
  </si>
  <si>
    <t xml:space="preserve">Koszt NFZ/rok: LT (rok przeszczepienia) (ceny 2025)</t>
  </si>
  <si>
    <t xml:space="preserve">k=100.00; theta=3428.1828</t>
  </si>
  <si>
    <t xml:space="preserve">wartość źródłowa 217540.72 zł (2016) × CPI 1.5759; SE źródłowe przeskalowane</t>
  </si>
  <si>
    <t xml:space="preserve">c_PLT</t>
  </si>
  <si>
    <t xml:space="preserve">Koszt NFZ/rok: po LT (rok 2+) (ceny 2025)</t>
  </si>
  <si>
    <t xml:space="preserve">k=100.00; theta=317.8797</t>
  </si>
  <si>
    <t xml:space="preserve">wartość źródłowa 20171.45 zł (2016) × CPI 1.5759; SE źródłowe przeskalowane</t>
  </si>
  <si>
    <t xml:space="preserve">c_DAA</t>
  </si>
  <si>
    <t xml:space="preserve">Koszt DAA na pacjenta (refundacja B.71)</t>
  </si>
  <si>
    <t xml:space="preserve">lognormalny</t>
  </si>
  <si>
    <t xml:space="preserve">mu=ln(22760)−sigma²/2; sigma=0.138 (SD logarytmu ilorazu 2017–2025, n=9)</t>
  </si>
  <si>
    <t xml:space="preserve">NFZ app-stat B.71: 109,98 mln zł / 4 832 pacjentów (2025); szereg 2017–2025 (33 872 zł w 2017 → 22 760 zł w 2025)</t>
  </si>
  <si>
    <t xml:space="preserve">2017–2025</t>
  </si>
  <si>
    <t xml:space="preserve">iloraz wartość/pacjenci; zmienność = SD logarytmu ilorazu 2017–2025; min/max = 95% rozkładu (17,4–29,8 tys. zł); scenariusze: 33 872 zł (2017) i najwyższa cena urzędowa terapii 8 tyg. w wykazie MZ 2025 (97 716 zł) – tylko w analizie scenariuszowej</t>
  </si>
  <si>
    <t xml:space="preserve">zł/pacjent</t>
  </si>
  <si>
    <t xml:space="preserve">c_MON</t>
  </si>
  <si>
    <t xml:space="preserve">Ryczałt diagnostyczny/monitorowanie B.71 (ceny 2025)</t>
  </si>
  <si>
    <t xml:space="preserve">SE 10%</t>
  </si>
  <si>
    <t xml:space="preserve">Zarządzenie 53/2017/DGL (5.08.08.0000002) 3 731,52 zł × CPI 2017→2025</t>
  </si>
  <si>
    <t xml:space="preserve">2017→2025</t>
  </si>
  <si>
    <t xml:space="preserve">inflacja kosztu CPI GUS 2018–2025</t>
  </si>
  <si>
    <t xml:space="preserve">c_AHCV</t>
  </si>
  <si>
    <t xml:space="preserve">Badanie anty-HCV (POZ)</t>
  </si>
  <si>
    <t xml:space="preserve">Zarządzenie Prezesa NFZ 22/2025/DSOZ (tekst ujedn. 23.09.2026) via psoz.pl</t>
  </si>
  <si>
    <t xml:space="preserve">zł/test</t>
  </si>
  <si>
    <t xml:space="preserve">c_RNA</t>
  </si>
  <si>
    <t xml:space="preserve">Badanie HCV RNA jakościowe</t>
  </si>
  <si>
    <t xml:space="preserve">Cennik laboratorium komercyjnego od 01.02.2025 (brak taryfy NFZ dla POZ – proxy rynkowe)</t>
  </si>
  <si>
    <t xml:space="preserve">dane źródłowe (proxy)</t>
  </si>
  <si>
    <t xml:space="preserve">cena rynkowa jako proxy</t>
  </si>
  <si>
    <t xml:space="preserve">PREV_G</t>
  </si>
  <si>
    <t xml:space="preserve">Odsetek anty-HCV+ w populacji ogólnej</t>
  </si>
  <si>
    <t xml:space="preserve">alfa=50; beta=9950</t>
  </si>
  <si>
    <t xml:space="preserve">Flisiak i in. (badanie 723 654 testów 2018–19, Clin Exp Hepatol 2020)</t>
  </si>
  <si>
    <t xml:space="preserve">2020</t>
  </si>
  <si>
    <t xml:space="preserve">VIR</t>
  </si>
  <si>
    <t xml:space="preserve">Odsetek wiremicznych wśród anty-HCV+</t>
  </si>
  <si>
    <t xml:space="preserve">alfa=40; beta=60</t>
  </si>
  <si>
    <t xml:space="preserve">Flisiak i in. (Clin Exp Hepatol 2020)</t>
  </si>
  <si>
    <t xml:space="preserve">PREV_K</t>
  </si>
  <si>
    <t xml:space="preserve">Odsetek anty-HCV+ wśród PWID</t>
  </si>
  <si>
    <t xml:space="preserve">KCPU 2021 (31,2%); Rosińska i in. BMC Infect Dis 2015 (59%, dane 2004–05), doi 10.1186/s12879-015-0828-9</t>
  </si>
  <si>
    <t xml:space="preserve">2021/2004–05</t>
  </si>
  <si>
    <t xml:space="preserve">informacyjnie – wydajność kanału liczona z Y_KEY</t>
  </si>
  <si>
    <t xml:space="preserve">MZ/SW</t>
  </si>
  <si>
    <t xml:space="preserve">VIR_K</t>
  </si>
  <si>
    <t xml:space="preserve">Odsetek wiremicznych wśród anty-HCV+ PWID</t>
  </si>
  <si>
    <t xml:space="preserve">alfa=50; beta=50</t>
  </si>
  <si>
    <t xml:space="preserve">KBPN 'Serwis Informacyjny Uzależnienia' 79 (≥ połowa wiremiczna)</t>
  </si>
  <si>
    <t xml:space="preserve">dolna granica 'co najmniej połowa'</t>
  </si>
  <si>
    <t xml:space="preserve">T_SQ</t>
  </si>
  <si>
    <t xml:space="preserve">Leczeni/rok – status quo</t>
  </si>
  <si>
    <t xml:space="preserve">NFZ app-stat B.71 2025</t>
  </si>
  <si>
    <t xml:space="preserve">ostatnia obserwacja; wariant: trend liniowy 2020–2025 (n=6; +138/rok; R²=0,57) i log-liniowy (R²=0,55)</t>
  </si>
  <si>
    <t xml:space="preserve">osoby/rok</t>
  </si>
  <si>
    <t xml:space="preserve">T_WHO</t>
  </si>
  <si>
    <t xml:space="preserve">Leczeni/rok – eliminacja WHO 2030</t>
  </si>
  <si>
    <t xml:space="preserve">Flisiak i in. 2015 (scenariusz eliminacji: 15 000/rok); eksperci 2026 (ok. 20 000/rok)</t>
  </si>
  <si>
    <t xml:space="preserve">2023</t>
  </si>
  <si>
    <t xml:space="preserve">środek przedziału</t>
  </si>
  <si>
    <t xml:space="preserve">ZUS12_B18</t>
  </si>
  <si>
    <t xml:space="preserve">Wydatki ZUS 2012 B18 (renty+socjalne+rehab.+absencja)</t>
  </si>
  <si>
    <t xml:space="preserve">Łazarski/IZwOZ 2015, Tab. 57 (dane ZUS)</t>
  </si>
  <si>
    <t xml:space="preserve">2012</t>
  </si>
  <si>
    <t xml:space="preserve">ZUS</t>
  </si>
  <si>
    <t xml:space="preserve">zł</t>
  </si>
  <si>
    <t xml:space="preserve">ZUS12_K74</t>
  </si>
  <si>
    <t xml:space="preserve">Wydatki ZUS 2012 K74</t>
  </si>
  <si>
    <t xml:space="preserve">Łazarski/IZwOZ 2015, Tab. 57</t>
  </si>
  <si>
    <t xml:space="preserve">ZUS12_C22</t>
  </si>
  <si>
    <t xml:space="preserve">Wydatki ZUS 2012 C22</t>
  </si>
  <si>
    <t xml:space="preserve">DAYS_RATIO_B18</t>
  </si>
  <si>
    <t xml:space="preserve">Wolumen absencji B18 2025/2013</t>
  </si>
  <si>
    <t xml:space="preserve">ZUS PSZ 2025 (28 057 dni) / Łazarski 2013 (202,4 tys.)</t>
  </si>
  <si>
    <t xml:space="preserve">2013/2025</t>
  </si>
  <si>
    <t xml:space="preserve">iloraz wolumenów</t>
  </si>
  <si>
    <t xml:space="preserve">×</t>
  </si>
  <si>
    <t xml:space="preserve">W_RATIO</t>
  </si>
  <si>
    <t xml:space="preserve">Wzrost przeciętnego wynagrodzenia 2012→2025</t>
  </si>
  <si>
    <t xml:space="preserve">GUS: 3 521,67 zł (2012), 8 903,56 zł (2025, MP 2026 poz. 192)</t>
  </si>
  <si>
    <t xml:space="preserve">iloraz</t>
  </si>
  <si>
    <t xml:space="preserve">AF_B18</t>
  </si>
  <si>
    <t xml:space="preserve">Udział HCV w B18</t>
  </si>
  <si>
    <t xml:space="preserve">alfa=3525; beta=3513</t>
  </si>
  <si>
    <t xml:space="preserve">PZH: Choroby zakaźne i zatrucia w Polsce 2024 (B18.2 vs B18.0–1)</t>
  </si>
  <si>
    <t xml:space="preserve">2024</t>
  </si>
  <si>
    <t xml:space="preserve">udział rejestracji jako proxy frakcji atrybutywnej Działa przez kalibrację (renty ZUS, dni absencji, nowe HCC) – w PSA i tornado kalibracja jest powtarzana dla każdego losowania (audyt 3, I1).</t>
  </si>
  <si>
    <t xml:space="preserve">AF_LIVER</t>
  </si>
  <si>
    <t xml:space="preserve">Udział HCV w raku wątroby (C22)</t>
  </si>
  <si>
    <t xml:space="preserve">alfa=201; beta=277 (n=478)</t>
  </si>
  <si>
    <t xml:space="preserve">Rejestr LIVER (abstrakt JCO 2012, n=478, 2009–10 – wybrane ośrodki); CEH 2021 (33–35%)</t>
  </si>
  <si>
    <t xml:space="preserve">2012/2021</t>
  </si>
  <si>
    <t xml:space="preserve">beta: średnia 0,42, 97,5. percentyl ≈ 0,465; min = CEH 2021 (pojedynczy ośrodek, 33–35%); stosowany tylko do C22 (HCC, renty C22) Działa przez kalibrację (renty ZUS, dni absencji, nowe HCC) – w PSA i tornado kalibracja jest powtarzana dla każdego losowania (audyt 3, I1).</t>
  </si>
  <si>
    <t xml:space="preserve">z_F</t>
  </si>
  <si>
    <t xml:space="preserve">Roczny koszt ZUS (zasiłek chorobowy) na pracującą osobę w wieku produkcyjnym z HCV pod opieką</t>
  </si>
  <si>
    <t xml:space="preserve">SE 20% (założenie)</t>
  </si>
  <si>
    <t xml:space="preserve">pochodna: ABS_D × SB_DAY (dni ZUS PSZ 2025 × dzienny zasiłek 80%)</t>
  </si>
  <si>
    <t xml:space="preserve">dni × stawka (audyt 2, K-A); wcześniej top-down z wydatków ZUS 2012 skalowanych dniami i płacą (≈620 zł/dzień – zawyżone ok. 3×) i naliczane wszystkim pod opieką bez względu na wiek</t>
  </si>
  <si>
    <t xml:space="preserve">PEN_K74</t>
  </si>
  <si>
    <t xml:space="preserve">Średnia renta ZUS/świadczeniobiorcę K74 (2025)</t>
  </si>
  <si>
    <t xml:space="preserve">Łazarski 2015 (11 762.77 zł w 2012) × wskaźniki waloryzacji rent i emerytur ZUS 2013–2025 (iloczyn 1,7795)</t>
  </si>
  <si>
    <t xml:space="preserve">2012/2025</t>
  </si>
  <si>
    <t xml:space="preserve">indeksacja wskaźnikiem waloryzacji świadczeń (ZUS/MRPiPS), nie wzrostem płac</t>
  </si>
  <si>
    <t xml:space="preserve">zł/rok</t>
  </si>
  <si>
    <t xml:space="preserve">PEN_C22</t>
  </si>
  <si>
    <t xml:space="preserve">Średnia renta ZUS/świadczeniobiorcę C22 (2025)</t>
  </si>
  <si>
    <t xml:space="preserve">Łazarski 2015 (13 367.99 zł w 2012) × wskaźniki waloryzacji rent i emerytur ZUS 2013–2025 (iloczyn 1,7795)</t>
  </si>
  <si>
    <t xml:space="preserve">EMP</t>
  </si>
  <si>
    <t xml:space="preserve">Wskaźnik zatrudnienia w wieku produkcyjnym</t>
  </si>
  <si>
    <t xml:space="preserve">alfa=798; beta=202</t>
  </si>
  <si>
    <t xml:space="preserve">GUS BAEL IV kw. 2025 (18–59/64 lata)</t>
  </si>
  <si>
    <t xml:space="preserve">AGRI</t>
  </si>
  <si>
    <t xml:space="preserve">Udział pracujących w rolnictwie (KRUS)</t>
  </si>
  <si>
    <t xml:space="preserve">GUS BAEL IV kw. 2025</t>
  </si>
  <si>
    <t xml:space="preserve">podział świadczeń ZUS/KRUS proporcjonalnie do struktury zatrudnienia (założenie: ta sama kwota świadczenia)</t>
  </si>
  <si>
    <t xml:space="preserve">KRUS</t>
  </si>
  <si>
    <t xml:space="preserve">WAGE</t>
  </si>
  <si>
    <t xml:space="preserve">Przeciętne roczne wynagrodzenie brutto</t>
  </si>
  <si>
    <t xml:space="preserve">GUS 2025: 8 903,56 zł/mies. (MP 2026 poz. 192)</t>
  </si>
  <si>
    <t xml:space="preserve">×12</t>
  </si>
  <si>
    <t xml:space="preserve">WLOSS</t>
  </si>
  <si>
    <t xml:space="preserve">Utrata zdolności do pracy w DC/HCC/LT/po LT</t>
  </si>
  <si>
    <t xml:space="preserve">kalibrowany w każdym losowaniu</t>
  </si>
  <si>
    <t xml:space="preserve">WLOSS = renty ZUS top-down (AF_K74, AF_LIVER, VALP) / renty w modelu przy WLOSS=1</t>
  </si>
  <si>
    <t xml:space="preserve">kalibracja: renty ZUS w modelu (status quo 2026) = przeliczenie top-down wydatków ZUS 2012 (K74 × AF_K74 + C22 × AF_LIVER) × waloryzacja</t>
  </si>
  <si>
    <t xml:space="preserve">założenie scenariuszowe</t>
  </si>
  <si>
    <t xml:space="preserve">odsetek osób z DC/HCC/po przeszczepieniu, które tracą pracę i pobierają rentę; brak danych bezpośrednich (EMP dla populacji ogólnej – nie korygowane dla PWID)</t>
  </si>
  <si>
    <t xml:space="preserve">FRIC</t>
  </si>
  <si>
    <t xml:space="preserve">Okres frykcyjny</t>
  </si>
  <si>
    <t xml:space="preserve">Koopmanschap 1995 (metoda frykcyjna; NL) – transfer</t>
  </si>
  <si>
    <t xml:space="preserve">1995</t>
  </si>
  <si>
    <t xml:space="preserve">metoda frykcyjna: strata tylko w okresie zastąpienia pracownika</t>
  </si>
  <si>
    <t xml:space="preserve">rok</t>
  </si>
  <si>
    <t xml:space="preserve">R_FUS</t>
  </si>
  <si>
    <t xml:space="preserve">Składki FUS (emer.19,52+rent.8,0+chor.2,45+wyp.1,67)</t>
  </si>
  <si>
    <t xml:space="preserve">ustawa o systemie ubezpieczeń społecznych (stawki 2025)</t>
  </si>
  <si>
    <t xml:space="preserve">suma stawek ustawowych</t>
  </si>
  <si>
    <t xml:space="preserve">% brutto</t>
  </si>
  <si>
    <t xml:space="preserve">R_FP</t>
  </si>
  <si>
    <t xml:space="preserve">Fundusz Pracy + FGŚP</t>
  </si>
  <si>
    <t xml:space="preserve">ustawa o promocji zatrudnienia; ustawa o FGŚP</t>
  </si>
  <si>
    <t xml:space="preserve">Budżet/fundusze celowe</t>
  </si>
  <si>
    <t xml:space="preserve">R_NFZ</t>
  </si>
  <si>
    <t xml:space="preserve">Składka zdrowotna 9% (od podstawy po składkach)</t>
  </si>
  <si>
    <t xml:space="preserve">ustawa o świadczeniach opieki zdrowotnej</t>
  </si>
  <si>
    <t xml:space="preserve">9% × (1−13,71%)</t>
  </si>
  <si>
    <t xml:space="preserve">R_PIT</t>
  </si>
  <si>
    <t xml:space="preserve">Efektywny PIT przy przeciętnym wynagrodzeniu</t>
  </si>
  <si>
    <t xml:space="preserve">ustawa o PIT (12%, KUP 250 zł, kwota zmniejszająca 300 zł/mies.)</t>
  </si>
  <si>
    <t xml:space="preserve">obliczenie dla przeciętnego wynagrodzenia</t>
  </si>
  <si>
    <t xml:space="preserve">Budżet/JST</t>
  </si>
  <si>
    <t xml:space="preserve">D_C</t>
  </si>
  <si>
    <t xml:space="preserve">Stopa dyskontowa – koszty</t>
  </si>
  <si>
    <t xml:space="preserve">Wytyczne HTA AOTMiT 2016</t>
  </si>
  <si>
    <t xml:space="preserve">D_E</t>
  </si>
  <si>
    <t xml:space="preserve">Stopa dyskontowa – efekty</t>
  </si>
  <si>
    <t xml:space="preserve">THR</t>
  </si>
  <si>
    <t xml:space="preserve">Próg opłacalności</t>
  </si>
  <si>
    <t xml:space="preserve">Obwieszczenie Prezesa GUS z 30.10.2025, MP 2025 poz. 1133 (PKB per capita × 3). Stan 28.10.2026: nowego obwieszczenia o PKB per capita nie ma jeszcze w Monitorze Polskim (opublikowano tylko szacunek PKB ogółem 2025 – MP 2026 poz. 464); próg do aktualizacji po publikacji (zwykle ok. 30.10)</t>
  </si>
  <si>
    <t xml:space="preserve">zł/QALY</t>
  </si>
  <si>
    <t xml:space="preserve">INC</t>
  </si>
  <si>
    <t xml:space="preserve">Nowe przewlekłe zakażenia HCV/rok (kohorta otwarta)</t>
  </si>
  <si>
    <t xml:space="preserve">min=3800; moda=5420; max=7000</t>
  </si>
  <si>
    <t xml:space="preserve">Flisiak i in. Eur J Gastroenterol Hepatol 2015;27:70–76 (model choroby HCV dla Polski; badanie wspierane finansowo przez producenta leków, jeden ze współautorów z firmy HTA) – 5 420 nowych zakażeń w 2013 r. (rekonstrukcja wsteczna), założone stałe w czasie</t>
  </si>
  <si>
    <t xml:space="preserve">2013</t>
  </si>
  <si>
    <t xml:space="preserve">stała roczna liczba jak w źródle; zakres ±30% (założenie – brak pomiaru zapadalności w PL; zgłoszenia EPIMELD 3 525–4 029/rok mierzą rozpoznania, nie zakażenia)</t>
  </si>
  <si>
    <t xml:space="preserve">AGE_INC</t>
  </si>
  <si>
    <t xml:space="preserve">Wiek w chwili zakażenia (nowe kohorty)</t>
  </si>
  <si>
    <t xml:space="preserve">NFZ B.71 2025: środek grupy 18–40 lat (proxy – najmłodsza grupa leczonych)</t>
  </si>
  <si>
    <t xml:space="preserve">proxy; brak danych o wieku zakażenia</t>
  </si>
  <si>
    <t xml:space="preserve">RE</t>
  </si>
  <si>
    <t xml:space="preserve">Reinfekcja po SVR – osoby w terapii substytucyjnej (OST) wśród leczonych w status quo</t>
  </si>
  <si>
    <t xml:space="preserve">mu=ln(0.038)−sigma²/2; sigma=0.21</t>
  </si>
  <si>
    <t xml:space="preserve">Hajarizadeh i in. J Hepatol 2020;72:643–657 (metaanaliza, 36 badań)</t>
  </si>
  <si>
    <t xml:space="preserve">3,8/100 osobolat dla osób na OST (95% CI 2,5–5,8); stosowane do udziału PWID wśród leczonych w status quo</t>
  </si>
  <si>
    <t xml:space="preserve">PWID_SH</t>
  </si>
  <si>
    <t xml:space="preserve">Udział osób przyjmujących narkotyki wśród leczonych (status quo)</t>
  </si>
  <si>
    <t xml:space="preserve">PZH: PWID = 3,2% rozpoznań HCV w 2023 r. (Przegl Epidemiol 2025;79(4))</t>
  </si>
  <si>
    <t xml:space="preserve">udział w rozpoznaniach jako proxy udziału w leczonych; max = założenie</t>
  </si>
  <si>
    <t xml:space="preserve">DC0</t>
  </si>
  <si>
    <t xml:space="preserve">Osoby z marskością zdekompensowaną (DC) na starcie</t>
  </si>
  <si>
    <t xml:space="preserve">sigma=0.223; mu = ln(baza) − sigma²/2 (średnia = baza)</t>
  </si>
  <si>
    <t xml:space="preserve">Flisiak i in. Eur J Gastroenterol Hepatol 2015;27:70–76 (model choroby HCV dla Polski; badanie wspierane finansowo przez producenta leków, jeden ze współautorów z firmy HTA): 1 590 (2013); scenariusz bazowy źródła (ok. 2 490 leczonych/rok): 2 460 w 2030; przy ~5 000 leczonych/rok liczba stała do 2030</t>
  </si>
  <si>
    <t xml:space="preserve">2013/2030</t>
  </si>
  <si>
    <t xml:space="preserve">1 590 (2013) – źródło przewiduje stałą liczbę do 2030 przy ~5 000 leczonych/rok; sigma = ln(2460/1590)/1,96 (symetrycznie w skali log)</t>
  </si>
  <si>
    <t xml:space="preserve">HCC0</t>
  </si>
  <si>
    <t xml:space="preserve">Osoby z rakiem wątrobowokomórkowym (HCC) związanym z HCV na starcie</t>
  </si>
  <si>
    <t xml:space="preserve">pochodny (∝ K_HCC)</t>
  </si>
  <si>
    <t xml:space="preserve">HCC0 × K_HCC/K_HCC_bazowe</t>
  </si>
  <si>
    <t xml:space="preserve">stan ustalony: 712 nowych HCC/rok (KRN 2023 × 0,42) / (p_HCCD + p_HCCLT)</t>
  </si>
  <si>
    <t xml:space="preserve">liczba chorych z HCC spójna z zapadalnością z KRN; w PSA skalowana razem z K_HCC (wspólny cel kalibracji)</t>
  </si>
  <si>
    <t xml:space="preserve">PLT0</t>
  </si>
  <si>
    <t xml:space="preserve">Osoby po przeszczepieniu wątroby z powodu HCV (rok 2+)</t>
  </si>
  <si>
    <t xml:space="preserve">sigma=0.354; mu = ln(baza) − sigma²/2 (średnia = baza)</t>
  </si>
  <si>
    <t xml:space="preserve">Poltransplant 2013: 318 przeszczepień wątroby, 27,8% z powodu HCV (via Flisiak i in. Eur J Gastroenterol Hepatol 2015;27:70–76 (model choroby HCV dla Polski; badanie wspierane finansowo przez producenta leków, jeden ze współautorów z firmy HTA))</t>
  </si>
  <si>
    <t xml:space="preserve">stan ustalony: 318×0,278×(1−p_LTD)/p_PLTD; sigma = ln(2)/1,96 (możliwy spadek wskazań HCV w erze DAA)</t>
  </si>
  <si>
    <t xml:space="preserve">LINK</t>
  </si>
  <si>
    <t xml:space="preserve">Odsetek wykrytych (RNA+), którzy rozpoczynają leczenie</t>
  </si>
  <si>
    <t xml:space="preserve">alfa=90.808; beta=90.808</t>
  </si>
  <si>
    <t xml:space="preserve">Brak danych PL (luka). Moda: założenie modelu kaskady; max: Anglia 57,4% wszystkich RNA+ rozpoczęło leczenie (UKHSA, Hepatitis C in England 2025 (publ. IV 2026; dane 2015–2024): 66 537 / 115 870)</t>
  </si>
  <si>
    <t xml:space="preserve">założenie scenariuszowe / dane zagraniczne/literatura międzynarodowa</t>
  </si>
  <si>
    <t xml:space="preserve">Bez testu refleksyjnego i nawigacji; 0,5 = założenie modelu kaskady (brak danych PL); SD dobrane tak, by 97,5. percentyl ≈ 57,4% (Anglia, wszyscy RNA+ – wynik 10-letniego programu krajowego); 30% = scenariusz pesymistyczny. PSA (audyt 3, K1): rozkład beta o średniej = wartość bazowa (SD 0,037); min/max = 2,5. i 97,5. percentyl rozkładu.</t>
  </si>
  <si>
    <t xml:space="preserve">LINK_UP</t>
  </si>
  <si>
    <t xml:space="preserve">Odsetek rozpoczynających leczenie przy teście refleksyjnym + nawigacji</t>
  </si>
  <si>
    <t xml:space="preserve">alfa=39.898; beta=17.55</t>
  </si>
  <si>
    <t xml:space="preserve">UKHSA, Hepatitis C in England 2025 (publ. IV 2026; dane 2015–2024): 66 537 rozpoczęć leczenia / 115 870 osób RNA+ = 57,4% (dolna granica); 66 537 / 81 642 osób z identyfikatorem, żywych, bez samoistnego wyleczenia = 81,5% (górna granica, miara UKHSA); baza = środek 69,45%. Egipt 91,8% (Abosheaishaa i in. 2024, PMC11332630: 1 054 695 / 1 148 346 RNA+) – wyliczone ze źródła, nieużywane (inny system, RNA zbadano u 67% anty-HCV+)</t>
  </si>
  <si>
    <t xml:space="preserve">2015–2024</t>
  </si>
  <si>
    <t xml:space="preserve">dane zagraniczne/literatura międzynarodowa (baza = środek przedziału – założenie)</t>
  </si>
  <si>
    <t xml:space="preserve">Baza = środek przedziału (57,4% + 81,5%)/2 = 69,45%: 57,4% liczy w mianowniku wszystkie 115 870 osób RNA+ (także zmarłe, samoistnie wyleczone i bez identyfikatora – dolna granica); 81,5% to oficjalna miara UKHSA wśród 81 642 osób z identyfikatorem (górna granica). Obie granice = scenariusze. SD = (81,5−57,4)/4. PSA (audyt 3, K1): rozkład beta o średniej = wartość bazowa (SD 0,06025); min/max = 2,5. i 97,5. percentyl rozkładu.</t>
  </si>
  <si>
    <t xml:space="preserve">Y_MZ</t>
  </si>
  <si>
    <t xml:space="preserve">Wykryci RNA+ na 1 test anty-HCV – program populacyjny w POZ (kalibracja)</t>
  </si>
  <si>
    <t xml:space="preserve">~700 dodatkowych rozpoznań (EPIMELD V 2025–III 2026) / 1,12 mln testów (MZ, I 2026)</t>
  </si>
  <si>
    <t xml:space="preserve">iloraz; okresy nie pokrywają się – szacunek zgrubny</t>
  </si>
  <si>
    <t xml:space="preserve">/test</t>
  </si>
  <si>
    <t xml:space="preserve">Y_POZ</t>
  </si>
  <si>
    <t xml:space="preserve">Wykryci RNA+ na 1 test – POZ</t>
  </si>
  <si>
    <t xml:space="preserve">alfa=15.986; beta=19967.014</t>
  </si>
  <si>
    <t xml:space="preserve">Clin Exp Hepatol 2020 (723 654 testów 2018–19: anty-HCV 0,2% w POZ × 40% wiremii) – baza. Scenariusze: 0,26% – EURIPA Rural Health Forum 2026 (Siedlce, jedno centrum, program Moje Zdrowie V 2025–IV 2026: 125/13 105 anty-HCV+ = 0,95% × RNA+ 7/26 = 27% ≈ 0,26%; testy kierowane kwestionariuszem ryzyka, mała próba RNA); 0,47% – PLoS One 2017;12:e0185055 (losowa próba POZ 2012–16, rozpowszechnienie sprzed leczenia, obejmuje rozpoznanych – górna granica). Program MZ ~700 rozpoznań / 1,12 mln testów (~0,06%) – przybliżenie przyrostowe o niespójnych okresach, tylko informacyjnie</t>
  </si>
  <si>
    <t xml:space="preserve">2018–19 (scenariusze 2025–26, 2012–16)</t>
  </si>
  <si>
    <t xml:space="preserve">Baza = największy polski zbiór danych z testowania w POZ (2018–19, wiele ośrodków). SD 25% bazy (założenie – źródło nie podaje przedziału). PSA (audyt 3, K1): rozkład beta o średniej = wartość bazowa (SD 0,0002); min/max = 2,5. i 97,5. percentyl rozkładu.</t>
  </si>
  <si>
    <t xml:space="preserve">Y_LAB</t>
  </si>
  <si>
    <t xml:space="preserve">Wykryci RNA+ na 1 test – szpitale (przy przyjęciu) i laboratoria</t>
  </si>
  <si>
    <t xml:space="preserve">alfa=674.24; beta=258648.76</t>
  </si>
  <si>
    <t xml:space="preserve">Clin Exp Hepatol 2020 (723 654 testów 2018–19): szpitale 0,6–0,7% anty-HCV (baza 0,65%) × 40% wiremii; scenariusz: laboratoria diagnostyczne w czasie kampanii 1,2%</t>
  </si>
  <si>
    <t xml:space="preserve">2018–19</t>
  </si>
  <si>
    <t xml:space="preserve">Baza = szpitale 0,65% × 40%; zakres szpitali 0,6–0,7% (× 40%). Laboratoria w kampanii 1,2% – tylko scenariusz. PSA (audyt 3, K1): rozkład beta o średniej = wartość bazowa (SD 0,0001); min/max = 2,5. i 97,5. percentyl rozkładu.</t>
  </si>
  <si>
    <t xml:space="preserve">Y_KEY</t>
  </si>
  <si>
    <t xml:space="preserve">Wykryci RNA+ na 1 test – osoby przyjmujące narkotyki (31,2% × 50%)</t>
  </si>
  <si>
    <t xml:space="preserve">KCPU 2021 (31,2% anty-HCV wśród badanych osób przyjmujących narkotyki) × 50% wiremii (założenie źródła); max: Rosińska i in. BMC Infect Dis 2015 (59%, dane 2004–05)</t>
  </si>
  <si>
    <t xml:space="preserve">2021 (max 2004–05)</t>
  </si>
  <si>
    <t xml:space="preserve">baza = najnowsze dane; min = −20% (założenie); max = starsze badanie bio-behawioralne</t>
  </si>
  <si>
    <t xml:space="preserve">KEY_POOL</t>
  </si>
  <si>
    <t xml:space="preserve">Osoby z HCV wśród aktywnie wstrzykujących narkotyki (górny limit wykryć)</t>
  </si>
  <si>
    <t xml:space="preserve">Flisiak i in. Eur J Gastroenterol Hepatol 2015;27:70–76 (model choroby HCV dla Polski; badanie wspierane finansowo przez producenta leków, jeden ze współautorów z firmy HTA), Tab. 2 (10 000; 5% zakażonych)</t>
  </si>
  <si>
    <t xml:space="preserve">limit skumulowanych wykryć w kanale populacji kluczowych; zakres ±30% (założenie)</t>
  </si>
  <si>
    <t xml:space="preserve">OH</t>
  </si>
  <si>
    <t xml:space="preserve">Narzut logistyczny na koszt testów (pobranie, transport próbek, outreach)</t>
  </si>
  <si>
    <t xml:space="preserve">brak danych PL – założenie scenariuszowe (do weryfikacji w pilotażu)</t>
  </si>
  <si>
    <t xml:space="preserve">mnożnik (1+OH) na koszt testów; nawigacja i koszty stałe liczone osobno (NAV, FIX)</t>
  </si>
  <si>
    <t xml:space="preserve">NFZ / MZ</t>
  </si>
  <si>
    <t xml:space="preserve">PROG_Y</t>
  </si>
  <si>
    <t xml:space="preserve">Długość programu inwestycyjnego</t>
  </si>
  <si>
    <t xml:space="preserve">założenie scenariuszowe (horyzont do 2035 – zbieżny z celem WHO 2030 + 5 lat)</t>
  </si>
  <si>
    <t xml:space="preserve">THR_INFO</t>
  </si>
  <si>
    <t xml:space="preserve">Liczba lat horyzontu domyślnego</t>
  </si>
  <si>
    <t xml:space="preserve">Wytyczne AOTMiT 2016: horyzont adekwatny do przebiegu choroby; 20 lat dla decyzji budżetowych</t>
  </si>
  <si>
    <t xml:space="preserve">K_DC</t>
  </si>
  <si>
    <t xml:space="preserve">Mnożnik kalibracyjny przejść do DC (CC→DC, CC po SVR→DC)</t>
  </si>
  <si>
    <t xml:space="preserve">Kalibracja do Flisiak i in. Eur J Gastroenterol Hepatol 2015;27:70–76 (model choroby HCV dla Polski; badanie wspierane finansowo przez producenta leków, jeden ze współautorów z firmy HTA): DC ≈ 1 590 w 2030 przy ~5 000 leczonych/rok</t>
  </si>
  <si>
    <t xml:space="preserve">dopasowanie iteracyjne: status quo odtwarza DC ≈ 1 590 w 2030 (model źródłowy – brak polskich danych o DC); sigma = ln(2460/1590)/1,96; K=1 (bez kalibracji) = scenariusz</t>
  </si>
  <si>
    <t xml:space="preserve">K_HCC</t>
  </si>
  <si>
    <t xml:space="preserve">Mnożnik kalibracyjny przejść do HCC (CC→HCC, CC po SVR→HCC)</t>
  </si>
  <si>
    <t xml:space="preserve">sigma=0.123; mu = ln(baza) − sigma²/2 (średnia = baza)</t>
  </si>
  <si>
    <t xml:space="preserve">Kalibracja do Krajowego Rejestru Nowotworów: 1 695 nowych zachorowań C22 (2023) × udział HCV 0,42 (rejestr LIVER) ≈ 712 nowych HCC/rok</t>
  </si>
  <si>
    <t xml:space="preserve">dopasowanie: nowe HCC w status quo w 2026 ≈ 712; sigma = ln(0,42/0,33)/1,96 (zakres udziału HCV); C22 obejmuje też raka dróg żółciowych – cel raczej zawyżony; K=1 = scenariusz</t>
  </si>
  <si>
    <t xml:space="preserve">RAMP</t>
  </si>
  <si>
    <t xml:space="preserve">Okres dochodzenia programu do pełnej skali (kadry, ośrodki)</t>
  </si>
  <si>
    <t xml:space="preserve">założenie scenariuszowe (panel: wykonalność kadrowa; maks. obserwowane B.71 = 12 171 leczonych w 2017 r., NFZ)</t>
  </si>
  <si>
    <t xml:space="preserve">budżet roku t × min(1, t/RAMP)</t>
  </si>
  <si>
    <t xml:space="preserve">CAP_OBS</t>
  </si>
  <si>
    <t xml:space="preserve">Największa obserwowana liczba leczonych w B.71 w roku (punkt odniesienia wykonalności)</t>
  </si>
  <si>
    <t xml:space="preserve">NFZ app-stat B.71: 12 171 leczonych w 2017 (2018: 9 436; 2019: 8 521)</t>
  </si>
  <si>
    <t xml:space="preserve">AGEW_1</t>
  </si>
  <si>
    <t xml:space="preserve">Struktura wieku kohorty startowej – liczba leczonych B.71 w grupie 18–40 (z 7–17)</t>
  </si>
  <si>
    <t xml:space="preserve">NFZ app-stat B.71 2025 wg grup wieku</t>
  </si>
  <si>
    <t xml:space="preserve">wagi kohorty wielowiekowej (ten sam rozkład stanów w każdej grupie – uproszczenie)</t>
  </si>
  <si>
    <t xml:space="preserve">AGEW_2</t>
  </si>
  <si>
    <t xml:space="preserve">Struktura wieku kohorty startowej – liczba leczonych B.71 w grupie 41–60</t>
  </si>
  <si>
    <t xml:space="preserve">AGEW_3</t>
  </si>
  <si>
    <t xml:space="preserve">Struktura wieku kohorty startowej – liczba leczonych B.71 w grupie 61–80</t>
  </si>
  <si>
    <t xml:space="preserve">AGEW_4</t>
  </si>
  <si>
    <t xml:space="preserve">Struktura wieku kohorty startowej – liczba leczonych B.71 w grupie 81+</t>
  </si>
  <si>
    <t xml:space="preserve">RE_KEY</t>
  </si>
  <si>
    <t xml:space="preserve">Reinfekcja po SVR – osoby aktywnie wstrzykujące narkotyki (kanał populacji kluczowych)</t>
  </si>
  <si>
    <t xml:space="preserve">mu=ln(0.062)−sigma²/2; sigma=0.188</t>
  </si>
  <si>
    <t xml:space="preserve">Hajarizadeh i in. J Hepatol 2020;72:643–657 (metaanaliza): 6,2/100 osobolat u aktywnie wstrzykujących (95% CI 4,3–9,0)</t>
  </si>
  <si>
    <t xml:space="preserve">sigma=(ln 9,0−ln 4,3)/3,92; reinfekcja trafia do F1 (uproszczenie)</t>
  </si>
  <si>
    <t xml:space="preserve">SMR_PWID</t>
  </si>
  <si>
    <t xml:space="preserve">Nadwyżka umieralności osób przyjmujących narkotyki (mnożnik umieralności ogólnej)</t>
  </si>
  <si>
    <t xml:space="preserve">Mathers i in. Bull World Health Organ 2013;91:102–123 (metaanaliza 32 kohort; SMR 14,68, 95% CI 13,01–16,35), doi 10.2471/BLT.12.108282</t>
  </si>
  <si>
    <t xml:space="preserve">mnożnik tablic trwania życia GUS w kanale populacji kluczowych; zakres = 95% CI (populacje głównie spoza PL)</t>
  </si>
  <si>
    <t xml:space="preserve">c_LT1</t>
  </si>
  <si>
    <t xml:space="preserve">Koszt NFZ 1. roku po przeszczepieniu wątroby (stan LT)</t>
  </si>
  <si>
    <t xml:space="preserve">Kaczor 2012 (koszty stanów, ceny 2016) via analiza ekonomiczna wnioskodawcy (firma konsultingowa) opublikowana w BIP AOTMiT, zlecenie 153/2017, Tab. 73/198 × CPI GUS (30 167,61 zł w cenach 2016)</t>
  </si>
  <si>
    <t xml:space="preserve">koszt stanu LT (rok po zabiegu); zabieg = c_LT (zdarzenie)</t>
  </si>
  <si>
    <t xml:space="preserve">VALP</t>
  </si>
  <si>
    <t xml:space="preserve">Iloczyn wskaźników waloryzacji rent ZUS 2013–2025</t>
  </si>
  <si>
    <t xml:space="preserve">ZUS/MRPiPS: wskaźniki waloryzacji 2013–2025 (104,0; 101,6; 100,68; 100,24; 100,44; 102,98; 102,86; 103,56; 104,24; 107,0; 114,8; 112,12; 105,5)</t>
  </si>
  <si>
    <t xml:space="preserve">iloczyn</t>
  </si>
  <si>
    <t xml:space="preserve">DX_IN</t>
  </si>
  <si>
    <t xml:space="preserve">Nowe rozpoznania przewlekłego HCV rocznie (wejście do opieki)</t>
  </si>
  <si>
    <t xml:space="preserve">NIZP PZH-PIB EPIMELD (meldunek 12B/2025): 4 029 rozpoznań w 2025; min 3 525 (2024); max = 2025 × 1,227 (wzrost r/r w 2026, EPIMELD 10A/2026)</t>
  </si>
  <si>
    <t xml:space="preserve">2024–2026</t>
  </si>
  <si>
    <t xml:space="preserve">skalowane wielkością puli wiremicznych</t>
  </si>
  <si>
    <t xml:space="preserve">T_PRE</t>
  </si>
  <si>
    <t xml:space="preserve">Czas w opiece przed leczeniem (kwalifikacja, kolejka) na osobę leczoną</t>
  </si>
  <si>
    <t xml:space="preserve">NFZ Informator o terminach leczenia (X 2026): mediana oczekiwania – poradnia hepatologiczna 197 dni; min: poradnia chorób zakaźnych 54 dni; max: p90 hepatologia 585 dni</t>
  </si>
  <si>
    <t xml:space="preserve">lata opieki przed rozpoczęciem leczenia</t>
  </si>
  <si>
    <t xml:space="preserve">W0</t>
  </si>
  <si>
    <t xml:space="preserve">Zdiagnozowani pod opieką czekający na leczenie (na start)</t>
  </si>
  <si>
    <t xml:space="preserve">NFZ B.71 i EPIMELD 2019–2025: leczonych było co roku więcej niż nowych rozpoznań (stosunek 1,20 w 2025) – brak dowodu zaległości; max = założenie</t>
  </si>
  <si>
    <t xml:space="preserve">stan zaległości; 0 = brak kolejki osób zdiagnozowanych</t>
  </si>
  <si>
    <t xml:space="preserve">CARE_ALL</t>
  </si>
  <si>
    <t xml:space="preserve">Przełącznik: koszt opieki u wszystkich z wiremią (wariant sprzed audytu)</t>
  </si>
  <si>
    <t xml:space="preserve">przełącznik metody (0 = tylko zdiagnozowani pod opieką)</t>
  </si>
  <si>
    <t xml:space="preserve">używany tylko w analizie scenariuszowej</t>
  </si>
  <si>
    <t xml:space="preserve">0/1</t>
  </si>
  <si>
    <t xml:space="preserve">HALF_CYCLE</t>
  </si>
  <si>
    <t xml:space="preserve">Przełącznik: korekta połowy cyklu (trapez)</t>
  </si>
  <si>
    <t xml:space="preserve">CHEERS 2022 / ISPOR – dobra praktyka modelowania</t>
  </si>
  <si>
    <t xml:space="preserve">2022</t>
  </si>
  <si>
    <t xml:space="preserve">1 = włączona</t>
  </si>
  <si>
    <t xml:space="preserve">ABS_D</t>
  </si>
  <si>
    <t xml:space="preserve">Dni absencji chorobowej na pracującą osobę w wieku produkcyjnym z HCV pod opieką rocznie</t>
  </si>
  <si>
    <t xml:space="preserve">28 057 × AF_B18 / pracujący pod opieką 2026; × mnożnik niepewności z_F</t>
  </si>
  <si>
    <t xml:space="preserve">ZUS PSZ 2025: 28 057 dni absencji B18 × AF_B18 / pracujący w wieku produkcyjnym pod opieką w status quo 2026 (model)</t>
  </si>
  <si>
    <t xml:space="preserve">dopasowanie kalibracyjne (odtwarza dni ZUS PSZ 2025); absencja tylko u pracujących przed wiekiem emerytalnym (audyt 2, K-A). Uwaga (audyt 3, K2): dni skalibrowane na osobach w ścieżce leczenia w 2026 r. stosujemy przez cały horyzont do wszystkich pod opieką, także nieleczonych – w zaniechaniu (S0) to ekstrapolacja; dlatego S0 podajemy też bez absencji.</t>
  </si>
  <si>
    <t xml:space="preserve">dni/rok</t>
  </si>
  <si>
    <t xml:space="preserve">NAV</t>
  </si>
  <si>
    <t xml:space="preserve">Koszt nawigacji/łączenia z opieką na osobę wykrytą (pakiet z testem refleksyjnym)</t>
  </si>
  <si>
    <t xml:space="preserve">Project INSPIRE, Nowy Jork (J Public Health Manag Pract 2019; PMC6314903): 656–787 USD na uczestnika (ceny 2015) × parytet siły nabywczej PKB 2015 (Bank Światowy, 1,7651 zł/USD) × CPI GUS 2016–2025 – dane zagraniczne (USA)</t>
  </si>
  <si>
    <t xml:space="preserve">2015</t>
  </si>
  <si>
    <t xml:space="preserve">średnia dwóch ośrodków; zakres symetryczny w skali log: ÷/× (kurs rynkowy NBP 3,7730 / PPP) – max = przeliczenie kursem rynkowym</t>
  </si>
  <si>
    <t xml:space="preserve">zł/osobę</t>
  </si>
  <si>
    <t xml:space="preserve">FIX</t>
  </si>
  <si>
    <t xml:space="preserve">Koszty stałe programu wykrywania (koordynacja, IT, działania informacyjne) rocznie</t>
  </si>
  <si>
    <t xml:space="preserve">założenie: 5 etatów koordynacji × przeciętne wynagrodzenie GUS 2025 × 1,2048 (składki pracodawcy) + 0,58 mln zł (rząd wielkości: konkurs Krajowego Centrum ds. AIDS na akcyjne testowanie HIV/kiła/HCV 2025 – proxy działań terenowych/informacyjnych)</t>
  </si>
  <si>
    <t xml:space="preserve">w I1, I2, I4 przez PROG_Y lat; I3 działa w istniejącej sieci (bez kosztu stałego – założenie); zakres ×0,5–2</t>
  </si>
  <si>
    <t xml:space="preserve">MZ</t>
  </si>
  <si>
    <t xml:space="preserve">INC_TREND</t>
  </si>
  <si>
    <t xml:space="preserve">Roczna zmiana liczby nowych zakażeń</t>
  </si>
  <si>
    <t xml:space="preserve">założenie: stała zapadalność jak w źródle; scenariusz −5%/rok (spadek zakażeń przy redukcji szkód – założenie)</t>
  </si>
  <si>
    <t xml:space="preserve">INC × (1+INC_TREND)^t</t>
  </si>
  <si>
    <t xml:space="preserve">AF_K74</t>
  </si>
  <si>
    <t xml:space="preserve">Udział HCV w marskości wątroby kodowanej jako K74 (bez alkoholowej K70) – renty ZUS</t>
  </si>
  <si>
    <t xml:space="preserve">alfa=114.345; beta=193.329</t>
  </si>
  <si>
    <t xml:space="preserve">GBD 2017 Cirrhosis Collaborators, Lancet Gastroenterol Hepatol 2020;5:245–266, aneks (Polska): zgony z marskości z powodu HCV 1 589 (95% UI 1 378–1 839), wszystkie 7 788, udział alkoholu 45,1%; 1 589 / (7 788 × 0,549) = 37,2%</t>
  </si>
  <si>
    <t xml:space="preserve">dane zagraniczne/literatura międzynarodowa (wyliczenie)</t>
  </si>
  <si>
    <t xml:space="preserve">Kod K74 wyklucza marskość alkoholową (K70), więc udział HCV liczony wśród marskości niealkoholowych (wyliczenie). SD z 95% UI liczby zgonów HCV w GBD (32,2–43,0%). Scenariusz dolny 20,4% = udział we wszystkich marskościach (łącznie z alkoholową); część marskości alkoholowych jest kodowana jako K74 – 37,2% raczej zawyża. PSA (audyt 3, K1): rozkład beta o średniej = wartość bazowa (SD 0,02751); min/max = 2,5. i 97,5. percentyl rozkładu. Działa przez kalibrację (renty ZUS, dni absencji, nowe HCC) – w PSA i tornado kalibracja jest powtarzana dla każdego losowania (audyt 3, I1).</t>
  </si>
  <si>
    <t xml:space="preserve">p_F3HCC</t>
  </si>
  <si>
    <t xml:space="preserve">Roczne prawdopodobieństwo HCC przy włóknieniu F3 (mostkowym)</t>
  </si>
  <si>
    <t xml:space="preserve">alfa=23; beta=2852</t>
  </si>
  <si>
    <t xml:space="preserve">Lok i in. Gastroenterology 2009;136:138–148 (HALT-C: 0,8%/rok przy włóknieniu mostkowym; 23 HCC wśród 597 osób), doi 10.1053/j.gastro.2008.09.014</t>
  </si>
  <si>
    <t xml:space="preserve">2009</t>
  </si>
  <si>
    <t xml:space="preserve">kohorta USA osób bez odpowiedzi na interferon (raczej zawyżone dla ogółu F3); zakres ±1,96 SE (SE = 0,8%/√23)</t>
  </si>
  <si>
    <t xml:space="preserve">PROG_M</t>
  </si>
  <si>
    <t xml:space="preserve">Mnożnik tempa włóknienia (F0→F4)</t>
  </si>
  <si>
    <t xml:space="preserve">Thein i in. Hepatology 2008;48:418–431: marskość po 20 latach 18% w badaniach klinicznych vs 7% w badaniach populacyjnych; 0,714 = mnożnik odtwarzający w modelu stosunek 7/18</t>
  </si>
  <si>
    <t xml:space="preserve">1 = stawki z populacji klinicznych (baza, jak w źródłach); 0,714 = wariant populacyjny (analiza scenariuszowa W9)</t>
  </si>
  <si>
    <t xml:space="preserve">SB_DAY</t>
  </si>
  <si>
    <t xml:space="preserve">Dzienny zasiłek chorobowy (80% podstawy) – przeciętnie</t>
  </si>
  <si>
    <t xml:space="preserve">Ustawa zasiłkowa (Dz.U. 2025 poz. 501 t.j.), art. 11 ust. 1 (80% podstawy) i art. 3 (podstawa po potrąceniu 13,71% składek); przeciętne wynagrodzenie GUS 2025 (8 903,56 zł)</t>
  </si>
  <si>
    <t xml:space="preserve">WAGE/12 × (1−0,1371) × 0,8 / 30; część dni (do 33. dnia) wypłaca pracodawca – koszt ZUS raczej zawyżony</t>
  </si>
  <si>
    <t xml:space="preserve">zł/dzień</t>
  </si>
  <si>
    <t xml:space="preserve">wartość</t>
  </si>
  <si>
    <t xml:space="preserve">opis</t>
  </si>
  <si>
    <t xml:space="preserve">x_dk</t>
  </si>
  <si>
    <t xml:space="preserve">stopa dyskontowa kosztów (AOTMiT 5%)</t>
  </si>
  <si>
    <t xml:space="preserve">x_de</t>
  </si>
  <si>
    <t xml:space="preserve">stopa dyskontowa efektów (AOTMiT 3,5%)</t>
  </si>
  <si>
    <t xml:space="preserve">x_H</t>
  </si>
  <si>
    <t xml:space="preserve">horyzont analizy w latach (1–50)</t>
  </si>
  <si>
    <t xml:space="preserve">x_testy</t>
  </si>
  <si>
    <t xml:space="preserve">1 = testy i koszty stałe programu finansuje inny płatnik (wyłączone z porównania); 0 = wariant pełny</t>
  </si>
  <si>
    <t xml:space="preserve">S1: Status quo (4 832 leczonych/rok) – liczebności (silnik, wartości) i koszty (formuły), zł/rok, niezdyskontowane. Szacunek modelu.</t>
  </si>
  <si>
    <t xml:space="preserve">t</t>
  </si>
  <si>
    <t xml:space="preserve">treated</t>
  </si>
  <si>
    <t xml:space="preserve">NFZ_diag</t>
  </si>
  <si>
    <t xml:space="preserve">MZ_SW</t>
  </si>
  <si>
    <t xml:space="preserve">nNAV</t>
  </si>
  <si>
    <t xml:space="preserve">FIXon</t>
  </si>
  <si>
    <t xml:space="preserve">cF03</t>
  </si>
  <si>
    <t xml:space="preserve">cF4</t>
  </si>
  <si>
    <t xml:space="preserve">cDC</t>
  </si>
  <si>
    <t xml:space="preserve">cHCC</t>
  </si>
  <si>
    <t xml:space="preserve">cPLT</t>
  </si>
  <si>
    <t xml:space="preserve">cSVn</t>
  </si>
  <si>
    <t xml:space="preserve">cSVc</t>
  </si>
  <si>
    <t xml:space="preserve">cLTn</t>
  </si>
  <si>
    <t xml:space="preserve">cLT1</t>
  </si>
  <si>
    <t xml:space="preserve">wAdv</t>
  </si>
  <si>
    <t xml:space="preserve">wHCC</t>
  </si>
  <si>
    <t xml:space="preserve">wGH</t>
  </si>
  <si>
    <t xml:space="preserve">cAbs</t>
  </si>
  <si>
    <t xml:space="preserve">cAbsW</t>
  </si>
  <si>
    <t xml:space="preserve">QALY</t>
  </si>
  <si>
    <t xml:space="preserve">newDC</t>
  </si>
  <si>
    <t xml:space="preserve">newHCC</t>
  </si>
  <si>
    <t xml:space="preserve">LT</t>
  </si>
  <si>
    <t xml:space="preserve">liverD</t>
  </si>
  <si>
    <t xml:space="preserve">NFZ_med</t>
  </si>
  <si>
    <t xml:space="preserve">NFZ_DAA</t>
  </si>
  <si>
    <t xml:space="preserve">NFZ_mon</t>
  </si>
  <si>
    <t xml:space="preserve">NFZ_diag_k</t>
  </si>
  <si>
    <t xml:space="preserve">MZ_SW_k</t>
  </si>
  <si>
    <t xml:space="preserve">NAV_k</t>
  </si>
  <si>
    <t xml:space="preserve">FIX_k</t>
  </si>
  <si>
    <t xml:space="preserve">lostw</t>
  </si>
  <si>
    <t xml:space="preserve">lost_FUS</t>
  </si>
  <si>
    <t xml:space="preserve">lost_NFZ</t>
  </si>
  <si>
    <t xml:space="preserve">lost_PIT</t>
  </si>
  <si>
    <t xml:space="preserve">lost_FP</t>
  </si>
  <si>
    <t xml:space="preserve">PUBLIC</t>
  </si>
  <si>
    <t xml:space="preserve">SOCIETAL</t>
  </si>
  <si>
    <t xml:space="preserve">INV_NFZ</t>
  </si>
  <si>
    <t xml:space="preserve">INV_PUB</t>
  </si>
  <si>
    <t xml:space="preserve">S0: Brak leczenia (zaniechanie) – liczebności (silnik, wartości) i koszty (formuły), zł/rok, niezdyskontowane. Szacunek modelu.</t>
  </si>
  <si>
    <t xml:space="preserve">I1: Celowane testowanie w szpitalach i laboratoriach (+50 mln zł/rok) – liczebności (silnik, wartości) i koszty (formuły), zł/rok, niezdyskontowane. Szacunek modelu.</t>
  </si>
  <si>
    <t xml:space="preserve">I2: Szerokie testowanie w POZ (+50 mln zł/rok) – liczebności (silnik, wartości) i koszty (formuły), zł/rok, niezdyskontowane. Szacunek modelu.</t>
  </si>
  <si>
    <t xml:space="preserve">I3: Populacje kluczowe: OST, redukcja szkód, więzienia (+2 mln zł/rok) – liczebności (silnik, wartości) i koszty (formuły), zł/rok, niezdyskontowane. Szacunek modelu.</t>
  </si>
  <si>
    <t xml:space="preserve">I4: Pakiet eliminacyjny WHO (test refleksyjny + 3 kanały) – liczebności (silnik, wartości) i koszty (formuły), zł/rok, niezdyskontowane. Szacunek modelu.</t>
  </si>
  <si>
    <t xml:space="preserve">I5: Cięcia: −30% leczonych – liczebności (silnik, wartości) i koszty (formuły), zł/rok, niezdyskontowane. Szacunek modelu.</t>
  </si>
  <si>
    <t xml:space="preserve">V1: Walidacja: dodatkowi leczeni jak w I1, bez kosztu wykrywania – liczebności (silnik, wartości) i koszty (formuły), zł/rok, niezdyskontowane. Szacunek modelu.</t>
  </si>
  <si>
    <t xml:space="preserve">S0 vs status quo (S1): Brak leczenia (zaniechanie) – SZACUNEK MODELU</t>
  </si>
  <si>
    <t xml:space="preserve">Horyzont (lata) – zmień w Ustawienia!B4</t>
  </si>
  <si>
    <t xml:space="preserve">Inwestycja (sektor publiczny, zdysk., zł)</t>
  </si>
  <si>
    <t xml:space="preserve">Saldo netto sektor publiczny (zdysk., zł; &lt;0 = oszczędność)</t>
  </si>
  <si>
    <t xml:space="preserve">Zwroty = inwestycja − saldo (zł)</t>
  </si>
  <si>
    <t xml:space="preserve">ROI = (zwroty − inwestycja)/|inwestycja|</t>
  </si>
  <si>
    <t xml:space="preserve">Rok zwrotu – sektor publiczny</t>
  </si>
  <si>
    <t xml:space="preserve">Rok zwrotu – NFZ</t>
  </si>
  <si>
    <t xml:space="preserve">Saldo netto NFZ (zdysk., zł)</t>
  </si>
  <si>
    <t xml:space="preserve">ICER sektor publiczny (zł/QALY; &lt;0 = dominuje) – dodatkowo</t>
  </si>
  <si>
    <t xml:space="preserve">ICER NFZ (zł/QALY) – GŁÓWNY, porównywany z progiem 244 821 zł</t>
  </si>
  <si>
    <t xml:space="preserve">DF koszty</t>
  </si>
  <si>
    <t xml:space="preserve">DF efekty</t>
  </si>
  <si>
    <t xml:space="preserve">Δ NFZ</t>
  </si>
  <si>
    <t xml:space="preserve">Δ publiczny</t>
  </si>
  <si>
    <t xml:space="preserve">Δ społeczny</t>
  </si>
  <si>
    <t xml:space="preserve">Δ inwestycja (publ.)</t>
  </si>
  <si>
    <t xml:space="preserve">skum. NFZ</t>
  </si>
  <si>
    <t xml:space="preserve">skum. publiczny</t>
  </si>
  <si>
    <t xml:space="preserve">skum. społeczny</t>
  </si>
  <si>
    <t xml:space="preserve">maks. dotąd (publ.)</t>
  </si>
  <si>
    <t xml:space="preserve">zwrot? (publ.)</t>
  </si>
  <si>
    <t xml:space="preserve">zwrot? (NFZ)</t>
  </si>
  <si>
    <t xml:space="preserve">maks. dotąd (NFZ)</t>
  </si>
  <si>
    <t xml:space="preserve">Δ QALY</t>
  </si>
  <si>
    <t xml:space="preserve">I1 vs status quo (S1): Celowane testowanie w szpitalach i laboratoriach (+50 mln zł/rok) – SZACUNEK MODELU</t>
  </si>
  <si>
    <t xml:space="preserve">I2 vs status quo (S1): Szerokie testowanie w POZ (+50 mln zł/rok) – SZACUNEK MODELU</t>
  </si>
  <si>
    <t xml:space="preserve">I3 vs status quo (S1): Populacje kluczowe: OST, redukcja szkód, więzienia (+2 mln zł/rok) – SZACUNEK MODELU</t>
  </si>
  <si>
    <t xml:space="preserve">I4 vs status quo (S1): Pakiet eliminacyjny WHO (test refleksyjny + 3 kanały) – SZACUNEK MODELU</t>
  </si>
  <si>
    <t xml:space="preserve">I5 vs status quo (S1): Cięcia: −30% leczonych – SZACUNEK MODELU</t>
  </si>
  <si>
    <t xml:space="preserve">V1 vs status quo (S1): Walidacja: dodatkowi leczeni jak w I1, bez kosztu wykrywania – SZACUNEK MODELU</t>
  </si>
  <si>
    <t xml:space="preserve">Monte Carlo: 2 000 losowań, ziarno 20261027; mediana [95% przedział]; wartości (nie formuły). SZACUNEK MODELU.</t>
  </si>
  <si>
    <t xml:space="preserve">scenariusz</t>
  </si>
  <si>
    <t xml:space="preserve">horyzont</t>
  </si>
  <si>
    <t xml:space="preserve">perspektywa</t>
  </si>
  <si>
    <t xml:space="preserve">saldo mln zł mediana</t>
  </si>
  <si>
    <t xml:space="preserve">2,5%</t>
  </si>
  <si>
    <t xml:space="preserve">97,5%</t>
  </si>
  <si>
    <t xml:space="preserve">ROI mediana</t>
  </si>
  <si>
    <t xml:space="preserve">rok zwrotu mediana</t>
  </si>
  <si>
    <t xml:space="preserve">P(zwrot w horyzoncie)</t>
  </si>
  <si>
    <t xml:space="preserve">P(koszt-efektywne przy progu)</t>
  </si>
  <si>
    <t xml:space="preserve">uniknięte zgony mediana</t>
  </si>
  <si>
    <t xml:space="preserve">I1</t>
  </si>
  <si>
    <t xml:space="preserve">brak</t>
  </si>
  <si>
    <t xml:space="preserve">NFZ_TX</t>
  </si>
  <si>
    <t xml:space="preserve">PUBLIC_TX</t>
  </si>
  <si>
    <t xml:space="preserve">SOCIETAL_TX</t>
  </si>
  <si>
    <t xml:space="preserve">I2</t>
  </si>
  <si>
    <t xml:space="preserve">I3</t>
  </si>
  <si>
    <t xml:space="preserve">I4</t>
  </si>
  <si>
    <t xml:space="preserve">I5</t>
  </si>
  <si>
    <t xml:space="preserve">S0</t>
  </si>
  <si>
    <t xml:space="preserve">Model Markowa, cykl roczny, 2026–2075, otwarta kohorta (nowe zakażenia INC/rok + reinfekcje po SVR).</t>
  </si>
  <si>
    <t xml:space="preserve">Stany: F0–F3, F4 (marskość wyrównana), DC, HCC, przeszczep (rok 1 i kolejne), SVR (bez marskości / po marskości), zgon.</t>
  </si>
  <si>
    <t xml:space="preserve">Kohorta startowa w 4 grupach wieku (B.71 2025: do 40, 41–60, 61–80, &gt;80 lat); korekta połowy cyklu (trapezy).</t>
  </si>
  <si>
    <t xml:space="preserve">Koszty opieki (NFZ c_F, c_CC) i absencja/ZUS z_F liczone tylko dla zdiagnozowanych pod opieką (przepływ rozpoznań DX_IN, oczekiwanie T_PRE), nie dla wszystkich z wiremią.</t>
  </si>
  <si>
    <t xml:space="preserve">Kalibracja (out/calib.json): K_DC → DC w 2030 = 1 590 (Flisiak i in. 2015; model-do-modelu); K_HCC → nowe HCC w 2026 ≈ 712 (KRN 2023: 1 695 × 0,42; C22 obejmuje też raka dróg żółciowych); HCC0 = stan ustalony; WLOSS i dni absencji → ZUS 2026 = przeliczenie z danych ZUS. To DOPASOWANIE, nie walidacja (audyt 2, W2).</t>
  </si>
  <si>
    <t xml:space="preserve">Audyt 2: zasiłek chorobowy z_F = ABS_D dni × 80% stawki dziennej (SB_DAY), tylko pracujący w wieku produkcyjnym pod opieką (kolumna cAbsW); udział HCV w marskości AF_K74 = 20,4% (GBD 2017); przejście F3→HCC 0,8%/rok (Lok 2009); LINK_UP 57,4% (UKHSA); NAV przez parytet siły nabywczej.</t>
  </si>
  <si>
    <t xml:space="preserve">Audyt 3 (28.10.2026): rozkłady Monte Carlo o średniej = wartość bazowa (beta dla wydajności testów i odsetków rozpoczynających leczenie, lognormalne o średniej = baza); LINK_UP 69,45% (środek 57,4–81,5%, założenie); AF_K74 37,2% (GBD 2017, marskości bez alkoholowej); udziały HCV rekalibrowane w każdym losowaniu (AF_LIVER przybliżeniem potęgowym). Wcześniejsze wartości (20,4%, 57,4%) opisane wyżej są historyczne.</t>
  </si>
  <si>
    <t xml:space="preserve">Nadwyżka umieralności populacji kluczowych (SMR 14,68; Mathers i in. 2013) stosowana tak samo u leczonych i nieleczonych (przybliżenie: wspólny zasób nieleczonych KU).</t>
  </si>
  <si>
    <t xml:space="preserve">Pakiet WHO (I4): nawigacja pacjenta NAV na wykrytą osobę (dane z USA) i koszty stałe FIX; I1/I2: koszty stałe FIX. Szacunki z założeniami.</t>
  </si>
  <si>
    <t xml:space="preserve">Wykrywanie: koszt wykrycia przypadku = (test anty-HCV + RNA×odsetek dodatnich)/wydajność kanału; malejąca wydajność wraz z wyczerpywaniem puli.</t>
  </si>
  <si>
    <t xml:space="preserve">Okres dochodzenia do skali: RAMP lat; program trwa PROG_Y lat.</t>
  </si>
  <si>
    <t xml:space="preserve">PSA: rozkłady beta/gamma/lognormalny (symetryczne wokół wartości bazowej, także K_DC/K_HCC/DC0/PLT0)/normalny (wiek)/trójkątny/Dirichlet; 2 000 losowań; percentyle 2,5 i 97,5. Wynik główny = wynik bazowy (deterministyczny); PSA podawane osobno.</t>
  </si>
  <si>
    <t xml:space="preserve">Wariant „testy finansuje inny płatnik” (x_testy=1, perspektywy *_TX): z porównania wyłączone testy (NFZ_diag, MZ_SW) i koszty stałe FIX; nawigacja zostaje jako część kosztu wyleczenia.</t>
  </si>
  <si>
    <t xml:space="preserve">Zgodność: AOTMiT (perspektywy, dyskonto, próg 244 821 zł/QALY – obwieszczenie Prezesa GUS z 30.10.2025, MP 2025 poz. 1133; nowe ok. 30.10.2026), CHEERS 2022 – lista kontrolna (28 punktów) w aplikacji. ICER główny = perspektywa NFZ.</t>
  </si>
  <si>
    <t xml:space="preserve">Koszt wyleczenia vs koszt nieleczenia – na 1 zdiagnozowanego pacjenta (kohorta 1 000 nowo rozpoznanych pod opieką; leczenie w roku 0 vs brak leczenia). SZACUNEK MODELU, zł, zdyskontowane 5%.</t>
  </si>
  <si>
    <t xml:space="preserve">Testy nie wchodzą do tego porównania (pacjent jest już zdiagnozowany – koszt wykrycia ponosi inny płatnik lub był poniesiony wcześniej).</t>
  </si>
  <si>
    <t xml:space="preserve">Koszt wyleczenia (formuła) = x_c_DAA + x_c_MON</t>
  </si>
  <si>
    <t xml:space="preserve">+ nawigacja (opcjonalnie) = x_NAV</t>
  </si>
  <si>
    <t xml:space="preserve">nawigacja</t>
  </si>
  <si>
    <t xml:space="preserve">koszt wyleczenia</t>
  </si>
  <si>
    <t xml:space="preserve">uniknięte koszty nieleczenia</t>
  </si>
  <si>
    <t xml:space="preserve">saldo netto (&lt;0 = oszczędność)</t>
  </si>
  <si>
    <t xml:space="preserve">rok zwrotu</t>
  </si>
  <si>
    <t xml:space="preserve">ROI</t>
  </si>
  <si>
    <t xml:space="preserve">ICER zł/QALY</t>
  </si>
  <si>
    <t xml:space="preserve">nie</t>
  </si>
  <si>
    <t xml:space="preserve">tak</t>
  </si>
  <si>
    <t xml:space="preserve">Monte Carlo (2 000 losowań): mediana [2,5%; 97,5%]</t>
  </si>
  <si>
    <t xml:space="preserve">saldo mediana</t>
  </si>
  <si>
    <t xml:space="preserve">uniknięte mediana</t>
  </si>
  <si>
    <t xml:space="preserve">P(oszczędność)</t>
  </si>
  <si>
    <t xml:space="preserve">Analizy scenariuszowe (deterministyczne, sektor publiczny, mln zł zdysk.; &gt;0 = koszt netto). Zmieniamy jedno założenie, reszta bazowa. SZACUNEK MODELU.</t>
  </si>
  <si>
    <t xml:space="preserve">wariant</t>
  </si>
  <si>
    <t xml:space="preserve">koszt zaniechania S0 20 l.</t>
  </si>
  <si>
    <t xml:space="preserve">koszt zaniechania S0 50 l.</t>
  </si>
  <si>
    <t xml:space="preserve">I1 50 l.</t>
  </si>
  <si>
    <t xml:space="preserve">I1 50 l. (testy – inny płatnik)</t>
  </si>
  <si>
    <t xml:space="preserve">I3 20 l.</t>
  </si>
  <si>
    <t xml:space="preserve">I4 20 l.</t>
  </si>
  <si>
    <t xml:space="preserve">I4 50 l.</t>
  </si>
  <si>
    <t xml:space="preserve">I4 50 l. (testy – inny płatnik)</t>
  </si>
  <si>
    <t xml:space="preserve">ICER I4 20 l. (publ.)</t>
  </si>
  <si>
    <t xml:space="preserve">ICER I4 20 l. NFZ (główny)</t>
  </si>
  <si>
    <t xml:space="preserve">ICER I1 20 l. NFZ</t>
  </si>
  <si>
    <t xml:space="preserve">ICER I2 20 l. NFZ</t>
  </si>
  <si>
    <t xml:space="preserve">ICER I3 20 l. NFZ</t>
  </si>
  <si>
    <t xml:space="preserve">rok zwrotu I4</t>
  </si>
  <si>
    <t xml:space="preserve">ZUS 2026 (mln zł)</t>
  </si>
  <si>
    <t xml:space="preserve">zgony wątrobowe 2026 (S1)</t>
  </si>
  <si>
    <t xml:space="preserve">nowe HCC 2026</t>
  </si>
  <si>
    <t xml:space="preserve">DC 2030</t>
  </si>
  <si>
    <t xml:space="preserve">bazowy (po audycie 3)</t>
  </si>
  <si>
    <t xml:space="preserve">bez kalibracji (K=1)</t>
  </si>
  <si>
    <t xml:space="preserve">cena leków z 2017 r. (33 872 zł)</t>
  </si>
  <si>
    <t xml:space="preserve">cena leków maks. (97 716 zł)</t>
  </si>
  <si>
    <t xml:space="preserve">nowe zakażenia −5%/rok</t>
  </si>
  <si>
    <t xml:space="preserve">koszty opieki u wszystkich z wiremią (jak przed audytem)</t>
  </si>
  <si>
    <t xml:space="preserve">bez korekty połowy cyklu</t>
  </si>
  <si>
    <t xml:space="preserve">pełna utrata pracy (WLOSS=1)</t>
  </si>
  <si>
    <t xml:space="preserve">reinfekcja PWID 3,8% (OST)</t>
  </si>
  <si>
    <t xml:space="preserve">SVR 99%</t>
  </si>
  <si>
    <t xml:space="preserve">wiek −6 lat</t>
  </si>
  <si>
    <t xml:space="preserve">wiek +6 lat</t>
  </si>
  <si>
    <t xml:space="preserve">bez zasiłków chorobowych (absencji)</t>
  </si>
  <si>
    <t xml:space="preserve">udział HCV w marskości 20,4% (jak przed audytem 3)</t>
  </si>
  <si>
    <t xml:space="preserve">udział HCV w marskości K74 43%</t>
  </si>
  <si>
    <t xml:space="preserve">POZ 0,47% RNA+ (PLoS One 2017)</t>
  </si>
  <si>
    <t xml:space="preserve">szpitale/laboratoria 1,2% (kampania)</t>
  </si>
  <si>
    <t xml:space="preserve">populacje kluczowe 59% (2004–05)</t>
  </si>
  <si>
    <t xml:space="preserve">rozpoczęcie leczenia I4 81,5%</t>
  </si>
  <si>
    <t xml:space="preserve">rozpoczęcie leczenia I4 57,4% (jak przed audytem 3)</t>
  </si>
  <si>
    <t xml:space="preserve">rozpoczęcie leczenia bez nawigacji 30%</t>
  </si>
  <si>
    <t xml:space="preserve">POZ 0,26% RNA+ (EURIPA 2026, 1 ośrodek)</t>
  </si>
  <si>
    <t xml:space="preserve">wolniejsza progresja (Thein, populacje ogólne)</t>
  </si>
  <si>
    <t xml:space="preserve">wolniejsza progresja + ponowna kalibracja</t>
  </si>
  <si>
    <t xml:space="preserve">bez przejścia F3→HCC</t>
  </si>
  <si>
    <t xml:space="preserve">Leki i zamówienia publiczne – dane źródłowe (nie wyniki modelu); schematy bez nazw leków i firm</t>
  </si>
  <si>
    <t xml:space="preserve">Schemat B.71, 2025</t>
  </si>
  <si>
    <t xml:space="preserve">Pacjenci</t>
  </si>
  <si>
    <t xml:space="preserve">Refundacja (mln zł)</t>
  </si>
  <si>
    <t xml:space="preserve">Uwagi / źródło</t>
  </si>
  <si>
    <t xml:space="preserve">A – pangenotypowy</t>
  </si>
  <si>
    <t xml:space="preserve">NFZ app-stat-api, pobrane 25.10.2026</t>
  </si>
  <si>
    <t xml:space="preserve">B – pangenotypowy</t>
  </si>
  <si>
    <t xml:space="preserve">zmiana ceny urzędowej 17.09.2025</t>
  </si>
  <si>
    <t xml:space="preserve">C – leczenie ponowne</t>
  </si>
  <si>
    <t xml:space="preserve">zmiana ceny urzędowej 17.06.2025</t>
  </si>
  <si>
    <t xml:space="preserve">B.71 razem (leczeni, nie suma schematów)</t>
  </si>
  <si>
    <t xml:space="preserve">Przetargi TED od 01.01.2023 (pobrane 27.10.2026)</t>
  </si>
  <si>
    <t xml:space="preserve">Ogłoszenia</t>
  </si>
  <si>
    <t xml:space="preserve">Części z wyborem oferty</t>
  </si>
  <si>
    <t xml:space="preserve">Wartość (mln zł)</t>
  </si>
  <si>
    <t xml:space="preserve">A</t>
  </si>
  <si>
    <t xml:space="preserve">B</t>
  </si>
  <si>
    <t xml:space="preserve">C</t>
  </si>
  <si>
    <t xml:space="preserve">Razem bez podwójnego liczenia (7 części mieszanych, 6,68 mln zł)</t>
  </si>
  <si>
    <t xml:space="preserve">Uwaga: TED obejmuje tylko przetargi powyżej progów UE; wartość przetargu ≠ sprzedaż. 38 zamawiających; 10 największych ≈123,6 mln zł (≈70%).</t>
  </si>
  <si>
    <t xml:space="preserve">Zmiany 28.10.2026 – wersja po audycie (wyniki zmieniły się; opis na stronie, zakładka Sprawdzenie)</t>
  </si>
  <si>
    <t xml:space="preserve">K1: koszty opieki NFZ (F0–F4) i absencja/ZUS liczone tylko dla zdiagnozowanych pod opieką (wcześniej dla wszystkich ok. 155 tys. z wiremią). Wariant dawny = scenariusz CARE_ALL=1.</t>
  </si>
  <si>
    <t xml:space="preserve">K2: PSA – mnożniki kalibracyjne K_DC, K_HCC oraz DC0, PLT0 losowane symetrycznie (lognormalnie) wokół wartości bazowej; K=1 przeniesione do osobnego scenariusza.</t>
  </si>
  <si>
    <t xml:space="preserve">K3: opis zgonów poprawiony – liczby C22/K74 to wszystkie zgony z tych przyczyn, tylko część wynika z HCV; zgony z przyczyną wyjściową B18 (przewlekłe WZW typu B i C łącznie) to 88 w 2023 r. (NIZP PZH-PIB); model szacuje ok. 920 zgonów wątrobowych związanych z HCV rocznie (2026).</t>
  </si>
  <si>
    <t xml:space="preserve">I1: źródło kosztów i prawdopodobieństw opisane jako analiza wnioskodawcy (firma konsultingowa) opublikowana w BIP AOTMiT; model choroby dla Polski (2015) opisany jako wspierany finansowo przez producenta leków; błędy standardowe z Tab. 198.</t>
  </si>
  <si>
    <t xml:space="preserve">I2: maksimum leczonych w B.71 = 12 171 (2017), nie 8 521; szczyt pakietu WHO porównany z tą wartością.</t>
  </si>
  <si>
    <t xml:space="preserve">I3: wynik główny = wynik bazowy (deterministyczny); Monte Carlo podawane osobno jako mediana [95%] i P(oszczędność).</t>
  </si>
  <si>
    <t xml:space="preserve">I4: pakiet WHO zawiera koszt nawigacji pacjenta (NAV) i koszty stałe programu (FIX); I1/I2 – koszty stałe.</t>
  </si>
  <si>
    <t xml:space="preserve">I5: kalibracja raka wątroby do Krajowego Rejestru Nowotworów (ok. 712 nowych HCC przypisanych HCV w 2026 r.).</t>
  </si>
  <si>
    <t xml:space="preserve">I6: rozrzut ceny leków w PSA z wahań 2017–2025; cena z 2017 r. (33 872 zł) jako scenariusz.</t>
  </si>
  <si>
    <t xml:space="preserve">I7: renty przeliczane wskaźnikami waloryzacji ZUS; WLOSS skalibrowane do danych ZUS; EMP opisane jako ograniczenie.</t>
  </si>
  <si>
    <t xml:space="preserve">I8: kohorta w 4 grupach wieku (B.71 2025); średni wiek losowany w PSA.</t>
  </si>
  <si>
    <t xml:space="preserve">D1–D12: p90 kolejki 567/585 dni; Rosińska i in. 2015 (dane 2004–05); RE_KEY 6,2/100 osobolat; korekta połowy cyklu; SMR 10 dla PWID (symetrycznie; od audytu 2: SMR 14,68, Mathers 2013); SVR 0,97; uwaga o niespójności p_SCCHCC; koszt 1. roku po przeszczepie 30 167,61 zł (×CPI); uwagi o reinfekcji i użytecznościach; scenariusz malejącej zapadalności; 38 zamawiających; kalkulator 300 vs 2 000 losowań i kolejność kwantyli roku zwrotu.</t>
  </si>
  <si>
    <t xml:space="preserve">Nowe: wariant „testy finansuje inny płatnik” (porównanie samego kosztu wyleczenia z kosztami nieleczenia) oraz wynik na jednego zdiagnozowanego pacjenta.</t>
  </si>
  <si>
    <t xml:space="preserve">Model z wersji v1 (pe_model) jest zastąpiony przez silnik aplikacji i nie jest publikowany.</t>
  </si>
  <si>
    <t xml:space="preserve">Dodatkowo: w pliku xlsx usunięto kolizję nazw zakresów (stopa dyskonta kosztów i efektów) – po poprawce wartości w arkuszu zgadzają się ze stroną.</t>
  </si>
  <si>
    <t xml:space="preserve">Deklaracja finansowania i konfliktu interesów (28.10.2026, CHEERS 2022): Autor pracuje w sektorze farmaceutycznym. Analiza powstała prywatnie, bez zlecenia i finansowania jakiejkolwiek firmy. Nie wymienia ani nie promuje żadnych produktów leczniczych. Część wykorzystanych źródeł była finansowana przez przemysł — oznaczono to w Źródłach.</t>
  </si>
  <si>
    <t xml:space="preserve">Jedna aplikacja (28.10.2026): do aplikacji przeniesiono całą wartościową treść wcześniejszych roboczych stron raportu, modelu v1 i audytu – hipotezy H1–H6 (Problem), nowa zakładka „Leki i zamówienia publiczne” (schematy B.71 bez nazw, przetargi TED), ocena działań systemowych A1–A9 (Działania), przebieg audytu (ocena, odtworzenie, weryfikacja parametrów, wrażliwość), szacunek Polaris liczby leczonych 2015–2023, porównanie zgłaszalności z Litwą, najdłuższe kolejki do B.71 i nowe luki w danych. Nawigacja pogrupowana: Odpowiedź / Problem i rynek / Działania / Metoda i źródła. Treści o charakterze komercyjnym nie zostały przeniesione.</t>
  </si>
  <si>
    <t xml:space="preserve">Inwentarz danych (28.10.2026): porównano aplikację ze wszystkimi wcześniejszymi wersjami i przywrócono pominięte dane publiczne – 0,47% z wiremią w badaniu POZ 2012–2016 (PLoS One 2017), trend rozpoznań +23% i leczonych −43% wobec 2019 r., 57% uczestników Moje Zdrowie poniżej 40 lat i ok. +20% rozpoznań po 11 miesiącach programu (MZ, IV 2026), 4 010 osób w leczeniu substytucyjnym (EUDA 2024, dane 2022), 93 339 rozpoczęć leczenia w Anglii 2015–2024 (UKHSA 2025), interpretację luk wojewódzkich, sposób liczenia mediany kolejki (37 z 91 lokalizacji), dodatkowe ograniczenie modelu (opieka nieformalna, pomoc społeczna, PFRON, prezenteizm) oraz pełną tabelę weryfikacji 33 parametrów z audytu. Wyniki modelu bez zmian.</t>
  </si>
  <si>
    <t xml:space="preserve">Audyt 2 (28.10.2026, symulowany): K-A zasiłek chorobowy = dni absencji × 80% stawki dziennej, tylko u pracujących w wieku produkcyjnym (koszt zaniechania 50 lat 8,34 → 6,03 mld zł); K-B tabela przed/po krok po kroku, wyłącznie wartości bazowe; W1 koszt QALY porównywany z progiem w perspektywie NFZ (pakiet WHO 20 lat: 82 294 zł; publiczny 77 717), krzywa akceptowalności z wyborem perspektywy; W2 kalibracja oddzielona od walidacji, porównanie z GBD 2017; W3 POZ 0,47% jako scenariusz; W4 szpitale 0,26% RNA+ (1,2% = laboratoria w kampanii); W5 przejście do leczenia 57,4% (Anglia, wszystkie RNA+), 81,5% jako górna granica; W6 udział HCV w marskości 20,4% (GBD 2017); W7 przejście F3→rak wątroby 0,8%/rok (Lok 2009) z ponowną kalibracją; W8 opis braku zaległej puli; W9 scenariusz wolniejszej progresji (Thein 2008); Y_KEY 31,2% (2021) × 50%; SMR 14,68 (Mathers 2013); nawigacja wg parytetu siły nabywczej (ok. 2 007 zł); Kalkulator bez zaokrąglenia ceny (22 760 zł); pełna lista CHEERS (28 punktów); hiperłącza i nowe źródła; xlsx z arkuszami S0, I2, I5, V1. Egipt 91,8% i zgony B18 = 88 oznaczone jako niezweryfikowane. Wszystkie wyniki to szacunek.</t>
  </si>
  <si>
    <t xml:space="preserve">Audyt 3 (28.10.2026, symulowany; ocena przed poprawkami 6,5/10): K1 rozkłady Monte Carlo o średniej = wartość bazowa (beta dla wydajności testów i odsetków rozpoczynających leczenie, lognormalne o średniej = baza; poprawiony parametr rozkładu użyteczności po wyleczeniu) – BIA pakietu WHO w MC 1,97 → 1,74 mld zł, baza mieści się w przedziałach; K2 koszt zaniechania bez absencji pokazany obok wyniku głównego (20 lat 273 mln, 50 lat 4,1 mld zł), poprawiony opis „ZUS 2012” (dni absencji z ZUS PSZ 2025); I1 udziały HCV (AF_K74, AF_LIVER, AF_B18) rekalibrowane w każdym losowaniu i w tornado (AF_LIVER przybliżeniem potęgowym, błąd &lt; 0,5%); I2 LINK_UP 57,4% → 69,45% (środek 57,4–81,5%, założenie; granice jako scenariusze) – ICER NFZ pakietu WHO 82 294 → 72 483 zł/QALY; I3 AF_K74 20,4% → 37,2% (GBD 2017, marskości bez alkoholowej) – koszt zaniechania 50 lat 6,03 → 6,35 mld zł, ZUS 2026 27,4 → 43,8 mln zł, zwrot V1 2059 → 2056; I4 scenariusz POZ 0,26% (EURIPA 2026); drobne: rok zwrotu V1, zaniechanie dla NFZ po 20 (−145 mln) i 30 latach (+713 mln), etykieta ceny maks. w xlsx (97 716 zł), opisy LINK/LINK_UP, UKHSA 2025, CHEERS 20 i 24; Egipt 91,8% wyliczony z pełnego tekstu (1 054 695 / 1 148 346), nadal nieużywany; zgony B18 = 88 nadal niezweryfikowane; próg GUS bez zmian (nowe obwieszczenie jeszcze nie opublikowane, stan 28.10.2026).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</si>
</sst>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7F3"/>
        <bgColor rgb="FFCCFFFF"/>
      </patternFill>
    </fill>
    <fill>
      <patternFill patternType="solid">
        <fgColor rgb="FFFFF4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DDE7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 t="s">
        <v>5</v>
      </c>
    </row>
    <row r="7" customFormat="false" ht="15" hidden="false" customHeight="false" outlineLevel="0" collapsed="false">
      <c r="A7" s="2" t="s">
        <v>6</v>
      </c>
    </row>
    <row r="8" customFormat="false" ht="15" hidden="false" customHeight="false" outlineLevel="0" collapsed="false">
      <c r="A8" s="2" t="s">
        <v>7</v>
      </c>
    </row>
    <row r="9" customFormat="false" ht="15" hidden="false" customHeight="false" outlineLevel="0" collapsed="false">
      <c r="A9" s="2" t="s">
        <v>8</v>
      </c>
    </row>
    <row r="10" customFormat="false" ht="15" hidden="false" customHeight="false" outlineLevel="0" collapsed="false">
      <c r="A10" s="2" t="s">
        <v>9</v>
      </c>
    </row>
    <row r="11" customFormat="false" ht="15" hidden="false" customHeight="false" outlineLevel="0" collapsed="false">
      <c r="A11" s="2" t="s">
        <v>10</v>
      </c>
    </row>
    <row r="12" customFormat="false" ht="15" hidden="false" customHeight="false" outlineLevel="0" collapsed="false">
      <c r="A12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8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4"/>
    <col collapsed="false" customWidth="true" hidden="false" outlineLevel="0" max="7" min="7" style="0" width="22"/>
    <col collapsed="false" customWidth="true" hidden="false" outlineLevel="0" max="8" min="8" style="0" width="60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1" min="11" style="0" width="40"/>
    <col collapsed="false" customWidth="true" hidden="false" outlineLevel="0" max="13" min="12" style="0" width="10"/>
  </cols>
  <sheetData>
    <row r="1" customFormat="false" ht="15" hidden="false" customHeight="false" outlineLevel="0" collapsed="false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</row>
    <row r="2" customFormat="false" ht="15" hidden="false" customHeight="false" outlineLevel="0" collapsed="false">
      <c r="A2" s="0" t="s">
        <v>25</v>
      </c>
      <c r="B2" s="0" t="s">
        <v>26</v>
      </c>
      <c r="C2" s="4" t="n">
        <v>155000</v>
      </c>
      <c r="D2" s="0" t="n">
        <v>145000</v>
      </c>
      <c r="E2" s="0" t="n">
        <v>165000</v>
      </c>
      <c r="F2" s="0" t="s">
        <v>27</v>
      </c>
      <c r="G2" s="0" t="s">
        <v>28</v>
      </c>
      <c r="H2" s="0" t="s">
        <v>29</v>
      </c>
      <c r="I2" s="0" t="s">
        <v>30</v>
      </c>
      <c r="J2" s="0" t="s">
        <v>31</v>
      </c>
      <c r="K2" s="0" t="s">
        <v>32</v>
      </c>
      <c r="L2" s="0" t="s">
        <v>33</v>
      </c>
      <c r="M2" s="0" t="s">
        <v>34</v>
      </c>
    </row>
    <row r="3" customFormat="false" ht="15" hidden="false" customHeight="false" outlineLevel="0" collapsed="false">
      <c r="A3" s="0" t="s">
        <v>35</v>
      </c>
      <c r="B3" s="0" t="s">
        <v>36</v>
      </c>
      <c r="C3" s="4" t="n">
        <v>53.33</v>
      </c>
      <c r="D3" s="0" t="n">
        <v>47.33</v>
      </c>
      <c r="E3" s="0" t="n">
        <v>59.33</v>
      </c>
      <c r="F3" s="0" t="s">
        <v>37</v>
      </c>
      <c r="G3" s="0" t="s">
        <v>38</v>
      </c>
      <c r="H3" s="0" t="s">
        <v>39</v>
      </c>
      <c r="I3" s="0" t="s">
        <v>40</v>
      </c>
      <c r="J3" s="0" t="s">
        <v>41</v>
      </c>
      <c r="K3" s="0" t="s">
        <v>42</v>
      </c>
      <c r="L3" s="0" t="s">
        <v>33</v>
      </c>
      <c r="M3" s="0" t="s">
        <v>43</v>
      </c>
    </row>
    <row r="4" customFormat="false" ht="15" hidden="false" customHeight="false" outlineLevel="0" collapsed="false">
      <c r="A4" s="0" t="s">
        <v>44</v>
      </c>
      <c r="B4" s="0" t="s">
        <v>45</v>
      </c>
      <c r="C4" s="4" t="n">
        <v>63</v>
      </c>
      <c r="D4" s="0" t="n">
        <v>60</v>
      </c>
      <c r="E4" s="0" t="n">
        <v>65</v>
      </c>
      <c r="F4" s="0" t="s">
        <v>46</v>
      </c>
      <c r="G4" s="0" t="s">
        <v>33</v>
      </c>
      <c r="H4" s="0" t="s">
        <v>47</v>
      </c>
      <c r="I4" s="0" t="s">
        <v>40</v>
      </c>
      <c r="J4" s="0" t="s">
        <v>41</v>
      </c>
      <c r="K4" s="0" t="s">
        <v>48</v>
      </c>
      <c r="L4" s="0" t="s">
        <v>33</v>
      </c>
      <c r="M4" s="0" t="s">
        <v>43</v>
      </c>
    </row>
    <row r="5" customFormat="false" ht="15" hidden="false" customHeight="false" outlineLevel="0" collapsed="false">
      <c r="A5" s="0" t="s">
        <v>49</v>
      </c>
      <c r="B5" s="0" t="s">
        <v>50</v>
      </c>
      <c r="C5" s="4" t="n">
        <v>0.213</v>
      </c>
      <c r="F5" s="0" t="s">
        <v>51</v>
      </c>
      <c r="G5" s="0" t="s">
        <v>52</v>
      </c>
      <c r="H5" s="0" t="s">
        <v>53</v>
      </c>
      <c r="I5" s="0" t="s">
        <v>54</v>
      </c>
      <c r="J5" s="0" t="s">
        <v>31</v>
      </c>
      <c r="K5" s="0" t="s">
        <v>55</v>
      </c>
      <c r="L5" s="0" t="s">
        <v>33</v>
      </c>
      <c r="M5" s="0" t="s">
        <v>56</v>
      </c>
    </row>
    <row r="6" customFormat="false" ht="15" hidden="false" customHeight="false" outlineLevel="0" collapsed="false">
      <c r="A6" s="0" t="s">
        <v>57</v>
      </c>
      <c r="B6" s="0" t="s">
        <v>58</v>
      </c>
      <c r="C6" s="4" t="n">
        <v>0.361</v>
      </c>
      <c r="F6" s="0" t="s">
        <v>51</v>
      </c>
      <c r="G6" s="0" t="s">
        <v>59</v>
      </c>
      <c r="H6" s="0" t="s">
        <v>53</v>
      </c>
      <c r="I6" s="0" t="s">
        <v>54</v>
      </c>
      <c r="J6" s="0" t="s">
        <v>31</v>
      </c>
      <c r="K6" s="0" t="s">
        <v>55</v>
      </c>
      <c r="L6" s="0" t="s">
        <v>33</v>
      </c>
      <c r="M6" s="0" t="s">
        <v>56</v>
      </c>
    </row>
    <row r="7" customFormat="false" ht="15" hidden="false" customHeight="false" outlineLevel="0" collapsed="false">
      <c r="A7" s="0" t="s">
        <v>60</v>
      </c>
      <c r="B7" s="0" t="s">
        <v>61</v>
      </c>
      <c r="C7" s="4" t="n">
        <v>0.233</v>
      </c>
      <c r="F7" s="0" t="s">
        <v>51</v>
      </c>
      <c r="G7" s="0" t="s">
        <v>62</v>
      </c>
      <c r="H7" s="0" t="s">
        <v>53</v>
      </c>
      <c r="I7" s="0" t="s">
        <v>54</v>
      </c>
      <c r="J7" s="0" t="s">
        <v>31</v>
      </c>
      <c r="K7" s="0" t="s">
        <v>55</v>
      </c>
      <c r="L7" s="0" t="s">
        <v>33</v>
      </c>
      <c r="M7" s="0" t="s">
        <v>56</v>
      </c>
    </row>
    <row r="8" customFormat="false" ht="15" hidden="false" customHeight="false" outlineLevel="0" collapsed="false">
      <c r="A8" s="0" t="s">
        <v>63</v>
      </c>
      <c r="B8" s="0" t="s">
        <v>64</v>
      </c>
      <c r="C8" s="4" t="n">
        <v>0.11</v>
      </c>
      <c r="F8" s="0" t="s">
        <v>51</v>
      </c>
      <c r="G8" s="0" t="s">
        <v>65</v>
      </c>
      <c r="H8" s="0" t="s">
        <v>53</v>
      </c>
      <c r="I8" s="0" t="s">
        <v>54</v>
      </c>
      <c r="J8" s="0" t="s">
        <v>31</v>
      </c>
      <c r="K8" s="0" t="s">
        <v>55</v>
      </c>
      <c r="L8" s="0" t="s">
        <v>33</v>
      </c>
      <c r="M8" s="0" t="s">
        <v>56</v>
      </c>
    </row>
    <row r="9" customFormat="false" ht="15" hidden="false" customHeight="false" outlineLevel="0" collapsed="false">
      <c r="A9" s="0" t="s">
        <v>66</v>
      </c>
      <c r="B9" s="0" t="s">
        <v>67</v>
      </c>
      <c r="C9" s="4" t="n">
        <v>0.083</v>
      </c>
      <c r="F9" s="0" t="s">
        <v>51</v>
      </c>
      <c r="G9" s="0" t="s">
        <v>68</v>
      </c>
      <c r="H9" s="0" t="s">
        <v>53</v>
      </c>
      <c r="I9" s="0" t="s">
        <v>54</v>
      </c>
      <c r="J9" s="0" t="s">
        <v>31</v>
      </c>
      <c r="K9" s="0" t="s">
        <v>55</v>
      </c>
      <c r="L9" s="0" t="s">
        <v>33</v>
      </c>
      <c r="M9" s="0" t="s">
        <v>56</v>
      </c>
    </row>
    <row r="10" customFormat="false" ht="15" hidden="false" customHeight="false" outlineLevel="0" collapsed="false">
      <c r="A10" s="0" t="s">
        <v>69</v>
      </c>
      <c r="B10" s="0" t="s">
        <v>70</v>
      </c>
      <c r="C10" s="4" t="n">
        <v>0.117</v>
      </c>
      <c r="D10" s="0" t="n">
        <v>0.104</v>
      </c>
      <c r="E10" s="0" t="n">
        <v>0.13</v>
      </c>
      <c r="F10" s="0" t="s">
        <v>71</v>
      </c>
      <c r="G10" s="0" t="s">
        <v>72</v>
      </c>
      <c r="H10" s="0" t="s">
        <v>73</v>
      </c>
      <c r="I10" s="0" t="s">
        <v>74</v>
      </c>
      <c r="J10" s="0" t="s">
        <v>75</v>
      </c>
      <c r="K10" s="0" t="s">
        <v>76</v>
      </c>
      <c r="L10" s="0" t="s">
        <v>33</v>
      </c>
      <c r="M10" s="0" t="s">
        <v>77</v>
      </c>
    </row>
    <row r="11" customFormat="false" ht="15" hidden="false" customHeight="false" outlineLevel="0" collapsed="false">
      <c r="A11" s="0" t="s">
        <v>78</v>
      </c>
      <c r="B11" s="0" t="s">
        <v>79</v>
      </c>
      <c r="C11" s="4" t="n">
        <v>0.085</v>
      </c>
      <c r="D11" s="0" t="n">
        <v>0.075</v>
      </c>
      <c r="E11" s="0" t="n">
        <v>0.096</v>
      </c>
      <c r="F11" s="0" t="s">
        <v>71</v>
      </c>
      <c r="G11" s="0" t="s">
        <v>80</v>
      </c>
      <c r="H11" s="0" t="s">
        <v>73</v>
      </c>
      <c r="I11" s="0" t="s">
        <v>74</v>
      </c>
      <c r="J11" s="0" t="s">
        <v>75</v>
      </c>
      <c r="K11" s="0" t="s">
        <v>76</v>
      </c>
      <c r="L11" s="0" t="s">
        <v>33</v>
      </c>
      <c r="M11" s="0" t="s">
        <v>77</v>
      </c>
    </row>
    <row r="12" customFormat="false" ht="15" hidden="false" customHeight="false" outlineLevel="0" collapsed="false">
      <c r="A12" s="0" t="s">
        <v>81</v>
      </c>
      <c r="B12" s="0" t="s">
        <v>82</v>
      </c>
      <c r="C12" s="4" t="n">
        <v>0.12</v>
      </c>
      <c r="D12" s="0" t="n">
        <v>0.109</v>
      </c>
      <c r="E12" s="0" t="n">
        <v>0.133</v>
      </c>
      <c r="F12" s="0" t="s">
        <v>71</v>
      </c>
      <c r="G12" s="0" t="s">
        <v>83</v>
      </c>
      <c r="H12" s="0" t="s">
        <v>73</v>
      </c>
      <c r="I12" s="0" t="s">
        <v>74</v>
      </c>
      <c r="J12" s="0" t="s">
        <v>75</v>
      </c>
      <c r="K12" s="0" t="s">
        <v>76</v>
      </c>
      <c r="L12" s="0" t="s">
        <v>33</v>
      </c>
      <c r="M12" s="0" t="s">
        <v>77</v>
      </c>
    </row>
    <row r="13" customFormat="false" ht="15" hidden="false" customHeight="false" outlineLevel="0" collapsed="false">
      <c r="A13" s="0" t="s">
        <v>84</v>
      </c>
      <c r="B13" s="0" t="s">
        <v>85</v>
      </c>
      <c r="C13" s="4" t="n">
        <v>0.116</v>
      </c>
      <c r="D13" s="0" t="n">
        <v>0.104</v>
      </c>
      <c r="E13" s="0" t="n">
        <v>0.129</v>
      </c>
      <c r="F13" s="0" t="s">
        <v>71</v>
      </c>
      <c r="G13" s="0" t="s">
        <v>86</v>
      </c>
      <c r="H13" s="0" t="s">
        <v>73</v>
      </c>
      <c r="I13" s="0" t="s">
        <v>74</v>
      </c>
      <c r="J13" s="0" t="s">
        <v>75</v>
      </c>
      <c r="K13" s="0" t="s">
        <v>76</v>
      </c>
      <c r="L13" s="0" t="s">
        <v>33</v>
      </c>
      <c r="M13" s="0" t="s">
        <v>77</v>
      </c>
    </row>
    <row r="14" customFormat="false" ht="15" hidden="false" customHeight="false" outlineLevel="0" collapsed="false">
      <c r="A14" s="0" t="s">
        <v>87</v>
      </c>
      <c r="B14" s="0" t="s">
        <v>88</v>
      </c>
      <c r="C14" s="4" t="n">
        <v>0.0592</v>
      </c>
      <c r="D14" s="0" t="n">
        <v>0.0272</v>
      </c>
      <c r="E14" s="0" t="n">
        <v>0.08</v>
      </c>
      <c r="F14" s="0" t="s">
        <v>71</v>
      </c>
      <c r="G14" s="0" t="s">
        <v>89</v>
      </c>
      <c r="H14" s="0" t="s">
        <v>90</v>
      </c>
      <c r="I14" s="0" t="s">
        <v>91</v>
      </c>
      <c r="J14" s="0" t="s">
        <v>92</v>
      </c>
      <c r="K14" s="0" t="s">
        <v>33</v>
      </c>
      <c r="L14" s="0" t="s">
        <v>33</v>
      </c>
      <c r="M14" s="0" t="s">
        <v>77</v>
      </c>
    </row>
    <row r="15" customFormat="false" ht="15" hidden="false" customHeight="false" outlineLevel="0" collapsed="false">
      <c r="A15" s="0" t="s">
        <v>93</v>
      </c>
      <c r="B15" s="0" t="s">
        <v>94</v>
      </c>
      <c r="C15" s="4" t="n">
        <v>0.0367</v>
      </c>
      <c r="D15" s="0" t="n">
        <v>0.02</v>
      </c>
      <c r="E15" s="0" t="n">
        <v>0.048</v>
      </c>
      <c r="F15" s="0" t="s">
        <v>71</v>
      </c>
      <c r="G15" s="0" t="s">
        <v>95</v>
      </c>
      <c r="H15" s="0" t="s">
        <v>90</v>
      </c>
      <c r="I15" s="0" t="s">
        <v>91</v>
      </c>
      <c r="J15" s="0" t="s">
        <v>92</v>
      </c>
      <c r="K15" s="0" t="s">
        <v>33</v>
      </c>
      <c r="L15" s="0" t="s">
        <v>33</v>
      </c>
      <c r="M15" s="0" t="s">
        <v>77</v>
      </c>
    </row>
    <row r="16" customFormat="false" ht="15" hidden="false" customHeight="false" outlineLevel="0" collapsed="false">
      <c r="A16" s="0" t="s">
        <v>96</v>
      </c>
      <c r="B16" s="0" t="s">
        <v>97</v>
      </c>
      <c r="C16" s="4" t="n">
        <v>0.0215</v>
      </c>
      <c r="D16" s="0" t="n">
        <v>0.0131</v>
      </c>
      <c r="E16" s="0" t="n">
        <v>0.0681</v>
      </c>
      <c r="F16" s="0" t="s">
        <v>71</v>
      </c>
      <c r="G16" s="0" t="s">
        <v>98</v>
      </c>
      <c r="H16" s="0" t="s">
        <v>90</v>
      </c>
      <c r="I16" s="0" t="s">
        <v>91</v>
      </c>
      <c r="J16" s="0" t="s">
        <v>92</v>
      </c>
      <c r="K16" s="0" t="s">
        <v>33</v>
      </c>
      <c r="L16" s="0" t="s">
        <v>33</v>
      </c>
      <c r="M16" s="0" t="s">
        <v>77</v>
      </c>
    </row>
    <row r="17" customFormat="false" ht="15" hidden="false" customHeight="false" outlineLevel="0" collapsed="false">
      <c r="A17" s="0" t="s">
        <v>99</v>
      </c>
      <c r="B17" s="0" t="s">
        <v>100</v>
      </c>
      <c r="C17" s="4" t="n">
        <v>0.0418</v>
      </c>
      <c r="D17" s="0" t="n">
        <v>0.0376</v>
      </c>
      <c r="E17" s="0" t="n">
        <v>0.046</v>
      </c>
      <c r="F17" s="0" t="s">
        <v>71</v>
      </c>
      <c r="G17" s="0" t="s">
        <v>101</v>
      </c>
      <c r="H17" s="0" t="s">
        <v>90</v>
      </c>
      <c r="I17" s="0" t="s">
        <v>91</v>
      </c>
      <c r="J17" s="0" t="s">
        <v>92</v>
      </c>
      <c r="K17" s="0" t="s">
        <v>33</v>
      </c>
      <c r="L17" s="0" t="s">
        <v>33</v>
      </c>
      <c r="M17" s="0" t="s">
        <v>77</v>
      </c>
    </row>
    <row r="18" customFormat="false" ht="15" hidden="false" customHeight="false" outlineLevel="0" collapsed="false">
      <c r="A18" s="0" t="s">
        <v>102</v>
      </c>
      <c r="B18" s="0" t="s">
        <v>103</v>
      </c>
      <c r="C18" s="4" t="n">
        <v>0.1081</v>
      </c>
      <c r="D18" s="0" t="n">
        <v>0.0934</v>
      </c>
      <c r="E18" s="0" t="n">
        <v>0.1228</v>
      </c>
      <c r="F18" s="0" t="s">
        <v>71</v>
      </c>
      <c r="G18" s="0" t="s">
        <v>104</v>
      </c>
      <c r="H18" s="0" t="s">
        <v>90</v>
      </c>
      <c r="I18" s="0" t="s">
        <v>91</v>
      </c>
      <c r="J18" s="0" t="s">
        <v>92</v>
      </c>
      <c r="K18" s="0" t="s">
        <v>33</v>
      </c>
      <c r="L18" s="0" t="s">
        <v>33</v>
      </c>
      <c r="M18" s="0" t="s">
        <v>77</v>
      </c>
    </row>
    <row r="19" customFormat="false" ht="15" hidden="false" customHeight="false" outlineLevel="0" collapsed="false">
      <c r="A19" s="0" t="s">
        <v>105</v>
      </c>
      <c r="B19" s="0" t="s">
        <v>106</v>
      </c>
      <c r="C19" s="4" t="n">
        <v>0.2715</v>
      </c>
      <c r="D19" s="0" t="n">
        <v>0.257</v>
      </c>
      <c r="E19" s="0" t="n">
        <v>0.286</v>
      </c>
      <c r="F19" s="0" t="s">
        <v>71</v>
      </c>
      <c r="G19" s="0" t="s">
        <v>107</v>
      </c>
      <c r="H19" s="0" t="s">
        <v>90</v>
      </c>
      <c r="I19" s="0" t="s">
        <v>91</v>
      </c>
      <c r="J19" s="0" t="s">
        <v>92</v>
      </c>
      <c r="K19" s="0" t="s">
        <v>33</v>
      </c>
      <c r="L19" s="0" t="s">
        <v>33</v>
      </c>
      <c r="M19" s="0" t="s">
        <v>77</v>
      </c>
    </row>
    <row r="20" customFormat="false" ht="15" hidden="false" customHeight="false" outlineLevel="0" collapsed="false">
      <c r="A20" s="0" t="s">
        <v>108</v>
      </c>
      <c r="B20" s="0" t="s">
        <v>109</v>
      </c>
      <c r="C20" s="4" t="n">
        <v>0.0093</v>
      </c>
      <c r="D20" s="0" t="n">
        <v>0.0084</v>
      </c>
      <c r="E20" s="0" t="n">
        <v>0.0103</v>
      </c>
      <c r="F20" s="0" t="s">
        <v>71</v>
      </c>
      <c r="G20" s="0" t="s">
        <v>110</v>
      </c>
      <c r="H20" s="0" t="s">
        <v>90</v>
      </c>
      <c r="I20" s="0" t="s">
        <v>91</v>
      </c>
      <c r="J20" s="0" t="s">
        <v>92</v>
      </c>
      <c r="K20" s="0" t="s">
        <v>33</v>
      </c>
      <c r="L20" s="0" t="s">
        <v>33</v>
      </c>
      <c r="M20" s="0" t="s">
        <v>77</v>
      </c>
    </row>
    <row r="21" customFormat="false" ht="15" hidden="false" customHeight="false" outlineLevel="0" collapsed="false">
      <c r="A21" s="0" t="s">
        <v>111</v>
      </c>
      <c r="B21" s="0" t="s">
        <v>112</v>
      </c>
      <c r="C21" s="4" t="n">
        <v>0.18</v>
      </c>
      <c r="D21" s="0" t="n">
        <v>0.175</v>
      </c>
      <c r="E21" s="0" t="n">
        <v>0.185</v>
      </c>
      <c r="F21" s="0" t="s">
        <v>71</v>
      </c>
      <c r="G21" s="0" t="s">
        <v>113</v>
      </c>
      <c r="H21" s="0" t="s">
        <v>90</v>
      </c>
      <c r="I21" s="0" t="s">
        <v>91</v>
      </c>
      <c r="J21" s="0" t="s">
        <v>92</v>
      </c>
      <c r="K21" s="0" t="s">
        <v>33</v>
      </c>
      <c r="L21" s="0" t="s">
        <v>33</v>
      </c>
      <c r="M21" s="0" t="s">
        <v>77</v>
      </c>
    </row>
    <row r="22" customFormat="false" ht="15" hidden="false" customHeight="false" outlineLevel="0" collapsed="false">
      <c r="A22" s="0" t="s">
        <v>114</v>
      </c>
      <c r="B22" s="0" t="s">
        <v>115</v>
      </c>
      <c r="C22" s="4" t="n">
        <v>0.04572</v>
      </c>
      <c r="D22" s="0" t="n">
        <v>0.0432</v>
      </c>
      <c r="E22" s="0" t="n">
        <v>0.0483</v>
      </c>
      <c r="F22" s="0" t="s">
        <v>71</v>
      </c>
      <c r="G22" s="0" t="s">
        <v>116</v>
      </c>
      <c r="H22" s="0" t="s">
        <v>90</v>
      </c>
      <c r="I22" s="0" t="s">
        <v>91</v>
      </c>
      <c r="J22" s="0" t="s">
        <v>92</v>
      </c>
      <c r="K22" s="0" t="s">
        <v>33</v>
      </c>
      <c r="L22" s="0" t="s">
        <v>33</v>
      </c>
      <c r="M22" s="0" t="s">
        <v>77</v>
      </c>
    </row>
    <row r="23" customFormat="false" ht="15" hidden="false" customHeight="false" outlineLevel="0" collapsed="false">
      <c r="A23" s="0" t="s">
        <v>117</v>
      </c>
      <c r="B23" s="0" t="s">
        <v>118</v>
      </c>
      <c r="C23" s="4" t="n">
        <v>0.0125</v>
      </c>
      <c r="D23" s="0" t="n">
        <v>0.003</v>
      </c>
      <c r="E23" s="0" t="n">
        <v>0.026</v>
      </c>
      <c r="F23" s="0" t="s">
        <v>71</v>
      </c>
      <c r="G23" s="0" t="s">
        <v>119</v>
      </c>
      <c r="H23" s="0" t="s">
        <v>90</v>
      </c>
      <c r="I23" s="0" t="s">
        <v>91</v>
      </c>
      <c r="J23" s="0" t="s">
        <v>92</v>
      </c>
      <c r="K23" s="0" t="s">
        <v>33</v>
      </c>
      <c r="L23" s="0" t="s">
        <v>33</v>
      </c>
      <c r="M23" s="0" t="s">
        <v>77</v>
      </c>
    </row>
    <row r="24" customFormat="false" ht="15" hidden="false" customHeight="false" outlineLevel="0" collapsed="false">
      <c r="A24" s="0" t="s">
        <v>120</v>
      </c>
      <c r="B24" s="0" t="s">
        <v>121</v>
      </c>
      <c r="C24" s="4" t="n">
        <v>0.0115</v>
      </c>
      <c r="D24" s="0" t="n">
        <v>0.0048</v>
      </c>
      <c r="E24" s="0" t="n">
        <v>0.0201</v>
      </c>
      <c r="F24" s="0" t="s">
        <v>71</v>
      </c>
      <c r="G24" s="0" t="s">
        <v>122</v>
      </c>
      <c r="H24" s="0" t="s">
        <v>90</v>
      </c>
      <c r="I24" s="0" t="s">
        <v>91</v>
      </c>
      <c r="J24" s="0" t="s">
        <v>92</v>
      </c>
      <c r="K24" s="0" t="s">
        <v>123</v>
      </c>
      <c r="L24" s="0" t="s">
        <v>33</v>
      </c>
      <c r="M24" s="0" t="s">
        <v>77</v>
      </c>
    </row>
    <row r="25" customFormat="false" ht="15" hidden="false" customHeight="false" outlineLevel="0" collapsed="false">
      <c r="A25" s="0" t="s">
        <v>124</v>
      </c>
      <c r="B25" s="0" t="s">
        <v>125</v>
      </c>
      <c r="C25" s="4" t="n">
        <v>0.97</v>
      </c>
      <c r="D25" s="0" t="n">
        <v>0.95</v>
      </c>
      <c r="E25" s="0" t="n">
        <v>0.99</v>
      </c>
      <c r="F25" s="0" t="s">
        <v>71</v>
      </c>
      <c r="G25" s="0" t="s">
        <v>126</v>
      </c>
      <c r="H25" s="0" t="s">
        <v>127</v>
      </c>
      <c r="I25" s="0" t="s">
        <v>91</v>
      </c>
      <c r="J25" s="0" t="s">
        <v>31</v>
      </c>
      <c r="K25" s="0" t="s">
        <v>128</v>
      </c>
      <c r="L25" s="0" t="s">
        <v>129</v>
      </c>
      <c r="M25" s="0" t="s">
        <v>56</v>
      </c>
    </row>
    <row r="26" customFormat="false" ht="15" hidden="false" customHeight="false" outlineLevel="0" collapsed="false">
      <c r="A26" s="0" t="s">
        <v>130</v>
      </c>
      <c r="B26" s="0" t="s">
        <v>131</v>
      </c>
      <c r="C26" s="4" t="n">
        <v>0.715</v>
      </c>
      <c r="D26" s="0" t="n">
        <v>0.67</v>
      </c>
      <c r="E26" s="0" t="n">
        <v>0.76</v>
      </c>
      <c r="F26" s="0" t="s">
        <v>71</v>
      </c>
      <c r="G26" s="0" t="s">
        <v>132</v>
      </c>
      <c r="H26" s="0" t="s">
        <v>133</v>
      </c>
      <c r="I26" s="0" t="s">
        <v>91</v>
      </c>
      <c r="J26" s="0" t="s">
        <v>31</v>
      </c>
      <c r="K26" s="0" t="s">
        <v>33</v>
      </c>
      <c r="L26" s="0" t="s">
        <v>33</v>
      </c>
      <c r="M26" s="0" t="s">
        <v>134</v>
      </c>
    </row>
    <row r="27" customFormat="false" ht="15" hidden="false" customHeight="false" outlineLevel="0" collapsed="false">
      <c r="A27" s="0" t="s">
        <v>135</v>
      </c>
      <c r="B27" s="0" t="s">
        <v>136</v>
      </c>
      <c r="C27" s="4" t="n">
        <v>0.55</v>
      </c>
      <c r="D27" s="0" t="n">
        <v>0.445</v>
      </c>
      <c r="E27" s="0" t="n">
        <v>0.655</v>
      </c>
      <c r="F27" s="0" t="s">
        <v>71</v>
      </c>
      <c r="G27" s="0" t="s">
        <v>137</v>
      </c>
      <c r="H27" s="0" t="s">
        <v>133</v>
      </c>
      <c r="I27" s="0" t="s">
        <v>91</v>
      </c>
      <c r="J27" s="0" t="s">
        <v>31</v>
      </c>
      <c r="K27" s="0" t="s">
        <v>33</v>
      </c>
      <c r="L27" s="0" t="s">
        <v>33</v>
      </c>
      <c r="M27" s="0" t="s">
        <v>134</v>
      </c>
    </row>
    <row r="28" customFormat="false" ht="15" hidden="false" customHeight="false" outlineLevel="0" collapsed="false">
      <c r="A28" s="0" t="s">
        <v>138</v>
      </c>
      <c r="B28" s="0" t="s">
        <v>139</v>
      </c>
      <c r="C28" s="4" t="n">
        <v>0.45</v>
      </c>
      <c r="D28" s="0" t="n">
        <v>0.391</v>
      </c>
      <c r="E28" s="0" t="n">
        <v>0.509</v>
      </c>
      <c r="F28" s="0" t="s">
        <v>71</v>
      </c>
      <c r="G28" s="0" t="s">
        <v>140</v>
      </c>
      <c r="H28" s="0" t="s">
        <v>133</v>
      </c>
      <c r="I28" s="0" t="s">
        <v>91</v>
      </c>
      <c r="J28" s="0" t="s">
        <v>31</v>
      </c>
      <c r="K28" s="0" t="s">
        <v>141</v>
      </c>
      <c r="L28" s="0" t="s">
        <v>33</v>
      </c>
      <c r="M28" s="0" t="s">
        <v>134</v>
      </c>
    </row>
    <row r="29" customFormat="false" ht="15" hidden="false" customHeight="false" outlineLevel="0" collapsed="false">
      <c r="A29" s="0" t="s">
        <v>142</v>
      </c>
      <c r="B29" s="0" t="s">
        <v>143</v>
      </c>
      <c r="C29" s="4" t="n">
        <v>0.45</v>
      </c>
      <c r="D29" s="0" t="n">
        <v>0.391</v>
      </c>
      <c r="E29" s="0" t="n">
        <v>0.509</v>
      </c>
      <c r="F29" s="0" t="s">
        <v>71</v>
      </c>
      <c r="G29" s="0" t="s">
        <v>140</v>
      </c>
      <c r="H29" s="0" t="s">
        <v>133</v>
      </c>
      <c r="I29" s="0" t="s">
        <v>91</v>
      </c>
      <c r="J29" s="0" t="s">
        <v>31</v>
      </c>
      <c r="K29" s="0" t="s">
        <v>141</v>
      </c>
      <c r="L29" s="0" t="s">
        <v>33</v>
      </c>
      <c r="M29" s="0" t="s">
        <v>134</v>
      </c>
    </row>
    <row r="30" customFormat="false" ht="15" hidden="false" customHeight="false" outlineLevel="0" collapsed="false">
      <c r="A30" s="0" t="s">
        <v>144</v>
      </c>
      <c r="B30" s="0" t="s">
        <v>145</v>
      </c>
      <c r="C30" s="4" t="n">
        <v>0.45</v>
      </c>
      <c r="D30" s="0" t="n">
        <v>0.391</v>
      </c>
      <c r="E30" s="0" t="n">
        <v>0.509</v>
      </c>
      <c r="F30" s="0" t="s">
        <v>71</v>
      </c>
      <c r="G30" s="0" t="s">
        <v>140</v>
      </c>
      <c r="H30" s="0" t="s">
        <v>133</v>
      </c>
      <c r="I30" s="0" t="s">
        <v>91</v>
      </c>
      <c r="J30" s="0" t="s">
        <v>31</v>
      </c>
      <c r="K30" s="0" t="s">
        <v>141</v>
      </c>
      <c r="L30" s="0" t="s">
        <v>33</v>
      </c>
      <c r="M30" s="0" t="s">
        <v>134</v>
      </c>
    </row>
    <row r="31" customFormat="false" ht="15" hidden="false" customHeight="false" outlineLevel="0" collapsed="false">
      <c r="A31" s="0" t="s">
        <v>146</v>
      </c>
      <c r="B31" s="0" t="s">
        <v>147</v>
      </c>
      <c r="C31" s="4" t="n">
        <v>0.67</v>
      </c>
      <c r="D31" s="0" t="n">
        <v>0.541</v>
      </c>
      <c r="E31" s="0" t="n">
        <v>0.799</v>
      </c>
      <c r="F31" s="0" t="s">
        <v>71</v>
      </c>
      <c r="G31" s="0" t="s">
        <v>148</v>
      </c>
      <c r="H31" s="0" t="s">
        <v>133</v>
      </c>
      <c r="I31" s="0" t="s">
        <v>91</v>
      </c>
      <c r="J31" s="0" t="s">
        <v>31</v>
      </c>
      <c r="K31" s="0" t="s">
        <v>33</v>
      </c>
      <c r="L31" s="0" t="s">
        <v>33</v>
      </c>
      <c r="M31" s="0" t="s">
        <v>134</v>
      </c>
    </row>
    <row r="32" customFormat="false" ht="15" hidden="false" customHeight="false" outlineLevel="0" collapsed="false">
      <c r="A32" s="0" t="s">
        <v>149</v>
      </c>
      <c r="B32" s="0" t="s">
        <v>150</v>
      </c>
      <c r="C32" s="4" t="n">
        <v>0.055</v>
      </c>
      <c r="D32" s="0" t="n">
        <v>0.044</v>
      </c>
      <c r="E32" s="0" t="n">
        <v>0.066</v>
      </c>
      <c r="F32" s="0" t="s">
        <v>151</v>
      </c>
      <c r="G32" s="0" t="s">
        <v>152</v>
      </c>
      <c r="H32" s="0" t="s">
        <v>90</v>
      </c>
      <c r="I32" s="0" t="s">
        <v>91</v>
      </c>
      <c r="J32" s="0" t="s">
        <v>31</v>
      </c>
      <c r="K32" s="0" t="s">
        <v>33</v>
      </c>
      <c r="L32" s="0" t="s">
        <v>33</v>
      </c>
      <c r="M32" s="0" t="s">
        <v>134</v>
      </c>
    </row>
    <row r="33" customFormat="false" ht="15" hidden="false" customHeight="false" outlineLevel="0" collapsed="false">
      <c r="A33" s="0" t="s">
        <v>153</v>
      </c>
      <c r="B33" s="0" t="s">
        <v>154</v>
      </c>
      <c r="C33" s="4" t="n">
        <v>1.57588127194927</v>
      </c>
      <c r="F33" s="0" t="s">
        <v>155</v>
      </c>
      <c r="G33" s="0" t="s">
        <v>33</v>
      </c>
      <c r="H33" s="0" t="s">
        <v>156</v>
      </c>
      <c r="I33" s="0" t="s">
        <v>157</v>
      </c>
      <c r="J33" s="0" t="s">
        <v>41</v>
      </c>
      <c r="K33" s="0" t="s">
        <v>158</v>
      </c>
      <c r="L33" s="0" t="s">
        <v>33</v>
      </c>
      <c r="M33" s="0" t="s">
        <v>159</v>
      </c>
    </row>
    <row r="34" customFormat="false" ht="15" hidden="false" customHeight="false" outlineLevel="0" collapsed="false">
      <c r="A34" s="0" t="s">
        <v>160</v>
      </c>
      <c r="B34" s="0" t="s">
        <v>161</v>
      </c>
      <c r="C34" s="4" t="n">
        <v>2960.24569291855</v>
      </c>
      <c r="D34" s="0" t="n">
        <v>2368.2</v>
      </c>
      <c r="E34" s="0" t="n">
        <v>3552.29</v>
      </c>
      <c r="F34" s="0" t="s">
        <v>151</v>
      </c>
      <c r="G34" s="0" t="s">
        <v>162</v>
      </c>
      <c r="H34" s="0" t="s">
        <v>163</v>
      </c>
      <c r="I34" s="0" t="s">
        <v>164</v>
      </c>
      <c r="J34" s="0" t="s">
        <v>41</v>
      </c>
      <c r="K34" s="0" t="s">
        <v>165</v>
      </c>
      <c r="L34" s="0" t="s">
        <v>129</v>
      </c>
      <c r="M34" s="0" t="s">
        <v>166</v>
      </c>
    </row>
    <row r="35" customFormat="false" ht="15" hidden="false" customHeight="false" outlineLevel="0" collapsed="false">
      <c r="A35" s="0" t="s">
        <v>167</v>
      </c>
      <c r="B35" s="0" t="s">
        <v>168</v>
      </c>
      <c r="C35" s="4" t="n">
        <v>612.592326844841</v>
      </c>
      <c r="D35" s="0" t="n">
        <v>490.07</v>
      </c>
      <c r="E35" s="0" t="n">
        <v>735.11</v>
      </c>
      <c r="F35" s="0" t="s">
        <v>151</v>
      </c>
      <c r="G35" s="0" t="s">
        <v>169</v>
      </c>
      <c r="H35" s="0" t="s">
        <v>163</v>
      </c>
      <c r="I35" s="0" t="s">
        <v>164</v>
      </c>
      <c r="J35" s="0" t="s">
        <v>41</v>
      </c>
      <c r="K35" s="0" t="s">
        <v>170</v>
      </c>
      <c r="L35" s="0" t="s">
        <v>129</v>
      </c>
      <c r="M35" s="0" t="s">
        <v>166</v>
      </c>
    </row>
    <row r="36" customFormat="false" ht="15" hidden="false" customHeight="false" outlineLevel="0" collapsed="false">
      <c r="A36" s="0" t="s">
        <v>171</v>
      </c>
      <c r="B36" s="0" t="s">
        <v>172</v>
      </c>
      <c r="C36" s="4" t="n">
        <v>5415.46871461552</v>
      </c>
      <c r="D36" s="0" t="n">
        <v>4332.37</v>
      </c>
      <c r="E36" s="0" t="n">
        <v>6498.56</v>
      </c>
      <c r="F36" s="0" t="s">
        <v>151</v>
      </c>
      <c r="G36" s="0" t="s">
        <v>173</v>
      </c>
      <c r="H36" s="0" t="s">
        <v>163</v>
      </c>
      <c r="I36" s="0" t="s">
        <v>164</v>
      </c>
      <c r="J36" s="0" t="s">
        <v>41</v>
      </c>
      <c r="K36" s="0" t="s">
        <v>174</v>
      </c>
      <c r="L36" s="0" t="s">
        <v>129</v>
      </c>
      <c r="M36" s="0" t="s">
        <v>166</v>
      </c>
    </row>
    <row r="37" customFormat="false" ht="15" hidden="false" customHeight="false" outlineLevel="0" collapsed="false">
      <c r="A37" s="0" t="s">
        <v>175</v>
      </c>
      <c r="B37" s="0" t="s">
        <v>176</v>
      </c>
      <c r="C37" s="4" t="n">
        <v>2738.06219238642</v>
      </c>
      <c r="D37" s="0" t="n">
        <v>2190.45</v>
      </c>
      <c r="E37" s="0" t="n">
        <v>3285.67</v>
      </c>
      <c r="F37" s="0" t="s">
        <v>151</v>
      </c>
      <c r="G37" s="0" t="s">
        <v>177</v>
      </c>
      <c r="H37" s="0" t="s">
        <v>163</v>
      </c>
      <c r="I37" s="0" t="s">
        <v>164</v>
      </c>
      <c r="J37" s="0" t="s">
        <v>41</v>
      </c>
      <c r="K37" s="0" t="s">
        <v>178</v>
      </c>
      <c r="L37" s="0" t="s">
        <v>129</v>
      </c>
      <c r="M37" s="0" t="s">
        <v>166</v>
      </c>
    </row>
    <row r="38" customFormat="false" ht="15" hidden="false" customHeight="false" outlineLevel="0" collapsed="false">
      <c r="A38" s="0" t="s">
        <v>179</v>
      </c>
      <c r="B38" s="0" t="s">
        <v>180</v>
      </c>
      <c r="C38" s="4" t="n">
        <v>18064.8313023615</v>
      </c>
      <c r="D38" s="0" t="n">
        <v>14451.87</v>
      </c>
      <c r="E38" s="0" t="n">
        <v>21677.8</v>
      </c>
      <c r="F38" s="0" t="s">
        <v>151</v>
      </c>
      <c r="G38" s="0" t="s">
        <v>181</v>
      </c>
      <c r="H38" s="0" t="s">
        <v>163</v>
      </c>
      <c r="I38" s="0" t="s">
        <v>164</v>
      </c>
      <c r="J38" s="0" t="s">
        <v>41</v>
      </c>
      <c r="K38" s="0" t="s">
        <v>182</v>
      </c>
      <c r="L38" s="0" t="s">
        <v>129</v>
      </c>
      <c r="M38" s="0" t="s">
        <v>166</v>
      </c>
    </row>
    <row r="39" customFormat="false" ht="15" hidden="false" customHeight="false" outlineLevel="0" collapsed="false">
      <c r="A39" s="0" t="s">
        <v>183</v>
      </c>
      <c r="B39" s="0" t="s">
        <v>184</v>
      </c>
      <c r="C39" s="4" t="n">
        <v>62879.8847433695</v>
      </c>
      <c r="D39" s="0" t="n">
        <v>50303.91</v>
      </c>
      <c r="E39" s="0" t="n">
        <v>75455.86</v>
      </c>
      <c r="F39" s="0" t="s">
        <v>151</v>
      </c>
      <c r="G39" s="0" t="s">
        <v>185</v>
      </c>
      <c r="H39" s="0" t="s">
        <v>163</v>
      </c>
      <c r="I39" s="0" t="s">
        <v>164</v>
      </c>
      <c r="J39" s="0" t="s">
        <v>41</v>
      </c>
      <c r="K39" s="0" t="s">
        <v>186</v>
      </c>
      <c r="L39" s="0" t="s">
        <v>129</v>
      </c>
      <c r="M39" s="0" t="s">
        <v>166</v>
      </c>
    </row>
    <row r="40" customFormat="false" ht="15" hidden="false" customHeight="false" outlineLevel="0" collapsed="false">
      <c r="A40" s="0" t="s">
        <v>187</v>
      </c>
      <c r="B40" s="0" t="s">
        <v>188</v>
      </c>
      <c r="C40" s="4" t="n">
        <v>342818.346534361</v>
      </c>
      <c r="D40" s="0" t="n">
        <v>274254.68</v>
      </c>
      <c r="E40" s="0" t="n">
        <v>411382.02</v>
      </c>
      <c r="F40" s="0" t="s">
        <v>151</v>
      </c>
      <c r="G40" s="0" t="s">
        <v>189</v>
      </c>
      <c r="H40" s="0" t="s">
        <v>163</v>
      </c>
      <c r="I40" s="0" t="s">
        <v>164</v>
      </c>
      <c r="J40" s="0" t="s">
        <v>41</v>
      </c>
      <c r="K40" s="0" t="s">
        <v>190</v>
      </c>
      <c r="L40" s="0" t="s">
        <v>129</v>
      </c>
      <c r="M40" s="0" t="s">
        <v>166</v>
      </c>
    </row>
    <row r="41" customFormat="false" ht="15" hidden="false" customHeight="false" outlineLevel="0" collapsed="false">
      <c r="A41" s="0" t="s">
        <v>191</v>
      </c>
      <c r="B41" s="0" t="s">
        <v>192</v>
      </c>
      <c r="C41" s="4" t="n">
        <v>31787.8102830612</v>
      </c>
      <c r="D41" s="0" t="n">
        <v>25430.25</v>
      </c>
      <c r="E41" s="0" t="n">
        <v>38145.37</v>
      </c>
      <c r="F41" s="0" t="s">
        <v>151</v>
      </c>
      <c r="G41" s="0" t="s">
        <v>193</v>
      </c>
      <c r="H41" s="0" t="s">
        <v>163</v>
      </c>
      <c r="I41" s="0" t="s">
        <v>164</v>
      </c>
      <c r="J41" s="0" t="s">
        <v>41</v>
      </c>
      <c r="K41" s="0" t="s">
        <v>194</v>
      </c>
      <c r="L41" s="0" t="s">
        <v>129</v>
      </c>
      <c r="M41" s="0" t="s">
        <v>166</v>
      </c>
    </row>
    <row r="42" customFormat="false" ht="15" hidden="false" customHeight="false" outlineLevel="0" collapsed="false">
      <c r="A42" s="0" t="s">
        <v>195</v>
      </c>
      <c r="B42" s="0" t="s">
        <v>196</v>
      </c>
      <c r="C42" s="4" t="n">
        <v>22760</v>
      </c>
      <c r="D42" s="0" t="n">
        <v>17366</v>
      </c>
      <c r="E42" s="0" t="n">
        <v>29829</v>
      </c>
      <c r="F42" s="0" t="s">
        <v>197</v>
      </c>
      <c r="G42" s="0" t="s">
        <v>198</v>
      </c>
      <c r="H42" s="0" t="s">
        <v>199</v>
      </c>
      <c r="I42" s="0" t="s">
        <v>200</v>
      </c>
      <c r="J42" s="0" t="s">
        <v>31</v>
      </c>
      <c r="K42" s="0" t="s">
        <v>201</v>
      </c>
      <c r="L42" s="0" t="s">
        <v>129</v>
      </c>
      <c r="M42" s="0" t="s">
        <v>202</v>
      </c>
    </row>
    <row r="43" customFormat="false" ht="15" hidden="false" customHeight="false" outlineLevel="0" collapsed="false">
      <c r="A43" s="0" t="s">
        <v>203</v>
      </c>
      <c r="B43" s="0" t="s">
        <v>204</v>
      </c>
      <c r="C43" s="4" t="n">
        <v>5765.12988618054</v>
      </c>
      <c r="D43" s="0" t="n">
        <v>3731.52</v>
      </c>
      <c r="E43" s="0" t="n">
        <v>6918.16</v>
      </c>
      <c r="F43" s="0" t="s">
        <v>151</v>
      </c>
      <c r="G43" s="0" t="s">
        <v>205</v>
      </c>
      <c r="H43" s="0" t="s">
        <v>206</v>
      </c>
      <c r="I43" s="0" t="s">
        <v>207</v>
      </c>
      <c r="J43" s="0" t="s">
        <v>41</v>
      </c>
      <c r="K43" s="0" t="s">
        <v>208</v>
      </c>
      <c r="L43" s="0" t="s">
        <v>129</v>
      </c>
      <c r="M43" s="0" t="s">
        <v>202</v>
      </c>
    </row>
    <row r="44" customFormat="false" ht="15" hidden="false" customHeight="false" outlineLevel="0" collapsed="false">
      <c r="A44" s="0" t="s">
        <v>209</v>
      </c>
      <c r="B44" s="0" t="s">
        <v>210</v>
      </c>
      <c r="C44" s="4" t="n">
        <v>46.2</v>
      </c>
      <c r="D44" s="0" t="n">
        <v>40</v>
      </c>
      <c r="E44" s="0" t="n">
        <v>57</v>
      </c>
      <c r="F44" s="0" t="s">
        <v>155</v>
      </c>
      <c r="G44" s="0" t="s">
        <v>33</v>
      </c>
      <c r="H44" s="0" t="s">
        <v>211</v>
      </c>
      <c r="I44" s="0" t="s">
        <v>157</v>
      </c>
      <c r="J44" s="0" t="s">
        <v>31</v>
      </c>
      <c r="K44" s="0" t="s">
        <v>33</v>
      </c>
      <c r="L44" s="0" t="s">
        <v>129</v>
      </c>
      <c r="M44" s="0" t="s">
        <v>212</v>
      </c>
    </row>
    <row r="45" customFormat="false" ht="15" hidden="false" customHeight="false" outlineLevel="0" collapsed="false">
      <c r="A45" s="0" t="s">
        <v>213</v>
      </c>
      <c r="B45" s="0" t="s">
        <v>214</v>
      </c>
      <c r="C45" s="4" t="n">
        <v>180</v>
      </c>
      <c r="D45" s="0" t="n">
        <v>150</v>
      </c>
      <c r="E45" s="0" t="n">
        <v>235</v>
      </c>
      <c r="F45" s="0" t="s">
        <v>155</v>
      </c>
      <c r="G45" s="0" t="s">
        <v>33</v>
      </c>
      <c r="H45" s="0" t="s">
        <v>215</v>
      </c>
      <c r="I45" s="0" t="s">
        <v>40</v>
      </c>
      <c r="J45" s="0" t="s">
        <v>216</v>
      </c>
      <c r="K45" s="0" t="s">
        <v>217</v>
      </c>
      <c r="L45" s="0" t="s">
        <v>129</v>
      </c>
      <c r="M45" s="0" t="s">
        <v>212</v>
      </c>
    </row>
    <row r="46" customFormat="false" ht="15" hidden="false" customHeight="false" outlineLevel="0" collapsed="false">
      <c r="A46" s="0" t="s">
        <v>218</v>
      </c>
      <c r="B46" s="0" t="s">
        <v>219</v>
      </c>
      <c r="C46" s="4" t="n">
        <v>0.005</v>
      </c>
      <c r="D46" s="0" t="n">
        <v>0.004</v>
      </c>
      <c r="E46" s="0" t="n">
        <v>0.007</v>
      </c>
      <c r="F46" s="0" t="s">
        <v>71</v>
      </c>
      <c r="G46" s="0" t="s">
        <v>220</v>
      </c>
      <c r="H46" s="0" t="s">
        <v>221</v>
      </c>
      <c r="I46" s="0" t="s">
        <v>222</v>
      </c>
      <c r="J46" s="0" t="s">
        <v>31</v>
      </c>
      <c r="K46" s="0" t="s">
        <v>33</v>
      </c>
      <c r="L46" s="0" t="s">
        <v>33</v>
      </c>
      <c r="M46" s="0" t="s">
        <v>56</v>
      </c>
    </row>
    <row r="47" customFormat="false" ht="15" hidden="false" customHeight="false" outlineLevel="0" collapsed="false">
      <c r="A47" s="0" t="s">
        <v>223</v>
      </c>
      <c r="B47" s="0" t="s">
        <v>224</v>
      </c>
      <c r="C47" s="4" t="n">
        <v>0.4</v>
      </c>
      <c r="D47" s="0" t="n">
        <v>0.35</v>
      </c>
      <c r="E47" s="0" t="n">
        <v>0.5</v>
      </c>
      <c r="F47" s="0" t="s">
        <v>71</v>
      </c>
      <c r="G47" s="0" t="s">
        <v>225</v>
      </c>
      <c r="H47" s="0" t="s">
        <v>226</v>
      </c>
      <c r="I47" s="0" t="s">
        <v>222</v>
      </c>
      <c r="J47" s="0" t="s">
        <v>31</v>
      </c>
      <c r="K47" s="0" t="s">
        <v>33</v>
      </c>
      <c r="L47" s="0" t="s">
        <v>33</v>
      </c>
      <c r="M47" s="0" t="s">
        <v>56</v>
      </c>
    </row>
    <row r="48" customFormat="false" ht="15" hidden="false" customHeight="false" outlineLevel="0" collapsed="false">
      <c r="A48" s="0" t="s">
        <v>227</v>
      </c>
      <c r="B48" s="0" t="s">
        <v>228</v>
      </c>
      <c r="C48" s="4" t="n">
        <v>0.312</v>
      </c>
      <c r="F48" s="0" t="s">
        <v>155</v>
      </c>
      <c r="G48" s="0" t="s">
        <v>33</v>
      </c>
      <c r="H48" s="0" t="s">
        <v>229</v>
      </c>
      <c r="I48" s="0" t="s">
        <v>230</v>
      </c>
      <c r="J48" s="0" t="s">
        <v>31</v>
      </c>
      <c r="K48" s="0" t="s">
        <v>231</v>
      </c>
      <c r="L48" s="0" t="s">
        <v>232</v>
      </c>
      <c r="M48" s="0" t="s">
        <v>56</v>
      </c>
    </row>
    <row r="49" customFormat="false" ht="15" hidden="false" customHeight="false" outlineLevel="0" collapsed="false">
      <c r="A49" s="0" t="s">
        <v>233</v>
      </c>
      <c r="B49" s="0" t="s">
        <v>234</v>
      </c>
      <c r="C49" s="4" t="n">
        <v>0.5</v>
      </c>
      <c r="D49" s="0" t="n">
        <v>0.4</v>
      </c>
      <c r="E49" s="0" t="n">
        <v>0.7</v>
      </c>
      <c r="F49" s="0" t="s">
        <v>71</v>
      </c>
      <c r="G49" s="0" t="s">
        <v>235</v>
      </c>
      <c r="H49" s="0" t="s">
        <v>236</v>
      </c>
      <c r="I49" s="0" t="s">
        <v>91</v>
      </c>
      <c r="J49" s="0" t="s">
        <v>31</v>
      </c>
      <c r="K49" s="0" t="s">
        <v>237</v>
      </c>
      <c r="L49" s="0" t="s">
        <v>232</v>
      </c>
      <c r="M49" s="0" t="s">
        <v>56</v>
      </c>
    </row>
    <row r="50" customFormat="false" ht="15" hidden="false" customHeight="false" outlineLevel="0" collapsed="false">
      <c r="A50" s="0" t="s">
        <v>238</v>
      </c>
      <c r="B50" s="0" t="s">
        <v>239</v>
      </c>
      <c r="C50" s="4" t="n">
        <v>4832</v>
      </c>
      <c r="D50" s="0" t="n">
        <v>4407</v>
      </c>
      <c r="E50" s="0" t="n">
        <v>5200</v>
      </c>
      <c r="F50" s="0" t="s">
        <v>155</v>
      </c>
      <c r="G50" s="0" t="s">
        <v>33</v>
      </c>
      <c r="H50" s="0" t="s">
        <v>240</v>
      </c>
      <c r="I50" s="0" t="s">
        <v>40</v>
      </c>
      <c r="J50" s="0" t="s">
        <v>31</v>
      </c>
      <c r="K50" s="0" t="s">
        <v>241</v>
      </c>
      <c r="L50" s="0" t="s">
        <v>129</v>
      </c>
      <c r="M50" s="0" t="s">
        <v>242</v>
      </c>
    </row>
    <row r="51" customFormat="false" ht="15" hidden="false" customHeight="false" outlineLevel="0" collapsed="false">
      <c r="A51" s="0" t="s">
        <v>243</v>
      </c>
      <c r="B51" s="0" t="s">
        <v>244</v>
      </c>
      <c r="C51" s="4" t="n">
        <v>17500</v>
      </c>
      <c r="D51" s="0" t="n">
        <v>15000</v>
      </c>
      <c r="E51" s="0" t="n">
        <v>20000</v>
      </c>
      <c r="F51" s="0" t="s">
        <v>155</v>
      </c>
      <c r="G51" s="0" t="s">
        <v>33</v>
      </c>
      <c r="H51" s="0" t="s">
        <v>245</v>
      </c>
      <c r="I51" s="0" t="s">
        <v>246</v>
      </c>
      <c r="J51" s="0" t="s">
        <v>31</v>
      </c>
      <c r="K51" s="0" t="s">
        <v>247</v>
      </c>
      <c r="L51" s="0" t="s">
        <v>129</v>
      </c>
      <c r="M51" s="0" t="s">
        <v>242</v>
      </c>
    </row>
    <row r="52" customFormat="false" ht="15" hidden="false" customHeight="false" outlineLevel="0" collapsed="false">
      <c r="A52" s="0" t="s">
        <v>248</v>
      </c>
      <c r="B52" s="0" t="s">
        <v>249</v>
      </c>
      <c r="C52" s="4" t="n">
        <v>49555600</v>
      </c>
      <c r="F52" s="0" t="s">
        <v>155</v>
      </c>
      <c r="G52" s="0" t="s">
        <v>33</v>
      </c>
      <c r="H52" s="0" t="s">
        <v>250</v>
      </c>
      <c r="I52" s="0" t="s">
        <v>251</v>
      </c>
      <c r="J52" s="0" t="s">
        <v>31</v>
      </c>
      <c r="K52" s="0" t="s">
        <v>33</v>
      </c>
      <c r="L52" s="0" t="s">
        <v>252</v>
      </c>
      <c r="M52" s="0" t="s">
        <v>253</v>
      </c>
    </row>
    <row r="53" customFormat="false" ht="15" hidden="false" customHeight="false" outlineLevel="0" collapsed="false">
      <c r="A53" s="0" t="s">
        <v>254</v>
      </c>
      <c r="B53" s="0" t="s">
        <v>255</v>
      </c>
      <c r="C53" s="4" t="n">
        <v>55049600</v>
      </c>
      <c r="F53" s="0" t="s">
        <v>155</v>
      </c>
      <c r="G53" s="0" t="s">
        <v>33</v>
      </c>
      <c r="H53" s="0" t="s">
        <v>256</v>
      </c>
      <c r="I53" s="0" t="s">
        <v>251</v>
      </c>
      <c r="J53" s="0" t="s">
        <v>31</v>
      </c>
      <c r="K53" s="0" t="s">
        <v>33</v>
      </c>
      <c r="L53" s="0" t="s">
        <v>252</v>
      </c>
      <c r="M53" s="0" t="s">
        <v>253</v>
      </c>
    </row>
    <row r="54" customFormat="false" ht="15" hidden="false" customHeight="false" outlineLevel="0" collapsed="false">
      <c r="A54" s="0" t="s">
        <v>257</v>
      </c>
      <c r="B54" s="0" t="s">
        <v>258</v>
      </c>
      <c r="C54" s="4" t="n">
        <v>6026300</v>
      </c>
      <c r="F54" s="0" t="s">
        <v>155</v>
      </c>
      <c r="G54" s="0" t="s">
        <v>33</v>
      </c>
      <c r="H54" s="0" t="s">
        <v>256</v>
      </c>
      <c r="I54" s="0" t="s">
        <v>251</v>
      </c>
      <c r="J54" s="0" t="s">
        <v>31</v>
      </c>
      <c r="K54" s="0" t="s">
        <v>33</v>
      </c>
      <c r="L54" s="0" t="s">
        <v>252</v>
      </c>
      <c r="M54" s="0" t="s">
        <v>253</v>
      </c>
    </row>
    <row r="55" customFormat="false" ht="15" hidden="false" customHeight="false" outlineLevel="0" collapsed="false">
      <c r="A55" s="0" t="s">
        <v>259</v>
      </c>
      <c r="B55" s="0" t="s">
        <v>260</v>
      </c>
      <c r="C55" s="4" t="n">
        <v>0.138621541501976</v>
      </c>
      <c r="F55" s="0" t="s">
        <v>155</v>
      </c>
      <c r="G55" s="0" t="s">
        <v>33</v>
      </c>
      <c r="H55" s="0" t="s">
        <v>261</v>
      </c>
      <c r="I55" s="0" t="s">
        <v>262</v>
      </c>
      <c r="J55" s="0" t="s">
        <v>31</v>
      </c>
      <c r="K55" s="0" t="s">
        <v>263</v>
      </c>
      <c r="L55" s="0" t="s">
        <v>252</v>
      </c>
      <c r="M55" s="0" t="s">
        <v>264</v>
      </c>
    </row>
    <row r="56" customFormat="false" ht="15" hidden="false" customHeight="false" outlineLevel="0" collapsed="false">
      <c r="A56" s="0" t="s">
        <v>265</v>
      </c>
      <c r="B56" s="0" t="s">
        <v>266</v>
      </c>
      <c r="C56" s="4" t="n">
        <v>2.52822098606627</v>
      </c>
      <c r="F56" s="0" t="s">
        <v>155</v>
      </c>
      <c r="G56" s="0" t="s">
        <v>33</v>
      </c>
      <c r="H56" s="0" t="s">
        <v>267</v>
      </c>
      <c r="I56" s="0" t="s">
        <v>157</v>
      </c>
      <c r="J56" s="0" t="s">
        <v>31</v>
      </c>
      <c r="K56" s="0" t="s">
        <v>268</v>
      </c>
      <c r="L56" s="0" t="s">
        <v>33</v>
      </c>
      <c r="M56" s="0" t="s">
        <v>264</v>
      </c>
    </row>
    <row r="57" customFormat="false" ht="15" hidden="false" customHeight="false" outlineLevel="0" collapsed="false">
      <c r="A57" s="0" t="s">
        <v>269</v>
      </c>
      <c r="B57" s="0" t="s">
        <v>270</v>
      </c>
      <c r="C57" s="4" t="n">
        <v>0.500852514919011</v>
      </c>
      <c r="D57" s="0" t="n">
        <v>0.45</v>
      </c>
      <c r="E57" s="0" t="n">
        <v>0.55</v>
      </c>
      <c r="F57" s="0" t="s">
        <v>71</v>
      </c>
      <c r="G57" s="0" t="s">
        <v>271</v>
      </c>
      <c r="H57" s="0" t="s">
        <v>272</v>
      </c>
      <c r="I57" s="0" t="s">
        <v>273</v>
      </c>
      <c r="J57" s="0" t="s">
        <v>41</v>
      </c>
      <c r="K57" s="0" t="s">
        <v>274</v>
      </c>
      <c r="L57" s="0" t="s">
        <v>252</v>
      </c>
      <c r="M57" s="0" t="s">
        <v>56</v>
      </c>
    </row>
    <row r="58" customFormat="false" ht="15" hidden="false" customHeight="false" outlineLevel="0" collapsed="false">
      <c r="A58" s="0" t="s">
        <v>275</v>
      </c>
      <c r="B58" s="0" t="s">
        <v>276</v>
      </c>
      <c r="C58" s="4" t="n">
        <v>0.42</v>
      </c>
      <c r="D58" s="0" t="n">
        <v>0.33</v>
      </c>
      <c r="E58" s="0" t="n">
        <v>0.465</v>
      </c>
      <c r="F58" s="0" t="s">
        <v>71</v>
      </c>
      <c r="G58" s="0" t="s">
        <v>277</v>
      </c>
      <c r="H58" s="0" t="s">
        <v>278</v>
      </c>
      <c r="I58" s="0" t="s">
        <v>279</v>
      </c>
      <c r="J58" s="0" t="s">
        <v>41</v>
      </c>
      <c r="K58" s="0" t="s">
        <v>280</v>
      </c>
      <c r="L58" s="0" t="s">
        <v>252</v>
      </c>
      <c r="M58" s="0" t="s">
        <v>56</v>
      </c>
    </row>
    <row r="59" customFormat="false" ht="15" hidden="false" customHeight="false" outlineLevel="0" collapsed="false">
      <c r="A59" s="0" t="s">
        <v>281</v>
      </c>
      <c r="B59" s="0" t="s">
        <v>282</v>
      </c>
      <c r="C59" s="4" t="n">
        <v>2055.90661400015</v>
      </c>
      <c r="D59" s="0" t="n">
        <v>1233.54</v>
      </c>
      <c r="E59" s="0" t="n">
        <v>2878.27</v>
      </c>
      <c r="F59" s="0" t="s">
        <v>151</v>
      </c>
      <c r="G59" s="0" t="s">
        <v>283</v>
      </c>
      <c r="H59" s="0" t="s">
        <v>284</v>
      </c>
      <c r="I59" s="0" t="s">
        <v>40</v>
      </c>
      <c r="J59" s="0" t="s">
        <v>41</v>
      </c>
      <c r="K59" s="0" t="s">
        <v>285</v>
      </c>
      <c r="L59" s="0" t="s">
        <v>252</v>
      </c>
      <c r="M59" s="0" t="s">
        <v>166</v>
      </c>
    </row>
    <row r="60" customFormat="false" ht="15" hidden="false" customHeight="false" outlineLevel="0" collapsed="false">
      <c r="A60" s="0" t="s">
        <v>286</v>
      </c>
      <c r="B60" s="0" t="s">
        <v>287</v>
      </c>
      <c r="C60" s="4" t="n">
        <v>20932.190947843</v>
      </c>
      <c r="D60" s="0" t="n">
        <v>16745.75</v>
      </c>
      <c r="E60" s="0" t="n">
        <v>25118.63</v>
      </c>
      <c r="F60" s="0" t="s">
        <v>151</v>
      </c>
      <c r="G60" s="0" t="s">
        <v>205</v>
      </c>
      <c r="H60" s="0" t="s">
        <v>288</v>
      </c>
      <c r="I60" s="0" t="s">
        <v>289</v>
      </c>
      <c r="J60" s="0" t="s">
        <v>41</v>
      </c>
      <c r="K60" s="0" t="s">
        <v>290</v>
      </c>
      <c r="L60" s="0" t="s">
        <v>252</v>
      </c>
      <c r="M60" s="0" t="s">
        <v>291</v>
      </c>
    </row>
    <row r="61" customFormat="false" ht="15" hidden="false" customHeight="false" outlineLevel="0" collapsed="false">
      <c r="A61" s="0" t="s">
        <v>292</v>
      </c>
      <c r="B61" s="0" t="s">
        <v>293</v>
      </c>
      <c r="C61" s="4" t="n">
        <v>23788.7265728103</v>
      </c>
      <c r="D61" s="0" t="n">
        <v>19030.98</v>
      </c>
      <c r="E61" s="0" t="n">
        <v>28546.47</v>
      </c>
      <c r="F61" s="0" t="s">
        <v>151</v>
      </c>
      <c r="G61" s="0" t="s">
        <v>205</v>
      </c>
      <c r="H61" s="0" t="s">
        <v>294</v>
      </c>
      <c r="I61" s="0" t="s">
        <v>289</v>
      </c>
      <c r="J61" s="0" t="s">
        <v>41</v>
      </c>
      <c r="K61" s="0" t="s">
        <v>290</v>
      </c>
      <c r="L61" s="0" t="s">
        <v>252</v>
      </c>
      <c r="M61" s="0" t="s">
        <v>291</v>
      </c>
    </row>
    <row r="62" customFormat="false" ht="15" hidden="false" customHeight="false" outlineLevel="0" collapsed="false">
      <c r="A62" s="0" t="s">
        <v>295</v>
      </c>
      <c r="B62" s="0" t="s">
        <v>296</v>
      </c>
      <c r="C62" s="4" t="n">
        <v>0.798</v>
      </c>
      <c r="D62" s="0" t="n">
        <v>0.75</v>
      </c>
      <c r="E62" s="0" t="n">
        <v>0.85</v>
      </c>
      <c r="F62" s="0" t="s">
        <v>71</v>
      </c>
      <c r="G62" s="0" t="s">
        <v>297</v>
      </c>
      <c r="H62" s="0" t="s">
        <v>298</v>
      </c>
      <c r="I62" s="0" t="s">
        <v>157</v>
      </c>
      <c r="J62" s="0" t="s">
        <v>31</v>
      </c>
      <c r="K62" s="0" t="s">
        <v>33</v>
      </c>
      <c r="L62" s="0" t="s">
        <v>33</v>
      </c>
      <c r="M62" s="0" t="s">
        <v>56</v>
      </c>
    </row>
    <row r="63" customFormat="false" ht="15" hidden="false" customHeight="false" outlineLevel="0" collapsed="false">
      <c r="A63" s="0" t="s">
        <v>299</v>
      </c>
      <c r="B63" s="0" t="s">
        <v>300</v>
      </c>
      <c r="C63" s="4" t="n">
        <v>0.062</v>
      </c>
      <c r="D63" s="0" t="n">
        <v>0.05</v>
      </c>
      <c r="E63" s="0" t="n">
        <v>0.08</v>
      </c>
      <c r="F63" s="0" t="s">
        <v>155</v>
      </c>
      <c r="G63" s="0" t="s">
        <v>33</v>
      </c>
      <c r="H63" s="0" t="s">
        <v>301</v>
      </c>
      <c r="I63" s="0" t="s">
        <v>157</v>
      </c>
      <c r="J63" s="0" t="s">
        <v>31</v>
      </c>
      <c r="K63" s="0" t="s">
        <v>302</v>
      </c>
      <c r="L63" s="0" t="s">
        <v>303</v>
      </c>
      <c r="M63" s="0" t="s">
        <v>56</v>
      </c>
    </row>
    <row r="64" customFormat="false" ht="15" hidden="false" customHeight="false" outlineLevel="0" collapsed="false">
      <c r="A64" s="0" t="s">
        <v>304</v>
      </c>
      <c r="B64" s="0" t="s">
        <v>305</v>
      </c>
      <c r="C64" s="4" t="n">
        <v>106842.72</v>
      </c>
      <c r="F64" s="0" t="s">
        <v>155</v>
      </c>
      <c r="G64" s="0" t="s">
        <v>33</v>
      </c>
      <c r="H64" s="0" t="s">
        <v>306</v>
      </c>
      <c r="I64" s="0" t="s">
        <v>157</v>
      </c>
      <c r="J64" s="0" t="s">
        <v>31</v>
      </c>
      <c r="K64" s="0" t="s">
        <v>307</v>
      </c>
      <c r="L64" s="0" t="s">
        <v>33</v>
      </c>
      <c r="M64" s="0" t="s">
        <v>291</v>
      </c>
    </row>
    <row r="65" customFormat="false" ht="15" hidden="false" customHeight="false" outlineLevel="0" collapsed="false">
      <c r="A65" s="0" t="s">
        <v>308</v>
      </c>
      <c r="B65" s="0" t="s">
        <v>309</v>
      </c>
      <c r="C65" s="4" t="n">
        <v>0.6414</v>
      </c>
      <c r="D65" s="0" t="n">
        <v>0.3207</v>
      </c>
      <c r="E65" s="0" t="n">
        <v>0.9621</v>
      </c>
      <c r="F65" s="0" t="s">
        <v>310</v>
      </c>
      <c r="G65" s="0" t="s">
        <v>311</v>
      </c>
      <c r="H65" s="0" t="s">
        <v>312</v>
      </c>
      <c r="I65" s="0" t="s">
        <v>289</v>
      </c>
      <c r="J65" s="0" t="s">
        <v>313</v>
      </c>
      <c r="K65" s="0" t="s">
        <v>314</v>
      </c>
      <c r="L65" s="0" t="s">
        <v>33</v>
      </c>
      <c r="M65" s="0" t="s">
        <v>56</v>
      </c>
    </row>
    <row r="66" customFormat="false" ht="15" hidden="false" customHeight="false" outlineLevel="0" collapsed="false">
      <c r="A66" s="0" t="s">
        <v>315</v>
      </c>
      <c r="B66" s="0" t="s">
        <v>316</v>
      </c>
      <c r="C66" s="4" t="n">
        <v>0.25</v>
      </c>
      <c r="D66" s="0" t="n">
        <v>0.17</v>
      </c>
      <c r="E66" s="0" t="n">
        <v>0.5</v>
      </c>
      <c r="F66" s="0" t="s">
        <v>155</v>
      </c>
      <c r="G66" s="0" t="s">
        <v>33</v>
      </c>
      <c r="H66" s="0" t="s">
        <v>317</v>
      </c>
      <c r="I66" s="0" t="s">
        <v>318</v>
      </c>
      <c r="J66" s="0" t="s">
        <v>75</v>
      </c>
      <c r="K66" s="0" t="s">
        <v>319</v>
      </c>
      <c r="L66" s="0" t="s">
        <v>33</v>
      </c>
      <c r="M66" s="0" t="s">
        <v>320</v>
      </c>
    </row>
    <row r="67" customFormat="false" ht="15" hidden="false" customHeight="false" outlineLevel="0" collapsed="false">
      <c r="A67" s="0" t="s">
        <v>321</v>
      </c>
      <c r="B67" s="0" t="s">
        <v>322</v>
      </c>
      <c r="C67" s="4" t="n">
        <v>0.3164</v>
      </c>
      <c r="F67" s="0" t="s">
        <v>155</v>
      </c>
      <c r="G67" s="0" t="s">
        <v>33</v>
      </c>
      <c r="H67" s="0" t="s">
        <v>323</v>
      </c>
      <c r="I67" s="0" t="s">
        <v>40</v>
      </c>
      <c r="J67" s="0" t="s">
        <v>31</v>
      </c>
      <c r="K67" s="0" t="s">
        <v>324</v>
      </c>
      <c r="L67" s="0" t="s">
        <v>252</v>
      </c>
      <c r="M67" s="0" t="s">
        <v>325</v>
      </c>
    </row>
    <row r="68" customFormat="false" ht="15" hidden="false" customHeight="false" outlineLevel="0" collapsed="false">
      <c r="A68" s="0" t="s">
        <v>326</v>
      </c>
      <c r="B68" s="0" t="s">
        <v>327</v>
      </c>
      <c r="C68" s="4" t="n">
        <v>0.0255</v>
      </c>
      <c r="F68" s="0" t="s">
        <v>155</v>
      </c>
      <c r="G68" s="0" t="s">
        <v>33</v>
      </c>
      <c r="H68" s="0" t="s">
        <v>328</v>
      </c>
      <c r="I68" s="0" t="s">
        <v>40</v>
      </c>
      <c r="J68" s="0" t="s">
        <v>31</v>
      </c>
      <c r="K68" s="0" t="s">
        <v>33</v>
      </c>
      <c r="L68" s="0" t="s">
        <v>329</v>
      </c>
      <c r="M68" s="0" t="s">
        <v>325</v>
      </c>
    </row>
    <row r="69" customFormat="false" ht="15" hidden="false" customHeight="false" outlineLevel="0" collapsed="false">
      <c r="A69" s="0" t="s">
        <v>330</v>
      </c>
      <c r="B69" s="0" t="s">
        <v>331</v>
      </c>
      <c r="C69" s="4" t="n">
        <v>0.077661</v>
      </c>
      <c r="F69" s="0" t="s">
        <v>155</v>
      </c>
      <c r="G69" s="0" t="s">
        <v>33</v>
      </c>
      <c r="H69" s="0" t="s">
        <v>332</v>
      </c>
      <c r="I69" s="0" t="s">
        <v>40</v>
      </c>
      <c r="J69" s="0" t="s">
        <v>31</v>
      </c>
      <c r="K69" s="0" t="s">
        <v>333</v>
      </c>
      <c r="L69" s="0" t="s">
        <v>129</v>
      </c>
      <c r="M69" s="0" t="s">
        <v>325</v>
      </c>
    </row>
    <row r="70" customFormat="false" ht="15" hidden="false" customHeight="false" outlineLevel="0" collapsed="false">
      <c r="A70" s="0" t="s">
        <v>334</v>
      </c>
      <c r="B70" s="0" t="s">
        <v>335</v>
      </c>
      <c r="C70" s="4" t="n">
        <v>0.0664841738450687</v>
      </c>
      <c r="F70" s="0" t="s">
        <v>155</v>
      </c>
      <c r="G70" s="0" t="s">
        <v>33</v>
      </c>
      <c r="H70" s="0" t="s">
        <v>336</v>
      </c>
      <c r="I70" s="0" t="s">
        <v>40</v>
      </c>
      <c r="J70" s="0" t="s">
        <v>41</v>
      </c>
      <c r="K70" s="0" t="s">
        <v>337</v>
      </c>
      <c r="L70" s="0" t="s">
        <v>338</v>
      </c>
      <c r="M70" s="0" t="s">
        <v>325</v>
      </c>
    </row>
    <row r="71" customFormat="false" ht="15" hidden="false" customHeight="false" outlineLevel="0" collapsed="false">
      <c r="A71" s="0" t="s">
        <v>339</v>
      </c>
      <c r="B71" s="0" t="s">
        <v>340</v>
      </c>
      <c r="C71" s="4" t="n">
        <v>0.05</v>
      </c>
      <c r="D71" s="0" t="n">
        <v>0</v>
      </c>
      <c r="E71" s="0" t="n">
        <v>0.05</v>
      </c>
      <c r="F71" s="0" t="s">
        <v>155</v>
      </c>
      <c r="G71" s="0" t="s">
        <v>33</v>
      </c>
      <c r="H71" s="0" t="s">
        <v>341</v>
      </c>
      <c r="I71" s="0" t="s">
        <v>54</v>
      </c>
      <c r="J71" s="0" t="s">
        <v>31</v>
      </c>
      <c r="K71" s="0" t="s">
        <v>33</v>
      </c>
      <c r="L71" s="0" t="s">
        <v>33</v>
      </c>
      <c r="M71" s="0" t="s">
        <v>77</v>
      </c>
    </row>
    <row r="72" customFormat="false" ht="15" hidden="false" customHeight="false" outlineLevel="0" collapsed="false">
      <c r="A72" s="0" t="s">
        <v>342</v>
      </c>
      <c r="B72" s="0" t="s">
        <v>343</v>
      </c>
      <c r="C72" s="4" t="n">
        <v>0.035</v>
      </c>
      <c r="D72" s="0" t="n">
        <v>0</v>
      </c>
      <c r="E72" s="0" t="n">
        <v>0.035</v>
      </c>
      <c r="F72" s="0" t="s">
        <v>155</v>
      </c>
      <c r="G72" s="0" t="s">
        <v>33</v>
      </c>
      <c r="H72" s="0" t="s">
        <v>341</v>
      </c>
      <c r="I72" s="0" t="s">
        <v>54</v>
      </c>
      <c r="J72" s="0" t="s">
        <v>31</v>
      </c>
      <c r="K72" s="0" t="s">
        <v>33</v>
      </c>
      <c r="L72" s="0" t="s">
        <v>33</v>
      </c>
      <c r="M72" s="0" t="s">
        <v>77</v>
      </c>
    </row>
    <row r="73" customFormat="false" ht="15" hidden="false" customHeight="false" outlineLevel="0" collapsed="false">
      <c r="A73" s="0" t="s">
        <v>344</v>
      </c>
      <c r="B73" s="0" t="s">
        <v>345</v>
      </c>
      <c r="C73" s="4" t="n">
        <v>244821</v>
      </c>
      <c r="F73" s="0" t="s">
        <v>155</v>
      </c>
      <c r="G73" s="0" t="s">
        <v>33</v>
      </c>
      <c r="H73" s="0" t="s">
        <v>346</v>
      </c>
      <c r="I73" s="0" t="s">
        <v>40</v>
      </c>
      <c r="J73" s="0" t="s">
        <v>31</v>
      </c>
      <c r="K73" s="0" t="s">
        <v>33</v>
      </c>
      <c r="L73" s="0" t="s">
        <v>33</v>
      </c>
      <c r="M73" s="0" t="s">
        <v>347</v>
      </c>
    </row>
    <row r="74" customFormat="false" ht="15" hidden="false" customHeight="false" outlineLevel="0" collapsed="false">
      <c r="A74" s="0" t="s">
        <v>348</v>
      </c>
      <c r="B74" s="0" t="s">
        <v>349</v>
      </c>
      <c r="C74" s="4" t="n">
        <v>5420</v>
      </c>
      <c r="D74" s="0" t="n">
        <v>3800</v>
      </c>
      <c r="E74" s="0" t="n">
        <v>7000</v>
      </c>
      <c r="F74" s="0" t="s">
        <v>27</v>
      </c>
      <c r="G74" s="0" t="s">
        <v>350</v>
      </c>
      <c r="H74" s="0" t="s">
        <v>351</v>
      </c>
      <c r="I74" s="0" t="s">
        <v>352</v>
      </c>
      <c r="J74" s="0" t="s">
        <v>41</v>
      </c>
      <c r="K74" s="0" t="s">
        <v>353</v>
      </c>
      <c r="L74" s="0" t="s">
        <v>33</v>
      </c>
      <c r="M74" s="0" t="s">
        <v>242</v>
      </c>
    </row>
    <row r="75" customFormat="false" ht="15" hidden="false" customHeight="false" outlineLevel="0" collapsed="false">
      <c r="A75" s="0" t="s">
        <v>354</v>
      </c>
      <c r="B75" s="0" t="s">
        <v>355</v>
      </c>
      <c r="C75" s="4" t="n">
        <v>29</v>
      </c>
      <c r="D75" s="0" t="n">
        <v>25</v>
      </c>
      <c r="E75" s="0" t="n">
        <v>40</v>
      </c>
      <c r="F75" s="0" t="s">
        <v>46</v>
      </c>
      <c r="G75" s="0" t="s">
        <v>33</v>
      </c>
      <c r="H75" s="0" t="s">
        <v>356</v>
      </c>
      <c r="I75" s="0" t="s">
        <v>40</v>
      </c>
      <c r="J75" s="0" t="s">
        <v>41</v>
      </c>
      <c r="K75" s="0" t="s">
        <v>357</v>
      </c>
      <c r="L75" s="0" t="s">
        <v>33</v>
      </c>
      <c r="M75" s="0" t="s">
        <v>43</v>
      </c>
    </row>
    <row r="76" customFormat="false" ht="15" hidden="false" customHeight="false" outlineLevel="0" collapsed="false">
      <c r="A76" s="0" t="s">
        <v>358</v>
      </c>
      <c r="B76" s="0" t="s">
        <v>359</v>
      </c>
      <c r="C76" s="4" t="n">
        <v>0.038</v>
      </c>
      <c r="D76" s="0" t="n">
        <v>0.025</v>
      </c>
      <c r="E76" s="0" t="n">
        <v>0.058</v>
      </c>
      <c r="F76" s="0" t="s">
        <v>197</v>
      </c>
      <c r="G76" s="0" t="s">
        <v>360</v>
      </c>
      <c r="H76" s="0" t="s">
        <v>361</v>
      </c>
      <c r="I76" s="0" t="s">
        <v>222</v>
      </c>
      <c r="J76" s="0" t="s">
        <v>75</v>
      </c>
      <c r="K76" s="0" t="s">
        <v>362</v>
      </c>
      <c r="L76" s="0" t="s">
        <v>33</v>
      </c>
      <c r="M76" s="0" t="s">
        <v>77</v>
      </c>
    </row>
    <row r="77" customFormat="false" ht="15" hidden="false" customHeight="false" outlineLevel="0" collapsed="false">
      <c r="A77" s="0" t="s">
        <v>363</v>
      </c>
      <c r="B77" s="0" t="s">
        <v>364</v>
      </c>
      <c r="C77" s="4" t="n">
        <v>0.032</v>
      </c>
      <c r="D77" s="0" t="n">
        <v>0.02</v>
      </c>
      <c r="E77" s="0" t="n">
        <v>0.1</v>
      </c>
      <c r="F77" s="0" t="s">
        <v>46</v>
      </c>
      <c r="G77" s="0" t="s">
        <v>33</v>
      </c>
      <c r="H77" s="0" t="s">
        <v>365</v>
      </c>
      <c r="I77" s="0" t="s">
        <v>246</v>
      </c>
      <c r="J77" s="0" t="s">
        <v>31</v>
      </c>
      <c r="K77" s="0" t="s">
        <v>366</v>
      </c>
      <c r="L77" s="0" t="s">
        <v>33</v>
      </c>
      <c r="M77" s="0" t="s">
        <v>56</v>
      </c>
    </row>
    <row r="78" customFormat="false" ht="15" hidden="false" customHeight="false" outlineLevel="0" collapsed="false">
      <c r="A78" s="0" t="s">
        <v>367</v>
      </c>
      <c r="B78" s="0" t="s">
        <v>368</v>
      </c>
      <c r="C78" s="4" t="n">
        <v>1590</v>
      </c>
      <c r="D78" s="0" t="n">
        <v>1028</v>
      </c>
      <c r="E78" s="0" t="n">
        <v>2460</v>
      </c>
      <c r="F78" s="0" t="s">
        <v>197</v>
      </c>
      <c r="G78" s="0" t="s">
        <v>369</v>
      </c>
      <c r="H78" s="0" t="s">
        <v>370</v>
      </c>
      <c r="I78" s="0" t="s">
        <v>371</v>
      </c>
      <c r="J78" s="0" t="s">
        <v>41</v>
      </c>
      <c r="K78" s="0" t="s">
        <v>372</v>
      </c>
      <c r="L78" s="0" t="s">
        <v>129</v>
      </c>
      <c r="M78" s="0" t="s">
        <v>34</v>
      </c>
    </row>
    <row r="79" customFormat="false" ht="15" hidden="false" customHeight="false" outlineLevel="0" collapsed="false">
      <c r="A79" s="0" t="s">
        <v>373</v>
      </c>
      <c r="B79" s="0" t="s">
        <v>374</v>
      </c>
      <c r="C79" s="4" t="n">
        <v>2535</v>
      </c>
      <c r="D79" s="0" t="n">
        <v>1992</v>
      </c>
      <c r="E79" s="0" t="n">
        <v>3227</v>
      </c>
      <c r="F79" s="0" t="s">
        <v>375</v>
      </c>
      <c r="G79" s="0" t="s">
        <v>376</v>
      </c>
      <c r="H79" s="0" t="s">
        <v>377</v>
      </c>
      <c r="I79" s="0" t="s">
        <v>246</v>
      </c>
      <c r="J79" s="0" t="s">
        <v>41</v>
      </c>
      <c r="K79" s="0" t="s">
        <v>378</v>
      </c>
      <c r="L79" s="0" t="s">
        <v>129</v>
      </c>
      <c r="M79" s="0" t="s">
        <v>34</v>
      </c>
    </row>
    <row r="80" customFormat="false" ht="15" hidden="false" customHeight="false" outlineLevel="0" collapsed="false">
      <c r="A80" s="0" t="s">
        <v>379</v>
      </c>
      <c r="B80" s="0" t="s">
        <v>380</v>
      </c>
      <c r="C80" s="4" t="n">
        <v>1585</v>
      </c>
      <c r="D80" s="0" t="n">
        <v>792</v>
      </c>
      <c r="E80" s="0" t="n">
        <v>3170</v>
      </c>
      <c r="F80" s="0" t="s">
        <v>197</v>
      </c>
      <c r="G80" s="0" t="s">
        <v>381</v>
      </c>
      <c r="H80" s="0" t="s">
        <v>382</v>
      </c>
      <c r="I80" s="0" t="s">
        <v>352</v>
      </c>
      <c r="J80" s="0" t="s">
        <v>41</v>
      </c>
      <c r="K80" s="0" t="s">
        <v>383</v>
      </c>
      <c r="L80" s="0" t="s">
        <v>129</v>
      </c>
      <c r="M80" s="0" t="s">
        <v>34</v>
      </c>
    </row>
    <row r="81" customFormat="false" ht="15" hidden="false" customHeight="false" outlineLevel="0" collapsed="false">
      <c r="A81" s="0" t="s">
        <v>384</v>
      </c>
      <c r="B81" s="0" t="s">
        <v>385</v>
      </c>
      <c r="C81" s="4" t="n">
        <v>0.5</v>
      </c>
      <c r="D81" s="0" t="n">
        <v>0.427408</v>
      </c>
      <c r="E81" s="0" t="n">
        <v>0.572517</v>
      </c>
      <c r="F81" s="0" t="s">
        <v>71</v>
      </c>
      <c r="G81" s="0" t="s">
        <v>386</v>
      </c>
      <c r="H81" s="0" t="s">
        <v>387</v>
      </c>
      <c r="I81" s="0" t="s">
        <v>40</v>
      </c>
      <c r="J81" s="0" t="s">
        <v>388</v>
      </c>
      <c r="K81" s="0" t="s">
        <v>389</v>
      </c>
      <c r="L81" s="0" t="s">
        <v>129</v>
      </c>
      <c r="M81" s="0" t="s">
        <v>56</v>
      </c>
    </row>
    <row r="82" customFormat="false" ht="15" hidden="false" customHeight="false" outlineLevel="0" collapsed="false">
      <c r="A82" s="0" t="s">
        <v>390</v>
      </c>
      <c r="B82" s="0" t="s">
        <v>391</v>
      </c>
      <c r="C82" s="4" t="n">
        <v>0.6945</v>
      </c>
      <c r="D82" s="0" t="n">
        <v>0.570534</v>
      </c>
      <c r="E82" s="0" t="n">
        <v>0.806263</v>
      </c>
      <c r="F82" s="0" t="s">
        <v>71</v>
      </c>
      <c r="G82" s="0" t="s">
        <v>392</v>
      </c>
      <c r="H82" s="0" t="s">
        <v>393</v>
      </c>
      <c r="I82" s="0" t="s">
        <v>394</v>
      </c>
      <c r="J82" s="0" t="s">
        <v>395</v>
      </c>
      <c r="K82" s="0" t="s">
        <v>396</v>
      </c>
      <c r="L82" s="0" t="s">
        <v>129</v>
      </c>
      <c r="M82" s="0" t="s">
        <v>56</v>
      </c>
    </row>
    <row r="83" customFormat="false" ht="15" hidden="false" customHeight="false" outlineLevel="0" collapsed="false">
      <c r="A83" s="0" t="s">
        <v>397</v>
      </c>
      <c r="B83" s="0" t="s">
        <v>398</v>
      </c>
      <c r="C83" s="4" t="n">
        <v>0.000625</v>
      </c>
      <c r="F83" s="0" t="s">
        <v>155</v>
      </c>
      <c r="G83" s="0" t="s">
        <v>33</v>
      </c>
      <c r="H83" s="0" t="s">
        <v>399</v>
      </c>
      <c r="I83" s="0" t="s">
        <v>157</v>
      </c>
      <c r="J83" s="0" t="s">
        <v>41</v>
      </c>
      <c r="K83" s="0" t="s">
        <v>400</v>
      </c>
      <c r="L83" s="0" t="s">
        <v>129</v>
      </c>
      <c r="M83" s="0" t="s">
        <v>401</v>
      </c>
    </row>
    <row r="84" customFormat="false" ht="15" hidden="false" customHeight="false" outlineLevel="0" collapsed="false">
      <c r="A84" s="0" t="s">
        <v>402</v>
      </c>
      <c r="B84" s="0" t="s">
        <v>403</v>
      </c>
      <c r="C84" s="4" t="n">
        <v>0.0008</v>
      </c>
      <c r="D84" s="0" t="n">
        <v>0.000455</v>
      </c>
      <c r="E84" s="0" t="n">
        <v>0.001237</v>
      </c>
      <c r="F84" s="0" t="s">
        <v>71</v>
      </c>
      <c r="G84" s="0" t="s">
        <v>404</v>
      </c>
      <c r="H84" s="0" t="s">
        <v>405</v>
      </c>
      <c r="I84" s="0" t="s">
        <v>406</v>
      </c>
      <c r="J84" s="0" t="s">
        <v>31</v>
      </c>
      <c r="K84" s="0" t="s">
        <v>407</v>
      </c>
      <c r="L84" s="0" t="s">
        <v>129</v>
      </c>
      <c r="M84" s="0" t="s">
        <v>401</v>
      </c>
    </row>
    <row r="85" customFormat="false" ht="15" hidden="false" customHeight="false" outlineLevel="0" collapsed="false">
      <c r="A85" s="0" t="s">
        <v>408</v>
      </c>
      <c r="B85" s="0" t="s">
        <v>409</v>
      </c>
      <c r="C85" s="4" t="n">
        <v>0.0026</v>
      </c>
      <c r="D85" s="0" t="n">
        <v>0.002408</v>
      </c>
      <c r="E85" s="0" t="n">
        <v>0.002799</v>
      </c>
      <c r="F85" s="0" t="s">
        <v>71</v>
      </c>
      <c r="G85" s="0" t="s">
        <v>410</v>
      </c>
      <c r="H85" s="0" t="s">
        <v>411</v>
      </c>
      <c r="I85" s="0" t="s">
        <v>412</v>
      </c>
      <c r="J85" s="0" t="s">
        <v>31</v>
      </c>
      <c r="K85" s="0" t="s">
        <v>413</v>
      </c>
      <c r="L85" s="0" t="s">
        <v>129</v>
      </c>
      <c r="M85" s="0" t="s">
        <v>401</v>
      </c>
    </row>
    <row r="86" customFormat="false" ht="15" hidden="false" customHeight="false" outlineLevel="0" collapsed="false">
      <c r="A86" s="0" t="s">
        <v>414</v>
      </c>
      <c r="B86" s="0" t="s">
        <v>415</v>
      </c>
      <c r="C86" s="4" t="n">
        <v>0.156</v>
      </c>
      <c r="D86" s="0" t="n">
        <v>0.1248</v>
      </c>
      <c r="E86" s="0" t="n">
        <v>0.295</v>
      </c>
      <c r="F86" s="0" t="s">
        <v>46</v>
      </c>
      <c r="G86" s="0" t="s">
        <v>33</v>
      </c>
      <c r="H86" s="0" t="s">
        <v>416</v>
      </c>
      <c r="I86" s="0" t="s">
        <v>417</v>
      </c>
      <c r="J86" s="0" t="s">
        <v>31</v>
      </c>
      <c r="K86" s="0" t="s">
        <v>418</v>
      </c>
      <c r="L86" s="0" t="s">
        <v>232</v>
      </c>
      <c r="M86" s="0" t="s">
        <v>401</v>
      </c>
    </row>
    <row r="87" customFormat="false" ht="15" hidden="false" customHeight="false" outlineLevel="0" collapsed="false">
      <c r="A87" s="0" t="s">
        <v>419</v>
      </c>
      <c r="B87" s="0" t="s">
        <v>420</v>
      </c>
      <c r="C87" s="4" t="n">
        <v>10000</v>
      </c>
      <c r="D87" s="0" t="n">
        <v>7000</v>
      </c>
      <c r="E87" s="0" t="n">
        <v>13000</v>
      </c>
      <c r="F87" s="0" t="s">
        <v>46</v>
      </c>
      <c r="G87" s="0" t="s">
        <v>33</v>
      </c>
      <c r="H87" s="0" t="s">
        <v>421</v>
      </c>
      <c r="I87" s="0" t="s">
        <v>352</v>
      </c>
      <c r="J87" s="0" t="s">
        <v>41</v>
      </c>
      <c r="K87" s="0" t="s">
        <v>422</v>
      </c>
      <c r="L87" s="0" t="s">
        <v>232</v>
      </c>
      <c r="M87" s="0" t="s">
        <v>34</v>
      </c>
    </row>
    <row r="88" customFormat="false" ht="15" hidden="false" customHeight="false" outlineLevel="0" collapsed="false">
      <c r="A88" s="0" t="s">
        <v>423</v>
      </c>
      <c r="B88" s="0" t="s">
        <v>424</v>
      </c>
      <c r="C88" s="4" t="n">
        <v>0.2</v>
      </c>
      <c r="D88" s="0" t="n">
        <v>0</v>
      </c>
      <c r="E88" s="0" t="n">
        <v>0.5</v>
      </c>
      <c r="F88" s="0" t="s">
        <v>46</v>
      </c>
      <c r="G88" s="0" t="s">
        <v>33</v>
      </c>
      <c r="H88" s="0" t="s">
        <v>425</v>
      </c>
      <c r="I88" s="0" t="s">
        <v>157</v>
      </c>
      <c r="J88" s="0" t="s">
        <v>313</v>
      </c>
      <c r="K88" s="0" t="s">
        <v>426</v>
      </c>
      <c r="L88" s="0" t="s">
        <v>427</v>
      </c>
      <c r="M88" s="0" t="s">
        <v>56</v>
      </c>
    </row>
    <row r="89" customFormat="false" ht="15" hidden="false" customHeight="false" outlineLevel="0" collapsed="false">
      <c r="A89" s="0" t="s">
        <v>428</v>
      </c>
      <c r="B89" s="0" t="s">
        <v>429</v>
      </c>
      <c r="C89" s="4" t="n">
        <v>10</v>
      </c>
      <c r="D89" s="0" t="n">
        <v>5</v>
      </c>
      <c r="E89" s="0" t="n">
        <v>15</v>
      </c>
      <c r="F89" s="0" t="s">
        <v>155</v>
      </c>
      <c r="G89" s="0" t="s">
        <v>33</v>
      </c>
      <c r="H89" s="0" t="s">
        <v>430</v>
      </c>
      <c r="I89" s="0" t="s">
        <v>157</v>
      </c>
      <c r="J89" s="0" t="s">
        <v>313</v>
      </c>
      <c r="K89" s="0" t="s">
        <v>33</v>
      </c>
      <c r="L89" s="0" t="s">
        <v>33</v>
      </c>
      <c r="M89" s="0" t="s">
        <v>43</v>
      </c>
    </row>
    <row r="90" customFormat="false" ht="15" hidden="false" customHeight="false" outlineLevel="0" collapsed="false">
      <c r="A90" s="0" t="s">
        <v>431</v>
      </c>
      <c r="B90" s="0" t="s">
        <v>432</v>
      </c>
      <c r="C90" s="4" t="n">
        <v>20</v>
      </c>
      <c r="F90" s="0" t="s">
        <v>155</v>
      </c>
      <c r="G90" s="0" t="s">
        <v>33</v>
      </c>
      <c r="H90" s="0" t="s">
        <v>433</v>
      </c>
      <c r="I90" s="0" t="s">
        <v>54</v>
      </c>
      <c r="J90" s="0" t="s">
        <v>313</v>
      </c>
      <c r="K90" s="0" t="s">
        <v>33</v>
      </c>
      <c r="L90" s="0" t="s">
        <v>33</v>
      </c>
      <c r="M90" s="0" t="s">
        <v>43</v>
      </c>
    </row>
    <row r="91" customFormat="false" ht="15" hidden="false" customHeight="false" outlineLevel="0" collapsed="false">
      <c r="A91" s="0" t="s">
        <v>434</v>
      </c>
      <c r="B91" s="0" t="s">
        <v>435</v>
      </c>
      <c r="C91" s="4" t="n">
        <v>0.3714</v>
      </c>
      <c r="D91" s="0" t="n">
        <v>0.2401</v>
      </c>
      <c r="E91" s="0" t="n">
        <v>0.5745</v>
      </c>
      <c r="F91" s="0" t="s">
        <v>197</v>
      </c>
      <c r="G91" s="0" t="s">
        <v>369</v>
      </c>
      <c r="H91" s="0" t="s">
        <v>436</v>
      </c>
      <c r="I91" s="0" t="s">
        <v>157</v>
      </c>
      <c r="J91" s="0" t="s">
        <v>41</v>
      </c>
      <c r="K91" s="0" t="s">
        <v>437</v>
      </c>
      <c r="L91" s="0" t="s">
        <v>33</v>
      </c>
      <c r="M91" s="0" t="s">
        <v>264</v>
      </c>
    </row>
    <row r="92" customFormat="false" ht="15" hidden="false" customHeight="false" outlineLevel="0" collapsed="false">
      <c r="A92" s="0" t="s">
        <v>438</v>
      </c>
      <c r="B92" s="0" t="s">
        <v>439</v>
      </c>
      <c r="C92" s="4" t="n">
        <v>1.2371</v>
      </c>
      <c r="D92" s="0" t="n">
        <v>0.972</v>
      </c>
      <c r="E92" s="0" t="n">
        <v>1.5745</v>
      </c>
      <c r="F92" s="0" t="s">
        <v>197</v>
      </c>
      <c r="G92" s="0" t="s">
        <v>440</v>
      </c>
      <c r="H92" s="0" t="s">
        <v>441</v>
      </c>
      <c r="I92" s="0" t="s">
        <v>246</v>
      </c>
      <c r="J92" s="0" t="s">
        <v>41</v>
      </c>
      <c r="K92" s="0" t="s">
        <v>442</v>
      </c>
      <c r="L92" s="0" t="s">
        <v>33</v>
      </c>
      <c r="M92" s="0" t="s">
        <v>264</v>
      </c>
    </row>
    <row r="93" customFormat="false" ht="15" hidden="false" customHeight="false" outlineLevel="0" collapsed="false">
      <c r="A93" s="0" t="s">
        <v>443</v>
      </c>
      <c r="B93" s="0" t="s">
        <v>444</v>
      </c>
      <c r="C93" s="4" t="n">
        <v>3</v>
      </c>
      <c r="D93" s="0" t="n">
        <v>1</v>
      </c>
      <c r="E93" s="0" t="n">
        <v>5</v>
      </c>
      <c r="F93" s="0" t="s">
        <v>46</v>
      </c>
      <c r="G93" s="0" t="s">
        <v>33</v>
      </c>
      <c r="H93" s="0" t="s">
        <v>445</v>
      </c>
      <c r="I93" s="0" t="s">
        <v>157</v>
      </c>
      <c r="J93" s="0" t="s">
        <v>313</v>
      </c>
      <c r="K93" s="0" t="s">
        <v>446</v>
      </c>
      <c r="L93" s="0" t="s">
        <v>33</v>
      </c>
      <c r="M93" s="0" t="s">
        <v>43</v>
      </c>
    </row>
    <row r="94" customFormat="false" ht="15" hidden="false" customHeight="false" outlineLevel="0" collapsed="false">
      <c r="A94" s="0" t="s">
        <v>447</v>
      </c>
      <c r="B94" s="0" t="s">
        <v>448</v>
      </c>
      <c r="C94" s="4" t="n">
        <v>12171</v>
      </c>
      <c r="F94" s="0" t="s">
        <v>155</v>
      </c>
      <c r="G94" s="0" t="s">
        <v>33</v>
      </c>
      <c r="H94" s="0" t="s">
        <v>449</v>
      </c>
      <c r="I94" s="0" t="s">
        <v>91</v>
      </c>
      <c r="J94" s="0" t="s">
        <v>31</v>
      </c>
      <c r="K94" s="0" t="s">
        <v>33</v>
      </c>
      <c r="L94" s="0" t="s">
        <v>129</v>
      </c>
      <c r="M94" s="0" t="s">
        <v>242</v>
      </c>
    </row>
    <row r="95" customFormat="false" ht="15" hidden="false" customHeight="false" outlineLevel="0" collapsed="false">
      <c r="A95" s="0" t="s">
        <v>450</v>
      </c>
      <c r="B95" s="0" t="s">
        <v>451</v>
      </c>
      <c r="C95" s="4" t="n">
        <v>915</v>
      </c>
      <c r="F95" s="0" t="s">
        <v>155</v>
      </c>
      <c r="G95" s="0" t="s">
        <v>33</v>
      </c>
      <c r="H95" s="0" t="s">
        <v>452</v>
      </c>
      <c r="I95" s="0" t="s">
        <v>40</v>
      </c>
      <c r="J95" s="0" t="s">
        <v>31</v>
      </c>
      <c r="K95" s="0" t="s">
        <v>453</v>
      </c>
      <c r="L95" s="0" t="s">
        <v>33</v>
      </c>
      <c r="M95" s="0" t="s">
        <v>34</v>
      </c>
    </row>
    <row r="96" customFormat="false" ht="15" hidden="false" customHeight="false" outlineLevel="0" collapsed="false">
      <c r="A96" s="0" t="s">
        <v>454</v>
      </c>
      <c r="B96" s="0" t="s">
        <v>455</v>
      </c>
      <c r="C96" s="4" t="n">
        <v>2339</v>
      </c>
      <c r="F96" s="0" t="s">
        <v>155</v>
      </c>
      <c r="G96" s="0" t="s">
        <v>33</v>
      </c>
      <c r="H96" s="0" t="s">
        <v>452</v>
      </c>
      <c r="I96" s="0" t="s">
        <v>40</v>
      </c>
      <c r="J96" s="0" t="s">
        <v>31</v>
      </c>
      <c r="K96" s="0" t="s">
        <v>453</v>
      </c>
      <c r="L96" s="0" t="s">
        <v>33</v>
      </c>
      <c r="M96" s="0" t="s">
        <v>34</v>
      </c>
    </row>
    <row r="97" customFormat="false" ht="15" hidden="false" customHeight="false" outlineLevel="0" collapsed="false">
      <c r="A97" s="0" t="s">
        <v>456</v>
      </c>
      <c r="B97" s="0" t="s">
        <v>457</v>
      </c>
      <c r="C97" s="4" t="n">
        <v>1478</v>
      </c>
      <c r="F97" s="0" t="s">
        <v>155</v>
      </c>
      <c r="G97" s="0" t="s">
        <v>33</v>
      </c>
      <c r="H97" s="0" t="s">
        <v>452</v>
      </c>
      <c r="I97" s="0" t="s">
        <v>40</v>
      </c>
      <c r="J97" s="0" t="s">
        <v>31</v>
      </c>
      <c r="K97" s="0" t="s">
        <v>453</v>
      </c>
      <c r="L97" s="0" t="s">
        <v>33</v>
      </c>
      <c r="M97" s="0" t="s">
        <v>34</v>
      </c>
    </row>
    <row r="98" customFormat="false" ht="15" hidden="false" customHeight="false" outlineLevel="0" collapsed="false">
      <c r="A98" s="0" t="s">
        <v>458</v>
      </c>
      <c r="B98" s="0" t="s">
        <v>459</v>
      </c>
      <c r="C98" s="4" t="n">
        <v>111</v>
      </c>
      <c r="F98" s="0" t="s">
        <v>155</v>
      </c>
      <c r="G98" s="0" t="s">
        <v>33</v>
      </c>
      <c r="H98" s="0" t="s">
        <v>452</v>
      </c>
      <c r="I98" s="0" t="s">
        <v>40</v>
      </c>
      <c r="J98" s="0" t="s">
        <v>31</v>
      </c>
      <c r="K98" s="0" t="s">
        <v>453</v>
      </c>
      <c r="L98" s="0" t="s">
        <v>33</v>
      </c>
      <c r="M98" s="0" t="s">
        <v>34</v>
      </c>
    </row>
    <row r="99" customFormat="false" ht="15" hidden="false" customHeight="false" outlineLevel="0" collapsed="false">
      <c r="A99" s="0" t="s">
        <v>460</v>
      </c>
      <c r="B99" s="0" t="s">
        <v>461</v>
      </c>
      <c r="C99" s="4" t="n">
        <v>0.062</v>
      </c>
      <c r="D99" s="0" t="n">
        <v>0.043</v>
      </c>
      <c r="E99" s="0" t="n">
        <v>0.09</v>
      </c>
      <c r="F99" s="0" t="s">
        <v>197</v>
      </c>
      <c r="G99" s="0" t="s">
        <v>462</v>
      </c>
      <c r="H99" s="0" t="s">
        <v>463</v>
      </c>
      <c r="I99" s="0" t="s">
        <v>222</v>
      </c>
      <c r="J99" s="0" t="s">
        <v>75</v>
      </c>
      <c r="K99" s="0" t="s">
        <v>464</v>
      </c>
      <c r="L99" s="0" t="s">
        <v>33</v>
      </c>
      <c r="M99" s="0" t="s">
        <v>77</v>
      </c>
    </row>
    <row r="100" customFormat="false" ht="15" hidden="false" customHeight="false" outlineLevel="0" collapsed="false">
      <c r="A100" s="0" t="s">
        <v>465</v>
      </c>
      <c r="B100" s="0" t="s">
        <v>466</v>
      </c>
      <c r="C100" s="4" t="n">
        <v>14.68</v>
      </c>
      <c r="D100" s="0" t="n">
        <v>13.01</v>
      </c>
      <c r="E100" s="0" t="n">
        <v>16.35</v>
      </c>
      <c r="F100" s="0" t="s">
        <v>46</v>
      </c>
      <c r="G100" s="0" t="s">
        <v>33</v>
      </c>
      <c r="H100" s="0" t="s">
        <v>467</v>
      </c>
      <c r="I100" s="0" t="s">
        <v>352</v>
      </c>
      <c r="J100" s="0" t="s">
        <v>75</v>
      </c>
      <c r="K100" s="0" t="s">
        <v>468</v>
      </c>
      <c r="L100" s="0" t="s">
        <v>33</v>
      </c>
      <c r="M100" s="0" t="s">
        <v>264</v>
      </c>
    </row>
    <row r="101" customFormat="false" ht="15" hidden="false" customHeight="false" outlineLevel="0" collapsed="false">
      <c r="A101" s="0" t="s">
        <v>469</v>
      </c>
      <c r="B101" s="0" t="s">
        <v>470</v>
      </c>
      <c r="C101" s="4" t="n">
        <v>47540.5716184696</v>
      </c>
      <c r="D101" s="0" t="n">
        <v>38032.457295</v>
      </c>
      <c r="E101" s="0" t="n">
        <v>57048.685942</v>
      </c>
      <c r="F101" s="0" t="s">
        <v>151</v>
      </c>
      <c r="G101" s="0" t="s">
        <v>205</v>
      </c>
      <c r="H101" s="0" t="s">
        <v>471</v>
      </c>
      <c r="I101" s="0" t="s">
        <v>164</v>
      </c>
      <c r="J101" s="0" t="s">
        <v>41</v>
      </c>
      <c r="K101" s="0" t="s">
        <v>472</v>
      </c>
      <c r="L101" s="0" t="s">
        <v>129</v>
      </c>
      <c r="M101" s="0" t="s">
        <v>291</v>
      </c>
    </row>
    <row r="102" customFormat="false" ht="15" hidden="false" customHeight="false" outlineLevel="0" collapsed="false">
      <c r="A102" s="0" t="s">
        <v>473</v>
      </c>
      <c r="B102" s="0" t="s">
        <v>474</v>
      </c>
      <c r="C102" s="4" t="n">
        <v>1.77952905207217</v>
      </c>
      <c r="F102" s="0" t="s">
        <v>155</v>
      </c>
      <c r="G102" s="0" t="s">
        <v>33</v>
      </c>
      <c r="H102" s="0" t="s">
        <v>475</v>
      </c>
      <c r="I102" s="0" t="s">
        <v>40</v>
      </c>
      <c r="J102" s="0" t="s">
        <v>31</v>
      </c>
      <c r="K102" s="0" t="s">
        <v>476</v>
      </c>
      <c r="L102" s="0" t="s">
        <v>33</v>
      </c>
      <c r="M102" s="0" t="s">
        <v>264</v>
      </c>
    </row>
    <row r="103" customFormat="false" ht="15" hidden="false" customHeight="false" outlineLevel="0" collapsed="false">
      <c r="A103" s="0" t="s">
        <v>477</v>
      </c>
      <c r="B103" s="0" t="s">
        <v>478</v>
      </c>
      <c r="C103" s="4" t="n">
        <v>4029</v>
      </c>
      <c r="D103" s="0" t="n">
        <v>3525</v>
      </c>
      <c r="E103" s="0" t="n">
        <v>4944</v>
      </c>
      <c r="F103" s="0" t="s">
        <v>46</v>
      </c>
      <c r="G103" s="0" t="s">
        <v>33</v>
      </c>
      <c r="H103" s="0" t="s">
        <v>479</v>
      </c>
      <c r="I103" s="0" t="s">
        <v>480</v>
      </c>
      <c r="J103" s="0" t="s">
        <v>31</v>
      </c>
      <c r="K103" s="0" t="s">
        <v>481</v>
      </c>
      <c r="L103" s="0" t="s">
        <v>129</v>
      </c>
      <c r="M103" s="0" t="s">
        <v>242</v>
      </c>
    </row>
    <row r="104" customFormat="false" ht="15" hidden="false" customHeight="false" outlineLevel="0" collapsed="false">
      <c r="A104" s="0" t="s">
        <v>482</v>
      </c>
      <c r="B104" s="0" t="s">
        <v>483</v>
      </c>
      <c r="C104" s="4" t="n">
        <v>0.53972602739726</v>
      </c>
      <c r="D104" s="0" t="n">
        <v>0.147945</v>
      </c>
      <c r="E104" s="0" t="n">
        <v>1.60274</v>
      </c>
      <c r="F104" s="0" t="s">
        <v>46</v>
      </c>
      <c r="G104" s="0" t="s">
        <v>33</v>
      </c>
      <c r="H104" s="0" t="s">
        <v>484</v>
      </c>
      <c r="I104" s="0" t="s">
        <v>157</v>
      </c>
      <c r="J104" s="0" t="s">
        <v>31</v>
      </c>
      <c r="K104" s="0" t="s">
        <v>485</v>
      </c>
      <c r="L104" s="0" t="s">
        <v>129</v>
      </c>
      <c r="M104" s="0" t="s">
        <v>43</v>
      </c>
    </row>
    <row r="105" customFormat="false" ht="15" hidden="false" customHeight="false" outlineLevel="0" collapsed="false">
      <c r="A105" s="0" t="s">
        <v>486</v>
      </c>
      <c r="B105" s="0" t="s">
        <v>487</v>
      </c>
      <c r="C105" s="4" t="n">
        <v>0</v>
      </c>
      <c r="D105" s="0" t="n">
        <v>0</v>
      </c>
      <c r="E105" s="0" t="n">
        <v>10000</v>
      </c>
      <c r="F105" s="0" t="s">
        <v>46</v>
      </c>
      <c r="G105" s="0" t="s">
        <v>33</v>
      </c>
      <c r="H105" s="0" t="s">
        <v>488</v>
      </c>
      <c r="I105" s="0" t="s">
        <v>40</v>
      </c>
      <c r="J105" s="0" t="s">
        <v>41</v>
      </c>
      <c r="K105" s="0" t="s">
        <v>489</v>
      </c>
      <c r="L105" s="0" t="s">
        <v>129</v>
      </c>
      <c r="M105" s="0" t="s">
        <v>34</v>
      </c>
    </row>
    <row r="106" customFormat="false" ht="15" hidden="false" customHeight="false" outlineLevel="0" collapsed="false">
      <c r="A106" s="0" t="s">
        <v>490</v>
      </c>
      <c r="B106" s="0" t="s">
        <v>491</v>
      </c>
      <c r="C106" s="4" t="n">
        <v>0</v>
      </c>
      <c r="F106" s="0" t="s">
        <v>155</v>
      </c>
      <c r="G106" s="0" t="s">
        <v>33</v>
      </c>
      <c r="H106" s="0" t="s">
        <v>492</v>
      </c>
      <c r="I106" s="0" t="s">
        <v>157</v>
      </c>
      <c r="J106" s="0" t="s">
        <v>313</v>
      </c>
      <c r="K106" s="0" t="s">
        <v>493</v>
      </c>
      <c r="L106" s="0" t="s">
        <v>33</v>
      </c>
      <c r="M106" s="0" t="s">
        <v>494</v>
      </c>
    </row>
    <row r="107" customFormat="false" ht="15" hidden="false" customHeight="false" outlineLevel="0" collapsed="false">
      <c r="A107" s="0" t="s">
        <v>495</v>
      </c>
      <c r="B107" s="0" t="s">
        <v>496</v>
      </c>
      <c r="C107" s="4" t="n">
        <v>1</v>
      </c>
      <c r="F107" s="0" t="s">
        <v>155</v>
      </c>
      <c r="G107" s="0" t="s">
        <v>33</v>
      </c>
      <c r="H107" s="0" t="s">
        <v>497</v>
      </c>
      <c r="I107" s="0" t="s">
        <v>498</v>
      </c>
      <c r="J107" s="0" t="s">
        <v>313</v>
      </c>
      <c r="K107" s="0" t="s">
        <v>499</v>
      </c>
      <c r="L107" s="0" t="s">
        <v>33</v>
      </c>
      <c r="M107" s="0" t="s">
        <v>494</v>
      </c>
    </row>
    <row r="108" customFormat="false" ht="15" hidden="false" customHeight="false" outlineLevel="0" collapsed="false">
      <c r="A108" s="0" t="s">
        <v>500</v>
      </c>
      <c r="B108" s="0" t="s">
        <v>501</v>
      </c>
      <c r="C108" s="4" t="n">
        <v>10.0348409343855</v>
      </c>
      <c r="F108" s="0" t="s">
        <v>310</v>
      </c>
      <c r="G108" s="0" t="s">
        <v>502</v>
      </c>
      <c r="H108" s="0" t="s">
        <v>503</v>
      </c>
      <c r="I108" s="0" t="s">
        <v>40</v>
      </c>
      <c r="J108" s="0" t="s">
        <v>41</v>
      </c>
      <c r="K108" s="0" t="s">
        <v>504</v>
      </c>
      <c r="L108" s="0" t="s">
        <v>252</v>
      </c>
      <c r="M108" s="0" t="s">
        <v>505</v>
      </c>
    </row>
    <row r="109" customFormat="false" ht="15" hidden="false" customHeight="false" outlineLevel="0" collapsed="false">
      <c r="A109" s="0" t="s">
        <v>506</v>
      </c>
      <c r="B109" s="0" t="s">
        <v>507</v>
      </c>
      <c r="C109" s="4" t="n">
        <v>2006.9339578678</v>
      </c>
      <c r="D109" s="0" t="n">
        <v>938.91</v>
      </c>
      <c r="E109" s="0" t="n">
        <v>4289.87</v>
      </c>
      <c r="F109" s="0" t="s">
        <v>151</v>
      </c>
      <c r="G109" s="0" t="s">
        <v>283</v>
      </c>
      <c r="H109" s="0" t="s">
        <v>508</v>
      </c>
      <c r="I109" s="0" t="s">
        <v>509</v>
      </c>
      <c r="J109" s="0" t="s">
        <v>75</v>
      </c>
      <c r="K109" s="0" t="s">
        <v>510</v>
      </c>
      <c r="L109" s="0" t="s">
        <v>427</v>
      </c>
      <c r="M109" s="0" t="s">
        <v>511</v>
      </c>
    </row>
    <row r="110" customFormat="false" ht="15" hidden="false" customHeight="false" outlineLevel="0" collapsed="false">
      <c r="A110" s="0" t="s">
        <v>512</v>
      </c>
      <c r="B110" s="0" t="s">
        <v>513</v>
      </c>
      <c r="C110" s="4" t="n">
        <v>1223620.54528</v>
      </c>
      <c r="D110" s="0" t="n">
        <v>611810.27264</v>
      </c>
      <c r="E110" s="0" t="n">
        <v>2447241.09056</v>
      </c>
      <c r="F110" s="0" t="s">
        <v>46</v>
      </c>
      <c r="G110" s="0" t="s">
        <v>33</v>
      </c>
      <c r="H110" s="0" t="s">
        <v>514</v>
      </c>
      <c r="I110" s="0" t="s">
        <v>40</v>
      </c>
      <c r="J110" s="0" t="s">
        <v>313</v>
      </c>
      <c r="K110" s="0" t="s">
        <v>515</v>
      </c>
      <c r="L110" s="0" t="s">
        <v>516</v>
      </c>
      <c r="M110" s="0" t="s">
        <v>291</v>
      </c>
    </row>
    <row r="111" customFormat="false" ht="15" hidden="false" customHeight="false" outlineLevel="0" collapsed="false">
      <c r="A111" s="0" t="s">
        <v>517</v>
      </c>
      <c r="B111" s="0" t="s">
        <v>518</v>
      </c>
      <c r="C111" s="4" t="n">
        <v>0</v>
      </c>
      <c r="D111" s="0" t="n">
        <v>-0.05</v>
      </c>
      <c r="E111" s="0" t="n">
        <v>0</v>
      </c>
      <c r="F111" s="0" t="s">
        <v>46</v>
      </c>
      <c r="G111" s="0" t="s">
        <v>33</v>
      </c>
      <c r="H111" s="0" t="s">
        <v>519</v>
      </c>
      <c r="I111" s="0" t="s">
        <v>157</v>
      </c>
      <c r="J111" s="0" t="s">
        <v>313</v>
      </c>
      <c r="K111" s="0" t="s">
        <v>520</v>
      </c>
      <c r="L111" s="0" t="s">
        <v>33</v>
      </c>
      <c r="M111" s="0" t="s">
        <v>77</v>
      </c>
    </row>
    <row r="112" customFormat="false" ht="15" hidden="false" customHeight="false" outlineLevel="0" collapsed="false">
      <c r="A112" s="0" t="s">
        <v>521</v>
      </c>
      <c r="B112" s="0" t="s">
        <v>522</v>
      </c>
      <c r="C112" s="4" t="n">
        <v>0.371642702845815</v>
      </c>
      <c r="D112" s="0" t="n">
        <v>0.31843</v>
      </c>
      <c r="E112" s="0" t="n">
        <v>0.426154</v>
      </c>
      <c r="F112" s="0" t="s">
        <v>71</v>
      </c>
      <c r="G112" s="0" t="s">
        <v>523</v>
      </c>
      <c r="H112" s="0" t="s">
        <v>524</v>
      </c>
      <c r="I112" s="0" t="s">
        <v>91</v>
      </c>
      <c r="J112" s="0" t="s">
        <v>525</v>
      </c>
      <c r="K112" s="0" t="s">
        <v>526</v>
      </c>
      <c r="L112" s="0" t="s">
        <v>252</v>
      </c>
      <c r="M112" s="0" t="s">
        <v>56</v>
      </c>
    </row>
    <row r="113" customFormat="false" ht="15" hidden="false" customHeight="false" outlineLevel="0" collapsed="false">
      <c r="A113" s="0" t="s">
        <v>527</v>
      </c>
      <c r="B113" s="0" t="s">
        <v>528</v>
      </c>
      <c r="C113" s="4" t="n">
        <v>0.008</v>
      </c>
      <c r="D113" s="0" t="n">
        <v>0.0047</v>
      </c>
      <c r="E113" s="0" t="n">
        <v>0.0113</v>
      </c>
      <c r="F113" s="0" t="s">
        <v>71</v>
      </c>
      <c r="G113" s="0" t="s">
        <v>529</v>
      </c>
      <c r="H113" s="0" t="s">
        <v>530</v>
      </c>
      <c r="I113" s="0" t="s">
        <v>531</v>
      </c>
      <c r="J113" s="0" t="s">
        <v>75</v>
      </c>
      <c r="K113" s="0" t="s">
        <v>532</v>
      </c>
      <c r="L113" s="0" t="s">
        <v>33</v>
      </c>
      <c r="M113" s="0" t="s">
        <v>77</v>
      </c>
    </row>
    <row r="114" customFormat="false" ht="15" hidden="false" customHeight="false" outlineLevel="0" collapsed="false">
      <c r="A114" s="0" t="s">
        <v>533</v>
      </c>
      <c r="B114" s="0" t="s">
        <v>534</v>
      </c>
      <c r="C114" s="4" t="n">
        <v>1</v>
      </c>
      <c r="D114" s="0" t="n">
        <v>0.714</v>
      </c>
      <c r="E114" s="0" t="n">
        <v>1</v>
      </c>
      <c r="F114" s="0" t="s">
        <v>46</v>
      </c>
      <c r="G114" s="0" t="s">
        <v>33</v>
      </c>
      <c r="H114" s="0" t="s">
        <v>535</v>
      </c>
      <c r="I114" s="0" t="s">
        <v>74</v>
      </c>
      <c r="J114" s="0" t="s">
        <v>75</v>
      </c>
      <c r="K114" s="0" t="s">
        <v>536</v>
      </c>
      <c r="L114" s="0" t="s">
        <v>33</v>
      </c>
      <c r="M114" s="0" t="s">
        <v>264</v>
      </c>
    </row>
    <row r="115" customFormat="false" ht="15" hidden="false" customHeight="false" outlineLevel="0" collapsed="false">
      <c r="A115" s="0" t="s">
        <v>537</v>
      </c>
      <c r="B115" s="0" t="s">
        <v>538</v>
      </c>
      <c r="C115" s="4" t="n">
        <v>204.876851306667</v>
      </c>
      <c r="F115" s="0" t="s">
        <v>155</v>
      </c>
      <c r="G115" s="0" t="s">
        <v>33</v>
      </c>
      <c r="H115" s="0" t="s">
        <v>539</v>
      </c>
      <c r="I115" s="0" t="s">
        <v>40</v>
      </c>
      <c r="J115" s="0" t="s">
        <v>31</v>
      </c>
      <c r="K115" s="0" t="s">
        <v>540</v>
      </c>
      <c r="L115" s="0" t="s">
        <v>252</v>
      </c>
      <c r="M115" s="0" t="s">
        <v>541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3" min="3" style="0" width="50"/>
  </cols>
  <sheetData>
    <row r="1" customFormat="false" ht="15" hidden="false" customHeight="false" outlineLevel="0" collapsed="false">
      <c r="A1" s="3" t="s">
        <v>13</v>
      </c>
      <c r="B1" s="3" t="s">
        <v>542</v>
      </c>
      <c r="C1" s="3" t="s">
        <v>543</v>
      </c>
    </row>
    <row r="2" customFormat="false" ht="15" hidden="false" customHeight="false" outlineLevel="0" collapsed="false">
      <c r="A2" s="0" t="s">
        <v>544</v>
      </c>
      <c r="B2" s="4" t="n">
        <v>0.05</v>
      </c>
      <c r="C2" s="0" t="s">
        <v>545</v>
      </c>
    </row>
    <row r="3" customFormat="false" ht="15" hidden="false" customHeight="false" outlineLevel="0" collapsed="false">
      <c r="A3" s="0" t="s">
        <v>546</v>
      </c>
      <c r="B3" s="4" t="n">
        <v>0.035</v>
      </c>
      <c r="C3" s="0" t="s">
        <v>547</v>
      </c>
    </row>
    <row r="4" customFormat="false" ht="15" hidden="false" customHeight="false" outlineLevel="0" collapsed="false">
      <c r="A4" s="0" t="s">
        <v>548</v>
      </c>
      <c r="B4" s="4" t="n">
        <v>20</v>
      </c>
      <c r="C4" s="0" t="s">
        <v>549</v>
      </c>
    </row>
    <row r="5" customFormat="false" ht="15" hidden="false" customHeight="false" outlineLevel="0" collapsed="false">
      <c r="A5" s="0" t="s">
        <v>550</v>
      </c>
      <c r="B5" s="4" t="n">
        <v>0</v>
      </c>
      <c r="C5" s="0" t="s">
        <v>551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552</v>
      </c>
    </row>
    <row r="2" customFormat="false" ht="28.35" hidden="false" customHeight="false" outlineLevel="0" collapsed="false">
      <c r="A2" s="3" t="s">
        <v>320</v>
      </c>
      <c r="B2" s="3" t="s">
        <v>553</v>
      </c>
      <c r="C2" s="3" t="s">
        <v>554</v>
      </c>
      <c r="D2" s="3" t="s">
        <v>555</v>
      </c>
      <c r="E2" s="3" t="s">
        <v>556</v>
      </c>
      <c r="F2" s="3" t="s">
        <v>557</v>
      </c>
      <c r="G2" s="3" t="s">
        <v>558</v>
      </c>
      <c r="H2" s="3" t="s">
        <v>559</v>
      </c>
      <c r="I2" s="3" t="s">
        <v>560</v>
      </c>
      <c r="J2" s="3" t="s">
        <v>561</v>
      </c>
      <c r="K2" s="3" t="s">
        <v>562</v>
      </c>
      <c r="L2" s="3" t="s">
        <v>563</v>
      </c>
      <c r="M2" s="3" t="s">
        <v>564</v>
      </c>
      <c r="N2" s="3" t="s">
        <v>565</v>
      </c>
      <c r="O2" s="3" t="s">
        <v>566</v>
      </c>
      <c r="P2" s="3" t="s">
        <v>567</v>
      </c>
      <c r="Q2" s="3" t="s">
        <v>568</v>
      </c>
      <c r="R2" s="3" t="s">
        <v>569</v>
      </c>
      <c r="S2" s="3" t="s">
        <v>570</v>
      </c>
      <c r="T2" s="3" t="s">
        <v>571</v>
      </c>
      <c r="U2" s="3" t="s">
        <v>572</v>
      </c>
      <c r="V2" s="3" t="s">
        <v>573</v>
      </c>
      <c r="W2" s="3" t="s">
        <v>574</v>
      </c>
      <c r="X2" s="3" t="s">
        <v>575</v>
      </c>
      <c r="Y2" s="3" t="s">
        <v>576</v>
      </c>
      <c r="Z2" s="3" t="s">
        <v>577</v>
      </c>
      <c r="AA2" s="3" t="s">
        <v>578</v>
      </c>
      <c r="AB2" s="3" t="s">
        <v>579</v>
      </c>
      <c r="AC2" s="3" t="s">
        <v>580</v>
      </c>
      <c r="AD2" s="3" t="s">
        <v>581</v>
      </c>
      <c r="AE2" s="3" t="s">
        <v>582</v>
      </c>
      <c r="AF2" s="3" t="s">
        <v>583</v>
      </c>
      <c r="AG2" s="3" t="s">
        <v>584</v>
      </c>
      <c r="AH2" s="3" t="s">
        <v>252</v>
      </c>
      <c r="AI2" s="3" t="s">
        <v>303</v>
      </c>
      <c r="AJ2" s="3" t="s">
        <v>585</v>
      </c>
      <c r="AK2" s="3" t="s">
        <v>586</v>
      </c>
      <c r="AL2" s="3" t="s">
        <v>587</v>
      </c>
      <c r="AM2" s="3" t="s">
        <v>588</v>
      </c>
      <c r="AN2" s="3" t="s">
        <v>589</v>
      </c>
      <c r="AO2" s="3" t="s">
        <v>129</v>
      </c>
      <c r="AP2" s="3" t="s">
        <v>590</v>
      </c>
      <c r="AQ2" s="3" t="s">
        <v>591</v>
      </c>
      <c r="AR2" s="3" t="s">
        <v>592</v>
      </c>
      <c r="AS2" s="3" t="s">
        <v>593</v>
      </c>
    </row>
    <row r="3" customFormat="false" ht="15" hidden="false" customHeight="false" outlineLevel="0" collapsed="false">
      <c r="A3" s="0" t="n">
        <v>2026</v>
      </c>
      <c r="B3" s="0" t="n">
        <v>0</v>
      </c>
      <c r="C3" s="0" t="n">
        <v>4832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2320.855</v>
      </c>
      <c r="I3" s="0" t="n">
        <v>208.058</v>
      </c>
      <c r="J3" s="0" t="n">
        <v>1579.412</v>
      </c>
      <c r="K3" s="0" t="n">
        <v>2524.99</v>
      </c>
      <c r="L3" s="0" t="n">
        <v>1540.438</v>
      </c>
      <c r="M3" s="0" t="n">
        <v>6431.679</v>
      </c>
      <c r="N3" s="0" t="n">
        <v>567.81</v>
      </c>
      <c r="O3" s="0" t="n">
        <v>89.046</v>
      </c>
      <c r="P3" s="0" t="n">
        <v>44.523</v>
      </c>
      <c r="Q3" s="0" t="n">
        <v>2134.761</v>
      </c>
      <c r="R3" s="0" t="n">
        <v>1703.413</v>
      </c>
      <c r="S3" s="0" t="n">
        <v>312.377</v>
      </c>
      <c r="T3" s="0" t="n">
        <v>2528.914</v>
      </c>
      <c r="U3" s="0" t="n">
        <v>1400.363</v>
      </c>
      <c r="V3" s="0" t="n">
        <v>113392.923</v>
      </c>
      <c r="W3" s="0" t="n">
        <v>265.86</v>
      </c>
      <c r="X3" s="0" t="n">
        <v>711.886</v>
      </c>
      <c r="Y3" s="0" t="n">
        <v>89.046</v>
      </c>
      <c r="Z3" s="0" t="n">
        <v>922.327</v>
      </c>
      <c r="AA3" s="0" t="n">
        <f aca="false">H3*x_c_F+I3*x_c_CC+J3*x_c_DC+K3*x_c_HCC+L3*x_c_PLT+M3*x_c_SVRn+N3*x_c_SVRcc+O3*x_c_LT+P3*x_c_LT1</f>
        <v>282405022.672624</v>
      </c>
      <c r="AB3" s="0" t="n">
        <f aca="false">C3*x_c_DAA</f>
        <v>109976320</v>
      </c>
      <c r="AC3" s="0" t="n">
        <f aca="false">C3*x_c_MON</f>
        <v>27857107.6100244</v>
      </c>
      <c r="AD3" s="0" t="n">
        <f aca="false">D3*(1-x_testy)</f>
        <v>0</v>
      </c>
      <c r="AE3" s="0" t="n">
        <f aca="false">E3*(1-x_testy)</f>
        <v>0</v>
      </c>
      <c r="AF3" s="0" t="n">
        <f aca="false">F3*x_NAV</f>
        <v>0</v>
      </c>
      <c r="AG3" s="0" t="n">
        <f aca="false">G3*x_FIX*(1-x_testy)</f>
        <v>0</v>
      </c>
      <c r="AH3" s="0" t="n">
        <f aca="false">x_z_F*U3+(1-x_AGRI)*x_EMP*x_WLOSS*(x_PEN_K74*Q3+x_PEN_C22*R3)</f>
        <v>43787297.3866384</v>
      </c>
      <c r="AI3" s="0" t="n">
        <f aca="false">x_AGRI*x_EMP*x_WLOSS*(x_PEN_K74*Q3+x_PEN_C22*R3)</f>
        <v>2703958.92712379</v>
      </c>
      <c r="AJ3" s="0" t="n">
        <f aca="false">x_EMP*x_WAGE*(x_WLOSS*(Q3+R3)+S3)+U3*x_ABS_D*x_WAGE/365</f>
        <v>240641522.766924</v>
      </c>
      <c r="AK3" s="0" t="n">
        <f aca="false">AJ3*x_R_FUS</f>
        <v>76138977.8034546</v>
      </c>
      <c r="AL3" s="0" t="n">
        <f aca="false">AJ3*x_R_NFZ</f>
        <v>18688461.299602</v>
      </c>
      <c r="AM3" s="0" t="n">
        <f aca="false">AJ3*x_R_PIT</f>
        <v>15998852.8339782</v>
      </c>
      <c r="AN3" s="0" t="n">
        <f aca="false">AJ3*x_R_FP</f>
        <v>6136358.83055655</v>
      </c>
      <c r="AO3" s="0" t="n">
        <f aca="false">AA3+AB3+AC3+AD3+AF3</f>
        <v>420238450.282648</v>
      </c>
      <c r="AP3" s="0" t="n">
        <f aca="false">AO3+AE3+AG3+AH3+AI3+AK3+AL3+AM3+AN3</f>
        <v>583692357.364002</v>
      </c>
      <c r="AQ3" s="0" t="n">
        <f aca="false">AO3+AE3+AG3+AJ3</f>
        <v>660879973.049572</v>
      </c>
      <c r="AR3" s="0" t="n">
        <f aca="false">AB3+AC3+AD3+AF3</f>
        <v>137833427.610024</v>
      </c>
      <c r="AS3" s="0" t="n">
        <f aca="false">AR3+AE3+AG3</f>
        <v>137833427.610024</v>
      </c>
    </row>
    <row r="4" customFormat="false" ht="15" hidden="false" customHeight="false" outlineLevel="0" collapsed="false">
      <c r="A4" s="0" t="n">
        <v>2027</v>
      </c>
      <c r="B4" s="0" t="n">
        <v>1</v>
      </c>
      <c r="C4" s="0" t="n">
        <v>4832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2307.655</v>
      </c>
      <c r="I4" s="0" t="n">
        <v>219.602</v>
      </c>
      <c r="J4" s="0" t="n">
        <v>1564.594</v>
      </c>
      <c r="K4" s="0" t="n">
        <v>2522.589</v>
      </c>
      <c r="L4" s="0" t="n">
        <v>1489.389</v>
      </c>
      <c r="M4" s="0" t="n">
        <v>10633.791</v>
      </c>
      <c r="N4" s="0" t="n">
        <v>958.016</v>
      </c>
      <c r="O4" s="0" t="n">
        <v>87.923</v>
      </c>
      <c r="P4" s="0" t="n">
        <v>88.484</v>
      </c>
      <c r="Q4" s="0" t="n">
        <v>2138.396</v>
      </c>
      <c r="R4" s="0" t="n">
        <v>1717.819</v>
      </c>
      <c r="S4" s="0" t="n">
        <v>940.006</v>
      </c>
      <c r="T4" s="0" t="n">
        <v>2527.257</v>
      </c>
      <c r="U4" s="0" t="n">
        <v>1441.565</v>
      </c>
      <c r="V4" s="0" t="n">
        <v>114502.789</v>
      </c>
      <c r="W4" s="0" t="n">
        <v>275.683</v>
      </c>
      <c r="X4" s="0" t="n">
        <v>742.641</v>
      </c>
      <c r="Y4" s="0" t="n">
        <v>87.923</v>
      </c>
      <c r="Z4" s="0" t="n">
        <v>925.838</v>
      </c>
      <c r="AA4" s="0" t="n">
        <f aca="false">H4*x_c_F+I4*x_c_CC+J4*x_c_DC+K4*x_c_HCC+L4*x_c_PLT+M4*x_c_SVRn+N4*x_c_SVRcc+O4*x_c_LT+P4*x_c_LT1</f>
        <v>285734604.329018</v>
      </c>
      <c r="AB4" s="0" t="n">
        <f aca="false">C4*x_c_DAA</f>
        <v>109976320</v>
      </c>
      <c r="AC4" s="0" t="n">
        <f aca="false">C4*x_c_MON</f>
        <v>27857107.6100244</v>
      </c>
      <c r="AD4" s="0" t="n">
        <f aca="false">D4*(1-x_testy)</f>
        <v>0</v>
      </c>
      <c r="AE4" s="0" t="n">
        <f aca="false">E4*(1-x_testy)</f>
        <v>0</v>
      </c>
      <c r="AF4" s="0" t="n">
        <f aca="false">F4*x_NAV</f>
        <v>0</v>
      </c>
      <c r="AG4" s="0" t="n">
        <f aca="false">G4*x_FIX*(1-x_testy)</f>
        <v>0</v>
      </c>
      <c r="AH4" s="0" t="n">
        <f aca="false">x_z_F*U4+(1-x_AGRI)*x_EMP*x_WLOSS*(x_PEN_K74*Q4+x_PEN_C22*R4)</f>
        <v>44073066.7855321</v>
      </c>
      <c r="AI4" s="0" t="n">
        <f aca="false">x_AGRI*x_EMP*x_WLOSS*(x_PEN_K74*Q4+x_PEN_C22*R4)</f>
        <v>2717248.73516663</v>
      </c>
      <c r="AJ4" s="0" t="n">
        <f aca="false">x_EMP*x_WAGE*(x_WLOSS*(Q4+R4)+S4)+U4*x_ABS_D*x_WAGE/365</f>
        <v>295261097.349519</v>
      </c>
      <c r="AK4" s="0" t="n">
        <f aca="false">AJ4*x_R_FUS</f>
        <v>93420611.2013878</v>
      </c>
      <c r="AL4" s="0" t="n">
        <f aca="false">AJ4*x_R_NFZ</f>
        <v>22930272.081261</v>
      </c>
      <c r="AM4" s="0" t="n">
        <f aca="false">AJ4*x_R_PIT</f>
        <v>19630190.1258712</v>
      </c>
      <c r="AN4" s="0" t="n">
        <f aca="false">AJ4*x_R_FP</f>
        <v>7529157.98241273</v>
      </c>
      <c r="AO4" s="0" t="n">
        <f aca="false">AA4+AB4+AC4+AD4+AF4</f>
        <v>423568031.939042</v>
      </c>
      <c r="AP4" s="0" t="n">
        <f aca="false">AO4+AE4+AG4+AH4+AI4+AK4+AL4+AM4+AN4</f>
        <v>613868578.850674</v>
      </c>
      <c r="AQ4" s="0" t="n">
        <f aca="false">AO4+AE4+AG4+AJ4</f>
        <v>718829129.288561</v>
      </c>
      <c r="AR4" s="0" t="n">
        <f aca="false">AB4+AC4+AD4+AF4</f>
        <v>137833427.610024</v>
      </c>
      <c r="AS4" s="0" t="n">
        <f aca="false">AR4+AE4+AG4</f>
        <v>137833427.610024</v>
      </c>
    </row>
    <row r="5" customFormat="false" ht="15" hidden="false" customHeight="false" outlineLevel="0" collapsed="false">
      <c r="A5" s="0" t="n">
        <v>2028</v>
      </c>
      <c r="B5" s="0" t="n">
        <v>2</v>
      </c>
      <c r="C5" s="0" t="n">
        <v>4832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2293.265</v>
      </c>
      <c r="I5" s="0" t="n">
        <v>232.353</v>
      </c>
      <c r="J5" s="0" t="n">
        <v>1562.24</v>
      </c>
      <c r="K5" s="0" t="n">
        <v>2550.931</v>
      </c>
      <c r="L5" s="0" t="n">
        <v>1475.77</v>
      </c>
      <c r="M5" s="0" t="n">
        <v>14757.577</v>
      </c>
      <c r="N5" s="0" t="n">
        <v>1359.883</v>
      </c>
      <c r="O5" s="0" t="n">
        <v>87.651</v>
      </c>
      <c r="P5" s="0" t="n">
        <v>87.787</v>
      </c>
      <c r="Q5" s="0" t="n">
        <v>2147.743</v>
      </c>
      <c r="R5" s="0" t="n">
        <v>1757.091</v>
      </c>
      <c r="S5" s="0" t="n">
        <v>1573.278</v>
      </c>
      <c r="T5" s="0" t="n">
        <v>2525.618</v>
      </c>
      <c r="U5" s="0" t="n">
        <v>1481.15</v>
      </c>
      <c r="V5" s="0" t="n">
        <v>115688.465</v>
      </c>
      <c r="W5" s="0" t="n">
        <v>287.283</v>
      </c>
      <c r="X5" s="0" t="n">
        <v>774.535</v>
      </c>
      <c r="Y5" s="0" t="n">
        <v>87.651</v>
      </c>
      <c r="Z5" s="0" t="n">
        <v>927.579</v>
      </c>
      <c r="AA5" s="0" t="n">
        <f aca="false">H5*x_c_F+I5*x_c_CC+J5*x_c_DC+K5*x_c_HCC+L5*x_c_PLT+M5*x_c_SVRn+N5*x_c_SVRcc+O5*x_c_LT+P5*x_c_LT1</f>
        <v>290567912.058885</v>
      </c>
      <c r="AB5" s="0" t="n">
        <f aca="false">C5*x_c_DAA</f>
        <v>109976320</v>
      </c>
      <c r="AC5" s="0" t="n">
        <f aca="false">C5*x_c_MON</f>
        <v>27857107.6100244</v>
      </c>
      <c r="AD5" s="0" t="n">
        <f aca="false">D5*(1-x_testy)</f>
        <v>0</v>
      </c>
      <c r="AE5" s="0" t="n">
        <f aca="false">E5*(1-x_testy)</f>
        <v>0</v>
      </c>
      <c r="AF5" s="0" t="n">
        <f aca="false">F5*x_NAV</f>
        <v>0</v>
      </c>
      <c r="AG5" s="0" t="n">
        <f aca="false">G5*x_FIX*(1-x_testy)</f>
        <v>0</v>
      </c>
      <c r="AH5" s="0" t="n">
        <f aca="false">x_z_F*U5+(1-x_AGRI)*x_EMP*x_WLOSS*(x_PEN_K74*Q5+x_PEN_C22*R5)</f>
        <v>44696910.9068426</v>
      </c>
      <c r="AI5" s="0" t="n">
        <f aca="false">x_AGRI*x_EMP*x_WLOSS*(x_PEN_K74*Q5+x_PEN_C22*R5)</f>
        <v>2753104.37013008</v>
      </c>
      <c r="AJ5" s="0" t="n">
        <f aca="false">x_EMP*x_WAGE*(x_WLOSS*(Q5+R5)+S5)+U5*x_ABS_D*x_WAGE/365</f>
        <v>352029238.023115</v>
      </c>
      <c r="AK5" s="0" t="n">
        <f aca="false">AJ5*x_R_FUS</f>
        <v>111382050.910514</v>
      </c>
      <c r="AL5" s="0" t="n">
        <f aca="false">AJ5*x_R_NFZ</f>
        <v>27338942.6541131</v>
      </c>
      <c r="AM5" s="0" t="n">
        <f aca="false">AJ5*x_R_PIT</f>
        <v>23404373.0592759</v>
      </c>
      <c r="AN5" s="0" t="n">
        <f aca="false">AJ5*x_R_FP</f>
        <v>8976745.56958943</v>
      </c>
      <c r="AO5" s="0" t="n">
        <f aca="false">AA5+AB5+AC5+AD5+AF5</f>
        <v>428401339.66891</v>
      </c>
      <c r="AP5" s="0" t="n">
        <f aca="false">AO5+AE5+AG5+AH5+AI5+AK5+AL5+AM5+AN5</f>
        <v>646953467.139375</v>
      </c>
      <c r="AQ5" s="0" t="n">
        <f aca="false">AO5+AE5+AG5+AJ5</f>
        <v>780430577.692025</v>
      </c>
      <c r="AR5" s="0" t="n">
        <f aca="false">AB5+AC5+AD5+AF5</f>
        <v>137833427.610024</v>
      </c>
      <c r="AS5" s="0" t="n">
        <f aca="false">AR5+AE5+AG5</f>
        <v>137833427.610024</v>
      </c>
    </row>
    <row r="6" customFormat="false" ht="15" hidden="false" customHeight="false" outlineLevel="0" collapsed="false">
      <c r="A6" s="0" t="n">
        <v>2029</v>
      </c>
      <c r="B6" s="0" t="n">
        <v>3</v>
      </c>
      <c r="C6" s="0" t="n">
        <v>4832</v>
      </c>
      <c r="D6" s="0" t="n">
        <v>0</v>
      </c>
      <c r="E6" s="0" t="n">
        <v>0</v>
      </c>
      <c r="F6" s="0" t="n">
        <v>0</v>
      </c>
      <c r="G6" s="0" t="n">
        <v>0</v>
      </c>
      <c r="H6" s="0" t="n">
        <v>2278.401</v>
      </c>
      <c r="I6" s="0" t="n">
        <v>245.586</v>
      </c>
      <c r="J6" s="0" t="n">
        <v>1571.333</v>
      </c>
      <c r="K6" s="0" t="n">
        <v>2601.368</v>
      </c>
      <c r="L6" s="0" t="n">
        <v>1461.227</v>
      </c>
      <c r="M6" s="0" t="n">
        <v>18799.94</v>
      </c>
      <c r="N6" s="0" t="n">
        <v>1773.467</v>
      </c>
      <c r="O6" s="0" t="n">
        <v>88.124</v>
      </c>
      <c r="P6" s="0" t="n">
        <v>87.888</v>
      </c>
      <c r="Q6" s="0" t="n">
        <v>2166.882</v>
      </c>
      <c r="R6" s="0" t="n">
        <v>1814.876</v>
      </c>
      <c r="S6" s="0" t="n">
        <v>2215.331</v>
      </c>
      <c r="T6" s="0" t="n">
        <v>2523.987</v>
      </c>
      <c r="U6" s="0" t="n">
        <v>1519.149</v>
      </c>
      <c r="V6" s="0" t="n">
        <v>116926.825</v>
      </c>
      <c r="W6" s="0" t="n">
        <v>299.555</v>
      </c>
      <c r="X6" s="0" t="n">
        <v>805.722</v>
      </c>
      <c r="Y6" s="0" t="n">
        <v>88.124</v>
      </c>
      <c r="Z6" s="0" t="n">
        <v>937.757</v>
      </c>
      <c r="AA6" s="0" t="n">
        <f aca="false">H6*x_c_F+I6*x_c_CC+J6*x_c_DC+K6*x_c_HCC+L6*x_c_PLT+M6*x_c_SVRn+N6*x_c_SVRcc+O6*x_c_LT+P6*x_c_LT1</f>
        <v>297244713.942835</v>
      </c>
      <c r="AB6" s="0" t="n">
        <f aca="false">C6*x_c_DAA</f>
        <v>109976320</v>
      </c>
      <c r="AC6" s="0" t="n">
        <f aca="false">C6*x_c_MON</f>
        <v>27857107.6100244</v>
      </c>
      <c r="AD6" s="0" t="n">
        <f aca="false">D6*(1-x_testy)</f>
        <v>0</v>
      </c>
      <c r="AE6" s="0" t="n">
        <f aca="false">E6*(1-x_testy)</f>
        <v>0</v>
      </c>
      <c r="AF6" s="0" t="n">
        <f aca="false">F6*x_NAV</f>
        <v>0</v>
      </c>
      <c r="AG6" s="0" t="n">
        <f aca="false">G6*x_FIX*(1-x_testy)</f>
        <v>0</v>
      </c>
      <c r="AH6" s="0" t="n">
        <f aca="false">x_z_F*U6+(1-x_AGRI)*x_EMP*x_WLOSS*(x_PEN_K74*Q6+x_PEN_C22*R6)</f>
        <v>45627338.0029464</v>
      </c>
      <c r="AI6" s="0" t="n">
        <f aca="false">x_AGRI*x_EMP*x_WLOSS*(x_PEN_K74*Q6+x_PEN_C22*R6)</f>
        <v>2809440.07529219</v>
      </c>
      <c r="AJ6" s="0" t="n">
        <f aca="false">x_EMP*x_WAGE*(x_WLOSS*(Q6+R6)+S6)+U6*x_ABS_D*x_WAGE/365</f>
        <v>411089281.809619</v>
      </c>
      <c r="AK6" s="0" t="n">
        <f aca="false">AJ6*x_R_FUS</f>
        <v>130068648.764563</v>
      </c>
      <c r="AL6" s="0" t="n">
        <f aca="false">AJ6*x_R_NFZ</f>
        <v>31925604.7146168</v>
      </c>
      <c r="AM6" s="0" t="n">
        <f aca="false">AJ6*x_R_PIT</f>
        <v>27330931.2776751</v>
      </c>
      <c r="AN6" s="0" t="n">
        <f aca="false">AJ6*x_R_FP</f>
        <v>10482776.6861453</v>
      </c>
      <c r="AO6" s="0" t="n">
        <f aca="false">AA6+AB6+AC6+AD6+AF6</f>
        <v>435078141.55286</v>
      </c>
      <c r="AP6" s="0" t="n">
        <f aca="false">AO6+AE6+AG6+AH6+AI6+AK6+AL6+AM6+AN6</f>
        <v>683322881.074099</v>
      </c>
      <c r="AQ6" s="0" t="n">
        <f aca="false">AO6+AE6+AG6+AJ6</f>
        <v>846167423.362478</v>
      </c>
      <c r="AR6" s="0" t="n">
        <f aca="false">AB6+AC6+AD6+AF6</f>
        <v>137833427.610024</v>
      </c>
      <c r="AS6" s="0" t="n">
        <f aca="false">AR6+AE6+AG6</f>
        <v>137833427.610024</v>
      </c>
    </row>
    <row r="7" customFormat="false" ht="15" hidden="false" customHeight="false" outlineLevel="0" collapsed="false">
      <c r="A7" s="0" t="n">
        <v>2030</v>
      </c>
      <c r="B7" s="0" t="n">
        <v>4</v>
      </c>
      <c r="C7" s="0" t="n">
        <v>4832</v>
      </c>
      <c r="D7" s="0" t="n">
        <v>0</v>
      </c>
      <c r="E7" s="0" t="n">
        <v>0</v>
      </c>
      <c r="F7" s="0" t="n">
        <v>0</v>
      </c>
      <c r="G7" s="0" t="n">
        <v>0</v>
      </c>
      <c r="H7" s="0" t="n">
        <v>2263.649</v>
      </c>
      <c r="I7" s="0" t="n">
        <v>258.71</v>
      </c>
      <c r="J7" s="0" t="n">
        <v>1590.035</v>
      </c>
      <c r="K7" s="0" t="n">
        <v>2666.072</v>
      </c>
      <c r="L7" s="0" t="n">
        <v>1446.439</v>
      </c>
      <c r="M7" s="0" t="n">
        <v>22759</v>
      </c>
      <c r="N7" s="0" t="n">
        <v>2197.668</v>
      </c>
      <c r="O7" s="0" t="n">
        <v>89.202</v>
      </c>
      <c r="P7" s="0" t="n">
        <v>88.663</v>
      </c>
      <c r="Q7" s="0" t="n">
        <v>2194.943</v>
      </c>
      <c r="R7" s="0" t="n">
        <v>1885.483</v>
      </c>
      <c r="S7" s="0" t="n">
        <v>2871.709</v>
      </c>
      <c r="T7" s="0" t="n">
        <v>2522.359</v>
      </c>
      <c r="U7" s="0" t="n">
        <v>1555.596</v>
      </c>
      <c r="V7" s="0" t="n">
        <v>118203.524</v>
      </c>
      <c r="W7" s="0" t="n">
        <v>311.65</v>
      </c>
      <c r="X7" s="0" t="n">
        <v>834.807</v>
      </c>
      <c r="Y7" s="0" t="n">
        <v>89.202</v>
      </c>
      <c r="Z7" s="0" t="n">
        <v>953.972</v>
      </c>
      <c r="AA7" s="0" t="n">
        <f aca="false">H7*x_c_F+I7*x_c_CC+J7*x_c_DC+K7*x_c_HCC+L7*x_c_PLT+M7*x_c_SVRn+N7*x_c_SVRcc+O7*x_c_LT+P7*x_c_LT1</f>
        <v>305201648.026929</v>
      </c>
      <c r="AB7" s="0" t="n">
        <f aca="false">C7*x_c_DAA</f>
        <v>109976320</v>
      </c>
      <c r="AC7" s="0" t="n">
        <f aca="false">C7*x_c_MON</f>
        <v>27857107.6100244</v>
      </c>
      <c r="AD7" s="0" t="n">
        <f aca="false">D7*(1-x_testy)</f>
        <v>0</v>
      </c>
      <c r="AE7" s="0" t="n">
        <f aca="false">E7*(1-x_testy)</f>
        <v>0</v>
      </c>
      <c r="AF7" s="0" t="n">
        <f aca="false">F7*x_NAV</f>
        <v>0</v>
      </c>
      <c r="AG7" s="0" t="n">
        <f aca="false">G7*x_FIX*(1-x_testy)</f>
        <v>0</v>
      </c>
      <c r="AH7" s="0" t="n">
        <f aca="false">x_z_F*U7+(1-x_AGRI)*x_EMP*x_WLOSS*(x_PEN_K74*Q7+x_PEN_C22*R7)</f>
        <v>46790677.6379864</v>
      </c>
      <c r="AI7" s="0" t="n">
        <f aca="false">x_AGRI*x_EMP*x_WLOSS*(x_PEN_K74*Q7+x_PEN_C22*R7)</f>
        <v>2881381.75590426</v>
      </c>
      <c r="AJ7" s="0" t="n">
        <f aca="false">x_EMP*x_WAGE*(x_WLOSS*(Q7+R7)+S7)+U7*x_ABS_D*x_WAGE/365</f>
        <v>472555217.378182</v>
      </c>
      <c r="AK7" s="0" t="n">
        <f aca="false">AJ7*x_R_FUS</f>
        <v>149516470.778457</v>
      </c>
      <c r="AL7" s="0" t="n">
        <f aca="false">AJ7*x_R_NFZ</f>
        <v>36699110.736807</v>
      </c>
      <c r="AM7" s="0" t="n">
        <f aca="false">AJ7*x_R_PIT</f>
        <v>31417443.2235653</v>
      </c>
      <c r="AN7" s="0" t="n">
        <f aca="false">AJ7*x_R_FP</f>
        <v>12050158.0431436</v>
      </c>
      <c r="AO7" s="0" t="n">
        <f aca="false">AA7+AB7+AC7+AD7+AF7</f>
        <v>443035075.636953</v>
      </c>
      <c r="AP7" s="0" t="n">
        <f aca="false">AO7+AE7+AG7+AH7+AI7+AK7+AL7+AM7+AN7</f>
        <v>722390317.812817</v>
      </c>
      <c r="AQ7" s="0" t="n">
        <f aca="false">AO7+AE7+AG7+AJ7</f>
        <v>915590293.015135</v>
      </c>
      <c r="AR7" s="0" t="n">
        <f aca="false">AB7+AC7+AD7+AF7</f>
        <v>137833427.610024</v>
      </c>
      <c r="AS7" s="0" t="n">
        <f aca="false">AR7+AE7+AG7</f>
        <v>137833427.610024</v>
      </c>
    </row>
    <row r="8" customFormat="false" ht="15" hidden="false" customHeight="false" outlineLevel="0" collapsed="false">
      <c r="A8" s="0" t="n">
        <v>2031</v>
      </c>
      <c r="B8" s="0" t="n">
        <v>5</v>
      </c>
      <c r="C8" s="0" t="n">
        <v>4832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2249.476</v>
      </c>
      <c r="I8" s="0" t="n">
        <v>271.252</v>
      </c>
      <c r="J8" s="0" t="n">
        <v>1616.09</v>
      </c>
      <c r="K8" s="0" t="n">
        <v>2738.254</v>
      </c>
      <c r="L8" s="0" t="n">
        <v>1431.964</v>
      </c>
      <c r="M8" s="0" t="n">
        <v>26634.076</v>
      </c>
      <c r="N8" s="0" t="n">
        <v>2630.502</v>
      </c>
      <c r="O8" s="0" t="n">
        <v>90.728</v>
      </c>
      <c r="P8" s="0" t="n">
        <v>89.965</v>
      </c>
      <c r="Q8" s="0" t="n">
        <v>2230.668</v>
      </c>
      <c r="R8" s="0" t="n">
        <v>1963.977</v>
      </c>
      <c r="S8" s="0" t="n">
        <v>3546.222</v>
      </c>
      <c r="T8" s="0" t="n">
        <v>2520.729</v>
      </c>
      <c r="U8" s="0" t="n">
        <v>1590.528</v>
      </c>
      <c r="V8" s="0" t="n">
        <v>119508.274</v>
      </c>
      <c r="W8" s="0" t="n">
        <v>322.934</v>
      </c>
      <c r="X8" s="0" t="n">
        <v>860.79</v>
      </c>
      <c r="Y8" s="0" t="n">
        <v>90.728</v>
      </c>
      <c r="Z8" s="0" t="n">
        <v>974.025</v>
      </c>
      <c r="AA8" s="0" t="n">
        <f aca="false">H8*x_c_F+I8*x_c_CC+J8*x_c_DC+K8*x_c_HCC+L8*x_c_PLT+M8*x_c_SVRn+N8*x_c_SVRcc+O8*x_c_LT+P8*x_c_LT1</f>
        <v>313920966.595202</v>
      </c>
      <c r="AB8" s="0" t="n">
        <f aca="false">C8*x_c_DAA</f>
        <v>109976320</v>
      </c>
      <c r="AC8" s="0" t="n">
        <f aca="false">C8*x_c_MON</f>
        <v>27857107.6100244</v>
      </c>
      <c r="AD8" s="0" t="n">
        <f aca="false">D8*(1-x_testy)</f>
        <v>0</v>
      </c>
      <c r="AE8" s="0" t="n">
        <f aca="false">E8*(1-x_testy)</f>
        <v>0</v>
      </c>
      <c r="AF8" s="0" t="n">
        <f aca="false">F8*x_NAV</f>
        <v>0</v>
      </c>
      <c r="AG8" s="0" t="n">
        <f aca="false">G8*x_FIX*(1-x_testy)</f>
        <v>0</v>
      </c>
      <c r="AH8" s="0" t="n">
        <f aca="false">x_z_F*U8+(1-x_AGRI)*x_EMP*x_WLOSS*(x_PEN_K74*Q8+x_PEN_C22*R8)</f>
        <v>48118000.6044242</v>
      </c>
      <c r="AI8" s="0" t="n">
        <f aca="false">x_AGRI*x_EMP*x_WLOSS*(x_PEN_K74*Q8+x_PEN_C22*R8)</f>
        <v>2964368.29563672</v>
      </c>
      <c r="AJ8" s="0" t="n">
        <f aca="false">x_EMP*x_WAGE*(x_WLOSS*(Q8+R8)+S8)+U8*x_ABS_D*x_WAGE/365</f>
        <v>536413324.996457</v>
      </c>
      <c r="AK8" s="0" t="n">
        <f aca="false">AJ8*x_R_FUS</f>
        <v>169721176.028879</v>
      </c>
      <c r="AL8" s="0" t="n">
        <f aca="false">AJ8*x_R_NFZ</f>
        <v>41658395.2325498</v>
      </c>
      <c r="AM8" s="0" t="n">
        <f aca="false">AJ8*x_R_PIT</f>
        <v>35662996.7518758</v>
      </c>
      <c r="AN8" s="0" t="n">
        <f aca="false">AJ8*x_R_FP</f>
        <v>13678539.7874096</v>
      </c>
      <c r="AO8" s="0" t="n">
        <f aca="false">AA8+AB8+AC8+AD8+AF8</f>
        <v>451754394.205227</v>
      </c>
      <c r="AP8" s="0" t="n">
        <f aca="false">AO8+AE8+AG8+AH8+AI8+AK8+AL8+AM8+AN8</f>
        <v>763557870.906002</v>
      </c>
      <c r="AQ8" s="0" t="n">
        <f aca="false">AO8+AE8+AG8+AJ8</f>
        <v>988167719.201683</v>
      </c>
      <c r="AR8" s="0" t="n">
        <f aca="false">AB8+AC8+AD8+AF8</f>
        <v>137833427.610024</v>
      </c>
      <c r="AS8" s="0" t="n">
        <f aca="false">AR8+AE8+AG8</f>
        <v>137833427.610024</v>
      </c>
    </row>
    <row r="9" customFormat="false" ht="15" hidden="false" customHeight="false" outlineLevel="0" collapsed="false">
      <c r="A9" s="0" t="n">
        <v>2032</v>
      </c>
      <c r="B9" s="0" t="n">
        <v>6</v>
      </c>
      <c r="C9" s="0" t="n">
        <v>4832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2236.247</v>
      </c>
      <c r="I9" s="0" t="n">
        <v>282.847</v>
      </c>
      <c r="J9" s="0" t="n">
        <v>1647.059</v>
      </c>
      <c r="K9" s="0" t="n">
        <v>2812.173</v>
      </c>
      <c r="L9" s="0" t="n">
        <v>1418.185</v>
      </c>
      <c r="M9" s="0" t="n">
        <v>30425.008</v>
      </c>
      <c r="N9" s="0" t="n">
        <v>3069.267</v>
      </c>
      <c r="O9" s="0" t="n">
        <v>92.542</v>
      </c>
      <c r="P9" s="0" t="n">
        <v>91.635</v>
      </c>
      <c r="Q9" s="0" t="n">
        <v>2272.551</v>
      </c>
      <c r="R9" s="0" t="n">
        <v>2046.171</v>
      </c>
      <c r="S9" s="0" t="n">
        <v>4241.049</v>
      </c>
      <c r="T9" s="0" t="n">
        <v>2519.094</v>
      </c>
      <c r="U9" s="0" t="n">
        <v>1623.998</v>
      </c>
      <c r="V9" s="0" t="n">
        <v>120830.923</v>
      </c>
      <c r="W9" s="0" t="n">
        <v>332.945</v>
      </c>
      <c r="X9" s="0" t="n">
        <v>882.962</v>
      </c>
      <c r="Y9" s="0" t="n">
        <v>92.542</v>
      </c>
      <c r="Z9" s="0" t="n">
        <v>995.927</v>
      </c>
      <c r="AA9" s="0" t="n">
        <f aca="false">H9*x_c_F+I9*x_c_CC+J9*x_c_DC+K9*x_c_HCC+L9*x_c_PLT+M9*x_c_SVRn+N9*x_c_SVRcc+O9*x_c_LT+P9*x_c_LT1</f>
        <v>322938988.535583</v>
      </c>
      <c r="AB9" s="0" t="n">
        <f aca="false">C9*x_c_DAA</f>
        <v>109976320</v>
      </c>
      <c r="AC9" s="0" t="n">
        <f aca="false">C9*x_c_MON</f>
        <v>27857107.6100244</v>
      </c>
      <c r="AD9" s="0" t="n">
        <f aca="false">D9*(1-x_testy)</f>
        <v>0</v>
      </c>
      <c r="AE9" s="0" t="n">
        <f aca="false">E9*(1-x_testy)</f>
        <v>0</v>
      </c>
      <c r="AF9" s="0" t="n">
        <f aca="false">F9*x_NAV</f>
        <v>0</v>
      </c>
      <c r="AG9" s="0" t="n">
        <f aca="false">G9*x_FIX*(1-x_testy)</f>
        <v>0</v>
      </c>
      <c r="AH9" s="0" t="n">
        <f aca="false">x_z_F*U9+(1-x_AGRI)*x_EMP*x_WLOSS*(x_PEN_K74*Q9+x_PEN_C22*R9)</f>
        <v>49546461.2273924</v>
      </c>
      <c r="AI9" s="0" t="n">
        <f aca="false">x_AGRI*x_EMP*x_WLOSS*(x_PEN_K74*Q9+x_PEN_C22*R9)</f>
        <v>3054238.51373166</v>
      </c>
      <c r="AJ9" s="0" t="n">
        <f aca="false">x_EMP*x_WAGE*(x_WLOSS*(Q9+R9)+S9)+U9*x_ABS_D*x_WAGE/365</f>
        <v>602538215.109658</v>
      </c>
      <c r="AK9" s="0" t="n">
        <f aca="false">AJ9*x_R_FUS</f>
        <v>190643091.260696</v>
      </c>
      <c r="AL9" s="0" t="n">
        <f aca="false">AJ9*x_R_NFZ</f>
        <v>46793720.3236312</v>
      </c>
      <c r="AM9" s="0" t="n">
        <f aca="false">AJ9*x_R_PIT</f>
        <v>40059255.4416479</v>
      </c>
      <c r="AN9" s="0" t="n">
        <f aca="false">AJ9*x_R_FP</f>
        <v>15364724.4852963</v>
      </c>
      <c r="AO9" s="0" t="n">
        <f aca="false">AA9+AB9+AC9+AD9+AF9</f>
        <v>460772416.145608</v>
      </c>
      <c r="AP9" s="0" t="n">
        <f aca="false">AO9+AE9+AG9+AH9+AI9+AK9+AL9+AM9+AN9</f>
        <v>806233907.398003</v>
      </c>
      <c r="AQ9" s="0" t="n">
        <f aca="false">AO9+AE9+AG9+AJ9</f>
        <v>1063310631.25527</v>
      </c>
      <c r="AR9" s="0" t="n">
        <f aca="false">AB9+AC9+AD9+AF9</f>
        <v>137833427.610024</v>
      </c>
      <c r="AS9" s="0" t="n">
        <f aca="false">AR9+AE9+AG9</f>
        <v>137833427.610024</v>
      </c>
    </row>
    <row r="10" customFormat="false" ht="15" hidden="false" customHeight="false" outlineLevel="0" collapsed="false">
      <c r="A10" s="0" t="n">
        <v>2033</v>
      </c>
      <c r="B10" s="0" t="n">
        <v>7</v>
      </c>
      <c r="C10" s="0" t="n">
        <v>4832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2224.233</v>
      </c>
      <c r="I10" s="0" t="n">
        <v>293.219</v>
      </c>
      <c r="J10" s="0" t="n">
        <v>1680.533</v>
      </c>
      <c r="K10" s="0" t="n">
        <v>2883.148</v>
      </c>
      <c r="L10" s="0" t="n">
        <v>1405.327</v>
      </c>
      <c r="M10" s="0" t="n">
        <v>34132.208</v>
      </c>
      <c r="N10" s="0" t="n">
        <v>3510.756</v>
      </c>
      <c r="O10" s="0" t="n">
        <v>94.493</v>
      </c>
      <c r="P10" s="0" t="n">
        <v>93.517</v>
      </c>
      <c r="Q10" s="0" t="n">
        <v>2318.976</v>
      </c>
      <c r="R10" s="0" t="n">
        <v>2128.603</v>
      </c>
      <c r="S10" s="0" t="n">
        <v>4956.95</v>
      </c>
      <c r="T10" s="0" t="n">
        <v>2517.452</v>
      </c>
      <c r="U10" s="0" t="n">
        <v>1656.052</v>
      </c>
      <c r="V10" s="0" t="n">
        <v>122162.841</v>
      </c>
      <c r="W10" s="0" t="n">
        <v>341.368</v>
      </c>
      <c r="X10" s="0" t="n">
        <v>900.889</v>
      </c>
      <c r="Y10" s="0" t="n">
        <v>94.493</v>
      </c>
      <c r="Z10" s="0" t="n">
        <v>1018.015</v>
      </c>
      <c r="AA10" s="0" t="n">
        <f aca="false">H10*x_c_F+I10*x_c_CC+J10*x_c_DC+K10*x_c_HCC+L10*x_c_PLT+M10*x_c_SVRn+N10*x_c_SVRcc+O10*x_c_LT+P10*x_c_LT1</f>
        <v>331856604.266601</v>
      </c>
      <c r="AB10" s="0" t="n">
        <f aca="false">C10*x_c_DAA</f>
        <v>109976320</v>
      </c>
      <c r="AC10" s="0" t="n">
        <f aca="false">C10*x_c_MON</f>
        <v>27857107.6100244</v>
      </c>
      <c r="AD10" s="0" t="n">
        <f aca="false">D10*(1-x_testy)</f>
        <v>0</v>
      </c>
      <c r="AE10" s="0" t="n">
        <f aca="false">E10*(1-x_testy)</f>
        <v>0</v>
      </c>
      <c r="AF10" s="0" t="n">
        <f aca="false">F10*x_NAV</f>
        <v>0</v>
      </c>
      <c r="AG10" s="0" t="n">
        <f aca="false">G10*x_FIX*(1-x_testy)</f>
        <v>0</v>
      </c>
      <c r="AH10" s="0" t="n">
        <f aca="false">x_z_F*U10+(1-x_AGRI)*x_EMP*x_WLOSS*(x_PEN_K74*Q10+x_PEN_C22*R10)</f>
        <v>51020374.2414917</v>
      </c>
      <c r="AI10" s="0" t="n">
        <f aca="false">x_AGRI*x_EMP*x_WLOSS*(x_PEN_K74*Q10+x_PEN_C22*R10)</f>
        <v>3147305.46999674</v>
      </c>
      <c r="AJ10" s="0" t="n">
        <f aca="false">x_EMP*x_WAGE*(x_WLOSS*(Q10+R10)+S10)+U10*x_ABS_D*x_WAGE/365</f>
        <v>670717124.903488</v>
      </c>
      <c r="AK10" s="0" t="n">
        <f aca="false">AJ10*x_R_FUS</f>
        <v>212214898.319464</v>
      </c>
      <c r="AL10" s="0" t="n">
        <f aca="false">AJ10*x_R_NFZ</f>
        <v>52088562.6371298</v>
      </c>
      <c r="AM10" s="0" t="n">
        <f aca="false">AJ10*x_R_PIT</f>
        <v>44592073.9329481</v>
      </c>
      <c r="AN10" s="0" t="n">
        <f aca="false">AJ10*x_R_FP</f>
        <v>17103286.6850389</v>
      </c>
      <c r="AO10" s="0" t="n">
        <f aca="false">AA10+AB10+AC10+AD10+AF10</f>
        <v>469690031.876626</v>
      </c>
      <c r="AP10" s="0" t="n">
        <f aca="false">AO10+AE10+AG10+AH10+AI10+AK10+AL10+AM10+AN10</f>
        <v>849856533.162694</v>
      </c>
      <c r="AQ10" s="0" t="n">
        <f aca="false">AO10+AE10+AG10+AJ10</f>
        <v>1140407156.78011</v>
      </c>
      <c r="AR10" s="0" t="n">
        <f aca="false">AB10+AC10+AD10+AF10</f>
        <v>137833427.610024</v>
      </c>
      <c r="AS10" s="0" t="n">
        <f aca="false">AR10+AE10+AG10</f>
        <v>137833427.610024</v>
      </c>
    </row>
    <row r="11" customFormat="false" ht="15" hidden="false" customHeight="false" outlineLevel="0" collapsed="false">
      <c r="A11" s="0" t="n">
        <v>2034</v>
      </c>
      <c r="B11" s="0" t="n">
        <v>8</v>
      </c>
      <c r="C11" s="0" t="n">
        <v>4832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2213.629</v>
      </c>
      <c r="I11" s="0" t="n">
        <v>302.172</v>
      </c>
      <c r="J11" s="0" t="n">
        <v>1714.258</v>
      </c>
      <c r="K11" s="0" t="n">
        <v>2947.492</v>
      </c>
      <c r="L11" s="0" t="n">
        <v>1393.462</v>
      </c>
      <c r="M11" s="0" t="n">
        <v>37756.249</v>
      </c>
      <c r="N11" s="0" t="n">
        <v>3951.388</v>
      </c>
      <c r="O11" s="0" t="n">
        <v>96.443</v>
      </c>
      <c r="P11" s="0" t="n">
        <v>95.468</v>
      </c>
      <c r="Q11" s="0" t="n">
        <v>2368.312</v>
      </c>
      <c r="R11" s="0" t="n">
        <v>2208.491</v>
      </c>
      <c r="S11" s="0" t="n">
        <v>5693.415</v>
      </c>
      <c r="T11" s="0" t="n">
        <v>2515.801</v>
      </c>
      <c r="U11" s="0" t="n">
        <v>1686.729</v>
      </c>
      <c r="V11" s="0" t="n">
        <v>123496.531</v>
      </c>
      <c r="W11" s="0" t="n">
        <v>348.005</v>
      </c>
      <c r="X11" s="0" t="n">
        <v>914.329</v>
      </c>
      <c r="Y11" s="0" t="n">
        <v>96.443</v>
      </c>
      <c r="Z11" s="0" t="n">
        <v>1038.863</v>
      </c>
      <c r="AA11" s="0" t="n">
        <f aca="false">H11*x_c_F+I11*x_c_CC+J11*x_c_DC+K11*x_c_HCC+L11*x_c_PLT+M11*x_c_SVRn+N11*x_c_SVRcc+O11*x_c_LT+P11*x_c_LT1</f>
        <v>340339500.842963</v>
      </c>
      <c r="AB11" s="0" t="n">
        <f aca="false">C11*x_c_DAA</f>
        <v>109976320</v>
      </c>
      <c r="AC11" s="0" t="n">
        <f aca="false">C11*x_c_MON</f>
        <v>27857107.6100244</v>
      </c>
      <c r="AD11" s="0" t="n">
        <f aca="false">D11*(1-x_testy)</f>
        <v>0</v>
      </c>
      <c r="AE11" s="0" t="n">
        <f aca="false">E11*(1-x_testy)</f>
        <v>0</v>
      </c>
      <c r="AF11" s="0" t="n">
        <f aca="false">F11*x_NAV</f>
        <v>0</v>
      </c>
      <c r="AG11" s="0" t="n">
        <f aca="false">G11*x_FIX*(1-x_testy)</f>
        <v>0</v>
      </c>
      <c r="AH11" s="0" t="n">
        <f aca="false">x_z_F*U11+(1-x_AGRI)*x_EMP*x_WLOSS*(x_PEN_K74*Q11+x_PEN_C22*R11)</f>
        <v>52491655.5570345</v>
      </c>
      <c r="AI11" s="0" t="n">
        <f aca="false">x_AGRI*x_EMP*x_WLOSS*(x_PEN_K74*Q11+x_PEN_C22*R11)</f>
        <v>3240385.59860803</v>
      </c>
      <c r="AJ11" s="0" t="n">
        <f aca="false">x_EMP*x_WAGE*(x_WLOSS*(Q11+R11)+S11)+U11*x_ABS_D*x_WAGE/365</f>
        <v>740665356.421159</v>
      </c>
      <c r="AK11" s="0" t="n">
        <f aca="false">AJ11*x_R_FUS</f>
        <v>234346518.771655</v>
      </c>
      <c r="AL11" s="0" t="n">
        <f aca="false">AJ11*x_R_NFZ</f>
        <v>57520812.2450237</v>
      </c>
      <c r="AM11" s="0" t="n">
        <f aca="false">AJ11*x_R_PIT</f>
        <v>49242524.3173241</v>
      </c>
      <c r="AN11" s="0" t="n">
        <f aca="false">AJ11*x_R_FP</f>
        <v>18886966.5887396</v>
      </c>
      <c r="AO11" s="0" t="n">
        <f aca="false">AA11+AB11+AC11+AD11+AF11</f>
        <v>478172928.452987</v>
      </c>
      <c r="AP11" s="0" t="n">
        <f aca="false">AO11+AE11+AG11+AH11+AI11+AK11+AL11+AM11+AN11</f>
        <v>893901791.531372</v>
      </c>
      <c r="AQ11" s="0" t="n">
        <f aca="false">AO11+AE11+AG11+AJ11</f>
        <v>1218838284.87415</v>
      </c>
      <c r="AR11" s="0" t="n">
        <f aca="false">AB11+AC11+AD11+AF11</f>
        <v>137833427.610024</v>
      </c>
      <c r="AS11" s="0" t="n">
        <f aca="false">AR11+AE11+AG11</f>
        <v>137833427.610024</v>
      </c>
    </row>
    <row r="12" customFormat="false" ht="15" hidden="false" customHeight="false" outlineLevel="0" collapsed="false">
      <c r="A12" s="0" t="n">
        <v>2035</v>
      </c>
      <c r="B12" s="0" t="n">
        <v>9</v>
      </c>
      <c r="C12" s="0" t="n">
        <v>4832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2204.561</v>
      </c>
      <c r="I12" s="0" t="n">
        <v>309.58</v>
      </c>
      <c r="J12" s="0" t="n">
        <v>1746.23</v>
      </c>
      <c r="K12" s="0" t="n">
        <v>3002.435</v>
      </c>
      <c r="L12" s="0" t="n">
        <v>1382.527</v>
      </c>
      <c r="M12" s="0" t="n">
        <v>41297.973</v>
      </c>
      <c r="N12" s="0" t="n">
        <v>4387.381</v>
      </c>
      <c r="O12" s="0" t="n">
        <v>98.276</v>
      </c>
      <c r="P12" s="0" t="n">
        <v>97.359</v>
      </c>
      <c r="Q12" s="0" t="n">
        <v>2418.985</v>
      </c>
      <c r="R12" s="0" t="n">
        <v>2283.662</v>
      </c>
      <c r="S12" s="0" t="n">
        <v>6448.861</v>
      </c>
      <c r="T12" s="0" t="n">
        <v>2514.141</v>
      </c>
      <c r="U12" s="0" t="n">
        <v>1716.052</v>
      </c>
      <c r="V12" s="0" t="n">
        <v>124825.78</v>
      </c>
      <c r="W12" s="0" t="n">
        <v>352.763</v>
      </c>
      <c r="X12" s="0" t="n">
        <v>923.239</v>
      </c>
      <c r="Y12" s="0" t="n">
        <v>98.276</v>
      </c>
      <c r="Z12" s="0" t="n">
        <v>1057.386</v>
      </c>
      <c r="AA12" s="0" t="n">
        <f aca="false">H12*x_c_F+I12*x_c_CC+J12*x_c_DC+K12*x_c_HCC+L12*x_c_PLT+M12*x_c_SVRn+N12*x_c_SVRcc+O12*x_c_LT+P12*x_c_LT1</f>
        <v>348119247.861441</v>
      </c>
      <c r="AB12" s="0" t="n">
        <f aca="false">C12*x_c_DAA</f>
        <v>109976320</v>
      </c>
      <c r="AC12" s="0" t="n">
        <f aca="false">C12*x_c_MON</f>
        <v>27857107.6100244</v>
      </c>
      <c r="AD12" s="0" t="n">
        <f aca="false">D12*(1-x_testy)</f>
        <v>0</v>
      </c>
      <c r="AE12" s="0" t="n">
        <f aca="false">E12*(1-x_testy)</f>
        <v>0</v>
      </c>
      <c r="AF12" s="0" t="n">
        <f aca="false">F12*x_NAV</f>
        <v>0</v>
      </c>
      <c r="AG12" s="0" t="n">
        <f aca="false">G12*x_FIX*(1-x_testy)</f>
        <v>0</v>
      </c>
      <c r="AH12" s="0" t="n">
        <f aca="false">x_z_F*U12+(1-x_AGRI)*x_EMP*x_WLOSS*(x_PEN_K74*Q12+x_PEN_C22*R12)</f>
        <v>53919716.4348153</v>
      </c>
      <c r="AI12" s="0" t="n">
        <f aca="false">x_AGRI*x_EMP*x_WLOSS*(x_PEN_K74*Q12+x_PEN_C22*R12)</f>
        <v>3330792.93628883</v>
      </c>
      <c r="AJ12" s="0" t="n">
        <f aca="false">x_EMP*x_WAGE*(x_WLOSS*(Q12+R12)+S12)+U12*x_ABS_D*x_WAGE/365</f>
        <v>812043101.129551</v>
      </c>
      <c r="AK12" s="0" t="n">
        <f aca="false">AJ12*x_R_FUS</f>
        <v>256930437.19739</v>
      </c>
      <c r="AL12" s="0" t="n">
        <f aca="false">AJ12*x_R_NFZ</f>
        <v>63064079.2768221</v>
      </c>
      <c r="AM12" s="0" t="n">
        <f aca="false">AJ12*x_R_PIT</f>
        <v>53988014.7051858</v>
      </c>
      <c r="AN12" s="0" t="n">
        <f aca="false">AJ12*x_R_FP</f>
        <v>20707099.0788036</v>
      </c>
      <c r="AO12" s="0" t="n">
        <f aca="false">AA12+AB12+AC12+AD12+AF12</f>
        <v>485952675.471466</v>
      </c>
      <c r="AP12" s="0" t="n">
        <f aca="false">AO12+AE12+AG12+AH12+AI12+AK12+AL12+AM12+AN12</f>
        <v>937892815.100771</v>
      </c>
      <c r="AQ12" s="0" t="n">
        <f aca="false">AO12+AE12+AG12+AJ12</f>
        <v>1297995776.60102</v>
      </c>
      <c r="AR12" s="0" t="n">
        <f aca="false">AB12+AC12+AD12+AF12</f>
        <v>137833427.610024</v>
      </c>
      <c r="AS12" s="0" t="n">
        <f aca="false">AR12+AE12+AG12</f>
        <v>137833427.610024</v>
      </c>
    </row>
    <row r="13" customFormat="false" ht="15" hidden="false" customHeight="false" outlineLevel="0" collapsed="false">
      <c r="A13" s="0" t="n">
        <v>2036</v>
      </c>
      <c r="B13" s="0" t="n">
        <v>10</v>
      </c>
      <c r="C13" s="0" t="n">
        <v>4832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2197.101</v>
      </c>
      <c r="I13" s="0" t="n">
        <v>315.372</v>
      </c>
      <c r="J13" s="0" t="n">
        <v>1774.721</v>
      </c>
      <c r="K13" s="0" t="n">
        <v>3045.991</v>
      </c>
      <c r="L13" s="0" t="n">
        <v>1372.329</v>
      </c>
      <c r="M13" s="0" t="n">
        <v>44757.851</v>
      </c>
      <c r="N13" s="0" t="n">
        <v>4814.782</v>
      </c>
      <c r="O13" s="0" t="n">
        <v>99.888</v>
      </c>
      <c r="P13" s="0" t="n">
        <v>99.082</v>
      </c>
      <c r="Q13" s="0" t="n">
        <v>2469.528</v>
      </c>
      <c r="R13" s="0" t="n">
        <v>2352.49</v>
      </c>
      <c r="S13" s="0" t="n">
        <v>7220.787</v>
      </c>
      <c r="T13" s="0" t="n">
        <v>2512.473</v>
      </c>
      <c r="U13" s="0" t="n">
        <v>1744.048</v>
      </c>
      <c r="V13" s="0" t="n">
        <v>126144.52</v>
      </c>
      <c r="W13" s="0" t="n">
        <v>355.61</v>
      </c>
      <c r="X13" s="0" t="n">
        <v>927.665</v>
      </c>
      <c r="Y13" s="0" t="n">
        <v>99.888</v>
      </c>
      <c r="Z13" s="0" t="n">
        <v>1072.677</v>
      </c>
      <c r="AA13" s="0" t="n">
        <f aca="false">H13*x_c_F+I13*x_c_CC+J13*x_c_DC+K13*x_c_HCC+L13*x_c_PLT+M13*x_c_SVRn+N13*x_c_SVRcc+O13*x_c_LT+P13*x_c_LT1</f>
        <v>354982120.915838</v>
      </c>
      <c r="AB13" s="0" t="n">
        <f aca="false">C13*x_c_DAA</f>
        <v>109976320</v>
      </c>
      <c r="AC13" s="0" t="n">
        <f aca="false">C13*x_c_MON</f>
        <v>27857107.6100244</v>
      </c>
      <c r="AD13" s="0" t="n">
        <f aca="false">D13*(1-x_testy)</f>
        <v>0</v>
      </c>
      <c r="AE13" s="0" t="n">
        <f aca="false">E13*(1-x_testy)</f>
        <v>0</v>
      </c>
      <c r="AF13" s="0" t="n">
        <f aca="false">F13*x_NAV</f>
        <v>0</v>
      </c>
      <c r="AG13" s="0" t="n">
        <f aca="false">G13*x_FIX*(1-x_testy)</f>
        <v>0</v>
      </c>
      <c r="AH13" s="0" t="n">
        <f aca="false">x_z_F*U13+(1-x_AGRI)*x_EMP*x_WLOSS*(x_PEN_K74*Q13+x_PEN_C22*R13)</f>
        <v>55271298.9800839</v>
      </c>
      <c r="AI13" s="0" t="n">
        <f aca="false">x_AGRI*x_EMP*x_WLOSS*(x_PEN_K74*Q13+x_PEN_C22*R13)</f>
        <v>3416325.53094724</v>
      </c>
      <c r="AJ13" s="0" t="n">
        <f aca="false">x_EMP*x_WAGE*(x_WLOSS*(Q13+R13)+S13)+U13*x_ABS_D*x_WAGE/365</f>
        <v>884468057.810228</v>
      </c>
      <c r="AK13" s="0" t="n">
        <f aca="false">AJ13*x_R_FUS</f>
        <v>279845693.491156</v>
      </c>
      <c r="AL13" s="0" t="n">
        <f aca="false">AJ13*x_R_NFZ</f>
        <v>68688673.8376001</v>
      </c>
      <c r="AM13" s="0" t="n">
        <f aca="false">AJ13*x_R_PIT</f>
        <v>58803128.1158654</v>
      </c>
      <c r="AN13" s="0" t="n">
        <f aca="false">AJ13*x_R_FP</f>
        <v>22553935.4741608</v>
      </c>
      <c r="AO13" s="0" t="n">
        <f aca="false">AA13+AB13+AC13+AD13+AF13</f>
        <v>492815548.525862</v>
      </c>
      <c r="AP13" s="0" t="n">
        <f aca="false">AO13+AE13+AG13+AH13+AI13+AK13+AL13+AM13+AN13</f>
        <v>981394603.955676</v>
      </c>
      <c r="AQ13" s="0" t="n">
        <f aca="false">AO13+AE13+AG13+AJ13</f>
        <v>1377283606.33609</v>
      </c>
      <c r="AR13" s="0" t="n">
        <f aca="false">AB13+AC13+AD13+AF13</f>
        <v>137833427.610024</v>
      </c>
      <c r="AS13" s="0" t="n">
        <f aca="false">AR13+AE13+AG13</f>
        <v>137833427.610024</v>
      </c>
    </row>
    <row r="14" customFormat="false" ht="15" hidden="false" customHeight="false" outlineLevel="0" collapsed="false">
      <c r="A14" s="0" t="n">
        <v>2037</v>
      </c>
      <c r="B14" s="0" t="n">
        <v>11</v>
      </c>
      <c r="C14" s="0" t="n">
        <v>4832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2191.273</v>
      </c>
      <c r="I14" s="0" t="n">
        <v>319.523</v>
      </c>
      <c r="J14" s="0" t="n">
        <v>1798.289</v>
      </c>
      <c r="K14" s="0" t="n">
        <v>3076.825</v>
      </c>
      <c r="L14" s="0" t="n">
        <v>1362.555</v>
      </c>
      <c r="M14" s="0" t="n">
        <v>48135.673</v>
      </c>
      <c r="N14" s="0" t="n">
        <v>5229.543</v>
      </c>
      <c r="O14" s="0" t="n">
        <v>101.2</v>
      </c>
      <c r="P14" s="0" t="n">
        <v>100.544</v>
      </c>
      <c r="Q14" s="0" t="n">
        <v>2518.59</v>
      </c>
      <c r="R14" s="0" t="n">
        <v>2413.799</v>
      </c>
      <c r="S14" s="0" t="n">
        <v>8005.884</v>
      </c>
      <c r="T14" s="0" t="n">
        <v>2510.796</v>
      </c>
      <c r="U14" s="0" t="n">
        <v>1770.744</v>
      </c>
      <c r="V14" s="0" t="n">
        <v>127445.764</v>
      </c>
      <c r="W14" s="0" t="n">
        <v>356.58</v>
      </c>
      <c r="X14" s="0" t="n">
        <v>927.774</v>
      </c>
      <c r="Y14" s="0" t="n">
        <v>101.2</v>
      </c>
      <c r="Z14" s="0" t="n">
        <v>1084.115</v>
      </c>
      <c r="AA14" s="0" t="n">
        <f aca="false">H14*x_c_F+I14*x_c_CC+J14*x_c_DC+K14*x_c_HCC+L14*x_c_PLT+M14*x_c_SVRn+N14*x_c_SVRcc+O14*x_c_LT+P14*x_c_LT1</f>
        <v>360765395.705162</v>
      </c>
      <c r="AB14" s="0" t="n">
        <f aca="false">C14*x_c_DAA</f>
        <v>109976320</v>
      </c>
      <c r="AC14" s="0" t="n">
        <f aca="false">C14*x_c_MON</f>
        <v>27857107.6100244</v>
      </c>
      <c r="AD14" s="0" t="n">
        <f aca="false">D14*(1-x_testy)</f>
        <v>0</v>
      </c>
      <c r="AE14" s="0" t="n">
        <f aca="false">E14*(1-x_testy)</f>
        <v>0</v>
      </c>
      <c r="AF14" s="0" t="n">
        <f aca="false">F14*x_NAV</f>
        <v>0</v>
      </c>
      <c r="AG14" s="0" t="n">
        <f aca="false">G14*x_FIX*(1-x_testy)</f>
        <v>0</v>
      </c>
      <c r="AH14" s="0" t="n">
        <f aca="false">x_z_F*U14+(1-x_AGRI)*x_EMP*x_WLOSS*(x_PEN_K74*Q14+x_PEN_C22*R14)</f>
        <v>56519450.5239824</v>
      </c>
      <c r="AI14" s="0" t="n">
        <f aca="false">x_AGRI*x_EMP*x_WLOSS*(x_PEN_K74*Q14+x_PEN_C22*R14)</f>
        <v>3495198.19382329</v>
      </c>
      <c r="AJ14" s="0" t="n">
        <f aca="false">x_EMP*x_WAGE*(x_WLOSS*(Q14+R14)+S14)+U14*x_ABS_D*x_WAGE/365</f>
        <v>957519987.088892</v>
      </c>
      <c r="AK14" s="0" t="n">
        <f aca="false">AJ14*x_R_FUS</f>
        <v>302959323.914926</v>
      </c>
      <c r="AL14" s="0" t="n">
        <f aca="false">AJ14*x_R_NFZ</f>
        <v>74361959.7173105</v>
      </c>
      <c r="AM14" s="0" t="n">
        <f aca="false">AJ14*x_R_PIT</f>
        <v>63659925.2817459</v>
      </c>
      <c r="AN14" s="0" t="n">
        <f aca="false">AJ14*x_R_FP</f>
        <v>24416759.6707668</v>
      </c>
      <c r="AO14" s="0" t="n">
        <f aca="false">AA14+AB14+AC14+AD14+AF14</f>
        <v>498598823.315186</v>
      </c>
      <c r="AP14" s="0" t="n">
        <f aca="false">AO14+AE14+AG14+AH14+AI14+AK14+AL14+AM14+AN14</f>
        <v>1024011440.61774</v>
      </c>
      <c r="AQ14" s="0" t="n">
        <f aca="false">AO14+AE14+AG14+AJ14</f>
        <v>1456118810.40408</v>
      </c>
      <c r="AR14" s="0" t="n">
        <f aca="false">AB14+AC14+AD14+AF14</f>
        <v>137833427.610024</v>
      </c>
      <c r="AS14" s="0" t="n">
        <f aca="false">AR14+AE14+AG14</f>
        <v>137833427.610024</v>
      </c>
    </row>
    <row r="15" customFormat="false" ht="15" hidden="false" customHeight="false" outlineLevel="0" collapsed="false">
      <c r="A15" s="0" t="n">
        <v>2038</v>
      </c>
      <c r="B15" s="0" t="n">
        <v>12</v>
      </c>
      <c r="C15" s="0" t="n">
        <v>4832</v>
      </c>
      <c r="D15" s="0" t="n">
        <v>0</v>
      </c>
      <c r="E15" s="0" t="n">
        <v>0</v>
      </c>
      <c r="F15" s="0" t="n">
        <v>0</v>
      </c>
      <c r="G15" s="0" t="n">
        <v>0</v>
      </c>
      <c r="H15" s="0" t="n">
        <v>2187.061</v>
      </c>
      <c r="I15" s="0" t="n">
        <v>322.051</v>
      </c>
      <c r="J15" s="0" t="n">
        <v>1815.819</v>
      </c>
      <c r="K15" s="0" t="n">
        <v>3094.223</v>
      </c>
      <c r="L15" s="0" t="n">
        <v>1352.828</v>
      </c>
      <c r="M15" s="0" t="n">
        <v>51431.136</v>
      </c>
      <c r="N15" s="0" t="n">
        <v>5627.68</v>
      </c>
      <c r="O15" s="0" t="n">
        <v>102.149</v>
      </c>
      <c r="P15" s="0" t="n">
        <v>101.674</v>
      </c>
      <c r="Q15" s="0" t="n">
        <v>1665.312</v>
      </c>
      <c r="R15" s="0" t="n">
        <v>1615.739</v>
      </c>
      <c r="S15" s="0" t="n">
        <v>5585.256</v>
      </c>
      <c r="T15" s="0" t="n">
        <v>2509.112</v>
      </c>
      <c r="U15" s="0" t="n">
        <v>1509.119</v>
      </c>
      <c r="V15" s="0" t="n">
        <v>128724.257</v>
      </c>
      <c r="W15" s="0" t="n">
        <v>355.753</v>
      </c>
      <c r="X15" s="0" t="n">
        <v>923.806</v>
      </c>
      <c r="Y15" s="0" t="n">
        <v>102.149</v>
      </c>
      <c r="Z15" s="0" t="n">
        <v>1091.264</v>
      </c>
      <c r="AA15" s="0" t="n">
        <f aca="false">H15*x_c_F+I15*x_c_CC+J15*x_c_DC+K15*x_c_HCC+L15*x_c_PLT+M15*x_c_SVRn+N15*x_c_SVRcc+O15*x_c_LT+P15*x_c_LT1</f>
        <v>365356032.823167</v>
      </c>
      <c r="AB15" s="0" t="n">
        <f aca="false">C15*x_c_DAA</f>
        <v>109976320</v>
      </c>
      <c r="AC15" s="0" t="n">
        <f aca="false">C15*x_c_MON</f>
        <v>27857107.6100244</v>
      </c>
      <c r="AD15" s="0" t="n">
        <f aca="false">D15*(1-x_testy)</f>
        <v>0</v>
      </c>
      <c r="AE15" s="0" t="n">
        <f aca="false">E15*(1-x_testy)</f>
        <v>0</v>
      </c>
      <c r="AF15" s="0" t="n">
        <f aca="false">F15*x_NAV</f>
        <v>0</v>
      </c>
      <c r="AG15" s="0" t="n">
        <f aca="false">G15*x_FIX*(1-x_testy)</f>
        <v>0</v>
      </c>
      <c r="AH15" s="0" t="n">
        <f aca="false">x_z_F*U15+(1-x_AGRI)*x_EMP*x_WLOSS*(x_PEN_K74*Q15+x_PEN_C22*R15)</f>
        <v>38291779.6248025</v>
      </c>
      <c r="AI15" s="0" t="n">
        <f aca="false">x_AGRI*x_EMP*x_WLOSS*(x_PEN_K74*Q15+x_PEN_C22*R15)</f>
        <v>2325936.7348253</v>
      </c>
      <c r="AJ15" s="0" t="n">
        <f aca="false">x_EMP*x_WAGE*(x_WLOSS*(Q15+R15)+S15)+U15*x_ABS_D*x_WAGE/365</f>
        <v>660062360.264514</v>
      </c>
      <c r="AK15" s="0" t="n">
        <f aca="false">AJ15*x_R_FUS</f>
        <v>208843730.787692</v>
      </c>
      <c r="AL15" s="0" t="n">
        <f aca="false">AJ15*x_R_NFZ</f>
        <v>51261102.9605024</v>
      </c>
      <c r="AM15" s="0" t="n">
        <f aca="false">AJ15*x_R_PIT</f>
        <v>43883700.7084123</v>
      </c>
      <c r="AN15" s="0" t="n">
        <f aca="false">AJ15*x_R_FP</f>
        <v>16831590.1867451</v>
      </c>
      <c r="AO15" s="0" t="n">
        <f aca="false">AA15+AB15+AC15+AD15+AF15</f>
        <v>503189460.433191</v>
      </c>
      <c r="AP15" s="0" t="n">
        <f aca="false">AO15+AE15+AG15+AH15+AI15+AK15+AL15+AM15+AN15</f>
        <v>864627301.436171</v>
      </c>
      <c r="AQ15" s="0" t="n">
        <f aca="false">AO15+AE15+AG15+AJ15</f>
        <v>1163251820.69771</v>
      </c>
      <c r="AR15" s="0" t="n">
        <f aca="false">AB15+AC15+AD15+AF15</f>
        <v>137833427.610024</v>
      </c>
      <c r="AS15" s="0" t="n">
        <f aca="false">AR15+AE15+AG15</f>
        <v>137833427.610024</v>
      </c>
    </row>
    <row r="16" customFormat="false" ht="15" hidden="false" customHeight="false" outlineLevel="0" collapsed="false">
      <c r="A16" s="0" t="n">
        <v>2039</v>
      </c>
      <c r="B16" s="0" t="n">
        <v>13</v>
      </c>
      <c r="C16" s="0" t="n">
        <v>4832</v>
      </c>
      <c r="D16" s="0" t="n">
        <v>0</v>
      </c>
      <c r="E16" s="0" t="n">
        <v>0</v>
      </c>
      <c r="F16" s="0" t="n">
        <v>0</v>
      </c>
      <c r="G16" s="0" t="n">
        <v>0</v>
      </c>
      <c r="H16" s="0" t="n">
        <v>2184.415</v>
      </c>
      <c r="I16" s="0" t="n">
        <v>323.007</v>
      </c>
      <c r="J16" s="0" t="n">
        <v>1826.501</v>
      </c>
      <c r="K16" s="0" t="n">
        <v>3097.969</v>
      </c>
      <c r="L16" s="0" t="n">
        <v>1342.718</v>
      </c>
      <c r="M16" s="0" t="n">
        <v>54643.494</v>
      </c>
      <c r="N16" s="0" t="n">
        <v>6005.309</v>
      </c>
      <c r="O16" s="0" t="n">
        <v>102.694</v>
      </c>
      <c r="P16" s="0" t="n">
        <v>102.422</v>
      </c>
      <c r="Q16" s="0" t="n">
        <v>800.454</v>
      </c>
      <c r="R16" s="0" t="n">
        <v>805.421</v>
      </c>
      <c r="S16" s="0" t="n">
        <v>2907.114</v>
      </c>
      <c r="T16" s="0" t="n">
        <v>2507.422</v>
      </c>
      <c r="U16" s="0" t="n">
        <v>1262.107</v>
      </c>
      <c r="V16" s="0" t="n">
        <v>129975.071</v>
      </c>
      <c r="W16" s="0" t="n">
        <v>353.247</v>
      </c>
      <c r="X16" s="0" t="n">
        <v>916.073</v>
      </c>
      <c r="Y16" s="0" t="n">
        <v>102.694</v>
      </c>
      <c r="Z16" s="0" t="n">
        <v>1093.89</v>
      </c>
      <c r="AA16" s="0" t="n">
        <f aca="false">H16*x_c_F+I16*x_c_CC+J16*x_c_DC+K16*x_c_HCC+L16*x_c_PLT+M16*x_c_SVRn+N16*x_c_SVRcc+O16*x_c_LT+P16*x_c_LT1</f>
        <v>368684752.911373</v>
      </c>
      <c r="AB16" s="0" t="n">
        <f aca="false">C16*x_c_DAA</f>
        <v>109976320</v>
      </c>
      <c r="AC16" s="0" t="n">
        <f aca="false">C16*x_c_MON</f>
        <v>27857107.6100244</v>
      </c>
      <c r="AD16" s="0" t="n">
        <f aca="false">D16*(1-x_testy)</f>
        <v>0</v>
      </c>
      <c r="AE16" s="0" t="n">
        <f aca="false">E16*(1-x_testy)</f>
        <v>0</v>
      </c>
      <c r="AF16" s="0" t="n">
        <f aca="false">F16*x_NAV</f>
        <v>0</v>
      </c>
      <c r="AG16" s="0" t="n">
        <f aca="false">G16*x_FIX*(1-x_testy)</f>
        <v>0</v>
      </c>
      <c r="AH16" s="0" t="n">
        <f aca="false">x_z_F*U16+(1-x_AGRI)*x_EMP*x_WLOSS*(x_PEN_K74*Q16+x_PEN_C22*R16)</f>
        <v>19837777.9793797</v>
      </c>
      <c r="AI16" s="0" t="n">
        <f aca="false">x_AGRI*x_EMP*x_WLOSS*(x_PEN_K74*Q16+x_PEN_C22*R16)</f>
        <v>1139729.46559834</v>
      </c>
      <c r="AJ16" s="0" t="n">
        <f aca="false">x_EMP*x_WAGE*(x_WLOSS*(Q16+R16)+S16)+U16*x_ABS_D*x_WAGE/365</f>
        <v>339388280.905485</v>
      </c>
      <c r="AK16" s="0" t="n">
        <f aca="false">AJ16*x_R_FUS</f>
        <v>107382452.078495</v>
      </c>
      <c r="AL16" s="0" t="n">
        <f aca="false">AJ16*x_R_NFZ</f>
        <v>26357233.2834008</v>
      </c>
      <c r="AM16" s="0" t="n">
        <f aca="false">AJ16*x_R_PIT</f>
        <v>22563949.4686993</v>
      </c>
      <c r="AN16" s="0" t="n">
        <f aca="false">AJ16*x_R_FP</f>
        <v>8654401.16308986</v>
      </c>
      <c r="AO16" s="0" t="n">
        <f aca="false">AA16+AB16+AC16+AD16+AF16</f>
        <v>506518180.521397</v>
      </c>
      <c r="AP16" s="0" t="n">
        <f aca="false">AO16+AE16+AG16+AH16+AI16+AK16+AL16+AM16+AN16</f>
        <v>692453723.96006</v>
      </c>
      <c r="AQ16" s="0" t="n">
        <f aca="false">AO16+AE16+AG16+AJ16</f>
        <v>845906461.426882</v>
      </c>
      <c r="AR16" s="0" t="n">
        <f aca="false">AB16+AC16+AD16+AF16</f>
        <v>137833427.610024</v>
      </c>
      <c r="AS16" s="0" t="n">
        <f aca="false">AR16+AE16+AG16</f>
        <v>137833427.610024</v>
      </c>
    </row>
    <row r="17" customFormat="false" ht="15" hidden="false" customHeight="false" outlineLevel="0" collapsed="false">
      <c r="A17" s="0" t="n">
        <v>2040</v>
      </c>
      <c r="B17" s="0" t="n">
        <v>14</v>
      </c>
      <c r="C17" s="0" t="n">
        <v>4832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2183.257</v>
      </c>
      <c r="I17" s="0" t="n">
        <v>322.475</v>
      </c>
      <c r="J17" s="0" t="n">
        <v>1829.879</v>
      </c>
      <c r="K17" s="0" t="n">
        <v>3088.372</v>
      </c>
      <c r="L17" s="0" t="n">
        <v>1331.808</v>
      </c>
      <c r="M17" s="0" t="n">
        <v>57772.92</v>
      </c>
      <c r="N17" s="0" t="n">
        <v>6358.935</v>
      </c>
      <c r="O17" s="0" t="n">
        <v>102.814</v>
      </c>
      <c r="P17" s="0" t="n">
        <v>102.754</v>
      </c>
      <c r="Q17" s="0" t="n">
        <v>825.823</v>
      </c>
      <c r="R17" s="0" t="n">
        <v>838.72</v>
      </c>
      <c r="S17" s="0" t="n">
        <v>3188.017</v>
      </c>
      <c r="T17" s="0" t="n">
        <v>2505.732</v>
      </c>
      <c r="U17" s="0" t="n">
        <v>1316.688</v>
      </c>
      <c r="V17" s="0" t="n">
        <v>131196.037</v>
      </c>
      <c r="W17" s="0" t="n">
        <v>349.228</v>
      </c>
      <c r="X17" s="0" t="n">
        <v>904.981</v>
      </c>
      <c r="Y17" s="0" t="n">
        <v>102.814</v>
      </c>
      <c r="Z17" s="0" t="n">
        <v>1091.978</v>
      </c>
      <c r="AA17" s="0" t="n">
        <f aca="false">H17*x_c_F+I17*x_c_CC+J17*x_c_DC+K17*x_c_HCC+L17*x_c_PLT+M17*x_c_SVRn+N17*x_c_SVRcc+O17*x_c_LT+P17*x_c_LT1</f>
        <v>370731437.660808</v>
      </c>
      <c r="AB17" s="0" t="n">
        <f aca="false">C17*x_c_DAA</f>
        <v>109976320</v>
      </c>
      <c r="AC17" s="0" t="n">
        <f aca="false">C17*x_c_MON</f>
        <v>27857107.6100244</v>
      </c>
      <c r="AD17" s="0" t="n">
        <f aca="false">D17*(1-x_testy)</f>
        <v>0</v>
      </c>
      <c r="AE17" s="0" t="n">
        <f aca="false">E17*(1-x_testy)</f>
        <v>0</v>
      </c>
      <c r="AF17" s="0" t="n">
        <f aca="false">F17*x_NAV</f>
        <v>0</v>
      </c>
      <c r="AG17" s="0" t="n">
        <f aca="false">G17*x_FIX*(1-x_testy)</f>
        <v>0</v>
      </c>
      <c r="AH17" s="0" t="n">
        <f aca="false">x_z_F*U17+(1-x_AGRI)*x_EMP*x_WLOSS*(x_PEN_K74*Q17+x_PEN_C22*R17)</f>
        <v>20585249.4812114</v>
      </c>
      <c r="AI17" s="0" t="n">
        <f aca="false">x_AGRI*x_EMP*x_WLOSS*(x_PEN_K74*Q17+x_PEN_C22*R17)</f>
        <v>1181718.80451288</v>
      </c>
      <c r="AJ17" s="0" t="n">
        <f aca="false">x_EMP*x_WAGE*(x_WLOSS*(Q17+R17)+S17)+U17*x_ABS_D*x_WAGE/365</f>
        <v>366706857.382247</v>
      </c>
      <c r="AK17" s="0" t="n">
        <f aca="false">AJ17*x_R_FUS</f>
        <v>116026049.675743</v>
      </c>
      <c r="AL17" s="0" t="n">
        <f aca="false">AJ17*x_R_NFZ</f>
        <v>28478821.2511627</v>
      </c>
      <c r="AM17" s="0" t="n">
        <f aca="false">AJ17*x_R_PIT</f>
        <v>24380202.4563801</v>
      </c>
      <c r="AN17" s="0" t="n">
        <f aca="false">AJ17*x_R_FP</f>
        <v>9351024.86324731</v>
      </c>
      <c r="AO17" s="0" t="n">
        <f aca="false">AA17+AB17+AC17+AD17+AF17</f>
        <v>508564865.270833</v>
      </c>
      <c r="AP17" s="0" t="n">
        <f aca="false">AO17+AE17+AG17+AH17+AI17+AK17+AL17+AM17+AN17</f>
        <v>708567931.80309</v>
      </c>
      <c r="AQ17" s="0" t="n">
        <f aca="false">AO17+AE17+AG17+AJ17</f>
        <v>875271722.65308</v>
      </c>
      <c r="AR17" s="0" t="n">
        <f aca="false">AB17+AC17+AD17+AF17</f>
        <v>137833427.610024</v>
      </c>
      <c r="AS17" s="0" t="n">
        <f aca="false">AR17+AE17+AG17</f>
        <v>137833427.610024</v>
      </c>
    </row>
    <row r="18" customFormat="false" ht="15" hidden="false" customHeight="false" outlineLevel="0" collapsed="false">
      <c r="A18" s="0" t="n">
        <v>2041</v>
      </c>
      <c r="B18" s="0" t="n">
        <v>15</v>
      </c>
      <c r="C18" s="0" t="n">
        <v>4832</v>
      </c>
      <c r="D18" s="0" t="n">
        <v>0</v>
      </c>
      <c r="E18" s="0" t="n">
        <v>0</v>
      </c>
      <c r="F18" s="0" t="n">
        <v>0</v>
      </c>
      <c r="G18" s="0" t="n">
        <v>0</v>
      </c>
      <c r="H18" s="0" t="n">
        <v>2183.476</v>
      </c>
      <c r="I18" s="0" t="n">
        <v>320.572</v>
      </c>
      <c r="J18" s="0" t="n">
        <v>1825.893</v>
      </c>
      <c r="K18" s="0" t="n">
        <v>3066.286</v>
      </c>
      <c r="L18" s="0" t="n">
        <v>1319.777</v>
      </c>
      <c r="M18" s="0" t="n">
        <v>60822.007</v>
      </c>
      <c r="N18" s="0" t="n">
        <v>6685.801</v>
      </c>
      <c r="O18" s="0" t="n">
        <v>102.516</v>
      </c>
      <c r="P18" s="0" t="n">
        <v>102.665</v>
      </c>
      <c r="Q18" s="0" t="n">
        <v>852.242</v>
      </c>
      <c r="R18" s="0" t="n">
        <v>873.082</v>
      </c>
      <c r="S18" s="0" t="n">
        <v>3479.272</v>
      </c>
      <c r="T18" s="0" t="n">
        <v>2504.048</v>
      </c>
      <c r="U18" s="0" t="n">
        <v>1369.779</v>
      </c>
      <c r="V18" s="0" t="n">
        <v>132389.584</v>
      </c>
      <c r="W18" s="0" t="n">
        <v>343.902</v>
      </c>
      <c r="X18" s="0" t="n">
        <v>891.019</v>
      </c>
      <c r="Y18" s="0" t="n">
        <v>102.516</v>
      </c>
      <c r="Z18" s="0" t="n">
        <v>1085.75</v>
      </c>
      <c r="AA18" s="0" t="n">
        <f aca="false">H18*x_c_F+I18*x_c_CC+J18*x_c_DC+K18*x_c_HCC+L18*x_c_PLT+M18*x_c_SVRn+N18*x_c_SVRcc+O18*x_c_LT+P18*x_c_LT1</f>
        <v>371535005.37864</v>
      </c>
      <c r="AB18" s="0" t="n">
        <f aca="false">C18*x_c_DAA</f>
        <v>109976320</v>
      </c>
      <c r="AC18" s="0" t="n">
        <f aca="false">C18*x_c_MON</f>
        <v>27857107.6100244</v>
      </c>
      <c r="AD18" s="0" t="n">
        <f aca="false">D18*(1-x_testy)</f>
        <v>0</v>
      </c>
      <c r="AE18" s="0" t="n">
        <f aca="false">E18*(1-x_testy)</f>
        <v>0</v>
      </c>
      <c r="AF18" s="0" t="n">
        <f aca="false">F18*x_NAV</f>
        <v>0</v>
      </c>
      <c r="AG18" s="0" t="n">
        <f aca="false">G18*x_FIX*(1-x_testy)</f>
        <v>0</v>
      </c>
      <c r="AH18" s="0" t="n">
        <f aca="false">x_z_F*U18+(1-x_AGRI)*x_EMP*x_WLOSS*(x_PEN_K74*Q18+x_PEN_C22*R18)</f>
        <v>21352350.3485701</v>
      </c>
      <c r="AI18" s="0" t="n">
        <f aca="false">x_AGRI*x_EMP*x_WLOSS*(x_PEN_K74*Q18+x_PEN_C22*R18)</f>
        <v>1225208.08512857</v>
      </c>
      <c r="AJ18" s="0" t="n">
        <f aca="false">x_EMP*x_WAGE*(x_WLOSS*(Q18+R18)+S18)+U18*x_ABS_D*x_WAGE/365</f>
        <v>395019225.42077</v>
      </c>
      <c r="AK18" s="0" t="n">
        <f aca="false">AJ18*x_R_FUS</f>
        <v>124984082.923132</v>
      </c>
      <c r="AL18" s="0" t="n">
        <f aca="false">AJ18*x_R_NFZ</f>
        <v>30677588.0654025</v>
      </c>
      <c r="AM18" s="0" t="n">
        <f aca="false">AJ18*x_R_PIT</f>
        <v>26262526.8550189</v>
      </c>
      <c r="AN18" s="0" t="n">
        <f aca="false">AJ18*x_R_FP</f>
        <v>10072990.2482296</v>
      </c>
      <c r="AO18" s="0" t="n">
        <f aca="false">AA18+AB18+AC18+AD18+AF18</f>
        <v>509368432.988664</v>
      </c>
      <c r="AP18" s="0" t="n">
        <f aca="false">AO18+AE18+AG18+AH18+AI18+AK18+AL18+AM18+AN18</f>
        <v>723943179.514146</v>
      </c>
      <c r="AQ18" s="0" t="n">
        <f aca="false">AO18+AE18+AG18+AJ18</f>
        <v>904387658.409435</v>
      </c>
      <c r="AR18" s="0" t="n">
        <f aca="false">AB18+AC18+AD18+AF18</f>
        <v>137833427.610024</v>
      </c>
      <c r="AS18" s="0" t="n">
        <f aca="false">AR18+AE18+AG18</f>
        <v>137833427.610024</v>
      </c>
    </row>
    <row r="19" customFormat="false" ht="15" hidden="false" customHeight="false" outlineLevel="0" collapsed="false">
      <c r="A19" s="0" t="n">
        <v>2042</v>
      </c>
      <c r="B19" s="0" t="n">
        <v>16</v>
      </c>
      <c r="C19" s="0" t="n">
        <v>4832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2184.935</v>
      </c>
      <c r="I19" s="0" t="n">
        <v>317.445</v>
      </c>
      <c r="J19" s="0" t="n">
        <v>1814.675</v>
      </c>
      <c r="K19" s="0" t="n">
        <v>3032.795</v>
      </c>
      <c r="L19" s="0" t="n">
        <v>1306.125</v>
      </c>
      <c r="M19" s="0" t="n">
        <v>63790.207</v>
      </c>
      <c r="N19" s="0" t="n">
        <v>6983.271</v>
      </c>
      <c r="O19" s="0" t="n">
        <v>101.802</v>
      </c>
      <c r="P19" s="0" t="n">
        <v>102.159</v>
      </c>
      <c r="Q19" s="0" t="n">
        <v>879.75</v>
      </c>
      <c r="R19" s="0" t="n">
        <v>908.622</v>
      </c>
      <c r="S19" s="0" t="n">
        <v>3781.046</v>
      </c>
      <c r="T19" s="0" t="n">
        <v>2502.38</v>
      </c>
      <c r="U19" s="0" t="n">
        <v>1421.176</v>
      </c>
      <c r="V19" s="0" t="n">
        <v>133556.811</v>
      </c>
      <c r="W19" s="0" t="n">
        <v>337.465</v>
      </c>
      <c r="X19" s="0" t="n">
        <v>874.635</v>
      </c>
      <c r="Y19" s="0" t="n">
        <v>101.802</v>
      </c>
      <c r="Z19" s="0" t="n">
        <v>1075.383</v>
      </c>
      <c r="AA19" s="0" t="n">
        <f aca="false">H19*x_c_F+I19*x_c_CC+J19*x_c_DC+K19*x_c_HCC+L19*x_c_PLT+M19*x_c_SVRn+N19*x_c_SVRcc+O19*x_c_LT+P19*x_c_LT1</f>
        <v>371143821.599206</v>
      </c>
      <c r="AB19" s="0" t="n">
        <f aca="false">C19*x_c_DAA</f>
        <v>109976320</v>
      </c>
      <c r="AC19" s="0" t="n">
        <f aca="false">C19*x_c_MON</f>
        <v>27857107.6100244</v>
      </c>
      <c r="AD19" s="0" t="n">
        <f aca="false">D19*(1-x_testy)</f>
        <v>0</v>
      </c>
      <c r="AE19" s="0" t="n">
        <f aca="false">E19*(1-x_testy)</f>
        <v>0</v>
      </c>
      <c r="AF19" s="0" t="n">
        <f aca="false">F19*x_NAV</f>
        <v>0</v>
      </c>
      <c r="AG19" s="0" t="n">
        <f aca="false">G19*x_FIX*(1-x_testy)</f>
        <v>0</v>
      </c>
      <c r="AH19" s="0" t="n">
        <f aca="false">x_z_F*U19+(1-x_AGRI)*x_EMP*x_WLOSS*(x_PEN_K74*Q19+x_PEN_C22*R19)</f>
        <v>22140366.531733</v>
      </c>
      <c r="AI19" s="0" t="n">
        <f aca="false">x_AGRI*x_EMP*x_WLOSS*(x_PEN_K74*Q19+x_PEN_C22*R19)</f>
        <v>1270310.02815334</v>
      </c>
      <c r="AJ19" s="0" t="n">
        <f aca="false">x_EMP*x_WAGE*(x_WLOSS*(Q19+R19)+S19)+U19*x_ABS_D*x_WAGE/365</f>
        <v>424347445.950215</v>
      </c>
      <c r="AK19" s="0" t="n">
        <f aca="false">AJ19*x_R_FUS</f>
        <v>134263531.898648</v>
      </c>
      <c r="AL19" s="0" t="n">
        <f aca="false">AJ19*x_R_NFZ</f>
        <v>32955246.9999397</v>
      </c>
      <c r="AM19" s="0" t="n">
        <f aca="false">AJ19*x_R_PIT</f>
        <v>28212389.367265</v>
      </c>
      <c r="AN19" s="0" t="n">
        <f aca="false">AJ19*x_R_FP</f>
        <v>10820859.8717305</v>
      </c>
      <c r="AO19" s="0" t="n">
        <f aca="false">AA19+AB19+AC19+AD19+AF19</f>
        <v>508977249.209231</v>
      </c>
      <c r="AP19" s="0" t="n">
        <f aca="false">AO19+AE19+AG19+AH19+AI19+AK19+AL19+AM19+AN19</f>
        <v>738639953.9067</v>
      </c>
      <c r="AQ19" s="0" t="n">
        <f aca="false">AO19+AE19+AG19+AJ19</f>
        <v>933324695.159446</v>
      </c>
      <c r="AR19" s="0" t="n">
        <f aca="false">AB19+AC19+AD19+AF19</f>
        <v>137833427.610024</v>
      </c>
      <c r="AS19" s="0" t="n">
        <f aca="false">AR19+AE19+AG19</f>
        <v>137833427.610024</v>
      </c>
    </row>
    <row r="20" customFormat="false" ht="15" hidden="false" customHeight="false" outlineLevel="0" collapsed="false">
      <c r="A20" s="0" t="n">
        <v>2043</v>
      </c>
      <c r="B20" s="0" t="n">
        <v>17</v>
      </c>
      <c r="C20" s="0" t="n">
        <v>4832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2187.446</v>
      </c>
      <c r="I20" s="0" t="n">
        <v>313.301</v>
      </c>
      <c r="J20" s="0" t="n">
        <v>1797.206</v>
      </c>
      <c r="K20" s="0" t="n">
        <v>2990.093</v>
      </c>
      <c r="L20" s="0" t="n">
        <v>1291.273</v>
      </c>
      <c r="M20" s="0" t="n">
        <v>66696.143</v>
      </c>
      <c r="N20" s="0" t="n">
        <v>7252.116</v>
      </c>
      <c r="O20" s="0" t="n">
        <v>100.778</v>
      </c>
      <c r="P20" s="0" t="n">
        <v>101.29</v>
      </c>
      <c r="Q20" s="0" t="n">
        <v>908.381</v>
      </c>
      <c r="R20" s="0" t="n">
        <v>945.403</v>
      </c>
      <c r="S20" s="0" t="n">
        <v>4093.489</v>
      </c>
      <c r="T20" s="0" t="n">
        <v>2500.747</v>
      </c>
      <c r="U20" s="0" t="n">
        <v>1470.553</v>
      </c>
      <c r="V20" s="0" t="n">
        <v>134723.112</v>
      </c>
      <c r="W20" s="0" t="n">
        <v>330.304</v>
      </c>
      <c r="X20" s="0" t="n">
        <v>856.771</v>
      </c>
      <c r="Y20" s="0" t="n">
        <v>100.778</v>
      </c>
      <c r="Z20" s="0" t="n">
        <v>1062.062</v>
      </c>
      <c r="AA20" s="0" t="n">
        <f aca="false">H20*x_c_F+I20*x_c_CC+J20*x_c_DC+K20*x_c_HCC+L20*x_c_PLT+M20*x_c_SVRn+N20*x_c_SVRcc+O20*x_c_LT+P20*x_c_LT1</f>
        <v>369779938.821558</v>
      </c>
      <c r="AB20" s="0" t="n">
        <f aca="false">C20*x_c_DAA</f>
        <v>109976320</v>
      </c>
      <c r="AC20" s="0" t="n">
        <f aca="false">C20*x_c_MON</f>
        <v>27857107.6100244</v>
      </c>
      <c r="AD20" s="0" t="n">
        <f aca="false">D20*(1-x_testy)</f>
        <v>0</v>
      </c>
      <c r="AE20" s="0" t="n">
        <f aca="false">E20*(1-x_testy)</f>
        <v>0</v>
      </c>
      <c r="AF20" s="0" t="n">
        <f aca="false">F20*x_NAV</f>
        <v>0</v>
      </c>
      <c r="AG20" s="0" t="n">
        <f aca="false">G20*x_FIX*(1-x_testy)</f>
        <v>0</v>
      </c>
      <c r="AH20" s="0" t="n">
        <f aca="false">x_z_F*U20+(1-x_AGRI)*x_EMP*x_WLOSS*(x_PEN_K74*Q20+x_PEN_C22*R20)</f>
        <v>22949689.0179102</v>
      </c>
      <c r="AI20" s="0" t="n">
        <f aca="false">x_AGRI*x_EMP*x_WLOSS*(x_PEN_K74*Q20+x_PEN_C22*R20)</f>
        <v>1317094.7777146</v>
      </c>
      <c r="AJ20" s="0" t="n">
        <f aca="false">x_EMP*x_WAGE*(x_WLOSS*(Q20+R20)+S20)+U20*x_ABS_D*x_WAGE/365</f>
        <v>454708655.002556</v>
      </c>
      <c r="AK20" s="0" t="n">
        <f aca="false">AJ20*x_R_FUS</f>
        <v>143869818.442809</v>
      </c>
      <c r="AL20" s="0" t="n">
        <f aca="false">AJ20*x_R_NFZ</f>
        <v>35313128.8561535</v>
      </c>
      <c r="AM20" s="0" t="n">
        <f aca="false">AJ20*x_R_PIT</f>
        <v>30230929.2680473</v>
      </c>
      <c r="AN20" s="0" t="n">
        <f aca="false">AJ20*x_R_FP</f>
        <v>11595070.7025652</v>
      </c>
      <c r="AO20" s="0" t="n">
        <f aca="false">AA20+AB20+AC20+AD20+AF20</f>
        <v>507613366.431583</v>
      </c>
      <c r="AP20" s="0" t="n">
        <f aca="false">AO20+AE20+AG20+AH20+AI20+AK20+AL20+AM20+AN20</f>
        <v>752889097.496782</v>
      </c>
      <c r="AQ20" s="0" t="n">
        <f aca="false">AO20+AE20+AG20+AJ20</f>
        <v>962322021.434138</v>
      </c>
      <c r="AR20" s="0" t="n">
        <f aca="false">AB20+AC20+AD20+AF20</f>
        <v>137833427.610024</v>
      </c>
      <c r="AS20" s="0" t="n">
        <f aca="false">AR20+AE20+AG20</f>
        <v>137833427.610024</v>
      </c>
    </row>
    <row r="21" customFormat="false" ht="15" hidden="false" customHeight="false" outlineLevel="0" collapsed="false">
      <c r="A21" s="0" t="n">
        <v>2044</v>
      </c>
      <c r="B21" s="0" t="n">
        <v>18</v>
      </c>
      <c r="C21" s="0" t="n">
        <v>4832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2190.802</v>
      </c>
      <c r="I21" s="0" t="n">
        <v>308.365</v>
      </c>
      <c r="J21" s="0" t="n">
        <v>1774.618</v>
      </c>
      <c r="K21" s="0" t="n">
        <v>2940.484</v>
      </c>
      <c r="L21" s="0" t="n">
        <v>1275.619</v>
      </c>
      <c r="M21" s="0" t="n">
        <v>69558.019</v>
      </c>
      <c r="N21" s="0" t="n">
        <v>7493.831</v>
      </c>
      <c r="O21" s="0" t="n">
        <v>99.464</v>
      </c>
      <c r="P21" s="0" t="n">
        <v>100.121</v>
      </c>
      <c r="Q21" s="0" t="n">
        <v>938.174</v>
      </c>
      <c r="R21" s="0" t="n">
        <v>983.455</v>
      </c>
      <c r="S21" s="0" t="n">
        <v>4416.816</v>
      </c>
      <c r="T21" s="0" t="n">
        <v>2499.167</v>
      </c>
      <c r="U21" s="0" t="n">
        <v>1517.593</v>
      </c>
      <c r="V21" s="0" t="n">
        <v>135912.952</v>
      </c>
      <c r="W21" s="0" t="n">
        <v>322.624</v>
      </c>
      <c r="X21" s="0" t="n">
        <v>837.88</v>
      </c>
      <c r="Y21" s="0" t="n">
        <v>99.464</v>
      </c>
      <c r="Z21" s="0" t="n">
        <v>1046.086</v>
      </c>
      <c r="AA21" s="0" t="n">
        <f aca="false">H21*x_c_F+I21*x_c_CC+J21*x_c_DC+K21*x_c_HCC+L21*x_c_PLT+M21*x_c_SVRn+N21*x_c_SVRcc+O21*x_c_LT+P21*x_c_LT1</f>
        <v>367647035.403912</v>
      </c>
      <c r="AB21" s="0" t="n">
        <f aca="false">C21*x_c_DAA</f>
        <v>109976320</v>
      </c>
      <c r="AC21" s="0" t="n">
        <f aca="false">C21*x_c_MON</f>
        <v>27857107.6100244</v>
      </c>
      <c r="AD21" s="0" t="n">
        <f aca="false">D21*(1-x_testy)</f>
        <v>0</v>
      </c>
      <c r="AE21" s="0" t="n">
        <f aca="false">E21*(1-x_testy)</f>
        <v>0</v>
      </c>
      <c r="AF21" s="0" t="n">
        <f aca="false">F21*x_NAV</f>
        <v>0</v>
      </c>
      <c r="AG21" s="0" t="n">
        <f aca="false">G21*x_FIX*(1-x_testy)</f>
        <v>0</v>
      </c>
      <c r="AH21" s="0" t="n">
        <f aca="false">x_z_F*U21+(1-x_AGRI)*x_EMP*x_WLOSS*(x_PEN_K74*Q21+x_PEN_C22*R21)</f>
        <v>23780400.6510233</v>
      </c>
      <c r="AI21" s="0" t="n">
        <f aca="false">x_AGRI*x_EMP*x_WLOSS*(x_PEN_K74*Q21+x_PEN_C22*R21)</f>
        <v>1365610.88723636</v>
      </c>
      <c r="AJ21" s="0" t="n">
        <f aca="false">x_EMP*x_WAGE*(x_WLOSS*(Q21+R21)+S21)+U21*x_ABS_D*x_WAGE/365</f>
        <v>486124025.768017</v>
      </c>
      <c r="AK21" s="0" t="n">
        <f aca="false">AJ21*x_R_FUS</f>
        <v>153809641.753001</v>
      </c>
      <c r="AL21" s="0" t="n">
        <f aca="false">AJ21*x_R_NFZ</f>
        <v>37752877.96517</v>
      </c>
      <c r="AM21" s="0" t="n">
        <f aca="false">AJ21*x_R_PIT</f>
        <v>32319554.2394255</v>
      </c>
      <c r="AN21" s="0" t="n">
        <f aca="false">AJ21*x_R_FP</f>
        <v>12396162.6570844</v>
      </c>
      <c r="AO21" s="0" t="n">
        <f aca="false">AA21+AB21+AC21+AD21+AF21</f>
        <v>505480463.013936</v>
      </c>
      <c r="AP21" s="0" t="n">
        <f aca="false">AO21+AE21+AG21+AH21+AI21+AK21+AL21+AM21+AN21</f>
        <v>766904711.166876</v>
      </c>
      <c r="AQ21" s="0" t="n">
        <f aca="false">AO21+AE21+AG21+AJ21</f>
        <v>991604488.781953</v>
      </c>
      <c r="AR21" s="0" t="n">
        <f aca="false">AB21+AC21+AD21+AF21</f>
        <v>137833427.610024</v>
      </c>
      <c r="AS21" s="0" t="n">
        <f aca="false">AR21+AE21+AG21</f>
        <v>137833427.610024</v>
      </c>
    </row>
    <row r="22" customFormat="false" ht="15" hidden="false" customHeight="false" outlineLevel="0" collapsed="false">
      <c r="A22" s="0" t="n">
        <v>2045</v>
      </c>
      <c r="B22" s="0" t="n">
        <v>19</v>
      </c>
      <c r="C22" s="0" t="n">
        <v>4832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2194.801</v>
      </c>
      <c r="I22" s="0" t="n">
        <v>302.852</v>
      </c>
      <c r="J22" s="0" t="n">
        <v>1747.734</v>
      </c>
      <c r="K22" s="0" t="n">
        <v>2885.707</v>
      </c>
      <c r="L22" s="0" t="n">
        <v>1258.925</v>
      </c>
      <c r="M22" s="0" t="n">
        <v>72380.302</v>
      </c>
      <c r="N22" s="0" t="n">
        <v>7708.76</v>
      </c>
      <c r="O22" s="0" t="n">
        <v>97.929</v>
      </c>
      <c r="P22" s="0" t="n">
        <v>98.697</v>
      </c>
      <c r="Q22" s="0" t="n">
        <v>969.148</v>
      </c>
      <c r="R22" s="0" t="n">
        <v>1022.749</v>
      </c>
      <c r="S22" s="0" t="n">
        <v>4751.2</v>
      </c>
      <c r="T22" s="0" t="n">
        <v>2497.653</v>
      </c>
      <c r="U22" s="0" t="n">
        <v>1562.069</v>
      </c>
      <c r="V22" s="0" t="n">
        <v>137133.363</v>
      </c>
      <c r="W22" s="0" t="n">
        <v>314.701</v>
      </c>
      <c r="X22" s="0" t="n">
        <v>818.596</v>
      </c>
      <c r="Y22" s="0" t="n">
        <v>97.929</v>
      </c>
      <c r="Z22" s="0" t="n">
        <v>1028.2</v>
      </c>
      <c r="AA22" s="0" t="n">
        <f aca="false">H22*x_c_F+I22*x_c_CC+J22*x_c_DC+K22*x_c_HCC+L22*x_c_PLT+M22*x_c_SVRn+N22*x_c_SVRcc+O22*x_c_LT+P22*x_c_LT1</f>
        <v>364891799.814245</v>
      </c>
      <c r="AB22" s="0" t="n">
        <f aca="false">C22*x_c_DAA</f>
        <v>109976320</v>
      </c>
      <c r="AC22" s="0" t="n">
        <f aca="false">C22*x_c_MON</f>
        <v>27857107.6100244</v>
      </c>
      <c r="AD22" s="0" t="n">
        <f aca="false">D22*(1-x_testy)</f>
        <v>0</v>
      </c>
      <c r="AE22" s="0" t="n">
        <f aca="false">E22*(1-x_testy)</f>
        <v>0</v>
      </c>
      <c r="AF22" s="0" t="n">
        <f aca="false">F22*x_NAV</f>
        <v>0</v>
      </c>
      <c r="AG22" s="0" t="n">
        <f aca="false">G22*x_FIX*(1-x_testy)</f>
        <v>0</v>
      </c>
      <c r="AH22" s="0" t="n">
        <f aca="false">x_z_F*U22+(1-x_AGRI)*x_EMP*x_WLOSS*(x_PEN_K74*Q22+x_PEN_C22*R22)</f>
        <v>24631894.4726</v>
      </c>
      <c r="AI22" s="0" t="n">
        <f aca="false">x_AGRI*x_EMP*x_WLOSS*(x_PEN_K74*Q22+x_PEN_C22*R22)</f>
        <v>1415849.08529475</v>
      </c>
      <c r="AJ22" s="0" t="n">
        <f aca="false">x_EMP*x_WAGE*(x_WLOSS*(Q22+R22)+S22)+U22*x_ABS_D*x_WAGE/365</f>
        <v>518607094.661688</v>
      </c>
      <c r="AK22" s="0" t="n">
        <f aca="false">AJ22*x_R_FUS</f>
        <v>164087284.750958</v>
      </c>
      <c r="AL22" s="0" t="n">
        <f aca="false">AJ22*x_R_NFZ</f>
        <v>40275545.5785214</v>
      </c>
      <c r="AM22" s="0" t="n">
        <f aca="false">AJ22*x_R_PIT</f>
        <v>34479164.2387737</v>
      </c>
      <c r="AN22" s="0" t="n">
        <f aca="false">AJ22*x_R_FP</f>
        <v>13224480.913873</v>
      </c>
      <c r="AO22" s="0" t="n">
        <f aca="false">AA22+AB22+AC22+AD22+AF22</f>
        <v>502725227.42427</v>
      </c>
      <c r="AP22" s="0" t="n">
        <f aca="false">AO22+AE22+AG22+AH22+AI22+AK22+AL22+AM22+AN22</f>
        <v>780839446.464291</v>
      </c>
      <c r="AQ22" s="0" t="n">
        <f aca="false">AO22+AE22+AG22+AJ22</f>
        <v>1021332322.08596</v>
      </c>
      <c r="AR22" s="0" t="n">
        <f aca="false">AB22+AC22+AD22+AF22</f>
        <v>137833427.610024</v>
      </c>
      <c r="AS22" s="0" t="n">
        <f aca="false">AR22+AE22+AG22</f>
        <v>137833427.610024</v>
      </c>
    </row>
    <row r="23" customFormat="false" ht="15" hidden="false" customHeight="false" outlineLevel="0" collapsed="false">
      <c r="A23" s="0" t="n">
        <v>2046</v>
      </c>
      <c r="B23" s="0" t="n">
        <v>20</v>
      </c>
      <c r="C23" s="0" t="n">
        <v>4832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2199.24</v>
      </c>
      <c r="I23" s="0" t="n">
        <v>296.978</v>
      </c>
      <c r="J23" s="0" t="n">
        <v>1717.684</v>
      </c>
      <c r="K23" s="0" t="n">
        <v>2827.789</v>
      </c>
      <c r="L23" s="0" t="n">
        <v>1241.444</v>
      </c>
      <c r="M23" s="0" t="n">
        <v>75176.033</v>
      </c>
      <c r="N23" s="0" t="n">
        <v>7899.06</v>
      </c>
      <c r="O23" s="0" t="n">
        <v>96.233</v>
      </c>
      <c r="P23" s="0" t="n">
        <v>97.081</v>
      </c>
      <c r="Q23" s="0" t="n">
        <v>1001.29</v>
      </c>
      <c r="R23" s="0" t="n">
        <v>1063.196</v>
      </c>
      <c r="S23" s="0" t="n">
        <v>5096.724</v>
      </c>
      <c r="T23" s="0" t="n">
        <v>2496.218</v>
      </c>
      <c r="U23" s="0" t="n">
        <v>1603.772</v>
      </c>
      <c r="V23" s="0" t="n">
        <v>138399.052</v>
      </c>
      <c r="W23" s="0" t="n">
        <v>306.751</v>
      </c>
      <c r="X23" s="0" t="n">
        <v>799.408</v>
      </c>
      <c r="Y23" s="0" t="n">
        <v>96.233</v>
      </c>
      <c r="Z23" s="0" t="n">
        <v>1009.036</v>
      </c>
      <c r="AA23" s="0" t="n">
        <f aca="false">H23*x_c_F+I23*x_c_CC+J23*x_c_DC+K23*x_c_HCC+L23*x_c_PLT+M23*x_c_SVRn+N23*x_c_SVRcc+O23*x_c_LT+P23*x_c_LT1</f>
        <v>361708172.939162</v>
      </c>
      <c r="AB23" s="0" t="n">
        <f aca="false">C23*x_c_DAA</f>
        <v>109976320</v>
      </c>
      <c r="AC23" s="0" t="n">
        <f aca="false">C23*x_c_MON</f>
        <v>27857107.6100244</v>
      </c>
      <c r="AD23" s="0" t="n">
        <f aca="false">D23*(1-x_testy)</f>
        <v>0</v>
      </c>
      <c r="AE23" s="0" t="n">
        <f aca="false">E23*(1-x_testy)</f>
        <v>0</v>
      </c>
      <c r="AF23" s="0" t="n">
        <f aca="false">F23*x_NAV</f>
        <v>0</v>
      </c>
      <c r="AG23" s="0" t="n">
        <f aca="false">G23*x_FIX*(1-x_testy)</f>
        <v>0</v>
      </c>
      <c r="AH23" s="0" t="n">
        <f aca="false">x_z_F*U23+(1-x_AGRI)*x_EMP*x_WLOSS*(x_PEN_K74*Q23+x_PEN_C22*R23)</f>
        <v>25502593.6800864</v>
      </c>
      <c r="AI23" s="0" t="n">
        <f aca="false">x_AGRI*x_EMP*x_WLOSS*(x_PEN_K74*Q23+x_PEN_C22*R23)</f>
        <v>1467733.54958653</v>
      </c>
      <c r="AJ23" s="0" t="n">
        <f aca="false">x_EMP*x_WAGE*(x_WLOSS*(Q23+R23)+S23)+U23*x_ABS_D*x_WAGE/365</f>
        <v>552158746.408408</v>
      </c>
      <c r="AK23" s="0" t="n">
        <f aca="false">AJ23*x_R_FUS</f>
        <v>174703027.36362</v>
      </c>
      <c r="AL23" s="0" t="n">
        <f aca="false">AJ23*x_R_NFZ</f>
        <v>42881200.4048234</v>
      </c>
      <c r="AM23" s="0" t="n">
        <f aca="false">AJ23*x_R_PIT</f>
        <v>36709818.0862918</v>
      </c>
      <c r="AN23" s="0" t="n">
        <f aca="false">AJ23*x_R_FP</f>
        <v>14080048.0334144</v>
      </c>
      <c r="AO23" s="0" t="n">
        <f aca="false">AA23+AB23+AC23+AD23+AF23</f>
        <v>499541600.549186</v>
      </c>
      <c r="AP23" s="0" t="n">
        <f aca="false">AO23+AE23+AG23+AH23+AI23+AK23+AL23+AM23+AN23</f>
        <v>794886021.667009</v>
      </c>
      <c r="AQ23" s="0" t="n">
        <f aca="false">AO23+AE23+AG23+AJ23</f>
        <v>1051700346.95759</v>
      </c>
      <c r="AR23" s="0" t="n">
        <f aca="false">AB23+AC23+AD23+AF23</f>
        <v>137833427.610024</v>
      </c>
      <c r="AS23" s="0" t="n">
        <f aca="false">AR23+AE23+AG23</f>
        <v>137833427.610024</v>
      </c>
    </row>
    <row r="24" customFormat="false" ht="15" hidden="false" customHeight="false" outlineLevel="0" collapsed="false">
      <c r="A24" s="0" t="n">
        <v>2047</v>
      </c>
      <c r="B24" s="0" t="n">
        <v>21</v>
      </c>
      <c r="C24" s="0" t="n">
        <v>4832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2203.937</v>
      </c>
      <c r="I24" s="0" t="n">
        <v>290.932</v>
      </c>
      <c r="J24" s="0" t="n">
        <v>1685.49</v>
      </c>
      <c r="K24" s="0" t="n">
        <v>2768.451</v>
      </c>
      <c r="L24" s="0" t="n">
        <v>1223.398</v>
      </c>
      <c r="M24" s="0" t="n">
        <v>77955.702</v>
      </c>
      <c r="N24" s="0" t="n">
        <v>8066.991</v>
      </c>
      <c r="O24" s="0" t="n">
        <v>94.431</v>
      </c>
      <c r="P24" s="0" t="n">
        <v>95.332</v>
      </c>
      <c r="Q24" s="0" t="n">
        <v>1034.56</v>
      </c>
      <c r="R24" s="0" t="n">
        <v>1104.659</v>
      </c>
      <c r="S24" s="0" t="n">
        <v>5453.399</v>
      </c>
      <c r="T24" s="0" t="n">
        <v>2494.869</v>
      </c>
      <c r="U24" s="0" t="n">
        <v>1642.585</v>
      </c>
      <c r="V24" s="0" t="n">
        <v>139719.129</v>
      </c>
      <c r="W24" s="0" t="n">
        <v>298.949</v>
      </c>
      <c r="X24" s="0" t="n">
        <v>780.709</v>
      </c>
      <c r="Y24" s="0" t="n">
        <v>94.431</v>
      </c>
      <c r="Z24" s="0" t="n">
        <v>989.183</v>
      </c>
      <c r="AA24" s="0" t="n">
        <f aca="false">H24*x_c_F+I24*x_c_CC+J24*x_c_DC+K24*x_c_HCC+L24*x_c_PLT+M24*x_c_SVRn+N24*x_c_SVRcc+O24*x_c_LT+P24*x_c_LT1</f>
        <v>358264648.987497</v>
      </c>
      <c r="AB24" s="0" t="n">
        <f aca="false">C24*x_c_DAA</f>
        <v>109976320</v>
      </c>
      <c r="AC24" s="0" t="n">
        <f aca="false">C24*x_c_MON</f>
        <v>27857107.6100244</v>
      </c>
      <c r="AD24" s="0" t="n">
        <f aca="false">D24*(1-x_testy)</f>
        <v>0</v>
      </c>
      <c r="AE24" s="0" t="n">
        <f aca="false">E24*(1-x_testy)</f>
        <v>0</v>
      </c>
      <c r="AF24" s="0" t="n">
        <f aca="false">F24*x_NAV</f>
        <v>0</v>
      </c>
      <c r="AG24" s="0" t="n">
        <f aca="false">G24*x_FIX*(1-x_testy)</f>
        <v>0</v>
      </c>
      <c r="AH24" s="0" t="n">
        <f aca="false">x_z_F*U24+(1-x_AGRI)*x_EMP*x_WLOSS*(x_PEN_K74*Q24+x_PEN_C22*R24)</f>
        <v>26390291.064557</v>
      </c>
      <c r="AI24" s="0" t="n">
        <f aca="false">x_AGRI*x_EMP*x_WLOSS*(x_PEN_K74*Q24+x_PEN_C22*R24)</f>
        <v>1521134.2871407</v>
      </c>
      <c r="AJ24" s="0" t="n">
        <f aca="false">x_EMP*x_WAGE*(x_WLOSS*(Q24+R24)+S24)+U24*x_ABS_D*x_WAGE/365</f>
        <v>586769895.76227</v>
      </c>
      <c r="AK24" s="0" t="n">
        <f aca="false">AJ24*x_R_FUS</f>
        <v>185653995.019182</v>
      </c>
      <c r="AL24" s="0" t="n">
        <f aca="false">AJ24*x_R_NFZ</f>
        <v>45569136.8747936</v>
      </c>
      <c r="AM24" s="0" t="n">
        <f aca="false">AJ24*x_R_PIT</f>
        <v>39010911.7569116</v>
      </c>
      <c r="AN24" s="0" t="n">
        <f aca="false">AJ24*x_R_FP</f>
        <v>14962632.3419379</v>
      </c>
      <c r="AO24" s="0" t="n">
        <f aca="false">AA24+AB24+AC24+AD24+AF24</f>
        <v>496098076.597521</v>
      </c>
      <c r="AP24" s="0" t="n">
        <f aca="false">AO24+AE24+AG24+AH24+AI24+AK24+AL24+AM24+AN24</f>
        <v>809206177.942044</v>
      </c>
      <c r="AQ24" s="0" t="n">
        <f aca="false">AO24+AE24+AG24+AJ24</f>
        <v>1082867972.35979</v>
      </c>
      <c r="AR24" s="0" t="n">
        <f aca="false">AB24+AC24+AD24+AF24</f>
        <v>137833427.610024</v>
      </c>
      <c r="AS24" s="0" t="n">
        <f aca="false">AR24+AE24+AG24</f>
        <v>137833427.610024</v>
      </c>
    </row>
    <row r="25" customFormat="false" ht="15" hidden="false" customHeight="false" outlineLevel="0" collapsed="false">
      <c r="A25" s="0" t="n">
        <v>2048</v>
      </c>
      <c r="B25" s="0" t="n">
        <v>22</v>
      </c>
      <c r="C25" s="0" t="n">
        <v>4832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2208.732</v>
      </c>
      <c r="I25" s="0" t="n">
        <v>284.877</v>
      </c>
      <c r="J25" s="0" t="n">
        <v>1652.077</v>
      </c>
      <c r="K25" s="0" t="n">
        <v>2709.149</v>
      </c>
      <c r="L25" s="0" t="n">
        <v>1205.004</v>
      </c>
      <c r="M25" s="0" t="n">
        <v>80728.155</v>
      </c>
      <c r="N25" s="0" t="n">
        <v>8214.966</v>
      </c>
      <c r="O25" s="0" t="n">
        <v>92.575</v>
      </c>
      <c r="P25" s="0" t="n">
        <v>93.503</v>
      </c>
      <c r="Q25" s="0" t="n">
        <v>1068.894</v>
      </c>
      <c r="R25" s="0" t="n">
        <v>1146.962</v>
      </c>
      <c r="S25" s="0" t="n">
        <v>5821.166</v>
      </c>
      <c r="T25" s="0" t="n">
        <v>2493.609</v>
      </c>
      <c r="U25" s="0" t="n">
        <v>1678.456</v>
      </c>
      <c r="V25" s="0" t="n">
        <v>141099.452</v>
      </c>
      <c r="W25" s="0" t="n">
        <v>291.429</v>
      </c>
      <c r="X25" s="0" t="n">
        <v>762.789</v>
      </c>
      <c r="Y25" s="0" t="n">
        <v>92.575</v>
      </c>
      <c r="Z25" s="0" t="n">
        <v>969.13</v>
      </c>
      <c r="AA25" s="0" t="n">
        <f aca="false">H25*x_c_F+I25*x_c_CC+J25*x_c_DC+K25*x_c_HCC+L25*x_c_PLT+M25*x_c_SVRn+N25*x_c_SVRcc+O25*x_c_LT+P25*x_c_LT1</f>
        <v>354709170.217422</v>
      </c>
      <c r="AB25" s="0" t="n">
        <f aca="false">C25*x_c_DAA</f>
        <v>109976320</v>
      </c>
      <c r="AC25" s="0" t="n">
        <f aca="false">C25*x_c_MON</f>
        <v>27857107.6100244</v>
      </c>
      <c r="AD25" s="0" t="n">
        <f aca="false">D25*(1-x_testy)</f>
        <v>0</v>
      </c>
      <c r="AE25" s="0" t="n">
        <f aca="false">E25*(1-x_testy)</f>
        <v>0</v>
      </c>
      <c r="AF25" s="0" t="n">
        <f aca="false">F25*x_NAV</f>
        <v>0</v>
      </c>
      <c r="AG25" s="0" t="n">
        <f aca="false">G25*x_FIX*(1-x_testy)</f>
        <v>0</v>
      </c>
      <c r="AH25" s="0" t="n">
        <f aca="false">x_z_F*U25+(1-x_AGRI)*x_EMP*x_WLOSS*(x_PEN_K74*Q25+x_PEN_C22*R25)</f>
        <v>27292226.4394914</v>
      </c>
      <c r="AI25" s="0" t="n">
        <f aca="false">x_AGRI*x_EMP*x_WLOSS*(x_PEN_K74*Q25+x_PEN_C22*R25)</f>
        <v>1575875.92128204</v>
      </c>
      <c r="AJ25" s="0" t="n">
        <f aca="false">x_EMP*x_WAGE*(x_WLOSS*(Q25+R25)+S25)+U25*x_ABS_D*x_WAGE/365</f>
        <v>622422234.95084</v>
      </c>
      <c r="AK25" s="0" t="n">
        <f aca="false">AJ25*x_R_FUS</f>
        <v>196934395.138446</v>
      </c>
      <c r="AL25" s="0" t="n">
        <f aca="false">AJ25*x_R_NFZ</f>
        <v>48337933.1885172</v>
      </c>
      <c r="AM25" s="0" t="n">
        <f aca="false">AJ25*x_R_PIT</f>
        <v>41381228.0735078</v>
      </c>
      <c r="AN25" s="0" t="n">
        <f aca="false">AJ25*x_R_FP</f>
        <v>15871766.9912464</v>
      </c>
      <c r="AO25" s="0" t="n">
        <f aca="false">AA25+AB25+AC25+AD25+AF25</f>
        <v>492542597.827446</v>
      </c>
      <c r="AP25" s="0" t="n">
        <f aca="false">AO25+AE25+AG25+AH25+AI25+AK25+AL25+AM25+AN25</f>
        <v>823936023.579937</v>
      </c>
      <c r="AQ25" s="0" t="n">
        <f aca="false">AO25+AE25+AG25+AJ25</f>
        <v>1114964832.77829</v>
      </c>
      <c r="AR25" s="0" t="n">
        <f aca="false">AB25+AC25+AD25+AF25</f>
        <v>137833427.610024</v>
      </c>
      <c r="AS25" s="0" t="n">
        <f aca="false">AR25+AE25+AG25</f>
        <v>137833427.610024</v>
      </c>
    </row>
    <row r="26" customFormat="false" ht="15" hidden="false" customHeight="false" outlineLevel="0" collapsed="false">
      <c r="A26" s="0" t="n">
        <v>2049</v>
      </c>
      <c r="B26" s="0" t="n">
        <v>23</v>
      </c>
      <c r="C26" s="0" t="n">
        <v>4832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2213.503</v>
      </c>
      <c r="I26" s="0" t="n">
        <v>278.933</v>
      </c>
      <c r="J26" s="0" t="n">
        <v>1618.183</v>
      </c>
      <c r="K26" s="0" t="n">
        <v>2650.956</v>
      </c>
      <c r="L26" s="0" t="n">
        <v>1186.412</v>
      </c>
      <c r="M26" s="0" t="n">
        <v>83498.855</v>
      </c>
      <c r="N26" s="0" t="n">
        <v>8345.062</v>
      </c>
      <c r="O26" s="0" t="n">
        <v>90.699</v>
      </c>
      <c r="P26" s="0" t="n">
        <v>91.637</v>
      </c>
      <c r="Q26" s="0" t="n">
        <v>1104.205</v>
      </c>
      <c r="R26" s="0" t="n">
        <v>1189.896</v>
      </c>
      <c r="S26" s="0" t="n">
        <v>6199.896</v>
      </c>
      <c r="T26" s="0" t="n">
        <v>2492.437</v>
      </c>
      <c r="U26" s="0" t="n">
        <v>1711.421</v>
      </c>
      <c r="V26" s="0" t="n">
        <v>142540.469</v>
      </c>
      <c r="W26" s="0" t="n">
        <v>284.267</v>
      </c>
      <c r="X26" s="0" t="n">
        <v>745.804</v>
      </c>
      <c r="Y26" s="0" t="n">
        <v>90.699</v>
      </c>
      <c r="Z26" s="0" t="n">
        <v>949.22</v>
      </c>
      <c r="AA26" s="0" t="n">
        <f aca="false">H26*x_c_F+I26*x_c_CC+J26*x_c_DC+K26*x_c_HCC+L26*x_c_PLT+M26*x_c_SVRn+N26*x_c_SVRcc+O26*x_c_LT+P26*x_c_LT1</f>
        <v>351150329.083999</v>
      </c>
      <c r="AB26" s="0" t="n">
        <f aca="false">C26*x_c_DAA</f>
        <v>109976320</v>
      </c>
      <c r="AC26" s="0" t="n">
        <f aca="false">C26*x_c_MON</f>
        <v>27857107.6100244</v>
      </c>
      <c r="AD26" s="0" t="n">
        <f aca="false">D26*(1-x_testy)</f>
        <v>0</v>
      </c>
      <c r="AE26" s="0" t="n">
        <f aca="false">E26*(1-x_testy)</f>
        <v>0</v>
      </c>
      <c r="AF26" s="0" t="n">
        <f aca="false">F26*x_NAV</f>
        <v>0</v>
      </c>
      <c r="AG26" s="0" t="n">
        <f aca="false">G26*x_FIX*(1-x_testy)</f>
        <v>0</v>
      </c>
      <c r="AH26" s="0" t="n">
        <f aca="false">x_z_F*U26+(1-x_AGRI)*x_EMP*x_WLOSS*(x_PEN_K74*Q26+x_PEN_C22*R26)</f>
        <v>28205212.5025162</v>
      </c>
      <c r="AI26" s="0" t="n">
        <f aca="false">x_AGRI*x_EMP*x_WLOSS*(x_PEN_K74*Q26+x_PEN_C22*R26)</f>
        <v>1631742.8853467</v>
      </c>
      <c r="AJ26" s="0" t="n">
        <f aca="false">x_EMP*x_WAGE*(x_WLOSS*(Q26+R26)+S26)+U26*x_ABS_D*x_WAGE/365</f>
        <v>659088684.037829</v>
      </c>
      <c r="AK26" s="0" t="n">
        <f aca="false">AJ26*x_R_FUS</f>
        <v>208535659.629569</v>
      </c>
      <c r="AL26" s="0" t="n">
        <f aca="false">AJ26*x_R_NFZ</f>
        <v>51185486.2910618</v>
      </c>
      <c r="AM26" s="0" t="n">
        <f aca="false">AJ26*x_R_PIT</f>
        <v>43818966.6488886</v>
      </c>
      <c r="AN26" s="0" t="n">
        <f aca="false">AJ26*x_R_FP</f>
        <v>16806761.4429646</v>
      </c>
      <c r="AO26" s="0" t="n">
        <f aca="false">AA26+AB26+AC26+AD26+AF26</f>
        <v>488983756.694023</v>
      </c>
      <c r="AP26" s="0" t="n">
        <f aca="false">AO26+AE26+AG26+AH26+AI26+AK26+AL26+AM26+AN26</f>
        <v>839167586.09437</v>
      </c>
      <c r="AQ26" s="0" t="n">
        <f aca="false">AO26+AE26+AG26+AJ26</f>
        <v>1148072440.73185</v>
      </c>
      <c r="AR26" s="0" t="n">
        <f aca="false">AB26+AC26+AD26+AF26</f>
        <v>137833427.610024</v>
      </c>
      <c r="AS26" s="0" t="n">
        <f aca="false">AR26+AE26+AG26</f>
        <v>137833427.610024</v>
      </c>
    </row>
    <row r="27" customFormat="false" ht="15" hidden="false" customHeight="false" outlineLevel="0" collapsed="false">
      <c r="A27" s="0" t="n">
        <v>2050</v>
      </c>
      <c r="B27" s="0" t="n">
        <v>24</v>
      </c>
      <c r="C27" s="0" t="n">
        <v>4832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2218.159</v>
      </c>
      <c r="I27" s="0" t="n">
        <v>273.189</v>
      </c>
      <c r="J27" s="0" t="n">
        <v>1584.37</v>
      </c>
      <c r="K27" s="0" t="n">
        <v>2594.612</v>
      </c>
      <c r="L27" s="0" t="n">
        <v>1167.721</v>
      </c>
      <c r="M27" s="0" t="n">
        <v>86270.48</v>
      </c>
      <c r="N27" s="0" t="n">
        <v>8459.029</v>
      </c>
      <c r="O27" s="0" t="n">
        <v>88.834</v>
      </c>
      <c r="P27" s="0" t="n">
        <v>89.766</v>
      </c>
      <c r="Q27" s="0" t="n">
        <v>1140.363</v>
      </c>
      <c r="R27" s="0" t="n">
        <v>1233.212</v>
      </c>
      <c r="S27" s="0" t="n">
        <v>6589.245</v>
      </c>
      <c r="T27" s="0" t="n">
        <v>2491.349</v>
      </c>
      <c r="U27" s="0" t="n">
        <v>1741.574</v>
      </c>
      <c r="V27" s="0" t="n">
        <v>144038.77</v>
      </c>
      <c r="W27" s="0" t="n">
        <v>277.509</v>
      </c>
      <c r="X27" s="0" t="n">
        <v>729.838</v>
      </c>
      <c r="Y27" s="0" t="n">
        <v>88.834</v>
      </c>
      <c r="Z27" s="0" t="n">
        <v>929.73</v>
      </c>
      <c r="AA27" s="0" t="n">
        <f aca="false">H27*x_c_F+I27*x_c_CC+J27*x_c_DC+K27*x_c_HCC+L27*x_c_PLT+M27*x_c_SVRn+N27*x_c_SVRcc+O27*x_c_LT+P27*x_c_LT1</f>
        <v>347666749.522827</v>
      </c>
      <c r="AB27" s="0" t="n">
        <f aca="false">C27*x_c_DAA</f>
        <v>109976320</v>
      </c>
      <c r="AC27" s="0" t="n">
        <f aca="false">C27*x_c_MON</f>
        <v>27857107.6100244</v>
      </c>
      <c r="AD27" s="0" t="n">
        <f aca="false">D27*(1-x_testy)</f>
        <v>0</v>
      </c>
      <c r="AE27" s="0" t="n">
        <f aca="false">E27*(1-x_testy)</f>
        <v>0</v>
      </c>
      <c r="AF27" s="0" t="n">
        <f aca="false">F27*x_NAV</f>
        <v>0</v>
      </c>
      <c r="AG27" s="0" t="n">
        <f aca="false">G27*x_FIX*(1-x_testy)</f>
        <v>0</v>
      </c>
      <c r="AH27" s="0" t="n">
        <f aca="false">x_z_F*U27+(1-x_AGRI)*x_EMP*x_WLOSS*(x_PEN_K74*Q27+x_PEN_C22*R27)</f>
        <v>29125292.2186086</v>
      </c>
      <c r="AI27" s="0" t="n">
        <f aca="false">x_AGRI*x_EMP*x_WLOSS*(x_PEN_K74*Q27+x_PEN_C22*R27)</f>
        <v>1688460.85311381</v>
      </c>
      <c r="AJ27" s="0" t="n">
        <f aca="false">x_EMP*x_WAGE*(x_WLOSS*(Q27+R27)+S27)+U27*x_ABS_D*x_WAGE/365</f>
        <v>696719463.505944</v>
      </c>
      <c r="AK27" s="0" t="n">
        <f aca="false">AJ27*x_R_FUS</f>
        <v>220442038.253281</v>
      </c>
      <c r="AL27" s="0" t="n">
        <f aca="false">AJ27*x_R_NFZ</f>
        <v>54107930.2553351</v>
      </c>
      <c r="AM27" s="0" t="n">
        <f aca="false">AJ27*x_R_PIT</f>
        <v>46320817.9329722</v>
      </c>
      <c r="AN27" s="0" t="n">
        <f aca="false">AJ27*x_R_FP</f>
        <v>17766346.3194016</v>
      </c>
      <c r="AO27" s="0" t="n">
        <f aca="false">AA27+AB27+AC27+AD27+AF27</f>
        <v>485500177.132851</v>
      </c>
      <c r="AP27" s="0" t="n">
        <f aca="false">AO27+AE27+AG27+AH27+AI27+AK27+AL27+AM27+AN27</f>
        <v>854951062.965563</v>
      </c>
      <c r="AQ27" s="0" t="n">
        <f aca="false">AO27+AE27+AG27+AJ27</f>
        <v>1182219640.6388</v>
      </c>
      <c r="AR27" s="0" t="n">
        <f aca="false">AB27+AC27+AD27+AF27</f>
        <v>137833427.610024</v>
      </c>
      <c r="AS27" s="0" t="n">
        <f aca="false">AR27+AE27+AG27</f>
        <v>137833427.610024</v>
      </c>
    </row>
    <row r="28" customFormat="false" ht="15" hidden="false" customHeight="false" outlineLevel="0" collapsed="false">
      <c r="A28" s="0" t="n">
        <v>2051</v>
      </c>
      <c r="B28" s="0" t="n">
        <v>25</v>
      </c>
      <c r="C28" s="0" t="n">
        <v>4832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2222.64</v>
      </c>
      <c r="I28" s="0" t="n">
        <v>267.697</v>
      </c>
      <c r="J28" s="0" t="n">
        <v>1551.035</v>
      </c>
      <c r="K28" s="0" t="n">
        <v>2540.557</v>
      </c>
      <c r="L28" s="0" t="n">
        <v>1148.967</v>
      </c>
      <c r="M28" s="0" t="n">
        <v>89042.882</v>
      </c>
      <c r="N28" s="0" t="n">
        <v>8558.169</v>
      </c>
      <c r="O28" s="0" t="n">
        <v>86.998</v>
      </c>
      <c r="P28" s="0" t="n">
        <v>87.916</v>
      </c>
      <c r="Q28" s="0" t="n">
        <v>1177.213</v>
      </c>
      <c r="R28" s="0" t="n">
        <v>1276.639</v>
      </c>
      <c r="S28" s="0" t="n">
        <v>6988.708</v>
      </c>
      <c r="T28" s="0" t="n">
        <v>2490.337</v>
      </c>
      <c r="U28" s="0" t="n">
        <v>1769.056</v>
      </c>
      <c r="V28" s="0" t="n">
        <v>145587.687</v>
      </c>
      <c r="W28" s="0" t="n">
        <v>271.161</v>
      </c>
      <c r="X28" s="0" t="n">
        <v>714.882</v>
      </c>
      <c r="Y28" s="0" t="n">
        <v>86.998</v>
      </c>
      <c r="Z28" s="0" t="n">
        <v>910.793</v>
      </c>
      <c r="AA28" s="0" t="n">
        <f aca="false">H28*x_c_F+I28*x_c_CC+J28*x_c_DC+K28*x_c_HCC+L28*x_c_PLT+M28*x_c_SVRn+N28*x_c_SVRcc+O28*x_c_LT+P28*x_c_LT1</f>
        <v>344305399.850431</v>
      </c>
      <c r="AB28" s="0" t="n">
        <f aca="false">C28*x_c_DAA</f>
        <v>109976320</v>
      </c>
      <c r="AC28" s="0" t="n">
        <f aca="false">C28*x_c_MON</f>
        <v>27857107.6100244</v>
      </c>
      <c r="AD28" s="0" t="n">
        <f aca="false">D28*(1-x_testy)</f>
        <v>0</v>
      </c>
      <c r="AE28" s="0" t="n">
        <f aca="false">E28*(1-x_testy)</f>
        <v>0</v>
      </c>
      <c r="AF28" s="0" t="n">
        <f aca="false">F28*x_NAV</f>
        <v>0</v>
      </c>
      <c r="AG28" s="0" t="n">
        <f aca="false">G28*x_FIX*(1-x_testy)</f>
        <v>0</v>
      </c>
      <c r="AH28" s="0" t="n">
        <f aca="false">x_z_F*U28+(1-x_AGRI)*x_EMP*x_WLOSS*(x_PEN_K74*Q28+x_PEN_C22*R28)</f>
        <v>30048102.6769995</v>
      </c>
      <c r="AI28" s="0" t="n">
        <f aca="false">x_AGRI*x_EMP*x_WLOSS*(x_PEN_K74*Q28+x_PEN_C22*R28)</f>
        <v>1745722.2838549</v>
      </c>
      <c r="AJ28" s="0" t="n">
        <f aca="false">x_EMP*x_WAGE*(x_WLOSS*(Q28+R28)+S28)+U28*x_ABS_D*x_WAGE/365</f>
        <v>735248634.710846</v>
      </c>
      <c r="AK28" s="0" t="n">
        <f aca="false">AJ28*x_R_FUS</f>
        <v>232632668.022512</v>
      </c>
      <c r="AL28" s="0" t="n">
        <f aca="false">AJ28*x_R_NFZ</f>
        <v>57100144.220279</v>
      </c>
      <c r="AM28" s="0" t="n">
        <f aca="false">AJ28*x_R_PIT</f>
        <v>48882398.0494653</v>
      </c>
      <c r="AN28" s="0" t="n">
        <f aca="false">AJ28*x_R_FP</f>
        <v>18748840.1851266</v>
      </c>
      <c r="AO28" s="0" t="n">
        <f aca="false">AA28+AB28+AC28+AD28+AF28</f>
        <v>482138827.460456</v>
      </c>
      <c r="AP28" s="0" t="n">
        <f aca="false">AO28+AE28+AG28+AH28+AI28+AK28+AL28+AM28+AN28</f>
        <v>871296702.898693</v>
      </c>
      <c r="AQ28" s="0" t="n">
        <f aca="false">AO28+AE28+AG28+AJ28</f>
        <v>1217387462.1713</v>
      </c>
      <c r="AR28" s="0" t="n">
        <f aca="false">AB28+AC28+AD28+AF28</f>
        <v>137833427.610024</v>
      </c>
      <c r="AS28" s="0" t="n">
        <f aca="false">AR28+AE28+AG28</f>
        <v>137833427.610024</v>
      </c>
    </row>
    <row r="29" customFormat="false" ht="15" hidden="false" customHeight="false" outlineLevel="0" collapsed="false">
      <c r="A29" s="0" t="n">
        <v>2052</v>
      </c>
      <c r="B29" s="0" t="n">
        <v>26</v>
      </c>
      <c r="C29" s="0" t="n">
        <v>4832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2226.912</v>
      </c>
      <c r="I29" s="0" t="n">
        <v>262.482</v>
      </c>
      <c r="J29" s="0" t="n">
        <v>1518.412</v>
      </c>
      <c r="K29" s="0" t="n">
        <v>2488.957</v>
      </c>
      <c r="L29" s="0" t="n">
        <v>1130.121</v>
      </c>
      <c r="M29" s="0" t="n">
        <v>91813.111</v>
      </c>
      <c r="N29" s="0" t="n">
        <v>8643.246</v>
      </c>
      <c r="O29" s="0" t="n">
        <v>85.203</v>
      </c>
      <c r="P29" s="0" t="n">
        <v>86.101</v>
      </c>
      <c r="Q29" s="0" t="n">
        <v>1214.592</v>
      </c>
      <c r="R29" s="0" t="n">
        <v>1319.909</v>
      </c>
      <c r="S29" s="0" t="n">
        <v>7397.769</v>
      </c>
      <c r="T29" s="0" t="n">
        <v>2489.394</v>
      </c>
      <c r="U29" s="0" t="n">
        <v>1794.047</v>
      </c>
      <c r="V29" s="0" t="n">
        <v>147177.61</v>
      </c>
      <c r="W29" s="0" t="n">
        <v>265.208</v>
      </c>
      <c r="X29" s="0" t="n">
        <v>700.881</v>
      </c>
      <c r="Y29" s="0" t="n">
        <v>85.203</v>
      </c>
      <c r="Z29" s="0" t="n">
        <v>892.49</v>
      </c>
      <c r="AA29" s="0" t="n">
        <f aca="false">H29*x_c_F+I29*x_c_CC+J29*x_c_DC+K29*x_c_HCC+L29*x_c_PLT+M29*x_c_SVRn+N29*x_c_SVRcc+O29*x_c_LT+P29*x_c_LT1</f>
        <v>341085122.310384</v>
      </c>
      <c r="AB29" s="0" t="n">
        <f aca="false">C29*x_c_DAA</f>
        <v>109976320</v>
      </c>
      <c r="AC29" s="0" t="n">
        <f aca="false">C29*x_c_MON</f>
        <v>27857107.6100244</v>
      </c>
      <c r="AD29" s="0" t="n">
        <f aca="false">D29*(1-x_testy)</f>
        <v>0</v>
      </c>
      <c r="AE29" s="0" t="n">
        <f aca="false">E29*(1-x_testy)</f>
        <v>0</v>
      </c>
      <c r="AF29" s="0" t="n">
        <f aca="false">F29*x_NAV</f>
        <v>0</v>
      </c>
      <c r="AG29" s="0" t="n">
        <f aca="false">G29*x_FIX*(1-x_testy)</f>
        <v>0</v>
      </c>
      <c r="AH29" s="0" t="n">
        <f aca="false">x_z_F*U29+(1-x_AGRI)*x_EMP*x_WLOSS*(x_PEN_K74*Q29+x_PEN_C22*R29)</f>
        <v>30969315.0135051</v>
      </c>
      <c r="AI29" s="0" t="n">
        <f aca="false">x_AGRI*x_EMP*x_WLOSS*(x_PEN_K74*Q29+x_PEN_C22*R29)</f>
        <v>1803216.58748767</v>
      </c>
      <c r="AJ29" s="0" t="n">
        <f aca="false">x_EMP*x_WAGE*(x_WLOSS*(Q29+R29)+S29)+U29*x_ABS_D*x_WAGE/365</f>
        <v>774609162.270871</v>
      </c>
      <c r="AK29" s="0" t="n">
        <f aca="false">AJ29*x_R_FUS</f>
        <v>245086338.942503</v>
      </c>
      <c r="AL29" s="0" t="n">
        <f aca="false">AJ29*x_R_NFZ</f>
        <v>60156922.1511181</v>
      </c>
      <c r="AM29" s="0" t="n">
        <f aca="false">AJ29*x_R_PIT</f>
        <v>51499250.2063996</v>
      </c>
      <c r="AN29" s="0" t="n">
        <f aca="false">AJ29*x_R_FP</f>
        <v>19752533.6379072</v>
      </c>
      <c r="AO29" s="0" t="n">
        <f aca="false">AA29+AB29+AC29+AD29+AF29</f>
        <v>478918549.920408</v>
      </c>
      <c r="AP29" s="0" t="n">
        <f aca="false">AO29+AE29+AG29+AH29+AI29+AK29+AL29+AM29+AN29</f>
        <v>888186126.459329</v>
      </c>
      <c r="AQ29" s="0" t="n">
        <f aca="false">AO29+AE29+AG29+AJ29</f>
        <v>1253527712.19128</v>
      </c>
      <c r="AR29" s="0" t="n">
        <f aca="false">AB29+AC29+AD29+AF29</f>
        <v>137833427.610024</v>
      </c>
      <c r="AS29" s="0" t="n">
        <f aca="false">AR29+AE29+AG29</f>
        <v>137833427.610024</v>
      </c>
    </row>
    <row r="30" customFormat="false" ht="15" hidden="false" customHeight="false" outlineLevel="0" collapsed="false">
      <c r="A30" s="0" t="n">
        <v>2053</v>
      </c>
      <c r="B30" s="0" t="n">
        <v>27</v>
      </c>
      <c r="C30" s="0" t="n">
        <v>4832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2230.965</v>
      </c>
      <c r="I30" s="0" t="n">
        <v>257.545</v>
      </c>
      <c r="J30" s="0" t="n">
        <v>1486.602</v>
      </c>
      <c r="K30" s="0" t="n">
        <v>2439.769</v>
      </c>
      <c r="L30" s="0" t="n">
        <v>1111.088</v>
      </c>
      <c r="M30" s="0" t="n">
        <v>94575.615</v>
      </c>
      <c r="N30" s="0" t="n">
        <v>8714.477</v>
      </c>
      <c r="O30" s="0" t="n">
        <v>83.45</v>
      </c>
      <c r="P30" s="0" t="n">
        <v>84.327</v>
      </c>
      <c r="Q30" s="0" t="n">
        <v>1252.313</v>
      </c>
      <c r="R30" s="0" t="n">
        <v>1362.741</v>
      </c>
      <c r="S30" s="0" t="n">
        <v>7815.682</v>
      </c>
      <c r="T30" s="0" t="n">
        <v>2488.51</v>
      </c>
      <c r="U30" s="0" t="n">
        <v>1816.74</v>
      </c>
      <c r="V30" s="0" t="n">
        <v>148796.765</v>
      </c>
      <c r="W30" s="0" t="n">
        <v>259.613</v>
      </c>
      <c r="X30" s="0" t="n">
        <v>687.729</v>
      </c>
      <c r="Y30" s="0" t="n">
        <v>83.45</v>
      </c>
      <c r="Z30" s="0" t="n">
        <v>874.797</v>
      </c>
      <c r="AA30" s="0" t="n">
        <f aca="false">H30*x_c_F+I30*x_c_CC+J30*x_c_DC+K30*x_c_HCC+L30*x_c_PLT+M30*x_c_SVRn+N30*x_c_SVRcc+O30*x_c_LT+P30*x_c_LT1</f>
        <v>337999814.695309</v>
      </c>
      <c r="AB30" s="0" t="n">
        <f aca="false">C30*x_c_DAA</f>
        <v>109976320</v>
      </c>
      <c r="AC30" s="0" t="n">
        <f aca="false">C30*x_c_MON</f>
        <v>27857107.6100244</v>
      </c>
      <c r="AD30" s="0" t="n">
        <f aca="false">D30*(1-x_testy)</f>
        <v>0</v>
      </c>
      <c r="AE30" s="0" t="n">
        <f aca="false">E30*(1-x_testy)</f>
        <v>0</v>
      </c>
      <c r="AF30" s="0" t="n">
        <f aca="false">F30*x_NAV</f>
        <v>0</v>
      </c>
      <c r="AG30" s="0" t="n">
        <f aca="false">G30*x_FIX*(1-x_testy)</f>
        <v>0</v>
      </c>
      <c r="AH30" s="0" t="n">
        <f aca="false">x_z_F*U30+(1-x_AGRI)*x_EMP*x_WLOSS*(x_PEN_K74*Q30+x_PEN_C22*R30)</f>
        <v>31884237.4263985</v>
      </c>
      <c r="AI30" s="0" t="n">
        <f aca="false">x_AGRI*x_EMP*x_WLOSS*(x_PEN_K74*Q30+x_PEN_C22*R30)</f>
        <v>1860607.41786541</v>
      </c>
      <c r="AJ30" s="0" t="n">
        <f aca="false">x_EMP*x_WAGE*(x_WLOSS*(Q30+R30)+S30)+U30*x_ABS_D*x_WAGE/365</f>
        <v>814712415.692765</v>
      </c>
      <c r="AK30" s="0" t="n">
        <f aca="false">AJ30*x_R_FUS</f>
        <v>257775008.325191</v>
      </c>
      <c r="AL30" s="0" t="n">
        <f aca="false">AJ30*x_R_NFZ</f>
        <v>63271380.9151158</v>
      </c>
      <c r="AM30" s="0" t="n">
        <f aca="false">AJ30*x_R_PIT</f>
        <v>54165481.8786537</v>
      </c>
      <c r="AN30" s="0" t="n">
        <f aca="false">AJ30*x_R_FP</f>
        <v>20775166.6001655</v>
      </c>
      <c r="AO30" s="0" t="n">
        <f aca="false">AA30+AB30+AC30+AD30+AF30</f>
        <v>475833242.305333</v>
      </c>
      <c r="AP30" s="0" t="n">
        <f aca="false">AO30+AE30+AG30+AH30+AI30+AK30+AL30+AM30+AN30</f>
        <v>905565124.868723</v>
      </c>
      <c r="AQ30" s="0" t="n">
        <f aca="false">AO30+AE30+AG30+AJ30</f>
        <v>1290545657.9981</v>
      </c>
      <c r="AR30" s="0" t="n">
        <f aca="false">AB30+AC30+AD30+AF30</f>
        <v>137833427.610024</v>
      </c>
      <c r="AS30" s="0" t="n">
        <f aca="false">AR30+AE30+AG30</f>
        <v>137833427.610024</v>
      </c>
    </row>
    <row r="31" customFormat="false" ht="15" hidden="false" customHeight="false" outlineLevel="0" collapsed="false">
      <c r="A31" s="0" t="n">
        <v>2054</v>
      </c>
      <c r="B31" s="0" t="n">
        <v>28</v>
      </c>
      <c r="C31" s="0" t="n">
        <v>4832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2234.801</v>
      </c>
      <c r="I31" s="0" t="n">
        <v>252.875</v>
      </c>
      <c r="J31" s="0" t="n">
        <v>1455.596</v>
      </c>
      <c r="K31" s="0" t="n">
        <v>2392.794</v>
      </c>
      <c r="L31" s="0" t="n">
        <v>1091.709</v>
      </c>
      <c r="M31" s="0" t="n">
        <v>97322.342</v>
      </c>
      <c r="N31" s="0" t="n">
        <v>8771.532</v>
      </c>
      <c r="O31" s="0" t="n">
        <v>81.739</v>
      </c>
      <c r="P31" s="0" t="n">
        <v>82.595</v>
      </c>
      <c r="Q31" s="0" t="n">
        <v>1290.171</v>
      </c>
      <c r="R31" s="0" t="n">
        <v>1404.855</v>
      </c>
      <c r="S31" s="0" t="n">
        <v>8241.571</v>
      </c>
      <c r="T31" s="0" t="n">
        <v>2487.676</v>
      </c>
      <c r="U31" s="0" t="n">
        <v>1837.333</v>
      </c>
      <c r="V31" s="0" t="n">
        <v>150431.604</v>
      </c>
      <c r="W31" s="0" t="n">
        <v>254.335</v>
      </c>
      <c r="X31" s="0" t="n">
        <v>675.307</v>
      </c>
      <c r="Y31" s="0" t="n">
        <v>81.739</v>
      </c>
      <c r="Z31" s="0" t="n">
        <v>857.665</v>
      </c>
      <c r="AA31" s="0" t="n">
        <f aca="false">H31*x_c_F+I31*x_c_CC+J31*x_c_DC+K31*x_c_HCC+L31*x_c_PLT+M31*x_c_SVRn+N31*x_c_SVRcc+O31*x_c_LT+P31*x_c_LT1</f>
        <v>335025904.799794</v>
      </c>
      <c r="AB31" s="0" t="n">
        <f aca="false">C31*x_c_DAA</f>
        <v>109976320</v>
      </c>
      <c r="AC31" s="0" t="n">
        <f aca="false">C31*x_c_MON</f>
        <v>27857107.6100244</v>
      </c>
      <c r="AD31" s="0" t="n">
        <f aca="false">D31*(1-x_testy)</f>
        <v>0</v>
      </c>
      <c r="AE31" s="0" t="n">
        <f aca="false">E31*(1-x_testy)</f>
        <v>0</v>
      </c>
      <c r="AF31" s="0" t="n">
        <f aca="false">F31*x_NAV</f>
        <v>0</v>
      </c>
      <c r="AG31" s="0" t="n">
        <f aca="false">G31*x_FIX*(1-x_testy)</f>
        <v>0</v>
      </c>
      <c r="AH31" s="0" t="n">
        <f aca="false">x_z_F*U31+(1-x_AGRI)*x_EMP*x_WLOSS*(x_PEN_K74*Q31+x_PEN_C22*R31)</f>
        <v>32788018.9214831</v>
      </c>
      <c r="AI31" s="0" t="n">
        <f aca="false">x_AGRI*x_EMP*x_WLOSS*(x_PEN_K74*Q31+x_PEN_C22*R31)</f>
        <v>1917547.22706723</v>
      </c>
      <c r="AJ31" s="0" t="n">
        <f aca="false">x_EMP*x_WAGE*(x_WLOSS*(Q31+R31)+S31)+U31*x_ABS_D*x_WAGE/365</f>
        <v>855457765.643152</v>
      </c>
      <c r="AK31" s="0" t="n">
        <f aca="false">AJ31*x_R_FUS</f>
        <v>270666837.049493</v>
      </c>
      <c r="AL31" s="0" t="n">
        <f aca="false">AJ31*x_R_NFZ</f>
        <v>66435705.5376128</v>
      </c>
      <c r="AM31" s="0" t="n">
        <f aca="false">AJ31*x_R_PIT</f>
        <v>56874402.8081333</v>
      </c>
      <c r="AN31" s="0" t="n">
        <f aca="false">AJ31*x_R_FP</f>
        <v>21814173.0239004</v>
      </c>
      <c r="AO31" s="0" t="n">
        <f aca="false">AA31+AB31+AC31+AD31+AF31</f>
        <v>472859332.409818</v>
      </c>
      <c r="AP31" s="0" t="n">
        <f aca="false">AO31+AE31+AG31+AH31+AI31+AK31+AL31+AM31+AN31</f>
        <v>923356016.977508</v>
      </c>
      <c r="AQ31" s="0" t="n">
        <f aca="false">AO31+AE31+AG31+AJ31</f>
        <v>1328317098.05297</v>
      </c>
      <c r="AR31" s="0" t="n">
        <f aca="false">AB31+AC31+AD31+AF31</f>
        <v>137833427.610024</v>
      </c>
      <c r="AS31" s="0" t="n">
        <f aca="false">AR31+AE31+AG31</f>
        <v>137833427.610024</v>
      </c>
    </row>
    <row r="32" customFormat="false" ht="15" hidden="false" customHeight="false" outlineLevel="0" collapsed="false">
      <c r="A32" s="0" t="n">
        <v>2055</v>
      </c>
      <c r="B32" s="0" t="n">
        <v>29</v>
      </c>
      <c r="C32" s="0" t="n">
        <v>4832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2238.429</v>
      </c>
      <c r="I32" s="0" t="n">
        <v>248.455</v>
      </c>
      <c r="J32" s="0" t="n">
        <v>1425.344</v>
      </c>
      <c r="K32" s="0" t="n">
        <v>2347.78</v>
      </c>
      <c r="L32" s="0" t="n">
        <v>1071.799</v>
      </c>
      <c r="M32" s="0" t="n">
        <v>100044.014</v>
      </c>
      <c r="N32" s="0" t="n">
        <v>8813.817</v>
      </c>
      <c r="O32" s="0" t="n">
        <v>80.066</v>
      </c>
      <c r="P32" s="0" t="n">
        <v>80.903</v>
      </c>
      <c r="Q32" s="0" t="n">
        <v>1327.959</v>
      </c>
      <c r="R32" s="0" t="n">
        <v>1445.989</v>
      </c>
      <c r="S32" s="0" t="n">
        <v>8674.453</v>
      </c>
      <c r="T32" s="0" t="n">
        <v>2486.884</v>
      </c>
      <c r="U32" s="0" t="n">
        <v>1856.009</v>
      </c>
      <c r="V32" s="0" t="n">
        <v>152068.642</v>
      </c>
      <c r="W32" s="0" t="n">
        <v>249.333</v>
      </c>
      <c r="X32" s="0" t="n">
        <v>663.506</v>
      </c>
      <c r="Y32" s="0" t="n">
        <v>80.066</v>
      </c>
      <c r="Z32" s="0" t="n">
        <v>841.02</v>
      </c>
      <c r="AA32" s="0" t="n">
        <f aca="false">H32*x_c_F+I32*x_c_CC+J32*x_c_DC+K32*x_c_HCC+L32*x_c_PLT+M32*x_c_SVRn+N32*x_c_SVRcc+O32*x_c_LT+P32*x_c_LT1</f>
        <v>332131921.090579</v>
      </c>
      <c r="AB32" s="0" t="n">
        <f aca="false">C32*x_c_DAA</f>
        <v>109976320</v>
      </c>
      <c r="AC32" s="0" t="n">
        <f aca="false">C32*x_c_MON</f>
        <v>27857107.6100244</v>
      </c>
      <c r="AD32" s="0" t="n">
        <f aca="false">D32*(1-x_testy)</f>
        <v>0</v>
      </c>
      <c r="AE32" s="0" t="n">
        <f aca="false">E32*(1-x_testy)</f>
        <v>0</v>
      </c>
      <c r="AF32" s="0" t="n">
        <f aca="false">F32*x_NAV</f>
        <v>0</v>
      </c>
      <c r="AG32" s="0" t="n">
        <f aca="false">G32*x_FIX*(1-x_testy)</f>
        <v>0</v>
      </c>
      <c r="AH32" s="0" t="n">
        <f aca="false">x_z_F*U32+(1-x_AGRI)*x_EMP*x_WLOSS*(x_PEN_K74*Q32+x_PEN_C22*R32)</f>
        <v>33675963.1455629</v>
      </c>
      <c r="AI32" s="0" t="n">
        <f aca="false">x_AGRI*x_EMP*x_WLOSS*(x_PEN_K74*Q32+x_PEN_C22*R32)</f>
        <v>1973700.72701789</v>
      </c>
      <c r="AJ32" s="0" t="n">
        <f aca="false">x_EMP*x_WAGE*(x_WLOSS*(Q32+R32)+S32)+U32*x_ABS_D*x_WAGE/365</f>
        <v>896736290.832474</v>
      </c>
      <c r="AK32" s="0" t="n">
        <f aca="false">AJ32*x_R_FUS</f>
        <v>283727362.419395</v>
      </c>
      <c r="AL32" s="0" t="n">
        <f aca="false">AJ32*x_R_NFZ</f>
        <v>69641437.0823407</v>
      </c>
      <c r="AM32" s="0" t="n">
        <f aca="false">AJ32*x_R_PIT</f>
        <v>59618771.4528883</v>
      </c>
      <c r="AN32" s="0" t="n">
        <f aca="false">AJ32*x_R_FP</f>
        <v>22866775.4162281</v>
      </c>
      <c r="AO32" s="0" t="n">
        <f aca="false">AA32+AB32+AC32+AD32+AF32</f>
        <v>469965348.700604</v>
      </c>
      <c r="AP32" s="0" t="n">
        <f aca="false">AO32+AE32+AG32+AH32+AI32+AK32+AL32+AM32+AN32</f>
        <v>941469358.944036</v>
      </c>
      <c r="AQ32" s="0" t="n">
        <f aca="false">AO32+AE32+AG32+AJ32</f>
        <v>1366701639.53308</v>
      </c>
      <c r="AR32" s="0" t="n">
        <f aca="false">AB32+AC32+AD32+AF32</f>
        <v>137833427.610024</v>
      </c>
      <c r="AS32" s="0" t="n">
        <f aca="false">AR32+AE32+AG32</f>
        <v>137833427.610024</v>
      </c>
    </row>
    <row r="33" customFormat="false" ht="15" hidden="false" customHeight="false" outlineLevel="0" collapsed="false">
      <c r="A33" s="0" t="n">
        <v>2056</v>
      </c>
      <c r="B33" s="0" t="n">
        <v>30</v>
      </c>
      <c r="C33" s="0" t="n">
        <v>4832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2241.862</v>
      </c>
      <c r="I33" s="0" t="n">
        <v>244.266</v>
      </c>
      <c r="J33" s="0" t="n">
        <v>1395.742</v>
      </c>
      <c r="K33" s="0" t="n">
        <v>2304.418</v>
      </c>
      <c r="L33" s="0" t="n">
        <v>1051.127</v>
      </c>
      <c r="M33" s="0" t="n">
        <v>102729.31</v>
      </c>
      <c r="N33" s="0" t="n">
        <v>8840.292</v>
      </c>
      <c r="O33" s="0" t="n">
        <v>78.423</v>
      </c>
      <c r="P33" s="0" t="n">
        <v>79.244</v>
      </c>
      <c r="Q33" s="0" t="n">
        <v>1365.448</v>
      </c>
      <c r="R33" s="0" t="n">
        <v>1485.877</v>
      </c>
      <c r="S33" s="0" t="n">
        <v>9113.077</v>
      </c>
      <c r="T33" s="0" t="n">
        <v>2486.128</v>
      </c>
      <c r="U33" s="0" t="n">
        <v>1872.935</v>
      </c>
      <c r="V33" s="0" t="n">
        <v>153693.31</v>
      </c>
      <c r="W33" s="0" t="n">
        <v>244.562</v>
      </c>
      <c r="X33" s="0" t="n">
        <v>652.202</v>
      </c>
      <c r="Y33" s="0" t="n">
        <v>78.423</v>
      </c>
      <c r="Z33" s="0" t="n">
        <v>824.749</v>
      </c>
      <c r="AA33" s="0" t="n">
        <f aca="false">H33*x_c_F+I33*x_c_CC+J33*x_c_DC+K33*x_c_HCC+L33*x_c_PLT+M33*x_c_SVRn+N33*x_c_SVRcc+O33*x_c_LT+P33*x_c_LT1</f>
        <v>329276289.472751</v>
      </c>
      <c r="AB33" s="0" t="n">
        <f aca="false">C33*x_c_DAA</f>
        <v>109976320</v>
      </c>
      <c r="AC33" s="0" t="n">
        <f aca="false">C33*x_c_MON</f>
        <v>27857107.6100244</v>
      </c>
      <c r="AD33" s="0" t="n">
        <f aca="false">D33*(1-x_testy)</f>
        <v>0</v>
      </c>
      <c r="AE33" s="0" t="n">
        <f aca="false">E33*(1-x_testy)</f>
        <v>0</v>
      </c>
      <c r="AF33" s="0" t="n">
        <f aca="false">F33*x_NAV</f>
        <v>0</v>
      </c>
      <c r="AG33" s="0" t="n">
        <f aca="false">G33*x_FIX*(1-x_testy)</f>
        <v>0</v>
      </c>
      <c r="AH33" s="0" t="n">
        <f aca="false">x_z_F*U33+(1-x_AGRI)*x_EMP*x_WLOSS*(x_PEN_K74*Q33+x_PEN_C22*R33)</f>
        <v>34543074.0752483</v>
      </c>
      <c r="AI33" s="0" t="n">
        <f aca="false">x_AGRI*x_EMP*x_WLOSS*(x_PEN_K74*Q33+x_PEN_C22*R33)</f>
        <v>2028714.99628109</v>
      </c>
      <c r="AJ33" s="0" t="n">
        <f aca="false">x_EMP*x_WAGE*(x_WLOSS*(Q33+R33)+S33)+U33*x_ABS_D*x_WAGE/365</f>
        <v>938414751.323316</v>
      </c>
      <c r="AK33" s="0" t="n">
        <f aca="false">AJ33*x_R_FUS</f>
        <v>296914427.318697</v>
      </c>
      <c r="AL33" s="0" t="n">
        <f aca="false">AJ33*x_R_NFZ</f>
        <v>72878228.0025201</v>
      </c>
      <c r="AM33" s="0" t="n">
        <f aca="false">AJ33*x_R_PIT</f>
        <v>62389729.4657563</v>
      </c>
      <c r="AN33" s="0" t="n">
        <f aca="false">AJ33*x_R_FP</f>
        <v>23929576.1587446</v>
      </c>
      <c r="AO33" s="0" t="n">
        <f aca="false">AA33+AB33+AC33+AD33+AF33</f>
        <v>467109717.082776</v>
      </c>
      <c r="AP33" s="0" t="n">
        <f aca="false">AO33+AE33+AG33+AH33+AI33+AK33+AL33+AM33+AN33</f>
        <v>959793467.100023</v>
      </c>
      <c r="AQ33" s="0" t="n">
        <f aca="false">AO33+AE33+AG33+AJ33</f>
        <v>1405524468.40609</v>
      </c>
      <c r="AR33" s="0" t="n">
        <f aca="false">AB33+AC33+AD33+AF33</f>
        <v>137833427.610024</v>
      </c>
      <c r="AS33" s="0" t="n">
        <f aca="false">AR33+AE33+AG33</f>
        <v>137833427.610024</v>
      </c>
    </row>
    <row r="34" customFormat="false" ht="15" hidden="false" customHeight="false" outlineLevel="0" collapsed="false">
      <c r="A34" s="0" t="n">
        <v>2057</v>
      </c>
      <c r="B34" s="0" t="n">
        <v>31</v>
      </c>
      <c r="C34" s="0" t="n">
        <v>4832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2245.157</v>
      </c>
      <c r="I34" s="0" t="n">
        <v>240.239</v>
      </c>
      <c r="J34" s="0" t="n">
        <v>1365.141</v>
      </c>
      <c r="K34" s="0" t="n">
        <v>2260.345</v>
      </c>
      <c r="L34" s="0" t="n">
        <v>1026.864</v>
      </c>
      <c r="M34" s="0" t="n">
        <v>105283.545</v>
      </c>
      <c r="N34" s="0" t="n">
        <v>8834.036</v>
      </c>
      <c r="O34" s="0" t="n">
        <v>76.623</v>
      </c>
      <c r="P34" s="0" t="n">
        <v>77.523</v>
      </c>
      <c r="Q34" s="0" t="n">
        <v>1402.402</v>
      </c>
      <c r="R34" s="0" t="n">
        <v>1524.269</v>
      </c>
      <c r="S34" s="0" t="n">
        <v>9555.98</v>
      </c>
      <c r="T34" s="0" t="n">
        <v>2485.396</v>
      </c>
      <c r="U34" s="0" t="n">
        <v>1888.359</v>
      </c>
      <c r="V34" s="0" t="n">
        <v>155211.338</v>
      </c>
      <c r="W34" s="0" t="n">
        <v>239.7</v>
      </c>
      <c r="X34" s="0" t="n">
        <v>640.464</v>
      </c>
      <c r="Y34" s="0" t="n">
        <v>76.623</v>
      </c>
      <c r="Z34" s="0" t="n">
        <v>806.899</v>
      </c>
      <c r="AA34" s="0" t="n">
        <f aca="false">H34*x_c_F+I34*x_c_CC+J34*x_c_DC+K34*x_c_HCC+L34*x_c_PLT+M34*x_c_SVRn+N34*x_c_SVRcc+O34*x_c_LT+P34*x_c_LT1</f>
        <v>326017545.783285</v>
      </c>
      <c r="AB34" s="0" t="n">
        <f aca="false">C34*x_c_DAA</f>
        <v>109976320</v>
      </c>
      <c r="AC34" s="0" t="n">
        <f aca="false">C34*x_c_MON</f>
        <v>27857107.6100244</v>
      </c>
      <c r="AD34" s="0" t="n">
        <f aca="false">D34*(1-x_testy)</f>
        <v>0</v>
      </c>
      <c r="AE34" s="0" t="n">
        <f aca="false">E34*(1-x_testy)</f>
        <v>0</v>
      </c>
      <c r="AF34" s="0" t="n">
        <f aca="false">F34*x_NAV</f>
        <v>0</v>
      </c>
      <c r="AG34" s="0" t="n">
        <f aca="false">G34*x_FIX*(1-x_testy)</f>
        <v>0</v>
      </c>
      <c r="AH34" s="0" t="n">
        <f aca="false">x_z_F*U34+(1-x_AGRI)*x_EMP*x_WLOSS*(x_PEN_K74*Q34+x_PEN_C22*R34)</f>
        <v>35384634.6050244</v>
      </c>
      <c r="AI34" s="0" t="n">
        <f aca="false">x_AGRI*x_EMP*x_WLOSS*(x_PEN_K74*Q34+x_PEN_C22*R34)</f>
        <v>2082244.5421468</v>
      </c>
      <c r="AJ34" s="0" t="n">
        <f aca="false">x_EMP*x_WAGE*(x_WLOSS*(Q34+R34)+S34)+U34*x_ABS_D*x_WAGE/365</f>
        <v>980342562.058086</v>
      </c>
      <c r="AK34" s="0" t="n">
        <f aca="false">AJ34*x_R_FUS</f>
        <v>310180386.635178</v>
      </c>
      <c r="AL34" s="0" t="n">
        <f aca="false">AJ34*x_R_NFZ</f>
        <v>76134383.711993</v>
      </c>
      <c r="AM34" s="0" t="n">
        <f aca="false">AJ34*x_R_PIT</f>
        <v>65177265.3235898</v>
      </c>
      <c r="AN34" s="0" t="n">
        <f aca="false">AJ34*x_R_FP</f>
        <v>24998735.3324812</v>
      </c>
      <c r="AO34" s="0" t="n">
        <f aca="false">AA34+AB34+AC34+AD34+AF34</f>
        <v>463850973.39331</v>
      </c>
      <c r="AP34" s="0" t="n">
        <f aca="false">AO34+AE34+AG34+AH34+AI34+AK34+AL34+AM34+AN34</f>
        <v>977808623.543723</v>
      </c>
      <c r="AQ34" s="0" t="n">
        <f aca="false">AO34+AE34+AG34+AJ34</f>
        <v>1444193535.4514</v>
      </c>
      <c r="AR34" s="0" t="n">
        <f aca="false">AB34+AC34+AD34+AF34</f>
        <v>137833427.610024</v>
      </c>
      <c r="AS34" s="0" t="n">
        <f aca="false">AR34+AE34+AG34</f>
        <v>137833427.610024</v>
      </c>
    </row>
    <row r="35" customFormat="false" ht="15" hidden="false" customHeight="false" outlineLevel="0" collapsed="false">
      <c r="A35" s="0" t="n">
        <v>2058</v>
      </c>
      <c r="B35" s="0" t="n">
        <v>32</v>
      </c>
      <c r="C35" s="0" t="n">
        <v>4832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2248.251</v>
      </c>
      <c r="I35" s="0" t="n">
        <v>236.441</v>
      </c>
      <c r="J35" s="0" t="n">
        <v>1335.639</v>
      </c>
      <c r="K35" s="0" t="n">
        <v>2218.25</v>
      </c>
      <c r="L35" s="0" t="n">
        <v>1002.333</v>
      </c>
      <c r="M35" s="0" t="n">
        <v>107806.549</v>
      </c>
      <c r="N35" s="0" t="n">
        <v>8815.381</v>
      </c>
      <c r="O35" s="0" t="n">
        <v>75.102</v>
      </c>
      <c r="P35" s="0" t="n">
        <v>75.863</v>
      </c>
      <c r="Q35" s="0" t="n">
        <v>1438.575</v>
      </c>
      <c r="R35" s="0" t="n">
        <v>1560.931</v>
      </c>
      <c r="S35" s="0" t="n">
        <v>10001.491</v>
      </c>
      <c r="T35" s="0" t="n">
        <v>2484.692</v>
      </c>
      <c r="U35" s="0" t="n">
        <v>1902.248</v>
      </c>
      <c r="V35" s="0" t="n">
        <v>156718.82</v>
      </c>
      <c r="W35" s="0" t="n">
        <v>235.426</v>
      </c>
      <c r="X35" s="0" t="n">
        <v>630.26</v>
      </c>
      <c r="Y35" s="0" t="n">
        <v>75.102</v>
      </c>
      <c r="Z35" s="0" t="n">
        <v>791.918</v>
      </c>
      <c r="AA35" s="0" t="n">
        <f aca="false">H35*x_c_F+I35*x_c_CC+J35*x_c_DC+K35*x_c_HCC+L35*x_c_PLT+M35*x_c_SVRn+N35*x_c_SVRcc+O35*x_c_LT+P35*x_c_LT1</f>
        <v>322940622.944707</v>
      </c>
      <c r="AB35" s="0" t="n">
        <f aca="false">C35*x_c_DAA</f>
        <v>109976320</v>
      </c>
      <c r="AC35" s="0" t="n">
        <f aca="false">C35*x_c_MON</f>
        <v>27857107.6100244</v>
      </c>
      <c r="AD35" s="0" t="n">
        <f aca="false">D35*(1-x_testy)</f>
        <v>0</v>
      </c>
      <c r="AE35" s="0" t="n">
        <f aca="false">E35*(1-x_testy)</f>
        <v>0</v>
      </c>
      <c r="AF35" s="0" t="n">
        <f aca="false">F35*x_NAV</f>
        <v>0</v>
      </c>
      <c r="AG35" s="0" t="n">
        <f aca="false">G35*x_FIX*(1-x_testy)</f>
        <v>0</v>
      </c>
      <c r="AH35" s="0" t="n">
        <f aca="false">x_z_F*U35+(1-x_AGRI)*x_EMP*x_WLOSS*(x_PEN_K74*Q35+x_PEN_C22*R35)</f>
        <v>36195432.1602153</v>
      </c>
      <c r="AI35" s="0" t="n">
        <f aca="false">x_AGRI*x_EMP*x_WLOSS*(x_PEN_K74*Q35+x_PEN_C22*R35)</f>
        <v>2133949.30785064</v>
      </c>
      <c r="AJ35" s="0" t="n">
        <f aca="false">x_EMP*x_WAGE*(x_WLOSS*(Q35+R35)+S35)+U35*x_ABS_D*x_WAGE/365</f>
        <v>1022350906.50522</v>
      </c>
      <c r="AK35" s="0" t="n">
        <f aca="false">AJ35*x_R_FUS</f>
        <v>323471826.818253</v>
      </c>
      <c r="AL35" s="0" t="n">
        <f aca="false">AJ35*x_R_NFZ</f>
        <v>79396793.7501022</v>
      </c>
      <c r="AM35" s="0" t="n">
        <f aca="false">AJ35*x_R_PIT</f>
        <v>67970155.3987569</v>
      </c>
      <c r="AN35" s="0" t="n">
        <f aca="false">AJ35*x_R_FP</f>
        <v>26069948.1158832</v>
      </c>
      <c r="AO35" s="0" t="n">
        <f aca="false">AA35+AB35+AC35+AD35+AF35</f>
        <v>460774050.554732</v>
      </c>
      <c r="AP35" s="0" t="n">
        <f aca="false">AO35+AE35+AG35+AH35+AI35+AK35+AL35+AM35+AN35</f>
        <v>996012156.105793</v>
      </c>
      <c r="AQ35" s="0" t="n">
        <f aca="false">AO35+AE35+AG35+AJ35</f>
        <v>1483124957.05996</v>
      </c>
      <c r="AR35" s="0" t="n">
        <f aca="false">AB35+AC35+AD35+AF35</f>
        <v>137833427.610024</v>
      </c>
      <c r="AS35" s="0" t="n">
        <f aca="false">AR35+AE35+AG35</f>
        <v>137833427.610024</v>
      </c>
    </row>
    <row r="36" customFormat="false" ht="15" hidden="false" customHeight="false" outlineLevel="0" collapsed="false">
      <c r="A36" s="0" t="n">
        <v>2059</v>
      </c>
      <c r="B36" s="0" t="n">
        <v>33</v>
      </c>
      <c r="C36" s="0" t="n">
        <v>4832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2251.112</v>
      </c>
      <c r="I36" s="0" t="n">
        <v>232.909</v>
      </c>
      <c r="J36" s="0" t="n">
        <v>1308.504</v>
      </c>
      <c r="K36" s="0" t="n">
        <v>2179.703</v>
      </c>
      <c r="L36" s="0" t="n">
        <v>979.647</v>
      </c>
      <c r="M36" s="0" t="n">
        <v>110360.019</v>
      </c>
      <c r="N36" s="0" t="n">
        <v>8797.294</v>
      </c>
      <c r="O36" s="0" t="n">
        <v>73.575</v>
      </c>
      <c r="P36" s="0" t="n">
        <v>74.339</v>
      </c>
      <c r="Q36" s="0" t="n">
        <v>1088.574</v>
      </c>
      <c r="R36" s="0" t="n">
        <v>1319.102</v>
      </c>
      <c r="S36" s="0" t="n">
        <v>6575.537</v>
      </c>
      <c r="T36" s="0" t="n">
        <v>2484.021</v>
      </c>
      <c r="U36" s="0" t="n">
        <v>1875.293</v>
      </c>
      <c r="V36" s="0" t="n">
        <v>158274.683</v>
      </c>
      <c r="W36" s="0" t="n">
        <v>231.262</v>
      </c>
      <c r="X36" s="0" t="n">
        <v>620.217</v>
      </c>
      <c r="Y36" s="0" t="n">
        <v>73.575</v>
      </c>
      <c r="Z36" s="0" t="n">
        <v>776.849</v>
      </c>
      <c r="AA36" s="0" t="n">
        <f aca="false">H36*x_c_F+I36*x_c_CC+J36*x_c_DC+K36*x_c_HCC+L36*x_c_PLT+M36*x_c_SVRn+N36*x_c_SVRcc+O36*x_c_LT+P36*x_c_LT1</f>
        <v>320213583.745111</v>
      </c>
      <c r="AB36" s="0" t="n">
        <f aca="false">C36*x_c_DAA</f>
        <v>109976320</v>
      </c>
      <c r="AC36" s="0" t="n">
        <f aca="false">C36*x_c_MON</f>
        <v>27857107.6100244</v>
      </c>
      <c r="AD36" s="0" t="n">
        <f aca="false">D36*(1-x_testy)</f>
        <v>0</v>
      </c>
      <c r="AE36" s="0" t="n">
        <f aca="false">E36*(1-x_testy)</f>
        <v>0</v>
      </c>
      <c r="AF36" s="0" t="n">
        <f aca="false">F36*x_NAV</f>
        <v>0</v>
      </c>
      <c r="AG36" s="0" t="n">
        <f aca="false">G36*x_FIX*(1-x_testy)</f>
        <v>0</v>
      </c>
      <c r="AH36" s="0" t="n">
        <f aca="false">x_z_F*U36+(1-x_AGRI)*x_EMP*x_WLOSS*(x_PEN_K74*Q36+x_PEN_C22*R36)</f>
        <v>29860700.1842564</v>
      </c>
      <c r="AI36" s="0" t="n">
        <f aca="false">x_AGRI*x_EMP*x_WLOSS*(x_PEN_K74*Q36+x_PEN_C22*R36)</f>
        <v>1718898.63533777</v>
      </c>
      <c r="AJ36" s="0" t="n">
        <f aca="false">x_EMP*x_WAGE*(x_WLOSS*(Q36+R36)+S36)+U36*x_ABS_D*x_WAGE/365</f>
        <v>697808348.38364</v>
      </c>
      <c r="AK36" s="0" t="n">
        <f aca="false">AJ36*x_R_FUS</f>
        <v>220786561.428584</v>
      </c>
      <c r="AL36" s="0" t="n">
        <f aca="false">AJ36*x_R_NFZ</f>
        <v>54192494.1438218</v>
      </c>
      <c r="AM36" s="0" t="n">
        <f aca="false">AJ36*x_R_PIT</f>
        <v>46393211.5444782</v>
      </c>
      <c r="AN36" s="0" t="n">
        <f aca="false">AJ36*x_R_FP</f>
        <v>17794112.8837828</v>
      </c>
      <c r="AO36" s="0" t="n">
        <f aca="false">AA36+AB36+AC36+AD36+AF36</f>
        <v>458047011.355136</v>
      </c>
      <c r="AP36" s="0" t="n">
        <f aca="false">AO36+AE36+AG36+AH36+AI36+AK36+AL36+AM36+AN36</f>
        <v>828792990.175397</v>
      </c>
      <c r="AQ36" s="0" t="n">
        <f aca="false">AO36+AE36+AG36+AJ36</f>
        <v>1155855359.73878</v>
      </c>
      <c r="AR36" s="0" t="n">
        <f aca="false">AB36+AC36+AD36+AF36</f>
        <v>137833427.610024</v>
      </c>
      <c r="AS36" s="0" t="n">
        <f aca="false">AR36+AE36+AG36</f>
        <v>137833427.610024</v>
      </c>
    </row>
    <row r="37" customFormat="false" ht="15" hidden="false" customHeight="false" outlineLevel="0" collapsed="false">
      <c r="A37" s="0" t="n">
        <v>2060</v>
      </c>
      <c r="B37" s="0" t="n">
        <v>34</v>
      </c>
      <c r="C37" s="0" t="n">
        <v>4832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2253.809</v>
      </c>
      <c r="I37" s="0" t="n">
        <v>229.561</v>
      </c>
      <c r="J37" s="0" t="n">
        <v>1281.458</v>
      </c>
      <c r="K37" s="0" t="n">
        <v>2141.555</v>
      </c>
      <c r="L37" s="0" t="n">
        <v>954.985</v>
      </c>
      <c r="M37" s="0" t="n">
        <v>112816.438</v>
      </c>
      <c r="N37" s="0" t="n">
        <v>8756.805</v>
      </c>
      <c r="O37" s="0" t="n">
        <v>72.057</v>
      </c>
      <c r="P37" s="0" t="n">
        <v>72.816</v>
      </c>
      <c r="Q37" s="0" t="n">
        <v>716.721</v>
      </c>
      <c r="R37" s="0" t="n">
        <v>1053.627</v>
      </c>
      <c r="S37" s="0" t="n">
        <v>2911.637</v>
      </c>
      <c r="T37" s="0" t="n">
        <v>2483.37</v>
      </c>
      <c r="U37" s="0" t="n">
        <v>1841.618</v>
      </c>
      <c r="V37" s="0" t="n">
        <v>159755.111</v>
      </c>
      <c r="W37" s="0" t="n">
        <v>227.231</v>
      </c>
      <c r="X37" s="0" t="n">
        <v>610.392</v>
      </c>
      <c r="Y37" s="0" t="n">
        <v>72.057</v>
      </c>
      <c r="Z37" s="0" t="n">
        <v>761.827</v>
      </c>
      <c r="AA37" s="0" t="n">
        <f aca="false">H37*x_c_F+I37*x_c_CC+J37*x_c_DC+K37*x_c_HCC+L37*x_c_PLT+M37*x_c_SVRn+N37*x_c_SVRcc+O37*x_c_LT+P37*x_c_LT1</f>
        <v>317333281.780888</v>
      </c>
      <c r="AB37" s="0" t="n">
        <f aca="false">C37*x_c_DAA</f>
        <v>109976320</v>
      </c>
      <c r="AC37" s="0" t="n">
        <f aca="false">C37*x_c_MON</f>
        <v>27857107.6100244</v>
      </c>
      <c r="AD37" s="0" t="n">
        <f aca="false">D37*(1-x_testy)</f>
        <v>0</v>
      </c>
      <c r="AE37" s="0" t="n">
        <f aca="false">E37*(1-x_testy)</f>
        <v>0</v>
      </c>
      <c r="AF37" s="0" t="n">
        <f aca="false">F37*x_NAV</f>
        <v>0</v>
      </c>
      <c r="AG37" s="0" t="n">
        <f aca="false">G37*x_FIX*(1-x_testy)</f>
        <v>0</v>
      </c>
      <c r="AH37" s="0" t="n">
        <f aca="false">x_z_F*U37+(1-x_AGRI)*x_EMP*x_WLOSS*(x_PEN_K74*Q37+x_PEN_C22*R37)</f>
        <v>23022486.3015376</v>
      </c>
      <c r="AI37" s="0" t="n">
        <f aca="false">x_AGRI*x_EMP*x_WLOSS*(x_PEN_K74*Q37+x_PEN_C22*R37)</f>
        <v>1271481.96571674</v>
      </c>
      <c r="AJ37" s="0" t="n">
        <f aca="false">x_EMP*x_WAGE*(x_WLOSS*(Q37+R37)+S37)+U37*x_ABS_D*x_WAGE/365</f>
        <v>350470551.064998</v>
      </c>
      <c r="AK37" s="0" t="n">
        <f aca="false">AJ37*x_R_FUS</f>
        <v>110888882.356965</v>
      </c>
      <c r="AL37" s="0" t="n">
        <f aca="false">AJ37*x_R_NFZ</f>
        <v>27217893.4662588</v>
      </c>
      <c r="AM37" s="0" t="n">
        <f aca="false">AJ37*x_R_PIT</f>
        <v>23300745.0445824</v>
      </c>
      <c r="AN37" s="0" t="n">
        <f aca="false">AJ37*x_R_FP</f>
        <v>8936999.05215745</v>
      </c>
      <c r="AO37" s="0" t="n">
        <f aca="false">AA37+AB37+AC37+AD37+AF37</f>
        <v>455166709.390913</v>
      </c>
      <c r="AP37" s="0" t="n">
        <f aca="false">AO37+AE37+AG37+AH37+AI37+AK37+AL37+AM37+AN37</f>
        <v>649805197.578131</v>
      </c>
      <c r="AQ37" s="0" t="n">
        <f aca="false">AO37+AE37+AG37+AJ37</f>
        <v>805637260.455911</v>
      </c>
      <c r="AR37" s="0" t="n">
        <f aca="false">AB37+AC37+AD37+AF37</f>
        <v>137833427.610024</v>
      </c>
      <c r="AS37" s="0" t="n">
        <f aca="false">AR37+AE37+AG37</f>
        <v>137833427.610024</v>
      </c>
    </row>
    <row r="38" customFormat="false" ht="15" hidden="false" customHeight="false" outlineLevel="0" collapsed="false">
      <c r="A38" s="0" t="n">
        <v>2061</v>
      </c>
      <c r="B38" s="0" t="n">
        <v>35</v>
      </c>
      <c r="C38" s="0" t="n">
        <v>4832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2256.316</v>
      </c>
      <c r="I38" s="0" t="n">
        <v>226.426</v>
      </c>
      <c r="J38" s="0" t="n">
        <v>1254.838</v>
      </c>
      <c r="K38" s="0" t="n">
        <v>2104.199</v>
      </c>
      <c r="L38" s="0" t="n">
        <v>928.637</v>
      </c>
      <c r="M38" s="0" t="n">
        <v>115177.073</v>
      </c>
      <c r="N38" s="0" t="n">
        <v>8696.01</v>
      </c>
      <c r="O38" s="0" t="n">
        <v>70.571</v>
      </c>
      <c r="P38" s="0" t="n">
        <v>71.314</v>
      </c>
      <c r="Q38" s="0" t="n">
        <v>708.873</v>
      </c>
      <c r="R38" s="0" t="n">
        <v>1042.28</v>
      </c>
      <c r="S38" s="0" t="n">
        <v>2882.518</v>
      </c>
      <c r="T38" s="0" t="n">
        <v>2482.742</v>
      </c>
      <c r="U38" s="0" t="n">
        <v>1841.198</v>
      </c>
      <c r="V38" s="0" t="n">
        <v>161163.298</v>
      </c>
      <c r="W38" s="0" t="n">
        <v>223.374</v>
      </c>
      <c r="X38" s="0" t="n">
        <v>600.888</v>
      </c>
      <c r="Y38" s="0" t="n">
        <v>70.571</v>
      </c>
      <c r="Z38" s="0" t="n">
        <v>747.065</v>
      </c>
      <c r="AA38" s="0" t="n">
        <f aca="false">H38*x_c_F+I38*x_c_CC+J38*x_c_DC+K38*x_c_HCC+L38*x_c_PLT+M38*x_c_SVRn+N38*x_c_SVRcc+O38*x_c_LT+P38*x_c_LT1</f>
        <v>314355166.008314</v>
      </c>
      <c r="AB38" s="0" t="n">
        <f aca="false">C38*x_c_DAA</f>
        <v>109976320</v>
      </c>
      <c r="AC38" s="0" t="n">
        <f aca="false">C38*x_c_MON</f>
        <v>27857107.6100244</v>
      </c>
      <c r="AD38" s="0" t="n">
        <f aca="false">D38*(1-x_testy)</f>
        <v>0</v>
      </c>
      <c r="AE38" s="0" t="n">
        <f aca="false">E38*(1-x_testy)</f>
        <v>0</v>
      </c>
      <c r="AF38" s="0" t="n">
        <f aca="false">F38*x_NAV</f>
        <v>0</v>
      </c>
      <c r="AG38" s="0" t="n">
        <f aca="false">G38*x_FIX*(1-x_testy)</f>
        <v>0</v>
      </c>
      <c r="AH38" s="0" t="n">
        <f aca="false">x_z_F*U38+(1-x_AGRI)*x_EMP*x_WLOSS*(x_PEN_K74*Q38+x_PEN_C22*R38)</f>
        <v>22813158.842815</v>
      </c>
      <c r="AI38" s="0" t="n">
        <f aca="false">x_AGRI*x_EMP*x_WLOSS*(x_PEN_K74*Q38+x_PEN_C22*R38)</f>
        <v>1257702.89681208</v>
      </c>
      <c r="AJ38" s="0" t="n">
        <f aca="false">x_EMP*x_WAGE*(x_WLOSS*(Q38+R38)+S38)+U38*x_ABS_D*x_WAGE/365</f>
        <v>346936917.854283</v>
      </c>
      <c r="AK38" s="0" t="n">
        <f aca="false">AJ38*x_R_FUS</f>
        <v>109770840.809095</v>
      </c>
      <c r="AL38" s="0" t="n">
        <f aca="false">AJ38*x_R_NFZ</f>
        <v>26943467.9774814</v>
      </c>
      <c r="AM38" s="0" t="n">
        <f aca="false">AJ38*x_R_PIT</f>
        <v>23065814.3598964</v>
      </c>
      <c r="AN38" s="0" t="n">
        <f aca="false">AJ38*x_R_FP</f>
        <v>8846891.40528421</v>
      </c>
      <c r="AO38" s="0" t="n">
        <f aca="false">AA38+AB38+AC38+AD38+AF38</f>
        <v>452188593.618339</v>
      </c>
      <c r="AP38" s="0" t="n">
        <f aca="false">AO38+AE38+AG38+AH38+AI38+AK38+AL38+AM38+AN38</f>
        <v>644886469.909723</v>
      </c>
      <c r="AQ38" s="0" t="n">
        <f aca="false">AO38+AE38+AG38+AJ38</f>
        <v>799125511.472621</v>
      </c>
      <c r="AR38" s="0" t="n">
        <f aca="false">AB38+AC38+AD38+AF38</f>
        <v>137833427.610024</v>
      </c>
      <c r="AS38" s="0" t="n">
        <f aca="false">AR38+AE38+AG38</f>
        <v>137833427.610024</v>
      </c>
    </row>
    <row r="39" customFormat="false" ht="15" hidden="false" customHeight="false" outlineLevel="0" collapsed="false">
      <c r="A39" s="0" t="n">
        <v>2062</v>
      </c>
      <c r="B39" s="0" t="n">
        <v>36</v>
      </c>
      <c r="C39" s="0" t="n">
        <v>4832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2258.602</v>
      </c>
      <c r="I39" s="0" t="n">
        <v>223.537</v>
      </c>
      <c r="J39" s="0" t="n">
        <v>1229.053</v>
      </c>
      <c r="K39" s="0" t="n">
        <v>2068.139</v>
      </c>
      <c r="L39" s="0" t="n">
        <v>901.056</v>
      </c>
      <c r="M39" s="0" t="n">
        <v>117448.448</v>
      </c>
      <c r="N39" s="0" t="n">
        <v>8618.287</v>
      </c>
      <c r="O39" s="0" t="n">
        <v>69.142</v>
      </c>
      <c r="P39" s="0" t="n">
        <v>69.857</v>
      </c>
      <c r="Q39" s="0" t="n">
        <v>701.286</v>
      </c>
      <c r="R39" s="0" t="n">
        <v>1031.345</v>
      </c>
      <c r="S39" s="0" t="n">
        <v>2854.162</v>
      </c>
      <c r="T39" s="0" t="n">
        <v>2482.139</v>
      </c>
      <c r="U39" s="0" t="n">
        <v>1840.745</v>
      </c>
      <c r="V39" s="0" t="n">
        <v>162507.936</v>
      </c>
      <c r="W39" s="0" t="n">
        <v>219.733</v>
      </c>
      <c r="X39" s="0" t="n">
        <v>591.825</v>
      </c>
      <c r="Y39" s="0" t="n">
        <v>69.142</v>
      </c>
      <c r="Z39" s="0" t="n">
        <v>732.795</v>
      </c>
      <c r="AA39" s="0" t="n">
        <f aca="false">H39*x_c_F+I39*x_c_CC+J39*x_c_DC+K39*x_c_HCC+L39*x_c_PLT+M39*x_c_SVRn+N39*x_c_SVRcc+O39*x_c_LT+P39*x_c_LT1</f>
        <v>311355760.38502</v>
      </c>
      <c r="AB39" s="0" t="n">
        <f aca="false">C39*x_c_DAA</f>
        <v>109976320</v>
      </c>
      <c r="AC39" s="0" t="n">
        <f aca="false">C39*x_c_MON</f>
        <v>27857107.6100244</v>
      </c>
      <c r="AD39" s="0" t="n">
        <f aca="false">D39*(1-x_testy)</f>
        <v>0</v>
      </c>
      <c r="AE39" s="0" t="n">
        <f aca="false">E39*(1-x_testy)</f>
        <v>0</v>
      </c>
      <c r="AF39" s="0" t="n">
        <f aca="false">F39*x_NAV</f>
        <v>0</v>
      </c>
      <c r="AG39" s="0" t="n">
        <f aca="false">G39*x_FIX*(1-x_testy)</f>
        <v>0</v>
      </c>
      <c r="AH39" s="0" t="n">
        <f aca="false">x_z_F*U39+(1-x_AGRI)*x_EMP*x_WLOSS*(x_PEN_K74*Q39+x_PEN_C22*R39)</f>
        <v>22611091.9593233</v>
      </c>
      <c r="AI39" s="0" t="n">
        <f aca="false">x_AGRI*x_EMP*x_WLOSS*(x_PEN_K74*Q39+x_PEN_C22*R39)</f>
        <v>1244408.22241621</v>
      </c>
      <c r="AJ39" s="0" t="n">
        <f aca="false">x_EMP*x_WAGE*(x_WLOSS*(Q39+R39)+S39)+U39*x_ABS_D*x_WAGE/365</f>
        <v>343505045.19471</v>
      </c>
      <c r="AK39" s="0" t="n">
        <f aca="false">AJ39*x_R_FUS</f>
        <v>108684996.299606</v>
      </c>
      <c r="AL39" s="0" t="n">
        <f aca="false">AJ39*x_R_NFZ</f>
        <v>26676945.3148664</v>
      </c>
      <c r="AM39" s="0" t="n">
        <f aca="false">AJ39*x_R_PIT</f>
        <v>22837649.1413833</v>
      </c>
      <c r="AN39" s="0" t="n">
        <f aca="false">AJ39*x_R_FP</f>
        <v>8759378.65246511</v>
      </c>
      <c r="AO39" s="0" t="n">
        <f aca="false">AA39+AB39+AC39+AD39+AF39</f>
        <v>449189187.995044</v>
      </c>
      <c r="AP39" s="0" t="n">
        <f aca="false">AO39+AE39+AG39+AH39+AI39+AK39+AL39+AM39+AN39</f>
        <v>640003657.585105</v>
      </c>
      <c r="AQ39" s="0" t="n">
        <f aca="false">AO39+AE39+AG39+AJ39</f>
        <v>792694233.189755</v>
      </c>
      <c r="AR39" s="0" t="n">
        <f aca="false">AB39+AC39+AD39+AF39</f>
        <v>137833427.610024</v>
      </c>
      <c r="AS39" s="0" t="n">
        <f aca="false">AR39+AE39+AG39</f>
        <v>137833427.610024</v>
      </c>
    </row>
    <row r="40" customFormat="false" ht="15" hidden="false" customHeight="false" outlineLevel="0" collapsed="false">
      <c r="A40" s="0" t="n">
        <v>2063</v>
      </c>
      <c r="B40" s="0" t="n">
        <v>37</v>
      </c>
      <c r="C40" s="0" t="n">
        <v>4832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2260.634</v>
      </c>
      <c r="I40" s="0" t="n">
        <v>220.929</v>
      </c>
      <c r="J40" s="0" t="n">
        <v>1204.561</v>
      </c>
      <c r="K40" s="0" t="n">
        <v>2033.952</v>
      </c>
      <c r="L40" s="0" t="n">
        <v>872.85</v>
      </c>
      <c r="M40" s="0" t="n">
        <v>119642.352</v>
      </c>
      <c r="N40" s="0" t="n">
        <v>8528.235</v>
      </c>
      <c r="O40" s="0" t="n">
        <v>67.797</v>
      </c>
      <c r="P40" s="0" t="n">
        <v>68.469</v>
      </c>
      <c r="Q40" s="0" t="n">
        <v>693.969</v>
      </c>
      <c r="R40" s="0" t="n">
        <v>1020.825</v>
      </c>
      <c r="S40" s="0" t="n">
        <v>2826.628</v>
      </c>
      <c r="T40" s="0" t="n">
        <v>2481.563</v>
      </c>
      <c r="U40" s="0" t="n">
        <v>1840.205</v>
      </c>
      <c r="V40" s="0" t="n">
        <v>163802.928</v>
      </c>
      <c r="W40" s="0" t="n">
        <v>216.363</v>
      </c>
      <c r="X40" s="0" t="n">
        <v>583.348</v>
      </c>
      <c r="Y40" s="0" t="n">
        <v>67.797</v>
      </c>
      <c r="Z40" s="0" t="n">
        <v>719.293</v>
      </c>
      <c r="AA40" s="0" t="n">
        <f aca="false">H40*x_c_F+I40*x_c_CC+J40*x_c_DC+K40*x_c_HCC+L40*x_c_PLT+M40*x_c_SVRn+N40*x_c_SVRcc+O40*x_c_LT+P40*x_c_LT1</f>
        <v>308429250.407227</v>
      </c>
      <c r="AB40" s="0" t="n">
        <f aca="false">C40*x_c_DAA</f>
        <v>109976320</v>
      </c>
      <c r="AC40" s="0" t="n">
        <f aca="false">C40*x_c_MON</f>
        <v>27857107.6100244</v>
      </c>
      <c r="AD40" s="0" t="n">
        <f aca="false">D40*(1-x_testy)</f>
        <v>0</v>
      </c>
      <c r="AE40" s="0" t="n">
        <f aca="false">E40*(1-x_testy)</f>
        <v>0</v>
      </c>
      <c r="AF40" s="0" t="n">
        <f aca="false">F40*x_NAV</f>
        <v>0</v>
      </c>
      <c r="AG40" s="0" t="n">
        <f aca="false">G40*x_FIX*(1-x_testy)</f>
        <v>0</v>
      </c>
      <c r="AH40" s="0" t="n">
        <f aca="false">x_z_F*U40+(1-x_AGRI)*x_EMP*x_WLOSS*(x_PEN_K74*Q40+x_PEN_C22*R40)</f>
        <v>22416299.3417675</v>
      </c>
      <c r="AI40" s="0" t="n">
        <f aca="false">x_AGRI*x_EMP*x_WLOSS*(x_PEN_K74*Q40+x_PEN_C22*R40)</f>
        <v>1231606.18559849</v>
      </c>
      <c r="AJ40" s="0" t="n">
        <f aca="false">x_EMP*x_WAGE*(x_WLOSS*(Q40+R40)+S40)+U40*x_ABS_D*x_WAGE/365</f>
        <v>340180461.06876</v>
      </c>
      <c r="AK40" s="0" t="n">
        <f aca="false">AJ40*x_R_FUS</f>
        <v>107633097.882156</v>
      </c>
      <c r="AL40" s="0" t="n">
        <f aca="false">AJ40*x_R_NFZ</f>
        <v>26418754.787061</v>
      </c>
      <c r="AM40" s="0" t="n">
        <f aca="false">AJ40*x_R_PIT</f>
        <v>22616616.9123911</v>
      </c>
      <c r="AN40" s="0" t="n">
        <f aca="false">AJ40*x_R_FP</f>
        <v>8674601.75725338</v>
      </c>
      <c r="AO40" s="0" t="n">
        <f aca="false">AA40+AB40+AC40+AD40+AF40</f>
        <v>446262678.017252</v>
      </c>
      <c r="AP40" s="0" t="n">
        <f aca="false">AO40+AE40+AG40+AH40+AI40+AK40+AL40+AM40+AN40</f>
        <v>635253654.883479</v>
      </c>
      <c r="AQ40" s="0" t="n">
        <f aca="false">AO40+AE40+AG40+AJ40</f>
        <v>786443139.086012</v>
      </c>
      <c r="AR40" s="0" t="n">
        <f aca="false">AB40+AC40+AD40+AF40</f>
        <v>137833427.610024</v>
      </c>
      <c r="AS40" s="0" t="n">
        <f aca="false">AR40+AE40+AG40</f>
        <v>137833427.610024</v>
      </c>
    </row>
    <row r="41" customFormat="false" ht="15" hidden="false" customHeight="false" outlineLevel="0" collapsed="false">
      <c r="A41" s="0" t="n">
        <v>2064</v>
      </c>
      <c r="B41" s="0" t="n">
        <v>38</v>
      </c>
      <c r="C41" s="0" t="n">
        <v>4832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2262.386</v>
      </c>
      <c r="I41" s="0" t="n">
        <v>218.633</v>
      </c>
      <c r="J41" s="0" t="n">
        <v>1181.828</v>
      </c>
      <c r="K41" s="0" t="n">
        <v>2002.24</v>
      </c>
      <c r="L41" s="0" t="n">
        <v>844.749</v>
      </c>
      <c r="M41" s="0" t="n">
        <v>121775.368</v>
      </c>
      <c r="N41" s="0" t="n">
        <v>8431.466</v>
      </c>
      <c r="O41" s="0" t="n">
        <v>66.562</v>
      </c>
      <c r="P41" s="0" t="n">
        <v>67.179</v>
      </c>
      <c r="Q41" s="0" t="n">
        <v>686.924</v>
      </c>
      <c r="R41" s="0" t="n">
        <v>1010.719</v>
      </c>
      <c r="S41" s="0" t="n">
        <v>2799.968</v>
      </c>
      <c r="T41" s="0" t="n">
        <v>2481.02</v>
      </c>
      <c r="U41" s="0" t="n">
        <v>1839.533</v>
      </c>
      <c r="V41" s="0" t="n">
        <v>165066.497</v>
      </c>
      <c r="W41" s="0" t="n">
        <v>213.312</v>
      </c>
      <c r="X41" s="0" t="n">
        <v>575.594</v>
      </c>
      <c r="Y41" s="0" t="n">
        <v>66.562</v>
      </c>
      <c r="Z41" s="0" t="n">
        <v>706.816</v>
      </c>
      <c r="AA41" s="0" t="n">
        <f aca="false">H41*x_c_F+I41*x_c_CC+J41*x_c_DC+K41*x_c_HCC+L41*x_c_PLT+M41*x_c_SVRn+N41*x_c_SVRcc+O41*x_c_LT+P41*x_c_LT1</f>
        <v>305681020.568755</v>
      </c>
      <c r="AB41" s="0" t="n">
        <f aca="false">C41*x_c_DAA</f>
        <v>109976320</v>
      </c>
      <c r="AC41" s="0" t="n">
        <f aca="false">C41*x_c_MON</f>
        <v>27857107.6100244</v>
      </c>
      <c r="AD41" s="0" t="n">
        <f aca="false">D41*(1-x_testy)</f>
        <v>0</v>
      </c>
      <c r="AE41" s="0" t="n">
        <f aca="false">E41*(1-x_testy)</f>
        <v>0</v>
      </c>
      <c r="AF41" s="0" t="n">
        <f aca="false">F41*x_NAV</f>
        <v>0</v>
      </c>
      <c r="AG41" s="0" t="n">
        <f aca="false">G41*x_FIX*(1-x_testy)</f>
        <v>0</v>
      </c>
      <c r="AH41" s="0" t="n">
        <f aca="false">x_z_F*U41+(1-x_AGRI)*x_EMP*x_WLOSS*(x_PEN_K74*Q41+x_PEN_C22*R41)</f>
        <v>22228697.1525317</v>
      </c>
      <c r="AI41" s="0" t="n">
        <f aca="false">x_AGRI*x_EMP*x_WLOSS*(x_PEN_K74*Q41+x_PEN_C22*R41)</f>
        <v>1219297.35997007</v>
      </c>
      <c r="AJ41" s="0" t="n">
        <f aca="false">x_EMP*x_WAGE*(x_WLOSS*(Q41+R41)+S41)+U41*x_ABS_D*x_WAGE/365</f>
        <v>336967521.52518</v>
      </c>
      <c r="AK41" s="0" t="n">
        <f aca="false">AJ41*x_R_FUS</f>
        <v>106616523.810567</v>
      </c>
      <c r="AL41" s="0" t="n">
        <f aca="false">AJ41*x_R_NFZ</f>
        <v>26169234.689167</v>
      </c>
      <c r="AM41" s="0" t="n">
        <f aca="false">AJ41*x_R_PIT</f>
        <v>22403007.281222</v>
      </c>
      <c r="AN41" s="0" t="n">
        <f aca="false">AJ41*x_R_FP</f>
        <v>8592671.79889209</v>
      </c>
      <c r="AO41" s="0" t="n">
        <f aca="false">AA41+AB41+AC41+AD41+AF41</f>
        <v>443514448.178779</v>
      </c>
      <c r="AP41" s="0" t="n">
        <f aca="false">AO41+AE41+AG41+AH41+AI41+AK41+AL41+AM41+AN41</f>
        <v>630743880.271129</v>
      </c>
      <c r="AQ41" s="0" t="n">
        <f aca="false">AO41+AE41+AG41+AJ41</f>
        <v>780481969.703959</v>
      </c>
      <c r="AR41" s="0" t="n">
        <f aca="false">AB41+AC41+AD41+AF41</f>
        <v>137833427.610024</v>
      </c>
      <c r="AS41" s="0" t="n">
        <f aca="false">AR41+AE41+AG41</f>
        <v>137833427.610024</v>
      </c>
    </row>
    <row r="42" customFormat="false" ht="15" hidden="false" customHeight="false" outlineLevel="0" collapsed="false">
      <c r="A42" s="0" t="n">
        <v>2065</v>
      </c>
      <c r="B42" s="0" t="n">
        <v>39</v>
      </c>
      <c r="C42" s="0" t="n">
        <v>4832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2263.847</v>
      </c>
      <c r="I42" s="0" t="n">
        <v>216.662</v>
      </c>
      <c r="J42" s="0" t="n">
        <v>1161.242</v>
      </c>
      <c r="K42" s="0" t="n">
        <v>1973.501</v>
      </c>
      <c r="L42" s="0" t="n">
        <v>817.497</v>
      </c>
      <c r="M42" s="0" t="n">
        <v>123865.801</v>
      </c>
      <c r="N42" s="0" t="n">
        <v>8333.809</v>
      </c>
      <c r="O42" s="0" t="n">
        <v>65.457</v>
      </c>
      <c r="P42" s="0" t="n">
        <v>66.009</v>
      </c>
      <c r="Q42" s="0" t="n">
        <v>680.156</v>
      </c>
      <c r="R42" s="0" t="n">
        <v>1001.028</v>
      </c>
      <c r="S42" s="0" t="n">
        <v>2774.226</v>
      </c>
      <c r="T42" s="0" t="n">
        <v>2480.509</v>
      </c>
      <c r="U42" s="0" t="n">
        <v>1838.705</v>
      </c>
      <c r="V42" s="0" t="n">
        <v>166317.577</v>
      </c>
      <c r="W42" s="0" t="n">
        <v>210.609</v>
      </c>
      <c r="X42" s="0" t="n">
        <v>568.66</v>
      </c>
      <c r="Y42" s="0" t="n">
        <v>65.457</v>
      </c>
      <c r="Z42" s="0" t="n">
        <v>695.567</v>
      </c>
      <c r="AA42" s="0" t="n">
        <f aca="false">H42*x_c_F+I42*x_c_CC+J42*x_c_DC+K42*x_c_HCC+L42*x_c_PLT+M42*x_c_SVRn+N42*x_c_SVRcc+O42*x_c_LT+P42*x_c_LT1</f>
        <v>303208158.102559</v>
      </c>
      <c r="AB42" s="0" t="n">
        <f aca="false">C42*x_c_DAA</f>
        <v>109976320</v>
      </c>
      <c r="AC42" s="0" t="n">
        <f aca="false">C42*x_c_MON</f>
        <v>27857107.6100244</v>
      </c>
      <c r="AD42" s="0" t="n">
        <f aca="false">D42*(1-x_testy)</f>
        <v>0</v>
      </c>
      <c r="AE42" s="0" t="n">
        <f aca="false">E42*(1-x_testy)</f>
        <v>0</v>
      </c>
      <c r="AF42" s="0" t="n">
        <f aca="false">F42*x_NAV</f>
        <v>0</v>
      </c>
      <c r="AG42" s="0" t="n">
        <f aca="false">G42*x_FIX*(1-x_testy)</f>
        <v>0</v>
      </c>
      <c r="AH42" s="0" t="n">
        <f aca="false">x_z_F*U42+(1-x_AGRI)*x_EMP*x_WLOSS*(x_PEN_K74*Q42+x_PEN_C22*R42)</f>
        <v>22048297.7189721</v>
      </c>
      <c r="AI42" s="0" t="n">
        <f aca="false">x_AGRI*x_EMP*x_WLOSS*(x_PEN_K74*Q42+x_PEN_C22*R42)</f>
        <v>1207485.82174112</v>
      </c>
      <c r="AJ42" s="0" t="n">
        <f aca="false">x_EMP*x_WAGE*(x_WLOSS*(Q42+R42)+S42)+U42*x_ABS_D*x_WAGE/365</f>
        <v>333870235.644512</v>
      </c>
      <c r="AK42" s="0" t="n">
        <f aca="false">AJ42*x_R_FUS</f>
        <v>105636542.557924</v>
      </c>
      <c r="AL42" s="0" t="n">
        <f aca="false">AJ42*x_R_NFZ</f>
        <v>25928696.3703885</v>
      </c>
      <c r="AM42" s="0" t="n">
        <f aca="false">AJ42*x_R_PIT</f>
        <v>22197086.7882838</v>
      </c>
      <c r="AN42" s="0" t="n">
        <f aca="false">AJ42*x_R_FP</f>
        <v>8513691.00893506</v>
      </c>
      <c r="AO42" s="0" t="n">
        <f aca="false">AA42+AB42+AC42+AD42+AF42</f>
        <v>441041585.712583</v>
      </c>
      <c r="AP42" s="0" t="n">
        <f aca="false">AO42+AE42+AG42+AH42+AI42+AK42+AL42+AM42+AN42</f>
        <v>626573385.978827</v>
      </c>
      <c r="AQ42" s="0" t="n">
        <f aca="false">AO42+AE42+AG42+AJ42</f>
        <v>774911821.357095</v>
      </c>
      <c r="AR42" s="0" t="n">
        <f aca="false">AB42+AC42+AD42+AF42</f>
        <v>137833427.610024</v>
      </c>
      <c r="AS42" s="0" t="n">
        <f aca="false">AR42+AE42+AG42</f>
        <v>137833427.610024</v>
      </c>
    </row>
    <row r="43" customFormat="false" ht="15" hidden="false" customHeight="false" outlineLevel="0" collapsed="false">
      <c r="A43" s="0" t="n">
        <v>2066</v>
      </c>
      <c r="B43" s="0" t="n">
        <v>40</v>
      </c>
      <c r="C43" s="0" t="n">
        <v>4832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2265.023</v>
      </c>
      <c r="I43" s="0" t="n">
        <v>215.009</v>
      </c>
      <c r="J43" s="0" t="n">
        <v>1143.064</v>
      </c>
      <c r="K43" s="0" t="n">
        <v>1948.064</v>
      </c>
      <c r="L43" s="0" t="n">
        <v>791.771</v>
      </c>
      <c r="M43" s="0" t="n">
        <v>125931.261</v>
      </c>
      <c r="N43" s="0" t="n">
        <v>8240.666</v>
      </c>
      <c r="O43" s="0" t="n">
        <v>64.493</v>
      </c>
      <c r="P43" s="0" t="n">
        <v>64.975</v>
      </c>
      <c r="Q43" s="0" t="n">
        <v>673.666</v>
      </c>
      <c r="R43" s="0" t="n">
        <v>991.749</v>
      </c>
      <c r="S43" s="0" t="n">
        <v>2749.436</v>
      </c>
      <c r="T43" s="0" t="n">
        <v>2480.032</v>
      </c>
      <c r="U43" s="0" t="n">
        <v>1837.727</v>
      </c>
      <c r="V43" s="0" t="n">
        <v>167573.255</v>
      </c>
      <c r="W43" s="0" t="n">
        <v>208.264</v>
      </c>
      <c r="X43" s="0" t="n">
        <v>562.585</v>
      </c>
      <c r="Y43" s="0" t="n">
        <v>64.493</v>
      </c>
      <c r="Z43" s="0" t="n">
        <v>685.671</v>
      </c>
      <c r="AA43" s="0" t="n">
        <f aca="false">H43*x_c_F+I43*x_c_CC+J43*x_c_DC+K43*x_c_HCC+L43*x_c_PLT+M43*x_c_SVRn+N43*x_c_SVRcc+O43*x_c_LT+P43*x_c_LT1</f>
        <v>301087676.026242</v>
      </c>
      <c r="AB43" s="0" t="n">
        <f aca="false">C43*x_c_DAA</f>
        <v>109976320</v>
      </c>
      <c r="AC43" s="0" t="n">
        <f aca="false">C43*x_c_MON</f>
        <v>27857107.6100244</v>
      </c>
      <c r="AD43" s="0" t="n">
        <f aca="false">D43*(1-x_testy)</f>
        <v>0</v>
      </c>
      <c r="AE43" s="0" t="n">
        <f aca="false">E43*(1-x_testy)</f>
        <v>0</v>
      </c>
      <c r="AF43" s="0" t="n">
        <f aca="false">F43*x_NAV</f>
        <v>0</v>
      </c>
      <c r="AG43" s="0" t="n">
        <f aca="false">G43*x_FIX*(1-x_testy)</f>
        <v>0</v>
      </c>
      <c r="AH43" s="0" t="n">
        <f aca="false">x_z_F*U43+(1-x_AGRI)*x_EMP*x_WLOSS*(x_PEN_K74*Q43+x_PEN_C22*R43)</f>
        <v>21875089.1630043</v>
      </c>
      <c r="AI43" s="0" t="n">
        <f aca="false">x_AGRI*x_EMP*x_WLOSS*(x_PEN_K74*Q43+x_PEN_C22*R43)</f>
        <v>1196169.97044415</v>
      </c>
      <c r="AJ43" s="0" t="n">
        <f aca="false">x_EMP*x_WAGE*(x_WLOSS*(Q43+R43)+S43)+U43*x_ABS_D*x_WAGE/365</f>
        <v>330891410.535657</v>
      </c>
      <c r="AK43" s="0" t="n">
        <f aca="false">AJ43*x_R_FUS</f>
        <v>104694042.293482</v>
      </c>
      <c r="AL43" s="0" t="n">
        <f aca="false">AJ43*x_R_NFZ</f>
        <v>25697357.8336096</v>
      </c>
      <c r="AM43" s="0" t="n">
        <f aca="false">AJ43*x_R_PIT</f>
        <v>21999042.0618926</v>
      </c>
      <c r="AN43" s="0" t="n">
        <f aca="false">AJ43*x_R_FP</f>
        <v>8437730.96865924</v>
      </c>
      <c r="AO43" s="0" t="n">
        <f aca="false">AA43+AB43+AC43+AD43+AF43</f>
        <v>438921103.636266</v>
      </c>
      <c r="AP43" s="0" t="n">
        <f aca="false">AO43+AE43+AG43+AH43+AI43+AK43+AL43+AM43+AN43</f>
        <v>622820535.927358</v>
      </c>
      <c r="AQ43" s="0" t="n">
        <f aca="false">AO43+AE43+AG43+AJ43</f>
        <v>769812514.171922</v>
      </c>
      <c r="AR43" s="0" t="n">
        <f aca="false">AB43+AC43+AD43+AF43</f>
        <v>137833427.610024</v>
      </c>
      <c r="AS43" s="0" t="n">
        <f aca="false">AR43+AE43+AG43</f>
        <v>137833427.610024</v>
      </c>
    </row>
    <row r="44" customFormat="false" ht="15" hidden="false" customHeight="false" outlineLevel="0" collapsed="false">
      <c r="A44" s="0" t="n">
        <v>2067</v>
      </c>
      <c r="B44" s="0" t="n">
        <v>41</v>
      </c>
      <c r="C44" s="0" t="n">
        <v>4832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2265.942</v>
      </c>
      <c r="I44" s="0" t="n">
        <v>213.643</v>
      </c>
      <c r="J44" s="0" t="n">
        <v>1127.385</v>
      </c>
      <c r="K44" s="0" t="n">
        <v>1926.021</v>
      </c>
      <c r="L44" s="0" t="n">
        <v>768.1</v>
      </c>
      <c r="M44" s="0" t="n">
        <v>127985.88</v>
      </c>
      <c r="N44" s="0" t="n">
        <v>8156.335</v>
      </c>
      <c r="O44" s="0" t="n">
        <v>63.671</v>
      </c>
      <c r="P44" s="0" t="n">
        <v>64.082</v>
      </c>
      <c r="Q44" s="0" t="n">
        <v>667.453</v>
      </c>
      <c r="R44" s="0" t="n">
        <v>982.879</v>
      </c>
      <c r="S44" s="0" t="n">
        <v>2725.625</v>
      </c>
      <c r="T44" s="0" t="n">
        <v>2479.585</v>
      </c>
      <c r="U44" s="0" t="n">
        <v>1836.633</v>
      </c>
      <c r="V44" s="0" t="n">
        <v>168846.037</v>
      </c>
      <c r="W44" s="0" t="n">
        <v>206.255</v>
      </c>
      <c r="X44" s="0" t="n">
        <v>557.338</v>
      </c>
      <c r="Y44" s="0" t="n">
        <v>63.671</v>
      </c>
      <c r="Z44" s="0" t="n">
        <v>677.146</v>
      </c>
      <c r="AA44" s="0" t="n">
        <f aca="false">H44*x_c_F+I44*x_c_CC+J44*x_c_DC+K44*x_c_HCC+L44*x_c_PLT+M44*x_c_SVRn+N44*x_c_SVRcc+O44*x_c_LT+P44*x_c_LT1</f>
        <v>299364739.815108</v>
      </c>
      <c r="AB44" s="0" t="n">
        <f aca="false">C44*x_c_DAA</f>
        <v>109976320</v>
      </c>
      <c r="AC44" s="0" t="n">
        <f aca="false">C44*x_c_MON</f>
        <v>27857107.6100244</v>
      </c>
      <c r="AD44" s="0" t="n">
        <f aca="false">D44*(1-x_testy)</f>
        <v>0</v>
      </c>
      <c r="AE44" s="0" t="n">
        <f aca="false">E44*(1-x_testy)</f>
        <v>0</v>
      </c>
      <c r="AF44" s="0" t="n">
        <f aca="false">F44*x_NAV</f>
        <v>0</v>
      </c>
      <c r="AG44" s="0" t="n">
        <f aca="false">G44*x_FIX*(1-x_testy)</f>
        <v>0</v>
      </c>
      <c r="AH44" s="0" t="n">
        <f aca="false">x_z_F*U44+(1-x_AGRI)*x_EMP*x_WLOSS*(x_PEN_K74*Q44+x_PEN_C22*R44)</f>
        <v>21709097.0727016</v>
      </c>
      <c r="AI44" s="0" t="n">
        <f aca="false">x_AGRI*x_EMP*x_WLOSS*(x_PEN_K74*Q44+x_PEN_C22*R44)</f>
        <v>1185346.87709132</v>
      </c>
      <c r="AJ44" s="0" t="n">
        <f aca="false">x_EMP*x_WAGE*(x_WLOSS*(Q44+R44)+S44)+U44*x_ABS_D*x_WAGE/365</f>
        <v>328033229.359023</v>
      </c>
      <c r="AK44" s="0" t="n">
        <f aca="false">AJ44*x_R_FUS</f>
        <v>103789713.769195</v>
      </c>
      <c r="AL44" s="0" t="n">
        <f aca="false">AJ44*x_R_NFZ</f>
        <v>25475388.6252511</v>
      </c>
      <c r="AM44" s="0" t="n">
        <f aca="false">AJ44*x_R_PIT</f>
        <v>21809018.2476646</v>
      </c>
      <c r="AN44" s="0" t="n">
        <f aca="false">AJ44*x_R_FP</f>
        <v>8364847.34865508</v>
      </c>
      <c r="AO44" s="0" t="n">
        <f aca="false">AA44+AB44+AC44+AD44+AF44</f>
        <v>437198167.425132</v>
      </c>
      <c r="AP44" s="0" t="n">
        <f aca="false">AO44+AE44+AG44+AH44+AI44+AK44+AL44+AM44+AN44</f>
        <v>619531579.365691</v>
      </c>
      <c r="AQ44" s="0" t="n">
        <f aca="false">AO44+AE44+AG44+AJ44</f>
        <v>765231396.784155</v>
      </c>
      <c r="AR44" s="0" t="n">
        <f aca="false">AB44+AC44+AD44+AF44</f>
        <v>137833427.610024</v>
      </c>
      <c r="AS44" s="0" t="n">
        <f aca="false">AR44+AE44+AG44</f>
        <v>137833427.610024</v>
      </c>
    </row>
    <row r="45" customFormat="false" ht="15" hidden="false" customHeight="false" outlineLevel="0" collapsed="false">
      <c r="A45" s="0" t="n">
        <v>2068</v>
      </c>
      <c r="B45" s="0" t="n">
        <v>42</v>
      </c>
      <c r="C45" s="0" t="n">
        <v>4832</v>
      </c>
      <c r="D45" s="0" t="n">
        <v>0</v>
      </c>
      <c r="E45" s="0" t="n">
        <v>0</v>
      </c>
      <c r="F45" s="0" t="n">
        <v>0</v>
      </c>
      <c r="G45" s="0" t="n">
        <v>0</v>
      </c>
      <c r="H45" s="0" t="n">
        <v>2266.647</v>
      </c>
      <c r="I45" s="0" t="n">
        <v>212.518</v>
      </c>
      <c r="J45" s="0" t="n">
        <v>1114.145</v>
      </c>
      <c r="K45" s="0" t="n">
        <v>1907.256</v>
      </c>
      <c r="L45" s="0" t="n">
        <v>746.862</v>
      </c>
      <c r="M45" s="0" t="n">
        <v>130040.162</v>
      </c>
      <c r="N45" s="0" t="n">
        <v>8083.978</v>
      </c>
      <c r="O45" s="0" t="n">
        <v>62.985</v>
      </c>
      <c r="P45" s="0" t="n">
        <v>63.328</v>
      </c>
      <c r="Q45" s="0" t="n">
        <v>661.518</v>
      </c>
      <c r="R45" s="0" t="n">
        <v>974.413</v>
      </c>
      <c r="S45" s="0" t="n">
        <v>2702.811</v>
      </c>
      <c r="T45" s="0" t="n">
        <v>2479.165</v>
      </c>
      <c r="U45" s="0" t="n">
        <v>1835.475</v>
      </c>
      <c r="V45" s="0" t="n">
        <v>170144.02</v>
      </c>
      <c r="W45" s="0" t="n">
        <v>204.547</v>
      </c>
      <c r="X45" s="0" t="n">
        <v>552.852</v>
      </c>
      <c r="Y45" s="0" t="n">
        <v>62.985</v>
      </c>
      <c r="Z45" s="0" t="n">
        <v>669.953</v>
      </c>
      <c r="AA45" s="0" t="n">
        <f aca="false">H45*x_c_F+I45*x_c_CC+J45*x_c_DC+K45*x_c_HCC+L45*x_c_PLT+M45*x_c_SVRn+N45*x_c_SVRcc+O45*x_c_LT+P45*x_c_LT1</f>
        <v>298055805.915171</v>
      </c>
      <c r="AB45" s="0" t="n">
        <f aca="false">C45*x_c_DAA</f>
        <v>109976320</v>
      </c>
      <c r="AC45" s="0" t="n">
        <f aca="false">C45*x_c_MON</f>
        <v>27857107.6100244</v>
      </c>
      <c r="AD45" s="0" t="n">
        <f aca="false">D45*(1-x_testy)</f>
        <v>0</v>
      </c>
      <c r="AE45" s="0" t="n">
        <f aca="false">E45*(1-x_testy)</f>
        <v>0</v>
      </c>
      <c r="AF45" s="0" t="n">
        <f aca="false">F45*x_NAV</f>
        <v>0</v>
      </c>
      <c r="AG45" s="0" t="n">
        <f aca="false">G45*x_FIX*(1-x_testy)</f>
        <v>0</v>
      </c>
      <c r="AH45" s="0" t="n">
        <f aca="false">x_z_F*U45+(1-x_AGRI)*x_EMP*x_WLOSS*(x_PEN_K74*Q45+x_PEN_C22*R45)</f>
        <v>21550381.2995916</v>
      </c>
      <c r="AI45" s="0" t="n">
        <f aca="false">x_AGRI*x_EMP*x_WLOSS*(x_PEN_K74*Q45+x_PEN_C22*R45)</f>
        <v>1175013.43139669</v>
      </c>
      <c r="AJ45" s="0" t="n">
        <f aca="false">x_EMP*x_WAGE*(x_WLOSS*(Q45+R45)+S45)+U45*x_ABS_D*x_WAGE/365</f>
        <v>325297160.803742</v>
      </c>
      <c r="AK45" s="0" t="n">
        <f aca="false">AJ45*x_R_FUS</f>
        <v>102924021.678304</v>
      </c>
      <c r="AL45" s="0" t="n">
        <f aca="false">AJ45*x_R_NFZ</f>
        <v>25262902.8051794</v>
      </c>
      <c r="AM45" s="0" t="n">
        <f aca="false">AJ45*x_R_PIT</f>
        <v>21627112.9901832</v>
      </c>
      <c r="AN45" s="0" t="n">
        <f aca="false">AJ45*x_R_FP</f>
        <v>8295077.60049541</v>
      </c>
      <c r="AO45" s="0" t="n">
        <f aca="false">AA45+AB45+AC45+AD45+AF45</f>
        <v>435889233.525196</v>
      </c>
      <c r="AP45" s="0" t="n">
        <f aca="false">AO45+AE45+AG45+AH45+AI45+AK45+AL45+AM45+AN45</f>
        <v>616723743.330346</v>
      </c>
      <c r="AQ45" s="0" t="n">
        <f aca="false">AO45+AE45+AG45+AJ45</f>
        <v>761186394.328937</v>
      </c>
      <c r="AR45" s="0" t="n">
        <f aca="false">AB45+AC45+AD45+AF45</f>
        <v>137833427.610024</v>
      </c>
      <c r="AS45" s="0" t="n">
        <f aca="false">AR45+AE45+AG45</f>
        <v>137833427.610024</v>
      </c>
    </row>
    <row r="46" customFormat="false" ht="15" hidden="false" customHeight="false" outlineLevel="0" collapsed="false">
      <c r="A46" s="0" t="n">
        <v>2069</v>
      </c>
      <c r="B46" s="0" t="n">
        <v>43</v>
      </c>
      <c r="C46" s="0" t="n">
        <v>4832</v>
      </c>
      <c r="D46" s="0" t="n">
        <v>0</v>
      </c>
      <c r="E46" s="0" t="n">
        <v>0</v>
      </c>
      <c r="F46" s="0" t="n">
        <v>0</v>
      </c>
      <c r="G46" s="0" t="n">
        <v>0</v>
      </c>
      <c r="H46" s="0" t="n">
        <v>2267.188</v>
      </c>
      <c r="I46" s="0" t="n">
        <v>211.579</v>
      </c>
      <c r="J46" s="0" t="n">
        <v>1103.166</v>
      </c>
      <c r="K46" s="0" t="n">
        <v>1891.497</v>
      </c>
      <c r="L46" s="0" t="n">
        <v>728.284</v>
      </c>
      <c r="M46" s="0" t="n">
        <v>132100.957</v>
      </c>
      <c r="N46" s="0" t="n">
        <v>8025.629</v>
      </c>
      <c r="O46" s="0" t="n">
        <v>62.423</v>
      </c>
      <c r="P46" s="0" t="n">
        <v>62.704</v>
      </c>
      <c r="Q46" s="0" t="n">
        <v>655.858</v>
      </c>
      <c r="R46" s="0" t="n">
        <v>966.345</v>
      </c>
      <c r="S46" s="0" t="n">
        <v>2681.005</v>
      </c>
      <c r="T46" s="0" t="n">
        <v>2478.767</v>
      </c>
      <c r="U46" s="0" t="n">
        <v>1834.317</v>
      </c>
      <c r="V46" s="0" t="n">
        <v>171471.255</v>
      </c>
      <c r="W46" s="0" t="n">
        <v>203.091</v>
      </c>
      <c r="X46" s="0" t="n">
        <v>549.017</v>
      </c>
      <c r="Y46" s="0" t="n">
        <v>62.423</v>
      </c>
      <c r="Z46" s="0" t="n">
        <v>663.975</v>
      </c>
      <c r="AA46" s="0" t="n">
        <f aca="false">H46*x_c_F+I46*x_c_CC+J46*x_c_DC+K46*x_c_HCC+L46*x_c_PLT+M46*x_c_SVRn+N46*x_c_SVRcc+O46*x_c_LT+P46*x_c_LT1</f>
        <v>297152845.242885</v>
      </c>
      <c r="AB46" s="0" t="n">
        <f aca="false">C46*x_c_DAA</f>
        <v>109976320</v>
      </c>
      <c r="AC46" s="0" t="n">
        <f aca="false">C46*x_c_MON</f>
        <v>27857107.6100244</v>
      </c>
      <c r="AD46" s="0" t="n">
        <f aca="false">D46*(1-x_testy)</f>
        <v>0</v>
      </c>
      <c r="AE46" s="0" t="n">
        <f aca="false">E46*(1-x_testy)</f>
        <v>0</v>
      </c>
      <c r="AF46" s="0" t="n">
        <f aca="false">F46*x_NAV</f>
        <v>0</v>
      </c>
      <c r="AG46" s="0" t="n">
        <f aca="false">G46*x_FIX*(1-x_testy)</f>
        <v>0</v>
      </c>
      <c r="AH46" s="0" t="n">
        <f aca="false">x_z_F*U46+(1-x_AGRI)*x_EMP*x_WLOSS*(x_PEN_K74*Q46+x_PEN_C22*R46)</f>
        <v>21398974.7465804</v>
      </c>
      <c r="AI46" s="0" t="n">
        <f aca="false">x_AGRI*x_EMP*x_WLOSS*(x_PEN_K74*Q46+x_PEN_C22*R46)</f>
        <v>1165163.11112438</v>
      </c>
      <c r="AJ46" s="0" t="n">
        <f aca="false">x_EMP*x_WAGE*(x_WLOSS*(Q46+R46)+S46)+U46*x_ABS_D*x_WAGE/365</f>
        <v>322683838.553873</v>
      </c>
      <c r="AK46" s="0" t="n">
        <f aca="false">AJ46*x_R_FUS</f>
        <v>102097166.518445</v>
      </c>
      <c r="AL46" s="0" t="n">
        <f aca="false">AJ46*x_R_NFZ</f>
        <v>25059949.5859323</v>
      </c>
      <c r="AM46" s="0" t="n">
        <f aca="false">AJ46*x_R_PIT</f>
        <v>21453368.4194098</v>
      </c>
      <c r="AN46" s="0" t="n">
        <f aca="false">AJ46*x_R_FP</f>
        <v>8228437.88312376</v>
      </c>
      <c r="AO46" s="0" t="n">
        <f aca="false">AA46+AB46+AC46+AD46+AF46</f>
        <v>434986272.852909</v>
      </c>
      <c r="AP46" s="0" t="n">
        <f aca="false">AO46+AE46+AG46+AH46+AI46+AK46+AL46+AM46+AN46</f>
        <v>614389333.117525</v>
      </c>
      <c r="AQ46" s="0" t="n">
        <f aca="false">AO46+AE46+AG46+AJ46</f>
        <v>757670111.406782</v>
      </c>
      <c r="AR46" s="0" t="n">
        <f aca="false">AB46+AC46+AD46+AF46</f>
        <v>137833427.610024</v>
      </c>
      <c r="AS46" s="0" t="n">
        <f aca="false">AR46+AE46+AG46</f>
        <v>137833427.610024</v>
      </c>
    </row>
    <row r="47" customFormat="false" ht="15" hidden="false" customHeight="false" outlineLevel="0" collapsed="false">
      <c r="A47" s="0" t="n">
        <v>2070</v>
      </c>
      <c r="B47" s="0" t="n">
        <v>44</v>
      </c>
      <c r="C47" s="0" t="n">
        <v>4832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2267.621</v>
      </c>
      <c r="I47" s="0" t="n">
        <v>210.765</v>
      </c>
      <c r="J47" s="0" t="n">
        <v>1094.162</v>
      </c>
      <c r="K47" s="0" t="n">
        <v>1878.328</v>
      </c>
      <c r="L47" s="0" t="n">
        <v>712.433</v>
      </c>
      <c r="M47" s="0" t="n">
        <v>134170.61</v>
      </c>
      <c r="N47" s="0" t="n">
        <v>7982.062</v>
      </c>
      <c r="O47" s="0" t="n">
        <v>61.966</v>
      </c>
      <c r="P47" s="0" t="n">
        <v>62.194</v>
      </c>
      <c r="Q47" s="0" t="n">
        <v>650.468</v>
      </c>
      <c r="R47" s="0" t="n">
        <v>958.667</v>
      </c>
      <c r="S47" s="0" t="n">
        <v>2660.208</v>
      </c>
      <c r="T47" s="0" t="n">
        <v>2478.386</v>
      </c>
      <c r="U47" s="0" t="n">
        <v>1833.222</v>
      </c>
      <c r="V47" s="0" t="n">
        <v>172827.177</v>
      </c>
      <c r="W47" s="0" t="n">
        <v>201.829</v>
      </c>
      <c r="X47" s="0" t="n">
        <v>545.704</v>
      </c>
      <c r="Y47" s="0" t="n">
        <v>61.966</v>
      </c>
      <c r="Z47" s="0" t="n">
        <v>659.049</v>
      </c>
      <c r="AA47" s="0" t="n">
        <f aca="false">H47*x_c_F+I47*x_c_CC+J47*x_c_DC+K47*x_c_HCC+L47*x_c_PLT+M47*x_c_SVRn+N47*x_c_SVRcc+O47*x_c_LT+P47*x_c_LT1</f>
        <v>296622780.029311</v>
      </c>
      <c r="AB47" s="0" t="n">
        <f aca="false">C47*x_c_DAA</f>
        <v>109976320</v>
      </c>
      <c r="AC47" s="0" t="n">
        <f aca="false">C47*x_c_MON</f>
        <v>27857107.6100244</v>
      </c>
      <c r="AD47" s="0" t="n">
        <f aca="false">D47*(1-x_testy)</f>
        <v>0</v>
      </c>
      <c r="AE47" s="0" t="n">
        <f aca="false">E47*(1-x_testy)</f>
        <v>0</v>
      </c>
      <c r="AF47" s="0" t="n">
        <f aca="false">F47*x_NAV</f>
        <v>0</v>
      </c>
      <c r="AG47" s="0" t="n">
        <f aca="false">G47*x_FIX*(1-x_testy)</f>
        <v>0</v>
      </c>
      <c r="AH47" s="0" t="n">
        <f aca="false">x_z_F*U47+(1-x_AGRI)*x_EMP*x_WLOSS*(x_PEN_K74*Q47+x_PEN_C22*R47)</f>
        <v>21254865.3193478</v>
      </c>
      <c r="AI47" s="0" t="n">
        <f aca="false">x_AGRI*x_EMP*x_WLOSS*(x_PEN_K74*Q47+x_PEN_C22*R47)</f>
        <v>1155786.55569965</v>
      </c>
      <c r="AJ47" s="0" t="n">
        <f aca="false">x_EMP*x_WAGE*(x_WLOSS*(Q47+R47)+S47)+U47*x_ABS_D*x_WAGE/365</f>
        <v>320192822.006861</v>
      </c>
      <c r="AK47" s="0" t="n">
        <f aca="false">AJ47*x_R_FUS</f>
        <v>101309008.882971</v>
      </c>
      <c r="AL47" s="0" t="n">
        <f aca="false">AJ47*x_R_NFZ</f>
        <v>24866494.7498748</v>
      </c>
      <c r="AM47" s="0" t="n">
        <f aca="false">AJ47*x_R_PIT</f>
        <v>21287755.2422473</v>
      </c>
      <c r="AN47" s="0" t="n">
        <f aca="false">AJ47*x_R_FP</f>
        <v>8164916.96117495</v>
      </c>
      <c r="AO47" s="0" t="n">
        <f aca="false">AA47+AB47+AC47+AD47+AF47</f>
        <v>434456207.639336</v>
      </c>
      <c r="AP47" s="0" t="n">
        <f aca="false">AO47+AE47+AG47+AH47+AI47+AK47+AL47+AM47+AN47</f>
        <v>612495035.350651</v>
      </c>
      <c r="AQ47" s="0" t="n">
        <f aca="false">AO47+AE47+AG47+AJ47</f>
        <v>754649029.646196</v>
      </c>
      <c r="AR47" s="0" t="n">
        <f aca="false">AB47+AC47+AD47+AF47</f>
        <v>137833427.610024</v>
      </c>
      <c r="AS47" s="0" t="n">
        <f aca="false">AR47+AE47+AG47</f>
        <v>137833427.610024</v>
      </c>
    </row>
    <row r="48" customFormat="false" ht="15" hidden="false" customHeight="false" outlineLevel="0" collapsed="false">
      <c r="A48" s="0" t="n">
        <v>2071</v>
      </c>
      <c r="B48" s="0" t="n">
        <v>45</v>
      </c>
      <c r="C48" s="0" t="n">
        <v>4832</v>
      </c>
      <c r="D48" s="0" t="n">
        <v>0</v>
      </c>
      <c r="E48" s="0" t="n">
        <v>0</v>
      </c>
      <c r="F48" s="0" t="n">
        <v>0</v>
      </c>
      <c r="G48" s="0" t="n">
        <v>0</v>
      </c>
      <c r="H48" s="0" t="n">
        <v>2267.997</v>
      </c>
      <c r="I48" s="0" t="n">
        <v>210.019</v>
      </c>
      <c r="J48" s="0" t="n">
        <v>1086.78</v>
      </c>
      <c r="K48" s="0" t="n">
        <v>1867.246</v>
      </c>
      <c r="L48" s="0" t="n">
        <v>699.225</v>
      </c>
      <c r="M48" s="0" t="n">
        <v>136246.959</v>
      </c>
      <c r="N48" s="0" t="n">
        <v>7952.872</v>
      </c>
      <c r="O48" s="0" t="n">
        <v>61.592</v>
      </c>
      <c r="P48" s="0" t="n">
        <v>61.779</v>
      </c>
      <c r="Q48" s="0" t="n">
        <v>645.344</v>
      </c>
      <c r="R48" s="0" t="n">
        <v>951.368</v>
      </c>
      <c r="S48" s="0" t="n">
        <v>2640.414</v>
      </c>
      <c r="T48" s="0" t="n">
        <v>2478.016</v>
      </c>
      <c r="U48" s="0" t="n">
        <v>1832.25</v>
      </c>
      <c r="V48" s="0" t="n">
        <v>174206.971</v>
      </c>
      <c r="W48" s="0" t="n">
        <v>200.702</v>
      </c>
      <c r="X48" s="0" t="n">
        <v>542.771</v>
      </c>
      <c r="Y48" s="0" t="n">
        <v>61.592</v>
      </c>
      <c r="Z48" s="0" t="n">
        <v>654.968</v>
      </c>
      <c r="AA48" s="0" t="n">
        <f aca="false">H48*x_c_F+I48*x_c_CC+J48*x_c_DC+K48*x_c_HCC+L48*x_c_PLT+M48*x_c_SVRn+N48*x_c_SVRcc+O48*x_c_LT+P48*x_c_LT1</f>
        <v>296413898.307443</v>
      </c>
      <c r="AB48" s="0" t="n">
        <f aca="false">C48*x_c_DAA</f>
        <v>109976320</v>
      </c>
      <c r="AC48" s="0" t="n">
        <f aca="false">C48*x_c_MON</f>
        <v>27857107.6100244</v>
      </c>
      <c r="AD48" s="0" t="n">
        <f aca="false">D48*(1-x_testy)</f>
        <v>0</v>
      </c>
      <c r="AE48" s="0" t="n">
        <f aca="false">E48*(1-x_testy)</f>
        <v>0</v>
      </c>
      <c r="AF48" s="0" t="n">
        <f aca="false">F48*x_NAV</f>
        <v>0</v>
      </c>
      <c r="AG48" s="0" t="n">
        <f aca="false">G48*x_FIX*(1-x_testy)</f>
        <v>0</v>
      </c>
      <c r="AH48" s="0" t="n">
        <f aca="false">x_z_F*U48+(1-x_AGRI)*x_EMP*x_WLOSS*(x_PEN_K74*Q48+x_PEN_C22*R48)</f>
        <v>21118010.5423296</v>
      </c>
      <c r="AI48" s="0" t="n">
        <f aca="false">x_AGRI*x_EMP*x_WLOSS*(x_PEN_K74*Q48+x_PEN_C22*R48)</f>
        <v>1146872.80408031</v>
      </c>
      <c r="AJ48" s="0" t="n">
        <f aca="false">x_EMP*x_WAGE*(x_WLOSS*(Q48+R48)+S48)+U48*x_ABS_D*x_WAGE/365</f>
        <v>317822955.552368</v>
      </c>
      <c r="AK48" s="0" t="n">
        <f aca="false">AJ48*x_R_FUS</f>
        <v>100559183.136769</v>
      </c>
      <c r="AL48" s="0" t="n">
        <f aca="false">AJ48*x_R_NFZ</f>
        <v>24682448.5511525</v>
      </c>
      <c r="AM48" s="0" t="n">
        <f aca="false">AJ48*x_R_PIT</f>
        <v>21130196.6288972</v>
      </c>
      <c r="AN48" s="0" t="n">
        <f aca="false">AJ48*x_R_FP</f>
        <v>8104485.36658539</v>
      </c>
      <c r="AO48" s="0" t="n">
        <f aca="false">AA48+AB48+AC48+AD48+AF48</f>
        <v>434247325.917467</v>
      </c>
      <c r="AP48" s="0" t="n">
        <f aca="false">AO48+AE48+AG48+AH48+AI48+AK48+AL48+AM48+AN48</f>
        <v>610988522.947281</v>
      </c>
      <c r="AQ48" s="0" t="n">
        <f aca="false">AO48+AE48+AG48+AJ48</f>
        <v>752070281.469835</v>
      </c>
      <c r="AR48" s="0" t="n">
        <f aca="false">AB48+AC48+AD48+AF48</f>
        <v>137833427.610024</v>
      </c>
      <c r="AS48" s="0" t="n">
        <f aca="false">AR48+AE48+AG48</f>
        <v>137833427.610024</v>
      </c>
    </row>
    <row r="49" customFormat="false" ht="15" hidden="false" customHeight="false" outlineLevel="0" collapsed="false">
      <c r="A49" s="0" t="n">
        <v>2072</v>
      </c>
      <c r="B49" s="0" t="n">
        <v>46</v>
      </c>
      <c r="C49" s="0" t="n">
        <v>4832</v>
      </c>
      <c r="D49" s="0" t="n">
        <v>0</v>
      </c>
      <c r="E49" s="0" t="n">
        <v>0</v>
      </c>
      <c r="F49" s="0" t="n">
        <v>0</v>
      </c>
      <c r="G49" s="0" t="n">
        <v>0</v>
      </c>
      <c r="H49" s="0" t="n">
        <v>2268.361</v>
      </c>
      <c r="I49" s="0" t="n">
        <v>209.292</v>
      </c>
      <c r="J49" s="0" t="n">
        <v>1080.641</v>
      </c>
      <c r="K49" s="0" t="n">
        <v>1857.721</v>
      </c>
      <c r="L49" s="0" t="n">
        <v>688.462</v>
      </c>
      <c r="M49" s="0" t="n">
        <v>138324.36</v>
      </c>
      <c r="N49" s="0" t="n">
        <v>7936.78</v>
      </c>
      <c r="O49" s="0" t="n">
        <v>61.282</v>
      </c>
      <c r="P49" s="0" t="n">
        <v>61.437</v>
      </c>
      <c r="Q49" s="0" t="n">
        <v>640.479</v>
      </c>
      <c r="R49" s="0" t="n">
        <v>944.437</v>
      </c>
      <c r="S49" s="0" t="n">
        <v>2621.61</v>
      </c>
      <c r="T49" s="0" t="n">
        <v>2477.653</v>
      </c>
      <c r="U49" s="0" t="n">
        <v>1831.448</v>
      </c>
      <c r="V49" s="0" t="n">
        <v>175602.833</v>
      </c>
      <c r="W49" s="0" t="n">
        <v>199.657</v>
      </c>
      <c r="X49" s="0" t="n">
        <v>540.091</v>
      </c>
      <c r="Y49" s="0" t="n">
        <v>61.282</v>
      </c>
      <c r="Z49" s="0" t="n">
        <v>651.53</v>
      </c>
      <c r="AA49" s="0" t="n">
        <f aca="false">H49*x_c_F+I49*x_c_CC+J49*x_c_DC+K49*x_c_HCC+L49*x_c_PLT+M49*x_c_SVRn+N49*x_c_SVRcc+O49*x_c_LT+P49*x_c_LT1</f>
        <v>296465082.140158</v>
      </c>
      <c r="AB49" s="0" t="n">
        <f aca="false">C49*x_c_DAA</f>
        <v>109976320</v>
      </c>
      <c r="AC49" s="0" t="n">
        <f aca="false">C49*x_c_MON</f>
        <v>27857107.6100244</v>
      </c>
      <c r="AD49" s="0" t="n">
        <f aca="false">D49*(1-x_testy)</f>
        <v>0</v>
      </c>
      <c r="AE49" s="0" t="n">
        <f aca="false">E49*(1-x_testy)</f>
        <v>0</v>
      </c>
      <c r="AF49" s="0" t="n">
        <f aca="false">F49*x_NAV</f>
        <v>0</v>
      </c>
      <c r="AG49" s="0" t="n">
        <f aca="false">G49*x_FIX*(1-x_testy)</f>
        <v>0</v>
      </c>
      <c r="AH49" s="0" t="n">
        <f aca="false">x_z_F*U49+(1-x_AGRI)*x_EMP*x_WLOSS*(x_PEN_K74*Q49+x_PEN_C22*R49)</f>
        <v>20988311.0643342</v>
      </c>
      <c r="AI49" s="0" t="n">
        <f aca="false">x_AGRI*x_EMP*x_WLOSS*(x_PEN_K74*Q49+x_PEN_C22*R49)</f>
        <v>1138408.90244359</v>
      </c>
      <c r="AJ49" s="0" t="n">
        <f aca="false">x_EMP*x_WAGE*(x_WLOSS*(Q49+R49)+S49)+U49*x_ABS_D*x_WAGE/365</f>
        <v>315572284.512236</v>
      </c>
      <c r="AK49" s="0" t="n">
        <f aca="false">AJ49*x_R_FUS</f>
        <v>99847070.8196713</v>
      </c>
      <c r="AL49" s="0" t="n">
        <f aca="false">AJ49*x_R_NFZ</f>
        <v>24507659.1875047</v>
      </c>
      <c r="AM49" s="0" t="n">
        <f aca="false">AJ49*x_R_PIT</f>
        <v>20980562.6241969</v>
      </c>
      <c r="AN49" s="0" t="n">
        <f aca="false">AJ49*x_R_FP</f>
        <v>8047093.25506201</v>
      </c>
      <c r="AO49" s="0" t="n">
        <f aca="false">AA49+AB49+AC49+AD49+AF49</f>
        <v>434298509.750182</v>
      </c>
      <c r="AP49" s="0" t="n">
        <f aca="false">AO49+AE49+AG49+AH49+AI49+AK49+AL49+AM49+AN49</f>
        <v>609807615.603395</v>
      </c>
      <c r="AQ49" s="0" t="n">
        <f aca="false">AO49+AE49+AG49+AJ49</f>
        <v>749870794.262418</v>
      </c>
      <c r="AR49" s="0" t="n">
        <f aca="false">AB49+AC49+AD49+AF49</f>
        <v>137833427.610024</v>
      </c>
      <c r="AS49" s="0" t="n">
        <f aca="false">AR49+AE49+AG49</f>
        <v>137833427.610024</v>
      </c>
    </row>
    <row r="50" customFormat="false" ht="15" hidden="false" customHeight="false" outlineLevel="0" collapsed="false">
      <c r="A50" s="0" t="n">
        <v>2073</v>
      </c>
      <c r="B50" s="0" t="n">
        <v>47</v>
      </c>
      <c r="C50" s="0" t="n">
        <v>4832</v>
      </c>
      <c r="D50" s="0" t="n">
        <v>0</v>
      </c>
      <c r="E50" s="0" t="n">
        <v>0</v>
      </c>
      <c r="F50" s="0" t="n">
        <v>0</v>
      </c>
      <c r="G50" s="0" t="n">
        <v>0</v>
      </c>
      <c r="H50" s="0" t="n">
        <v>2268.75</v>
      </c>
      <c r="I50" s="0" t="n">
        <v>208.543</v>
      </c>
      <c r="J50" s="0" t="n">
        <v>1075.352</v>
      </c>
      <c r="K50" s="0" t="n">
        <v>1849.218</v>
      </c>
      <c r="L50" s="0" t="n">
        <v>679.834</v>
      </c>
      <c r="M50" s="0" t="n">
        <v>140393.135</v>
      </c>
      <c r="N50" s="0" t="n">
        <v>7931.62</v>
      </c>
      <c r="O50" s="0" t="n">
        <v>61.011</v>
      </c>
      <c r="P50" s="0" t="n">
        <v>61.146</v>
      </c>
      <c r="Q50" s="0" t="n">
        <v>635.863</v>
      </c>
      <c r="R50" s="0" t="n">
        <v>937.86</v>
      </c>
      <c r="S50" s="0" t="n">
        <v>2603.774</v>
      </c>
      <c r="T50" s="0" t="n">
        <v>2477.293</v>
      </c>
      <c r="U50" s="0" t="n">
        <v>1830.848</v>
      </c>
      <c r="V50" s="0" t="n">
        <v>177003.614</v>
      </c>
      <c r="W50" s="0" t="n">
        <v>198.645</v>
      </c>
      <c r="X50" s="0" t="n">
        <v>537.534</v>
      </c>
      <c r="Y50" s="0" t="n">
        <v>61.011</v>
      </c>
      <c r="Z50" s="0" t="n">
        <v>648.507</v>
      </c>
      <c r="AA50" s="0" t="n">
        <f aca="false">H50*x_c_F+I50*x_c_CC+J50*x_c_DC+K50*x_c_HCC+L50*x_c_PLT+M50*x_c_SVRn+N50*x_c_SVRcc+O50*x_c_LT+P50*x_c_LT1</f>
        <v>296704148.921616</v>
      </c>
      <c r="AB50" s="0" t="n">
        <f aca="false">C50*x_c_DAA</f>
        <v>109976320</v>
      </c>
      <c r="AC50" s="0" t="n">
        <f aca="false">C50*x_c_MON</f>
        <v>27857107.6100244</v>
      </c>
      <c r="AD50" s="0" t="n">
        <f aca="false">D50*(1-x_testy)</f>
        <v>0</v>
      </c>
      <c r="AE50" s="0" t="n">
        <f aca="false">E50*(1-x_testy)</f>
        <v>0</v>
      </c>
      <c r="AF50" s="0" t="n">
        <f aca="false">F50*x_NAV</f>
        <v>0</v>
      </c>
      <c r="AG50" s="0" t="n">
        <f aca="false">G50*x_FIX*(1-x_testy)</f>
        <v>0</v>
      </c>
      <c r="AH50" s="0" t="n">
        <f aca="false">x_z_F*U50+(1-x_AGRI)*x_EMP*x_WLOSS*(x_PEN_K74*Q50+x_PEN_C22*R50)</f>
        <v>20865572.2835913</v>
      </c>
      <c r="AI50" s="0" t="n">
        <f aca="false">x_AGRI*x_EMP*x_WLOSS*(x_PEN_K74*Q50+x_PEN_C22*R50)</f>
        <v>1130377.63945849</v>
      </c>
      <c r="AJ50" s="0" t="n">
        <f aca="false">x_EMP*x_WAGE*(x_WLOSS*(Q50+R50)+S50)+U50*x_ABS_D*x_WAGE/365</f>
        <v>313437714.686468</v>
      </c>
      <c r="AK50" s="0" t="n">
        <f aca="false">AJ50*x_R_FUS</f>
        <v>99171692.9267986</v>
      </c>
      <c r="AL50" s="0" t="n">
        <f aca="false">AJ50*x_R_NFZ</f>
        <v>24341886.3602658</v>
      </c>
      <c r="AM50" s="0" t="n">
        <f aca="false">AJ50*x_R_PIT</f>
        <v>20838647.5128162</v>
      </c>
      <c r="AN50" s="0" t="n">
        <f aca="false">AJ50*x_R_FP</f>
        <v>7992661.72450494</v>
      </c>
      <c r="AO50" s="0" t="n">
        <f aca="false">AA50+AB50+AC50+AD50+AF50</f>
        <v>434537576.53164</v>
      </c>
      <c r="AP50" s="0" t="n">
        <f aca="false">AO50+AE50+AG50+AH50+AI50+AK50+AL50+AM50+AN50</f>
        <v>608878414.979075</v>
      </c>
      <c r="AQ50" s="0" t="n">
        <f aca="false">AO50+AE50+AG50+AJ50</f>
        <v>747975291.218108</v>
      </c>
      <c r="AR50" s="0" t="n">
        <f aca="false">AB50+AC50+AD50+AF50</f>
        <v>137833427.610024</v>
      </c>
      <c r="AS50" s="0" t="n">
        <f aca="false">AR50+AE50+AG50</f>
        <v>137833427.610024</v>
      </c>
    </row>
    <row r="51" customFormat="false" ht="15" hidden="false" customHeight="false" outlineLevel="0" collapsed="false">
      <c r="A51" s="0" t="n">
        <v>2074</v>
      </c>
      <c r="B51" s="0" t="n">
        <v>48</v>
      </c>
      <c r="C51" s="0" t="n">
        <v>4832</v>
      </c>
      <c r="D51" s="0" t="n">
        <v>0</v>
      </c>
      <c r="E51" s="0" t="n">
        <v>0</v>
      </c>
      <c r="F51" s="0" t="n">
        <v>0</v>
      </c>
      <c r="G51" s="0" t="n">
        <v>0</v>
      </c>
      <c r="H51" s="0" t="n">
        <v>2269.19</v>
      </c>
      <c r="I51" s="0" t="n">
        <v>207.744</v>
      </c>
      <c r="J51" s="0" t="n">
        <v>1070.542</v>
      </c>
      <c r="K51" s="0" t="n">
        <v>1841.23</v>
      </c>
      <c r="L51" s="0" t="n">
        <v>672.944</v>
      </c>
      <c r="M51" s="0" t="n">
        <v>142440.056</v>
      </c>
      <c r="N51" s="0" t="n">
        <v>7934.533</v>
      </c>
      <c r="O51" s="0" t="n">
        <v>60.758</v>
      </c>
      <c r="P51" s="0" t="n">
        <v>60.884</v>
      </c>
      <c r="Q51" s="0" t="n">
        <v>631.487</v>
      </c>
      <c r="R51" s="0" t="n">
        <v>931.62</v>
      </c>
      <c r="S51" s="0" t="n">
        <v>2586.876</v>
      </c>
      <c r="T51" s="0" t="n">
        <v>2476.933</v>
      </c>
      <c r="U51" s="0" t="n">
        <v>1830.471</v>
      </c>
      <c r="V51" s="0" t="n">
        <v>178395.414</v>
      </c>
      <c r="W51" s="0" t="n">
        <v>197.625</v>
      </c>
      <c r="X51" s="0" t="n">
        <v>534.997</v>
      </c>
      <c r="Y51" s="0" t="n">
        <v>60.758</v>
      </c>
      <c r="Z51" s="0" t="n">
        <v>645.703</v>
      </c>
      <c r="AA51" s="0" t="n">
        <f aca="false">H51*x_c_F+I51*x_c_CC+J51*x_c_DC+K51*x_c_HCC+L51*x_c_PLT+M51*x_c_SVRn+N51*x_c_SVRcc+O51*x_c_LT+P51*x_c_LT1</f>
        <v>297055645.50146</v>
      </c>
      <c r="AB51" s="0" t="n">
        <f aca="false">C51*x_c_DAA</f>
        <v>109976320</v>
      </c>
      <c r="AC51" s="0" t="n">
        <f aca="false">C51*x_c_MON</f>
        <v>27857107.6100244</v>
      </c>
      <c r="AD51" s="0" t="n">
        <f aca="false">D51*(1-x_testy)</f>
        <v>0</v>
      </c>
      <c r="AE51" s="0" t="n">
        <f aca="false">E51*(1-x_testy)</f>
        <v>0</v>
      </c>
      <c r="AF51" s="0" t="n">
        <f aca="false">F51*x_NAV</f>
        <v>0</v>
      </c>
      <c r="AG51" s="0" t="n">
        <f aca="false">G51*x_FIX*(1-x_testy)</f>
        <v>0</v>
      </c>
      <c r="AH51" s="0" t="n">
        <f aca="false">x_z_F*U51+(1-x_AGRI)*x_EMP*x_WLOSS*(x_PEN_K74*Q51+x_PEN_C22*R51)</f>
        <v>20749552.7698339</v>
      </c>
      <c r="AI51" s="0" t="n">
        <f aca="false">x_AGRI*x_EMP*x_WLOSS*(x_PEN_K74*Q51+x_PEN_C22*R51)</f>
        <v>1122760.20332655</v>
      </c>
      <c r="AJ51" s="0" t="n">
        <f aca="false">x_EMP*x_WAGE*(x_WLOSS*(Q51+R51)+S51)+U51*x_ABS_D*x_WAGE/365</f>
        <v>311415328.107631</v>
      </c>
      <c r="AK51" s="0" t="n">
        <f aca="false">AJ51*x_R_FUS</f>
        <v>98531809.8132544</v>
      </c>
      <c r="AL51" s="0" t="n">
        <f aca="false">AJ51*x_R_NFZ</f>
        <v>24184825.7961667</v>
      </c>
      <c r="AM51" s="0" t="n">
        <f aca="false">AJ51*x_R_PIT</f>
        <v>20704190.8119268</v>
      </c>
      <c r="AN51" s="0" t="n">
        <f aca="false">AJ51*x_R_FP</f>
        <v>7941090.86674459</v>
      </c>
      <c r="AO51" s="0" t="n">
        <f aca="false">AA51+AB51+AC51+AD51+AF51</f>
        <v>434889073.111484</v>
      </c>
      <c r="AP51" s="0" t="n">
        <f aca="false">AO51+AE51+AG51+AH51+AI51+AK51+AL51+AM51+AN51</f>
        <v>608123303.372737</v>
      </c>
      <c r="AQ51" s="0" t="n">
        <f aca="false">AO51+AE51+AG51+AJ51</f>
        <v>746304401.219115</v>
      </c>
      <c r="AR51" s="0" t="n">
        <f aca="false">AB51+AC51+AD51+AF51</f>
        <v>137833427.610024</v>
      </c>
      <c r="AS51" s="0" t="n">
        <f aca="false">AR51+AE51+AG51</f>
        <v>137833427.610024</v>
      </c>
    </row>
    <row r="52" customFormat="false" ht="15" hidden="false" customHeight="false" outlineLevel="0" collapsed="false">
      <c r="A52" s="0" t="n">
        <v>2075</v>
      </c>
      <c r="B52" s="0" t="n">
        <v>49</v>
      </c>
      <c r="C52" s="0" t="n">
        <v>4832</v>
      </c>
      <c r="D52" s="0" t="n">
        <v>0</v>
      </c>
      <c r="E52" s="0" t="n">
        <v>0</v>
      </c>
      <c r="F52" s="0" t="n">
        <v>0</v>
      </c>
      <c r="G52" s="0" t="n">
        <v>0</v>
      </c>
      <c r="H52" s="0" t="n">
        <v>2269.693</v>
      </c>
      <c r="I52" s="0" t="n">
        <v>206.878</v>
      </c>
      <c r="J52" s="0" t="n">
        <v>1065.879</v>
      </c>
      <c r="K52" s="0" t="n">
        <v>1833.318</v>
      </c>
      <c r="L52" s="0" t="n">
        <v>667.348</v>
      </c>
      <c r="M52" s="0" t="n">
        <v>144449.319</v>
      </c>
      <c r="N52" s="0" t="n">
        <v>7942.268</v>
      </c>
      <c r="O52" s="0" t="n">
        <v>60.507</v>
      </c>
      <c r="P52" s="0" t="n">
        <v>60.633</v>
      </c>
      <c r="Q52" s="0" t="n">
        <v>627.338</v>
      </c>
      <c r="R52" s="0" t="n">
        <v>925.699</v>
      </c>
      <c r="S52" s="0" t="n">
        <v>2570.878</v>
      </c>
      <c r="T52" s="0" t="n">
        <v>2476.572</v>
      </c>
      <c r="U52" s="0" t="n">
        <v>1830.32</v>
      </c>
      <c r="V52" s="0" t="n">
        <v>179762.587</v>
      </c>
      <c r="W52" s="0" t="n">
        <v>196.568</v>
      </c>
      <c r="X52" s="0" t="n">
        <v>532.393</v>
      </c>
      <c r="Y52" s="0" t="n">
        <v>60.507</v>
      </c>
      <c r="Z52" s="0" t="n">
        <v>642.926</v>
      </c>
      <c r="AA52" s="0" t="n">
        <f aca="false">H52*x_c_F+I52*x_c_CC+J52*x_c_DC+K52*x_c_HCC+L52*x_c_PLT+M52*x_c_SVRn+N52*x_c_SVRcc+O52*x_c_LT+P52*x_c_LT1</f>
        <v>297446876.085355</v>
      </c>
      <c r="AB52" s="0" t="n">
        <f aca="false">C52*x_c_DAA</f>
        <v>109976320</v>
      </c>
      <c r="AC52" s="0" t="n">
        <f aca="false">C52*x_c_MON</f>
        <v>27857107.6100244</v>
      </c>
      <c r="AD52" s="0" t="n">
        <f aca="false">D52*(1-x_testy)</f>
        <v>0</v>
      </c>
      <c r="AE52" s="0" t="n">
        <f aca="false">E52*(1-x_testy)</f>
        <v>0</v>
      </c>
      <c r="AF52" s="0" t="n">
        <f aca="false">F52*x_NAV</f>
        <v>0</v>
      </c>
      <c r="AG52" s="0" t="n">
        <f aca="false">G52*x_FIX*(1-x_testy)</f>
        <v>0</v>
      </c>
      <c r="AH52" s="0" t="n">
        <f aca="false">x_z_F*U52+(1-x_AGRI)*x_EMP*x_WLOSS*(x_PEN_K74*Q52+x_PEN_C22*R52)</f>
        <v>20639922.4669746</v>
      </c>
      <c r="AI52" s="0" t="n">
        <f aca="false">x_AGRI*x_EMP*x_WLOSS*(x_PEN_K74*Q52+x_PEN_C22*R52)</f>
        <v>1115534.3702993</v>
      </c>
      <c r="AJ52" s="0" t="n">
        <f aca="false">x_EMP*x_WAGE*(x_WLOSS*(Q52+R52)+S52)+U52*x_ABS_D*x_WAGE/365</f>
        <v>309500198.420833</v>
      </c>
      <c r="AK52" s="0" t="n">
        <f aca="false">AJ52*x_R_FUS</f>
        <v>97925862.7803515</v>
      </c>
      <c r="AL52" s="0" t="n">
        <f aca="false">AJ52*x_R_NFZ</f>
        <v>24036094.9095603</v>
      </c>
      <c r="AM52" s="0" t="n">
        <f aca="false">AJ52*x_R_PIT</f>
        <v>20576864.9968939</v>
      </c>
      <c r="AN52" s="0" t="n">
        <f aca="false">AJ52*x_R_FP</f>
        <v>7892255.05973124</v>
      </c>
      <c r="AO52" s="0" t="n">
        <f aca="false">AA52+AB52+AC52+AD52+AF52</f>
        <v>435280303.695379</v>
      </c>
      <c r="AP52" s="0" t="n">
        <f aca="false">AO52+AE52+AG52+AH52+AI52+AK52+AL52+AM52+AN52</f>
        <v>607466838.27919</v>
      </c>
      <c r="AQ52" s="0" t="n">
        <f aca="false">AO52+AE52+AG52+AJ52</f>
        <v>744780502.116212</v>
      </c>
      <c r="AR52" s="0" t="n">
        <f aca="false">AB52+AC52+AD52+AF52</f>
        <v>137833427.610024</v>
      </c>
      <c r="AS52" s="0" t="n">
        <f aca="false">AR52+AE52+AG52</f>
        <v>137833427.610024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594</v>
      </c>
    </row>
    <row r="2" customFormat="false" ht="28.35" hidden="false" customHeight="false" outlineLevel="0" collapsed="false">
      <c r="A2" s="3" t="s">
        <v>320</v>
      </c>
      <c r="B2" s="3" t="s">
        <v>553</v>
      </c>
      <c r="C2" s="3" t="s">
        <v>554</v>
      </c>
      <c r="D2" s="3" t="s">
        <v>555</v>
      </c>
      <c r="E2" s="3" t="s">
        <v>556</v>
      </c>
      <c r="F2" s="3" t="s">
        <v>557</v>
      </c>
      <c r="G2" s="3" t="s">
        <v>558</v>
      </c>
      <c r="H2" s="3" t="s">
        <v>559</v>
      </c>
      <c r="I2" s="3" t="s">
        <v>560</v>
      </c>
      <c r="J2" s="3" t="s">
        <v>561</v>
      </c>
      <c r="K2" s="3" t="s">
        <v>562</v>
      </c>
      <c r="L2" s="3" t="s">
        <v>563</v>
      </c>
      <c r="M2" s="3" t="s">
        <v>564</v>
      </c>
      <c r="N2" s="3" t="s">
        <v>565</v>
      </c>
      <c r="O2" s="3" t="s">
        <v>566</v>
      </c>
      <c r="P2" s="3" t="s">
        <v>567</v>
      </c>
      <c r="Q2" s="3" t="s">
        <v>568</v>
      </c>
      <c r="R2" s="3" t="s">
        <v>569</v>
      </c>
      <c r="S2" s="3" t="s">
        <v>570</v>
      </c>
      <c r="T2" s="3" t="s">
        <v>571</v>
      </c>
      <c r="U2" s="3" t="s">
        <v>572</v>
      </c>
      <c r="V2" s="3" t="s">
        <v>573</v>
      </c>
      <c r="W2" s="3" t="s">
        <v>574</v>
      </c>
      <c r="X2" s="3" t="s">
        <v>575</v>
      </c>
      <c r="Y2" s="3" t="s">
        <v>576</v>
      </c>
      <c r="Z2" s="3" t="s">
        <v>577</v>
      </c>
      <c r="AA2" s="3" t="s">
        <v>578</v>
      </c>
      <c r="AB2" s="3" t="s">
        <v>579</v>
      </c>
      <c r="AC2" s="3" t="s">
        <v>580</v>
      </c>
      <c r="AD2" s="3" t="s">
        <v>581</v>
      </c>
      <c r="AE2" s="3" t="s">
        <v>582</v>
      </c>
      <c r="AF2" s="3" t="s">
        <v>583</v>
      </c>
      <c r="AG2" s="3" t="s">
        <v>584</v>
      </c>
      <c r="AH2" s="3" t="s">
        <v>252</v>
      </c>
      <c r="AI2" s="3" t="s">
        <v>303</v>
      </c>
      <c r="AJ2" s="3" t="s">
        <v>585</v>
      </c>
      <c r="AK2" s="3" t="s">
        <v>586</v>
      </c>
      <c r="AL2" s="3" t="s">
        <v>587</v>
      </c>
      <c r="AM2" s="3" t="s">
        <v>588</v>
      </c>
      <c r="AN2" s="3" t="s">
        <v>589</v>
      </c>
      <c r="AO2" s="3" t="s">
        <v>129</v>
      </c>
      <c r="AP2" s="3" t="s">
        <v>590</v>
      </c>
      <c r="AQ2" s="3" t="s">
        <v>591</v>
      </c>
      <c r="AR2" s="3" t="s">
        <v>592</v>
      </c>
      <c r="AS2" s="3" t="s">
        <v>593</v>
      </c>
    </row>
    <row r="3" customFormat="false" ht="15" hidden="false" customHeight="false" outlineLevel="0" collapsed="false">
      <c r="A3" s="0" t="n">
        <v>2026</v>
      </c>
      <c r="B3" s="0" t="n">
        <v>0</v>
      </c>
      <c r="C3" s="0" t="n">
        <v>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5509.246</v>
      </c>
      <c r="I3" s="0" t="n">
        <v>498.943</v>
      </c>
      <c r="J3" s="0" t="n">
        <v>1582.633</v>
      </c>
      <c r="K3" s="0" t="n">
        <v>2532.748</v>
      </c>
      <c r="L3" s="0" t="n">
        <v>1540.438</v>
      </c>
      <c r="M3" s="0" t="n">
        <v>0</v>
      </c>
      <c r="N3" s="0" t="n">
        <v>0</v>
      </c>
      <c r="O3" s="0" t="n">
        <v>89.046</v>
      </c>
      <c r="P3" s="0" t="n">
        <v>44.523</v>
      </c>
      <c r="Q3" s="0" t="n">
        <v>2136.942</v>
      </c>
      <c r="R3" s="0" t="n">
        <v>1708.668</v>
      </c>
      <c r="S3" s="0" t="n">
        <v>312.377</v>
      </c>
      <c r="T3" s="0" t="n">
        <v>6008.189</v>
      </c>
      <c r="U3" s="0" t="n">
        <v>3342.327</v>
      </c>
      <c r="V3" s="0" t="n">
        <v>113001.836</v>
      </c>
      <c r="W3" s="0" t="n">
        <v>272.301</v>
      </c>
      <c r="X3" s="0" t="n">
        <v>727.402</v>
      </c>
      <c r="Y3" s="0" t="n">
        <v>89.046</v>
      </c>
      <c r="Z3" s="0" t="n">
        <v>922.327</v>
      </c>
      <c r="AA3" s="0" t="n">
        <f aca="false">H3*x_c_F+I3*x_c_CC+J3*x_c_DC+K3*x_c_HCC+L3*x_c_PLT+M3*x_c_SVRn+N3*x_c_SVRcc+O3*x_c_LT+P3*x_c_LT1</f>
        <v>288470034.684641</v>
      </c>
      <c r="AB3" s="0" t="n">
        <f aca="false">C3*x_c_DAA</f>
        <v>0</v>
      </c>
      <c r="AC3" s="0" t="n">
        <f aca="false">C3*x_c_MON</f>
        <v>0</v>
      </c>
      <c r="AD3" s="0" t="n">
        <f aca="false">D3*(1-x_testy)</f>
        <v>0</v>
      </c>
      <c r="AE3" s="0" t="n">
        <f aca="false">E3*(1-x_testy)</f>
        <v>0</v>
      </c>
      <c r="AF3" s="0" t="n">
        <f aca="false">F3*x_NAV</f>
        <v>0</v>
      </c>
      <c r="AG3" s="0" t="n">
        <f aca="false">G3*x_FIX*(1-x_testy)</f>
        <v>0</v>
      </c>
      <c r="AH3" s="0" t="n">
        <f aca="false">x_z_F*U3+(1-x_AGRI)*x_EMP*x_WLOSS*(x_PEN_K74*Q3+x_PEN_C22*R3)</f>
        <v>47861729.8227373</v>
      </c>
      <c r="AI3" s="0" t="n">
        <f aca="false">x_AGRI*x_EMP*x_WLOSS*(x_PEN_K74*Q3+x_PEN_C22*R3)</f>
        <v>2709374.72655835</v>
      </c>
      <c r="AJ3" s="0" t="n">
        <f aca="false">x_EMP*x_WAGE*(x_WLOSS*(Q3+R3)+S3)+U3*x_ABS_D*x_WAGE/365</f>
        <v>246752486.585794</v>
      </c>
      <c r="AK3" s="0" t="n">
        <f aca="false">AJ3*x_R_FUS</f>
        <v>78072486.7557451</v>
      </c>
      <c r="AL3" s="0" t="n">
        <f aca="false">AJ3*x_R_NFZ</f>
        <v>19163044.8607393</v>
      </c>
      <c r="AM3" s="0" t="n">
        <f aca="false">AJ3*x_R_PIT</f>
        <v>16405135.2148729</v>
      </c>
      <c r="AN3" s="0" t="n">
        <f aca="false">AJ3*x_R_FP</f>
        <v>6292188.40793774</v>
      </c>
      <c r="AO3" s="0" t="n">
        <f aca="false">AA3+AB3+AC3+AD3+AF3</f>
        <v>288470034.684641</v>
      </c>
      <c r="AP3" s="0" t="n">
        <f aca="false">AO3+AE3+AG3+AH3+AI3+AK3+AL3+AM3+AN3</f>
        <v>458973994.473232</v>
      </c>
      <c r="AQ3" s="0" t="n">
        <f aca="false">AO3+AE3+AG3+AJ3</f>
        <v>535222521.270435</v>
      </c>
      <c r="AR3" s="0" t="n">
        <f aca="false">AB3+AC3+AD3+AF3</f>
        <v>0</v>
      </c>
      <c r="AS3" s="0" t="n">
        <f aca="false">AR3+AE3+AG3</f>
        <v>0</v>
      </c>
    </row>
    <row r="4" customFormat="false" ht="15" hidden="false" customHeight="false" outlineLevel="0" collapsed="false">
      <c r="A4" s="0" t="n">
        <v>2027</v>
      </c>
      <c r="B4" s="0" t="n">
        <v>1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9065.783</v>
      </c>
      <c r="I4" s="0" t="n">
        <v>870.396</v>
      </c>
      <c r="J4" s="0" t="n">
        <v>1577.392</v>
      </c>
      <c r="K4" s="0" t="n">
        <v>2552.872</v>
      </c>
      <c r="L4" s="0" t="n">
        <v>1489.389</v>
      </c>
      <c r="M4" s="0" t="n">
        <v>0</v>
      </c>
      <c r="N4" s="0" t="n">
        <v>0</v>
      </c>
      <c r="O4" s="0" t="n">
        <v>88.331</v>
      </c>
      <c r="P4" s="0" t="n">
        <v>88.689</v>
      </c>
      <c r="Q4" s="0" t="n">
        <v>2147.277</v>
      </c>
      <c r="R4" s="0" t="n">
        <v>1738.504</v>
      </c>
      <c r="S4" s="0" t="n">
        <v>941.663</v>
      </c>
      <c r="T4" s="0" t="n">
        <v>9936.179</v>
      </c>
      <c r="U4" s="0" t="n">
        <v>5676.044</v>
      </c>
      <c r="V4" s="0" t="n">
        <v>113838.039</v>
      </c>
      <c r="W4" s="0" t="n">
        <v>289.562</v>
      </c>
      <c r="X4" s="0" t="n">
        <v>776.664</v>
      </c>
      <c r="Y4" s="0" t="n">
        <v>88.331</v>
      </c>
      <c r="Z4" s="0" t="n">
        <v>930.689</v>
      </c>
      <c r="AA4" s="0" t="n">
        <f aca="false">H4*x_c_F+I4*x_c_CC+J4*x_c_DC+K4*x_c_HCC+L4*x_c_PLT+M4*x_c_SVRn+N4*x_c_SVRcc+O4*x_c_LT+P4*x_c_LT1</f>
        <v>302412392.981956</v>
      </c>
      <c r="AB4" s="0" t="n">
        <f aca="false">C4*x_c_DAA</f>
        <v>0</v>
      </c>
      <c r="AC4" s="0" t="n">
        <f aca="false">C4*x_c_MON</f>
        <v>0</v>
      </c>
      <c r="AD4" s="0" t="n">
        <f aca="false">D4*(1-x_testy)</f>
        <v>0</v>
      </c>
      <c r="AE4" s="0" t="n">
        <f aca="false">E4*(1-x_testy)</f>
        <v>0</v>
      </c>
      <c r="AF4" s="0" t="n">
        <f aca="false">F4*x_NAV</f>
        <v>0</v>
      </c>
      <c r="AG4" s="0" t="n">
        <f aca="false">G4*x_FIX*(1-x_testy)</f>
        <v>0</v>
      </c>
      <c r="AH4" s="0" t="n">
        <f aca="false">x_z_F*U4+(1-x_AGRI)*x_EMP*x_WLOSS*(x_PEN_K74*Q4+x_PEN_C22*R4)</f>
        <v>53104255.1248378</v>
      </c>
      <c r="AI4" s="0" t="n">
        <f aca="false">x_AGRI*x_EMP*x_WLOSS*(x_PEN_K74*Q4+x_PEN_C22*R4)</f>
        <v>2738763.3271649</v>
      </c>
      <c r="AJ4" s="0" t="n">
        <f aca="false">x_EMP*x_WAGE*(x_WLOSS*(Q4+R4)+S4)+U4*x_ABS_D*x_WAGE/365</f>
        <v>309457566.118781</v>
      </c>
      <c r="AK4" s="0" t="n">
        <f aca="false">AJ4*x_R_FUS</f>
        <v>97912373.9199822</v>
      </c>
      <c r="AL4" s="0" t="n">
        <f aca="false">AJ4*x_R_NFZ</f>
        <v>24032784.0423506</v>
      </c>
      <c r="AM4" s="0" t="n">
        <f aca="false">AJ4*x_R_PIT</f>
        <v>20574030.6235129</v>
      </c>
      <c r="AN4" s="0" t="n">
        <f aca="false">AJ4*x_R_FP</f>
        <v>7891167.93602891</v>
      </c>
      <c r="AO4" s="0" t="n">
        <f aca="false">AA4+AB4+AC4+AD4+AF4</f>
        <v>302412392.981956</v>
      </c>
      <c r="AP4" s="0" t="n">
        <f aca="false">AO4+AE4+AG4+AH4+AI4+AK4+AL4+AM4+AN4</f>
        <v>508665767.955833</v>
      </c>
      <c r="AQ4" s="0" t="n">
        <f aca="false">AO4+AE4+AG4+AJ4</f>
        <v>611869959.100737</v>
      </c>
      <c r="AR4" s="0" t="n">
        <f aca="false">AB4+AC4+AD4+AF4</f>
        <v>0</v>
      </c>
      <c r="AS4" s="0" t="n">
        <f aca="false">AR4+AE4+AG4</f>
        <v>0</v>
      </c>
    </row>
    <row r="5" customFormat="false" ht="15" hidden="false" customHeight="false" outlineLevel="0" collapsed="false">
      <c r="A5" s="0" t="n">
        <v>2028</v>
      </c>
      <c r="B5" s="0" t="n">
        <v>2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12524.131</v>
      </c>
      <c r="I5" s="0" t="n">
        <v>1282.177</v>
      </c>
      <c r="J5" s="0" t="n">
        <v>1590.922</v>
      </c>
      <c r="K5" s="0" t="n">
        <v>2617.33</v>
      </c>
      <c r="L5" s="0" t="n">
        <v>1475.935</v>
      </c>
      <c r="M5" s="0" t="n">
        <v>0</v>
      </c>
      <c r="N5" s="0" t="n">
        <v>0</v>
      </c>
      <c r="O5" s="0" t="n">
        <v>88.855</v>
      </c>
      <c r="P5" s="0" t="n">
        <v>88.593</v>
      </c>
      <c r="Q5" s="0" t="n">
        <v>2168.208</v>
      </c>
      <c r="R5" s="0" t="n">
        <v>1802.923</v>
      </c>
      <c r="S5" s="0" t="n">
        <v>1581.493</v>
      </c>
      <c r="T5" s="0" t="n">
        <v>13806.308</v>
      </c>
      <c r="U5" s="0" t="n">
        <v>8090.74</v>
      </c>
      <c r="V5" s="0" t="n">
        <v>114734.083</v>
      </c>
      <c r="W5" s="0" t="n">
        <v>309.818</v>
      </c>
      <c r="X5" s="0" t="n">
        <v>830.282</v>
      </c>
      <c r="Y5" s="0" t="n">
        <v>88.855</v>
      </c>
      <c r="Z5" s="0" t="n">
        <v>941.777</v>
      </c>
      <c r="AA5" s="0" t="n">
        <f aca="false">H5*x_c_F+I5*x_c_CC+J5*x_c_DC+K5*x_c_HCC+L5*x_c_PLT+M5*x_c_SVRn+N5*x_c_SVRcc+O5*x_c_LT+P5*x_c_LT1</f>
        <v>318924868.373812</v>
      </c>
      <c r="AB5" s="0" t="n">
        <f aca="false">C5*x_c_DAA</f>
        <v>0</v>
      </c>
      <c r="AC5" s="0" t="n">
        <f aca="false">C5*x_c_MON</f>
        <v>0</v>
      </c>
      <c r="AD5" s="0" t="n">
        <f aca="false">D5*(1-x_testy)</f>
        <v>0</v>
      </c>
      <c r="AE5" s="0" t="n">
        <f aca="false">E5*(1-x_testy)</f>
        <v>0</v>
      </c>
      <c r="AF5" s="0" t="n">
        <f aca="false">F5*x_NAV</f>
        <v>0</v>
      </c>
      <c r="AG5" s="0" t="n">
        <f aca="false">G5*x_FIX*(1-x_testy)</f>
        <v>0</v>
      </c>
      <c r="AH5" s="0" t="n">
        <f aca="false">x_z_F*U5+(1-x_AGRI)*x_EMP*x_WLOSS*(x_PEN_K74*Q5+x_PEN_C22*R5)</f>
        <v>59014725.4296938</v>
      </c>
      <c r="AI5" s="0" t="n">
        <f aca="false">x_AGRI*x_EMP*x_WLOSS*(x_PEN_K74*Q5+x_PEN_C22*R5)</f>
        <v>2801297.45436607</v>
      </c>
      <c r="AJ5" s="0" t="n">
        <f aca="false">x_EMP*x_WAGE*(x_WLOSS*(Q5+R5)+S5)+U5*x_ABS_D*x_WAGE/365</f>
        <v>375770162.037569</v>
      </c>
      <c r="AK5" s="0" t="n">
        <f aca="false">AJ5*x_R_FUS</f>
        <v>118893679.268687</v>
      </c>
      <c r="AL5" s="0" t="n">
        <f aca="false">AJ5*x_R_NFZ</f>
        <v>29182686.5539996</v>
      </c>
      <c r="AM5" s="0" t="n">
        <f aca="false">AJ5*x_R_PIT</f>
        <v>24982768.7786954</v>
      </c>
      <c r="AN5" s="0" t="n">
        <f aca="false">AJ5*x_R_FP</f>
        <v>9582139.131958</v>
      </c>
      <c r="AO5" s="0" t="n">
        <f aca="false">AA5+AB5+AC5+AD5+AF5</f>
        <v>318924868.373812</v>
      </c>
      <c r="AP5" s="0" t="n">
        <f aca="false">AO5+AE5+AG5+AH5+AI5+AK5+AL5+AM5+AN5</f>
        <v>563382164.991211</v>
      </c>
      <c r="AQ5" s="0" t="n">
        <f aca="false">AO5+AE5+AG5+AJ5</f>
        <v>694695030.411381</v>
      </c>
      <c r="AR5" s="0" t="n">
        <f aca="false">AB5+AC5+AD5+AF5</f>
        <v>0</v>
      </c>
      <c r="AS5" s="0" t="n">
        <f aca="false">AR5+AE5+AG5</f>
        <v>0</v>
      </c>
    </row>
    <row r="6" customFormat="false" ht="15" hidden="false" customHeight="false" outlineLevel="0" collapsed="false">
      <c r="A6" s="0" t="n">
        <v>2029</v>
      </c>
      <c r="B6" s="0" t="n">
        <v>3</v>
      </c>
      <c r="C6" s="0" t="n">
        <v>0</v>
      </c>
      <c r="D6" s="0" t="n">
        <v>0</v>
      </c>
      <c r="E6" s="0" t="n">
        <v>0</v>
      </c>
      <c r="F6" s="0" t="n">
        <v>0</v>
      </c>
      <c r="G6" s="0" t="n">
        <v>0</v>
      </c>
      <c r="H6" s="0" t="n">
        <v>15886.581</v>
      </c>
      <c r="I6" s="0" t="n">
        <v>1736.309</v>
      </c>
      <c r="J6" s="0" t="n">
        <v>1622.319</v>
      </c>
      <c r="K6" s="0" t="n">
        <v>2716.741</v>
      </c>
      <c r="L6" s="0" t="n">
        <v>1462.036</v>
      </c>
      <c r="M6" s="0" t="n">
        <v>0</v>
      </c>
      <c r="N6" s="0" t="n">
        <v>0</v>
      </c>
      <c r="O6" s="0" t="n">
        <v>90.506</v>
      </c>
      <c r="P6" s="0" t="n">
        <v>89.681</v>
      </c>
      <c r="Q6" s="0" t="n">
        <v>2204.278</v>
      </c>
      <c r="R6" s="0" t="n">
        <v>1895.414</v>
      </c>
      <c r="S6" s="0" t="n">
        <v>2238.147</v>
      </c>
      <c r="T6" s="0" t="n">
        <v>17622.891</v>
      </c>
      <c r="U6" s="0" t="n">
        <v>10577.531</v>
      </c>
      <c r="V6" s="0" t="n">
        <v>115663.722</v>
      </c>
      <c r="W6" s="0" t="n">
        <v>332.072</v>
      </c>
      <c r="X6" s="0" t="n">
        <v>886.439</v>
      </c>
      <c r="Y6" s="0" t="n">
        <v>90.506</v>
      </c>
      <c r="Z6" s="0" t="n">
        <v>965.574</v>
      </c>
      <c r="AA6" s="0" t="n">
        <f aca="false">H6*x_c_F+I6*x_c_CC+J6*x_c_DC+K6*x_c_HCC+L6*x_c_PLT+M6*x_c_SVRn+N6*x_c_SVRcc+O6*x_c_LT+P6*x_c_LT1</f>
        <v>338331916.32982</v>
      </c>
      <c r="AB6" s="0" t="n">
        <f aca="false">C6*x_c_DAA</f>
        <v>0</v>
      </c>
      <c r="AC6" s="0" t="n">
        <f aca="false">C6*x_c_MON</f>
        <v>0</v>
      </c>
      <c r="AD6" s="0" t="n">
        <f aca="false">D6*(1-x_testy)</f>
        <v>0</v>
      </c>
      <c r="AE6" s="0" t="n">
        <f aca="false">E6*(1-x_testy)</f>
        <v>0</v>
      </c>
      <c r="AF6" s="0" t="n">
        <f aca="false">F6*x_NAV</f>
        <v>0</v>
      </c>
      <c r="AG6" s="0" t="n">
        <f aca="false">G6*x_FIX*(1-x_testy)</f>
        <v>0</v>
      </c>
      <c r="AH6" s="0" t="n">
        <f aca="false">x_z_F*U6+(1-x_AGRI)*x_EMP*x_WLOSS*(x_PEN_K74*Q6+x_PEN_C22*R6)</f>
        <v>65546169.0281503</v>
      </c>
      <c r="AI6" s="0" t="n">
        <f aca="false">x_AGRI*x_EMP*x_WLOSS*(x_PEN_K74*Q6+x_PEN_C22*R6)</f>
        <v>2895079.62824993</v>
      </c>
      <c r="AJ6" s="0" t="n">
        <f aca="false">x_EMP*x_WAGE*(x_WLOSS*(Q6+R6)+S6)+U6*x_ABS_D*x_WAGE/365</f>
        <v>446091992.190138</v>
      </c>
      <c r="AK6" s="0" t="n">
        <f aca="false">AJ6*x_R_FUS</f>
        <v>141143506.32896</v>
      </c>
      <c r="AL6" s="0" t="n">
        <f aca="false">AJ6*x_R_NFZ</f>
        <v>34643950.2054783</v>
      </c>
      <c r="AM6" s="0" t="n">
        <f aca="false">AJ6*x_R_PIT</f>
        <v>29658057.5596621</v>
      </c>
      <c r="AN6" s="0" t="n">
        <f aca="false">AJ6*x_R_FP</f>
        <v>11375345.8008485</v>
      </c>
      <c r="AO6" s="0" t="n">
        <f aca="false">AA6+AB6+AC6+AD6+AF6</f>
        <v>338331916.32982</v>
      </c>
      <c r="AP6" s="0" t="n">
        <f aca="false">AO6+AE6+AG6+AH6+AI6+AK6+AL6+AM6+AN6</f>
        <v>623594024.881168</v>
      </c>
      <c r="AQ6" s="0" t="n">
        <f aca="false">AO6+AE6+AG6+AJ6</f>
        <v>784423908.519957</v>
      </c>
      <c r="AR6" s="0" t="n">
        <f aca="false">AB6+AC6+AD6+AF6</f>
        <v>0</v>
      </c>
      <c r="AS6" s="0" t="n">
        <f aca="false">AR6+AE6+AG6</f>
        <v>0</v>
      </c>
    </row>
    <row r="7" customFormat="false" ht="15" hidden="false" customHeight="false" outlineLevel="0" collapsed="false">
      <c r="A7" s="0" t="n">
        <v>2030</v>
      </c>
      <c r="B7" s="0" t="n">
        <v>4</v>
      </c>
      <c r="C7" s="0" t="n">
        <v>0</v>
      </c>
      <c r="D7" s="0" t="n">
        <v>0</v>
      </c>
      <c r="E7" s="0" t="n">
        <v>0</v>
      </c>
      <c r="F7" s="0" t="n">
        <v>0</v>
      </c>
      <c r="G7" s="0" t="n">
        <v>0</v>
      </c>
      <c r="H7" s="0" t="n">
        <v>19156.208</v>
      </c>
      <c r="I7" s="0" t="n">
        <v>2231.599</v>
      </c>
      <c r="J7" s="0" t="n">
        <v>1669.888</v>
      </c>
      <c r="K7" s="0" t="n">
        <v>2842.689</v>
      </c>
      <c r="L7" s="0" t="n">
        <v>1448.65</v>
      </c>
      <c r="M7" s="0" t="n">
        <v>0</v>
      </c>
      <c r="N7" s="0" t="n">
        <v>0</v>
      </c>
      <c r="O7" s="0" t="n">
        <v>93.142</v>
      </c>
      <c r="P7" s="0" t="n">
        <v>91.824</v>
      </c>
      <c r="Q7" s="0" t="n">
        <v>2255.107</v>
      </c>
      <c r="R7" s="0" t="n">
        <v>2010.229</v>
      </c>
      <c r="S7" s="0" t="n">
        <v>2920.285</v>
      </c>
      <c r="T7" s="0" t="n">
        <v>21387.807</v>
      </c>
      <c r="U7" s="0" t="n">
        <v>13127.598</v>
      </c>
      <c r="V7" s="0" t="n">
        <v>116610.465</v>
      </c>
      <c r="W7" s="0" t="n">
        <v>355.49</v>
      </c>
      <c r="X7" s="0" t="n">
        <v>943.617</v>
      </c>
      <c r="Y7" s="0" t="n">
        <v>93.142</v>
      </c>
      <c r="Z7" s="0" t="n">
        <v>999.539</v>
      </c>
      <c r="AA7" s="0" t="n">
        <f aca="false">H7*x_c_F+I7*x_c_CC+J7*x_c_DC+K7*x_c_HCC+L7*x_c_PLT+M7*x_c_SVRn+N7*x_c_SVRcc+O7*x_c_LT+P7*x_c_LT1</f>
        <v>360052001.735556</v>
      </c>
      <c r="AB7" s="0" t="n">
        <f aca="false">C7*x_c_DAA</f>
        <v>0</v>
      </c>
      <c r="AC7" s="0" t="n">
        <f aca="false">C7*x_c_MON</f>
        <v>0</v>
      </c>
      <c r="AD7" s="0" t="n">
        <f aca="false">D7*(1-x_testy)</f>
        <v>0</v>
      </c>
      <c r="AE7" s="0" t="n">
        <f aca="false">E7*(1-x_testy)</f>
        <v>0</v>
      </c>
      <c r="AF7" s="0" t="n">
        <f aca="false">F7*x_NAV</f>
        <v>0</v>
      </c>
      <c r="AG7" s="0" t="n">
        <f aca="false">G7*x_FIX*(1-x_testy)</f>
        <v>0</v>
      </c>
      <c r="AH7" s="0" t="n">
        <f aca="false">x_z_F*U7+(1-x_AGRI)*x_EMP*x_WLOSS*(x_PEN_K74*Q7+x_PEN_C22*R7)</f>
        <v>72610987.8542457</v>
      </c>
      <c r="AI7" s="0" t="n">
        <f aca="false">x_AGRI*x_EMP*x_WLOSS*(x_PEN_K74*Q7+x_PEN_C22*R7)</f>
        <v>3015518.21173439</v>
      </c>
      <c r="AJ7" s="0" t="n">
        <f aca="false">x_EMP*x_WAGE*(x_WLOSS*(Q7+R7)+S7)+U7*x_ABS_D*x_WAGE/365</f>
        <v>520800391.235604</v>
      </c>
      <c r="AK7" s="0" t="n">
        <f aca="false">AJ7*x_R_FUS</f>
        <v>164781243.786945</v>
      </c>
      <c r="AL7" s="0" t="n">
        <f aca="false">AJ7*x_R_NFZ</f>
        <v>40445879.1837483</v>
      </c>
      <c r="AM7" s="0" t="n">
        <f aca="false">AJ7*x_R_PIT</f>
        <v>34624983.7494877</v>
      </c>
      <c r="AN7" s="0" t="n">
        <f aca="false">AJ7*x_R_FP</f>
        <v>13280409.9765079</v>
      </c>
      <c r="AO7" s="0" t="n">
        <f aca="false">AA7+AB7+AC7+AD7+AF7</f>
        <v>360052001.735556</v>
      </c>
      <c r="AP7" s="0" t="n">
        <f aca="false">AO7+AE7+AG7+AH7+AI7+AK7+AL7+AM7+AN7</f>
        <v>688811024.498225</v>
      </c>
      <c r="AQ7" s="0" t="n">
        <f aca="false">AO7+AE7+AG7+AJ7</f>
        <v>880852392.97116</v>
      </c>
      <c r="AR7" s="0" t="n">
        <f aca="false">AB7+AC7+AD7+AF7</f>
        <v>0</v>
      </c>
      <c r="AS7" s="0" t="n">
        <f aca="false">AR7+AE7+AG7</f>
        <v>0</v>
      </c>
    </row>
    <row r="8" customFormat="false" ht="15" hidden="false" customHeight="false" outlineLevel="0" collapsed="false">
      <c r="A8" s="0" t="n">
        <v>2031</v>
      </c>
      <c r="B8" s="0" t="n">
        <v>5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22336.98</v>
      </c>
      <c r="I8" s="0" t="n">
        <v>2764.61</v>
      </c>
      <c r="J8" s="0" t="n">
        <v>1731.46</v>
      </c>
      <c r="K8" s="0" t="n">
        <v>2987.771</v>
      </c>
      <c r="L8" s="0" t="n">
        <v>1436.598</v>
      </c>
      <c r="M8" s="0" t="n">
        <v>0</v>
      </c>
      <c r="N8" s="0" t="n">
        <v>0</v>
      </c>
      <c r="O8" s="0" t="n">
        <v>96.607</v>
      </c>
      <c r="P8" s="0" t="n">
        <v>94.875</v>
      </c>
      <c r="Q8" s="0" t="n">
        <v>2319.901</v>
      </c>
      <c r="R8" s="0" t="n">
        <v>2142.36</v>
      </c>
      <c r="S8" s="0" t="n">
        <v>3634.83</v>
      </c>
      <c r="T8" s="0" t="n">
        <v>25101.589</v>
      </c>
      <c r="U8" s="0" t="n">
        <v>15732.575</v>
      </c>
      <c r="V8" s="0" t="n">
        <v>117562.577</v>
      </c>
      <c r="W8" s="0" t="n">
        <v>379.386</v>
      </c>
      <c r="X8" s="0" t="n">
        <v>1000.581</v>
      </c>
      <c r="Y8" s="0" t="n">
        <v>96.607</v>
      </c>
      <c r="Z8" s="0" t="n">
        <v>1041.337</v>
      </c>
      <c r="AA8" s="0" t="n">
        <f aca="false">H8*x_c_F+I8*x_c_CC+J8*x_c_DC+K8*x_c_HCC+L8*x_c_PLT+M8*x_c_SVRn+N8*x_c_SVRcc+O8*x_c_LT+P8*x_c_LT1</f>
        <v>383539205.140262</v>
      </c>
      <c r="AB8" s="0" t="n">
        <f aca="false">C8*x_c_DAA</f>
        <v>0</v>
      </c>
      <c r="AC8" s="0" t="n">
        <f aca="false">C8*x_c_MON</f>
        <v>0</v>
      </c>
      <c r="AD8" s="0" t="n">
        <f aca="false">D8*(1-x_testy)</f>
        <v>0</v>
      </c>
      <c r="AE8" s="0" t="n">
        <f aca="false">E8*(1-x_testy)</f>
        <v>0</v>
      </c>
      <c r="AF8" s="0" t="n">
        <f aca="false">F8*x_NAV</f>
        <v>0</v>
      </c>
      <c r="AG8" s="0" t="n">
        <f aca="false">G8*x_FIX*(1-x_testy)</f>
        <v>0</v>
      </c>
      <c r="AH8" s="0" t="n">
        <f aca="false">x_z_F*U8+(1-x_AGRI)*x_EMP*x_WLOSS*(x_PEN_K74*Q8+x_PEN_C22*R8)</f>
        <v>80126806.2016186</v>
      </c>
      <c r="AI8" s="0" t="n">
        <f aca="false">x_AGRI*x_EMP*x_WLOSS*(x_PEN_K74*Q8+x_PEN_C22*R8)</f>
        <v>3158305.19684397</v>
      </c>
      <c r="AJ8" s="0" t="n">
        <f aca="false">x_EMP*x_WAGE*(x_WLOSS*(Q8+R8)+S8)+U8*x_ABS_D*x_WAGE/365</f>
        <v>600143754.663209</v>
      </c>
      <c r="AK8" s="0" t="n">
        <f aca="false">AJ8*x_R_FUS</f>
        <v>189885483.975439</v>
      </c>
      <c r="AL8" s="0" t="n">
        <f aca="false">AJ8*x_R_NFZ</f>
        <v>46607764.1308995</v>
      </c>
      <c r="AM8" s="0" t="n">
        <f aca="false">AJ8*x_R_PIT</f>
        <v>39900061.717061</v>
      </c>
      <c r="AN8" s="0" t="n">
        <f aca="false">AJ8*x_R_FP</f>
        <v>15303665.7439118</v>
      </c>
      <c r="AO8" s="0" t="n">
        <f aca="false">AA8+AB8+AC8+AD8+AF8</f>
        <v>383539205.140262</v>
      </c>
      <c r="AP8" s="0" t="n">
        <f aca="false">AO8+AE8+AG8+AH8+AI8+AK8+AL8+AM8+AN8</f>
        <v>758521292.106036</v>
      </c>
      <c r="AQ8" s="0" t="n">
        <f aca="false">AO8+AE8+AG8+AJ8</f>
        <v>983682959.803471</v>
      </c>
      <c r="AR8" s="0" t="n">
        <f aca="false">AB8+AC8+AD8+AF8</f>
        <v>0</v>
      </c>
      <c r="AS8" s="0" t="n">
        <f aca="false">AR8+AE8+AG8</f>
        <v>0</v>
      </c>
    </row>
    <row r="9" customFormat="false" ht="15" hidden="false" customHeight="false" outlineLevel="0" collapsed="false">
      <c r="A9" s="0" t="n">
        <v>2032</v>
      </c>
      <c r="B9" s="0" t="n">
        <v>6</v>
      </c>
      <c r="C9" s="0" t="n">
        <v>0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25432.989</v>
      </c>
      <c r="I9" s="0" t="n">
        <v>3330.304</v>
      </c>
      <c r="J9" s="0" t="n">
        <v>1804.567</v>
      </c>
      <c r="K9" s="0" t="n">
        <v>3145.499</v>
      </c>
      <c r="L9" s="0" t="n">
        <v>1426.504</v>
      </c>
      <c r="M9" s="0" t="n">
        <v>0</v>
      </c>
      <c r="N9" s="0" t="n">
        <v>0</v>
      </c>
      <c r="O9" s="0" t="n">
        <v>100.735</v>
      </c>
      <c r="P9" s="0" t="n">
        <v>98.671</v>
      </c>
      <c r="Q9" s="0" t="n">
        <v>2397.549</v>
      </c>
      <c r="R9" s="0" t="n">
        <v>2287.456</v>
      </c>
      <c r="S9" s="0" t="n">
        <v>4387.053</v>
      </c>
      <c r="T9" s="0" t="n">
        <v>28763.293</v>
      </c>
      <c r="U9" s="0" t="n">
        <v>18384.376</v>
      </c>
      <c r="V9" s="0" t="n">
        <v>118509.015</v>
      </c>
      <c r="W9" s="0" t="n">
        <v>403.184</v>
      </c>
      <c r="X9" s="0" t="n">
        <v>1056.289</v>
      </c>
      <c r="Y9" s="0" t="n">
        <v>100.735</v>
      </c>
      <c r="Z9" s="0" t="n">
        <v>1088.803</v>
      </c>
      <c r="AA9" s="0" t="n">
        <f aca="false">H9*x_c_F+I9*x_c_CC+J9*x_c_DC+K9*x_c_HCC+L9*x_c_PLT+M9*x_c_SVRn+N9*x_c_SVRcc+O9*x_c_LT+P9*x_c_LT1</f>
        <v>408280986.676979</v>
      </c>
      <c r="AB9" s="0" t="n">
        <f aca="false">C9*x_c_DAA</f>
        <v>0</v>
      </c>
      <c r="AC9" s="0" t="n">
        <f aca="false">C9*x_c_MON</f>
        <v>0</v>
      </c>
      <c r="AD9" s="0" t="n">
        <f aca="false">D9*(1-x_testy)</f>
        <v>0</v>
      </c>
      <c r="AE9" s="0" t="n">
        <f aca="false">E9*(1-x_testy)</f>
        <v>0</v>
      </c>
      <c r="AF9" s="0" t="n">
        <f aca="false">F9*x_NAV</f>
        <v>0</v>
      </c>
      <c r="AG9" s="0" t="n">
        <f aca="false">G9*x_FIX*(1-x_testy)</f>
        <v>0</v>
      </c>
      <c r="AH9" s="0" t="n">
        <f aca="false">x_z_F*U9+(1-x_AGRI)*x_EMP*x_WLOSS*(x_PEN_K74*Q9+x_PEN_C22*R9)</f>
        <v>88016141.9173872</v>
      </c>
      <c r="AI9" s="0" t="n">
        <f aca="false">x_AGRI*x_EMP*x_WLOSS*(x_PEN_K74*Q9+x_PEN_C22*R9)</f>
        <v>3319417.98048266</v>
      </c>
      <c r="AJ9" s="0" t="n">
        <f aca="false">x_EMP*x_WAGE*(x_WLOSS*(Q9+R9)+S9)+U9*x_ABS_D*x_WAGE/365</f>
        <v>684249043.369528</v>
      </c>
      <c r="AK9" s="0" t="n">
        <f aca="false">AJ9*x_R_FUS</f>
        <v>216496397.322119</v>
      </c>
      <c r="AL9" s="0" t="n">
        <f aca="false">AJ9*x_R_NFZ</f>
        <v>53139464.9571209</v>
      </c>
      <c r="AM9" s="0" t="n">
        <f aca="false">AJ9*x_R_PIT</f>
        <v>45491732.3527016</v>
      </c>
      <c r="AN9" s="0" t="n">
        <f aca="false">AJ9*x_R_FP</f>
        <v>17448350.605923</v>
      </c>
      <c r="AO9" s="0" t="n">
        <f aca="false">AA9+AB9+AC9+AD9+AF9</f>
        <v>408280986.676979</v>
      </c>
      <c r="AP9" s="0" t="n">
        <f aca="false">AO9+AE9+AG9+AH9+AI9+AK9+AL9+AM9+AN9</f>
        <v>832192491.812713</v>
      </c>
      <c r="AQ9" s="0" t="n">
        <f aca="false">AO9+AE9+AG9+AJ9</f>
        <v>1092530030.04651</v>
      </c>
      <c r="AR9" s="0" t="n">
        <f aca="false">AB9+AC9+AD9+AF9</f>
        <v>0</v>
      </c>
      <c r="AS9" s="0" t="n">
        <f aca="false">AR9+AE9+AG9</f>
        <v>0</v>
      </c>
    </row>
    <row r="10" customFormat="false" ht="15" hidden="false" customHeight="false" outlineLevel="0" collapsed="false">
      <c r="A10" s="0" t="n">
        <v>2033</v>
      </c>
      <c r="B10" s="0" t="n">
        <v>7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28448.565</v>
      </c>
      <c r="I10" s="0" t="n">
        <v>3922.675</v>
      </c>
      <c r="J10" s="0" t="n">
        <v>1886.63</v>
      </c>
      <c r="K10" s="0" t="n">
        <v>3310.279</v>
      </c>
      <c r="L10" s="0" t="n">
        <v>1418.816</v>
      </c>
      <c r="M10" s="0" t="n">
        <v>0</v>
      </c>
      <c r="N10" s="0" t="n">
        <v>0</v>
      </c>
      <c r="O10" s="0" t="n">
        <v>105.362</v>
      </c>
      <c r="P10" s="0" t="n">
        <v>103.048</v>
      </c>
      <c r="Q10" s="0" t="n">
        <v>2486.734</v>
      </c>
      <c r="R10" s="0" t="n">
        <v>2441.78</v>
      </c>
      <c r="S10" s="0" t="n">
        <v>5180.749</v>
      </c>
      <c r="T10" s="0" t="n">
        <v>32371.24</v>
      </c>
      <c r="U10" s="0" t="n">
        <v>21075.291</v>
      </c>
      <c r="V10" s="0" t="n">
        <v>119440.682</v>
      </c>
      <c r="W10" s="0" t="n">
        <v>426.424</v>
      </c>
      <c r="X10" s="0" t="n">
        <v>1109.922</v>
      </c>
      <c r="Y10" s="0" t="n">
        <v>105.362</v>
      </c>
      <c r="Z10" s="0" t="n">
        <v>1140.041</v>
      </c>
      <c r="AA10" s="0" t="n">
        <f aca="false">H10*x_c_F+I10*x_c_CC+J10*x_c_DC+K10*x_c_HCC+L10*x_c_PLT+M10*x_c_SVRn+N10*x_c_SVRcc+O10*x_c_LT+P10*x_c_LT1</f>
        <v>433809521.705704</v>
      </c>
      <c r="AB10" s="0" t="n">
        <f aca="false">C10*x_c_DAA</f>
        <v>0</v>
      </c>
      <c r="AC10" s="0" t="n">
        <f aca="false">C10*x_c_MON</f>
        <v>0</v>
      </c>
      <c r="AD10" s="0" t="n">
        <f aca="false">D10*(1-x_testy)</f>
        <v>0</v>
      </c>
      <c r="AE10" s="0" t="n">
        <f aca="false">E10*(1-x_testy)</f>
        <v>0</v>
      </c>
      <c r="AF10" s="0" t="n">
        <f aca="false">F10*x_NAV</f>
        <v>0</v>
      </c>
      <c r="AG10" s="0" t="n">
        <f aca="false">G10*x_FIX*(1-x_testy)</f>
        <v>0</v>
      </c>
      <c r="AH10" s="0" t="n">
        <f aca="false">x_z_F*U10+(1-x_AGRI)*x_EMP*x_WLOSS*(x_PEN_K74*Q10+x_PEN_C22*R10)</f>
        <v>96207228.1713412</v>
      </c>
      <c r="AI10" s="0" t="n">
        <f aca="false">x_AGRI*x_EMP*x_WLOSS*(x_PEN_K74*Q10+x_PEN_C22*R10)</f>
        <v>3495160.63621826</v>
      </c>
      <c r="AJ10" s="0" t="n">
        <f aca="false">x_EMP*x_WAGE*(x_WLOSS*(Q10+R10)+S10)+U10*x_ABS_D*x_WAGE/365</f>
        <v>773140790.14822</v>
      </c>
      <c r="AK10" s="0" t="n">
        <f aca="false">AJ10*x_R_FUS</f>
        <v>244621746.002897</v>
      </c>
      <c r="AL10" s="0" t="n">
        <f aca="false">AJ10*x_R_NFZ</f>
        <v>60042886.9037009</v>
      </c>
      <c r="AM10" s="0" t="n">
        <f aca="false">AJ10*x_R_PIT</f>
        <v>51401626.698928</v>
      </c>
      <c r="AN10" s="0" t="n">
        <f aca="false">AJ10*x_R_FP</f>
        <v>19715090.1487796</v>
      </c>
      <c r="AO10" s="0" t="n">
        <f aca="false">AA10+AB10+AC10+AD10+AF10</f>
        <v>433809521.705704</v>
      </c>
      <c r="AP10" s="0" t="n">
        <f aca="false">AO10+AE10+AG10+AH10+AI10+AK10+AL10+AM10+AN10</f>
        <v>909293260.267568</v>
      </c>
      <c r="AQ10" s="0" t="n">
        <f aca="false">AO10+AE10+AG10+AJ10</f>
        <v>1206950311.85392</v>
      </c>
      <c r="AR10" s="0" t="n">
        <f aca="false">AB10+AC10+AD10+AF10</f>
        <v>0</v>
      </c>
      <c r="AS10" s="0" t="n">
        <f aca="false">AR10+AE10+AG10</f>
        <v>0</v>
      </c>
    </row>
    <row r="11" customFormat="false" ht="15" hidden="false" customHeight="false" outlineLevel="0" collapsed="false">
      <c r="A11" s="0" t="n">
        <v>2034</v>
      </c>
      <c r="B11" s="0" t="n">
        <v>8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31387.97</v>
      </c>
      <c r="I11" s="0" t="n">
        <v>4535.147</v>
      </c>
      <c r="J11" s="0" t="n">
        <v>1975.074</v>
      </c>
      <c r="K11" s="0" t="n">
        <v>3477.337</v>
      </c>
      <c r="L11" s="0" t="n">
        <v>1413.799</v>
      </c>
      <c r="M11" s="0" t="n">
        <v>0</v>
      </c>
      <c r="N11" s="0" t="n">
        <v>0</v>
      </c>
      <c r="O11" s="0" t="n">
        <v>110.329</v>
      </c>
      <c r="P11" s="0" t="n">
        <v>107.846</v>
      </c>
      <c r="Q11" s="0" t="n">
        <v>2586.013</v>
      </c>
      <c r="R11" s="0" t="n">
        <v>2602.146</v>
      </c>
      <c r="S11" s="0" t="n">
        <v>6018.334</v>
      </c>
      <c r="T11" s="0" t="n">
        <v>35923.118</v>
      </c>
      <c r="U11" s="0" t="n">
        <v>23797.9</v>
      </c>
      <c r="V11" s="0" t="n">
        <v>120350.01</v>
      </c>
      <c r="W11" s="0" t="n">
        <v>448.725</v>
      </c>
      <c r="X11" s="0" t="n">
        <v>1160.8</v>
      </c>
      <c r="Y11" s="0" t="n">
        <v>110.329</v>
      </c>
      <c r="Z11" s="0" t="n">
        <v>1193.323</v>
      </c>
      <c r="AA11" s="0" t="n">
        <f aca="false">H11*x_c_F+I11*x_c_CC+J11*x_c_DC+K11*x_c_HCC+L11*x_c_PLT+M11*x_c_SVRn+N11*x_c_SVRcc+O11*x_c_LT+P11*x_c_LT1</f>
        <v>459701418.32211</v>
      </c>
      <c r="AB11" s="0" t="n">
        <f aca="false">C11*x_c_DAA</f>
        <v>0</v>
      </c>
      <c r="AC11" s="0" t="n">
        <f aca="false">C11*x_c_MON</f>
        <v>0</v>
      </c>
      <c r="AD11" s="0" t="n">
        <f aca="false">D11*(1-x_testy)</f>
        <v>0</v>
      </c>
      <c r="AE11" s="0" t="n">
        <f aca="false">E11*(1-x_testy)</f>
        <v>0</v>
      </c>
      <c r="AF11" s="0" t="n">
        <f aca="false">F11*x_NAV</f>
        <v>0</v>
      </c>
      <c r="AG11" s="0" t="n">
        <f aca="false">G11*x_FIX*(1-x_testy)</f>
        <v>0</v>
      </c>
      <c r="AH11" s="0" t="n">
        <f aca="false">x_z_F*U11+(1-x_AGRI)*x_EMP*x_WLOSS*(x_PEN_K74*Q11+x_PEN_C22*R11)</f>
        <v>104633921.091181</v>
      </c>
      <c r="AI11" s="0" t="n">
        <f aca="false">x_AGRI*x_EMP*x_WLOSS*(x_PEN_K74*Q11+x_PEN_C22*R11)</f>
        <v>3682169.49581637</v>
      </c>
      <c r="AJ11" s="0" t="n">
        <f aca="false">x_EMP*x_WAGE*(x_WLOSS*(Q11+R11)+S11)+U11*x_ABS_D*x_WAGE/365</f>
        <v>866750047.004853</v>
      </c>
      <c r="AK11" s="0" t="n">
        <f aca="false">AJ11*x_R_FUS</f>
        <v>274239714.872335</v>
      </c>
      <c r="AL11" s="0" t="n">
        <f aca="false">AJ11*x_R_NFZ</f>
        <v>67312675.4004439</v>
      </c>
      <c r="AM11" s="0" t="n">
        <f aca="false">AJ11*x_R_PIT</f>
        <v>57625160.8052921</v>
      </c>
      <c r="AN11" s="0" t="n">
        <f aca="false">AJ11*x_R_FP</f>
        <v>22102126.1986237</v>
      </c>
      <c r="AO11" s="0" t="n">
        <f aca="false">AA11+AB11+AC11+AD11+AF11</f>
        <v>459701418.32211</v>
      </c>
      <c r="AP11" s="0" t="n">
        <f aca="false">AO11+AE11+AG11+AH11+AI11+AK11+AL11+AM11+AN11</f>
        <v>989297186.185803</v>
      </c>
      <c r="AQ11" s="0" t="n">
        <f aca="false">AO11+AE11+AG11+AJ11</f>
        <v>1326451465.32696</v>
      </c>
      <c r="AR11" s="0" t="n">
        <f aca="false">AB11+AC11+AD11+AF11</f>
        <v>0</v>
      </c>
      <c r="AS11" s="0" t="n">
        <f aca="false">AR11+AE11+AG11</f>
        <v>0</v>
      </c>
    </row>
    <row r="12" customFormat="false" ht="15" hidden="false" customHeight="false" outlineLevel="0" collapsed="false">
      <c r="A12" s="0" t="n">
        <v>2035</v>
      </c>
      <c r="B12" s="0" t="n">
        <v>9</v>
      </c>
      <c r="C12" s="0" t="n">
        <v>0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34255.495</v>
      </c>
      <c r="I12" s="0" t="n">
        <v>5160.983</v>
      </c>
      <c r="J12" s="0" t="n">
        <v>2067.424</v>
      </c>
      <c r="K12" s="0" t="n">
        <v>3642.667</v>
      </c>
      <c r="L12" s="0" t="n">
        <v>1411.557</v>
      </c>
      <c r="M12" s="0" t="n">
        <v>0</v>
      </c>
      <c r="N12" s="0" t="n">
        <v>0</v>
      </c>
      <c r="O12" s="0" t="n">
        <v>115.493</v>
      </c>
      <c r="P12" s="0" t="n">
        <v>112.911</v>
      </c>
      <c r="Q12" s="0" t="n">
        <v>2693.882</v>
      </c>
      <c r="R12" s="0" t="n">
        <v>2765.866</v>
      </c>
      <c r="S12" s="0" t="n">
        <v>6900.983</v>
      </c>
      <c r="T12" s="0" t="n">
        <v>39416.478</v>
      </c>
      <c r="U12" s="0" t="n">
        <v>26545.074</v>
      </c>
      <c r="V12" s="0" t="n">
        <v>121231.05</v>
      </c>
      <c r="W12" s="0" t="n">
        <v>469.801</v>
      </c>
      <c r="X12" s="0" t="n">
        <v>1208.437</v>
      </c>
      <c r="Y12" s="0" t="n">
        <v>115.493</v>
      </c>
      <c r="Z12" s="0" t="n">
        <v>1247.2</v>
      </c>
      <c r="AA12" s="0" t="n">
        <f aca="false">H12*x_c_F+I12*x_c_CC+J12*x_c_DC+K12*x_c_HCC+L12*x_c_PLT+M12*x_c_SVRn+N12*x_c_SVRcc+O12*x_c_LT+P12*x_c_LT1</f>
        <v>485583249.312667</v>
      </c>
      <c r="AB12" s="0" t="n">
        <f aca="false">C12*x_c_DAA</f>
        <v>0</v>
      </c>
      <c r="AC12" s="0" t="n">
        <f aca="false">C12*x_c_MON</f>
        <v>0</v>
      </c>
      <c r="AD12" s="0" t="n">
        <f aca="false">D12*(1-x_testy)</f>
        <v>0</v>
      </c>
      <c r="AE12" s="0" t="n">
        <f aca="false">E12*(1-x_testy)</f>
        <v>0</v>
      </c>
      <c r="AF12" s="0" t="n">
        <f aca="false">F12*x_NAV</f>
        <v>0</v>
      </c>
      <c r="AG12" s="0" t="n">
        <f aca="false">G12*x_FIX*(1-x_testy)</f>
        <v>0</v>
      </c>
      <c r="AH12" s="0" t="n">
        <f aca="false">x_z_F*U12+(1-x_AGRI)*x_EMP*x_WLOSS*(x_PEN_K74*Q12+x_PEN_C22*R12)</f>
        <v>113235749.727887</v>
      </c>
      <c r="AI12" s="0" t="n">
        <f aca="false">x_AGRI*x_EMP*x_WLOSS*(x_PEN_K74*Q12+x_PEN_C22*R12)</f>
        <v>3877416.31596392</v>
      </c>
      <c r="AJ12" s="0" t="n">
        <f aca="false">x_EMP*x_WAGE*(x_WLOSS*(Q12+R12)+S12)+U12*x_ABS_D*x_WAGE/365</f>
        <v>964926810.274941</v>
      </c>
      <c r="AK12" s="0" t="n">
        <f aca="false">AJ12*x_R_FUS</f>
        <v>305302842.770991</v>
      </c>
      <c r="AL12" s="0" t="n">
        <f aca="false">AJ12*x_R_NFZ</f>
        <v>74937181.0127622</v>
      </c>
      <c r="AM12" s="0" t="n">
        <f aca="false">AJ12*x_R_PIT</f>
        <v>64152361.8020868</v>
      </c>
      <c r="AN12" s="0" t="n">
        <f aca="false">AJ12*x_R_FP</f>
        <v>24605633.662011</v>
      </c>
      <c r="AO12" s="0" t="n">
        <f aca="false">AA12+AB12+AC12+AD12+AF12</f>
        <v>485583249.312667</v>
      </c>
      <c r="AP12" s="0" t="n">
        <f aca="false">AO12+AE12+AG12+AH12+AI12+AK12+AL12+AM12+AN12</f>
        <v>1071694434.60437</v>
      </c>
      <c r="AQ12" s="0" t="n">
        <f aca="false">AO12+AE12+AG12+AJ12</f>
        <v>1450510059.58761</v>
      </c>
      <c r="AR12" s="0" t="n">
        <f aca="false">AB12+AC12+AD12+AF12</f>
        <v>0</v>
      </c>
      <c r="AS12" s="0" t="n">
        <f aca="false">AR12+AE12+AG12</f>
        <v>0</v>
      </c>
    </row>
    <row r="13" customFormat="false" ht="15" hidden="false" customHeight="false" outlineLevel="0" collapsed="false">
      <c r="A13" s="0" t="n">
        <v>2036</v>
      </c>
      <c r="B13" s="0" t="n">
        <v>10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37055.021</v>
      </c>
      <c r="I13" s="0" t="n">
        <v>5793.425</v>
      </c>
      <c r="J13" s="0" t="n">
        <v>2161.34</v>
      </c>
      <c r="K13" s="0" t="n">
        <v>3802.909</v>
      </c>
      <c r="L13" s="0" t="n">
        <v>1412.022</v>
      </c>
      <c r="M13" s="0" t="n">
        <v>0</v>
      </c>
      <c r="N13" s="0" t="n">
        <v>0</v>
      </c>
      <c r="O13" s="0" t="n">
        <v>120.712</v>
      </c>
      <c r="P13" s="0" t="n">
        <v>118.103</v>
      </c>
      <c r="Q13" s="0" t="n">
        <v>2808.825</v>
      </c>
      <c r="R13" s="0" t="n">
        <v>2930.691</v>
      </c>
      <c r="S13" s="0" t="n">
        <v>7828.732</v>
      </c>
      <c r="T13" s="0" t="n">
        <v>42848.446</v>
      </c>
      <c r="U13" s="0" t="n">
        <v>29310</v>
      </c>
      <c r="V13" s="0" t="n">
        <v>122078.395</v>
      </c>
      <c r="W13" s="0" t="n">
        <v>489.41</v>
      </c>
      <c r="X13" s="0" t="n">
        <v>1252.407</v>
      </c>
      <c r="Y13" s="0" t="n">
        <v>120.712</v>
      </c>
      <c r="Z13" s="0" t="n">
        <v>1300.336</v>
      </c>
      <c r="AA13" s="0" t="n">
        <f aca="false">H13*x_c_F+I13*x_c_CC+J13*x_c_DC+K13*x_c_HCC+L13*x_c_PLT+M13*x_c_SVRn+N13*x_c_SVRcc+O13*x_c_LT+P13*x_c_LT1</f>
        <v>511118860.079017</v>
      </c>
      <c r="AB13" s="0" t="n">
        <f aca="false">C13*x_c_DAA</f>
        <v>0</v>
      </c>
      <c r="AC13" s="0" t="n">
        <f aca="false">C13*x_c_MON</f>
        <v>0</v>
      </c>
      <c r="AD13" s="0" t="n">
        <f aca="false">D13*(1-x_testy)</f>
        <v>0</v>
      </c>
      <c r="AE13" s="0" t="n">
        <f aca="false">E13*(1-x_testy)</f>
        <v>0</v>
      </c>
      <c r="AF13" s="0" t="n">
        <f aca="false">F13*x_NAV</f>
        <v>0</v>
      </c>
      <c r="AG13" s="0" t="n">
        <f aca="false">G13*x_FIX*(1-x_testy)</f>
        <v>0</v>
      </c>
      <c r="AH13" s="0" t="n">
        <f aca="false">x_z_F*U13+(1-x_AGRI)*x_EMP*x_WLOSS*(x_PEN_K74*Q13+x_PEN_C22*R13)</f>
        <v>121957786.042748</v>
      </c>
      <c r="AI13" s="0" t="n">
        <f aca="false">x_AGRI*x_EMP*x_WLOSS*(x_PEN_K74*Q13+x_PEN_C22*R13)</f>
        <v>4078196.28737419</v>
      </c>
      <c r="AJ13" s="0" t="n">
        <f aca="false">x_EMP*x_WAGE*(x_WLOSS*(Q13+R13)+S13)+U13*x_ABS_D*x_WAGE/365</f>
        <v>1067448243.76811</v>
      </c>
      <c r="AK13" s="0" t="n">
        <f aca="false">AJ13*x_R_FUS</f>
        <v>337740624.328229</v>
      </c>
      <c r="AL13" s="0" t="n">
        <f aca="false">AJ13*x_R_NFZ</f>
        <v>82899098.059275</v>
      </c>
      <c r="AM13" s="0" t="n">
        <f aca="false">AJ13*x_R_PIT</f>
        <v>70968414.6092921</v>
      </c>
      <c r="AN13" s="0" t="n">
        <f aca="false">AJ13*x_R_FP</f>
        <v>27219930.2160867</v>
      </c>
      <c r="AO13" s="0" t="n">
        <f aca="false">AA13+AB13+AC13+AD13+AF13</f>
        <v>511118860.079017</v>
      </c>
      <c r="AP13" s="0" t="n">
        <f aca="false">AO13+AE13+AG13+AH13+AI13+AK13+AL13+AM13+AN13</f>
        <v>1155982909.62202</v>
      </c>
      <c r="AQ13" s="0" t="n">
        <f aca="false">AO13+AE13+AG13+AJ13</f>
        <v>1578567103.84712</v>
      </c>
      <c r="AR13" s="0" t="n">
        <f aca="false">AB13+AC13+AD13+AF13</f>
        <v>0</v>
      </c>
      <c r="AS13" s="0" t="n">
        <f aca="false">AR13+AE13+AG13</f>
        <v>0</v>
      </c>
    </row>
    <row r="14" customFormat="false" ht="15" hidden="false" customHeight="false" outlineLevel="0" collapsed="false">
      <c r="A14" s="0" t="n">
        <v>2037</v>
      </c>
      <c r="B14" s="0" t="n">
        <v>11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39789.75</v>
      </c>
      <c r="I14" s="0" t="n">
        <v>6425.845</v>
      </c>
      <c r="J14" s="0" t="n">
        <v>2254.637</v>
      </c>
      <c r="K14" s="0" t="n">
        <v>3955.249</v>
      </c>
      <c r="L14" s="0" t="n">
        <v>1414.96</v>
      </c>
      <c r="M14" s="0" t="n">
        <v>0</v>
      </c>
      <c r="N14" s="0" t="n">
        <v>0</v>
      </c>
      <c r="O14" s="0" t="n">
        <v>125.864</v>
      </c>
      <c r="P14" s="0" t="n">
        <v>123.288</v>
      </c>
      <c r="Q14" s="0" t="n">
        <v>2929.329</v>
      </c>
      <c r="R14" s="0" t="n">
        <v>3094.738</v>
      </c>
      <c r="S14" s="0" t="n">
        <v>8800.523</v>
      </c>
      <c r="T14" s="0" t="n">
        <v>46215.596</v>
      </c>
      <c r="U14" s="0" t="n">
        <v>32085.95</v>
      </c>
      <c r="V14" s="0" t="n">
        <v>122886.151</v>
      </c>
      <c r="W14" s="0" t="n">
        <v>507.378</v>
      </c>
      <c r="X14" s="0" t="n">
        <v>1292.419</v>
      </c>
      <c r="Y14" s="0" t="n">
        <v>125.864</v>
      </c>
      <c r="Z14" s="0" t="n">
        <v>1351.636</v>
      </c>
      <c r="AA14" s="0" t="n">
        <f aca="false">H14*x_c_F+I14*x_c_CC+J14*x_c_DC+K14*x_c_HCC+L14*x_c_PLT+M14*x_c_SVRn+N14*x_c_SVRcc+O14*x_c_LT+P14*x_c_LT1</f>
        <v>536009787.326683</v>
      </c>
      <c r="AB14" s="0" t="n">
        <f aca="false">C14*x_c_DAA</f>
        <v>0</v>
      </c>
      <c r="AC14" s="0" t="n">
        <f aca="false">C14*x_c_MON</f>
        <v>0</v>
      </c>
      <c r="AD14" s="0" t="n">
        <f aca="false">D14*(1-x_testy)</f>
        <v>0</v>
      </c>
      <c r="AE14" s="0" t="n">
        <f aca="false">E14*(1-x_testy)</f>
        <v>0</v>
      </c>
      <c r="AF14" s="0" t="n">
        <f aca="false">F14*x_NAV</f>
        <v>0</v>
      </c>
      <c r="AG14" s="0" t="n">
        <f aca="false">G14*x_FIX*(1-x_testy)</f>
        <v>0</v>
      </c>
      <c r="AH14" s="0" t="n">
        <f aca="false">x_z_F*U14+(1-x_AGRI)*x_EMP*x_WLOSS*(x_PEN_K74*Q14+x_PEN_C22*R14)</f>
        <v>130749487.000782</v>
      </c>
      <c r="AI14" s="0" t="n">
        <f aca="false">x_AGRI*x_EMP*x_WLOSS*(x_PEN_K74*Q14+x_PEN_C22*R14)</f>
        <v>4282082.89031646</v>
      </c>
      <c r="AJ14" s="0" t="n">
        <f aca="false">x_EMP*x_WAGE*(x_WLOSS*(Q14+R14)+S14)+U14*x_ABS_D*x_WAGE/365</f>
        <v>1174018665.15902</v>
      </c>
      <c r="AK14" s="0" t="n">
        <f aca="false">AJ14*x_R_FUS</f>
        <v>371459505.656314</v>
      </c>
      <c r="AL14" s="0" t="n">
        <f aca="false">AJ14*x_R_NFZ</f>
        <v>91175463.5549146</v>
      </c>
      <c r="AM14" s="0" t="n">
        <f aca="false">AJ14*x_R_PIT</f>
        <v>78053661.0317878</v>
      </c>
      <c r="AN14" s="0" t="n">
        <f aca="false">AJ14*x_R_FP</f>
        <v>29937475.961555</v>
      </c>
      <c r="AO14" s="0" t="n">
        <f aca="false">AA14+AB14+AC14+AD14+AF14</f>
        <v>536009787.326683</v>
      </c>
      <c r="AP14" s="0" t="n">
        <f aca="false">AO14+AE14+AG14+AH14+AI14+AK14+AL14+AM14+AN14</f>
        <v>1241667463.42235</v>
      </c>
      <c r="AQ14" s="0" t="n">
        <f aca="false">AO14+AE14+AG14+AJ14</f>
        <v>1710028452.4857</v>
      </c>
      <c r="AR14" s="0" t="n">
        <f aca="false">AB14+AC14+AD14+AF14</f>
        <v>0</v>
      </c>
      <c r="AS14" s="0" t="n">
        <f aca="false">AR14+AE14+AG14</f>
        <v>0</v>
      </c>
    </row>
    <row r="15" customFormat="false" ht="15" hidden="false" customHeight="false" outlineLevel="0" collapsed="false">
      <c r="A15" s="0" t="n">
        <v>2038</v>
      </c>
      <c r="B15" s="0" t="n">
        <v>12</v>
      </c>
      <c r="C15" s="0" t="n">
        <v>0</v>
      </c>
      <c r="D15" s="0" t="n">
        <v>0</v>
      </c>
      <c r="E15" s="0" t="n">
        <v>0</v>
      </c>
      <c r="F15" s="0" t="n">
        <v>0</v>
      </c>
      <c r="G15" s="0" t="n">
        <v>0</v>
      </c>
      <c r="H15" s="0" t="n">
        <v>42462.858</v>
      </c>
      <c r="I15" s="0" t="n">
        <v>7052.019</v>
      </c>
      <c r="J15" s="0" t="n">
        <v>2345.359</v>
      </c>
      <c r="K15" s="0" t="n">
        <v>4097.437</v>
      </c>
      <c r="L15" s="0" t="n">
        <v>1420.029</v>
      </c>
      <c r="M15" s="0" t="n">
        <v>0</v>
      </c>
      <c r="N15" s="0" t="n">
        <v>0</v>
      </c>
      <c r="O15" s="0" t="n">
        <v>130.838</v>
      </c>
      <c r="P15" s="0" t="n">
        <v>128.351</v>
      </c>
      <c r="Q15" s="0" t="n">
        <v>1971.106</v>
      </c>
      <c r="R15" s="0" t="n">
        <v>2116.765</v>
      </c>
      <c r="S15" s="0" t="n">
        <v>6205.62</v>
      </c>
      <c r="T15" s="0" t="n">
        <v>49514.877</v>
      </c>
      <c r="U15" s="0" t="n">
        <v>28377.945</v>
      </c>
      <c r="V15" s="0" t="n">
        <v>123650.561</v>
      </c>
      <c r="W15" s="0" t="n">
        <v>523.574</v>
      </c>
      <c r="X15" s="0" t="n">
        <v>1328.259</v>
      </c>
      <c r="Y15" s="0" t="n">
        <v>130.838</v>
      </c>
      <c r="Z15" s="0" t="n">
        <v>1400.145</v>
      </c>
      <c r="AA15" s="0" t="n">
        <f aca="false">H15*x_c_F+I15*x_c_CC+J15*x_c_DC+K15*x_c_HCC+L15*x_c_PLT+M15*x_c_SVRn+N15*x_c_SVRcc+O15*x_c_LT+P15*x_c_LT1</f>
        <v>560000520.934689</v>
      </c>
      <c r="AB15" s="0" t="n">
        <f aca="false">C15*x_c_DAA</f>
        <v>0</v>
      </c>
      <c r="AC15" s="0" t="n">
        <f aca="false">C15*x_c_MON</f>
        <v>0</v>
      </c>
      <c r="AD15" s="0" t="n">
        <f aca="false">D15*(1-x_testy)</f>
        <v>0</v>
      </c>
      <c r="AE15" s="0" t="n">
        <f aca="false">E15*(1-x_testy)</f>
        <v>0</v>
      </c>
      <c r="AF15" s="0" t="n">
        <f aca="false">F15*x_NAV</f>
        <v>0</v>
      </c>
      <c r="AG15" s="0" t="n">
        <f aca="false">G15*x_FIX*(1-x_testy)</f>
        <v>0</v>
      </c>
      <c r="AH15" s="0" t="n">
        <f aca="false">x_z_F*U15+(1-x_AGRI)*x_EMP*x_WLOSS*(x_PEN_K74*Q15+x_PEN_C22*R15)</f>
        <v>102326929.298222</v>
      </c>
      <c r="AI15" s="0" t="n">
        <f aca="false">x_AGRI*x_EMP*x_WLOSS*(x_PEN_K74*Q15+x_PEN_C22*R15)</f>
        <v>2907292.66292256</v>
      </c>
      <c r="AJ15" s="0" t="n">
        <f aca="false">x_EMP*x_WAGE*(x_WLOSS*(Q15+R15)+S15)+U15*x_ABS_D*x_WAGE/365</f>
        <v>836001115.012505</v>
      </c>
      <c r="AK15" s="0" t="n">
        <f aca="false">AJ15*x_R_FUS</f>
        <v>264510752.789956</v>
      </c>
      <c r="AL15" s="0" t="n">
        <f aca="false">AJ15*x_R_NFZ</f>
        <v>64924682.5929861</v>
      </c>
      <c r="AM15" s="0" t="n">
        <f aca="false">AJ15*x_R_PIT</f>
        <v>55580843.4651626</v>
      </c>
      <c r="AN15" s="0" t="n">
        <f aca="false">AJ15*x_R_FP</f>
        <v>21318028.4328189</v>
      </c>
      <c r="AO15" s="0" t="n">
        <f aca="false">AA15+AB15+AC15+AD15+AF15</f>
        <v>560000520.934689</v>
      </c>
      <c r="AP15" s="0" t="n">
        <f aca="false">AO15+AE15+AG15+AH15+AI15+AK15+AL15+AM15+AN15</f>
        <v>1071569050.17676</v>
      </c>
      <c r="AQ15" s="0" t="n">
        <f aca="false">AO15+AE15+AG15+AJ15</f>
        <v>1396001635.94719</v>
      </c>
      <c r="AR15" s="0" t="n">
        <f aca="false">AB15+AC15+AD15+AF15</f>
        <v>0</v>
      </c>
      <c r="AS15" s="0" t="n">
        <f aca="false">AR15+AE15+AG15</f>
        <v>0</v>
      </c>
    </row>
    <row r="16" customFormat="false" ht="15" hidden="false" customHeight="false" outlineLevel="0" collapsed="false">
      <c r="A16" s="0" t="n">
        <v>2039</v>
      </c>
      <c r="B16" s="0" t="n">
        <v>13</v>
      </c>
      <c r="C16" s="0" t="n">
        <v>0</v>
      </c>
      <c r="D16" s="0" t="n">
        <v>0</v>
      </c>
      <c r="E16" s="0" t="n">
        <v>0</v>
      </c>
      <c r="F16" s="0" t="n">
        <v>0</v>
      </c>
      <c r="G16" s="0" t="n">
        <v>0</v>
      </c>
      <c r="H16" s="0" t="n">
        <v>45077.203</v>
      </c>
      <c r="I16" s="0" t="n">
        <v>7666.171</v>
      </c>
      <c r="J16" s="0" t="n">
        <v>2431.771</v>
      </c>
      <c r="K16" s="0" t="n">
        <v>4227.69</v>
      </c>
      <c r="L16" s="0" t="n">
        <v>1426.774</v>
      </c>
      <c r="M16" s="0" t="n">
        <v>0</v>
      </c>
      <c r="N16" s="0" t="n">
        <v>0</v>
      </c>
      <c r="O16" s="0" t="n">
        <v>135.539</v>
      </c>
      <c r="P16" s="0" t="n">
        <v>133.189</v>
      </c>
      <c r="Q16" s="0" t="n">
        <v>979.191</v>
      </c>
      <c r="R16" s="0" t="n">
        <v>1095.893</v>
      </c>
      <c r="S16" s="0" t="n">
        <v>3296.384</v>
      </c>
      <c r="T16" s="0" t="n">
        <v>52743.374</v>
      </c>
      <c r="U16" s="0" t="n">
        <v>24527.391</v>
      </c>
      <c r="V16" s="0" t="n">
        <v>124368.628</v>
      </c>
      <c r="W16" s="0" t="n">
        <v>537.917</v>
      </c>
      <c r="X16" s="0" t="n">
        <v>1359.815</v>
      </c>
      <c r="Y16" s="0" t="n">
        <v>135.539</v>
      </c>
      <c r="Z16" s="0" t="n">
        <v>1445.094</v>
      </c>
      <c r="AA16" s="0" t="n">
        <f aca="false">H16*x_c_F+I16*x_c_CC+J16*x_c_DC+K16*x_c_HCC+L16*x_c_PLT+M16*x_c_SVRn+N16*x_c_SVRcc+O16*x_c_LT+P16*x_c_LT1</f>
        <v>582872856.345646</v>
      </c>
      <c r="AB16" s="0" t="n">
        <f aca="false">C16*x_c_DAA</f>
        <v>0</v>
      </c>
      <c r="AC16" s="0" t="n">
        <f aca="false">C16*x_c_MON</f>
        <v>0</v>
      </c>
      <c r="AD16" s="0" t="n">
        <f aca="false">D16*(1-x_testy)</f>
        <v>0</v>
      </c>
      <c r="AE16" s="0" t="n">
        <f aca="false">E16*(1-x_testy)</f>
        <v>0</v>
      </c>
      <c r="AF16" s="0" t="n">
        <f aca="false">F16*x_NAV</f>
        <v>0</v>
      </c>
      <c r="AG16" s="0" t="n">
        <f aca="false">G16*x_FIX*(1-x_testy)</f>
        <v>0</v>
      </c>
      <c r="AH16" s="0" t="n">
        <f aca="false">x_z_F*U16+(1-x_AGRI)*x_EMP*x_WLOSS*(x_PEN_K74*Q16+x_PEN_C22*R16)</f>
        <v>72782761.1236268</v>
      </c>
      <c r="AI16" s="0" t="n">
        <f aca="false">x_AGRI*x_EMP*x_WLOSS*(x_PEN_K74*Q16+x_PEN_C22*R16)</f>
        <v>1477737.33053162</v>
      </c>
      <c r="AJ16" s="0" t="n">
        <f aca="false">x_EMP*x_WAGE*(x_WLOSS*(Q16+R16)+S16)+U16*x_ABS_D*x_WAGE/365</f>
        <v>466576194.712311</v>
      </c>
      <c r="AK16" s="0" t="n">
        <f aca="false">AJ16*x_R_FUS</f>
        <v>147624708.006975</v>
      </c>
      <c r="AL16" s="0" t="n">
        <f aca="false">AJ16*x_R_NFZ</f>
        <v>36234773.8575528</v>
      </c>
      <c r="AM16" s="0" t="n">
        <f aca="false">AJ16*x_R_PIT</f>
        <v>31019932.8412239</v>
      </c>
      <c r="AN16" s="0" t="n">
        <f aca="false">AJ16*x_R_FP</f>
        <v>11897692.9651639</v>
      </c>
      <c r="AO16" s="0" t="n">
        <f aca="false">AA16+AB16+AC16+AD16+AF16</f>
        <v>582872856.345646</v>
      </c>
      <c r="AP16" s="0" t="n">
        <f aca="false">AO16+AE16+AG16+AH16+AI16+AK16+AL16+AM16+AN16</f>
        <v>883910462.47072</v>
      </c>
      <c r="AQ16" s="0" t="n">
        <f aca="false">AO16+AE16+AG16+AJ16</f>
        <v>1049449051.05796</v>
      </c>
      <c r="AR16" s="0" t="n">
        <f aca="false">AB16+AC16+AD16+AF16</f>
        <v>0</v>
      </c>
      <c r="AS16" s="0" t="n">
        <f aca="false">AR16+AE16+AG16</f>
        <v>0</v>
      </c>
    </row>
    <row r="17" customFormat="false" ht="15" hidden="false" customHeight="false" outlineLevel="0" collapsed="false">
      <c r="A17" s="0" t="n">
        <v>2040</v>
      </c>
      <c r="B17" s="0" t="n">
        <v>14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47636.075</v>
      </c>
      <c r="I17" s="0" t="n">
        <v>8263.302</v>
      </c>
      <c r="J17" s="0" t="n">
        <v>2512.459</v>
      </c>
      <c r="K17" s="0" t="n">
        <v>4344.803</v>
      </c>
      <c r="L17" s="0" t="n">
        <v>1434.705</v>
      </c>
      <c r="M17" s="0" t="n">
        <v>0</v>
      </c>
      <c r="N17" s="0" t="n">
        <v>0</v>
      </c>
      <c r="O17" s="0" t="n">
        <v>139.894</v>
      </c>
      <c r="P17" s="0" t="n">
        <v>137.717</v>
      </c>
      <c r="Q17" s="0" t="n">
        <v>1037.018</v>
      </c>
      <c r="R17" s="0" t="n">
        <v>1176.086</v>
      </c>
      <c r="S17" s="0" t="n">
        <v>3673.781</v>
      </c>
      <c r="T17" s="0" t="n">
        <v>55899.377</v>
      </c>
      <c r="U17" s="0" t="n">
        <v>27058.47</v>
      </c>
      <c r="V17" s="0" t="n">
        <v>125040.293</v>
      </c>
      <c r="W17" s="0" t="n">
        <v>550.395</v>
      </c>
      <c r="X17" s="0" t="n">
        <v>1387.119</v>
      </c>
      <c r="Y17" s="0" t="n">
        <v>139.894</v>
      </c>
      <c r="Z17" s="0" t="n">
        <v>1485.941</v>
      </c>
      <c r="AA17" s="0" t="n">
        <f aca="false">H17*x_c_F+I17*x_c_CC+J17*x_c_DC+K17*x_c_HCC+L17*x_c_PLT+M17*x_c_SVRn+N17*x_c_SVRcc+O17*x_c_LT+P17*x_c_LT1</f>
        <v>604463504.192279</v>
      </c>
      <c r="AB17" s="0" t="n">
        <f aca="false">C17*x_c_DAA</f>
        <v>0</v>
      </c>
      <c r="AC17" s="0" t="n">
        <f aca="false">C17*x_c_MON</f>
        <v>0</v>
      </c>
      <c r="AD17" s="0" t="n">
        <f aca="false">D17*(1-x_testy)</f>
        <v>0</v>
      </c>
      <c r="AE17" s="0" t="n">
        <f aca="false">E17*(1-x_testy)</f>
        <v>0</v>
      </c>
      <c r="AF17" s="0" t="n">
        <f aca="false">F17*x_NAV</f>
        <v>0</v>
      </c>
      <c r="AG17" s="0" t="n">
        <f aca="false">G17*x_FIX*(1-x_testy)</f>
        <v>0</v>
      </c>
      <c r="AH17" s="0" t="n">
        <f aca="false">x_z_F*U17+(1-x_AGRI)*x_EMP*x_WLOSS*(x_PEN_K74*Q17+x_PEN_C22*R17)</f>
        <v>79483450.1385665</v>
      </c>
      <c r="AI17" s="0" t="n">
        <f aca="false">x_AGRI*x_EMP*x_WLOSS*(x_PEN_K74*Q17+x_PEN_C22*R17)</f>
        <v>1576687.93971449</v>
      </c>
      <c r="AJ17" s="0" t="n">
        <f aca="false">x_EMP*x_WAGE*(x_WLOSS*(Q17+R17)+S17)+U17*x_ABS_D*x_WAGE/365</f>
        <v>513735803.083957</v>
      </c>
      <c r="AK17" s="0" t="n">
        <f aca="false">AJ17*x_R_FUS</f>
        <v>162546008.095764</v>
      </c>
      <c r="AL17" s="0" t="n">
        <f aca="false">AJ17*x_R_NFZ</f>
        <v>39897236.2033032</v>
      </c>
      <c r="AM17" s="0" t="n">
        <f aca="false">AJ17*x_R_PIT</f>
        <v>34155300.4426698</v>
      </c>
      <c r="AN17" s="0" t="n">
        <f aca="false">AJ17*x_R_FP</f>
        <v>13100262.9786409</v>
      </c>
      <c r="AO17" s="0" t="n">
        <f aca="false">AA17+AB17+AC17+AD17+AF17</f>
        <v>604463504.192279</v>
      </c>
      <c r="AP17" s="0" t="n">
        <f aca="false">AO17+AE17+AG17+AH17+AI17+AK17+AL17+AM17+AN17</f>
        <v>935222449.990937</v>
      </c>
      <c r="AQ17" s="0" t="n">
        <f aca="false">AO17+AE17+AG17+AJ17</f>
        <v>1118199307.27624</v>
      </c>
      <c r="AR17" s="0" t="n">
        <f aca="false">AB17+AC17+AD17+AF17</f>
        <v>0</v>
      </c>
      <c r="AS17" s="0" t="n">
        <f aca="false">AR17+AE17+AG17</f>
        <v>0</v>
      </c>
    </row>
    <row r="18" customFormat="false" ht="15" hidden="false" customHeight="false" outlineLevel="0" collapsed="false">
      <c r="A18" s="0" t="n">
        <v>2041</v>
      </c>
      <c r="B18" s="0" t="n">
        <v>15</v>
      </c>
      <c r="C18" s="0" t="n">
        <v>0</v>
      </c>
      <c r="D18" s="0" t="n">
        <v>0</v>
      </c>
      <c r="E18" s="0" t="n">
        <v>0</v>
      </c>
      <c r="F18" s="0" t="n">
        <v>0</v>
      </c>
      <c r="G18" s="0" t="n">
        <v>0</v>
      </c>
      <c r="H18" s="0" t="n">
        <v>50143.866</v>
      </c>
      <c r="I18" s="0" t="n">
        <v>8839.601</v>
      </c>
      <c r="J18" s="0" t="n">
        <v>2586.441</v>
      </c>
      <c r="K18" s="0" t="n">
        <v>4448.272</v>
      </c>
      <c r="L18" s="0" t="n">
        <v>1443.38</v>
      </c>
      <c r="M18" s="0" t="n">
        <v>0</v>
      </c>
      <c r="N18" s="0" t="n">
        <v>0</v>
      </c>
      <c r="O18" s="0" t="n">
        <v>143.858</v>
      </c>
      <c r="P18" s="0" t="n">
        <v>141.876</v>
      </c>
      <c r="Q18" s="0" t="n">
        <v>1099.57</v>
      </c>
      <c r="R18" s="0" t="n">
        <v>1262.007</v>
      </c>
      <c r="S18" s="0" t="n">
        <v>4077.219</v>
      </c>
      <c r="T18" s="0" t="n">
        <v>58983.467</v>
      </c>
      <c r="U18" s="0" t="n">
        <v>29658.647</v>
      </c>
      <c r="V18" s="0" t="n">
        <v>125669.92</v>
      </c>
      <c r="W18" s="0" t="n">
        <v>561.07</v>
      </c>
      <c r="X18" s="0" t="n">
        <v>1410.374</v>
      </c>
      <c r="Y18" s="0" t="n">
        <v>143.858</v>
      </c>
      <c r="Z18" s="0" t="n">
        <v>1522.432</v>
      </c>
      <c r="AA18" s="0" t="n">
        <f aca="false">H18*x_c_F+I18*x_c_CC+J18*x_c_DC+K18*x_c_HCC+L18*x_c_PLT+M18*x_c_SVRn+N18*x_c_SVRcc+O18*x_c_LT+P18*x_c_LT1</f>
        <v>624683114.464685</v>
      </c>
      <c r="AB18" s="0" t="n">
        <f aca="false">C18*x_c_DAA</f>
        <v>0</v>
      </c>
      <c r="AC18" s="0" t="n">
        <f aca="false">C18*x_c_MON</f>
        <v>0</v>
      </c>
      <c r="AD18" s="0" t="n">
        <f aca="false">D18*(1-x_testy)</f>
        <v>0</v>
      </c>
      <c r="AE18" s="0" t="n">
        <f aca="false">E18*(1-x_testy)</f>
        <v>0</v>
      </c>
      <c r="AF18" s="0" t="n">
        <f aca="false">F18*x_NAV</f>
        <v>0</v>
      </c>
      <c r="AG18" s="0" t="n">
        <f aca="false">G18*x_FIX*(1-x_testy)</f>
        <v>0</v>
      </c>
      <c r="AH18" s="0" t="n">
        <f aca="false">x_z_F*U18+(1-x_AGRI)*x_EMP*x_WLOSS*(x_PEN_K74*Q18+x_PEN_C22*R18)</f>
        <v>86439102.3653654</v>
      </c>
      <c r="AI18" s="0" t="n">
        <f aca="false">x_AGRI*x_EMP*x_WLOSS*(x_PEN_K74*Q18+x_PEN_C22*R18)</f>
        <v>1683101.29831313</v>
      </c>
      <c r="AJ18" s="0" t="n">
        <f aca="false">x_EMP*x_WAGE*(x_WLOSS*(Q18+R18)+S18)+U18*x_ABS_D*x_WAGE/365</f>
        <v>563890281.689488</v>
      </c>
      <c r="AK18" s="0" t="n">
        <f aca="false">AJ18*x_R_FUS</f>
        <v>178414885.126554</v>
      </c>
      <c r="AL18" s="0" t="n">
        <f aca="false">AJ18*x_R_NFZ</f>
        <v>43792283.1662873</v>
      </c>
      <c r="AM18" s="0" t="n">
        <f aca="false">AJ18*x_R_PIT</f>
        <v>37489779.5173887</v>
      </c>
      <c r="AN18" s="0" t="n">
        <f aca="false">AJ18*x_R_FP</f>
        <v>14379202.1830819</v>
      </c>
      <c r="AO18" s="0" t="n">
        <f aca="false">AA18+AB18+AC18+AD18+AF18</f>
        <v>624683114.464685</v>
      </c>
      <c r="AP18" s="0" t="n">
        <f aca="false">AO18+AE18+AG18+AH18+AI18+AK18+AL18+AM18+AN18</f>
        <v>986881468.121675</v>
      </c>
      <c r="AQ18" s="0" t="n">
        <f aca="false">AO18+AE18+AG18+AJ18</f>
        <v>1188573396.15417</v>
      </c>
      <c r="AR18" s="0" t="n">
        <f aca="false">AB18+AC18+AD18+AF18</f>
        <v>0</v>
      </c>
      <c r="AS18" s="0" t="n">
        <f aca="false">AR18+AE18+AG18</f>
        <v>0</v>
      </c>
    </row>
    <row r="19" customFormat="false" ht="15" hidden="false" customHeight="false" outlineLevel="0" collapsed="false">
      <c r="A19" s="0" t="n">
        <v>2042</v>
      </c>
      <c r="B19" s="0" t="n">
        <v>16</v>
      </c>
      <c r="C19" s="0" t="n">
        <v>0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52604.887</v>
      </c>
      <c r="I19" s="0" t="n">
        <v>9392.119</v>
      </c>
      <c r="J19" s="0" t="n">
        <v>2652.896</v>
      </c>
      <c r="K19" s="0" t="n">
        <v>4537.85</v>
      </c>
      <c r="L19" s="0" t="n">
        <v>1452.119</v>
      </c>
      <c r="M19" s="0" t="n">
        <v>0</v>
      </c>
      <c r="N19" s="0" t="n">
        <v>0</v>
      </c>
      <c r="O19" s="0" t="n">
        <v>147.377</v>
      </c>
      <c r="P19" s="0" t="n">
        <v>145.617</v>
      </c>
      <c r="Q19" s="0" t="n">
        <v>1167.154</v>
      </c>
      <c r="R19" s="0" t="n">
        <v>1354.097</v>
      </c>
      <c r="S19" s="0" t="n">
        <v>4508.394</v>
      </c>
      <c r="T19" s="0" t="n">
        <v>61997.007</v>
      </c>
      <c r="U19" s="0" t="n">
        <v>32320.952</v>
      </c>
      <c r="V19" s="0" t="n">
        <v>126262.113</v>
      </c>
      <c r="W19" s="0" t="n">
        <v>569.981</v>
      </c>
      <c r="X19" s="0" t="n">
        <v>1429.697</v>
      </c>
      <c r="Y19" s="0" t="n">
        <v>147.377</v>
      </c>
      <c r="Z19" s="0" t="n">
        <v>1554.203</v>
      </c>
      <c r="AA19" s="0" t="n">
        <f aca="false">H19*x_c_F+I19*x_c_CC+J19*x_c_DC+K19*x_c_HCC+L19*x_c_PLT+M19*x_c_SVRn+N19*x_c_SVRcc+O19*x_c_LT+P19*x_c_LT1</f>
        <v>643455658.617062</v>
      </c>
      <c r="AB19" s="0" t="n">
        <f aca="false">C19*x_c_DAA</f>
        <v>0</v>
      </c>
      <c r="AC19" s="0" t="n">
        <f aca="false">C19*x_c_MON</f>
        <v>0</v>
      </c>
      <c r="AD19" s="0" t="n">
        <f aca="false">D19*(1-x_testy)</f>
        <v>0</v>
      </c>
      <c r="AE19" s="0" t="n">
        <f aca="false">E19*(1-x_testy)</f>
        <v>0</v>
      </c>
      <c r="AF19" s="0" t="n">
        <f aca="false">F19*x_NAV</f>
        <v>0</v>
      </c>
      <c r="AG19" s="0" t="n">
        <f aca="false">G19*x_FIX*(1-x_testy)</f>
        <v>0</v>
      </c>
      <c r="AH19" s="0" t="n">
        <f aca="false">x_z_F*U19+(1-x_AGRI)*x_EMP*x_WLOSS*(x_PEN_K74*Q19+x_PEN_C22*R19)</f>
        <v>93643510.0476419</v>
      </c>
      <c r="AI19" s="0" t="n">
        <f aca="false">x_AGRI*x_EMP*x_WLOSS*(x_PEN_K74*Q19+x_PEN_C22*R19)</f>
        <v>1797514.24917244</v>
      </c>
      <c r="AJ19" s="0" t="n">
        <f aca="false">x_EMP*x_WAGE*(x_WLOSS*(Q19+R19)+S19)+U19*x_ABS_D*x_WAGE/365</f>
        <v>617204663.854543</v>
      </c>
      <c r="AK19" s="0" t="n">
        <f aca="false">AJ19*x_R_FUS</f>
        <v>195283555.643577</v>
      </c>
      <c r="AL19" s="0" t="n">
        <f aca="false">AJ19*x_R_NFZ</f>
        <v>47932731.3996076</v>
      </c>
      <c r="AM19" s="0" t="n">
        <f aca="false">AJ19*x_R_PIT</f>
        <v>41034342.1696926</v>
      </c>
      <c r="AN19" s="0" t="n">
        <f aca="false">AJ19*x_R_FP</f>
        <v>15738718.9282908</v>
      </c>
      <c r="AO19" s="0" t="n">
        <f aca="false">AA19+AB19+AC19+AD19+AF19</f>
        <v>643455658.617062</v>
      </c>
      <c r="AP19" s="0" t="n">
        <f aca="false">AO19+AE19+AG19+AH19+AI19+AK19+AL19+AM19+AN19</f>
        <v>1038886031.05504</v>
      </c>
      <c r="AQ19" s="0" t="n">
        <f aca="false">AO19+AE19+AG19+AJ19</f>
        <v>1260660322.4716</v>
      </c>
      <c r="AR19" s="0" t="n">
        <f aca="false">AB19+AC19+AD19+AF19</f>
        <v>0</v>
      </c>
      <c r="AS19" s="0" t="n">
        <f aca="false">AR19+AE19+AG19</f>
        <v>0</v>
      </c>
    </row>
    <row r="20" customFormat="false" ht="15" hidden="false" customHeight="false" outlineLevel="0" collapsed="false">
      <c r="A20" s="0" t="n">
        <v>2043</v>
      </c>
      <c r="B20" s="0" t="n">
        <v>17</v>
      </c>
      <c r="C20" s="0" t="n">
        <v>0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55030.089</v>
      </c>
      <c r="I20" s="0" t="n">
        <v>9921.971</v>
      </c>
      <c r="J20" s="0" t="n">
        <v>2712.333</v>
      </c>
      <c r="K20" s="0" t="n">
        <v>4615.277</v>
      </c>
      <c r="L20" s="0" t="n">
        <v>1461.213</v>
      </c>
      <c r="M20" s="0" t="n">
        <v>0</v>
      </c>
      <c r="N20" s="0" t="n">
        <v>0</v>
      </c>
      <c r="O20" s="0" t="n">
        <v>150.557</v>
      </c>
      <c r="P20" s="0" t="n">
        <v>148.967</v>
      </c>
      <c r="Q20" s="0" t="n">
        <v>1240.083</v>
      </c>
      <c r="R20" s="0" t="n">
        <v>1452.743</v>
      </c>
      <c r="S20" s="0" t="n">
        <v>4969.072</v>
      </c>
      <c r="T20" s="0" t="n">
        <v>64952.06</v>
      </c>
      <c r="U20" s="0" t="n">
        <v>35038.55</v>
      </c>
      <c r="V20" s="0" t="n">
        <v>126840.712</v>
      </c>
      <c r="W20" s="0" t="n">
        <v>577.618</v>
      </c>
      <c r="X20" s="0" t="n">
        <v>1446.318</v>
      </c>
      <c r="Y20" s="0" t="n">
        <v>150.557</v>
      </c>
      <c r="Z20" s="0" t="n">
        <v>1582.521</v>
      </c>
      <c r="AA20" s="0" t="n">
        <f aca="false">H20*x_c_F+I20*x_c_CC+J20*x_c_DC+K20*x_c_HCC+L20*x_c_PLT+M20*x_c_SVRn+N20*x_c_SVRcc+O20*x_c_LT+P20*x_c_LT1</f>
        <v>660985071.139154</v>
      </c>
      <c r="AB20" s="0" t="n">
        <f aca="false">C20*x_c_DAA</f>
        <v>0</v>
      </c>
      <c r="AC20" s="0" t="n">
        <f aca="false">C20*x_c_MON</f>
        <v>0</v>
      </c>
      <c r="AD20" s="0" t="n">
        <f aca="false">D20*(1-x_testy)</f>
        <v>0</v>
      </c>
      <c r="AE20" s="0" t="n">
        <f aca="false">E20*(1-x_testy)</f>
        <v>0</v>
      </c>
      <c r="AF20" s="0" t="n">
        <f aca="false">F20*x_NAV</f>
        <v>0</v>
      </c>
      <c r="AG20" s="0" t="n">
        <f aca="false">G20*x_FIX*(1-x_testy)</f>
        <v>0</v>
      </c>
      <c r="AH20" s="0" t="n">
        <f aca="false">x_z_F*U20+(1-x_AGRI)*x_EMP*x_WLOSS*(x_PEN_K74*Q20+x_PEN_C22*R20)</f>
        <v>101090186.537607</v>
      </c>
      <c r="AI20" s="0" t="n">
        <f aca="false">x_AGRI*x_EMP*x_WLOSS*(x_PEN_K74*Q20+x_PEN_C22*R20)</f>
        <v>1920426.85560043</v>
      </c>
      <c r="AJ20" s="0" t="n">
        <f aca="false">x_EMP*x_WAGE*(x_WLOSS*(Q20+R20)+S20)+U20*x_ABS_D*x_WAGE/365</f>
        <v>673847722.755841</v>
      </c>
      <c r="AK20" s="0" t="n">
        <f aca="false">AJ20*x_R_FUS</f>
        <v>213205419.479948</v>
      </c>
      <c r="AL20" s="0" t="n">
        <f aca="false">AJ20*x_R_NFZ</f>
        <v>52331687.9969414</v>
      </c>
      <c r="AM20" s="0" t="n">
        <f aca="false">AJ20*x_R_PIT</f>
        <v>44800209.144803</v>
      </c>
      <c r="AN20" s="0" t="n">
        <f aca="false">AJ20*x_R_FP</f>
        <v>17183116.9302739</v>
      </c>
      <c r="AO20" s="0" t="n">
        <f aca="false">AA20+AB20+AC20+AD20+AF20</f>
        <v>660985071.139154</v>
      </c>
      <c r="AP20" s="0" t="n">
        <f aca="false">AO20+AE20+AG20+AH20+AI20+AK20+AL20+AM20+AN20</f>
        <v>1091516118.08433</v>
      </c>
      <c r="AQ20" s="0" t="n">
        <f aca="false">AO20+AE20+AG20+AJ20</f>
        <v>1334832793.895</v>
      </c>
      <c r="AR20" s="0" t="n">
        <f aca="false">AB20+AC20+AD20+AF20</f>
        <v>0</v>
      </c>
      <c r="AS20" s="0" t="n">
        <f aca="false">AR20+AE20+AG20</f>
        <v>0</v>
      </c>
    </row>
    <row r="21" customFormat="false" ht="15" hidden="false" customHeight="false" outlineLevel="0" collapsed="false">
      <c r="A21" s="0" t="n">
        <v>2044</v>
      </c>
      <c r="B21" s="0" t="n">
        <v>18</v>
      </c>
      <c r="C21" s="0" t="n">
        <v>0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57430.455</v>
      </c>
      <c r="I21" s="0" t="n">
        <v>10431.779</v>
      </c>
      <c r="J21" s="0" t="n">
        <v>2765.562</v>
      </c>
      <c r="K21" s="0" t="n">
        <v>4682.669</v>
      </c>
      <c r="L21" s="0" t="n">
        <v>1470.93</v>
      </c>
      <c r="M21" s="0" t="n">
        <v>0</v>
      </c>
      <c r="N21" s="0" t="n">
        <v>0</v>
      </c>
      <c r="O21" s="0" t="n">
        <v>153.379</v>
      </c>
      <c r="P21" s="0" t="n">
        <v>151.968</v>
      </c>
      <c r="Q21" s="0" t="n">
        <v>1318.688</v>
      </c>
      <c r="R21" s="0" t="n">
        <v>1558.289</v>
      </c>
      <c r="S21" s="0" t="n">
        <v>5461.187</v>
      </c>
      <c r="T21" s="0" t="n">
        <v>67862.234</v>
      </c>
      <c r="U21" s="0" t="n">
        <v>37804.951</v>
      </c>
      <c r="V21" s="0" t="n">
        <v>127428.75</v>
      </c>
      <c r="W21" s="0" t="n">
        <v>584.105</v>
      </c>
      <c r="X21" s="0" t="n">
        <v>1460.523</v>
      </c>
      <c r="Y21" s="0" t="n">
        <v>153.379</v>
      </c>
      <c r="Z21" s="0" t="n">
        <v>1607.308</v>
      </c>
      <c r="AA21" s="0" t="n">
        <f aca="false">H21*x_c_F+I21*x_c_CC+J21*x_c_DC+K21*x_c_HCC+L21*x_c_PLT+M21*x_c_SVRn+N21*x_c_SVRcc+O21*x_c_LT+P21*x_c_LT1</f>
        <v>677469752.406429</v>
      </c>
      <c r="AB21" s="0" t="n">
        <f aca="false">C21*x_c_DAA</f>
        <v>0</v>
      </c>
      <c r="AC21" s="0" t="n">
        <f aca="false">C21*x_c_MON</f>
        <v>0</v>
      </c>
      <c r="AD21" s="0" t="n">
        <f aca="false">D21*(1-x_testy)</f>
        <v>0</v>
      </c>
      <c r="AE21" s="0" t="n">
        <f aca="false">E21*(1-x_testy)</f>
        <v>0</v>
      </c>
      <c r="AF21" s="0" t="n">
        <f aca="false">F21*x_NAV</f>
        <v>0</v>
      </c>
      <c r="AG21" s="0" t="n">
        <f aca="false">G21*x_FIX*(1-x_testy)</f>
        <v>0</v>
      </c>
      <c r="AH21" s="0" t="n">
        <f aca="false">x_z_F*U21+(1-x_AGRI)*x_EMP*x_WLOSS*(x_PEN_K74*Q21+x_PEN_C22*R21)</f>
        <v>108773044.263327</v>
      </c>
      <c r="AI21" s="0" t="n">
        <f aca="false">x_AGRI*x_EMP*x_WLOSS*(x_PEN_K74*Q21+x_PEN_C22*R21)</f>
        <v>2052318.67649194</v>
      </c>
      <c r="AJ21" s="0" t="n">
        <f aca="false">x_EMP*x_WAGE*(x_WLOSS*(Q21+R21)+S21)+U21*x_ABS_D*x_WAGE/365</f>
        <v>734002201.582323</v>
      </c>
      <c r="AK21" s="0" t="n">
        <f aca="false">AJ21*x_R_FUS</f>
        <v>232238296.580647</v>
      </c>
      <c r="AL21" s="0" t="n">
        <f aca="false">AJ21*x_R_NFZ</f>
        <v>57003344.9770848</v>
      </c>
      <c r="AM21" s="0" t="n">
        <f aca="false">AJ21*x_R_PIT</f>
        <v>48799529.9726623</v>
      </c>
      <c r="AN21" s="0" t="n">
        <f aca="false">AJ21*x_R_FP</f>
        <v>18717056.1403492</v>
      </c>
      <c r="AO21" s="0" t="n">
        <f aca="false">AA21+AB21+AC21+AD21+AF21</f>
        <v>677469752.406429</v>
      </c>
      <c r="AP21" s="0" t="n">
        <f aca="false">AO21+AE21+AG21+AH21+AI21+AK21+AL21+AM21+AN21</f>
        <v>1145053343.01699</v>
      </c>
      <c r="AQ21" s="0" t="n">
        <f aca="false">AO21+AE21+AG21+AJ21</f>
        <v>1411471953.98875</v>
      </c>
      <c r="AR21" s="0" t="n">
        <f aca="false">AB21+AC21+AD21+AF21</f>
        <v>0</v>
      </c>
      <c r="AS21" s="0" t="n">
        <f aca="false">AR21+AE21+AG21</f>
        <v>0</v>
      </c>
    </row>
    <row r="22" customFormat="false" ht="15" hidden="false" customHeight="false" outlineLevel="0" collapsed="false">
      <c r="A22" s="0" t="n">
        <v>2045</v>
      </c>
      <c r="B22" s="0" t="n">
        <v>19</v>
      </c>
      <c r="C22" s="0" t="n">
        <v>0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59812.461</v>
      </c>
      <c r="I22" s="0" t="n">
        <v>10923.793</v>
      </c>
      <c r="J22" s="0" t="n">
        <v>2812.973</v>
      </c>
      <c r="K22" s="0" t="n">
        <v>4741.394</v>
      </c>
      <c r="L22" s="0" t="n">
        <v>1480.838</v>
      </c>
      <c r="M22" s="0" t="n">
        <v>0</v>
      </c>
      <c r="N22" s="0" t="n">
        <v>0</v>
      </c>
      <c r="O22" s="0" t="n">
        <v>155.9</v>
      </c>
      <c r="P22" s="0" t="n">
        <v>154.64</v>
      </c>
      <c r="Q22" s="0" t="n">
        <v>1403.278</v>
      </c>
      <c r="R22" s="0" t="n">
        <v>1670.995</v>
      </c>
      <c r="S22" s="0" t="n">
        <v>5986.708</v>
      </c>
      <c r="T22" s="0" t="n">
        <v>70736.255</v>
      </c>
      <c r="U22" s="0" t="n">
        <v>40613.808</v>
      </c>
      <c r="V22" s="0" t="n">
        <v>128035.698</v>
      </c>
      <c r="W22" s="0" t="n">
        <v>589.769</v>
      </c>
      <c r="X22" s="0" t="n">
        <v>1473.098</v>
      </c>
      <c r="Y22" s="0" t="n">
        <v>155.9</v>
      </c>
      <c r="Z22" s="0" t="n">
        <v>1629.275</v>
      </c>
      <c r="AA22" s="0" t="n">
        <f aca="false">H22*x_c_F+I22*x_c_CC+J22*x_c_DC+K22*x_c_HCC+L22*x_c_PLT+M22*x_c_SVRn+N22*x_c_SVRcc+O22*x_c_LT+P22*x_c_LT1</f>
        <v>693040881.864281</v>
      </c>
      <c r="AB22" s="0" t="n">
        <f aca="false">C22*x_c_DAA</f>
        <v>0</v>
      </c>
      <c r="AC22" s="0" t="n">
        <f aca="false">C22*x_c_MON</f>
        <v>0</v>
      </c>
      <c r="AD22" s="0" t="n">
        <f aca="false">D22*(1-x_testy)</f>
        <v>0</v>
      </c>
      <c r="AE22" s="0" t="n">
        <f aca="false">E22*(1-x_testy)</f>
        <v>0</v>
      </c>
      <c r="AF22" s="0" t="n">
        <f aca="false">F22*x_NAV</f>
        <v>0</v>
      </c>
      <c r="AG22" s="0" t="n">
        <f aca="false">G22*x_FIX*(1-x_testy)</f>
        <v>0</v>
      </c>
      <c r="AH22" s="0" t="n">
        <f aca="false">x_z_F*U22+(1-x_AGRI)*x_EMP*x_WLOSS*(x_PEN_K74*Q22+x_PEN_C22*R22)</f>
        <v>116685109.188144</v>
      </c>
      <c r="AI22" s="0" t="n">
        <f aca="false">x_AGRI*x_EMP*x_WLOSS*(x_PEN_K74*Q22+x_PEN_C22*R22)</f>
        <v>2193591.24464299</v>
      </c>
      <c r="AJ22" s="0" t="n">
        <f aca="false">x_EMP*x_WAGE*(x_WLOSS*(Q22+R22)+S22)+U22*x_ABS_D*x_WAGE/365</f>
        <v>797848450.963454</v>
      </c>
      <c r="AK22" s="0" t="n">
        <f aca="false">AJ22*x_R_FUS</f>
        <v>252439249.884837</v>
      </c>
      <c r="AL22" s="0" t="n">
        <f aca="false">AJ22*x_R_NFZ</f>
        <v>61961708.5502728</v>
      </c>
      <c r="AM22" s="0" t="n">
        <f aca="false">AJ22*x_R_PIT</f>
        <v>53044295.115873</v>
      </c>
      <c r="AN22" s="0" t="n">
        <f aca="false">AJ22*x_R_FP</f>
        <v>20345135.4995681</v>
      </c>
      <c r="AO22" s="0" t="n">
        <f aca="false">AA22+AB22+AC22+AD22+AF22</f>
        <v>693040881.864281</v>
      </c>
      <c r="AP22" s="0" t="n">
        <f aca="false">AO22+AE22+AG22+AH22+AI22+AK22+AL22+AM22+AN22</f>
        <v>1199709971.34762</v>
      </c>
      <c r="AQ22" s="0" t="n">
        <f aca="false">AO22+AE22+AG22+AJ22</f>
        <v>1490889332.82773</v>
      </c>
      <c r="AR22" s="0" t="n">
        <f aca="false">AB22+AC22+AD22+AF22</f>
        <v>0</v>
      </c>
      <c r="AS22" s="0" t="n">
        <f aca="false">AR22+AE22+AG22</f>
        <v>0</v>
      </c>
    </row>
    <row r="23" customFormat="false" ht="15" hidden="false" customHeight="false" outlineLevel="0" collapsed="false">
      <c r="A23" s="0" t="n">
        <v>2046</v>
      </c>
      <c r="B23" s="0" t="n">
        <v>20</v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62183.944</v>
      </c>
      <c r="I23" s="0" t="n">
        <v>11402.2</v>
      </c>
      <c r="J23" s="0" t="n">
        <v>2855.608</v>
      </c>
      <c r="K23" s="0" t="n">
        <v>4793.665</v>
      </c>
      <c r="L23" s="0" t="n">
        <v>1491.059</v>
      </c>
      <c r="M23" s="0" t="n">
        <v>0</v>
      </c>
      <c r="N23" s="0" t="n">
        <v>0</v>
      </c>
      <c r="O23" s="0" t="n">
        <v>158.176</v>
      </c>
      <c r="P23" s="0" t="n">
        <v>157.038</v>
      </c>
      <c r="Q23" s="0" t="n">
        <v>1494.12</v>
      </c>
      <c r="R23" s="0" t="n">
        <v>1791.014</v>
      </c>
      <c r="S23" s="0" t="n">
        <v>6547.575</v>
      </c>
      <c r="T23" s="0" t="n">
        <v>73586.144</v>
      </c>
      <c r="U23" s="0" t="n">
        <v>43458.897</v>
      </c>
      <c r="V23" s="0" t="n">
        <v>128675.836</v>
      </c>
      <c r="W23" s="0" t="n">
        <v>594.891</v>
      </c>
      <c r="X23" s="0" t="n">
        <v>1484.694</v>
      </c>
      <c r="Y23" s="0" t="n">
        <v>158.176</v>
      </c>
      <c r="Z23" s="0" t="n">
        <v>1649.058</v>
      </c>
      <c r="AA23" s="0" t="n">
        <f aca="false">H23*x_c_F+I23*x_c_CC+J23*x_c_DC+K23*x_c_HCC+L23*x_c_PLT+M23*x_c_SVRn+N23*x_c_SVRcc+O23*x_c_LT+P23*x_c_LT1</f>
        <v>707928000.936567</v>
      </c>
      <c r="AB23" s="0" t="n">
        <f aca="false">C23*x_c_DAA</f>
        <v>0</v>
      </c>
      <c r="AC23" s="0" t="n">
        <f aca="false">C23*x_c_MON</f>
        <v>0</v>
      </c>
      <c r="AD23" s="0" t="n">
        <f aca="false">D23*(1-x_testy)</f>
        <v>0</v>
      </c>
      <c r="AE23" s="0" t="n">
        <f aca="false">E23*(1-x_testy)</f>
        <v>0</v>
      </c>
      <c r="AF23" s="0" t="n">
        <f aca="false">F23*x_NAV</f>
        <v>0</v>
      </c>
      <c r="AG23" s="0" t="n">
        <f aca="false">G23*x_FIX*(1-x_testy)</f>
        <v>0</v>
      </c>
      <c r="AH23" s="0" t="n">
        <f aca="false">x_z_F*U23+(1-x_AGRI)*x_EMP*x_WLOSS*(x_PEN_K74*Q23+x_PEN_C22*R23)</f>
        <v>124818016.016218</v>
      </c>
      <c r="AI23" s="0" t="n">
        <f aca="false">x_AGRI*x_EMP*x_WLOSS*(x_PEN_K74*Q23+x_PEN_C22*R23)</f>
        <v>2344537.41863488</v>
      </c>
      <c r="AJ23" s="0" t="n">
        <f aca="false">x_EMP*x_WAGE*(x_WLOSS*(Q23+R23)+S23)+U23*x_ABS_D*x_WAGE/365</f>
        <v>865556562.048514</v>
      </c>
      <c r="AK23" s="0" t="n">
        <f aca="false">AJ23*x_R_FUS</f>
        <v>273862096.23215</v>
      </c>
      <c r="AL23" s="0" t="n">
        <f aca="false">AJ23*x_R_NFZ</f>
        <v>67219988.1652496</v>
      </c>
      <c r="AM23" s="0" t="n">
        <f aca="false">AJ23*x_R_PIT</f>
        <v>57545812.9439734</v>
      </c>
      <c r="AN23" s="0" t="n">
        <f aca="false">AJ23*x_R_FP</f>
        <v>22071692.3322371</v>
      </c>
      <c r="AO23" s="0" t="n">
        <f aca="false">AA23+AB23+AC23+AD23+AF23</f>
        <v>707928000.936567</v>
      </c>
      <c r="AP23" s="0" t="n">
        <f aca="false">AO23+AE23+AG23+AH23+AI23+AK23+AL23+AM23+AN23</f>
        <v>1255790144.04503</v>
      </c>
      <c r="AQ23" s="0" t="n">
        <f aca="false">AO23+AE23+AG23+AJ23</f>
        <v>1573484562.98508</v>
      </c>
      <c r="AR23" s="0" t="n">
        <f aca="false">AB23+AC23+AD23+AF23</f>
        <v>0</v>
      </c>
      <c r="AS23" s="0" t="n">
        <f aca="false">AR23+AE23+AG23</f>
        <v>0</v>
      </c>
    </row>
    <row r="24" customFormat="false" ht="15" hidden="false" customHeight="false" outlineLevel="0" collapsed="false">
      <c r="A24" s="0" t="n">
        <v>2047</v>
      </c>
      <c r="B24" s="0" t="n">
        <v>21</v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64550.459</v>
      </c>
      <c r="I24" s="0" t="n">
        <v>11871.311</v>
      </c>
      <c r="J24" s="0" t="n">
        <v>2894.512</v>
      </c>
      <c r="K24" s="0" t="n">
        <v>4841.535</v>
      </c>
      <c r="L24" s="0" t="n">
        <v>1501.695</v>
      </c>
      <c r="M24" s="0" t="n">
        <v>0</v>
      </c>
      <c r="N24" s="0" t="n">
        <v>0</v>
      </c>
      <c r="O24" s="0" t="n">
        <v>160.266</v>
      </c>
      <c r="P24" s="0" t="n">
        <v>159.221</v>
      </c>
      <c r="Q24" s="0" t="n">
        <v>1591.437</v>
      </c>
      <c r="R24" s="0" t="n">
        <v>1918.398</v>
      </c>
      <c r="S24" s="0" t="n">
        <v>7145.7</v>
      </c>
      <c r="T24" s="0" t="n">
        <v>76421.77</v>
      </c>
      <c r="U24" s="0" t="n">
        <v>46334.205</v>
      </c>
      <c r="V24" s="0" t="n">
        <v>129357.92</v>
      </c>
      <c r="W24" s="0" t="n">
        <v>599.732</v>
      </c>
      <c r="X24" s="0" t="n">
        <v>1495.914</v>
      </c>
      <c r="Y24" s="0" t="n">
        <v>160.266</v>
      </c>
      <c r="Z24" s="0" t="n">
        <v>1667.322</v>
      </c>
      <c r="AA24" s="0" t="n">
        <f aca="false">H24*x_c_F+I24*x_c_CC+J24*x_c_DC+K24*x_c_HCC+L24*x_c_PLT+M24*x_c_SVRn+N24*x_c_SVRcc+O24*x_c_LT+P24*x_c_LT1</f>
        <v>722345143.558649</v>
      </c>
      <c r="AB24" s="0" t="n">
        <f aca="false">C24*x_c_DAA</f>
        <v>0</v>
      </c>
      <c r="AC24" s="0" t="n">
        <f aca="false">C24*x_c_MON</f>
        <v>0</v>
      </c>
      <c r="AD24" s="0" t="n">
        <f aca="false">D24*(1-x_testy)</f>
        <v>0</v>
      </c>
      <c r="AE24" s="0" t="n">
        <f aca="false">E24*(1-x_testy)</f>
        <v>0</v>
      </c>
      <c r="AF24" s="0" t="n">
        <f aca="false">F24*x_NAV</f>
        <v>0</v>
      </c>
      <c r="AG24" s="0" t="n">
        <f aca="false">G24*x_FIX*(1-x_testy)</f>
        <v>0</v>
      </c>
      <c r="AH24" s="0" t="n">
        <f aca="false">x_z_F*U24+(1-x_AGRI)*x_EMP*x_WLOSS*(x_PEN_K74*Q24+x_PEN_C22*R24)</f>
        <v>133162237.53935</v>
      </c>
      <c r="AI24" s="0" t="n">
        <f aca="false">x_AGRI*x_EMP*x_WLOSS*(x_PEN_K74*Q24+x_PEN_C22*R24)</f>
        <v>2505344.58376917</v>
      </c>
      <c r="AJ24" s="0" t="n">
        <f aca="false">x_EMP*x_WAGE*(x_WLOSS*(Q24+R24)+S24)+U24*x_ABS_D*x_WAGE/365</f>
        <v>937286929.002295</v>
      </c>
      <c r="AK24" s="0" t="n">
        <f aca="false">AJ24*x_R_FUS</f>
        <v>296557584.336326</v>
      </c>
      <c r="AL24" s="0" t="n">
        <f aca="false">AJ24*x_R_NFZ</f>
        <v>72790640.1932472</v>
      </c>
      <c r="AM24" s="0" t="n">
        <f aca="false">AJ24*x_R_PIT</f>
        <v>62314747.1304991</v>
      </c>
      <c r="AN24" s="0" t="n">
        <f aca="false">AJ24*x_R_FP</f>
        <v>23900816.6895585</v>
      </c>
      <c r="AO24" s="0" t="n">
        <f aca="false">AA24+AB24+AC24+AD24+AF24</f>
        <v>722345143.558649</v>
      </c>
      <c r="AP24" s="0" t="n">
        <f aca="false">AO24+AE24+AG24+AH24+AI24+AK24+AL24+AM24+AN24</f>
        <v>1313576514.0314</v>
      </c>
      <c r="AQ24" s="0" t="n">
        <f aca="false">AO24+AE24+AG24+AJ24</f>
        <v>1659632072.56094</v>
      </c>
      <c r="AR24" s="0" t="n">
        <f aca="false">AB24+AC24+AD24+AF24</f>
        <v>0</v>
      </c>
      <c r="AS24" s="0" t="n">
        <f aca="false">AR24+AE24+AG24</f>
        <v>0</v>
      </c>
    </row>
    <row r="25" customFormat="false" ht="15" hidden="false" customHeight="false" outlineLevel="0" collapsed="false">
      <c r="A25" s="0" t="n">
        <v>2048</v>
      </c>
      <c r="B25" s="0" t="n">
        <v>22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66915.938</v>
      </c>
      <c r="I25" s="0" t="n">
        <v>12335.581</v>
      </c>
      <c r="J25" s="0" t="n">
        <v>2930.743</v>
      </c>
      <c r="K25" s="0" t="n">
        <v>4886.934</v>
      </c>
      <c r="L25" s="0" t="n">
        <v>1512.866</v>
      </c>
      <c r="M25" s="0" t="n">
        <v>0</v>
      </c>
      <c r="N25" s="0" t="n">
        <v>0</v>
      </c>
      <c r="O25" s="0" t="n">
        <v>162.228</v>
      </c>
      <c r="P25" s="0" t="n">
        <v>161.247</v>
      </c>
      <c r="Q25" s="0" t="n">
        <v>1695.403</v>
      </c>
      <c r="R25" s="0" t="n">
        <v>2053.099</v>
      </c>
      <c r="S25" s="0" t="n">
        <v>7782.954</v>
      </c>
      <c r="T25" s="0" t="n">
        <v>79251.518</v>
      </c>
      <c r="U25" s="0" t="n">
        <v>49233.935</v>
      </c>
      <c r="V25" s="0" t="n">
        <v>130087.365</v>
      </c>
      <c r="W25" s="0" t="n">
        <v>604.518</v>
      </c>
      <c r="X25" s="0" t="n">
        <v>1507.265</v>
      </c>
      <c r="Y25" s="0" t="n">
        <v>162.228</v>
      </c>
      <c r="Z25" s="0" t="n">
        <v>1684.679</v>
      </c>
      <c r="AA25" s="0" t="n">
        <f aca="false">H25*x_c_F+I25*x_c_CC+J25*x_c_DC+K25*x_c_HCC+L25*x_c_PLT+M25*x_c_SVRn+N25*x_c_SVRcc+O25*x_c_LT+P25*x_c_LT1</f>
        <v>736495001.453274</v>
      </c>
      <c r="AB25" s="0" t="n">
        <f aca="false">C25*x_c_DAA</f>
        <v>0</v>
      </c>
      <c r="AC25" s="0" t="n">
        <f aca="false">C25*x_c_MON</f>
        <v>0</v>
      </c>
      <c r="AD25" s="0" t="n">
        <f aca="false">D25*(1-x_testy)</f>
        <v>0</v>
      </c>
      <c r="AE25" s="0" t="n">
        <f aca="false">E25*(1-x_testy)</f>
        <v>0</v>
      </c>
      <c r="AF25" s="0" t="n">
        <f aca="false">F25*x_NAV</f>
        <v>0</v>
      </c>
      <c r="AG25" s="0" t="n">
        <f aca="false">G25*x_FIX*(1-x_testy)</f>
        <v>0</v>
      </c>
      <c r="AH25" s="0" t="n">
        <f aca="false">x_z_F*U25+(1-x_AGRI)*x_EMP*x_WLOSS*(x_PEN_K74*Q25+x_PEN_C22*R25)</f>
        <v>141707056.089496</v>
      </c>
      <c r="AI25" s="0" t="n">
        <f aca="false">x_AGRI*x_EMP*x_WLOSS*(x_PEN_K74*Q25+x_PEN_C22*R25)</f>
        <v>2676092.08567595</v>
      </c>
      <c r="AJ25" s="0" t="n">
        <f aca="false">x_EMP*x_WAGE*(x_WLOSS*(Q25+R25)+S25)+U25*x_ABS_D*x_WAGE/365</f>
        <v>1013188936.56139</v>
      </c>
      <c r="AK25" s="0" t="n">
        <f aca="false">AJ25*x_R_FUS</f>
        <v>320572979.528023</v>
      </c>
      <c r="AL25" s="0" t="n">
        <f aca="false">AJ25*x_R_NFZ</f>
        <v>78685266.0022939</v>
      </c>
      <c r="AM25" s="0" t="n">
        <f aca="false">AJ25*x_R_PIT</f>
        <v>67361029.3962476</v>
      </c>
      <c r="AN25" s="0" t="n">
        <f aca="false">AJ25*x_R_FP</f>
        <v>25836317.8823154</v>
      </c>
      <c r="AO25" s="0" t="n">
        <f aca="false">AA25+AB25+AC25+AD25+AF25</f>
        <v>736495001.453274</v>
      </c>
      <c r="AP25" s="0" t="n">
        <f aca="false">AO25+AE25+AG25+AH25+AI25+AK25+AL25+AM25+AN25</f>
        <v>1373333742.43733</v>
      </c>
      <c r="AQ25" s="0" t="n">
        <f aca="false">AO25+AE25+AG25+AJ25</f>
        <v>1749683938.01466</v>
      </c>
      <c r="AR25" s="0" t="n">
        <f aca="false">AB25+AC25+AD25+AF25</f>
        <v>0</v>
      </c>
      <c r="AS25" s="0" t="n">
        <f aca="false">AR25+AE25+AG25</f>
        <v>0</v>
      </c>
    </row>
    <row r="26" customFormat="false" ht="15" hidden="false" customHeight="false" outlineLevel="0" collapsed="false">
      <c r="A26" s="0" t="n">
        <v>2049</v>
      </c>
      <c r="B26" s="0" t="n">
        <v>23</v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69281.951</v>
      </c>
      <c r="I26" s="0" t="n">
        <v>12798.825</v>
      </c>
      <c r="J26" s="0" t="n">
        <v>2965.202</v>
      </c>
      <c r="K26" s="0" t="n">
        <v>4931.41</v>
      </c>
      <c r="L26" s="0" t="n">
        <v>1524.635</v>
      </c>
      <c r="M26" s="0" t="n">
        <v>0</v>
      </c>
      <c r="N26" s="0" t="n">
        <v>0</v>
      </c>
      <c r="O26" s="0" t="n">
        <v>164.105</v>
      </c>
      <c r="P26" s="0" t="n">
        <v>163.166</v>
      </c>
      <c r="Q26" s="0" t="n">
        <v>1806.137</v>
      </c>
      <c r="R26" s="0" t="n">
        <v>2194.975</v>
      </c>
      <c r="S26" s="0" t="n">
        <v>8461.144</v>
      </c>
      <c r="T26" s="0" t="n">
        <v>82080.776</v>
      </c>
      <c r="U26" s="0" t="n">
        <v>52152.512</v>
      </c>
      <c r="V26" s="0" t="n">
        <v>130864.531</v>
      </c>
      <c r="W26" s="0" t="n">
        <v>609.403</v>
      </c>
      <c r="X26" s="0" t="n">
        <v>1519.079</v>
      </c>
      <c r="Y26" s="0" t="n">
        <v>164.105</v>
      </c>
      <c r="Z26" s="0" t="n">
        <v>1701.575</v>
      </c>
      <c r="AA26" s="0" t="n">
        <f aca="false">H26*x_c_F+I26*x_c_CC+J26*x_c_DC+K26*x_c_HCC+L26*x_c_PLT+M26*x_c_SVRn+N26*x_c_SVRcc+O26*x_c_LT+P26*x_c_LT1</f>
        <v>750535617.543443</v>
      </c>
      <c r="AB26" s="0" t="n">
        <f aca="false">C26*x_c_DAA</f>
        <v>0</v>
      </c>
      <c r="AC26" s="0" t="n">
        <f aca="false">C26*x_c_MON</f>
        <v>0</v>
      </c>
      <c r="AD26" s="0" t="n">
        <f aca="false">D26*(1-x_testy)</f>
        <v>0</v>
      </c>
      <c r="AE26" s="0" t="n">
        <f aca="false">E26*(1-x_testy)</f>
        <v>0</v>
      </c>
      <c r="AF26" s="0" t="n">
        <f aca="false">F26*x_NAV</f>
        <v>0</v>
      </c>
      <c r="AG26" s="0" t="n">
        <f aca="false">G26*x_FIX*(1-x_testy)</f>
        <v>0</v>
      </c>
      <c r="AH26" s="0" t="n">
        <f aca="false">x_z_F*U26+(1-x_AGRI)*x_EMP*x_WLOSS*(x_PEN_K74*Q26+x_PEN_C22*R26)</f>
        <v>150440584.102799</v>
      </c>
      <c r="AI26" s="0" t="n">
        <f aca="false">x_AGRI*x_EMP*x_WLOSS*(x_PEN_K74*Q26+x_PEN_C22*R26)</f>
        <v>2856751.77420802</v>
      </c>
      <c r="AJ26" s="0" t="n">
        <f aca="false">x_EMP*x_WAGE*(x_WLOSS*(Q26+R26)+S26)+U26*x_ABS_D*x_WAGE/365</f>
        <v>1093399016.66728</v>
      </c>
      <c r="AK26" s="0" t="n">
        <f aca="false">AJ26*x_R_FUS</f>
        <v>345951448.873527</v>
      </c>
      <c r="AL26" s="0" t="n">
        <f aca="false">AJ26*x_R_NFZ</f>
        <v>84914461.0333975</v>
      </c>
      <c r="AM26" s="0" t="n">
        <f aca="false">AJ26*x_R_PIT</f>
        <v>72693730.3061345</v>
      </c>
      <c r="AN26" s="0" t="n">
        <f aca="false">AJ26*x_R_FP</f>
        <v>27881674.9250156</v>
      </c>
      <c r="AO26" s="0" t="n">
        <f aca="false">AA26+AB26+AC26+AD26+AF26</f>
        <v>750535617.543443</v>
      </c>
      <c r="AP26" s="0" t="n">
        <f aca="false">AO26+AE26+AG26+AH26+AI26+AK26+AL26+AM26+AN26</f>
        <v>1435274268.55852</v>
      </c>
      <c r="AQ26" s="0" t="n">
        <f aca="false">AO26+AE26+AG26+AJ26</f>
        <v>1843934634.21072</v>
      </c>
      <c r="AR26" s="0" t="n">
        <f aca="false">AB26+AC26+AD26+AF26</f>
        <v>0</v>
      </c>
      <c r="AS26" s="0" t="n">
        <f aca="false">AR26+AE26+AG26</f>
        <v>0</v>
      </c>
    </row>
    <row r="27" customFormat="false" ht="15" hidden="false" customHeight="false" outlineLevel="0" collapsed="false">
      <c r="A27" s="0" t="n">
        <v>2050</v>
      </c>
      <c r="B27" s="0" t="n">
        <v>24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71648.214</v>
      </c>
      <c r="I27" s="0" t="n">
        <v>13264.19</v>
      </c>
      <c r="J27" s="0" t="n">
        <v>2998.63</v>
      </c>
      <c r="K27" s="0" t="n">
        <v>4976.159</v>
      </c>
      <c r="L27" s="0" t="n">
        <v>1537.021</v>
      </c>
      <c r="M27" s="0" t="n">
        <v>0</v>
      </c>
      <c r="N27" s="0" t="n">
        <v>0</v>
      </c>
      <c r="O27" s="0" t="n">
        <v>165.939</v>
      </c>
      <c r="P27" s="0" t="n">
        <v>165.022</v>
      </c>
      <c r="Q27" s="0" t="n">
        <v>1923.668</v>
      </c>
      <c r="R27" s="0" t="n">
        <v>2343.756</v>
      </c>
      <c r="S27" s="0" t="n">
        <v>9181.8</v>
      </c>
      <c r="T27" s="0" t="n">
        <v>84912.404</v>
      </c>
      <c r="U27" s="0" t="n">
        <v>55084.35</v>
      </c>
      <c r="V27" s="0" t="n">
        <v>131686.202</v>
      </c>
      <c r="W27" s="0" t="n">
        <v>614.511</v>
      </c>
      <c r="X27" s="0" t="n">
        <v>1531.617</v>
      </c>
      <c r="Y27" s="0" t="n">
        <v>165.939</v>
      </c>
      <c r="Z27" s="0" t="n">
        <v>1718.415</v>
      </c>
      <c r="AA27" s="0" t="n">
        <f aca="false">H27*x_c_F+I27*x_c_CC+J27*x_c_DC+K27*x_c_HCC+L27*x_c_PLT+M27*x_c_SVRn+N27*x_c_SVRcc+O27*x_c_LT+P27*x_c_LT1</f>
        <v>764588878.105673</v>
      </c>
      <c r="AB27" s="0" t="n">
        <f aca="false">C27*x_c_DAA</f>
        <v>0</v>
      </c>
      <c r="AC27" s="0" t="n">
        <f aca="false">C27*x_c_MON</f>
        <v>0</v>
      </c>
      <c r="AD27" s="0" t="n">
        <f aca="false">D27*(1-x_testy)</f>
        <v>0</v>
      </c>
      <c r="AE27" s="0" t="n">
        <f aca="false">E27*(1-x_testy)</f>
        <v>0</v>
      </c>
      <c r="AF27" s="0" t="n">
        <f aca="false">F27*x_NAV</f>
        <v>0</v>
      </c>
      <c r="AG27" s="0" t="n">
        <f aca="false">G27*x_FIX*(1-x_testy)</f>
        <v>0</v>
      </c>
      <c r="AH27" s="0" t="n">
        <f aca="false">x_z_F*U27+(1-x_AGRI)*x_EMP*x_WLOSS*(x_PEN_K74*Q27+x_PEN_C22*R27)</f>
        <v>159348545.041298</v>
      </c>
      <c r="AI27" s="0" t="n">
        <f aca="false">x_AGRI*x_EMP*x_WLOSS*(x_PEN_K74*Q27+x_PEN_C22*R27)</f>
        <v>3047139.0874208</v>
      </c>
      <c r="AJ27" s="0" t="n">
        <f aca="false">x_EMP*x_WAGE*(x_WLOSS*(Q27+R27)+S27)+U27*x_ABS_D*x_WAGE/365</f>
        <v>1178018030.22906</v>
      </c>
      <c r="AK27" s="0" t="n">
        <f aca="false">AJ27*x_R_FUS</f>
        <v>372724904.764475</v>
      </c>
      <c r="AL27" s="0" t="n">
        <f aca="false">AJ27*x_R_NFZ</f>
        <v>91486058.2456192</v>
      </c>
      <c r="AM27" s="0" t="n">
        <f aca="false">AJ27*x_R_PIT</f>
        <v>78319555.5143744</v>
      </c>
      <c r="AN27" s="0" t="n">
        <f aca="false">AJ27*x_R_FP</f>
        <v>30039459.7708411</v>
      </c>
      <c r="AO27" s="0" t="n">
        <f aca="false">AA27+AB27+AC27+AD27+AF27</f>
        <v>764588878.105673</v>
      </c>
      <c r="AP27" s="0" t="n">
        <f aca="false">AO27+AE27+AG27+AH27+AI27+AK27+AL27+AM27+AN27</f>
        <v>1499554540.5297</v>
      </c>
      <c r="AQ27" s="0" t="n">
        <f aca="false">AO27+AE27+AG27+AJ27</f>
        <v>1942606908.33474</v>
      </c>
      <c r="AR27" s="0" t="n">
        <f aca="false">AB27+AC27+AD27+AF27</f>
        <v>0</v>
      </c>
      <c r="AS27" s="0" t="n">
        <f aca="false">AR27+AE27+AG27</f>
        <v>0</v>
      </c>
    </row>
    <row r="28" customFormat="false" ht="15" hidden="false" customHeight="false" outlineLevel="0" collapsed="false">
      <c r="A28" s="0" t="n">
        <v>2051</v>
      </c>
      <c r="B28" s="0" t="n">
        <v>25</v>
      </c>
      <c r="C28" s="0" t="n">
        <v>0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74012.853</v>
      </c>
      <c r="I28" s="0" t="n">
        <v>13733.966</v>
      </c>
      <c r="J28" s="0" t="n">
        <v>3031.581</v>
      </c>
      <c r="K28" s="0" t="n">
        <v>5021.999</v>
      </c>
      <c r="L28" s="0" t="n">
        <v>1549.979</v>
      </c>
      <c r="M28" s="0" t="n">
        <v>0</v>
      </c>
      <c r="N28" s="0" t="n">
        <v>0</v>
      </c>
      <c r="O28" s="0" t="n">
        <v>167.751</v>
      </c>
      <c r="P28" s="0" t="n">
        <v>166.845</v>
      </c>
      <c r="Q28" s="0" t="n">
        <v>2047.943</v>
      </c>
      <c r="R28" s="0" t="n">
        <v>2499.066</v>
      </c>
      <c r="S28" s="0" t="n">
        <v>9946.207</v>
      </c>
      <c r="T28" s="0" t="n">
        <v>87746.819</v>
      </c>
      <c r="U28" s="0" t="n">
        <v>58023.921</v>
      </c>
      <c r="V28" s="0" t="n">
        <v>132546.302</v>
      </c>
      <c r="W28" s="0" t="n">
        <v>619.895</v>
      </c>
      <c r="X28" s="0" t="n">
        <v>1544.97</v>
      </c>
      <c r="Y28" s="0" t="n">
        <v>167.751</v>
      </c>
      <c r="Z28" s="0" t="n">
        <v>1735.403</v>
      </c>
      <c r="AA28" s="0" t="n">
        <f aca="false">H28*x_c_F+I28*x_c_CC+J28*x_c_DC+K28*x_c_HCC+L28*x_c_PLT+M28*x_c_SVRn+N28*x_c_SVRcc+O28*x_c_LT+P28*x_c_LT1</f>
        <v>778730275.676116</v>
      </c>
      <c r="AB28" s="0" t="n">
        <f aca="false">C28*x_c_DAA</f>
        <v>0</v>
      </c>
      <c r="AC28" s="0" t="n">
        <f aca="false">C28*x_c_MON</f>
        <v>0</v>
      </c>
      <c r="AD28" s="0" t="n">
        <f aca="false">D28*(1-x_testy)</f>
        <v>0</v>
      </c>
      <c r="AE28" s="0" t="n">
        <f aca="false">E28*(1-x_testy)</f>
        <v>0</v>
      </c>
      <c r="AF28" s="0" t="n">
        <f aca="false">F28*x_NAV</f>
        <v>0</v>
      </c>
      <c r="AG28" s="0" t="n">
        <f aca="false">G28*x_FIX*(1-x_testy)</f>
        <v>0</v>
      </c>
      <c r="AH28" s="0" t="n">
        <f aca="false">x_z_F*U28+(1-x_AGRI)*x_EMP*x_WLOSS*(x_PEN_K74*Q28+x_PEN_C22*R28)</f>
        <v>168414746.910412</v>
      </c>
      <c r="AI28" s="0" t="n">
        <f aca="false">x_AGRI*x_EMP*x_WLOSS*(x_PEN_K74*Q28+x_PEN_C22*R28)</f>
        <v>3246934.97365667</v>
      </c>
      <c r="AJ28" s="0" t="n">
        <f aca="false">x_EMP*x_WAGE*(x_WLOSS*(Q28+R28)+S28)+U28*x_ABS_D*x_WAGE/365</f>
        <v>1267115838.72186</v>
      </c>
      <c r="AK28" s="0" t="n">
        <f aca="false">AJ28*x_R_FUS</f>
        <v>400915451.371595</v>
      </c>
      <c r="AL28" s="0" t="n">
        <f aca="false">AJ28*x_R_NFZ</f>
        <v>98405483.1509781</v>
      </c>
      <c r="AM28" s="0" t="n">
        <f aca="false">AJ28*x_R_PIT</f>
        <v>84243149.7034239</v>
      </c>
      <c r="AN28" s="0" t="n">
        <f aca="false">AJ28*x_R_FP</f>
        <v>32311453.8874073</v>
      </c>
      <c r="AO28" s="0" t="n">
        <f aca="false">AA28+AB28+AC28+AD28+AF28</f>
        <v>778730275.676116</v>
      </c>
      <c r="AP28" s="0" t="n">
        <f aca="false">AO28+AE28+AG28+AH28+AI28+AK28+AL28+AM28+AN28</f>
        <v>1566267495.67359</v>
      </c>
      <c r="AQ28" s="0" t="n">
        <f aca="false">AO28+AE28+AG28+AJ28</f>
        <v>2045846114.39797</v>
      </c>
      <c r="AR28" s="0" t="n">
        <f aca="false">AB28+AC28+AD28+AF28</f>
        <v>0</v>
      </c>
      <c r="AS28" s="0" t="n">
        <f aca="false">AR28+AE28+AG28</f>
        <v>0</v>
      </c>
    </row>
    <row r="29" customFormat="false" ht="15" hidden="false" customHeight="false" outlineLevel="0" collapsed="false">
      <c r="A29" s="0" t="n">
        <v>2052</v>
      </c>
      <c r="B29" s="0" t="n">
        <v>26</v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76372.616</v>
      </c>
      <c r="I29" s="0" t="n">
        <v>14209.436</v>
      </c>
      <c r="J29" s="0" t="n">
        <v>3064.388</v>
      </c>
      <c r="K29" s="0" t="n">
        <v>5069.348</v>
      </c>
      <c r="L29" s="0" t="n">
        <v>1563.385</v>
      </c>
      <c r="M29" s="0" t="n">
        <v>0</v>
      </c>
      <c r="N29" s="0" t="n">
        <v>0</v>
      </c>
      <c r="O29" s="0" t="n">
        <v>169.559</v>
      </c>
      <c r="P29" s="0" t="n">
        <v>168.655</v>
      </c>
      <c r="Q29" s="0" t="n">
        <v>2178.865</v>
      </c>
      <c r="R29" s="0" t="n">
        <v>2660.47</v>
      </c>
      <c r="S29" s="0" t="n">
        <v>10755.579</v>
      </c>
      <c r="T29" s="0" t="n">
        <v>90582.052</v>
      </c>
      <c r="U29" s="0" t="n">
        <v>60965.948</v>
      </c>
      <c r="V29" s="0" t="n">
        <v>133436.297</v>
      </c>
      <c r="W29" s="0" t="n">
        <v>625.578</v>
      </c>
      <c r="X29" s="0" t="n">
        <v>1559.156</v>
      </c>
      <c r="Y29" s="0" t="n">
        <v>169.559</v>
      </c>
      <c r="Z29" s="0" t="n">
        <v>1752.68</v>
      </c>
      <c r="AA29" s="0" t="n">
        <f aca="false">H29*x_c_F+I29*x_c_CC+J29*x_c_DC+K29*x_c_HCC+L29*x_c_PLT+M29*x_c_SVRn+N29*x_c_SVRcc+O29*x_c_LT+P29*x_c_LT1</f>
        <v>792992610.815982</v>
      </c>
      <c r="AB29" s="0" t="n">
        <f aca="false">C29*x_c_DAA</f>
        <v>0</v>
      </c>
      <c r="AC29" s="0" t="n">
        <f aca="false">C29*x_c_MON</f>
        <v>0</v>
      </c>
      <c r="AD29" s="0" t="n">
        <f aca="false">D29*(1-x_testy)</f>
        <v>0</v>
      </c>
      <c r="AE29" s="0" t="n">
        <f aca="false">E29*(1-x_testy)</f>
        <v>0</v>
      </c>
      <c r="AF29" s="0" t="n">
        <f aca="false">F29*x_NAV</f>
        <v>0</v>
      </c>
      <c r="AG29" s="0" t="n">
        <f aca="false">G29*x_FIX*(1-x_testy)</f>
        <v>0</v>
      </c>
      <c r="AH29" s="0" t="n">
        <f aca="false">x_z_F*U29+(1-x_AGRI)*x_EMP*x_WLOSS*(x_PEN_K74*Q29+x_PEN_C22*R29)</f>
        <v>177622397.723398</v>
      </c>
      <c r="AI29" s="0" t="n">
        <f aca="false">x_AGRI*x_EMP*x_WLOSS*(x_PEN_K74*Q29+x_PEN_C22*R29)</f>
        <v>3455746.6141656</v>
      </c>
      <c r="AJ29" s="0" t="n">
        <f aca="false">x_EMP*x_WAGE*(x_WLOSS*(Q29+R29)+S29)+U29*x_ABS_D*x_WAGE/365</f>
        <v>1360751354.74635</v>
      </c>
      <c r="AK29" s="0" t="n">
        <f aca="false">AJ29*x_R_FUS</f>
        <v>430541728.641746</v>
      </c>
      <c r="AL29" s="0" t="n">
        <f aca="false">AJ29*x_R_NFZ</f>
        <v>105677310.960956</v>
      </c>
      <c r="AM29" s="0" t="n">
        <f aca="false">AJ29*x_R_PIT</f>
        <v>90468429.6288693</v>
      </c>
      <c r="AN29" s="0" t="n">
        <f aca="false">AJ29*x_R_FP</f>
        <v>34699159.546032</v>
      </c>
      <c r="AO29" s="0" t="n">
        <f aca="false">AA29+AB29+AC29+AD29+AF29</f>
        <v>792992610.815982</v>
      </c>
      <c r="AP29" s="0" t="n">
        <f aca="false">AO29+AE29+AG29+AH29+AI29+AK29+AL29+AM29+AN29</f>
        <v>1635457383.93115</v>
      </c>
      <c r="AQ29" s="0" t="n">
        <f aca="false">AO29+AE29+AG29+AJ29</f>
        <v>2153743965.56233</v>
      </c>
      <c r="AR29" s="0" t="n">
        <f aca="false">AB29+AC29+AD29+AF29</f>
        <v>0</v>
      </c>
      <c r="AS29" s="0" t="n">
        <f aca="false">AR29+AE29+AG29</f>
        <v>0</v>
      </c>
    </row>
    <row r="30" customFormat="false" ht="15" hidden="false" customHeight="false" outlineLevel="0" collapsed="false">
      <c r="A30" s="0" t="n">
        <v>2053</v>
      </c>
      <c r="B30" s="0" t="n">
        <v>27</v>
      </c>
      <c r="C30" s="0" t="n">
        <v>0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78723.253</v>
      </c>
      <c r="I30" s="0" t="n">
        <v>14690.873</v>
      </c>
      <c r="J30" s="0" t="n">
        <v>3097.168</v>
      </c>
      <c r="K30" s="0" t="n">
        <v>5118.258</v>
      </c>
      <c r="L30" s="0" t="n">
        <v>1577.028</v>
      </c>
      <c r="M30" s="0" t="n">
        <v>0</v>
      </c>
      <c r="N30" s="0" t="n">
        <v>0</v>
      </c>
      <c r="O30" s="0" t="n">
        <v>171.361</v>
      </c>
      <c r="P30" s="0" t="n">
        <v>170.46</v>
      </c>
      <c r="Q30" s="0" t="n">
        <v>2316.241</v>
      </c>
      <c r="R30" s="0" t="n">
        <v>2827.429</v>
      </c>
      <c r="S30" s="0" t="n">
        <v>11610.728</v>
      </c>
      <c r="T30" s="0" t="n">
        <v>93414.126</v>
      </c>
      <c r="U30" s="0" t="n">
        <v>63905.116</v>
      </c>
      <c r="V30" s="0" t="n">
        <v>134346.073</v>
      </c>
      <c r="W30" s="0" t="n">
        <v>631.521</v>
      </c>
      <c r="X30" s="0" t="n">
        <v>1574.057</v>
      </c>
      <c r="Y30" s="0" t="n">
        <v>171.361</v>
      </c>
      <c r="Z30" s="0" t="n">
        <v>1770.198</v>
      </c>
      <c r="AA30" s="0" t="n">
        <f aca="false">H30*x_c_F+I30*x_c_CC+J30*x_c_DC+K30*x_c_HCC+L30*x_c_PLT+M30*x_c_SVRn+N30*x_c_SVRcc+O30*x_c_LT+P30*x_c_LT1</f>
        <v>807363151.703213</v>
      </c>
      <c r="AB30" s="0" t="n">
        <f aca="false">C30*x_c_DAA</f>
        <v>0</v>
      </c>
      <c r="AC30" s="0" t="n">
        <f aca="false">C30*x_c_MON</f>
        <v>0</v>
      </c>
      <c r="AD30" s="0" t="n">
        <f aca="false">D30*(1-x_testy)</f>
        <v>0</v>
      </c>
      <c r="AE30" s="0" t="n">
        <f aca="false">E30*(1-x_testy)</f>
        <v>0</v>
      </c>
      <c r="AF30" s="0" t="n">
        <f aca="false">F30*x_NAV</f>
        <v>0</v>
      </c>
      <c r="AG30" s="0" t="n">
        <f aca="false">G30*x_FIX*(1-x_testy)</f>
        <v>0</v>
      </c>
      <c r="AH30" s="0" t="n">
        <f aca="false">x_z_F*U30+(1-x_AGRI)*x_EMP*x_WLOSS*(x_PEN_K74*Q30+x_PEN_C22*R30)</f>
        <v>186952474.817354</v>
      </c>
      <c r="AI30" s="0" t="n">
        <f aca="false">x_AGRI*x_EMP*x_WLOSS*(x_PEN_K74*Q30+x_PEN_C22*R30)</f>
        <v>3673038.91066036</v>
      </c>
      <c r="AJ30" s="0" t="n">
        <f aca="false">x_EMP*x_WAGE*(x_WLOSS*(Q30+R30)+S30)+U30*x_ABS_D*x_WAGE/365</f>
        <v>1458938167.34925</v>
      </c>
      <c r="AK30" s="0" t="n">
        <f aca="false">AJ30*x_R_FUS</f>
        <v>461608036.149301</v>
      </c>
      <c r="AL30" s="0" t="n">
        <f aca="false">AJ30*x_R_NFZ</f>
        <v>113302597.01451</v>
      </c>
      <c r="AM30" s="0" t="n">
        <f aca="false">AJ30*x_R_PIT</f>
        <v>96996298.7472532</v>
      </c>
      <c r="AN30" s="0" t="n">
        <f aca="false">AJ30*x_R_FP</f>
        <v>37202923.2674058</v>
      </c>
      <c r="AO30" s="0" t="n">
        <f aca="false">AA30+AB30+AC30+AD30+AF30</f>
        <v>807363151.703213</v>
      </c>
      <c r="AP30" s="0" t="n">
        <f aca="false">AO30+AE30+AG30+AH30+AI30+AK30+AL30+AM30+AN30</f>
        <v>1707098520.6097</v>
      </c>
      <c r="AQ30" s="0" t="n">
        <f aca="false">AO30+AE30+AG30+AJ30</f>
        <v>2266301319.05246</v>
      </c>
      <c r="AR30" s="0" t="n">
        <f aca="false">AB30+AC30+AD30+AF30</f>
        <v>0</v>
      </c>
      <c r="AS30" s="0" t="n">
        <f aca="false">AR30+AE30+AG30</f>
        <v>0</v>
      </c>
    </row>
    <row r="31" customFormat="false" ht="15" hidden="false" customHeight="false" outlineLevel="0" collapsed="false">
      <c r="A31" s="0" t="n">
        <v>2054</v>
      </c>
      <c r="B31" s="0" t="n">
        <v>28</v>
      </c>
      <c r="C31" s="0" t="n">
        <v>0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81059.787</v>
      </c>
      <c r="I31" s="0" t="n">
        <v>15177.569</v>
      </c>
      <c r="J31" s="0" t="n">
        <v>3129.827</v>
      </c>
      <c r="K31" s="0" t="n">
        <v>5168.445</v>
      </c>
      <c r="L31" s="0" t="n">
        <v>1590.595</v>
      </c>
      <c r="M31" s="0" t="n">
        <v>0</v>
      </c>
      <c r="N31" s="0" t="n">
        <v>0</v>
      </c>
      <c r="O31" s="0" t="n">
        <v>173.149</v>
      </c>
      <c r="P31" s="0" t="n">
        <v>172.255</v>
      </c>
      <c r="Q31" s="0" t="n">
        <v>2459.802</v>
      </c>
      <c r="R31" s="0" t="n">
        <v>2999.337</v>
      </c>
      <c r="S31" s="0" t="n">
        <v>12512.169</v>
      </c>
      <c r="T31" s="0" t="n">
        <v>96237.356</v>
      </c>
      <c r="U31" s="0" t="n">
        <v>66836.162</v>
      </c>
      <c r="V31" s="0" t="n">
        <v>135264.437</v>
      </c>
      <c r="W31" s="0" t="n">
        <v>637.669</v>
      </c>
      <c r="X31" s="0" t="n">
        <v>1589.51</v>
      </c>
      <c r="Y31" s="0" t="n">
        <v>173.149</v>
      </c>
      <c r="Z31" s="0" t="n">
        <v>1787.855</v>
      </c>
      <c r="AA31" s="0" t="n">
        <f aca="false">H31*x_c_F+I31*x_c_CC+J31*x_c_DC+K31*x_c_HCC+L31*x_c_PLT+M31*x_c_SVRn+N31*x_c_SVRcc+O31*x_c_LT+P31*x_c_LT1</f>
        <v>821790845.227487</v>
      </c>
      <c r="AB31" s="0" t="n">
        <f aca="false">C31*x_c_DAA</f>
        <v>0</v>
      </c>
      <c r="AC31" s="0" t="n">
        <f aca="false">C31*x_c_MON</f>
        <v>0</v>
      </c>
      <c r="AD31" s="0" t="n">
        <f aca="false">D31*(1-x_testy)</f>
        <v>0</v>
      </c>
      <c r="AE31" s="0" t="n">
        <f aca="false">E31*(1-x_testy)</f>
        <v>0</v>
      </c>
      <c r="AF31" s="0" t="n">
        <f aca="false">F31*x_NAV</f>
        <v>0</v>
      </c>
      <c r="AG31" s="0" t="n">
        <f aca="false">G31*x_FIX*(1-x_testy)</f>
        <v>0</v>
      </c>
      <c r="AH31" s="0" t="n">
        <f aca="false">x_z_F*U31+(1-x_AGRI)*x_EMP*x_WLOSS*(x_PEN_K74*Q31+x_PEN_C22*R31)</f>
        <v>196384533.45579</v>
      </c>
      <c r="AI31" s="0" t="n">
        <f aca="false">x_AGRI*x_EMP*x_WLOSS*(x_PEN_K74*Q31+x_PEN_C22*R31)</f>
        <v>3898175.70216152</v>
      </c>
      <c r="AJ31" s="0" t="n">
        <f aca="false">x_EMP*x_WAGE*(x_WLOSS*(Q31+R31)+S31)+U31*x_ABS_D*x_WAGE/365</f>
        <v>1561656875.8469</v>
      </c>
      <c r="AK31" s="0" t="n">
        <f aca="false">AJ31*x_R_FUS</f>
        <v>494108235.51796</v>
      </c>
      <c r="AL31" s="0" t="n">
        <f aca="false">AJ31*x_R_NFZ</f>
        <v>121279834.635146</v>
      </c>
      <c r="AM31" s="0" t="n">
        <f aca="false">AJ31*x_R_PIT</f>
        <v>103825467.220152</v>
      </c>
      <c r="AN31" s="0" t="n">
        <f aca="false">AJ31*x_R_FP</f>
        <v>39822250.334096</v>
      </c>
      <c r="AO31" s="0" t="n">
        <f aca="false">AA31+AB31+AC31+AD31+AF31</f>
        <v>821790845.227487</v>
      </c>
      <c r="AP31" s="0" t="n">
        <f aca="false">AO31+AE31+AG31+AH31+AI31+AK31+AL31+AM31+AN31</f>
        <v>1781109342.09279</v>
      </c>
      <c r="AQ31" s="0" t="n">
        <f aca="false">AO31+AE31+AG31+AJ31</f>
        <v>2383447721.07439</v>
      </c>
      <c r="AR31" s="0" t="n">
        <f aca="false">AB31+AC31+AD31+AF31</f>
        <v>0</v>
      </c>
      <c r="AS31" s="0" t="n">
        <f aca="false">AR31+AE31+AG31</f>
        <v>0</v>
      </c>
    </row>
    <row r="32" customFormat="false" ht="15" hidden="false" customHeight="false" outlineLevel="0" collapsed="false">
      <c r="A32" s="0" t="n">
        <v>2055</v>
      </c>
      <c r="B32" s="0" t="n">
        <v>29</v>
      </c>
      <c r="C32" s="0" t="n">
        <v>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83377.231</v>
      </c>
      <c r="I32" s="0" t="n">
        <v>15668.26</v>
      </c>
      <c r="J32" s="0" t="n">
        <v>3162.161</v>
      </c>
      <c r="K32" s="0" t="n">
        <v>5219.456</v>
      </c>
      <c r="L32" s="0" t="n">
        <v>1603.722</v>
      </c>
      <c r="M32" s="0" t="n">
        <v>0</v>
      </c>
      <c r="N32" s="0" t="n">
        <v>0</v>
      </c>
      <c r="O32" s="0" t="n">
        <v>174.911</v>
      </c>
      <c r="P32" s="0" t="n">
        <v>174.03</v>
      </c>
      <c r="Q32" s="0" t="n">
        <v>2609.217</v>
      </c>
      <c r="R32" s="0" t="n">
        <v>3175.53</v>
      </c>
      <c r="S32" s="0" t="n">
        <v>13460.108</v>
      </c>
      <c r="T32" s="0" t="n">
        <v>99045.491</v>
      </c>
      <c r="U32" s="0" t="n">
        <v>69753.938</v>
      </c>
      <c r="V32" s="0" t="n">
        <v>136180.764</v>
      </c>
      <c r="W32" s="0" t="n">
        <v>643.946</v>
      </c>
      <c r="X32" s="0" t="n">
        <v>1605.316</v>
      </c>
      <c r="Y32" s="0" t="n">
        <v>174.911</v>
      </c>
      <c r="Z32" s="0" t="n">
        <v>1805.472</v>
      </c>
      <c r="AA32" s="0" t="n">
        <f aca="false">H32*x_c_F+I32*x_c_CC+J32*x_c_DC+K32*x_c_HCC+L32*x_c_PLT+M32*x_c_SVRn+N32*x_c_SVRcc+O32*x_c_LT+P32*x_c_LT1</f>
        <v>836205753.688887</v>
      </c>
      <c r="AB32" s="0" t="n">
        <f aca="false">C32*x_c_DAA</f>
        <v>0</v>
      </c>
      <c r="AC32" s="0" t="n">
        <f aca="false">C32*x_c_MON</f>
        <v>0</v>
      </c>
      <c r="AD32" s="0" t="n">
        <f aca="false">D32*(1-x_testy)</f>
        <v>0</v>
      </c>
      <c r="AE32" s="0" t="n">
        <f aca="false">E32*(1-x_testy)</f>
        <v>0</v>
      </c>
      <c r="AF32" s="0" t="n">
        <f aca="false">F32*x_NAV</f>
        <v>0</v>
      </c>
      <c r="AG32" s="0" t="n">
        <f aca="false">G32*x_FIX*(1-x_testy)</f>
        <v>0</v>
      </c>
      <c r="AH32" s="0" t="n">
        <f aca="false">x_z_F*U32+(1-x_AGRI)*x_EMP*x_WLOSS*(x_PEN_K74*Q32+x_PEN_C22*R32)</f>
        <v>205897079.834757</v>
      </c>
      <c r="AI32" s="0" t="n">
        <f aca="false">x_AGRI*x_EMP*x_WLOSS*(x_PEN_K74*Q32+x_PEN_C22*R32)</f>
        <v>4130435.85882303</v>
      </c>
      <c r="AJ32" s="0" t="n">
        <f aca="false">x_EMP*x_WAGE*(x_WLOSS*(Q32+R32)+S32)+U32*x_ABS_D*x_WAGE/365</f>
        <v>1668855509.53525</v>
      </c>
      <c r="AK32" s="0" t="n">
        <f aca="false">AJ32*x_R_FUS</f>
        <v>528025883.216955</v>
      </c>
      <c r="AL32" s="0" t="n">
        <f aca="false">AJ32*x_R_NFZ</f>
        <v>129604987.726017</v>
      </c>
      <c r="AM32" s="0" t="n">
        <f aca="false">AJ32*x_R_PIT</f>
        <v>110952479.818243</v>
      </c>
      <c r="AN32" s="0" t="n">
        <f aca="false">AJ32*x_R_FP</f>
        <v>42555815.493149</v>
      </c>
      <c r="AO32" s="0" t="n">
        <f aca="false">AA32+AB32+AC32+AD32+AF32</f>
        <v>836205753.688887</v>
      </c>
      <c r="AP32" s="0" t="n">
        <f aca="false">AO32+AE32+AG32+AH32+AI32+AK32+AL32+AM32+AN32</f>
        <v>1857372435.63683</v>
      </c>
      <c r="AQ32" s="0" t="n">
        <f aca="false">AO32+AE32+AG32+AJ32</f>
        <v>2505061263.22414</v>
      </c>
      <c r="AR32" s="0" t="n">
        <f aca="false">AB32+AC32+AD32+AF32</f>
        <v>0</v>
      </c>
      <c r="AS32" s="0" t="n">
        <f aca="false">AR32+AE32+AG32</f>
        <v>0</v>
      </c>
    </row>
    <row r="33" customFormat="false" ht="15" hidden="false" customHeight="false" outlineLevel="0" collapsed="false">
      <c r="A33" s="0" t="n">
        <v>2056</v>
      </c>
      <c r="B33" s="0" t="n">
        <v>30</v>
      </c>
      <c r="C33" s="0" t="n">
        <v>0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85670.377</v>
      </c>
      <c r="I33" s="0" t="n">
        <v>16160.896</v>
      </c>
      <c r="J33" s="0" t="n">
        <v>3193.799</v>
      </c>
      <c r="K33" s="0" t="n">
        <v>5270.601</v>
      </c>
      <c r="L33" s="0" t="n">
        <v>1615.944</v>
      </c>
      <c r="M33" s="0" t="n">
        <v>0</v>
      </c>
      <c r="N33" s="0" t="n">
        <v>0</v>
      </c>
      <c r="O33" s="0" t="n">
        <v>176.62</v>
      </c>
      <c r="P33" s="0" t="n">
        <v>175.766</v>
      </c>
      <c r="Q33" s="0" t="n">
        <v>2764.055</v>
      </c>
      <c r="R33" s="0" t="n">
        <v>3355.271</v>
      </c>
      <c r="S33" s="0" t="n">
        <v>14454.188</v>
      </c>
      <c r="T33" s="0" t="n">
        <v>101831.273</v>
      </c>
      <c r="U33" s="0" t="n">
        <v>72653.211</v>
      </c>
      <c r="V33" s="0" t="n">
        <v>137084.279</v>
      </c>
      <c r="W33" s="0" t="n">
        <v>650.246</v>
      </c>
      <c r="X33" s="0" t="n">
        <v>1621.202</v>
      </c>
      <c r="Y33" s="0" t="n">
        <v>176.62</v>
      </c>
      <c r="Z33" s="0" t="n">
        <v>1822.763</v>
      </c>
      <c r="AA33" s="0" t="n">
        <f aca="false">H33*x_c_F+I33*x_c_CC+J33*x_c_DC+K33*x_c_HCC+L33*x_c_PLT+M33*x_c_SVRn+N33*x_c_SVRcc+O33*x_c_LT+P33*x_c_LT1</f>
        <v>850506328.546094</v>
      </c>
      <c r="AB33" s="0" t="n">
        <f aca="false">C33*x_c_DAA</f>
        <v>0</v>
      </c>
      <c r="AC33" s="0" t="n">
        <f aca="false">C33*x_c_MON</f>
        <v>0</v>
      </c>
      <c r="AD33" s="0" t="n">
        <f aca="false">D33*(1-x_testy)</f>
        <v>0</v>
      </c>
      <c r="AE33" s="0" t="n">
        <f aca="false">E33*(1-x_testy)</f>
        <v>0</v>
      </c>
      <c r="AF33" s="0" t="n">
        <f aca="false">F33*x_NAV</f>
        <v>0</v>
      </c>
      <c r="AG33" s="0" t="n">
        <f aca="false">G33*x_FIX*(1-x_testy)</f>
        <v>0</v>
      </c>
      <c r="AH33" s="0" t="n">
        <f aca="false">x_z_F*U33+(1-x_AGRI)*x_EMP*x_WLOSS*(x_PEN_K74*Q33+x_PEN_C22*R33)</f>
        <v>215466606.7005</v>
      </c>
      <c r="AI33" s="0" t="n">
        <f aca="false">x_AGRI*x_EMP*x_WLOSS*(x_PEN_K74*Q33+x_PEN_C22*R33)</f>
        <v>4368976.71640683</v>
      </c>
      <c r="AJ33" s="0" t="n">
        <f aca="false">x_EMP*x_WAGE*(x_WLOSS*(Q33+R33)+S33)+U33*x_ABS_D*x_WAGE/365</f>
        <v>1780424385.68375</v>
      </c>
      <c r="AK33" s="0" t="n">
        <f aca="false">AJ33*x_R_FUS</f>
        <v>563326275.63034</v>
      </c>
      <c r="AL33" s="0" t="n">
        <f aca="false">AJ33*x_R_NFZ</f>
        <v>138269538.216586</v>
      </c>
      <c r="AM33" s="0" t="n">
        <f aca="false">AJ33*x_R_PIT</f>
        <v>118370044.375798</v>
      </c>
      <c r="AN33" s="0" t="n">
        <f aca="false">AJ33*x_R_FP</f>
        <v>45400821.8349357</v>
      </c>
      <c r="AO33" s="0" t="n">
        <f aca="false">AA33+AB33+AC33+AD33+AF33</f>
        <v>850506328.546094</v>
      </c>
      <c r="AP33" s="0" t="n">
        <f aca="false">AO33+AE33+AG33+AH33+AI33+AK33+AL33+AM33+AN33</f>
        <v>1935708592.02066</v>
      </c>
      <c r="AQ33" s="0" t="n">
        <f aca="false">AO33+AE33+AG33+AJ33</f>
        <v>2630930714.22985</v>
      </c>
      <c r="AR33" s="0" t="n">
        <f aca="false">AB33+AC33+AD33+AF33</f>
        <v>0</v>
      </c>
      <c r="AS33" s="0" t="n">
        <f aca="false">AR33+AE33+AG33</f>
        <v>0</v>
      </c>
    </row>
    <row r="34" customFormat="false" ht="15" hidden="false" customHeight="false" outlineLevel="0" collapsed="false">
      <c r="A34" s="0" t="n">
        <v>2057</v>
      </c>
      <c r="B34" s="0" t="n">
        <v>31</v>
      </c>
      <c r="C34" s="0" t="n">
        <v>0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87917.471</v>
      </c>
      <c r="I34" s="0" t="n">
        <v>16636.363</v>
      </c>
      <c r="J34" s="0" t="n">
        <v>3219.462</v>
      </c>
      <c r="K34" s="0" t="n">
        <v>5314.338</v>
      </c>
      <c r="L34" s="0" t="n">
        <v>1622.66</v>
      </c>
      <c r="M34" s="0" t="n">
        <v>0</v>
      </c>
      <c r="N34" s="0" t="n">
        <v>0</v>
      </c>
      <c r="O34" s="0" t="n">
        <v>177.706</v>
      </c>
      <c r="P34" s="0" t="n">
        <v>177.163</v>
      </c>
      <c r="Q34" s="0" t="n">
        <v>2923.803</v>
      </c>
      <c r="R34" s="0" t="n">
        <v>3537.766</v>
      </c>
      <c r="S34" s="0" t="n">
        <v>15493.504</v>
      </c>
      <c r="T34" s="0" t="n">
        <v>104553.835</v>
      </c>
      <c r="U34" s="0" t="n">
        <v>75528.095</v>
      </c>
      <c r="V34" s="0" t="n">
        <v>137919.465</v>
      </c>
      <c r="W34" s="0" t="n">
        <v>655.062</v>
      </c>
      <c r="X34" s="0" t="n">
        <v>1633.557</v>
      </c>
      <c r="Y34" s="0" t="n">
        <v>177.706</v>
      </c>
      <c r="Z34" s="0" t="n">
        <v>1834.093</v>
      </c>
      <c r="AA34" s="0" t="n">
        <f aca="false">H34*x_c_F+I34*x_c_CC+J34*x_c_DC+K34*x_c_HCC+L34*x_c_PLT+M34*x_c_SVRn+N34*x_c_SVRcc+O34*x_c_LT+P34*x_c_LT1</f>
        <v>863599132.665991</v>
      </c>
      <c r="AB34" s="0" t="n">
        <f aca="false">C34*x_c_DAA</f>
        <v>0</v>
      </c>
      <c r="AC34" s="0" t="n">
        <f aca="false">C34*x_c_MON</f>
        <v>0</v>
      </c>
      <c r="AD34" s="0" t="n">
        <f aca="false">D34*(1-x_testy)</f>
        <v>0</v>
      </c>
      <c r="AE34" s="0" t="n">
        <f aca="false">E34*(1-x_testy)</f>
        <v>0</v>
      </c>
      <c r="AF34" s="0" t="n">
        <f aca="false">F34*x_NAV</f>
        <v>0</v>
      </c>
      <c r="AG34" s="0" t="n">
        <f aca="false">G34*x_FIX*(1-x_testy)</f>
        <v>0</v>
      </c>
      <c r="AH34" s="0" t="n">
        <f aca="false">x_z_F*U34+(1-x_AGRI)*x_EMP*x_WLOSS*(x_PEN_K74*Q34+x_PEN_C22*R34)</f>
        <v>225066789.224297</v>
      </c>
      <c r="AI34" s="0" t="n">
        <f aca="false">x_AGRI*x_EMP*x_WLOSS*(x_PEN_K74*Q34+x_PEN_C22*R34)</f>
        <v>4612858.1115137</v>
      </c>
      <c r="AJ34" s="0" t="n">
        <f aca="false">x_EMP*x_WAGE*(x_WLOSS*(Q34+R34)+S34)+U34*x_ABS_D*x_WAGE/365</f>
        <v>1896197579.32821</v>
      </c>
      <c r="AK34" s="0" t="n">
        <f aca="false">AJ34*x_R_FUS</f>
        <v>599956914.099447</v>
      </c>
      <c r="AL34" s="0" t="n">
        <f aca="false">AJ34*x_R_NFZ</f>
        <v>147260600.208208</v>
      </c>
      <c r="AM34" s="0" t="n">
        <f aca="false">AJ34*x_R_PIT</f>
        <v>126067129.508655</v>
      </c>
      <c r="AN34" s="0" t="n">
        <f aca="false">AJ34*x_R_FP</f>
        <v>48353038.2728695</v>
      </c>
      <c r="AO34" s="0" t="n">
        <f aca="false">AA34+AB34+AC34+AD34+AF34</f>
        <v>863599132.665991</v>
      </c>
      <c r="AP34" s="0" t="n">
        <f aca="false">AO34+AE34+AG34+AH34+AI34+AK34+AL34+AM34+AN34</f>
        <v>2014916462.09098</v>
      </c>
      <c r="AQ34" s="0" t="n">
        <f aca="false">AO34+AE34+AG34+AJ34</f>
        <v>2759796711.99421</v>
      </c>
      <c r="AR34" s="0" t="n">
        <f aca="false">AB34+AC34+AD34+AF34</f>
        <v>0</v>
      </c>
      <c r="AS34" s="0" t="n">
        <f aca="false">AR34+AE34+AG34</f>
        <v>0</v>
      </c>
    </row>
    <row r="35" customFormat="false" ht="15" hidden="false" customHeight="false" outlineLevel="0" collapsed="false">
      <c r="A35" s="0" t="n">
        <v>2058</v>
      </c>
      <c r="B35" s="0" t="n">
        <v>32</v>
      </c>
      <c r="C35" s="0" t="n">
        <v>0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90137.254</v>
      </c>
      <c r="I35" s="0" t="n">
        <v>17115.259</v>
      </c>
      <c r="J35" s="0" t="n">
        <v>3245.394</v>
      </c>
      <c r="K35" s="0" t="n">
        <v>5359.316</v>
      </c>
      <c r="L35" s="0" t="n">
        <v>1628.873</v>
      </c>
      <c r="M35" s="0" t="n">
        <v>0</v>
      </c>
      <c r="N35" s="0" t="n">
        <v>0</v>
      </c>
      <c r="O35" s="0" t="n">
        <v>179.447</v>
      </c>
      <c r="P35" s="0" t="n">
        <v>178.576</v>
      </c>
      <c r="Q35" s="0" t="n">
        <v>3087.87</v>
      </c>
      <c r="R35" s="0" t="n">
        <v>3722.176</v>
      </c>
      <c r="S35" s="0" t="n">
        <v>16576.58</v>
      </c>
      <c r="T35" s="0" t="n">
        <v>107252.513</v>
      </c>
      <c r="U35" s="0" t="n">
        <v>78373.642</v>
      </c>
      <c r="V35" s="0" t="n">
        <v>138742.584</v>
      </c>
      <c r="W35" s="0" t="n">
        <v>661.691</v>
      </c>
      <c r="X35" s="0" t="n">
        <v>1650.245</v>
      </c>
      <c r="Y35" s="0" t="n">
        <v>179.447</v>
      </c>
      <c r="Z35" s="0" t="n">
        <v>1852.001</v>
      </c>
      <c r="AA35" s="0" t="n">
        <f aca="false">H35*x_c_F+I35*x_c_CC+J35*x_c_DC+K35*x_c_HCC+L35*x_c_PLT+M35*x_c_SVRn+N35*x_c_SVRcc+O35*x_c_LT+P35*x_c_LT1</f>
        <v>876921869.932131</v>
      </c>
      <c r="AB35" s="0" t="n">
        <f aca="false">C35*x_c_DAA</f>
        <v>0</v>
      </c>
      <c r="AC35" s="0" t="n">
        <f aca="false">C35*x_c_MON</f>
        <v>0</v>
      </c>
      <c r="AD35" s="0" t="n">
        <f aca="false">D35*(1-x_testy)</f>
        <v>0</v>
      </c>
      <c r="AE35" s="0" t="n">
        <f aca="false">E35*(1-x_testy)</f>
        <v>0</v>
      </c>
      <c r="AF35" s="0" t="n">
        <f aca="false">F35*x_NAV</f>
        <v>0</v>
      </c>
      <c r="AG35" s="0" t="n">
        <f aca="false">G35*x_FIX*(1-x_testy)</f>
        <v>0</v>
      </c>
      <c r="AH35" s="0" t="n">
        <f aca="false">x_z_F*U35+(1-x_AGRI)*x_EMP*x_WLOSS*(x_PEN_K74*Q35+x_PEN_C22*R35)</f>
        <v>234671933.20088</v>
      </c>
      <c r="AI35" s="0" t="n">
        <f aca="false">x_AGRI*x_EMP*x_WLOSS*(x_PEN_K74*Q35+x_PEN_C22*R35)</f>
        <v>4861054.09753475</v>
      </c>
      <c r="AJ35" s="0" t="n">
        <f aca="false">x_EMP*x_WAGE*(x_WLOSS*(Q35+R35)+S35)+U35*x_ABS_D*x_WAGE/365</f>
        <v>2015956510.65453</v>
      </c>
      <c r="AK35" s="0" t="n">
        <f aca="false">AJ35*x_R_FUS</f>
        <v>637848639.971092</v>
      </c>
      <c r="AL35" s="0" t="n">
        <f aca="false">AJ35*x_R_NFZ</f>
        <v>156561198.573941</v>
      </c>
      <c r="AM35" s="0" t="n">
        <f aca="false">AJ35*x_R_PIT</f>
        <v>134029203.118454</v>
      </c>
      <c r="AN35" s="0" t="n">
        <f aca="false">AJ35*x_R_FP</f>
        <v>51406891.0216904</v>
      </c>
      <c r="AO35" s="0" t="n">
        <f aca="false">AA35+AB35+AC35+AD35+AF35</f>
        <v>876921869.932131</v>
      </c>
      <c r="AP35" s="0" t="n">
        <f aca="false">AO35+AE35+AG35+AH35+AI35+AK35+AL35+AM35+AN35</f>
        <v>2096300789.91572</v>
      </c>
      <c r="AQ35" s="0" t="n">
        <f aca="false">AO35+AE35+AG35+AJ35</f>
        <v>2892878380.58666</v>
      </c>
      <c r="AR35" s="0" t="n">
        <f aca="false">AB35+AC35+AD35+AF35</f>
        <v>0</v>
      </c>
      <c r="AS35" s="0" t="n">
        <f aca="false">AR35+AE35+AG35</f>
        <v>0</v>
      </c>
    </row>
    <row r="36" customFormat="false" ht="15" hidden="false" customHeight="false" outlineLevel="0" collapsed="false">
      <c r="A36" s="0" t="n">
        <v>2059</v>
      </c>
      <c r="B36" s="0" t="n">
        <v>33</v>
      </c>
      <c r="C36" s="0" t="n">
        <v>0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92340.712</v>
      </c>
      <c r="I36" s="0" t="n">
        <v>17609.96</v>
      </c>
      <c r="J36" s="0" t="n">
        <v>3275.462</v>
      </c>
      <c r="K36" s="0" t="n">
        <v>5410.791</v>
      </c>
      <c r="L36" s="0" t="n">
        <v>1637.752</v>
      </c>
      <c r="M36" s="0" t="n">
        <v>0</v>
      </c>
      <c r="N36" s="0" t="n">
        <v>0</v>
      </c>
      <c r="O36" s="0" t="n">
        <v>181.004</v>
      </c>
      <c r="P36" s="0" t="n">
        <v>180.225</v>
      </c>
      <c r="Q36" s="0" t="n">
        <v>2445.126</v>
      </c>
      <c r="R36" s="0" t="n">
        <v>3205.71</v>
      </c>
      <c r="S36" s="0" t="n">
        <v>11572.329</v>
      </c>
      <c r="T36" s="0" t="n">
        <v>109950.672</v>
      </c>
      <c r="U36" s="0" t="n">
        <v>77766.385</v>
      </c>
      <c r="V36" s="0" t="n">
        <v>139586.513</v>
      </c>
      <c r="W36" s="0" t="n">
        <v>667.903</v>
      </c>
      <c r="X36" s="0" t="n">
        <v>1665.928</v>
      </c>
      <c r="Y36" s="0" t="n">
        <v>181.004</v>
      </c>
      <c r="Z36" s="0" t="n">
        <v>1868.198</v>
      </c>
      <c r="AA36" s="0" t="n">
        <f aca="false">H36*x_c_F+I36*x_c_CC+J36*x_c_DC+K36*x_c_HCC+L36*x_c_PLT+M36*x_c_SVRn+N36*x_c_SVRcc+O36*x_c_LT+P36*x_c_LT1</f>
        <v>890798006.725168</v>
      </c>
      <c r="AB36" s="0" t="n">
        <f aca="false">C36*x_c_DAA</f>
        <v>0</v>
      </c>
      <c r="AC36" s="0" t="n">
        <f aca="false">C36*x_c_MON</f>
        <v>0</v>
      </c>
      <c r="AD36" s="0" t="n">
        <f aca="false">D36*(1-x_testy)</f>
        <v>0</v>
      </c>
      <c r="AE36" s="0" t="n">
        <f aca="false">E36*(1-x_testy)</f>
        <v>0</v>
      </c>
      <c r="AF36" s="0" t="n">
        <f aca="false">F36*x_NAV</f>
        <v>0</v>
      </c>
      <c r="AG36" s="0" t="n">
        <f aca="false">G36*x_FIX*(1-x_testy)</f>
        <v>0</v>
      </c>
      <c r="AH36" s="0" t="n">
        <f aca="false">x_z_F*U36+(1-x_AGRI)*x_EMP*x_WLOSS*(x_PEN_K74*Q36+x_PEN_C22*R36)</f>
        <v>221065558.603269</v>
      </c>
      <c r="AI36" s="0" t="n">
        <f aca="false">x_AGRI*x_EMP*x_WLOSS*(x_PEN_K74*Q36+x_PEN_C22*R36)</f>
        <v>4044219.90060017</v>
      </c>
      <c r="AJ36" s="0" t="n">
        <f aca="false">x_EMP*x_WAGE*(x_WLOSS*(Q36+R36)+S36)+U36*x_ABS_D*x_WAGE/365</f>
        <v>1524115211.73358</v>
      </c>
      <c r="AK36" s="0" t="n">
        <f aca="false">AJ36*x_R_FUS</f>
        <v>482230052.992504</v>
      </c>
      <c r="AL36" s="0" t="n">
        <f aca="false">AJ36*x_R_NFZ</f>
        <v>118364311.458441</v>
      </c>
      <c r="AM36" s="0" t="n">
        <f aca="false">AJ36*x_R_PIT</f>
        <v>101329540.696809</v>
      </c>
      <c r="AN36" s="0" t="n">
        <f aca="false">AJ36*x_R_FP</f>
        <v>38864937.8992062</v>
      </c>
      <c r="AO36" s="0" t="n">
        <f aca="false">AA36+AB36+AC36+AD36+AF36</f>
        <v>890798006.725168</v>
      </c>
      <c r="AP36" s="0" t="n">
        <f aca="false">AO36+AE36+AG36+AH36+AI36+AK36+AL36+AM36+AN36</f>
        <v>1856696628.276</v>
      </c>
      <c r="AQ36" s="0" t="n">
        <f aca="false">AO36+AE36+AG36+AJ36</f>
        <v>2414913218.45875</v>
      </c>
      <c r="AR36" s="0" t="n">
        <f aca="false">AB36+AC36+AD36+AF36</f>
        <v>0</v>
      </c>
      <c r="AS36" s="0" t="n">
        <f aca="false">AR36+AE36+AG36</f>
        <v>0</v>
      </c>
    </row>
    <row r="37" customFormat="false" ht="15" hidden="false" customHeight="false" outlineLevel="0" collapsed="false">
      <c r="A37" s="0" t="n">
        <v>2060</v>
      </c>
      <c r="B37" s="0" t="n">
        <v>34</v>
      </c>
      <c r="C37" s="0" t="n">
        <v>0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94500.913</v>
      </c>
      <c r="I37" s="0" t="n">
        <v>18094.619</v>
      </c>
      <c r="J37" s="0" t="n">
        <v>3302.416</v>
      </c>
      <c r="K37" s="0" t="n">
        <v>5458.464</v>
      </c>
      <c r="L37" s="0" t="n">
        <v>1643.119</v>
      </c>
      <c r="M37" s="0" t="n">
        <v>0</v>
      </c>
      <c r="N37" s="0" t="n">
        <v>0</v>
      </c>
      <c r="O37" s="0" t="n">
        <v>182.397</v>
      </c>
      <c r="P37" s="0" t="n">
        <v>181.7</v>
      </c>
      <c r="Q37" s="0" t="n">
        <v>1719.613</v>
      </c>
      <c r="R37" s="0" t="n">
        <v>2597.032</v>
      </c>
      <c r="S37" s="0" t="n">
        <v>6016.832</v>
      </c>
      <c r="T37" s="0" t="n">
        <v>112595.532</v>
      </c>
      <c r="U37" s="0" t="n">
        <v>76424.847</v>
      </c>
      <c r="V37" s="0" t="n">
        <v>140379.476</v>
      </c>
      <c r="W37" s="0" t="n">
        <v>673.747</v>
      </c>
      <c r="X37" s="0" t="n">
        <v>1680.716</v>
      </c>
      <c r="Y37" s="0" t="n">
        <v>182.397</v>
      </c>
      <c r="Z37" s="0" t="n">
        <v>1882.853</v>
      </c>
      <c r="AA37" s="0" t="n">
        <f aca="false">H37*x_c_F+I37*x_c_CC+J37*x_c_DC+K37*x_c_HCC+L37*x_c_PLT+M37*x_c_SVRn+N37*x_c_SVRcc+O37*x_c_LT+P37*x_c_LT1</f>
        <v>904020253.768956</v>
      </c>
      <c r="AB37" s="0" t="n">
        <f aca="false">C37*x_c_DAA</f>
        <v>0</v>
      </c>
      <c r="AC37" s="0" t="n">
        <f aca="false">C37*x_c_MON</f>
        <v>0</v>
      </c>
      <c r="AD37" s="0" t="n">
        <f aca="false">D37*(1-x_testy)</f>
        <v>0</v>
      </c>
      <c r="AE37" s="0" t="n">
        <f aca="false">E37*(1-x_testy)</f>
        <v>0</v>
      </c>
      <c r="AF37" s="0" t="n">
        <f aca="false">F37*x_NAV</f>
        <v>0</v>
      </c>
      <c r="AG37" s="0" t="n">
        <f aca="false">G37*x_FIX*(1-x_testy)</f>
        <v>0</v>
      </c>
      <c r="AH37" s="0" t="n">
        <f aca="false">x_z_F*U37+(1-x_AGRI)*x_EMP*x_WLOSS*(x_PEN_K74*Q37+x_PEN_C22*R37)</f>
        <v>204064616.863522</v>
      </c>
      <c r="AI37" s="0" t="n">
        <f aca="false">x_AGRI*x_EMP*x_WLOSS*(x_PEN_K74*Q37+x_PEN_C22*R37)</f>
        <v>3102793.86292204</v>
      </c>
      <c r="AJ37" s="0" t="n">
        <f aca="false">x_EMP*x_WAGE*(x_WLOSS*(Q37+R37)+S37)+U37*x_ABS_D*x_WAGE/365</f>
        <v>973548509.311428</v>
      </c>
      <c r="AK37" s="0" t="n">
        <f aca="false">AJ37*x_R_FUS</f>
        <v>308030748.346136</v>
      </c>
      <c r="AL37" s="0" t="n">
        <f aca="false">AJ37*x_R_NFZ</f>
        <v>75606750.7816348</v>
      </c>
      <c r="AM37" s="0" t="n">
        <f aca="false">AJ37*x_R_PIT</f>
        <v>64725568.3396685</v>
      </c>
      <c r="AN37" s="0" t="n">
        <f aca="false">AJ37*x_R_FP</f>
        <v>24825486.9874414</v>
      </c>
      <c r="AO37" s="0" t="n">
        <f aca="false">AA37+AB37+AC37+AD37+AF37</f>
        <v>904020253.768956</v>
      </c>
      <c r="AP37" s="0" t="n">
        <f aca="false">AO37+AE37+AG37+AH37+AI37+AK37+AL37+AM37+AN37</f>
        <v>1584376218.95028</v>
      </c>
      <c r="AQ37" s="0" t="n">
        <f aca="false">AO37+AE37+AG37+AJ37</f>
        <v>1877568763.08038</v>
      </c>
      <c r="AR37" s="0" t="n">
        <f aca="false">AB37+AC37+AD37+AF37</f>
        <v>0</v>
      </c>
      <c r="AS37" s="0" t="n">
        <f aca="false">AR37+AE37+AG37</f>
        <v>0</v>
      </c>
    </row>
    <row r="38" customFormat="false" ht="15" hidden="false" customHeight="false" outlineLevel="0" collapsed="false">
      <c r="A38" s="0" t="n">
        <v>2061</v>
      </c>
      <c r="B38" s="0" t="n">
        <v>35</v>
      </c>
      <c r="C38" s="0" t="n">
        <v>0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96618.384</v>
      </c>
      <c r="I38" s="0" t="n">
        <v>18570.624</v>
      </c>
      <c r="J38" s="0" t="n">
        <v>3326.815</v>
      </c>
      <c r="K38" s="0" t="n">
        <v>5503.082</v>
      </c>
      <c r="L38" s="0" t="n">
        <v>1645.138</v>
      </c>
      <c r="M38" s="0" t="n">
        <v>0</v>
      </c>
      <c r="N38" s="0" t="n">
        <v>0</v>
      </c>
      <c r="O38" s="0" t="n">
        <v>183.669</v>
      </c>
      <c r="P38" s="0" t="n">
        <v>183.033</v>
      </c>
      <c r="Q38" s="0" t="n">
        <v>1720.107</v>
      </c>
      <c r="R38" s="0" t="n">
        <v>2597.705</v>
      </c>
      <c r="S38" s="0" t="n">
        <v>6018.724</v>
      </c>
      <c r="T38" s="0" t="n">
        <v>115189.008</v>
      </c>
      <c r="U38" s="0" t="n">
        <v>77772.692</v>
      </c>
      <c r="V38" s="0" t="n">
        <v>141126.612</v>
      </c>
      <c r="W38" s="0" t="n">
        <v>679.336</v>
      </c>
      <c r="X38" s="0" t="n">
        <v>1694.871</v>
      </c>
      <c r="Y38" s="0" t="n">
        <v>183.669</v>
      </c>
      <c r="Z38" s="0" t="n">
        <v>1896.373</v>
      </c>
      <c r="AA38" s="0" t="n">
        <f aca="false">H38*x_c_F+I38*x_c_CC+J38*x_c_DC+K38*x_c_HCC+L38*x_c_PLT+M38*x_c_SVRn+N38*x_c_SVRcc+O38*x_c_LT+P38*x_c_LT1</f>
        <v>916676232.986233</v>
      </c>
      <c r="AB38" s="0" t="n">
        <f aca="false">C38*x_c_DAA</f>
        <v>0</v>
      </c>
      <c r="AC38" s="0" t="n">
        <f aca="false">C38*x_c_MON</f>
        <v>0</v>
      </c>
      <c r="AD38" s="0" t="n">
        <f aca="false">D38*(1-x_testy)</f>
        <v>0</v>
      </c>
      <c r="AE38" s="0" t="n">
        <f aca="false">E38*(1-x_testy)</f>
        <v>0</v>
      </c>
      <c r="AF38" s="0" t="n">
        <f aca="false">F38*x_NAV</f>
        <v>0</v>
      </c>
      <c r="AG38" s="0" t="n">
        <f aca="false">G38*x_FIX*(1-x_testy)</f>
        <v>0</v>
      </c>
      <c r="AH38" s="0" t="n">
        <f aca="false">x_z_F*U38+(1-x_AGRI)*x_EMP*x_WLOSS*(x_PEN_K74*Q38+x_PEN_C22*R38)</f>
        <v>206848311.186837</v>
      </c>
      <c r="AI38" s="0" t="n">
        <f aca="false">x_AGRI*x_EMP*x_WLOSS*(x_PEN_K74*Q38+x_PEN_C22*R38)</f>
        <v>3103630.06136175</v>
      </c>
      <c r="AJ38" s="0" t="n">
        <f aca="false">x_EMP*x_WAGE*(x_WLOSS*(Q38+R38)+S38)+U38*x_ABS_D*x_WAGE/365</f>
        <v>977732795.916531</v>
      </c>
      <c r="AK38" s="0" t="n">
        <f aca="false">AJ38*x_R_FUS</f>
        <v>309354656.62799</v>
      </c>
      <c r="AL38" s="0" t="n">
        <f aca="false">AJ38*x_R_NFZ</f>
        <v>75931706.6636737</v>
      </c>
      <c r="AM38" s="0" t="n">
        <f aca="false">AJ38*x_R_PIT</f>
        <v>65003757.1777397</v>
      </c>
      <c r="AN38" s="0" t="n">
        <f aca="false">AJ38*x_R_FP</f>
        <v>24932186.2958715</v>
      </c>
      <c r="AO38" s="0" t="n">
        <f aca="false">AA38+AB38+AC38+AD38+AF38</f>
        <v>916676232.986233</v>
      </c>
      <c r="AP38" s="0" t="n">
        <f aca="false">AO38+AE38+AG38+AH38+AI38+AK38+AL38+AM38+AN38</f>
        <v>1601850480.99971</v>
      </c>
      <c r="AQ38" s="0" t="n">
        <f aca="false">AO38+AE38+AG38+AJ38</f>
        <v>1894409028.90276</v>
      </c>
      <c r="AR38" s="0" t="n">
        <f aca="false">AB38+AC38+AD38+AF38</f>
        <v>0</v>
      </c>
      <c r="AS38" s="0" t="n">
        <f aca="false">AR38+AE38+AG38</f>
        <v>0</v>
      </c>
    </row>
    <row r="39" customFormat="false" ht="15" hidden="false" customHeight="false" outlineLevel="0" collapsed="false">
      <c r="A39" s="0" t="n">
        <v>2062</v>
      </c>
      <c r="B39" s="0" t="n">
        <v>36</v>
      </c>
      <c r="C39" s="0" t="n">
        <v>0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98694.894</v>
      </c>
      <c r="I39" s="0" t="n">
        <v>19040.958</v>
      </c>
      <c r="J39" s="0" t="n">
        <v>3349.554</v>
      </c>
      <c r="K39" s="0" t="n">
        <v>5545.848</v>
      </c>
      <c r="L39" s="0" t="n">
        <v>1644.29</v>
      </c>
      <c r="M39" s="0" t="n">
        <v>0</v>
      </c>
      <c r="N39" s="0" t="n">
        <v>0</v>
      </c>
      <c r="O39" s="0" t="n">
        <v>184.876</v>
      </c>
      <c r="P39" s="0" t="n">
        <v>184.272</v>
      </c>
      <c r="Q39" s="0" t="n">
        <v>1720.518</v>
      </c>
      <c r="R39" s="0" t="n">
        <v>2598.266</v>
      </c>
      <c r="S39" s="0" t="n">
        <v>6020.287</v>
      </c>
      <c r="T39" s="0" t="n">
        <v>117735.852</v>
      </c>
      <c r="U39" s="0" t="n">
        <v>79093.491</v>
      </c>
      <c r="V39" s="0" t="n">
        <v>141836.088</v>
      </c>
      <c r="W39" s="0" t="n">
        <v>684.817</v>
      </c>
      <c r="X39" s="0" t="n">
        <v>1708.733</v>
      </c>
      <c r="Y39" s="0" t="n">
        <v>184.876</v>
      </c>
      <c r="Z39" s="0" t="n">
        <v>1909.29</v>
      </c>
      <c r="AA39" s="0" t="n">
        <f aca="false">H39*x_c_F+I39*x_c_CC+J39*x_c_DC+K39*x_c_HCC+L39*x_c_PLT+M39*x_c_SVRn+N39*x_c_SVRcc+O39*x_c_LT+P39*x_c_LT1</f>
        <v>928915917.631757</v>
      </c>
      <c r="AB39" s="0" t="n">
        <f aca="false">C39*x_c_DAA</f>
        <v>0</v>
      </c>
      <c r="AC39" s="0" t="n">
        <f aca="false">C39*x_c_MON</f>
        <v>0</v>
      </c>
      <c r="AD39" s="0" t="n">
        <f aca="false">D39*(1-x_testy)</f>
        <v>0</v>
      </c>
      <c r="AE39" s="0" t="n">
        <f aca="false">E39*(1-x_testy)</f>
        <v>0</v>
      </c>
      <c r="AF39" s="0" t="n">
        <f aca="false">F39*x_NAV</f>
        <v>0</v>
      </c>
      <c r="AG39" s="0" t="n">
        <f aca="false">G39*x_FIX*(1-x_testy)</f>
        <v>0</v>
      </c>
      <c r="AH39" s="0" t="n">
        <f aca="false">x_z_F*U39+(1-x_AGRI)*x_EMP*x_WLOSS*(x_PEN_K74*Q39+x_PEN_C22*R39)</f>
        <v>209574288.184774</v>
      </c>
      <c r="AI39" s="0" t="n">
        <f aca="false">x_AGRI*x_EMP*x_WLOSS*(x_PEN_K74*Q39+x_PEN_C22*R39)</f>
        <v>3104326.57637292</v>
      </c>
      <c r="AJ39" s="0" t="n">
        <f aca="false">x_EMP*x_WAGE*(x_WLOSS*(Q39+R39)+S39)+U39*x_ABS_D*x_WAGE/365</f>
        <v>981798923.210817</v>
      </c>
      <c r="AK39" s="0" t="n">
        <f aca="false">AJ39*x_R_FUS</f>
        <v>310641179.303902</v>
      </c>
      <c r="AL39" s="0" t="n">
        <f aca="false">AJ39*x_R_NFZ</f>
        <v>76247486.1754752</v>
      </c>
      <c r="AM39" s="0" t="n">
        <f aca="false">AJ39*x_R_PIT</f>
        <v>65274090.2916492</v>
      </c>
      <c r="AN39" s="0" t="n">
        <f aca="false">AJ39*x_R_FP</f>
        <v>25035872.5418758</v>
      </c>
      <c r="AO39" s="0" t="n">
        <f aca="false">AA39+AB39+AC39+AD39+AF39</f>
        <v>928915917.631757</v>
      </c>
      <c r="AP39" s="0" t="n">
        <f aca="false">AO39+AE39+AG39+AH39+AI39+AK39+AL39+AM39+AN39</f>
        <v>1618793160.70581</v>
      </c>
      <c r="AQ39" s="0" t="n">
        <f aca="false">AO39+AE39+AG39+AJ39</f>
        <v>1910714840.84257</v>
      </c>
      <c r="AR39" s="0" t="n">
        <f aca="false">AB39+AC39+AD39+AF39</f>
        <v>0</v>
      </c>
      <c r="AS39" s="0" t="n">
        <f aca="false">AR39+AE39+AG39</f>
        <v>0</v>
      </c>
    </row>
    <row r="40" customFormat="false" ht="15" hidden="false" customHeight="false" outlineLevel="0" collapsed="false">
      <c r="A40" s="0" t="n">
        <v>2063</v>
      </c>
      <c r="B40" s="0" t="n">
        <v>37</v>
      </c>
      <c r="C40" s="0" t="n">
        <v>0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100733.298</v>
      </c>
      <c r="I40" s="0" t="n">
        <v>19510.16</v>
      </c>
      <c r="J40" s="0" t="n">
        <v>3371.828</v>
      </c>
      <c r="K40" s="0" t="n">
        <v>5588.355</v>
      </c>
      <c r="L40" s="0" t="n">
        <v>1641.382</v>
      </c>
      <c r="M40" s="0" t="n">
        <v>0</v>
      </c>
      <c r="N40" s="0" t="n">
        <v>0</v>
      </c>
      <c r="O40" s="0" t="n">
        <v>186.097</v>
      </c>
      <c r="P40" s="0" t="n">
        <v>185.486</v>
      </c>
      <c r="Q40" s="0" t="n">
        <v>1720.857</v>
      </c>
      <c r="R40" s="0" t="n">
        <v>2598.729</v>
      </c>
      <c r="S40" s="0" t="n">
        <v>6021.573</v>
      </c>
      <c r="T40" s="0" t="n">
        <v>120243.458</v>
      </c>
      <c r="U40" s="0" t="n">
        <v>80387.885</v>
      </c>
      <c r="V40" s="0" t="n">
        <v>142518.58</v>
      </c>
      <c r="W40" s="0" t="n">
        <v>690.395</v>
      </c>
      <c r="X40" s="0" t="n">
        <v>1722.773</v>
      </c>
      <c r="Y40" s="0" t="n">
        <v>186.097</v>
      </c>
      <c r="Z40" s="0" t="n">
        <v>1922.332</v>
      </c>
      <c r="AA40" s="0" t="n">
        <f aca="false">H40*x_c_F+I40*x_c_CC+J40*x_c_DC+K40*x_c_HCC+L40*x_c_PLT+M40*x_c_SVRn+N40*x_c_SVRcc+O40*x_c_LT+P40*x_c_LT1</f>
        <v>940950110.860995</v>
      </c>
      <c r="AB40" s="0" t="n">
        <f aca="false">C40*x_c_DAA</f>
        <v>0</v>
      </c>
      <c r="AC40" s="0" t="n">
        <f aca="false">C40*x_c_MON</f>
        <v>0</v>
      </c>
      <c r="AD40" s="0" t="n">
        <f aca="false">D40*(1-x_testy)</f>
        <v>0</v>
      </c>
      <c r="AE40" s="0" t="n">
        <f aca="false">E40*(1-x_testy)</f>
        <v>0</v>
      </c>
      <c r="AF40" s="0" t="n">
        <f aca="false">F40*x_NAV</f>
        <v>0</v>
      </c>
      <c r="AG40" s="0" t="n">
        <f aca="false">G40*x_FIX*(1-x_testy)</f>
        <v>0</v>
      </c>
      <c r="AH40" s="0" t="n">
        <f aca="false">x_z_F*U40+(1-x_AGRI)*x_EMP*x_WLOSS*(x_PEN_K74*Q40+x_PEN_C22*R40)</f>
        <v>212244136.133868</v>
      </c>
      <c r="AI40" s="0" t="n">
        <f aca="false">x_AGRI*x_EMP*x_WLOSS*(x_PEN_K74*Q40+x_PEN_C22*R40)</f>
        <v>3104901.28354674</v>
      </c>
      <c r="AJ40" s="0" t="n">
        <f aca="false">x_EMP*x_WAGE*(x_WLOSS*(Q40+R40)+S40)+U40*x_ABS_D*x_WAGE/365</f>
        <v>985754574.762879</v>
      </c>
      <c r="AK40" s="0" t="n">
        <f aca="false">AJ40*x_R_FUS</f>
        <v>311892747.454975</v>
      </c>
      <c r="AL40" s="0" t="n">
        <f aca="false">AJ40*x_R_NFZ</f>
        <v>76554686.0306599</v>
      </c>
      <c r="AM40" s="0" t="n">
        <f aca="false">AJ40*x_R_PIT</f>
        <v>65537078.517107</v>
      </c>
      <c r="AN40" s="0" t="n">
        <f aca="false">AJ40*x_R_FP</f>
        <v>25136741.6564534</v>
      </c>
      <c r="AO40" s="0" t="n">
        <f aca="false">AA40+AB40+AC40+AD40+AF40</f>
        <v>940950110.860995</v>
      </c>
      <c r="AP40" s="0" t="n">
        <f aca="false">AO40+AE40+AG40+AH40+AI40+AK40+AL40+AM40+AN40</f>
        <v>1635420401.93761</v>
      </c>
      <c r="AQ40" s="0" t="n">
        <f aca="false">AO40+AE40+AG40+AJ40</f>
        <v>1926704685.62387</v>
      </c>
      <c r="AR40" s="0" t="n">
        <f aca="false">AB40+AC40+AD40+AF40</f>
        <v>0</v>
      </c>
      <c r="AS40" s="0" t="n">
        <f aca="false">AR40+AE40+AG40</f>
        <v>0</v>
      </c>
    </row>
    <row r="41" customFormat="false" ht="15" hidden="false" customHeight="false" outlineLevel="0" collapsed="false">
      <c r="A41" s="0" t="n">
        <v>2064</v>
      </c>
      <c r="B41" s="0" t="n">
        <v>38</v>
      </c>
      <c r="C41" s="0" t="n">
        <v>0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102737.155</v>
      </c>
      <c r="I41" s="0" t="n">
        <v>19983.992</v>
      </c>
      <c r="J41" s="0" t="n">
        <v>3395.058</v>
      </c>
      <c r="K41" s="0" t="n">
        <v>5632.482</v>
      </c>
      <c r="L41" s="0" t="n">
        <v>1637.527</v>
      </c>
      <c r="M41" s="0" t="n">
        <v>0</v>
      </c>
      <c r="N41" s="0" t="n">
        <v>0</v>
      </c>
      <c r="O41" s="0" t="n">
        <v>187.411</v>
      </c>
      <c r="P41" s="0" t="n">
        <v>186.754</v>
      </c>
      <c r="Q41" s="0" t="n">
        <v>1721.134</v>
      </c>
      <c r="R41" s="0" t="n">
        <v>2599.107</v>
      </c>
      <c r="S41" s="0" t="n">
        <v>6022.627</v>
      </c>
      <c r="T41" s="0" t="n">
        <v>122721.147</v>
      </c>
      <c r="U41" s="0" t="n">
        <v>81656.663</v>
      </c>
      <c r="V41" s="0" t="n">
        <v>143186.28</v>
      </c>
      <c r="W41" s="0" t="n">
        <v>696.283</v>
      </c>
      <c r="X41" s="0" t="n">
        <v>1737.487</v>
      </c>
      <c r="Y41" s="0" t="n">
        <v>187.411</v>
      </c>
      <c r="Z41" s="0" t="n">
        <v>1936.271</v>
      </c>
      <c r="AA41" s="0" t="n">
        <f aca="false">H41*x_c_F+I41*x_c_CC+J41*x_c_DC+K41*x_c_HCC+L41*x_c_PLT+M41*x_c_SVRn+N41*x_c_SVRcc+O41*x_c_LT+P41*x_c_LT1</f>
        <v>953030591.735196</v>
      </c>
      <c r="AB41" s="0" t="n">
        <f aca="false">C41*x_c_DAA</f>
        <v>0</v>
      </c>
      <c r="AC41" s="0" t="n">
        <f aca="false">C41*x_c_MON</f>
        <v>0</v>
      </c>
      <c r="AD41" s="0" t="n">
        <f aca="false">D41*(1-x_testy)</f>
        <v>0</v>
      </c>
      <c r="AE41" s="0" t="n">
        <f aca="false">E41*(1-x_testy)</f>
        <v>0</v>
      </c>
      <c r="AF41" s="0" t="n">
        <f aca="false">F41*x_NAV</f>
        <v>0</v>
      </c>
      <c r="AG41" s="0" t="n">
        <f aca="false">G41*x_FIX*(1-x_testy)</f>
        <v>0</v>
      </c>
      <c r="AH41" s="0" t="n">
        <f aca="false">x_z_F*U41+(1-x_AGRI)*x_EMP*x_WLOSS*(x_PEN_K74*Q41+x_PEN_C22*R41)</f>
        <v>214859726.114173</v>
      </c>
      <c r="AI41" s="0" t="n">
        <f aca="false">x_AGRI*x_EMP*x_WLOSS*(x_PEN_K74*Q41+x_PEN_C22*R41)</f>
        <v>3105370.63930498</v>
      </c>
      <c r="AJ41" s="0" t="n">
        <f aca="false">x_EMP*x_WAGE*(x_WLOSS*(Q41+R41)+S41)+U41*x_ABS_D*x_WAGE/365</f>
        <v>989607162.680391</v>
      </c>
      <c r="AK41" s="0" t="n">
        <f aca="false">AJ41*x_R_FUS</f>
        <v>313111706.272076</v>
      </c>
      <c r="AL41" s="0" t="n">
        <f aca="false">AJ41*x_R_NFZ</f>
        <v>76853881.8609219</v>
      </c>
      <c r="AM41" s="0" t="n">
        <f aca="false">AJ41*x_R_PIT</f>
        <v>65793214.6419683</v>
      </c>
      <c r="AN41" s="0" t="n">
        <f aca="false">AJ41*x_R_FP</f>
        <v>25234982.64835</v>
      </c>
      <c r="AO41" s="0" t="n">
        <f aca="false">AA41+AB41+AC41+AD41+AF41</f>
        <v>953030591.735196</v>
      </c>
      <c r="AP41" s="0" t="n">
        <f aca="false">AO41+AE41+AG41+AH41+AI41+AK41+AL41+AM41+AN41</f>
        <v>1651989473.91199</v>
      </c>
      <c r="AQ41" s="0" t="n">
        <f aca="false">AO41+AE41+AG41+AJ41</f>
        <v>1942637754.41559</v>
      </c>
      <c r="AR41" s="0" t="n">
        <f aca="false">AB41+AC41+AD41+AF41</f>
        <v>0</v>
      </c>
      <c r="AS41" s="0" t="n">
        <f aca="false">AR41+AE41+AG41</f>
        <v>0</v>
      </c>
    </row>
    <row r="42" customFormat="false" ht="15" hidden="false" customHeight="false" outlineLevel="0" collapsed="false">
      <c r="A42" s="0" t="n">
        <v>2065</v>
      </c>
      <c r="B42" s="0" t="n">
        <v>39</v>
      </c>
      <c r="C42" s="0" t="n">
        <v>0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104709.795</v>
      </c>
      <c r="I42" s="0" t="n">
        <v>20468.283</v>
      </c>
      <c r="J42" s="0" t="n">
        <v>3420.652</v>
      </c>
      <c r="K42" s="0" t="n">
        <v>5680.052</v>
      </c>
      <c r="L42" s="0" t="n">
        <v>1633.974</v>
      </c>
      <c r="M42" s="0" t="n">
        <v>0</v>
      </c>
      <c r="N42" s="0" t="n">
        <v>0</v>
      </c>
      <c r="O42" s="0" t="n">
        <v>188.895</v>
      </c>
      <c r="P42" s="0" t="n">
        <v>188.153</v>
      </c>
      <c r="Q42" s="0" t="n">
        <v>1721.358</v>
      </c>
      <c r="R42" s="0" t="n">
        <v>2599.41</v>
      </c>
      <c r="S42" s="0" t="n">
        <v>6023.486</v>
      </c>
      <c r="T42" s="0" t="n">
        <v>125178.078</v>
      </c>
      <c r="U42" s="0" t="n">
        <v>82900.747</v>
      </c>
      <c r="V42" s="0" t="n">
        <v>143850.374</v>
      </c>
      <c r="W42" s="0" t="n">
        <v>702.671</v>
      </c>
      <c r="X42" s="0" t="n">
        <v>1753.308</v>
      </c>
      <c r="Y42" s="0" t="n">
        <v>188.895</v>
      </c>
      <c r="Z42" s="0" t="n">
        <v>1951.816</v>
      </c>
      <c r="AA42" s="0" t="n">
        <f aca="false">H42*x_c_F+I42*x_c_CC+J42*x_c_DC+K42*x_c_HCC+L42*x_c_PLT+M42*x_c_SVRn+N42*x_c_SVRcc+O42*x_c_LT+P42*x_c_LT1</f>
        <v>965408610.563755</v>
      </c>
      <c r="AB42" s="0" t="n">
        <f aca="false">C42*x_c_DAA</f>
        <v>0</v>
      </c>
      <c r="AC42" s="0" t="n">
        <f aca="false">C42*x_c_MON</f>
        <v>0</v>
      </c>
      <c r="AD42" s="0" t="n">
        <f aca="false">D42*(1-x_testy)</f>
        <v>0</v>
      </c>
      <c r="AE42" s="0" t="n">
        <f aca="false">E42*(1-x_testy)</f>
        <v>0</v>
      </c>
      <c r="AF42" s="0" t="n">
        <f aca="false">F42*x_NAV</f>
        <v>0</v>
      </c>
      <c r="AG42" s="0" t="n">
        <f aca="false">G42*x_FIX*(1-x_testy)</f>
        <v>0</v>
      </c>
      <c r="AH42" s="0" t="n">
        <f aca="false">x_z_F*U42+(1-x_AGRI)*x_EMP*x_WLOSS*(x_PEN_K74*Q42+x_PEN_C22*R42)</f>
        <v>217423158.328571</v>
      </c>
      <c r="AI42" s="0" t="n">
        <f aca="false">x_AGRI*x_EMP*x_WLOSS*(x_PEN_K74*Q42+x_PEN_C22*R42)</f>
        <v>3105748.17108155</v>
      </c>
      <c r="AJ42" s="0" t="n">
        <f aca="false">x_EMP*x_WAGE*(x_WLOSS*(Q42+R42)+S42)+U42*x_ABS_D*x_WAGE/365</f>
        <v>993363588.916516</v>
      </c>
      <c r="AK42" s="0" t="n">
        <f aca="false">AJ42*x_R_FUS</f>
        <v>314300239.533186</v>
      </c>
      <c r="AL42" s="0" t="n">
        <f aca="false">AJ42*x_R_NFZ</f>
        <v>77145609.6788456</v>
      </c>
      <c r="AM42" s="0" t="n">
        <f aca="false">AJ42*x_R_PIT</f>
        <v>66042957.536887</v>
      </c>
      <c r="AN42" s="0" t="n">
        <f aca="false">AJ42*x_R_FP</f>
        <v>25330771.5173712</v>
      </c>
      <c r="AO42" s="0" t="n">
        <f aca="false">AA42+AB42+AC42+AD42+AF42</f>
        <v>965408610.563755</v>
      </c>
      <c r="AP42" s="0" t="n">
        <f aca="false">AO42+AE42+AG42+AH42+AI42+AK42+AL42+AM42+AN42</f>
        <v>1668757095.3297</v>
      </c>
      <c r="AQ42" s="0" t="n">
        <f aca="false">AO42+AE42+AG42+AJ42</f>
        <v>1958772199.48027</v>
      </c>
      <c r="AR42" s="0" t="n">
        <f aca="false">AB42+AC42+AD42+AF42</f>
        <v>0</v>
      </c>
      <c r="AS42" s="0" t="n">
        <f aca="false">AR42+AE42+AG42</f>
        <v>0</v>
      </c>
    </row>
    <row r="43" customFormat="false" ht="15" hidden="false" customHeight="false" outlineLevel="0" collapsed="false">
      <c r="A43" s="0" t="n">
        <v>2066</v>
      </c>
      <c r="B43" s="0" t="n">
        <v>40</v>
      </c>
      <c r="C43" s="0" t="n">
        <v>0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106653.752</v>
      </c>
      <c r="I43" s="0" t="n">
        <v>20968.058</v>
      </c>
      <c r="J43" s="0" t="n">
        <v>3449.823</v>
      </c>
      <c r="K43" s="0" t="n">
        <v>5732.581</v>
      </c>
      <c r="L43" s="0" t="n">
        <v>1631.964</v>
      </c>
      <c r="M43" s="0" t="n">
        <v>0</v>
      </c>
      <c r="N43" s="0" t="n">
        <v>0</v>
      </c>
      <c r="O43" s="0" t="n">
        <v>190.608</v>
      </c>
      <c r="P43" s="0" t="n">
        <v>189.752</v>
      </c>
      <c r="Q43" s="0" t="n">
        <v>1721.536</v>
      </c>
      <c r="R43" s="0" t="n">
        <v>2599.647</v>
      </c>
      <c r="S43" s="0" t="n">
        <v>6024.181</v>
      </c>
      <c r="T43" s="0" t="n">
        <v>127621.809</v>
      </c>
      <c r="U43" s="0" t="n">
        <v>84121.145</v>
      </c>
      <c r="V43" s="0" t="n">
        <v>144519.512</v>
      </c>
      <c r="W43" s="0" t="n">
        <v>709.697</v>
      </c>
      <c r="X43" s="0" t="n">
        <v>1770.556</v>
      </c>
      <c r="Y43" s="0" t="n">
        <v>190.608</v>
      </c>
      <c r="Z43" s="0" t="n">
        <v>1969.532</v>
      </c>
      <c r="AA43" s="0" t="n">
        <f aca="false">H43*x_c_F+I43*x_c_CC+J43*x_c_DC+K43*x_c_HCC+L43*x_c_PLT+M43*x_c_SVRn+N43*x_c_SVRcc+O43*x_c_LT+P43*x_c_LT1</f>
        <v>978299075.139638</v>
      </c>
      <c r="AB43" s="0" t="n">
        <f aca="false">C43*x_c_DAA</f>
        <v>0</v>
      </c>
      <c r="AC43" s="0" t="n">
        <f aca="false">C43*x_c_MON</f>
        <v>0</v>
      </c>
      <c r="AD43" s="0" t="n">
        <f aca="false">D43*(1-x_testy)</f>
        <v>0</v>
      </c>
      <c r="AE43" s="0" t="n">
        <f aca="false">E43*(1-x_testy)</f>
        <v>0</v>
      </c>
      <c r="AF43" s="0" t="n">
        <f aca="false">F43*x_NAV</f>
        <v>0</v>
      </c>
      <c r="AG43" s="0" t="n">
        <f aca="false">G43*x_FIX*(1-x_testy)</f>
        <v>0</v>
      </c>
      <c r="AH43" s="0" t="n">
        <f aca="false">x_z_F*U43+(1-x_AGRI)*x_EMP*x_WLOSS*(x_PEN_K74*Q43+x_PEN_C22*R43)</f>
        <v>219936678.26764</v>
      </c>
      <c r="AI43" s="0" t="n">
        <f aca="false">x_AGRI*x_EMP*x_WLOSS*(x_PEN_K74*Q43+x_PEN_C22*R43)</f>
        <v>3106045.32288078</v>
      </c>
      <c r="AJ43" s="0" t="n">
        <f aca="false">x_EMP*x_WAGE*(x_WLOSS*(Q43+R43)+S43)+U43*x_ABS_D*x_WAGE/365</f>
        <v>997030332.419329</v>
      </c>
      <c r="AK43" s="0" t="n">
        <f aca="false">AJ43*x_R_FUS</f>
        <v>315460397.177476</v>
      </c>
      <c r="AL43" s="0" t="n">
        <f aca="false">AJ43*x_R_NFZ</f>
        <v>77430372.6460175</v>
      </c>
      <c r="AM43" s="0" t="n">
        <f aca="false">AJ43*x_R_PIT</f>
        <v>66286737.9493733</v>
      </c>
      <c r="AN43" s="0" t="n">
        <f aca="false">AJ43*x_R_FP</f>
        <v>25424273.4766929</v>
      </c>
      <c r="AO43" s="0" t="n">
        <f aca="false">AA43+AB43+AC43+AD43+AF43</f>
        <v>978299075.139638</v>
      </c>
      <c r="AP43" s="0" t="n">
        <f aca="false">AO43+AE43+AG43+AH43+AI43+AK43+AL43+AM43+AN43</f>
        <v>1685943579.97972</v>
      </c>
      <c r="AQ43" s="0" t="n">
        <f aca="false">AO43+AE43+AG43+AJ43</f>
        <v>1975329407.55897</v>
      </c>
      <c r="AR43" s="0" t="n">
        <f aca="false">AB43+AC43+AD43+AF43</f>
        <v>0</v>
      </c>
      <c r="AS43" s="0" t="n">
        <f aca="false">AR43+AE43+AG43</f>
        <v>0</v>
      </c>
    </row>
    <row r="44" customFormat="false" ht="15" hidden="false" customHeight="false" outlineLevel="0" collapsed="false">
      <c r="A44" s="0" t="n">
        <v>2067</v>
      </c>
      <c r="B44" s="0" t="n">
        <v>41</v>
      </c>
      <c r="C44" s="0" t="n">
        <v>0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108570.27</v>
      </c>
      <c r="I44" s="0" t="n">
        <v>21486.631</v>
      </c>
      <c r="J44" s="0" t="n">
        <v>3483.401</v>
      </c>
      <c r="K44" s="0" t="n">
        <v>5791.032</v>
      </c>
      <c r="L44" s="0" t="n">
        <v>1632.562</v>
      </c>
      <c r="M44" s="0" t="n">
        <v>0</v>
      </c>
      <c r="N44" s="0" t="n">
        <v>0</v>
      </c>
      <c r="O44" s="0" t="n">
        <v>192.584</v>
      </c>
      <c r="P44" s="0" t="n">
        <v>191.596</v>
      </c>
      <c r="Q44" s="0" t="n">
        <v>1721.674</v>
      </c>
      <c r="R44" s="0" t="n">
        <v>2599.826</v>
      </c>
      <c r="S44" s="0" t="n">
        <v>6024.736</v>
      </c>
      <c r="T44" s="0" t="n">
        <v>130056.901</v>
      </c>
      <c r="U44" s="0" t="n">
        <v>85318.903</v>
      </c>
      <c r="V44" s="0" t="n">
        <v>145198.444</v>
      </c>
      <c r="W44" s="0" t="n">
        <v>717.419</v>
      </c>
      <c r="X44" s="0" t="n">
        <v>1789.356</v>
      </c>
      <c r="Y44" s="0" t="n">
        <v>192.584</v>
      </c>
      <c r="Z44" s="0" t="n">
        <v>1989.722</v>
      </c>
      <c r="AA44" s="0" t="n">
        <f aca="false">H44*x_c_F+I44*x_c_CC+J44*x_c_DC+K44*x_c_HCC+L44*x_c_PLT+M44*x_c_SVRn+N44*x_c_SVRcc+O44*x_c_LT+P44*x_c_LT1</f>
        <v>991846811.178255</v>
      </c>
      <c r="AB44" s="0" t="n">
        <f aca="false">C44*x_c_DAA</f>
        <v>0</v>
      </c>
      <c r="AC44" s="0" t="n">
        <f aca="false">C44*x_c_MON</f>
        <v>0</v>
      </c>
      <c r="AD44" s="0" t="n">
        <f aca="false">D44*(1-x_testy)</f>
        <v>0</v>
      </c>
      <c r="AE44" s="0" t="n">
        <f aca="false">E44*(1-x_testy)</f>
        <v>0</v>
      </c>
      <c r="AF44" s="0" t="n">
        <f aca="false">F44*x_NAV</f>
        <v>0</v>
      </c>
      <c r="AG44" s="0" t="n">
        <f aca="false">G44*x_FIX*(1-x_testy)</f>
        <v>0</v>
      </c>
      <c r="AH44" s="0" t="n">
        <f aca="false">x_z_F*U44+(1-x_AGRI)*x_EMP*x_WLOSS*(x_PEN_K74*Q44+x_PEN_C22*R44)</f>
        <v>222402588.075748</v>
      </c>
      <c r="AI44" s="0" t="n">
        <f aca="false">x_AGRI*x_EMP*x_WLOSS*(x_PEN_K74*Q44+x_PEN_C22*R44)</f>
        <v>3106272.11953758</v>
      </c>
      <c r="AJ44" s="0" t="n">
        <f aca="false">x_EMP*x_WAGE*(x_WLOSS*(Q44+R44)+S44)+U44*x_ABS_D*x_WAGE/365</f>
        <v>1000613277.56238</v>
      </c>
      <c r="AK44" s="0" t="n">
        <f aca="false">AJ44*x_R_FUS</f>
        <v>316594041.020737</v>
      </c>
      <c r="AL44" s="0" t="n">
        <f aca="false">AJ44*x_R_NFZ</f>
        <v>77708627.748772</v>
      </c>
      <c r="AM44" s="0" t="n">
        <f aca="false">AJ44*x_R_PIT</f>
        <v>66524947.0971412</v>
      </c>
      <c r="AN44" s="0" t="n">
        <f aca="false">AJ44*x_R_FP</f>
        <v>25515638.5778407</v>
      </c>
      <c r="AO44" s="0" t="n">
        <f aca="false">AA44+AB44+AC44+AD44+AF44</f>
        <v>991846811.178255</v>
      </c>
      <c r="AP44" s="0" t="n">
        <f aca="false">AO44+AE44+AG44+AH44+AI44+AK44+AL44+AM44+AN44</f>
        <v>1703698925.81803</v>
      </c>
      <c r="AQ44" s="0" t="n">
        <f aca="false">AO44+AE44+AG44+AJ44</f>
        <v>1992460088.74063</v>
      </c>
      <c r="AR44" s="0" t="n">
        <f aca="false">AB44+AC44+AD44+AF44</f>
        <v>0</v>
      </c>
      <c r="AS44" s="0" t="n">
        <f aca="false">AR44+AE44+AG44</f>
        <v>0</v>
      </c>
    </row>
    <row r="45" customFormat="false" ht="15" hidden="false" customHeight="false" outlineLevel="0" collapsed="false">
      <c r="A45" s="0" t="n">
        <v>2068</v>
      </c>
      <c r="B45" s="0" t="n">
        <v>42</v>
      </c>
      <c r="C45" s="0" t="n">
        <v>0</v>
      </c>
      <c r="D45" s="0" t="n">
        <v>0</v>
      </c>
      <c r="E45" s="0" t="n">
        <v>0</v>
      </c>
      <c r="F45" s="0" t="n">
        <v>0</v>
      </c>
      <c r="G45" s="0" t="n">
        <v>0</v>
      </c>
      <c r="H45" s="0" t="n">
        <v>110459.446</v>
      </c>
      <c r="I45" s="0" t="n">
        <v>22025.58</v>
      </c>
      <c r="J45" s="0" t="n">
        <v>3521.838</v>
      </c>
      <c r="K45" s="0" t="n">
        <v>5855.828</v>
      </c>
      <c r="L45" s="0" t="n">
        <v>1636.627</v>
      </c>
      <c r="M45" s="0" t="n">
        <v>0</v>
      </c>
      <c r="N45" s="0" t="n">
        <v>0</v>
      </c>
      <c r="O45" s="0" t="n">
        <v>194.841</v>
      </c>
      <c r="P45" s="0" t="n">
        <v>193.713</v>
      </c>
      <c r="Q45" s="0" t="n">
        <v>1721.778</v>
      </c>
      <c r="R45" s="0" t="n">
        <v>2599.956</v>
      </c>
      <c r="S45" s="0" t="n">
        <v>6025.175</v>
      </c>
      <c r="T45" s="0" t="n">
        <v>132485.026</v>
      </c>
      <c r="U45" s="0" t="n">
        <v>86495.043</v>
      </c>
      <c r="V45" s="0" t="n">
        <v>145888.451</v>
      </c>
      <c r="W45" s="0" t="n">
        <v>725.845</v>
      </c>
      <c r="X45" s="0" t="n">
        <v>1809.725</v>
      </c>
      <c r="Y45" s="0" t="n">
        <v>194.841</v>
      </c>
      <c r="Z45" s="0" t="n">
        <v>2012.546</v>
      </c>
      <c r="AA45" s="0" t="n">
        <f aca="false">H45*x_c_F+I45*x_c_CC+J45*x_c_DC+K45*x_c_HCC+L45*x_c_PLT+M45*x_c_SVRn+N45*x_c_SVRcc+O45*x_c_LT+P45*x_c_LT1</f>
        <v>1006130222.52334</v>
      </c>
      <c r="AB45" s="0" t="n">
        <f aca="false">C45*x_c_DAA</f>
        <v>0</v>
      </c>
      <c r="AC45" s="0" t="n">
        <f aca="false">C45*x_c_MON</f>
        <v>0</v>
      </c>
      <c r="AD45" s="0" t="n">
        <f aca="false">D45*(1-x_testy)</f>
        <v>0</v>
      </c>
      <c r="AE45" s="0" t="n">
        <f aca="false">E45*(1-x_testy)</f>
        <v>0</v>
      </c>
      <c r="AF45" s="0" t="n">
        <f aca="false">F45*x_NAV</f>
        <v>0</v>
      </c>
      <c r="AG45" s="0" t="n">
        <f aca="false">G45*x_FIX*(1-x_testy)</f>
        <v>0</v>
      </c>
      <c r="AH45" s="0" t="n">
        <f aca="false">x_z_F*U45+(1-x_AGRI)*x_EMP*x_WLOSS*(x_PEN_K74*Q45+x_PEN_C22*R45)</f>
        <v>224823151.976552</v>
      </c>
      <c r="AI45" s="0" t="n">
        <f aca="false">x_AGRI*x_EMP*x_WLOSS*(x_PEN_K74*Q45+x_PEN_C22*R45)</f>
        <v>3106439.34079608</v>
      </c>
      <c r="AJ45" s="0" t="n">
        <f aca="false">x_EMP*x_WAGE*(x_WLOSS*(Q45+R45)+S45)+U45*x_ABS_D*x_WAGE/365</f>
        <v>1004118292.90778</v>
      </c>
      <c r="AK45" s="0" t="n">
        <f aca="false">AJ45*x_R_FUS</f>
        <v>317703027.876022</v>
      </c>
      <c r="AL45" s="0" t="n">
        <f aca="false">AJ45*x_R_NFZ</f>
        <v>77980830.7455112</v>
      </c>
      <c r="AM45" s="0" t="n">
        <f aca="false">AJ45*x_R_PIT</f>
        <v>66757975.1466946</v>
      </c>
      <c r="AN45" s="0" t="n">
        <f aca="false">AJ45*x_R_FP</f>
        <v>25605016.4691484</v>
      </c>
      <c r="AO45" s="0" t="n">
        <f aca="false">AA45+AB45+AC45+AD45+AF45</f>
        <v>1006130222.52334</v>
      </c>
      <c r="AP45" s="0" t="n">
        <f aca="false">AO45+AE45+AG45+AH45+AI45+AK45+AL45+AM45+AN45</f>
        <v>1722106664.07806</v>
      </c>
      <c r="AQ45" s="0" t="n">
        <f aca="false">AO45+AE45+AG45+AJ45</f>
        <v>2010248515.43112</v>
      </c>
      <c r="AR45" s="0" t="n">
        <f aca="false">AB45+AC45+AD45+AF45</f>
        <v>0</v>
      </c>
      <c r="AS45" s="0" t="n">
        <f aca="false">AR45+AE45+AG45</f>
        <v>0</v>
      </c>
    </row>
    <row r="46" customFormat="false" ht="15" hidden="false" customHeight="false" outlineLevel="0" collapsed="false">
      <c r="A46" s="0" t="n">
        <v>2069</v>
      </c>
      <c r="B46" s="0" t="n">
        <v>43</v>
      </c>
      <c r="C46" s="0" t="n">
        <v>0</v>
      </c>
      <c r="D46" s="0" t="n">
        <v>0</v>
      </c>
      <c r="E46" s="0" t="n">
        <v>0</v>
      </c>
      <c r="F46" s="0" t="n">
        <v>0</v>
      </c>
      <c r="G46" s="0" t="n">
        <v>0</v>
      </c>
      <c r="H46" s="0" t="n">
        <v>112320.476</v>
      </c>
      <c r="I46" s="0" t="n">
        <v>22584.824</v>
      </c>
      <c r="J46" s="0" t="n">
        <v>3565.225</v>
      </c>
      <c r="K46" s="0" t="n">
        <v>5926.897</v>
      </c>
      <c r="L46" s="0" t="n">
        <v>1644.79</v>
      </c>
      <c r="M46" s="0" t="n">
        <v>0</v>
      </c>
      <c r="N46" s="0" t="n">
        <v>0</v>
      </c>
      <c r="O46" s="0" t="n">
        <v>197.372</v>
      </c>
      <c r="P46" s="0" t="n">
        <v>196.106</v>
      </c>
      <c r="Q46" s="0" t="n">
        <v>1721.853</v>
      </c>
      <c r="R46" s="0" t="n">
        <v>2600.043</v>
      </c>
      <c r="S46" s="0" t="n">
        <v>6025.514</v>
      </c>
      <c r="T46" s="0" t="n">
        <v>134905.3</v>
      </c>
      <c r="U46" s="0" t="n">
        <v>87650.526</v>
      </c>
      <c r="V46" s="0" t="n">
        <v>146587.973</v>
      </c>
      <c r="W46" s="0" t="n">
        <v>734.918</v>
      </c>
      <c r="X46" s="0" t="n">
        <v>1831.526</v>
      </c>
      <c r="Y46" s="0" t="n">
        <v>197.372</v>
      </c>
      <c r="Z46" s="0" t="n">
        <v>2037.928</v>
      </c>
      <c r="AA46" s="0" t="n">
        <f aca="false">H46*x_c_F+I46*x_c_CC+J46*x_c_DC+K46*x_c_HCC+L46*x_c_PLT+M46*x_c_SVRn+N46*x_c_SVRcc+O46*x_c_LT+P46*x_c_LT1</f>
        <v>1021161408.03391</v>
      </c>
      <c r="AB46" s="0" t="n">
        <f aca="false">C46*x_c_DAA</f>
        <v>0</v>
      </c>
      <c r="AC46" s="0" t="n">
        <f aca="false">C46*x_c_MON</f>
        <v>0</v>
      </c>
      <c r="AD46" s="0" t="n">
        <f aca="false">D46*(1-x_testy)</f>
        <v>0</v>
      </c>
      <c r="AE46" s="0" t="n">
        <f aca="false">E46*(1-x_testy)</f>
        <v>0</v>
      </c>
      <c r="AF46" s="0" t="n">
        <f aca="false">F46*x_NAV</f>
        <v>0</v>
      </c>
      <c r="AG46" s="0" t="n">
        <f aca="false">G46*x_FIX*(1-x_testy)</f>
        <v>0</v>
      </c>
      <c r="AH46" s="0" t="n">
        <f aca="false">x_z_F*U46+(1-x_AGRI)*x_EMP*x_WLOSS*(x_PEN_K74*Q46+x_PEN_C22*R46)</f>
        <v>227200464.470653</v>
      </c>
      <c r="AI46" s="0" t="n">
        <f aca="false">x_AGRI*x_EMP*x_WLOSS*(x_PEN_K74*Q46+x_PEN_C22*R46)</f>
        <v>3106554.83741255</v>
      </c>
      <c r="AJ46" s="0" t="n">
        <f aca="false">x_EMP*x_WAGE*(x_WLOSS*(Q46+R46)+S46)+U46*x_ABS_D*x_WAGE/365</f>
        <v>1007550167.00823</v>
      </c>
      <c r="AK46" s="0" t="n">
        <f aca="false">AJ46*x_R_FUS</f>
        <v>318788872.841403</v>
      </c>
      <c r="AL46" s="0" t="n">
        <f aca="false">AJ46*x_R_NFZ</f>
        <v>78247353.5200259</v>
      </c>
      <c r="AM46" s="0" t="n">
        <f aca="false">AJ46*x_R_PIT</f>
        <v>66986140.461003</v>
      </c>
      <c r="AN46" s="0" t="n">
        <f aca="false">AJ46*x_R_FP</f>
        <v>25692529.2587098</v>
      </c>
      <c r="AO46" s="0" t="n">
        <f aca="false">AA46+AB46+AC46+AD46+AF46</f>
        <v>1021161408.03391</v>
      </c>
      <c r="AP46" s="0" t="n">
        <f aca="false">AO46+AE46+AG46+AH46+AI46+AK46+AL46+AM46+AN46</f>
        <v>1741183323.42312</v>
      </c>
      <c r="AQ46" s="0" t="n">
        <f aca="false">AO46+AE46+AG46+AJ46</f>
        <v>2028711575.04214</v>
      </c>
      <c r="AR46" s="0" t="n">
        <f aca="false">AB46+AC46+AD46+AF46</f>
        <v>0</v>
      </c>
      <c r="AS46" s="0" t="n">
        <f aca="false">AR46+AE46+AG46</f>
        <v>0</v>
      </c>
    </row>
    <row r="47" customFormat="false" ht="15" hidden="false" customHeight="false" outlineLevel="0" collapsed="false">
      <c r="A47" s="0" t="n">
        <v>2070</v>
      </c>
      <c r="B47" s="0" t="n">
        <v>44</v>
      </c>
      <c r="C47" s="0" t="n">
        <v>0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114151.675</v>
      </c>
      <c r="I47" s="0" t="n">
        <v>23162.5</v>
      </c>
      <c r="J47" s="0" t="n">
        <v>3613.273</v>
      </c>
      <c r="K47" s="0" t="n">
        <v>6003.653</v>
      </c>
      <c r="L47" s="0" t="n">
        <v>1657.391</v>
      </c>
      <c r="M47" s="0" t="n">
        <v>0</v>
      </c>
      <c r="N47" s="0" t="n">
        <v>0</v>
      </c>
      <c r="O47" s="0" t="n">
        <v>200.152</v>
      </c>
      <c r="P47" s="0" t="n">
        <v>198.762</v>
      </c>
      <c r="Q47" s="0" t="n">
        <v>1721.902</v>
      </c>
      <c r="R47" s="0" t="n">
        <v>2600.094</v>
      </c>
      <c r="S47" s="0" t="n">
        <v>6025.769</v>
      </c>
      <c r="T47" s="0" t="n">
        <v>137314.175</v>
      </c>
      <c r="U47" s="0" t="n">
        <v>88786.213</v>
      </c>
      <c r="V47" s="0" t="n">
        <v>147292.68</v>
      </c>
      <c r="W47" s="0" t="n">
        <v>744.531</v>
      </c>
      <c r="X47" s="0" t="n">
        <v>1854.51</v>
      </c>
      <c r="Y47" s="0" t="n">
        <v>200.152</v>
      </c>
      <c r="Z47" s="0" t="n">
        <v>2065.624</v>
      </c>
      <c r="AA47" s="0" t="n">
        <f aca="false">H47*x_c_F+I47*x_c_CC+J47*x_c_DC+K47*x_c_HCC+L47*x_c_PLT+M47*x_c_SVRn+N47*x_c_SVRcc+O47*x_c_LT+P47*x_c_LT1</f>
        <v>1036884841.69846</v>
      </c>
      <c r="AB47" s="0" t="n">
        <f aca="false">C47*x_c_DAA</f>
        <v>0</v>
      </c>
      <c r="AC47" s="0" t="n">
        <f aca="false">C47*x_c_MON</f>
        <v>0</v>
      </c>
      <c r="AD47" s="0" t="n">
        <f aca="false">D47*(1-x_testy)</f>
        <v>0</v>
      </c>
      <c r="AE47" s="0" t="n">
        <f aca="false">E47*(1-x_testy)</f>
        <v>0</v>
      </c>
      <c r="AF47" s="0" t="n">
        <f aca="false">F47*x_NAV</f>
        <v>0</v>
      </c>
      <c r="AG47" s="0" t="n">
        <f aca="false">G47*x_FIX*(1-x_testy)</f>
        <v>0</v>
      </c>
      <c r="AH47" s="0" t="n">
        <f aca="false">x_z_F*U47+(1-x_AGRI)*x_EMP*x_WLOSS*(x_PEN_K74*Q47+x_PEN_C22*R47)</f>
        <v>229536405.789809</v>
      </c>
      <c r="AI47" s="0" t="n">
        <f aca="false">x_AGRI*x_EMP*x_WLOSS*(x_PEN_K74*Q47+x_PEN_C22*R47)</f>
        <v>3106625.88653212</v>
      </c>
      <c r="AJ47" s="0" t="n">
        <f aca="false">x_EMP*x_WAGE*(x_WLOSS*(Q47+R47)+S47)+U47*x_ABS_D*x_WAGE/365</f>
        <v>1010913339.99069</v>
      </c>
      <c r="AK47" s="0" t="n">
        <f aca="false">AJ47*x_R_FUS</f>
        <v>319852980.773053</v>
      </c>
      <c r="AL47" s="0" t="n">
        <f aca="false">AJ47*x_R_NFZ</f>
        <v>78508540.8970166</v>
      </c>
      <c r="AM47" s="0" t="n">
        <f aca="false">AJ47*x_R_PIT</f>
        <v>67209738.2382398</v>
      </c>
      <c r="AN47" s="0" t="n">
        <f aca="false">AJ47*x_R_FP</f>
        <v>25778290.1697625</v>
      </c>
      <c r="AO47" s="0" t="n">
        <f aca="false">AA47+AB47+AC47+AD47+AF47</f>
        <v>1036884841.69846</v>
      </c>
      <c r="AP47" s="0" t="n">
        <f aca="false">AO47+AE47+AG47+AH47+AI47+AK47+AL47+AM47+AN47</f>
        <v>1760877423.45287</v>
      </c>
      <c r="AQ47" s="0" t="n">
        <f aca="false">AO47+AE47+AG47+AJ47</f>
        <v>2047798181.68915</v>
      </c>
      <c r="AR47" s="0" t="n">
        <f aca="false">AB47+AC47+AD47+AF47</f>
        <v>0</v>
      </c>
      <c r="AS47" s="0" t="n">
        <f aca="false">AR47+AE47+AG47</f>
        <v>0</v>
      </c>
    </row>
    <row r="48" customFormat="false" ht="15" hidden="false" customHeight="false" outlineLevel="0" collapsed="false">
      <c r="A48" s="0" t="n">
        <v>2071</v>
      </c>
      <c r="B48" s="0" t="n">
        <v>45</v>
      </c>
      <c r="C48" s="0" t="n">
        <v>0</v>
      </c>
      <c r="D48" s="0" t="n">
        <v>0</v>
      </c>
      <c r="E48" s="0" t="n">
        <v>0</v>
      </c>
      <c r="F48" s="0" t="n">
        <v>0</v>
      </c>
      <c r="G48" s="0" t="n">
        <v>0</v>
      </c>
      <c r="H48" s="0" t="n">
        <v>115950.743</v>
      </c>
      <c r="I48" s="0" t="n">
        <v>23755.185</v>
      </c>
      <c r="J48" s="0" t="n">
        <v>3665.356</v>
      </c>
      <c r="K48" s="0" t="n">
        <v>6085.074</v>
      </c>
      <c r="L48" s="0" t="n">
        <v>1674.473</v>
      </c>
      <c r="M48" s="0" t="n">
        <v>0</v>
      </c>
      <c r="N48" s="0" t="n">
        <v>0</v>
      </c>
      <c r="O48" s="0" t="n">
        <v>203.138</v>
      </c>
      <c r="P48" s="0" t="n">
        <v>201.645</v>
      </c>
      <c r="Q48" s="0" t="n">
        <v>1721.932</v>
      </c>
      <c r="R48" s="0" t="n">
        <v>2600.117</v>
      </c>
      <c r="S48" s="0" t="n">
        <v>6025.954</v>
      </c>
      <c r="T48" s="0" t="n">
        <v>139705.929</v>
      </c>
      <c r="U48" s="0" t="n">
        <v>89902.831</v>
      </c>
      <c r="V48" s="0" t="n">
        <v>147996.155</v>
      </c>
      <c r="W48" s="0" t="n">
        <v>754.531</v>
      </c>
      <c r="X48" s="0" t="n">
        <v>1878.32</v>
      </c>
      <c r="Y48" s="0" t="n">
        <v>203.138</v>
      </c>
      <c r="Z48" s="0" t="n">
        <v>2095.199</v>
      </c>
      <c r="AA48" s="0" t="n">
        <f aca="false">H48*x_c_F+I48*x_c_CC+J48*x_c_DC+K48*x_c_HCC+L48*x_c_PLT+M48*x_c_SVRn+N48*x_c_SVRcc+O48*x_c_LT+P48*x_c_LT1</f>
        <v>1053184520.20224</v>
      </c>
      <c r="AB48" s="0" t="n">
        <f aca="false">C48*x_c_DAA</f>
        <v>0</v>
      </c>
      <c r="AC48" s="0" t="n">
        <f aca="false">C48*x_c_MON</f>
        <v>0</v>
      </c>
      <c r="AD48" s="0" t="n">
        <f aca="false">D48*(1-x_testy)</f>
        <v>0</v>
      </c>
      <c r="AE48" s="0" t="n">
        <f aca="false">E48*(1-x_testy)</f>
        <v>0</v>
      </c>
      <c r="AF48" s="0" t="n">
        <f aca="false">F48*x_NAV</f>
        <v>0</v>
      </c>
      <c r="AG48" s="0" t="n">
        <f aca="false">G48*x_FIX*(1-x_testy)</f>
        <v>0</v>
      </c>
      <c r="AH48" s="0" t="n">
        <f aca="false">x_z_F*U48+(1-x_AGRI)*x_EMP*x_WLOSS*(x_PEN_K74*Q48+x_PEN_C22*R48)</f>
        <v>231832632.293793</v>
      </c>
      <c r="AI48" s="0" t="n">
        <f aca="false">x_AGRI*x_EMP*x_WLOSS*(x_PEN_K74*Q48+x_PEN_C22*R48)</f>
        <v>3106663.17724989</v>
      </c>
      <c r="AJ48" s="0" t="n">
        <f aca="false">x_EMP*x_WAGE*(x_WLOSS*(Q48+R48)+S48)+U48*x_ABS_D*x_WAGE/365</f>
        <v>1014211961.28041</v>
      </c>
      <c r="AK48" s="0" t="n">
        <f aca="false">AJ48*x_R_FUS</f>
        <v>320896664.549123</v>
      </c>
      <c r="AL48" s="0" t="n">
        <f aca="false">AJ48*x_R_NFZ</f>
        <v>78764715.1249982</v>
      </c>
      <c r="AM48" s="0" t="n">
        <f aca="false">AJ48*x_R_PIT</f>
        <v>67429044.3495152</v>
      </c>
      <c r="AN48" s="0" t="n">
        <f aca="false">AJ48*x_R_FP</f>
        <v>25862405.0126506</v>
      </c>
      <c r="AO48" s="0" t="n">
        <f aca="false">AA48+AB48+AC48+AD48+AF48</f>
        <v>1053184520.20224</v>
      </c>
      <c r="AP48" s="0" t="n">
        <f aca="false">AO48+AE48+AG48+AH48+AI48+AK48+AL48+AM48+AN48</f>
        <v>1781076644.70957</v>
      </c>
      <c r="AQ48" s="0" t="n">
        <f aca="false">AO48+AE48+AG48+AJ48</f>
        <v>2067396481.48266</v>
      </c>
      <c r="AR48" s="0" t="n">
        <f aca="false">AB48+AC48+AD48+AF48</f>
        <v>0</v>
      </c>
      <c r="AS48" s="0" t="n">
        <f aca="false">AR48+AE48+AG48</f>
        <v>0</v>
      </c>
    </row>
    <row r="49" customFormat="false" ht="15" hidden="false" customHeight="false" outlineLevel="0" collapsed="false">
      <c r="A49" s="0" t="n">
        <v>2072</v>
      </c>
      <c r="B49" s="0" t="n">
        <v>46</v>
      </c>
      <c r="C49" s="0" t="n">
        <v>0</v>
      </c>
      <c r="D49" s="0" t="n">
        <v>0</v>
      </c>
      <c r="E49" s="0" t="n">
        <v>0</v>
      </c>
      <c r="F49" s="0" t="n">
        <v>0</v>
      </c>
      <c r="G49" s="0" t="n">
        <v>0</v>
      </c>
      <c r="H49" s="0" t="n">
        <v>117715.109</v>
      </c>
      <c r="I49" s="0" t="n">
        <v>24358.367</v>
      </c>
      <c r="J49" s="0" t="n">
        <v>3720.611</v>
      </c>
      <c r="K49" s="0" t="n">
        <v>6169.851</v>
      </c>
      <c r="L49" s="0" t="n">
        <v>1695.828</v>
      </c>
      <c r="M49" s="0" t="n">
        <v>0</v>
      </c>
      <c r="N49" s="0" t="n">
        <v>0</v>
      </c>
      <c r="O49" s="0" t="n">
        <v>206.278</v>
      </c>
      <c r="P49" s="0" t="n">
        <v>204.708</v>
      </c>
      <c r="Q49" s="0" t="n">
        <v>1721.945</v>
      </c>
      <c r="R49" s="0" t="n">
        <v>2600.117</v>
      </c>
      <c r="S49" s="0" t="n">
        <v>6026.082</v>
      </c>
      <c r="T49" s="0" t="n">
        <v>142073.476</v>
      </c>
      <c r="U49" s="0" t="n">
        <v>91000.964</v>
      </c>
      <c r="V49" s="0" t="n">
        <v>148690.886</v>
      </c>
      <c r="W49" s="0" t="n">
        <v>764.752</v>
      </c>
      <c r="X49" s="0" t="n">
        <v>1902.574</v>
      </c>
      <c r="Y49" s="0" t="n">
        <v>206.278</v>
      </c>
      <c r="Z49" s="0" t="n">
        <v>2126.161</v>
      </c>
      <c r="AA49" s="0" t="n">
        <f aca="false">H49*x_c_F+I49*x_c_CC+J49*x_c_DC+K49*x_c_HCC+L49*x_c_PLT+M49*x_c_SVRn+N49*x_c_SVRcc+O49*x_c_LT+P49*x_c_LT1</f>
        <v>1069903825.61478</v>
      </c>
      <c r="AB49" s="0" t="n">
        <f aca="false">C49*x_c_DAA</f>
        <v>0</v>
      </c>
      <c r="AC49" s="0" t="n">
        <f aca="false">C49*x_c_MON</f>
        <v>0</v>
      </c>
      <c r="AD49" s="0" t="n">
        <f aca="false">D49*(1-x_testy)</f>
        <v>0</v>
      </c>
      <c r="AE49" s="0" t="n">
        <f aca="false">E49*(1-x_testy)</f>
        <v>0</v>
      </c>
      <c r="AF49" s="0" t="n">
        <f aca="false">F49*x_NAV</f>
        <v>0</v>
      </c>
      <c r="AG49" s="0" t="n">
        <f aca="false">G49*x_FIX*(1-x_testy)</f>
        <v>0</v>
      </c>
      <c r="AH49" s="0" t="n">
        <f aca="false">x_z_F*U49+(1-x_AGRI)*x_EMP*x_WLOSS*(x_PEN_K74*Q49+x_PEN_C22*R49)</f>
        <v>234090421.836524</v>
      </c>
      <c r="AI49" s="0" t="n">
        <f aca="false">x_AGRI*x_EMP*x_WLOSS*(x_PEN_K74*Q49+x_PEN_C22*R49)</f>
        <v>3106671.81263234</v>
      </c>
      <c r="AJ49" s="0" t="n">
        <f aca="false">x_EMP*x_WAGE*(x_WLOSS*(Q49+R49)+S49)+U49*x_ABS_D*x_WAGE/365</f>
        <v>1017449237.50586</v>
      </c>
      <c r="AK49" s="0" t="n">
        <f aca="false">AJ49*x_R_FUS</f>
        <v>321920938.746855</v>
      </c>
      <c r="AL49" s="0" t="n">
        <f aca="false">AJ49*x_R_NFZ</f>
        <v>79016125.2339428</v>
      </c>
      <c r="AM49" s="0" t="n">
        <f aca="false">AJ49*x_R_PIT</f>
        <v>67644271.9848724</v>
      </c>
      <c r="AN49" s="0" t="n">
        <f aca="false">AJ49*x_R_FP</f>
        <v>25944955.5563995</v>
      </c>
      <c r="AO49" s="0" t="n">
        <f aca="false">AA49+AB49+AC49+AD49+AF49</f>
        <v>1069903825.61478</v>
      </c>
      <c r="AP49" s="0" t="n">
        <f aca="false">AO49+AE49+AG49+AH49+AI49+AK49+AL49+AM49+AN49</f>
        <v>1801627210.786</v>
      </c>
      <c r="AQ49" s="0" t="n">
        <f aca="false">AO49+AE49+AG49+AJ49</f>
        <v>2087353063.12064</v>
      </c>
      <c r="AR49" s="0" t="n">
        <f aca="false">AB49+AC49+AD49+AF49</f>
        <v>0</v>
      </c>
      <c r="AS49" s="0" t="n">
        <f aca="false">AR49+AE49+AG49</f>
        <v>0</v>
      </c>
    </row>
    <row r="50" customFormat="false" ht="15" hidden="false" customHeight="false" outlineLevel="0" collapsed="false">
      <c r="A50" s="0" t="n">
        <v>2073</v>
      </c>
      <c r="B50" s="0" t="n">
        <v>47</v>
      </c>
      <c r="C50" s="0" t="n">
        <v>0</v>
      </c>
      <c r="D50" s="0" t="n">
        <v>0</v>
      </c>
      <c r="E50" s="0" t="n">
        <v>0</v>
      </c>
      <c r="F50" s="0" t="n">
        <v>0</v>
      </c>
      <c r="G50" s="0" t="n">
        <v>0</v>
      </c>
      <c r="H50" s="0" t="n">
        <v>119442.027</v>
      </c>
      <c r="I50" s="0" t="n">
        <v>24966.557</v>
      </c>
      <c r="J50" s="0" t="n">
        <v>3777.961</v>
      </c>
      <c r="K50" s="0" t="n">
        <v>6256.421</v>
      </c>
      <c r="L50" s="0" t="n">
        <v>1720.973</v>
      </c>
      <c r="M50" s="0" t="n">
        <v>0</v>
      </c>
      <c r="N50" s="0" t="n">
        <v>0</v>
      </c>
      <c r="O50" s="0" t="n">
        <v>209.504</v>
      </c>
      <c r="P50" s="0" t="n">
        <v>207.891</v>
      </c>
      <c r="Q50" s="0" t="n">
        <v>1721.946</v>
      </c>
      <c r="R50" s="0" t="n">
        <v>2600.102</v>
      </c>
      <c r="S50" s="0" t="n">
        <v>6026.162</v>
      </c>
      <c r="T50" s="0" t="n">
        <v>144408.584</v>
      </c>
      <c r="U50" s="0" t="n">
        <v>92081.041</v>
      </c>
      <c r="V50" s="0" t="n">
        <v>149368.522</v>
      </c>
      <c r="W50" s="0" t="n">
        <v>774.992</v>
      </c>
      <c r="X50" s="0" t="n">
        <v>1926.807</v>
      </c>
      <c r="Y50" s="0" t="n">
        <v>209.504</v>
      </c>
      <c r="Z50" s="0" t="n">
        <v>2157.848</v>
      </c>
      <c r="AA50" s="0" t="n">
        <f aca="false">H50*x_c_F+I50*x_c_CC+J50*x_c_DC+K50*x_c_HCC+L50*x_c_PLT+M50*x_c_SVRn+N50*x_c_SVRcc+O50*x_c_LT+P50*x_c_LT1</f>
        <v>1086845648.91621</v>
      </c>
      <c r="AB50" s="0" t="n">
        <f aca="false">C50*x_c_DAA</f>
        <v>0</v>
      </c>
      <c r="AC50" s="0" t="n">
        <f aca="false">C50*x_c_MON</f>
        <v>0</v>
      </c>
      <c r="AD50" s="0" t="n">
        <f aca="false">D50*(1-x_testy)</f>
        <v>0</v>
      </c>
      <c r="AE50" s="0" t="n">
        <f aca="false">E50*(1-x_testy)</f>
        <v>0</v>
      </c>
      <c r="AF50" s="0" t="n">
        <f aca="false">F50*x_NAV</f>
        <v>0</v>
      </c>
      <c r="AG50" s="0" t="n">
        <f aca="false">G50*x_FIX*(1-x_testy)</f>
        <v>0</v>
      </c>
      <c r="AH50" s="0" t="n">
        <f aca="false">x_z_F*U50+(1-x_AGRI)*x_EMP*x_WLOSS*(x_PEN_K74*Q50+x_PEN_C22*R50)</f>
        <v>236310798.018378</v>
      </c>
      <c r="AI50" s="0" t="n">
        <f aca="false">x_AGRI*x_EMP*x_WLOSS*(x_PEN_K74*Q50+x_PEN_C22*R50)</f>
        <v>3106661.15325419</v>
      </c>
      <c r="AJ50" s="0" t="n">
        <f aca="false">x_EMP*x_WAGE*(x_WLOSS*(Q50+R50)+S50)+U50*x_ABS_D*x_WAGE/365</f>
        <v>1020627907.07354</v>
      </c>
      <c r="AK50" s="0" t="n">
        <f aca="false">AJ50*x_R_FUS</f>
        <v>322926669.798068</v>
      </c>
      <c r="AL50" s="0" t="n">
        <f aca="false">AJ50*x_R_NFZ</f>
        <v>79262983.8912382</v>
      </c>
      <c r="AM50" s="0" t="n">
        <f aca="false">AJ50*x_R_PIT</f>
        <v>67855603.2050059</v>
      </c>
      <c r="AN50" s="0" t="n">
        <f aca="false">AJ50*x_R_FP</f>
        <v>26026011.6303753</v>
      </c>
      <c r="AO50" s="0" t="n">
        <f aca="false">AA50+AB50+AC50+AD50+AF50</f>
        <v>1086845648.91621</v>
      </c>
      <c r="AP50" s="0" t="n">
        <f aca="false">AO50+AE50+AG50+AH50+AI50+AK50+AL50+AM50+AN50</f>
        <v>1822334376.61253</v>
      </c>
      <c r="AQ50" s="0" t="n">
        <f aca="false">AO50+AE50+AG50+AJ50</f>
        <v>2107473555.98975</v>
      </c>
      <c r="AR50" s="0" t="n">
        <f aca="false">AB50+AC50+AD50+AF50</f>
        <v>0</v>
      </c>
      <c r="AS50" s="0" t="n">
        <f aca="false">AR50+AE50+AG50</f>
        <v>0</v>
      </c>
    </row>
    <row r="51" customFormat="false" ht="15" hidden="false" customHeight="false" outlineLevel="0" collapsed="false">
      <c r="A51" s="0" t="n">
        <v>2074</v>
      </c>
      <c r="B51" s="0" t="n">
        <v>48</v>
      </c>
      <c r="C51" s="0" t="n">
        <v>0</v>
      </c>
      <c r="D51" s="0" t="n">
        <v>0</v>
      </c>
      <c r="E51" s="0" t="n">
        <v>0</v>
      </c>
      <c r="F51" s="0" t="n">
        <v>0</v>
      </c>
      <c r="G51" s="0" t="n">
        <v>0</v>
      </c>
      <c r="H51" s="0" t="n">
        <v>121128.782</v>
      </c>
      <c r="I51" s="0" t="n">
        <v>25573.656</v>
      </c>
      <c r="J51" s="0" t="n">
        <v>3836.188</v>
      </c>
      <c r="K51" s="0" t="n">
        <v>6343.079</v>
      </c>
      <c r="L51" s="0" t="n">
        <v>1749.178</v>
      </c>
      <c r="M51" s="0" t="n">
        <v>0</v>
      </c>
      <c r="N51" s="0" t="n">
        <v>0</v>
      </c>
      <c r="O51" s="0" t="n">
        <v>212.748</v>
      </c>
      <c r="P51" s="0" t="n">
        <v>211.126</v>
      </c>
      <c r="Q51" s="0" t="n">
        <v>1721.938</v>
      </c>
      <c r="R51" s="0" t="n">
        <v>2600.076</v>
      </c>
      <c r="S51" s="0" t="n">
        <v>6026.205</v>
      </c>
      <c r="T51" s="0" t="n">
        <v>146702.438</v>
      </c>
      <c r="U51" s="0" t="n">
        <v>93143.334</v>
      </c>
      <c r="V51" s="0" t="n">
        <v>150020.476</v>
      </c>
      <c r="W51" s="0" t="n">
        <v>785.062</v>
      </c>
      <c r="X51" s="0" t="n">
        <v>1950.582</v>
      </c>
      <c r="Y51" s="0" t="n">
        <v>212.748</v>
      </c>
      <c r="Z51" s="0" t="n">
        <v>2189.618</v>
      </c>
      <c r="AA51" s="0" t="n">
        <f aca="false">H51*x_c_F+I51*x_c_CC+J51*x_c_DC+K51*x_c_HCC+L51*x_c_PLT+M51*x_c_SVRn+N51*x_c_SVRcc+O51*x_c_LT+P51*x_c_LT1</f>
        <v>1103789961.41986</v>
      </c>
      <c r="AB51" s="0" t="n">
        <f aca="false">C51*x_c_DAA</f>
        <v>0</v>
      </c>
      <c r="AC51" s="0" t="n">
        <f aca="false">C51*x_c_MON</f>
        <v>0</v>
      </c>
      <c r="AD51" s="0" t="n">
        <f aca="false">D51*(1-x_testy)</f>
        <v>0</v>
      </c>
      <c r="AE51" s="0" t="n">
        <f aca="false">E51*(1-x_testy)</f>
        <v>0</v>
      </c>
      <c r="AF51" s="0" t="n">
        <f aca="false">F51*x_NAV</f>
        <v>0</v>
      </c>
      <c r="AG51" s="0" t="n">
        <f aca="false">G51*x_FIX*(1-x_testy)</f>
        <v>0</v>
      </c>
      <c r="AH51" s="0" t="n">
        <f aca="false">x_z_F*U51+(1-x_AGRI)*x_EMP*x_WLOSS*(x_PEN_K74*Q51+x_PEN_C22*R51)</f>
        <v>238494395.878978</v>
      </c>
      <c r="AI51" s="0" t="n">
        <f aca="false">x_AGRI*x_EMP*x_WLOSS*(x_PEN_K74*Q51+x_PEN_C22*R51)</f>
        <v>3106636.2115329</v>
      </c>
      <c r="AJ51" s="0" t="n">
        <f aca="false">x_EMP*x_WAGE*(x_WLOSS*(Q51+R51)+S51)+U51*x_ABS_D*x_WAGE/365</f>
        <v>1023750089.62322</v>
      </c>
      <c r="AK51" s="0" t="n">
        <f aca="false">AJ51*x_R_FUS</f>
        <v>323914528.356788</v>
      </c>
      <c r="AL51" s="0" t="n">
        <f aca="false">AJ51*x_R_NFZ</f>
        <v>79505455.7102292</v>
      </c>
      <c r="AM51" s="0" t="n">
        <f aca="false">AJ51*x_R_PIT</f>
        <v>68063178.9324151</v>
      </c>
      <c r="AN51" s="0" t="n">
        <f aca="false">AJ51*x_R_FP</f>
        <v>26105627.2853922</v>
      </c>
      <c r="AO51" s="0" t="n">
        <f aca="false">AA51+AB51+AC51+AD51+AF51</f>
        <v>1103789961.41986</v>
      </c>
      <c r="AP51" s="0" t="n">
        <f aca="false">AO51+AE51+AG51+AH51+AI51+AK51+AL51+AM51+AN51</f>
        <v>1842979783.79519</v>
      </c>
      <c r="AQ51" s="0" t="n">
        <f aca="false">AO51+AE51+AG51+AJ51</f>
        <v>2127540051.04308</v>
      </c>
      <c r="AR51" s="0" t="n">
        <f aca="false">AB51+AC51+AD51+AF51</f>
        <v>0</v>
      </c>
      <c r="AS51" s="0" t="n">
        <f aca="false">AR51+AE51+AG51</f>
        <v>0</v>
      </c>
    </row>
    <row r="52" customFormat="false" ht="15" hidden="false" customHeight="false" outlineLevel="0" collapsed="false">
      <c r="A52" s="0" t="n">
        <v>2075</v>
      </c>
      <c r="B52" s="0" t="n">
        <v>49</v>
      </c>
      <c r="C52" s="0" t="n">
        <v>0</v>
      </c>
      <c r="D52" s="0" t="n">
        <v>0</v>
      </c>
      <c r="E52" s="0" t="n">
        <v>0</v>
      </c>
      <c r="F52" s="0" t="n">
        <v>0</v>
      </c>
      <c r="G52" s="0" t="n">
        <v>0</v>
      </c>
      <c r="H52" s="0" t="n">
        <v>122772.934</v>
      </c>
      <c r="I52" s="0" t="n">
        <v>26173.44</v>
      </c>
      <c r="J52" s="0" t="n">
        <v>3894.03</v>
      </c>
      <c r="K52" s="0" t="n">
        <v>6428.11</v>
      </c>
      <c r="L52" s="0" t="n">
        <v>1779.538</v>
      </c>
      <c r="M52" s="0" t="n">
        <v>0</v>
      </c>
      <c r="N52" s="0" t="n">
        <v>0</v>
      </c>
      <c r="O52" s="0" t="n">
        <v>215.938</v>
      </c>
      <c r="P52" s="0" t="n">
        <v>214.343</v>
      </c>
      <c r="Q52" s="0" t="n">
        <v>1721.925</v>
      </c>
      <c r="R52" s="0" t="n">
        <v>2600.045</v>
      </c>
      <c r="S52" s="0" t="n">
        <v>6026.219</v>
      </c>
      <c r="T52" s="0" t="n">
        <v>148946.374</v>
      </c>
      <c r="U52" s="0" t="n">
        <v>94187.972</v>
      </c>
      <c r="V52" s="0" t="n">
        <v>150638.68</v>
      </c>
      <c r="W52" s="0" t="n">
        <v>794.766</v>
      </c>
      <c r="X52" s="0" t="n">
        <v>1973.453</v>
      </c>
      <c r="Y52" s="0" t="n">
        <v>215.938</v>
      </c>
      <c r="Z52" s="0" t="n">
        <v>2220.765</v>
      </c>
      <c r="AA52" s="0" t="n">
        <f aca="false">H52*x_c_F+I52*x_c_CC+J52*x_c_DC+K52*x_c_HCC+L52*x_c_PLT+M52*x_c_SVRn+N52*x_c_SVRcc+O52*x_c_LT+P52*x_c_LT1</f>
        <v>1120508418.70023</v>
      </c>
      <c r="AB52" s="0" t="n">
        <f aca="false">C52*x_c_DAA</f>
        <v>0</v>
      </c>
      <c r="AC52" s="0" t="n">
        <f aca="false">C52*x_c_MON</f>
        <v>0</v>
      </c>
      <c r="AD52" s="0" t="n">
        <f aca="false">D52*(1-x_testy)</f>
        <v>0</v>
      </c>
      <c r="AE52" s="0" t="n">
        <f aca="false">E52*(1-x_testy)</f>
        <v>0</v>
      </c>
      <c r="AF52" s="0" t="n">
        <f aca="false">F52*x_NAV</f>
        <v>0</v>
      </c>
      <c r="AG52" s="0" t="n">
        <f aca="false">G52*x_FIX*(1-x_testy)</f>
        <v>0</v>
      </c>
      <c r="AH52" s="0" t="n">
        <f aca="false">x_z_F*U52+(1-x_AGRI)*x_EMP*x_WLOSS*(x_PEN_K74*Q52+x_PEN_C22*R52)</f>
        <v>240641589.355009</v>
      </c>
      <c r="AI52" s="0" t="n">
        <f aca="false">x_AGRI*x_EMP*x_WLOSS*(x_PEN_K74*Q52+x_PEN_C22*R52)</f>
        <v>3106604.17396456</v>
      </c>
      <c r="AJ52" s="0" t="n">
        <f aca="false">x_EMP*x_WAGE*(x_WLOSS*(Q52+R52)+S52)+U52*x_ABS_D*x_WAGE/365</f>
        <v>1026817393.02377</v>
      </c>
      <c r="AK52" s="0" t="n">
        <f aca="false">AJ52*x_R_FUS</f>
        <v>324885023.15272</v>
      </c>
      <c r="AL52" s="0" t="n">
        <f aca="false">AJ52*x_R_NFZ</f>
        <v>79743665.5596188</v>
      </c>
      <c r="AM52" s="0" t="n">
        <f aca="false">AJ52*x_R_PIT</f>
        <v>68267106.0649324</v>
      </c>
      <c r="AN52" s="0" t="n">
        <f aca="false">AJ52*x_R_FP</f>
        <v>26183843.5221061</v>
      </c>
      <c r="AO52" s="0" t="n">
        <f aca="false">AA52+AB52+AC52+AD52+AF52</f>
        <v>1120508418.70023</v>
      </c>
      <c r="AP52" s="0" t="n">
        <f aca="false">AO52+AE52+AG52+AH52+AI52+AK52+AL52+AM52+AN52</f>
        <v>1863336250.52858</v>
      </c>
      <c r="AQ52" s="0" t="n">
        <f aca="false">AO52+AE52+AG52+AJ52</f>
        <v>2147325811.724</v>
      </c>
      <c r="AR52" s="0" t="n">
        <f aca="false">AB52+AC52+AD52+AF52</f>
        <v>0</v>
      </c>
      <c r="AS52" s="0" t="n">
        <f aca="false">AR52+AE52+AG52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595</v>
      </c>
    </row>
    <row r="2" customFormat="false" ht="28.35" hidden="false" customHeight="false" outlineLevel="0" collapsed="false">
      <c r="A2" s="3" t="s">
        <v>320</v>
      </c>
      <c r="B2" s="3" t="s">
        <v>553</v>
      </c>
      <c r="C2" s="3" t="s">
        <v>554</v>
      </c>
      <c r="D2" s="3" t="s">
        <v>555</v>
      </c>
      <c r="E2" s="3" t="s">
        <v>556</v>
      </c>
      <c r="F2" s="3" t="s">
        <v>557</v>
      </c>
      <c r="G2" s="3" t="s">
        <v>558</v>
      </c>
      <c r="H2" s="3" t="s">
        <v>559</v>
      </c>
      <c r="I2" s="3" t="s">
        <v>560</v>
      </c>
      <c r="J2" s="3" t="s">
        <v>561</v>
      </c>
      <c r="K2" s="3" t="s">
        <v>562</v>
      </c>
      <c r="L2" s="3" t="s">
        <v>563</v>
      </c>
      <c r="M2" s="3" t="s">
        <v>564</v>
      </c>
      <c r="N2" s="3" t="s">
        <v>565</v>
      </c>
      <c r="O2" s="3" t="s">
        <v>566</v>
      </c>
      <c r="P2" s="3" t="s">
        <v>567</v>
      </c>
      <c r="Q2" s="3" t="s">
        <v>568</v>
      </c>
      <c r="R2" s="3" t="s">
        <v>569</v>
      </c>
      <c r="S2" s="3" t="s">
        <v>570</v>
      </c>
      <c r="T2" s="3" t="s">
        <v>571</v>
      </c>
      <c r="U2" s="3" t="s">
        <v>572</v>
      </c>
      <c r="V2" s="3" t="s">
        <v>573</v>
      </c>
      <c r="W2" s="3" t="s">
        <v>574</v>
      </c>
      <c r="X2" s="3" t="s">
        <v>575</v>
      </c>
      <c r="Y2" s="3" t="s">
        <v>576</v>
      </c>
      <c r="Z2" s="3" t="s">
        <v>577</v>
      </c>
      <c r="AA2" s="3" t="s">
        <v>578</v>
      </c>
      <c r="AB2" s="3" t="s">
        <v>579</v>
      </c>
      <c r="AC2" s="3" t="s">
        <v>580</v>
      </c>
      <c r="AD2" s="3" t="s">
        <v>581</v>
      </c>
      <c r="AE2" s="3" t="s">
        <v>582</v>
      </c>
      <c r="AF2" s="3" t="s">
        <v>583</v>
      </c>
      <c r="AG2" s="3" t="s">
        <v>584</v>
      </c>
      <c r="AH2" s="3" t="s">
        <v>252</v>
      </c>
      <c r="AI2" s="3" t="s">
        <v>303</v>
      </c>
      <c r="AJ2" s="3" t="s">
        <v>585</v>
      </c>
      <c r="AK2" s="3" t="s">
        <v>586</v>
      </c>
      <c r="AL2" s="3" t="s">
        <v>587</v>
      </c>
      <c r="AM2" s="3" t="s">
        <v>588</v>
      </c>
      <c r="AN2" s="3" t="s">
        <v>589</v>
      </c>
      <c r="AO2" s="3" t="s">
        <v>129</v>
      </c>
      <c r="AP2" s="3" t="s">
        <v>590</v>
      </c>
      <c r="AQ2" s="3" t="s">
        <v>591</v>
      </c>
      <c r="AR2" s="3" t="s">
        <v>592</v>
      </c>
      <c r="AS2" s="3" t="s">
        <v>593</v>
      </c>
    </row>
    <row r="3" customFormat="false" ht="15" hidden="false" customHeight="false" outlineLevel="0" collapsed="false">
      <c r="A3" s="0" t="n">
        <v>2026</v>
      </c>
      <c r="B3" s="0" t="n">
        <v>0</v>
      </c>
      <c r="C3" s="0" t="n">
        <v>5213.16</v>
      </c>
      <c r="D3" s="0" t="n">
        <v>16666666.667</v>
      </c>
      <c r="E3" s="0" t="n">
        <v>0</v>
      </c>
      <c r="F3" s="0" t="n">
        <v>0</v>
      </c>
      <c r="G3" s="0" t="n">
        <v>1</v>
      </c>
      <c r="H3" s="0" t="n">
        <v>2581.318</v>
      </c>
      <c r="I3" s="0" t="n">
        <v>231.61</v>
      </c>
      <c r="J3" s="0" t="n">
        <v>1579.158</v>
      </c>
      <c r="K3" s="0" t="n">
        <v>2524.378</v>
      </c>
      <c r="L3" s="0" t="n">
        <v>1540.438</v>
      </c>
      <c r="M3" s="0" t="n">
        <v>7100.45</v>
      </c>
      <c r="N3" s="0" t="n">
        <v>627.462</v>
      </c>
      <c r="O3" s="0" t="n">
        <v>89.046</v>
      </c>
      <c r="P3" s="0" t="n">
        <v>44.523</v>
      </c>
      <c r="Q3" s="0" t="n">
        <v>2134.589</v>
      </c>
      <c r="R3" s="0" t="n">
        <v>1702.999</v>
      </c>
      <c r="S3" s="0" t="n">
        <v>312.377</v>
      </c>
      <c r="T3" s="0" t="n">
        <v>2812.928</v>
      </c>
      <c r="U3" s="0" t="n">
        <v>1558.451</v>
      </c>
      <c r="V3" s="0" t="n">
        <v>113433.469</v>
      </c>
      <c r="W3" s="0" t="n">
        <v>265.352</v>
      </c>
      <c r="X3" s="0" t="n">
        <v>710.662</v>
      </c>
      <c r="Y3" s="0" t="n">
        <v>89.046</v>
      </c>
      <c r="Z3" s="0" t="n">
        <v>922.327</v>
      </c>
      <c r="AA3" s="0" t="n">
        <f aca="false">H3*x_c_F+I3*x_c_CC+J3*x_c_DC+K3*x_c_HCC+L3*x_c_PLT+M3*x_c_SVRn+N3*x_c_SVRcc+O3*x_c_LT+P3*x_c_LT1</f>
        <v>283833546.178008</v>
      </c>
      <c r="AB3" s="0" t="n">
        <f aca="false">C3*x_c_DAA</f>
        <v>118651521.6</v>
      </c>
      <c r="AC3" s="0" t="n">
        <f aca="false">C3*x_c_MON</f>
        <v>30054544.517441</v>
      </c>
      <c r="AD3" s="0" t="n">
        <f aca="false">D3*(1-x_testy)</f>
        <v>16666666.667</v>
      </c>
      <c r="AE3" s="0" t="n">
        <f aca="false">E3*(1-x_testy)</f>
        <v>0</v>
      </c>
      <c r="AF3" s="0" t="n">
        <f aca="false">F3*x_NAV</f>
        <v>0</v>
      </c>
      <c r="AG3" s="0" t="n">
        <f aca="false">G3*x_FIX*(1-x_testy)</f>
        <v>1223620.54528</v>
      </c>
      <c r="AH3" s="0" t="n">
        <f aca="false">x_z_F*U3+(1-x_AGRI)*x_EMP*x_WLOSS*(x_PEN_K74*Q3+x_PEN_C22*R3)</f>
        <v>44105854.7048211</v>
      </c>
      <c r="AI3" s="0" t="n">
        <f aca="false">x_AGRI*x_EMP*x_WLOSS*(x_PEN_K74*Q3+x_PEN_C22*R3)</f>
        <v>2703532.14195332</v>
      </c>
      <c r="AJ3" s="0" t="n">
        <f aca="false">x_EMP*x_WAGE*(x_WLOSS*(Q3+R3)+S3)+U3*x_ABS_D*x_WAGE/365</f>
        <v>241073843.85307</v>
      </c>
      <c r="AK3" s="0" t="n">
        <f aca="false">AJ3*x_R_FUS</f>
        <v>76275764.1951112</v>
      </c>
      <c r="AL3" s="0" t="n">
        <f aca="false">AJ3*x_R_NFZ</f>
        <v>18722035.7874732</v>
      </c>
      <c r="AM3" s="0" t="n">
        <f aca="false">AJ3*x_R_PIT</f>
        <v>16027595.3442264</v>
      </c>
      <c r="AN3" s="0" t="n">
        <f aca="false">AJ3*x_R_FP</f>
        <v>6147383.01825327</v>
      </c>
      <c r="AO3" s="0" t="n">
        <f aca="false">AA3+AB3+AC3+AD3+AF3</f>
        <v>449206278.962449</v>
      </c>
      <c r="AP3" s="0" t="n">
        <f aca="false">AO3+AE3+AG3+AH3+AI3+AK3+AL3+AM3+AN3</f>
        <v>614412064.699568</v>
      </c>
      <c r="AQ3" s="0" t="n">
        <f aca="false">AO3+AE3+AG3+AJ3</f>
        <v>691503743.360799</v>
      </c>
      <c r="AR3" s="0" t="n">
        <f aca="false">AB3+AC3+AD3+AF3</f>
        <v>165372732.784441</v>
      </c>
      <c r="AS3" s="0" t="n">
        <f aca="false">AR3+AE3+AG3</f>
        <v>166596353.329721</v>
      </c>
    </row>
    <row r="4" customFormat="false" ht="15" hidden="false" customHeight="false" outlineLevel="0" collapsed="false">
      <c r="A4" s="0" t="n">
        <v>2027</v>
      </c>
      <c r="B4" s="0" t="n">
        <v>1</v>
      </c>
      <c r="C4" s="0" t="n">
        <v>5576.635</v>
      </c>
      <c r="D4" s="0" t="n">
        <v>33333333.333</v>
      </c>
      <c r="E4" s="0" t="n">
        <v>0</v>
      </c>
      <c r="F4" s="0" t="n">
        <v>0</v>
      </c>
      <c r="G4" s="0" t="n">
        <v>1</v>
      </c>
      <c r="H4" s="0" t="n">
        <v>2728.1</v>
      </c>
      <c r="I4" s="0" t="n">
        <v>259.776</v>
      </c>
      <c r="J4" s="0" t="n">
        <v>1563.329</v>
      </c>
      <c r="K4" s="0" t="n">
        <v>2519.58</v>
      </c>
      <c r="L4" s="0" t="n">
        <v>1489.389</v>
      </c>
      <c r="M4" s="0" t="n">
        <v>12106.359</v>
      </c>
      <c r="N4" s="0" t="n">
        <v>1093.455</v>
      </c>
      <c r="O4" s="0" t="n">
        <v>87.89</v>
      </c>
      <c r="P4" s="0" t="n">
        <v>88.468</v>
      </c>
      <c r="Q4" s="0" t="n">
        <v>2137.52</v>
      </c>
      <c r="R4" s="0" t="n">
        <v>1715.76</v>
      </c>
      <c r="S4" s="0" t="n">
        <v>939.875</v>
      </c>
      <c r="T4" s="0" t="n">
        <v>2987.876</v>
      </c>
      <c r="U4" s="0" t="n">
        <v>1705.223</v>
      </c>
      <c r="V4" s="0" t="n">
        <v>114593.877</v>
      </c>
      <c r="W4" s="0" t="n">
        <v>274.078</v>
      </c>
      <c r="X4" s="0" t="n">
        <v>738.717</v>
      </c>
      <c r="Y4" s="0" t="n">
        <v>87.89</v>
      </c>
      <c r="Z4" s="0" t="n">
        <v>925.455</v>
      </c>
      <c r="AA4" s="0" t="n">
        <f aca="false">H4*x_c_F+I4*x_c_CC+J4*x_c_DC+K4*x_c_HCC+L4*x_c_PLT+M4*x_c_SVRn+N4*x_c_SVRcc+O4*x_c_LT+P4*x_c_LT1</f>
        <v>288245578.892978</v>
      </c>
      <c r="AB4" s="0" t="n">
        <f aca="false">C4*x_c_DAA</f>
        <v>126924212.6</v>
      </c>
      <c r="AC4" s="0" t="n">
        <f aca="false">C4*x_c_MON</f>
        <v>32150025.1028204</v>
      </c>
      <c r="AD4" s="0" t="n">
        <f aca="false">D4*(1-x_testy)</f>
        <v>33333333.333</v>
      </c>
      <c r="AE4" s="0" t="n">
        <f aca="false">E4*(1-x_testy)</f>
        <v>0</v>
      </c>
      <c r="AF4" s="0" t="n">
        <f aca="false">F4*x_NAV</f>
        <v>0</v>
      </c>
      <c r="AG4" s="0" t="n">
        <f aca="false">G4*x_FIX*(1-x_testy)</f>
        <v>1223620.54528</v>
      </c>
      <c r="AH4" s="0" t="n">
        <f aca="false">x_z_F*U4+(1-x_AGRI)*x_EMP*x_WLOSS*(x_PEN_K74*Q4+x_PEN_C22*R4)</f>
        <v>44582803.6161941</v>
      </c>
      <c r="AI4" s="0" t="n">
        <f aca="false">x_AGRI*x_EMP*x_WLOSS*(x_PEN_K74*Q4+x_PEN_C22*R4)</f>
        <v>2715112.4851527</v>
      </c>
      <c r="AJ4" s="0" t="n">
        <f aca="false">x_EMP*x_WAGE*(x_WLOSS*(Q4+R4)+S4)+U4*x_ABS_D*x_WAGE/365</f>
        <v>295863892.654718</v>
      </c>
      <c r="AK4" s="0" t="n">
        <f aca="false">AJ4*x_R_FUS</f>
        <v>93611335.6359529</v>
      </c>
      <c r="AL4" s="0" t="n">
        <f aca="false">AJ4*x_R_NFZ</f>
        <v>22977085.7674581</v>
      </c>
      <c r="AM4" s="0" t="n">
        <f aca="false">AJ4*x_R_PIT</f>
        <v>19670266.473735</v>
      </c>
      <c r="AN4" s="0" t="n">
        <f aca="false">AJ4*x_R_FP</f>
        <v>7544529.26269532</v>
      </c>
      <c r="AO4" s="0" t="n">
        <f aca="false">AA4+AB4+AC4+AD4+AF4</f>
        <v>480653149.928799</v>
      </c>
      <c r="AP4" s="0" t="n">
        <f aca="false">AO4+AE4+AG4+AH4+AI4+AK4+AL4+AM4+AN4</f>
        <v>672977903.715267</v>
      </c>
      <c r="AQ4" s="0" t="n">
        <f aca="false">AO4+AE4+AG4+AJ4</f>
        <v>777740663.128797</v>
      </c>
      <c r="AR4" s="0" t="n">
        <f aca="false">AB4+AC4+AD4+AF4</f>
        <v>192407571.03582</v>
      </c>
      <c r="AS4" s="0" t="n">
        <f aca="false">AR4+AE4+AG4</f>
        <v>193631191.5811</v>
      </c>
    </row>
    <row r="5" customFormat="false" ht="15" hidden="false" customHeight="false" outlineLevel="0" collapsed="false">
      <c r="A5" s="0" t="n">
        <v>2028</v>
      </c>
      <c r="B5" s="0" t="n">
        <v>2</v>
      </c>
      <c r="C5" s="0" t="n">
        <v>5921.215</v>
      </c>
      <c r="D5" s="0" t="n">
        <v>50000000</v>
      </c>
      <c r="E5" s="0" t="n">
        <v>0</v>
      </c>
      <c r="F5" s="0" t="n">
        <v>0</v>
      </c>
      <c r="G5" s="0" t="n">
        <v>1</v>
      </c>
      <c r="H5" s="0" t="n">
        <v>2782.017</v>
      </c>
      <c r="I5" s="0" t="n">
        <v>281.64</v>
      </c>
      <c r="J5" s="0" t="n">
        <v>1558.707</v>
      </c>
      <c r="K5" s="0" t="n">
        <v>2542.654</v>
      </c>
      <c r="L5" s="0" t="n">
        <v>1475.757</v>
      </c>
      <c r="M5" s="0" t="n">
        <v>17159.078</v>
      </c>
      <c r="N5" s="0" t="n">
        <v>1586.693</v>
      </c>
      <c r="O5" s="0" t="n">
        <v>87.523</v>
      </c>
      <c r="P5" s="0" t="n">
        <v>87.707</v>
      </c>
      <c r="Q5" s="0" t="n">
        <v>2145.234</v>
      </c>
      <c r="R5" s="0" t="n">
        <v>1751.363</v>
      </c>
      <c r="S5" s="0" t="n">
        <v>1572.496</v>
      </c>
      <c r="T5" s="0" t="n">
        <v>3063.657</v>
      </c>
      <c r="U5" s="0" t="n">
        <v>1797.2</v>
      </c>
      <c r="V5" s="0" t="n">
        <v>115841.091</v>
      </c>
      <c r="W5" s="0" t="n">
        <v>283.892</v>
      </c>
      <c r="X5" s="0" t="n">
        <v>766.181</v>
      </c>
      <c r="Y5" s="0" t="n">
        <v>87.523</v>
      </c>
      <c r="Z5" s="0" t="n">
        <v>926.072</v>
      </c>
      <c r="AA5" s="0" t="n">
        <f aca="false">H5*x_c_F+I5*x_c_CC+J5*x_c_DC+K5*x_c_HCC+L5*x_c_PLT+M5*x_c_SVRn+N5*x_c_SVRcc+O5*x_c_LT+P5*x_c_LT1</f>
        <v>293741434.149062</v>
      </c>
      <c r="AB5" s="0" t="n">
        <f aca="false">C5*x_c_DAA</f>
        <v>134766853.4</v>
      </c>
      <c r="AC5" s="0" t="n">
        <f aca="false">C5*x_c_MON</f>
        <v>34136573.5590005</v>
      </c>
      <c r="AD5" s="0" t="n">
        <f aca="false">D5*(1-x_testy)</f>
        <v>50000000</v>
      </c>
      <c r="AE5" s="0" t="n">
        <f aca="false">E5*(1-x_testy)</f>
        <v>0</v>
      </c>
      <c r="AF5" s="0" t="n">
        <f aca="false">F5*x_NAV</f>
        <v>0</v>
      </c>
      <c r="AG5" s="0" t="n">
        <f aca="false">G5*x_FIX*(1-x_testy)</f>
        <v>1223620.54528</v>
      </c>
      <c r="AH5" s="0" t="n">
        <f aca="false">x_z_F*U5+(1-x_AGRI)*x_EMP*x_WLOSS*(x_PEN_K74*Q5+x_PEN_C22*R5)</f>
        <v>45256045.9597694</v>
      </c>
      <c r="AI5" s="0" t="n">
        <f aca="false">x_AGRI*x_EMP*x_WLOSS*(x_PEN_K74*Q5+x_PEN_C22*R5)</f>
        <v>2747113.62129155</v>
      </c>
      <c r="AJ5" s="0" t="n">
        <f aca="false">x_EMP*x_WAGE*(x_WLOSS*(Q5+R5)+S5)+U5*x_ABS_D*x_WAGE/365</f>
        <v>352440479.23421</v>
      </c>
      <c r="AK5" s="0" t="n">
        <f aca="false">AJ5*x_R_FUS</f>
        <v>111512167.629704</v>
      </c>
      <c r="AL5" s="0" t="n">
        <f aca="false">AJ5*x_R_NFZ</f>
        <v>27370880.057808</v>
      </c>
      <c r="AM5" s="0" t="n">
        <f aca="false">AJ5*x_R_PIT</f>
        <v>23431714.0914465</v>
      </c>
      <c r="AN5" s="0" t="n">
        <f aca="false">AJ5*x_R_FP</f>
        <v>8987232.22047235</v>
      </c>
      <c r="AO5" s="0" t="n">
        <f aca="false">AA5+AB5+AC5+AD5+AF5</f>
        <v>512644861.108062</v>
      </c>
      <c r="AP5" s="0" t="n">
        <f aca="false">AO5+AE5+AG5+AH5+AI5+AK5+AL5+AM5+AN5</f>
        <v>733173635.233834</v>
      </c>
      <c r="AQ5" s="0" t="n">
        <f aca="false">AO5+AE5+AG5+AJ5</f>
        <v>866308960.887552</v>
      </c>
      <c r="AR5" s="0" t="n">
        <f aca="false">AB5+AC5+AD5+AF5</f>
        <v>218903426.959001</v>
      </c>
      <c r="AS5" s="0" t="n">
        <f aca="false">AR5+AE5+AG5</f>
        <v>220127047.504281</v>
      </c>
    </row>
    <row r="6" customFormat="false" ht="15" hidden="false" customHeight="false" outlineLevel="0" collapsed="false">
      <c r="A6" s="0" t="n">
        <v>2029</v>
      </c>
      <c r="B6" s="0" t="n">
        <v>3</v>
      </c>
      <c r="C6" s="0" t="n">
        <v>5892.245</v>
      </c>
      <c r="D6" s="0" t="n">
        <v>50000000</v>
      </c>
      <c r="E6" s="0" t="n">
        <v>0</v>
      </c>
      <c r="F6" s="0" t="n">
        <v>0</v>
      </c>
      <c r="G6" s="0" t="n">
        <v>1</v>
      </c>
      <c r="H6" s="0" t="n">
        <v>2750.261</v>
      </c>
      <c r="I6" s="0" t="n">
        <v>295.954</v>
      </c>
      <c r="J6" s="0" t="n">
        <v>1564.041</v>
      </c>
      <c r="K6" s="0" t="n">
        <v>2584.625</v>
      </c>
      <c r="L6" s="0" t="n">
        <v>1461.15</v>
      </c>
      <c r="M6" s="0" t="n">
        <v>22088.431</v>
      </c>
      <c r="N6" s="0" t="n">
        <v>2091.139</v>
      </c>
      <c r="O6" s="0" t="n">
        <v>87.808</v>
      </c>
      <c r="P6" s="0" t="n">
        <v>87.666</v>
      </c>
      <c r="Q6" s="0" t="n">
        <v>2161.57</v>
      </c>
      <c r="R6" s="0" t="n">
        <v>1803.154</v>
      </c>
      <c r="S6" s="0" t="n">
        <v>2212.729</v>
      </c>
      <c r="T6" s="0" t="n">
        <v>3046.215</v>
      </c>
      <c r="U6" s="0" t="n">
        <v>1834.537</v>
      </c>
      <c r="V6" s="0" t="n">
        <v>117143.129</v>
      </c>
      <c r="W6" s="0" t="n">
        <v>294.143</v>
      </c>
      <c r="X6" s="0" t="n">
        <v>792.343</v>
      </c>
      <c r="Y6" s="0" t="n">
        <v>87.808</v>
      </c>
      <c r="Z6" s="0" t="n">
        <v>934.044</v>
      </c>
      <c r="AA6" s="0" t="n">
        <f aca="false">H6*x_c_F+I6*x_c_CC+J6*x_c_DC+K6*x_c_HCC+L6*x_c_PLT+M6*x_c_SVRn+N6*x_c_SVRcc+O6*x_c_LT+P6*x_c_LT1</f>
        <v>300492752.924081</v>
      </c>
      <c r="AB6" s="0" t="n">
        <f aca="false">C6*x_c_DAA</f>
        <v>134107496.2</v>
      </c>
      <c r="AC6" s="0" t="n">
        <f aca="false">C6*x_c_MON</f>
        <v>33969557.7461979</v>
      </c>
      <c r="AD6" s="0" t="n">
        <f aca="false">D6*(1-x_testy)</f>
        <v>50000000</v>
      </c>
      <c r="AE6" s="0" t="n">
        <f aca="false">E6*(1-x_testy)</f>
        <v>0</v>
      </c>
      <c r="AF6" s="0" t="n">
        <f aca="false">F6*x_NAV</f>
        <v>0</v>
      </c>
      <c r="AG6" s="0" t="n">
        <f aca="false">G6*x_FIX*(1-x_testy)</f>
        <v>1223620.54528</v>
      </c>
      <c r="AH6" s="0" t="n">
        <f aca="false">x_z_F*U6+(1-x_AGRI)*x_EMP*x_WLOSS*(x_PEN_K74*Q6+x_PEN_C22*R6)</f>
        <v>46088485.2285744</v>
      </c>
      <c r="AI6" s="0" t="n">
        <f aca="false">x_AGRI*x_EMP*x_WLOSS*(x_PEN_K74*Q6+x_PEN_C22*R6)</f>
        <v>2797062.47926661</v>
      </c>
      <c r="AJ6" s="0" t="n">
        <f aca="false">x_EMP*x_WAGE*(x_WLOSS*(Q6+R6)+S6)+U6*x_ABS_D*x_WAGE/365</f>
        <v>410862330.93761</v>
      </c>
      <c r="AK6" s="0" t="n">
        <f aca="false">AJ6*x_R_FUS</f>
        <v>129996841.50866</v>
      </c>
      <c r="AL6" s="0" t="n">
        <f aca="false">AJ6*x_R_NFZ</f>
        <v>31907979.4829457</v>
      </c>
      <c r="AM6" s="0" t="n">
        <f aca="false">AJ6*x_R_PIT</f>
        <v>27315842.6364462</v>
      </c>
      <c r="AN6" s="0" t="n">
        <f aca="false">AJ6*x_R_FP</f>
        <v>10476989.4389091</v>
      </c>
      <c r="AO6" s="0" t="n">
        <f aca="false">AA6+AB6+AC6+AD6+AF6</f>
        <v>518569806.870278</v>
      </c>
      <c r="AP6" s="0" t="n">
        <f aca="false">AO6+AE6+AG6+AH6+AI6+AK6+AL6+AM6+AN6</f>
        <v>768376628.19036</v>
      </c>
      <c r="AQ6" s="0" t="n">
        <f aca="false">AO6+AE6+AG6+AJ6</f>
        <v>930655758.353168</v>
      </c>
      <c r="AR6" s="0" t="n">
        <f aca="false">AB6+AC6+AD6+AF6</f>
        <v>218077053.946198</v>
      </c>
      <c r="AS6" s="0" t="n">
        <f aca="false">AR6+AE6+AG6</f>
        <v>219300674.491478</v>
      </c>
    </row>
    <row r="7" customFormat="false" ht="15" hidden="false" customHeight="false" outlineLevel="0" collapsed="false">
      <c r="A7" s="0" t="n">
        <v>2030</v>
      </c>
      <c r="B7" s="0" t="n">
        <v>4</v>
      </c>
      <c r="C7" s="0" t="n">
        <v>5864.531</v>
      </c>
      <c r="D7" s="0" t="n">
        <v>50000000</v>
      </c>
      <c r="E7" s="0" t="n">
        <v>0</v>
      </c>
      <c r="F7" s="0" t="n">
        <v>0</v>
      </c>
      <c r="G7" s="0" t="n">
        <v>1</v>
      </c>
      <c r="H7" s="0" t="n">
        <v>2719.483</v>
      </c>
      <c r="I7" s="0" t="n">
        <v>309.91</v>
      </c>
      <c r="J7" s="0" t="n">
        <v>1577.536</v>
      </c>
      <c r="K7" s="0" t="n">
        <v>2638.027</v>
      </c>
      <c r="L7" s="0" t="n">
        <v>1446.187</v>
      </c>
      <c r="M7" s="0" t="n">
        <v>26894.042</v>
      </c>
      <c r="N7" s="0" t="n">
        <v>2605.141</v>
      </c>
      <c r="O7" s="0" t="n">
        <v>88.61</v>
      </c>
      <c r="P7" s="0" t="n">
        <v>88.209</v>
      </c>
      <c r="Q7" s="0" t="n">
        <v>2185.593</v>
      </c>
      <c r="R7" s="0" t="n">
        <v>1865.614</v>
      </c>
      <c r="S7" s="0" t="n">
        <v>2865.368</v>
      </c>
      <c r="T7" s="0" t="n">
        <v>3029.393</v>
      </c>
      <c r="U7" s="0" t="n">
        <v>1870.053</v>
      </c>
      <c r="V7" s="0" t="n">
        <v>118486.298</v>
      </c>
      <c r="W7" s="0" t="n">
        <v>303.985</v>
      </c>
      <c r="X7" s="0" t="n">
        <v>815.855</v>
      </c>
      <c r="Y7" s="0" t="n">
        <v>88.61</v>
      </c>
      <c r="Z7" s="0" t="n">
        <v>947.075</v>
      </c>
      <c r="AA7" s="0" t="n">
        <f aca="false">H7*x_c_F+I7*x_c_CC+J7*x_c_DC+K7*x_c_HCC+L7*x_c_PLT+M7*x_c_SVRn+N7*x_c_SVRcc+O7*x_c_LT+P7*x_c_LT1</f>
        <v>308255280.973472</v>
      </c>
      <c r="AB7" s="0" t="n">
        <f aca="false">C7*x_c_DAA</f>
        <v>133476725.56</v>
      </c>
      <c r="AC7" s="0" t="n">
        <f aca="false">C7*x_c_MON</f>
        <v>33809782.9365323</v>
      </c>
      <c r="AD7" s="0" t="n">
        <f aca="false">D7*(1-x_testy)</f>
        <v>50000000</v>
      </c>
      <c r="AE7" s="0" t="n">
        <f aca="false">E7*(1-x_testy)</f>
        <v>0</v>
      </c>
      <c r="AF7" s="0" t="n">
        <f aca="false">F7*x_NAV</f>
        <v>0</v>
      </c>
      <c r="AG7" s="0" t="n">
        <f aca="false">G7*x_FIX*(1-x_testy)</f>
        <v>1223620.54528</v>
      </c>
      <c r="AH7" s="0" t="n">
        <f aca="false">x_z_F*U7+(1-x_AGRI)*x_EMP*x_WLOSS*(x_PEN_K74*Q7+x_PEN_C22*R7)</f>
        <v>47116283.2123824</v>
      </c>
      <c r="AI7" s="0" t="n">
        <f aca="false">x_AGRI*x_EMP*x_WLOSS*(x_PEN_K74*Q7+x_PEN_C22*R7)</f>
        <v>2860171.6318032</v>
      </c>
      <c r="AJ7" s="0" t="n">
        <f aca="false">x_EMP*x_WAGE*(x_WLOSS*(Q7+R7)+S7)+U7*x_ABS_D*x_WAGE/365</f>
        <v>471340392.947593</v>
      </c>
      <c r="AK7" s="0" t="n">
        <f aca="false">AJ7*x_R_FUS</f>
        <v>149132100.328618</v>
      </c>
      <c r="AL7" s="0" t="n">
        <f aca="false">AJ7*x_R_NFZ</f>
        <v>36604766.256703</v>
      </c>
      <c r="AM7" s="0" t="n">
        <f aca="false">AJ7*x_R_PIT</f>
        <v>31336676.6249308</v>
      </c>
      <c r="AN7" s="0" t="n">
        <f aca="false">AJ7*x_R_FP</f>
        <v>12019180.0201636</v>
      </c>
      <c r="AO7" s="0" t="n">
        <f aca="false">AA7+AB7+AC7+AD7+AF7</f>
        <v>525541789.470004</v>
      </c>
      <c r="AP7" s="0" t="n">
        <f aca="false">AO7+AE7+AG7+AH7+AI7+AK7+AL7+AM7+AN7</f>
        <v>805834588.089886</v>
      </c>
      <c r="AQ7" s="0" t="n">
        <f aca="false">AO7+AE7+AG7+AJ7</f>
        <v>998105802.962877</v>
      </c>
      <c r="AR7" s="0" t="n">
        <f aca="false">AB7+AC7+AD7+AF7</f>
        <v>217286508.496532</v>
      </c>
      <c r="AS7" s="0" t="n">
        <f aca="false">AR7+AE7+AG7</f>
        <v>218510129.041812</v>
      </c>
    </row>
    <row r="8" customFormat="false" ht="15" hidden="false" customHeight="false" outlineLevel="0" collapsed="false">
      <c r="A8" s="0" t="n">
        <v>2031</v>
      </c>
      <c r="B8" s="0" t="n">
        <v>5</v>
      </c>
      <c r="C8" s="0" t="n">
        <v>5837.956</v>
      </c>
      <c r="D8" s="0" t="n">
        <v>50000000</v>
      </c>
      <c r="E8" s="0" t="n">
        <v>0</v>
      </c>
      <c r="F8" s="0" t="n">
        <v>0</v>
      </c>
      <c r="G8" s="0" t="n">
        <v>1</v>
      </c>
      <c r="H8" s="0" t="n">
        <v>2690.204</v>
      </c>
      <c r="I8" s="0" t="n">
        <v>322.932</v>
      </c>
      <c r="J8" s="0" t="n">
        <v>1596.984</v>
      </c>
      <c r="K8" s="0" t="n">
        <v>2696.394</v>
      </c>
      <c r="L8" s="0" t="n">
        <v>1431.36</v>
      </c>
      <c r="M8" s="0" t="n">
        <v>31576.919</v>
      </c>
      <c r="N8" s="0" t="n">
        <v>3125.977</v>
      </c>
      <c r="O8" s="0" t="n">
        <v>89.777</v>
      </c>
      <c r="P8" s="0" t="n">
        <v>89.193</v>
      </c>
      <c r="Q8" s="0" t="n">
        <v>2215.991</v>
      </c>
      <c r="R8" s="0" t="n">
        <v>1933.958</v>
      </c>
      <c r="S8" s="0" t="n">
        <v>3533.522</v>
      </c>
      <c r="T8" s="0" t="n">
        <v>3013.136</v>
      </c>
      <c r="U8" s="0" t="n">
        <v>1903.771</v>
      </c>
      <c r="V8" s="0" t="n">
        <v>119860.719</v>
      </c>
      <c r="W8" s="0" t="n">
        <v>312.807</v>
      </c>
      <c r="X8" s="0" t="n">
        <v>835.793</v>
      </c>
      <c r="Y8" s="0" t="n">
        <v>89.777</v>
      </c>
      <c r="Z8" s="0" t="n">
        <v>963.061</v>
      </c>
      <c r="AA8" s="0" t="n">
        <f aca="false">H8*x_c_F+I8*x_c_CC+J8*x_c_DC+K8*x_c_HCC+L8*x_c_PLT+M8*x_c_SVRn+N8*x_c_SVRcc+O8*x_c_LT+P8*x_c_LT1</f>
        <v>316530870.193019</v>
      </c>
      <c r="AB8" s="0" t="n">
        <f aca="false">C8*x_c_DAA</f>
        <v>132871878.56</v>
      </c>
      <c r="AC8" s="0" t="n">
        <f aca="false">C8*x_c_MON</f>
        <v>33656574.609807</v>
      </c>
      <c r="AD8" s="0" t="n">
        <f aca="false">D8*(1-x_testy)</f>
        <v>50000000</v>
      </c>
      <c r="AE8" s="0" t="n">
        <f aca="false">E8*(1-x_testy)</f>
        <v>0</v>
      </c>
      <c r="AF8" s="0" t="n">
        <f aca="false">F8*x_NAV</f>
        <v>0</v>
      </c>
      <c r="AG8" s="0" t="n">
        <f aca="false">G8*x_FIX*(1-x_testy)</f>
        <v>1223620.54528</v>
      </c>
      <c r="AH8" s="0" t="n">
        <f aca="false">x_z_F*U8+(1-x_AGRI)*x_EMP*x_WLOSS*(x_PEN_K74*Q8+x_PEN_C22*R8)</f>
        <v>48271652.398713</v>
      </c>
      <c r="AI8" s="0" t="n">
        <f aca="false">x_AGRI*x_EMP*x_WLOSS*(x_PEN_K74*Q8+x_PEN_C22*R8)</f>
        <v>2931957.32890493</v>
      </c>
      <c r="AJ8" s="0" t="n">
        <f aca="false">x_EMP*x_WAGE*(x_WLOSS*(Q8+R8)+S8)+U8*x_ABS_D*x_WAGE/365</f>
        <v>533806386.667929</v>
      </c>
      <c r="AK8" s="0" t="n">
        <f aca="false">AJ8*x_R_FUS</f>
        <v>168896340.741733</v>
      </c>
      <c r="AL8" s="0" t="n">
        <f aca="false">AJ8*x_R_NFZ</f>
        <v>41455937.795018</v>
      </c>
      <c r="AM8" s="0" t="n">
        <f aca="false">AJ8*x_R_PIT</f>
        <v>35489676.6108385</v>
      </c>
      <c r="AN8" s="0" t="n">
        <f aca="false">AJ8*x_R_FP</f>
        <v>13612062.8600322</v>
      </c>
      <c r="AO8" s="0" t="n">
        <f aca="false">AA8+AB8+AC8+AD8+AF8</f>
        <v>533059323.362826</v>
      </c>
      <c r="AP8" s="0" t="n">
        <f aca="false">AO8+AE8+AG8+AH8+AI8+AK8+AL8+AM8+AN8</f>
        <v>844940571.643345</v>
      </c>
      <c r="AQ8" s="0" t="n">
        <f aca="false">AO8+AE8+AG8+AJ8</f>
        <v>1068089330.57603</v>
      </c>
      <c r="AR8" s="0" t="n">
        <f aca="false">AB8+AC8+AD8+AF8</f>
        <v>216528453.169807</v>
      </c>
      <c r="AS8" s="0" t="n">
        <f aca="false">AR8+AE8+AG8</f>
        <v>217752073.715087</v>
      </c>
    </row>
    <row r="9" customFormat="false" ht="15" hidden="false" customHeight="false" outlineLevel="0" collapsed="false">
      <c r="A9" s="0" t="n">
        <v>2032</v>
      </c>
      <c r="B9" s="0" t="n">
        <v>6</v>
      </c>
      <c r="C9" s="0" t="n">
        <v>5812.447</v>
      </c>
      <c r="D9" s="0" t="n">
        <v>50000000</v>
      </c>
      <c r="E9" s="0" t="n">
        <v>0</v>
      </c>
      <c r="F9" s="0" t="n">
        <v>0</v>
      </c>
      <c r="G9" s="0" t="n">
        <v>1</v>
      </c>
      <c r="H9" s="0" t="n">
        <v>2662.817</v>
      </c>
      <c r="I9" s="0" t="n">
        <v>334.582</v>
      </c>
      <c r="J9" s="0" t="n">
        <v>1620.016</v>
      </c>
      <c r="K9" s="0" t="n">
        <v>2754.305</v>
      </c>
      <c r="L9" s="0" t="n">
        <v>1416.993</v>
      </c>
      <c r="M9" s="0" t="n">
        <v>36138.643</v>
      </c>
      <c r="N9" s="0" t="n">
        <v>3650.07</v>
      </c>
      <c r="O9" s="0" t="n">
        <v>91.153</v>
      </c>
      <c r="P9" s="0" t="n">
        <v>90.465</v>
      </c>
      <c r="Q9" s="0" t="n">
        <v>2251.22</v>
      </c>
      <c r="R9" s="0" t="n">
        <v>2004.149</v>
      </c>
      <c r="S9" s="0" t="n">
        <v>4218.711</v>
      </c>
      <c r="T9" s="0" t="n">
        <v>2997.399</v>
      </c>
      <c r="U9" s="0" t="n">
        <v>1935.739</v>
      </c>
      <c r="V9" s="0" t="n">
        <v>121256.469</v>
      </c>
      <c r="W9" s="0" t="n">
        <v>320.177</v>
      </c>
      <c r="X9" s="0" t="n">
        <v>851.541</v>
      </c>
      <c r="Y9" s="0" t="n">
        <v>91.153</v>
      </c>
      <c r="Z9" s="0" t="n">
        <v>980.102</v>
      </c>
      <c r="AA9" s="0" t="n">
        <f aca="false">H9*x_c_F+I9*x_c_CC+J9*x_c_DC+K9*x_c_HCC+L9*x_c_PLT+M9*x_c_SVRn+N9*x_c_SVRcc+O9*x_c_LT+P9*x_c_LT1</f>
        <v>324875364.884453</v>
      </c>
      <c r="AB9" s="0" t="n">
        <f aca="false">C9*x_c_DAA</f>
        <v>132291293.72</v>
      </c>
      <c r="AC9" s="0" t="n">
        <f aca="false">C9*x_c_MON</f>
        <v>33509511.9115404</v>
      </c>
      <c r="AD9" s="0" t="n">
        <f aca="false">D9*(1-x_testy)</f>
        <v>50000000</v>
      </c>
      <c r="AE9" s="0" t="n">
        <f aca="false">E9*(1-x_testy)</f>
        <v>0</v>
      </c>
      <c r="AF9" s="0" t="n">
        <f aca="false">F9*x_NAV</f>
        <v>0</v>
      </c>
      <c r="AG9" s="0" t="n">
        <f aca="false">G9*x_FIX*(1-x_testy)</f>
        <v>1223620.54528</v>
      </c>
      <c r="AH9" s="0" t="n">
        <f aca="false">x_z_F*U9+(1-x_AGRI)*x_EMP*x_WLOSS*(x_PEN_K74*Q9+x_PEN_C22*R9)</f>
        <v>49493068.1047374</v>
      </c>
      <c r="AI9" s="0" t="n">
        <f aca="false">x_AGRI*x_EMP*x_WLOSS*(x_PEN_K74*Q9+x_PEN_C22*R9)</f>
        <v>3008346.3843101</v>
      </c>
      <c r="AJ9" s="0" t="n">
        <f aca="false">x_EMP*x_WAGE*(x_WLOSS*(Q9+R9)+S9)+U9*x_ABS_D*x_WAGE/365</f>
        <v>598084846.034379</v>
      </c>
      <c r="AK9" s="0" t="n">
        <f aca="false">AJ9*x_R_FUS</f>
        <v>189234045.285277</v>
      </c>
      <c r="AL9" s="0" t="n">
        <f aca="false">AJ9*x_R_NFZ</f>
        <v>46447867.2278759</v>
      </c>
      <c r="AM9" s="0" t="n">
        <f aca="false">AJ9*x_R_PIT</f>
        <v>39763176.8778508</v>
      </c>
      <c r="AN9" s="0" t="n">
        <f aca="false">AJ9*x_R_FP</f>
        <v>15251163.5738767</v>
      </c>
      <c r="AO9" s="0" t="n">
        <f aca="false">AA9+AB9+AC9+AD9+AF9</f>
        <v>540676170.515993</v>
      </c>
      <c r="AP9" s="0" t="n">
        <f aca="false">AO9+AE9+AG9+AH9+AI9+AK9+AL9+AM9+AN9</f>
        <v>885097458.515201</v>
      </c>
      <c r="AQ9" s="0" t="n">
        <f aca="false">AO9+AE9+AG9+AJ9</f>
        <v>1139984637.09565</v>
      </c>
      <c r="AR9" s="0" t="n">
        <f aca="false">AB9+AC9+AD9+AF9</f>
        <v>215800805.63154</v>
      </c>
      <c r="AS9" s="0" t="n">
        <f aca="false">AR9+AE9+AG9</f>
        <v>217024426.17682</v>
      </c>
    </row>
    <row r="10" customFormat="false" ht="15" hidden="false" customHeight="false" outlineLevel="0" collapsed="false">
      <c r="A10" s="0" t="n">
        <v>2033</v>
      </c>
      <c r="B10" s="0" t="n">
        <v>7</v>
      </c>
      <c r="C10" s="0" t="n">
        <v>5787.908</v>
      </c>
      <c r="D10" s="0" t="n">
        <v>50000000</v>
      </c>
      <c r="E10" s="0" t="n">
        <v>0</v>
      </c>
      <c r="F10" s="0" t="n">
        <v>0</v>
      </c>
      <c r="G10" s="0" t="n">
        <v>1</v>
      </c>
      <c r="H10" s="0" t="n">
        <v>2637.604</v>
      </c>
      <c r="I10" s="0" t="n">
        <v>344.541</v>
      </c>
      <c r="J10" s="0" t="n">
        <v>1644.32</v>
      </c>
      <c r="K10" s="0" t="n">
        <v>2807.41</v>
      </c>
      <c r="L10" s="0" t="n">
        <v>1403.264</v>
      </c>
      <c r="M10" s="0" t="n">
        <v>40581.419</v>
      </c>
      <c r="N10" s="0" t="n">
        <v>4173.275</v>
      </c>
      <c r="O10" s="0" t="n">
        <v>92.597</v>
      </c>
      <c r="P10" s="0" t="n">
        <v>91.875</v>
      </c>
      <c r="Q10" s="0" t="n">
        <v>2289.652</v>
      </c>
      <c r="R10" s="0" t="n">
        <v>2072.888</v>
      </c>
      <c r="S10" s="0" t="n">
        <v>4921.085</v>
      </c>
      <c r="T10" s="0" t="n">
        <v>2982.145</v>
      </c>
      <c r="U10" s="0" t="n">
        <v>1965.997</v>
      </c>
      <c r="V10" s="0" t="n">
        <v>122665.004</v>
      </c>
      <c r="W10" s="0" t="n">
        <v>325.824</v>
      </c>
      <c r="X10" s="0" t="n">
        <v>862.768</v>
      </c>
      <c r="Y10" s="0" t="n">
        <v>92.597</v>
      </c>
      <c r="Z10" s="0" t="n">
        <v>996.632</v>
      </c>
      <c r="AA10" s="0" t="n">
        <f aca="false">H10*x_c_F+I10*x_c_CC+J10*x_c_DC+K10*x_c_HCC+L10*x_c_PLT+M10*x_c_SVRn+N10*x_c_SVRcc+O10*x_c_LT+P10*x_c_LT1</f>
        <v>332912770.169855</v>
      </c>
      <c r="AB10" s="0" t="n">
        <f aca="false">C10*x_c_DAA</f>
        <v>131732786.08</v>
      </c>
      <c r="AC10" s="0" t="n">
        <f aca="false">C10*x_c_MON</f>
        <v>33368041.3892634</v>
      </c>
      <c r="AD10" s="0" t="n">
        <f aca="false">D10*(1-x_testy)</f>
        <v>50000000</v>
      </c>
      <c r="AE10" s="0" t="n">
        <f aca="false">E10*(1-x_testy)</f>
        <v>0</v>
      </c>
      <c r="AF10" s="0" t="n">
        <f aca="false">F10*x_NAV</f>
        <v>0</v>
      </c>
      <c r="AG10" s="0" t="n">
        <f aca="false">G10*x_FIX*(1-x_testy)</f>
        <v>1223620.54528</v>
      </c>
      <c r="AH10" s="0" t="n">
        <f aca="false">x_z_F*U10+(1-x_AGRI)*x_EMP*x_WLOSS*(x_PEN_K74*Q10+x_PEN_C22*R10)</f>
        <v>50726573.7647452</v>
      </c>
      <c r="AI10" s="0" t="n">
        <f aca="false">x_AGRI*x_EMP*x_WLOSS*(x_PEN_K74*Q10+x_PEN_C22*R10)</f>
        <v>3085766.93690738</v>
      </c>
      <c r="AJ10" s="0" t="n">
        <f aca="false">x_EMP*x_WAGE*(x_WLOSS*(Q10+R10)+S10)+U10*x_ABS_D*x_WAGE/365</f>
        <v>663919239.306899</v>
      </c>
      <c r="AK10" s="0" t="n">
        <f aca="false">AJ10*x_R_FUS</f>
        <v>210064047.316703</v>
      </c>
      <c r="AL10" s="0" t="n">
        <f aca="false">AJ10*x_R_NFZ</f>
        <v>51560632.0438131</v>
      </c>
      <c r="AM10" s="0" t="n">
        <f aca="false">AJ10*x_R_PIT</f>
        <v>44140122.1251657</v>
      </c>
      <c r="AN10" s="0" t="n">
        <f aca="false">AJ10*x_R_FP</f>
        <v>16929940.6023259</v>
      </c>
      <c r="AO10" s="0" t="n">
        <f aca="false">AA10+AB10+AC10+AD10+AF10</f>
        <v>548013597.639118</v>
      </c>
      <c r="AP10" s="0" t="n">
        <f aca="false">AO10+AE10+AG10+AH10+AI10+AK10+AL10+AM10+AN10</f>
        <v>925744300.974058</v>
      </c>
      <c r="AQ10" s="0" t="n">
        <f aca="false">AO10+AE10+AG10+AJ10</f>
        <v>1213156457.4913</v>
      </c>
      <c r="AR10" s="0" t="n">
        <f aca="false">AB10+AC10+AD10+AF10</f>
        <v>215100827.469263</v>
      </c>
      <c r="AS10" s="0" t="n">
        <f aca="false">AR10+AE10+AG10</f>
        <v>216324448.014543</v>
      </c>
    </row>
    <row r="11" customFormat="false" ht="15" hidden="false" customHeight="false" outlineLevel="0" collapsed="false">
      <c r="A11" s="0" t="n">
        <v>2034</v>
      </c>
      <c r="B11" s="0" t="n">
        <v>8</v>
      </c>
      <c r="C11" s="0" t="n">
        <v>5764.307</v>
      </c>
      <c r="D11" s="0" t="n">
        <v>50000000</v>
      </c>
      <c r="E11" s="0" t="n">
        <v>0</v>
      </c>
      <c r="F11" s="0" t="n">
        <v>0</v>
      </c>
      <c r="G11" s="0" t="n">
        <v>1</v>
      </c>
      <c r="H11" s="0" t="n">
        <v>2614.751</v>
      </c>
      <c r="I11" s="0" t="n">
        <v>352.597</v>
      </c>
      <c r="J11" s="0" t="n">
        <v>1667.77</v>
      </c>
      <c r="K11" s="0" t="n">
        <v>2852.363</v>
      </c>
      <c r="L11" s="0" t="n">
        <v>1390.202</v>
      </c>
      <c r="M11" s="0" t="n">
        <v>44907.583</v>
      </c>
      <c r="N11" s="0" t="n">
        <v>4691.051</v>
      </c>
      <c r="O11" s="0" t="n">
        <v>93.976</v>
      </c>
      <c r="P11" s="0" t="n">
        <v>93.286</v>
      </c>
      <c r="Q11" s="0" t="n">
        <v>2329.669</v>
      </c>
      <c r="R11" s="0" t="n">
        <v>2137.573</v>
      </c>
      <c r="S11" s="0" t="n">
        <v>5639.581</v>
      </c>
      <c r="T11" s="0" t="n">
        <v>2967.348</v>
      </c>
      <c r="U11" s="0" t="n">
        <v>1994.584</v>
      </c>
      <c r="V11" s="0" t="n">
        <v>124078.802</v>
      </c>
      <c r="W11" s="0" t="n">
        <v>329.595</v>
      </c>
      <c r="X11" s="0" t="n">
        <v>869.342</v>
      </c>
      <c r="Y11" s="0" t="n">
        <v>93.976</v>
      </c>
      <c r="Z11" s="0" t="n">
        <v>1011.33</v>
      </c>
      <c r="AA11" s="0" t="n">
        <f aca="false">H11*x_c_F+I11*x_c_CC+J11*x_c_DC+K11*x_c_HCC+L11*x_c_PLT+M11*x_c_SVRn+N11*x_c_SVRcc+O11*x_c_LT+P11*x_c_LT1</f>
        <v>340331498.073213</v>
      </c>
      <c r="AB11" s="0" t="n">
        <f aca="false">C11*x_c_DAA</f>
        <v>131195627.32</v>
      </c>
      <c r="AC11" s="0" t="n">
        <f aca="false">C11*x_c_MON</f>
        <v>33231978.5588197</v>
      </c>
      <c r="AD11" s="0" t="n">
        <f aca="false">D11*(1-x_testy)</f>
        <v>50000000</v>
      </c>
      <c r="AE11" s="0" t="n">
        <f aca="false">E11*(1-x_testy)</f>
        <v>0</v>
      </c>
      <c r="AF11" s="0" t="n">
        <f aca="false">F11*x_NAV</f>
        <v>0</v>
      </c>
      <c r="AG11" s="0" t="n">
        <f aca="false">G11*x_FIX*(1-x_testy)</f>
        <v>1223620.54528</v>
      </c>
      <c r="AH11" s="0" t="n">
        <f aca="false">x_z_F*U11+(1-x_AGRI)*x_EMP*x_WLOSS*(x_PEN_K74*Q11+x_PEN_C22*R11)</f>
        <v>51926271.7223044</v>
      </c>
      <c r="AI11" s="0" t="n">
        <f aca="false">x_AGRI*x_EMP*x_WLOSS*(x_PEN_K74*Q11+x_PEN_C22*R11)</f>
        <v>3161179.93991534</v>
      </c>
      <c r="AJ11" s="0" t="n">
        <f aca="false">x_EMP*x_WAGE*(x_WLOSS*(Q11+R11)+S11)+U11*x_ABS_D*x_WAGE/365</f>
        <v>730988273.890604</v>
      </c>
      <c r="AK11" s="0" t="n">
        <f aca="false">AJ11*x_R_FUS</f>
        <v>231284689.858987</v>
      </c>
      <c r="AL11" s="0" t="n">
        <f aca="false">AJ11*x_R_NFZ</f>
        <v>56769280.3386182</v>
      </c>
      <c r="AM11" s="0" t="n">
        <f aca="false">AJ11*x_R_PIT</f>
        <v>48599151.4800496</v>
      </c>
      <c r="AN11" s="0" t="n">
        <f aca="false">AJ11*x_R_FP</f>
        <v>18640200.9842104</v>
      </c>
      <c r="AO11" s="0" t="n">
        <f aca="false">AA11+AB11+AC11+AD11+AF11</f>
        <v>554759103.952033</v>
      </c>
      <c r="AP11" s="0" t="n">
        <f aca="false">AO11+AE11+AG11+AH11+AI11+AK11+AL11+AM11+AN11</f>
        <v>966363498.821398</v>
      </c>
      <c r="AQ11" s="0" t="n">
        <f aca="false">AO11+AE11+AG11+AJ11</f>
        <v>1286970998.38792</v>
      </c>
      <c r="AR11" s="0" t="n">
        <f aca="false">AB11+AC11+AD11+AF11</f>
        <v>214427605.87882</v>
      </c>
      <c r="AS11" s="0" t="n">
        <f aca="false">AR11+AE11+AG11</f>
        <v>215651226.4241</v>
      </c>
    </row>
    <row r="12" customFormat="false" ht="15" hidden="false" customHeight="false" outlineLevel="0" collapsed="false">
      <c r="A12" s="0" t="n">
        <v>2035</v>
      </c>
      <c r="B12" s="0" t="n">
        <v>9</v>
      </c>
      <c r="C12" s="0" t="n">
        <v>5741.579</v>
      </c>
      <c r="D12" s="0" t="n">
        <v>50000000</v>
      </c>
      <c r="E12" s="0" t="n">
        <v>0</v>
      </c>
      <c r="F12" s="0" t="n">
        <v>0</v>
      </c>
      <c r="G12" s="0" t="n">
        <v>1</v>
      </c>
      <c r="H12" s="0" t="n">
        <v>2401.903</v>
      </c>
      <c r="I12" s="0" t="n">
        <v>331.735</v>
      </c>
      <c r="J12" s="0" t="n">
        <v>1688.516</v>
      </c>
      <c r="K12" s="0" t="n">
        <v>2886.756</v>
      </c>
      <c r="L12" s="0" t="n">
        <v>1377.714</v>
      </c>
      <c r="M12" s="0" t="n">
        <v>48741.965</v>
      </c>
      <c r="N12" s="0" t="n">
        <v>5145.901</v>
      </c>
      <c r="O12" s="0" t="n">
        <v>95.185</v>
      </c>
      <c r="P12" s="0" t="n">
        <v>94.581</v>
      </c>
      <c r="Q12" s="0" t="n">
        <v>2369.737</v>
      </c>
      <c r="R12" s="0" t="n">
        <v>2196.226</v>
      </c>
      <c r="S12" s="0" t="n">
        <v>6372.126</v>
      </c>
      <c r="T12" s="0" t="n">
        <v>2733.637</v>
      </c>
      <c r="U12" s="0" t="n">
        <v>1870.026</v>
      </c>
      <c r="V12" s="0" t="n">
        <v>125467.855</v>
      </c>
      <c r="W12" s="0" t="n">
        <v>331.444</v>
      </c>
      <c r="X12" s="0" t="n">
        <v>871.328</v>
      </c>
      <c r="Y12" s="0" t="n">
        <v>95.185</v>
      </c>
      <c r="Z12" s="0" t="n">
        <v>1023.22</v>
      </c>
      <c r="AA12" s="0" t="n">
        <f aca="false">H12*x_c_F+I12*x_c_CC+J12*x_c_DC+K12*x_c_HCC+L12*x_c_PLT+M12*x_c_SVRn+N12*x_c_SVRcc+O12*x_c_LT+P12*x_c_LT1</f>
        <v>345799225.88181</v>
      </c>
      <c r="AB12" s="0" t="n">
        <f aca="false">C12*x_c_DAA</f>
        <v>130678338.04</v>
      </c>
      <c r="AC12" s="0" t="n">
        <f aca="false">C12*x_c_MON</f>
        <v>33100948.6867666</v>
      </c>
      <c r="AD12" s="0" t="n">
        <f aca="false">D12*(1-x_testy)</f>
        <v>50000000</v>
      </c>
      <c r="AE12" s="0" t="n">
        <f aca="false">E12*(1-x_testy)</f>
        <v>0</v>
      </c>
      <c r="AF12" s="0" t="n">
        <f aca="false">F12*x_NAV</f>
        <v>0</v>
      </c>
      <c r="AG12" s="0" t="n">
        <f aca="false">G12*x_FIX*(1-x_testy)</f>
        <v>1223620.54528</v>
      </c>
      <c r="AH12" s="0" t="n">
        <f aca="false">x_z_F*U12+(1-x_AGRI)*x_EMP*x_WLOSS*(x_PEN_K74*Q12+x_PEN_C22*R12)</f>
        <v>52742738.642427</v>
      </c>
      <c r="AI12" s="0" t="n">
        <f aca="false">x_AGRI*x_EMP*x_WLOSS*(x_PEN_K74*Q12+x_PEN_C22*R12)</f>
        <v>3232073.20776315</v>
      </c>
      <c r="AJ12" s="0" t="n">
        <f aca="false">x_EMP*x_WAGE*(x_WLOSS*(Q12+R12)+S12)+U12*x_ABS_D*x_WAGE/365</f>
        <v>798478208.092174</v>
      </c>
      <c r="AK12" s="0" t="n">
        <f aca="false">AJ12*x_R_FUS</f>
        <v>252638505.040364</v>
      </c>
      <c r="AL12" s="0" t="n">
        <f aca="false">AJ12*x_R_NFZ</f>
        <v>62010616.1186463</v>
      </c>
      <c r="AM12" s="0" t="n">
        <f aca="false">AJ12*x_R_PIT</f>
        <v>53086163.998299</v>
      </c>
      <c r="AN12" s="0" t="n">
        <f aca="false">AJ12*x_R_FP</f>
        <v>20361194.3063504</v>
      </c>
      <c r="AO12" s="0" t="n">
        <f aca="false">AA12+AB12+AC12+AD12+AF12</f>
        <v>559578512.608577</v>
      </c>
      <c r="AP12" s="0" t="n">
        <f aca="false">AO12+AE12+AG12+AH12+AI12+AK12+AL12+AM12+AN12</f>
        <v>1004873424.46771</v>
      </c>
      <c r="AQ12" s="0" t="n">
        <f aca="false">AO12+AE12+AG12+AJ12</f>
        <v>1359280341.24603</v>
      </c>
      <c r="AR12" s="0" t="n">
        <f aca="false">AB12+AC12+AD12+AF12</f>
        <v>213779286.726767</v>
      </c>
      <c r="AS12" s="0" t="n">
        <f aca="false">AR12+AE12+AG12</f>
        <v>215002907.272047</v>
      </c>
    </row>
    <row r="13" customFormat="false" ht="15" hidden="false" customHeight="false" outlineLevel="0" collapsed="false">
      <c r="A13" s="0" t="n">
        <v>2036</v>
      </c>
      <c r="B13" s="0" t="n">
        <v>10</v>
      </c>
      <c r="C13" s="0" t="n">
        <v>4832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2197.105</v>
      </c>
      <c r="I13" s="0" t="n">
        <v>309.251</v>
      </c>
      <c r="J13" s="0" t="n">
        <v>1705.908</v>
      </c>
      <c r="K13" s="0" t="n">
        <v>2911.047</v>
      </c>
      <c r="L13" s="0" t="n">
        <v>1365.586</v>
      </c>
      <c r="M13" s="0" t="n">
        <v>52100.495</v>
      </c>
      <c r="N13" s="0" t="n">
        <v>5535.595</v>
      </c>
      <c r="O13" s="0" t="n">
        <v>96.13</v>
      </c>
      <c r="P13" s="0" t="n">
        <v>95.658</v>
      </c>
      <c r="Q13" s="0" t="n">
        <v>2409.161</v>
      </c>
      <c r="R13" s="0" t="n">
        <v>2249.068</v>
      </c>
      <c r="S13" s="0" t="n">
        <v>7115.807</v>
      </c>
      <c r="T13" s="0" t="n">
        <v>2506.356</v>
      </c>
      <c r="U13" s="0" t="n">
        <v>1745.465</v>
      </c>
      <c r="V13" s="0" t="n">
        <v>126825.319</v>
      </c>
      <c r="W13" s="0" t="n">
        <v>333.187</v>
      </c>
      <c r="X13" s="0" t="n">
        <v>873.034</v>
      </c>
      <c r="Y13" s="0" t="n">
        <v>96.13</v>
      </c>
      <c r="Z13" s="0" t="n">
        <v>1031.517</v>
      </c>
      <c r="AA13" s="0" t="n">
        <f aca="false">H13*x_c_F+I13*x_c_CC+J13*x_c_DC+K13*x_c_HCC+L13*x_c_PLT+M13*x_c_SVRn+N13*x_c_SVRcc+O13*x_c_LT+P13*x_c_LT1</f>
        <v>350026868.997597</v>
      </c>
      <c r="AB13" s="0" t="n">
        <f aca="false">C13*x_c_DAA</f>
        <v>109976320</v>
      </c>
      <c r="AC13" s="0" t="n">
        <f aca="false">C13*x_c_MON</f>
        <v>27857107.6100244</v>
      </c>
      <c r="AD13" s="0" t="n">
        <f aca="false">D13*(1-x_testy)</f>
        <v>0</v>
      </c>
      <c r="AE13" s="0" t="n">
        <f aca="false">E13*(1-x_testy)</f>
        <v>0</v>
      </c>
      <c r="AF13" s="0" t="n">
        <f aca="false">F13*x_NAV</f>
        <v>0</v>
      </c>
      <c r="AG13" s="0" t="n">
        <f aca="false">G13*x_FIX*(1-x_testy)</f>
        <v>0</v>
      </c>
      <c r="AH13" s="0" t="n">
        <f aca="false">x_z_F*U13+(1-x_AGRI)*x_EMP*x_WLOSS*(x_PEN_K74*Q13+x_PEN_C22*R13)</f>
        <v>53486359.745353</v>
      </c>
      <c r="AI13" s="0" t="n">
        <f aca="false">x_AGRI*x_EMP*x_WLOSS*(x_PEN_K74*Q13+x_PEN_C22*R13)</f>
        <v>3298151.91455813</v>
      </c>
      <c r="AJ13" s="0" t="n">
        <f aca="false">x_EMP*x_WAGE*(x_WLOSS*(Q13+R13)+S13)+U13*x_ABS_D*x_WAGE/365</f>
        <v>866564595.666777</v>
      </c>
      <c r="AK13" s="0" t="n">
        <f aca="false">AJ13*x_R_FUS</f>
        <v>274181038.068968</v>
      </c>
      <c r="AL13" s="0" t="n">
        <f aca="false">AJ13*x_R_NFZ</f>
        <v>67298273.0640775</v>
      </c>
      <c r="AM13" s="0" t="n">
        <f aca="false">AJ13*x_R_PIT</f>
        <v>57612831.2262917</v>
      </c>
      <c r="AN13" s="0" t="n">
        <f aca="false">AJ13*x_R_FP</f>
        <v>22097397.1895028</v>
      </c>
      <c r="AO13" s="0" t="n">
        <f aca="false">AA13+AB13+AC13+AD13+AF13</f>
        <v>487860296.607622</v>
      </c>
      <c r="AP13" s="0" t="n">
        <f aca="false">AO13+AE13+AG13+AH13+AI13+AK13+AL13+AM13+AN13</f>
        <v>965834347.816373</v>
      </c>
      <c r="AQ13" s="0" t="n">
        <f aca="false">AO13+AE13+AG13+AJ13</f>
        <v>1354424892.2744</v>
      </c>
      <c r="AR13" s="0" t="n">
        <f aca="false">AB13+AC13+AD13+AF13</f>
        <v>137833427.610024</v>
      </c>
      <c r="AS13" s="0" t="n">
        <f aca="false">AR13+AE13+AG13</f>
        <v>137833427.610024</v>
      </c>
    </row>
    <row r="14" customFormat="false" ht="15" hidden="false" customHeight="false" outlineLevel="0" collapsed="false">
      <c r="A14" s="0" t="n">
        <v>2037</v>
      </c>
      <c r="B14" s="0" t="n">
        <v>11</v>
      </c>
      <c r="C14" s="0" t="n">
        <v>4832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2192.396</v>
      </c>
      <c r="I14" s="0" t="n">
        <v>312.245</v>
      </c>
      <c r="J14" s="0" t="n">
        <v>1719.478</v>
      </c>
      <c r="K14" s="0" t="n">
        <v>2925.845</v>
      </c>
      <c r="L14" s="0" t="n">
        <v>1353.496</v>
      </c>
      <c r="M14" s="0" t="n">
        <v>55375.24</v>
      </c>
      <c r="N14" s="0" t="n">
        <v>5911.053</v>
      </c>
      <c r="O14" s="0" t="n">
        <v>96.856</v>
      </c>
      <c r="P14" s="0" t="n">
        <v>96.493</v>
      </c>
      <c r="Q14" s="0" t="n">
        <v>2447.363</v>
      </c>
      <c r="R14" s="0" t="n">
        <v>2296.446</v>
      </c>
      <c r="S14" s="0" t="n">
        <v>7867.498</v>
      </c>
      <c r="T14" s="0" t="n">
        <v>2504.64</v>
      </c>
      <c r="U14" s="0" t="n">
        <v>1772.488</v>
      </c>
      <c r="V14" s="0" t="n">
        <v>128166.754</v>
      </c>
      <c r="W14" s="0" t="n">
        <v>333.194</v>
      </c>
      <c r="X14" s="0" t="n">
        <v>870.786</v>
      </c>
      <c r="Y14" s="0" t="n">
        <v>96.856</v>
      </c>
      <c r="Z14" s="0" t="n">
        <v>1037.02</v>
      </c>
      <c r="AA14" s="0" t="n">
        <f aca="false">H14*x_c_F+I14*x_c_CC+J14*x_c_DC+K14*x_c_HCC+L14*x_c_PLT+M14*x_c_SVRn+N14*x_c_SVRcc+O14*x_c_LT+P14*x_c_LT1</f>
        <v>354143158.293732</v>
      </c>
      <c r="AB14" s="0" t="n">
        <f aca="false">C14*x_c_DAA</f>
        <v>109976320</v>
      </c>
      <c r="AC14" s="0" t="n">
        <f aca="false">C14*x_c_MON</f>
        <v>27857107.6100244</v>
      </c>
      <c r="AD14" s="0" t="n">
        <f aca="false">D14*(1-x_testy)</f>
        <v>0</v>
      </c>
      <c r="AE14" s="0" t="n">
        <f aca="false">E14*(1-x_testy)</f>
        <v>0</v>
      </c>
      <c r="AF14" s="0" t="n">
        <f aca="false">F14*x_NAV</f>
        <v>0</v>
      </c>
      <c r="AG14" s="0" t="n">
        <f aca="false">G14*x_FIX*(1-x_testy)</f>
        <v>0</v>
      </c>
      <c r="AH14" s="0" t="n">
        <f aca="false">x_z_F*U14+(1-x_AGRI)*x_EMP*x_WLOSS*(x_PEN_K74*Q14+x_PEN_C22*R14)</f>
        <v>54466938.1731474</v>
      </c>
      <c r="AI14" s="0" t="n">
        <f aca="false">x_AGRI*x_EMP*x_WLOSS*(x_PEN_K74*Q14+x_PEN_C22*R14)</f>
        <v>3359294.07141164</v>
      </c>
      <c r="AJ14" s="0" t="n">
        <f aca="false">x_EMP*x_WAGE*(x_WLOSS*(Q14+R14)+S14)+U14*x_ABS_D*x_WAGE/365</f>
        <v>935413550.950737</v>
      </c>
      <c r="AK14" s="0" t="n">
        <f aca="false">AJ14*x_R_FUS</f>
        <v>295964847.520813</v>
      </c>
      <c r="AL14" s="0" t="n">
        <f aca="false">AJ14*x_R_NFZ</f>
        <v>72645151.7803852</v>
      </c>
      <c r="AM14" s="0" t="n">
        <f aca="false">AJ14*x_R_PIT</f>
        <v>62190197.1384418</v>
      </c>
      <c r="AN14" s="0" t="n">
        <f aca="false">AJ14*x_R_FP</f>
        <v>23853045.5492438</v>
      </c>
      <c r="AO14" s="0" t="n">
        <f aca="false">AA14+AB14+AC14+AD14+AF14</f>
        <v>491976585.903756</v>
      </c>
      <c r="AP14" s="0" t="n">
        <f aca="false">AO14+AE14+AG14+AH14+AI14+AK14+AL14+AM14+AN14</f>
        <v>1004456060.1372</v>
      </c>
      <c r="AQ14" s="0" t="n">
        <f aca="false">AO14+AE14+AG14+AJ14</f>
        <v>1427390136.85449</v>
      </c>
      <c r="AR14" s="0" t="n">
        <f aca="false">AB14+AC14+AD14+AF14</f>
        <v>137833427.610024</v>
      </c>
      <c r="AS14" s="0" t="n">
        <f aca="false">AR14+AE14+AG14</f>
        <v>137833427.610024</v>
      </c>
    </row>
    <row r="15" customFormat="false" ht="15" hidden="false" customHeight="false" outlineLevel="0" collapsed="false">
      <c r="A15" s="0" t="n">
        <v>2038</v>
      </c>
      <c r="B15" s="0" t="n">
        <v>12</v>
      </c>
      <c r="C15" s="0" t="n">
        <v>4832</v>
      </c>
      <c r="D15" s="0" t="n">
        <v>0</v>
      </c>
      <c r="E15" s="0" t="n">
        <v>0</v>
      </c>
      <c r="F15" s="0" t="n">
        <v>0</v>
      </c>
      <c r="G15" s="0" t="n">
        <v>0</v>
      </c>
      <c r="H15" s="0" t="n">
        <v>2189.313</v>
      </c>
      <c r="I15" s="0" t="n">
        <v>313.615</v>
      </c>
      <c r="J15" s="0" t="n">
        <v>1728.076</v>
      </c>
      <c r="K15" s="0" t="n">
        <v>2929.894</v>
      </c>
      <c r="L15" s="0" t="n">
        <v>1341.114</v>
      </c>
      <c r="M15" s="0" t="n">
        <v>58565.782</v>
      </c>
      <c r="N15" s="0" t="n">
        <v>6268.357</v>
      </c>
      <c r="O15" s="0" t="n">
        <v>97.291</v>
      </c>
      <c r="P15" s="0" t="n">
        <v>97.073</v>
      </c>
      <c r="Q15" s="0" t="n">
        <v>1613.586</v>
      </c>
      <c r="R15" s="0" t="n">
        <v>1532.299</v>
      </c>
      <c r="S15" s="0" t="n">
        <v>5477.165</v>
      </c>
      <c r="T15" s="0" t="n">
        <v>2502.928</v>
      </c>
      <c r="U15" s="0" t="n">
        <v>1518.453</v>
      </c>
      <c r="V15" s="0" t="n">
        <v>129486.108</v>
      </c>
      <c r="W15" s="0" t="n">
        <v>331.552</v>
      </c>
      <c r="X15" s="0" t="n">
        <v>864.84</v>
      </c>
      <c r="Y15" s="0" t="n">
        <v>97.291</v>
      </c>
      <c r="Z15" s="0" t="n">
        <v>1039.138</v>
      </c>
      <c r="AA15" s="0" t="n">
        <f aca="false">H15*x_c_F+I15*x_c_CC+J15*x_c_DC+K15*x_c_HCC+L15*x_c_PLT+M15*x_c_SVRn+N15*x_c_SVRcc+O15*x_c_LT+P15*x_c_LT1</f>
        <v>357267298.087884</v>
      </c>
      <c r="AB15" s="0" t="n">
        <f aca="false">C15*x_c_DAA</f>
        <v>109976320</v>
      </c>
      <c r="AC15" s="0" t="n">
        <f aca="false">C15*x_c_MON</f>
        <v>27857107.6100244</v>
      </c>
      <c r="AD15" s="0" t="n">
        <f aca="false">D15*(1-x_testy)</f>
        <v>0</v>
      </c>
      <c r="AE15" s="0" t="n">
        <f aca="false">E15*(1-x_testy)</f>
        <v>0</v>
      </c>
      <c r="AF15" s="0" t="n">
        <f aca="false">F15*x_NAV</f>
        <v>0</v>
      </c>
      <c r="AG15" s="0" t="n">
        <f aca="false">G15*x_FIX*(1-x_testy)</f>
        <v>0</v>
      </c>
      <c r="AH15" s="0" t="n">
        <f aca="false">x_z_F*U15+(1-x_AGRI)*x_EMP*x_WLOSS*(x_PEN_K74*Q15+x_PEN_C22*R15)</f>
        <v>36838171.0564571</v>
      </c>
      <c r="AI15" s="0" t="n">
        <f aca="false">x_AGRI*x_EMP*x_WLOSS*(x_PEN_K74*Q15+x_PEN_C22*R15)</f>
        <v>2228587.58680591</v>
      </c>
      <c r="AJ15" s="0" t="n">
        <f aca="false">x_EMP*x_WAGE*(x_WLOSS*(Q15+R15)+S15)+U15*x_ABS_D*x_WAGE/365</f>
        <v>643482187.731598</v>
      </c>
      <c r="AK15" s="0" t="n">
        <f aca="false">AJ15*x_R_FUS</f>
        <v>203597764.198278</v>
      </c>
      <c r="AL15" s="0" t="n">
        <f aca="false">AJ15*x_R_NFZ</f>
        <v>49973470.1814237</v>
      </c>
      <c r="AM15" s="0" t="n">
        <f aca="false">AJ15*x_R_PIT</f>
        <v>42781381.6353527</v>
      </c>
      <c r="AN15" s="0" t="n">
        <f aca="false">AJ15*x_R_FP</f>
        <v>16408795.7871558</v>
      </c>
      <c r="AO15" s="0" t="n">
        <f aca="false">AA15+AB15+AC15+AD15+AF15</f>
        <v>495100725.697909</v>
      </c>
      <c r="AP15" s="0" t="n">
        <f aca="false">AO15+AE15+AG15+AH15+AI15+AK15+AL15+AM15+AN15</f>
        <v>846928896.143381</v>
      </c>
      <c r="AQ15" s="0" t="n">
        <f aca="false">AO15+AE15+AG15+AJ15</f>
        <v>1138582913.42951</v>
      </c>
      <c r="AR15" s="0" t="n">
        <f aca="false">AB15+AC15+AD15+AF15</f>
        <v>137833427.610024</v>
      </c>
      <c r="AS15" s="0" t="n">
        <f aca="false">AR15+AE15+AG15</f>
        <v>137833427.610024</v>
      </c>
    </row>
    <row r="16" customFormat="false" ht="15" hidden="false" customHeight="false" outlineLevel="0" collapsed="false">
      <c r="A16" s="0" t="n">
        <v>2039</v>
      </c>
      <c r="B16" s="0" t="n">
        <v>13</v>
      </c>
      <c r="C16" s="0" t="n">
        <v>4832</v>
      </c>
      <c r="D16" s="0" t="n">
        <v>0</v>
      </c>
      <c r="E16" s="0" t="n">
        <v>0</v>
      </c>
      <c r="F16" s="0" t="n">
        <v>0</v>
      </c>
      <c r="G16" s="0" t="n">
        <v>0</v>
      </c>
      <c r="H16" s="0" t="n">
        <v>2187.788</v>
      </c>
      <c r="I16" s="0" t="n">
        <v>313.435</v>
      </c>
      <c r="J16" s="0" t="n">
        <v>1730.874</v>
      </c>
      <c r="K16" s="0" t="n">
        <v>2922.607</v>
      </c>
      <c r="L16" s="0" t="n">
        <v>1328.102</v>
      </c>
      <c r="M16" s="0" t="n">
        <v>61671.184</v>
      </c>
      <c r="N16" s="0" t="n">
        <v>6603.736</v>
      </c>
      <c r="O16" s="0" t="n">
        <v>97.389</v>
      </c>
      <c r="P16" s="0" t="n">
        <v>97.34</v>
      </c>
      <c r="Q16" s="0" t="n">
        <v>771.773</v>
      </c>
      <c r="R16" s="0" t="n">
        <v>760.224</v>
      </c>
      <c r="S16" s="0" t="n">
        <v>2840.053</v>
      </c>
      <c r="T16" s="0" t="n">
        <v>2501.223</v>
      </c>
      <c r="U16" s="0" t="n">
        <v>1279.398</v>
      </c>
      <c r="V16" s="0" t="n">
        <v>130777.76</v>
      </c>
      <c r="W16" s="0" t="n">
        <v>328.389</v>
      </c>
      <c r="X16" s="0" t="n">
        <v>855.516</v>
      </c>
      <c r="Y16" s="0" t="n">
        <v>97.389</v>
      </c>
      <c r="Z16" s="0" t="n">
        <v>1037.519</v>
      </c>
      <c r="AA16" s="0" t="n">
        <f aca="false">H16*x_c_F+I16*x_c_CC+J16*x_c_DC+K16*x_c_HCC+L16*x_c_PLT+M16*x_c_SVRn+N16*x_c_SVRcc+O16*x_c_LT+P16*x_c_LT1</f>
        <v>359307449.146861</v>
      </c>
      <c r="AB16" s="0" t="n">
        <f aca="false">C16*x_c_DAA</f>
        <v>109976320</v>
      </c>
      <c r="AC16" s="0" t="n">
        <f aca="false">C16*x_c_MON</f>
        <v>27857107.6100244</v>
      </c>
      <c r="AD16" s="0" t="n">
        <f aca="false">D16*(1-x_testy)</f>
        <v>0</v>
      </c>
      <c r="AE16" s="0" t="n">
        <f aca="false">E16*(1-x_testy)</f>
        <v>0</v>
      </c>
      <c r="AF16" s="0" t="n">
        <f aca="false">F16*x_NAV</f>
        <v>0</v>
      </c>
      <c r="AG16" s="0" t="n">
        <f aca="false">G16*x_FIX*(1-x_testy)</f>
        <v>0</v>
      </c>
      <c r="AH16" s="0" t="n">
        <f aca="false">x_z_F*U16+(1-x_AGRI)*x_EMP*x_WLOSS*(x_PEN_K74*Q16+x_PEN_C22*R16)</f>
        <v>19068896.6717017</v>
      </c>
      <c r="AI16" s="0" t="n">
        <f aca="false">x_AGRI*x_EMP*x_WLOSS*(x_PEN_K74*Q16+x_PEN_C22*R16)</f>
        <v>1086558.18701164</v>
      </c>
      <c r="AJ16" s="0" t="n">
        <f aca="false">x_EMP*x_WAGE*(x_WLOSS*(Q16+R16)+S16)+U16*x_ABS_D*x_WAGE/365</f>
        <v>329681319.551716</v>
      </c>
      <c r="AK16" s="0" t="n">
        <f aca="false">AJ16*x_R_FUS</f>
        <v>104311169.506163</v>
      </c>
      <c r="AL16" s="0" t="n">
        <f aca="false">AJ16*x_R_NFZ</f>
        <v>25603380.9577058</v>
      </c>
      <c r="AM16" s="0" t="n">
        <f aca="false">AJ16*x_R_PIT</f>
        <v>21918590.162548</v>
      </c>
      <c r="AN16" s="0" t="n">
        <f aca="false">AJ16*x_R_FP</f>
        <v>8406873.64856877</v>
      </c>
      <c r="AO16" s="0" t="n">
        <f aca="false">AA16+AB16+AC16+AD16+AF16</f>
        <v>497140876.756886</v>
      </c>
      <c r="AP16" s="0" t="n">
        <f aca="false">AO16+AE16+AG16+AH16+AI16+AK16+AL16+AM16+AN16</f>
        <v>677536345.890585</v>
      </c>
      <c r="AQ16" s="0" t="n">
        <f aca="false">AO16+AE16+AG16+AJ16</f>
        <v>826822196.308602</v>
      </c>
      <c r="AR16" s="0" t="n">
        <f aca="false">AB16+AC16+AD16+AF16</f>
        <v>137833427.610024</v>
      </c>
      <c r="AS16" s="0" t="n">
        <f aca="false">AR16+AE16+AG16</f>
        <v>137833427.610024</v>
      </c>
    </row>
    <row r="17" customFormat="false" ht="15" hidden="false" customHeight="false" outlineLevel="0" collapsed="false">
      <c r="A17" s="0" t="n">
        <v>2040</v>
      </c>
      <c r="B17" s="0" t="n">
        <v>14</v>
      </c>
      <c r="C17" s="0" t="n">
        <v>4832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2187.717</v>
      </c>
      <c r="I17" s="0" t="n">
        <v>311.811</v>
      </c>
      <c r="J17" s="0" t="n">
        <v>1727.403</v>
      </c>
      <c r="K17" s="0" t="n">
        <v>2904.028</v>
      </c>
      <c r="L17" s="0" t="n">
        <v>1314.128</v>
      </c>
      <c r="M17" s="0" t="n">
        <v>64691.548</v>
      </c>
      <c r="N17" s="0" t="n">
        <v>6913.871</v>
      </c>
      <c r="O17" s="0" t="n">
        <v>97.127</v>
      </c>
      <c r="P17" s="0" t="n">
        <v>97.258</v>
      </c>
      <c r="Q17" s="0" t="n">
        <v>793.475</v>
      </c>
      <c r="R17" s="0" t="n">
        <v>789.203</v>
      </c>
      <c r="S17" s="0" t="n">
        <v>3105.879</v>
      </c>
      <c r="T17" s="0" t="n">
        <v>2499.529</v>
      </c>
      <c r="U17" s="0" t="n">
        <v>1334.805</v>
      </c>
      <c r="V17" s="0" t="n">
        <v>132038.965</v>
      </c>
      <c r="W17" s="0" t="n">
        <v>323.874</v>
      </c>
      <c r="X17" s="0" t="n">
        <v>843.222</v>
      </c>
      <c r="Y17" s="0" t="n">
        <v>97.127</v>
      </c>
      <c r="Z17" s="0" t="n">
        <v>1032.065</v>
      </c>
      <c r="AA17" s="0" t="n">
        <f aca="false">H17*x_c_F+I17*x_c_CC+J17*x_c_DC+K17*x_c_HCC+L17*x_c_PLT+M17*x_c_SVRn+N17*x_c_SVRcc+O17*x_c_LT+P17*x_c_LT1</f>
        <v>360228996.974281</v>
      </c>
      <c r="AB17" s="0" t="n">
        <f aca="false">C17*x_c_DAA</f>
        <v>109976320</v>
      </c>
      <c r="AC17" s="0" t="n">
        <f aca="false">C17*x_c_MON</f>
        <v>27857107.6100244</v>
      </c>
      <c r="AD17" s="0" t="n">
        <f aca="false">D17*(1-x_testy)</f>
        <v>0</v>
      </c>
      <c r="AE17" s="0" t="n">
        <f aca="false">E17*(1-x_testy)</f>
        <v>0</v>
      </c>
      <c r="AF17" s="0" t="n">
        <f aca="false">F17*x_NAV</f>
        <v>0</v>
      </c>
      <c r="AG17" s="0" t="n">
        <f aca="false">G17*x_FIX*(1-x_testy)</f>
        <v>0</v>
      </c>
      <c r="AH17" s="0" t="n">
        <f aca="false">x_z_F*U17+(1-x_AGRI)*x_EMP*x_WLOSS*(x_PEN_K74*Q17+x_PEN_C22*R17)</f>
        <v>19731875.4999065</v>
      </c>
      <c r="AI17" s="0" t="n">
        <f aca="false">x_AGRI*x_EMP*x_WLOSS*(x_PEN_K74*Q17+x_PEN_C22*R17)</f>
        <v>1122850.47597481</v>
      </c>
      <c r="AJ17" s="0" t="n">
        <f aca="false">x_EMP*x_WAGE*(x_WLOSS*(Q17+R17)+S17)+U17*x_ABS_D*x_WAGE/365</f>
        <v>355280072.191626</v>
      </c>
      <c r="AK17" s="0" t="n">
        <f aca="false">AJ17*x_R_FUS</f>
        <v>112410614.84143</v>
      </c>
      <c r="AL17" s="0" t="n">
        <f aca="false">AJ17*x_R_NFZ</f>
        <v>27591405.6864738</v>
      </c>
      <c r="AM17" s="0" t="n">
        <f aca="false">AJ17*x_R_PIT</f>
        <v>23620502.0832766</v>
      </c>
      <c r="AN17" s="0" t="n">
        <f aca="false">AJ17*x_R_FP</f>
        <v>9059641.84088645</v>
      </c>
      <c r="AO17" s="0" t="n">
        <f aca="false">AA17+AB17+AC17+AD17+AF17</f>
        <v>498062424.584305</v>
      </c>
      <c r="AP17" s="0" t="n">
        <f aca="false">AO17+AE17+AG17+AH17+AI17+AK17+AL17+AM17+AN17</f>
        <v>691599315.012254</v>
      </c>
      <c r="AQ17" s="0" t="n">
        <f aca="false">AO17+AE17+AG17+AJ17</f>
        <v>853342496.775931</v>
      </c>
      <c r="AR17" s="0" t="n">
        <f aca="false">AB17+AC17+AD17+AF17</f>
        <v>137833427.610024</v>
      </c>
      <c r="AS17" s="0" t="n">
        <f aca="false">AR17+AE17+AG17</f>
        <v>137833427.610024</v>
      </c>
    </row>
    <row r="18" customFormat="false" ht="15" hidden="false" customHeight="false" outlineLevel="0" collapsed="false">
      <c r="A18" s="0" t="n">
        <v>2041</v>
      </c>
      <c r="B18" s="0" t="n">
        <v>15</v>
      </c>
      <c r="C18" s="0" t="n">
        <v>4832</v>
      </c>
      <c r="D18" s="0" t="n">
        <v>0</v>
      </c>
      <c r="E18" s="0" t="n">
        <v>0</v>
      </c>
      <c r="F18" s="0" t="n">
        <v>0</v>
      </c>
      <c r="G18" s="0" t="n">
        <v>0</v>
      </c>
      <c r="H18" s="0" t="n">
        <v>2188.972</v>
      </c>
      <c r="I18" s="0" t="n">
        <v>308.881</v>
      </c>
      <c r="J18" s="0" t="n">
        <v>1717.582</v>
      </c>
      <c r="K18" s="0" t="n">
        <v>2874.808</v>
      </c>
      <c r="L18" s="0" t="n">
        <v>1298.944</v>
      </c>
      <c r="M18" s="0" t="n">
        <v>67629.683</v>
      </c>
      <c r="N18" s="0" t="n">
        <v>7196.267</v>
      </c>
      <c r="O18" s="0" t="n">
        <v>96.506</v>
      </c>
      <c r="P18" s="0" t="n">
        <v>96.817</v>
      </c>
      <c r="Q18" s="0" t="n">
        <v>816.161</v>
      </c>
      <c r="R18" s="0" t="n">
        <v>819.301</v>
      </c>
      <c r="S18" s="0" t="n">
        <v>3380.581</v>
      </c>
      <c r="T18" s="0" t="n">
        <v>2497.853</v>
      </c>
      <c r="U18" s="0" t="n">
        <v>1388.416</v>
      </c>
      <c r="V18" s="0" t="n">
        <v>133271.711</v>
      </c>
      <c r="W18" s="0" t="n">
        <v>318.208</v>
      </c>
      <c r="X18" s="0" t="n">
        <v>828.438</v>
      </c>
      <c r="Y18" s="0" t="n">
        <v>96.506</v>
      </c>
      <c r="Z18" s="0" t="n">
        <v>1022.931</v>
      </c>
      <c r="AA18" s="0" t="n">
        <f aca="false">H18*x_c_F+I18*x_c_CC+J18*x_c_DC+K18*x_c_HCC+L18*x_c_PLT+M18*x_c_SVRn+N18*x_c_SVRcc+O18*x_c_LT+P18*x_c_LT1</f>
        <v>360058654.889366</v>
      </c>
      <c r="AB18" s="0" t="n">
        <f aca="false">C18*x_c_DAA</f>
        <v>109976320</v>
      </c>
      <c r="AC18" s="0" t="n">
        <f aca="false">C18*x_c_MON</f>
        <v>27857107.6100244</v>
      </c>
      <c r="AD18" s="0" t="n">
        <f aca="false">D18*(1-x_testy)</f>
        <v>0</v>
      </c>
      <c r="AE18" s="0" t="n">
        <f aca="false">E18*(1-x_testy)</f>
        <v>0</v>
      </c>
      <c r="AF18" s="0" t="n">
        <f aca="false">F18*x_NAV</f>
        <v>0</v>
      </c>
      <c r="AG18" s="0" t="n">
        <f aca="false">G18*x_FIX*(1-x_testy)</f>
        <v>0</v>
      </c>
      <c r="AH18" s="0" t="n">
        <f aca="false">x_z_F*U18+(1-x_AGRI)*x_EMP*x_WLOSS*(x_PEN_K74*Q18+x_PEN_C22*R18)</f>
        <v>20413830.8902773</v>
      </c>
      <c r="AI18" s="0" t="n">
        <f aca="false">x_AGRI*x_EMP*x_WLOSS*(x_PEN_K74*Q18+x_PEN_C22*R18)</f>
        <v>1160641.14038316</v>
      </c>
      <c r="AJ18" s="0" t="n">
        <f aca="false">x_EMP*x_WAGE*(x_WLOSS*(Q18+R18)+S18)+U18*x_ABS_D*x_WAGE/365</f>
        <v>381745326.205132</v>
      </c>
      <c r="AK18" s="0" t="n">
        <f aca="false">AJ18*x_R_FUS</f>
        <v>120784221.211304</v>
      </c>
      <c r="AL18" s="0" t="n">
        <f aca="false">AJ18*x_R_NFZ</f>
        <v>29646723.7784167</v>
      </c>
      <c r="AM18" s="0" t="n">
        <f aca="false">AJ18*x_R_PIT</f>
        <v>25380022.6319644</v>
      </c>
      <c r="AN18" s="0" t="n">
        <f aca="false">AJ18*x_R_FP</f>
        <v>9734505.81823086</v>
      </c>
      <c r="AO18" s="0" t="n">
        <f aca="false">AA18+AB18+AC18+AD18+AF18</f>
        <v>497892082.49939</v>
      </c>
      <c r="AP18" s="0" t="n">
        <f aca="false">AO18+AE18+AG18+AH18+AI18+AK18+AL18+AM18+AN18</f>
        <v>705012027.969966</v>
      </c>
      <c r="AQ18" s="0" t="n">
        <f aca="false">AO18+AE18+AG18+AJ18</f>
        <v>879637408.704522</v>
      </c>
      <c r="AR18" s="0" t="n">
        <f aca="false">AB18+AC18+AD18+AF18</f>
        <v>137833427.610024</v>
      </c>
      <c r="AS18" s="0" t="n">
        <f aca="false">AR18+AE18+AG18</f>
        <v>137833427.610024</v>
      </c>
    </row>
    <row r="19" customFormat="false" ht="15" hidden="false" customHeight="false" outlineLevel="0" collapsed="false">
      <c r="A19" s="0" t="n">
        <v>2042</v>
      </c>
      <c r="B19" s="0" t="n">
        <v>16</v>
      </c>
      <c r="C19" s="0" t="n">
        <v>4832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2191.396</v>
      </c>
      <c r="I19" s="0" t="n">
        <v>304.811</v>
      </c>
      <c r="J19" s="0" t="n">
        <v>1701.532</v>
      </c>
      <c r="K19" s="0" t="n">
        <v>2835.883</v>
      </c>
      <c r="L19" s="0" t="n">
        <v>1282.122</v>
      </c>
      <c r="M19" s="0" t="n">
        <v>70484.761</v>
      </c>
      <c r="N19" s="0" t="n">
        <v>7448.551</v>
      </c>
      <c r="O19" s="0" t="n">
        <v>95.53</v>
      </c>
      <c r="P19" s="0" t="n">
        <v>96.018</v>
      </c>
      <c r="Q19" s="0" t="n">
        <v>839.867</v>
      </c>
      <c r="R19" s="0" t="n">
        <v>850.608</v>
      </c>
      <c r="S19" s="0" t="n">
        <v>3664.348</v>
      </c>
      <c r="T19" s="0" t="n">
        <v>2496.207</v>
      </c>
      <c r="U19" s="0" t="n">
        <v>1440.033</v>
      </c>
      <c r="V19" s="0" t="n">
        <v>134476.429</v>
      </c>
      <c r="W19" s="0" t="n">
        <v>311.589</v>
      </c>
      <c r="X19" s="0" t="n">
        <v>811.605</v>
      </c>
      <c r="Y19" s="0" t="n">
        <v>95.53</v>
      </c>
      <c r="Z19" s="0" t="n">
        <v>1010.255</v>
      </c>
      <c r="AA19" s="0" t="n">
        <f aca="false">H19*x_c_F+I19*x_c_CC+J19*x_c_DC+K19*x_c_HCC+L19*x_c_PLT+M19*x_c_SVRn+N19*x_c_SVRcc+O19*x_c_LT+P19*x_c_LT1</f>
        <v>358838707.501184</v>
      </c>
      <c r="AB19" s="0" t="n">
        <f aca="false">C19*x_c_DAA</f>
        <v>109976320</v>
      </c>
      <c r="AC19" s="0" t="n">
        <f aca="false">C19*x_c_MON</f>
        <v>27857107.6100244</v>
      </c>
      <c r="AD19" s="0" t="n">
        <f aca="false">D19*(1-x_testy)</f>
        <v>0</v>
      </c>
      <c r="AE19" s="0" t="n">
        <f aca="false">E19*(1-x_testy)</f>
        <v>0</v>
      </c>
      <c r="AF19" s="0" t="n">
        <f aca="false">F19*x_NAV</f>
        <v>0</v>
      </c>
      <c r="AG19" s="0" t="n">
        <f aca="false">G19*x_FIX*(1-x_testy)</f>
        <v>0</v>
      </c>
      <c r="AH19" s="0" t="n">
        <f aca="false">x_z_F*U19+(1-x_AGRI)*x_EMP*x_WLOSS*(x_PEN_K74*Q19+x_PEN_C22*R19)</f>
        <v>21115745.45354</v>
      </c>
      <c r="AI19" s="0" t="n">
        <f aca="false">x_AGRI*x_EMP*x_WLOSS*(x_PEN_K74*Q19+x_PEN_C22*R19)</f>
        <v>1200022.03543349</v>
      </c>
      <c r="AJ19" s="0" t="n">
        <f aca="false">x_EMP*x_WAGE*(x_WLOSS*(Q19+R19)+S19)+U19*x_ABS_D*x_WAGE/365</f>
        <v>409099504.666365</v>
      </c>
      <c r="AK19" s="0" t="n">
        <f aca="false">AJ19*x_R_FUS</f>
        <v>129439083.276438</v>
      </c>
      <c r="AL19" s="0" t="n">
        <f aca="false">AJ19*x_R_NFZ</f>
        <v>31771076.6318946</v>
      </c>
      <c r="AM19" s="0" t="n">
        <f aca="false">AJ19*x_R_PIT</f>
        <v>27198642.5881701</v>
      </c>
      <c r="AN19" s="0" t="n">
        <f aca="false">AJ19*x_R_FP</f>
        <v>10432037.3689923</v>
      </c>
      <c r="AO19" s="0" t="n">
        <f aca="false">AA19+AB19+AC19+AD19+AF19</f>
        <v>496672135.111208</v>
      </c>
      <c r="AP19" s="0" t="n">
        <f aca="false">AO19+AE19+AG19+AH19+AI19+AK19+AL19+AM19+AN19</f>
        <v>717828742.465676</v>
      </c>
      <c r="AQ19" s="0" t="n">
        <f aca="false">AO19+AE19+AG19+AJ19</f>
        <v>905771639.777573</v>
      </c>
      <c r="AR19" s="0" t="n">
        <f aca="false">AB19+AC19+AD19+AF19</f>
        <v>137833427.610024</v>
      </c>
      <c r="AS19" s="0" t="n">
        <f aca="false">AR19+AE19+AG19</f>
        <v>137833427.610024</v>
      </c>
    </row>
    <row r="20" customFormat="false" ht="15" hidden="false" customHeight="false" outlineLevel="0" collapsed="false">
      <c r="A20" s="0" t="n">
        <v>2043</v>
      </c>
      <c r="B20" s="0" t="n">
        <v>17</v>
      </c>
      <c r="C20" s="0" t="n">
        <v>4832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2194.786</v>
      </c>
      <c r="I20" s="0" t="n">
        <v>299.822</v>
      </c>
      <c r="J20" s="0" t="n">
        <v>1680.163</v>
      </c>
      <c r="K20" s="0" t="n">
        <v>2789.241</v>
      </c>
      <c r="L20" s="0" t="n">
        <v>1264.13</v>
      </c>
      <c r="M20" s="0" t="n">
        <v>73277.451</v>
      </c>
      <c r="N20" s="0" t="n">
        <v>7671.991</v>
      </c>
      <c r="O20" s="0" t="n">
        <v>94.292</v>
      </c>
      <c r="P20" s="0" t="n">
        <v>94.911</v>
      </c>
      <c r="Q20" s="0" t="n">
        <v>864.63</v>
      </c>
      <c r="R20" s="0" t="n">
        <v>883.177</v>
      </c>
      <c r="S20" s="0" t="n">
        <v>3957.351</v>
      </c>
      <c r="T20" s="0" t="n">
        <v>2494.607</v>
      </c>
      <c r="U20" s="0" t="n">
        <v>1489.349</v>
      </c>
      <c r="V20" s="0" t="n">
        <v>135678.765</v>
      </c>
      <c r="W20" s="0" t="n">
        <v>304.375</v>
      </c>
      <c r="X20" s="0" t="n">
        <v>793.601</v>
      </c>
      <c r="Y20" s="0" t="n">
        <v>94.292</v>
      </c>
      <c r="Z20" s="0" t="n">
        <v>995.124</v>
      </c>
      <c r="AA20" s="0" t="n">
        <f aca="false">H20*x_c_F+I20*x_c_CC+J20*x_c_DC+K20*x_c_HCC+L20*x_c_PLT+M20*x_c_SVRn+N20*x_c_SVRcc+O20*x_c_LT+P20*x_c_LT1</f>
        <v>356776464.269484</v>
      </c>
      <c r="AB20" s="0" t="n">
        <f aca="false">C20*x_c_DAA</f>
        <v>109976320</v>
      </c>
      <c r="AC20" s="0" t="n">
        <f aca="false">C20*x_c_MON</f>
        <v>27857107.6100244</v>
      </c>
      <c r="AD20" s="0" t="n">
        <f aca="false">D20*(1-x_testy)</f>
        <v>0</v>
      </c>
      <c r="AE20" s="0" t="n">
        <f aca="false">E20*(1-x_testy)</f>
        <v>0</v>
      </c>
      <c r="AF20" s="0" t="n">
        <f aca="false">F20*x_NAV</f>
        <v>0</v>
      </c>
      <c r="AG20" s="0" t="n">
        <f aca="false">G20*x_FIX*(1-x_testy)</f>
        <v>0</v>
      </c>
      <c r="AH20" s="0" t="n">
        <f aca="false">x_z_F*U20+(1-x_AGRI)*x_EMP*x_WLOSS*(x_PEN_K74*Q20+x_PEN_C22*R20)</f>
        <v>21837965.1775122</v>
      </c>
      <c r="AI20" s="0" t="n">
        <f aca="false">x_AGRI*x_EMP*x_WLOSS*(x_PEN_K74*Q20+x_PEN_C22*R20)</f>
        <v>1241057.74894156</v>
      </c>
      <c r="AJ20" s="0" t="n">
        <f aca="false">x_EMP*x_WAGE*(x_WLOSS*(Q20+R20)+S20)+U20*x_ABS_D*x_WAGE/365</f>
        <v>437361207.085583</v>
      </c>
      <c r="AK20" s="0" t="n">
        <f aca="false">AJ20*x_R_FUS</f>
        <v>138381085.921879</v>
      </c>
      <c r="AL20" s="0" t="n">
        <f aca="false">AJ20*x_R_NFZ</f>
        <v>33965908.7034735</v>
      </c>
      <c r="AM20" s="0" t="n">
        <f aca="false">AJ20*x_R_PIT</f>
        <v>29077598.524967</v>
      </c>
      <c r="AN20" s="0" t="n">
        <f aca="false">AJ20*x_R_FP</f>
        <v>11152710.7806824</v>
      </c>
      <c r="AO20" s="0" t="n">
        <f aca="false">AA20+AB20+AC20+AD20+AF20</f>
        <v>494609891.879508</v>
      </c>
      <c r="AP20" s="0" t="n">
        <f aca="false">AO20+AE20+AG20+AH20+AI20+AK20+AL20+AM20+AN20</f>
        <v>730266218.736964</v>
      </c>
      <c r="AQ20" s="0" t="n">
        <f aca="false">AO20+AE20+AG20+AJ20</f>
        <v>931971098.965092</v>
      </c>
      <c r="AR20" s="0" t="n">
        <f aca="false">AB20+AC20+AD20+AF20</f>
        <v>137833427.610024</v>
      </c>
      <c r="AS20" s="0" t="n">
        <f aca="false">AR20+AE20+AG20</f>
        <v>137833427.610024</v>
      </c>
    </row>
    <row r="21" customFormat="false" ht="15" hidden="false" customHeight="false" outlineLevel="0" collapsed="false">
      <c r="A21" s="0" t="n">
        <v>2044</v>
      </c>
      <c r="B21" s="0" t="n">
        <v>18</v>
      </c>
      <c r="C21" s="0" t="n">
        <v>4832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2198.924</v>
      </c>
      <c r="I21" s="0" t="n">
        <v>294.151</v>
      </c>
      <c r="J21" s="0" t="n">
        <v>1654.528</v>
      </c>
      <c r="K21" s="0" t="n">
        <v>2736.994</v>
      </c>
      <c r="L21" s="0" t="n">
        <v>1245.406</v>
      </c>
      <c r="M21" s="0" t="n">
        <v>76027.799</v>
      </c>
      <c r="N21" s="0" t="n">
        <v>7868.558</v>
      </c>
      <c r="O21" s="0" t="n">
        <v>92.815</v>
      </c>
      <c r="P21" s="0" t="n">
        <v>93.554</v>
      </c>
      <c r="Q21" s="0" t="n">
        <v>890.492</v>
      </c>
      <c r="R21" s="0" t="n">
        <v>917.038</v>
      </c>
      <c r="S21" s="0" t="n">
        <v>4259.822</v>
      </c>
      <c r="T21" s="0" t="n">
        <v>2493.075</v>
      </c>
      <c r="U21" s="0" t="n">
        <v>1536.074</v>
      </c>
      <c r="V21" s="0" t="n">
        <v>136903.397</v>
      </c>
      <c r="W21" s="0" t="n">
        <v>296.769</v>
      </c>
      <c r="X21" s="0" t="n">
        <v>774.864</v>
      </c>
      <c r="Y21" s="0" t="n">
        <v>92.815</v>
      </c>
      <c r="Z21" s="0" t="n">
        <v>977.806</v>
      </c>
      <c r="AA21" s="0" t="n">
        <f aca="false">H21*x_c_F+I21*x_c_CC+J21*x_c_DC+K21*x_c_HCC+L21*x_c_PLT+M21*x_c_SVRn+N21*x_c_SVRcc+O21*x_c_LT+P21*x_c_LT1</f>
        <v>354066629.893124</v>
      </c>
      <c r="AB21" s="0" t="n">
        <f aca="false">C21*x_c_DAA</f>
        <v>109976320</v>
      </c>
      <c r="AC21" s="0" t="n">
        <f aca="false">C21*x_c_MON</f>
        <v>27857107.6100244</v>
      </c>
      <c r="AD21" s="0" t="n">
        <f aca="false">D21*(1-x_testy)</f>
        <v>0</v>
      </c>
      <c r="AE21" s="0" t="n">
        <f aca="false">E21*(1-x_testy)</f>
        <v>0</v>
      </c>
      <c r="AF21" s="0" t="n">
        <f aca="false">F21*x_NAV</f>
        <v>0</v>
      </c>
      <c r="AG21" s="0" t="n">
        <f aca="false">G21*x_FIX*(1-x_testy)</f>
        <v>0</v>
      </c>
      <c r="AH21" s="0" t="n">
        <f aca="false">x_z_F*U21+(1-x_AGRI)*x_EMP*x_WLOSS*(x_PEN_K74*Q21+x_PEN_C22*R21)</f>
        <v>22580658.5644355</v>
      </c>
      <c r="AI21" s="0" t="n">
        <f aca="false">x_AGRI*x_EMP*x_WLOSS*(x_PEN_K74*Q21+x_PEN_C22*R21)</f>
        <v>1283798.82711193</v>
      </c>
      <c r="AJ21" s="0" t="n">
        <f aca="false">x_EMP*x_WAGE*(x_WLOSS*(Q21+R21)+S21)+U21*x_ABS_D*x_WAGE/365</f>
        <v>466553299.449291</v>
      </c>
      <c r="AK21" s="0" t="n">
        <f aca="false">AJ21*x_R_FUS</f>
        <v>147617463.945756</v>
      </c>
      <c r="AL21" s="0" t="n">
        <f aca="false">AJ21*x_R_NFZ</f>
        <v>36232995.7885314</v>
      </c>
      <c r="AM21" s="0" t="n">
        <f aca="false">AJ21*x_R_PIT</f>
        <v>31018410.668577</v>
      </c>
      <c r="AN21" s="0" t="n">
        <f aca="false">AJ21*x_R_FP</f>
        <v>11897109.1359569</v>
      </c>
      <c r="AO21" s="0" t="n">
        <f aca="false">AA21+AB21+AC21+AD21+AF21</f>
        <v>491900057.503149</v>
      </c>
      <c r="AP21" s="0" t="n">
        <f aca="false">AO21+AE21+AG21+AH21+AI21+AK21+AL21+AM21+AN21</f>
        <v>742530494.433517</v>
      </c>
      <c r="AQ21" s="0" t="n">
        <f aca="false">AO21+AE21+AG21+AJ21</f>
        <v>958453356.952439</v>
      </c>
      <c r="AR21" s="0" t="n">
        <f aca="false">AB21+AC21+AD21+AF21</f>
        <v>137833427.610024</v>
      </c>
      <c r="AS21" s="0" t="n">
        <f aca="false">AR21+AE21+AG21</f>
        <v>137833427.610024</v>
      </c>
    </row>
    <row r="22" customFormat="false" ht="15" hidden="false" customHeight="false" outlineLevel="0" collapsed="false">
      <c r="A22" s="0" t="n">
        <v>2045</v>
      </c>
      <c r="B22" s="0" t="n">
        <v>19</v>
      </c>
      <c r="C22" s="0" t="n">
        <v>4832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2203.599</v>
      </c>
      <c r="I22" s="0" t="n">
        <v>288.021</v>
      </c>
      <c r="J22" s="0" t="n">
        <v>1625.396</v>
      </c>
      <c r="K22" s="0" t="n">
        <v>2680.749</v>
      </c>
      <c r="L22" s="0" t="n">
        <v>1225.752</v>
      </c>
      <c r="M22" s="0" t="n">
        <v>78740.188</v>
      </c>
      <c r="N22" s="0" t="n">
        <v>8038.889</v>
      </c>
      <c r="O22" s="0" t="n">
        <v>91.159</v>
      </c>
      <c r="P22" s="0" t="n">
        <v>91.987</v>
      </c>
      <c r="Q22" s="0" t="n">
        <v>917.481</v>
      </c>
      <c r="R22" s="0" t="n">
        <v>952.17</v>
      </c>
      <c r="S22" s="0" t="n">
        <v>4571.955</v>
      </c>
      <c r="T22" s="0" t="n">
        <v>2491.62</v>
      </c>
      <c r="U22" s="0" t="n">
        <v>1580.004</v>
      </c>
      <c r="V22" s="0" t="n">
        <v>138156.835</v>
      </c>
      <c r="W22" s="0" t="n">
        <v>289.024</v>
      </c>
      <c r="X22" s="0" t="n">
        <v>755.981</v>
      </c>
      <c r="Y22" s="0" t="n">
        <v>91.159</v>
      </c>
      <c r="Z22" s="0" t="n">
        <v>958.991</v>
      </c>
      <c r="AA22" s="0" t="n">
        <f aca="false">H22*x_c_F+I22*x_c_CC+J22*x_c_DC+K22*x_c_HCC+L22*x_c_PLT+M22*x_c_SVRn+N22*x_c_SVRcc+O22*x_c_LT+P22*x_c_LT1</f>
        <v>350845333.114846</v>
      </c>
      <c r="AB22" s="0" t="n">
        <f aca="false">C22*x_c_DAA</f>
        <v>109976320</v>
      </c>
      <c r="AC22" s="0" t="n">
        <f aca="false">C22*x_c_MON</f>
        <v>27857107.6100244</v>
      </c>
      <c r="AD22" s="0" t="n">
        <f aca="false">D22*(1-x_testy)</f>
        <v>0</v>
      </c>
      <c r="AE22" s="0" t="n">
        <f aca="false">E22*(1-x_testy)</f>
        <v>0</v>
      </c>
      <c r="AF22" s="0" t="n">
        <f aca="false">F22*x_NAV</f>
        <v>0</v>
      </c>
      <c r="AG22" s="0" t="n">
        <f aca="false">G22*x_FIX*(1-x_testy)</f>
        <v>0</v>
      </c>
      <c r="AH22" s="0" t="n">
        <f aca="false">x_z_F*U22+(1-x_AGRI)*x_EMP*x_WLOSS*(x_PEN_K74*Q22+x_PEN_C22*R22)</f>
        <v>23343447.7565819</v>
      </c>
      <c r="AI22" s="0" t="n">
        <f aca="false">x_AGRI*x_EMP*x_WLOSS*(x_PEN_K74*Q22+x_PEN_C22*R22)</f>
        <v>1328248.01613623</v>
      </c>
      <c r="AJ22" s="0" t="n">
        <f aca="false">x_EMP*x_WAGE*(x_WLOSS*(Q22+R22)+S22)+U22*x_ABS_D*x_WAGE/365</f>
        <v>496692105.866333</v>
      </c>
      <c r="AK22" s="0" t="n">
        <f aca="false">AJ22*x_R_FUS</f>
        <v>157153382.296108</v>
      </c>
      <c r="AL22" s="0" t="n">
        <f aca="false">AJ22*x_R_NFZ</f>
        <v>38573605.6336853</v>
      </c>
      <c r="AM22" s="0" t="n">
        <f aca="false">AJ22*x_R_PIT</f>
        <v>33022164.3138906</v>
      </c>
      <c r="AN22" s="0" t="n">
        <f aca="false">AJ22*x_R_FP</f>
        <v>12665648.6995915</v>
      </c>
      <c r="AO22" s="0" t="n">
        <f aca="false">AA22+AB22+AC22+AD22+AF22</f>
        <v>488678760.724871</v>
      </c>
      <c r="AP22" s="0" t="n">
        <f aca="false">AO22+AE22+AG22+AH22+AI22+AK22+AL22+AM22+AN22</f>
        <v>754765257.440864</v>
      </c>
      <c r="AQ22" s="0" t="n">
        <f aca="false">AO22+AE22+AG22+AJ22</f>
        <v>985370866.591204</v>
      </c>
      <c r="AR22" s="0" t="n">
        <f aca="false">AB22+AC22+AD22+AF22</f>
        <v>137833427.610024</v>
      </c>
      <c r="AS22" s="0" t="n">
        <f aca="false">AR22+AE22+AG22</f>
        <v>137833427.610024</v>
      </c>
    </row>
    <row r="23" customFormat="false" ht="15" hidden="false" customHeight="false" outlineLevel="0" collapsed="false">
      <c r="A23" s="0" t="n">
        <v>2046</v>
      </c>
      <c r="B23" s="0" t="n">
        <v>20</v>
      </c>
      <c r="C23" s="0" t="n">
        <v>4832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2208.605</v>
      </c>
      <c r="I23" s="0" t="n">
        <v>281.651</v>
      </c>
      <c r="J23" s="0" t="n">
        <v>1593.813</v>
      </c>
      <c r="K23" s="0" t="n">
        <v>2622.367</v>
      </c>
      <c r="L23" s="0" t="n">
        <v>1205.446</v>
      </c>
      <c r="M23" s="0" t="n">
        <v>81428.606</v>
      </c>
      <c r="N23" s="0" t="n">
        <v>8185.492</v>
      </c>
      <c r="O23" s="0" t="n">
        <v>89.381</v>
      </c>
      <c r="P23" s="0" t="n">
        <v>90.27</v>
      </c>
      <c r="Q23" s="0" t="n">
        <v>945.593</v>
      </c>
      <c r="R23" s="0" t="n">
        <v>988.5</v>
      </c>
      <c r="S23" s="0" t="n">
        <v>4893.858</v>
      </c>
      <c r="T23" s="0" t="n">
        <v>2490.256</v>
      </c>
      <c r="U23" s="0" t="n">
        <v>1620.965</v>
      </c>
      <c r="V23" s="0" t="n">
        <v>139453.774</v>
      </c>
      <c r="W23" s="0" t="n">
        <v>281.342</v>
      </c>
      <c r="X23" s="0" t="n">
        <v>737.402</v>
      </c>
      <c r="Y23" s="0" t="n">
        <v>89.381</v>
      </c>
      <c r="Z23" s="0" t="n">
        <v>939.259</v>
      </c>
      <c r="AA23" s="0" t="n">
        <f aca="false">H23*x_c_F+I23*x_c_CC+J23*x_c_DC+K23*x_c_HCC+L23*x_c_PLT+M23*x_c_SVRn+N23*x_c_SVRcc+O23*x_c_LT+P23*x_c_LT1</f>
        <v>347295731.48349</v>
      </c>
      <c r="AB23" s="0" t="n">
        <f aca="false">C23*x_c_DAA</f>
        <v>109976320</v>
      </c>
      <c r="AC23" s="0" t="n">
        <f aca="false">C23*x_c_MON</f>
        <v>27857107.6100244</v>
      </c>
      <c r="AD23" s="0" t="n">
        <f aca="false">D23*(1-x_testy)</f>
        <v>0</v>
      </c>
      <c r="AE23" s="0" t="n">
        <f aca="false">E23*(1-x_testy)</f>
        <v>0</v>
      </c>
      <c r="AF23" s="0" t="n">
        <f aca="false">F23*x_NAV</f>
        <v>0</v>
      </c>
      <c r="AG23" s="0" t="n">
        <f aca="false">G23*x_FIX*(1-x_testy)</f>
        <v>0</v>
      </c>
      <c r="AH23" s="0" t="n">
        <f aca="false">x_z_F*U23+(1-x_AGRI)*x_EMP*x_WLOSS*(x_PEN_K74*Q23+x_PEN_C22*R23)</f>
        <v>24125101.0913888</v>
      </c>
      <c r="AI23" s="0" t="n">
        <f aca="false">x_AGRI*x_EMP*x_WLOSS*(x_PEN_K74*Q23+x_PEN_C22*R23)</f>
        <v>1374347.55060044</v>
      </c>
      <c r="AJ23" s="0" t="n">
        <f aca="false">x_EMP*x_WAGE*(x_WLOSS*(Q23+R23)+S23)+U23*x_ABS_D*x_WAGE/365</f>
        <v>527782112.534656</v>
      </c>
      <c r="AK23" s="0" t="n">
        <f aca="false">AJ23*x_R_FUS</f>
        <v>166990260.405965</v>
      </c>
      <c r="AL23" s="0" t="n">
        <f aca="false">AJ23*x_R_NFZ</f>
        <v>40988086.6415539</v>
      </c>
      <c r="AM23" s="0" t="n">
        <f aca="false">AJ23*x_R_PIT</f>
        <v>35089157.7220717</v>
      </c>
      <c r="AN23" s="0" t="n">
        <f aca="false">AJ23*x_R_FP</f>
        <v>13458443.8696337</v>
      </c>
      <c r="AO23" s="0" t="n">
        <f aca="false">AA23+AB23+AC23+AD23+AF23</f>
        <v>485129159.093515</v>
      </c>
      <c r="AP23" s="0" t="n">
        <f aca="false">AO23+AE23+AG23+AH23+AI23+AK23+AL23+AM23+AN23</f>
        <v>767154556.374728</v>
      </c>
      <c r="AQ23" s="0" t="n">
        <f aca="false">AO23+AE23+AG23+AJ23</f>
        <v>1012911271.62817</v>
      </c>
      <c r="AR23" s="0" t="n">
        <f aca="false">AB23+AC23+AD23+AF23</f>
        <v>137833427.610024</v>
      </c>
      <c r="AS23" s="0" t="n">
        <f aca="false">AR23+AE23+AG23</f>
        <v>137833427.610024</v>
      </c>
    </row>
    <row r="24" customFormat="false" ht="15" hidden="false" customHeight="false" outlineLevel="0" collapsed="false">
      <c r="A24" s="0" t="n">
        <v>2047</v>
      </c>
      <c r="B24" s="0" t="n">
        <v>21</v>
      </c>
      <c r="C24" s="0" t="n">
        <v>4832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2213.761</v>
      </c>
      <c r="I24" s="0" t="n">
        <v>275.227</v>
      </c>
      <c r="J24" s="0" t="n">
        <v>1560.718</v>
      </c>
      <c r="K24" s="0" t="n">
        <v>2563.418</v>
      </c>
      <c r="L24" s="0" t="n">
        <v>1184.727</v>
      </c>
      <c r="M24" s="0" t="n">
        <v>84104.158</v>
      </c>
      <c r="N24" s="0" t="n">
        <v>8310.91</v>
      </c>
      <c r="O24" s="0" t="n">
        <v>87.532</v>
      </c>
      <c r="P24" s="0" t="n">
        <v>88.456</v>
      </c>
      <c r="Q24" s="0" t="n">
        <v>974.804</v>
      </c>
      <c r="R24" s="0" t="n">
        <v>1025.909</v>
      </c>
      <c r="S24" s="0" t="n">
        <v>5225.58</v>
      </c>
      <c r="T24" s="0" t="n">
        <v>2488.988</v>
      </c>
      <c r="U24" s="0" t="n">
        <v>1658.877</v>
      </c>
      <c r="V24" s="0" t="n">
        <v>140803.303</v>
      </c>
      <c r="W24" s="0" t="n">
        <v>273.881</v>
      </c>
      <c r="X24" s="0" t="n">
        <v>719.479</v>
      </c>
      <c r="Y24" s="0" t="n">
        <v>87.532</v>
      </c>
      <c r="Z24" s="0" t="n">
        <v>919.147</v>
      </c>
      <c r="AA24" s="0" t="n">
        <f aca="false">H24*x_c_F+I24*x_c_CC+J24*x_c_DC+K24*x_c_HCC+L24*x_c_PLT+M24*x_c_SVRn+N24*x_c_SVRcc+O24*x_c_LT+P24*x_c_LT1</f>
        <v>343575347.169978</v>
      </c>
      <c r="AB24" s="0" t="n">
        <f aca="false">C24*x_c_DAA</f>
        <v>109976320</v>
      </c>
      <c r="AC24" s="0" t="n">
        <f aca="false">C24*x_c_MON</f>
        <v>27857107.6100244</v>
      </c>
      <c r="AD24" s="0" t="n">
        <f aca="false">D24*(1-x_testy)</f>
        <v>0</v>
      </c>
      <c r="AE24" s="0" t="n">
        <f aca="false">E24*(1-x_testy)</f>
        <v>0</v>
      </c>
      <c r="AF24" s="0" t="n">
        <f aca="false">F24*x_NAV</f>
        <v>0</v>
      </c>
      <c r="AG24" s="0" t="n">
        <f aca="false">G24*x_FIX*(1-x_testy)</f>
        <v>0</v>
      </c>
      <c r="AH24" s="0" t="n">
        <f aca="false">x_z_F*U24+(1-x_AGRI)*x_EMP*x_WLOSS*(x_PEN_K74*Q24+x_PEN_C22*R24)</f>
        <v>24923853.8011243</v>
      </c>
      <c r="AI24" s="0" t="n">
        <f aca="false">x_AGRI*x_EMP*x_WLOSS*(x_PEN_K74*Q24+x_PEN_C22*R24)</f>
        <v>1421991.6540626</v>
      </c>
      <c r="AJ24" s="0" t="n">
        <f aca="false">x_EMP*x_WAGE*(x_WLOSS*(Q24+R24)+S24)+U24*x_ABS_D*x_WAGE/365</f>
        <v>559819442.117333</v>
      </c>
      <c r="AK24" s="0" t="n">
        <f aca="false">AJ24*x_R_FUS</f>
        <v>177126871.485924</v>
      </c>
      <c r="AL24" s="0" t="n">
        <f aca="false">AJ24*x_R_NFZ</f>
        <v>43476137.6942742</v>
      </c>
      <c r="AM24" s="0" t="n">
        <f aca="false">AJ24*x_R_PIT</f>
        <v>37219133.1115782</v>
      </c>
      <c r="AN24" s="0" t="n">
        <f aca="false">AJ24*x_R_FP</f>
        <v>14275395.773992</v>
      </c>
      <c r="AO24" s="0" t="n">
        <f aca="false">AA24+AB24+AC24+AD24+AF24</f>
        <v>481408774.780002</v>
      </c>
      <c r="AP24" s="0" t="n">
        <f aca="false">AO24+AE24+AG24+AH24+AI24+AK24+AL24+AM24+AN24</f>
        <v>779852158.300958</v>
      </c>
      <c r="AQ24" s="0" t="n">
        <f aca="false">AO24+AE24+AG24+AJ24</f>
        <v>1041228216.89734</v>
      </c>
      <c r="AR24" s="0" t="n">
        <f aca="false">AB24+AC24+AD24+AF24</f>
        <v>137833427.610024</v>
      </c>
      <c r="AS24" s="0" t="n">
        <f aca="false">AR24+AE24+AG24</f>
        <v>137833427.610024</v>
      </c>
    </row>
    <row r="25" customFormat="false" ht="15" hidden="false" customHeight="false" outlineLevel="0" collapsed="false">
      <c r="A25" s="0" t="n">
        <v>2048</v>
      </c>
      <c r="B25" s="0" t="n">
        <v>22</v>
      </c>
      <c r="C25" s="0" t="n">
        <v>4832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2218.913</v>
      </c>
      <c r="I25" s="0" t="n">
        <v>268.905</v>
      </c>
      <c r="J25" s="0" t="n">
        <v>1526.954</v>
      </c>
      <c r="K25" s="0" t="n">
        <v>2505.214</v>
      </c>
      <c r="L25" s="0" t="n">
        <v>1163.824</v>
      </c>
      <c r="M25" s="0" t="n">
        <v>86776.118</v>
      </c>
      <c r="N25" s="0" t="n">
        <v>8417.78</v>
      </c>
      <c r="O25" s="0" t="n">
        <v>85.657</v>
      </c>
      <c r="P25" s="0" t="n">
        <v>86.594</v>
      </c>
      <c r="Q25" s="0" t="n">
        <v>1005.065</v>
      </c>
      <c r="R25" s="0" t="n">
        <v>1064.242</v>
      </c>
      <c r="S25" s="0" t="n">
        <v>5567.105</v>
      </c>
      <c r="T25" s="0" t="n">
        <v>2487.818</v>
      </c>
      <c r="U25" s="0" t="n">
        <v>1693.727</v>
      </c>
      <c r="V25" s="0" t="n">
        <v>142211.273</v>
      </c>
      <c r="W25" s="0" t="n">
        <v>266.758</v>
      </c>
      <c r="X25" s="0" t="n">
        <v>702.464</v>
      </c>
      <c r="Y25" s="0" t="n">
        <v>85.657</v>
      </c>
      <c r="Z25" s="0" t="n">
        <v>899.101</v>
      </c>
      <c r="AA25" s="0" t="n">
        <f aca="false">H25*x_c_F+I25*x_c_CC+J25*x_c_DC+K25*x_c_HCC+L25*x_c_PLT+M25*x_c_SVRn+N25*x_c_SVRcc+O25*x_c_LT+P25*x_c_LT1</f>
        <v>339820233.344562</v>
      </c>
      <c r="AB25" s="0" t="n">
        <f aca="false">C25*x_c_DAA</f>
        <v>109976320</v>
      </c>
      <c r="AC25" s="0" t="n">
        <f aca="false">C25*x_c_MON</f>
        <v>27857107.6100244</v>
      </c>
      <c r="AD25" s="0" t="n">
        <f aca="false">D25*(1-x_testy)</f>
        <v>0</v>
      </c>
      <c r="AE25" s="0" t="n">
        <f aca="false">E25*(1-x_testy)</f>
        <v>0</v>
      </c>
      <c r="AF25" s="0" t="n">
        <f aca="false">F25*x_NAV</f>
        <v>0</v>
      </c>
      <c r="AG25" s="0" t="n">
        <f aca="false">G25*x_FIX*(1-x_testy)</f>
        <v>0</v>
      </c>
      <c r="AH25" s="0" t="n">
        <f aca="false">x_z_F*U25+(1-x_AGRI)*x_EMP*x_WLOSS*(x_PEN_K74*Q25+x_PEN_C22*R25)</f>
        <v>25737416.4657986</v>
      </c>
      <c r="AI25" s="0" t="n">
        <f aca="false">x_AGRI*x_EMP*x_WLOSS*(x_PEN_K74*Q25+x_PEN_C22*R25)</f>
        <v>1471030.76684398</v>
      </c>
      <c r="AJ25" s="0" t="n">
        <f aca="false">x_EMP*x_WAGE*(x_WLOSS*(Q25+R25)+S25)+U25*x_ABS_D*x_WAGE/365</f>
        <v>592791536.300321</v>
      </c>
      <c r="AK25" s="0" t="n">
        <f aca="false">AJ25*x_R_FUS</f>
        <v>187559242.085422</v>
      </c>
      <c r="AL25" s="0" t="n">
        <f aca="false">AJ25*x_R_NFZ</f>
        <v>46036783.5006192</v>
      </c>
      <c r="AM25" s="0" t="n">
        <f aca="false">AJ25*x_R_PIT</f>
        <v>39411255.5532759</v>
      </c>
      <c r="AN25" s="0" t="n">
        <f aca="false">AJ25*x_R_FP</f>
        <v>15116184.1756582</v>
      </c>
      <c r="AO25" s="0" t="n">
        <f aca="false">AA25+AB25+AC25+AD25+AF25</f>
        <v>477653660.954587</v>
      </c>
      <c r="AP25" s="0" t="n">
        <f aca="false">AO25+AE25+AG25+AH25+AI25+AK25+AL25+AM25+AN25</f>
        <v>792985573.502204</v>
      </c>
      <c r="AQ25" s="0" t="n">
        <f aca="false">AO25+AE25+AG25+AJ25</f>
        <v>1070445197.25491</v>
      </c>
      <c r="AR25" s="0" t="n">
        <f aca="false">AB25+AC25+AD25+AF25</f>
        <v>137833427.610024</v>
      </c>
      <c r="AS25" s="0" t="n">
        <f aca="false">AR25+AE25+AG25</f>
        <v>137833427.610024</v>
      </c>
    </row>
    <row r="26" customFormat="false" ht="15" hidden="false" customHeight="false" outlineLevel="0" collapsed="false">
      <c r="A26" s="0" t="n">
        <v>2049</v>
      </c>
      <c r="B26" s="0" t="n">
        <v>23</v>
      </c>
      <c r="C26" s="0" t="n">
        <v>4832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2223.946</v>
      </c>
      <c r="I26" s="0" t="n">
        <v>262.796</v>
      </c>
      <c r="J26" s="0" t="n">
        <v>1493.183</v>
      </c>
      <c r="K26" s="0" t="n">
        <v>2448.705</v>
      </c>
      <c r="L26" s="0" t="n">
        <v>1142.895</v>
      </c>
      <c r="M26" s="0" t="n">
        <v>89450.062</v>
      </c>
      <c r="N26" s="0" t="n">
        <v>8508.336</v>
      </c>
      <c r="O26" s="0" t="n">
        <v>83.788</v>
      </c>
      <c r="P26" s="0" t="n">
        <v>84.722</v>
      </c>
      <c r="Q26" s="0" t="n">
        <v>1036.308</v>
      </c>
      <c r="R26" s="0" t="n">
        <v>1103.314</v>
      </c>
      <c r="S26" s="0" t="n">
        <v>5918.36</v>
      </c>
      <c r="T26" s="0" t="n">
        <v>2486.743</v>
      </c>
      <c r="U26" s="0" t="n">
        <v>1725.587</v>
      </c>
      <c r="V26" s="0" t="n">
        <v>143678.109</v>
      </c>
      <c r="W26" s="0" t="n">
        <v>260.037</v>
      </c>
      <c r="X26" s="0" t="n">
        <v>686.484</v>
      </c>
      <c r="Y26" s="0" t="n">
        <v>83.788</v>
      </c>
      <c r="Z26" s="0" t="n">
        <v>879.424</v>
      </c>
      <c r="AA26" s="0" t="n">
        <f aca="false">H26*x_c_F+I26*x_c_CC+J26*x_c_DC+K26*x_c_HCC+L26*x_c_PLT+M26*x_c_SVRn+N26*x_c_SVRcc+O26*x_c_LT+P26*x_c_LT1</f>
        <v>336129677.353432</v>
      </c>
      <c r="AB26" s="0" t="n">
        <f aca="false">C26*x_c_DAA</f>
        <v>109976320</v>
      </c>
      <c r="AC26" s="0" t="n">
        <f aca="false">C26*x_c_MON</f>
        <v>27857107.6100244</v>
      </c>
      <c r="AD26" s="0" t="n">
        <f aca="false">D26*(1-x_testy)</f>
        <v>0</v>
      </c>
      <c r="AE26" s="0" t="n">
        <f aca="false">E26*(1-x_testy)</f>
        <v>0</v>
      </c>
      <c r="AF26" s="0" t="n">
        <f aca="false">F26*x_NAV</f>
        <v>0</v>
      </c>
      <c r="AG26" s="0" t="n">
        <f aca="false">G26*x_FIX*(1-x_testy)</f>
        <v>0</v>
      </c>
      <c r="AH26" s="0" t="n">
        <f aca="false">x_z_F*U26+(1-x_AGRI)*x_EMP*x_WLOSS*(x_PEN_K74*Q26+x_PEN_C22*R26)</f>
        <v>26563140.8434425</v>
      </c>
      <c r="AI26" s="0" t="n">
        <f aca="false">x_AGRI*x_EMP*x_WLOSS*(x_PEN_K74*Q26+x_PEN_C22*R26)</f>
        <v>1521280.06104564</v>
      </c>
      <c r="AJ26" s="0" t="n">
        <f aca="false">x_EMP*x_WAGE*(x_WLOSS*(Q26+R26)+S26)+U26*x_ABS_D*x_WAGE/365</f>
        <v>626678546.982453</v>
      </c>
      <c r="AK26" s="0" t="n">
        <f aca="false">AJ26*x_R_FUS</f>
        <v>198281092.265248</v>
      </c>
      <c r="AL26" s="0" t="n">
        <f aca="false">AJ26*x_R_NFZ</f>
        <v>48668482.6372043</v>
      </c>
      <c r="AM26" s="0" t="n">
        <f aca="false">AJ26*x_R_PIT</f>
        <v>41664205.4625565</v>
      </c>
      <c r="AN26" s="0" t="n">
        <f aca="false">AJ26*x_R_FP</f>
        <v>15980302.9480526</v>
      </c>
      <c r="AO26" s="0" t="n">
        <f aca="false">AA26+AB26+AC26+AD26+AF26</f>
        <v>473963104.963456</v>
      </c>
      <c r="AP26" s="0" t="n">
        <f aca="false">AO26+AE26+AG26+AH26+AI26+AK26+AL26+AM26+AN26</f>
        <v>806641609.181006</v>
      </c>
      <c r="AQ26" s="0" t="n">
        <f aca="false">AO26+AE26+AG26+AJ26</f>
        <v>1100641651.94591</v>
      </c>
      <c r="AR26" s="0" t="n">
        <f aca="false">AB26+AC26+AD26+AF26</f>
        <v>137833427.610024</v>
      </c>
      <c r="AS26" s="0" t="n">
        <f aca="false">AR26+AE26+AG26</f>
        <v>137833427.610024</v>
      </c>
    </row>
    <row r="27" customFormat="false" ht="15" hidden="false" customHeight="false" outlineLevel="0" collapsed="false">
      <c r="A27" s="0" t="n">
        <v>2050</v>
      </c>
      <c r="B27" s="0" t="n">
        <v>24</v>
      </c>
      <c r="C27" s="0" t="n">
        <v>4832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2228.778</v>
      </c>
      <c r="I27" s="0" t="n">
        <v>256.978</v>
      </c>
      <c r="J27" s="0" t="n">
        <v>1459.902</v>
      </c>
      <c r="K27" s="0" t="n">
        <v>2394.527</v>
      </c>
      <c r="L27" s="0" t="n">
        <v>1122.042</v>
      </c>
      <c r="M27" s="0" t="n">
        <v>92128.548</v>
      </c>
      <c r="N27" s="0" t="n">
        <v>8584.431</v>
      </c>
      <c r="O27" s="0" t="n">
        <v>81.953</v>
      </c>
      <c r="P27" s="0" t="n">
        <v>82.871</v>
      </c>
      <c r="Q27" s="0" t="n">
        <v>1068.424</v>
      </c>
      <c r="R27" s="0" t="n">
        <v>1142.899</v>
      </c>
      <c r="S27" s="0" t="n">
        <v>6279.07</v>
      </c>
      <c r="T27" s="0" t="n">
        <v>2485.756</v>
      </c>
      <c r="U27" s="0" t="n">
        <v>1754.586</v>
      </c>
      <c r="V27" s="0" t="n">
        <v>145200.366</v>
      </c>
      <c r="W27" s="0" t="n">
        <v>253.752</v>
      </c>
      <c r="X27" s="0" t="n">
        <v>671.597</v>
      </c>
      <c r="Y27" s="0" t="n">
        <v>81.953</v>
      </c>
      <c r="Z27" s="0" t="n">
        <v>860.359</v>
      </c>
      <c r="AA27" s="0" t="n">
        <f aca="false">H27*x_c_F+I27*x_c_CC+J27*x_c_DC+K27*x_c_HCC+L27*x_c_PLT+M27*x_c_SVRn+N27*x_c_SVRcc+O27*x_c_LT+P27*x_c_LT1</f>
        <v>332573784.35934</v>
      </c>
      <c r="AB27" s="0" t="n">
        <f aca="false">C27*x_c_DAA</f>
        <v>109976320</v>
      </c>
      <c r="AC27" s="0" t="n">
        <f aca="false">C27*x_c_MON</f>
        <v>27857107.6100244</v>
      </c>
      <c r="AD27" s="0" t="n">
        <f aca="false">D27*(1-x_testy)</f>
        <v>0</v>
      </c>
      <c r="AE27" s="0" t="n">
        <f aca="false">E27*(1-x_testy)</f>
        <v>0</v>
      </c>
      <c r="AF27" s="0" t="n">
        <f aca="false">F27*x_NAV</f>
        <v>0</v>
      </c>
      <c r="AG27" s="0" t="n">
        <f aca="false">G27*x_FIX*(1-x_testy)</f>
        <v>0</v>
      </c>
      <c r="AH27" s="0" t="n">
        <f aca="false">x_z_F*U27+(1-x_AGRI)*x_EMP*x_WLOSS*(x_PEN_K74*Q27+x_PEN_C22*R27)</f>
        <v>27397615.5817123</v>
      </c>
      <c r="AI27" s="0" t="n">
        <f aca="false">x_AGRI*x_EMP*x_WLOSS*(x_PEN_K74*Q27+x_PEN_C22*R27)</f>
        <v>1572496.52282279</v>
      </c>
      <c r="AJ27" s="0" t="n">
        <f aca="false">x_EMP*x_WAGE*(x_WLOSS*(Q27+R27)+S27)+U27*x_ABS_D*x_WAGE/365</f>
        <v>661439086.616621</v>
      </c>
      <c r="AK27" s="0" t="n">
        <f aca="false">AJ27*x_R_FUS</f>
        <v>209279327.005499</v>
      </c>
      <c r="AL27" s="0" t="n">
        <f aca="false">AJ27*x_R_NFZ</f>
        <v>51368020.9057334</v>
      </c>
      <c r="AM27" s="0" t="n">
        <f aca="false">AJ27*x_R_PIT</f>
        <v>43975231.2225429</v>
      </c>
      <c r="AN27" s="0" t="n">
        <f aca="false">AJ27*x_R_FP</f>
        <v>16866696.7087238</v>
      </c>
      <c r="AO27" s="0" t="n">
        <f aca="false">AA27+AB27+AC27+AD27+AF27</f>
        <v>470407211.969365</v>
      </c>
      <c r="AP27" s="0" t="n">
        <f aca="false">AO27+AE27+AG27+AH27+AI27+AK27+AL27+AM27+AN27</f>
        <v>820866599.916399</v>
      </c>
      <c r="AQ27" s="0" t="n">
        <f aca="false">AO27+AE27+AG27+AJ27</f>
        <v>1131846298.58599</v>
      </c>
      <c r="AR27" s="0" t="n">
        <f aca="false">AB27+AC27+AD27+AF27</f>
        <v>137833427.610024</v>
      </c>
      <c r="AS27" s="0" t="n">
        <f aca="false">AR27+AE27+AG27</f>
        <v>137833427.610024</v>
      </c>
    </row>
    <row r="28" customFormat="false" ht="15" hidden="false" customHeight="false" outlineLevel="0" collapsed="false">
      <c r="A28" s="0" t="n">
        <v>2051</v>
      </c>
      <c r="B28" s="0" t="n">
        <v>25</v>
      </c>
      <c r="C28" s="0" t="n">
        <v>4832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2233.358</v>
      </c>
      <c r="I28" s="0" t="n">
        <v>251.492</v>
      </c>
      <c r="J28" s="0" t="n">
        <v>1427.449</v>
      </c>
      <c r="K28" s="0" t="n">
        <v>2343.033</v>
      </c>
      <c r="L28" s="0" t="n">
        <v>1101.307</v>
      </c>
      <c r="M28" s="0" t="n">
        <v>94811.107</v>
      </c>
      <c r="N28" s="0" t="n">
        <v>8647.432</v>
      </c>
      <c r="O28" s="0" t="n">
        <v>80.166</v>
      </c>
      <c r="P28" s="0" t="n">
        <v>81.059</v>
      </c>
      <c r="Q28" s="0" t="n">
        <v>1101.276</v>
      </c>
      <c r="R28" s="0" t="n">
        <v>1182.751</v>
      </c>
      <c r="S28" s="0" t="n">
        <v>6648.815</v>
      </c>
      <c r="T28" s="0" t="n">
        <v>2484.85</v>
      </c>
      <c r="U28" s="0" t="n">
        <v>1780.893</v>
      </c>
      <c r="V28" s="0" t="n">
        <v>146771.333</v>
      </c>
      <c r="W28" s="0" t="n">
        <v>247.902</v>
      </c>
      <c r="X28" s="0" t="n">
        <v>657.776</v>
      </c>
      <c r="Y28" s="0" t="n">
        <v>80.166</v>
      </c>
      <c r="Z28" s="0" t="n">
        <v>842.014</v>
      </c>
      <c r="AA28" s="0" t="n">
        <f aca="false">H28*x_c_F+I28*x_c_CC+J28*x_c_DC+K28*x_c_HCC+L28*x_c_PLT+M28*x_c_SVRn+N28*x_c_SVRcc+O28*x_c_LT+P28*x_c_LT1</f>
        <v>329191373.836657</v>
      </c>
      <c r="AB28" s="0" t="n">
        <f aca="false">C28*x_c_DAA</f>
        <v>109976320</v>
      </c>
      <c r="AC28" s="0" t="n">
        <f aca="false">C28*x_c_MON</f>
        <v>27857107.6100244</v>
      </c>
      <c r="AD28" s="0" t="n">
        <f aca="false">D28*(1-x_testy)</f>
        <v>0</v>
      </c>
      <c r="AE28" s="0" t="n">
        <f aca="false">E28*(1-x_testy)</f>
        <v>0</v>
      </c>
      <c r="AF28" s="0" t="n">
        <f aca="false">F28*x_NAV</f>
        <v>0</v>
      </c>
      <c r="AG28" s="0" t="n">
        <f aca="false">G28*x_FIX*(1-x_testy)</f>
        <v>0</v>
      </c>
      <c r="AH28" s="0" t="n">
        <f aca="false">x_z_F*U28+(1-x_AGRI)*x_EMP*x_WLOSS*(x_PEN_K74*Q28+x_PEN_C22*R28)</f>
        <v>28237001.7544221</v>
      </c>
      <c r="AI28" s="0" t="n">
        <f aca="false">x_AGRI*x_EMP*x_WLOSS*(x_PEN_K74*Q28+x_PEN_C22*R28)</f>
        <v>1624403.4408609</v>
      </c>
      <c r="AJ28" s="0" t="n">
        <f aca="false">x_EMP*x_WAGE*(x_WLOSS*(Q28+R28)+S28)+U28*x_ABS_D*x_WAGE/365</f>
        <v>697016897.448665</v>
      </c>
      <c r="AK28" s="0" t="n">
        <f aca="false">AJ28*x_R_FUS</f>
        <v>220536146.352758</v>
      </c>
      <c r="AL28" s="0" t="n">
        <f aca="false">AJ28*x_R_NFZ</f>
        <v>54131029.2727608</v>
      </c>
      <c r="AM28" s="0" t="n">
        <f aca="false">AJ28*x_R_PIT</f>
        <v>46340592.5829275</v>
      </c>
      <c r="AN28" s="0" t="n">
        <f aca="false">AJ28*x_R_FP</f>
        <v>17773930.884941</v>
      </c>
      <c r="AO28" s="0" t="n">
        <f aca="false">AA28+AB28+AC28+AD28+AF28</f>
        <v>467024801.446682</v>
      </c>
      <c r="AP28" s="0" t="n">
        <f aca="false">AO28+AE28+AG28+AH28+AI28+AK28+AL28+AM28+AN28</f>
        <v>835667905.735351</v>
      </c>
      <c r="AQ28" s="0" t="n">
        <f aca="false">AO28+AE28+AG28+AJ28</f>
        <v>1164041698.89535</v>
      </c>
      <c r="AR28" s="0" t="n">
        <f aca="false">AB28+AC28+AD28+AF28</f>
        <v>137833427.610024</v>
      </c>
      <c r="AS28" s="0" t="n">
        <f aca="false">AR28+AE28+AG28</f>
        <v>137833427.610024</v>
      </c>
    </row>
    <row r="29" customFormat="false" ht="15" hidden="false" customHeight="false" outlineLevel="0" collapsed="false">
      <c r="A29" s="0" t="n">
        <v>2052</v>
      </c>
      <c r="B29" s="0" t="n">
        <v>26</v>
      </c>
      <c r="C29" s="0" t="n">
        <v>4832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2237.663</v>
      </c>
      <c r="I29" s="0" t="n">
        <v>246.351</v>
      </c>
      <c r="J29" s="0" t="n">
        <v>1396.015</v>
      </c>
      <c r="K29" s="0" t="n">
        <v>2294.323</v>
      </c>
      <c r="L29" s="0" t="n">
        <v>1080.664</v>
      </c>
      <c r="M29" s="0" t="n">
        <v>97494.278</v>
      </c>
      <c r="N29" s="0" t="n">
        <v>8698.135</v>
      </c>
      <c r="O29" s="0" t="n">
        <v>78.436</v>
      </c>
      <c r="P29" s="0" t="n">
        <v>79.301</v>
      </c>
      <c r="Q29" s="0" t="n">
        <v>1134.726</v>
      </c>
      <c r="R29" s="0" t="n">
        <v>1222.622</v>
      </c>
      <c r="S29" s="0" t="n">
        <v>7027.172</v>
      </c>
      <c r="T29" s="0" t="n">
        <v>2484.014</v>
      </c>
      <c r="U29" s="0" t="n">
        <v>1804.709</v>
      </c>
      <c r="V29" s="0" t="n">
        <v>148381.346</v>
      </c>
      <c r="W29" s="0" t="n">
        <v>242.464</v>
      </c>
      <c r="X29" s="0" t="n">
        <v>644.952</v>
      </c>
      <c r="Y29" s="0" t="n">
        <v>78.436</v>
      </c>
      <c r="Z29" s="0" t="n">
        <v>824.446</v>
      </c>
      <c r="AA29" s="0" t="n">
        <f aca="false">H29*x_c_F+I29*x_c_CC+J29*x_c_DC+K29*x_c_HCC+L29*x_c_PLT+M29*x_c_SVRn+N29*x_c_SVRcc+O29*x_c_LT+P29*x_c_LT1</f>
        <v>325995217.778166</v>
      </c>
      <c r="AB29" s="0" t="n">
        <f aca="false">C29*x_c_DAA</f>
        <v>109976320</v>
      </c>
      <c r="AC29" s="0" t="n">
        <f aca="false">C29*x_c_MON</f>
        <v>27857107.6100244</v>
      </c>
      <c r="AD29" s="0" t="n">
        <f aca="false">D29*(1-x_testy)</f>
        <v>0</v>
      </c>
      <c r="AE29" s="0" t="n">
        <f aca="false">E29*(1-x_testy)</f>
        <v>0</v>
      </c>
      <c r="AF29" s="0" t="n">
        <f aca="false">F29*x_NAV</f>
        <v>0</v>
      </c>
      <c r="AG29" s="0" t="n">
        <f aca="false">G29*x_FIX*(1-x_testy)</f>
        <v>0</v>
      </c>
      <c r="AH29" s="0" t="n">
        <f aca="false">x_z_F*U29+(1-x_AGRI)*x_EMP*x_WLOSS*(x_PEN_K74*Q29+x_PEN_C22*R29)</f>
        <v>29077493.3326922</v>
      </c>
      <c r="AI29" s="0" t="n">
        <f aca="false">x_AGRI*x_EMP*x_WLOSS*(x_PEN_K74*Q29+x_PEN_C22*R29)</f>
        <v>1676721.92976683</v>
      </c>
      <c r="AJ29" s="0" t="n">
        <f aca="false">x_EMP*x_WAGE*(x_WLOSS*(Q29+R29)+S29)+U29*x_ABS_D*x_WAGE/365</f>
        <v>733355395.881407</v>
      </c>
      <c r="AK29" s="0" t="n">
        <f aca="false">AJ29*x_R_FUS</f>
        <v>232033647.256877</v>
      </c>
      <c r="AL29" s="0" t="n">
        <f aca="false">AJ29*x_R_NFZ</f>
        <v>56953113.399546</v>
      </c>
      <c r="AM29" s="0" t="n">
        <f aca="false">AJ29*x_R_PIT</f>
        <v>48756527.6299987</v>
      </c>
      <c r="AN29" s="0" t="n">
        <f aca="false">AJ29*x_R_FP</f>
        <v>18700562.5949759</v>
      </c>
      <c r="AO29" s="0" t="n">
        <f aca="false">AA29+AB29+AC29+AD29+AF29</f>
        <v>463828645.38819</v>
      </c>
      <c r="AP29" s="0" t="n">
        <f aca="false">AO29+AE29+AG29+AH29+AI29+AK29+AL29+AM29+AN29</f>
        <v>851026711.532047</v>
      </c>
      <c r="AQ29" s="0" t="n">
        <f aca="false">AO29+AE29+AG29+AJ29</f>
        <v>1197184041.2696</v>
      </c>
      <c r="AR29" s="0" t="n">
        <f aca="false">AB29+AC29+AD29+AF29</f>
        <v>137833427.610024</v>
      </c>
      <c r="AS29" s="0" t="n">
        <f aca="false">AR29+AE29+AG29</f>
        <v>137833427.610024</v>
      </c>
    </row>
    <row r="30" customFormat="false" ht="15" hidden="false" customHeight="false" outlineLevel="0" collapsed="false">
      <c r="A30" s="0" t="n">
        <v>2053</v>
      </c>
      <c r="B30" s="0" t="n">
        <v>27</v>
      </c>
      <c r="C30" s="0" t="n">
        <v>4832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2241.69</v>
      </c>
      <c r="I30" s="0" t="n">
        <v>241.549</v>
      </c>
      <c r="J30" s="0" t="n">
        <v>1365.665</v>
      </c>
      <c r="K30" s="0" t="n">
        <v>2248.309</v>
      </c>
      <c r="L30" s="0" t="n">
        <v>1060.024</v>
      </c>
      <c r="M30" s="0" t="n">
        <v>100171.839</v>
      </c>
      <c r="N30" s="0" t="n">
        <v>8736.775</v>
      </c>
      <c r="O30" s="0" t="n">
        <v>76.764</v>
      </c>
      <c r="P30" s="0" t="n">
        <v>77.6</v>
      </c>
      <c r="Q30" s="0" t="n">
        <v>1168.607</v>
      </c>
      <c r="R30" s="0" t="n">
        <v>1262.253</v>
      </c>
      <c r="S30" s="0" t="n">
        <v>7413.503</v>
      </c>
      <c r="T30" s="0" t="n">
        <v>2483.239</v>
      </c>
      <c r="U30" s="0" t="n">
        <v>1826.246</v>
      </c>
      <c r="V30" s="0" t="n">
        <v>150018.545</v>
      </c>
      <c r="W30" s="0" t="n">
        <v>237.4</v>
      </c>
      <c r="X30" s="0" t="n">
        <v>633.011</v>
      </c>
      <c r="Y30" s="0" t="n">
        <v>76.764</v>
      </c>
      <c r="Z30" s="0" t="n">
        <v>807.618</v>
      </c>
      <c r="AA30" s="0" t="n">
        <f aca="false">H30*x_c_F+I30*x_c_CC+J30*x_c_DC+K30*x_c_HCC+L30*x_c_PLT+M30*x_c_SVRn+N30*x_c_SVRcc+O30*x_c_LT+P30*x_c_LT1</f>
        <v>322975403.814597</v>
      </c>
      <c r="AB30" s="0" t="n">
        <f aca="false">C30*x_c_DAA</f>
        <v>109976320</v>
      </c>
      <c r="AC30" s="0" t="n">
        <f aca="false">C30*x_c_MON</f>
        <v>27857107.6100244</v>
      </c>
      <c r="AD30" s="0" t="n">
        <f aca="false">D30*(1-x_testy)</f>
        <v>0</v>
      </c>
      <c r="AE30" s="0" t="n">
        <f aca="false">E30*(1-x_testy)</f>
        <v>0</v>
      </c>
      <c r="AF30" s="0" t="n">
        <f aca="false">F30*x_NAV</f>
        <v>0</v>
      </c>
      <c r="AG30" s="0" t="n">
        <f aca="false">G30*x_FIX*(1-x_testy)</f>
        <v>0</v>
      </c>
      <c r="AH30" s="0" t="n">
        <f aca="false">x_z_F*U30+(1-x_AGRI)*x_EMP*x_WLOSS*(x_PEN_K74*Q30+x_PEN_C22*R30)</f>
        <v>29914889.8323091</v>
      </c>
      <c r="AI30" s="0" t="n">
        <f aca="false">x_AGRI*x_EMP*x_WLOSS*(x_PEN_K74*Q30+x_PEN_C22*R30)</f>
        <v>1729145.53660054</v>
      </c>
      <c r="AJ30" s="0" t="n">
        <f aca="false">x_EMP*x_WAGE*(x_WLOSS*(Q30+R30)+S30)+U30*x_ABS_D*x_WAGE/365</f>
        <v>770377512.180412</v>
      </c>
      <c r="AK30" s="0" t="n">
        <f aca="false">AJ30*x_R_FUS</f>
        <v>243747444.853882</v>
      </c>
      <c r="AL30" s="0" t="n">
        <f aca="false">AJ30*x_R_NFZ</f>
        <v>59828287.973443</v>
      </c>
      <c r="AM30" s="0" t="n">
        <f aca="false">AJ30*x_R_PIT</f>
        <v>51217912.446134</v>
      </c>
      <c r="AN30" s="0" t="n">
        <f aca="false">AJ30*x_R_FP</f>
        <v>19644626.5606005</v>
      </c>
      <c r="AO30" s="0" t="n">
        <f aca="false">AA30+AB30+AC30+AD30+AF30</f>
        <v>460808831.424622</v>
      </c>
      <c r="AP30" s="0" t="n">
        <f aca="false">AO30+AE30+AG30+AH30+AI30+AK30+AL30+AM30+AN30</f>
        <v>866891138.627591</v>
      </c>
      <c r="AQ30" s="0" t="n">
        <f aca="false">AO30+AE30+AG30+AJ30</f>
        <v>1231186343.60503</v>
      </c>
      <c r="AR30" s="0" t="n">
        <f aca="false">AB30+AC30+AD30+AF30</f>
        <v>137833427.610024</v>
      </c>
      <c r="AS30" s="0" t="n">
        <f aca="false">AR30+AE30+AG30</f>
        <v>137833427.610024</v>
      </c>
    </row>
    <row r="31" customFormat="false" ht="15" hidden="false" customHeight="false" outlineLevel="0" collapsed="false">
      <c r="A31" s="0" t="n">
        <v>2054</v>
      </c>
      <c r="B31" s="0" t="n">
        <v>28</v>
      </c>
      <c r="C31" s="0" t="n">
        <v>4832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2245.448</v>
      </c>
      <c r="I31" s="0" t="n">
        <v>237.067</v>
      </c>
      <c r="J31" s="0" t="n">
        <v>1336.369</v>
      </c>
      <c r="K31" s="0" t="n">
        <v>2204.761</v>
      </c>
      <c r="L31" s="0" t="n">
        <v>1039.237</v>
      </c>
      <c r="M31" s="0" t="n">
        <v>102834.925</v>
      </c>
      <c r="N31" s="0" t="n">
        <v>8763.039</v>
      </c>
      <c r="O31" s="0" t="n">
        <v>75.147</v>
      </c>
      <c r="P31" s="0" t="n">
        <v>75.955</v>
      </c>
      <c r="Q31" s="0" t="n">
        <v>1202.737</v>
      </c>
      <c r="R31" s="0" t="n">
        <v>1301.384</v>
      </c>
      <c r="S31" s="0" t="n">
        <v>7807.051</v>
      </c>
      <c r="T31" s="0" t="n">
        <v>2482.515</v>
      </c>
      <c r="U31" s="0" t="n">
        <v>1845.712</v>
      </c>
      <c r="V31" s="0" t="n">
        <v>151669.255</v>
      </c>
      <c r="W31" s="0" t="n">
        <v>232.665</v>
      </c>
      <c r="X31" s="0" t="n">
        <v>621.833</v>
      </c>
      <c r="Y31" s="0" t="n">
        <v>75.147</v>
      </c>
      <c r="Z31" s="0" t="n">
        <v>791.472</v>
      </c>
      <c r="AA31" s="0" t="n">
        <f aca="false">H31*x_c_F+I31*x_c_CC+J31*x_c_DC+K31*x_c_HCC+L31*x_c_PLT+M31*x_c_SVRn+N31*x_c_SVRcc+O31*x_c_LT+P31*x_c_LT1</f>
        <v>320104719.56423</v>
      </c>
      <c r="AB31" s="0" t="n">
        <f aca="false">C31*x_c_DAA</f>
        <v>109976320</v>
      </c>
      <c r="AC31" s="0" t="n">
        <f aca="false">C31*x_c_MON</f>
        <v>27857107.6100244</v>
      </c>
      <c r="AD31" s="0" t="n">
        <f aca="false">D31*(1-x_testy)</f>
        <v>0</v>
      </c>
      <c r="AE31" s="0" t="n">
        <f aca="false">E31*(1-x_testy)</f>
        <v>0</v>
      </c>
      <c r="AF31" s="0" t="n">
        <f aca="false">F31*x_NAV</f>
        <v>0</v>
      </c>
      <c r="AG31" s="0" t="n">
        <f aca="false">G31*x_FIX*(1-x_testy)</f>
        <v>0</v>
      </c>
      <c r="AH31" s="0" t="n">
        <f aca="false">x_z_F*U31+(1-x_AGRI)*x_EMP*x_WLOSS*(x_PEN_K74*Q31+x_PEN_C22*R31)</f>
        <v>30744820.3801796</v>
      </c>
      <c r="AI31" s="0" t="n">
        <f aca="false">x_AGRI*x_EMP*x_WLOSS*(x_PEN_K74*Q31+x_PEN_C22*R31)</f>
        <v>1781357.0896099</v>
      </c>
      <c r="AJ31" s="0" t="n">
        <f aca="false">x_EMP*x_WAGE*(x_WLOSS*(Q31+R31)+S31)+U31*x_ABS_D*x_WAGE/365</f>
        <v>807995143.886023</v>
      </c>
      <c r="AK31" s="0" t="n">
        <f aca="false">AJ31*x_R_FUS</f>
        <v>255649663.525538</v>
      </c>
      <c r="AL31" s="0" t="n">
        <f aca="false">AJ31*x_R_NFZ</f>
        <v>62749710.8693325</v>
      </c>
      <c r="AM31" s="0" t="n">
        <f aca="false">AJ31*x_R_PIT</f>
        <v>53718889.6120897</v>
      </c>
      <c r="AN31" s="0" t="n">
        <f aca="false">AJ31*x_R_FP</f>
        <v>20603876.1690936</v>
      </c>
      <c r="AO31" s="0" t="n">
        <f aca="false">AA31+AB31+AC31+AD31+AF31</f>
        <v>457938147.174255</v>
      </c>
      <c r="AP31" s="0" t="n">
        <f aca="false">AO31+AE31+AG31+AH31+AI31+AK31+AL31+AM31+AN31</f>
        <v>883186464.820098</v>
      </c>
      <c r="AQ31" s="0" t="n">
        <f aca="false">AO31+AE31+AG31+AJ31</f>
        <v>1265933291.06028</v>
      </c>
      <c r="AR31" s="0" t="n">
        <f aca="false">AB31+AC31+AD31+AF31</f>
        <v>137833427.610024</v>
      </c>
      <c r="AS31" s="0" t="n">
        <f aca="false">AR31+AE31+AG31</f>
        <v>137833427.610024</v>
      </c>
    </row>
    <row r="32" customFormat="false" ht="15" hidden="false" customHeight="false" outlineLevel="0" collapsed="false">
      <c r="A32" s="0" t="n">
        <v>2055</v>
      </c>
      <c r="B32" s="0" t="n">
        <v>29</v>
      </c>
      <c r="C32" s="0" t="n">
        <v>4832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2248.951</v>
      </c>
      <c r="I32" s="0" t="n">
        <v>232.883</v>
      </c>
      <c r="J32" s="0" t="n">
        <v>1308.057</v>
      </c>
      <c r="K32" s="0" t="n">
        <v>2163.407</v>
      </c>
      <c r="L32" s="0" t="n">
        <v>1018.128</v>
      </c>
      <c r="M32" s="0" t="n">
        <v>105473.399</v>
      </c>
      <c r="N32" s="0" t="n">
        <v>8776.351</v>
      </c>
      <c r="O32" s="0" t="n">
        <v>73.581</v>
      </c>
      <c r="P32" s="0" t="n">
        <v>74.364</v>
      </c>
      <c r="Q32" s="0" t="n">
        <v>1236.931</v>
      </c>
      <c r="R32" s="0" t="n">
        <v>1339.766</v>
      </c>
      <c r="S32" s="0" t="n">
        <v>8206.961</v>
      </c>
      <c r="T32" s="0" t="n">
        <v>2481.834</v>
      </c>
      <c r="U32" s="0" t="n">
        <v>1863.296</v>
      </c>
      <c r="V32" s="0" t="n">
        <v>153319.824</v>
      </c>
      <c r="W32" s="0" t="n">
        <v>228.219</v>
      </c>
      <c r="X32" s="0" t="n">
        <v>611.304</v>
      </c>
      <c r="Y32" s="0" t="n">
        <v>73.581</v>
      </c>
      <c r="Z32" s="0" t="n">
        <v>775.927</v>
      </c>
      <c r="AA32" s="0" t="n">
        <f aca="false">H32*x_c_F+I32*x_c_CC+J32*x_c_DC+K32*x_c_HCC+L32*x_c_PLT+M32*x_c_SVRn+N32*x_c_SVRcc+O32*x_c_LT+P32*x_c_LT1</f>
        <v>317349903.269783</v>
      </c>
      <c r="AB32" s="0" t="n">
        <f aca="false">C32*x_c_DAA</f>
        <v>109976320</v>
      </c>
      <c r="AC32" s="0" t="n">
        <f aca="false">C32*x_c_MON</f>
        <v>27857107.6100244</v>
      </c>
      <c r="AD32" s="0" t="n">
        <f aca="false">D32*(1-x_testy)</f>
        <v>0</v>
      </c>
      <c r="AE32" s="0" t="n">
        <f aca="false">E32*(1-x_testy)</f>
        <v>0</v>
      </c>
      <c r="AF32" s="0" t="n">
        <f aca="false">F32*x_NAV</f>
        <v>0</v>
      </c>
      <c r="AG32" s="0" t="n">
        <f aca="false">G32*x_FIX*(1-x_testy)</f>
        <v>0</v>
      </c>
      <c r="AH32" s="0" t="n">
        <f aca="false">x_z_F*U32+(1-x_AGRI)*x_EMP*x_WLOSS*(x_PEN_K74*Q32+x_PEN_C22*R32)</f>
        <v>31562970.5236491</v>
      </c>
      <c r="AI32" s="0" t="n">
        <f aca="false">x_AGRI*x_EMP*x_WLOSS*(x_PEN_K74*Q32+x_PEN_C22*R32)</f>
        <v>1833045.72826371</v>
      </c>
      <c r="AJ32" s="0" t="n">
        <f aca="false">x_EMP*x_WAGE*(x_WLOSS*(Q32+R32)+S32)+U32*x_ABS_D*x_WAGE/365</f>
        <v>846112214.688607</v>
      </c>
      <c r="AK32" s="0" t="n">
        <f aca="false">AJ32*x_R_FUS</f>
        <v>267709904.727475</v>
      </c>
      <c r="AL32" s="0" t="n">
        <f aca="false">AJ32*x_R_NFZ</f>
        <v>65709920.7049319</v>
      </c>
      <c r="AM32" s="0" t="n">
        <f aca="false">AJ32*x_R_PIT</f>
        <v>56253071.5737935</v>
      </c>
      <c r="AN32" s="0" t="n">
        <f aca="false">AJ32*x_R_FP</f>
        <v>21575861.4745595</v>
      </c>
      <c r="AO32" s="0" t="n">
        <f aca="false">AA32+AB32+AC32+AD32+AF32</f>
        <v>455183330.879807</v>
      </c>
      <c r="AP32" s="0" t="n">
        <f aca="false">AO32+AE32+AG32+AH32+AI32+AK32+AL32+AM32+AN32</f>
        <v>899828105.61248</v>
      </c>
      <c r="AQ32" s="0" t="n">
        <f aca="false">AO32+AE32+AG32+AJ32</f>
        <v>1301295545.56841</v>
      </c>
      <c r="AR32" s="0" t="n">
        <f aca="false">AB32+AC32+AD32+AF32</f>
        <v>137833427.610024</v>
      </c>
      <c r="AS32" s="0" t="n">
        <f aca="false">AR32+AE32+AG32</f>
        <v>137833427.610024</v>
      </c>
    </row>
    <row r="33" customFormat="false" ht="15" hidden="false" customHeight="false" outlineLevel="0" collapsed="false">
      <c r="A33" s="0" t="n">
        <v>2056</v>
      </c>
      <c r="B33" s="0" t="n">
        <v>30</v>
      </c>
      <c r="C33" s="0" t="n">
        <v>4832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2252.217</v>
      </c>
      <c r="I33" s="0" t="n">
        <v>228.971</v>
      </c>
      <c r="J33" s="0" t="n">
        <v>1280.618</v>
      </c>
      <c r="K33" s="0" t="n">
        <v>2123.928</v>
      </c>
      <c r="L33" s="0" t="n">
        <v>996.478</v>
      </c>
      <c r="M33" s="0" t="n">
        <v>108074.981</v>
      </c>
      <c r="N33" s="0" t="n">
        <v>8775.704</v>
      </c>
      <c r="O33" s="0" t="n">
        <v>72.059</v>
      </c>
      <c r="P33" s="0" t="n">
        <v>72.82</v>
      </c>
      <c r="Q33" s="0" t="n">
        <v>1270.979</v>
      </c>
      <c r="R33" s="0" t="n">
        <v>1377.15</v>
      </c>
      <c r="S33" s="0" t="n">
        <v>8612.128</v>
      </c>
      <c r="T33" s="0" t="n">
        <v>2481.188</v>
      </c>
      <c r="U33" s="0" t="n">
        <v>1879.17</v>
      </c>
      <c r="V33" s="0" t="n">
        <v>154955.439</v>
      </c>
      <c r="W33" s="0" t="n">
        <v>224.016</v>
      </c>
      <c r="X33" s="0" t="n">
        <v>601.305</v>
      </c>
      <c r="Y33" s="0" t="n">
        <v>72.059</v>
      </c>
      <c r="Z33" s="0" t="n">
        <v>760.868</v>
      </c>
      <c r="AA33" s="0" t="n">
        <f aca="false">H33*x_c_F+I33*x_c_CC+J33*x_c_DC+K33*x_c_HCC+L33*x_c_PLT+M33*x_c_SVRn+N33*x_c_SVRcc+O33*x_c_LT+P33*x_c_LT1</f>
        <v>314668829.628702</v>
      </c>
      <c r="AB33" s="0" t="n">
        <f aca="false">C33*x_c_DAA</f>
        <v>109976320</v>
      </c>
      <c r="AC33" s="0" t="n">
        <f aca="false">C33*x_c_MON</f>
        <v>27857107.6100244</v>
      </c>
      <c r="AD33" s="0" t="n">
        <f aca="false">D33*(1-x_testy)</f>
        <v>0</v>
      </c>
      <c r="AE33" s="0" t="n">
        <f aca="false">E33*(1-x_testy)</f>
        <v>0</v>
      </c>
      <c r="AF33" s="0" t="n">
        <f aca="false">F33*x_NAV</f>
        <v>0</v>
      </c>
      <c r="AG33" s="0" t="n">
        <f aca="false">G33*x_FIX*(1-x_testy)</f>
        <v>0</v>
      </c>
      <c r="AH33" s="0" t="n">
        <f aca="false">x_z_F*U33+(1-x_AGRI)*x_EMP*x_WLOSS*(x_PEN_K74*Q33+x_PEN_C22*R33)</f>
        <v>32364739.6193053</v>
      </c>
      <c r="AI33" s="0" t="n">
        <f aca="false">x_AGRI*x_EMP*x_WLOSS*(x_PEN_K74*Q33+x_PEN_C22*R33)</f>
        <v>1883883.98552604</v>
      </c>
      <c r="AJ33" s="0" t="n">
        <f aca="false">x_EMP*x_WAGE*(x_WLOSS*(Q33+R33)+S33)+U33*x_ABS_D*x_WAGE/365</f>
        <v>884609916.068185</v>
      </c>
      <c r="AK33" s="0" t="n">
        <f aca="false">AJ33*x_R_FUS</f>
        <v>279890577.443974</v>
      </c>
      <c r="AL33" s="0" t="n">
        <f aca="false">AJ33*x_R_NFZ</f>
        <v>68699690.6917713</v>
      </c>
      <c r="AM33" s="0" t="n">
        <f aca="false">AJ33*x_R_PIT</f>
        <v>58812559.4449488</v>
      </c>
      <c r="AN33" s="0" t="n">
        <f aca="false">AJ33*x_R_FP</f>
        <v>22557552.8597387</v>
      </c>
      <c r="AO33" s="0" t="n">
        <f aca="false">AA33+AB33+AC33+AD33+AF33</f>
        <v>452502257.238726</v>
      </c>
      <c r="AP33" s="0" t="n">
        <f aca="false">AO33+AE33+AG33+AH33+AI33+AK33+AL33+AM33+AN33</f>
        <v>916711261.28399</v>
      </c>
      <c r="AQ33" s="0" t="n">
        <f aca="false">AO33+AE33+AG33+AJ33</f>
        <v>1337112173.30691</v>
      </c>
      <c r="AR33" s="0" t="n">
        <f aca="false">AB33+AC33+AD33+AF33</f>
        <v>137833427.610024</v>
      </c>
      <c r="AS33" s="0" t="n">
        <f aca="false">AR33+AE33+AG33</f>
        <v>137833427.610024</v>
      </c>
    </row>
    <row r="34" customFormat="false" ht="15" hidden="false" customHeight="false" outlineLevel="0" collapsed="false">
      <c r="A34" s="0" t="n">
        <v>2057</v>
      </c>
      <c r="B34" s="0" t="n">
        <v>31</v>
      </c>
      <c r="C34" s="0" t="n">
        <v>4832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2255.294</v>
      </c>
      <c r="I34" s="0" t="n">
        <v>225.273</v>
      </c>
      <c r="J34" s="0" t="n">
        <v>1252.575</v>
      </c>
      <c r="K34" s="0" t="n">
        <v>2084.193</v>
      </c>
      <c r="L34" s="0" t="n">
        <v>971.616</v>
      </c>
      <c r="M34" s="0" t="n">
        <v>110537.053</v>
      </c>
      <c r="N34" s="0" t="n">
        <v>8744.328</v>
      </c>
      <c r="O34" s="0" t="n">
        <v>70.413</v>
      </c>
      <c r="P34" s="0" t="n">
        <v>71.236</v>
      </c>
      <c r="Q34" s="0" t="n">
        <v>1304.667</v>
      </c>
      <c r="R34" s="0" t="n">
        <v>1413.298</v>
      </c>
      <c r="S34" s="0" t="n">
        <v>9021.249</v>
      </c>
      <c r="T34" s="0" t="n">
        <v>2480.567</v>
      </c>
      <c r="U34" s="0" t="n">
        <v>1893.559</v>
      </c>
      <c r="V34" s="0" t="n">
        <v>156477.429</v>
      </c>
      <c r="W34" s="0" t="n">
        <v>219.773</v>
      </c>
      <c r="X34" s="0" t="n">
        <v>590.998</v>
      </c>
      <c r="Y34" s="0" t="n">
        <v>70.413</v>
      </c>
      <c r="Z34" s="0" t="n">
        <v>744.537</v>
      </c>
      <c r="AA34" s="0" t="n">
        <f aca="false">H34*x_c_F+I34*x_c_CC+J34*x_c_DC+K34*x_c_HCC+L34*x_c_PLT+M34*x_c_SVRn+N34*x_c_SVRcc+O34*x_c_LT+P34*x_c_LT1</f>
        <v>311645232.789797</v>
      </c>
      <c r="AB34" s="0" t="n">
        <f aca="false">C34*x_c_DAA</f>
        <v>109976320</v>
      </c>
      <c r="AC34" s="0" t="n">
        <f aca="false">C34*x_c_MON</f>
        <v>27857107.6100244</v>
      </c>
      <c r="AD34" s="0" t="n">
        <f aca="false">D34*(1-x_testy)</f>
        <v>0</v>
      </c>
      <c r="AE34" s="0" t="n">
        <f aca="false">E34*(1-x_testy)</f>
        <v>0</v>
      </c>
      <c r="AF34" s="0" t="n">
        <f aca="false">F34*x_NAV</f>
        <v>0</v>
      </c>
      <c r="AG34" s="0" t="n">
        <f aca="false">G34*x_FIX*(1-x_testy)</f>
        <v>0</v>
      </c>
      <c r="AH34" s="0" t="n">
        <f aca="false">x_z_F*U34+(1-x_AGRI)*x_EMP*x_WLOSS*(x_PEN_K74*Q34+x_PEN_C22*R34)</f>
        <v>33145721.4198369</v>
      </c>
      <c r="AI34" s="0" t="n">
        <f aca="false">x_AGRI*x_EMP*x_WLOSS*(x_PEN_K74*Q34+x_PEN_C22*R34)</f>
        <v>1933550.04132166</v>
      </c>
      <c r="AJ34" s="0" t="n">
        <f aca="false">x_EMP*x_WAGE*(x_WLOSS*(Q34+R34)+S34)+U34*x_ABS_D*x_WAGE/365</f>
        <v>923353096.412207</v>
      </c>
      <c r="AK34" s="0" t="n">
        <f aca="false">AJ34*x_R_FUS</f>
        <v>292148919.704822</v>
      </c>
      <c r="AL34" s="0" t="n">
        <f aca="false">AJ34*x_R_NFZ</f>
        <v>71708524.8204684</v>
      </c>
      <c r="AM34" s="0" t="n">
        <f aca="false">AJ34*x_R_PIT</f>
        <v>61388367.7822516</v>
      </c>
      <c r="AN34" s="0" t="n">
        <f aca="false">AJ34*x_R_FP</f>
        <v>23545503.9585113</v>
      </c>
      <c r="AO34" s="0" t="n">
        <f aca="false">AA34+AB34+AC34+AD34+AF34</f>
        <v>449478660.399822</v>
      </c>
      <c r="AP34" s="0" t="n">
        <f aca="false">AO34+AE34+AG34+AH34+AI34+AK34+AL34+AM34+AN34</f>
        <v>933349248.127034</v>
      </c>
      <c r="AQ34" s="0" t="n">
        <f aca="false">AO34+AE34+AG34+AJ34</f>
        <v>1372831756.81203</v>
      </c>
      <c r="AR34" s="0" t="n">
        <f aca="false">AB34+AC34+AD34+AF34</f>
        <v>137833427.610024</v>
      </c>
      <c r="AS34" s="0" t="n">
        <f aca="false">AR34+AE34+AG34</f>
        <v>137833427.610024</v>
      </c>
    </row>
    <row r="35" customFormat="false" ht="15" hidden="false" customHeight="false" outlineLevel="0" collapsed="false">
      <c r="A35" s="0" t="n">
        <v>2058</v>
      </c>
      <c r="B35" s="0" t="n">
        <v>32</v>
      </c>
      <c r="C35" s="0" t="n">
        <v>4832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2258.141</v>
      </c>
      <c r="I35" s="0" t="n">
        <v>221.833</v>
      </c>
      <c r="J35" s="0" t="n">
        <v>1225.763</v>
      </c>
      <c r="K35" s="0" t="n">
        <v>2046.544</v>
      </c>
      <c r="L35" s="0" t="n">
        <v>946.686</v>
      </c>
      <c r="M35" s="0" t="n">
        <v>112967.92</v>
      </c>
      <c r="N35" s="0" t="n">
        <v>8702.47</v>
      </c>
      <c r="O35" s="0" t="n">
        <v>69.029</v>
      </c>
      <c r="P35" s="0" t="n">
        <v>69.721</v>
      </c>
      <c r="Q35" s="0" t="n">
        <v>1337.77</v>
      </c>
      <c r="R35" s="0" t="n">
        <v>1447.985</v>
      </c>
      <c r="S35" s="0" t="n">
        <v>9432.826</v>
      </c>
      <c r="T35" s="0" t="n">
        <v>2479.974</v>
      </c>
      <c r="U35" s="0" t="n">
        <v>1906.469</v>
      </c>
      <c r="V35" s="0" t="n">
        <v>157986.947</v>
      </c>
      <c r="W35" s="0" t="n">
        <v>216.073</v>
      </c>
      <c r="X35" s="0" t="n">
        <v>582.12</v>
      </c>
      <c r="Y35" s="0" t="n">
        <v>69.029</v>
      </c>
      <c r="Z35" s="0" t="n">
        <v>730.899</v>
      </c>
      <c r="AA35" s="0" t="n">
        <f aca="false">H35*x_c_F+I35*x_c_CC+J35*x_c_DC+K35*x_c_HCC+L35*x_c_PLT+M35*x_c_SVRn+N35*x_c_SVRcc+O35*x_c_LT+P35*x_c_LT1</f>
        <v>308818878.355894</v>
      </c>
      <c r="AB35" s="0" t="n">
        <f aca="false">C35*x_c_DAA</f>
        <v>109976320</v>
      </c>
      <c r="AC35" s="0" t="n">
        <f aca="false">C35*x_c_MON</f>
        <v>27857107.6100244</v>
      </c>
      <c r="AD35" s="0" t="n">
        <f aca="false">D35*(1-x_testy)</f>
        <v>0</v>
      </c>
      <c r="AE35" s="0" t="n">
        <f aca="false">E35*(1-x_testy)</f>
        <v>0</v>
      </c>
      <c r="AF35" s="0" t="n">
        <f aca="false">F35*x_NAV</f>
        <v>0</v>
      </c>
      <c r="AG35" s="0" t="n">
        <f aca="false">G35*x_FIX*(1-x_testy)</f>
        <v>0</v>
      </c>
      <c r="AH35" s="0" t="n">
        <f aca="false">x_z_F*U35+(1-x_AGRI)*x_EMP*x_WLOSS*(x_PEN_K74*Q35+x_PEN_C22*R35)</f>
        <v>33901097.3622297</v>
      </c>
      <c r="AI35" s="0" t="n">
        <f aca="false">x_AGRI*x_EMP*x_WLOSS*(x_PEN_K74*Q35+x_PEN_C22*R35)</f>
        <v>1981724.58253315</v>
      </c>
      <c r="AJ35" s="0" t="n">
        <f aca="false">x_EMP*x_WAGE*(x_WLOSS*(Q35+R35)+S35)+U35*x_ABS_D*x_WAGE/365</f>
        <v>962189444.394803</v>
      </c>
      <c r="AK35" s="0" t="n">
        <f aca="false">AJ35*x_R_FUS</f>
        <v>304436740.206516</v>
      </c>
      <c r="AL35" s="0" t="n">
        <f aca="false">AJ35*x_R_NFZ</f>
        <v>74724594.4411448</v>
      </c>
      <c r="AM35" s="0" t="n">
        <f aca="false">AJ35*x_R_PIT</f>
        <v>63970370.2930342</v>
      </c>
      <c r="AN35" s="0" t="n">
        <f aca="false">AJ35*x_R_FP</f>
        <v>24535830.8320675</v>
      </c>
      <c r="AO35" s="0" t="n">
        <f aca="false">AA35+AB35+AC35+AD35+AF35</f>
        <v>446652305.965918</v>
      </c>
      <c r="AP35" s="0" t="n">
        <f aca="false">AO35+AE35+AG35+AH35+AI35+AK35+AL35+AM35+AN35</f>
        <v>950202663.683443</v>
      </c>
      <c r="AQ35" s="0" t="n">
        <f aca="false">AO35+AE35+AG35+AJ35</f>
        <v>1408841750.36072</v>
      </c>
      <c r="AR35" s="0" t="n">
        <f aca="false">AB35+AC35+AD35+AF35</f>
        <v>137833427.610024</v>
      </c>
      <c r="AS35" s="0" t="n">
        <f aca="false">AR35+AE35+AG35</f>
        <v>137833427.610024</v>
      </c>
    </row>
    <row r="36" customFormat="false" ht="15" hidden="false" customHeight="false" outlineLevel="0" collapsed="false">
      <c r="A36" s="0" t="n">
        <v>2059</v>
      </c>
      <c r="B36" s="0" t="n">
        <v>33</v>
      </c>
      <c r="C36" s="0" t="n">
        <v>4832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2260.739</v>
      </c>
      <c r="I36" s="0" t="n">
        <v>218.673</v>
      </c>
      <c r="J36" s="0" t="n">
        <v>1201.281</v>
      </c>
      <c r="K36" s="0" t="n">
        <v>2012.343</v>
      </c>
      <c r="L36" s="0" t="n">
        <v>923.685</v>
      </c>
      <c r="M36" s="0" t="n">
        <v>115434.628</v>
      </c>
      <c r="N36" s="0" t="n">
        <v>8663.045</v>
      </c>
      <c r="O36" s="0" t="n">
        <v>67.652</v>
      </c>
      <c r="P36" s="0" t="n">
        <v>68.341</v>
      </c>
      <c r="Q36" s="0" t="n">
        <v>1013.328</v>
      </c>
      <c r="R36" s="0" t="n">
        <v>1228.394</v>
      </c>
      <c r="S36" s="0" t="n">
        <v>6187.082</v>
      </c>
      <c r="T36" s="0" t="n">
        <v>2479.412</v>
      </c>
      <c r="U36" s="0" t="n">
        <v>1881.929</v>
      </c>
      <c r="V36" s="0" t="n">
        <v>159546.253</v>
      </c>
      <c r="W36" s="0" t="n">
        <v>212.501</v>
      </c>
      <c r="X36" s="0" t="n">
        <v>573.446</v>
      </c>
      <c r="Y36" s="0" t="n">
        <v>67.652</v>
      </c>
      <c r="Z36" s="0" t="n">
        <v>717.299</v>
      </c>
      <c r="AA36" s="0" t="n">
        <f aca="false">H36*x_c_F+I36*x_c_CC+J36*x_c_DC+K36*x_c_HCC+L36*x_c_PLT+M36*x_c_SVRn+N36*x_c_SVRcc+O36*x_c_LT+P36*x_c_LT1</f>
        <v>306350958.070113</v>
      </c>
      <c r="AB36" s="0" t="n">
        <f aca="false">C36*x_c_DAA</f>
        <v>109976320</v>
      </c>
      <c r="AC36" s="0" t="n">
        <f aca="false">C36*x_c_MON</f>
        <v>27857107.6100244</v>
      </c>
      <c r="AD36" s="0" t="n">
        <f aca="false">D36*(1-x_testy)</f>
        <v>0</v>
      </c>
      <c r="AE36" s="0" t="n">
        <f aca="false">E36*(1-x_testy)</f>
        <v>0</v>
      </c>
      <c r="AF36" s="0" t="n">
        <f aca="false">F36*x_NAV</f>
        <v>0</v>
      </c>
      <c r="AG36" s="0" t="n">
        <f aca="false">G36*x_FIX*(1-x_testy)</f>
        <v>0</v>
      </c>
      <c r="AH36" s="0" t="n">
        <f aca="false">x_z_F*U36+(1-x_AGRI)*x_EMP*x_WLOSS*(x_PEN_K74*Q36+x_PEN_C22*R36)</f>
        <v>28082169.7007372</v>
      </c>
      <c r="AI36" s="0" t="n">
        <f aca="false">x_AGRI*x_EMP*x_WLOSS*(x_PEN_K74*Q36+x_PEN_C22*R36)</f>
        <v>1600439.40746122</v>
      </c>
      <c r="AJ36" s="0" t="n">
        <f aca="false">x_EMP*x_WAGE*(x_WLOSS*(Q36+R36)+S36)+U36*x_ABS_D*x_WAGE/365</f>
        <v>655632603.590441</v>
      </c>
      <c r="AK36" s="0" t="n">
        <f aca="false">AJ36*x_R_FUS</f>
        <v>207442155.776015</v>
      </c>
      <c r="AL36" s="0" t="n">
        <f aca="false">AJ36*x_R_NFZ</f>
        <v>50917083.6274372</v>
      </c>
      <c r="AM36" s="0" t="n">
        <f aca="false">AJ36*x_R_PIT</f>
        <v>43589191.9956019</v>
      </c>
      <c r="AN36" s="0" t="n">
        <f aca="false">AJ36*x_R_FP</f>
        <v>16718631.3915562</v>
      </c>
      <c r="AO36" s="0" t="n">
        <f aca="false">AA36+AB36+AC36+AD36+AF36</f>
        <v>444184385.680138</v>
      </c>
      <c r="AP36" s="0" t="n">
        <f aca="false">AO36+AE36+AG36+AH36+AI36+AK36+AL36+AM36+AN36</f>
        <v>792534057.578947</v>
      </c>
      <c r="AQ36" s="0" t="n">
        <f aca="false">AO36+AE36+AG36+AJ36</f>
        <v>1099816989.27058</v>
      </c>
      <c r="AR36" s="0" t="n">
        <f aca="false">AB36+AC36+AD36+AF36</f>
        <v>137833427.610024</v>
      </c>
      <c r="AS36" s="0" t="n">
        <f aca="false">AR36+AE36+AG36</f>
        <v>137833427.610024</v>
      </c>
    </row>
    <row r="37" customFormat="false" ht="15" hidden="false" customHeight="false" outlineLevel="0" collapsed="false">
      <c r="A37" s="0" t="n">
        <v>2060</v>
      </c>
      <c r="B37" s="0" t="n">
        <v>34</v>
      </c>
      <c r="C37" s="0" t="n">
        <v>4832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2263.142</v>
      </c>
      <c r="I37" s="0" t="n">
        <v>215.729</v>
      </c>
      <c r="J37" s="0" t="n">
        <v>1177.107</v>
      </c>
      <c r="K37" s="0" t="n">
        <v>1978.775</v>
      </c>
      <c r="L37" s="0" t="n">
        <v>899.002</v>
      </c>
      <c r="M37" s="0" t="n">
        <v>117799.125</v>
      </c>
      <c r="N37" s="0" t="n">
        <v>8603.275</v>
      </c>
      <c r="O37" s="0" t="n">
        <v>66.296</v>
      </c>
      <c r="P37" s="0" t="n">
        <v>66.974</v>
      </c>
      <c r="Q37" s="0" t="n">
        <v>670.099</v>
      </c>
      <c r="R37" s="0" t="n">
        <v>988.189</v>
      </c>
      <c r="S37" s="0" t="n">
        <v>2727.059</v>
      </c>
      <c r="T37" s="0" t="n">
        <v>2478.871</v>
      </c>
      <c r="U37" s="0" t="n">
        <v>1851.257</v>
      </c>
      <c r="V37" s="0" t="n">
        <v>161025.494</v>
      </c>
      <c r="W37" s="0" t="n">
        <v>209.073</v>
      </c>
      <c r="X37" s="0" t="n">
        <v>565.022</v>
      </c>
      <c r="Y37" s="0" t="n">
        <v>66.296</v>
      </c>
      <c r="Z37" s="0" t="n">
        <v>703.852</v>
      </c>
      <c r="AA37" s="0" t="n">
        <f aca="false">H37*x_c_F+I37*x_c_CC+J37*x_c_DC+K37*x_c_HCC+L37*x_c_PLT+M37*x_c_SVRn+N37*x_c_SVRcc+O37*x_c_LT+P37*x_c_LT1</f>
        <v>303765027.778938</v>
      </c>
      <c r="AB37" s="0" t="n">
        <f aca="false">C37*x_c_DAA</f>
        <v>109976320</v>
      </c>
      <c r="AC37" s="0" t="n">
        <f aca="false">C37*x_c_MON</f>
        <v>27857107.6100244</v>
      </c>
      <c r="AD37" s="0" t="n">
        <f aca="false">D37*(1-x_testy)</f>
        <v>0</v>
      </c>
      <c r="AE37" s="0" t="n">
        <f aca="false">E37*(1-x_testy)</f>
        <v>0</v>
      </c>
      <c r="AF37" s="0" t="n">
        <f aca="false">F37*x_NAV</f>
        <v>0</v>
      </c>
      <c r="AG37" s="0" t="n">
        <f aca="false">G37*x_FIX*(1-x_testy)</f>
        <v>0</v>
      </c>
      <c r="AH37" s="0" t="n">
        <f aca="false">x_z_F*U37+(1-x_AGRI)*x_EMP*x_WLOSS*(x_PEN_K74*Q37+x_PEN_C22*R37)</f>
        <v>21826399.6833267</v>
      </c>
      <c r="AI37" s="0" t="n">
        <f aca="false">x_AGRI*x_EMP*x_WLOSS*(x_PEN_K74*Q37+x_PEN_C22*R37)</f>
        <v>1191113.07752066</v>
      </c>
      <c r="AJ37" s="0" t="n">
        <f aca="false">x_EMP*x_WAGE*(x_WLOSS*(Q37+R37)+S37)+U37*x_ABS_D*x_WAGE/365</f>
        <v>328633531.82971</v>
      </c>
      <c r="AK37" s="0" t="n">
        <f aca="false">AJ37*x_R_FUS</f>
        <v>103979649.47092</v>
      </c>
      <c r="AL37" s="0" t="n">
        <f aca="false">AJ37*x_R_NFZ</f>
        <v>25522008.7154271</v>
      </c>
      <c r="AM37" s="0" t="n">
        <f aca="false">AJ37*x_R_PIT</f>
        <v>21848928.8614853</v>
      </c>
      <c r="AN37" s="0" t="n">
        <f aca="false">AJ37*x_R_FP</f>
        <v>8380155.06165759</v>
      </c>
      <c r="AO37" s="0" t="n">
        <f aca="false">AA37+AB37+AC37+AD37+AF37</f>
        <v>441598455.388962</v>
      </c>
      <c r="AP37" s="0" t="n">
        <f aca="false">AO37+AE37+AG37+AH37+AI37+AK37+AL37+AM37+AN37</f>
        <v>624346710.2593</v>
      </c>
      <c r="AQ37" s="0" t="n">
        <f aca="false">AO37+AE37+AG37+AJ37</f>
        <v>770231987.218672</v>
      </c>
      <c r="AR37" s="0" t="n">
        <f aca="false">AB37+AC37+AD37+AF37</f>
        <v>137833427.610024</v>
      </c>
      <c r="AS37" s="0" t="n">
        <f aca="false">AR37+AE37+AG37</f>
        <v>137833427.610024</v>
      </c>
    </row>
    <row r="38" customFormat="false" ht="15" hidden="false" customHeight="false" outlineLevel="0" collapsed="false">
      <c r="A38" s="0" t="n">
        <v>2061</v>
      </c>
      <c r="B38" s="0" t="n">
        <v>35</v>
      </c>
      <c r="C38" s="0" t="n">
        <v>4832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2265.331</v>
      </c>
      <c r="I38" s="0" t="n">
        <v>213.02</v>
      </c>
      <c r="J38" s="0" t="n">
        <v>1153.522</v>
      </c>
      <c r="K38" s="0" t="n">
        <v>1946.16</v>
      </c>
      <c r="L38" s="0" t="n">
        <v>872.914</v>
      </c>
      <c r="M38" s="0" t="n">
        <v>120062.928</v>
      </c>
      <c r="N38" s="0" t="n">
        <v>8525.279</v>
      </c>
      <c r="O38" s="0" t="n">
        <v>64.98</v>
      </c>
      <c r="P38" s="0" t="n">
        <v>65.638</v>
      </c>
      <c r="Q38" s="0" t="n">
        <v>665.373</v>
      </c>
      <c r="R38" s="0" t="n">
        <v>980.987</v>
      </c>
      <c r="S38" s="0" t="n">
        <v>2711.358</v>
      </c>
      <c r="T38" s="0" t="n">
        <v>2478.351</v>
      </c>
      <c r="U38" s="0" t="n">
        <v>1851.048</v>
      </c>
      <c r="V38" s="0" t="n">
        <v>162427.875</v>
      </c>
      <c r="W38" s="0" t="n">
        <v>205.821</v>
      </c>
      <c r="X38" s="0" t="n">
        <v>556.93</v>
      </c>
      <c r="Y38" s="0" t="n">
        <v>64.98</v>
      </c>
      <c r="Z38" s="0" t="n">
        <v>690.739</v>
      </c>
      <c r="AA38" s="0" t="n">
        <f aca="false">H38*x_c_F+I38*x_c_CC+J38*x_c_DC+K38*x_c_HCC+L38*x_c_PLT+M38*x_c_SVRn+N38*x_c_SVRcc+O38*x_c_LT+P38*x_c_LT1</f>
        <v>301109237.670985</v>
      </c>
      <c r="AB38" s="0" t="n">
        <f aca="false">C38*x_c_DAA</f>
        <v>109976320</v>
      </c>
      <c r="AC38" s="0" t="n">
        <f aca="false">C38*x_c_MON</f>
        <v>27857107.6100244</v>
      </c>
      <c r="AD38" s="0" t="n">
        <f aca="false">D38*(1-x_testy)</f>
        <v>0</v>
      </c>
      <c r="AE38" s="0" t="n">
        <f aca="false">E38*(1-x_testy)</f>
        <v>0</v>
      </c>
      <c r="AF38" s="0" t="n">
        <f aca="false">F38*x_NAV</f>
        <v>0</v>
      </c>
      <c r="AG38" s="0" t="n">
        <f aca="false">G38*x_FIX*(1-x_testy)</f>
        <v>0</v>
      </c>
      <c r="AH38" s="0" t="n">
        <f aca="false">x_z_F*U38+(1-x_AGRI)*x_EMP*x_WLOSS*(x_PEN_K74*Q38+x_PEN_C22*R38)</f>
        <v>21696221.1508138</v>
      </c>
      <c r="AI38" s="0" t="n">
        <f aca="false">x_AGRI*x_EMP*x_WLOSS*(x_PEN_K74*Q38+x_PEN_C22*R38)</f>
        <v>1182536.92765084</v>
      </c>
      <c r="AJ38" s="0" t="n">
        <f aca="false">x_EMP*x_WAGE*(x_WLOSS*(Q38+R38)+S38)+U38*x_ABS_D*x_WAGE/365</f>
        <v>326641947.405491</v>
      </c>
      <c r="AK38" s="0" t="n">
        <f aca="false">AJ38*x_R_FUS</f>
        <v>103349512.159098</v>
      </c>
      <c r="AL38" s="0" t="n">
        <f aca="false">AJ38*x_R_NFZ</f>
        <v>25367340.2774579</v>
      </c>
      <c r="AM38" s="0" t="n">
        <f aca="false">AJ38*x_R_PIT</f>
        <v>21716520.0163985</v>
      </c>
      <c r="AN38" s="0" t="n">
        <f aca="false">AJ38*x_R_FP</f>
        <v>8329369.65884003</v>
      </c>
      <c r="AO38" s="0" t="n">
        <f aca="false">AA38+AB38+AC38+AD38+AF38</f>
        <v>438942665.28101</v>
      </c>
      <c r="AP38" s="0" t="n">
        <f aca="false">AO38+AE38+AG38+AH38+AI38+AK38+AL38+AM38+AN38</f>
        <v>620584165.471268</v>
      </c>
      <c r="AQ38" s="0" t="n">
        <f aca="false">AO38+AE38+AG38+AJ38</f>
        <v>765584612.686501</v>
      </c>
      <c r="AR38" s="0" t="n">
        <f aca="false">AB38+AC38+AD38+AF38</f>
        <v>137833427.610024</v>
      </c>
      <c r="AS38" s="0" t="n">
        <f aca="false">AR38+AE38+AG38</f>
        <v>137833427.610024</v>
      </c>
    </row>
    <row r="39" customFormat="false" ht="15" hidden="false" customHeight="false" outlineLevel="0" collapsed="false">
      <c r="A39" s="0" t="n">
        <v>2062</v>
      </c>
      <c r="B39" s="0" t="n">
        <v>36</v>
      </c>
      <c r="C39" s="0" t="n">
        <v>4832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2267.285</v>
      </c>
      <c r="I39" s="0" t="n">
        <v>210.57</v>
      </c>
      <c r="J39" s="0" t="n">
        <v>1130.878</v>
      </c>
      <c r="K39" s="0" t="n">
        <v>1914.924</v>
      </c>
      <c r="L39" s="0" t="n">
        <v>845.852</v>
      </c>
      <c r="M39" s="0" t="n">
        <v>122233.211</v>
      </c>
      <c r="N39" s="0" t="n">
        <v>8432.415</v>
      </c>
      <c r="O39" s="0" t="n">
        <v>63.725</v>
      </c>
      <c r="P39" s="0" t="n">
        <v>64.352</v>
      </c>
      <c r="Q39" s="0" t="n">
        <v>660.756</v>
      </c>
      <c r="R39" s="0" t="n">
        <v>973.942</v>
      </c>
      <c r="S39" s="0" t="n">
        <v>2696.071</v>
      </c>
      <c r="T39" s="0" t="n">
        <v>2477.855</v>
      </c>
      <c r="U39" s="0" t="n">
        <v>1850.711</v>
      </c>
      <c r="V39" s="0" t="n">
        <v>163762.311</v>
      </c>
      <c r="W39" s="0" t="n">
        <v>202.78</v>
      </c>
      <c r="X39" s="0" t="n">
        <v>549.271</v>
      </c>
      <c r="Y39" s="0" t="n">
        <v>63.725</v>
      </c>
      <c r="Z39" s="0" t="n">
        <v>678.159</v>
      </c>
      <c r="AA39" s="0" t="n">
        <f aca="false">H39*x_c_F+I39*x_c_CC+J39*x_c_DC+K39*x_c_HCC+L39*x_c_PLT+M39*x_c_SVRn+N39*x_c_SVRcc+O39*x_c_LT+P39*x_c_LT1</f>
        <v>298452193.35643</v>
      </c>
      <c r="AB39" s="0" t="n">
        <f aca="false">C39*x_c_DAA</f>
        <v>109976320</v>
      </c>
      <c r="AC39" s="0" t="n">
        <f aca="false">C39*x_c_MON</f>
        <v>27857107.6100244</v>
      </c>
      <c r="AD39" s="0" t="n">
        <f aca="false">D39*(1-x_testy)</f>
        <v>0</v>
      </c>
      <c r="AE39" s="0" t="n">
        <f aca="false">E39*(1-x_testy)</f>
        <v>0</v>
      </c>
      <c r="AF39" s="0" t="n">
        <f aca="false">F39*x_NAV</f>
        <v>0</v>
      </c>
      <c r="AG39" s="0" t="n">
        <f aca="false">G39*x_FIX*(1-x_testy)</f>
        <v>0</v>
      </c>
      <c r="AH39" s="0" t="n">
        <f aca="false">x_z_F*U39+(1-x_AGRI)*x_EMP*x_WLOSS*(x_PEN_K74*Q39+x_PEN_C22*R39)</f>
        <v>21568667.9743788</v>
      </c>
      <c r="AI39" s="0" t="n">
        <f aca="false">x_AGRI*x_EMP*x_WLOSS*(x_PEN_K74*Q39+x_PEN_C22*R39)</f>
        <v>1174151.70288945</v>
      </c>
      <c r="AJ39" s="0" t="n">
        <f aca="false">x_EMP*x_WAGE*(x_WLOSS*(Q39+R39)+S39)+U39*x_ABS_D*x_WAGE/365</f>
        <v>324699831.334541</v>
      </c>
      <c r="AK39" s="0" t="n">
        <f aca="false">AJ39*x_R_FUS</f>
        <v>102735026.634249</v>
      </c>
      <c r="AL39" s="0" t="n">
        <f aca="false">AJ39*x_R_NFZ</f>
        <v>25216513.6012718</v>
      </c>
      <c r="AM39" s="0" t="n">
        <f aca="false">AJ39*x_R_PIT</f>
        <v>21587400.0339101</v>
      </c>
      <c r="AN39" s="0" t="n">
        <f aca="false">AJ39*x_R_FP</f>
        <v>8279845.69903079</v>
      </c>
      <c r="AO39" s="0" t="n">
        <f aca="false">AA39+AB39+AC39+AD39+AF39</f>
        <v>436285620.966454</v>
      </c>
      <c r="AP39" s="0" t="n">
        <f aca="false">AO39+AE39+AG39+AH39+AI39+AK39+AL39+AM39+AN39</f>
        <v>616847226.612184</v>
      </c>
      <c r="AQ39" s="0" t="n">
        <f aca="false">AO39+AE39+AG39+AJ39</f>
        <v>760985452.300995</v>
      </c>
      <c r="AR39" s="0" t="n">
        <f aca="false">AB39+AC39+AD39+AF39</f>
        <v>137833427.610024</v>
      </c>
      <c r="AS39" s="0" t="n">
        <f aca="false">AR39+AE39+AG39</f>
        <v>137833427.610024</v>
      </c>
    </row>
    <row r="40" customFormat="false" ht="15" hidden="false" customHeight="false" outlineLevel="0" collapsed="false">
      <c r="A40" s="0" t="n">
        <v>2063</v>
      </c>
      <c r="B40" s="0" t="n">
        <v>37</v>
      </c>
      <c r="C40" s="0" t="n">
        <v>4832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2268.979</v>
      </c>
      <c r="I40" s="0" t="n">
        <v>208.407</v>
      </c>
      <c r="J40" s="0" t="n">
        <v>1109.563</v>
      </c>
      <c r="K40" s="0" t="n">
        <v>1885.557</v>
      </c>
      <c r="L40" s="0" t="n">
        <v>818.384</v>
      </c>
      <c r="M40" s="0" t="n">
        <v>124322.803</v>
      </c>
      <c r="N40" s="0" t="n">
        <v>8329.199</v>
      </c>
      <c r="O40" s="0" t="n">
        <v>62.555</v>
      </c>
      <c r="P40" s="0" t="n">
        <v>63.14</v>
      </c>
      <c r="Q40" s="0" t="n">
        <v>656.166</v>
      </c>
      <c r="R40" s="0" t="n">
        <v>966.966</v>
      </c>
      <c r="S40" s="0" t="n">
        <v>2680.722</v>
      </c>
      <c r="T40" s="0" t="n">
        <v>2477.386</v>
      </c>
      <c r="U40" s="0" t="n">
        <v>1850.189</v>
      </c>
      <c r="V40" s="0" t="n">
        <v>165043.144</v>
      </c>
      <c r="W40" s="0" t="n">
        <v>199.994</v>
      </c>
      <c r="X40" s="0" t="n">
        <v>542.168</v>
      </c>
      <c r="Y40" s="0" t="n">
        <v>62.555</v>
      </c>
      <c r="Z40" s="0" t="n">
        <v>666.35</v>
      </c>
      <c r="AA40" s="0" t="n">
        <f aca="false">H40*x_c_F+I40*x_c_CC+J40*x_c_DC+K40*x_c_HCC+L40*x_c_PLT+M40*x_c_SVRn+N40*x_c_SVRcc+O40*x_c_LT+P40*x_c_LT1</f>
        <v>295879440.886421</v>
      </c>
      <c r="AB40" s="0" t="n">
        <f aca="false">C40*x_c_DAA</f>
        <v>109976320</v>
      </c>
      <c r="AC40" s="0" t="n">
        <f aca="false">C40*x_c_MON</f>
        <v>27857107.6100244</v>
      </c>
      <c r="AD40" s="0" t="n">
        <f aca="false">D40*(1-x_testy)</f>
        <v>0</v>
      </c>
      <c r="AE40" s="0" t="n">
        <f aca="false">E40*(1-x_testy)</f>
        <v>0</v>
      </c>
      <c r="AF40" s="0" t="n">
        <f aca="false">F40*x_NAV</f>
        <v>0</v>
      </c>
      <c r="AG40" s="0" t="n">
        <f aca="false">G40*x_FIX*(1-x_testy)</f>
        <v>0</v>
      </c>
      <c r="AH40" s="0" t="n">
        <f aca="false">x_z_F*U40+(1-x_AGRI)*x_EMP*x_WLOSS*(x_PEN_K74*Q40+x_PEN_C22*R40)</f>
        <v>21441793.8469657</v>
      </c>
      <c r="AI40" s="0" t="n">
        <f aca="false">x_AGRI*x_EMP*x_WLOSS*(x_PEN_K74*Q40+x_PEN_C22*R40)</f>
        <v>1165836.5018895</v>
      </c>
      <c r="AJ40" s="0" t="n">
        <f aca="false">x_EMP*x_WAGE*(x_WLOSS*(Q40+R40)+S40)+U40*x_ABS_D*x_WAGE/365</f>
        <v>322757135.558384</v>
      </c>
      <c r="AK40" s="0" t="n">
        <f aca="false">AJ40*x_R_FUS</f>
        <v>102120357.690673</v>
      </c>
      <c r="AL40" s="0" t="n">
        <f aca="false">AJ40*x_R_NFZ</f>
        <v>25065641.9045997</v>
      </c>
      <c r="AM40" s="0" t="n">
        <f aca="false">AJ40*x_R_PIT</f>
        <v>21458241.5102</v>
      </c>
      <c r="AN40" s="0" t="n">
        <f aca="false">AJ40*x_R_FP</f>
        <v>8230306.95673879</v>
      </c>
      <c r="AO40" s="0" t="n">
        <f aca="false">AA40+AB40+AC40+AD40+AF40</f>
        <v>433712868.496445</v>
      </c>
      <c r="AP40" s="0" t="n">
        <f aca="false">AO40+AE40+AG40+AH40+AI40+AK40+AL40+AM40+AN40</f>
        <v>613195046.907512</v>
      </c>
      <c r="AQ40" s="0" t="n">
        <f aca="false">AO40+AE40+AG40+AJ40</f>
        <v>756470004.054829</v>
      </c>
      <c r="AR40" s="0" t="n">
        <f aca="false">AB40+AC40+AD40+AF40</f>
        <v>137833427.610024</v>
      </c>
      <c r="AS40" s="0" t="n">
        <f aca="false">AR40+AE40+AG40</f>
        <v>137833427.610024</v>
      </c>
    </row>
    <row r="41" customFormat="false" ht="15" hidden="false" customHeight="false" outlineLevel="0" collapsed="false">
      <c r="A41" s="0" t="n">
        <v>2064</v>
      </c>
      <c r="B41" s="0" t="n">
        <v>38</v>
      </c>
      <c r="C41" s="0" t="n">
        <v>4832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2270.397</v>
      </c>
      <c r="I41" s="0" t="n">
        <v>206.549</v>
      </c>
      <c r="J41" s="0" t="n">
        <v>1089.975</v>
      </c>
      <c r="K41" s="0" t="n">
        <v>1858.569</v>
      </c>
      <c r="L41" s="0" t="n">
        <v>791.19</v>
      </c>
      <c r="M41" s="0" t="n">
        <v>126349.671</v>
      </c>
      <c r="N41" s="0" t="n">
        <v>8221.103</v>
      </c>
      <c r="O41" s="0" t="n">
        <v>61.492</v>
      </c>
      <c r="P41" s="0" t="n">
        <v>62.023</v>
      </c>
      <c r="Q41" s="0" t="n">
        <v>651.583</v>
      </c>
      <c r="R41" s="0" t="n">
        <v>960.041</v>
      </c>
      <c r="S41" s="0" t="n">
        <v>2665.186</v>
      </c>
      <c r="T41" s="0" t="n">
        <v>2476.947</v>
      </c>
      <c r="U41" s="0" t="n">
        <v>1849.45</v>
      </c>
      <c r="V41" s="0" t="n">
        <v>166289.248</v>
      </c>
      <c r="W41" s="0" t="n">
        <v>197.503</v>
      </c>
      <c r="X41" s="0" t="n">
        <v>535.738</v>
      </c>
      <c r="Y41" s="0" t="n">
        <v>61.492</v>
      </c>
      <c r="Z41" s="0" t="n">
        <v>655.535</v>
      </c>
      <c r="AA41" s="0" t="n">
        <f aca="false">H41*x_c_F+I41*x_c_CC+J41*x_c_DC+K41*x_c_HCC+L41*x_c_PLT+M41*x_c_SVRn+N41*x_c_SVRcc+O41*x_c_LT+P41*x_c_LT1</f>
        <v>293486434.108814</v>
      </c>
      <c r="AB41" s="0" t="n">
        <f aca="false">C41*x_c_DAA</f>
        <v>109976320</v>
      </c>
      <c r="AC41" s="0" t="n">
        <f aca="false">C41*x_c_MON</f>
        <v>27857107.6100244</v>
      </c>
      <c r="AD41" s="0" t="n">
        <f aca="false">D41*(1-x_testy)</f>
        <v>0</v>
      </c>
      <c r="AE41" s="0" t="n">
        <f aca="false">E41*(1-x_testy)</f>
        <v>0</v>
      </c>
      <c r="AF41" s="0" t="n">
        <f aca="false">F41*x_NAV</f>
        <v>0</v>
      </c>
      <c r="AG41" s="0" t="n">
        <f aca="false">G41*x_FIX*(1-x_testy)</f>
        <v>0</v>
      </c>
      <c r="AH41" s="0" t="n">
        <f aca="false">x_z_F*U41+(1-x_AGRI)*x_EMP*x_WLOSS*(x_PEN_K74*Q41+x_PEN_C22*R41)</f>
        <v>21315126.408459</v>
      </c>
      <c r="AI41" s="0" t="n">
        <f aca="false">x_AGRI*x_EMP*x_WLOSS*(x_PEN_K74*Q41+x_PEN_C22*R41)</f>
        <v>1157564.45108121</v>
      </c>
      <c r="AJ41" s="0" t="n">
        <f aca="false">x_EMP*x_WAGE*(x_WLOSS*(Q41+R41)+S41)+U41*x_ABS_D*x_WAGE/365</f>
        <v>320801030.448027</v>
      </c>
      <c r="AK41" s="0" t="n">
        <f aca="false">AJ41*x_R_FUS</f>
        <v>101501446.033756</v>
      </c>
      <c r="AL41" s="0" t="n">
        <f aca="false">AJ41*x_R_NFZ</f>
        <v>24913728.8256242</v>
      </c>
      <c r="AM41" s="0" t="n">
        <f aca="false">AJ41*x_R_PIT</f>
        <v>21328191.4779838</v>
      </c>
      <c r="AN41" s="0" t="n">
        <f aca="false">AJ41*x_R_FP</f>
        <v>8180426.27642468</v>
      </c>
      <c r="AO41" s="0" t="n">
        <f aca="false">AA41+AB41+AC41+AD41+AF41</f>
        <v>431319861.718839</v>
      </c>
      <c r="AP41" s="0" t="n">
        <f aca="false">AO41+AE41+AG41+AH41+AI41+AK41+AL41+AM41+AN41</f>
        <v>609716345.192167</v>
      </c>
      <c r="AQ41" s="0" t="n">
        <f aca="false">AO41+AE41+AG41+AJ41</f>
        <v>752120892.166866</v>
      </c>
      <c r="AR41" s="0" t="n">
        <f aca="false">AB41+AC41+AD41+AF41</f>
        <v>137833427.610024</v>
      </c>
      <c r="AS41" s="0" t="n">
        <f aca="false">AR41+AE41+AG41</f>
        <v>137833427.610024</v>
      </c>
    </row>
    <row r="42" customFormat="false" ht="15" hidden="false" customHeight="false" outlineLevel="0" collapsed="false">
      <c r="A42" s="0" t="n">
        <v>2065</v>
      </c>
      <c r="B42" s="0" t="n">
        <v>39</v>
      </c>
      <c r="C42" s="0" t="n">
        <v>4832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2271.536</v>
      </c>
      <c r="I42" s="0" t="n">
        <v>205.001</v>
      </c>
      <c r="J42" s="0" t="n">
        <v>1072.439</v>
      </c>
      <c r="K42" s="0" t="n">
        <v>1834.383</v>
      </c>
      <c r="L42" s="0" t="n">
        <v>764.962</v>
      </c>
      <c r="M42" s="0" t="n">
        <v>128333.631</v>
      </c>
      <c r="N42" s="0" t="n">
        <v>8113.763</v>
      </c>
      <c r="O42" s="0" t="n">
        <v>60.552</v>
      </c>
      <c r="P42" s="0" t="n">
        <v>61.022</v>
      </c>
      <c r="Q42" s="0" t="n">
        <v>646.989</v>
      </c>
      <c r="R42" s="0" t="n">
        <v>953.153</v>
      </c>
      <c r="S42" s="0" t="n">
        <v>2649.334</v>
      </c>
      <c r="T42" s="0" t="n">
        <v>2476.538</v>
      </c>
      <c r="U42" s="0" t="n">
        <v>1848.483</v>
      </c>
      <c r="V42" s="0" t="n">
        <v>167520.34</v>
      </c>
      <c r="W42" s="0" t="n">
        <v>195.33</v>
      </c>
      <c r="X42" s="0" t="n">
        <v>530.058</v>
      </c>
      <c r="Y42" s="0" t="n">
        <v>60.552</v>
      </c>
      <c r="Z42" s="0" t="n">
        <v>645.886</v>
      </c>
      <c r="AA42" s="0" t="n">
        <f aca="false">H42*x_c_F+I42*x_c_CC+J42*x_c_DC+K42*x_c_HCC+L42*x_c_PLT+M42*x_c_SVRn+N42*x_c_SVRcc+O42*x_c_LT+P42*x_c_LT1</f>
        <v>291361711.939967</v>
      </c>
      <c r="AB42" s="0" t="n">
        <f aca="false">C42*x_c_DAA</f>
        <v>109976320</v>
      </c>
      <c r="AC42" s="0" t="n">
        <f aca="false">C42*x_c_MON</f>
        <v>27857107.6100244</v>
      </c>
      <c r="AD42" s="0" t="n">
        <f aca="false">D42*(1-x_testy)</f>
        <v>0</v>
      </c>
      <c r="AE42" s="0" t="n">
        <f aca="false">E42*(1-x_testy)</f>
        <v>0</v>
      </c>
      <c r="AF42" s="0" t="n">
        <f aca="false">F42*x_NAV</f>
        <v>0</v>
      </c>
      <c r="AG42" s="0" t="n">
        <f aca="false">G42*x_FIX*(1-x_testy)</f>
        <v>0</v>
      </c>
      <c r="AH42" s="0" t="n">
        <f aca="false">x_z_F*U42+(1-x_AGRI)*x_EMP*x_WLOSS*(x_PEN_K74*Q42+x_PEN_C22*R42)</f>
        <v>21188302.2561936</v>
      </c>
      <c r="AI42" s="0" t="n">
        <f aca="false">x_AGRI*x_EMP*x_WLOSS*(x_PEN_K74*Q42+x_PEN_C22*R42)</f>
        <v>1149313.02505209</v>
      </c>
      <c r="AJ42" s="0" t="n">
        <f aca="false">x_EMP*x_WAGE*(x_WLOSS*(Q42+R42)+S42)+U42*x_ABS_D*x_WAGE/365</f>
        <v>318818735.134309</v>
      </c>
      <c r="AK42" s="0" t="n">
        <f aca="false">AJ42*x_R_FUS</f>
        <v>100874247.796495</v>
      </c>
      <c r="AL42" s="0" t="n">
        <f aca="false">AJ42*x_R_NFZ</f>
        <v>24759781.7892656</v>
      </c>
      <c r="AM42" s="0" t="n">
        <f aca="false">AJ42*x_R_PIT</f>
        <v>21196400.2117343</v>
      </c>
      <c r="AN42" s="0" t="n">
        <f aca="false">AJ42*x_R_FP</f>
        <v>8129877.74592488</v>
      </c>
      <c r="AO42" s="0" t="n">
        <f aca="false">AA42+AB42+AC42+AD42+AF42</f>
        <v>429195139.549991</v>
      </c>
      <c r="AP42" s="0" t="n">
        <f aca="false">AO42+AE42+AG42+AH42+AI42+AK42+AL42+AM42+AN42</f>
        <v>606493062.374657</v>
      </c>
      <c r="AQ42" s="0" t="n">
        <f aca="false">AO42+AE42+AG42+AJ42</f>
        <v>748013874.6843</v>
      </c>
      <c r="AR42" s="0" t="n">
        <f aca="false">AB42+AC42+AD42+AF42</f>
        <v>137833427.610024</v>
      </c>
      <c r="AS42" s="0" t="n">
        <f aca="false">AR42+AE42+AG42</f>
        <v>137833427.610024</v>
      </c>
    </row>
    <row r="43" customFormat="false" ht="15" hidden="false" customHeight="false" outlineLevel="0" collapsed="false">
      <c r="A43" s="0" t="n">
        <v>2066</v>
      </c>
      <c r="B43" s="0" t="n">
        <v>40</v>
      </c>
      <c r="C43" s="0" t="n">
        <v>4832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2272.41</v>
      </c>
      <c r="I43" s="0" t="n">
        <v>203.748</v>
      </c>
      <c r="J43" s="0" t="n">
        <v>1057.164</v>
      </c>
      <c r="K43" s="0" t="n">
        <v>1813.261</v>
      </c>
      <c r="L43" s="0" t="n">
        <v>740.324</v>
      </c>
      <c r="M43" s="0" t="n">
        <v>130293.743</v>
      </c>
      <c r="N43" s="0" t="n">
        <v>8012.361</v>
      </c>
      <c r="O43" s="0" t="n">
        <v>59.744</v>
      </c>
      <c r="P43" s="0" t="n">
        <v>60.148</v>
      </c>
      <c r="Q43" s="0" t="n">
        <v>642.366</v>
      </c>
      <c r="R43" s="0" t="n">
        <v>946.288</v>
      </c>
      <c r="S43" s="0" t="n">
        <v>2633.027</v>
      </c>
      <c r="T43" s="0" t="n">
        <v>2476.158</v>
      </c>
      <c r="U43" s="0" t="n">
        <v>1847.305</v>
      </c>
      <c r="V43" s="0" t="n">
        <v>168754.334</v>
      </c>
      <c r="W43" s="0" t="n">
        <v>193.477</v>
      </c>
      <c r="X43" s="0" t="n">
        <v>525.156</v>
      </c>
      <c r="Y43" s="0" t="n">
        <v>59.744</v>
      </c>
      <c r="Z43" s="0" t="n">
        <v>637.504</v>
      </c>
      <c r="AA43" s="0" t="n">
        <f aca="false">H43*x_c_F+I43*x_c_CC+J43*x_c_DC+K43*x_c_HCC+L43*x_c_PLT+M43*x_c_SVRn+N43*x_c_SVRcc+O43*x_c_LT+P43*x_c_LT1</f>
        <v>289574793.223886</v>
      </c>
      <c r="AB43" s="0" t="n">
        <f aca="false">C43*x_c_DAA</f>
        <v>109976320</v>
      </c>
      <c r="AC43" s="0" t="n">
        <f aca="false">C43*x_c_MON</f>
        <v>27857107.6100244</v>
      </c>
      <c r="AD43" s="0" t="n">
        <f aca="false">D43*(1-x_testy)</f>
        <v>0</v>
      </c>
      <c r="AE43" s="0" t="n">
        <f aca="false">E43*(1-x_testy)</f>
        <v>0</v>
      </c>
      <c r="AF43" s="0" t="n">
        <f aca="false">F43*x_NAV</f>
        <v>0</v>
      </c>
      <c r="AG43" s="0" t="n">
        <f aca="false">G43*x_FIX*(1-x_testy)</f>
        <v>0</v>
      </c>
      <c r="AH43" s="0" t="n">
        <f aca="false">x_z_F*U43+(1-x_AGRI)*x_EMP*x_WLOSS*(x_PEN_K74*Q43+x_PEN_C22*R43)</f>
        <v>21061015.5528894</v>
      </c>
      <c r="AI43" s="0" t="n">
        <f aca="false">x_AGRI*x_EMP*x_WLOSS*(x_PEN_K74*Q43+x_PEN_C22*R43)</f>
        <v>1141059.69838961</v>
      </c>
      <c r="AJ43" s="0" t="n">
        <f aca="false">x_EMP*x_WAGE*(x_WLOSS*(Q43+R43)+S43)+U43*x_ABS_D*x_WAGE/365</f>
        <v>316796698.390266</v>
      </c>
      <c r="AK43" s="0" t="n">
        <f aca="false">AJ43*x_R_FUS</f>
        <v>100234475.37068</v>
      </c>
      <c r="AL43" s="0" t="n">
        <f aca="false">AJ43*x_R_NFZ</f>
        <v>24602748.3936865</v>
      </c>
      <c r="AM43" s="0" t="n">
        <f aca="false">AJ43*x_R_PIT</f>
        <v>21061966.7693223</v>
      </c>
      <c r="AN43" s="0" t="n">
        <f aca="false">AJ43*x_R_FP</f>
        <v>8078315.80895179</v>
      </c>
      <c r="AO43" s="0" t="n">
        <f aca="false">AA43+AB43+AC43+AD43+AF43</f>
        <v>427408220.83391</v>
      </c>
      <c r="AP43" s="0" t="n">
        <f aca="false">AO43+AE43+AG43+AH43+AI43+AK43+AL43+AM43+AN43</f>
        <v>603587802.42783</v>
      </c>
      <c r="AQ43" s="0" t="n">
        <f aca="false">AO43+AE43+AG43+AJ43</f>
        <v>744204919.224176</v>
      </c>
      <c r="AR43" s="0" t="n">
        <f aca="false">AB43+AC43+AD43+AF43</f>
        <v>137833427.610024</v>
      </c>
      <c r="AS43" s="0" t="n">
        <f aca="false">AR43+AE43+AG43</f>
        <v>137833427.610024</v>
      </c>
    </row>
    <row r="44" customFormat="false" ht="15" hidden="false" customHeight="false" outlineLevel="0" collapsed="false">
      <c r="A44" s="0" t="n">
        <v>2067</v>
      </c>
      <c r="B44" s="0" t="n">
        <v>41</v>
      </c>
      <c r="C44" s="0" t="n">
        <v>4832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2273.052</v>
      </c>
      <c r="I44" s="0" t="n">
        <v>202.754</v>
      </c>
      <c r="J44" s="0" t="n">
        <v>1044.205</v>
      </c>
      <c r="K44" s="0" t="n">
        <v>1795.257</v>
      </c>
      <c r="L44" s="0" t="n">
        <v>717.755</v>
      </c>
      <c r="M44" s="0" t="n">
        <v>132245.345</v>
      </c>
      <c r="N44" s="0" t="n">
        <v>7920.971</v>
      </c>
      <c r="O44" s="0" t="n">
        <v>59.068</v>
      </c>
      <c r="P44" s="0" t="n">
        <v>59.406</v>
      </c>
      <c r="Q44" s="0" t="n">
        <v>637.697</v>
      </c>
      <c r="R44" s="0" t="n">
        <v>939.436</v>
      </c>
      <c r="S44" s="0" t="n">
        <v>2616.116</v>
      </c>
      <c r="T44" s="0" t="n">
        <v>2475.806</v>
      </c>
      <c r="U44" s="0" t="n">
        <v>1845.957</v>
      </c>
      <c r="V44" s="0" t="n">
        <v>170004.512</v>
      </c>
      <c r="W44" s="0" t="n">
        <v>191.923</v>
      </c>
      <c r="X44" s="0" t="n">
        <v>520.999</v>
      </c>
      <c r="Y44" s="0" t="n">
        <v>59.068</v>
      </c>
      <c r="Z44" s="0" t="n">
        <v>630.395</v>
      </c>
      <c r="AA44" s="0" t="n">
        <f aca="false">H44*x_c_F+I44*x_c_CC+J44*x_c_DC+K44*x_c_HCC+L44*x_c_PLT+M44*x_c_SVRn+N44*x_c_SVRcc+O44*x_c_LT+P44*x_c_LT1</f>
        <v>288165984.641768</v>
      </c>
      <c r="AB44" s="0" t="n">
        <f aca="false">C44*x_c_DAA</f>
        <v>109976320</v>
      </c>
      <c r="AC44" s="0" t="n">
        <f aca="false">C44*x_c_MON</f>
        <v>27857107.6100244</v>
      </c>
      <c r="AD44" s="0" t="n">
        <f aca="false">D44*(1-x_testy)</f>
        <v>0</v>
      </c>
      <c r="AE44" s="0" t="n">
        <f aca="false">E44*(1-x_testy)</f>
        <v>0</v>
      </c>
      <c r="AF44" s="0" t="n">
        <f aca="false">F44*x_NAV</f>
        <v>0</v>
      </c>
      <c r="AG44" s="0" t="n">
        <f aca="false">G44*x_FIX*(1-x_testy)</f>
        <v>0</v>
      </c>
      <c r="AH44" s="0" t="n">
        <f aca="false">x_z_F*U44+(1-x_AGRI)*x_EMP*x_WLOSS*(x_PEN_K74*Q44+x_PEN_C22*R44)</f>
        <v>20933065.5368229</v>
      </c>
      <c r="AI44" s="0" t="n">
        <f aca="false">x_AGRI*x_EMP*x_WLOSS*(x_PEN_K74*Q44+x_PEN_C22*R44)</f>
        <v>1132785.62957837</v>
      </c>
      <c r="AJ44" s="0" t="n">
        <f aca="false">x_EMP*x_WAGE*(x_WLOSS*(Q44+R44)+S44)+U44*x_ABS_D*x_WAGE/365</f>
        <v>314720860.311935</v>
      </c>
      <c r="AK44" s="0" t="n">
        <f aca="false">AJ44*x_R_FUS</f>
        <v>99577680.2026964</v>
      </c>
      <c r="AL44" s="0" t="n">
        <f aca="false">AJ44*x_R_NFZ</f>
        <v>24441536.7326852</v>
      </c>
      <c r="AM44" s="0" t="n">
        <f aca="false">AJ44*x_R_PIT</f>
        <v>20923956.3896483</v>
      </c>
      <c r="AN44" s="0" t="n">
        <f aca="false">AJ44*x_R_FP</f>
        <v>8025381.93795435</v>
      </c>
      <c r="AO44" s="0" t="n">
        <f aca="false">AA44+AB44+AC44+AD44+AF44</f>
        <v>425999412.251792</v>
      </c>
      <c r="AP44" s="0" t="n">
        <f aca="false">AO44+AE44+AG44+AH44+AI44+AK44+AL44+AM44+AN44</f>
        <v>601033818.681178</v>
      </c>
      <c r="AQ44" s="0" t="n">
        <f aca="false">AO44+AE44+AG44+AJ44</f>
        <v>740720272.563728</v>
      </c>
      <c r="AR44" s="0" t="n">
        <f aca="false">AB44+AC44+AD44+AF44</f>
        <v>137833427.610024</v>
      </c>
      <c r="AS44" s="0" t="n">
        <f aca="false">AR44+AE44+AG44</f>
        <v>137833427.610024</v>
      </c>
    </row>
    <row r="45" customFormat="false" ht="15" hidden="false" customHeight="false" outlineLevel="0" collapsed="false">
      <c r="A45" s="0" t="n">
        <v>2068</v>
      </c>
      <c r="B45" s="0" t="n">
        <v>42</v>
      </c>
      <c r="C45" s="0" t="n">
        <v>4832</v>
      </c>
      <c r="D45" s="0" t="n">
        <v>0</v>
      </c>
      <c r="E45" s="0" t="n">
        <v>0</v>
      </c>
      <c r="F45" s="0" t="n">
        <v>0</v>
      </c>
      <c r="G45" s="0" t="n">
        <v>0</v>
      </c>
      <c r="H45" s="0" t="n">
        <v>2273.505</v>
      </c>
      <c r="I45" s="0" t="n">
        <v>201.971</v>
      </c>
      <c r="J45" s="0" t="n">
        <v>1033.487</v>
      </c>
      <c r="K45" s="0" t="n">
        <v>1780.238</v>
      </c>
      <c r="L45" s="0" t="n">
        <v>697.595</v>
      </c>
      <c r="M45" s="0" t="n">
        <v>134199.895</v>
      </c>
      <c r="N45" s="0" t="n">
        <v>7842.54</v>
      </c>
      <c r="O45" s="0" t="n">
        <v>58.517</v>
      </c>
      <c r="P45" s="0" t="n">
        <v>58.792</v>
      </c>
      <c r="Q45" s="0" t="n">
        <v>632.963</v>
      </c>
      <c r="R45" s="0" t="n">
        <v>932.583</v>
      </c>
      <c r="S45" s="0" t="n">
        <v>2598.442</v>
      </c>
      <c r="T45" s="0" t="n">
        <v>2475.476</v>
      </c>
      <c r="U45" s="0" t="n">
        <v>1844.497</v>
      </c>
      <c r="V45" s="0" t="n">
        <v>171279.673</v>
      </c>
      <c r="W45" s="0" t="n">
        <v>190.633</v>
      </c>
      <c r="X45" s="0" t="n">
        <v>517.516</v>
      </c>
      <c r="Y45" s="0" t="n">
        <v>58.517</v>
      </c>
      <c r="Z45" s="0" t="n">
        <v>624.512</v>
      </c>
      <c r="AA45" s="0" t="n">
        <f aca="false">H45*x_c_F+I45*x_c_CC+J45*x_c_DC+K45*x_c_HCC+L45*x_c_PLT+M45*x_c_SVRn+N45*x_c_SVRcc+O45*x_c_LT+P45*x_c_LT1</f>
        <v>287148741.771607</v>
      </c>
      <c r="AB45" s="0" t="n">
        <f aca="false">C45*x_c_DAA</f>
        <v>109976320</v>
      </c>
      <c r="AC45" s="0" t="n">
        <f aca="false">C45*x_c_MON</f>
        <v>27857107.6100244</v>
      </c>
      <c r="AD45" s="0" t="n">
        <f aca="false">D45*(1-x_testy)</f>
        <v>0</v>
      </c>
      <c r="AE45" s="0" t="n">
        <f aca="false">E45*(1-x_testy)</f>
        <v>0</v>
      </c>
      <c r="AF45" s="0" t="n">
        <f aca="false">F45*x_NAV</f>
        <v>0</v>
      </c>
      <c r="AG45" s="0" t="n">
        <f aca="false">G45*x_FIX*(1-x_testy)</f>
        <v>0</v>
      </c>
      <c r="AH45" s="0" t="n">
        <f aca="false">x_z_F*U45+(1-x_AGRI)*x_EMP*x_WLOSS*(x_PEN_K74*Q45+x_PEN_C22*R45)</f>
        <v>20804220.6132717</v>
      </c>
      <c r="AI45" s="0" t="n">
        <f aca="false">x_AGRI*x_EMP*x_WLOSS*(x_PEN_K74*Q45+x_PEN_C22*R45)</f>
        <v>1124467.62894567</v>
      </c>
      <c r="AJ45" s="0" t="n">
        <f aca="false">x_EMP*x_WAGE*(x_WLOSS*(Q45+R45)+S45)+U45*x_ABS_D*x_WAGE/365</f>
        <v>312576030.209715</v>
      </c>
      <c r="AK45" s="0" t="n">
        <f aca="false">AJ45*x_R_FUS</f>
        <v>98899055.958354</v>
      </c>
      <c r="AL45" s="0" t="n">
        <f aca="false">AJ45*x_R_NFZ</f>
        <v>24274967.0821167</v>
      </c>
      <c r="AM45" s="0" t="n">
        <f aca="false">AJ45*x_R_PIT</f>
        <v>20781359.1322642</v>
      </c>
      <c r="AN45" s="0" t="n">
        <f aca="false">AJ45*x_R_FP</f>
        <v>7970688.77034774</v>
      </c>
      <c r="AO45" s="0" t="n">
        <f aca="false">AA45+AB45+AC45+AD45+AF45</f>
        <v>424982169.381631</v>
      </c>
      <c r="AP45" s="0" t="n">
        <f aca="false">AO45+AE45+AG45+AH45+AI45+AK45+AL45+AM45+AN45</f>
        <v>598836928.566931</v>
      </c>
      <c r="AQ45" s="0" t="n">
        <f aca="false">AO45+AE45+AG45+AJ45</f>
        <v>737558199.591346</v>
      </c>
      <c r="AR45" s="0" t="n">
        <f aca="false">AB45+AC45+AD45+AF45</f>
        <v>137833427.610024</v>
      </c>
      <c r="AS45" s="0" t="n">
        <f aca="false">AR45+AE45+AG45</f>
        <v>137833427.610024</v>
      </c>
    </row>
    <row r="46" customFormat="false" ht="15" hidden="false" customHeight="false" outlineLevel="0" collapsed="false">
      <c r="A46" s="0" t="n">
        <v>2069</v>
      </c>
      <c r="B46" s="0" t="n">
        <v>43</v>
      </c>
      <c r="C46" s="0" t="n">
        <v>4832</v>
      </c>
      <c r="D46" s="0" t="n">
        <v>0</v>
      </c>
      <c r="E46" s="0" t="n">
        <v>0</v>
      </c>
      <c r="F46" s="0" t="n">
        <v>0</v>
      </c>
      <c r="G46" s="0" t="n">
        <v>0</v>
      </c>
      <c r="H46" s="0" t="n">
        <v>2273.821</v>
      </c>
      <c r="I46" s="0" t="n">
        <v>201.343</v>
      </c>
      <c r="J46" s="0" t="n">
        <v>1024.824</v>
      </c>
      <c r="K46" s="0" t="n">
        <v>1767.933</v>
      </c>
      <c r="L46" s="0" t="n">
        <v>680.042</v>
      </c>
      <c r="M46" s="0" t="n">
        <v>136164.939</v>
      </c>
      <c r="N46" s="0" t="n">
        <v>7778.914</v>
      </c>
      <c r="O46" s="0" t="n">
        <v>58.078</v>
      </c>
      <c r="P46" s="0" t="n">
        <v>58.297</v>
      </c>
      <c r="Q46" s="0" t="n">
        <v>628.147</v>
      </c>
      <c r="R46" s="0" t="n">
        <v>925.72</v>
      </c>
      <c r="S46" s="0" t="n">
        <v>2579.834</v>
      </c>
      <c r="T46" s="0" t="n">
        <v>2475.164</v>
      </c>
      <c r="U46" s="0" t="n">
        <v>1842.988</v>
      </c>
      <c r="V46" s="0" t="n">
        <v>172584.489</v>
      </c>
      <c r="W46" s="0" t="n">
        <v>189.559</v>
      </c>
      <c r="X46" s="0" t="n">
        <v>514.605</v>
      </c>
      <c r="Y46" s="0" t="n">
        <v>58.078</v>
      </c>
      <c r="Z46" s="0" t="n">
        <v>619.739</v>
      </c>
      <c r="AA46" s="0" t="n">
        <f aca="false">H46*x_c_F+I46*x_c_CC+J46*x_c_DC+K46*x_c_HCC+L46*x_c_PLT+M46*x_c_SVRn+N46*x_c_SVRcc+O46*x_c_LT+P46*x_c_LT1</f>
        <v>286513601.339835</v>
      </c>
      <c r="AB46" s="0" t="n">
        <f aca="false">C46*x_c_DAA</f>
        <v>109976320</v>
      </c>
      <c r="AC46" s="0" t="n">
        <f aca="false">C46*x_c_MON</f>
        <v>27857107.6100244</v>
      </c>
      <c r="AD46" s="0" t="n">
        <f aca="false">D46*(1-x_testy)</f>
        <v>0</v>
      </c>
      <c r="AE46" s="0" t="n">
        <f aca="false">E46*(1-x_testy)</f>
        <v>0</v>
      </c>
      <c r="AF46" s="0" t="n">
        <f aca="false">F46*x_NAV</f>
        <v>0</v>
      </c>
      <c r="AG46" s="0" t="n">
        <f aca="false">G46*x_FIX*(1-x_testy)</f>
        <v>0</v>
      </c>
      <c r="AH46" s="0" t="n">
        <f aca="false">x_z_F*U46+(1-x_AGRI)*x_EMP*x_WLOSS*(x_PEN_K74*Q46+x_PEN_C22*R46)</f>
        <v>20674336.6715037</v>
      </c>
      <c r="AI46" s="0" t="n">
        <f aca="false">x_AGRI*x_EMP*x_WLOSS*(x_PEN_K74*Q46+x_PEN_C22*R46)</f>
        <v>1116087.6098853</v>
      </c>
      <c r="AJ46" s="0" t="n">
        <f aca="false">x_EMP*x_WAGE*(x_WLOSS*(Q46+R46)+S46)+U46*x_ABS_D*x_WAGE/365</f>
        <v>310346391.757652</v>
      </c>
      <c r="AK46" s="0" t="n">
        <f aca="false">AJ46*x_R_FUS</f>
        <v>98193598.352121</v>
      </c>
      <c r="AL46" s="0" t="n">
        <f aca="false">AJ46*x_R_NFZ</f>
        <v>24101811.130291</v>
      </c>
      <c r="AM46" s="0" t="n">
        <f aca="false">AJ46*x_R_PIT</f>
        <v>20633123.4618055</v>
      </c>
      <c r="AN46" s="0" t="n">
        <f aca="false">AJ46*x_R_FP</f>
        <v>7913832.98982011</v>
      </c>
      <c r="AO46" s="0" t="n">
        <f aca="false">AA46+AB46+AC46+AD46+AF46</f>
        <v>424347028.949859</v>
      </c>
      <c r="AP46" s="0" t="n">
        <f aca="false">AO46+AE46+AG46+AH46+AI46+AK46+AL46+AM46+AN46</f>
        <v>596979819.165286</v>
      </c>
      <c r="AQ46" s="0" t="n">
        <f aca="false">AO46+AE46+AG46+AJ46</f>
        <v>734693420.707511</v>
      </c>
      <c r="AR46" s="0" t="n">
        <f aca="false">AB46+AC46+AD46+AF46</f>
        <v>137833427.610024</v>
      </c>
      <c r="AS46" s="0" t="n">
        <f aca="false">AR46+AE46+AG46</f>
        <v>137833427.610024</v>
      </c>
    </row>
    <row r="47" customFormat="false" ht="15" hidden="false" customHeight="false" outlineLevel="0" collapsed="false">
      <c r="A47" s="0" t="n">
        <v>2070</v>
      </c>
      <c r="B47" s="0" t="n">
        <v>44</v>
      </c>
      <c r="C47" s="0" t="n">
        <v>4832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2274.053</v>
      </c>
      <c r="I47" s="0" t="n">
        <v>200.813</v>
      </c>
      <c r="J47" s="0" t="n">
        <v>1017.944</v>
      </c>
      <c r="K47" s="0" t="n">
        <v>1757.947</v>
      </c>
      <c r="L47" s="0" t="n">
        <v>665.144</v>
      </c>
      <c r="M47" s="0" t="n">
        <v>138143.209</v>
      </c>
      <c r="N47" s="0" t="n">
        <v>7730.718</v>
      </c>
      <c r="O47" s="0" t="n">
        <v>57.734</v>
      </c>
      <c r="P47" s="0" t="n">
        <v>57.906</v>
      </c>
      <c r="Q47" s="0" t="n">
        <v>623.418</v>
      </c>
      <c r="R47" s="0" t="n">
        <v>919.038</v>
      </c>
      <c r="S47" s="0" t="n">
        <v>2561.233</v>
      </c>
      <c r="T47" s="0" t="n">
        <v>2474.866</v>
      </c>
      <c r="U47" s="0" t="n">
        <v>1841.544</v>
      </c>
      <c r="V47" s="0" t="n">
        <v>173918.876</v>
      </c>
      <c r="W47" s="0" t="n">
        <v>188.649</v>
      </c>
      <c r="X47" s="0" t="n">
        <v>512.146</v>
      </c>
      <c r="Y47" s="0" t="n">
        <v>57.734</v>
      </c>
      <c r="Z47" s="0" t="n">
        <v>615.922</v>
      </c>
      <c r="AA47" s="0" t="n">
        <f aca="false">H47*x_c_F+I47*x_c_CC+J47*x_c_DC+K47*x_c_HCC+L47*x_c_PLT+M47*x_c_SVRn+N47*x_c_SVRcc+O47*x_c_LT+P47*x_c_LT1</f>
        <v>286229030.054705</v>
      </c>
      <c r="AB47" s="0" t="n">
        <f aca="false">C47*x_c_DAA</f>
        <v>109976320</v>
      </c>
      <c r="AC47" s="0" t="n">
        <f aca="false">C47*x_c_MON</f>
        <v>27857107.6100244</v>
      </c>
      <c r="AD47" s="0" t="n">
        <f aca="false">D47*(1-x_testy)</f>
        <v>0</v>
      </c>
      <c r="AE47" s="0" t="n">
        <f aca="false">E47*(1-x_testy)</f>
        <v>0</v>
      </c>
      <c r="AF47" s="0" t="n">
        <f aca="false">F47*x_NAV</f>
        <v>0</v>
      </c>
      <c r="AG47" s="0" t="n">
        <f aca="false">G47*x_FIX*(1-x_testy)</f>
        <v>0</v>
      </c>
      <c r="AH47" s="0" t="n">
        <f aca="false">x_z_F*U47+(1-x_AGRI)*x_EMP*x_WLOSS*(x_PEN_K74*Q47+x_PEN_C22*R47)</f>
        <v>20547527.8893897</v>
      </c>
      <c r="AI47" s="0" t="n">
        <f aca="false">x_AGRI*x_EMP*x_WLOSS*(x_PEN_K74*Q47+x_PEN_C22*R47)</f>
        <v>1107902.02003057</v>
      </c>
      <c r="AJ47" s="0" t="n">
        <f aca="false">x_EMP*x_WAGE*(x_WLOSS*(Q47+R47)+S47)+U47*x_ABS_D*x_WAGE/365</f>
        <v>308132196.928867</v>
      </c>
      <c r="AK47" s="0" t="n">
        <f aca="false">AJ47*x_R_FUS</f>
        <v>97493027.1082935</v>
      </c>
      <c r="AL47" s="0" t="n">
        <f aca="false">AJ47*x_R_NFZ</f>
        <v>23929854.5456927</v>
      </c>
      <c r="AM47" s="0" t="n">
        <f aca="false">AJ47*x_R_PIT</f>
        <v>20485914.5478817</v>
      </c>
      <c r="AN47" s="0" t="n">
        <f aca="false">AJ47*x_R_FP</f>
        <v>7857371.02168611</v>
      </c>
      <c r="AO47" s="0" t="n">
        <f aca="false">AA47+AB47+AC47+AD47+AF47</f>
        <v>424062457.664729</v>
      </c>
      <c r="AP47" s="0" t="n">
        <f aca="false">AO47+AE47+AG47+AH47+AI47+AK47+AL47+AM47+AN47</f>
        <v>595484054.797703</v>
      </c>
      <c r="AQ47" s="0" t="n">
        <f aca="false">AO47+AE47+AG47+AJ47</f>
        <v>732194654.593596</v>
      </c>
      <c r="AR47" s="0" t="n">
        <f aca="false">AB47+AC47+AD47+AF47</f>
        <v>137833427.610024</v>
      </c>
      <c r="AS47" s="0" t="n">
        <f aca="false">AR47+AE47+AG47</f>
        <v>137833427.610024</v>
      </c>
    </row>
    <row r="48" customFormat="false" ht="15" hidden="false" customHeight="false" outlineLevel="0" collapsed="false">
      <c r="A48" s="0" t="n">
        <v>2071</v>
      </c>
      <c r="B48" s="0" t="n">
        <v>45</v>
      </c>
      <c r="C48" s="0" t="n">
        <v>4832</v>
      </c>
      <c r="D48" s="0" t="n">
        <v>0</v>
      </c>
      <c r="E48" s="0" t="n">
        <v>0</v>
      </c>
      <c r="F48" s="0" t="n">
        <v>0</v>
      </c>
      <c r="G48" s="0" t="n">
        <v>0</v>
      </c>
      <c r="H48" s="0" t="n">
        <v>2274.248</v>
      </c>
      <c r="I48" s="0" t="n">
        <v>200.327</v>
      </c>
      <c r="J48" s="0" t="n">
        <v>1012.515</v>
      </c>
      <c r="K48" s="0" t="n">
        <v>1749.811</v>
      </c>
      <c r="L48" s="0" t="n">
        <v>652.807</v>
      </c>
      <c r="M48" s="0" t="n">
        <v>140132.616</v>
      </c>
      <c r="N48" s="0" t="n">
        <v>7697.441</v>
      </c>
      <c r="O48" s="0" t="n">
        <v>57.465</v>
      </c>
      <c r="P48" s="0" t="n">
        <v>57.599</v>
      </c>
      <c r="Q48" s="0" t="n">
        <v>618.953</v>
      </c>
      <c r="R48" s="0" t="n">
        <v>912.726</v>
      </c>
      <c r="S48" s="0" t="n">
        <v>2543.655</v>
      </c>
      <c r="T48" s="0" t="n">
        <v>2474.575</v>
      </c>
      <c r="U48" s="0" t="n">
        <v>1840.267</v>
      </c>
      <c r="V48" s="0" t="n">
        <v>175278.337</v>
      </c>
      <c r="W48" s="0" t="n">
        <v>187.85</v>
      </c>
      <c r="X48" s="0" t="n">
        <v>510.012</v>
      </c>
      <c r="Y48" s="0" t="n">
        <v>57.465</v>
      </c>
      <c r="Z48" s="0" t="n">
        <v>612.867</v>
      </c>
      <c r="AA48" s="0" t="n">
        <f aca="false">H48*x_c_F+I48*x_c_CC+J48*x_c_DC+K48*x_c_HCC+L48*x_c_PLT+M48*x_c_SVRn+N48*x_c_SVRcc+O48*x_c_LT+P48*x_c_LT1</f>
        <v>286245912.334835</v>
      </c>
      <c r="AB48" s="0" t="n">
        <f aca="false">C48*x_c_DAA</f>
        <v>109976320</v>
      </c>
      <c r="AC48" s="0" t="n">
        <f aca="false">C48*x_c_MON</f>
        <v>27857107.6100244</v>
      </c>
      <c r="AD48" s="0" t="n">
        <f aca="false">D48*(1-x_testy)</f>
        <v>0</v>
      </c>
      <c r="AE48" s="0" t="n">
        <f aca="false">E48*(1-x_testy)</f>
        <v>0</v>
      </c>
      <c r="AF48" s="0" t="n">
        <f aca="false">F48*x_NAV</f>
        <v>0</v>
      </c>
      <c r="AG48" s="0" t="n">
        <f aca="false">G48*x_FIX*(1-x_testy)</f>
        <v>0</v>
      </c>
      <c r="AH48" s="0" t="n">
        <f aca="false">x_z_F*U48+(1-x_AGRI)*x_EMP*x_WLOSS*(x_PEN_K74*Q48+x_PEN_C22*R48)</f>
        <v>20427941.3287396</v>
      </c>
      <c r="AI48" s="0" t="n">
        <f aca="false">x_AGRI*x_EMP*x_WLOSS*(x_PEN_K74*Q48+x_PEN_C22*R48)</f>
        <v>1100171.11127785</v>
      </c>
      <c r="AJ48" s="0" t="n">
        <f aca="false">x_EMP*x_WAGE*(x_WLOSS*(Q48+R48)+S48)+U48*x_ABS_D*x_WAGE/365</f>
        <v>306040385.100992</v>
      </c>
      <c r="AK48" s="0" t="n">
        <f aca="false">AJ48*x_R_FUS</f>
        <v>96831177.8459538</v>
      </c>
      <c r="AL48" s="0" t="n">
        <f aca="false">AJ48*x_R_NFZ</f>
        <v>23767402.3473281</v>
      </c>
      <c r="AM48" s="0" t="n">
        <f aca="false">AJ48*x_R_PIT</f>
        <v>20346842.1666661</v>
      </c>
      <c r="AN48" s="0" t="n">
        <f aca="false">AJ48*x_R_FP</f>
        <v>7804029.82007529</v>
      </c>
      <c r="AO48" s="0" t="n">
        <f aca="false">AA48+AB48+AC48+AD48+AF48</f>
        <v>424079339.94486</v>
      </c>
      <c r="AP48" s="0" t="n">
        <f aca="false">AO48+AE48+AG48+AH48+AI48+AK48+AL48+AM48+AN48</f>
        <v>594356904.564901</v>
      </c>
      <c r="AQ48" s="0" t="n">
        <f aca="false">AO48+AE48+AG48+AJ48</f>
        <v>730119725.045852</v>
      </c>
      <c r="AR48" s="0" t="n">
        <f aca="false">AB48+AC48+AD48+AF48</f>
        <v>137833427.610024</v>
      </c>
      <c r="AS48" s="0" t="n">
        <f aca="false">AR48+AE48+AG48</f>
        <v>137833427.610024</v>
      </c>
    </row>
    <row r="49" customFormat="false" ht="15" hidden="false" customHeight="false" outlineLevel="0" collapsed="false">
      <c r="A49" s="0" t="n">
        <v>2072</v>
      </c>
      <c r="B49" s="0" t="n">
        <v>46</v>
      </c>
      <c r="C49" s="0" t="n">
        <v>4832</v>
      </c>
      <c r="D49" s="0" t="n">
        <v>0</v>
      </c>
      <c r="E49" s="0" t="n">
        <v>0</v>
      </c>
      <c r="F49" s="0" t="n">
        <v>0</v>
      </c>
      <c r="G49" s="0" t="n">
        <v>0</v>
      </c>
      <c r="H49" s="0" t="n">
        <v>2274.448</v>
      </c>
      <c r="I49" s="0" t="n">
        <v>199.84</v>
      </c>
      <c r="J49" s="0" t="n">
        <v>1008.183</v>
      </c>
      <c r="K49" s="0" t="n">
        <v>1743.038</v>
      </c>
      <c r="L49" s="0" t="n">
        <v>642.834</v>
      </c>
      <c r="M49" s="0" t="n">
        <v>142127.351</v>
      </c>
      <c r="N49" s="0" t="n">
        <v>7677.746</v>
      </c>
      <c r="O49" s="0" t="n">
        <v>57.251</v>
      </c>
      <c r="P49" s="0" t="n">
        <v>57.358</v>
      </c>
      <c r="Q49" s="0" t="n">
        <v>614.739</v>
      </c>
      <c r="R49" s="0" t="n">
        <v>906.769</v>
      </c>
      <c r="S49" s="0" t="n">
        <v>2527.077</v>
      </c>
      <c r="T49" s="0" t="n">
        <v>2474.288</v>
      </c>
      <c r="U49" s="0" t="n">
        <v>1839.194</v>
      </c>
      <c r="V49" s="0" t="n">
        <v>176655.244</v>
      </c>
      <c r="W49" s="0" t="n">
        <v>187.115</v>
      </c>
      <c r="X49" s="0" t="n">
        <v>508.086</v>
      </c>
      <c r="Y49" s="0" t="n">
        <v>57.251</v>
      </c>
      <c r="Z49" s="0" t="n">
        <v>610.387</v>
      </c>
      <c r="AA49" s="0" t="n">
        <f aca="false">H49*x_c_F+I49*x_c_CC+J49*x_c_DC+K49*x_c_HCC+L49*x_c_PLT+M49*x_c_SVRn+N49*x_c_SVRcc+O49*x_c_LT+P49*x_c_LT1</f>
        <v>286505917.72648</v>
      </c>
      <c r="AB49" s="0" t="n">
        <f aca="false">C49*x_c_DAA</f>
        <v>109976320</v>
      </c>
      <c r="AC49" s="0" t="n">
        <f aca="false">C49*x_c_MON</f>
        <v>27857107.6100244</v>
      </c>
      <c r="AD49" s="0" t="n">
        <f aca="false">D49*(1-x_testy)</f>
        <v>0</v>
      </c>
      <c r="AE49" s="0" t="n">
        <f aca="false">E49*(1-x_testy)</f>
        <v>0</v>
      </c>
      <c r="AF49" s="0" t="n">
        <f aca="false">F49*x_NAV</f>
        <v>0</v>
      </c>
      <c r="AG49" s="0" t="n">
        <f aca="false">G49*x_FIX*(1-x_testy)</f>
        <v>0</v>
      </c>
      <c r="AH49" s="0" t="n">
        <f aca="false">x_z_F*U49+(1-x_AGRI)*x_EMP*x_WLOSS*(x_PEN_K74*Q49+x_PEN_C22*R49)</f>
        <v>20315351.0974289</v>
      </c>
      <c r="AI49" s="0" t="n">
        <f aca="false">x_AGRI*x_EMP*x_WLOSS*(x_PEN_K74*Q49+x_PEN_C22*R49)</f>
        <v>1092874.92460636</v>
      </c>
      <c r="AJ49" s="0" t="n">
        <f aca="false">x_EMP*x_WAGE*(x_WLOSS*(Q49+R49)+S49)+U49*x_ABS_D*x_WAGE/365</f>
        <v>304067572.756209</v>
      </c>
      <c r="AK49" s="0" t="n">
        <f aca="false">AJ49*x_R_FUS</f>
        <v>96206980.0200645</v>
      </c>
      <c r="AL49" s="0" t="n">
        <f aca="false">AJ49*x_R_NFZ</f>
        <v>23614191.7678199</v>
      </c>
      <c r="AM49" s="0" t="n">
        <f aca="false">AJ49*x_R_PIT</f>
        <v>20215681.3677719</v>
      </c>
      <c r="AN49" s="0" t="n">
        <f aca="false">AJ49*x_R_FP</f>
        <v>7753723.10528333</v>
      </c>
      <c r="AO49" s="0" t="n">
        <f aca="false">AA49+AB49+AC49+AD49+AF49</f>
        <v>424339345.336504</v>
      </c>
      <c r="AP49" s="0" t="n">
        <f aca="false">AO49+AE49+AG49+AH49+AI49+AK49+AL49+AM49+AN49</f>
        <v>593538147.619479</v>
      </c>
      <c r="AQ49" s="0" t="n">
        <f aca="false">AO49+AE49+AG49+AJ49</f>
        <v>728406918.092713</v>
      </c>
      <c r="AR49" s="0" t="n">
        <f aca="false">AB49+AC49+AD49+AF49</f>
        <v>137833427.610024</v>
      </c>
      <c r="AS49" s="0" t="n">
        <f aca="false">AR49+AE49+AG49</f>
        <v>137833427.610024</v>
      </c>
    </row>
    <row r="50" customFormat="false" ht="15" hidden="false" customHeight="false" outlineLevel="0" collapsed="false">
      <c r="A50" s="0" t="n">
        <v>2073</v>
      </c>
      <c r="B50" s="0" t="n">
        <v>47</v>
      </c>
      <c r="C50" s="0" t="n">
        <v>4832</v>
      </c>
      <c r="D50" s="0" t="n">
        <v>0</v>
      </c>
      <c r="E50" s="0" t="n">
        <v>0</v>
      </c>
      <c r="F50" s="0" t="n">
        <v>0</v>
      </c>
      <c r="G50" s="0" t="n">
        <v>0</v>
      </c>
      <c r="H50" s="0" t="n">
        <v>2274.683</v>
      </c>
      <c r="I50" s="0" t="n">
        <v>199.319</v>
      </c>
      <c r="J50" s="0" t="n">
        <v>1004.591</v>
      </c>
      <c r="K50" s="0" t="n">
        <v>1737.14</v>
      </c>
      <c r="L50" s="0" t="n">
        <v>634.925</v>
      </c>
      <c r="M50" s="0" t="n">
        <v>144117.294</v>
      </c>
      <c r="N50" s="0" t="n">
        <v>7669.45</v>
      </c>
      <c r="O50" s="0" t="n">
        <v>57.072</v>
      </c>
      <c r="P50" s="0" t="n">
        <v>57.162</v>
      </c>
      <c r="Q50" s="0" t="n">
        <v>610.769</v>
      </c>
      <c r="R50" s="0" t="n">
        <v>901.15</v>
      </c>
      <c r="S50" s="0" t="n">
        <v>2511.465</v>
      </c>
      <c r="T50" s="0" t="n">
        <v>2474.002</v>
      </c>
      <c r="U50" s="0" t="n">
        <v>1838.35</v>
      </c>
      <c r="V50" s="0" t="n">
        <v>178038.424</v>
      </c>
      <c r="W50" s="0" t="n">
        <v>186.399</v>
      </c>
      <c r="X50" s="0" t="n">
        <v>506.255</v>
      </c>
      <c r="Y50" s="0" t="n">
        <v>57.072</v>
      </c>
      <c r="Z50" s="0" t="n">
        <v>608.273</v>
      </c>
      <c r="AA50" s="0" t="n">
        <f aca="false">H50*x_c_F+I50*x_c_CC+J50*x_c_DC+K50*x_c_HCC+L50*x_c_PLT+M50*x_c_SVRn+N50*x_c_SVRcc+O50*x_c_LT+P50*x_c_LT1</f>
        <v>286942254.111878</v>
      </c>
      <c r="AB50" s="0" t="n">
        <f aca="false">C50*x_c_DAA</f>
        <v>109976320</v>
      </c>
      <c r="AC50" s="0" t="n">
        <f aca="false">C50*x_c_MON</f>
        <v>27857107.6100244</v>
      </c>
      <c r="AD50" s="0" t="n">
        <f aca="false">D50*(1-x_testy)</f>
        <v>0</v>
      </c>
      <c r="AE50" s="0" t="n">
        <f aca="false">E50*(1-x_testy)</f>
        <v>0</v>
      </c>
      <c r="AF50" s="0" t="n">
        <f aca="false">F50*x_NAV</f>
        <v>0</v>
      </c>
      <c r="AG50" s="0" t="n">
        <f aca="false">G50*x_FIX*(1-x_testy)</f>
        <v>0</v>
      </c>
      <c r="AH50" s="0" t="n">
        <f aca="false">x_z_F*U50+(1-x_AGRI)*x_EMP*x_WLOSS*(x_PEN_K74*Q50+x_PEN_C22*R50)</f>
        <v>20209544.0880446</v>
      </c>
      <c r="AI50" s="0" t="n">
        <f aca="false">x_AGRI*x_EMP*x_WLOSS*(x_PEN_K74*Q50+x_PEN_C22*R50)</f>
        <v>1085995.976738</v>
      </c>
      <c r="AJ50" s="0" t="n">
        <f aca="false">x_EMP*x_WAGE*(x_WLOSS*(Q50+R50)+S50)+U50*x_ABS_D*x_WAGE/365</f>
        <v>302209622.006863</v>
      </c>
      <c r="AK50" s="0" t="n">
        <f aca="false">AJ50*x_R_FUS</f>
        <v>95619124.4029715</v>
      </c>
      <c r="AL50" s="0" t="n">
        <f aca="false">AJ50*x_R_NFZ</f>
        <v>23469901.454675</v>
      </c>
      <c r="AM50" s="0" t="n">
        <f aca="false">AJ50*x_R_PIT</f>
        <v>20092157.0471568</v>
      </c>
      <c r="AN50" s="0" t="n">
        <f aca="false">AJ50*x_R_FP</f>
        <v>7706345.36117501</v>
      </c>
      <c r="AO50" s="0" t="n">
        <f aca="false">AA50+AB50+AC50+AD50+AF50</f>
        <v>424775681.721902</v>
      </c>
      <c r="AP50" s="0" t="n">
        <f aca="false">AO50+AE50+AG50+AH50+AI50+AK50+AL50+AM50+AN50</f>
        <v>592958750.052663</v>
      </c>
      <c r="AQ50" s="0" t="n">
        <f aca="false">AO50+AE50+AG50+AJ50</f>
        <v>726985303.728765</v>
      </c>
      <c r="AR50" s="0" t="n">
        <f aca="false">AB50+AC50+AD50+AF50</f>
        <v>137833427.610024</v>
      </c>
      <c r="AS50" s="0" t="n">
        <f aca="false">AR50+AE50+AG50</f>
        <v>137833427.610024</v>
      </c>
    </row>
    <row r="51" customFormat="false" ht="15" hidden="false" customHeight="false" outlineLevel="0" collapsed="false">
      <c r="A51" s="0" t="n">
        <v>2074</v>
      </c>
      <c r="B51" s="0" t="n">
        <v>48</v>
      </c>
      <c r="C51" s="0" t="n">
        <v>4832</v>
      </c>
      <c r="D51" s="0" t="n">
        <v>0</v>
      </c>
      <c r="E51" s="0" t="n">
        <v>0</v>
      </c>
      <c r="F51" s="0" t="n">
        <v>0</v>
      </c>
      <c r="G51" s="0" t="n">
        <v>0</v>
      </c>
      <c r="H51" s="0" t="n">
        <v>2274.974</v>
      </c>
      <c r="I51" s="0" t="n">
        <v>198.739</v>
      </c>
      <c r="J51" s="0" t="n">
        <v>1001.4</v>
      </c>
      <c r="K51" s="0" t="n">
        <v>1731.661</v>
      </c>
      <c r="L51" s="0" t="n">
        <v>628.702</v>
      </c>
      <c r="M51" s="0" t="n">
        <v>146088.529</v>
      </c>
      <c r="N51" s="0" t="n">
        <v>7669.722</v>
      </c>
      <c r="O51" s="0" t="n">
        <v>56.908</v>
      </c>
      <c r="P51" s="0" t="n">
        <v>56.99</v>
      </c>
      <c r="Q51" s="0" t="n">
        <v>607.028</v>
      </c>
      <c r="R51" s="0" t="n">
        <v>895.851</v>
      </c>
      <c r="S51" s="0" t="n">
        <v>2496.783</v>
      </c>
      <c r="T51" s="0" t="n">
        <v>2473.713</v>
      </c>
      <c r="U51" s="0" t="n">
        <v>1837.746</v>
      </c>
      <c r="V51" s="0" t="n">
        <v>179413.766</v>
      </c>
      <c r="W51" s="0" t="n">
        <v>185.669</v>
      </c>
      <c r="X51" s="0" t="n">
        <v>504.428</v>
      </c>
      <c r="Y51" s="0" t="n">
        <v>56.908</v>
      </c>
      <c r="Z51" s="0" t="n">
        <v>606.346</v>
      </c>
      <c r="AA51" s="0" t="n">
        <f aca="false">H51*x_c_F+I51*x_c_CC+J51*x_c_DC+K51*x_c_HCC+L51*x_c_PLT+M51*x_c_SVRn+N51*x_c_SVRcc+O51*x_c_LT+P51*x_c_LT1</f>
        <v>287483904.264108</v>
      </c>
      <c r="AB51" s="0" t="n">
        <f aca="false">C51*x_c_DAA</f>
        <v>109976320</v>
      </c>
      <c r="AC51" s="0" t="n">
        <f aca="false">C51*x_c_MON</f>
        <v>27857107.6100244</v>
      </c>
      <c r="AD51" s="0" t="n">
        <f aca="false">D51*(1-x_testy)</f>
        <v>0</v>
      </c>
      <c r="AE51" s="0" t="n">
        <f aca="false">E51*(1-x_testy)</f>
        <v>0</v>
      </c>
      <c r="AF51" s="0" t="n">
        <f aca="false">F51*x_NAV</f>
        <v>0</v>
      </c>
      <c r="AG51" s="0" t="n">
        <f aca="false">G51*x_FIX*(1-x_testy)</f>
        <v>0</v>
      </c>
      <c r="AH51" s="0" t="n">
        <f aca="false">x_z_F*U51+(1-x_AGRI)*x_EMP*x_WLOSS*(x_PEN_K74*Q51+x_PEN_C22*R51)</f>
        <v>20110186.5925246</v>
      </c>
      <c r="AI51" s="0" t="n">
        <f aca="false">x_AGRI*x_EMP*x_WLOSS*(x_PEN_K74*Q51+x_PEN_C22*R51)</f>
        <v>1079510.71540393</v>
      </c>
      <c r="AJ51" s="0" t="n">
        <f aca="false">x_EMP*x_WAGE*(x_WLOSS*(Q51+R51)+S51)+U51*x_ABS_D*x_WAGE/365</f>
        <v>300461691.14606</v>
      </c>
      <c r="AK51" s="0" t="n">
        <f aca="false">AJ51*x_R_FUS</f>
        <v>95066079.0786133</v>
      </c>
      <c r="AL51" s="0" t="n">
        <f aca="false">AJ51*x_R_NFZ</f>
        <v>23334155.3960941</v>
      </c>
      <c r="AM51" s="0" t="n">
        <f aca="false">AJ51*x_R_PIT</f>
        <v>19975947.307938</v>
      </c>
      <c r="AN51" s="0" t="n">
        <f aca="false">AJ51*x_R_FP</f>
        <v>7661773.12422452</v>
      </c>
      <c r="AO51" s="0" t="n">
        <f aca="false">AA51+AB51+AC51+AD51+AF51</f>
        <v>425317331.874132</v>
      </c>
      <c r="AP51" s="0" t="n">
        <f aca="false">AO51+AE51+AG51+AH51+AI51+AK51+AL51+AM51+AN51</f>
        <v>592544984.088931</v>
      </c>
      <c r="AQ51" s="0" t="n">
        <f aca="false">AO51+AE51+AG51+AJ51</f>
        <v>725779023.020192</v>
      </c>
      <c r="AR51" s="0" t="n">
        <f aca="false">AB51+AC51+AD51+AF51</f>
        <v>137833427.610024</v>
      </c>
      <c r="AS51" s="0" t="n">
        <f aca="false">AR51+AE51+AG51</f>
        <v>137833427.610024</v>
      </c>
    </row>
    <row r="52" customFormat="false" ht="15" hidden="false" customHeight="false" outlineLevel="0" collapsed="false">
      <c r="A52" s="0" t="n">
        <v>2075</v>
      </c>
      <c r="B52" s="0" t="n">
        <v>49</v>
      </c>
      <c r="C52" s="0" t="n">
        <v>4832</v>
      </c>
      <c r="D52" s="0" t="n">
        <v>0</v>
      </c>
      <c r="E52" s="0" t="n">
        <v>0</v>
      </c>
      <c r="F52" s="0" t="n">
        <v>0</v>
      </c>
      <c r="G52" s="0" t="n">
        <v>0</v>
      </c>
      <c r="H52" s="0" t="n">
        <v>2275.333</v>
      </c>
      <c r="I52" s="0" t="n">
        <v>198.088</v>
      </c>
      <c r="J52" s="0" t="n">
        <v>998.311</v>
      </c>
      <c r="K52" s="0" t="n">
        <v>1726.201</v>
      </c>
      <c r="L52" s="0" t="n">
        <v>623.744</v>
      </c>
      <c r="M52" s="0" t="n">
        <v>148024.397</v>
      </c>
      <c r="N52" s="0" t="n">
        <v>7675.367</v>
      </c>
      <c r="O52" s="0" t="n">
        <v>56.743</v>
      </c>
      <c r="P52" s="0" t="n">
        <v>56.826</v>
      </c>
      <c r="Q52" s="0" t="n">
        <v>603.504</v>
      </c>
      <c r="R52" s="0" t="n">
        <v>890.852</v>
      </c>
      <c r="S52" s="0" t="n">
        <v>2482.983</v>
      </c>
      <c r="T52" s="0" t="n">
        <v>2473.42</v>
      </c>
      <c r="U52" s="0" t="n">
        <v>1837.38</v>
      </c>
      <c r="V52" s="0" t="n">
        <v>180765.245</v>
      </c>
      <c r="W52" s="0" t="n">
        <v>184.898</v>
      </c>
      <c r="X52" s="0" t="n">
        <v>502.526</v>
      </c>
      <c r="Y52" s="0" t="n">
        <v>56.743</v>
      </c>
      <c r="Z52" s="0" t="n">
        <v>604.432</v>
      </c>
      <c r="AA52" s="0" t="n">
        <f aca="false">H52*x_c_F+I52*x_c_CC+J52*x_c_DC+K52*x_c_HCC+L52*x_c_PLT+M52*x_c_SVRn+N52*x_c_SVRcc+O52*x_c_LT+P52*x_c_LT1</f>
        <v>288061703.68694</v>
      </c>
      <c r="AB52" s="0" t="n">
        <f aca="false">C52*x_c_DAA</f>
        <v>109976320</v>
      </c>
      <c r="AC52" s="0" t="n">
        <f aca="false">C52*x_c_MON</f>
        <v>27857107.6100244</v>
      </c>
      <c r="AD52" s="0" t="n">
        <f aca="false">D52*(1-x_testy)</f>
        <v>0</v>
      </c>
      <c r="AE52" s="0" t="n">
        <f aca="false">E52*(1-x_testy)</f>
        <v>0</v>
      </c>
      <c r="AF52" s="0" t="n">
        <f aca="false">F52*x_NAV</f>
        <v>0</v>
      </c>
      <c r="AG52" s="0" t="n">
        <f aca="false">G52*x_FIX*(1-x_testy)</f>
        <v>0</v>
      </c>
      <c r="AH52" s="0" t="n">
        <f aca="false">x_z_F*U52+(1-x_AGRI)*x_EMP*x_WLOSS*(x_PEN_K74*Q52+x_PEN_C22*R52)</f>
        <v>20016925.4827704</v>
      </c>
      <c r="AI52" s="0" t="n">
        <f aca="false">x_AGRI*x_EMP*x_WLOSS*(x_PEN_K74*Q52+x_PEN_C22*R52)</f>
        <v>1073396.07129745</v>
      </c>
      <c r="AJ52" s="0" t="n">
        <f aca="false">x_EMP*x_WAGE*(x_WLOSS*(Q52+R52)+S52)+U52*x_ABS_D*x_WAGE/365</f>
        <v>298817931.840942</v>
      </c>
      <c r="AK52" s="0" t="n">
        <f aca="false">AJ52*x_R_FUS</f>
        <v>94545993.6344741</v>
      </c>
      <c r="AL52" s="0" t="n">
        <f aca="false">AJ52*x_R_NFZ</f>
        <v>23206499.4046994</v>
      </c>
      <c r="AM52" s="0" t="n">
        <f aca="false">AJ52*x_R_PIT</f>
        <v>19866663.3285371</v>
      </c>
      <c r="AN52" s="0" t="n">
        <f aca="false">AJ52*x_R_FP</f>
        <v>7619857.26194402</v>
      </c>
      <c r="AO52" s="0" t="n">
        <f aca="false">AA52+AB52+AC52+AD52+AF52</f>
        <v>425895131.296965</v>
      </c>
      <c r="AP52" s="0" t="n">
        <f aca="false">AO52+AE52+AG52+AH52+AI52+AK52+AL52+AM52+AN52</f>
        <v>592224466.480687</v>
      </c>
      <c r="AQ52" s="0" t="n">
        <f aca="false">AO52+AE52+AG52+AJ52</f>
        <v>724713063.137907</v>
      </c>
      <c r="AR52" s="0" t="n">
        <f aca="false">AB52+AC52+AD52+AF52</f>
        <v>137833427.610024</v>
      </c>
      <c r="AS52" s="0" t="n">
        <f aca="false">AR52+AE52+AG52</f>
        <v>137833427.610024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596</v>
      </c>
    </row>
    <row r="2" customFormat="false" ht="28.35" hidden="false" customHeight="false" outlineLevel="0" collapsed="false">
      <c r="A2" s="3" t="s">
        <v>320</v>
      </c>
      <c r="B2" s="3" t="s">
        <v>553</v>
      </c>
      <c r="C2" s="3" t="s">
        <v>554</v>
      </c>
      <c r="D2" s="3" t="s">
        <v>555</v>
      </c>
      <c r="E2" s="3" t="s">
        <v>556</v>
      </c>
      <c r="F2" s="3" t="s">
        <v>557</v>
      </c>
      <c r="G2" s="3" t="s">
        <v>558</v>
      </c>
      <c r="H2" s="3" t="s">
        <v>559</v>
      </c>
      <c r="I2" s="3" t="s">
        <v>560</v>
      </c>
      <c r="J2" s="3" t="s">
        <v>561</v>
      </c>
      <c r="K2" s="3" t="s">
        <v>562</v>
      </c>
      <c r="L2" s="3" t="s">
        <v>563</v>
      </c>
      <c r="M2" s="3" t="s">
        <v>564</v>
      </c>
      <c r="N2" s="3" t="s">
        <v>565</v>
      </c>
      <c r="O2" s="3" t="s">
        <v>566</v>
      </c>
      <c r="P2" s="3" t="s">
        <v>567</v>
      </c>
      <c r="Q2" s="3" t="s">
        <v>568</v>
      </c>
      <c r="R2" s="3" t="s">
        <v>569</v>
      </c>
      <c r="S2" s="3" t="s">
        <v>570</v>
      </c>
      <c r="T2" s="3" t="s">
        <v>571</v>
      </c>
      <c r="U2" s="3" t="s">
        <v>572</v>
      </c>
      <c r="V2" s="3" t="s">
        <v>573</v>
      </c>
      <c r="W2" s="3" t="s">
        <v>574</v>
      </c>
      <c r="X2" s="3" t="s">
        <v>575</v>
      </c>
      <c r="Y2" s="3" t="s">
        <v>576</v>
      </c>
      <c r="Z2" s="3" t="s">
        <v>577</v>
      </c>
      <c r="AA2" s="3" t="s">
        <v>578</v>
      </c>
      <c r="AB2" s="3" t="s">
        <v>579</v>
      </c>
      <c r="AC2" s="3" t="s">
        <v>580</v>
      </c>
      <c r="AD2" s="3" t="s">
        <v>581</v>
      </c>
      <c r="AE2" s="3" t="s">
        <v>582</v>
      </c>
      <c r="AF2" s="3" t="s">
        <v>583</v>
      </c>
      <c r="AG2" s="3" t="s">
        <v>584</v>
      </c>
      <c r="AH2" s="3" t="s">
        <v>252</v>
      </c>
      <c r="AI2" s="3" t="s">
        <v>303</v>
      </c>
      <c r="AJ2" s="3" t="s">
        <v>585</v>
      </c>
      <c r="AK2" s="3" t="s">
        <v>586</v>
      </c>
      <c r="AL2" s="3" t="s">
        <v>587</v>
      </c>
      <c r="AM2" s="3" t="s">
        <v>588</v>
      </c>
      <c r="AN2" s="3" t="s">
        <v>589</v>
      </c>
      <c r="AO2" s="3" t="s">
        <v>129</v>
      </c>
      <c r="AP2" s="3" t="s">
        <v>590</v>
      </c>
      <c r="AQ2" s="3" t="s">
        <v>591</v>
      </c>
      <c r="AR2" s="3" t="s">
        <v>592</v>
      </c>
      <c r="AS2" s="3" t="s">
        <v>593</v>
      </c>
    </row>
    <row r="3" customFormat="false" ht="15" hidden="false" customHeight="false" outlineLevel="0" collapsed="false">
      <c r="A3" s="0" t="n">
        <v>2026</v>
      </c>
      <c r="B3" s="0" t="n">
        <v>0</v>
      </c>
      <c r="C3" s="0" t="n">
        <v>4951.32</v>
      </c>
      <c r="D3" s="0" t="n">
        <v>16666666.667</v>
      </c>
      <c r="E3" s="0" t="n">
        <v>0</v>
      </c>
      <c r="F3" s="0" t="n">
        <v>0</v>
      </c>
      <c r="G3" s="0" t="n">
        <v>1</v>
      </c>
      <c r="H3" s="0" t="n">
        <v>2402.721</v>
      </c>
      <c r="I3" s="0" t="n">
        <v>215.462</v>
      </c>
      <c r="J3" s="0" t="n">
        <v>1579.333</v>
      </c>
      <c r="K3" s="0" t="n">
        <v>2524.799</v>
      </c>
      <c r="L3" s="0" t="n">
        <v>1540.438</v>
      </c>
      <c r="M3" s="0" t="n">
        <v>6641.203</v>
      </c>
      <c r="N3" s="0" t="n">
        <v>586.5</v>
      </c>
      <c r="O3" s="0" t="n">
        <v>89.046</v>
      </c>
      <c r="P3" s="0" t="n">
        <v>44.523</v>
      </c>
      <c r="Q3" s="0" t="n">
        <v>2134.707</v>
      </c>
      <c r="R3" s="0" t="n">
        <v>1703.283</v>
      </c>
      <c r="S3" s="0" t="n">
        <v>312.377</v>
      </c>
      <c r="T3" s="0" t="n">
        <v>2618.183</v>
      </c>
      <c r="U3" s="0" t="n">
        <v>1450.052</v>
      </c>
      <c r="V3" s="0" t="n">
        <v>113405.626</v>
      </c>
      <c r="W3" s="0" t="n">
        <v>265.701</v>
      </c>
      <c r="X3" s="0" t="n">
        <v>711.503</v>
      </c>
      <c r="Y3" s="0" t="n">
        <v>89.046</v>
      </c>
      <c r="Z3" s="0" t="n">
        <v>922.327</v>
      </c>
      <c r="AA3" s="0" t="n">
        <f aca="false">H3*x_c_F+I3*x_c_CC+J3*x_c_DC+K3*x_c_HCC+L3*x_c_PLT+M3*x_c_SVRn+N3*x_c_SVRcc+O3*x_c_LT+P3*x_c_LT1</f>
        <v>282853552.27429</v>
      </c>
      <c r="AB3" s="0" t="n">
        <f aca="false">C3*x_c_DAA</f>
        <v>112692043.2</v>
      </c>
      <c r="AC3" s="0" t="n">
        <f aca="false">C3*x_c_MON</f>
        <v>28545002.9080434</v>
      </c>
      <c r="AD3" s="0" t="n">
        <f aca="false">D3*(1-x_testy)</f>
        <v>16666666.667</v>
      </c>
      <c r="AE3" s="0" t="n">
        <f aca="false">E3*(1-x_testy)</f>
        <v>0</v>
      </c>
      <c r="AF3" s="0" t="n">
        <f aca="false">F3*x_NAV</f>
        <v>0</v>
      </c>
      <c r="AG3" s="0" t="n">
        <f aca="false">G3*x_FIX*(1-x_testy)</f>
        <v>1223620.54528</v>
      </c>
      <c r="AH3" s="0" t="n">
        <f aca="false">x_z_F*U3+(1-x_AGRI)*x_EMP*x_WLOSS*(x_PEN_K74*Q3+x_PEN_C22*R3)</f>
        <v>43887425.9152583</v>
      </c>
      <c r="AI3" s="0" t="n">
        <f aca="false">x_AGRI*x_EMP*x_WLOSS*(x_PEN_K74*Q3+x_PEN_C22*R3)</f>
        <v>2703824.91887471</v>
      </c>
      <c r="AJ3" s="0" t="n">
        <f aca="false">x_EMP*x_WAGE*(x_WLOSS*(Q3+R3)+S3)+U3*x_ABS_D*x_WAGE/365</f>
        <v>240777416.820105</v>
      </c>
      <c r="AK3" s="0" t="n">
        <f aca="false">AJ3*x_R_FUS</f>
        <v>76181974.6818813</v>
      </c>
      <c r="AL3" s="0" t="n">
        <f aca="false">AJ3*x_R_NFZ</f>
        <v>18699014.9676662</v>
      </c>
      <c r="AM3" s="0" t="n">
        <f aca="false">AJ3*x_R_PIT</f>
        <v>16007887.6378344</v>
      </c>
      <c r="AN3" s="0" t="n">
        <f aca="false">AJ3*x_R_FP</f>
        <v>6139824.12891268</v>
      </c>
      <c r="AO3" s="0" t="n">
        <f aca="false">AA3+AB3+AC3+AD3+AF3</f>
        <v>440757265.049333</v>
      </c>
      <c r="AP3" s="0" t="n">
        <f aca="false">AO3+AE3+AG3+AH3+AI3+AK3+AL3+AM3+AN3</f>
        <v>605600837.845041</v>
      </c>
      <c r="AQ3" s="0" t="n">
        <f aca="false">AO3+AE3+AG3+AJ3</f>
        <v>682758302.414719</v>
      </c>
      <c r="AR3" s="0" t="n">
        <f aca="false">AB3+AC3+AD3+AF3</f>
        <v>157903712.775043</v>
      </c>
      <c r="AS3" s="0" t="n">
        <f aca="false">AR3+AE3+AG3</f>
        <v>159127333.320323</v>
      </c>
    </row>
    <row r="4" customFormat="false" ht="15" hidden="false" customHeight="false" outlineLevel="0" collapsed="false">
      <c r="A4" s="0" t="n">
        <v>2027</v>
      </c>
      <c r="B4" s="0" t="n">
        <v>1</v>
      </c>
      <c r="C4" s="0" t="n">
        <v>5065.485</v>
      </c>
      <c r="D4" s="0" t="n">
        <v>33333333.333</v>
      </c>
      <c r="E4" s="0" t="n">
        <v>0</v>
      </c>
      <c r="F4" s="0" t="n">
        <v>0</v>
      </c>
      <c r="G4" s="0" t="n">
        <v>1</v>
      </c>
      <c r="H4" s="0" t="n">
        <v>2440.372</v>
      </c>
      <c r="I4" s="0" t="n">
        <v>232.287</v>
      </c>
      <c r="J4" s="0" t="n">
        <v>1564.197</v>
      </c>
      <c r="K4" s="0" t="n">
        <v>2521.646</v>
      </c>
      <c r="L4" s="0" t="n">
        <v>1489.389</v>
      </c>
      <c r="M4" s="0" t="n">
        <v>11095.842</v>
      </c>
      <c r="N4" s="0" t="n">
        <v>1000.523</v>
      </c>
      <c r="O4" s="0" t="n">
        <v>87.912</v>
      </c>
      <c r="P4" s="0" t="n">
        <v>88.479</v>
      </c>
      <c r="Q4" s="0" t="n">
        <v>2138.122</v>
      </c>
      <c r="R4" s="0" t="n">
        <v>1717.174</v>
      </c>
      <c r="S4" s="0" t="n">
        <v>939.965</v>
      </c>
      <c r="T4" s="0" t="n">
        <v>2672.659</v>
      </c>
      <c r="U4" s="0" t="n">
        <v>1524.788</v>
      </c>
      <c r="V4" s="0" t="n">
        <v>114531.369</v>
      </c>
      <c r="W4" s="0" t="n">
        <v>275.18</v>
      </c>
      <c r="X4" s="0" t="n">
        <v>741.411</v>
      </c>
      <c r="Y4" s="0" t="n">
        <v>87.912</v>
      </c>
      <c r="Z4" s="0" t="n">
        <v>925.718</v>
      </c>
      <c r="AA4" s="0" t="n">
        <f aca="false">H4*x_c_F+I4*x_c_CC+J4*x_c_DC+K4*x_c_HCC+L4*x_c_PLT+M4*x_c_SVRn+N4*x_c_SVRcc+O4*x_c_LT+P4*x_c_LT1</f>
        <v>286525134.010103</v>
      </c>
      <c r="AB4" s="0" t="n">
        <f aca="false">C4*x_c_DAA</f>
        <v>115290438.6</v>
      </c>
      <c r="AC4" s="0" t="n">
        <f aca="false">C4*x_c_MON</f>
        <v>29203178.9614992</v>
      </c>
      <c r="AD4" s="0" t="n">
        <f aca="false">D4*(1-x_testy)</f>
        <v>33333333.333</v>
      </c>
      <c r="AE4" s="0" t="n">
        <f aca="false">E4*(1-x_testy)</f>
        <v>0</v>
      </c>
      <c r="AF4" s="0" t="n">
        <f aca="false">F4*x_NAV</f>
        <v>0</v>
      </c>
      <c r="AG4" s="0" t="n">
        <f aca="false">G4*x_FIX*(1-x_testy)</f>
        <v>1223620.54528</v>
      </c>
      <c r="AH4" s="0" t="n">
        <f aca="false">x_z_F*U4+(1-x_AGRI)*x_EMP*x_WLOSS*(x_PEN_K74*Q4+x_PEN_C22*R4)</f>
        <v>44234045.3328275</v>
      </c>
      <c r="AI4" s="0" t="n">
        <f aca="false">x_AGRI*x_EMP*x_WLOSS*(x_PEN_K74*Q4+x_PEN_C22*R4)</f>
        <v>2716579.81142657</v>
      </c>
      <c r="AJ4" s="0" t="n">
        <f aca="false">x_EMP*x_WAGE*(x_WLOSS*(Q4+R4)+S4)+U4*x_ABS_D*x_WAGE/365</f>
        <v>295451804.106965</v>
      </c>
      <c r="AK4" s="0" t="n">
        <f aca="false">AJ4*x_R_FUS</f>
        <v>93480950.8194438</v>
      </c>
      <c r="AL4" s="0" t="n">
        <f aca="false">AJ4*x_R_NFZ</f>
        <v>22945082.558751</v>
      </c>
      <c r="AM4" s="0" t="n">
        <f aca="false">AJ4*x_R_PIT</f>
        <v>19642869.1070867</v>
      </c>
      <c r="AN4" s="0" t="n">
        <f aca="false">AJ4*x_R_FP</f>
        <v>7534021.00472762</v>
      </c>
      <c r="AO4" s="0" t="n">
        <f aca="false">AA4+AB4+AC4+AD4+AF4</f>
        <v>464352084.904602</v>
      </c>
      <c r="AP4" s="0" t="n">
        <f aca="false">AO4+AE4+AG4+AH4+AI4+AK4+AL4+AM4+AN4</f>
        <v>656129254.084145</v>
      </c>
      <c r="AQ4" s="0" t="n">
        <f aca="false">AO4+AE4+AG4+AJ4</f>
        <v>761027509.556847</v>
      </c>
      <c r="AR4" s="0" t="n">
        <f aca="false">AB4+AC4+AD4+AF4</f>
        <v>177826950.894499</v>
      </c>
      <c r="AS4" s="0" t="n">
        <f aca="false">AR4+AE4+AG4</f>
        <v>179050571.439779</v>
      </c>
    </row>
    <row r="5" customFormat="false" ht="15" hidden="false" customHeight="false" outlineLevel="0" collapsed="false">
      <c r="A5" s="0" t="n">
        <v>2028</v>
      </c>
      <c r="B5" s="0" t="n">
        <v>2</v>
      </c>
      <c r="C5" s="0" t="n">
        <v>5174.648</v>
      </c>
      <c r="D5" s="0" t="n">
        <v>50000000</v>
      </c>
      <c r="E5" s="0" t="n">
        <v>0</v>
      </c>
      <c r="F5" s="0" t="n">
        <v>0</v>
      </c>
      <c r="G5" s="0" t="n">
        <v>1</v>
      </c>
      <c r="H5" s="0" t="n">
        <v>2448.272</v>
      </c>
      <c r="I5" s="0" t="n">
        <v>247.995</v>
      </c>
      <c r="J5" s="0" t="n">
        <v>1561.132</v>
      </c>
      <c r="K5" s="0" t="n">
        <v>2548.335</v>
      </c>
      <c r="L5" s="0" t="n">
        <v>1475.766</v>
      </c>
      <c r="M5" s="0" t="n">
        <v>15512.573</v>
      </c>
      <c r="N5" s="0" t="n">
        <v>1431.227</v>
      </c>
      <c r="O5" s="0" t="n">
        <v>87.611</v>
      </c>
      <c r="P5" s="0" t="n">
        <v>87.762</v>
      </c>
      <c r="Q5" s="0" t="n">
        <v>2146.956</v>
      </c>
      <c r="R5" s="0" t="n">
        <v>1755.295</v>
      </c>
      <c r="S5" s="0" t="n">
        <v>1573.033</v>
      </c>
      <c r="T5" s="0" t="n">
        <v>2696.266</v>
      </c>
      <c r="U5" s="0" t="n">
        <v>1581.369</v>
      </c>
      <c r="V5" s="0" t="n">
        <v>115736.444</v>
      </c>
      <c r="W5" s="0" t="n">
        <v>286.218</v>
      </c>
      <c r="X5" s="0" t="n">
        <v>771.912</v>
      </c>
      <c r="Y5" s="0" t="n">
        <v>87.611</v>
      </c>
      <c r="Z5" s="0" t="n">
        <v>927.107</v>
      </c>
      <c r="AA5" s="0" t="n">
        <f aca="false">H5*x_c_F+I5*x_c_CC+J5*x_c_DC+K5*x_c_HCC+L5*x_c_PLT+M5*x_c_SVRn+N5*x_c_SVRcc+O5*x_c_LT+P5*x_c_LT1</f>
        <v>291571048.276824</v>
      </c>
      <c r="AB5" s="0" t="n">
        <f aca="false">C5*x_c_DAA</f>
        <v>117774988.48</v>
      </c>
      <c r="AC5" s="0" t="n">
        <f aca="false">C5*x_c_MON</f>
        <v>29832517.8352644</v>
      </c>
      <c r="AD5" s="0" t="n">
        <f aca="false">D5*(1-x_testy)</f>
        <v>50000000</v>
      </c>
      <c r="AE5" s="0" t="n">
        <f aca="false">E5*(1-x_testy)</f>
        <v>0</v>
      </c>
      <c r="AF5" s="0" t="n">
        <f aca="false">F5*x_NAV</f>
        <v>0</v>
      </c>
      <c r="AG5" s="0" t="n">
        <f aca="false">G5*x_FIX*(1-x_testy)</f>
        <v>1223620.54528</v>
      </c>
      <c r="AH5" s="0" t="n">
        <f aca="false">x_z_F*U5+(1-x_AGRI)*x_EMP*x_WLOSS*(x_PEN_K74*Q5+x_PEN_C22*R5)</f>
        <v>44874530.5671409</v>
      </c>
      <c r="AI5" s="0" t="n">
        <f aca="false">x_AGRI*x_EMP*x_WLOSS*(x_PEN_K74*Q5+x_PEN_C22*R5)</f>
        <v>2751225.7803984</v>
      </c>
      <c r="AJ5" s="0" t="n">
        <f aca="false">x_EMP*x_WAGE*(x_WLOSS*(Q5+R5)+S5)+U5*x_ABS_D*x_WAGE/365</f>
        <v>352161477.995497</v>
      </c>
      <c r="AK5" s="0" t="n">
        <f aca="false">AJ5*x_R_FUS</f>
        <v>111423891.637775</v>
      </c>
      <c r="AL5" s="0" t="n">
        <f aca="false">AJ5*x_R_NFZ</f>
        <v>27349212.5426083</v>
      </c>
      <c r="AM5" s="0" t="n">
        <f aca="false">AJ5*x_R_PIT</f>
        <v>23413164.924589</v>
      </c>
      <c r="AN5" s="0" t="n">
        <f aca="false">AJ5*x_R_FP</f>
        <v>8980117.68888518</v>
      </c>
      <c r="AO5" s="0" t="n">
        <f aca="false">AA5+AB5+AC5+AD5+AF5</f>
        <v>489178554.592088</v>
      </c>
      <c r="AP5" s="0" t="n">
        <f aca="false">AO5+AE5+AG5+AH5+AI5+AK5+AL5+AM5+AN5</f>
        <v>709194318.278765</v>
      </c>
      <c r="AQ5" s="0" t="n">
        <f aca="false">AO5+AE5+AG5+AJ5</f>
        <v>842563653.132866</v>
      </c>
      <c r="AR5" s="0" t="n">
        <f aca="false">AB5+AC5+AD5+AF5</f>
        <v>197607506.315264</v>
      </c>
      <c r="AS5" s="0" t="n">
        <f aca="false">AR5+AE5+AG5</f>
        <v>198831126.860544</v>
      </c>
    </row>
    <row r="6" customFormat="false" ht="15" hidden="false" customHeight="false" outlineLevel="0" collapsed="false">
      <c r="A6" s="0" t="n">
        <v>2029</v>
      </c>
      <c r="B6" s="0" t="n">
        <v>3</v>
      </c>
      <c r="C6" s="0" t="n">
        <v>5167.173</v>
      </c>
      <c r="D6" s="0" t="n">
        <v>50000000</v>
      </c>
      <c r="E6" s="0" t="n">
        <v>0</v>
      </c>
      <c r="F6" s="0" t="n">
        <v>0</v>
      </c>
      <c r="G6" s="0" t="n">
        <v>1</v>
      </c>
      <c r="H6" s="0" t="n">
        <v>2428.835</v>
      </c>
      <c r="I6" s="0" t="n">
        <v>261.666</v>
      </c>
      <c r="J6" s="0" t="n">
        <v>1569.042</v>
      </c>
      <c r="K6" s="0" t="n">
        <v>2596.108</v>
      </c>
      <c r="L6" s="0" t="n">
        <v>1461.203</v>
      </c>
      <c r="M6" s="0" t="n">
        <v>19836.052</v>
      </c>
      <c r="N6" s="0" t="n">
        <v>1873.657</v>
      </c>
      <c r="O6" s="0" t="n">
        <v>88.025</v>
      </c>
      <c r="P6" s="0" t="n">
        <v>87.818</v>
      </c>
      <c r="Q6" s="0" t="n">
        <v>2165.214</v>
      </c>
      <c r="R6" s="0" t="n">
        <v>1811.194</v>
      </c>
      <c r="S6" s="0" t="n">
        <v>2214.515</v>
      </c>
      <c r="T6" s="0" t="n">
        <v>2690.501</v>
      </c>
      <c r="U6" s="0" t="n">
        <v>1619.665</v>
      </c>
      <c r="V6" s="0" t="n">
        <v>116994.962</v>
      </c>
      <c r="W6" s="0" t="n">
        <v>297.852</v>
      </c>
      <c r="X6" s="0" t="n">
        <v>801.512</v>
      </c>
      <c r="Y6" s="0" t="n">
        <v>88.025</v>
      </c>
      <c r="Z6" s="0" t="n">
        <v>936.592</v>
      </c>
      <c r="AA6" s="0" t="n">
        <f aca="false">H6*x_c_F+I6*x_c_CC+J6*x_c_DC+K6*x_c_HCC+L6*x_c_PLT+M6*x_c_SVRn+N6*x_c_SVRcc+O6*x_c_LT+P6*x_c_LT1</f>
        <v>298275992.506311</v>
      </c>
      <c r="AB6" s="0" t="n">
        <f aca="false">C6*x_c_DAA</f>
        <v>117604857.48</v>
      </c>
      <c r="AC6" s="0" t="n">
        <f aca="false">C6*x_c_MON</f>
        <v>29789423.4893652</v>
      </c>
      <c r="AD6" s="0" t="n">
        <f aca="false">D6*(1-x_testy)</f>
        <v>50000000</v>
      </c>
      <c r="AE6" s="0" t="n">
        <f aca="false">E6*(1-x_testy)</f>
        <v>0</v>
      </c>
      <c r="AF6" s="0" t="n">
        <f aca="false">F6*x_NAV</f>
        <v>0</v>
      </c>
      <c r="AG6" s="0" t="n">
        <f aca="false">G6*x_FIX*(1-x_testy)</f>
        <v>1223620.54528</v>
      </c>
      <c r="AH6" s="0" t="n">
        <f aca="false">x_z_F*U6+(1-x_AGRI)*x_EMP*x_WLOSS*(x_PEN_K74*Q6+x_PEN_C22*R6)</f>
        <v>45775174.465022</v>
      </c>
      <c r="AI6" s="0" t="n">
        <f aca="false">x_AGRI*x_EMP*x_WLOSS*(x_PEN_K74*Q6+x_PEN_C22*R6)</f>
        <v>2805552.51354111</v>
      </c>
      <c r="AJ6" s="0" t="n">
        <f aca="false">x_EMP*x_WAGE*(x_WLOSS*(Q6+R6)+S6)+U6*x_ABS_D*x_WAGE/365</f>
        <v>411022394.069022</v>
      </c>
      <c r="AK6" s="0" t="n">
        <f aca="false">AJ6*x_R_FUS</f>
        <v>130047485.483439</v>
      </c>
      <c r="AL6" s="0" t="n">
        <f aca="false">AJ6*x_R_NFZ</f>
        <v>31920410.1457943</v>
      </c>
      <c r="AM6" s="0" t="n">
        <f aca="false">AJ6*x_R_PIT</f>
        <v>27326484.3015012</v>
      </c>
      <c r="AN6" s="0" t="n">
        <f aca="false">AJ6*x_R_FP</f>
        <v>10481071.0487601</v>
      </c>
      <c r="AO6" s="0" t="n">
        <f aca="false">AA6+AB6+AC6+AD6+AF6</f>
        <v>495670273.475676</v>
      </c>
      <c r="AP6" s="0" t="n">
        <f aca="false">AO6+AE6+AG6+AH6+AI6+AK6+AL6+AM6+AN6</f>
        <v>745250071.979013</v>
      </c>
      <c r="AQ6" s="0" t="n">
        <f aca="false">AO6+AE6+AG6+AJ6</f>
        <v>907916288.089978</v>
      </c>
      <c r="AR6" s="0" t="n">
        <f aca="false">AB6+AC6+AD6+AF6</f>
        <v>197394280.969365</v>
      </c>
      <c r="AS6" s="0" t="n">
        <f aca="false">AR6+AE6+AG6</f>
        <v>198617901.514645</v>
      </c>
    </row>
    <row r="7" customFormat="false" ht="15" hidden="false" customHeight="false" outlineLevel="0" collapsed="false">
      <c r="A7" s="0" t="n">
        <v>2030</v>
      </c>
      <c r="B7" s="0" t="n">
        <v>4</v>
      </c>
      <c r="C7" s="0" t="n">
        <v>5160.008</v>
      </c>
      <c r="D7" s="0" t="n">
        <v>50000000</v>
      </c>
      <c r="E7" s="0" t="n">
        <v>0</v>
      </c>
      <c r="F7" s="0" t="n">
        <v>0</v>
      </c>
      <c r="G7" s="0" t="n">
        <v>1</v>
      </c>
      <c r="H7" s="0" t="n">
        <v>2409.73</v>
      </c>
      <c r="I7" s="0" t="n">
        <v>275.159</v>
      </c>
      <c r="J7" s="0" t="n">
        <v>1586.102</v>
      </c>
      <c r="K7" s="0" t="n">
        <v>2657.245</v>
      </c>
      <c r="L7" s="0" t="n">
        <v>1446.36</v>
      </c>
      <c r="M7" s="0" t="n">
        <v>24064.753</v>
      </c>
      <c r="N7" s="0" t="n">
        <v>2326.552</v>
      </c>
      <c r="O7" s="0" t="n">
        <v>89.016</v>
      </c>
      <c r="P7" s="0" t="n">
        <v>88.521</v>
      </c>
      <c r="Q7" s="0" t="n">
        <v>2192.001</v>
      </c>
      <c r="R7" s="0" t="n">
        <v>1879.23</v>
      </c>
      <c r="S7" s="0" t="n">
        <v>2869.718</v>
      </c>
      <c r="T7" s="0" t="n">
        <v>2684.889</v>
      </c>
      <c r="U7" s="0" t="n">
        <v>1656.317</v>
      </c>
      <c r="V7" s="0" t="n">
        <v>118292.782</v>
      </c>
      <c r="W7" s="0" t="n">
        <v>309.232</v>
      </c>
      <c r="X7" s="0" t="n">
        <v>828.828</v>
      </c>
      <c r="Y7" s="0" t="n">
        <v>89.016</v>
      </c>
      <c r="Z7" s="0" t="n">
        <v>951.804</v>
      </c>
      <c r="AA7" s="0" t="n">
        <f aca="false">H7*x_c_F+I7*x_c_CC+J7*x_c_DC+K7*x_c_HCC+L7*x_c_PLT+M7*x_c_SVRn+N7*x_c_SVRcc+O7*x_c_LT+P7*x_c_LT1</f>
        <v>306176833.464262</v>
      </c>
      <c r="AB7" s="0" t="n">
        <f aca="false">C7*x_c_DAA</f>
        <v>117441782.08</v>
      </c>
      <c r="AC7" s="0" t="n">
        <f aca="false">C7*x_c_MON</f>
        <v>29748116.3337307</v>
      </c>
      <c r="AD7" s="0" t="n">
        <f aca="false">D7*(1-x_testy)</f>
        <v>50000000</v>
      </c>
      <c r="AE7" s="0" t="n">
        <f aca="false">E7*(1-x_testy)</f>
        <v>0</v>
      </c>
      <c r="AF7" s="0" t="n">
        <f aca="false">F7*x_NAV</f>
        <v>0</v>
      </c>
      <c r="AG7" s="0" t="n">
        <f aca="false">G7*x_FIX*(1-x_testy)</f>
        <v>1223620.54528</v>
      </c>
      <c r="AH7" s="0" t="n">
        <f aca="false">x_z_F*U7+(1-x_AGRI)*x_EMP*x_WLOSS*(x_PEN_K74*Q7+x_PEN_C22*R7)</f>
        <v>46896768.8437061</v>
      </c>
      <c r="AI7" s="0" t="n">
        <f aca="false">x_AGRI*x_EMP*x_WLOSS*(x_PEN_K74*Q7+x_PEN_C22*R7)</f>
        <v>2874707.05506243</v>
      </c>
      <c r="AJ7" s="0" t="n">
        <f aca="false">x_EMP*x_WAGE*(x_WLOSS*(Q7+R7)+S7)+U7*x_ABS_D*x_WAGE/365</f>
        <v>472178482.755056</v>
      </c>
      <c r="AK7" s="0" t="n">
        <f aca="false">AJ7*x_R_FUS</f>
        <v>149397271.9437</v>
      </c>
      <c r="AL7" s="0" t="n">
        <f aca="false">AJ7*x_R_NFZ</f>
        <v>36669853.1492404</v>
      </c>
      <c r="AM7" s="0" t="n">
        <f aca="false">AJ7*x_R_PIT</f>
        <v>31392396.3333879</v>
      </c>
      <c r="AN7" s="0" t="n">
        <f aca="false">AJ7*x_R_FP</f>
        <v>12040551.3102539</v>
      </c>
      <c r="AO7" s="0" t="n">
        <f aca="false">AA7+AB7+AC7+AD7+AF7</f>
        <v>503366731.877992</v>
      </c>
      <c r="AP7" s="0" t="n">
        <f aca="false">AO7+AE7+AG7+AH7+AI7+AK7+AL7+AM7+AN7</f>
        <v>783861901.058623</v>
      </c>
      <c r="AQ7" s="0" t="n">
        <f aca="false">AO7+AE7+AG7+AJ7</f>
        <v>976768835.178329</v>
      </c>
      <c r="AR7" s="0" t="n">
        <f aca="false">AB7+AC7+AD7+AF7</f>
        <v>197189898.413731</v>
      </c>
      <c r="AS7" s="0" t="n">
        <f aca="false">AR7+AE7+AG7</f>
        <v>198413518.959011</v>
      </c>
    </row>
    <row r="8" customFormat="false" ht="15" hidden="false" customHeight="false" outlineLevel="0" collapsed="false">
      <c r="A8" s="0" t="n">
        <v>2031</v>
      </c>
      <c r="B8" s="0" t="n">
        <v>5</v>
      </c>
      <c r="C8" s="0" t="n">
        <v>5153.118</v>
      </c>
      <c r="D8" s="0" t="n">
        <v>50000000</v>
      </c>
      <c r="E8" s="0" t="n">
        <v>0</v>
      </c>
      <c r="F8" s="0" t="n">
        <v>0</v>
      </c>
      <c r="G8" s="0" t="n">
        <v>1</v>
      </c>
      <c r="H8" s="0" t="n">
        <v>2391.444</v>
      </c>
      <c r="I8" s="0" t="n">
        <v>287.967</v>
      </c>
      <c r="J8" s="0" t="n">
        <v>1610.067</v>
      </c>
      <c r="K8" s="0" t="n">
        <v>2725.054</v>
      </c>
      <c r="L8" s="0" t="n">
        <v>1431.774</v>
      </c>
      <c r="M8" s="0" t="n">
        <v>28198.412</v>
      </c>
      <c r="N8" s="0" t="n">
        <v>2787.705</v>
      </c>
      <c r="O8" s="0" t="n">
        <v>90.429</v>
      </c>
      <c r="P8" s="0" t="n">
        <v>89.722</v>
      </c>
      <c r="Q8" s="0" t="n">
        <v>2226.042</v>
      </c>
      <c r="R8" s="0" t="n">
        <v>1954.511</v>
      </c>
      <c r="S8" s="0" t="n">
        <v>3542.23</v>
      </c>
      <c r="T8" s="0" t="n">
        <v>2679.411</v>
      </c>
      <c r="U8" s="0" t="n">
        <v>1691.356</v>
      </c>
      <c r="V8" s="0" t="n">
        <v>119619.746</v>
      </c>
      <c r="W8" s="0" t="n">
        <v>319.731</v>
      </c>
      <c r="X8" s="0" t="n">
        <v>852.885</v>
      </c>
      <c r="Y8" s="0" t="n">
        <v>90.429</v>
      </c>
      <c r="Z8" s="0" t="n">
        <v>970.572</v>
      </c>
      <c r="AA8" s="0" t="n">
        <f aca="false">H8*x_c_F+I8*x_c_CC+J8*x_c_DC+K8*x_c_HCC+L8*x_c_PLT+M8*x_c_SVRn+N8*x_c_SVRcc+O8*x_c_LT+P8*x_c_LT1</f>
        <v>314761564.450319</v>
      </c>
      <c r="AB8" s="0" t="n">
        <f aca="false">C8*x_c_DAA</f>
        <v>117284965.68</v>
      </c>
      <c r="AC8" s="0" t="n">
        <f aca="false">C8*x_c_MON</f>
        <v>29708394.5888149</v>
      </c>
      <c r="AD8" s="0" t="n">
        <f aca="false">D8*(1-x_testy)</f>
        <v>50000000</v>
      </c>
      <c r="AE8" s="0" t="n">
        <f aca="false">E8*(1-x_testy)</f>
        <v>0</v>
      </c>
      <c r="AF8" s="0" t="n">
        <f aca="false">F8*x_NAV</f>
        <v>0</v>
      </c>
      <c r="AG8" s="0" t="n">
        <f aca="false">G8*x_FIX*(1-x_testy)</f>
        <v>1223620.54528</v>
      </c>
      <c r="AH8" s="0" t="n">
        <f aca="false">x_z_F*U8+(1-x_AGRI)*x_EMP*x_WLOSS*(x_PEN_K74*Q8+x_PEN_C22*R8)</f>
        <v>48170692.421757</v>
      </c>
      <c r="AI8" s="0" t="n">
        <f aca="false">x_AGRI*x_EMP*x_WLOSS*(x_PEN_K74*Q8+x_PEN_C22*R8)</f>
        <v>2954149.45730613</v>
      </c>
      <c r="AJ8" s="0" t="n">
        <f aca="false">x_EMP*x_WAGE*(x_WLOSS*(Q8+R8)+S8)+U8*x_ABS_D*x_WAGE/365</f>
        <v>535598500.706014</v>
      </c>
      <c r="AK8" s="0" t="n">
        <f aca="false">AJ8*x_R_FUS</f>
        <v>169463365.623383</v>
      </c>
      <c r="AL8" s="0" t="n">
        <f aca="false">AJ8*x_R_NFZ</f>
        <v>41595115.1633298</v>
      </c>
      <c r="AM8" s="0" t="n">
        <f aca="false">AJ8*x_R_PIT</f>
        <v>35608823.8320968</v>
      </c>
      <c r="AN8" s="0" t="n">
        <f aca="false">AJ8*x_R_FP</f>
        <v>13657761.7680034</v>
      </c>
      <c r="AO8" s="0" t="n">
        <f aca="false">AA8+AB8+AC8+AD8+AF8</f>
        <v>511754924.719134</v>
      </c>
      <c r="AP8" s="0" t="n">
        <f aca="false">AO8+AE8+AG8+AH8+AI8+AK8+AL8+AM8+AN8</f>
        <v>824428453.53029</v>
      </c>
      <c r="AQ8" s="0" t="n">
        <f aca="false">AO8+AE8+AG8+AJ8</f>
        <v>1048577045.97043</v>
      </c>
      <c r="AR8" s="0" t="n">
        <f aca="false">AB8+AC8+AD8+AF8</f>
        <v>196993360.268815</v>
      </c>
      <c r="AS8" s="0" t="n">
        <f aca="false">AR8+AE8+AG8</f>
        <v>198216980.814095</v>
      </c>
    </row>
    <row r="9" customFormat="false" ht="15" hidden="false" customHeight="false" outlineLevel="0" collapsed="false">
      <c r="A9" s="0" t="n">
        <v>2032</v>
      </c>
      <c r="B9" s="0" t="n">
        <v>6</v>
      </c>
      <c r="C9" s="0" t="n">
        <v>5146.482</v>
      </c>
      <c r="D9" s="0" t="n">
        <v>50000000</v>
      </c>
      <c r="E9" s="0" t="n">
        <v>0</v>
      </c>
      <c r="F9" s="0" t="n">
        <v>0</v>
      </c>
      <c r="G9" s="0" t="n">
        <v>1</v>
      </c>
      <c r="H9" s="0" t="n">
        <v>2374.35</v>
      </c>
      <c r="I9" s="0" t="n">
        <v>299.701</v>
      </c>
      <c r="J9" s="0" t="n">
        <v>1638.517</v>
      </c>
      <c r="K9" s="0" t="n">
        <v>2793.887</v>
      </c>
      <c r="L9" s="0" t="n">
        <v>1417.81</v>
      </c>
      <c r="M9" s="0" t="n">
        <v>32237.304</v>
      </c>
      <c r="N9" s="0" t="n">
        <v>3254.145</v>
      </c>
      <c r="O9" s="0" t="n">
        <v>92.103</v>
      </c>
      <c r="P9" s="0" t="n">
        <v>91.266</v>
      </c>
      <c r="Q9" s="0" t="n">
        <v>2265.816</v>
      </c>
      <c r="R9" s="0" t="n">
        <v>2032.893</v>
      </c>
      <c r="S9" s="0" t="n">
        <v>4234.018</v>
      </c>
      <c r="T9" s="0" t="n">
        <v>2674.052</v>
      </c>
      <c r="U9" s="0" t="n">
        <v>1724.833</v>
      </c>
      <c r="V9" s="0" t="n">
        <v>120965.778</v>
      </c>
      <c r="W9" s="0" t="n">
        <v>328.896</v>
      </c>
      <c r="X9" s="0" t="n">
        <v>873.001</v>
      </c>
      <c r="Y9" s="0" t="n">
        <v>92.103</v>
      </c>
      <c r="Z9" s="0" t="n">
        <v>990.933</v>
      </c>
      <c r="AA9" s="0" t="n">
        <f aca="false">H9*x_c_F+I9*x_c_CC+J9*x_c_DC+K9*x_c_HCC+L9*x_c_PLT+M9*x_c_SVRn+N9*x_c_SVRcc+O9*x_c_LT+P9*x_c_LT1</f>
        <v>323571394.22649</v>
      </c>
      <c r="AB9" s="0" t="n">
        <f aca="false">C9*x_c_DAA</f>
        <v>117133930.32</v>
      </c>
      <c r="AC9" s="0" t="n">
        <f aca="false">C9*x_c_MON</f>
        <v>29670137.1868902</v>
      </c>
      <c r="AD9" s="0" t="n">
        <f aca="false">D9*(1-x_testy)</f>
        <v>50000000</v>
      </c>
      <c r="AE9" s="0" t="n">
        <f aca="false">E9*(1-x_testy)</f>
        <v>0</v>
      </c>
      <c r="AF9" s="0" t="n">
        <f aca="false">F9*x_NAV</f>
        <v>0</v>
      </c>
      <c r="AG9" s="0" t="n">
        <f aca="false">G9*x_FIX*(1-x_testy)</f>
        <v>1223620.54528</v>
      </c>
      <c r="AH9" s="0" t="n">
        <f aca="false">x_z_F*U9+(1-x_AGRI)*x_EMP*x_WLOSS*(x_PEN_K74*Q9+x_PEN_C22*R9)</f>
        <v>49534435.7732642</v>
      </c>
      <c r="AI9" s="0" t="n">
        <f aca="false">x_AGRI*x_EMP*x_WLOSS*(x_PEN_K74*Q9+x_PEN_C22*R9)</f>
        <v>3039741.03670804</v>
      </c>
      <c r="AJ9" s="0" t="n">
        <f aca="false">x_EMP*x_WAGE*(x_WLOSS*(Q9+R9)+S9)+U9*x_ABS_D*x_WAGE/365</f>
        <v>601140508.478521</v>
      </c>
      <c r="AK9" s="0" t="n">
        <f aca="false">AJ9*x_R_FUS</f>
        <v>190200856.882604</v>
      </c>
      <c r="AL9" s="0" t="n">
        <f aca="false">AJ9*x_R_NFZ</f>
        <v>46685173.0289504</v>
      </c>
      <c r="AM9" s="0" t="n">
        <f aca="false">AJ9*x_R_PIT</f>
        <v>39966330.070999</v>
      </c>
      <c r="AN9" s="0" t="n">
        <f aca="false">AJ9*x_R_FP</f>
        <v>15329082.9662023</v>
      </c>
      <c r="AO9" s="0" t="n">
        <f aca="false">AA9+AB9+AC9+AD9+AF9</f>
        <v>520375461.73338</v>
      </c>
      <c r="AP9" s="0" t="n">
        <f aca="false">AO9+AE9+AG9+AH9+AI9+AK9+AL9+AM9+AN9</f>
        <v>866354702.037388</v>
      </c>
      <c r="AQ9" s="0" t="n">
        <f aca="false">AO9+AE9+AG9+AJ9</f>
        <v>1122739590.75718</v>
      </c>
      <c r="AR9" s="0" t="n">
        <f aca="false">AB9+AC9+AD9+AF9</f>
        <v>196804067.50689</v>
      </c>
      <c r="AS9" s="0" t="n">
        <f aca="false">AR9+AE9+AG9</f>
        <v>198027688.05217</v>
      </c>
    </row>
    <row r="10" customFormat="false" ht="15" hidden="false" customHeight="false" outlineLevel="0" collapsed="false">
      <c r="A10" s="0" t="n">
        <v>2033</v>
      </c>
      <c r="B10" s="0" t="n">
        <v>7</v>
      </c>
      <c r="C10" s="0" t="n">
        <v>5140.07</v>
      </c>
      <c r="D10" s="0" t="n">
        <v>50000000</v>
      </c>
      <c r="E10" s="0" t="n">
        <v>0</v>
      </c>
      <c r="F10" s="0" t="n">
        <v>0</v>
      </c>
      <c r="G10" s="0" t="n">
        <v>1</v>
      </c>
      <c r="H10" s="0" t="n">
        <v>2358.728</v>
      </c>
      <c r="I10" s="0" t="n">
        <v>310.071</v>
      </c>
      <c r="J10" s="0" t="n">
        <v>1669.071</v>
      </c>
      <c r="K10" s="0" t="n">
        <v>2859.164</v>
      </c>
      <c r="L10" s="0" t="n">
        <v>1404.678</v>
      </c>
      <c r="M10" s="0" t="n">
        <v>36182.299</v>
      </c>
      <c r="N10" s="0" t="n">
        <v>3722.374</v>
      </c>
      <c r="O10" s="0" t="n">
        <v>93.893</v>
      </c>
      <c r="P10" s="0" t="n">
        <v>92.998</v>
      </c>
      <c r="Q10" s="0" t="n">
        <v>2309.698</v>
      </c>
      <c r="R10" s="0" t="n">
        <v>2110.961</v>
      </c>
      <c r="S10" s="0" t="n">
        <v>4945.645</v>
      </c>
      <c r="T10" s="0" t="n">
        <v>2668.798</v>
      </c>
      <c r="U10" s="0" t="n">
        <v>1756.792</v>
      </c>
      <c r="V10" s="0" t="n">
        <v>122322.276</v>
      </c>
      <c r="W10" s="0" t="n">
        <v>336.427</v>
      </c>
      <c r="X10" s="0" t="n">
        <v>888.774</v>
      </c>
      <c r="Y10" s="0" t="n">
        <v>93.893</v>
      </c>
      <c r="Z10" s="0" t="n">
        <v>1011.253</v>
      </c>
      <c r="AA10" s="0" t="n">
        <f aca="false">H10*x_c_F+I10*x_c_CC+J10*x_c_DC+K10*x_c_HCC+L10*x_c_PLT+M10*x_c_SVRn+N10*x_c_SVRcc+O10*x_c_LT+P10*x_c_LT1</f>
        <v>332215132.145274</v>
      </c>
      <c r="AB10" s="0" t="n">
        <f aca="false">C10*x_c_DAA</f>
        <v>116987993.2</v>
      </c>
      <c r="AC10" s="0" t="n">
        <f aca="false">C10*x_c_MON</f>
        <v>29633171.17406</v>
      </c>
      <c r="AD10" s="0" t="n">
        <f aca="false">D10*(1-x_testy)</f>
        <v>50000000</v>
      </c>
      <c r="AE10" s="0" t="n">
        <f aca="false">E10*(1-x_testy)</f>
        <v>0</v>
      </c>
      <c r="AF10" s="0" t="n">
        <f aca="false">F10*x_NAV</f>
        <v>0</v>
      </c>
      <c r="AG10" s="0" t="n">
        <f aca="false">G10*x_FIX*(1-x_testy)</f>
        <v>1223620.54528</v>
      </c>
      <c r="AH10" s="0" t="n">
        <f aca="false">x_z_F*U10+(1-x_AGRI)*x_EMP*x_WLOSS*(x_PEN_K74*Q10+x_PEN_C22*R10)</f>
        <v>50932755.8636516</v>
      </c>
      <c r="AI10" s="0" t="n">
        <f aca="false">x_AGRI*x_EMP*x_WLOSS*(x_PEN_K74*Q10+x_PEN_C22*R10)</f>
        <v>3127824.35546759</v>
      </c>
      <c r="AJ10" s="0" t="n">
        <f aca="false">x_EMP*x_WAGE*(x_WLOSS*(Q10+R10)+S10)+U10*x_ABS_D*x_WAGE/365</f>
        <v>668577019.137833</v>
      </c>
      <c r="AK10" s="0" t="n">
        <f aca="false">AJ10*x_R_FUS</f>
        <v>211537768.85521</v>
      </c>
      <c r="AL10" s="0" t="n">
        <f aca="false">AJ10*x_R_NFZ</f>
        <v>51922359.8832632</v>
      </c>
      <c r="AM10" s="0" t="n">
        <f aca="false">AJ10*x_R_PIT</f>
        <v>44449790.7691775</v>
      </c>
      <c r="AN10" s="0" t="n">
        <f aca="false">AJ10*x_R_FP</f>
        <v>17048713.9880147</v>
      </c>
      <c r="AO10" s="0" t="n">
        <f aca="false">AA10+AB10+AC10+AD10+AF10</f>
        <v>528836296.519334</v>
      </c>
      <c r="AP10" s="0" t="n">
        <f aca="false">AO10+AE10+AG10+AH10+AI10+AK10+AL10+AM10+AN10</f>
        <v>909079130.779399</v>
      </c>
      <c r="AQ10" s="0" t="n">
        <f aca="false">AO10+AE10+AG10+AJ10</f>
        <v>1198636936.20245</v>
      </c>
      <c r="AR10" s="0" t="n">
        <f aca="false">AB10+AC10+AD10+AF10</f>
        <v>196621164.37406</v>
      </c>
      <c r="AS10" s="0" t="n">
        <f aca="false">AR10+AE10+AG10</f>
        <v>197844784.91934</v>
      </c>
    </row>
    <row r="11" customFormat="false" ht="15" hidden="false" customHeight="false" outlineLevel="0" collapsed="false">
      <c r="A11" s="0" t="n">
        <v>2034</v>
      </c>
      <c r="B11" s="0" t="n">
        <v>8</v>
      </c>
      <c r="C11" s="0" t="n">
        <v>5133.875</v>
      </c>
      <c r="D11" s="0" t="n">
        <v>50000000</v>
      </c>
      <c r="E11" s="0" t="n">
        <v>0</v>
      </c>
      <c r="F11" s="0" t="n">
        <v>0</v>
      </c>
      <c r="G11" s="0" t="n">
        <v>1</v>
      </c>
      <c r="H11" s="0" t="n">
        <v>2344.772</v>
      </c>
      <c r="I11" s="0" t="n">
        <v>318.872</v>
      </c>
      <c r="J11" s="0" t="n">
        <v>1699.512</v>
      </c>
      <c r="K11" s="0" t="n">
        <v>2917.301</v>
      </c>
      <c r="L11" s="0" t="n">
        <v>1392.434</v>
      </c>
      <c r="M11" s="0" t="n">
        <v>40034.421</v>
      </c>
      <c r="N11" s="0" t="n">
        <v>4188.506</v>
      </c>
      <c r="O11" s="0" t="n">
        <v>95.661</v>
      </c>
      <c r="P11" s="0" t="n">
        <v>94.777</v>
      </c>
      <c r="Q11" s="0" t="n">
        <v>2356.062</v>
      </c>
      <c r="R11" s="0" t="n">
        <v>2185.986</v>
      </c>
      <c r="S11" s="0" t="n">
        <v>5676.421</v>
      </c>
      <c r="T11" s="0" t="n">
        <v>2663.643</v>
      </c>
      <c r="U11" s="0" t="n">
        <v>1787.272</v>
      </c>
      <c r="V11" s="0" t="n">
        <v>123681.74</v>
      </c>
      <c r="W11" s="0" t="n">
        <v>342.137</v>
      </c>
      <c r="X11" s="0" t="n">
        <v>899.994</v>
      </c>
      <c r="Y11" s="0" t="n">
        <v>95.661</v>
      </c>
      <c r="Z11" s="0" t="n">
        <v>1030.138</v>
      </c>
      <c r="AA11" s="0" t="n">
        <f aca="false">H11*x_c_F+I11*x_c_CC+J11*x_c_DC+K11*x_c_HCC+L11*x_c_PLT+M11*x_c_SVRn+N11*x_c_SVRcc+O11*x_c_LT+P11*x_c_LT1</f>
        <v>340364586.235149</v>
      </c>
      <c r="AB11" s="0" t="n">
        <f aca="false">C11*x_c_DAA</f>
        <v>116846995</v>
      </c>
      <c r="AC11" s="0" t="n">
        <f aca="false">C11*x_c_MON</f>
        <v>29597456.1944151</v>
      </c>
      <c r="AD11" s="0" t="n">
        <f aca="false">D11*(1-x_testy)</f>
        <v>50000000</v>
      </c>
      <c r="AE11" s="0" t="n">
        <f aca="false">E11*(1-x_testy)</f>
        <v>0</v>
      </c>
      <c r="AF11" s="0" t="n">
        <f aca="false">F11*x_NAV</f>
        <v>0</v>
      </c>
      <c r="AG11" s="0" t="n">
        <f aca="false">G11*x_FIX*(1-x_testy)</f>
        <v>1223620.54528</v>
      </c>
      <c r="AH11" s="0" t="n">
        <f aca="false">x_z_F*U11+(1-x_AGRI)*x_EMP*x_WLOSS*(x_PEN_K74*Q11+x_PEN_C22*R11)</f>
        <v>52318224.1667375</v>
      </c>
      <c r="AI11" s="0" t="n">
        <f aca="false">x_AGRI*x_EMP*x_WLOSS*(x_PEN_K74*Q11+x_PEN_C22*R11)</f>
        <v>3215259.17925059</v>
      </c>
      <c r="AJ11" s="0" t="n">
        <f aca="false">x_EMP*x_WAGE*(x_WLOSS*(Q11+R11)+S11)+U11*x_ABS_D*x_WAGE/365</f>
        <v>737611159.631425</v>
      </c>
      <c r="AK11" s="0" t="n">
        <f aca="false">AJ11*x_R_FUS</f>
        <v>233380170.907383</v>
      </c>
      <c r="AL11" s="0" t="n">
        <f aca="false">AJ11*x_R_NFZ</f>
        <v>57283620.2681361</v>
      </c>
      <c r="AM11" s="0" t="n">
        <f aca="false">AJ11*x_R_PIT</f>
        <v>49039468.5669984</v>
      </c>
      <c r="AN11" s="0" t="n">
        <f aca="false">AJ11*x_R_FP</f>
        <v>18809084.5706013</v>
      </c>
      <c r="AO11" s="0" t="n">
        <f aca="false">AA11+AB11+AC11+AD11+AF11</f>
        <v>536809037.429565</v>
      </c>
      <c r="AP11" s="0" t="n">
        <f aca="false">AO11+AE11+AG11+AH11+AI11+AK11+AL11+AM11+AN11</f>
        <v>952078485.633951</v>
      </c>
      <c r="AQ11" s="0" t="n">
        <f aca="false">AO11+AE11+AG11+AJ11</f>
        <v>1275643817.60627</v>
      </c>
      <c r="AR11" s="0" t="n">
        <f aca="false">AB11+AC11+AD11+AF11</f>
        <v>196444451.194415</v>
      </c>
      <c r="AS11" s="0" t="n">
        <f aca="false">AR11+AE11+AG11</f>
        <v>197668071.739695</v>
      </c>
    </row>
    <row r="12" customFormat="false" ht="15" hidden="false" customHeight="false" outlineLevel="0" collapsed="false">
      <c r="A12" s="0" t="n">
        <v>2035</v>
      </c>
      <c r="B12" s="0" t="n">
        <v>9</v>
      </c>
      <c r="C12" s="0" t="n">
        <v>5127.878</v>
      </c>
      <c r="D12" s="0" t="n">
        <v>50000000</v>
      </c>
      <c r="E12" s="0" t="n">
        <v>0</v>
      </c>
      <c r="F12" s="0" t="n">
        <v>0</v>
      </c>
      <c r="G12" s="0" t="n">
        <v>1</v>
      </c>
      <c r="H12" s="0" t="n">
        <v>2269.251</v>
      </c>
      <c r="I12" s="0" t="n">
        <v>317.016</v>
      </c>
      <c r="J12" s="0" t="n">
        <v>1727.884</v>
      </c>
      <c r="K12" s="0" t="n">
        <v>2965.639</v>
      </c>
      <c r="L12" s="0" t="n">
        <v>1381.007</v>
      </c>
      <c r="M12" s="0" t="n">
        <v>43671.709</v>
      </c>
      <c r="N12" s="0" t="n">
        <v>4631.029</v>
      </c>
      <c r="O12" s="0" t="n">
        <v>97.294</v>
      </c>
      <c r="P12" s="0" t="n">
        <v>96.478</v>
      </c>
      <c r="Q12" s="0" t="n">
        <v>2403.341</v>
      </c>
      <c r="R12" s="0" t="n">
        <v>2255.853</v>
      </c>
      <c r="S12" s="0" t="n">
        <v>6424.6</v>
      </c>
      <c r="T12" s="0" t="n">
        <v>2586.267</v>
      </c>
      <c r="U12" s="0" t="n">
        <v>1766.458</v>
      </c>
      <c r="V12" s="0" t="n">
        <v>125030.186</v>
      </c>
      <c r="W12" s="0" t="n">
        <v>345.95</v>
      </c>
      <c r="X12" s="0" t="n">
        <v>906.654</v>
      </c>
      <c r="Y12" s="0" t="n">
        <v>97.294</v>
      </c>
      <c r="Z12" s="0" t="n">
        <v>1046.534</v>
      </c>
      <c r="AA12" s="0" t="n">
        <f aca="false">H12*x_c_F+I12*x_c_CC+J12*x_c_DC+K12*x_c_HCC+L12*x_c_PLT+M12*x_c_SVRn+N12*x_c_SVRcc+O12*x_c_LT+P12*x_c_LT1</f>
        <v>347400277.451671</v>
      </c>
      <c r="AB12" s="0" t="n">
        <f aca="false">C12*x_c_DAA</f>
        <v>116710503.28</v>
      </c>
      <c r="AC12" s="0" t="n">
        <f aca="false">C12*x_c_MON</f>
        <v>29562882.7104877</v>
      </c>
      <c r="AD12" s="0" t="n">
        <f aca="false">D12*(1-x_testy)</f>
        <v>50000000</v>
      </c>
      <c r="AE12" s="0" t="n">
        <f aca="false">E12*(1-x_testy)</f>
        <v>0</v>
      </c>
      <c r="AF12" s="0" t="n">
        <f aca="false">F12*x_NAV</f>
        <v>0</v>
      </c>
      <c r="AG12" s="0" t="n">
        <f aca="false">G12*x_FIX*(1-x_testy)</f>
        <v>1223620.54528</v>
      </c>
      <c r="AH12" s="0" t="n">
        <f aca="false">x_z_F*U12+(1-x_AGRI)*x_EMP*x_WLOSS*(x_PEN_K74*Q12+x_PEN_C22*R12)</f>
        <v>53548522.4374515</v>
      </c>
      <c r="AI12" s="0" t="n">
        <f aca="false">x_AGRI*x_EMP*x_WLOSS*(x_PEN_K74*Q12+x_PEN_C22*R12)</f>
        <v>3299407.97933654</v>
      </c>
      <c r="AJ12" s="0" t="n">
        <f aca="false">x_EMP*x_WAGE*(x_WLOSS*(Q12+R12)+S12)+U12*x_ABS_D*x_WAGE/365</f>
        <v>807746384.597605</v>
      </c>
      <c r="AK12" s="0" t="n">
        <f aca="false">AJ12*x_R_FUS</f>
        <v>255570956.086682</v>
      </c>
      <c r="AL12" s="0" t="n">
        <f aca="false">AJ12*x_R_NFZ</f>
        <v>62730391.9742346</v>
      </c>
      <c r="AM12" s="0" t="n">
        <f aca="false">AJ12*x_R_PIT</f>
        <v>53702351.0563129</v>
      </c>
      <c r="AN12" s="0" t="n">
        <f aca="false">AJ12*x_R_FP</f>
        <v>20597532.8072389</v>
      </c>
      <c r="AO12" s="0" t="n">
        <f aca="false">AA12+AB12+AC12+AD12+AF12</f>
        <v>543673663.442159</v>
      </c>
      <c r="AP12" s="0" t="n">
        <f aca="false">AO12+AE12+AG12+AH12+AI12+AK12+AL12+AM12+AN12</f>
        <v>994346446.328695</v>
      </c>
      <c r="AQ12" s="0" t="n">
        <f aca="false">AO12+AE12+AG12+AJ12</f>
        <v>1352643668.58504</v>
      </c>
      <c r="AR12" s="0" t="n">
        <f aca="false">AB12+AC12+AD12+AF12</f>
        <v>196273385.990488</v>
      </c>
      <c r="AS12" s="0" t="n">
        <f aca="false">AR12+AE12+AG12</f>
        <v>197497006.535768</v>
      </c>
    </row>
    <row r="13" customFormat="false" ht="15" hidden="false" customHeight="false" outlineLevel="0" collapsed="false">
      <c r="A13" s="0" t="n">
        <v>2036</v>
      </c>
      <c r="B13" s="0" t="n">
        <v>10</v>
      </c>
      <c r="C13" s="0" t="n">
        <v>4832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2197.122</v>
      </c>
      <c r="I13" s="0" t="n">
        <v>313.48</v>
      </c>
      <c r="J13" s="0" t="n">
        <v>1752.808</v>
      </c>
      <c r="K13" s="0" t="n">
        <v>3002.99</v>
      </c>
      <c r="L13" s="0" t="n">
        <v>1370.197</v>
      </c>
      <c r="M13" s="0" t="n">
        <v>47099.1</v>
      </c>
      <c r="N13" s="0" t="n">
        <v>5046.437</v>
      </c>
      <c r="O13" s="0" t="n">
        <v>98.692</v>
      </c>
      <c r="P13" s="0" t="n">
        <v>97.993</v>
      </c>
      <c r="Q13" s="0" t="n">
        <v>2450.32</v>
      </c>
      <c r="R13" s="0" t="n">
        <v>2319.538</v>
      </c>
      <c r="S13" s="0" t="n">
        <v>7187.543</v>
      </c>
      <c r="T13" s="0" t="n">
        <v>2510.602</v>
      </c>
      <c r="U13" s="0" t="n">
        <v>1744.505</v>
      </c>
      <c r="V13" s="0" t="n">
        <v>126361.259</v>
      </c>
      <c r="W13" s="0" t="n">
        <v>348.442</v>
      </c>
      <c r="X13" s="0" t="n">
        <v>910.205</v>
      </c>
      <c r="Y13" s="0" t="n">
        <v>98.692</v>
      </c>
      <c r="Z13" s="0" t="n">
        <v>1059.573</v>
      </c>
      <c r="AA13" s="0" t="n">
        <f aca="false">H13*x_c_F+I13*x_c_CC+J13*x_c_DC+K13*x_c_HCC+L13*x_c_PLT+M13*x_c_SVRn+N13*x_c_SVRcc+O13*x_c_LT+P13*x_c_LT1</f>
        <v>353411147.37535</v>
      </c>
      <c r="AB13" s="0" t="n">
        <f aca="false">C13*x_c_DAA</f>
        <v>109976320</v>
      </c>
      <c r="AC13" s="0" t="n">
        <f aca="false">C13*x_c_MON</f>
        <v>27857107.6100244</v>
      </c>
      <c r="AD13" s="0" t="n">
        <f aca="false">D13*(1-x_testy)</f>
        <v>0</v>
      </c>
      <c r="AE13" s="0" t="n">
        <f aca="false">E13*(1-x_testy)</f>
        <v>0</v>
      </c>
      <c r="AF13" s="0" t="n">
        <f aca="false">F13*x_NAV</f>
        <v>0</v>
      </c>
      <c r="AG13" s="0" t="n">
        <f aca="false">G13*x_FIX*(1-x_testy)</f>
        <v>0</v>
      </c>
      <c r="AH13" s="0" t="n">
        <f aca="false">x_z_F*U13+(1-x_AGRI)*x_EMP*x_WLOSS*(x_PEN_K74*Q13+x_PEN_C22*R13)</f>
        <v>54702859.2401503</v>
      </c>
      <c r="AI13" s="0" t="n">
        <f aca="false">x_AGRI*x_EMP*x_WLOSS*(x_PEN_K74*Q13+x_PEN_C22*R13)</f>
        <v>3378690.65255291</v>
      </c>
      <c r="AJ13" s="0" t="n">
        <f aca="false">x_EMP*x_WAGE*(x_WLOSS*(Q13+R13)+S13)+U13*x_ABS_D*x_WAGE/365</f>
        <v>878782574.590091</v>
      </c>
      <c r="AK13" s="0" t="n">
        <f aca="false">AJ13*x_R_FUS</f>
        <v>278046806.600305</v>
      </c>
      <c r="AL13" s="0" t="n">
        <f aca="false">AJ13*x_R_NFZ</f>
        <v>68247133.525241</v>
      </c>
      <c r="AM13" s="0" t="n">
        <f aca="false">AJ13*x_R_PIT</f>
        <v>58425133.4610647</v>
      </c>
      <c r="AN13" s="0" t="n">
        <f aca="false">AJ13*x_R_FP</f>
        <v>22408955.6520473</v>
      </c>
      <c r="AO13" s="0" t="n">
        <f aca="false">AA13+AB13+AC13+AD13+AF13</f>
        <v>491244574.985375</v>
      </c>
      <c r="AP13" s="0" t="n">
        <f aca="false">AO13+AE13+AG13+AH13+AI13+AK13+AL13+AM13+AN13</f>
        <v>976454154.116736</v>
      </c>
      <c r="AQ13" s="0" t="n">
        <f aca="false">AO13+AE13+AG13+AJ13</f>
        <v>1370027149.57547</v>
      </c>
      <c r="AR13" s="0" t="n">
        <f aca="false">AB13+AC13+AD13+AF13</f>
        <v>137833427.610024</v>
      </c>
      <c r="AS13" s="0" t="n">
        <f aca="false">AR13+AE13+AG13</f>
        <v>137833427.610024</v>
      </c>
    </row>
    <row r="14" customFormat="false" ht="15" hidden="false" customHeight="false" outlineLevel="0" collapsed="false">
      <c r="A14" s="0" t="n">
        <v>2037</v>
      </c>
      <c r="B14" s="0" t="n">
        <v>11</v>
      </c>
      <c r="C14" s="0" t="n">
        <v>4832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2191.641</v>
      </c>
      <c r="I14" s="0" t="n">
        <v>317.272</v>
      </c>
      <c r="J14" s="0" t="n">
        <v>1773.162</v>
      </c>
      <c r="K14" s="0" t="n">
        <v>3028.659</v>
      </c>
      <c r="L14" s="0" t="n">
        <v>1359.685</v>
      </c>
      <c r="M14" s="0" t="n">
        <v>50443.854</v>
      </c>
      <c r="N14" s="0" t="n">
        <v>5448.712</v>
      </c>
      <c r="O14" s="0" t="n">
        <v>99.815</v>
      </c>
      <c r="P14" s="0" t="n">
        <v>99.254</v>
      </c>
      <c r="Q14" s="0" t="n">
        <v>2495.901</v>
      </c>
      <c r="R14" s="0" t="n">
        <v>2376.368</v>
      </c>
      <c r="S14" s="0" t="n">
        <v>7961.997</v>
      </c>
      <c r="T14" s="0" t="n">
        <v>2508.913</v>
      </c>
      <c r="U14" s="0" t="n">
        <v>1771.303</v>
      </c>
      <c r="V14" s="0" t="n">
        <v>127675.309</v>
      </c>
      <c r="W14" s="0" t="n">
        <v>349.101</v>
      </c>
      <c r="X14" s="0" t="n">
        <v>909.555</v>
      </c>
      <c r="Y14" s="0" t="n">
        <v>99.815</v>
      </c>
      <c r="Z14" s="0" t="n">
        <v>1069.102</v>
      </c>
      <c r="AA14" s="0" t="n">
        <f aca="false">H14*x_c_F+I14*x_c_CC+J14*x_c_DC+K14*x_c_HCC+L14*x_c_PLT+M14*x_c_SVRn+N14*x_c_SVRcc+O14*x_c_LT+P14*x_c_LT1</f>
        <v>358658417.870178</v>
      </c>
      <c r="AB14" s="0" t="n">
        <f aca="false">C14*x_c_DAA</f>
        <v>109976320</v>
      </c>
      <c r="AC14" s="0" t="n">
        <f aca="false">C14*x_c_MON</f>
        <v>27857107.6100244</v>
      </c>
      <c r="AD14" s="0" t="n">
        <f aca="false">D14*(1-x_testy)</f>
        <v>0</v>
      </c>
      <c r="AE14" s="0" t="n">
        <f aca="false">E14*(1-x_testy)</f>
        <v>0</v>
      </c>
      <c r="AF14" s="0" t="n">
        <f aca="false">F14*x_NAV</f>
        <v>0</v>
      </c>
      <c r="AG14" s="0" t="n">
        <f aca="false">G14*x_FIX*(1-x_testy)</f>
        <v>0</v>
      </c>
      <c r="AH14" s="0" t="n">
        <f aca="false">x_z_F*U14+(1-x_AGRI)*x_EMP*x_WLOSS*(x_PEN_K74*Q14+x_PEN_C22*R14)</f>
        <v>55865082.9158927</v>
      </c>
      <c r="AI14" s="0" t="n">
        <f aca="false">x_AGRI*x_EMP*x_WLOSS*(x_PEN_K74*Q14+x_PEN_C22*R14)</f>
        <v>3451869.78730624</v>
      </c>
      <c r="AJ14" s="0" t="n">
        <f aca="false">x_EMP*x_WAGE*(x_WLOSS*(Q14+R14)+S14)+U14*x_ABS_D*x_WAGE/365</f>
        <v>950492074.896146</v>
      </c>
      <c r="AK14" s="0" t="n">
        <f aca="false">AJ14*x_R_FUS</f>
        <v>300735692.497141</v>
      </c>
      <c r="AL14" s="0" t="n">
        <f aca="false">AJ14*x_R_NFZ</f>
        <v>73816165.0285096</v>
      </c>
      <c r="AM14" s="0" t="n">
        <f aca="false">AJ14*x_R_PIT</f>
        <v>63192680.3457555</v>
      </c>
      <c r="AN14" s="0" t="n">
        <f aca="false">AJ14*x_R_FP</f>
        <v>24237547.9098517</v>
      </c>
      <c r="AO14" s="0" t="n">
        <f aca="false">AA14+AB14+AC14+AD14+AF14</f>
        <v>496491845.480203</v>
      </c>
      <c r="AP14" s="0" t="n">
        <f aca="false">AO14+AE14+AG14+AH14+AI14+AK14+AL14+AM14+AN14</f>
        <v>1017790883.96466</v>
      </c>
      <c r="AQ14" s="0" t="n">
        <f aca="false">AO14+AE14+AG14+AJ14</f>
        <v>1446983920.37635</v>
      </c>
      <c r="AR14" s="0" t="n">
        <f aca="false">AB14+AC14+AD14+AF14</f>
        <v>137833427.610024</v>
      </c>
      <c r="AS14" s="0" t="n">
        <f aca="false">AR14+AE14+AG14</f>
        <v>137833427.610024</v>
      </c>
    </row>
    <row r="15" customFormat="false" ht="15" hidden="false" customHeight="false" outlineLevel="0" collapsed="false">
      <c r="A15" s="0" t="n">
        <v>2038</v>
      </c>
      <c r="B15" s="0" t="n">
        <v>12</v>
      </c>
      <c r="C15" s="0" t="n">
        <v>4832</v>
      </c>
      <c r="D15" s="0" t="n">
        <v>0</v>
      </c>
      <c r="E15" s="0" t="n">
        <v>0</v>
      </c>
      <c r="F15" s="0" t="n">
        <v>0</v>
      </c>
      <c r="G15" s="0" t="n">
        <v>0</v>
      </c>
      <c r="H15" s="0" t="n">
        <v>2187.779</v>
      </c>
      <c r="I15" s="0" t="n">
        <v>319.44</v>
      </c>
      <c r="J15" s="0" t="n">
        <v>1787.82</v>
      </c>
      <c r="K15" s="0" t="n">
        <v>3041.756</v>
      </c>
      <c r="L15" s="0" t="n">
        <v>1349.112</v>
      </c>
      <c r="M15" s="0" t="n">
        <v>53705.631</v>
      </c>
      <c r="N15" s="0" t="n">
        <v>5833.889</v>
      </c>
      <c r="O15" s="0" t="n">
        <v>100.599</v>
      </c>
      <c r="P15" s="0" t="n">
        <v>100.207</v>
      </c>
      <c r="Q15" s="0" t="n">
        <v>1648.824</v>
      </c>
      <c r="R15" s="0" t="n">
        <v>1589.11</v>
      </c>
      <c r="S15" s="0" t="n">
        <v>5550.946</v>
      </c>
      <c r="T15" s="0" t="n">
        <v>2507.219</v>
      </c>
      <c r="U15" s="0" t="n">
        <v>1512.029</v>
      </c>
      <c r="V15" s="0" t="n">
        <v>128966.829</v>
      </c>
      <c r="W15" s="0" t="n">
        <v>348.011</v>
      </c>
      <c r="X15" s="0" t="n">
        <v>904.948</v>
      </c>
      <c r="Y15" s="0" t="n">
        <v>100.599</v>
      </c>
      <c r="Z15" s="0" t="n">
        <v>1074.63</v>
      </c>
      <c r="AA15" s="0" t="n">
        <f aca="false">H15*x_c_F+I15*x_c_CC+J15*x_c_DC+K15*x_c_HCC+L15*x_c_PLT+M15*x_c_SVRn+N15*x_c_SVRcc+O15*x_c_LT+P15*x_c_LT1</f>
        <v>362777819.658668</v>
      </c>
      <c r="AB15" s="0" t="n">
        <f aca="false">C15*x_c_DAA</f>
        <v>109976320</v>
      </c>
      <c r="AC15" s="0" t="n">
        <f aca="false">C15*x_c_MON</f>
        <v>27857107.6100244</v>
      </c>
      <c r="AD15" s="0" t="n">
        <f aca="false">D15*(1-x_testy)</f>
        <v>0</v>
      </c>
      <c r="AE15" s="0" t="n">
        <f aca="false">E15*(1-x_testy)</f>
        <v>0</v>
      </c>
      <c r="AF15" s="0" t="n">
        <f aca="false">F15*x_NAV</f>
        <v>0</v>
      </c>
      <c r="AG15" s="0" t="n">
        <f aca="false">G15*x_FIX*(1-x_testy)</f>
        <v>0</v>
      </c>
      <c r="AH15" s="0" t="n">
        <f aca="false">x_z_F*U15+(1-x_AGRI)*x_EMP*x_WLOSS*(x_PEN_K74*Q15+x_PEN_C22*R15)</f>
        <v>37827933.2470934</v>
      </c>
      <c r="AI15" s="0" t="n">
        <f aca="false">x_AGRI*x_EMP*x_WLOSS*(x_PEN_K74*Q15+x_PEN_C22*R15)</f>
        <v>2294881.93515658</v>
      </c>
      <c r="AJ15" s="0" t="n">
        <f aca="false">x_EMP*x_WAGE*(x_WLOSS*(Q15+R15)+S15)+U15*x_ABS_D*x_WAGE/365</f>
        <v>654787721.004093</v>
      </c>
      <c r="AK15" s="0" t="n">
        <f aca="false">AJ15*x_R_FUS</f>
        <v>207174834.925695</v>
      </c>
      <c r="AL15" s="0" t="n">
        <f aca="false">AJ15*x_R_NFZ</f>
        <v>50851469.2008988</v>
      </c>
      <c r="AM15" s="0" t="n">
        <f aca="false">AJ15*x_R_PIT</f>
        <v>43533020.6748524</v>
      </c>
      <c r="AN15" s="0" t="n">
        <f aca="false">AJ15*x_R_FP</f>
        <v>16697086.8856044</v>
      </c>
      <c r="AO15" s="0" t="n">
        <f aca="false">AA15+AB15+AC15+AD15+AF15</f>
        <v>500611247.268692</v>
      </c>
      <c r="AP15" s="0" t="n">
        <f aca="false">AO15+AE15+AG15+AH15+AI15+AK15+AL15+AM15+AN15</f>
        <v>858990474.137993</v>
      </c>
      <c r="AQ15" s="0" t="n">
        <f aca="false">AO15+AE15+AG15+AJ15</f>
        <v>1155398968.27279</v>
      </c>
      <c r="AR15" s="0" t="n">
        <f aca="false">AB15+AC15+AD15+AF15</f>
        <v>137833427.610024</v>
      </c>
      <c r="AS15" s="0" t="n">
        <f aca="false">AR15+AE15+AG15</f>
        <v>137833427.610024</v>
      </c>
    </row>
    <row r="16" customFormat="false" ht="15" hidden="false" customHeight="false" outlineLevel="0" collapsed="false">
      <c r="A16" s="0" t="n">
        <v>2039</v>
      </c>
      <c r="B16" s="0" t="n">
        <v>13</v>
      </c>
      <c r="C16" s="0" t="n">
        <v>4832</v>
      </c>
      <c r="D16" s="0" t="n">
        <v>0</v>
      </c>
      <c r="E16" s="0" t="n">
        <v>0</v>
      </c>
      <c r="F16" s="0" t="n">
        <v>0</v>
      </c>
      <c r="G16" s="0" t="n">
        <v>0</v>
      </c>
      <c r="H16" s="0" t="n">
        <v>2185.482</v>
      </c>
      <c r="I16" s="0" t="n">
        <v>320.041</v>
      </c>
      <c r="J16" s="0" t="n">
        <v>1795.965</v>
      </c>
      <c r="K16" s="0" t="n">
        <v>3041.944</v>
      </c>
      <c r="L16" s="0" t="n">
        <v>1338.075</v>
      </c>
      <c r="M16" s="0" t="n">
        <v>56883.627</v>
      </c>
      <c r="N16" s="0" t="n">
        <v>6198.116</v>
      </c>
      <c r="O16" s="0" t="n">
        <v>101</v>
      </c>
      <c r="P16" s="0" t="n">
        <v>100.8</v>
      </c>
      <c r="Q16" s="0" t="n">
        <v>791.304</v>
      </c>
      <c r="R16" s="0" t="n">
        <v>790.988</v>
      </c>
      <c r="S16" s="0" t="n">
        <v>2885.799</v>
      </c>
      <c r="T16" s="0" t="n">
        <v>2505.524</v>
      </c>
      <c r="U16" s="0" t="n">
        <v>1267.485</v>
      </c>
      <c r="V16" s="0" t="n">
        <v>130230.669</v>
      </c>
      <c r="W16" s="0" t="n">
        <v>345.291</v>
      </c>
      <c r="X16" s="0" t="n">
        <v>896.699</v>
      </c>
      <c r="Y16" s="0" t="n">
        <v>101</v>
      </c>
      <c r="Z16" s="0" t="n">
        <v>1075.889</v>
      </c>
      <c r="AA16" s="0" t="n">
        <f aca="false">H16*x_c_F+I16*x_c_CC+J16*x_c_DC+K16*x_c_HCC+L16*x_c_PLT+M16*x_c_SVRn+N16*x_c_SVRcc+O16*x_c_LT+P16*x_c_LT1</f>
        <v>365692145.936624</v>
      </c>
      <c r="AB16" s="0" t="n">
        <f aca="false">C16*x_c_DAA</f>
        <v>109976320</v>
      </c>
      <c r="AC16" s="0" t="n">
        <f aca="false">C16*x_c_MON</f>
        <v>27857107.6100244</v>
      </c>
      <c r="AD16" s="0" t="n">
        <f aca="false">D16*(1-x_testy)</f>
        <v>0</v>
      </c>
      <c r="AE16" s="0" t="n">
        <f aca="false">E16*(1-x_testy)</f>
        <v>0</v>
      </c>
      <c r="AF16" s="0" t="n">
        <f aca="false">F16*x_NAV</f>
        <v>0</v>
      </c>
      <c r="AG16" s="0" t="n">
        <f aca="false">G16*x_FIX*(1-x_testy)</f>
        <v>0</v>
      </c>
      <c r="AH16" s="0" t="n">
        <f aca="false">x_z_F*U16+(1-x_AGRI)*x_EMP*x_WLOSS*(x_PEN_K74*Q16+x_PEN_C22*R16)</f>
        <v>19592040.7221277</v>
      </c>
      <c r="AI16" s="0" t="n">
        <f aca="false">x_AGRI*x_EMP*x_WLOSS*(x_PEN_K74*Q16+x_PEN_C22*R16)</f>
        <v>1122755.88006809</v>
      </c>
      <c r="AJ16" s="0" t="n">
        <f aca="false">x_EMP*x_WAGE*(x_WLOSS*(Q16+R16)+S16)+U16*x_ABS_D*x_WAGE/365</f>
        <v>336297089.074557</v>
      </c>
      <c r="AK16" s="0" t="n">
        <f aca="false">AJ16*x_R_FUS</f>
        <v>106404398.98319</v>
      </c>
      <c r="AL16" s="0" t="n">
        <f aca="false">AJ16*x_R_NFZ</f>
        <v>26117168.2346192</v>
      </c>
      <c r="AM16" s="0" t="n">
        <f aca="false">AJ16*x_R_PIT</f>
        <v>22358434.1336234</v>
      </c>
      <c r="AN16" s="0" t="n">
        <f aca="false">AJ16*x_R_FP</f>
        <v>8575575.77140121</v>
      </c>
      <c r="AO16" s="0" t="n">
        <f aca="false">AA16+AB16+AC16+AD16+AF16</f>
        <v>503525573.546648</v>
      </c>
      <c r="AP16" s="0" t="n">
        <f aca="false">AO16+AE16+AG16+AH16+AI16+AK16+AL16+AM16+AN16</f>
        <v>687695947.271678</v>
      </c>
      <c r="AQ16" s="0" t="n">
        <f aca="false">AO16+AE16+AG16+AJ16</f>
        <v>839822662.621206</v>
      </c>
      <c r="AR16" s="0" t="n">
        <f aca="false">AB16+AC16+AD16+AF16</f>
        <v>137833427.610024</v>
      </c>
      <c r="AS16" s="0" t="n">
        <f aca="false">AR16+AE16+AG16</f>
        <v>137833427.610024</v>
      </c>
    </row>
    <row r="17" customFormat="false" ht="15" hidden="false" customHeight="false" outlineLevel="0" collapsed="false">
      <c r="A17" s="0" t="n">
        <v>2040</v>
      </c>
      <c r="B17" s="0" t="n">
        <v>14</v>
      </c>
      <c r="C17" s="0" t="n">
        <v>4832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2184.664</v>
      </c>
      <c r="I17" s="0" t="n">
        <v>319.167</v>
      </c>
      <c r="J17" s="0" t="n">
        <v>1797.137</v>
      </c>
      <c r="K17" s="0" t="n">
        <v>3029.447</v>
      </c>
      <c r="L17" s="0" t="n">
        <v>1326.186</v>
      </c>
      <c r="M17" s="0" t="n">
        <v>59977.991</v>
      </c>
      <c r="N17" s="0" t="n">
        <v>6537.953</v>
      </c>
      <c r="O17" s="0" t="n">
        <v>100.998</v>
      </c>
      <c r="P17" s="0" t="n">
        <v>100.999</v>
      </c>
      <c r="Q17" s="0" t="n">
        <v>815.498</v>
      </c>
      <c r="R17" s="0" t="n">
        <v>822.901</v>
      </c>
      <c r="S17" s="0" t="n">
        <v>3161.888</v>
      </c>
      <c r="T17" s="0" t="n">
        <v>2503.831</v>
      </c>
      <c r="U17" s="0" t="n">
        <v>1322.33</v>
      </c>
      <c r="V17" s="0" t="n">
        <v>131464.477</v>
      </c>
      <c r="W17" s="0" t="n">
        <v>341.11</v>
      </c>
      <c r="X17" s="0" t="n">
        <v>885.215</v>
      </c>
      <c r="Y17" s="0" t="n">
        <v>100.998</v>
      </c>
      <c r="Z17" s="0" t="n">
        <v>1072.836</v>
      </c>
      <c r="AA17" s="0" t="n">
        <f aca="false">H17*x_c_F+I17*x_c_CC+J17*x_c_DC+K17*x_c_HCC+L17*x_c_PLT+M17*x_c_SVRn+N17*x_c_SVRcc+O17*x_c_LT+P17*x_c_LT1</f>
        <v>367377281.543382</v>
      </c>
      <c r="AB17" s="0" t="n">
        <f aca="false">C17*x_c_DAA</f>
        <v>109976320</v>
      </c>
      <c r="AC17" s="0" t="n">
        <f aca="false">C17*x_c_MON</f>
        <v>27857107.6100244</v>
      </c>
      <c r="AD17" s="0" t="n">
        <f aca="false">D17*(1-x_testy)</f>
        <v>0</v>
      </c>
      <c r="AE17" s="0" t="n">
        <f aca="false">E17*(1-x_testy)</f>
        <v>0</v>
      </c>
      <c r="AF17" s="0" t="n">
        <f aca="false">F17*x_NAV</f>
        <v>0</v>
      </c>
      <c r="AG17" s="0" t="n">
        <f aca="false">G17*x_FIX*(1-x_testy)</f>
        <v>0</v>
      </c>
      <c r="AH17" s="0" t="n">
        <f aca="false">x_z_F*U17+(1-x_AGRI)*x_EMP*x_WLOSS*(x_PEN_K74*Q17+x_PEN_C22*R17)</f>
        <v>20312417.1173456</v>
      </c>
      <c r="AI17" s="0" t="n">
        <f aca="false">x_AGRI*x_EMP*x_WLOSS*(x_PEN_K74*Q17+x_PEN_C22*R17)</f>
        <v>1162918.4090791</v>
      </c>
      <c r="AJ17" s="0" t="n">
        <f aca="false">x_EMP*x_WAGE*(x_WLOSS*(Q17+R17)+S17)+U17*x_ABS_D*x_WAGE/365</f>
        <v>363065945.975014</v>
      </c>
      <c r="AK17" s="0" t="n">
        <f aca="false">AJ17*x_R_FUS</f>
        <v>114874065.306494</v>
      </c>
      <c r="AL17" s="0" t="n">
        <f aca="false">AJ17*x_R_NFZ</f>
        <v>28196064.4303655</v>
      </c>
      <c r="AM17" s="0" t="n">
        <f aca="false">AJ17*x_R_PIT</f>
        <v>24138139.4694271</v>
      </c>
      <c r="AN17" s="0" t="n">
        <f aca="false">AJ17*x_R_FP</f>
        <v>9258181.62236285</v>
      </c>
      <c r="AO17" s="0" t="n">
        <f aca="false">AA17+AB17+AC17+AD17+AF17</f>
        <v>505210709.153406</v>
      </c>
      <c r="AP17" s="0" t="n">
        <f aca="false">AO17+AE17+AG17+AH17+AI17+AK17+AL17+AM17+AN17</f>
        <v>703152495.508481</v>
      </c>
      <c r="AQ17" s="0" t="n">
        <f aca="false">AO17+AE17+AG17+AJ17</f>
        <v>868276655.12842</v>
      </c>
      <c r="AR17" s="0" t="n">
        <f aca="false">AB17+AC17+AD17+AF17</f>
        <v>137833427.610024</v>
      </c>
      <c r="AS17" s="0" t="n">
        <f aca="false">AR17+AE17+AG17</f>
        <v>137833427.610024</v>
      </c>
    </row>
    <row r="18" customFormat="false" ht="15" hidden="false" customHeight="false" outlineLevel="0" collapsed="false">
      <c r="A18" s="0" t="n">
        <v>2041</v>
      </c>
      <c r="B18" s="0" t="n">
        <v>15</v>
      </c>
      <c r="C18" s="0" t="n">
        <v>4832</v>
      </c>
      <c r="D18" s="0" t="n">
        <v>0</v>
      </c>
      <c r="E18" s="0" t="n">
        <v>0</v>
      </c>
      <c r="F18" s="0" t="n">
        <v>0</v>
      </c>
      <c r="G18" s="0" t="n">
        <v>0</v>
      </c>
      <c r="H18" s="0" t="n">
        <v>2185.208</v>
      </c>
      <c r="I18" s="0" t="n">
        <v>316.941</v>
      </c>
      <c r="J18" s="0" t="n">
        <v>1791.268</v>
      </c>
      <c r="K18" s="0" t="n">
        <v>3005.052</v>
      </c>
      <c r="L18" s="0" t="n">
        <v>1313.146</v>
      </c>
      <c r="M18" s="0" t="n">
        <v>62991.39</v>
      </c>
      <c r="N18" s="0" t="n">
        <v>6850.72</v>
      </c>
      <c r="O18" s="0" t="n">
        <v>100.595</v>
      </c>
      <c r="P18" s="0" t="n">
        <v>100.796</v>
      </c>
      <c r="Q18" s="0" t="n">
        <v>840.721</v>
      </c>
      <c r="R18" s="0" t="n">
        <v>855.896</v>
      </c>
      <c r="S18" s="0" t="n">
        <v>3447.855</v>
      </c>
      <c r="T18" s="0" t="n">
        <v>2502.149</v>
      </c>
      <c r="U18" s="0" t="n">
        <v>1375.591</v>
      </c>
      <c r="V18" s="0" t="n">
        <v>132670.54</v>
      </c>
      <c r="W18" s="0" t="n">
        <v>335.672</v>
      </c>
      <c r="X18" s="0" t="n">
        <v>870.982</v>
      </c>
      <c r="Y18" s="0" t="n">
        <v>100.595</v>
      </c>
      <c r="Z18" s="0" t="n">
        <v>1065.669</v>
      </c>
      <c r="AA18" s="0" t="n">
        <f aca="false">H18*x_c_F+I18*x_c_CC+J18*x_c_DC+K18*x_c_HCC+L18*x_c_PLT+M18*x_c_SVRn+N18*x_c_SVRcc+O18*x_c_LT+P18*x_c_LT1</f>
        <v>367866900.827517</v>
      </c>
      <c r="AB18" s="0" t="n">
        <f aca="false">C18*x_c_DAA</f>
        <v>109976320</v>
      </c>
      <c r="AC18" s="0" t="n">
        <f aca="false">C18*x_c_MON</f>
        <v>27857107.6100244</v>
      </c>
      <c r="AD18" s="0" t="n">
        <f aca="false">D18*(1-x_testy)</f>
        <v>0</v>
      </c>
      <c r="AE18" s="0" t="n">
        <f aca="false">E18*(1-x_testy)</f>
        <v>0</v>
      </c>
      <c r="AF18" s="0" t="n">
        <f aca="false">F18*x_NAV</f>
        <v>0</v>
      </c>
      <c r="AG18" s="0" t="n">
        <f aca="false">G18*x_FIX*(1-x_testy)</f>
        <v>0</v>
      </c>
      <c r="AH18" s="0" t="n">
        <f aca="false">x_z_F*U18+(1-x_AGRI)*x_EMP*x_WLOSS*(x_PEN_K74*Q18+x_PEN_C22*R18)</f>
        <v>21052235.5808523</v>
      </c>
      <c r="AI18" s="0" t="n">
        <f aca="false">x_AGRI*x_EMP*x_WLOSS*(x_PEN_K74*Q18+x_PEN_C22*R18)</f>
        <v>1204581.27360253</v>
      </c>
      <c r="AJ18" s="0" t="n">
        <f aca="false">x_EMP*x_WAGE*(x_WLOSS*(Q18+R18)+S18)+U18*x_ABS_D*x_WAGE/365</f>
        <v>390787795.477283</v>
      </c>
      <c r="AK18" s="0" t="n">
        <f aca="false">AJ18*x_R_FUS</f>
        <v>123645258.489012</v>
      </c>
      <c r="AL18" s="0" t="n">
        <f aca="false">AJ18*x_R_NFZ</f>
        <v>30348970.9845612</v>
      </c>
      <c r="AM18" s="0" t="n">
        <f aca="false">AJ18*x_R_PIT</f>
        <v>25981203.7310428</v>
      </c>
      <c r="AN18" s="0" t="n">
        <f aca="false">AJ18*x_R_FP</f>
        <v>9965088.78467071</v>
      </c>
      <c r="AO18" s="0" t="n">
        <f aca="false">AA18+AB18+AC18+AD18+AF18</f>
        <v>505700328.437541</v>
      </c>
      <c r="AP18" s="0" t="n">
        <f aca="false">AO18+AE18+AG18+AH18+AI18+AK18+AL18+AM18+AN18</f>
        <v>717897667.281283</v>
      </c>
      <c r="AQ18" s="0" t="n">
        <f aca="false">AO18+AE18+AG18+AJ18</f>
        <v>896488123.914824</v>
      </c>
      <c r="AR18" s="0" t="n">
        <f aca="false">AB18+AC18+AD18+AF18</f>
        <v>137833427.610024</v>
      </c>
      <c r="AS18" s="0" t="n">
        <f aca="false">AR18+AE18+AG18</f>
        <v>137833427.610024</v>
      </c>
    </row>
    <row r="19" customFormat="false" ht="15" hidden="false" customHeight="false" outlineLevel="0" collapsed="false">
      <c r="A19" s="0" t="n">
        <v>2042</v>
      </c>
      <c r="B19" s="0" t="n">
        <v>16</v>
      </c>
      <c r="C19" s="0" t="n">
        <v>4832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2186.97</v>
      </c>
      <c r="I19" s="0" t="n">
        <v>313.516</v>
      </c>
      <c r="J19" s="0" t="n">
        <v>1778.489</v>
      </c>
      <c r="K19" s="0" t="n">
        <v>2969.797</v>
      </c>
      <c r="L19" s="0" t="n">
        <v>1298.48</v>
      </c>
      <c r="M19" s="0" t="n">
        <v>65923.186</v>
      </c>
      <c r="N19" s="0" t="n">
        <v>7133.861</v>
      </c>
      <c r="O19" s="0" t="n">
        <v>99.796</v>
      </c>
      <c r="P19" s="0" t="n">
        <v>100.196</v>
      </c>
      <c r="Q19" s="0" t="n">
        <v>867.01</v>
      </c>
      <c r="R19" s="0" t="n">
        <v>890.078</v>
      </c>
      <c r="S19" s="0" t="n">
        <v>3743.875</v>
      </c>
      <c r="T19" s="0" t="n">
        <v>2500.486</v>
      </c>
      <c r="U19" s="0" t="n">
        <v>1427.067</v>
      </c>
      <c r="V19" s="0" t="n">
        <v>133849.745</v>
      </c>
      <c r="W19" s="0" t="n">
        <v>329.174</v>
      </c>
      <c r="X19" s="0" t="n">
        <v>854.447</v>
      </c>
      <c r="Y19" s="0" t="n">
        <v>99.796</v>
      </c>
      <c r="Z19" s="0" t="n">
        <v>1054.554</v>
      </c>
      <c r="AA19" s="0" t="n">
        <f aca="false">H19*x_c_F+I19*x_c_CC+J19*x_c_DC+K19*x_c_HCC+L19*x_c_PLT+M19*x_c_SVRn+N19*x_c_SVRcc+O19*x_c_LT+P19*x_c_LT1</f>
        <v>367208505.157465</v>
      </c>
      <c r="AB19" s="0" t="n">
        <f aca="false">C19*x_c_DAA</f>
        <v>109976320</v>
      </c>
      <c r="AC19" s="0" t="n">
        <f aca="false">C19*x_c_MON</f>
        <v>27857107.6100244</v>
      </c>
      <c r="AD19" s="0" t="n">
        <f aca="false">D19*(1-x_testy)</f>
        <v>0</v>
      </c>
      <c r="AE19" s="0" t="n">
        <f aca="false">E19*(1-x_testy)</f>
        <v>0</v>
      </c>
      <c r="AF19" s="0" t="n">
        <f aca="false">F19*x_NAV</f>
        <v>0</v>
      </c>
      <c r="AG19" s="0" t="n">
        <f aca="false">G19*x_FIX*(1-x_testy)</f>
        <v>0</v>
      </c>
      <c r="AH19" s="0" t="n">
        <f aca="false">x_z_F*U19+(1-x_AGRI)*x_EMP*x_WLOSS*(x_PEN_K74*Q19+x_PEN_C22*R19)</f>
        <v>21812653.9209572</v>
      </c>
      <c r="AI19" s="0" t="n">
        <f aca="false">x_AGRI*x_EMP*x_WLOSS*(x_PEN_K74*Q19+x_PEN_C22*R19)</f>
        <v>1247848.31673371</v>
      </c>
      <c r="AJ19" s="0" t="n">
        <f aca="false">x_EMP*x_WAGE*(x_WLOSS*(Q19+R19)+S19)+U19*x_ABS_D*x_WAGE/365</f>
        <v>419484733.173695</v>
      </c>
      <c r="AK19" s="0" t="n">
        <f aca="false">AJ19*x_R_FUS</f>
        <v>132724969.576157</v>
      </c>
      <c r="AL19" s="0" t="n">
        <f aca="false">AJ19*x_R_NFZ</f>
        <v>32577603.8630023</v>
      </c>
      <c r="AM19" s="0" t="n">
        <f aca="false">AJ19*x_R_PIT</f>
        <v>27889095.9256722</v>
      </c>
      <c r="AN19" s="0" t="n">
        <f aca="false">AJ19*x_R_FP</f>
        <v>10696860.6959292</v>
      </c>
      <c r="AO19" s="0" t="n">
        <f aca="false">AA19+AB19+AC19+AD19+AF19</f>
        <v>505041932.76749</v>
      </c>
      <c r="AP19" s="0" t="n">
        <f aca="false">AO19+AE19+AG19+AH19+AI19+AK19+AL19+AM19+AN19</f>
        <v>731990965.065942</v>
      </c>
      <c r="AQ19" s="0" t="n">
        <f aca="false">AO19+AE19+AG19+AJ19</f>
        <v>924526665.941185</v>
      </c>
      <c r="AR19" s="0" t="n">
        <f aca="false">AB19+AC19+AD19+AF19</f>
        <v>137833427.610024</v>
      </c>
      <c r="AS19" s="0" t="n">
        <f aca="false">AR19+AE19+AG19</f>
        <v>137833427.610024</v>
      </c>
    </row>
    <row r="20" customFormat="false" ht="15" hidden="false" customHeight="false" outlineLevel="0" collapsed="false">
      <c r="A20" s="0" t="n">
        <v>2043</v>
      </c>
      <c r="B20" s="0" t="n">
        <v>17</v>
      </c>
      <c r="C20" s="0" t="n">
        <v>4832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2189.758</v>
      </c>
      <c r="I20" s="0" t="n">
        <v>309.104</v>
      </c>
      <c r="J20" s="0" t="n">
        <v>1759.756</v>
      </c>
      <c r="K20" s="0" t="n">
        <v>2925.81</v>
      </c>
      <c r="L20" s="0" t="n">
        <v>1282.621</v>
      </c>
      <c r="M20" s="0" t="n">
        <v>68792.662</v>
      </c>
      <c r="N20" s="0" t="n">
        <v>7388.306</v>
      </c>
      <c r="O20" s="0" t="n">
        <v>98.703</v>
      </c>
      <c r="P20" s="0" t="n">
        <v>99.25</v>
      </c>
      <c r="Q20" s="0" t="n">
        <v>894.401</v>
      </c>
      <c r="R20" s="0" t="n">
        <v>925.509</v>
      </c>
      <c r="S20" s="0" t="n">
        <v>4050.105</v>
      </c>
      <c r="T20" s="0" t="n">
        <v>2498.862</v>
      </c>
      <c r="U20" s="0" t="n">
        <v>1476.435</v>
      </c>
      <c r="V20" s="0" t="n">
        <v>135027.564</v>
      </c>
      <c r="W20" s="0" t="n">
        <v>321.992</v>
      </c>
      <c r="X20" s="0" t="n">
        <v>836.53</v>
      </c>
      <c r="Y20" s="0" t="n">
        <v>98.703</v>
      </c>
      <c r="Z20" s="0" t="n">
        <v>1040.646</v>
      </c>
      <c r="AA20" s="0" t="n">
        <f aca="false">H20*x_c_F+I20*x_c_CC+J20*x_c_DC+K20*x_c_HCC+L20*x_c_PLT+M20*x_c_SVRn+N20*x_c_SVRcc+O20*x_c_LT+P20*x_c_LT1</f>
        <v>365619267.79691</v>
      </c>
      <c r="AB20" s="0" t="n">
        <f aca="false">C20*x_c_DAA</f>
        <v>109976320</v>
      </c>
      <c r="AC20" s="0" t="n">
        <f aca="false">C20*x_c_MON</f>
        <v>27857107.6100244</v>
      </c>
      <c r="AD20" s="0" t="n">
        <f aca="false">D20*(1-x_testy)</f>
        <v>0</v>
      </c>
      <c r="AE20" s="0" t="n">
        <f aca="false">E20*(1-x_testy)</f>
        <v>0</v>
      </c>
      <c r="AF20" s="0" t="n">
        <f aca="false">F20*x_NAV</f>
        <v>0</v>
      </c>
      <c r="AG20" s="0" t="n">
        <f aca="false">G20*x_FIX*(1-x_testy)</f>
        <v>0</v>
      </c>
      <c r="AH20" s="0" t="n">
        <f aca="false">x_z_F*U20+(1-x_AGRI)*x_EMP*x_WLOSS*(x_PEN_K74*Q20+x_PEN_C22*R20)</f>
        <v>22594077.9707721</v>
      </c>
      <c r="AI20" s="0" t="n">
        <f aca="false">x_AGRI*x_EMP*x_WLOSS*(x_PEN_K74*Q20+x_PEN_C22*R20)</f>
        <v>1292790.2562112</v>
      </c>
      <c r="AJ20" s="0" t="n">
        <f aca="false">x_EMP*x_WAGE*(x_WLOSS*(Q20+R20)+S20)+U20*x_ABS_D*x_WAGE/365</f>
        <v>449174555.417927</v>
      </c>
      <c r="AK20" s="0" t="n">
        <f aca="false">AJ20*x_R_FUS</f>
        <v>142118829.334232</v>
      </c>
      <c r="AL20" s="0" t="n">
        <f aca="false">AJ20*x_R_NFZ</f>
        <v>34883345.1483117</v>
      </c>
      <c r="AM20" s="0" t="n">
        <f aca="false">AJ20*x_R_PIT</f>
        <v>29862999.2291869</v>
      </c>
      <c r="AN20" s="0" t="n">
        <f aca="false">AJ20*x_R_FP</f>
        <v>11453951.1631571</v>
      </c>
      <c r="AO20" s="0" t="n">
        <f aca="false">AA20+AB20+AC20+AD20+AF20</f>
        <v>503452695.406934</v>
      </c>
      <c r="AP20" s="0" t="n">
        <f aca="false">AO20+AE20+AG20+AH20+AI20+AK20+AL20+AM20+AN20</f>
        <v>745658688.508805</v>
      </c>
      <c r="AQ20" s="0" t="n">
        <f aca="false">AO20+AE20+AG20+AJ20</f>
        <v>952627250.824861</v>
      </c>
      <c r="AR20" s="0" t="n">
        <f aca="false">AB20+AC20+AD20+AF20</f>
        <v>137833427.610024</v>
      </c>
      <c r="AS20" s="0" t="n">
        <f aca="false">AR20+AE20+AG20</f>
        <v>137833427.610024</v>
      </c>
    </row>
    <row r="21" customFormat="false" ht="15" hidden="false" customHeight="false" outlineLevel="0" collapsed="false">
      <c r="A21" s="0" t="n">
        <v>2044</v>
      </c>
      <c r="B21" s="0" t="n">
        <v>18</v>
      </c>
      <c r="C21" s="0" t="n">
        <v>4832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2193.363</v>
      </c>
      <c r="I21" s="0" t="n">
        <v>303.933</v>
      </c>
      <c r="J21" s="0" t="n">
        <v>1736.177</v>
      </c>
      <c r="K21" s="0" t="n">
        <v>2875.331</v>
      </c>
      <c r="L21" s="0" t="n">
        <v>1265.984</v>
      </c>
      <c r="M21" s="0" t="n">
        <v>71618.616</v>
      </c>
      <c r="N21" s="0" t="n">
        <v>7615.696</v>
      </c>
      <c r="O21" s="0" t="n">
        <v>97.336</v>
      </c>
      <c r="P21" s="0" t="n">
        <v>98.02</v>
      </c>
      <c r="Q21" s="0" t="n">
        <v>922.933</v>
      </c>
      <c r="R21" s="0" t="n">
        <v>962.217</v>
      </c>
      <c r="S21" s="0" t="n">
        <v>4366.764</v>
      </c>
      <c r="T21" s="0" t="n">
        <v>2497.295</v>
      </c>
      <c r="U21" s="0" t="n">
        <v>1523.387</v>
      </c>
      <c r="V21" s="0" t="n">
        <v>136228.528</v>
      </c>
      <c r="W21" s="0" t="n">
        <v>314.332</v>
      </c>
      <c r="X21" s="0" t="n">
        <v>817.682</v>
      </c>
      <c r="Y21" s="0" t="n">
        <v>97.336</v>
      </c>
      <c r="Z21" s="0" t="n">
        <v>1024.232</v>
      </c>
      <c r="AA21" s="0" t="n">
        <f aca="false">H21*x_c_F+I21*x_c_CC+J21*x_c_DC+K21*x_c_HCC+L21*x_c_PLT+M21*x_c_SVRn+N21*x_c_SVRcc+O21*x_c_LT+P21*x_c_LT1</f>
        <v>363299676.050531</v>
      </c>
      <c r="AB21" s="0" t="n">
        <f aca="false">C21*x_c_DAA</f>
        <v>109976320</v>
      </c>
      <c r="AC21" s="0" t="n">
        <f aca="false">C21*x_c_MON</f>
        <v>27857107.6100244</v>
      </c>
      <c r="AD21" s="0" t="n">
        <f aca="false">D21*(1-x_testy)</f>
        <v>0</v>
      </c>
      <c r="AE21" s="0" t="n">
        <f aca="false">E21*(1-x_testy)</f>
        <v>0</v>
      </c>
      <c r="AF21" s="0" t="n">
        <f aca="false">F21*x_NAV</f>
        <v>0</v>
      </c>
      <c r="AG21" s="0" t="n">
        <f aca="false">G21*x_FIX*(1-x_testy)</f>
        <v>0</v>
      </c>
      <c r="AH21" s="0" t="n">
        <f aca="false">x_z_F*U21+(1-x_AGRI)*x_EMP*x_WLOSS*(x_PEN_K74*Q21+x_PEN_C22*R21)</f>
        <v>23396586.2352861</v>
      </c>
      <c r="AI21" s="0" t="n">
        <f aca="false">x_AGRI*x_EMP*x_WLOSS*(x_PEN_K74*Q21+x_PEN_C22*R21)</f>
        <v>1339454.13564058</v>
      </c>
      <c r="AJ21" s="0" t="n">
        <f aca="false">x_EMP*x_WAGE*(x_WLOSS*(Q21+R21)+S21)+U21*x_ABS_D*x_WAGE/365</f>
        <v>479878693.506577</v>
      </c>
      <c r="AK21" s="0" t="n">
        <f aca="false">AJ21*x_R_FUS</f>
        <v>151833618.625481</v>
      </c>
      <c r="AL21" s="0" t="n">
        <f aca="false">AJ21*x_R_NFZ</f>
        <v>37267859.2164143</v>
      </c>
      <c r="AM21" s="0" t="n">
        <f aca="false">AJ21*x_R_PIT</f>
        <v>31904338.4836357</v>
      </c>
      <c r="AN21" s="0" t="n">
        <f aca="false">AJ21*x_R_FP</f>
        <v>12236906.6844177</v>
      </c>
      <c r="AO21" s="0" t="n">
        <f aca="false">AA21+AB21+AC21+AD21+AF21</f>
        <v>501133103.660555</v>
      </c>
      <c r="AP21" s="0" t="n">
        <f aca="false">AO21+AE21+AG21+AH21+AI21+AK21+AL21+AM21+AN21</f>
        <v>759111867.041431</v>
      </c>
      <c r="AQ21" s="0" t="n">
        <f aca="false">AO21+AE21+AG21+AJ21</f>
        <v>981011797.167133</v>
      </c>
      <c r="AR21" s="0" t="n">
        <f aca="false">AB21+AC21+AD21+AF21</f>
        <v>137833427.610024</v>
      </c>
      <c r="AS21" s="0" t="n">
        <f aca="false">AR21+AE21+AG21</f>
        <v>137833427.610024</v>
      </c>
    </row>
    <row r="22" customFormat="false" ht="15" hidden="false" customHeight="false" outlineLevel="0" collapsed="false">
      <c r="A22" s="0" t="n">
        <v>2045</v>
      </c>
      <c r="B22" s="0" t="n">
        <v>19</v>
      </c>
      <c r="C22" s="0" t="n">
        <v>4832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2197.578</v>
      </c>
      <c r="I22" s="0" t="n">
        <v>298.221</v>
      </c>
      <c r="J22" s="0" t="n">
        <v>1708.557</v>
      </c>
      <c r="K22" s="0" t="n">
        <v>2820.061</v>
      </c>
      <c r="L22" s="0" t="n">
        <v>1248.34</v>
      </c>
      <c r="M22" s="0" t="n">
        <v>74405.491</v>
      </c>
      <c r="N22" s="0" t="n">
        <v>7816.467</v>
      </c>
      <c r="O22" s="0" t="n">
        <v>95.762</v>
      </c>
      <c r="P22" s="0" t="n">
        <v>96.549</v>
      </c>
      <c r="Q22" s="0" t="n">
        <v>952.63</v>
      </c>
      <c r="R22" s="0" t="n">
        <v>1000.177</v>
      </c>
      <c r="S22" s="0" t="n">
        <v>4694.032</v>
      </c>
      <c r="T22" s="0" t="n">
        <v>2495.799</v>
      </c>
      <c r="U22" s="0" t="n">
        <v>1567.703</v>
      </c>
      <c r="V22" s="0" t="n">
        <v>137459.507</v>
      </c>
      <c r="W22" s="0" t="n">
        <v>306.463</v>
      </c>
      <c r="X22" s="0" t="n">
        <v>798.52</v>
      </c>
      <c r="Y22" s="0" t="n">
        <v>95.762</v>
      </c>
      <c r="Z22" s="0" t="n">
        <v>1006.041</v>
      </c>
      <c r="AA22" s="0" t="n">
        <f aca="false">H22*x_c_F+I22*x_c_CC+J22*x_c_DC+K22*x_c_HCC+L22*x_c_PLT+M22*x_c_SVRn+N22*x_c_SVRcc+O22*x_c_LT+P22*x_c_LT1</f>
        <v>360393447.800865</v>
      </c>
      <c r="AB22" s="0" t="n">
        <f aca="false">C22*x_c_DAA</f>
        <v>109976320</v>
      </c>
      <c r="AC22" s="0" t="n">
        <f aca="false">C22*x_c_MON</f>
        <v>27857107.6100244</v>
      </c>
      <c r="AD22" s="0" t="n">
        <f aca="false">D22*(1-x_testy)</f>
        <v>0</v>
      </c>
      <c r="AE22" s="0" t="n">
        <f aca="false">E22*(1-x_testy)</f>
        <v>0</v>
      </c>
      <c r="AF22" s="0" t="n">
        <f aca="false">F22*x_NAV</f>
        <v>0</v>
      </c>
      <c r="AG22" s="0" t="n">
        <f aca="false">G22*x_FIX*(1-x_testy)</f>
        <v>0</v>
      </c>
      <c r="AH22" s="0" t="n">
        <f aca="false">x_z_F*U22+(1-x_AGRI)*x_EMP*x_WLOSS*(x_PEN_K74*Q22+x_PEN_C22*R22)</f>
        <v>24219682.0796263</v>
      </c>
      <c r="AI22" s="0" t="n">
        <f aca="false">x_AGRI*x_EMP*x_WLOSS*(x_PEN_K74*Q22+x_PEN_C22*R22)</f>
        <v>1387837.0245358</v>
      </c>
      <c r="AJ22" s="0" t="n">
        <f aca="false">x_EMP*x_WAGE*(x_WLOSS*(Q22+R22)+S22)+U22*x_ABS_D*x_WAGE/365</f>
        <v>511611793.414651</v>
      </c>
      <c r="AK22" s="0" t="n">
        <f aca="false">AJ22*x_R_FUS</f>
        <v>161873971.436395</v>
      </c>
      <c r="AL22" s="0" t="n">
        <f aca="false">AJ22*x_R_NFZ</f>
        <v>39732283.4883752</v>
      </c>
      <c r="AM22" s="0" t="n">
        <f aca="false">AJ22*x_R_PIT</f>
        <v>34014087.414567</v>
      </c>
      <c r="AN22" s="0" t="n">
        <f aca="false">AJ22*x_R_FP</f>
        <v>13046100.7320736</v>
      </c>
      <c r="AO22" s="0" t="n">
        <f aca="false">AA22+AB22+AC22+AD22+AF22</f>
        <v>498226875.410889</v>
      </c>
      <c r="AP22" s="0" t="n">
        <f aca="false">AO22+AE22+AG22+AH22+AI22+AK22+AL22+AM22+AN22</f>
        <v>772500837.586462</v>
      </c>
      <c r="AQ22" s="0" t="n">
        <f aca="false">AO22+AE22+AG22+AJ22</f>
        <v>1009838668.82554</v>
      </c>
      <c r="AR22" s="0" t="n">
        <f aca="false">AB22+AC22+AD22+AF22</f>
        <v>137833427.610024</v>
      </c>
      <c r="AS22" s="0" t="n">
        <f aca="false">AR22+AE22+AG22</f>
        <v>137833427.610024</v>
      </c>
    </row>
    <row r="23" customFormat="false" ht="15" hidden="false" customHeight="false" outlineLevel="0" collapsed="false">
      <c r="A23" s="0" t="n">
        <v>2046</v>
      </c>
      <c r="B23" s="0" t="n">
        <v>20</v>
      </c>
      <c r="C23" s="0" t="n">
        <v>4832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2202.199</v>
      </c>
      <c r="I23" s="0" t="n">
        <v>292.186</v>
      </c>
      <c r="J23" s="0" t="n">
        <v>1678.001</v>
      </c>
      <c r="K23" s="0" t="n">
        <v>2761.973</v>
      </c>
      <c r="L23" s="0" t="n">
        <v>1229.953</v>
      </c>
      <c r="M23" s="0" t="n">
        <v>77166.637</v>
      </c>
      <c r="N23" s="0" t="n">
        <v>7992.888</v>
      </c>
      <c r="O23" s="0" t="n">
        <v>94.038</v>
      </c>
      <c r="P23" s="0" t="n">
        <v>94.9</v>
      </c>
      <c r="Q23" s="0" t="n">
        <v>983.479</v>
      </c>
      <c r="R23" s="0" t="n">
        <v>1039.305</v>
      </c>
      <c r="S23" s="0" t="n">
        <v>5032.002</v>
      </c>
      <c r="T23" s="0" t="n">
        <v>2494.385</v>
      </c>
      <c r="U23" s="0" t="n">
        <v>1609.185</v>
      </c>
      <c r="V23" s="0" t="n">
        <v>138735.203</v>
      </c>
      <c r="W23" s="0" t="n">
        <v>298.596</v>
      </c>
      <c r="X23" s="0" t="n">
        <v>779.521</v>
      </c>
      <c r="Y23" s="0" t="n">
        <v>94.038</v>
      </c>
      <c r="Z23" s="0" t="n">
        <v>986.688</v>
      </c>
      <c r="AA23" s="0" t="n">
        <f aca="false">H23*x_c_F+I23*x_c_CC+J23*x_c_DC+K23*x_c_HCC+L23*x_c_PLT+M23*x_c_SVRn+N23*x_c_SVRcc+O23*x_c_LT+P23*x_c_LT1</f>
        <v>357090501.835514</v>
      </c>
      <c r="AB23" s="0" t="n">
        <f aca="false">C23*x_c_DAA</f>
        <v>109976320</v>
      </c>
      <c r="AC23" s="0" t="n">
        <f aca="false">C23*x_c_MON</f>
        <v>27857107.6100244</v>
      </c>
      <c r="AD23" s="0" t="n">
        <f aca="false">D23*(1-x_testy)</f>
        <v>0</v>
      </c>
      <c r="AE23" s="0" t="n">
        <f aca="false">E23*(1-x_testy)</f>
        <v>0</v>
      </c>
      <c r="AF23" s="0" t="n">
        <f aca="false">F23*x_NAV</f>
        <v>0</v>
      </c>
      <c r="AG23" s="0" t="n">
        <f aca="false">G23*x_FIX*(1-x_testy)</f>
        <v>0</v>
      </c>
      <c r="AH23" s="0" t="n">
        <f aca="false">x_z_F*U23+(1-x_AGRI)*x_EMP*x_WLOSS*(x_PEN_K74*Q23+x_PEN_C22*R23)</f>
        <v>25061868.4214414</v>
      </c>
      <c r="AI23" s="0" t="n">
        <f aca="false">x_AGRI*x_EMP*x_WLOSS*(x_PEN_K74*Q23+x_PEN_C22*R23)</f>
        <v>1437866.87513974</v>
      </c>
      <c r="AJ23" s="0" t="n">
        <f aca="false">x_EMP*x_WAGE*(x_WLOSS*(Q23+R23)+S23)+U23*x_ABS_D*x_WAGE/365</f>
        <v>544375898.213646</v>
      </c>
      <c r="AK23" s="0" t="n">
        <f aca="false">AJ23*x_R_FUS</f>
        <v>172240534.194798</v>
      </c>
      <c r="AL23" s="0" t="n">
        <f aca="false">AJ23*x_R_NFZ</f>
        <v>42276776.63117</v>
      </c>
      <c r="AM23" s="0" t="n">
        <f aca="false">AJ23*x_R_PIT</f>
        <v>36192381.8539015</v>
      </c>
      <c r="AN23" s="0" t="n">
        <f aca="false">AJ23*x_R_FP</f>
        <v>13881585.404448</v>
      </c>
      <c r="AO23" s="0" t="n">
        <f aca="false">AA23+AB23+AC23+AD23+AF23</f>
        <v>494923929.445538</v>
      </c>
      <c r="AP23" s="0" t="n">
        <f aca="false">AO23+AE23+AG23+AH23+AI23+AK23+AL23+AM23+AN23</f>
        <v>786014942.826436</v>
      </c>
      <c r="AQ23" s="0" t="n">
        <f aca="false">AO23+AE23+AG23+AJ23</f>
        <v>1039299827.65918</v>
      </c>
      <c r="AR23" s="0" t="n">
        <f aca="false">AB23+AC23+AD23+AF23</f>
        <v>137833427.610024</v>
      </c>
      <c r="AS23" s="0" t="n">
        <f aca="false">AR23+AE23+AG23</f>
        <v>137833427.610024</v>
      </c>
    </row>
    <row r="24" customFormat="false" ht="15" hidden="false" customHeight="false" outlineLevel="0" collapsed="false">
      <c r="A24" s="0" t="n">
        <v>2047</v>
      </c>
      <c r="B24" s="0" t="n">
        <v>21</v>
      </c>
      <c r="C24" s="0" t="n">
        <v>4832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2207.044</v>
      </c>
      <c r="I24" s="0" t="n">
        <v>286.015</v>
      </c>
      <c r="J24" s="0" t="n">
        <v>1645.504</v>
      </c>
      <c r="K24" s="0" t="n">
        <v>2702.74</v>
      </c>
      <c r="L24" s="0" t="n">
        <v>1211.048</v>
      </c>
      <c r="M24" s="0" t="n">
        <v>79912.743</v>
      </c>
      <c r="N24" s="0" t="n">
        <v>8147.307</v>
      </c>
      <c r="O24" s="0" t="n">
        <v>92.221</v>
      </c>
      <c r="P24" s="0" t="n">
        <v>93.129</v>
      </c>
      <c r="Q24" s="0" t="n">
        <v>1015.448</v>
      </c>
      <c r="R24" s="0" t="n">
        <v>1079.47</v>
      </c>
      <c r="S24" s="0" t="n">
        <v>5380.695</v>
      </c>
      <c r="T24" s="0" t="n">
        <v>2493.059</v>
      </c>
      <c r="U24" s="0" t="n">
        <v>1647.726</v>
      </c>
      <c r="V24" s="0" t="n">
        <v>140064.72</v>
      </c>
      <c r="W24" s="0" t="n">
        <v>290.901</v>
      </c>
      <c r="X24" s="0" t="n">
        <v>761.066</v>
      </c>
      <c r="Y24" s="0" t="n">
        <v>92.221</v>
      </c>
      <c r="Z24" s="0" t="n">
        <v>966.744</v>
      </c>
      <c r="AA24" s="0" t="n">
        <f aca="false">H24*x_c_F+I24*x_c_CC+J24*x_c_DC+K24*x_c_HCC+L24*x_c_PLT+M24*x_c_SVRn+N24*x_c_SVRcc+O24*x_c_LT+P24*x_c_LT1</f>
        <v>353556816.781219</v>
      </c>
      <c r="AB24" s="0" t="n">
        <f aca="false">C24*x_c_DAA</f>
        <v>109976320</v>
      </c>
      <c r="AC24" s="0" t="n">
        <f aca="false">C24*x_c_MON</f>
        <v>27857107.6100244</v>
      </c>
      <c r="AD24" s="0" t="n">
        <f aca="false">D24*(1-x_testy)</f>
        <v>0</v>
      </c>
      <c r="AE24" s="0" t="n">
        <f aca="false">E24*(1-x_testy)</f>
        <v>0</v>
      </c>
      <c r="AF24" s="0" t="n">
        <f aca="false">F24*x_NAV</f>
        <v>0</v>
      </c>
      <c r="AG24" s="0" t="n">
        <f aca="false">G24*x_FIX*(1-x_testy)</f>
        <v>0</v>
      </c>
      <c r="AH24" s="0" t="n">
        <f aca="false">x_z_F*U24+(1-x_AGRI)*x_EMP*x_WLOSS*(x_PEN_K74*Q24+x_PEN_C22*R24)</f>
        <v>25921107.5340582</v>
      </c>
      <c r="AI24" s="0" t="n">
        <f aca="false">x_AGRI*x_EMP*x_WLOSS*(x_PEN_K74*Q24+x_PEN_C22*R24)</f>
        <v>1489423.53801822</v>
      </c>
      <c r="AJ24" s="0" t="n">
        <f aca="false">x_EMP*x_WAGE*(x_WLOSS*(Q24+R24)+S24)+U24*x_ABS_D*x_WAGE/365</f>
        <v>578163570.241627</v>
      </c>
      <c r="AK24" s="0" t="n">
        <f aca="false">AJ24*x_R_FUS</f>
        <v>182930953.624451</v>
      </c>
      <c r="AL24" s="0" t="n">
        <f aca="false">AJ24*x_R_NFZ</f>
        <v>44900761.028535</v>
      </c>
      <c r="AM24" s="0" t="n">
        <f aca="false">AJ24*x_R_PIT</f>
        <v>38438727.3148299</v>
      </c>
      <c r="AN24" s="0" t="n">
        <f aca="false">AJ24*x_R_FP</f>
        <v>14743171.0411615</v>
      </c>
      <c r="AO24" s="0" t="n">
        <f aca="false">AA24+AB24+AC24+AD24+AF24</f>
        <v>491390244.391244</v>
      </c>
      <c r="AP24" s="0" t="n">
        <f aca="false">AO24+AE24+AG24+AH24+AI24+AK24+AL24+AM24+AN24</f>
        <v>799814388.472298</v>
      </c>
      <c r="AQ24" s="0" t="n">
        <f aca="false">AO24+AE24+AG24+AJ24</f>
        <v>1069553814.63287</v>
      </c>
      <c r="AR24" s="0" t="n">
        <f aca="false">AB24+AC24+AD24+AF24</f>
        <v>137833427.610024</v>
      </c>
      <c r="AS24" s="0" t="n">
        <f aca="false">AR24+AE24+AG24</f>
        <v>137833427.610024</v>
      </c>
    </row>
    <row r="25" customFormat="false" ht="15" hidden="false" customHeight="false" outlineLevel="0" collapsed="false">
      <c r="A25" s="0" t="n">
        <v>2048</v>
      </c>
      <c r="B25" s="0" t="n">
        <v>22</v>
      </c>
      <c r="C25" s="0" t="n">
        <v>4832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2211.957</v>
      </c>
      <c r="I25" s="0" t="n">
        <v>279.869</v>
      </c>
      <c r="J25" s="0" t="n">
        <v>1611.966</v>
      </c>
      <c r="K25" s="0" t="n">
        <v>2643.772</v>
      </c>
      <c r="L25" s="0" t="n">
        <v>1191.848</v>
      </c>
      <c r="M25" s="0" t="n">
        <v>82652.797</v>
      </c>
      <c r="N25" s="0" t="n">
        <v>8282.208</v>
      </c>
      <c r="O25" s="0" t="n">
        <v>90.357</v>
      </c>
      <c r="P25" s="0" t="n">
        <v>91.289</v>
      </c>
      <c r="Q25" s="0" t="n">
        <v>1048.476</v>
      </c>
      <c r="R25" s="0" t="n">
        <v>1120.502</v>
      </c>
      <c r="S25" s="0" t="n">
        <v>5740.068</v>
      </c>
      <c r="T25" s="0" t="n">
        <v>2491.826</v>
      </c>
      <c r="U25" s="0" t="n">
        <v>1683.286</v>
      </c>
      <c r="V25" s="0" t="n">
        <v>141453.915</v>
      </c>
      <c r="W25" s="0" t="n">
        <v>283.506</v>
      </c>
      <c r="X25" s="0" t="n">
        <v>743.432</v>
      </c>
      <c r="Y25" s="0" t="n">
        <v>90.357</v>
      </c>
      <c r="Z25" s="0" t="n">
        <v>946.687</v>
      </c>
      <c r="AA25" s="0" t="n">
        <f aca="false">H25*x_c_F+I25*x_c_CC+J25*x_c_DC+K25*x_c_HCC+L25*x_c_PLT+M25*x_c_SVRn+N25*x_c_SVRcc+O25*x_c_LT+P25*x_c_LT1</f>
        <v>349935407.018026</v>
      </c>
      <c r="AB25" s="0" t="n">
        <f aca="false">C25*x_c_DAA</f>
        <v>109976320</v>
      </c>
      <c r="AC25" s="0" t="n">
        <f aca="false">C25*x_c_MON</f>
        <v>27857107.6100244</v>
      </c>
      <c r="AD25" s="0" t="n">
        <f aca="false">D25*(1-x_testy)</f>
        <v>0</v>
      </c>
      <c r="AE25" s="0" t="n">
        <f aca="false">E25*(1-x_testy)</f>
        <v>0</v>
      </c>
      <c r="AF25" s="0" t="n">
        <f aca="false">F25*x_NAV</f>
        <v>0</v>
      </c>
      <c r="AG25" s="0" t="n">
        <f aca="false">G25*x_FIX*(1-x_testy)</f>
        <v>0</v>
      </c>
      <c r="AH25" s="0" t="n">
        <f aca="false">x_z_F*U25+(1-x_AGRI)*x_EMP*x_WLOSS*(x_PEN_K74*Q25+x_PEN_C22*R25)</f>
        <v>26794762.5769533</v>
      </c>
      <c r="AI25" s="0" t="n">
        <f aca="false">x_AGRI*x_EMP*x_WLOSS*(x_PEN_K74*Q25+x_PEN_C22*R25)</f>
        <v>1542338.15873195</v>
      </c>
      <c r="AJ25" s="0" t="n">
        <f aca="false">x_EMP*x_WAGE*(x_WLOSS*(Q25+R25)+S25)+U25*x_ABS_D*x_WAGE/365</f>
        <v>612958393.317476</v>
      </c>
      <c r="AK25" s="0" t="n">
        <f aca="false">AJ25*x_R_FUS</f>
        <v>193940035.645649</v>
      </c>
      <c r="AL25" s="0" t="n">
        <f aca="false">AJ25*x_R_NFZ</f>
        <v>47602961.7834285</v>
      </c>
      <c r="AM25" s="0" t="n">
        <f aca="false">AJ25*x_R_PIT</f>
        <v>40752032.3811131</v>
      </c>
      <c r="AN25" s="0" t="n">
        <f aca="false">AJ25*x_R_FP</f>
        <v>15630439.0295956</v>
      </c>
      <c r="AO25" s="0" t="n">
        <f aca="false">AA25+AB25+AC25+AD25+AF25</f>
        <v>487768834.62805</v>
      </c>
      <c r="AP25" s="0" t="n">
        <f aca="false">AO25+AE25+AG25+AH25+AI25+AK25+AL25+AM25+AN25</f>
        <v>814031404.203522</v>
      </c>
      <c r="AQ25" s="0" t="n">
        <f aca="false">AO25+AE25+AG25+AJ25</f>
        <v>1100727227.94553</v>
      </c>
      <c r="AR25" s="0" t="n">
        <f aca="false">AB25+AC25+AD25+AF25</f>
        <v>137833427.610024</v>
      </c>
      <c r="AS25" s="0" t="n">
        <f aca="false">AR25+AE25+AG25</f>
        <v>137833427.610024</v>
      </c>
    </row>
    <row r="26" customFormat="false" ht="15" hidden="false" customHeight="false" outlineLevel="0" collapsed="false">
      <c r="A26" s="0" t="n">
        <v>2049</v>
      </c>
      <c r="B26" s="0" t="n">
        <v>23</v>
      </c>
      <c r="C26" s="0" t="n">
        <v>4832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2216.815</v>
      </c>
      <c r="I26" s="0" t="n">
        <v>273.868</v>
      </c>
      <c r="J26" s="0" t="n">
        <v>1578.098</v>
      </c>
      <c r="K26" s="0" t="n">
        <v>2586.104</v>
      </c>
      <c r="L26" s="0" t="n">
        <v>1172.504</v>
      </c>
      <c r="M26" s="0" t="n">
        <v>85392.3</v>
      </c>
      <c r="N26" s="0" t="n">
        <v>8399.719</v>
      </c>
      <c r="O26" s="0" t="n">
        <v>88.483</v>
      </c>
      <c r="P26" s="0" t="n">
        <v>89.42</v>
      </c>
      <c r="Q26" s="0" t="n">
        <v>1082.482</v>
      </c>
      <c r="R26" s="0" t="n">
        <v>1162.2</v>
      </c>
      <c r="S26" s="0" t="n">
        <v>6110.007</v>
      </c>
      <c r="T26" s="0" t="n">
        <v>2490.682</v>
      </c>
      <c r="U26" s="0" t="n">
        <v>1715.913</v>
      </c>
      <c r="V26" s="0" t="n">
        <v>142903.227</v>
      </c>
      <c r="W26" s="0" t="n">
        <v>276.484</v>
      </c>
      <c r="X26" s="0" t="n">
        <v>726.766</v>
      </c>
      <c r="Y26" s="0" t="n">
        <v>88.483</v>
      </c>
      <c r="Z26" s="0" t="n">
        <v>926.846</v>
      </c>
      <c r="AA26" s="0" t="n">
        <f aca="false">H26*x_c_F+I26*x_c_CC+J26*x_c_DC+K26*x_c_HCC+L26*x_c_PLT+M26*x_c_SVRn+N26*x_c_SVRcc+O26*x_c_LT+P26*x_c_LT1</f>
        <v>346333065.395499</v>
      </c>
      <c r="AB26" s="0" t="n">
        <f aca="false">C26*x_c_DAA</f>
        <v>109976320</v>
      </c>
      <c r="AC26" s="0" t="n">
        <f aca="false">C26*x_c_MON</f>
        <v>27857107.6100244</v>
      </c>
      <c r="AD26" s="0" t="n">
        <f aca="false">D26*(1-x_testy)</f>
        <v>0</v>
      </c>
      <c r="AE26" s="0" t="n">
        <f aca="false">E26*(1-x_testy)</f>
        <v>0</v>
      </c>
      <c r="AF26" s="0" t="n">
        <f aca="false">F26*x_NAV</f>
        <v>0</v>
      </c>
      <c r="AG26" s="0" t="n">
        <f aca="false">G26*x_FIX*(1-x_testy)</f>
        <v>0</v>
      </c>
      <c r="AH26" s="0" t="n">
        <f aca="false">x_z_F*U26+(1-x_AGRI)*x_EMP*x_WLOSS*(x_PEN_K74*Q26+x_PEN_C22*R26)</f>
        <v>27679822.5846833</v>
      </c>
      <c r="AI26" s="0" t="n">
        <f aca="false">x_AGRI*x_EMP*x_WLOSS*(x_PEN_K74*Q26+x_PEN_C22*R26)</f>
        <v>1596405.19545196</v>
      </c>
      <c r="AJ26" s="0" t="n">
        <f aca="false">x_EMP*x_WAGE*(x_WLOSS*(Q26+R26)+S26)+U26*x_ABS_D*x_WAGE/365</f>
        <v>648735367.266118</v>
      </c>
      <c r="AK26" s="0" t="n">
        <f aca="false">AJ26*x_R_FUS</f>
        <v>205259870.203</v>
      </c>
      <c r="AL26" s="0" t="n">
        <f aca="false">AJ26*x_R_NFZ</f>
        <v>50381437.357254</v>
      </c>
      <c r="AM26" s="0" t="n">
        <f aca="false">AJ26*x_R_PIT</f>
        <v>43130634.9367651</v>
      </c>
      <c r="AN26" s="0" t="n">
        <f aca="false">AJ26*x_R_FP</f>
        <v>16542751.865286</v>
      </c>
      <c r="AO26" s="0" t="n">
        <f aca="false">AA26+AB26+AC26+AD26+AF26</f>
        <v>484166493.005523</v>
      </c>
      <c r="AP26" s="0" t="n">
        <f aca="false">AO26+AE26+AG26+AH26+AI26+AK26+AL26+AM26+AN26</f>
        <v>828757415.147964</v>
      </c>
      <c r="AQ26" s="0" t="n">
        <f aca="false">AO26+AE26+AG26+AJ26</f>
        <v>1132901860.27164</v>
      </c>
      <c r="AR26" s="0" t="n">
        <f aca="false">AB26+AC26+AD26+AF26</f>
        <v>137833427.610024</v>
      </c>
      <c r="AS26" s="0" t="n">
        <f aca="false">AR26+AE26+AG26</f>
        <v>137833427.610024</v>
      </c>
    </row>
    <row r="27" customFormat="false" ht="15" hidden="false" customHeight="false" outlineLevel="0" collapsed="false">
      <c r="A27" s="0" t="n">
        <v>2050</v>
      </c>
      <c r="B27" s="0" t="n">
        <v>24</v>
      </c>
      <c r="C27" s="0" t="n">
        <v>4832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2221.53</v>
      </c>
      <c r="I27" s="0" t="n">
        <v>268.094</v>
      </c>
      <c r="J27" s="0" t="n">
        <v>1544.445</v>
      </c>
      <c r="K27" s="0" t="n">
        <v>2530.441</v>
      </c>
      <c r="L27" s="0" t="n">
        <v>1153.117</v>
      </c>
      <c r="M27" s="0" t="n">
        <v>88133.895</v>
      </c>
      <c r="N27" s="0" t="n">
        <v>8501.623</v>
      </c>
      <c r="O27" s="0" t="n">
        <v>86.627</v>
      </c>
      <c r="P27" s="0" t="n">
        <v>87.555</v>
      </c>
      <c r="Q27" s="0" t="n">
        <v>1117.345</v>
      </c>
      <c r="R27" s="0" t="n">
        <v>1204.323</v>
      </c>
      <c r="S27" s="0" t="n">
        <v>6490.194</v>
      </c>
      <c r="T27" s="0" t="n">
        <v>2489.624</v>
      </c>
      <c r="U27" s="0" t="n">
        <v>1745.711</v>
      </c>
      <c r="V27" s="0" t="n">
        <v>144409.233</v>
      </c>
      <c r="W27" s="0" t="n">
        <v>269.876</v>
      </c>
      <c r="X27" s="0" t="n">
        <v>711.144</v>
      </c>
      <c r="Y27" s="0" t="n">
        <v>86.627</v>
      </c>
      <c r="Z27" s="0" t="n">
        <v>907.487</v>
      </c>
      <c r="AA27" s="0" t="n">
        <f aca="false">H27*x_c_F+I27*x_c_CC+J27*x_c_DC+K27*x_c_HCC+L27*x_c_PLT+M27*x_c_SVRn+N27*x_c_SVRcc+O27*x_c_LT+P27*x_c_LT1</f>
        <v>342825030.500069</v>
      </c>
      <c r="AB27" s="0" t="n">
        <f aca="false">C27*x_c_DAA</f>
        <v>109976320</v>
      </c>
      <c r="AC27" s="0" t="n">
        <f aca="false">C27*x_c_MON</f>
        <v>27857107.6100244</v>
      </c>
      <c r="AD27" s="0" t="n">
        <f aca="false">D27*(1-x_testy)</f>
        <v>0</v>
      </c>
      <c r="AE27" s="0" t="n">
        <f aca="false">E27*(1-x_testy)</f>
        <v>0</v>
      </c>
      <c r="AF27" s="0" t="n">
        <f aca="false">F27*x_NAV</f>
        <v>0</v>
      </c>
      <c r="AG27" s="0" t="n">
        <f aca="false">G27*x_FIX*(1-x_testy)</f>
        <v>0</v>
      </c>
      <c r="AH27" s="0" t="n">
        <f aca="false">x_z_F*U27+(1-x_AGRI)*x_EMP*x_WLOSS*(x_PEN_K74*Q27+x_PEN_C22*R27)</f>
        <v>28572532.8961837</v>
      </c>
      <c r="AI27" s="0" t="n">
        <f aca="false">x_AGRI*x_EMP*x_WLOSS*(x_PEN_K74*Q27+x_PEN_C22*R27)</f>
        <v>1651362.33957287</v>
      </c>
      <c r="AJ27" s="0" t="n">
        <f aca="false">x_EMP*x_WAGE*(x_WLOSS*(Q27+R27)+S27)+U27*x_ABS_D*x_WAGE/365</f>
        <v>685447888.380318</v>
      </c>
      <c r="AK27" s="0" t="n">
        <f aca="false">AJ27*x_R_FUS</f>
        <v>216875711.883533</v>
      </c>
      <c r="AL27" s="0" t="n">
        <f aca="false">AJ27*x_R_NFZ</f>
        <v>53232568.4595038</v>
      </c>
      <c r="AM27" s="0" t="n">
        <f aca="false">AJ27*x_R_PIT</f>
        <v>45571436.5728123</v>
      </c>
      <c r="AN27" s="0" t="n">
        <f aca="false">AJ27*x_R_FP</f>
        <v>17478921.1536981</v>
      </c>
      <c r="AO27" s="0" t="n">
        <f aca="false">AA27+AB27+AC27+AD27+AF27</f>
        <v>480658458.110094</v>
      </c>
      <c r="AP27" s="0" t="n">
        <f aca="false">AO27+AE27+AG27+AH27+AI27+AK27+AL27+AM27+AN27</f>
        <v>844040991.415397</v>
      </c>
      <c r="AQ27" s="0" t="n">
        <f aca="false">AO27+AE27+AG27+AJ27</f>
        <v>1166106346.49041</v>
      </c>
      <c r="AR27" s="0" t="n">
        <f aca="false">AB27+AC27+AD27+AF27</f>
        <v>137833427.610024</v>
      </c>
      <c r="AS27" s="0" t="n">
        <f aca="false">AR27+AE27+AG27</f>
        <v>137833427.610024</v>
      </c>
    </row>
    <row r="28" customFormat="false" ht="15" hidden="false" customHeight="false" outlineLevel="0" collapsed="false">
      <c r="A28" s="0" t="n">
        <v>2051</v>
      </c>
      <c r="B28" s="0" t="n">
        <v>25</v>
      </c>
      <c r="C28" s="0" t="n">
        <v>4832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2226.046</v>
      </c>
      <c r="I28" s="0" t="n">
        <v>262.598</v>
      </c>
      <c r="J28" s="0" t="n">
        <v>1511.383</v>
      </c>
      <c r="K28" s="0" t="n">
        <v>2477.197</v>
      </c>
      <c r="L28" s="0" t="n">
        <v>1133.726</v>
      </c>
      <c r="M28" s="0" t="n">
        <v>90877.332</v>
      </c>
      <c r="N28" s="0" t="n">
        <v>8589.243</v>
      </c>
      <c r="O28" s="0" t="n">
        <v>84.807</v>
      </c>
      <c r="P28" s="0" t="n">
        <v>85.717</v>
      </c>
      <c r="Q28" s="0" t="n">
        <v>1152.914</v>
      </c>
      <c r="R28" s="0" t="n">
        <v>1246.607</v>
      </c>
      <c r="S28" s="0" t="n">
        <v>6880.149</v>
      </c>
      <c r="T28" s="0" t="n">
        <v>2488.645</v>
      </c>
      <c r="U28" s="0" t="n">
        <v>1772.829</v>
      </c>
      <c r="V28" s="0" t="n">
        <v>145965.249</v>
      </c>
      <c r="W28" s="0" t="n">
        <v>263.687</v>
      </c>
      <c r="X28" s="0" t="n">
        <v>696.552</v>
      </c>
      <c r="Y28" s="0" t="n">
        <v>84.807</v>
      </c>
      <c r="Z28" s="0" t="n">
        <v>888.736</v>
      </c>
      <c r="AA28" s="0" t="n">
        <f aca="false">H28*x_c_F+I28*x_c_CC+J28*x_c_DC+K28*x_c_HCC+L28*x_c_PLT+M28*x_c_SVRn+N28*x_c_SVRcc+O28*x_c_LT+P28*x_c_LT1</f>
        <v>339456210.591922</v>
      </c>
      <c r="AB28" s="0" t="n">
        <f aca="false">C28*x_c_DAA</f>
        <v>109976320</v>
      </c>
      <c r="AC28" s="0" t="n">
        <f aca="false">C28*x_c_MON</f>
        <v>27857107.6100244</v>
      </c>
      <c r="AD28" s="0" t="n">
        <f aca="false">D28*(1-x_testy)</f>
        <v>0</v>
      </c>
      <c r="AE28" s="0" t="n">
        <f aca="false">E28*(1-x_testy)</f>
        <v>0</v>
      </c>
      <c r="AF28" s="0" t="n">
        <f aca="false">F28*x_NAV</f>
        <v>0</v>
      </c>
      <c r="AG28" s="0" t="n">
        <f aca="false">G28*x_FIX*(1-x_testy)</f>
        <v>0</v>
      </c>
      <c r="AH28" s="0" t="n">
        <f aca="false">x_z_F*U28+(1-x_AGRI)*x_EMP*x_WLOSS*(x_PEN_K74*Q28+x_PEN_C22*R28)</f>
        <v>29468667.1937153</v>
      </c>
      <c r="AI28" s="0" t="n">
        <f aca="false">x_AGRI*x_EMP*x_WLOSS*(x_PEN_K74*Q28+x_PEN_C22*R28)</f>
        <v>1706909.99177152</v>
      </c>
      <c r="AJ28" s="0" t="n">
        <f aca="false">x_EMP*x_WAGE*(x_WLOSS*(Q28+R28)+S28)+U28*x_ABS_D*x_WAGE/365</f>
        <v>723032774.574036</v>
      </c>
      <c r="AK28" s="0" t="n">
        <f aca="false">AJ28*x_R_FUS</f>
        <v>228767569.875225</v>
      </c>
      <c r="AL28" s="0" t="n">
        <f aca="false">AJ28*x_R_NFZ</f>
        <v>56151448.3061942</v>
      </c>
      <c r="AM28" s="0" t="n">
        <f aca="false">AJ28*x_R_PIT</f>
        <v>48070236.6804626</v>
      </c>
      <c r="AN28" s="0" t="n">
        <f aca="false">AJ28*x_R_FP</f>
        <v>18437335.7516379</v>
      </c>
      <c r="AO28" s="0" t="n">
        <f aca="false">AA28+AB28+AC28+AD28+AF28</f>
        <v>477289638.201946</v>
      </c>
      <c r="AP28" s="0" t="n">
        <f aca="false">AO28+AE28+AG28+AH28+AI28+AK28+AL28+AM28+AN28</f>
        <v>859891806.000952</v>
      </c>
      <c r="AQ28" s="0" t="n">
        <f aca="false">AO28+AE28+AG28+AJ28</f>
        <v>1200322412.77598</v>
      </c>
      <c r="AR28" s="0" t="n">
        <f aca="false">AB28+AC28+AD28+AF28</f>
        <v>137833427.610024</v>
      </c>
      <c r="AS28" s="0" t="n">
        <f aca="false">AR28+AE28+AG28</f>
        <v>137833427.610024</v>
      </c>
    </row>
    <row r="29" customFormat="false" ht="15" hidden="false" customHeight="false" outlineLevel="0" collapsed="false">
      <c r="A29" s="0" t="n">
        <v>2052</v>
      </c>
      <c r="B29" s="0" t="n">
        <v>26</v>
      </c>
      <c r="C29" s="0" t="n">
        <v>4832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2230.333</v>
      </c>
      <c r="I29" s="0" t="n">
        <v>257.401</v>
      </c>
      <c r="J29" s="0" t="n">
        <v>1479.134</v>
      </c>
      <c r="K29" s="0" t="n">
        <v>2426.517</v>
      </c>
      <c r="L29" s="0" t="n">
        <v>1114.301</v>
      </c>
      <c r="M29" s="0" t="n">
        <v>93619.499</v>
      </c>
      <c r="N29" s="0" t="n">
        <v>8663.353</v>
      </c>
      <c r="O29" s="0" t="n">
        <v>83.032</v>
      </c>
      <c r="P29" s="0" t="n">
        <v>83.919</v>
      </c>
      <c r="Q29" s="0" t="n">
        <v>1189.035</v>
      </c>
      <c r="R29" s="0" t="n">
        <v>1288.792</v>
      </c>
      <c r="S29" s="0" t="n">
        <v>7279.387</v>
      </c>
      <c r="T29" s="0" t="n">
        <v>2487.734</v>
      </c>
      <c r="U29" s="0" t="n">
        <v>1797.455</v>
      </c>
      <c r="V29" s="0" t="n">
        <v>147561.646</v>
      </c>
      <c r="W29" s="0" t="n">
        <v>257.899</v>
      </c>
      <c r="X29" s="0" t="n">
        <v>682.929</v>
      </c>
      <c r="Y29" s="0" t="n">
        <v>83.032</v>
      </c>
      <c r="Z29" s="0" t="n">
        <v>870.666</v>
      </c>
      <c r="AA29" s="0" t="n">
        <f aca="false">H29*x_c_F+I29*x_c_CC+J29*x_c_DC+K29*x_c_HCC+L29*x_c_PLT+M29*x_c_SVRn+N29*x_c_SVRcc+O29*x_c_LT+P29*x_c_LT1</f>
        <v>336242721.195421</v>
      </c>
      <c r="AB29" s="0" t="n">
        <f aca="false">C29*x_c_DAA</f>
        <v>109976320</v>
      </c>
      <c r="AC29" s="0" t="n">
        <f aca="false">C29*x_c_MON</f>
        <v>27857107.6100244</v>
      </c>
      <c r="AD29" s="0" t="n">
        <f aca="false">D29*(1-x_testy)</f>
        <v>0</v>
      </c>
      <c r="AE29" s="0" t="n">
        <f aca="false">E29*(1-x_testy)</f>
        <v>0</v>
      </c>
      <c r="AF29" s="0" t="n">
        <f aca="false">F29*x_NAV</f>
        <v>0</v>
      </c>
      <c r="AG29" s="0" t="n">
        <f aca="false">G29*x_FIX*(1-x_testy)</f>
        <v>0</v>
      </c>
      <c r="AH29" s="0" t="n">
        <f aca="false">x_z_F*U29+(1-x_AGRI)*x_EMP*x_WLOSS*(x_PEN_K74*Q29+x_PEN_C22*R29)</f>
        <v>30364094.8752396</v>
      </c>
      <c r="AI29" s="0" t="n">
        <f aca="false">x_AGRI*x_EMP*x_WLOSS*(x_PEN_K74*Q29+x_PEN_C22*R29)</f>
        <v>1762749.57958109</v>
      </c>
      <c r="AJ29" s="0" t="n">
        <f aca="false">x_EMP*x_WAGE*(x_WLOSS*(Q29+R29)+S29)+U29*x_ABS_D*x_WAGE/365</f>
        <v>761426586.703323</v>
      </c>
      <c r="AK29" s="0" t="n">
        <f aca="false">AJ29*x_R_FUS</f>
        <v>240915372.032931</v>
      </c>
      <c r="AL29" s="0" t="n">
        <f aca="false">AJ29*x_R_NFZ</f>
        <v>59133150.1499668</v>
      </c>
      <c r="AM29" s="0" t="n">
        <f aca="false">AJ29*x_R_PIT</f>
        <v>50622817.560641</v>
      </c>
      <c r="AN29" s="0" t="n">
        <f aca="false">AJ29*x_R_FP</f>
        <v>19416377.9609347</v>
      </c>
      <c r="AO29" s="0" t="n">
        <f aca="false">AA29+AB29+AC29+AD29+AF29</f>
        <v>474076148.805446</v>
      </c>
      <c r="AP29" s="0" t="n">
        <f aca="false">AO29+AE29+AG29+AH29+AI29+AK29+AL29+AM29+AN29</f>
        <v>876290710.96474</v>
      </c>
      <c r="AQ29" s="0" t="n">
        <f aca="false">AO29+AE29+AG29+AJ29</f>
        <v>1235502735.50877</v>
      </c>
      <c r="AR29" s="0" t="n">
        <f aca="false">AB29+AC29+AD29+AF29</f>
        <v>137833427.610024</v>
      </c>
      <c r="AS29" s="0" t="n">
        <f aca="false">AR29+AE29+AG29</f>
        <v>137833427.610024</v>
      </c>
    </row>
    <row r="30" customFormat="false" ht="15" hidden="false" customHeight="false" outlineLevel="0" collapsed="false">
      <c r="A30" s="0" t="n">
        <v>2053</v>
      </c>
      <c r="B30" s="0" t="n">
        <v>27</v>
      </c>
      <c r="C30" s="0" t="n">
        <v>4832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2234.38</v>
      </c>
      <c r="I30" s="0" t="n">
        <v>252.502</v>
      </c>
      <c r="J30" s="0" t="n">
        <v>1447.785</v>
      </c>
      <c r="K30" s="0" t="n">
        <v>2378.343</v>
      </c>
      <c r="L30" s="0" t="n">
        <v>1094.75</v>
      </c>
      <c r="M30" s="0" t="n">
        <v>96354.628</v>
      </c>
      <c r="N30" s="0" t="n">
        <v>8724.178</v>
      </c>
      <c r="O30" s="0" t="n">
        <v>81.305</v>
      </c>
      <c r="P30" s="0" t="n">
        <v>82.168</v>
      </c>
      <c r="Q30" s="0" t="n">
        <v>1225.526</v>
      </c>
      <c r="R30" s="0" t="n">
        <v>1330.603</v>
      </c>
      <c r="S30" s="0" t="n">
        <v>7687.196</v>
      </c>
      <c r="T30" s="0" t="n">
        <v>2486.883</v>
      </c>
      <c r="U30" s="0" t="n">
        <v>1819.788</v>
      </c>
      <c r="V30" s="0" t="n">
        <v>149186.619</v>
      </c>
      <c r="W30" s="0" t="n">
        <v>252.475</v>
      </c>
      <c r="X30" s="0" t="n">
        <v>670.166</v>
      </c>
      <c r="Y30" s="0" t="n">
        <v>81.305</v>
      </c>
      <c r="Z30" s="0" t="n">
        <v>853.248</v>
      </c>
      <c r="AA30" s="0" t="n">
        <f aca="false">H30*x_c_F+I30*x_c_CC+J30*x_c_DC+K30*x_c_HCC+L30*x_c_PLT+M30*x_c_SVRn+N30*x_c_SVRcc+O30*x_c_LT+P30*x_c_LT1</f>
        <v>333177968.331353</v>
      </c>
      <c r="AB30" s="0" t="n">
        <f aca="false">C30*x_c_DAA</f>
        <v>109976320</v>
      </c>
      <c r="AC30" s="0" t="n">
        <f aca="false">C30*x_c_MON</f>
        <v>27857107.6100244</v>
      </c>
      <c r="AD30" s="0" t="n">
        <f aca="false">D30*(1-x_testy)</f>
        <v>0</v>
      </c>
      <c r="AE30" s="0" t="n">
        <f aca="false">E30*(1-x_testy)</f>
        <v>0</v>
      </c>
      <c r="AF30" s="0" t="n">
        <f aca="false">F30*x_NAV</f>
        <v>0</v>
      </c>
      <c r="AG30" s="0" t="n">
        <f aca="false">G30*x_FIX*(1-x_testy)</f>
        <v>0</v>
      </c>
      <c r="AH30" s="0" t="n">
        <f aca="false">x_z_F*U30+(1-x_AGRI)*x_EMP*x_WLOSS*(x_PEN_K74*Q30+x_PEN_C22*R30)</f>
        <v>31254255.2488142</v>
      </c>
      <c r="AI30" s="0" t="n">
        <f aca="false">x_AGRI*x_EMP*x_WLOSS*(x_PEN_K74*Q30+x_PEN_C22*R30)</f>
        <v>1818552.60761113</v>
      </c>
      <c r="AJ30" s="0" t="n">
        <f aca="false">x_EMP*x_WAGE*(x_WLOSS*(Q30+R30)+S30)+U30*x_ABS_D*x_WAGE/365</f>
        <v>800544212.302851</v>
      </c>
      <c r="AK30" s="0" t="n">
        <f aca="false">AJ30*x_R_FUS</f>
        <v>253292188.772622</v>
      </c>
      <c r="AL30" s="0" t="n">
        <f aca="false">AJ30*x_R_NFZ</f>
        <v>62171064.0716517</v>
      </c>
      <c r="AM30" s="0" t="n">
        <f aca="false">AJ30*x_R_PIT</f>
        <v>53223520.5814064</v>
      </c>
      <c r="AN30" s="0" t="n">
        <f aca="false">AJ30*x_R_FP</f>
        <v>20413877.4137227</v>
      </c>
      <c r="AO30" s="0" t="n">
        <f aca="false">AA30+AB30+AC30+AD30+AF30</f>
        <v>471011395.941377</v>
      </c>
      <c r="AP30" s="0" t="n">
        <f aca="false">AO30+AE30+AG30+AH30+AI30+AK30+AL30+AM30+AN30</f>
        <v>893184854.637205</v>
      </c>
      <c r="AQ30" s="0" t="n">
        <f aca="false">AO30+AE30+AG30+AJ30</f>
        <v>1271555608.24423</v>
      </c>
      <c r="AR30" s="0" t="n">
        <f aca="false">AB30+AC30+AD30+AF30</f>
        <v>137833427.610024</v>
      </c>
      <c r="AS30" s="0" t="n">
        <f aca="false">AR30+AE30+AG30</f>
        <v>137833427.610024</v>
      </c>
    </row>
    <row r="31" customFormat="false" ht="15" hidden="false" customHeight="false" outlineLevel="0" collapsed="false">
      <c r="A31" s="0" t="n">
        <v>2054</v>
      </c>
      <c r="B31" s="0" t="n">
        <v>28</v>
      </c>
      <c r="C31" s="0" t="n">
        <v>4832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2238.195</v>
      </c>
      <c r="I31" s="0" t="n">
        <v>247.887</v>
      </c>
      <c r="J31" s="0" t="n">
        <v>1417.323</v>
      </c>
      <c r="K31" s="0" t="n">
        <v>2332.466</v>
      </c>
      <c r="L31" s="0" t="n">
        <v>1074.916</v>
      </c>
      <c r="M31" s="0" t="n">
        <v>99074.408</v>
      </c>
      <c r="N31" s="0" t="n">
        <v>8771.393</v>
      </c>
      <c r="O31" s="0" t="n">
        <v>79.624</v>
      </c>
      <c r="P31" s="0" t="n">
        <v>80.464</v>
      </c>
      <c r="Q31" s="0" t="n">
        <v>1262.191</v>
      </c>
      <c r="R31" s="0" t="n">
        <v>1371.767</v>
      </c>
      <c r="S31" s="0" t="n">
        <v>8102.74</v>
      </c>
      <c r="T31" s="0" t="n">
        <v>2486.082</v>
      </c>
      <c r="U31" s="0" t="n">
        <v>1840.029</v>
      </c>
      <c r="V31" s="0" t="n">
        <v>150826.576</v>
      </c>
      <c r="W31" s="0" t="n">
        <v>247.372</v>
      </c>
      <c r="X31" s="0" t="n">
        <v>658.145</v>
      </c>
      <c r="Y31" s="0" t="n">
        <v>79.624</v>
      </c>
      <c r="Z31" s="0" t="n">
        <v>836.431</v>
      </c>
      <c r="AA31" s="0" t="n">
        <f aca="false">H31*x_c_F+I31*x_c_CC+J31*x_c_DC+K31*x_c_HCC+L31*x_c_PLT+M31*x_c_SVRn+N31*x_c_SVRcc+O31*x_c_LT+P31*x_c_LT1</f>
        <v>330236865.678452</v>
      </c>
      <c r="AB31" s="0" t="n">
        <f aca="false">C31*x_c_DAA</f>
        <v>109976320</v>
      </c>
      <c r="AC31" s="0" t="n">
        <f aca="false">C31*x_c_MON</f>
        <v>27857107.6100244</v>
      </c>
      <c r="AD31" s="0" t="n">
        <f aca="false">D31*(1-x_testy)</f>
        <v>0</v>
      </c>
      <c r="AE31" s="0" t="n">
        <f aca="false">E31*(1-x_testy)</f>
        <v>0</v>
      </c>
      <c r="AF31" s="0" t="n">
        <f aca="false">F31*x_NAV</f>
        <v>0</v>
      </c>
      <c r="AG31" s="0" t="n">
        <f aca="false">G31*x_FIX*(1-x_testy)</f>
        <v>0</v>
      </c>
      <c r="AH31" s="0" t="n">
        <f aca="false">x_z_F*U31+(1-x_AGRI)*x_EMP*x_WLOSS*(x_PEN_K74*Q31+x_PEN_C22*R31)</f>
        <v>32134473.8818085</v>
      </c>
      <c r="AI31" s="0" t="n">
        <f aca="false">x_AGRI*x_EMP*x_WLOSS*(x_PEN_K74*Q31+x_PEN_C22*R31)</f>
        <v>1873982.79064701</v>
      </c>
      <c r="AJ31" s="0" t="n">
        <f aca="false">x_EMP*x_WAGE*(x_WLOSS*(Q31+R31)+S31)+U31*x_ABS_D*x_WAGE/365</f>
        <v>840289316.248312</v>
      </c>
      <c r="AK31" s="0" t="n">
        <f aca="false">AJ31*x_R_FUS</f>
        <v>265867539.660966</v>
      </c>
      <c r="AL31" s="0" t="n">
        <f aca="false">AJ31*x_R_NFZ</f>
        <v>65257708.5891601</v>
      </c>
      <c r="AM31" s="0" t="n">
        <f aca="false">AJ31*x_R_PIT</f>
        <v>55865940.9816067</v>
      </c>
      <c r="AN31" s="0" t="n">
        <f aca="false">AJ31*x_R_FP</f>
        <v>21427377.5643319</v>
      </c>
      <c r="AO31" s="0" t="n">
        <f aca="false">AA31+AB31+AC31+AD31+AF31</f>
        <v>468070293.288477</v>
      </c>
      <c r="AP31" s="0" t="n">
        <f aca="false">AO31+AE31+AG31+AH31+AI31+AK31+AL31+AM31+AN31</f>
        <v>910497316.756997</v>
      </c>
      <c r="AQ31" s="0" t="n">
        <f aca="false">AO31+AE31+AG31+AJ31</f>
        <v>1308359609.53679</v>
      </c>
      <c r="AR31" s="0" t="n">
        <f aca="false">AB31+AC31+AD31+AF31</f>
        <v>137833427.610024</v>
      </c>
      <c r="AS31" s="0" t="n">
        <f aca="false">AR31+AE31+AG31</f>
        <v>137833427.610024</v>
      </c>
    </row>
    <row r="32" customFormat="false" ht="15" hidden="false" customHeight="false" outlineLevel="0" collapsed="false">
      <c r="A32" s="0" t="n">
        <v>2055</v>
      </c>
      <c r="B32" s="0" t="n">
        <v>29</v>
      </c>
      <c r="C32" s="0" t="n">
        <v>4832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2241.786</v>
      </c>
      <c r="I32" s="0" t="n">
        <v>243.538</v>
      </c>
      <c r="J32" s="0" t="n">
        <v>1387.69</v>
      </c>
      <c r="K32" s="0" t="n">
        <v>2288.628</v>
      </c>
      <c r="L32" s="0" t="n">
        <v>1054.618</v>
      </c>
      <c r="M32" s="0" t="n">
        <v>101769.284</v>
      </c>
      <c r="N32" s="0" t="n">
        <v>8804.409</v>
      </c>
      <c r="O32" s="0" t="n">
        <v>77.985</v>
      </c>
      <c r="P32" s="0" t="n">
        <v>78.804</v>
      </c>
      <c r="Q32" s="0" t="n">
        <v>1298.83</v>
      </c>
      <c r="R32" s="0" t="n">
        <v>1412.026</v>
      </c>
      <c r="S32" s="0" t="n">
        <v>8525.075</v>
      </c>
      <c r="T32" s="0" t="n">
        <v>2485.324</v>
      </c>
      <c r="U32" s="0" t="n">
        <v>1858.363</v>
      </c>
      <c r="V32" s="0" t="n">
        <v>152467.978</v>
      </c>
      <c r="W32" s="0" t="n">
        <v>242.548</v>
      </c>
      <c r="X32" s="0" t="n">
        <v>646.754</v>
      </c>
      <c r="Y32" s="0" t="n">
        <v>77.985</v>
      </c>
      <c r="Z32" s="0" t="n">
        <v>820.138</v>
      </c>
      <c r="AA32" s="0" t="n">
        <f aca="false">H32*x_c_F+I32*x_c_CC+J32*x_c_DC+K32*x_c_HCC+L32*x_c_PLT+M32*x_c_SVRn+N32*x_c_SVRcc+O32*x_c_LT+P32*x_c_LT1</f>
        <v>327387335.142693</v>
      </c>
      <c r="AB32" s="0" t="n">
        <f aca="false">C32*x_c_DAA</f>
        <v>109976320</v>
      </c>
      <c r="AC32" s="0" t="n">
        <f aca="false">C32*x_c_MON</f>
        <v>27857107.6100244</v>
      </c>
      <c r="AD32" s="0" t="n">
        <f aca="false">D32*(1-x_testy)</f>
        <v>0</v>
      </c>
      <c r="AE32" s="0" t="n">
        <f aca="false">E32*(1-x_testy)</f>
        <v>0</v>
      </c>
      <c r="AF32" s="0" t="n">
        <f aca="false">F32*x_NAV</f>
        <v>0</v>
      </c>
      <c r="AG32" s="0" t="n">
        <f aca="false">G32*x_FIX*(1-x_testy)</f>
        <v>0</v>
      </c>
      <c r="AH32" s="0" t="n">
        <f aca="false">x_z_F*U32+(1-x_AGRI)*x_EMP*x_WLOSS*(x_PEN_K74*Q32+x_PEN_C22*R32)</f>
        <v>33000174.5643204</v>
      </c>
      <c r="AI32" s="0" t="n">
        <f aca="false">x_AGRI*x_EMP*x_WLOSS*(x_PEN_K74*Q32+x_PEN_C22*R32)</f>
        <v>1928712.51007169</v>
      </c>
      <c r="AJ32" s="0" t="n">
        <f aca="false">x_EMP*x_WAGE*(x_WLOSS*(Q32+R32)+S32)+U32*x_ABS_D*x_WAGE/365</f>
        <v>880556909.830937</v>
      </c>
      <c r="AK32" s="0" t="n">
        <f aca="false">AJ32*x_R_FUS</f>
        <v>278608206.270509</v>
      </c>
      <c r="AL32" s="0" t="n">
        <f aca="false">AJ32*x_R_NFZ</f>
        <v>68384930.1743804</v>
      </c>
      <c r="AM32" s="0" t="n">
        <f aca="false">AJ32*x_R_PIT</f>
        <v>58543098.6736765</v>
      </c>
      <c r="AN32" s="0" t="n">
        <f aca="false">AJ32*x_R_FP</f>
        <v>22454201.2006889</v>
      </c>
      <c r="AO32" s="0" t="n">
        <f aca="false">AA32+AB32+AC32+AD32+AF32</f>
        <v>465220762.752717</v>
      </c>
      <c r="AP32" s="0" t="n">
        <f aca="false">AO32+AE32+AG32+AH32+AI32+AK32+AL32+AM32+AN32</f>
        <v>928140086.146364</v>
      </c>
      <c r="AQ32" s="0" t="n">
        <f aca="false">AO32+AE32+AG32+AJ32</f>
        <v>1345777672.58365</v>
      </c>
      <c r="AR32" s="0" t="n">
        <f aca="false">AB32+AC32+AD32+AF32</f>
        <v>137833427.610024</v>
      </c>
      <c r="AS32" s="0" t="n">
        <f aca="false">AR32+AE32+AG32</f>
        <v>137833427.610024</v>
      </c>
    </row>
    <row r="33" customFormat="false" ht="15" hidden="false" customHeight="false" outlineLevel="0" collapsed="false">
      <c r="A33" s="0" t="n">
        <v>2056</v>
      </c>
      <c r="B33" s="0" t="n">
        <v>30</v>
      </c>
      <c r="C33" s="0" t="n">
        <v>4832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2245.168</v>
      </c>
      <c r="I33" s="0" t="n">
        <v>239.433</v>
      </c>
      <c r="J33" s="0" t="n">
        <v>1358.781</v>
      </c>
      <c r="K33" s="0" t="n">
        <v>2246.515</v>
      </c>
      <c r="L33" s="0" t="n">
        <v>1033.63</v>
      </c>
      <c r="M33" s="0" t="n">
        <v>104427.627</v>
      </c>
      <c r="N33" s="0" t="n">
        <v>8822.197</v>
      </c>
      <c r="O33" s="0" t="n">
        <v>76.381</v>
      </c>
      <c r="P33" s="0" t="n">
        <v>77.183</v>
      </c>
      <c r="Q33" s="0" t="n">
        <v>1335.22</v>
      </c>
      <c r="R33" s="0" t="n">
        <v>1451.119</v>
      </c>
      <c r="S33" s="0" t="n">
        <v>8953</v>
      </c>
      <c r="T33" s="0" t="n">
        <v>2484.602</v>
      </c>
      <c r="U33" s="0" t="n">
        <v>1874.959</v>
      </c>
      <c r="V33" s="0" t="n">
        <v>154096.175</v>
      </c>
      <c r="W33" s="0" t="n">
        <v>237.961</v>
      </c>
      <c r="X33" s="0" t="n">
        <v>635.872</v>
      </c>
      <c r="Y33" s="0" t="n">
        <v>76.381</v>
      </c>
      <c r="Z33" s="0" t="n">
        <v>804.256</v>
      </c>
      <c r="AA33" s="0" t="n">
        <f aca="false">H33*x_c_F+I33*x_c_CC+J33*x_c_DC+K33*x_c_HCC+L33*x_c_PLT+M33*x_c_SVRn+N33*x_c_SVRcc+O33*x_c_LT+P33*x_c_LT1</f>
        <v>324587898.11778</v>
      </c>
      <c r="AB33" s="0" t="n">
        <f aca="false">C33*x_c_DAA</f>
        <v>109976320</v>
      </c>
      <c r="AC33" s="0" t="n">
        <f aca="false">C33*x_c_MON</f>
        <v>27857107.6100244</v>
      </c>
      <c r="AD33" s="0" t="n">
        <f aca="false">D33*(1-x_testy)</f>
        <v>0</v>
      </c>
      <c r="AE33" s="0" t="n">
        <f aca="false">E33*(1-x_testy)</f>
        <v>0</v>
      </c>
      <c r="AF33" s="0" t="n">
        <f aca="false">F33*x_NAV</f>
        <v>0</v>
      </c>
      <c r="AG33" s="0" t="n">
        <f aca="false">G33*x_FIX*(1-x_testy)</f>
        <v>0</v>
      </c>
      <c r="AH33" s="0" t="n">
        <f aca="false">x_z_F*U33+(1-x_AGRI)*x_EMP*x_WLOSS*(x_PEN_K74*Q33+x_PEN_C22*R33)</f>
        <v>33846482.7876864</v>
      </c>
      <c r="AI33" s="0" t="n">
        <f aca="false">x_AGRI*x_EMP*x_WLOSS*(x_PEN_K74*Q33+x_PEN_C22*R33)</f>
        <v>1982396.60455613</v>
      </c>
      <c r="AJ33" s="0" t="n">
        <f aca="false">x_EMP*x_WAGE*(x_WLOSS*(Q33+R33)+S33)+U33*x_ABS_D*x_WAGE/365</f>
        <v>921218623.5595</v>
      </c>
      <c r="AK33" s="0" t="n">
        <f aca="false">AJ33*x_R_FUS</f>
        <v>291473572.494226</v>
      </c>
      <c r="AL33" s="0" t="n">
        <f aca="false">AJ33*x_R_NFZ</f>
        <v>71542759.5242543</v>
      </c>
      <c r="AM33" s="0" t="n">
        <f aca="false">AJ33*x_R_PIT</f>
        <v>61246459.1180447</v>
      </c>
      <c r="AN33" s="0" t="n">
        <f aca="false">AJ33*x_R_FP</f>
        <v>23491074.9007672</v>
      </c>
      <c r="AO33" s="0" t="n">
        <f aca="false">AA33+AB33+AC33+AD33+AF33</f>
        <v>462421325.727804</v>
      </c>
      <c r="AP33" s="0" t="n">
        <f aca="false">AO33+AE33+AG33+AH33+AI33+AK33+AL33+AM33+AN33</f>
        <v>946004071.157339</v>
      </c>
      <c r="AQ33" s="0" t="n">
        <f aca="false">AO33+AE33+AG33+AJ33</f>
        <v>1383639949.2873</v>
      </c>
      <c r="AR33" s="0" t="n">
        <f aca="false">AB33+AC33+AD33+AF33</f>
        <v>137833427.610024</v>
      </c>
      <c r="AS33" s="0" t="n">
        <f aca="false">AR33+AE33+AG33</f>
        <v>137833427.610024</v>
      </c>
    </row>
    <row r="34" customFormat="false" ht="15" hidden="false" customHeight="false" outlineLevel="0" collapsed="false">
      <c r="A34" s="0" t="n">
        <v>2057</v>
      </c>
      <c r="B34" s="0" t="n">
        <v>31</v>
      </c>
      <c r="C34" s="0" t="n">
        <v>4832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2248.396</v>
      </c>
      <c r="I34" s="0" t="n">
        <v>235.507</v>
      </c>
      <c r="J34" s="0" t="n">
        <v>1329.002</v>
      </c>
      <c r="K34" s="0" t="n">
        <v>2203.843</v>
      </c>
      <c r="L34" s="0" t="n">
        <v>1009.173</v>
      </c>
      <c r="M34" s="0" t="n">
        <v>106952.208</v>
      </c>
      <c r="N34" s="0" t="n">
        <v>8807.884</v>
      </c>
      <c r="O34" s="0" t="n">
        <v>74.63</v>
      </c>
      <c r="P34" s="0" t="n">
        <v>75.505</v>
      </c>
      <c r="Q34" s="0" t="n">
        <v>1371.13</v>
      </c>
      <c r="R34" s="0" t="n">
        <v>1488.801</v>
      </c>
      <c r="S34" s="0" t="n">
        <v>9385.102</v>
      </c>
      <c r="T34" s="0" t="n">
        <v>2483.903</v>
      </c>
      <c r="U34" s="0" t="n">
        <v>1890.056</v>
      </c>
      <c r="V34" s="0" t="n">
        <v>155615.502</v>
      </c>
      <c r="W34" s="0" t="n">
        <v>233.299</v>
      </c>
      <c r="X34" s="0" t="n">
        <v>624.598</v>
      </c>
      <c r="Y34" s="0" t="n">
        <v>74.63</v>
      </c>
      <c r="Z34" s="0" t="n">
        <v>786.896</v>
      </c>
      <c r="AA34" s="0" t="n">
        <f aca="false">H34*x_c_F+I34*x_c_CC+J34*x_c_DC+K34*x_c_HCC+L34*x_c_PLT+M34*x_c_SVRn+N34*x_c_SVRcc+O34*x_c_LT+P34*x_c_LT1</f>
        <v>321404896.192469</v>
      </c>
      <c r="AB34" s="0" t="n">
        <f aca="false">C34*x_c_DAA</f>
        <v>109976320</v>
      </c>
      <c r="AC34" s="0" t="n">
        <f aca="false">C34*x_c_MON</f>
        <v>27857107.6100244</v>
      </c>
      <c r="AD34" s="0" t="n">
        <f aca="false">D34*(1-x_testy)</f>
        <v>0</v>
      </c>
      <c r="AE34" s="0" t="n">
        <f aca="false">E34*(1-x_testy)</f>
        <v>0</v>
      </c>
      <c r="AF34" s="0" t="n">
        <f aca="false">F34*x_NAV</f>
        <v>0</v>
      </c>
      <c r="AG34" s="0" t="n">
        <f aca="false">G34*x_FIX*(1-x_testy)</f>
        <v>0</v>
      </c>
      <c r="AH34" s="0" t="n">
        <f aca="false">x_z_F*U34+(1-x_AGRI)*x_EMP*x_WLOSS*(x_PEN_K74*Q34+x_PEN_C22*R34)</f>
        <v>34668770.296531</v>
      </c>
      <c r="AI34" s="0" t="n">
        <f aca="false">x_AGRI*x_EMP*x_WLOSS*(x_PEN_K74*Q34+x_PEN_C22*R34)</f>
        <v>2034696.67723734</v>
      </c>
      <c r="AJ34" s="0" t="n">
        <f aca="false">x_EMP*x_WAGE*(x_WLOSS*(Q34+R34)+S34)+U34*x_ABS_D*x_WAGE/365</f>
        <v>962128655.825151</v>
      </c>
      <c r="AK34" s="0" t="n">
        <f aca="false">AJ34*x_R_FUS</f>
        <v>304417506.703078</v>
      </c>
      <c r="AL34" s="0" t="n">
        <f aca="false">AJ34*x_R_NFZ</f>
        <v>74719873.5400371</v>
      </c>
      <c r="AM34" s="0" t="n">
        <f aca="false">AJ34*x_R_PIT</f>
        <v>63966328.8152016</v>
      </c>
      <c r="AN34" s="0" t="n">
        <f aca="false">AJ34*x_R_FP</f>
        <v>24534280.7235414</v>
      </c>
      <c r="AO34" s="0" t="n">
        <f aca="false">AA34+AB34+AC34+AD34+AF34</f>
        <v>459238323.802494</v>
      </c>
      <c r="AP34" s="0" t="n">
        <f aca="false">AO34+AE34+AG34+AH34+AI34+AK34+AL34+AM34+AN34</f>
        <v>963579780.55812</v>
      </c>
      <c r="AQ34" s="0" t="n">
        <f aca="false">AO34+AE34+AG34+AJ34</f>
        <v>1421366979.62765</v>
      </c>
      <c r="AR34" s="0" t="n">
        <f aca="false">AB34+AC34+AD34+AF34</f>
        <v>137833427.610024</v>
      </c>
      <c r="AS34" s="0" t="n">
        <f aca="false">AR34+AE34+AG34</f>
        <v>137833427.610024</v>
      </c>
    </row>
    <row r="35" customFormat="false" ht="15" hidden="false" customHeight="false" outlineLevel="0" collapsed="false">
      <c r="A35" s="0" t="n">
        <v>2058</v>
      </c>
      <c r="B35" s="0" t="n">
        <v>32</v>
      </c>
      <c r="C35" s="0" t="n">
        <v>4832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2251.413</v>
      </c>
      <c r="I35" s="0" t="n">
        <v>231.821</v>
      </c>
      <c r="J35" s="0" t="n">
        <v>1300.367</v>
      </c>
      <c r="K35" s="0" t="n">
        <v>2163.185</v>
      </c>
      <c r="L35" s="0" t="n">
        <v>984.512</v>
      </c>
      <c r="M35" s="0" t="n">
        <v>109445.573</v>
      </c>
      <c r="N35" s="0" t="n">
        <v>8781.776</v>
      </c>
      <c r="O35" s="0" t="n">
        <v>73.153</v>
      </c>
      <c r="P35" s="0" t="n">
        <v>73.892</v>
      </c>
      <c r="Q35" s="0" t="n">
        <v>1406.324</v>
      </c>
      <c r="R35" s="0" t="n">
        <v>1524.839</v>
      </c>
      <c r="S35" s="0" t="n">
        <v>9819.765</v>
      </c>
      <c r="T35" s="0" t="n">
        <v>2483.233</v>
      </c>
      <c r="U35" s="0" t="n">
        <v>1903.636</v>
      </c>
      <c r="V35" s="0" t="n">
        <v>157123.654</v>
      </c>
      <c r="W35" s="0" t="n">
        <v>229.211</v>
      </c>
      <c r="X35" s="0" t="n">
        <v>614.823</v>
      </c>
      <c r="Y35" s="0" t="n">
        <v>73.153</v>
      </c>
      <c r="Z35" s="0" t="n">
        <v>772.348</v>
      </c>
      <c r="AA35" s="0" t="n">
        <f aca="false">H35*x_c_F+I35*x_c_CC+J35*x_c_DC+K35*x_c_HCC+L35*x_c_PLT+M35*x_c_SVRn+N35*x_c_SVRcc+O35*x_c_LT+P35*x_c_LT1</f>
        <v>318408995.147866</v>
      </c>
      <c r="AB35" s="0" t="n">
        <f aca="false">C35*x_c_DAA</f>
        <v>109976320</v>
      </c>
      <c r="AC35" s="0" t="n">
        <f aca="false">C35*x_c_MON</f>
        <v>27857107.6100244</v>
      </c>
      <c r="AD35" s="0" t="n">
        <f aca="false">D35*(1-x_testy)</f>
        <v>0</v>
      </c>
      <c r="AE35" s="0" t="n">
        <f aca="false">E35*(1-x_testy)</f>
        <v>0</v>
      </c>
      <c r="AF35" s="0" t="n">
        <f aca="false">F35*x_NAV</f>
        <v>0</v>
      </c>
      <c r="AG35" s="0" t="n">
        <f aca="false">G35*x_FIX*(1-x_testy)</f>
        <v>0</v>
      </c>
      <c r="AH35" s="0" t="n">
        <f aca="false">x_z_F*U35+(1-x_AGRI)*x_EMP*x_WLOSS*(x_PEN_K74*Q35+x_PEN_C22*R35)</f>
        <v>35461967.2719616</v>
      </c>
      <c r="AI35" s="0" t="n">
        <f aca="false">x_AGRI*x_EMP*x_WLOSS*(x_PEN_K74*Q35+x_PEN_C22*R35)</f>
        <v>2085280.06886204</v>
      </c>
      <c r="AJ35" s="0" t="n">
        <f aca="false">x_EMP*x_WAGE*(x_WLOSS*(Q35+R35)+S35)+U35*x_ABS_D*x_WAGE/365</f>
        <v>1003123525.03113</v>
      </c>
      <c r="AK35" s="0" t="n">
        <f aca="false">AJ35*x_R_FUS</f>
        <v>317388283.319848</v>
      </c>
      <c r="AL35" s="0" t="n">
        <f aca="false">AJ35*x_R_NFZ</f>
        <v>77903576.0774423</v>
      </c>
      <c r="AM35" s="0" t="n">
        <f aca="false">AJ35*x_R_PIT</f>
        <v>66691838.8262475</v>
      </c>
      <c r="AN35" s="0" t="n">
        <f aca="false">AJ35*x_R_FP</f>
        <v>25579649.8882937</v>
      </c>
      <c r="AO35" s="0" t="n">
        <f aca="false">AA35+AB35+AC35+AD35+AF35</f>
        <v>456242422.75789</v>
      </c>
      <c r="AP35" s="0" t="n">
        <f aca="false">AO35+AE35+AG35+AH35+AI35+AK35+AL35+AM35+AN35</f>
        <v>981353018.210546</v>
      </c>
      <c r="AQ35" s="0" t="n">
        <f aca="false">AO35+AE35+AG35+AJ35</f>
        <v>1459365947.78902</v>
      </c>
      <c r="AR35" s="0" t="n">
        <f aca="false">AB35+AC35+AD35+AF35</f>
        <v>137833427.610024</v>
      </c>
      <c r="AS35" s="0" t="n">
        <f aca="false">AR35+AE35+AG35</f>
        <v>137833427.610024</v>
      </c>
    </row>
    <row r="36" customFormat="false" ht="15" hidden="false" customHeight="false" outlineLevel="0" collapsed="false">
      <c r="A36" s="0" t="n">
        <v>2059</v>
      </c>
      <c r="B36" s="0" t="n">
        <v>33</v>
      </c>
      <c r="C36" s="0" t="n">
        <v>4832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2254.192</v>
      </c>
      <c r="I36" s="0" t="n">
        <v>228.404</v>
      </c>
      <c r="J36" s="0" t="n">
        <v>1274.086</v>
      </c>
      <c r="K36" s="0" t="n">
        <v>2126.042</v>
      </c>
      <c r="L36" s="0" t="n">
        <v>961.722</v>
      </c>
      <c r="M36" s="0" t="n">
        <v>111971.137</v>
      </c>
      <c r="N36" s="0" t="n">
        <v>8756.827</v>
      </c>
      <c r="O36" s="0" t="n">
        <v>71.675</v>
      </c>
      <c r="P36" s="0" t="n">
        <v>72.414</v>
      </c>
      <c r="Q36" s="0" t="n">
        <v>1064.555</v>
      </c>
      <c r="R36" s="0" t="n">
        <v>1290.192</v>
      </c>
      <c r="S36" s="0" t="n">
        <v>6451.581</v>
      </c>
      <c r="T36" s="0" t="n">
        <v>2482.596</v>
      </c>
      <c r="U36" s="0" t="n">
        <v>1877.454</v>
      </c>
      <c r="V36" s="0" t="n">
        <v>158680.612</v>
      </c>
      <c r="W36" s="0" t="n">
        <v>225.239</v>
      </c>
      <c r="X36" s="0" t="n">
        <v>605.224</v>
      </c>
      <c r="Y36" s="0" t="n">
        <v>71.675</v>
      </c>
      <c r="Z36" s="0" t="n">
        <v>757.753</v>
      </c>
      <c r="AA36" s="0" t="n">
        <f aca="false">H36*x_c_F+I36*x_c_CC+J36*x_c_DC+K36*x_c_HCC+L36*x_c_PLT+M36*x_c_SVRn+N36*x_c_SVRcc+O36*x_c_LT+P36*x_c_LT1</f>
        <v>315765842.159905</v>
      </c>
      <c r="AB36" s="0" t="n">
        <f aca="false">C36*x_c_DAA</f>
        <v>109976320</v>
      </c>
      <c r="AC36" s="0" t="n">
        <f aca="false">C36*x_c_MON</f>
        <v>27857107.6100244</v>
      </c>
      <c r="AD36" s="0" t="n">
        <f aca="false">D36*(1-x_testy)</f>
        <v>0</v>
      </c>
      <c r="AE36" s="0" t="n">
        <f aca="false">E36*(1-x_testy)</f>
        <v>0</v>
      </c>
      <c r="AF36" s="0" t="n">
        <f aca="false">F36*x_NAV</f>
        <v>0</v>
      </c>
      <c r="AG36" s="0" t="n">
        <f aca="false">G36*x_FIX*(1-x_testy)</f>
        <v>0</v>
      </c>
      <c r="AH36" s="0" t="n">
        <f aca="false">x_z_F*U36+(1-x_AGRI)*x_EMP*x_WLOSS*(x_PEN_K74*Q36+x_PEN_C22*R36)</f>
        <v>29293578.8849664</v>
      </c>
      <c r="AI36" s="0" t="n">
        <f aca="false">x_AGRI*x_EMP*x_WLOSS*(x_PEN_K74*Q36+x_PEN_C22*R36)</f>
        <v>1681119.34425468</v>
      </c>
      <c r="AJ36" s="0" t="n">
        <f aca="false">x_EMP*x_WAGE*(x_WLOSS*(Q36+R36)+S36)+U36*x_ABS_D*x_WAGE/365</f>
        <v>684351667.272878</v>
      </c>
      <c r="AK36" s="0" t="n">
        <f aca="false">AJ36*x_R_FUS</f>
        <v>216528867.525139</v>
      </c>
      <c r="AL36" s="0" t="n">
        <f aca="false">AJ36*x_R_NFZ</f>
        <v>53147434.832079</v>
      </c>
      <c r="AM36" s="0" t="n">
        <f aca="false">AJ36*x_R_PIT</f>
        <v>45498555.2181326</v>
      </c>
      <c r="AN36" s="0" t="n">
        <f aca="false">AJ36*x_R_FP</f>
        <v>17450967.5154584</v>
      </c>
      <c r="AO36" s="0" t="n">
        <f aca="false">AA36+AB36+AC36+AD36+AF36</f>
        <v>453599269.76993</v>
      </c>
      <c r="AP36" s="0" t="n">
        <f aca="false">AO36+AE36+AG36+AH36+AI36+AK36+AL36+AM36+AN36</f>
        <v>817199793.089959</v>
      </c>
      <c r="AQ36" s="0" t="n">
        <f aca="false">AO36+AE36+AG36+AJ36</f>
        <v>1137950937.04281</v>
      </c>
      <c r="AR36" s="0" t="n">
        <f aca="false">AB36+AC36+AD36+AF36</f>
        <v>137833427.610024</v>
      </c>
      <c r="AS36" s="0" t="n">
        <f aca="false">AR36+AE36+AG36</f>
        <v>137833427.610024</v>
      </c>
    </row>
    <row r="37" customFormat="false" ht="15" hidden="false" customHeight="false" outlineLevel="0" collapsed="false">
      <c r="A37" s="0" t="n">
        <v>2060</v>
      </c>
      <c r="B37" s="0" t="n">
        <v>34</v>
      </c>
      <c r="C37" s="0" t="n">
        <v>4832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2256.797</v>
      </c>
      <c r="I37" s="0" t="n">
        <v>225.182</v>
      </c>
      <c r="J37" s="0" t="n">
        <v>1247.967</v>
      </c>
      <c r="K37" s="0" t="n">
        <v>2089.376</v>
      </c>
      <c r="L37" s="0" t="n">
        <v>937.053</v>
      </c>
      <c r="M37" s="0" t="n">
        <v>114398</v>
      </c>
      <c r="N37" s="0" t="n">
        <v>8710.127</v>
      </c>
      <c r="O37" s="0" t="n">
        <v>70.209</v>
      </c>
      <c r="P37" s="0" t="n">
        <v>70.942</v>
      </c>
      <c r="Q37" s="0" t="n">
        <v>701.924</v>
      </c>
      <c r="R37" s="0" t="n">
        <v>1032.881</v>
      </c>
      <c r="S37" s="0" t="n">
        <v>2853.069</v>
      </c>
      <c r="T37" s="0" t="n">
        <v>2481.978</v>
      </c>
      <c r="U37" s="0" t="n">
        <v>1844.74</v>
      </c>
      <c r="V37" s="0" t="n">
        <v>160160.65</v>
      </c>
      <c r="W37" s="0" t="n">
        <v>221.404</v>
      </c>
      <c r="X37" s="0" t="n">
        <v>595.854</v>
      </c>
      <c r="Y37" s="0" t="n">
        <v>70.209</v>
      </c>
      <c r="Z37" s="0" t="n">
        <v>743.24</v>
      </c>
      <c r="AA37" s="0" t="n">
        <f aca="false">H37*x_c_F+I37*x_c_CC+J37*x_c_DC+K37*x_c_HCC+L37*x_c_PLT+M37*x_c_SVRn+N37*x_c_SVRcc+O37*x_c_LT+P37*x_c_LT1</f>
        <v>312980801.015355</v>
      </c>
      <c r="AB37" s="0" t="n">
        <f aca="false">C37*x_c_DAA</f>
        <v>109976320</v>
      </c>
      <c r="AC37" s="0" t="n">
        <f aca="false">C37*x_c_MON</f>
        <v>27857107.6100244</v>
      </c>
      <c r="AD37" s="0" t="n">
        <f aca="false">D37*(1-x_testy)</f>
        <v>0</v>
      </c>
      <c r="AE37" s="0" t="n">
        <f aca="false">E37*(1-x_testy)</f>
        <v>0</v>
      </c>
      <c r="AF37" s="0" t="n">
        <f aca="false">F37*x_NAV</f>
        <v>0</v>
      </c>
      <c r="AG37" s="0" t="n">
        <f aca="false">G37*x_FIX*(1-x_testy)</f>
        <v>0</v>
      </c>
      <c r="AH37" s="0" t="n">
        <f aca="false">x_z_F*U37+(1-x_AGRI)*x_EMP*x_WLOSS*(x_PEN_K74*Q37+x_PEN_C22*R37)</f>
        <v>22643259.6864835</v>
      </c>
      <c r="AI37" s="0" t="n">
        <f aca="false">x_AGRI*x_EMP*x_WLOSS*(x_PEN_K74*Q37+x_PEN_C22*R37)</f>
        <v>1245991.560982</v>
      </c>
      <c r="AJ37" s="0" t="n">
        <f aca="false">x_EMP*x_WAGE*(x_WLOSS*(Q37+R37)+S37)+U37*x_ABS_D*x_WAGE/365</f>
        <v>343542477.912276</v>
      </c>
      <c r="AK37" s="0" t="n">
        <f aca="false">AJ37*x_R_FUS</f>
        <v>108696840.011444</v>
      </c>
      <c r="AL37" s="0" t="n">
        <f aca="false">AJ37*x_R_NFZ</f>
        <v>26679852.3771453</v>
      </c>
      <c r="AM37" s="0" t="n">
        <f aca="false">AJ37*x_R_PIT</f>
        <v>22840137.8246855</v>
      </c>
      <c r="AN37" s="0" t="n">
        <f aca="false">AJ37*x_R_FP</f>
        <v>8760333.18676305</v>
      </c>
      <c r="AO37" s="0" t="n">
        <f aca="false">AA37+AB37+AC37+AD37+AF37</f>
        <v>450814228.625379</v>
      </c>
      <c r="AP37" s="0" t="n">
        <f aca="false">AO37+AE37+AG37+AH37+AI37+AK37+AL37+AM37+AN37</f>
        <v>641680643.272883</v>
      </c>
      <c r="AQ37" s="0" t="n">
        <f aca="false">AO37+AE37+AG37+AJ37</f>
        <v>794356706.537655</v>
      </c>
      <c r="AR37" s="0" t="n">
        <f aca="false">AB37+AC37+AD37+AF37</f>
        <v>137833427.610024</v>
      </c>
      <c r="AS37" s="0" t="n">
        <f aca="false">AR37+AE37+AG37</f>
        <v>137833427.610024</v>
      </c>
    </row>
    <row r="38" customFormat="false" ht="15" hidden="false" customHeight="false" outlineLevel="0" collapsed="false">
      <c r="A38" s="0" t="n">
        <v>2061</v>
      </c>
      <c r="B38" s="0" t="n">
        <v>35</v>
      </c>
      <c r="C38" s="0" t="n">
        <v>4832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2259.203</v>
      </c>
      <c r="I38" s="0" t="n">
        <v>222.18</v>
      </c>
      <c r="J38" s="0" t="n">
        <v>1222.328</v>
      </c>
      <c r="K38" s="0" t="n">
        <v>2053.556</v>
      </c>
      <c r="L38" s="0" t="n">
        <v>910.787</v>
      </c>
      <c r="M38" s="0" t="n">
        <v>116727.512</v>
      </c>
      <c r="N38" s="0" t="n">
        <v>8643.78</v>
      </c>
      <c r="O38" s="0" t="n">
        <v>68.778</v>
      </c>
      <c r="P38" s="0" t="n">
        <v>69.494</v>
      </c>
      <c r="Q38" s="0" t="n">
        <v>695.098</v>
      </c>
      <c r="R38" s="0" t="n">
        <v>1022.889</v>
      </c>
      <c r="S38" s="0" t="n">
        <v>2828.339</v>
      </c>
      <c r="T38" s="0" t="n">
        <v>2481.383</v>
      </c>
      <c r="U38" s="0" t="n">
        <v>1844.391</v>
      </c>
      <c r="V38" s="0" t="n">
        <v>161566.968</v>
      </c>
      <c r="W38" s="0" t="n">
        <v>217.743</v>
      </c>
      <c r="X38" s="0" t="n">
        <v>586.809</v>
      </c>
      <c r="Y38" s="0" t="n">
        <v>68.778</v>
      </c>
      <c r="Z38" s="0" t="n">
        <v>729.012</v>
      </c>
      <c r="AA38" s="0" t="n">
        <f aca="false">H38*x_c_F+I38*x_c_CC+J38*x_c_DC+K38*x_c_HCC+L38*x_c_PLT+M38*x_c_SVRn+N38*x_c_SVRcc+O38*x_c_LT+P38*x_c_LT1</f>
        <v>310107172.985867</v>
      </c>
      <c r="AB38" s="0" t="n">
        <f aca="false">C38*x_c_DAA</f>
        <v>109976320</v>
      </c>
      <c r="AC38" s="0" t="n">
        <f aca="false">C38*x_c_MON</f>
        <v>27857107.6100244</v>
      </c>
      <c r="AD38" s="0" t="n">
        <f aca="false">D38*(1-x_testy)</f>
        <v>0</v>
      </c>
      <c r="AE38" s="0" t="n">
        <f aca="false">E38*(1-x_testy)</f>
        <v>0</v>
      </c>
      <c r="AF38" s="0" t="n">
        <f aca="false">F38*x_NAV</f>
        <v>0</v>
      </c>
      <c r="AG38" s="0" t="n">
        <f aca="false">G38*x_FIX*(1-x_testy)</f>
        <v>0</v>
      </c>
      <c r="AH38" s="0" t="n">
        <f aca="false">x_z_F*U38+(1-x_AGRI)*x_EMP*x_WLOSS*(x_PEN_K74*Q38+x_PEN_C22*R38)</f>
        <v>22459824.4197513</v>
      </c>
      <c r="AI38" s="0" t="n">
        <f aca="false">x_AGRI*x_EMP*x_WLOSS*(x_PEN_K74*Q38+x_PEN_C22*R38)</f>
        <v>1233914.26798618</v>
      </c>
      <c r="AJ38" s="0" t="n">
        <f aca="false">x_EMP*x_WAGE*(x_WLOSS*(Q38+R38)+S38)+U38*x_ABS_D*x_WAGE/365</f>
        <v>340513250.358716</v>
      </c>
      <c r="AK38" s="0" t="n">
        <f aca="false">AJ38*x_R_FUS</f>
        <v>107738392.413498</v>
      </c>
      <c r="AL38" s="0" t="n">
        <f aca="false">AJ38*x_R_NFZ</f>
        <v>26444599.5361082</v>
      </c>
      <c r="AM38" s="0" t="n">
        <f aca="false">AJ38*x_R_PIT</f>
        <v>22638742.1333983</v>
      </c>
      <c r="AN38" s="0" t="n">
        <f aca="false">AJ38*x_R_FP</f>
        <v>8683087.88414725</v>
      </c>
      <c r="AO38" s="0" t="n">
        <f aca="false">AA38+AB38+AC38+AD38+AF38</f>
        <v>447940600.595892</v>
      </c>
      <c r="AP38" s="0" t="n">
        <f aca="false">AO38+AE38+AG38+AH38+AI38+AK38+AL38+AM38+AN38</f>
        <v>637139161.250781</v>
      </c>
      <c r="AQ38" s="0" t="n">
        <f aca="false">AO38+AE38+AG38+AJ38</f>
        <v>788453850.954608</v>
      </c>
      <c r="AR38" s="0" t="n">
        <f aca="false">AB38+AC38+AD38+AF38</f>
        <v>137833427.610024</v>
      </c>
      <c r="AS38" s="0" t="n">
        <f aca="false">AR38+AE38+AG38</f>
        <v>137833427.610024</v>
      </c>
    </row>
    <row r="39" customFormat="false" ht="15" hidden="false" customHeight="false" outlineLevel="0" collapsed="false">
      <c r="A39" s="0" t="n">
        <v>2062</v>
      </c>
      <c r="B39" s="0" t="n">
        <v>36</v>
      </c>
      <c r="C39" s="0" t="n">
        <v>4832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2261.383</v>
      </c>
      <c r="I39" s="0" t="n">
        <v>219.43</v>
      </c>
      <c r="J39" s="0" t="n">
        <v>1197.56</v>
      </c>
      <c r="K39" s="0" t="n">
        <v>2019.062</v>
      </c>
      <c r="L39" s="0" t="n">
        <v>883.372</v>
      </c>
      <c r="M39" s="0" t="n">
        <v>118966.405</v>
      </c>
      <c r="N39" s="0" t="n">
        <v>8561.16</v>
      </c>
      <c r="O39" s="0" t="n">
        <v>67.405</v>
      </c>
      <c r="P39" s="0" t="n">
        <v>68.091</v>
      </c>
      <c r="Q39" s="0" t="n">
        <v>688.482</v>
      </c>
      <c r="R39" s="0" t="n">
        <v>1013.224</v>
      </c>
      <c r="S39" s="0" t="n">
        <v>2804.248</v>
      </c>
      <c r="T39" s="0" t="n">
        <v>2480.813</v>
      </c>
      <c r="U39" s="0" t="n">
        <v>1843.976</v>
      </c>
      <c r="V39" s="0" t="n">
        <v>162908.327</v>
      </c>
      <c r="W39" s="0" t="n">
        <v>214.298</v>
      </c>
      <c r="X39" s="0" t="n">
        <v>578.202</v>
      </c>
      <c r="Y39" s="0" t="n">
        <v>67.405</v>
      </c>
      <c r="Z39" s="0" t="n">
        <v>715.29</v>
      </c>
      <c r="AA39" s="0" t="n">
        <f aca="false">H39*x_c_F+I39*x_c_CC+J39*x_c_DC+K39*x_c_HCC+L39*x_c_PLT+M39*x_c_SVRn+N39*x_c_SVRcc+O39*x_c_LT+P39*x_c_LT1</f>
        <v>307218783.439887</v>
      </c>
      <c r="AB39" s="0" t="n">
        <f aca="false">C39*x_c_DAA</f>
        <v>109976320</v>
      </c>
      <c r="AC39" s="0" t="n">
        <f aca="false">C39*x_c_MON</f>
        <v>27857107.6100244</v>
      </c>
      <c r="AD39" s="0" t="n">
        <f aca="false">D39*(1-x_testy)</f>
        <v>0</v>
      </c>
      <c r="AE39" s="0" t="n">
        <f aca="false">E39*(1-x_testy)</f>
        <v>0</v>
      </c>
      <c r="AF39" s="0" t="n">
        <f aca="false">F39*x_NAV</f>
        <v>0</v>
      </c>
      <c r="AG39" s="0" t="n">
        <f aca="false">G39*x_FIX*(1-x_testy)</f>
        <v>0</v>
      </c>
      <c r="AH39" s="0" t="n">
        <f aca="false">x_z_F*U39+(1-x_AGRI)*x_EMP*x_WLOSS*(x_PEN_K74*Q39+x_PEN_C22*R39)</f>
        <v>22282098.5641188</v>
      </c>
      <c r="AI39" s="0" t="n">
        <f aca="false">x_AGRI*x_EMP*x_WLOSS*(x_PEN_K74*Q39+x_PEN_C22*R39)</f>
        <v>1222223.32494563</v>
      </c>
      <c r="AJ39" s="0" t="n">
        <f aca="false">x_EMP*x_WAGE*(x_WLOSS*(Q39+R39)+S39)+U39*x_ABS_D*x_WAGE/365</f>
        <v>337567676.81469</v>
      </c>
      <c r="AK39" s="0" t="n">
        <f aca="false">AJ39*x_R_FUS</f>
        <v>106806412.944168</v>
      </c>
      <c r="AL39" s="0" t="n">
        <f aca="false">AJ39*x_R_NFZ</f>
        <v>26215843.3491057</v>
      </c>
      <c r="AM39" s="0" t="n">
        <f aca="false">AJ39*x_R_PIT</f>
        <v>22442908.1098238</v>
      </c>
      <c r="AN39" s="0" t="n">
        <f aca="false">AJ39*x_R_FP</f>
        <v>8607975.7587746</v>
      </c>
      <c r="AO39" s="0" t="n">
        <f aca="false">AA39+AB39+AC39+AD39+AF39</f>
        <v>445052211.049912</v>
      </c>
      <c r="AP39" s="0" t="n">
        <f aca="false">AO39+AE39+AG39+AH39+AI39+AK39+AL39+AM39+AN39</f>
        <v>632629673.100848</v>
      </c>
      <c r="AQ39" s="0" t="n">
        <f aca="false">AO39+AE39+AG39+AJ39</f>
        <v>782619887.864602</v>
      </c>
      <c r="AR39" s="0" t="n">
        <f aca="false">AB39+AC39+AD39+AF39</f>
        <v>137833427.610024</v>
      </c>
      <c r="AS39" s="0" t="n">
        <f aca="false">AR39+AE39+AG39</f>
        <v>137833427.610024</v>
      </c>
    </row>
    <row r="40" customFormat="false" ht="15" hidden="false" customHeight="false" outlineLevel="0" collapsed="false">
      <c r="A40" s="0" t="n">
        <v>2063</v>
      </c>
      <c r="B40" s="0" t="n">
        <v>37</v>
      </c>
      <c r="C40" s="0" t="n">
        <v>4832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2263.308</v>
      </c>
      <c r="I40" s="0" t="n">
        <v>216.963</v>
      </c>
      <c r="J40" s="0" t="n">
        <v>1174.098</v>
      </c>
      <c r="K40" s="0" t="n">
        <v>1986.441</v>
      </c>
      <c r="L40" s="0" t="n">
        <v>855.403</v>
      </c>
      <c r="M40" s="0" t="n">
        <v>121126.8</v>
      </c>
      <c r="N40" s="0" t="n">
        <v>8466.84</v>
      </c>
      <c r="O40" s="0" t="n">
        <v>66.117</v>
      </c>
      <c r="P40" s="0" t="n">
        <v>66.761</v>
      </c>
      <c r="Q40" s="0" t="n">
        <v>682.052</v>
      </c>
      <c r="R40" s="0" t="n">
        <v>1003.856</v>
      </c>
      <c r="S40" s="0" t="n">
        <v>2780.678</v>
      </c>
      <c r="T40" s="0" t="n">
        <v>2480.271</v>
      </c>
      <c r="U40" s="0" t="n">
        <v>1843.443</v>
      </c>
      <c r="V40" s="0" t="n">
        <v>164198.772</v>
      </c>
      <c r="W40" s="0" t="n">
        <v>211.118</v>
      </c>
      <c r="X40" s="0" t="n">
        <v>570.173</v>
      </c>
      <c r="Y40" s="0" t="n">
        <v>66.117</v>
      </c>
      <c r="Z40" s="0" t="n">
        <v>702.338</v>
      </c>
      <c r="AA40" s="0" t="n">
        <f aca="false">H40*x_c_F+I40*x_c_CC+J40*x_c_DC+K40*x_c_HCC+L40*x_c_PLT+M40*x_c_SVRn+N40*x_c_SVRcc+O40*x_c_LT+P40*x_c_LT1</f>
        <v>304407415.27687</v>
      </c>
      <c r="AB40" s="0" t="n">
        <f aca="false">C40*x_c_DAA</f>
        <v>109976320</v>
      </c>
      <c r="AC40" s="0" t="n">
        <f aca="false">C40*x_c_MON</f>
        <v>27857107.6100244</v>
      </c>
      <c r="AD40" s="0" t="n">
        <f aca="false">D40*(1-x_testy)</f>
        <v>0</v>
      </c>
      <c r="AE40" s="0" t="n">
        <f aca="false">E40*(1-x_testy)</f>
        <v>0</v>
      </c>
      <c r="AF40" s="0" t="n">
        <f aca="false">F40*x_NAV</f>
        <v>0</v>
      </c>
      <c r="AG40" s="0" t="n">
        <f aca="false">G40*x_FIX*(1-x_testy)</f>
        <v>0</v>
      </c>
      <c r="AH40" s="0" t="n">
        <f aca="false">x_z_F*U40+(1-x_AGRI)*x_EMP*x_WLOSS*(x_PEN_K74*Q40+x_PEN_C22*R40)</f>
        <v>22109391.3903312</v>
      </c>
      <c r="AI40" s="0" t="n">
        <f aca="false">x_AGRI*x_EMP*x_WLOSS*(x_PEN_K74*Q40+x_PEN_C22*R40)</f>
        <v>1210880.14233916</v>
      </c>
      <c r="AJ40" s="0" t="n">
        <f aca="false">x_EMP*x_WAGE*(x_WLOSS*(Q40+R40)+S40)+U40*x_ABS_D*x_WAGE/365</f>
        <v>334692590.749453</v>
      </c>
      <c r="AK40" s="0" t="n">
        <f aca="false">AJ40*x_R_FUS</f>
        <v>105896735.713127</v>
      </c>
      <c r="AL40" s="0" t="n">
        <f aca="false">AJ40*x_R_NFZ</f>
        <v>25992561.2901932</v>
      </c>
      <c r="AM40" s="0" t="n">
        <f aca="false">AJ40*x_R_PIT</f>
        <v>22251760.388043</v>
      </c>
      <c r="AN40" s="0" t="n">
        <f aca="false">AJ40*x_R_FP</f>
        <v>8534661.06411104</v>
      </c>
      <c r="AO40" s="0" t="n">
        <f aca="false">AA40+AB40+AC40+AD40+AF40</f>
        <v>442240842.886894</v>
      </c>
      <c r="AP40" s="0" t="n">
        <f aca="false">AO40+AE40+AG40+AH40+AI40+AK40+AL40+AM40+AN40</f>
        <v>628236832.875039</v>
      </c>
      <c r="AQ40" s="0" t="n">
        <f aca="false">AO40+AE40+AG40+AJ40</f>
        <v>776933433.636347</v>
      </c>
      <c r="AR40" s="0" t="n">
        <f aca="false">AB40+AC40+AD40+AF40</f>
        <v>137833427.610024</v>
      </c>
      <c r="AS40" s="0" t="n">
        <f aca="false">AR40+AE40+AG40</f>
        <v>137833427.610024</v>
      </c>
    </row>
    <row r="41" customFormat="false" ht="15" hidden="false" customHeight="false" outlineLevel="0" collapsed="false">
      <c r="A41" s="0" t="n">
        <v>2064</v>
      </c>
      <c r="B41" s="0" t="n">
        <v>38</v>
      </c>
      <c r="C41" s="0" t="n">
        <v>4832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2264.953</v>
      </c>
      <c r="I41" s="0" t="n">
        <v>214.806</v>
      </c>
      <c r="J41" s="0" t="n">
        <v>1152.386</v>
      </c>
      <c r="K41" s="0" t="n">
        <v>1956.265</v>
      </c>
      <c r="L41" s="0" t="n">
        <v>827.594</v>
      </c>
      <c r="M41" s="0" t="n">
        <v>123225.724</v>
      </c>
      <c r="N41" s="0" t="n">
        <v>8366.393</v>
      </c>
      <c r="O41" s="0" t="n">
        <v>64.938</v>
      </c>
      <c r="P41" s="0" t="n">
        <v>65.527</v>
      </c>
      <c r="Q41" s="0" t="n">
        <v>675.807</v>
      </c>
      <c r="R41" s="0" t="n">
        <v>994.781</v>
      </c>
      <c r="S41" s="0" t="n">
        <v>2757.624</v>
      </c>
      <c r="T41" s="0" t="n">
        <v>2479.759</v>
      </c>
      <c r="U41" s="0" t="n">
        <v>1842.748</v>
      </c>
      <c r="V41" s="0" t="n">
        <v>165456.735</v>
      </c>
      <c r="W41" s="0" t="n">
        <v>208.249</v>
      </c>
      <c r="X41" s="0" t="n">
        <v>562.851</v>
      </c>
      <c r="Y41" s="0" t="n">
        <v>64.938</v>
      </c>
      <c r="Z41" s="0" t="n">
        <v>690.401</v>
      </c>
      <c r="AA41" s="0" t="n">
        <f aca="false">H41*x_c_F+I41*x_c_CC+J41*x_c_DC+K41*x_c_HCC+L41*x_c_PLT+M41*x_c_SVRn+N41*x_c_SVRcc+O41*x_c_LT+P41*x_c_LT1</f>
        <v>301774836.187654</v>
      </c>
      <c r="AB41" s="0" t="n">
        <f aca="false">C41*x_c_DAA</f>
        <v>109976320</v>
      </c>
      <c r="AC41" s="0" t="n">
        <f aca="false">C41*x_c_MON</f>
        <v>27857107.6100244</v>
      </c>
      <c r="AD41" s="0" t="n">
        <f aca="false">D41*(1-x_testy)</f>
        <v>0</v>
      </c>
      <c r="AE41" s="0" t="n">
        <f aca="false">E41*(1-x_testy)</f>
        <v>0</v>
      </c>
      <c r="AF41" s="0" t="n">
        <f aca="false">F41*x_NAV</f>
        <v>0</v>
      </c>
      <c r="AG41" s="0" t="n">
        <f aca="false">G41*x_FIX*(1-x_testy)</f>
        <v>0</v>
      </c>
      <c r="AH41" s="0" t="n">
        <f aca="false">x_z_F*U41+(1-x_AGRI)*x_EMP*x_WLOSS*(x_PEN_K74*Q41+x_PEN_C22*R41)</f>
        <v>21941556.7046998</v>
      </c>
      <c r="AI41" s="0" t="n">
        <f aca="false">x_AGRI*x_EMP*x_WLOSS*(x_PEN_K74*Q41+x_PEN_C22*R41)</f>
        <v>1199881.0362697</v>
      </c>
      <c r="AJ41" s="0" t="n">
        <f aca="false">x_EMP*x_WAGE*(x_WLOSS*(Q41+R41)+S41)+U41*x_ABS_D*x_WAGE/365</f>
        <v>331887163.184713</v>
      </c>
      <c r="AK41" s="0" t="n">
        <f aca="false">AJ41*x_R_FUS</f>
        <v>105009098.431643</v>
      </c>
      <c r="AL41" s="0" t="n">
        <f aca="false">AJ41*x_R_NFZ</f>
        <v>25774688.980088</v>
      </c>
      <c r="AM41" s="0" t="n">
        <f aca="false">AJ41*x_R_PIT</f>
        <v>22065243.8541192</v>
      </c>
      <c r="AN41" s="0" t="n">
        <f aca="false">AJ41*x_R_FP</f>
        <v>8463122.66121019</v>
      </c>
      <c r="AO41" s="0" t="n">
        <f aca="false">AA41+AB41+AC41+AD41+AF41</f>
        <v>439608263.797678</v>
      </c>
      <c r="AP41" s="0" t="n">
        <f aca="false">AO41+AE41+AG41+AH41+AI41+AK41+AL41+AM41+AN41</f>
        <v>624061855.465708</v>
      </c>
      <c r="AQ41" s="0" t="n">
        <f aca="false">AO41+AE41+AG41+AJ41</f>
        <v>771495426.982391</v>
      </c>
      <c r="AR41" s="0" t="n">
        <f aca="false">AB41+AC41+AD41+AF41</f>
        <v>137833427.610024</v>
      </c>
      <c r="AS41" s="0" t="n">
        <f aca="false">AR41+AE41+AG41</f>
        <v>137833427.610024</v>
      </c>
    </row>
    <row r="42" customFormat="false" ht="15" hidden="false" customHeight="false" outlineLevel="0" collapsed="false">
      <c r="A42" s="0" t="n">
        <v>2065</v>
      </c>
      <c r="B42" s="0" t="n">
        <v>39</v>
      </c>
      <c r="C42" s="0" t="n">
        <v>4832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2266.31</v>
      </c>
      <c r="I42" s="0" t="n">
        <v>212.97</v>
      </c>
      <c r="J42" s="0" t="n">
        <v>1132.792</v>
      </c>
      <c r="K42" s="0" t="n">
        <v>1929.01</v>
      </c>
      <c r="L42" s="0" t="n">
        <v>800.673</v>
      </c>
      <c r="M42" s="0" t="n">
        <v>125281.968</v>
      </c>
      <c r="N42" s="0" t="n">
        <v>8265.587</v>
      </c>
      <c r="O42" s="0" t="n">
        <v>63.886</v>
      </c>
      <c r="P42" s="0" t="n">
        <v>64.412</v>
      </c>
      <c r="Q42" s="0" t="n">
        <v>669.741</v>
      </c>
      <c r="R42" s="0" t="n">
        <v>985.995</v>
      </c>
      <c r="S42" s="0" t="n">
        <v>2735.075</v>
      </c>
      <c r="T42" s="0" t="n">
        <v>2479.28</v>
      </c>
      <c r="U42" s="0" t="n">
        <v>1841.874</v>
      </c>
      <c r="V42" s="0" t="n">
        <v>166701.401</v>
      </c>
      <c r="W42" s="0" t="n">
        <v>205.72</v>
      </c>
      <c r="X42" s="0" t="n">
        <v>556.325</v>
      </c>
      <c r="Y42" s="0" t="n">
        <v>63.886</v>
      </c>
      <c r="Z42" s="0" t="n">
        <v>679.673</v>
      </c>
      <c r="AA42" s="0" t="n">
        <f aca="false">H42*x_c_F+I42*x_c_CC+J42*x_c_DC+K42*x_c_HCC+L42*x_c_PLT+M42*x_c_SVRn+N42*x_c_SVRcc+O42*x_c_LT+P42*x_c_LT1</f>
        <v>299415370.797896</v>
      </c>
      <c r="AB42" s="0" t="n">
        <f aca="false">C42*x_c_DAA</f>
        <v>109976320</v>
      </c>
      <c r="AC42" s="0" t="n">
        <f aca="false">C42*x_c_MON</f>
        <v>27857107.6100244</v>
      </c>
      <c r="AD42" s="0" t="n">
        <f aca="false">D42*(1-x_testy)</f>
        <v>0</v>
      </c>
      <c r="AE42" s="0" t="n">
        <f aca="false">E42*(1-x_testy)</f>
        <v>0</v>
      </c>
      <c r="AF42" s="0" t="n">
        <f aca="false">F42*x_NAV</f>
        <v>0</v>
      </c>
      <c r="AG42" s="0" t="n">
        <f aca="false">G42*x_FIX*(1-x_testy)</f>
        <v>0</v>
      </c>
      <c r="AH42" s="0" t="n">
        <f aca="false">x_z_F*U42+(1-x_AGRI)*x_EMP*x_WLOSS*(x_PEN_K74*Q42+x_PEN_C22*R42)</f>
        <v>21778453.5749452</v>
      </c>
      <c r="AI42" s="0" t="n">
        <f aca="false">x_AGRI*x_EMP*x_WLOSS*(x_PEN_K74*Q42+x_PEN_C22*R42)</f>
        <v>1189219.00153923</v>
      </c>
      <c r="AJ42" s="0" t="n">
        <f aca="false">x_EMP*x_WAGE*(x_WLOSS*(Q42+R42)+S42)+U42*x_ABS_D*x_WAGE/365</f>
        <v>329149859.45855</v>
      </c>
      <c r="AK42" s="0" t="n">
        <f aca="false">AJ42*x_R_FUS</f>
        <v>104143015.532685</v>
      </c>
      <c r="AL42" s="0" t="n">
        <f aca="false">AJ42*x_R_NFZ</f>
        <v>25562107.2354104</v>
      </c>
      <c r="AM42" s="0" t="n">
        <f aca="false">AJ42*x_R_PIT</f>
        <v>21883256.4773222</v>
      </c>
      <c r="AN42" s="0" t="n">
        <f aca="false">AJ42*x_R_FP</f>
        <v>8393321.41619302</v>
      </c>
      <c r="AO42" s="0" t="n">
        <f aca="false">AA42+AB42+AC42+AD42+AF42</f>
        <v>437248798.40792</v>
      </c>
      <c r="AP42" s="0" t="n">
        <f aca="false">AO42+AE42+AG42+AH42+AI42+AK42+AL42+AM42+AN42</f>
        <v>620198171.646015</v>
      </c>
      <c r="AQ42" s="0" t="n">
        <f aca="false">AO42+AE42+AG42+AJ42</f>
        <v>766398657.86647</v>
      </c>
      <c r="AR42" s="0" t="n">
        <f aca="false">AB42+AC42+AD42+AF42</f>
        <v>137833427.610024</v>
      </c>
      <c r="AS42" s="0" t="n">
        <f aca="false">AR42+AE42+AG42</f>
        <v>137833427.610024</v>
      </c>
    </row>
    <row r="43" customFormat="false" ht="15" hidden="false" customHeight="false" outlineLevel="0" collapsed="false">
      <c r="A43" s="0" t="n">
        <v>2066</v>
      </c>
      <c r="B43" s="0" t="n">
        <v>40</v>
      </c>
      <c r="C43" s="0" t="n">
        <v>4832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2267.389</v>
      </c>
      <c r="I43" s="0" t="n">
        <v>211.444</v>
      </c>
      <c r="J43" s="0" t="n">
        <v>1115.56</v>
      </c>
      <c r="K43" s="0" t="n">
        <v>1904.98</v>
      </c>
      <c r="L43" s="0" t="n">
        <v>775.298</v>
      </c>
      <c r="M43" s="0" t="n">
        <v>127313.606</v>
      </c>
      <c r="N43" s="0" t="n">
        <v>8169.754</v>
      </c>
      <c r="O43" s="0" t="n">
        <v>62.973</v>
      </c>
      <c r="P43" s="0" t="n">
        <v>63.43</v>
      </c>
      <c r="Q43" s="0" t="n">
        <v>663.852</v>
      </c>
      <c r="R43" s="0" t="n">
        <v>977.492</v>
      </c>
      <c r="S43" s="0" t="n">
        <v>2713.012</v>
      </c>
      <c r="T43" s="0" t="n">
        <v>2478.833</v>
      </c>
      <c r="U43" s="0" t="n">
        <v>1840.828</v>
      </c>
      <c r="V43" s="0" t="n">
        <v>167950.12</v>
      </c>
      <c r="W43" s="0" t="n">
        <v>203.535</v>
      </c>
      <c r="X43" s="0" t="n">
        <v>550.634</v>
      </c>
      <c r="Y43" s="0" t="n">
        <v>62.973</v>
      </c>
      <c r="Z43" s="0" t="n">
        <v>670.271</v>
      </c>
      <c r="AA43" s="0" t="n">
        <f aca="false">H43*x_c_F+I43*x_c_CC+J43*x_c_DC+K43*x_c_HCC+L43*x_c_PLT+M43*x_c_SVRn+N43*x_c_SVRcc+O43*x_c_LT+P43*x_c_LT1</f>
        <v>297403879.55235</v>
      </c>
      <c r="AB43" s="0" t="n">
        <f aca="false">C43*x_c_DAA</f>
        <v>109976320</v>
      </c>
      <c r="AC43" s="0" t="n">
        <f aca="false">C43*x_c_MON</f>
        <v>27857107.6100244</v>
      </c>
      <c r="AD43" s="0" t="n">
        <f aca="false">D43*(1-x_testy)</f>
        <v>0</v>
      </c>
      <c r="AE43" s="0" t="n">
        <f aca="false">E43*(1-x_testy)</f>
        <v>0</v>
      </c>
      <c r="AF43" s="0" t="n">
        <f aca="false">F43*x_NAV</f>
        <v>0</v>
      </c>
      <c r="AG43" s="0" t="n">
        <f aca="false">G43*x_FIX*(1-x_testy)</f>
        <v>0</v>
      </c>
      <c r="AH43" s="0" t="n">
        <f aca="false">x_z_F*U43+(1-x_AGRI)*x_EMP*x_WLOSS*(x_PEN_K74*Q43+x_PEN_C22*R43)</f>
        <v>21620007.7669104</v>
      </c>
      <c r="AI43" s="0" t="n">
        <f aca="false">x_AGRI*x_EMP*x_WLOSS*(x_PEN_K74*Q43+x_PEN_C22*R43)</f>
        <v>1178888.18017204</v>
      </c>
      <c r="AJ43" s="0" t="n">
        <f aca="false">x_EMP*x_WAGE*(x_WLOSS*(Q43+R43)+S43)+U43*x_ABS_D*x_WAGE/365</f>
        <v>326478642.694788</v>
      </c>
      <c r="AK43" s="0" t="n">
        <f aca="false">AJ43*x_R_FUS</f>
        <v>103297842.548631</v>
      </c>
      <c r="AL43" s="0" t="n">
        <f aca="false">AJ43*x_R_NFZ</f>
        <v>25354657.8703199</v>
      </c>
      <c r="AM43" s="0" t="n">
        <f aca="false">AJ43*x_R_PIT</f>
        <v>21705662.8376224</v>
      </c>
      <c r="AN43" s="0" t="n">
        <f aca="false">AJ43*x_R_FP</f>
        <v>8325205.38871709</v>
      </c>
      <c r="AO43" s="0" t="n">
        <f aca="false">AA43+AB43+AC43+AD43+AF43</f>
        <v>435237307.162374</v>
      </c>
      <c r="AP43" s="0" t="n">
        <f aca="false">AO43+AE43+AG43+AH43+AI43+AK43+AL43+AM43+AN43</f>
        <v>616719571.754747</v>
      </c>
      <c r="AQ43" s="0" t="n">
        <f aca="false">AO43+AE43+AG43+AJ43</f>
        <v>761715949.857162</v>
      </c>
      <c r="AR43" s="0" t="n">
        <f aca="false">AB43+AC43+AD43+AF43</f>
        <v>137833427.610024</v>
      </c>
      <c r="AS43" s="0" t="n">
        <f aca="false">AR43+AE43+AG43</f>
        <v>137833427.610024</v>
      </c>
    </row>
    <row r="44" customFormat="false" ht="15" hidden="false" customHeight="false" outlineLevel="0" collapsed="false">
      <c r="A44" s="0" t="n">
        <v>2067</v>
      </c>
      <c r="B44" s="0" t="n">
        <v>41</v>
      </c>
      <c r="C44" s="0" t="n">
        <v>4832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2268.218</v>
      </c>
      <c r="I44" s="0" t="n">
        <v>210.197</v>
      </c>
      <c r="J44" s="0" t="n">
        <v>1100.769</v>
      </c>
      <c r="K44" s="0" t="n">
        <v>1884.255</v>
      </c>
      <c r="L44" s="0" t="n">
        <v>751.985</v>
      </c>
      <c r="M44" s="0" t="n">
        <v>129335.156</v>
      </c>
      <c r="N44" s="0" t="n">
        <v>8083.124</v>
      </c>
      <c r="O44" s="0" t="n">
        <v>62.199</v>
      </c>
      <c r="P44" s="0" t="n">
        <v>62.586</v>
      </c>
      <c r="Q44" s="0" t="n">
        <v>658.133</v>
      </c>
      <c r="R44" s="0" t="n">
        <v>969.266</v>
      </c>
      <c r="S44" s="0" t="n">
        <v>2691.408</v>
      </c>
      <c r="T44" s="0" t="n">
        <v>2478.415</v>
      </c>
      <c r="U44" s="0" t="n">
        <v>1839.649</v>
      </c>
      <c r="V44" s="0" t="n">
        <v>169215.646</v>
      </c>
      <c r="W44" s="0" t="n">
        <v>201.676</v>
      </c>
      <c r="X44" s="0" t="n">
        <v>545.744</v>
      </c>
      <c r="Y44" s="0" t="n">
        <v>62.199</v>
      </c>
      <c r="Z44" s="0" t="n">
        <v>662.207</v>
      </c>
      <c r="AA44" s="0" t="n">
        <f aca="false">H44*x_c_F+I44*x_c_CC+J44*x_c_DC+K44*x_c_HCC+L44*x_c_PLT+M44*x_c_SVRn+N44*x_c_SVRcc+O44*x_c_LT+P44*x_c_LT1</f>
        <v>295783850.802257</v>
      </c>
      <c r="AB44" s="0" t="n">
        <f aca="false">C44*x_c_DAA</f>
        <v>109976320</v>
      </c>
      <c r="AC44" s="0" t="n">
        <f aca="false">C44*x_c_MON</f>
        <v>27857107.6100244</v>
      </c>
      <c r="AD44" s="0" t="n">
        <f aca="false">D44*(1-x_testy)</f>
        <v>0</v>
      </c>
      <c r="AE44" s="0" t="n">
        <f aca="false">E44*(1-x_testy)</f>
        <v>0</v>
      </c>
      <c r="AF44" s="0" t="n">
        <f aca="false">F44*x_NAV</f>
        <v>0</v>
      </c>
      <c r="AG44" s="0" t="n">
        <f aca="false">G44*x_FIX*(1-x_testy)</f>
        <v>0</v>
      </c>
      <c r="AH44" s="0" t="n">
        <f aca="false">x_z_F*U44+(1-x_AGRI)*x_EMP*x_WLOSS*(x_PEN_K74*Q44+x_PEN_C22*R44)</f>
        <v>21466160.5873806</v>
      </c>
      <c r="AI44" s="0" t="n">
        <f aca="false">x_AGRI*x_EMP*x_WLOSS*(x_PEN_K74*Q44+x_PEN_C22*R44)</f>
        <v>1168879.39289147</v>
      </c>
      <c r="AJ44" s="0" t="n">
        <f aca="false">x_EMP*x_WAGE*(x_WLOSS*(Q44+R44)+S44)+U44*x_ABS_D*x_WAGE/365</f>
        <v>323870614.499621</v>
      </c>
      <c r="AK44" s="0" t="n">
        <f aca="false">AJ44*x_R_FUS</f>
        <v>102472662.42768</v>
      </c>
      <c r="AL44" s="0" t="n">
        <f aca="false">AJ44*x_R_NFZ</f>
        <v>25152115.7926551</v>
      </c>
      <c r="AM44" s="0" t="n">
        <f aca="false">AJ44*x_R_PIT</f>
        <v>21532270.237702</v>
      </c>
      <c r="AN44" s="0" t="n">
        <f aca="false">AJ44*x_R_FP</f>
        <v>8258700.66974034</v>
      </c>
      <c r="AO44" s="0" t="n">
        <f aca="false">AA44+AB44+AC44+AD44+AF44</f>
        <v>433617278.412281</v>
      </c>
      <c r="AP44" s="0" t="n">
        <f aca="false">AO44+AE44+AG44+AH44+AI44+AK44+AL44+AM44+AN44</f>
        <v>613668067.520331</v>
      </c>
      <c r="AQ44" s="0" t="n">
        <f aca="false">AO44+AE44+AG44+AJ44</f>
        <v>757487892.911903</v>
      </c>
      <c r="AR44" s="0" t="n">
        <f aca="false">AB44+AC44+AD44+AF44</f>
        <v>137833427.610024</v>
      </c>
      <c r="AS44" s="0" t="n">
        <f aca="false">AR44+AE44+AG44</f>
        <v>137833427.610024</v>
      </c>
    </row>
    <row r="45" customFormat="false" ht="15" hidden="false" customHeight="false" outlineLevel="0" collapsed="false">
      <c r="A45" s="0" t="n">
        <v>2068</v>
      </c>
      <c r="B45" s="0" t="n">
        <v>42</v>
      </c>
      <c r="C45" s="0" t="n">
        <v>4832</v>
      </c>
      <c r="D45" s="0" t="n">
        <v>0</v>
      </c>
      <c r="E45" s="0" t="n">
        <v>0</v>
      </c>
      <c r="F45" s="0" t="n">
        <v>0</v>
      </c>
      <c r="G45" s="0" t="n">
        <v>0</v>
      </c>
      <c r="H45" s="0" t="n">
        <v>2268.841</v>
      </c>
      <c r="I45" s="0" t="n">
        <v>209.182</v>
      </c>
      <c r="J45" s="0" t="n">
        <v>1088.352</v>
      </c>
      <c r="K45" s="0" t="n">
        <v>1866.715</v>
      </c>
      <c r="L45" s="0" t="n">
        <v>731.096</v>
      </c>
      <c r="M45" s="0" t="n">
        <v>131357.43</v>
      </c>
      <c r="N45" s="0" t="n">
        <v>8008.788</v>
      </c>
      <c r="O45" s="0" t="n">
        <v>61.557</v>
      </c>
      <c r="P45" s="0" t="n">
        <v>61.878</v>
      </c>
      <c r="Q45" s="0" t="n">
        <v>652.58</v>
      </c>
      <c r="R45" s="0" t="n">
        <v>961.312</v>
      </c>
      <c r="S45" s="0" t="n">
        <v>2670.226</v>
      </c>
      <c r="T45" s="0" t="n">
        <v>2478.023</v>
      </c>
      <c r="U45" s="0" t="n">
        <v>1838.39</v>
      </c>
      <c r="V45" s="0" t="n">
        <v>170506.3</v>
      </c>
      <c r="W45" s="0" t="n">
        <v>200.105</v>
      </c>
      <c r="X45" s="0" t="n">
        <v>541.586</v>
      </c>
      <c r="Y45" s="0" t="n">
        <v>61.557</v>
      </c>
      <c r="Z45" s="0" t="n">
        <v>655.443</v>
      </c>
      <c r="AA45" s="0" t="n">
        <f aca="false">H45*x_c_F+I45*x_c_CC+J45*x_c_DC+K45*x_c_HCC+L45*x_c_PLT+M45*x_c_SVRn+N45*x_c_SVRcc+O45*x_c_LT+P45*x_c_LT1</f>
        <v>294570503.417759</v>
      </c>
      <c r="AB45" s="0" t="n">
        <f aca="false">C45*x_c_DAA</f>
        <v>109976320</v>
      </c>
      <c r="AC45" s="0" t="n">
        <f aca="false">C45*x_c_MON</f>
        <v>27857107.6100244</v>
      </c>
      <c r="AD45" s="0" t="n">
        <f aca="false">D45*(1-x_testy)</f>
        <v>0</v>
      </c>
      <c r="AE45" s="0" t="n">
        <f aca="false">E45*(1-x_testy)</f>
        <v>0</v>
      </c>
      <c r="AF45" s="0" t="n">
        <f aca="false">F45*x_NAV</f>
        <v>0</v>
      </c>
      <c r="AG45" s="0" t="n">
        <f aca="false">G45*x_FIX*(1-x_testy)</f>
        <v>0</v>
      </c>
      <c r="AH45" s="0" t="n">
        <f aca="false">x_z_F*U45+(1-x_AGRI)*x_EMP*x_WLOSS*(x_PEN_K74*Q45+x_PEN_C22*R45)</f>
        <v>21316923.6957213</v>
      </c>
      <c r="AI45" s="0" t="n">
        <f aca="false">x_AGRI*x_EMP*x_WLOSS*(x_PEN_K74*Q45+x_PEN_C22*R45)</f>
        <v>1159186.20811065</v>
      </c>
      <c r="AJ45" s="0" t="n">
        <f aca="false">x_EMP*x_WAGE*(x_WLOSS*(Q45+R45)+S45)+U45*x_ABS_D*x_WAGE/365</f>
        <v>321322283.742202</v>
      </c>
      <c r="AK45" s="0" t="n">
        <f aca="false">AJ45*x_R_FUS</f>
        <v>101666370.576033</v>
      </c>
      <c r="AL45" s="0" t="n">
        <f aca="false">AJ45*x_R_NFZ</f>
        <v>24954209.8777032</v>
      </c>
      <c r="AM45" s="0" t="n">
        <f aca="false">AJ45*x_R_PIT</f>
        <v>21362846.5726111</v>
      </c>
      <c r="AN45" s="0" t="n">
        <f aca="false">AJ45*x_R_FP</f>
        <v>8193718.23542616</v>
      </c>
      <c r="AO45" s="0" t="n">
        <f aca="false">AA45+AB45+AC45+AD45+AF45</f>
        <v>432403931.027784</v>
      </c>
      <c r="AP45" s="0" t="n">
        <f aca="false">AO45+AE45+AG45+AH45+AI45+AK45+AL45+AM45+AN45</f>
        <v>611057186.193389</v>
      </c>
      <c r="AQ45" s="0" t="n">
        <f aca="false">AO45+AE45+AG45+AJ45</f>
        <v>753726214.769986</v>
      </c>
      <c r="AR45" s="0" t="n">
        <f aca="false">AB45+AC45+AD45+AF45</f>
        <v>137833427.610024</v>
      </c>
      <c r="AS45" s="0" t="n">
        <f aca="false">AR45+AE45+AG45</f>
        <v>137833427.610024</v>
      </c>
    </row>
    <row r="46" customFormat="false" ht="15" hidden="false" customHeight="false" outlineLevel="0" collapsed="false">
      <c r="A46" s="0" t="n">
        <v>2069</v>
      </c>
      <c r="B46" s="0" t="n">
        <v>43</v>
      </c>
      <c r="C46" s="0" t="n">
        <v>4832</v>
      </c>
      <c r="D46" s="0" t="n">
        <v>0</v>
      </c>
      <c r="E46" s="0" t="n">
        <v>0</v>
      </c>
      <c r="F46" s="0" t="n">
        <v>0</v>
      </c>
      <c r="G46" s="0" t="n">
        <v>0</v>
      </c>
      <c r="H46" s="0" t="n">
        <v>2269.309</v>
      </c>
      <c r="I46" s="0" t="n">
        <v>208.343</v>
      </c>
      <c r="J46" s="0" t="n">
        <v>1078.13</v>
      </c>
      <c r="K46" s="0" t="n">
        <v>1852.086</v>
      </c>
      <c r="L46" s="0" t="n">
        <v>712.851</v>
      </c>
      <c r="M46" s="0" t="n">
        <v>133387.499</v>
      </c>
      <c r="N46" s="0" t="n">
        <v>7948.723</v>
      </c>
      <c r="O46" s="0" t="n">
        <v>61.035</v>
      </c>
      <c r="P46" s="0" t="n">
        <v>61.296</v>
      </c>
      <c r="Q46" s="0" t="n">
        <v>647.185</v>
      </c>
      <c r="R46" s="0" t="n">
        <v>953.623</v>
      </c>
      <c r="S46" s="0" t="n">
        <v>2649.422</v>
      </c>
      <c r="T46" s="0" t="n">
        <v>2477.652</v>
      </c>
      <c r="U46" s="0" t="n">
        <v>1837.115</v>
      </c>
      <c r="V46" s="0" t="n">
        <v>171826.331</v>
      </c>
      <c r="W46" s="0" t="n">
        <v>198.774</v>
      </c>
      <c r="X46" s="0" t="n">
        <v>538.054</v>
      </c>
      <c r="Y46" s="0" t="n">
        <v>61.035</v>
      </c>
      <c r="Z46" s="0" t="n">
        <v>649.859</v>
      </c>
      <c r="AA46" s="0" t="n">
        <f aca="false">H46*x_c_F+I46*x_c_CC+J46*x_c_DC+K46*x_c_HCC+L46*x_c_PLT+M46*x_c_SVRn+N46*x_c_SVRcc+O46*x_c_LT+P46*x_c_LT1</f>
        <v>293755371.293601</v>
      </c>
      <c r="AB46" s="0" t="n">
        <f aca="false">C46*x_c_DAA</f>
        <v>109976320</v>
      </c>
      <c r="AC46" s="0" t="n">
        <f aca="false">C46*x_c_MON</f>
        <v>27857107.6100244</v>
      </c>
      <c r="AD46" s="0" t="n">
        <f aca="false">D46*(1-x_testy)</f>
        <v>0</v>
      </c>
      <c r="AE46" s="0" t="n">
        <f aca="false">E46*(1-x_testy)</f>
        <v>0</v>
      </c>
      <c r="AF46" s="0" t="n">
        <f aca="false">F46*x_NAV</f>
        <v>0</v>
      </c>
      <c r="AG46" s="0" t="n">
        <f aca="false">G46*x_FIX*(1-x_testy)</f>
        <v>0</v>
      </c>
      <c r="AH46" s="0" t="n">
        <f aca="false">x_z_F*U46+(1-x_AGRI)*x_EMP*x_WLOSS*(x_PEN_K74*Q46+x_PEN_C22*R46)</f>
        <v>21172268.3257233</v>
      </c>
      <c r="AI46" s="0" t="n">
        <f aca="false">x_AGRI*x_EMP*x_WLOSS*(x_PEN_K74*Q46+x_PEN_C22*R46)</f>
        <v>1149798.02738353</v>
      </c>
      <c r="AJ46" s="0" t="n">
        <f aca="false">x_EMP*x_WAGE*(x_WLOSS*(Q46+R46)+S46)+U46*x_ABS_D*x_WAGE/365</f>
        <v>318829266.663139</v>
      </c>
      <c r="AK46" s="0" t="n">
        <f aca="false">AJ46*x_R_FUS</f>
        <v>100877579.972217</v>
      </c>
      <c r="AL46" s="0" t="n">
        <f aca="false">AJ46*x_R_NFZ</f>
        <v>24760599.678326</v>
      </c>
      <c r="AM46" s="0" t="n">
        <f aca="false">AJ46*x_R_PIT</f>
        <v>21197100.3917279</v>
      </c>
      <c r="AN46" s="0" t="n">
        <f aca="false">AJ46*x_R_FP</f>
        <v>8130146.29991004</v>
      </c>
      <c r="AO46" s="0" t="n">
        <f aca="false">AA46+AB46+AC46+AD46+AF46</f>
        <v>431588798.903625</v>
      </c>
      <c r="AP46" s="0" t="n">
        <f aca="false">AO46+AE46+AG46+AH46+AI46+AK46+AL46+AM46+AN46</f>
        <v>608876291.598913</v>
      </c>
      <c r="AQ46" s="0" t="n">
        <f aca="false">AO46+AE46+AG46+AJ46</f>
        <v>750418065.566764</v>
      </c>
      <c r="AR46" s="0" t="n">
        <f aca="false">AB46+AC46+AD46+AF46</f>
        <v>137833427.610024</v>
      </c>
      <c r="AS46" s="0" t="n">
        <f aca="false">AR46+AE46+AG46</f>
        <v>137833427.610024</v>
      </c>
    </row>
    <row r="47" customFormat="false" ht="15" hidden="false" customHeight="false" outlineLevel="0" collapsed="false">
      <c r="A47" s="0" t="n">
        <v>2070</v>
      </c>
      <c r="B47" s="0" t="n">
        <v>44</v>
      </c>
      <c r="C47" s="0" t="n">
        <v>4832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2269.676</v>
      </c>
      <c r="I47" s="0" t="n">
        <v>207.621</v>
      </c>
      <c r="J47" s="0" t="n">
        <v>1069.822</v>
      </c>
      <c r="K47" s="0" t="n">
        <v>1839.959</v>
      </c>
      <c r="L47" s="0" t="n">
        <v>697.311</v>
      </c>
      <c r="M47" s="0" t="n">
        <v>135427.834</v>
      </c>
      <c r="N47" s="0" t="n">
        <v>7903.653</v>
      </c>
      <c r="O47" s="0" t="n">
        <v>60.615</v>
      </c>
      <c r="P47" s="0" t="n">
        <v>60.825</v>
      </c>
      <c r="Q47" s="0" t="n">
        <v>642.001</v>
      </c>
      <c r="R47" s="0" t="n">
        <v>946.255</v>
      </c>
      <c r="S47" s="0" t="n">
        <v>2629.303</v>
      </c>
      <c r="T47" s="0" t="n">
        <v>2477.296</v>
      </c>
      <c r="U47" s="0" t="n">
        <v>1835.904</v>
      </c>
      <c r="V47" s="0" t="n">
        <v>173175.326</v>
      </c>
      <c r="W47" s="0" t="n">
        <v>197.627</v>
      </c>
      <c r="X47" s="0" t="n">
        <v>535.02</v>
      </c>
      <c r="Y47" s="0" t="n">
        <v>60.615</v>
      </c>
      <c r="Z47" s="0" t="n">
        <v>645.296</v>
      </c>
      <c r="AA47" s="0" t="n">
        <f aca="false">H47*x_c_F+I47*x_c_CC+J47*x_c_DC+K47*x_c_HCC+L47*x_c_PLT+M47*x_c_SVRn+N47*x_c_SVRcc+O47*x_c_LT+P47*x_c_LT1</f>
        <v>293306051.970222</v>
      </c>
      <c r="AB47" s="0" t="n">
        <f aca="false">C47*x_c_DAA</f>
        <v>109976320</v>
      </c>
      <c r="AC47" s="0" t="n">
        <f aca="false">C47*x_c_MON</f>
        <v>27857107.6100244</v>
      </c>
      <c r="AD47" s="0" t="n">
        <f aca="false">D47*(1-x_testy)</f>
        <v>0</v>
      </c>
      <c r="AE47" s="0" t="n">
        <f aca="false">E47*(1-x_testy)</f>
        <v>0</v>
      </c>
      <c r="AF47" s="0" t="n">
        <f aca="false">F47*x_NAV</f>
        <v>0</v>
      </c>
      <c r="AG47" s="0" t="n">
        <f aca="false">G47*x_FIX*(1-x_testy)</f>
        <v>0</v>
      </c>
      <c r="AH47" s="0" t="n">
        <f aca="false">x_z_F*U47+(1-x_AGRI)*x_EMP*x_WLOSS*(x_PEN_K74*Q47+x_PEN_C22*R47)</f>
        <v>21033531.1580229</v>
      </c>
      <c r="AI47" s="0" t="n">
        <f aca="false">x_AGRI*x_EMP*x_WLOSS*(x_PEN_K74*Q47+x_PEN_C22*R47)</f>
        <v>1140792.33141655</v>
      </c>
      <c r="AJ47" s="0" t="n">
        <f aca="false">x_EMP*x_WAGE*(x_WLOSS*(Q47+R47)+S47)+U47*x_ABS_D*x_WAGE/365</f>
        <v>316423934.00732</v>
      </c>
      <c r="AK47" s="0" t="n">
        <f aca="false">AJ47*x_R_FUS</f>
        <v>100116532.719916</v>
      </c>
      <c r="AL47" s="0" t="n">
        <f aca="false">AJ47*x_R_NFZ</f>
        <v>24573799.1389425</v>
      </c>
      <c r="AM47" s="0" t="n">
        <f aca="false">AJ47*x_R_PIT</f>
        <v>21037183.8372832</v>
      </c>
      <c r="AN47" s="0" t="n">
        <f aca="false">AJ47*x_R_FP</f>
        <v>8068810.31718667</v>
      </c>
      <c r="AO47" s="0" t="n">
        <f aca="false">AA47+AB47+AC47+AD47+AF47</f>
        <v>431139479.580246</v>
      </c>
      <c r="AP47" s="0" t="n">
        <f aca="false">AO47+AE47+AG47+AH47+AI47+AK47+AL47+AM47+AN47</f>
        <v>607110129.083014</v>
      </c>
      <c r="AQ47" s="0" t="n">
        <f aca="false">AO47+AE47+AG47+AJ47</f>
        <v>747563413.587567</v>
      </c>
      <c r="AR47" s="0" t="n">
        <f aca="false">AB47+AC47+AD47+AF47</f>
        <v>137833427.610024</v>
      </c>
      <c r="AS47" s="0" t="n">
        <f aca="false">AR47+AE47+AG47</f>
        <v>137833427.610024</v>
      </c>
    </row>
    <row r="48" customFormat="false" ht="15" hidden="false" customHeight="false" outlineLevel="0" collapsed="false">
      <c r="A48" s="0" t="n">
        <v>2071</v>
      </c>
      <c r="B48" s="0" t="n">
        <v>45</v>
      </c>
      <c r="C48" s="0" t="n">
        <v>4832</v>
      </c>
      <c r="D48" s="0" t="n">
        <v>0</v>
      </c>
      <c r="E48" s="0" t="n">
        <v>0</v>
      </c>
      <c r="F48" s="0" t="n">
        <v>0</v>
      </c>
      <c r="G48" s="0" t="n">
        <v>0</v>
      </c>
      <c r="H48" s="0" t="n">
        <v>2269.992</v>
      </c>
      <c r="I48" s="0" t="n">
        <v>206.959</v>
      </c>
      <c r="J48" s="0" t="n">
        <v>1063.08</v>
      </c>
      <c r="K48" s="0" t="n">
        <v>1829.842</v>
      </c>
      <c r="L48" s="0" t="n">
        <v>684.387</v>
      </c>
      <c r="M48" s="0" t="n">
        <v>137476.295</v>
      </c>
      <c r="N48" s="0" t="n">
        <v>7873.139</v>
      </c>
      <c r="O48" s="0" t="n">
        <v>60.276</v>
      </c>
      <c r="P48" s="0" t="n">
        <v>60.445</v>
      </c>
      <c r="Q48" s="0" t="n">
        <v>637.082</v>
      </c>
      <c r="R48" s="0" t="n">
        <v>939.265</v>
      </c>
      <c r="S48" s="0" t="n">
        <v>2610.196</v>
      </c>
      <c r="T48" s="0" t="n">
        <v>2476.951</v>
      </c>
      <c r="U48" s="0" t="n">
        <v>1834.83</v>
      </c>
      <c r="V48" s="0" t="n">
        <v>174548.573</v>
      </c>
      <c r="W48" s="0" t="n">
        <v>196.608</v>
      </c>
      <c r="X48" s="0" t="n">
        <v>532.349</v>
      </c>
      <c r="Y48" s="0" t="n">
        <v>60.276</v>
      </c>
      <c r="Z48" s="0" t="n">
        <v>641.551</v>
      </c>
      <c r="AA48" s="0" t="n">
        <f aca="false">H48*x_c_F+I48*x_c_CC+J48*x_c_DC+K48*x_c_HCC+L48*x_c_PLT+M48*x_c_SVRn+N48*x_c_SVRcc+O48*x_c_LT+P48*x_c_LT1</f>
        <v>293171669.244897</v>
      </c>
      <c r="AB48" s="0" t="n">
        <f aca="false">C48*x_c_DAA</f>
        <v>109976320</v>
      </c>
      <c r="AC48" s="0" t="n">
        <f aca="false">C48*x_c_MON</f>
        <v>27857107.6100244</v>
      </c>
      <c r="AD48" s="0" t="n">
        <f aca="false">D48*(1-x_testy)</f>
        <v>0</v>
      </c>
      <c r="AE48" s="0" t="n">
        <f aca="false">E48*(1-x_testy)</f>
        <v>0</v>
      </c>
      <c r="AF48" s="0" t="n">
        <f aca="false">F48*x_NAV</f>
        <v>0</v>
      </c>
      <c r="AG48" s="0" t="n">
        <f aca="false">G48*x_FIX*(1-x_testy)</f>
        <v>0</v>
      </c>
      <c r="AH48" s="0" t="n">
        <f aca="false">x_z_F*U48+(1-x_AGRI)*x_EMP*x_WLOSS*(x_PEN_K74*Q48+x_PEN_C22*R48)</f>
        <v>20902055.9525697</v>
      </c>
      <c r="AI48" s="0" t="n">
        <f aca="false">x_AGRI*x_EMP*x_WLOSS*(x_PEN_K74*Q48+x_PEN_C22*R48)</f>
        <v>1132248.02008554</v>
      </c>
      <c r="AJ48" s="0" t="n">
        <f aca="false">x_EMP*x_WAGE*(x_WLOSS*(Q48+R48)+S48)+U48*x_ABS_D*x_WAGE/365</f>
        <v>314140450.539829</v>
      </c>
      <c r="AK48" s="0" t="n">
        <f aca="false">AJ48*x_R_FUS</f>
        <v>99394038.550802</v>
      </c>
      <c r="AL48" s="0" t="n">
        <f aca="false">AJ48*x_R_NFZ</f>
        <v>24396461.5293737</v>
      </c>
      <c r="AM48" s="0" t="n">
        <f aca="false">AJ48*x_R_PIT</f>
        <v>20885368.3254582</v>
      </c>
      <c r="AN48" s="0" t="n">
        <f aca="false">AJ48*x_R_FP</f>
        <v>8010581.48876565</v>
      </c>
      <c r="AO48" s="0" t="n">
        <f aca="false">AA48+AB48+AC48+AD48+AF48</f>
        <v>431005096.854921</v>
      </c>
      <c r="AP48" s="0" t="n">
        <f aca="false">AO48+AE48+AG48+AH48+AI48+AK48+AL48+AM48+AN48</f>
        <v>605725850.721976</v>
      </c>
      <c r="AQ48" s="0" t="n">
        <f aca="false">AO48+AE48+AG48+AJ48</f>
        <v>745145547.394751</v>
      </c>
      <c r="AR48" s="0" t="n">
        <f aca="false">AB48+AC48+AD48+AF48</f>
        <v>137833427.610024</v>
      </c>
      <c r="AS48" s="0" t="n">
        <f aca="false">AR48+AE48+AG48</f>
        <v>137833427.610024</v>
      </c>
    </row>
    <row r="49" customFormat="false" ht="15" hidden="false" customHeight="false" outlineLevel="0" collapsed="false">
      <c r="A49" s="0" t="n">
        <v>2072</v>
      </c>
      <c r="B49" s="0" t="n">
        <v>46</v>
      </c>
      <c r="C49" s="0" t="n">
        <v>4832</v>
      </c>
      <c r="D49" s="0" t="n">
        <v>0</v>
      </c>
      <c r="E49" s="0" t="n">
        <v>0</v>
      </c>
      <c r="F49" s="0" t="n">
        <v>0</v>
      </c>
      <c r="G49" s="0" t="n">
        <v>0</v>
      </c>
      <c r="H49" s="0" t="n">
        <v>2270.303</v>
      </c>
      <c r="I49" s="0" t="n">
        <v>206.309</v>
      </c>
      <c r="J49" s="0" t="n">
        <v>1057.533</v>
      </c>
      <c r="K49" s="0" t="n">
        <v>1821.218</v>
      </c>
      <c r="L49" s="0" t="n">
        <v>673.883</v>
      </c>
      <c r="M49" s="0" t="n">
        <v>139527.186</v>
      </c>
      <c r="N49" s="0" t="n">
        <v>7855.881</v>
      </c>
      <c r="O49" s="0" t="n">
        <v>59.997</v>
      </c>
      <c r="P49" s="0" t="n">
        <v>60.137</v>
      </c>
      <c r="Q49" s="0" t="n">
        <v>632.42</v>
      </c>
      <c r="R49" s="0" t="n">
        <v>932.639</v>
      </c>
      <c r="S49" s="0" t="n">
        <v>2592.081</v>
      </c>
      <c r="T49" s="0" t="n">
        <v>2476.611</v>
      </c>
      <c r="U49" s="0" t="n">
        <v>1833.937</v>
      </c>
      <c r="V49" s="0" t="n">
        <v>175938.322</v>
      </c>
      <c r="W49" s="0" t="n">
        <v>195.664</v>
      </c>
      <c r="X49" s="0" t="n">
        <v>529.915</v>
      </c>
      <c r="Y49" s="0" t="n">
        <v>59.997</v>
      </c>
      <c r="Z49" s="0" t="n">
        <v>638.427</v>
      </c>
      <c r="AA49" s="0" t="n">
        <f aca="false">H49*x_c_F+I49*x_c_CC+J49*x_c_DC+K49*x_c_HCC+L49*x_c_PLT+M49*x_c_SVRn+N49*x_c_SVRcc+O49*x_c_LT+P49*x_c_LT1</f>
        <v>293291506.719906</v>
      </c>
      <c r="AB49" s="0" t="n">
        <f aca="false">C49*x_c_DAA</f>
        <v>109976320</v>
      </c>
      <c r="AC49" s="0" t="n">
        <f aca="false">C49*x_c_MON</f>
        <v>27857107.6100244</v>
      </c>
      <c r="AD49" s="0" t="n">
        <f aca="false">D49*(1-x_testy)</f>
        <v>0</v>
      </c>
      <c r="AE49" s="0" t="n">
        <f aca="false">E49*(1-x_testy)</f>
        <v>0</v>
      </c>
      <c r="AF49" s="0" t="n">
        <f aca="false">F49*x_NAV</f>
        <v>0</v>
      </c>
      <c r="AG49" s="0" t="n">
        <f aca="false">G49*x_FIX*(1-x_testy)</f>
        <v>0</v>
      </c>
      <c r="AH49" s="0" t="n">
        <f aca="false">x_z_F*U49+(1-x_AGRI)*x_EMP*x_WLOSS*(x_PEN_K74*Q49+x_PEN_C22*R49)</f>
        <v>20777692.8777004</v>
      </c>
      <c r="AI49" s="0" t="n">
        <f aca="false">x_AGRI*x_EMP*x_WLOSS*(x_PEN_K74*Q49+x_PEN_C22*R49)</f>
        <v>1124149.21057988</v>
      </c>
      <c r="AJ49" s="0" t="n">
        <f aca="false">x_EMP*x_WAGE*(x_WLOSS*(Q49+R49)+S49)+U49*x_ABS_D*x_WAGE/365</f>
        <v>311976037.202568</v>
      </c>
      <c r="AK49" s="0" t="n">
        <f aca="false">AJ49*x_R_FUS</f>
        <v>98709218.1708926</v>
      </c>
      <c r="AL49" s="0" t="n">
        <f aca="false">AJ49*x_R_NFZ</f>
        <v>24228371.0251887</v>
      </c>
      <c r="AM49" s="0" t="n">
        <f aca="false">AJ49*x_R_PIT</f>
        <v>20741469.0928712</v>
      </c>
      <c r="AN49" s="0" t="n">
        <f aca="false">AJ49*x_R_FP</f>
        <v>7955388.94866549</v>
      </c>
      <c r="AO49" s="0" t="n">
        <f aca="false">AA49+AB49+AC49+AD49+AF49</f>
        <v>431124934.32993</v>
      </c>
      <c r="AP49" s="0" t="n">
        <f aca="false">AO49+AE49+AG49+AH49+AI49+AK49+AL49+AM49+AN49</f>
        <v>604661223.655828</v>
      </c>
      <c r="AQ49" s="0" t="n">
        <f aca="false">AO49+AE49+AG49+AJ49</f>
        <v>743100971.532498</v>
      </c>
      <c r="AR49" s="0" t="n">
        <f aca="false">AB49+AC49+AD49+AF49</f>
        <v>137833427.610024</v>
      </c>
      <c r="AS49" s="0" t="n">
        <f aca="false">AR49+AE49+AG49</f>
        <v>137833427.610024</v>
      </c>
    </row>
    <row r="50" customFormat="false" ht="15" hidden="false" customHeight="false" outlineLevel="0" collapsed="false">
      <c r="A50" s="0" t="n">
        <v>2073</v>
      </c>
      <c r="B50" s="0" t="n">
        <v>47</v>
      </c>
      <c r="C50" s="0" t="n">
        <v>4832</v>
      </c>
      <c r="D50" s="0" t="n">
        <v>0</v>
      </c>
      <c r="E50" s="0" t="n">
        <v>0</v>
      </c>
      <c r="F50" s="0" t="n">
        <v>0</v>
      </c>
      <c r="G50" s="0" t="n">
        <v>0</v>
      </c>
      <c r="H50" s="0" t="n">
        <v>2270.642</v>
      </c>
      <c r="I50" s="0" t="n">
        <v>205.633</v>
      </c>
      <c r="J50" s="0" t="n">
        <v>1052.8</v>
      </c>
      <c r="K50" s="0" t="n">
        <v>1813.566</v>
      </c>
      <c r="L50" s="0" t="n">
        <v>665.49</v>
      </c>
      <c r="M50" s="0" t="n">
        <v>141570.689</v>
      </c>
      <c r="N50" s="0" t="n">
        <v>7849.707</v>
      </c>
      <c r="O50" s="0" t="n">
        <v>59.756</v>
      </c>
      <c r="P50" s="0" t="n">
        <v>59.877</v>
      </c>
      <c r="Q50" s="0" t="n">
        <v>628.006</v>
      </c>
      <c r="R50" s="0" t="n">
        <v>926.361</v>
      </c>
      <c r="S50" s="0" t="n">
        <v>2574.936</v>
      </c>
      <c r="T50" s="0" t="n">
        <v>2476.274</v>
      </c>
      <c r="U50" s="0" t="n">
        <v>1833.256</v>
      </c>
      <c r="V50" s="0" t="n">
        <v>177333.419</v>
      </c>
      <c r="W50" s="0" t="n">
        <v>194.748</v>
      </c>
      <c r="X50" s="0" t="n">
        <v>527.595</v>
      </c>
      <c r="Y50" s="0" t="n">
        <v>59.756</v>
      </c>
      <c r="Z50" s="0" t="n">
        <v>635.702</v>
      </c>
      <c r="AA50" s="0" t="n">
        <f aca="false">H50*x_c_F+I50*x_c_CC+J50*x_c_DC+K50*x_c_HCC+L50*x_c_PLT+M50*x_c_SVRn+N50*x_c_SVRcc+O50*x_c_LT+P50*x_c_LT1</f>
        <v>293595346.261601</v>
      </c>
      <c r="AB50" s="0" t="n">
        <f aca="false">C50*x_c_DAA</f>
        <v>109976320</v>
      </c>
      <c r="AC50" s="0" t="n">
        <f aca="false">C50*x_c_MON</f>
        <v>27857107.6100244</v>
      </c>
      <c r="AD50" s="0" t="n">
        <f aca="false">D50*(1-x_testy)</f>
        <v>0</v>
      </c>
      <c r="AE50" s="0" t="n">
        <f aca="false">E50*(1-x_testy)</f>
        <v>0</v>
      </c>
      <c r="AF50" s="0" t="n">
        <f aca="false">F50*x_NAV</f>
        <v>0</v>
      </c>
      <c r="AG50" s="0" t="n">
        <f aca="false">G50*x_FIX*(1-x_testy)</f>
        <v>0</v>
      </c>
      <c r="AH50" s="0" t="n">
        <f aca="false">x_z_F*U50+(1-x_AGRI)*x_EMP*x_WLOSS*(x_PEN_K74*Q50+x_PEN_C22*R50)</f>
        <v>20660232.4832601</v>
      </c>
      <c r="AI50" s="0" t="n">
        <f aca="false">x_AGRI*x_EMP*x_WLOSS*(x_PEN_K74*Q50+x_PEN_C22*R50)</f>
        <v>1116477.84601033</v>
      </c>
      <c r="AJ50" s="0" t="n">
        <f aca="false">x_EMP*x_WAGE*(x_WLOSS*(Q50+R50)+S50)+U50*x_ABS_D*x_WAGE/365</f>
        <v>309927542.172068</v>
      </c>
      <c r="AK50" s="0" t="n">
        <f aca="false">AJ50*x_R_FUS</f>
        <v>98061074.3432423</v>
      </c>
      <c r="AL50" s="0" t="n">
        <f aca="false">AJ50*x_R_NFZ</f>
        <v>24069282.852625</v>
      </c>
      <c r="AM50" s="0" t="n">
        <f aca="false">AJ50*x_R_PIT</f>
        <v>20605276.5931426</v>
      </c>
      <c r="AN50" s="0" t="n">
        <f aca="false">AJ50*x_R_FP</f>
        <v>7903152.32538773</v>
      </c>
      <c r="AO50" s="0" t="n">
        <f aca="false">AA50+AB50+AC50+AD50+AF50</f>
        <v>431428773.871626</v>
      </c>
      <c r="AP50" s="0" t="n">
        <f aca="false">AO50+AE50+AG50+AH50+AI50+AK50+AL50+AM50+AN50</f>
        <v>603844270.315294</v>
      </c>
      <c r="AQ50" s="0" t="n">
        <f aca="false">AO50+AE50+AG50+AJ50</f>
        <v>741356316.043694</v>
      </c>
      <c r="AR50" s="0" t="n">
        <f aca="false">AB50+AC50+AD50+AF50</f>
        <v>137833427.610024</v>
      </c>
      <c r="AS50" s="0" t="n">
        <f aca="false">AR50+AE50+AG50</f>
        <v>137833427.610024</v>
      </c>
    </row>
    <row r="51" customFormat="false" ht="15" hidden="false" customHeight="false" outlineLevel="0" collapsed="false">
      <c r="A51" s="0" t="n">
        <v>2074</v>
      </c>
      <c r="B51" s="0" t="n">
        <v>48</v>
      </c>
      <c r="C51" s="0" t="n">
        <v>4832</v>
      </c>
      <c r="D51" s="0" t="n">
        <v>0</v>
      </c>
      <c r="E51" s="0" t="n">
        <v>0</v>
      </c>
      <c r="F51" s="0" t="n">
        <v>0</v>
      </c>
      <c r="G51" s="0" t="n">
        <v>0</v>
      </c>
      <c r="H51" s="0" t="n">
        <v>2271.033</v>
      </c>
      <c r="I51" s="0" t="n">
        <v>204.904</v>
      </c>
      <c r="J51" s="0" t="n">
        <v>1048.52</v>
      </c>
      <c r="K51" s="0" t="n">
        <v>1806.398</v>
      </c>
      <c r="L51" s="0" t="n">
        <v>658.82</v>
      </c>
      <c r="M51" s="0" t="n">
        <v>143593.352</v>
      </c>
      <c r="N51" s="0" t="n">
        <v>7851.768</v>
      </c>
      <c r="O51" s="0" t="n">
        <v>59.533</v>
      </c>
      <c r="P51" s="0" t="n">
        <v>59.644</v>
      </c>
      <c r="Q51" s="0" t="n">
        <v>623.828</v>
      </c>
      <c r="R51" s="0" t="n">
        <v>920.416</v>
      </c>
      <c r="S51" s="0" t="n">
        <v>2558.726</v>
      </c>
      <c r="T51" s="0" t="n">
        <v>2475.936</v>
      </c>
      <c r="U51" s="0" t="n">
        <v>1832.803</v>
      </c>
      <c r="V51" s="0" t="n">
        <v>178719.896</v>
      </c>
      <c r="W51" s="0" t="n">
        <v>193.824</v>
      </c>
      <c r="X51" s="0" t="n">
        <v>525.29</v>
      </c>
      <c r="Y51" s="0" t="n">
        <v>59.533</v>
      </c>
      <c r="Z51" s="0" t="n">
        <v>633.183</v>
      </c>
      <c r="AA51" s="0" t="n">
        <f aca="false">H51*x_c_F+I51*x_c_CC+J51*x_c_DC+K51*x_c_HCC+L51*x_c_PLT+M51*x_c_SVRn+N51*x_c_SVRcc+O51*x_c_LT+P51*x_c_LT1</f>
        <v>294009676.189879</v>
      </c>
      <c r="AB51" s="0" t="n">
        <f aca="false">C51*x_c_DAA</f>
        <v>109976320</v>
      </c>
      <c r="AC51" s="0" t="n">
        <f aca="false">C51*x_c_MON</f>
        <v>27857107.6100244</v>
      </c>
      <c r="AD51" s="0" t="n">
        <f aca="false">D51*(1-x_testy)</f>
        <v>0</v>
      </c>
      <c r="AE51" s="0" t="n">
        <f aca="false">E51*(1-x_testy)</f>
        <v>0</v>
      </c>
      <c r="AF51" s="0" t="n">
        <f aca="false">F51*x_NAV</f>
        <v>0</v>
      </c>
      <c r="AG51" s="0" t="n">
        <f aca="false">G51*x_FIX*(1-x_testy)</f>
        <v>0</v>
      </c>
      <c r="AH51" s="0" t="n">
        <f aca="false">x_z_F*U51+(1-x_AGRI)*x_EMP*x_WLOSS*(x_PEN_K74*Q51+x_PEN_C22*R51)</f>
        <v>20549415.7526993</v>
      </c>
      <c r="AI51" s="0" t="n">
        <f aca="false">x_AGRI*x_EMP*x_WLOSS*(x_PEN_K74*Q51+x_PEN_C22*R51)</f>
        <v>1109214.63161629</v>
      </c>
      <c r="AJ51" s="0" t="n">
        <f aca="false">x_EMP*x_WAGE*(x_WLOSS*(Q51+R51)+S51)+U51*x_ABS_D*x_WAGE/365</f>
        <v>307990551.805378</v>
      </c>
      <c r="AK51" s="0" t="n">
        <f aca="false">AJ51*x_R_FUS</f>
        <v>97448210.5912217</v>
      </c>
      <c r="AL51" s="0" t="n">
        <f aca="false">AJ51*x_R_NFZ</f>
        <v>23918854.2437575</v>
      </c>
      <c r="AM51" s="0" t="n">
        <f aca="false">AJ51*x_R_PIT</f>
        <v>20476497.3888674</v>
      </c>
      <c r="AN51" s="0" t="n">
        <f aca="false">AJ51*x_R_FP</f>
        <v>7853759.07103715</v>
      </c>
      <c r="AO51" s="0" t="n">
        <f aca="false">AA51+AB51+AC51+AD51+AF51</f>
        <v>431843103.799903</v>
      </c>
      <c r="AP51" s="0" t="n">
        <f aca="false">AO51+AE51+AG51+AH51+AI51+AK51+AL51+AM51+AN51</f>
        <v>603199055.479103</v>
      </c>
      <c r="AQ51" s="0" t="n">
        <f aca="false">AO51+AE51+AG51+AJ51</f>
        <v>739833655.605282</v>
      </c>
      <c r="AR51" s="0" t="n">
        <f aca="false">AB51+AC51+AD51+AF51</f>
        <v>137833427.610024</v>
      </c>
      <c r="AS51" s="0" t="n">
        <f aca="false">AR51+AE51+AG51</f>
        <v>137833427.610024</v>
      </c>
    </row>
    <row r="52" customFormat="false" ht="15" hidden="false" customHeight="false" outlineLevel="0" collapsed="false">
      <c r="A52" s="0" t="n">
        <v>2075</v>
      </c>
      <c r="B52" s="0" t="n">
        <v>49</v>
      </c>
      <c r="C52" s="0" t="n">
        <v>4832</v>
      </c>
      <c r="D52" s="0" t="n">
        <v>0</v>
      </c>
      <c r="E52" s="0" t="n">
        <v>0</v>
      </c>
      <c r="F52" s="0" t="n">
        <v>0</v>
      </c>
      <c r="G52" s="0" t="n">
        <v>0</v>
      </c>
      <c r="H52" s="0" t="n">
        <v>2271.489</v>
      </c>
      <c r="I52" s="0" t="n">
        <v>204.107</v>
      </c>
      <c r="J52" s="0" t="n">
        <v>1044.371</v>
      </c>
      <c r="K52" s="0" t="n">
        <v>1799.285</v>
      </c>
      <c r="L52" s="0" t="n">
        <v>653.433</v>
      </c>
      <c r="M52" s="0" t="n">
        <v>145579.101</v>
      </c>
      <c r="N52" s="0" t="n">
        <v>7858.827</v>
      </c>
      <c r="O52" s="0" t="n">
        <v>59.309</v>
      </c>
      <c r="P52" s="0" t="n">
        <v>59.421</v>
      </c>
      <c r="Q52" s="0" t="n">
        <v>619.875</v>
      </c>
      <c r="R52" s="0" t="n">
        <v>914.784</v>
      </c>
      <c r="S52" s="0" t="n">
        <v>2543.413</v>
      </c>
      <c r="T52" s="0" t="n">
        <v>2475.596</v>
      </c>
      <c r="U52" s="0" t="n">
        <v>1832.581</v>
      </c>
      <c r="V52" s="0" t="n">
        <v>180081.987</v>
      </c>
      <c r="W52" s="0" t="n">
        <v>192.859</v>
      </c>
      <c r="X52" s="0" t="n">
        <v>522.913</v>
      </c>
      <c r="Y52" s="0" t="n">
        <v>59.309</v>
      </c>
      <c r="Z52" s="0" t="n">
        <v>630.688</v>
      </c>
      <c r="AA52" s="0" t="n">
        <f aca="false">H52*x_c_F+I52*x_c_CC+J52*x_c_DC+K52*x_c_HCC+L52*x_c_PLT+M52*x_c_SVRn+N52*x_c_SVRcc+O52*x_c_LT+P52*x_c_LT1</f>
        <v>294461643.118463</v>
      </c>
      <c r="AB52" s="0" t="n">
        <f aca="false">C52*x_c_DAA</f>
        <v>109976320</v>
      </c>
      <c r="AC52" s="0" t="n">
        <f aca="false">C52*x_c_MON</f>
        <v>27857107.6100244</v>
      </c>
      <c r="AD52" s="0" t="n">
        <f aca="false">D52*(1-x_testy)</f>
        <v>0</v>
      </c>
      <c r="AE52" s="0" t="n">
        <f aca="false">E52*(1-x_testy)</f>
        <v>0</v>
      </c>
      <c r="AF52" s="0" t="n">
        <f aca="false">F52*x_NAV</f>
        <v>0</v>
      </c>
      <c r="AG52" s="0" t="n">
        <f aca="false">G52*x_FIX*(1-x_testy)</f>
        <v>0</v>
      </c>
      <c r="AH52" s="0" t="n">
        <f aca="false">x_z_F*U52+(1-x_AGRI)*x_EMP*x_WLOSS*(x_PEN_K74*Q52+x_PEN_C22*R52)</f>
        <v>20444909.8870661</v>
      </c>
      <c r="AI52" s="0" t="n">
        <f aca="false">x_AGRI*x_EMP*x_WLOSS*(x_PEN_K74*Q52+x_PEN_C22*R52)</f>
        <v>1102337.16235123</v>
      </c>
      <c r="AJ52" s="0" t="n">
        <f aca="false">x_EMP*x_WAGE*(x_WLOSS*(Q52+R52)+S52)+U52*x_ABS_D*x_WAGE/365</f>
        <v>306160139.747609</v>
      </c>
      <c r="AK52" s="0" t="n">
        <f aca="false">AJ52*x_R_FUS</f>
        <v>96869068.2161436</v>
      </c>
      <c r="AL52" s="0" t="n">
        <f aca="false">AJ52*x_R_NFZ</f>
        <v>23776702.6129391</v>
      </c>
      <c r="AM52" s="0" t="n">
        <f aca="false">AJ52*x_R_PIT</f>
        <v>20354803.9554106</v>
      </c>
      <c r="AN52" s="0" t="n">
        <f aca="false">AJ52*x_R_FP</f>
        <v>7807083.56356404</v>
      </c>
      <c r="AO52" s="0" t="n">
        <f aca="false">AA52+AB52+AC52+AD52+AF52</f>
        <v>432295070.728487</v>
      </c>
      <c r="AP52" s="0" t="n">
        <f aca="false">AO52+AE52+AG52+AH52+AI52+AK52+AL52+AM52+AN52</f>
        <v>602649976.125962</v>
      </c>
      <c r="AQ52" s="0" t="n">
        <f aca="false">AO52+AE52+AG52+AJ52</f>
        <v>738455210.476097</v>
      </c>
      <c r="AR52" s="0" t="n">
        <f aca="false">AB52+AC52+AD52+AF52</f>
        <v>137833427.610024</v>
      </c>
      <c r="AS52" s="0" t="n">
        <f aca="false">AR52+AE52+AG52</f>
        <v>137833427.610024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597</v>
      </c>
    </row>
    <row r="2" customFormat="false" ht="28.35" hidden="false" customHeight="false" outlineLevel="0" collapsed="false">
      <c r="A2" s="3" t="s">
        <v>320</v>
      </c>
      <c r="B2" s="3" t="s">
        <v>553</v>
      </c>
      <c r="C2" s="3" t="s">
        <v>554</v>
      </c>
      <c r="D2" s="3" t="s">
        <v>555</v>
      </c>
      <c r="E2" s="3" t="s">
        <v>556</v>
      </c>
      <c r="F2" s="3" t="s">
        <v>557</v>
      </c>
      <c r="G2" s="3" t="s">
        <v>558</v>
      </c>
      <c r="H2" s="3" t="s">
        <v>559</v>
      </c>
      <c r="I2" s="3" t="s">
        <v>560</v>
      </c>
      <c r="J2" s="3" t="s">
        <v>561</v>
      </c>
      <c r="K2" s="3" t="s">
        <v>562</v>
      </c>
      <c r="L2" s="3" t="s">
        <v>563</v>
      </c>
      <c r="M2" s="3" t="s">
        <v>564</v>
      </c>
      <c r="N2" s="3" t="s">
        <v>565</v>
      </c>
      <c r="O2" s="3" t="s">
        <v>566</v>
      </c>
      <c r="P2" s="3" t="s">
        <v>567</v>
      </c>
      <c r="Q2" s="3" t="s">
        <v>568</v>
      </c>
      <c r="R2" s="3" t="s">
        <v>569</v>
      </c>
      <c r="S2" s="3" t="s">
        <v>570</v>
      </c>
      <c r="T2" s="3" t="s">
        <v>571</v>
      </c>
      <c r="U2" s="3" t="s">
        <v>572</v>
      </c>
      <c r="V2" s="3" t="s">
        <v>573</v>
      </c>
      <c r="W2" s="3" t="s">
        <v>574</v>
      </c>
      <c r="X2" s="3" t="s">
        <v>575</v>
      </c>
      <c r="Y2" s="3" t="s">
        <v>576</v>
      </c>
      <c r="Z2" s="3" t="s">
        <v>577</v>
      </c>
      <c r="AA2" s="3" t="s">
        <v>578</v>
      </c>
      <c r="AB2" s="3" t="s">
        <v>579</v>
      </c>
      <c r="AC2" s="3" t="s">
        <v>580</v>
      </c>
      <c r="AD2" s="3" t="s">
        <v>581</v>
      </c>
      <c r="AE2" s="3" t="s">
        <v>582</v>
      </c>
      <c r="AF2" s="3" t="s">
        <v>583</v>
      </c>
      <c r="AG2" s="3" t="s">
        <v>584</v>
      </c>
      <c r="AH2" s="3" t="s">
        <v>252</v>
      </c>
      <c r="AI2" s="3" t="s">
        <v>303</v>
      </c>
      <c r="AJ2" s="3" t="s">
        <v>585</v>
      </c>
      <c r="AK2" s="3" t="s">
        <v>586</v>
      </c>
      <c r="AL2" s="3" t="s">
        <v>587</v>
      </c>
      <c r="AM2" s="3" t="s">
        <v>588</v>
      </c>
      <c r="AN2" s="3" t="s">
        <v>589</v>
      </c>
      <c r="AO2" s="3" t="s">
        <v>129</v>
      </c>
      <c r="AP2" s="3" t="s">
        <v>590</v>
      </c>
      <c r="AQ2" s="3" t="s">
        <v>591</v>
      </c>
      <c r="AR2" s="3" t="s">
        <v>592</v>
      </c>
      <c r="AS2" s="3" t="s">
        <v>593</v>
      </c>
    </row>
    <row r="3" customFormat="false" ht="15" hidden="false" customHeight="false" outlineLevel="0" collapsed="false">
      <c r="A3" s="0" t="n">
        <v>2026</v>
      </c>
      <c r="B3" s="0" t="n">
        <v>0</v>
      </c>
      <c r="C3" s="0" t="n">
        <v>5255.342</v>
      </c>
      <c r="D3" s="0" t="n">
        <v>0</v>
      </c>
      <c r="E3" s="0" t="n">
        <v>666666.667</v>
      </c>
      <c r="F3" s="0" t="n">
        <v>0</v>
      </c>
      <c r="G3" s="0" t="n">
        <v>0</v>
      </c>
      <c r="H3" s="0" t="n">
        <v>2598.107</v>
      </c>
      <c r="I3" s="0" t="n">
        <v>233.09</v>
      </c>
      <c r="J3" s="0" t="n">
        <v>1579.13</v>
      </c>
      <c r="K3" s="0" t="n">
        <v>2524.31</v>
      </c>
      <c r="L3" s="0" t="n">
        <v>1540.438</v>
      </c>
      <c r="M3" s="0" t="n">
        <v>7115.529</v>
      </c>
      <c r="N3" s="0" t="n">
        <v>631.905</v>
      </c>
      <c r="O3" s="0" t="n">
        <v>89.046</v>
      </c>
      <c r="P3" s="0" t="n">
        <v>44.523</v>
      </c>
      <c r="Q3" s="0" t="n">
        <v>2134.57</v>
      </c>
      <c r="R3" s="0" t="n">
        <v>1702.953</v>
      </c>
      <c r="S3" s="0" t="n">
        <v>312.377</v>
      </c>
      <c r="T3" s="0" t="n">
        <v>2831.198</v>
      </c>
      <c r="U3" s="0" t="n">
        <v>1568.309</v>
      </c>
      <c r="V3" s="0" t="n">
        <v>113437.829</v>
      </c>
      <c r="W3" s="0" t="n">
        <v>265.295</v>
      </c>
      <c r="X3" s="0" t="n">
        <v>710.527</v>
      </c>
      <c r="Y3" s="0" t="n">
        <v>89.046</v>
      </c>
      <c r="Z3" s="0" t="n">
        <v>922.327</v>
      </c>
      <c r="AA3" s="0" t="n">
        <f aca="false">H3*x_c_F+I3*x_c_CC+J3*x_c_DC+K3*x_c_HCC+L3*x_c_PLT+M3*x_c_SVRn+N3*x_c_SVRcc+O3*x_c_LT+P3*x_c_LT1</f>
        <v>283907881.479222</v>
      </c>
      <c r="AB3" s="0" t="n">
        <f aca="false">C3*x_c_DAA</f>
        <v>119611583.92</v>
      </c>
      <c r="AC3" s="0" t="n">
        <f aca="false">C3*x_c_MON</f>
        <v>30297729.2262998</v>
      </c>
      <c r="AD3" s="0" t="n">
        <f aca="false">D3*(1-x_testy)</f>
        <v>0</v>
      </c>
      <c r="AE3" s="0" t="n">
        <f aca="false">E3*(1-x_testy)</f>
        <v>666666.667</v>
      </c>
      <c r="AF3" s="0" t="n">
        <f aca="false">F3*x_NAV</f>
        <v>0</v>
      </c>
      <c r="AG3" s="0" t="n">
        <f aca="false">G3*x_FIX*(1-x_testy)</f>
        <v>0</v>
      </c>
      <c r="AH3" s="0" t="n">
        <f aca="false">x_z_F*U3+(1-x_AGRI)*x_EMP*x_WLOSS*(x_PEN_K74*Q3+x_PEN_C22*R3)</f>
        <v>44125405.5214444</v>
      </c>
      <c r="AI3" s="0" t="n">
        <f aca="false">x_AGRI*x_EMP*x_WLOSS*(x_PEN_K74*Q3+x_PEN_C22*R3)</f>
        <v>2703484.79518551</v>
      </c>
      <c r="AJ3" s="0" t="n">
        <f aca="false">x_EMP*x_WAGE*(x_WLOSS*(Q3+R3)+S3)+U3*x_ABS_D*x_WAGE/365</f>
        <v>241099246.112052</v>
      </c>
      <c r="AK3" s="0" t="n">
        <f aca="false">AJ3*x_R_FUS</f>
        <v>76283801.4698534</v>
      </c>
      <c r="AL3" s="0" t="n">
        <f aca="false">AJ3*x_R_NFZ</f>
        <v>18724008.5523081</v>
      </c>
      <c r="AM3" s="0" t="n">
        <f aca="false">AJ3*x_R_PIT</f>
        <v>16029284.1924287</v>
      </c>
      <c r="AN3" s="0" t="n">
        <f aca="false">AJ3*x_R_FP</f>
        <v>6148030.77585734</v>
      </c>
      <c r="AO3" s="0" t="n">
        <f aca="false">AA3+AB3+AC3+AD3+AF3</f>
        <v>433817194.625522</v>
      </c>
      <c r="AP3" s="0" t="n">
        <f aca="false">AO3+AE3+AG3+AH3+AI3+AK3+AL3+AM3+AN3</f>
        <v>598497876.5996</v>
      </c>
      <c r="AQ3" s="0" t="n">
        <f aca="false">AO3+AE3+AG3+AJ3</f>
        <v>675583107.404574</v>
      </c>
      <c r="AR3" s="0" t="n">
        <f aca="false">AB3+AC3+AD3+AF3</f>
        <v>149909313.1463</v>
      </c>
      <c r="AS3" s="0" t="n">
        <f aca="false">AR3+AE3+AG3</f>
        <v>150575979.8133</v>
      </c>
    </row>
    <row r="4" customFormat="false" ht="15" hidden="false" customHeight="false" outlineLevel="0" collapsed="false">
      <c r="A4" s="0" t="n">
        <v>2027</v>
      </c>
      <c r="B4" s="0" t="n">
        <v>1</v>
      </c>
      <c r="C4" s="0" t="n">
        <v>5606.997</v>
      </c>
      <c r="D4" s="0" t="n">
        <v>0</v>
      </c>
      <c r="E4" s="0" t="n">
        <v>1333333.333</v>
      </c>
      <c r="F4" s="0" t="n">
        <v>0</v>
      </c>
      <c r="G4" s="0" t="n">
        <v>0</v>
      </c>
      <c r="H4" s="0" t="n">
        <v>2707.185</v>
      </c>
      <c r="I4" s="0" t="n">
        <v>257.606</v>
      </c>
      <c r="J4" s="0" t="n">
        <v>1563.283</v>
      </c>
      <c r="K4" s="0" t="n">
        <v>2519.483</v>
      </c>
      <c r="L4" s="0" t="n">
        <v>1489.389</v>
      </c>
      <c r="M4" s="0" t="n">
        <v>11955.248</v>
      </c>
      <c r="N4" s="0" t="n">
        <v>1093.52</v>
      </c>
      <c r="O4" s="0" t="n">
        <v>87.887</v>
      </c>
      <c r="P4" s="0" t="n">
        <v>88.466</v>
      </c>
      <c r="Q4" s="0" t="n">
        <v>2137.46</v>
      </c>
      <c r="R4" s="0" t="n">
        <v>1715.624</v>
      </c>
      <c r="S4" s="0" t="n">
        <v>939.861</v>
      </c>
      <c r="T4" s="0" t="n">
        <v>2964.79</v>
      </c>
      <c r="U4" s="0" t="n">
        <v>1690.615</v>
      </c>
      <c r="V4" s="0" t="n">
        <v>114603.629</v>
      </c>
      <c r="W4" s="0" t="n">
        <v>274.089</v>
      </c>
      <c r="X4" s="0" t="n">
        <v>738.756</v>
      </c>
      <c r="Y4" s="0" t="n">
        <v>87.887</v>
      </c>
      <c r="Z4" s="0" t="n">
        <v>925.413</v>
      </c>
      <c r="AA4" s="0" t="n">
        <f aca="false">H4*x_c_F+I4*x_c_CC+J4*x_c_DC+K4*x_c_HCC+L4*x_c_PLT+M4*x_c_SVRn+N4*x_c_SVRcc+O4*x_c_LT+P4*x_c_LT1</f>
        <v>288071468.454898</v>
      </c>
      <c r="AB4" s="0" t="n">
        <f aca="false">C4*x_c_DAA</f>
        <v>127615251.72</v>
      </c>
      <c r="AC4" s="0" t="n">
        <f aca="false">C4*x_c_MON</f>
        <v>32325065.9764246</v>
      </c>
      <c r="AD4" s="0" t="n">
        <f aca="false">D4*(1-x_testy)</f>
        <v>0</v>
      </c>
      <c r="AE4" s="0" t="n">
        <f aca="false">E4*(1-x_testy)</f>
        <v>1333333.333</v>
      </c>
      <c r="AF4" s="0" t="n">
        <f aca="false">F4*x_NAV</f>
        <v>0</v>
      </c>
      <c r="AG4" s="0" t="n">
        <f aca="false">G4*x_FIX*(1-x_testy)</f>
        <v>0</v>
      </c>
      <c r="AH4" s="0" t="n">
        <f aca="false">x_z_F*U4+(1-x_AGRI)*x_EMP*x_WLOSS*(x_PEN_K74*Q4+x_PEN_C22*R4)</f>
        <v>44550614.6932947</v>
      </c>
      <c r="AI4" s="0" t="n">
        <f aca="false">x_AGRI*x_EMP*x_WLOSS*(x_PEN_K74*Q4+x_PEN_C22*R4)</f>
        <v>2714969.96188715</v>
      </c>
      <c r="AJ4" s="0" t="n">
        <f aca="false">x_EMP*x_WAGE*(x_WLOSS*(Q4+R4)+S4)+U4*x_ABS_D*x_WAGE/365</f>
        <v>295809071.049257</v>
      </c>
      <c r="AK4" s="0" t="n">
        <f aca="false">AJ4*x_R_FUS</f>
        <v>93593990.0799848</v>
      </c>
      <c r="AL4" s="0" t="n">
        <f aca="false">AJ4*x_R_NFZ</f>
        <v>22972828.2667563</v>
      </c>
      <c r="AM4" s="0" t="n">
        <f aca="false">AJ4*x_R_PIT</f>
        <v>19666621.7045871</v>
      </c>
      <c r="AN4" s="0" t="n">
        <f aca="false">AJ4*x_R_FP</f>
        <v>7543131.31175605</v>
      </c>
      <c r="AO4" s="0" t="n">
        <f aca="false">AA4+AB4+AC4+AD4+AF4</f>
        <v>448011786.151323</v>
      </c>
      <c r="AP4" s="0" t="n">
        <f aca="false">AO4+AE4+AG4+AH4+AI4+AK4+AL4+AM4+AN4</f>
        <v>640387275.502589</v>
      </c>
      <c r="AQ4" s="0" t="n">
        <f aca="false">AO4+AE4+AG4+AJ4</f>
        <v>745154190.533579</v>
      </c>
      <c r="AR4" s="0" t="n">
        <f aca="false">AB4+AC4+AD4+AF4</f>
        <v>159940317.696425</v>
      </c>
      <c r="AS4" s="0" t="n">
        <f aca="false">AR4+AE4+AG4</f>
        <v>161273651.029425</v>
      </c>
    </row>
    <row r="5" customFormat="false" ht="15" hidden="false" customHeight="false" outlineLevel="0" collapsed="false">
      <c r="A5" s="0" t="n">
        <v>2028</v>
      </c>
      <c r="B5" s="0" t="n">
        <v>2</v>
      </c>
      <c r="C5" s="0" t="n">
        <v>5797.642</v>
      </c>
      <c r="D5" s="0" t="n">
        <v>0</v>
      </c>
      <c r="E5" s="0" t="n">
        <v>2000000</v>
      </c>
      <c r="F5" s="0" t="n">
        <v>0</v>
      </c>
      <c r="G5" s="0" t="n">
        <v>0</v>
      </c>
      <c r="H5" s="0" t="n">
        <v>2677.754</v>
      </c>
      <c r="I5" s="0" t="n">
        <v>270.762</v>
      </c>
      <c r="J5" s="0" t="n">
        <v>1558.935</v>
      </c>
      <c r="K5" s="0" t="n">
        <v>2543.268</v>
      </c>
      <c r="L5" s="0" t="n">
        <v>1475.755</v>
      </c>
      <c r="M5" s="0" t="n">
        <v>16573.871</v>
      </c>
      <c r="N5" s="0" t="n">
        <v>1565.518</v>
      </c>
      <c r="O5" s="0" t="n">
        <v>87.521</v>
      </c>
      <c r="P5" s="0" t="n">
        <v>87.704</v>
      </c>
      <c r="Q5" s="0" t="n">
        <v>2145.232</v>
      </c>
      <c r="R5" s="0" t="n">
        <v>1751.394</v>
      </c>
      <c r="S5" s="0" t="n">
        <v>1572.438</v>
      </c>
      <c r="T5" s="0" t="n">
        <v>2948.516</v>
      </c>
      <c r="U5" s="0" t="n">
        <v>1726.425</v>
      </c>
      <c r="V5" s="0" t="n">
        <v>115858.783</v>
      </c>
      <c r="W5" s="0" t="n">
        <v>284.414</v>
      </c>
      <c r="X5" s="0" t="n">
        <v>767.511</v>
      </c>
      <c r="Y5" s="0" t="n">
        <v>87.521</v>
      </c>
      <c r="Z5" s="0" t="n">
        <v>926.051</v>
      </c>
      <c r="AA5" s="0" t="n">
        <f aca="false">H5*x_c_F+I5*x_c_CC+J5*x_c_DC+K5*x_c_HCC+L5*x_c_PLT+M5*x_c_SVRn+N5*x_c_SVRcc+O5*x_c_LT+P5*x_c_LT1</f>
        <v>292999243.995705</v>
      </c>
      <c r="AB5" s="0" t="n">
        <f aca="false">C5*x_c_DAA</f>
        <v>131954331.92</v>
      </c>
      <c r="AC5" s="0" t="n">
        <f aca="false">C5*x_c_MON</f>
        <v>33424159.1635755</v>
      </c>
      <c r="AD5" s="0" t="n">
        <f aca="false">D5*(1-x_testy)</f>
        <v>0</v>
      </c>
      <c r="AE5" s="0" t="n">
        <f aca="false">E5*(1-x_testy)</f>
        <v>2000000</v>
      </c>
      <c r="AF5" s="0" t="n">
        <f aca="false">F5*x_NAV</f>
        <v>0</v>
      </c>
      <c r="AG5" s="0" t="n">
        <f aca="false">G5*x_FIX*(1-x_testy)</f>
        <v>0</v>
      </c>
      <c r="AH5" s="0" t="n">
        <f aca="false">x_z_F*U5+(1-x_AGRI)*x_EMP*x_WLOSS*(x_PEN_K74*Q5+x_PEN_C22*R5)</f>
        <v>45110873.1223612</v>
      </c>
      <c r="AI5" s="0" t="n">
        <f aca="false">x_AGRI*x_EMP*x_WLOSS*(x_PEN_K74*Q5+x_PEN_C22*R5)</f>
        <v>2747135.69495707</v>
      </c>
      <c r="AJ5" s="0" t="n">
        <f aca="false">x_EMP*x_WAGE*(x_WLOSS*(Q5+R5)+S5)+U5*x_ABS_D*x_WAGE/365</f>
        <v>352229225.789075</v>
      </c>
      <c r="AK5" s="0" t="n">
        <f aca="false">AJ5*x_R_FUS</f>
        <v>111445327.039663</v>
      </c>
      <c r="AL5" s="0" t="n">
        <f aca="false">AJ5*x_R_NFZ</f>
        <v>27354473.9040054</v>
      </c>
      <c r="AM5" s="0" t="n">
        <f aca="false">AJ5*x_R_PIT</f>
        <v>23417669.0806748</v>
      </c>
      <c r="AN5" s="0" t="n">
        <f aca="false">AJ5*x_R_FP</f>
        <v>8981845.25762142</v>
      </c>
      <c r="AO5" s="0" t="n">
        <f aca="false">AA5+AB5+AC5+AD5+AF5</f>
        <v>458377735.07928</v>
      </c>
      <c r="AP5" s="0" t="n">
        <f aca="false">AO5+AE5+AG5+AH5+AI5+AK5+AL5+AM5+AN5</f>
        <v>679435059.178563</v>
      </c>
      <c r="AQ5" s="0" t="n">
        <f aca="false">AO5+AE5+AG5+AJ5</f>
        <v>812606960.868355</v>
      </c>
      <c r="AR5" s="0" t="n">
        <f aca="false">AB5+AC5+AD5+AF5</f>
        <v>165378491.083576</v>
      </c>
      <c r="AS5" s="0" t="n">
        <f aca="false">AR5+AE5+AG5</f>
        <v>167378491.083576</v>
      </c>
    </row>
    <row r="6" customFormat="false" ht="15" hidden="false" customHeight="false" outlineLevel="0" collapsed="false">
      <c r="A6" s="0" t="n">
        <v>2029</v>
      </c>
      <c r="B6" s="0" t="n">
        <v>3</v>
      </c>
      <c r="C6" s="0" t="n">
        <v>5552.364</v>
      </c>
      <c r="D6" s="0" t="n">
        <v>0</v>
      </c>
      <c r="E6" s="0" t="n">
        <v>2000000</v>
      </c>
      <c r="F6" s="0" t="n">
        <v>0</v>
      </c>
      <c r="G6" s="0" t="n">
        <v>0</v>
      </c>
      <c r="H6" s="0" t="n">
        <v>2563.507</v>
      </c>
      <c r="I6" s="0" t="n">
        <v>275.508</v>
      </c>
      <c r="J6" s="0" t="n">
        <v>1565.332</v>
      </c>
      <c r="K6" s="0" t="n">
        <v>2587.857</v>
      </c>
      <c r="L6" s="0" t="n">
        <v>1461.147</v>
      </c>
      <c r="M6" s="0" t="n">
        <v>20839.819</v>
      </c>
      <c r="N6" s="0" t="n">
        <v>2030.629</v>
      </c>
      <c r="O6" s="0" t="n">
        <v>87.84</v>
      </c>
      <c r="P6" s="0" t="n">
        <v>87.68</v>
      </c>
      <c r="Q6" s="0" t="n">
        <v>2161.989</v>
      </c>
      <c r="R6" s="0" t="n">
        <v>1804.222</v>
      </c>
      <c r="S6" s="0" t="n">
        <v>2212.679</v>
      </c>
      <c r="T6" s="0" t="n">
        <v>2839.015</v>
      </c>
      <c r="U6" s="0" t="n">
        <v>1704.469</v>
      </c>
      <c r="V6" s="0" t="n">
        <v>117171.504</v>
      </c>
      <c r="W6" s="0" t="n">
        <v>295.843</v>
      </c>
      <c r="X6" s="0" t="n">
        <v>796.633</v>
      </c>
      <c r="Y6" s="0" t="n">
        <v>87.84</v>
      </c>
      <c r="Z6" s="0" t="n">
        <v>934.429</v>
      </c>
      <c r="AA6" s="0" t="n">
        <f aca="false">H6*x_c_F+I6*x_c_CC+J6*x_c_DC+K6*x_c_HCC+L6*x_c_PLT+M6*x_c_SVRn+N6*x_c_SVRcc+O6*x_c_LT+P6*x_c_LT1</f>
        <v>299136710.129301</v>
      </c>
      <c r="AB6" s="0" t="n">
        <f aca="false">C6*x_c_DAA</f>
        <v>126371804.64</v>
      </c>
      <c r="AC6" s="0" t="n">
        <f aca="false">C6*x_c_MON</f>
        <v>32010099.6353529</v>
      </c>
      <c r="AD6" s="0" t="n">
        <f aca="false">D6*(1-x_testy)</f>
        <v>0</v>
      </c>
      <c r="AE6" s="0" t="n">
        <f aca="false">E6*(1-x_testy)</f>
        <v>2000000</v>
      </c>
      <c r="AF6" s="0" t="n">
        <f aca="false">F6*x_NAV</f>
        <v>0</v>
      </c>
      <c r="AG6" s="0" t="n">
        <f aca="false">G6*x_FIX*(1-x_testy)</f>
        <v>0</v>
      </c>
      <c r="AH6" s="0" t="n">
        <f aca="false">x_z_F*U6+(1-x_AGRI)*x_EMP*x_WLOSS*(x_PEN_K74*Q6+x_PEN_C22*R6)</f>
        <v>45837486.0323984</v>
      </c>
      <c r="AI6" s="0" t="n">
        <f aca="false">x_AGRI*x_EMP*x_WLOSS*(x_PEN_K74*Q6+x_PEN_C22*R6)</f>
        <v>2798147.04733506</v>
      </c>
      <c r="AJ6" s="0" t="n">
        <f aca="false">x_EMP*x_WAGE*(x_WLOSS*(Q6+R6)+S6)+U6*x_ABS_D*x_WAGE/365</f>
        <v>410557324.832013</v>
      </c>
      <c r="AK6" s="0" t="n">
        <f aca="false">AJ6*x_R_FUS</f>
        <v>129900337.576849</v>
      </c>
      <c r="AL6" s="0" t="n">
        <f aca="false">AJ6*x_R_NFZ</f>
        <v>31884292.403779</v>
      </c>
      <c r="AM6" s="0" t="n">
        <f aca="false">AJ6*x_R_PIT</f>
        <v>27295564.5574979</v>
      </c>
      <c r="AN6" s="0" t="n">
        <f aca="false">AJ6*x_R_FP</f>
        <v>10469211.7832163</v>
      </c>
      <c r="AO6" s="0" t="n">
        <f aca="false">AA6+AB6+AC6+AD6+AF6</f>
        <v>457518614.404654</v>
      </c>
      <c r="AP6" s="0" t="n">
        <f aca="false">AO6+AE6+AG6+AH6+AI6+AK6+AL6+AM6+AN6</f>
        <v>707703653.80573</v>
      </c>
      <c r="AQ6" s="0" t="n">
        <f aca="false">AO6+AE6+AG6+AJ6</f>
        <v>870075939.236667</v>
      </c>
      <c r="AR6" s="0" t="n">
        <f aca="false">AB6+AC6+AD6+AF6</f>
        <v>158381904.275353</v>
      </c>
      <c r="AS6" s="0" t="n">
        <f aca="false">AR6+AE6+AG6</f>
        <v>160381904.275353</v>
      </c>
    </row>
    <row r="7" customFormat="false" ht="15" hidden="false" customHeight="false" outlineLevel="0" collapsed="false">
      <c r="A7" s="0" t="n">
        <v>2030</v>
      </c>
      <c r="B7" s="0" t="n">
        <v>4</v>
      </c>
      <c r="C7" s="0" t="n">
        <v>5369.388</v>
      </c>
      <c r="D7" s="0" t="n">
        <v>0</v>
      </c>
      <c r="E7" s="0" t="n">
        <v>2000000</v>
      </c>
      <c r="F7" s="0" t="n">
        <v>0</v>
      </c>
      <c r="G7" s="0" t="n">
        <v>0</v>
      </c>
      <c r="H7" s="0" t="n">
        <v>2475.175</v>
      </c>
      <c r="I7" s="0" t="n">
        <v>281.769</v>
      </c>
      <c r="J7" s="0" t="n">
        <v>1581.138</v>
      </c>
      <c r="K7" s="0" t="n">
        <v>2646.738</v>
      </c>
      <c r="L7" s="0" t="n">
        <v>1446.195</v>
      </c>
      <c r="M7" s="0" t="n">
        <v>24856.949</v>
      </c>
      <c r="N7" s="0" t="n">
        <v>2491.337</v>
      </c>
      <c r="O7" s="0" t="n">
        <v>88.741</v>
      </c>
      <c r="P7" s="0" t="n">
        <v>88.29</v>
      </c>
      <c r="Q7" s="0" t="n">
        <v>2187.098</v>
      </c>
      <c r="R7" s="0" t="n">
        <v>1869.186</v>
      </c>
      <c r="S7" s="0" t="n">
        <v>2865.652</v>
      </c>
      <c r="T7" s="0" t="n">
        <v>2756.945</v>
      </c>
      <c r="U7" s="0" t="n">
        <v>1694.364</v>
      </c>
      <c r="V7" s="0" t="n">
        <v>118525.409</v>
      </c>
      <c r="W7" s="0" t="n">
        <v>307.422</v>
      </c>
      <c r="X7" s="0" t="n">
        <v>824.495</v>
      </c>
      <c r="Y7" s="0" t="n">
        <v>88.741</v>
      </c>
      <c r="Z7" s="0" t="n">
        <v>948.66</v>
      </c>
      <c r="AA7" s="0" t="n">
        <f aca="false">H7*x_c_F+I7*x_c_CC+J7*x_c_DC+K7*x_c_HCC+L7*x_c_PLT+M7*x_c_SVRn+N7*x_c_SVRcc+O7*x_c_LT+P7*x_c_LT1</f>
        <v>306481993.083547</v>
      </c>
      <c r="AB7" s="0" t="n">
        <f aca="false">C7*x_c_DAA</f>
        <v>122207270.88</v>
      </c>
      <c r="AC7" s="0" t="n">
        <f aca="false">C7*x_c_MON</f>
        <v>30955219.2292992</v>
      </c>
      <c r="AD7" s="0" t="n">
        <f aca="false">D7*(1-x_testy)</f>
        <v>0</v>
      </c>
      <c r="AE7" s="0" t="n">
        <f aca="false">E7*(1-x_testy)</f>
        <v>2000000</v>
      </c>
      <c r="AF7" s="0" t="n">
        <f aca="false">F7*x_NAV</f>
        <v>0</v>
      </c>
      <c r="AG7" s="0" t="n">
        <f aca="false">G7*x_FIX*(1-x_testy)</f>
        <v>0</v>
      </c>
      <c r="AH7" s="0" t="n">
        <f aca="false">x_z_F*U7+(1-x_AGRI)*x_EMP*x_WLOSS*(x_PEN_K74*Q7+x_PEN_C22*R7)</f>
        <v>46811003.6803029</v>
      </c>
      <c r="AI7" s="0" t="n">
        <f aca="false">x_AGRI*x_EMP*x_WLOSS*(x_PEN_K74*Q7+x_PEN_C22*R7)</f>
        <v>2863867.87912911</v>
      </c>
      <c r="AJ7" s="0" t="n">
        <f aca="false">x_EMP*x_WAGE*(x_WLOSS*(Q7+R7)+S7)+U7*x_ABS_D*x_WAGE/365</f>
        <v>471126179.90524</v>
      </c>
      <c r="AK7" s="0" t="n">
        <f aca="false">AJ7*x_R_FUS</f>
        <v>149064323.322018</v>
      </c>
      <c r="AL7" s="0" t="n">
        <f aca="false">AJ7*x_R_NFZ</f>
        <v>36588130.2576209</v>
      </c>
      <c r="AM7" s="0" t="n">
        <f aca="false">AJ7*x_R_PIT</f>
        <v>31322434.8477831</v>
      </c>
      <c r="AN7" s="0" t="n">
        <f aca="false">AJ7*x_R_FP</f>
        <v>12013717.5875836</v>
      </c>
      <c r="AO7" s="0" t="n">
        <f aca="false">AA7+AB7+AC7+AD7+AF7</f>
        <v>459644483.192846</v>
      </c>
      <c r="AP7" s="0" t="n">
        <f aca="false">AO7+AE7+AG7+AH7+AI7+AK7+AL7+AM7+AN7</f>
        <v>740307960.767284</v>
      </c>
      <c r="AQ7" s="0" t="n">
        <f aca="false">AO7+AE7+AG7+AJ7</f>
        <v>932770663.098086</v>
      </c>
      <c r="AR7" s="0" t="n">
        <f aca="false">AB7+AC7+AD7+AF7</f>
        <v>153162490.109299</v>
      </c>
      <c r="AS7" s="0" t="n">
        <f aca="false">AR7+AE7+AG7</f>
        <v>155162490.109299</v>
      </c>
    </row>
    <row r="8" customFormat="false" ht="15" hidden="false" customHeight="false" outlineLevel="0" collapsed="false">
      <c r="A8" s="0" t="n">
        <v>2031</v>
      </c>
      <c r="B8" s="0" t="n">
        <v>5</v>
      </c>
      <c r="C8" s="0" t="n">
        <v>5232.888</v>
      </c>
      <c r="D8" s="0" t="n">
        <v>0</v>
      </c>
      <c r="E8" s="0" t="n">
        <v>2000000</v>
      </c>
      <c r="F8" s="0" t="n">
        <v>0</v>
      </c>
      <c r="G8" s="0" t="n">
        <v>0</v>
      </c>
      <c r="H8" s="0" t="n">
        <v>2406.594</v>
      </c>
      <c r="I8" s="0" t="n">
        <v>288.76</v>
      </c>
      <c r="J8" s="0" t="n">
        <v>1604.414</v>
      </c>
      <c r="K8" s="0" t="n">
        <v>2713.844</v>
      </c>
      <c r="L8" s="0" t="n">
        <v>1431.431</v>
      </c>
      <c r="M8" s="0" t="n">
        <v>28691.697</v>
      </c>
      <c r="N8" s="0" t="n">
        <v>2948.544</v>
      </c>
      <c r="O8" s="0" t="n">
        <v>90.094</v>
      </c>
      <c r="P8" s="0" t="n">
        <v>89.418</v>
      </c>
      <c r="Q8" s="0" t="n">
        <v>2219.499</v>
      </c>
      <c r="R8" s="0" t="n">
        <v>1941.889</v>
      </c>
      <c r="S8" s="0" t="n">
        <v>3534.934</v>
      </c>
      <c r="T8" s="0" t="n">
        <v>2695.355</v>
      </c>
      <c r="U8" s="0" t="n">
        <v>1693.33</v>
      </c>
      <c r="V8" s="0" t="n">
        <v>119905.41</v>
      </c>
      <c r="W8" s="0" t="n">
        <v>318.443</v>
      </c>
      <c r="X8" s="0" t="n">
        <v>849.906</v>
      </c>
      <c r="Y8" s="0" t="n">
        <v>90.094</v>
      </c>
      <c r="Z8" s="0" t="n">
        <v>966.845</v>
      </c>
      <c r="AA8" s="0" t="n">
        <f aca="false">H8*x_c_F+I8*x_c_CC+J8*x_c_DC+K8*x_c_HCC+L8*x_c_PLT+M8*x_c_SVRn+N8*x_c_SVRcc+O8*x_c_LT+P8*x_c_LT1</f>
        <v>314606072.732052</v>
      </c>
      <c r="AB8" s="0" t="n">
        <f aca="false">C8*x_c_DAA</f>
        <v>119100530.88</v>
      </c>
      <c r="AC8" s="0" t="n">
        <f aca="false">C8*x_c_MON</f>
        <v>30168278.9998355</v>
      </c>
      <c r="AD8" s="0" t="n">
        <f aca="false">D8*(1-x_testy)</f>
        <v>0</v>
      </c>
      <c r="AE8" s="0" t="n">
        <f aca="false">E8*(1-x_testy)</f>
        <v>2000000</v>
      </c>
      <c r="AF8" s="0" t="n">
        <f aca="false">F8*x_NAV</f>
        <v>0</v>
      </c>
      <c r="AG8" s="0" t="n">
        <f aca="false">G8*x_FIX*(1-x_testy)</f>
        <v>0</v>
      </c>
      <c r="AH8" s="0" t="n">
        <f aca="false">x_z_F*U8+(1-x_AGRI)*x_EMP*x_WLOSS*(x_PEN_K74*Q8+x_PEN_C22*R8)</f>
        <v>47964839.7158766</v>
      </c>
      <c r="AI8" s="0" t="n">
        <f aca="false">x_AGRI*x_EMP*x_WLOSS*(x_PEN_K74*Q8+x_PEN_C22*R8)</f>
        <v>2940274.73868858</v>
      </c>
      <c r="AJ8" s="0" t="n">
        <f aca="false">x_EMP*x_WAGE*(x_WLOSS*(Q8+R8)+S8)+U8*x_ABS_D*x_WAGE/365</f>
        <v>533934179.890224</v>
      </c>
      <c r="AK8" s="0" t="n">
        <f aca="false">AJ8*x_R_FUS</f>
        <v>168936774.517267</v>
      </c>
      <c r="AL8" s="0" t="n">
        <f aca="false">AJ8*x_R_NFZ</f>
        <v>41465862.3444547</v>
      </c>
      <c r="AM8" s="0" t="n">
        <f aca="false">AJ8*x_R_PIT</f>
        <v>35498172.8376458</v>
      </c>
      <c r="AN8" s="0" t="n">
        <f aca="false">AJ8*x_R_FP</f>
        <v>13615321.5872007</v>
      </c>
      <c r="AO8" s="0" t="n">
        <f aca="false">AA8+AB8+AC8+AD8+AF8</f>
        <v>463874882.611888</v>
      </c>
      <c r="AP8" s="0" t="n">
        <f aca="false">AO8+AE8+AG8+AH8+AI8+AK8+AL8+AM8+AN8</f>
        <v>776296128.353021</v>
      </c>
      <c r="AQ8" s="0" t="n">
        <f aca="false">AO8+AE8+AG8+AJ8</f>
        <v>999809062.502112</v>
      </c>
      <c r="AR8" s="0" t="n">
        <f aca="false">AB8+AC8+AD8+AF8</f>
        <v>149268809.879836</v>
      </c>
      <c r="AS8" s="0" t="n">
        <f aca="false">AR8+AE8+AG8</f>
        <v>151268809.879836</v>
      </c>
    </row>
    <row r="9" customFormat="false" ht="15" hidden="false" customHeight="false" outlineLevel="0" collapsed="false">
      <c r="A9" s="0" t="n">
        <v>2032</v>
      </c>
      <c r="B9" s="0" t="n">
        <v>6</v>
      </c>
      <c r="C9" s="0" t="n">
        <v>5131.06</v>
      </c>
      <c r="D9" s="0" t="n">
        <v>0</v>
      </c>
      <c r="E9" s="0" t="n">
        <v>2000000</v>
      </c>
      <c r="F9" s="0" t="n">
        <v>0</v>
      </c>
      <c r="G9" s="0" t="n">
        <v>0</v>
      </c>
      <c r="H9" s="0" t="n">
        <v>2353.167</v>
      </c>
      <c r="I9" s="0" t="n">
        <v>295.878</v>
      </c>
      <c r="J9" s="0" t="n">
        <v>1632.909</v>
      </c>
      <c r="K9" s="0" t="n">
        <v>2783.763</v>
      </c>
      <c r="L9" s="0" t="n">
        <v>1417.236</v>
      </c>
      <c r="M9" s="0" t="n">
        <v>32386.413</v>
      </c>
      <c r="N9" s="0" t="n">
        <v>3401.9</v>
      </c>
      <c r="O9" s="0" t="n">
        <v>91.753</v>
      </c>
      <c r="P9" s="0" t="n">
        <v>90.924</v>
      </c>
      <c r="Q9" s="0" t="n">
        <v>2257.849</v>
      </c>
      <c r="R9" s="0" t="n">
        <v>2018.512</v>
      </c>
      <c r="S9" s="0" t="n">
        <v>4222.64</v>
      </c>
      <c r="T9" s="0" t="n">
        <v>2649.045</v>
      </c>
      <c r="U9" s="0" t="n">
        <v>1699.155</v>
      </c>
      <c r="V9" s="0" t="n">
        <v>121296.748</v>
      </c>
      <c r="W9" s="0" t="n">
        <v>328.379</v>
      </c>
      <c r="X9" s="0" t="n">
        <v>871.99</v>
      </c>
      <c r="Y9" s="0" t="n">
        <v>91.753</v>
      </c>
      <c r="Z9" s="0" t="n">
        <v>987.155</v>
      </c>
      <c r="AA9" s="0" t="n">
        <f aca="false">H9*x_c_F+I9*x_c_CC+J9*x_c_DC+K9*x_c_HCC+L9*x_c_PLT+M9*x_c_SVRn+N9*x_c_SVRcc+O9*x_c_LT+P9*x_c_LT1</f>
        <v>323091494.386612</v>
      </c>
      <c r="AB9" s="0" t="n">
        <f aca="false">C9*x_c_DAA</f>
        <v>116782925.6</v>
      </c>
      <c r="AC9" s="0" t="n">
        <f aca="false">C9*x_c_MON</f>
        <v>29581227.3537855</v>
      </c>
      <c r="AD9" s="0" t="n">
        <f aca="false">D9*(1-x_testy)</f>
        <v>0</v>
      </c>
      <c r="AE9" s="0" t="n">
        <f aca="false">E9*(1-x_testy)</f>
        <v>2000000</v>
      </c>
      <c r="AF9" s="0" t="n">
        <f aca="false">F9*x_NAV</f>
        <v>0</v>
      </c>
      <c r="AG9" s="0" t="n">
        <f aca="false">G9*x_FIX*(1-x_testy)</f>
        <v>0</v>
      </c>
      <c r="AH9" s="0" t="n">
        <f aca="false">x_z_F*U9+(1-x_AGRI)*x_EMP*x_WLOSS*(x_PEN_K74*Q9+x_PEN_C22*R9)</f>
        <v>49237332.8677434</v>
      </c>
      <c r="AI9" s="0" t="n">
        <f aca="false">x_AGRI*x_EMP*x_WLOSS*(x_PEN_K74*Q9+x_PEN_C22*R9)</f>
        <v>3023592.52626011</v>
      </c>
      <c r="AJ9" s="0" t="n">
        <f aca="false">x_EMP*x_WAGE*(x_WLOSS*(Q9+R9)+S9)+U9*x_ABS_D*x_WAGE/365</f>
        <v>598872863.665609</v>
      </c>
      <c r="AK9" s="0" t="n">
        <f aca="false">AJ9*x_R_FUS</f>
        <v>189483374.063799</v>
      </c>
      <c r="AL9" s="0" t="n">
        <f aca="false">AJ9*x_R_NFZ</f>
        <v>46509065.4651348</v>
      </c>
      <c r="AM9" s="0" t="n">
        <f aca="false">AJ9*x_R_PIT</f>
        <v>39815567.5790385</v>
      </c>
      <c r="AN9" s="0" t="n">
        <f aca="false">AJ9*x_R_FP</f>
        <v>15271258.023473</v>
      </c>
      <c r="AO9" s="0" t="n">
        <f aca="false">AA9+AB9+AC9+AD9+AF9</f>
        <v>469455647.340398</v>
      </c>
      <c r="AP9" s="0" t="n">
        <f aca="false">AO9+AE9+AG9+AH9+AI9+AK9+AL9+AM9+AN9</f>
        <v>814795837.865846</v>
      </c>
      <c r="AQ9" s="0" t="n">
        <f aca="false">AO9+AE9+AG9+AJ9</f>
        <v>1070328511.00601</v>
      </c>
      <c r="AR9" s="0" t="n">
        <f aca="false">AB9+AC9+AD9+AF9</f>
        <v>146364152.953786</v>
      </c>
      <c r="AS9" s="0" t="n">
        <f aca="false">AR9+AE9+AG9</f>
        <v>148364152.953786</v>
      </c>
    </row>
    <row r="10" customFormat="false" ht="15" hidden="false" customHeight="false" outlineLevel="0" collapsed="false">
      <c r="A10" s="0" t="n">
        <v>2033</v>
      </c>
      <c r="B10" s="0" t="n">
        <v>7</v>
      </c>
      <c r="C10" s="0" t="n">
        <v>5055.097</v>
      </c>
      <c r="D10" s="0" t="n">
        <v>0</v>
      </c>
      <c r="E10" s="0" t="n">
        <v>2000000</v>
      </c>
      <c r="F10" s="0" t="n">
        <v>0</v>
      </c>
      <c r="G10" s="0" t="n">
        <v>0</v>
      </c>
      <c r="H10" s="0" t="n">
        <v>2311.468</v>
      </c>
      <c r="I10" s="0" t="n">
        <v>302.661</v>
      </c>
      <c r="J10" s="0" t="n">
        <v>1664.312</v>
      </c>
      <c r="K10" s="0" t="n">
        <v>2851.9</v>
      </c>
      <c r="L10" s="0" t="n">
        <v>1403.852</v>
      </c>
      <c r="M10" s="0" t="n">
        <v>35967.6</v>
      </c>
      <c r="N10" s="0" t="n">
        <v>3850.137</v>
      </c>
      <c r="O10" s="0" t="n">
        <v>93.575</v>
      </c>
      <c r="P10" s="0" t="n">
        <v>92.664</v>
      </c>
      <c r="Q10" s="0" t="n">
        <v>2300.67</v>
      </c>
      <c r="R10" s="0" t="n">
        <v>2095.841</v>
      </c>
      <c r="S10" s="0" t="n">
        <v>4929.589</v>
      </c>
      <c r="T10" s="0" t="n">
        <v>2614.129</v>
      </c>
      <c r="U10" s="0" t="n">
        <v>1710.082</v>
      </c>
      <c r="V10" s="0" t="n">
        <v>122686.702</v>
      </c>
      <c r="W10" s="0" t="n">
        <v>336.864</v>
      </c>
      <c r="X10" s="0" t="n">
        <v>890.174</v>
      </c>
      <c r="Y10" s="0" t="n">
        <v>93.575</v>
      </c>
      <c r="Z10" s="0" t="n">
        <v>1007.992</v>
      </c>
      <c r="AA10" s="0" t="n">
        <f aca="false">H10*x_c_F+I10*x_c_CC+J10*x_c_DC+K10*x_c_HCC+L10*x_c_PLT+M10*x_c_SVRn+N10*x_c_SVRcc+O10*x_c_LT+P10*x_c_LT1</f>
        <v>331559520.8592</v>
      </c>
      <c r="AB10" s="0" t="n">
        <f aca="false">C10*x_c_DAA</f>
        <v>115054007.72</v>
      </c>
      <c r="AC10" s="0" t="n">
        <f aca="false">C10*x_c_MON</f>
        <v>29143290.7922416</v>
      </c>
      <c r="AD10" s="0" t="n">
        <f aca="false">D10*(1-x_testy)</f>
        <v>0</v>
      </c>
      <c r="AE10" s="0" t="n">
        <f aca="false">E10*(1-x_testy)</f>
        <v>2000000</v>
      </c>
      <c r="AF10" s="0" t="n">
        <f aca="false">F10*x_NAV</f>
        <v>0</v>
      </c>
      <c r="AG10" s="0" t="n">
        <f aca="false">G10*x_FIX*(1-x_testy)</f>
        <v>0</v>
      </c>
      <c r="AH10" s="0" t="n">
        <f aca="false">x_z_F*U10+(1-x_AGRI)*x_EMP*x_WLOSS*(x_PEN_K74*Q10+x_PEN_C22*R10)</f>
        <v>50573310.3369882</v>
      </c>
      <c r="AI10" s="0" t="n">
        <f aca="false">x_AGRI*x_EMP*x_WLOSS*(x_PEN_K74*Q10+x_PEN_C22*R10)</f>
        <v>3110413.18704451</v>
      </c>
      <c r="AJ10" s="0" t="n">
        <f aca="false">x_EMP*x_WAGE*(x_WLOSS*(Q10+R10)+S10)+U10*x_ABS_D*x_WAGE/365</f>
        <v>665750311.486617</v>
      </c>
      <c r="AK10" s="0" t="n">
        <f aca="false">AJ10*x_R_FUS</f>
        <v>210643398.554366</v>
      </c>
      <c r="AL10" s="0" t="n">
        <f aca="false">AJ10*x_R_NFZ</f>
        <v>51702834.9403621</v>
      </c>
      <c r="AM10" s="0" t="n">
        <f aca="false">AJ10*x_R_PIT</f>
        <v>44261859.4462849</v>
      </c>
      <c r="AN10" s="0" t="n">
        <f aca="false">AJ10*x_R_FP</f>
        <v>16976632.9429087</v>
      </c>
      <c r="AO10" s="0" t="n">
        <f aca="false">AA10+AB10+AC10+AD10+AF10</f>
        <v>475756819.371442</v>
      </c>
      <c r="AP10" s="0" t="n">
        <f aca="false">AO10+AE10+AG10+AH10+AI10+AK10+AL10+AM10+AN10</f>
        <v>855025268.779396</v>
      </c>
      <c r="AQ10" s="0" t="n">
        <f aca="false">AO10+AE10+AG10+AJ10</f>
        <v>1143507130.85806</v>
      </c>
      <c r="AR10" s="0" t="n">
        <f aca="false">AB10+AC10+AD10+AF10</f>
        <v>144197298.512242</v>
      </c>
      <c r="AS10" s="0" t="n">
        <f aca="false">AR10+AE10+AG10</f>
        <v>146197298.512242</v>
      </c>
    </row>
    <row r="11" customFormat="false" ht="15" hidden="false" customHeight="false" outlineLevel="0" collapsed="false">
      <c r="A11" s="0" t="n">
        <v>2034</v>
      </c>
      <c r="B11" s="0" t="n">
        <v>8</v>
      </c>
      <c r="C11" s="0" t="n">
        <v>4998.429</v>
      </c>
      <c r="D11" s="0" t="n">
        <v>0</v>
      </c>
      <c r="E11" s="0" t="n">
        <v>2000000</v>
      </c>
      <c r="F11" s="0" t="n">
        <v>0</v>
      </c>
      <c r="G11" s="0" t="n">
        <v>0</v>
      </c>
      <c r="H11" s="0" t="n">
        <v>2278.948</v>
      </c>
      <c r="I11" s="0" t="n">
        <v>308.756</v>
      </c>
      <c r="J11" s="0" t="n">
        <v>1696.398</v>
      </c>
      <c r="K11" s="0" t="n">
        <v>2914.495</v>
      </c>
      <c r="L11" s="0" t="n">
        <v>1391.371</v>
      </c>
      <c r="M11" s="0" t="n">
        <v>39451.348</v>
      </c>
      <c r="N11" s="0" t="n">
        <v>4291.263</v>
      </c>
      <c r="O11" s="0" t="n">
        <v>95.423</v>
      </c>
      <c r="P11" s="0" t="n">
        <v>94.499</v>
      </c>
      <c r="Q11" s="0" t="n">
        <v>2346.449</v>
      </c>
      <c r="R11" s="0" t="n">
        <v>2171.246</v>
      </c>
      <c r="S11" s="0" t="n">
        <v>5655.42</v>
      </c>
      <c r="T11" s="0" t="n">
        <v>2587.705</v>
      </c>
      <c r="U11" s="0" t="n">
        <v>1724.72</v>
      </c>
      <c r="V11" s="0" t="n">
        <v>124064.586</v>
      </c>
      <c r="W11" s="0" t="n">
        <v>343.652</v>
      </c>
      <c r="X11" s="0" t="n">
        <v>904.088</v>
      </c>
      <c r="Y11" s="0" t="n">
        <v>95.423</v>
      </c>
      <c r="Z11" s="0" t="n">
        <v>1027.941</v>
      </c>
      <c r="AA11" s="0" t="n">
        <f aca="false">H11*x_c_F+I11*x_c_CC+J11*x_c_DC+K11*x_c_HCC+L11*x_c_PLT+M11*x_c_SVRn+N11*x_c_SVRcc+O11*x_c_LT+P11*x_c_LT1</f>
        <v>339677824.823073</v>
      </c>
      <c r="AB11" s="0" t="n">
        <f aca="false">C11*x_c_DAA</f>
        <v>113764244.04</v>
      </c>
      <c r="AC11" s="0" t="n">
        <f aca="false">C11*x_c_MON</f>
        <v>28816592.4118515</v>
      </c>
      <c r="AD11" s="0" t="n">
        <f aca="false">D11*(1-x_testy)</f>
        <v>0</v>
      </c>
      <c r="AE11" s="0" t="n">
        <f aca="false">E11*(1-x_testy)</f>
        <v>2000000</v>
      </c>
      <c r="AF11" s="0" t="n">
        <f aca="false">F11*x_NAV</f>
        <v>0</v>
      </c>
      <c r="AG11" s="0" t="n">
        <f aca="false">G11*x_FIX*(1-x_testy)</f>
        <v>0</v>
      </c>
      <c r="AH11" s="0" t="n">
        <f aca="false">x_z_F*U11+(1-x_AGRI)*x_EMP*x_WLOSS*(x_PEN_K74*Q11+x_PEN_C22*R11)</f>
        <v>51924669.9408843</v>
      </c>
      <c r="AI11" s="0" t="n">
        <f aca="false">x_AGRI*x_EMP*x_WLOSS*(x_PEN_K74*Q11+x_PEN_C22*R11)</f>
        <v>3197746.28412188</v>
      </c>
      <c r="AJ11" s="0" t="n">
        <f aca="false">x_EMP*x_WAGE*(x_WLOSS*(Q11+R11)+S11)+U11*x_ABS_D*x_WAGE/365</f>
        <v>734305093.973883</v>
      </c>
      <c r="AK11" s="0" t="n">
        <f aca="false">AJ11*x_R_FUS</f>
        <v>232334131.733337</v>
      </c>
      <c r="AL11" s="0" t="n">
        <f aca="false">AJ11*x_R_NFZ</f>
        <v>57026867.9031057</v>
      </c>
      <c r="AM11" s="0" t="n">
        <f aca="false">AJ11*x_R_PIT</f>
        <v>48819667.5230791</v>
      </c>
      <c r="AN11" s="0" t="n">
        <f aca="false">AJ11*x_R_FP</f>
        <v>18724779.896334</v>
      </c>
      <c r="AO11" s="0" t="n">
        <f aca="false">AA11+AB11+AC11+AD11+AF11</f>
        <v>482258661.274924</v>
      </c>
      <c r="AP11" s="0" t="n">
        <f aca="false">AO11+AE11+AG11+AH11+AI11+AK11+AL11+AM11+AN11</f>
        <v>896286524.555786</v>
      </c>
      <c r="AQ11" s="0" t="n">
        <f aca="false">AO11+AE11+AG11+AJ11</f>
        <v>1218563755.24881</v>
      </c>
      <c r="AR11" s="0" t="n">
        <f aca="false">AB11+AC11+AD11+AF11</f>
        <v>142580836.451852</v>
      </c>
      <c r="AS11" s="0" t="n">
        <f aca="false">AR11+AE11+AG11</f>
        <v>144580836.451852</v>
      </c>
    </row>
    <row r="12" customFormat="false" ht="15" hidden="false" customHeight="false" outlineLevel="0" collapsed="false">
      <c r="A12" s="0" t="n">
        <v>2035</v>
      </c>
      <c r="B12" s="0" t="n">
        <v>9</v>
      </c>
      <c r="C12" s="0" t="n">
        <v>4956.155</v>
      </c>
      <c r="D12" s="0" t="n">
        <v>0</v>
      </c>
      <c r="E12" s="0" t="n">
        <v>2000000</v>
      </c>
      <c r="F12" s="0" t="n">
        <v>0</v>
      </c>
      <c r="G12" s="0" t="n">
        <v>0</v>
      </c>
      <c r="H12" s="0" t="n">
        <v>2233.411</v>
      </c>
      <c r="I12" s="0" t="n">
        <v>311.045</v>
      </c>
      <c r="J12" s="0" t="n">
        <v>1727.151</v>
      </c>
      <c r="K12" s="0" t="n">
        <v>2968.625</v>
      </c>
      <c r="L12" s="0" t="n">
        <v>1379.757</v>
      </c>
      <c r="M12" s="0" t="n">
        <v>42808.232</v>
      </c>
      <c r="N12" s="0" t="n">
        <v>4717.248</v>
      </c>
      <c r="O12" s="0" t="n">
        <v>97.182</v>
      </c>
      <c r="P12" s="0" t="n">
        <v>96.303</v>
      </c>
      <c r="Q12" s="0" t="n">
        <v>2393.702</v>
      </c>
      <c r="R12" s="0" t="n">
        <v>2242.639</v>
      </c>
      <c r="S12" s="0" t="n">
        <v>6398.749</v>
      </c>
      <c r="T12" s="0" t="n">
        <v>2544.456</v>
      </c>
      <c r="U12" s="0" t="n">
        <v>1726.125</v>
      </c>
      <c r="V12" s="0" t="n">
        <v>125419.768</v>
      </c>
      <c r="W12" s="0" t="n">
        <v>348.614</v>
      </c>
      <c r="X12" s="0" t="n">
        <v>913.592</v>
      </c>
      <c r="Y12" s="0" t="n">
        <v>97.182</v>
      </c>
      <c r="Z12" s="0" t="n">
        <v>1045.883</v>
      </c>
      <c r="AA12" s="0" t="n">
        <f aca="false">H12*x_c_F+I12*x_c_CC+J12*x_c_DC+K12*x_c_HCC+L12*x_c_PLT+M12*x_c_SVRn+N12*x_c_SVRcc+O12*x_c_LT+P12*x_c_LT1</f>
        <v>347057027.8787</v>
      </c>
      <c r="AB12" s="0" t="n">
        <f aca="false">C12*x_c_DAA</f>
        <v>112802087.8</v>
      </c>
      <c r="AC12" s="0" t="n">
        <f aca="false">C12*x_c_MON</f>
        <v>28572877.3110431</v>
      </c>
      <c r="AD12" s="0" t="n">
        <f aca="false">D12*(1-x_testy)</f>
        <v>0</v>
      </c>
      <c r="AE12" s="0" t="n">
        <f aca="false">E12*(1-x_testy)</f>
        <v>2000000</v>
      </c>
      <c r="AF12" s="0" t="n">
        <f aca="false">F12*x_NAV</f>
        <v>0</v>
      </c>
      <c r="AG12" s="0" t="n">
        <f aca="false">G12*x_FIX*(1-x_testy)</f>
        <v>0</v>
      </c>
      <c r="AH12" s="0" t="n">
        <f aca="false">x_z_F*U12+(1-x_AGRI)*x_EMP*x_WLOSS*(x_PEN_K74*Q12+x_PEN_C22*R12)</f>
        <v>53217815.6268582</v>
      </c>
      <c r="AI12" s="0" t="n">
        <f aca="false">x_AGRI*x_EMP*x_WLOSS*(x_PEN_K74*Q12+x_PEN_C22*R12)</f>
        <v>3283029.80491638</v>
      </c>
      <c r="AJ12" s="0" t="n">
        <f aca="false">x_EMP*x_WAGE*(x_WLOSS*(Q12+R12)+S12)+U12*x_ABS_D*x_WAGE/365</f>
        <v>804174100.69029</v>
      </c>
      <c r="AK12" s="0" t="n">
        <f aca="false">AJ12*x_R_FUS</f>
        <v>254440685.458408</v>
      </c>
      <c r="AL12" s="0" t="n">
        <f aca="false">AJ12*x_R_NFZ</f>
        <v>62452964.8337086</v>
      </c>
      <c r="AM12" s="0" t="n">
        <f aca="false">AJ12*x_R_PIT</f>
        <v>53464850.711995</v>
      </c>
      <c r="AN12" s="0" t="n">
        <f aca="false">AJ12*x_R_FP</f>
        <v>20506439.5676024</v>
      </c>
      <c r="AO12" s="0" t="n">
        <f aca="false">AA12+AB12+AC12+AD12+AF12</f>
        <v>488431992.989744</v>
      </c>
      <c r="AP12" s="0" t="n">
        <f aca="false">AO12+AE12+AG12+AH12+AI12+AK12+AL12+AM12+AN12</f>
        <v>937797778.993232</v>
      </c>
      <c r="AQ12" s="0" t="n">
        <f aca="false">AO12+AE12+AG12+AJ12</f>
        <v>1294606093.68003</v>
      </c>
      <c r="AR12" s="0" t="n">
        <f aca="false">AB12+AC12+AD12+AF12</f>
        <v>141374965.111043</v>
      </c>
      <c r="AS12" s="0" t="n">
        <f aca="false">AR12+AE12+AG12</f>
        <v>143374965.111043</v>
      </c>
    </row>
    <row r="13" customFormat="false" ht="15" hidden="false" customHeight="false" outlineLevel="0" collapsed="false">
      <c r="A13" s="0" t="n">
        <v>2036</v>
      </c>
      <c r="B13" s="0" t="n">
        <v>10</v>
      </c>
      <c r="C13" s="0" t="n">
        <v>4832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2198.942</v>
      </c>
      <c r="I13" s="0" t="n">
        <v>312.9</v>
      </c>
      <c r="J13" s="0" t="n">
        <v>1754.89</v>
      </c>
      <c r="K13" s="0" t="n">
        <v>3012.321</v>
      </c>
      <c r="L13" s="0" t="n">
        <v>1368.839</v>
      </c>
      <c r="M13" s="0" t="n">
        <v>46062.489</v>
      </c>
      <c r="N13" s="0" t="n">
        <v>5126.734</v>
      </c>
      <c r="O13" s="0" t="n">
        <v>98.744</v>
      </c>
      <c r="P13" s="0" t="n">
        <v>97.963</v>
      </c>
      <c r="Q13" s="0" t="n">
        <v>2441.11</v>
      </c>
      <c r="R13" s="0" t="n">
        <v>2308.595</v>
      </c>
      <c r="S13" s="0" t="n">
        <v>7157.314</v>
      </c>
      <c r="T13" s="0" t="n">
        <v>2511.842</v>
      </c>
      <c r="U13" s="0" t="n">
        <v>1733.198</v>
      </c>
      <c r="V13" s="0" t="n">
        <v>126745.524</v>
      </c>
      <c r="W13" s="0" t="n">
        <v>351.872</v>
      </c>
      <c r="X13" s="0" t="n">
        <v>919.084</v>
      </c>
      <c r="Y13" s="0" t="n">
        <v>98.744</v>
      </c>
      <c r="Z13" s="0" t="n">
        <v>1060.862</v>
      </c>
      <c r="AA13" s="0" t="n">
        <f aca="false">H13*x_c_F+I13*x_c_CC+J13*x_c_DC+K13*x_c_HCC+L13*x_c_PLT+M13*x_c_SVRn+N13*x_c_SVRcc+O13*x_c_LT+P13*x_c_LT1</f>
        <v>353595807.959815</v>
      </c>
      <c r="AB13" s="0" t="n">
        <f aca="false">C13*x_c_DAA</f>
        <v>109976320</v>
      </c>
      <c r="AC13" s="0" t="n">
        <f aca="false">C13*x_c_MON</f>
        <v>27857107.6100244</v>
      </c>
      <c r="AD13" s="0" t="n">
        <f aca="false">D13*(1-x_testy)</f>
        <v>0</v>
      </c>
      <c r="AE13" s="0" t="n">
        <f aca="false">E13*(1-x_testy)</f>
        <v>0</v>
      </c>
      <c r="AF13" s="0" t="n">
        <f aca="false">F13*x_NAV</f>
        <v>0</v>
      </c>
      <c r="AG13" s="0" t="n">
        <f aca="false">G13*x_FIX*(1-x_testy)</f>
        <v>0</v>
      </c>
      <c r="AH13" s="0" t="n">
        <f aca="false">x_z_F*U13+(1-x_AGRI)*x_EMP*x_WLOSS*(x_PEN_K74*Q13+x_PEN_C22*R13)</f>
        <v>54462075.6546785</v>
      </c>
      <c r="AI13" s="0" t="n">
        <f aca="false">x_AGRI*x_EMP*x_WLOSS*(x_PEN_K74*Q13+x_PEN_C22*R13)</f>
        <v>3364311.84459767</v>
      </c>
      <c r="AJ13" s="0" t="n">
        <f aca="false">x_EMP*x_WAGE*(x_WLOSS*(Q13+R13)+S13)+U13*x_ABS_D*x_WAGE/365</f>
        <v>875069933.536482</v>
      </c>
      <c r="AK13" s="0" t="n">
        <f aca="false">AJ13*x_R_FUS</f>
        <v>276872126.970943</v>
      </c>
      <c r="AL13" s="0" t="n">
        <f aca="false">AJ13*x_R_NFZ</f>
        <v>67958806.1083767</v>
      </c>
      <c r="AM13" s="0" t="n">
        <f aca="false">AJ13*x_R_PIT</f>
        <v>58178301.5878322</v>
      </c>
      <c r="AN13" s="0" t="n">
        <f aca="false">AJ13*x_R_FP</f>
        <v>22314283.3051803</v>
      </c>
      <c r="AO13" s="0" t="n">
        <f aca="false">AA13+AB13+AC13+AD13+AF13</f>
        <v>491429235.569839</v>
      </c>
      <c r="AP13" s="0" t="n">
        <f aca="false">AO13+AE13+AG13+AH13+AI13+AK13+AL13+AM13+AN13</f>
        <v>974579141.041447</v>
      </c>
      <c r="AQ13" s="0" t="n">
        <f aca="false">AO13+AE13+AG13+AJ13</f>
        <v>1366499169.10632</v>
      </c>
      <c r="AR13" s="0" t="n">
        <f aca="false">AB13+AC13+AD13+AF13</f>
        <v>137833427.610024</v>
      </c>
      <c r="AS13" s="0" t="n">
        <f aca="false">AR13+AE13+AG13</f>
        <v>137833427.610024</v>
      </c>
    </row>
    <row r="14" customFormat="false" ht="15" hidden="false" customHeight="false" outlineLevel="0" collapsed="false">
      <c r="A14" s="0" t="n">
        <v>2037</v>
      </c>
      <c r="B14" s="0" t="n">
        <v>11</v>
      </c>
      <c r="C14" s="0" t="n">
        <v>4832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2193.393</v>
      </c>
      <c r="I14" s="0" t="n">
        <v>316.901</v>
      </c>
      <c r="J14" s="0" t="n">
        <v>1778.137</v>
      </c>
      <c r="K14" s="0" t="n">
        <v>3044.075</v>
      </c>
      <c r="L14" s="0" t="n">
        <v>1358.326</v>
      </c>
      <c r="M14" s="0" t="n">
        <v>49266.657</v>
      </c>
      <c r="N14" s="0" t="n">
        <v>5523.249</v>
      </c>
      <c r="O14" s="0" t="n">
        <v>100.037</v>
      </c>
      <c r="P14" s="0" t="n">
        <v>99.39</v>
      </c>
      <c r="Q14" s="0" t="n">
        <v>2487.421</v>
      </c>
      <c r="R14" s="0" t="n">
        <v>2368.003</v>
      </c>
      <c r="S14" s="0" t="n">
        <v>7928.112</v>
      </c>
      <c r="T14" s="0" t="n">
        <v>2510.293</v>
      </c>
      <c r="U14" s="0" t="n">
        <v>1760.208</v>
      </c>
      <c r="V14" s="0" t="n">
        <v>128036.805</v>
      </c>
      <c r="W14" s="0" t="n">
        <v>353.153</v>
      </c>
      <c r="X14" s="0" t="n">
        <v>920.007</v>
      </c>
      <c r="Y14" s="0" t="n">
        <v>100.037</v>
      </c>
      <c r="Z14" s="0" t="n">
        <v>1072.33</v>
      </c>
      <c r="AA14" s="0" t="n">
        <f aca="false">H14*x_c_F+I14*x_c_CC+J14*x_c_DC+K14*x_c_HCC+L14*x_c_PLT+M14*x_c_SVRn+N14*x_c_SVRcc+O14*x_c_LT+P14*x_c_LT1</f>
        <v>359243140.569417</v>
      </c>
      <c r="AB14" s="0" t="n">
        <f aca="false">C14*x_c_DAA</f>
        <v>109976320</v>
      </c>
      <c r="AC14" s="0" t="n">
        <f aca="false">C14*x_c_MON</f>
        <v>27857107.6100244</v>
      </c>
      <c r="AD14" s="0" t="n">
        <f aca="false">D14*(1-x_testy)</f>
        <v>0</v>
      </c>
      <c r="AE14" s="0" t="n">
        <f aca="false">E14*(1-x_testy)</f>
        <v>0</v>
      </c>
      <c r="AF14" s="0" t="n">
        <f aca="false">F14*x_NAV</f>
        <v>0</v>
      </c>
      <c r="AG14" s="0" t="n">
        <f aca="false">G14*x_FIX*(1-x_testy)</f>
        <v>0</v>
      </c>
      <c r="AH14" s="0" t="n">
        <f aca="false">x_z_F*U14+(1-x_AGRI)*x_EMP*x_WLOSS*(x_PEN_K74*Q14+x_PEN_C22*R14)</f>
        <v>55661514.8572407</v>
      </c>
      <c r="AI14" s="0" t="n">
        <f aca="false">x_AGRI*x_EMP*x_WLOSS*(x_PEN_K74*Q14+x_PEN_C22*R14)</f>
        <v>3439922.04526389</v>
      </c>
      <c r="AJ14" s="0" t="n">
        <f aca="false">x_EMP*x_WAGE*(x_WLOSS*(Q14+R14)+S14)+U14*x_ABS_D*x_WAGE/365</f>
        <v>946649245.765253</v>
      </c>
      <c r="AK14" s="0" t="n">
        <f aca="false">AJ14*x_R_FUS</f>
        <v>299519821.360126</v>
      </c>
      <c r="AL14" s="0" t="n">
        <f aca="false">AJ14*x_R_NFZ</f>
        <v>73517727.0753753</v>
      </c>
      <c r="AM14" s="0" t="n">
        <f aca="false">AJ14*x_R_PIT</f>
        <v>62937193.0257603</v>
      </c>
      <c r="AN14" s="0" t="n">
        <f aca="false">AJ14*x_R_FP</f>
        <v>24139555.767014</v>
      </c>
      <c r="AO14" s="0" t="n">
        <f aca="false">AA14+AB14+AC14+AD14+AF14</f>
        <v>497076568.179442</v>
      </c>
      <c r="AP14" s="0" t="n">
        <f aca="false">AO14+AE14+AG14+AH14+AI14+AK14+AL14+AM14+AN14</f>
        <v>1016292302.31022</v>
      </c>
      <c r="AQ14" s="0" t="n">
        <f aca="false">AO14+AE14+AG14+AJ14</f>
        <v>1443725813.9447</v>
      </c>
      <c r="AR14" s="0" t="n">
        <f aca="false">AB14+AC14+AD14+AF14</f>
        <v>137833427.610024</v>
      </c>
      <c r="AS14" s="0" t="n">
        <f aca="false">AR14+AE14+AG14</f>
        <v>137833427.610024</v>
      </c>
    </row>
    <row r="15" customFormat="false" ht="15" hidden="false" customHeight="false" outlineLevel="0" collapsed="false">
      <c r="A15" s="0" t="n">
        <v>2038</v>
      </c>
      <c r="B15" s="0" t="n">
        <v>12</v>
      </c>
      <c r="C15" s="0" t="n">
        <v>4832</v>
      </c>
      <c r="D15" s="0" t="n">
        <v>0</v>
      </c>
      <c r="E15" s="0" t="n">
        <v>0</v>
      </c>
      <c r="F15" s="0" t="n">
        <v>0</v>
      </c>
      <c r="G15" s="0" t="n">
        <v>0</v>
      </c>
      <c r="H15" s="0" t="n">
        <v>2189.413</v>
      </c>
      <c r="I15" s="0" t="n">
        <v>319.295</v>
      </c>
      <c r="J15" s="0" t="n">
        <v>1795.6</v>
      </c>
      <c r="K15" s="0" t="n">
        <v>3062.705</v>
      </c>
      <c r="L15" s="0" t="n">
        <v>1347.864</v>
      </c>
      <c r="M15" s="0" t="n">
        <v>52410.658</v>
      </c>
      <c r="N15" s="0" t="n">
        <v>5902.831</v>
      </c>
      <c r="O15" s="0" t="n">
        <v>100.985</v>
      </c>
      <c r="P15" s="0" t="n">
        <v>100.511</v>
      </c>
      <c r="Q15" s="0" t="n">
        <v>1642.649</v>
      </c>
      <c r="R15" s="0" t="n">
        <v>1583.127</v>
      </c>
      <c r="S15" s="0" t="n">
        <v>5525.304</v>
      </c>
      <c r="T15" s="0" t="n">
        <v>2508.708</v>
      </c>
      <c r="U15" s="0" t="n">
        <v>1501.198</v>
      </c>
      <c r="V15" s="0" t="n">
        <v>129289.253</v>
      </c>
      <c r="W15" s="0" t="n">
        <v>352.548</v>
      </c>
      <c r="X15" s="0" t="n">
        <v>916.626</v>
      </c>
      <c r="Y15" s="0" t="n">
        <v>100.985</v>
      </c>
      <c r="Z15" s="0" t="n">
        <v>1079.681</v>
      </c>
      <c r="AA15" s="0" t="n">
        <f aca="false">H15*x_c_F+I15*x_c_CC+J15*x_c_DC+K15*x_c_HCC+L15*x_c_PLT+M15*x_c_SVRn+N15*x_c_SVRcc+O15*x_c_LT+P15*x_c_LT1</f>
        <v>363742272.538885</v>
      </c>
      <c r="AB15" s="0" t="n">
        <f aca="false">C15*x_c_DAA</f>
        <v>109976320</v>
      </c>
      <c r="AC15" s="0" t="n">
        <f aca="false">C15*x_c_MON</f>
        <v>27857107.6100244</v>
      </c>
      <c r="AD15" s="0" t="n">
        <f aca="false">D15*(1-x_testy)</f>
        <v>0</v>
      </c>
      <c r="AE15" s="0" t="n">
        <f aca="false">E15*(1-x_testy)</f>
        <v>0</v>
      </c>
      <c r="AF15" s="0" t="n">
        <f aca="false">F15*x_NAV</f>
        <v>0</v>
      </c>
      <c r="AG15" s="0" t="n">
        <f aca="false">G15*x_FIX*(1-x_testy)</f>
        <v>0</v>
      </c>
      <c r="AH15" s="0" t="n">
        <f aca="false">x_z_F*U15+(1-x_AGRI)*x_EMP*x_WLOSS*(x_PEN_K74*Q15+x_PEN_C22*R15)</f>
        <v>37675277.2391541</v>
      </c>
      <c r="AI15" s="0" t="n">
        <f aca="false">x_AGRI*x_EMP*x_WLOSS*(x_PEN_K74*Q15+x_PEN_C22*R15)</f>
        <v>2286263.50661607</v>
      </c>
      <c r="AJ15" s="0" t="n">
        <f aca="false">x_EMP*x_WAGE*(x_WLOSS*(Q15+R15)+S15)+U15*x_ABS_D*x_WAGE/365</f>
        <v>651904783.220155</v>
      </c>
      <c r="AK15" s="0" t="n">
        <f aca="false">AJ15*x_R_FUS</f>
        <v>206262673.410857</v>
      </c>
      <c r="AL15" s="0" t="n">
        <f aca="false">AJ15*x_R_NFZ</f>
        <v>50627577.3696605</v>
      </c>
      <c r="AM15" s="0" t="n">
        <f aca="false">AJ15*x_R_PIT</f>
        <v>43341350.9380406</v>
      </c>
      <c r="AN15" s="0" t="n">
        <f aca="false">AJ15*x_R_FP</f>
        <v>16623571.972114</v>
      </c>
      <c r="AO15" s="0" t="n">
        <f aca="false">AA15+AB15+AC15+AD15+AF15</f>
        <v>501575700.148909</v>
      </c>
      <c r="AP15" s="0" t="n">
        <f aca="false">AO15+AE15+AG15+AH15+AI15+AK15+AL15+AM15+AN15</f>
        <v>858392414.585352</v>
      </c>
      <c r="AQ15" s="0" t="n">
        <f aca="false">AO15+AE15+AG15+AJ15</f>
        <v>1153480483.36906</v>
      </c>
      <c r="AR15" s="0" t="n">
        <f aca="false">AB15+AC15+AD15+AF15</f>
        <v>137833427.610024</v>
      </c>
      <c r="AS15" s="0" t="n">
        <f aca="false">AR15+AE15+AG15</f>
        <v>137833427.610024</v>
      </c>
    </row>
    <row r="16" customFormat="false" ht="15" hidden="false" customHeight="false" outlineLevel="0" collapsed="false">
      <c r="A16" s="0" t="n">
        <v>2039</v>
      </c>
      <c r="B16" s="0" t="n">
        <v>13</v>
      </c>
      <c r="C16" s="0" t="n">
        <v>4832</v>
      </c>
      <c r="D16" s="0" t="n">
        <v>0</v>
      </c>
      <c r="E16" s="0" t="n">
        <v>0</v>
      </c>
      <c r="F16" s="0" t="n">
        <v>0</v>
      </c>
      <c r="G16" s="0" t="n">
        <v>0</v>
      </c>
      <c r="H16" s="0" t="n">
        <v>2186.964</v>
      </c>
      <c r="I16" s="0" t="n">
        <v>320.13</v>
      </c>
      <c r="J16" s="0" t="n">
        <v>1806.335</v>
      </c>
      <c r="K16" s="0" t="n">
        <v>3067.69</v>
      </c>
      <c r="L16" s="0" t="n">
        <v>1337.036</v>
      </c>
      <c r="M16" s="0" t="n">
        <v>55489.426</v>
      </c>
      <c r="N16" s="0" t="n">
        <v>6261.608</v>
      </c>
      <c r="O16" s="0" t="n">
        <v>101.537</v>
      </c>
      <c r="P16" s="0" t="n">
        <v>101.261</v>
      </c>
      <c r="Q16" s="0" t="n">
        <v>787.03</v>
      </c>
      <c r="R16" s="0" t="n">
        <v>786.322</v>
      </c>
      <c r="S16" s="0" t="n">
        <v>2869.164</v>
      </c>
      <c r="T16" s="0" t="n">
        <v>2507.094</v>
      </c>
      <c r="U16" s="0" t="n">
        <v>1256.721</v>
      </c>
      <c r="V16" s="0" t="n">
        <v>130501.228</v>
      </c>
      <c r="W16" s="0" t="n">
        <v>350.185</v>
      </c>
      <c r="X16" s="0" t="n">
        <v>909.279</v>
      </c>
      <c r="Y16" s="0" t="n">
        <v>101.537</v>
      </c>
      <c r="Z16" s="0" t="n">
        <v>1082.566</v>
      </c>
      <c r="AA16" s="0" t="n">
        <f aca="false">H16*x_c_F+I16*x_c_CC+J16*x_c_DC+K16*x_c_HCC+L16*x_c_PLT+M16*x_c_SVRn+N16*x_c_SVRcc+O16*x_c_LT+P16*x_c_LT1</f>
        <v>366996003.141425</v>
      </c>
      <c r="AB16" s="0" t="n">
        <f aca="false">C16*x_c_DAA</f>
        <v>109976320</v>
      </c>
      <c r="AC16" s="0" t="n">
        <f aca="false">C16*x_c_MON</f>
        <v>27857107.6100244</v>
      </c>
      <c r="AD16" s="0" t="n">
        <f aca="false">D16*(1-x_testy)</f>
        <v>0</v>
      </c>
      <c r="AE16" s="0" t="n">
        <f aca="false">E16*(1-x_testy)</f>
        <v>0</v>
      </c>
      <c r="AF16" s="0" t="n">
        <f aca="false">F16*x_NAV</f>
        <v>0</v>
      </c>
      <c r="AG16" s="0" t="n">
        <f aca="false">G16*x_FIX*(1-x_testy)</f>
        <v>0</v>
      </c>
      <c r="AH16" s="0" t="n">
        <f aca="false">x_z_F*U16+(1-x_AGRI)*x_EMP*x_WLOSS*(x_PEN_K74*Q16+x_PEN_C22*R16)</f>
        <v>19473668.2933496</v>
      </c>
      <c r="AI16" s="0" t="n">
        <f aca="false">x_AGRI*x_EMP*x_WLOSS*(x_PEN_K74*Q16+x_PEN_C22*R16)</f>
        <v>1116394.42559147</v>
      </c>
      <c r="AJ16" s="0" t="n">
        <f aca="false">x_EMP*x_WAGE*(x_WLOSS*(Q16+R16)+S16)+U16*x_ABS_D*x_WAGE/365</f>
        <v>334358269.135735</v>
      </c>
      <c r="AK16" s="0" t="n">
        <f aca="false">AJ16*x_R_FUS</f>
        <v>105790956.354547</v>
      </c>
      <c r="AL16" s="0" t="n">
        <f aca="false">AJ16*x_R_NFZ</f>
        <v>25966597.5393503</v>
      </c>
      <c r="AM16" s="0" t="n">
        <f aca="false">AJ16*x_R_PIT</f>
        <v>22229533.2917565</v>
      </c>
      <c r="AN16" s="0" t="n">
        <f aca="false">AJ16*x_R_FP</f>
        <v>8526135.86296125</v>
      </c>
      <c r="AO16" s="0" t="n">
        <f aca="false">AA16+AB16+AC16+AD16+AF16</f>
        <v>504829430.75145</v>
      </c>
      <c r="AP16" s="0" t="n">
        <f aca="false">AO16+AE16+AG16+AH16+AI16+AK16+AL16+AM16+AN16</f>
        <v>687932716.519006</v>
      </c>
      <c r="AQ16" s="0" t="n">
        <f aca="false">AO16+AE16+AG16+AJ16</f>
        <v>839187699.887185</v>
      </c>
      <c r="AR16" s="0" t="n">
        <f aca="false">AB16+AC16+AD16+AF16</f>
        <v>137833427.610024</v>
      </c>
      <c r="AS16" s="0" t="n">
        <f aca="false">AR16+AE16+AG16</f>
        <v>137833427.610024</v>
      </c>
    </row>
    <row r="17" customFormat="false" ht="15" hidden="false" customHeight="false" outlineLevel="0" collapsed="false">
      <c r="A17" s="0" t="n">
        <v>2040</v>
      </c>
      <c r="B17" s="0" t="n">
        <v>14</v>
      </c>
      <c r="C17" s="0" t="n">
        <v>4832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2185.972</v>
      </c>
      <c r="I17" s="0" t="n">
        <v>319.487</v>
      </c>
      <c r="J17" s="0" t="n">
        <v>1809.791</v>
      </c>
      <c r="K17" s="0" t="n">
        <v>3059.15</v>
      </c>
      <c r="L17" s="0" t="n">
        <v>1325.435</v>
      </c>
      <c r="M17" s="0" t="n">
        <v>58501.029</v>
      </c>
      <c r="N17" s="0" t="n">
        <v>6596.099</v>
      </c>
      <c r="O17" s="0" t="n">
        <v>101.667</v>
      </c>
      <c r="P17" s="0" t="n">
        <v>101.602</v>
      </c>
      <c r="Q17" s="0" t="n">
        <v>811.339</v>
      </c>
      <c r="R17" s="0" t="n">
        <v>818.894</v>
      </c>
      <c r="S17" s="0" t="n">
        <v>3143.608</v>
      </c>
      <c r="T17" s="0" t="n">
        <v>2505.459</v>
      </c>
      <c r="U17" s="0" t="n">
        <v>1311.652</v>
      </c>
      <c r="V17" s="0" t="n">
        <v>131674.35</v>
      </c>
      <c r="W17" s="0" t="n">
        <v>346.242</v>
      </c>
      <c r="X17" s="0" t="n">
        <v>898.4</v>
      </c>
      <c r="Y17" s="0" t="n">
        <v>101.667</v>
      </c>
      <c r="Z17" s="0" t="n">
        <v>1080.893</v>
      </c>
      <c r="AA17" s="0" t="n">
        <f aca="false">H17*x_c_F+I17*x_c_CC+J17*x_c_DC+K17*x_c_HCC+L17*x_c_PLT+M17*x_c_SVRn+N17*x_c_SVRcc+O17*x_c_LT+P17*x_c_LT1</f>
        <v>368967771.655561</v>
      </c>
      <c r="AB17" s="0" t="n">
        <f aca="false">C17*x_c_DAA</f>
        <v>109976320</v>
      </c>
      <c r="AC17" s="0" t="n">
        <f aca="false">C17*x_c_MON</f>
        <v>27857107.6100244</v>
      </c>
      <c r="AD17" s="0" t="n">
        <f aca="false">D17*(1-x_testy)</f>
        <v>0</v>
      </c>
      <c r="AE17" s="0" t="n">
        <f aca="false">E17*(1-x_testy)</f>
        <v>0</v>
      </c>
      <c r="AF17" s="0" t="n">
        <f aca="false">F17*x_NAV</f>
        <v>0</v>
      </c>
      <c r="AG17" s="0" t="n">
        <f aca="false">G17*x_FIX*(1-x_testy)</f>
        <v>0</v>
      </c>
      <c r="AH17" s="0" t="n">
        <f aca="false">x_z_F*U17+(1-x_AGRI)*x_EMP*x_WLOSS*(x_PEN_K74*Q17+x_PEN_C22*R17)</f>
        <v>20202903.6714248</v>
      </c>
      <c r="AI17" s="0" t="n">
        <f aca="false">x_AGRI*x_EMP*x_WLOSS*(x_PEN_K74*Q17+x_PEN_C22*R17)</f>
        <v>1157130.82970172</v>
      </c>
      <c r="AJ17" s="0" t="n">
        <f aca="false">x_EMP*x_WAGE*(x_WLOSS*(Q17+R17)+S17)+U17*x_ABS_D*x_WAGE/365</f>
        <v>361029452.170186</v>
      </c>
      <c r="AK17" s="0" t="n">
        <f aca="false">AJ17*x_R_FUS</f>
        <v>114229718.666647</v>
      </c>
      <c r="AL17" s="0" t="n">
        <f aca="false">AJ17*x_R_NFZ</f>
        <v>28037908.2849888</v>
      </c>
      <c r="AM17" s="0" t="n">
        <f aca="false">AJ17*x_R_PIT</f>
        <v>24002744.8612725</v>
      </c>
      <c r="AN17" s="0" t="n">
        <f aca="false">AJ17*x_R_FP</f>
        <v>9206251.03033974</v>
      </c>
      <c r="AO17" s="0" t="n">
        <f aca="false">AA17+AB17+AC17+AD17+AF17</f>
        <v>506801199.265585</v>
      </c>
      <c r="AP17" s="0" t="n">
        <f aca="false">AO17+AE17+AG17+AH17+AI17+AK17+AL17+AM17+AN17</f>
        <v>703637856.60996</v>
      </c>
      <c r="AQ17" s="0" t="n">
        <f aca="false">AO17+AE17+AG17+AJ17</f>
        <v>867830651.435771</v>
      </c>
      <c r="AR17" s="0" t="n">
        <f aca="false">AB17+AC17+AD17+AF17</f>
        <v>137833427.610024</v>
      </c>
      <c r="AS17" s="0" t="n">
        <f aca="false">AR17+AE17+AG17</f>
        <v>137833427.610024</v>
      </c>
    </row>
    <row r="18" customFormat="false" ht="15" hidden="false" customHeight="false" outlineLevel="0" collapsed="false">
      <c r="A18" s="0" t="n">
        <v>2041</v>
      </c>
      <c r="B18" s="0" t="n">
        <v>15</v>
      </c>
      <c r="C18" s="0" t="n">
        <v>4832</v>
      </c>
      <c r="D18" s="0" t="n">
        <v>0</v>
      </c>
      <c r="E18" s="0" t="n">
        <v>0</v>
      </c>
      <c r="F18" s="0" t="n">
        <v>0</v>
      </c>
      <c r="G18" s="0" t="n">
        <v>0</v>
      </c>
      <c r="H18" s="0" t="n">
        <v>2186.333</v>
      </c>
      <c r="I18" s="0" t="n">
        <v>317.482</v>
      </c>
      <c r="J18" s="0" t="n">
        <v>1805.839</v>
      </c>
      <c r="K18" s="0" t="n">
        <v>3037.841</v>
      </c>
      <c r="L18" s="0" t="n">
        <v>1312.739</v>
      </c>
      <c r="M18" s="0" t="n">
        <v>61446.524</v>
      </c>
      <c r="N18" s="0" t="n">
        <v>6903.582</v>
      </c>
      <c r="O18" s="0" t="n">
        <v>101.374</v>
      </c>
      <c r="P18" s="0" t="n">
        <v>101.52</v>
      </c>
      <c r="Q18" s="0" t="n">
        <v>836.78</v>
      </c>
      <c r="R18" s="0" t="n">
        <v>852.701</v>
      </c>
      <c r="S18" s="0" t="n">
        <v>3428.134</v>
      </c>
      <c r="T18" s="0" t="n">
        <v>2503.815</v>
      </c>
      <c r="U18" s="0" t="n">
        <v>1365.206</v>
      </c>
      <c r="V18" s="0" t="n">
        <v>132814.479</v>
      </c>
      <c r="W18" s="0" t="n">
        <v>340.938</v>
      </c>
      <c r="X18" s="0" t="n">
        <v>884.509</v>
      </c>
      <c r="Y18" s="0" t="n">
        <v>101.374</v>
      </c>
      <c r="Z18" s="0" t="n">
        <v>1074.84</v>
      </c>
      <c r="AA18" s="0" t="n">
        <f aca="false">H18*x_c_F+I18*x_c_CC+J18*x_c_DC+K18*x_c_HCC+L18*x_c_PLT+M18*x_c_SVRn+N18*x_c_SVRcc+O18*x_c_LT+P18*x_c_LT1</f>
        <v>369685055.68328</v>
      </c>
      <c r="AB18" s="0" t="n">
        <f aca="false">C18*x_c_DAA</f>
        <v>109976320</v>
      </c>
      <c r="AC18" s="0" t="n">
        <f aca="false">C18*x_c_MON</f>
        <v>27857107.6100244</v>
      </c>
      <c r="AD18" s="0" t="n">
        <f aca="false">D18*(1-x_testy)</f>
        <v>0</v>
      </c>
      <c r="AE18" s="0" t="n">
        <f aca="false">E18*(1-x_testy)</f>
        <v>0</v>
      </c>
      <c r="AF18" s="0" t="n">
        <f aca="false">F18*x_NAV</f>
        <v>0</v>
      </c>
      <c r="AG18" s="0" t="n">
        <f aca="false">G18*x_FIX*(1-x_testy)</f>
        <v>0</v>
      </c>
      <c r="AH18" s="0" t="n">
        <f aca="false">x_z_F*U18+(1-x_AGRI)*x_EMP*x_WLOSS*(x_PEN_K74*Q18+x_PEN_C22*R18)</f>
        <v>20954789.2207155</v>
      </c>
      <c r="AI18" s="0" t="n">
        <f aca="false">x_AGRI*x_EMP*x_WLOSS*(x_PEN_K74*Q18+x_PEN_C22*R18)</f>
        <v>1199551.48923481</v>
      </c>
      <c r="AJ18" s="0" t="n">
        <f aca="false">x_EMP*x_WAGE*(x_WLOSS*(Q18+R18)+S18)+U18*x_ABS_D*x_WAGE/365</f>
        <v>388685628.623719</v>
      </c>
      <c r="AK18" s="0" t="n">
        <f aca="false">AJ18*x_R_FUS</f>
        <v>122980132.896545</v>
      </c>
      <c r="AL18" s="0" t="n">
        <f aca="false">AJ18*x_R_NFZ</f>
        <v>30185714.6045466</v>
      </c>
      <c r="AM18" s="0" t="n">
        <f aca="false">AJ18*x_R_PIT</f>
        <v>25841442.9044991</v>
      </c>
      <c r="AN18" s="0" t="n">
        <f aca="false">AJ18*x_R_FP</f>
        <v>9911483.52990483</v>
      </c>
      <c r="AO18" s="0" t="n">
        <f aca="false">AA18+AB18+AC18+AD18+AF18</f>
        <v>507518483.293305</v>
      </c>
      <c r="AP18" s="0" t="n">
        <f aca="false">AO18+AE18+AG18+AH18+AI18+AK18+AL18+AM18+AN18</f>
        <v>718591597.93875</v>
      </c>
      <c r="AQ18" s="0" t="n">
        <f aca="false">AO18+AE18+AG18+AJ18</f>
        <v>896204111.917023</v>
      </c>
      <c r="AR18" s="0" t="n">
        <f aca="false">AB18+AC18+AD18+AF18</f>
        <v>137833427.610024</v>
      </c>
      <c r="AS18" s="0" t="n">
        <f aca="false">AR18+AE18+AG18</f>
        <v>137833427.610024</v>
      </c>
    </row>
    <row r="19" customFormat="false" ht="15" hidden="false" customHeight="false" outlineLevel="0" collapsed="false">
      <c r="A19" s="0" t="n">
        <v>2042</v>
      </c>
      <c r="B19" s="0" t="n">
        <v>16</v>
      </c>
      <c r="C19" s="0" t="n">
        <v>4832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2187.917</v>
      </c>
      <c r="I19" s="0" t="n">
        <v>314.254</v>
      </c>
      <c r="J19" s="0" t="n">
        <v>1794.519</v>
      </c>
      <c r="K19" s="0" t="n">
        <v>3004.713</v>
      </c>
      <c r="L19" s="0" t="n">
        <v>1298.427</v>
      </c>
      <c r="M19" s="0" t="n">
        <v>64323.065</v>
      </c>
      <c r="N19" s="0" t="n">
        <v>7181.222</v>
      </c>
      <c r="O19" s="0" t="n">
        <v>100.655</v>
      </c>
      <c r="P19" s="0" t="n">
        <v>101.014</v>
      </c>
      <c r="Q19" s="0" t="n">
        <v>863.399</v>
      </c>
      <c r="R19" s="0" t="n">
        <v>887.85</v>
      </c>
      <c r="S19" s="0" t="n">
        <v>3722.971</v>
      </c>
      <c r="T19" s="0" t="n">
        <v>2502.171</v>
      </c>
      <c r="U19" s="0" t="n">
        <v>1417.169</v>
      </c>
      <c r="V19" s="0" t="n">
        <v>133923.708</v>
      </c>
      <c r="W19" s="0" t="n">
        <v>334.46</v>
      </c>
      <c r="X19" s="0" t="n">
        <v>868.033</v>
      </c>
      <c r="Y19" s="0" t="n">
        <v>100.655</v>
      </c>
      <c r="Z19" s="0" t="n">
        <v>1064.491</v>
      </c>
      <c r="AA19" s="0" t="n">
        <f aca="false">H19*x_c_F+I19*x_c_CC+J19*x_c_DC+K19*x_c_HCC+L19*x_c_PLT+M19*x_c_SVRn+N19*x_c_SVRcc+O19*x_c_LT+P19*x_c_LT1</f>
        <v>369181538.337706</v>
      </c>
      <c r="AB19" s="0" t="n">
        <f aca="false">C19*x_c_DAA</f>
        <v>109976320</v>
      </c>
      <c r="AC19" s="0" t="n">
        <f aca="false">C19*x_c_MON</f>
        <v>27857107.6100244</v>
      </c>
      <c r="AD19" s="0" t="n">
        <f aca="false">D19*(1-x_testy)</f>
        <v>0</v>
      </c>
      <c r="AE19" s="0" t="n">
        <f aca="false">E19*(1-x_testy)</f>
        <v>0</v>
      </c>
      <c r="AF19" s="0" t="n">
        <f aca="false">F19*x_NAV</f>
        <v>0</v>
      </c>
      <c r="AG19" s="0" t="n">
        <f aca="false">G19*x_FIX*(1-x_testy)</f>
        <v>0</v>
      </c>
      <c r="AH19" s="0" t="n">
        <f aca="false">x_z_F*U19+(1-x_AGRI)*x_EMP*x_WLOSS*(x_PEN_K74*Q19+x_PEN_C22*R19)</f>
        <v>21730569.3113617</v>
      </c>
      <c r="AI19" s="0" t="n">
        <f aca="false">x_AGRI*x_EMP*x_WLOSS*(x_PEN_K74*Q19+x_PEN_C22*R19)</f>
        <v>1243767.73544622</v>
      </c>
      <c r="AJ19" s="0" t="n">
        <f aca="false">x_EMP*x_WAGE*(x_WLOSS*(Q19+R19)+S19)+U19*x_ABS_D*x_WAGE/365</f>
        <v>417354061.515868</v>
      </c>
      <c r="AK19" s="0" t="n">
        <f aca="false">AJ19*x_R_FUS</f>
        <v>132050825.063621</v>
      </c>
      <c r="AL19" s="0" t="n">
        <f aca="false">AJ19*x_R_NFZ</f>
        <v>32412133.7713838</v>
      </c>
      <c r="AM19" s="0" t="n">
        <f aca="false">AJ19*x_R_PIT</f>
        <v>27747439.9807664</v>
      </c>
      <c r="AN19" s="0" t="n">
        <f aca="false">AJ19*x_R_FP</f>
        <v>10642528.5686546</v>
      </c>
      <c r="AO19" s="0" t="n">
        <f aca="false">AA19+AB19+AC19+AD19+AF19</f>
        <v>507014965.947731</v>
      </c>
      <c r="AP19" s="0" t="n">
        <f aca="false">AO19+AE19+AG19+AH19+AI19+AK19+AL19+AM19+AN19</f>
        <v>732842230.378964</v>
      </c>
      <c r="AQ19" s="0" t="n">
        <f aca="false">AO19+AE19+AG19+AJ19</f>
        <v>924369027.463599</v>
      </c>
      <c r="AR19" s="0" t="n">
        <f aca="false">AB19+AC19+AD19+AF19</f>
        <v>137833427.610024</v>
      </c>
      <c r="AS19" s="0" t="n">
        <f aca="false">AR19+AE19+AG19</f>
        <v>137833427.610024</v>
      </c>
    </row>
    <row r="20" customFormat="false" ht="15" hidden="false" customHeight="false" outlineLevel="0" collapsed="false">
      <c r="A20" s="0" t="n">
        <v>2043</v>
      </c>
      <c r="B20" s="0" t="n">
        <v>17</v>
      </c>
      <c r="C20" s="0" t="n">
        <v>4832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2190.532</v>
      </c>
      <c r="I20" s="0" t="n">
        <v>310.021</v>
      </c>
      <c r="J20" s="0" t="n">
        <v>1776.883</v>
      </c>
      <c r="K20" s="0" t="n">
        <v>2962.127</v>
      </c>
      <c r="L20" s="0" t="n">
        <v>1282.933</v>
      </c>
      <c r="M20" s="0" t="n">
        <v>67148.998</v>
      </c>
      <c r="N20" s="0" t="n">
        <v>7430.272</v>
      </c>
      <c r="O20" s="0" t="n">
        <v>99.629</v>
      </c>
      <c r="P20" s="0" t="n">
        <v>100.142</v>
      </c>
      <c r="Q20" s="0" t="n">
        <v>891.236</v>
      </c>
      <c r="R20" s="0" t="n">
        <v>924.398</v>
      </c>
      <c r="S20" s="0" t="n">
        <v>4028.329</v>
      </c>
      <c r="T20" s="0" t="n">
        <v>2500.553</v>
      </c>
      <c r="U20" s="0" t="n">
        <v>1467.158</v>
      </c>
      <c r="V20" s="0" t="n">
        <v>135032.21</v>
      </c>
      <c r="W20" s="0" t="n">
        <v>327.264</v>
      </c>
      <c r="X20" s="0" t="n">
        <v>850.084</v>
      </c>
      <c r="Y20" s="0" t="n">
        <v>99.629</v>
      </c>
      <c r="Z20" s="0" t="n">
        <v>1051.21</v>
      </c>
      <c r="AA20" s="0" t="n">
        <f aca="false">H20*x_c_F+I20*x_c_CC+J20*x_c_DC+K20*x_c_HCC+L20*x_c_PLT+M20*x_c_SVRn+N20*x_c_SVRcc+O20*x_c_LT+P20*x_c_LT1</f>
        <v>367697313.491065</v>
      </c>
      <c r="AB20" s="0" t="n">
        <f aca="false">C20*x_c_DAA</f>
        <v>109976320</v>
      </c>
      <c r="AC20" s="0" t="n">
        <f aca="false">C20*x_c_MON</f>
        <v>27857107.6100244</v>
      </c>
      <c r="AD20" s="0" t="n">
        <f aca="false">D20*(1-x_testy)</f>
        <v>0</v>
      </c>
      <c r="AE20" s="0" t="n">
        <f aca="false">E20*(1-x_testy)</f>
        <v>0</v>
      </c>
      <c r="AF20" s="0" t="n">
        <f aca="false">F20*x_NAV</f>
        <v>0</v>
      </c>
      <c r="AG20" s="0" t="n">
        <f aca="false">G20*x_FIX*(1-x_testy)</f>
        <v>0</v>
      </c>
      <c r="AH20" s="0" t="n">
        <f aca="false">x_z_F*U20+(1-x_AGRI)*x_EMP*x_WLOSS*(x_PEN_K74*Q20+x_PEN_C22*R20)</f>
        <v>22530509.5153036</v>
      </c>
      <c r="AI20" s="0" t="n">
        <f aca="false">x_AGRI*x_EMP*x_WLOSS*(x_PEN_K74*Q20+x_PEN_C22*R20)</f>
        <v>1289849.16856915</v>
      </c>
      <c r="AJ20" s="0" t="n">
        <f aca="false">x_EMP*x_WAGE*(x_WLOSS*(Q20+R20)+S20)+U20*x_ABS_D*x_WAGE/365</f>
        <v>447056835.076442</v>
      </c>
      <c r="AK20" s="0" t="n">
        <f aca="false">AJ20*x_R_FUS</f>
        <v>141448782.618186</v>
      </c>
      <c r="AL20" s="0" t="n">
        <f aca="false">AJ20*x_R_NFZ</f>
        <v>34718880.8688716</v>
      </c>
      <c r="AM20" s="0" t="n">
        <f aca="false">AJ20*x_R_PIT</f>
        <v>29722204.3418484</v>
      </c>
      <c r="AN20" s="0" t="n">
        <f aca="false">AJ20*x_R_FP</f>
        <v>11399949.2944493</v>
      </c>
      <c r="AO20" s="0" t="n">
        <f aca="false">AA20+AB20+AC20+AD20+AF20</f>
        <v>505530741.10109</v>
      </c>
      <c r="AP20" s="0" t="n">
        <f aca="false">AO20+AE20+AG20+AH20+AI20+AK20+AL20+AM20+AN20</f>
        <v>746640916.908318</v>
      </c>
      <c r="AQ20" s="0" t="n">
        <f aca="false">AO20+AE20+AG20+AJ20</f>
        <v>952587576.177532</v>
      </c>
      <c r="AR20" s="0" t="n">
        <f aca="false">AB20+AC20+AD20+AF20</f>
        <v>137833427.610024</v>
      </c>
      <c r="AS20" s="0" t="n">
        <f aca="false">AR20+AE20+AG20</f>
        <v>137833427.610024</v>
      </c>
    </row>
    <row r="21" customFormat="false" ht="15" hidden="false" customHeight="false" outlineLevel="0" collapsed="false">
      <c r="A21" s="0" t="n">
        <v>2044</v>
      </c>
      <c r="B21" s="0" t="n">
        <v>18</v>
      </c>
      <c r="C21" s="0" t="n">
        <v>4832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2193.966</v>
      </c>
      <c r="I21" s="0" t="n">
        <v>305.016</v>
      </c>
      <c r="J21" s="0" t="n">
        <v>1754.137</v>
      </c>
      <c r="K21" s="0" t="n">
        <v>2912.545</v>
      </c>
      <c r="L21" s="0" t="n">
        <v>1266.665</v>
      </c>
      <c r="M21" s="0" t="n">
        <v>69941.882</v>
      </c>
      <c r="N21" s="0" t="n">
        <v>7652.628</v>
      </c>
      <c r="O21" s="0" t="n">
        <v>98.308</v>
      </c>
      <c r="P21" s="0" t="n">
        <v>98.968</v>
      </c>
      <c r="Q21" s="0" t="n">
        <v>920.335</v>
      </c>
      <c r="R21" s="0" t="n">
        <v>962.368</v>
      </c>
      <c r="S21" s="0" t="n">
        <v>4344.48</v>
      </c>
      <c r="T21" s="0" t="n">
        <v>2498.982</v>
      </c>
      <c r="U21" s="0" t="n">
        <v>1514.812</v>
      </c>
      <c r="V21" s="0" t="n">
        <v>136167.855</v>
      </c>
      <c r="W21" s="0" t="n">
        <v>319.536</v>
      </c>
      <c r="X21" s="0" t="n">
        <v>831.067</v>
      </c>
      <c r="Y21" s="0" t="n">
        <v>98.308</v>
      </c>
      <c r="Z21" s="0" t="n">
        <v>1035.204</v>
      </c>
      <c r="AA21" s="0" t="n">
        <f aca="false">H21*x_c_F+I21*x_c_CC+J21*x_c_DC+K21*x_c_HCC+L21*x_c_PLT+M21*x_c_SVRn+N21*x_c_SVRcc+O21*x_c_LT+P21*x_c_LT1</f>
        <v>365445685.55619</v>
      </c>
      <c r="AB21" s="0" t="n">
        <f aca="false">C21*x_c_DAA</f>
        <v>109976320</v>
      </c>
      <c r="AC21" s="0" t="n">
        <f aca="false">C21*x_c_MON</f>
        <v>27857107.6100244</v>
      </c>
      <c r="AD21" s="0" t="n">
        <f aca="false">D21*(1-x_testy)</f>
        <v>0</v>
      </c>
      <c r="AE21" s="0" t="n">
        <f aca="false">E21*(1-x_testy)</f>
        <v>0</v>
      </c>
      <c r="AF21" s="0" t="n">
        <f aca="false">F21*x_NAV</f>
        <v>0</v>
      </c>
      <c r="AG21" s="0" t="n">
        <f aca="false">G21*x_FIX*(1-x_testy)</f>
        <v>0</v>
      </c>
      <c r="AH21" s="0" t="n">
        <f aca="false">x_z_F*U21+(1-x_AGRI)*x_EMP*x_WLOSS*(x_PEN_K74*Q21+x_PEN_C22*R21)</f>
        <v>23354572.517319</v>
      </c>
      <c r="AI21" s="0" t="n">
        <f aca="false">x_AGRI*x_EMP*x_WLOSS*(x_PEN_K74*Q21+x_PEN_C22*R21)</f>
        <v>1337842.378964</v>
      </c>
      <c r="AJ21" s="0" t="n">
        <f aca="false">x_EMP*x_WAGE*(x_WLOSS*(Q21+R21)+S21)+U21*x_ABS_D*x_WAGE/365</f>
        <v>477819743.72603</v>
      </c>
      <c r="AK21" s="0" t="n">
        <f aca="false">AJ21*x_R_FUS</f>
        <v>151182166.914916</v>
      </c>
      <c r="AL21" s="0" t="n">
        <f aca="false">AJ21*x_R_NFZ</f>
        <v>37107959.1175072</v>
      </c>
      <c r="AM21" s="0" t="n">
        <f aca="false">AJ21*x_R_PIT</f>
        <v>31767450.9084875</v>
      </c>
      <c r="AN21" s="0" t="n">
        <f aca="false">AJ21*x_R_FP</f>
        <v>12184403.4650138</v>
      </c>
      <c r="AO21" s="0" t="n">
        <f aca="false">AA21+AB21+AC21+AD21+AF21</f>
        <v>503279113.166214</v>
      </c>
      <c r="AP21" s="0" t="n">
        <f aca="false">AO21+AE21+AG21+AH21+AI21+AK21+AL21+AM21+AN21</f>
        <v>760213508.468422</v>
      </c>
      <c r="AQ21" s="0" t="n">
        <f aca="false">AO21+AE21+AG21+AJ21</f>
        <v>981098856.892244</v>
      </c>
      <c r="AR21" s="0" t="n">
        <f aca="false">AB21+AC21+AD21+AF21</f>
        <v>137833427.610024</v>
      </c>
      <c r="AS21" s="0" t="n">
        <f aca="false">AR21+AE21+AG21</f>
        <v>137833427.610024</v>
      </c>
    </row>
    <row r="22" customFormat="false" ht="15" hidden="false" customHeight="false" outlineLevel="0" collapsed="false">
      <c r="A22" s="0" t="n">
        <v>2045</v>
      </c>
      <c r="B22" s="0" t="n">
        <v>19</v>
      </c>
      <c r="C22" s="0" t="n">
        <v>4832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2198.022</v>
      </c>
      <c r="I22" s="0" t="n">
        <v>299.452</v>
      </c>
      <c r="J22" s="0" t="n">
        <v>1727.047</v>
      </c>
      <c r="K22" s="0" t="n">
        <v>2857.642</v>
      </c>
      <c r="L22" s="0" t="n">
        <v>1249.362</v>
      </c>
      <c r="M22" s="0" t="n">
        <v>72703.649</v>
      </c>
      <c r="N22" s="0" t="n">
        <v>7848.448</v>
      </c>
      <c r="O22" s="0" t="n">
        <v>96.764</v>
      </c>
      <c r="P22" s="0" t="n">
        <v>97.536</v>
      </c>
      <c r="Q22" s="0" t="n">
        <v>950.718</v>
      </c>
      <c r="R22" s="0" t="n">
        <v>1001.722</v>
      </c>
      <c r="S22" s="0" t="n">
        <v>4671.654</v>
      </c>
      <c r="T22" s="0" t="n">
        <v>2497.474</v>
      </c>
      <c r="U22" s="0" t="n">
        <v>1559.898</v>
      </c>
      <c r="V22" s="0" t="n">
        <v>137336.47</v>
      </c>
      <c r="W22" s="0" t="n">
        <v>311.565</v>
      </c>
      <c r="X22" s="0" t="n">
        <v>811.65</v>
      </c>
      <c r="Y22" s="0" t="n">
        <v>96.764</v>
      </c>
      <c r="Z22" s="0" t="n">
        <v>1017.249</v>
      </c>
      <c r="AA22" s="0" t="n">
        <f aca="false">H22*x_c_F+I22*x_c_CC+J22*x_c_DC+K22*x_c_HCC+L22*x_c_PLT+M22*x_c_SVRn+N22*x_c_SVRcc+O22*x_c_LT+P22*x_c_LT1</f>
        <v>362566480.557058</v>
      </c>
      <c r="AB22" s="0" t="n">
        <f aca="false">C22*x_c_DAA</f>
        <v>109976320</v>
      </c>
      <c r="AC22" s="0" t="n">
        <f aca="false">C22*x_c_MON</f>
        <v>27857107.6100244</v>
      </c>
      <c r="AD22" s="0" t="n">
        <f aca="false">D22*(1-x_testy)</f>
        <v>0</v>
      </c>
      <c r="AE22" s="0" t="n">
        <f aca="false">E22*(1-x_testy)</f>
        <v>0</v>
      </c>
      <c r="AF22" s="0" t="n">
        <f aca="false">F22*x_NAV</f>
        <v>0</v>
      </c>
      <c r="AG22" s="0" t="n">
        <f aca="false">G22*x_FIX*(1-x_testy)</f>
        <v>0</v>
      </c>
      <c r="AH22" s="0" t="n">
        <f aca="false">x_z_F*U22+(1-x_AGRI)*x_EMP*x_WLOSS*(x_PEN_K74*Q22+x_PEN_C22*R22)</f>
        <v>24202066.3829235</v>
      </c>
      <c r="AI22" s="0" t="n">
        <f aca="false">x_AGRI*x_EMP*x_WLOSS*(x_PEN_K74*Q22+x_PEN_C22*R22)</f>
        <v>1387733.29380447</v>
      </c>
      <c r="AJ22" s="0" t="n">
        <f aca="false">x_EMP*x_WAGE*(x_WLOSS*(Q22+R22)+S22)+U22*x_ABS_D*x_WAGE/365</f>
        <v>509660837.986831</v>
      </c>
      <c r="AK22" s="0" t="n">
        <f aca="false">AJ22*x_R_FUS</f>
        <v>161256689.139033</v>
      </c>
      <c r="AL22" s="0" t="n">
        <f aca="false">AJ22*x_R_NFZ</f>
        <v>39580770.3388953</v>
      </c>
      <c r="AM22" s="0" t="n">
        <f aca="false">AJ22*x_R_PIT</f>
        <v>33884379.7547398</v>
      </c>
      <c r="AN22" s="0" t="n">
        <f aca="false">AJ22*x_R_FP</f>
        <v>12996351.3686642</v>
      </c>
      <c r="AO22" s="0" t="n">
        <f aca="false">AA22+AB22+AC22+AD22+AF22</f>
        <v>500399908.167082</v>
      </c>
      <c r="AP22" s="0" t="n">
        <f aca="false">AO22+AE22+AG22+AH22+AI22+AK22+AL22+AM22+AN22</f>
        <v>773707898.445143</v>
      </c>
      <c r="AQ22" s="0" t="n">
        <f aca="false">AO22+AE22+AG22+AJ22</f>
        <v>1010060746.15391</v>
      </c>
      <c r="AR22" s="0" t="n">
        <f aca="false">AB22+AC22+AD22+AF22</f>
        <v>137833427.610024</v>
      </c>
      <c r="AS22" s="0" t="n">
        <f aca="false">AR22+AE22+AG22</f>
        <v>137833427.610024</v>
      </c>
    </row>
    <row r="23" customFormat="false" ht="15" hidden="false" customHeight="false" outlineLevel="0" collapsed="false">
      <c r="A23" s="0" t="n">
        <v>2046</v>
      </c>
      <c r="B23" s="0" t="n">
        <v>20</v>
      </c>
      <c r="C23" s="0" t="n">
        <v>4832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2202.49</v>
      </c>
      <c r="I23" s="0" t="n">
        <v>293.551</v>
      </c>
      <c r="J23" s="0" t="n">
        <v>1696.792</v>
      </c>
      <c r="K23" s="0" t="n">
        <v>2799.549</v>
      </c>
      <c r="L23" s="0" t="n">
        <v>1231.282</v>
      </c>
      <c r="M23" s="0" t="n">
        <v>75446.205</v>
      </c>
      <c r="N23" s="0" t="n">
        <v>8020.12</v>
      </c>
      <c r="O23" s="0" t="n">
        <v>95.059</v>
      </c>
      <c r="P23" s="0" t="n">
        <v>95.912</v>
      </c>
      <c r="Q23" s="0" t="n">
        <v>982.374</v>
      </c>
      <c r="R23" s="0" t="n">
        <v>1042.362</v>
      </c>
      <c r="S23" s="0" t="n">
        <v>5009.991</v>
      </c>
      <c r="T23" s="0" t="n">
        <v>2496.041</v>
      </c>
      <c r="U23" s="0" t="n">
        <v>1602.177</v>
      </c>
      <c r="V23" s="0" t="n">
        <v>138554.021</v>
      </c>
      <c r="W23" s="0" t="n">
        <v>303.581</v>
      </c>
      <c r="X23" s="0" t="n">
        <v>792.357</v>
      </c>
      <c r="Y23" s="0" t="n">
        <v>95.059</v>
      </c>
      <c r="Z23" s="0" t="n">
        <v>998.01</v>
      </c>
      <c r="AA23" s="0" t="n">
        <f aca="false">H23*x_c_F+I23*x_c_CC+J23*x_c_DC+K23*x_c_HCC+L23*x_c_PLT+M23*x_c_SVRn+N23*x_c_SVRcc+O23*x_c_LT+P23*x_c_LT1</f>
        <v>359262000.233646</v>
      </c>
      <c r="AB23" s="0" t="n">
        <f aca="false">C23*x_c_DAA</f>
        <v>109976320</v>
      </c>
      <c r="AC23" s="0" t="n">
        <f aca="false">C23*x_c_MON</f>
        <v>27857107.6100244</v>
      </c>
      <c r="AD23" s="0" t="n">
        <f aca="false">D23*(1-x_testy)</f>
        <v>0</v>
      </c>
      <c r="AE23" s="0" t="n">
        <f aca="false">E23*(1-x_testy)</f>
        <v>0</v>
      </c>
      <c r="AF23" s="0" t="n">
        <f aca="false">F23*x_NAV</f>
        <v>0</v>
      </c>
      <c r="AG23" s="0" t="n">
        <f aca="false">G23*x_FIX*(1-x_testy)</f>
        <v>0</v>
      </c>
      <c r="AH23" s="0" t="n">
        <f aca="false">x_z_F*U23+(1-x_AGRI)*x_EMP*x_WLOSS*(x_PEN_K74*Q23+x_PEN_C22*R23)</f>
        <v>25071269.9421786</v>
      </c>
      <c r="AI23" s="0" t="n">
        <f aca="false">x_AGRI*x_EMP*x_WLOSS*(x_PEN_K74*Q23+x_PEN_C22*R23)</f>
        <v>1439440.62512467</v>
      </c>
      <c r="AJ23" s="0" t="n">
        <f aca="false">x_EMP*x_WAGE*(x_WLOSS*(Q23+R23)+S23)+U23*x_ABS_D*x_WAGE/365</f>
        <v>542585391.507202</v>
      </c>
      <c r="AK23" s="0" t="n">
        <f aca="false">AJ23*x_R_FUS</f>
        <v>171674017.872879</v>
      </c>
      <c r="AL23" s="0" t="n">
        <f aca="false">AJ23*x_R_NFZ</f>
        <v>42137724.0898408</v>
      </c>
      <c r="AM23" s="0" t="n">
        <f aca="false">AJ23*x_R_PIT</f>
        <v>36073341.4947595</v>
      </c>
      <c r="AN23" s="0" t="n">
        <f aca="false">AJ23*x_R_FP</f>
        <v>13835927.4834336</v>
      </c>
      <c r="AO23" s="0" t="n">
        <f aca="false">AA23+AB23+AC23+AD23+AF23</f>
        <v>497095427.84367</v>
      </c>
      <c r="AP23" s="0" t="n">
        <f aca="false">AO23+AE23+AG23+AH23+AI23+AK23+AL23+AM23+AN23</f>
        <v>787327149.351886</v>
      </c>
      <c r="AQ23" s="0" t="n">
        <f aca="false">AO23+AE23+AG23+AJ23</f>
        <v>1039680819.35087</v>
      </c>
      <c r="AR23" s="0" t="n">
        <f aca="false">AB23+AC23+AD23+AF23</f>
        <v>137833427.610024</v>
      </c>
      <c r="AS23" s="0" t="n">
        <f aca="false">AR23+AE23+AG23</f>
        <v>137833427.610024</v>
      </c>
    </row>
    <row r="24" customFormat="false" ht="15" hidden="false" customHeight="false" outlineLevel="0" collapsed="false">
      <c r="A24" s="0" t="n">
        <v>2047</v>
      </c>
      <c r="B24" s="0" t="n">
        <v>21</v>
      </c>
      <c r="C24" s="0" t="n">
        <v>4832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2207.187</v>
      </c>
      <c r="I24" s="0" t="n">
        <v>287.507</v>
      </c>
      <c r="J24" s="0" t="n">
        <v>1664.445</v>
      </c>
      <c r="K24" s="0" t="n">
        <v>2740.089</v>
      </c>
      <c r="L24" s="0" t="n">
        <v>1212.654</v>
      </c>
      <c r="M24" s="0" t="n">
        <v>78179.085</v>
      </c>
      <c r="N24" s="0" t="n">
        <v>8170.127</v>
      </c>
      <c r="O24" s="0" t="n">
        <v>93.252</v>
      </c>
      <c r="P24" s="0" t="n">
        <v>94.155</v>
      </c>
      <c r="Q24" s="0" t="n">
        <v>1015.263</v>
      </c>
      <c r="R24" s="0" t="n">
        <v>1084.14</v>
      </c>
      <c r="S24" s="0" t="n">
        <v>5359.555</v>
      </c>
      <c r="T24" s="0" t="n">
        <v>2494.694</v>
      </c>
      <c r="U24" s="0" t="n">
        <v>1641.506</v>
      </c>
      <c r="V24" s="0" t="n">
        <v>139830.458</v>
      </c>
      <c r="W24" s="0" t="n">
        <v>295.771</v>
      </c>
      <c r="X24" s="0" t="n">
        <v>773.607</v>
      </c>
      <c r="Y24" s="0" t="n">
        <v>93.252</v>
      </c>
      <c r="Z24" s="0" t="n">
        <v>978.106</v>
      </c>
      <c r="AA24" s="0" t="n">
        <f aca="false">H24*x_c_F+I24*x_c_CC+J24*x_c_DC+K24*x_c_HCC+L24*x_c_PLT+M24*x_c_SVRn+N24*x_c_SVRcc+O24*x_c_LT+P24*x_c_LT1</f>
        <v>355709717.316783</v>
      </c>
      <c r="AB24" s="0" t="n">
        <f aca="false">C24*x_c_DAA</f>
        <v>109976320</v>
      </c>
      <c r="AC24" s="0" t="n">
        <f aca="false">C24*x_c_MON</f>
        <v>27857107.6100244</v>
      </c>
      <c r="AD24" s="0" t="n">
        <f aca="false">D24*(1-x_testy)</f>
        <v>0</v>
      </c>
      <c r="AE24" s="0" t="n">
        <f aca="false">E24*(1-x_testy)</f>
        <v>0</v>
      </c>
      <c r="AF24" s="0" t="n">
        <f aca="false">F24*x_NAV</f>
        <v>0</v>
      </c>
      <c r="AG24" s="0" t="n">
        <f aca="false">G24*x_FIX*(1-x_testy)</f>
        <v>0</v>
      </c>
      <c r="AH24" s="0" t="n">
        <f aca="false">x_z_F*U24+(1-x_AGRI)*x_EMP*x_WLOSS*(x_PEN_K74*Q24+x_PEN_C22*R24)</f>
        <v>25959796.9010811</v>
      </c>
      <c r="AI24" s="0" t="n">
        <f aca="false">x_AGRI*x_EMP*x_WLOSS*(x_PEN_K74*Q24+x_PEN_C22*R24)</f>
        <v>1492826.07595216</v>
      </c>
      <c r="AJ24" s="0" t="n">
        <f aca="false">x_EMP*x_WAGE*(x_WLOSS*(Q24+R24)+S24)+U24*x_ABS_D*x_WAGE/365</f>
        <v>576588159.928063</v>
      </c>
      <c r="AK24" s="0" t="n">
        <f aca="false">AJ24*x_R_FUS</f>
        <v>182432493.801239</v>
      </c>
      <c r="AL24" s="0" t="n">
        <f aca="false">AJ24*x_R_NFZ</f>
        <v>44778413.0881733</v>
      </c>
      <c r="AM24" s="0" t="n">
        <f aca="false">AJ24*x_R_PIT</f>
        <v>38333987.4616656</v>
      </c>
      <c r="AN24" s="0" t="n">
        <f aca="false">AJ24*x_R_FP</f>
        <v>14702998.0781656</v>
      </c>
      <c r="AO24" s="0" t="n">
        <f aca="false">AA24+AB24+AC24+AD24+AF24</f>
        <v>493543144.926807</v>
      </c>
      <c r="AP24" s="0" t="n">
        <f aca="false">AO24+AE24+AG24+AH24+AI24+AK24+AL24+AM24+AN24</f>
        <v>801243660.333084</v>
      </c>
      <c r="AQ24" s="0" t="n">
        <f aca="false">AO24+AE24+AG24+AJ24</f>
        <v>1070131304.85487</v>
      </c>
      <c r="AR24" s="0" t="n">
        <f aca="false">AB24+AC24+AD24+AF24</f>
        <v>137833427.610024</v>
      </c>
      <c r="AS24" s="0" t="n">
        <f aca="false">AR24+AE24+AG24</f>
        <v>137833427.610024</v>
      </c>
    </row>
    <row r="25" customFormat="false" ht="15" hidden="false" customHeight="false" outlineLevel="0" collapsed="false">
      <c r="A25" s="0" t="n">
        <v>2048</v>
      </c>
      <c r="B25" s="0" t="n">
        <v>22</v>
      </c>
      <c r="C25" s="0" t="n">
        <v>4832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2211.95</v>
      </c>
      <c r="I25" s="0" t="n">
        <v>281.486</v>
      </c>
      <c r="J25" s="0" t="n">
        <v>1630.978</v>
      </c>
      <c r="K25" s="0" t="n">
        <v>2680.802</v>
      </c>
      <c r="L25" s="0" t="n">
        <v>1193.706</v>
      </c>
      <c r="M25" s="0" t="n">
        <v>80910.382</v>
      </c>
      <c r="N25" s="0" t="n">
        <v>8301.102</v>
      </c>
      <c r="O25" s="0" t="n">
        <v>91.395</v>
      </c>
      <c r="P25" s="0" t="n">
        <v>92.323</v>
      </c>
      <c r="Q25" s="0" t="n">
        <v>1049.322</v>
      </c>
      <c r="R25" s="0" t="n">
        <v>1126.867</v>
      </c>
      <c r="S25" s="0" t="n">
        <v>5720.34</v>
      </c>
      <c r="T25" s="0" t="n">
        <v>2493.436</v>
      </c>
      <c r="U25" s="0" t="n">
        <v>1677.82</v>
      </c>
      <c r="V25" s="0" t="n">
        <v>141172.13</v>
      </c>
      <c r="W25" s="0" t="n">
        <v>288.273</v>
      </c>
      <c r="X25" s="0" t="n">
        <v>755.705</v>
      </c>
      <c r="Y25" s="0" t="n">
        <v>91.395</v>
      </c>
      <c r="Z25" s="0" t="n">
        <v>958.057</v>
      </c>
      <c r="AA25" s="0" t="n">
        <f aca="false">H25*x_c_F+I25*x_c_CC+J25*x_c_DC+K25*x_c_HCC+L25*x_c_PLT+M25*x_c_SVRn+N25*x_c_SVRcc+O25*x_c_LT+P25*x_c_LT1</f>
        <v>352064440.848131</v>
      </c>
      <c r="AB25" s="0" t="n">
        <f aca="false">C25*x_c_DAA</f>
        <v>109976320</v>
      </c>
      <c r="AC25" s="0" t="n">
        <f aca="false">C25*x_c_MON</f>
        <v>27857107.6100244</v>
      </c>
      <c r="AD25" s="0" t="n">
        <f aca="false">D25*(1-x_testy)</f>
        <v>0</v>
      </c>
      <c r="AE25" s="0" t="n">
        <f aca="false">E25*(1-x_testy)</f>
        <v>0</v>
      </c>
      <c r="AF25" s="0" t="n">
        <f aca="false">F25*x_NAV</f>
        <v>0</v>
      </c>
      <c r="AG25" s="0" t="n">
        <f aca="false">G25*x_FIX*(1-x_testy)</f>
        <v>0</v>
      </c>
      <c r="AH25" s="0" t="n">
        <f aca="false">x_z_F*U25+(1-x_AGRI)*x_EMP*x_WLOSS*(x_PEN_K74*Q25+x_PEN_C22*R25)</f>
        <v>26864721.9223407</v>
      </c>
      <c r="AI25" s="0" t="n">
        <f aca="false">x_AGRI*x_EMP*x_WLOSS*(x_PEN_K74*Q25+x_PEN_C22*R25)</f>
        <v>1547705.12005204</v>
      </c>
      <c r="AJ25" s="0" t="n">
        <f aca="false">x_EMP*x_WAGE*(x_WLOSS*(Q25+R25)+S25)+U25*x_ABS_D*x_WAGE/365</f>
        <v>611654659.863884</v>
      </c>
      <c r="AK25" s="0" t="n">
        <f aca="false">AJ25*x_R_FUS</f>
        <v>193527534.380933</v>
      </c>
      <c r="AL25" s="0" t="n">
        <f aca="false">AJ25*x_R_NFZ</f>
        <v>47501712.5396891</v>
      </c>
      <c r="AM25" s="0" t="n">
        <f aca="false">AJ25*x_R_PIT</f>
        <v>40665354.7395368</v>
      </c>
      <c r="AN25" s="0" t="n">
        <f aca="false">AJ25*x_R_FP</f>
        <v>15597193.826529</v>
      </c>
      <c r="AO25" s="0" t="n">
        <f aca="false">AA25+AB25+AC25+AD25+AF25</f>
        <v>489897868.458155</v>
      </c>
      <c r="AP25" s="0" t="n">
        <f aca="false">AO25+AE25+AG25+AH25+AI25+AK25+AL25+AM25+AN25</f>
        <v>815602090.987236</v>
      </c>
      <c r="AQ25" s="0" t="n">
        <f aca="false">AO25+AE25+AG25+AJ25</f>
        <v>1101552528.32204</v>
      </c>
      <c r="AR25" s="0" t="n">
        <f aca="false">AB25+AC25+AD25+AF25</f>
        <v>137833427.610024</v>
      </c>
      <c r="AS25" s="0" t="n">
        <f aca="false">AR25+AE25+AG25</f>
        <v>137833427.610024</v>
      </c>
    </row>
    <row r="26" customFormat="false" ht="15" hidden="false" customHeight="false" outlineLevel="0" collapsed="false">
      <c r="A26" s="0" t="n">
        <v>2049</v>
      </c>
      <c r="B26" s="0" t="n">
        <v>23</v>
      </c>
      <c r="C26" s="0" t="n">
        <v>4832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2216.655</v>
      </c>
      <c r="I26" s="0" t="n">
        <v>275.613</v>
      </c>
      <c r="J26" s="0" t="n">
        <v>1597.164</v>
      </c>
      <c r="K26" s="0" t="n">
        <v>2622.823</v>
      </c>
      <c r="L26" s="0" t="n">
        <v>1174.602</v>
      </c>
      <c r="M26" s="0" t="n">
        <v>83644.975</v>
      </c>
      <c r="N26" s="0" t="n">
        <v>8415.313</v>
      </c>
      <c r="O26" s="0" t="n">
        <v>89.527</v>
      </c>
      <c r="P26" s="0" t="n">
        <v>90.461</v>
      </c>
      <c r="Q26" s="0" t="n">
        <v>1084.459</v>
      </c>
      <c r="R26" s="0" t="n">
        <v>1170.322</v>
      </c>
      <c r="S26" s="0" t="n">
        <v>6092.263</v>
      </c>
      <c r="T26" s="0" t="n">
        <v>2492.269</v>
      </c>
      <c r="U26" s="0" t="n">
        <v>1711.146</v>
      </c>
      <c r="V26" s="0" t="n">
        <v>142579.67</v>
      </c>
      <c r="W26" s="0" t="n">
        <v>281.167</v>
      </c>
      <c r="X26" s="0" t="n">
        <v>738.814</v>
      </c>
      <c r="Y26" s="0" t="n">
        <v>89.527</v>
      </c>
      <c r="Z26" s="0" t="n">
        <v>938.225</v>
      </c>
      <c r="AA26" s="0" t="n">
        <f aca="false">H26*x_c_F+I26*x_c_CC+J26*x_c_DC+K26*x_c_HCC+L26*x_c_PLT+M26*x_c_SVRn+N26*x_c_SVRcc+O26*x_c_LT+P26*x_c_LT1</f>
        <v>348441734.679732</v>
      </c>
      <c r="AB26" s="0" t="n">
        <f aca="false">C26*x_c_DAA</f>
        <v>109976320</v>
      </c>
      <c r="AC26" s="0" t="n">
        <f aca="false">C26*x_c_MON</f>
        <v>27857107.6100244</v>
      </c>
      <c r="AD26" s="0" t="n">
        <f aca="false">D26*(1-x_testy)</f>
        <v>0</v>
      </c>
      <c r="AE26" s="0" t="n">
        <f aca="false">E26*(1-x_testy)</f>
        <v>0</v>
      </c>
      <c r="AF26" s="0" t="n">
        <f aca="false">F26*x_NAV</f>
        <v>0</v>
      </c>
      <c r="AG26" s="0" t="n">
        <f aca="false">G26*x_FIX*(1-x_testy)</f>
        <v>0</v>
      </c>
      <c r="AH26" s="0" t="n">
        <f aca="false">x_z_F*U26+(1-x_AGRI)*x_EMP*x_WLOSS*(x_PEN_K74*Q26+x_PEN_C22*R26)</f>
        <v>27782651.8998038</v>
      </c>
      <c r="AI26" s="0" t="n">
        <f aca="false">x_AGRI*x_EMP*x_WLOSS*(x_PEN_K74*Q26+x_PEN_C22*R26)</f>
        <v>1603849.81054883</v>
      </c>
      <c r="AJ26" s="0" t="n">
        <f aca="false">x_EMP*x_WAGE*(x_WLOSS*(Q26+R26)+S26)+U26*x_ABS_D*x_WAGE/365</f>
        <v>647760777.261035</v>
      </c>
      <c r="AK26" s="0" t="n">
        <f aca="false">AJ26*x_R_FUS</f>
        <v>204951509.925392</v>
      </c>
      <c r="AL26" s="0" t="n">
        <f aca="false">AJ26*x_R_NFZ</f>
        <v>50305749.7228693</v>
      </c>
      <c r="AM26" s="0" t="n">
        <f aca="false">AJ26*x_R_PIT</f>
        <v>43065840.1254395</v>
      </c>
      <c r="AN26" s="0" t="n">
        <f aca="false">AJ26*x_R_FP</f>
        <v>16517899.8201564</v>
      </c>
      <c r="AO26" s="0" t="n">
        <f aca="false">AA26+AB26+AC26+AD26+AF26</f>
        <v>486275162.289756</v>
      </c>
      <c r="AP26" s="0" t="n">
        <f aca="false">AO26+AE26+AG26+AH26+AI26+AK26+AL26+AM26+AN26</f>
        <v>830502663.593966</v>
      </c>
      <c r="AQ26" s="0" t="n">
        <f aca="false">AO26+AE26+AG26+AJ26</f>
        <v>1134035939.55079</v>
      </c>
      <c r="AR26" s="0" t="n">
        <f aca="false">AB26+AC26+AD26+AF26</f>
        <v>137833427.610024</v>
      </c>
      <c r="AS26" s="0" t="n">
        <f aca="false">AR26+AE26+AG26</f>
        <v>137833427.610024</v>
      </c>
    </row>
    <row r="27" customFormat="false" ht="15" hidden="false" customHeight="false" outlineLevel="0" collapsed="false">
      <c r="A27" s="0" t="n">
        <v>2050</v>
      </c>
      <c r="B27" s="0" t="n">
        <v>24</v>
      </c>
      <c r="C27" s="0" t="n">
        <v>4832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2221.213</v>
      </c>
      <c r="I27" s="0" t="n">
        <v>269.973</v>
      </c>
      <c r="J27" s="0" t="n">
        <v>1563.592</v>
      </c>
      <c r="K27" s="0" t="n">
        <v>2566.93</v>
      </c>
      <c r="L27" s="0" t="n">
        <v>1155.455</v>
      </c>
      <c r="M27" s="0" t="n">
        <v>86385.049</v>
      </c>
      <c r="N27" s="0" t="n">
        <v>8514.659</v>
      </c>
      <c r="O27" s="0" t="n">
        <v>87.68</v>
      </c>
      <c r="P27" s="0" t="n">
        <v>88.604</v>
      </c>
      <c r="Q27" s="0" t="n">
        <v>1120.545</v>
      </c>
      <c r="R27" s="0" t="n">
        <v>1214.243</v>
      </c>
      <c r="S27" s="0" t="n">
        <v>6475.027</v>
      </c>
      <c r="T27" s="0" t="n">
        <v>2491.186</v>
      </c>
      <c r="U27" s="0" t="n">
        <v>1741.578</v>
      </c>
      <c r="V27" s="0" t="n">
        <v>144049.565</v>
      </c>
      <c r="W27" s="0" t="n">
        <v>274.498</v>
      </c>
      <c r="X27" s="0" t="n">
        <v>723.021</v>
      </c>
      <c r="Y27" s="0" t="n">
        <v>87.68</v>
      </c>
      <c r="Z27" s="0" t="n">
        <v>918.899</v>
      </c>
      <c r="AA27" s="0" t="n">
        <f aca="false">H27*x_c_F+I27*x_c_CC+J27*x_c_DC+K27*x_c_HCC+L27*x_c_PLT+M27*x_c_SVRn+N27*x_c_SVRcc+O27*x_c_LT+P27*x_c_LT1</f>
        <v>344924120.624524</v>
      </c>
      <c r="AB27" s="0" t="n">
        <f aca="false">C27*x_c_DAA</f>
        <v>109976320</v>
      </c>
      <c r="AC27" s="0" t="n">
        <f aca="false">C27*x_c_MON</f>
        <v>27857107.6100244</v>
      </c>
      <c r="AD27" s="0" t="n">
        <f aca="false">D27*(1-x_testy)</f>
        <v>0</v>
      </c>
      <c r="AE27" s="0" t="n">
        <f aca="false">E27*(1-x_testy)</f>
        <v>0</v>
      </c>
      <c r="AF27" s="0" t="n">
        <f aca="false">F27*x_NAV</f>
        <v>0</v>
      </c>
      <c r="AG27" s="0" t="n">
        <f aca="false">G27*x_FIX*(1-x_testy)</f>
        <v>0</v>
      </c>
      <c r="AH27" s="0" t="n">
        <f aca="false">x_z_F*U27+(1-x_AGRI)*x_EMP*x_WLOSS*(x_PEN_K74*Q27+x_PEN_C22*R27)</f>
        <v>28709491.3744635</v>
      </c>
      <c r="AI27" s="0" t="n">
        <f aca="false">x_AGRI*x_EMP*x_WLOSS*(x_PEN_K74*Q27+x_PEN_C22*R27)</f>
        <v>1660976.67166196</v>
      </c>
      <c r="AJ27" s="0" t="n">
        <f aca="false">x_EMP*x_WAGE*(x_WLOSS*(Q27+R27)+S27)+U27*x_ABS_D*x_WAGE/365</f>
        <v>684860083.612337</v>
      </c>
      <c r="AK27" s="0" t="n">
        <f aca="false">AJ27*x_R_FUS</f>
        <v>216689730.454943</v>
      </c>
      <c r="AL27" s="0" t="n">
        <f aca="false">AJ27*x_R_NFZ</f>
        <v>53186918.9534177</v>
      </c>
      <c r="AM27" s="0" t="n">
        <f aca="false">AJ27*x_R_PIT</f>
        <v>45532356.8584309</v>
      </c>
      <c r="AN27" s="0" t="n">
        <f aca="false">AJ27*x_R_FP</f>
        <v>17463932.1321146</v>
      </c>
      <c r="AO27" s="0" t="n">
        <f aca="false">AA27+AB27+AC27+AD27+AF27</f>
        <v>482757548.234548</v>
      </c>
      <c r="AP27" s="0" t="n">
        <f aca="false">AO27+AE27+AG27+AH27+AI27+AK27+AL27+AM27+AN27</f>
        <v>846000954.67958</v>
      </c>
      <c r="AQ27" s="0" t="n">
        <f aca="false">AO27+AE27+AG27+AJ27</f>
        <v>1167617631.84688</v>
      </c>
      <c r="AR27" s="0" t="n">
        <f aca="false">AB27+AC27+AD27+AF27</f>
        <v>137833427.610024</v>
      </c>
      <c r="AS27" s="0" t="n">
        <f aca="false">AR27+AE27+AG27</f>
        <v>137833427.610024</v>
      </c>
    </row>
    <row r="28" customFormat="false" ht="15" hidden="false" customHeight="false" outlineLevel="0" collapsed="false">
      <c r="A28" s="0" t="n">
        <v>2051</v>
      </c>
      <c r="B28" s="0" t="n">
        <v>25</v>
      </c>
      <c r="C28" s="0" t="n">
        <v>4832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2225.566</v>
      </c>
      <c r="I28" s="0" t="n">
        <v>264.616</v>
      </c>
      <c r="J28" s="0" t="n">
        <v>1530.668</v>
      </c>
      <c r="K28" s="0" t="n">
        <v>2513.57</v>
      </c>
      <c r="L28" s="0" t="n">
        <v>1136.317</v>
      </c>
      <c r="M28" s="0" t="n">
        <v>89130.044</v>
      </c>
      <c r="N28" s="0" t="n">
        <v>8600.549</v>
      </c>
      <c r="O28" s="0" t="n">
        <v>85.871</v>
      </c>
      <c r="P28" s="0" t="n">
        <v>86.775</v>
      </c>
      <c r="Q28" s="0" t="n">
        <v>1157.415</v>
      </c>
      <c r="R28" s="0" t="n">
        <v>1258.345</v>
      </c>
      <c r="S28" s="0" t="n">
        <v>6868.168</v>
      </c>
      <c r="T28" s="0" t="n">
        <v>2490.182</v>
      </c>
      <c r="U28" s="0" t="n">
        <v>1769.263</v>
      </c>
      <c r="V28" s="0" t="n">
        <v>145574.831</v>
      </c>
      <c r="W28" s="0" t="n">
        <v>268.268</v>
      </c>
      <c r="X28" s="0" t="n">
        <v>708.307</v>
      </c>
      <c r="Y28" s="0" t="n">
        <v>85.871</v>
      </c>
      <c r="Z28" s="0" t="n">
        <v>900.217</v>
      </c>
      <c r="AA28" s="0" t="n">
        <f aca="false">H28*x_c_F+I28*x_c_CC+J28*x_c_DC+K28*x_c_HCC+L28*x_c_PLT+M28*x_c_SVRn+N28*x_c_SVRcc+O28*x_c_LT+P28*x_c_LT1</f>
        <v>341559228.580779</v>
      </c>
      <c r="AB28" s="0" t="n">
        <f aca="false">C28*x_c_DAA</f>
        <v>109976320</v>
      </c>
      <c r="AC28" s="0" t="n">
        <f aca="false">C28*x_c_MON</f>
        <v>27857107.6100244</v>
      </c>
      <c r="AD28" s="0" t="n">
        <f aca="false">D28*(1-x_testy)</f>
        <v>0</v>
      </c>
      <c r="AE28" s="0" t="n">
        <f aca="false">E28*(1-x_testy)</f>
        <v>0</v>
      </c>
      <c r="AF28" s="0" t="n">
        <f aca="false">F28*x_NAV</f>
        <v>0</v>
      </c>
      <c r="AG28" s="0" t="n">
        <f aca="false">G28*x_FIX*(1-x_testy)</f>
        <v>0</v>
      </c>
      <c r="AH28" s="0" t="n">
        <f aca="false">x_z_F*U28+(1-x_AGRI)*x_EMP*x_WLOSS*(x_PEN_K74*Q28+x_PEN_C22*R28)</f>
        <v>29640629.3802086</v>
      </c>
      <c r="AI28" s="0" t="n">
        <f aca="false">x_AGRI*x_EMP*x_WLOSS*(x_PEN_K74*Q28+x_PEN_C22*R28)</f>
        <v>1718760.95133196</v>
      </c>
      <c r="AJ28" s="0" t="n">
        <f aca="false">x_EMP*x_WAGE*(x_WLOSS*(Q28+R28)+S28)+U28*x_ABS_D*x_WAGE/365</f>
        <v>722888841.112055</v>
      </c>
      <c r="AK28" s="0" t="n">
        <f aca="false">AJ28*x_R_FUS</f>
        <v>228722029.327854</v>
      </c>
      <c r="AL28" s="0" t="n">
        <f aca="false">AJ28*x_R_NFZ</f>
        <v>56140270.2896033</v>
      </c>
      <c r="AM28" s="0" t="n">
        <f aca="false">AJ28*x_R_PIT</f>
        <v>48060667.3831541</v>
      </c>
      <c r="AN28" s="0" t="n">
        <f aca="false">AJ28*x_R_FP</f>
        <v>18433665.4483574</v>
      </c>
      <c r="AO28" s="0" t="n">
        <f aca="false">AA28+AB28+AC28+AD28+AF28</f>
        <v>479392656.190803</v>
      </c>
      <c r="AP28" s="0" t="n">
        <f aca="false">AO28+AE28+AG28+AH28+AI28+AK28+AL28+AM28+AN28</f>
        <v>862108678.971313</v>
      </c>
      <c r="AQ28" s="0" t="n">
        <f aca="false">AO28+AE28+AG28+AJ28</f>
        <v>1202281497.30286</v>
      </c>
      <c r="AR28" s="0" t="n">
        <f aca="false">AB28+AC28+AD28+AF28</f>
        <v>137833427.610024</v>
      </c>
      <c r="AS28" s="0" t="n">
        <f aca="false">AR28+AE28+AG28</f>
        <v>137833427.610024</v>
      </c>
    </row>
    <row r="29" customFormat="false" ht="15" hidden="false" customHeight="false" outlineLevel="0" collapsed="false">
      <c r="A29" s="0" t="n">
        <v>2052</v>
      </c>
      <c r="B29" s="0" t="n">
        <v>26</v>
      </c>
      <c r="C29" s="0" t="n">
        <v>4832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2229.687</v>
      </c>
      <c r="I29" s="0" t="n">
        <v>259.56</v>
      </c>
      <c r="J29" s="0" t="n">
        <v>1498.623</v>
      </c>
      <c r="K29" s="0" t="n">
        <v>2462.898</v>
      </c>
      <c r="L29" s="0" t="n">
        <v>1117.17</v>
      </c>
      <c r="M29" s="0" t="n">
        <v>91876.693</v>
      </c>
      <c r="N29" s="0" t="n">
        <v>8673.796</v>
      </c>
      <c r="O29" s="0" t="n">
        <v>84.111</v>
      </c>
      <c r="P29" s="0" t="n">
        <v>84.991</v>
      </c>
      <c r="Q29" s="0" t="n">
        <v>1194.905</v>
      </c>
      <c r="R29" s="0" t="n">
        <v>1302.346</v>
      </c>
      <c r="S29" s="0" t="n">
        <v>7271.208</v>
      </c>
      <c r="T29" s="0" t="n">
        <v>2489.248</v>
      </c>
      <c r="U29" s="0" t="n">
        <v>1794.392</v>
      </c>
      <c r="V29" s="0" t="n">
        <v>147145.438</v>
      </c>
      <c r="W29" s="0" t="n">
        <v>262.458</v>
      </c>
      <c r="X29" s="0" t="n">
        <v>694.605</v>
      </c>
      <c r="Y29" s="0" t="n">
        <v>84.111</v>
      </c>
      <c r="Z29" s="0" t="n">
        <v>882.253</v>
      </c>
      <c r="AA29" s="0" t="n">
        <f aca="false">H29*x_c_F+I29*x_c_CC+J29*x_c_DC+K29*x_c_HCC+L29*x_c_PLT+M29*x_c_SVRn+N29*x_c_SVRcc+O29*x_c_LT+P29*x_c_LT1</f>
        <v>338365227.174842</v>
      </c>
      <c r="AB29" s="0" t="n">
        <f aca="false">C29*x_c_DAA</f>
        <v>109976320</v>
      </c>
      <c r="AC29" s="0" t="n">
        <f aca="false">C29*x_c_MON</f>
        <v>27857107.6100244</v>
      </c>
      <c r="AD29" s="0" t="n">
        <f aca="false">D29*(1-x_testy)</f>
        <v>0</v>
      </c>
      <c r="AE29" s="0" t="n">
        <f aca="false">E29*(1-x_testy)</f>
        <v>0</v>
      </c>
      <c r="AF29" s="0" t="n">
        <f aca="false">F29*x_NAV</f>
        <v>0</v>
      </c>
      <c r="AG29" s="0" t="n">
        <f aca="false">G29*x_FIX*(1-x_testy)</f>
        <v>0</v>
      </c>
      <c r="AH29" s="0" t="n">
        <f aca="false">x_z_F*U29+(1-x_AGRI)*x_EMP*x_WLOSS*(x_PEN_K74*Q29+x_PEN_C22*R29)</f>
        <v>30571589.7235706</v>
      </c>
      <c r="AI29" s="0" t="n">
        <f aca="false">x_AGRI*x_EMP*x_WLOSS*(x_PEN_K74*Q29+x_PEN_C22*R29)</f>
        <v>1776880.82648723</v>
      </c>
      <c r="AJ29" s="0" t="n">
        <f aca="false">x_EMP*x_WAGE*(x_WLOSS*(Q29+R29)+S29)+U29*x_ABS_D*x_WAGE/365</f>
        <v>761782466.297345</v>
      </c>
      <c r="AK29" s="0" t="n">
        <f aca="false">AJ29*x_R_FUS</f>
        <v>241027972.33648</v>
      </c>
      <c r="AL29" s="0" t="n">
        <f aca="false">AJ29*x_R_NFZ</f>
        <v>59160788.1151181</v>
      </c>
      <c r="AM29" s="0" t="n">
        <f aca="false">AJ29*x_R_PIT</f>
        <v>50646477.9214378</v>
      </c>
      <c r="AN29" s="0" t="n">
        <f aca="false">AJ29*x_R_FP</f>
        <v>19425452.8905823</v>
      </c>
      <c r="AO29" s="0" t="n">
        <f aca="false">AA29+AB29+AC29+AD29+AF29</f>
        <v>476198654.784867</v>
      </c>
      <c r="AP29" s="0" t="n">
        <f aca="false">AO29+AE29+AG29+AH29+AI29+AK29+AL29+AM29+AN29</f>
        <v>878807816.598543</v>
      </c>
      <c r="AQ29" s="0" t="n">
        <f aca="false">AO29+AE29+AG29+AJ29</f>
        <v>1237981121.08221</v>
      </c>
      <c r="AR29" s="0" t="n">
        <f aca="false">AB29+AC29+AD29+AF29</f>
        <v>137833427.610024</v>
      </c>
      <c r="AS29" s="0" t="n">
        <f aca="false">AR29+AE29+AG29</f>
        <v>137833427.610024</v>
      </c>
    </row>
    <row r="30" customFormat="false" ht="15" hidden="false" customHeight="false" outlineLevel="0" collapsed="false">
      <c r="A30" s="0" t="n">
        <v>2053</v>
      </c>
      <c r="B30" s="0" t="n">
        <v>27</v>
      </c>
      <c r="C30" s="0" t="n">
        <v>4832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2233.57</v>
      </c>
      <c r="I30" s="0" t="n">
        <v>254.802</v>
      </c>
      <c r="J30" s="0" t="n">
        <v>1467.542</v>
      </c>
      <c r="K30" s="0" t="n">
        <v>2414.84</v>
      </c>
      <c r="L30" s="0" t="n">
        <v>1097.929</v>
      </c>
      <c r="M30" s="0" t="n">
        <v>94619.144</v>
      </c>
      <c r="N30" s="0" t="n">
        <v>8734.617</v>
      </c>
      <c r="O30" s="0" t="n">
        <v>82.402</v>
      </c>
      <c r="P30" s="0" t="n">
        <v>83.257</v>
      </c>
      <c r="Q30" s="0" t="n">
        <v>1232.818</v>
      </c>
      <c r="R30" s="0" t="n">
        <v>1345.952</v>
      </c>
      <c r="S30" s="0" t="n">
        <v>7683.435</v>
      </c>
      <c r="T30" s="0" t="n">
        <v>2488.373</v>
      </c>
      <c r="U30" s="0" t="n">
        <v>1817.17</v>
      </c>
      <c r="V30" s="0" t="n">
        <v>148749.099</v>
      </c>
      <c r="W30" s="0" t="n">
        <v>257.023</v>
      </c>
      <c r="X30" s="0" t="n">
        <v>681.794</v>
      </c>
      <c r="Y30" s="0" t="n">
        <v>82.402</v>
      </c>
      <c r="Z30" s="0" t="n">
        <v>864.973</v>
      </c>
      <c r="AA30" s="0" t="n">
        <f aca="false">H30*x_c_F+I30*x_c_CC+J30*x_c_DC+K30*x_c_HCC+L30*x_c_PLT+M30*x_c_SVRn+N30*x_c_SVRcc+O30*x_c_LT+P30*x_c_LT1</f>
        <v>335334195.442899</v>
      </c>
      <c r="AB30" s="0" t="n">
        <f aca="false">C30*x_c_DAA</f>
        <v>109976320</v>
      </c>
      <c r="AC30" s="0" t="n">
        <f aca="false">C30*x_c_MON</f>
        <v>27857107.6100244</v>
      </c>
      <c r="AD30" s="0" t="n">
        <f aca="false">D30*(1-x_testy)</f>
        <v>0</v>
      </c>
      <c r="AE30" s="0" t="n">
        <f aca="false">E30*(1-x_testy)</f>
        <v>0</v>
      </c>
      <c r="AF30" s="0" t="n">
        <f aca="false">F30*x_NAV</f>
        <v>0</v>
      </c>
      <c r="AG30" s="0" t="n">
        <f aca="false">G30*x_FIX*(1-x_testy)</f>
        <v>0</v>
      </c>
      <c r="AH30" s="0" t="n">
        <f aca="false">x_z_F*U30+(1-x_AGRI)*x_EMP*x_WLOSS*(x_PEN_K74*Q30+x_PEN_C22*R30)</f>
        <v>31497456.3039661</v>
      </c>
      <c r="AI30" s="0" t="n">
        <f aca="false">x_AGRI*x_EMP*x_WLOSS*(x_PEN_K74*Q30+x_PEN_C22*R30)</f>
        <v>1834983.49455929</v>
      </c>
      <c r="AJ30" s="0" t="n">
        <f aca="false">x_EMP*x_WAGE*(x_WLOSS*(Q30+R30)+S30)+U30*x_ABS_D*x_WAGE/365</f>
        <v>801454005.000584</v>
      </c>
      <c r="AK30" s="0" t="n">
        <f aca="false">AJ30*x_R_FUS</f>
        <v>253580047.182185</v>
      </c>
      <c r="AL30" s="0" t="n">
        <f aca="false">AJ30*x_R_NFZ</f>
        <v>62241719.4823503</v>
      </c>
      <c r="AM30" s="0" t="n">
        <f aca="false">AJ30*x_R_PIT</f>
        <v>53284007.3972854</v>
      </c>
      <c r="AN30" s="0" t="n">
        <f aca="false">AJ30*x_R_FP</f>
        <v>20437077.1275149</v>
      </c>
      <c r="AO30" s="0" t="n">
        <f aca="false">AA30+AB30+AC30+AD30+AF30</f>
        <v>473167623.052924</v>
      </c>
      <c r="AP30" s="0" t="n">
        <f aca="false">AO30+AE30+AG30+AH30+AI30+AK30+AL30+AM30+AN30</f>
        <v>896042914.040784</v>
      </c>
      <c r="AQ30" s="0" t="n">
        <f aca="false">AO30+AE30+AG30+AJ30</f>
        <v>1274621628.05351</v>
      </c>
      <c r="AR30" s="0" t="n">
        <f aca="false">AB30+AC30+AD30+AF30</f>
        <v>137833427.610024</v>
      </c>
      <c r="AS30" s="0" t="n">
        <f aca="false">AR30+AE30+AG30</f>
        <v>137833427.610024</v>
      </c>
    </row>
    <row r="31" customFormat="false" ht="15" hidden="false" customHeight="false" outlineLevel="0" collapsed="false">
      <c r="A31" s="0" t="n">
        <v>2054</v>
      </c>
      <c r="B31" s="0" t="n">
        <v>28</v>
      </c>
      <c r="C31" s="0" t="n">
        <v>4832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2237.226</v>
      </c>
      <c r="I31" s="0" t="n">
        <v>250.323</v>
      </c>
      <c r="J31" s="0" t="n">
        <v>1437.394</v>
      </c>
      <c r="K31" s="0" t="n">
        <v>2369.151</v>
      </c>
      <c r="L31" s="0" t="n">
        <v>1078.44</v>
      </c>
      <c r="M31" s="0" t="n">
        <v>97349.055</v>
      </c>
      <c r="N31" s="0" t="n">
        <v>8782.631</v>
      </c>
      <c r="O31" s="0" t="n">
        <v>80.741</v>
      </c>
      <c r="P31" s="0" t="n">
        <v>81.572</v>
      </c>
      <c r="Q31" s="0" t="n">
        <v>1270.945</v>
      </c>
      <c r="R31" s="0" t="n">
        <v>1388.871</v>
      </c>
      <c r="S31" s="0" t="n">
        <v>8104.002</v>
      </c>
      <c r="T31" s="0" t="n">
        <v>2487.548</v>
      </c>
      <c r="U31" s="0" t="n">
        <v>1837.808</v>
      </c>
      <c r="V31" s="0" t="n">
        <v>150371.721</v>
      </c>
      <c r="W31" s="0" t="n">
        <v>251.915</v>
      </c>
      <c r="X31" s="0" t="n">
        <v>669.741</v>
      </c>
      <c r="Y31" s="0" t="n">
        <v>80.741</v>
      </c>
      <c r="Z31" s="0" t="n">
        <v>848.314</v>
      </c>
      <c r="AA31" s="0" t="n">
        <f aca="false">H31*x_c_F+I31*x_c_CC+J31*x_c_DC+K31*x_c_HCC+L31*x_c_PLT+M31*x_c_SVRn+N31*x_c_SVRcc+O31*x_c_LT+P31*x_c_LT1</f>
        <v>332437972.706934</v>
      </c>
      <c r="AB31" s="0" t="n">
        <f aca="false">C31*x_c_DAA</f>
        <v>109976320</v>
      </c>
      <c r="AC31" s="0" t="n">
        <f aca="false">C31*x_c_MON</f>
        <v>27857107.6100244</v>
      </c>
      <c r="AD31" s="0" t="n">
        <f aca="false">D31*(1-x_testy)</f>
        <v>0</v>
      </c>
      <c r="AE31" s="0" t="n">
        <f aca="false">E31*(1-x_testy)</f>
        <v>0</v>
      </c>
      <c r="AF31" s="0" t="n">
        <f aca="false">F31*x_NAV</f>
        <v>0</v>
      </c>
      <c r="AG31" s="0" t="n">
        <f aca="false">G31*x_FIX*(1-x_testy)</f>
        <v>0</v>
      </c>
      <c r="AH31" s="0" t="n">
        <f aca="false">x_z_F*U31+(1-x_AGRI)*x_EMP*x_WLOSS*(x_PEN_K74*Q31+x_PEN_C22*R31)</f>
        <v>32413227.6029773</v>
      </c>
      <c r="AI31" s="0" t="n">
        <f aca="false">x_AGRI*x_EMP*x_WLOSS*(x_PEN_K74*Q31+x_PEN_C22*R31)</f>
        <v>1892709.69167582</v>
      </c>
      <c r="AJ31" s="0" t="n">
        <f aca="false">x_EMP*x_WAGE*(x_WLOSS*(Q31+R31)+S31)+U31*x_ABS_D*x_WAGE/365</f>
        <v>841804463.651515</v>
      </c>
      <c r="AK31" s="0" t="n">
        <f aca="false">AJ31*x_R_FUS</f>
        <v>266346932.299339</v>
      </c>
      <c r="AL31" s="0" t="n">
        <f aca="false">AJ31*x_R_NFZ</f>
        <v>65375376.4516403</v>
      </c>
      <c r="AM31" s="0" t="n">
        <f aca="false">AJ31*x_R_PIT</f>
        <v>55966674.3049621</v>
      </c>
      <c r="AN31" s="0" t="n">
        <f aca="false">AJ31*x_R_FP</f>
        <v>21466013.8231136</v>
      </c>
      <c r="AO31" s="0" t="n">
        <f aca="false">AA31+AB31+AC31+AD31+AF31</f>
        <v>470271400.316958</v>
      </c>
      <c r="AP31" s="0" t="n">
        <f aca="false">AO31+AE31+AG31+AH31+AI31+AK31+AL31+AM31+AN31</f>
        <v>913732334.490667</v>
      </c>
      <c r="AQ31" s="0" t="n">
        <f aca="false">AO31+AE31+AG31+AJ31</f>
        <v>1312075863.96847</v>
      </c>
      <c r="AR31" s="0" t="n">
        <f aca="false">AB31+AC31+AD31+AF31</f>
        <v>137833427.610024</v>
      </c>
      <c r="AS31" s="0" t="n">
        <f aca="false">AR31+AE31+AG31</f>
        <v>137833427.610024</v>
      </c>
    </row>
    <row r="32" customFormat="false" ht="15" hidden="false" customHeight="false" outlineLevel="0" collapsed="false">
      <c r="A32" s="0" t="n">
        <v>2055</v>
      </c>
      <c r="B32" s="0" t="n">
        <v>29</v>
      </c>
      <c r="C32" s="0" t="n">
        <v>4832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2240.666</v>
      </c>
      <c r="I32" s="0" t="n">
        <v>246.099</v>
      </c>
      <c r="J32" s="0" t="n">
        <v>1408.096</v>
      </c>
      <c r="K32" s="0" t="n">
        <v>2325.533</v>
      </c>
      <c r="L32" s="0" t="n">
        <v>1058.519</v>
      </c>
      <c r="M32" s="0" t="n">
        <v>100056.865</v>
      </c>
      <c r="N32" s="0" t="n">
        <v>8817.151</v>
      </c>
      <c r="O32" s="0" t="n">
        <v>79.123</v>
      </c>
      <c r="P32" s="0" t="n">
        <v>79.932</v>
      </c>
      <c r="Q32" s="0" t="n">
        <v>1309.07</v>
      </c>
      <c r="R32" s="0" t="n">
        <v>1430.827</v>
      </c>
      <c r="S32" s="0" t="n">
        <v>8531.949</v>
      </c>
      <c r="T32" s="0" t="n">
        <v>2486.766</v>
      </c>
      <c r="U32" s="0" t="n">
        <v>1856.498</v>
      </c>
      <c r="V32" s="0" t="n">
        <v>151999.303</v>
      </c>
      <c r="W32" s="0" t="n">
        <v>247.087</v>
      </c>
      <c r="X32" s="0" t="n">
        <v>658.32</v>
      </c>
      <c r="Y32" s="0" t="n">
        <v>79.123</v>
      </c>
      <c r="Z32" s="0" t="n">
        <v>832.185</v>
      </c>
      <c r="AA32" s="0" t="n">
        <f aca="false">H32*x_c_F+I32*x_c_CC+J32*x_c_DC+K32*x_c_HCC+L32*x_c_PLT+M32*x_c_SVRn+N32*x_c_SVRcc+O32*x_c_LT+P32*x_c_LT1</f>
        <v>329640732.716673</v>
      </c>
      <c r="AB32" s="0" t="n">
        <f aca="false">C32*x_c_DAA</f>
        <v>109976320</v>
      </c>
      <c r="AC32" s="0" t="n">
        <f aca="false">C32*x_c_MON</f>
        <v>27857107.6100244</v>
      </c>
      <c r="AD32" s="0" t="n">
        <f aca="false">D32*(1-x_testy)</f>
        <v>0</v>
      </c>
      <c r="AE32" s="0" t="n">
        <f aca="false">E32*(1-x_testy)</f>
        <v>0</v>
      </c>
      <c r="AF32" s="0" t="n">
        <f aca="false">F32*x_NAV</f>
        <v>0</v>
      </c>
      <c r="AG32" s="0" t="n">
        <f aca="false">G32*x_FIX*(1-x_testy)</f>
        <v>0</v>
      </c>
      <c r="AH32" s="0" t="n">
        <f aca="false">x_z_F*U32+(1-x_AGRI)*x_EMP*x_WLOSS*(x_PEN_K74*Q32+x_PEN_C22*R32)</f>
        <v>33313975.4293998</v>
      </c>
      <c r="AI32" s="0" t="n">
        <f aca="false">x_AGRI*x_EMP*x_WLOSS*(x_PEN_K74*Q32+x_PEN_C22*R32)</f>
        <v>1949707.58269077</v>
      </c>
      <c r="AJ32" s="0" t="n">
        <f aca="false">x_EMP*x_WAGE*(x_WLOSS*(Q32+R32)+S32)+U32*x_ABS_D*x_WAGE/365</f>
        <v>882725650.608623</v>
      </c>
      <c r="AK32" s="0" t="n">
        <f aca="false">AJ32*x_R_FUS</f>
        <v>279294395.852568</v>
      </c>
      <c r="AL32" s="0" t="n">
        <f aca="false">AJ32*x_R_NFZ</f>
        <v>68553356.7519163</v>
      </c>
      <c r="AM32" s="0" t="n">
        <f aca="false">AJ32*x_R_PIT</f>
        <v>58687285.6125651</v>
      </c>
      <c r="AN32" s="0" t="n">
        <f aca="false">AJ32*x_R_FP</f>
        <v>22509504.0905199</v>
      </c>
      <c r="AO32" s="0" t="n">
        <f aca="false">AA32+AB32+AC32+AD32+AF32</f>
        <v>467474160.326698</v>
      </c>
      <c r="AP32" s="0" t="n">
        <f aca="false">AO32+AE32+AG32+AH32+AI32+AK32+AL32+AM32+AN32</f>
        <v>931782385.646358</v>
      </c>
      <c r="AQ32" s="0" t="n">
        <f aca="false">AO32+AE32+AG32+AJ32</f>
        <v>1350199810.93532</v>
      </c>
      <c r="AR32" s="0" t="n">
        <f aca="false">AB32+AC32+AD32+AF32</f>
        <v>137833427.610024</v>
      </c>
      <c r="AS32" s="0" t="n">
        <f aca="false">AR32+AE32+AG32</f>
        <v>137833427.610024</v>
      </c>
    </row>
    <row r="33" customFormat="false" ht="15" hidden="false" customHeight="false" outlineLevel="0" collapsed="false">
      <c r="A33" s="0" t="n">
        <v>2056</v>
      </c>
      <c r="B33" s="0" t="n">
        <v>30</v>
      </c>
      <c r="C33" s="0" t="n">
        <v>4832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2243.911</v>
      </c>
      <c r="I33" s="0" t="n">
        <v>242.107</v>
      </c>
      <c r="J33" s="0" t="n">
        <v>1379.516</v>
      </c>
      <c r="K33" s="0" t="n">
        <v>2283.627</v>
      </c>
      <c r="L33" s="0" t="n">
        <v>1037.932</v>
      </c>
      <c r="M33" s="0" t="n">
        <v>102730.961</v>
      </c>
      <c r="N33" s="0" t="n">
        <v>8837.019</v>
      </c>
      <c r="O33" s="0" t="n">
        <v>77.538</v>
      </c>
      <c r="P33" s="0" t="n">
        <v>78.331</v>
      </c>
      <c r="Q33" s="0" t="n">
        <v>1346.957</v>
      </c>
      <c r="R33" s="0" t="n">
        <v>1471.545</v>
      </c>
      <c r="S33" s="0" t="n">
        <v>8966.05</v>
      </c>
      <c r="T33" s="0" t="n">
        <v>2486.018</v>
      </c>
      <c r="U33" s="0" t="n">
        <v>1873.419</v>
      </c>
      <c r="V33" s="0" t="n">
        <v>153616.809</v>
      </c>
      <c r="W33" s="0" t="n">
        <v>242.49</v>
      </c>
      <c r="X33" s="0" t="n">
        <v>647.398</v>
      </c>
      <c r="Y33" s="0" t="n">
        <v>77.538</v>
      </c>
      <c r="Z33" s="0" t="n">
        <v>816.456</v>
      </c>
      <c r="AA33" s="0" t="n">
        <f aca="false">H33*x_c_F+I33*x_c_CC+J33*x_c_DC+K33*x_c_HCC+L33*x_c_PLT+M33*x_c_SVRn+N33*x_c_SVRcc+O33*x_c_LT+P33*x_c_LT1</f>
        <v>326896018.15993</v>
      </c>
      <c r="AB33" s="0" t="n">
        <f aca="false">C33*x_c_DAA</f>
        <v>109976320</v>
      </c>
      <c r="AC33" s="0" t="n">
        <f aca="false">C33*x_c_MON</f>
        <v>27857107.6100244</v>
      </c>
      <c r="AD33" s="0" t="n">
        <f aca="false">D33*(1-x_testy)</f>
        <v>0</v>
      </c>
      <c r="AE33" s="0" t="n">
        <f aca="false">E33*(1-x_testy)</f>
        <v>0</v>
      </c>
      <c r="AF33" s="0" t="n">
        <f aca="false">F33*x_NAV</f>
        <v>0</v>
      </c>
      <c r="AG33" s="0" t="n">
        <f aca="false">G33*x_FIX*(1-x_testy)</f>
        <v>0</v>
      </c>
      <c r="AH33" s="0" t="n">
        <f aca="false">x_z_F*U33+(1-x_AGRI)*x_EMP*x_WLOSS*(x_PEN_K74*Q33+x_PEN_C22*R33)</f>
        <v>34194555.2940129</v>
      </c>
      <c r="AI33" s="0" t="n">
        <f aca="false">x_AGRI*x_EMP*x_WLOSS*(x_PEN_K74*Q33+x_PEN_C22*R33)</f>
        <v>2005612.80216354</v>
      </c>
      <c r="AJ33" s="0" t="n">
        <f aca="false">x_EMP*x_WAGE*(x_WLOSS*(Q33+R33)+S33)+U33*x_ABS_D*x_WAGE/365</f>
        <v>924085617.718257</v>
      </c>
      <c r="AK33" s="0" t="n">
        <f aca="false">AJ33*x_R_FUS</f>
        <v>292380689.446057</v>
      </c>
      <c r="AL33" s="0" t="n">
        <f aca="false">AJ33*x_R_NFZ</f>
        <v>71765413.1576175</v>
      </c>
      <c r="AM33" s="0" t="n">
        <f aca="false">AJ33*x_R_PIT</f>
        <v>61437068.8561083</v>
      </c>
      <c r="AN33" s="0" t="n">
        <f aca="false">AJ33*x_R_FP</f>
        <v>23564183.2518155</v>
      </c>
      <c r="AO33" s="0" t="n">
        <f aca="false">AA33+AB33+AC33+AD33+AF33</f>
        <v>464729445.769955</v>
      </c>
      <c r="AP33" s="0" t="n">
        <f aca="false">AO33+AE33+AG33+AH33+AI33+AK33+AL33+AM33+AN33</f>
        <v>950076968.577729</v>
      </c>
      <c r="AQ33" s="0" t="n">
        <f aca="false">AO33+AE33+AG33+AJ33</f>
        <v>1388815063.48821</v>
      </c>
      <c r="AR33" s="0" t="n">
        <f aca="false">AB33+AC33+AD33+AF33</f>
        <v>137833427.610024</v>
      </c>
      <c r="AS33" s="0" t="n">
        <f aca="false">AR33+AE33+AG33</f>
        <v>137833427.610024</v>
      </c>
    </row>
    <row r="34" customFormat="false" ht="15" hidden="false" customHeight="false" outlineLevel="0" collapsed="false">
      <c r="A34" s="0" t="n">
        <v>2057</v>
      </c>
      <c r="B34" s="0" t="n">
        <v>31</v>
      </c>
      <c r="C34" s="0" t="n">
        <v>4832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2247.021</v>
      </c>
      <c r="I34" s="0" t="n">
        <v>238.271</v>
      </c>
      <c r="J34" s="0" t="n">
        <v>1349.901</v>
      </c>
      <c r="K34" s="0" t="n">
        <v>2240.929</v>
      </c>
      <c r="L34" s="0" t="n">
        <v>1013.778</v>
      </c>
      <c r="M34" s="0" t="n">
        <v>105274.196</v>
      </c>
      <c r="N34" s="0" t="n">
        <v>8824.217</v>
      </c>
      <c r="O34" s="0" t="n">
        <v>75.789</v>
      </c>
      <c r="P34" s="0" t="n">
        <v>76.663</v>
      </c>
      <c r="Q34" s="0" t="n">
        <v>1384.36</v>
      </c>
      <c r="R34" s="0" t="n">
        <v>1510.763</v>
      </c>
      <c r="S34" s="0" t="n">
        <v>9404.86</v>
      </c>
      <c r="T34" s="0" t="n">
        <v>2485.292</v>
      </c>
      <c r="U34" s="0" t="n">
        <v>1888.825</v>
      </c>
      <c r="V34" s="0" t="n">
        <v>155127.134</v>
      </c>
      <c r="W34" s="0" t="n">
        <v>237.785</v>
      </c>
      <c r="X34" s="0" t="n">
        <v>635.994</v>
      </c>
      <c r="Y34" s="0" t="n">
        <v>75.789</v>
      </c>
      <c r="Z34" s="0" t="n">
        <v>799.07</v>
      </c>
      <c r="AA34" s="0" t="n">
        <f aca="false">H34*x_c_F+I34*x_c_CC+J34*x_c_DC+K34*x_c_HCC+L34*x_c_PLT+M34*x_c_SVRn+N34*x_c_SVRcc+O34*x_c_LT+P34*x_c_LT1</f>
        <v>323740839.331305</v>
      </c>
      <c r="AB34" s="0" t="n">
        <f aca="false">C34*x_c_DAA</f>
        <v>109976320</v>
      </c>
      <c r="AC34" s="0" t="n">
        <f aca="false">C34*x_c_MON</f>
        <v>27857107.6100244</v>
      </c>
      <c r="AD34" s="0" t="n">
        <f aca="false">D34*(1-x_testy)</f>
        <v>0</v>
      </c>
      <c r="AE34" s="0" t="n">
        <f aca="false">E34*(1-x_testy)</f>
        <v>0</v>
      </c>
      <c r="AF34" s="0" t="n">
        <f aca="false">F34*x_NAV</f>
        <v>0</v>
      </c>
      <c r="AG34" s="0" t="n">
        <f aca="false">G34*x_FIX*(1-x_testy)</f>
        <v>0</v>
      </c>
      <c r="AH34" s="0" t="n">
        <f aca="false">x_z_F*U34+(1-x_AGRI)*x_EMP*x_WLOSS*(x_PEN_K74*Q34+x_PEN_C22*R34)</f>
        <v>35050024.8780514</v>
      </c>
      <c r="AI34" s="0" t="n">
        <f aca="false">x_AGRI*x_EMP*x_WLOSS*(x_PEN_K74*Q34+x_PEN_C22*R34)</f>
        <v>2060064.15587151</v>
      </c>
      <c r="AJ34" s="0" t="n">
        <f aca="false">x_EMP*x_WAGE*(x_WLOSS*(Q34+R34)+S34)+U34*x_ABS_D*x_WAGE/365</f>
        <v>965734129.142301</v>
      </c>
      <c r="AK34" s="0" t="n">
        <f aca="false">AJ34*x_R_FUS</f>
        <v>305558278.460624</v>
      </c>
      <c r="AL34" s="0" t="n">
        <f aca="false">AJ34*x_R_NFZ</f>
        <v>74999878.2033202</v>
      </c>
      <c r="AM34" s="0" t="n">
        <f aca="false">AJ34*x_R_PIT</f>
        <v>64206035.7300128</v>
      </c>
      <c r="AN34" s="0" t="n">
        <f aca="false">AJ34*x_R_FP</f>
        <v>24626220.2931287</v>
      </c>
      <c r="AO34" s="0" t="n">
        <f aca="false">AA34+AB34+AC34+AD34+AF34</f>
        <v>461574266.941329</v>
      </c>
      <c r="AP34" s="0" t="n">
        <f aca="false">AO34+AE34+AG34+AH34+AI34+AK34+AL34+AM34+AN34</f>
        <v>968074768.662338</v>
      </c>
      <c r="AQ34" s="0" t="n">
        <f aca="false">AO34+AE34+AG34+AJ34</f>
        <v>1427308396.08363</v>
      </c>
      <c r="AR34" s="0" t="n">
        <f aca="false">AB34+AC34+AD34+AF34</f>
        <v>137833427.610024</v>
      </c>
      <c r="AS34" s="0" t="n">
        <f aca="false">AR34+AE34+AG34</f>
        <v>137833427.610024</v>
      </c>
    </row>
    <row r="35" customFormat="false" ht="15" hidden="false" customHeight="false" outlineLevel="0" collapsed="false">
      <c r="A35" s="0" t="n">
        <v>2058</v>
      </c>
      <c r="B35" s="0" t="n">
        <v>32</v>
      </c>
      <c r="C35" s="0" t="n">
        <v>4832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2249.937</v>
      </c>
      <c r="I35" s="0" t="n">
        <v>234.659</v>
      </c>
      <c r="J35" s="0" t="n">
        <v>1321.429</v>
      </c>
      <c r="K35" s="0" t="n">
        <v>2200.237</v>
      </c>
      <c r="L35" s="0" t="n">
        <v>989.463</v>
      </c>
      <c r="M35" s="0" t="n">
        <v>107789.083</v>
      </c>
      <c r="N35" s="0" t="n">
        <v>8800.273</v>
      </c>
      <c r="O35" s="0" t="n">
        <v>74.332</v>
      </c>
      <c r="P35" s="0" t="n">
        <v>75.06</v>
      </c>
      <c r="Q35" s="0" t="n">
        <v>1421.03</v>
      </c>
      <c r="R35" s="0" t="n">
        <v>1548.238</v>
      </c>
      <c r="S35" s="0" t="n">
        <v>9846.725</v>
      </c>
      <c r="T35" s="0" t="n">
        <v>2484.595</v>
      </c>
      <c r="U35" s="0" t="n">
        <v>1902.686</v>
      </c>
      <c r="V35" s="0" t="n">
        <v>156629.4</v>
      </c>
      <c r="W35" s="0" t="n">
        <v>233.679</v>
      </c>
      <c r="X35" s="0" t="n">
        <v>626.165</v>
      </c>
      <c r="Y35" s="0" t="n">
        <v>74.332</v>
      </c>
      <c r="Z35" s="0" t="n">
        <v>784.679</v>
      </c>
      <c r="AA35" s="0" t="n">
        <f aca="false">H35*x_c_F+I35*x_c_CC+J35*x_c_DC+K35*x_c_HCC+L35*x_c_PLT+M35*x_c_SVRn+N35*x_c_SVRcc+O35*x_c_LT+P35*x_c_LT1</f>
        <v>320783286.43164</v>
      </c>
      <c r="AB35" s="0" t="n">
        <f aca="false">C35*x_c_DAA</f>
        <v>109976320</v>
      </c>
      <c r="AC35" s="0" t="n">
        <f aca="false">C35*x_c_MON</f>
        <v>27857107.6100244</v>
      </c>
      <c r="AD35" s="0" t="n">
        <f aca="false">D35*(1-x_testy)</f>
        <v>0</v>
      </c>
      <c r="AE35" s="0" t="n">
        <f aca="false">E35*(1-x_testy)</f>
        <v>0</v>
      </c>
      <c r="AF35" s="0" t="n">
        <f aca="false">F35*x_NAV</f>
        <v>0</v>
      </c>
      <c r="AG35" s="0" t="n">
        <f aca="false">G35*x_FIX*(1-x_testy)</f>
        <v>0</v>
      </c>
      <c r="AH35" s="0" t="n">
        <f aca="false">x_z_F*U35+(1-x_AGRI)*x_EMP*x_WLOSS*(x_PEN_K74*Q35+x_PEN_C22*R35)</f>
        <v>35875044.8363041</v>
      </c>
      <c r="AI35" s="0" t="n">
        <f aca="false">x_AGRI*x_EMP*x_WLOSS*(x_PEN_K74*Q35+x_PEN_C22*R35)</f>
        <v>2112712.80008677</v>
      </c>
      <c r="AJ35" s="0" t="n">
        <f aca="false">x_EMP*x_WAGE*(x_WLOSS*(Q35+R35)+S35)+U35*x_ABS_D*x_WAGE/365</f>
        <v>1007503170.35678</v>
      </c>
      <c r="AK35" s="0" t="n">
        <f aca="false">AJ35*x_R_FUS</f>
        <v>318774003.100886</v>
      </c>
      <c r="AL35" s="0" t="n">
        <f aca="false">AJ35*x_R_NFZ</f>
        <v>78243703.713078</v>
      </c>
      <c r="AM35" s="0" t="n">
        <f aca="false">AJ35*x_R_PIT</f>
        <v>66983015.9274582</v>
      </c>
      <c r="AN35" s="0" t="n">
        <f aca="false">AJ35*x_R_FP</f>
        <v>25691330.8440979</v>
      </c>
      <c r="AO35" s="0" t="n">
        <f aca="false">AA35+AB35+AC35+AD35+AF35</f>
        <v>458616714.041665</v>
      </c>
      <c r="AP35" s="0" t="n">
        <f aca="false">AO35+AE35+AG35+AH35+AI35+AK35+AL35+AM35+AN35</f>
        <v>986296525.263575</v>
      </c>
      <c r="AQ35" s="0" t="n">
        <f aca="false">AO35+AE35+AG35+AJ35</f>
        <v>1466119884.39845</v>
      </c>
      <c r="AR35" s="0" t="n">
        <f aca="false">AB35+AC35+AD35+AF35</f>
        <v>137833427.610024</v>
      </c>
      <c r="AS35" s="0" t="n">
        <f aca="false">AR35+AE35+AG35</f>
        <v>137833427.610024</v>
      </c>
    </row>
    <row r="36" customFormat="false" ht="15" hidden="false" customHeight="false" outlineLevel="0" collapsed="false">
      <c r="A36" s="0" t="n">
        <v>2059</v>
      </c>
      <c r="B36" s="0" t="n">
        <v>33</v>
      </c>
      <c r="C36" s="0" t="n">
        <v>4832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2252.627</v>
      </c>
      <c r="I36" s="0" t="n">
        <v>231.303</v>
      </c>
      <c r="J36" s="0" t="n">
        <v>1295.408</v>
      </c>
      <c r="K36" s="0" t="n">
        <v>2163.179</v>
      </c>
      <c r="L36" s="0" t="n">
        <v>967.152</v>
      </c>
      <c r="M36" s="0" t="n">
        <v>110339.003</v>
      </c>
      <c r="N36" s="0" t="n">
        <v>8778.888</v>
      </c>
      <c r="O36" s="0" t="n">
        <v>72.867</v>
      </c>
      <c r="P36" s="0" t="n">
        <v>73.599</v>
      </c>
      <c r="Q36" s="0" t="n">
        <v>1078.069</v>
      </c>
      <c r="R36" s="0" t="n">
        <v>1310.803</v>
      </c>
      <c r="S36" s="0" t="n">
        <v>6487.648</v>
      </c>
      <c r="T36" s="0" t="n">
        <v>2483.93</v>
      </c>
      <c r="U36" s="0" t="n">
        <v>1875.347</v>
      </c>
      <c r="V36" s="0" t="n">
        <v>158184.428</v>
      </c>
      <c r="W36" s="0" t="n">
        <v>229.672</v>
      </c>
      <c r="X36" s="0" t="n">
        <v>616.471</v>
      </c>
      <c r="Y36" s="0" t="n">
        <v>72.867</v>
      </c>
      <c r="Z36" s="0" t="n">
        <v>770.174</v>
      </c>
      <c r="AA36" s="0" t="n">
        <f aca="false">H36*x_c_F+I36*x_c_CC+J36*x_c_DC+K36*x_c_HCC+L36*x_c_PLT+M36*x_c_SVRn+N36*x_c_SVRcc+O36*x_c_LT+P36*x_c_LT1</f>
        <v>318195411.913461</v>
      </c>
      <c r="AB36" s="0" t="n">
        <f aca="false">C36*x_c_DAA</f>
        <v>109976320</v>
      </c>
      <c r="AC36" s="0" t="n">
        <f aca="false">C36*x_c_MON</f>
        <v>27857107.6100244</v>
      </c>
      <c r="AD36" s="0" t="n">
        <f aca="false">D36*(1-x_testy)</f>
        <v>0</v>
      </c>
      <c r="AE36" s="0" t="n">
        <f aca="false">E36*(1-x_testy)</f>
        <v>0</v>
      </c>
      <c r="AF36" s="0" t="n">
        <f aca="false">F36*x_NAV</f>
        <v>0</v>
      </c>
      <c r="AG36" s="0" t="n">
        <f aca="false">G36*x_FIX*(1-x_testy)</f>
        <v>0</v>
      </c>
      <c r="AH36" s="0" t="n">
        <f aca="false">x_z_F*U36+(1-x_AGRI)*x_EMP*x_WLOSS*(x_PEN_K74*Q36+x_PEN_C22*R36)</f>
        <v>29660456.7495003</v>
      </c>
      <c r="AI36" s="0" t="n">
        <f aca="false">x_AGRI*x_EMP*x_WLOSS*(x_PEN_K74*Q36+x_PEN_C22*R36)</f>
        <v>1705655.59042282</v>
      </c>
      <c r="AJ36" s="0" t="n">
        <f aca="false">x_EMP*x_WAGE*(x_WLOSS*(Q36+R36)+S36)+U36*x_ABS_D*x_WAGE/365</f>
        <v>689286730.725375</v>
      </c>
      <c r="AK36" s="0" t="n">
        <f aca="false">AJ36*x_R_FUS</f>
        <v>218090321.601509</v>
      </c>
      <c r="AL36" s="0" t="n">
        <f aca="false">AJ36*x_R_NFZ</f>
        <v>53530696.7948634</v>
      </c>
      <c r="AM36" s="0" t="n">
        <f aca="false">AJ36*x_R_PIT</f>
        <v>45826658.8346449</v>
      </c>
      <c r="AN36" s="0" t="n">
        <f aca="false">AJ36*x_R_FP</f>
        <v>17576811.6334971</v>
      </c>
      <c r="AO36" s="0" t="n">
        <f aca="false">AA36+AB36+AC36+AD36+AF36</f>
        <v>456028839.523485</v>
      </c>
      <c r="AP36" s="0" t="n">
        <f aca="false">AO36+AE36+AG36+AH36+AI36+AK36+AL36+AM36+AN36</f>
        <v>822419440.727922</v>
      </c>
      <c r="AQ36" s="0" t="n">
        <f aca="false">AO36+AE36+AG36+AJ36</f>
        <v>1145315570.24886</v>
      </c>
      <c r="AR36" s="0" t="n">
        <f aca="false">AB36+AC36+AD36+AF36</f>
        <v>137833427.610024</v>
      </c>
      <c r="AS36" s="0" t="n">
        <f aca="false">AR36+AE36+AG36</f>
        <v>137833427.610024</v>
      </c>
    </row>
    <row r="37" customFormat="false" ht="15" hidden="false" customHeight="false" outlineLevel="0" collapsed="false">
      <c r="A37" s="0" t="n">
        <v>2060</v>
      </c>
      <c r="B37" s="0" t="n">
        <v>34</v>
      </c>
      <c r="C37" s="0" t="n">
        <v>4832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2255.162</v>
      </c>
      <c r="I37" s="0" t="n">
        <v>228.122</v>
      </c>
      <c r="J37" s="0" t="n">
        <v>1269.433</v>
      </c>
      <c r="K37" s="0" t="n">
        <v>2126.433</v>
      </c>
      <c r="L37" s="0" t="n">
        <v>942.919</v>
      </c>
      <c r="M37" s="0" t="n">
        <v>112793.06</v>
      </c>
      <c r="N37" s="0" t="n">
        <v>8735.576</v>
      </c>
      <c r="O37" s="0" t="n">
        <v>71.408</v>
      </c>
      <c r="P37" s="0" t="n">
        <v>72.137</v>
      </c>
      <c r="Q37" s="0" t="n">
        <v>713.37</v>
      </c>
      <c r="R37" s="0" t="n">
        <v>1049.701</v>
      </c>
      <c r="S37" s="0" t="n">
        <v>2894.477</v>
      </c>
      <c r="T37" s="0" t="n">
        <v>2483.283</v>
      </c>
      <c r="U37" s="0" t="n">
        <v>1841.292</v>
      </c>
      <c r="V37" s="0" t="n">
        <v>159664.65</v>
      </c>
      <c r="W37" s="0" t="n">
        <v>225.787</v>
      </c>
      <c r="X37" s="0" t="n">
        <v>606.971</v>
      </c>
      <c r="Y37" s="0" t="n">
        <v>71.408</v>
      </c>
      <c r="Z37" s="0" t="n">
        <v>755.69</v>
      </c>
      <c r="AA37" s="0" t="n">
        <f aca="false">H37*x_c_F+I37*x_c_CC+J37*x_c_DC+K37*x_c_HCC+L37*x_c_PLT+M37*x_c_SVRn+N37*x_c_SVRcc+O37*x_c_LT+P37*x_c_LT1</f>
        <v>315450626.540726</v>
      </c>
      <c r="AB37" s="0" t="n">
        <f aca="false">C37*x_c_DAA</f>
        <v>109976320</v>
      </c>
      <c r="AC37" s="0" t="n">
        <f aca="false">C37*x_c_MON</f>
        <v>27857107.6100244</v>
      </c>
      <c r="AD37" s="0" t="n">
        <f aca="false">D37*(1-x_testy)</f>
        <v>0</v>
      </c>
      <c r="AE37" s="0" t="n">
        <f aca="false">E37*(1-x_testy)</f>
        <v>0</v>
      </c>
      <c r="AF37" s="0" t="n">
        <f aca="false">F37*x_NAV</f>
        <v>0</v>
      </c>
      <c r="AG37" s="0" t="n">
        <f aca="false">G37*x_FIX*(1-x_testy)</f>
        <v>0</v>
      </c>
      <c r="AH37" s="0" t="n">
        <f aca="false">x_z_F*U37+(1-x_AGRI)*x_EMP*x_WLOSS*(x_PEN_K74*Q37+x_PEN_C22*R37)</f>
        <v>22943300.7935727</v>
      </c>
      <c r="AI37" s="0" t="n">
        <f aca="false">x_AGRI*x_EMP*x_WLOSS*(x_PEN_K74*Q37+x_PEN_C22*R37)</f>
        <v>1266292.25621851</v>
      </c>
      <c r="AJ37" s="0" t="n">
        <f aca="false">x_EMP*x_WAGE*(x_WLOSS*(Q37+R37)+S37)+U37*x_ABS_D*x_WAGE/365</f>
        <v>348608572.861448</v>
      </c>
      <c r="AK37" s="0" t="n">
        <f aca="false">AJ37*x_R_FUS</f>
        <v>110299752.453362</v>
      </c>
      <c r="AL37" s="0" t="n">
        <f aca="false">AJ37*x_R_NFZ</f>
        <v>27073290.3769929</v>
      </c>
      <c r="AM37" s="0" t="n">
        <f aca="false">AJ37*x_R_PIT</f>
        <v>23176952.9620018</v>
      </c>
      <c r="AN37" s="0" t="n">
        <f aca="false">AJ37*x_R_FP</f>
        <v>8889518.60796693</v>
      </c>
      <c r="AO37" s="0" t="n">
        <f aca="false">AA37+AB37+AC37+AD37+AF37</f>
        <v>453284054.150751</v>
      </c>
      <c r="AP37" s="0" t="n">
        <f aca="false">AO37+AE37+AG37+AH37+AI37+AK37+AL37+AM37+AN37</f>
        <v>646933161.600866</v>
      </c>
      <c r="AQ37" s="0" t="n">
        <f aca="false">AO37+AE37+AG37+AJ37</f>
        <v>801892627.012199</v>
      </c>
      <c r="AR37" s="0" t="n">
        <f aca="false">AB37+AC37+AD37+AF37</f>
        <v>137833427.610024</v>
      </c>
      <c r="AS37" s="0" t="n">
        <f aca="false">AR37+AE37+AG37</f>
        <v>137833427.610024</v>
      </c>
    </row>
    <row r="38" customFormat="false" ht="15" hidden="false" customHeight="false" outlineLevel="0" collapsed="false">
      <c r="A38" s="0" t="n">
        <v>2061</v>
      </c>
      <c r="B38" s="0" t="n">
        <v>35</v>
      </c>
      <c r="C38" s="0" t="n">
        <v>4832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2257.517</v>
      </c>
      <c r="I38" s="0" t="n">
        <v>225.142</v>
      </c>
      <c r="J38" s="0" t="n">
        <v>1243.835</v>
      </c>
      <c r="K38" s="0" t="n">
        <v>2090.389</v>
      </c>
      <c r="L38" s="0" t="n">
        <v>917.046</v>
      </c>
      <c r="M38" s="0" t="n">
        <v>115152.437</v>
      </c>
      <c r="N38" s="0" t="n">
        <v>8672.409</v>
      </c>
      <c r="O38" s="0" t="n">
        <v>69.977</v>
      </c>
      <c r="P38" s="0" t="n">
        <v>70.692</v>
      </c>
      <c r="Q38" s="0" t="n">
        <v>706.189</v>
      </c>
      <c r="R38" s="0" t="n">
        <v>1039.04</v>
      </c>
      <c r="S38" s="0" t="n">
        <v>2869.224</v>
      </c>
      <c r="T38" s="0" t="n">
        <v>2482.659</v>
      </c>
      <c r="U38" s="0" t="n">
        <v>1840.853</v>
      </c>
      <c r="V38" s="0" t="n">
        <v>161073.275</v>
      </c>
      <c r="W38" s="0" t="n">
        <v>222.064</v>
      </c>
      <c r="X38" s="0" t="n">
        <v>597.768</v>
      </c>
      <c r="Y38" s="0" t="n">
        <v>69.977</v>
      </c>
      <c r="Z38" s="0" t="n">
        <v>741.438</v>
      </c>
      <c r="AA38" s="0" t="n">
        <f aca="false">H38*x_c_F+I38*x_c_CC+J38*x_c_DC+K38*x_c_HCC+L38*x_c_PLT+M38*x_c_SVRn+N38*x_c_SVRcc+O38*x_c_LT+P38*x_c_LT1</f>
        <v>312603259.58169</v>
      </c>
      <c r="AB38" s="0" t="n">
        <f aca="false">C38*x_c_DAA</f>
        <v>109976320</v>
      </c>
      <c r="AC38" s="0" t="n">
        <f aca="false">C38*x_c_MON</f>
        <v>27857107.6100244</v>
      </c>
      <c r="AD38" s="0" t="n">
        <f aca="false">D38*(1-x_testy)</f>
        <v>0</v>
      </c>
      <c r="AE38" s="0" t="n">
        <f aca="false">E38*(1-x_testy)</f>
        <v>0</v>
      </c>
      <c r="AF38" s="0" t="n">
        <f aca="false">F38*x_NAV</f>
        <v>0</v>
      </c>
      <c r="AG38" s="0" t="n">
        <f aca="false">G38*x_FIX*(1-x_testy)</f>
        <v>0</v>
      </c>
      <c r="AH38" s="0" t="n">
        <f aca="false">x_z_F*U38+(1-x_AGRI)*x_EMP*x_WLOSS*(x_PEN_K74*Q38+x_PEN_C22*R38)</f>
        <v>22748472.202581</v>
      </c>
      <c r="AI38" s="0" t="n">
        <f aca="false">x_AGRI*x_EMP*x_WLOSS*(x_PEN_K74*Q38+x_PEN_C22*R38)</f>
        <v>1253474.11658603</v>
      </c>
      <c r="AJ38" s="0" t="n">
        <f aca="false">x_EMP*x_WAGE*(x_WLOSS*(Q38+R38)+S38)+U38*x_ABS_D*x_WAGE/365</f>
        <v>345478491.161113</v>
      </c>
      <c r="AK38" s="0" t="n">
        <f aca="false">AJ38*x_R_FUS</f>
        <v>109309394.603376</v>
      </c>
      <c r="AL38" s="0" t="n">
        <f aca="false">AJ38*x_R_NFZ</f>
        <v>26830205.1020632</v>
      </c>
      <c r="AM38" s="0" t="n">
        <f aca="false">AJ38*x_R_PIT</f>
        <v>22968852.0660874</v>
      </c>
      <c r="AN38" s="0" t="n">
        <f aca="false">AJ38*x_R_FP</f>
        <v>8809701.52460837</v>
      </c>
      <c r="AO38" s="0" t="n">
        <f aca="false">AA38+AB38+AC38+AD38+AF38</f>
        <v>450436687.191715</v>
      </c>
      <c r="AP38" s="0" t="n">
        <f aca="false">AO38+AE38+AG38+AH38+AI38+AK38+AL38+AM38+AN38</f>
        <v>642356786.807017</v>
      </c>
      <c r="AQ38" s="0" t="n">
        <f aca="false">AO38+AE38+AG38+AJ38</f>
        <v>795915178.352827</v>
      </c>
      <c r="AR38" s="0" t="n">
        <f aca="false">AB38+AC38+AD38+AF38</f>
        <v>137833427.610024</v>
      </c>
      <c r="AS38" s="0" t="n">
        <f aca="false">AR38+AE38+AG38</f>
        <v>137833427.610024</v>
      </c>
    </row>
    <row r="39" customFormat="false" ht="15" hidden="false" customHeight="false" outlineLevel="0" collapsed="false">
      <c r="A39" s="0" t="n">
        <v>2062</v>
      </c>
      <c r="B39" s="0" t="n">
        <v>36</v>
      </c>
      <c r="C39" s="0" t="n">
        <v>4832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2259.662</v>
      </c>
      <c r="I39" s="0" t="n">
        <v>222.396</v>
      </c>
      <c r="J39" s="0" t="n">
        <v>1219.017</v>
      </c>
      <c r="K39" s="0" t="n">
        <v>2055.552</v>
      </c>
      <c r="L39" s="0" t="n">
        <v>889.978</v>
      </c>
      <c r="M39" s="0" t="n">
        <v>117423.557</v>
      </c>
      <c r="N39" s="0" t="n">
        <v>8592.743</v>
      </c>
      <c r="O39" s="0" t="n">
        <v>68.601</v>
      </c>
      <c r="P39" s="0" t="n">
        <v>69.289</v>
      </c>
      <c r="Q39" s="0" t="n">
        <v>699.117</v>
      </c>
      <c r="R39" s="0" t="n">
        <v>1028.632</v>
      </c>
      <c r="S39" s="0" t="n">
        <v>2843.875</v>
      </c>
      <c r="T39" s="0" t="n">
        <v>2482.058</v>
      </c>
      <c r="U39" s="0" t="n">
        <v>1840.392</v>
      </c>
      <c r="V39" s="0" t="n">
        <v>162418.978</v>
      </c>
      <c r="W39" s="0" t="n">
        <v>218.548</v>
      </c>
      <c r="X39" s="0" t="n">
        <v>588.981</v>
      </c>
      <c r="Y39" s="0" t="n">
        <v>68.601</v>
      </c>
      <c r="Z39" s="0" t="n">
        <v>727.647</v>
      </c>
      <c r="AA39" s="0" t="n">
        <f aca="false">H39*x_c_F+I39*x_c_CC+J39*x_c_DC+K39*x_c_HCC+L39*x_c_PLT+M39*x_c_SVRn+N39*x_c_SVRcc+O39*x_c_LT+P39*x_c_LT1</f>
        <v>309730149.210716</v>
      </c>
      <c r="AB39" s="0" t="n">
        <f aca="false">C39*x_c_DAA</f>
        <v>109976320</v>
      </c>
      <c r="AC39" s="0" t="n">
        <f aca="false">C39*x_c_MON</f>
        <v>27857107.6100244</v>
      </c>
      <c r="AD39" s="0" t="n">
        <f aca="false">D39*(1-x_testy)</f>
        <v>0</v>
      </c>
      <c r="AE39" s="0" t="n">
        <f aca="false">E39*(1-x_testy)</f>
        <v>0</v>
      </c>
      <c r="AF39" s="0" t="n">
        <f aca="false">F39*x_NAV</f>
        <v>0</v>
      </c>
      <c r="AG39" s="0" t="n">
        <f aca="false">G39*x_FIX*(1-x_testy)</f>
        <v>0</v>
      </c>
      <c r="AH39" s="0" t="n">
        <f aca="false">x_z_F*U39+(1-x_AGRI)*x_EMP*x_WLOSS*(x_PEN_K74*Q39+x_PEN_C22*R39)</f>
        <v>22557583.3141822</v>
      </c>
      <c r="AI39" s="0" t="n">
        <f aca="false">x_AGRI*x_EMP*x_WLOSS*(x_PEN_K74*Q39+x_PEN_C22*R39)</f>
        <v>1240919.37334735</v>
      </c>
      <c r="AJ39" s="0" t="n">
        <f aca="false">x_EMP*x_WAGE*(x_WLOSS*(Q39+R39)+S39)+U39*x_ABS_D*x_WAGE/365</f>
        <v>342359956.191431</v>
      </c>
      <c r="AK39" s="0" t="n">
        <f aca="false">AJ39*x_R_FUS</f>
        <v>108322690.138969</v>
      </c>
      <c r="AL39" s="0" t="n">
        <f aca="false">AJ39*x_R_NFZ</f>
        <v>26588016.5577827</v>
      </c>
      <c r="AM39" s="0" t="n">
        <f aca="false">AJ39*x_R_PIT</f>
        <v>22761518.8450212</v>
      </c>
      <c r="AN39" s="0" t="n">
        <f aca="false">AJ39*x_R_FP</f>
        <v>8730178.88288149</v>
      </c>
      <c r="AO39" s="0" t="n">
        <f aca="false">AA39+AB39+AC39+AD39+AF39</f>
        <v>447563576.82074</v>
      </c>
      <c r="AP39" s="0" t="n">
        <f aca="false">AO39+AE39+AG39+AH39+AI39+AK39+AL39+AM39+AN39</f>
        <v>637764483.932924</v>
      </c>
      <c r="AQ39" s="0" t="n">
        <f aca="false">AO39+AE39+AG39+AJ39</f>
        <v>789923533.012171</v>
      </c>
      <c r="AR39" s="0" t="n">
        <f aca="false">AB39+AC39+AD39+AF39</f>
        <v>137833427.610024</v>
      </c>
      <c r="AS39" s="0" t="n">
        <f aca="false">AR39+AE39+AG39</f>
        <v>137833427.610024</v>
      </c>
    </row>
    <row r="40" customFormat="false" ht="15" hidden="false" customHeight="false" outlineLevel="0" collapsed="false">
      <c r="A40" s="0" t="n">
        <v>2063</v>
      </c>
      <c r="B40" s="0" t="n">
        <v>37</v>
      </c>
      <c r="C40" s="0" t="n">
        <v>4832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2261.564</v>
      </c>
      <c r="I40" s="0" t="n">
        <v>219.921</v>
      </c>
      <c r="J40" s="0" t="n">
        <v>1195.433</v>
      </c>
      <c r="K40" s="0" t="n">
        <v>2022.496</v>
      </c>
      <c r="L40" s="0" t="n">
        <v>862.313</v>
      </c>
      <c r="M40" s="0" t="n">
        <v>119618.09</v>
      </c>
      <c r="N40" s="0" t="n">
        <v>8501.149</v>
      </c>
      <c r="O40" s="0" t="n">
        <v>67.305</v>
      </c>
      <c r="P40" s="0" t="n">
        <v>67.953</v>
      </c>
      <c r="Q40" s="0" t="n">
        <v>692.181</v>
      </c>
      <c r="R40" s="0" t="n">
        <v>1018.505</v>
      </c>
      <c r="S40" s="0" t="n">
        <v>2818.567</v>
      </c>
      <c r="T40" s="0" t="n">
        <v>2481.485</v>
      </c>
      <c r="U40" s="0" t="n">
        <v>1839.856</v>
      </c>
      <c r="V40" s="0" t="n">
        <v>163715.617</v>
      </c>
      <c r="W40" s="0" t="n">
        <v>215.291</v>
      </c>
      <c r="X40" s="0" t="n">
        <v>580.756</v>
      </c>
      <c r="Y40" s="0" t="n">
        <v>67.305</v>
      </c>
      <c r="Z40" s="0" t="n">
        <v>714.592</v>
      </c>
      <c r="AA40" s="0" t="n">
        <f aca="false">H40*x_c_F+I40*x_c_CC+J40*x_c_DC+K40*x_c_HCC+L40*x_c_PLT+M40*x_c_SVRn+N40*x_c_SVRcc+O40*x_c_LT+P40*x_c_LT1</f>
        <v>306924125.31753</v>
      </c>
      <c r="AB40" s="0" t="n">
        <f aca="false">C40*x_c_DAA</f>
        <v>109976320</v>
      </c>
      <c r="AC40" s="0" t="n">
        <f aca="false">C40*x_c_MON</f>
        <v>27857107.6100244</v>
      </c>
      <c r="AD40" s="0" t="n">
        <f aca="false">D40*(1-x_testy)</f>
        <v>0</v>
      </c>
      <c r="AE40" s="0" t="n">
        <f aca="false">E40*(1-x_testy)</f>
        <v>0</v>
      </c>
      <c r="AF40" s="0" t="n">
        <f aca="false">F40*x_NAV</f>
        <v>0</v>
      </c>
      <c r="AG40" s="0" t="n">
        <f aca="false">G40*x_FIX*(1-x_testy)</f>
        <v>0</v>
      </c>
      <c r="AH40" s="0" t="n">
        <f aca="false">x_z_F*U40+(1-x_AGRI)*x_EMP*x_WLOSS*(x_PEN_K74*Q40+x_PEN_C22*R40)</f>
        <v>22371116.2941863</v>
      </c>
      <c r="AI40" s="0" t="n">
        <f aca="false">x_AGRI*x_EMP*x_WLOSS*(x_PEN_K74*Q40+x_PEN_C22*R40)</f>
        <v>1228667.09898578</v>
      </c>
      <c r="AJ40" s="0" t="n">
        <f aca="false">x_EMP*x_WAGE*(x_WLOSS*(Q40+R40)+S40)+U40*x_ABS_D*x_WAGE/365</f>
        <v>339267500.691924</v>
      </c>
      <c r="AK40" s="0" t="n">
        <f aca="false">AJ40*x_R_FUS</f>
        <v>107344237.218925</v>
      </c>
      <c r="AL40" s="0" t="n">
        <f aca="false">AJ40*x_R_NFZ</f>
        <v>26347853.3712355</v>
      </c>
      <c r="AM40" s="0" t="n">
        <f aca="false">AJ40*x_R_PIT</f>
        <v>22555919.4959839</v>
      </c>
      <c r="AN40" s="0" t="n">
        <f aca="false">AJ40*x_R_FP</f>
        <v>8651321.26764407</v>
      </c>
      <c r="AO40" s="0" t="n">
        <f aca="false">AA40+AB40+AC40+AD40+AF40</f>
        <v>444757552.927554</v>
      </c>
      <c r="AP40" s="0" t="n">
        <f aca="false">AO40+AE40+AG40+AH40+AI40+AK40+AL40+AM40+AN40</f>
        <v>633256667.674515</v>
      </c>
      <c r="AQ40" s="0" t="n">
        <f aca="false">AO40+AE40+AG40+AJ40</f>
        <v>784025053.619479</v>
      </c>
      <c r="AR40" s="0" t="n">
        <f aca="false">AB40+AC40+AD40+AF40</f>
        <v>137833427.610024</v>
      </c>
      <c r="AS40" s="0" t="n">
        <f aca="false">AR40+AE40+AG40</f>
        <v>137833427.610024</v>
      </c>
    </row>
    <row r="41" customFormat="false" ht="15" hidden="false" customHeight="false" outlineLevel="0" collapsed="false">
      <c r="A41" s="0" t="n">
        <v>2064</v>
      </c>
      <c r="B41" s="0" t="n">
        <v>38</v>
      </c>
      <c r="C41" s="0" t="n">
        <v>4832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2263.199</v>
      </c>
      <c r="I41" s="0" t="n">
        <v>217.745</v>
      </c>
      <c r="J41" s="0" t="n">
        <v>1173.543</v>
      </c>
      <c r="K41" s="0" t="n">
        <v>1991.82</v>
      </c>
      <c r="L41" s="0" t="n">
        <v>834.767</v>
      </c>
      <c r="M41" s="0" t="n">
        <v>121752.479</v>
      </c>
      <c r="N41" s="0" t="n">
        <v>8403.212</v>
      </c>
      <c r="O41" s="0" t="n">
        <v>66.115</v>
      </c>
      <c r="P41" s="0" t="n">
        <v>66.71</v>
      </c>
      <c r="Q41" s="0" t="n">
        <v>685.415</v>
      </c>
      <c r="R41" s="0" t="n">
        <v>1008.692</v>
      </c>
      <c r="S41" s="0" t="n">
        <v>2793.524</v>
      </c>
      <c r="T41" s="0" t="n">
        <v>2480.944</v>
      </c>
      <c r="U41" s="0" t="n">
        <v>1839.198</v>
      </c>
      <c r="V41" s="0" t="n">
        <v>164981.333</v>
      </c>
      <c r="W41" s="0" t="n">
        <v>212.342</v>
      </c>
      <c r="X41" s="0" t="n">
        <v>573.231</v>
      </c>
      <c r="Y41" s="0" t="n">
        <v>66.115</v>
      </c>
      <c r="Z41" s="0" t="n">
        <v>702.529</v>
      </c>
      <c r="AA41" s="0" t="n">
        <f aca="false">H41*x_c_F+I41*x_c_CC+J41*x_c_DC+K41*x_c_HCC+L41*x_c_PLT+M41*x_c_SVRn+N41*x_c_SVRcc+O41*x_c_LT+P41*x_c_LT1</f>
        <v>304289517.69973</v>
      </c>
      <c r="AB41" s="0" t="n">
        <f aca="false">C41*x_c_DAA</f>
        <v>109976320</v>
      </c>
      <c r="AC41" s="0" t="n">
        <f aca="false">C41*x_c_MON</f>
        <v>27857107.6100244</v>
      </c>
      <c r="AD41" s="0" t="n">
        <f aca="false">D41*(1-x_testy)</f>
        <v>0</v>
      </c>
      <c r="AE41" s="0" t="n">
        <f aca="false">E41*(1-x_testy)</f>
        <v>0</v>
      </c>
      <c r="AF41" s="0" t="n">
        <f aca="false">F41*x_NAV</f>
        <v>0</v>
      </c>
      <c r="AG41" s="0" t="n">
        <f aca="false">G41*x_FIX*(1-x_testy)</f>
        <v>0</v>
      </c>
      <c r="AH41" s="0" t="n">
        <f aca="false">x_z_F*U41+(1-x_AGRI)*x_EMP*x_WLOSS*(x_PEN_K74*Q41+x_PEN_C22*R41)</f>
        <v>22189693.0963694</v>
      </c>
      <c r="AI41" s="0" t="n">
        <f aca="false">x_AGRI*x_EMP*x_WLOSS*(x_PEN_K74*Q41+x_PEN_C22*R41)</f>
        <v>1216764.79035207</v>
      </c>
      <c r="AJ41" s="0" t="n">
        <f aca="false">x_EMP*x_WAGE*(x_WLOSS*(Q41+R41)+S41)+U41*x_ABS_D*x_WAGE/365</f>
        <v>336223748.922115</v>
      </c>
      <c r="AK41" s="0" t="n">
        <f aca="false">AJ41*x_R_FUS</f>
        <v>106381194.158957</v>
      </c>
      <c r="AL41" s="0" t="n">
        <f aca="false">AJ41*x_R_NFZ</f>
        <v>26111472.5650404</v>
      </c>
      <c r="AM41" s="0" t="n">
        <f aca="false">AJ41*x_R_PIT</f>
        <v>22353558.1741786</v>
      </c>
      <c r="AN41" s="0" t="n">
        <f aca="false">AJ41*x_R_FP</f>
        <v>8573705.59751393</v>
      </c>
      <c r="AO41" s="0" t="n">
        <f aca="false">AA41+AB41+AC41+AD41+AF41</f>
        <v>442122945.309754</v>
      </c>
      <c r="AP41" s="0" t="n">
        <f aca="false">AO41+AE41+AG41+AH41+AI41+AK41+AL41+AM41+AN41</f>
        <v>628949333.692166</v>
      </c>
      <c r="AQ41" s="0" t="n">
        <f aca="false">AO41+AE41+AG41+AJ41</f>
        <v>778346694.23187</v>
      </c>
      <c r="AR41" s="0" t="n">
        <f aca="false">AB41+AC41+AD41+AF41</f>
        <v>137833427.610024</v>
      </c>
      <c r="AS41" s="0" t="n">
        <f aca="false">AR41+AE41+AG41</f>
        <v>137833427.610024</v>
      </c>
    </row>
    <row r="42" customFormat="false" ht="15" hidden="false" customHeight="false" outlineLevel="0" collapsed="false">
      <c r="A42" s="0" t="n">
        <v>2065</v>
      </c>
      <c r="B42" s="0" t="n">
        <v>39</v>
      </c>
      <c r="C42" s="0" t="n">
        <v>4832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2264.553</v>
      </c>
      <c r="I42" s="0" t="n">
        <v>215.881</v>
      </c>
      <c r="J42" s="0" t="n">
        <v>1153.735</v>
      </c>
      <c r="K42" s="0" t="n">
        <v>1964.025</v>
      </c>
      <c r="L42" s="0" t="n">
        <v>808.076</v>
      </c>
      <c r="M42" s="0" t="n">
        <v>123844.878</v>
      </c>
      <c r="N42" s="0" t="n">
        <v>8304.731</v>
      </c>
      <c r="O42" s="0" t="n">
        <v>65.052</v>
      </c>
      <c r="P42" s="0" t="n">
        <v>65.584</v>
      </c>
      <c r="Q42" s="0" t="n">
        <v>678.848</v>
      </c>
      <c r="R42" s="0" t="n">
        <v>999.216</v>
      </c>
      <c r="S42" s="0" t="n">
        <v>2768.931</v>
      </c>
      <c r="T42" s="0" t="n">
        <v>2480.434</v>
      </c>
      <c r="U42" s="0" t="n">
        <v>1838.392</v>
      </c>
      <c r="V42" s="0" t="n">
        <v>166234.954</v>
      </c>
      <c r="W42" s="0" t="n">
        <v>209.732</v>
      </c>
      <c r="X42" s="0" t="n">
        <v>566.501</v>
      </c>
      <c r="Y42" s="0" t="n">
        <v>65.052</v>
      </c>
      <c r="Z42" s="0" t="n">
        <v>691.659</v>
      </c>
      <c r="AA42" s="0" t="n">
        <f aca="false">H42*x_c_F+I42*x_c_CC+J42*x_c_DC+K42*x_c_HCC+L42*x_c_PLT+M42*x_c_SVRn+N42*x_c_SVRcc+O42*x_c_LT+P42*x_c_LT1</f>
        <v>301923602.302891</v>
      </c>
      <c r="AB42" s="0" t="n">
        <f aca="false">C42*x_c_DAA</f>
        <v>109976320</v>
      </c>
      <c r="AC42" s="0" t="n">
        <f aca="false">C42*x_c_MON</f>
        <v>27857107.6100244</v>
      </c>
      <c r="AD42" s="0" t="n">
        <f aca="false">D42*(1-x_testy)</f>
        <v>0</v>
      </c>
      <c r="AE42" s="0" t="n">
        <f aca="false">E42*(1-x_testy)</f>
        <v>0</v>
      </c>
      <c r="AF42" s="0" t="n">
        <f aca="false">F42*x_NAV</f>
        <v>0</v>
      </c>
      <c r="AG42" s="0" t="n">
        <f aca="false">G42*x_FIX*(1-x_testy)</f>
        <v>0</v>
      </c>
      <c r="AH42" s="0" t="n">
        <f aca="false">x_z_F*U42+(1-x_AGRI)*x_EMP*x_WLOSS*(x_PEN_K74*Q42+x_PEN_C22*R42)</f>
        <v>22013814.3900177</v>
      </c>
      <c r="AI42" s="0" t="n">
        <f aca="false">x_AGRI*x_EMP*x_WLOSS*(x_PEN_K74*Q42+x_PEN_C22*R42)</f>
        <v>1205249.07390379</v>
      </c>
      <c r="AJ42" s="0" t="n">
        <f aca="false">x_EMP*x_WAGE*(x_WLOSS*(Q42+R42)+S42)+U42*x_ABS_D*x_WAGE/365</f>
        <v>333247241.376539</v>
      </c>
      <c r="AK42" s="0" t="n">
        <f aca="false">AJ42*x_R_FUS</f>
        <v>105439427.171537</v>
      </c>
      <c r="AL42" s="0" t="n">
        <f aca="false">AJ42*x_R_NFZ</f>
        <v>25880314.0125434</v>
      </c>
      <c r="AM42" s="0" t="n">
        <f aca="false">AJ42*x_R_PIT</f>
        <v>22155667.5290674</v>
      </c>
      <c r="AN42" s="0" t="n">
        <f aca="false">AJ42*x_R_FP</f>
        <v>8497804.65510173</v>
      </c>
      <c r="AO42" s="0" t="n">
        <f aca="false">AA42+AB42+AC42+AD42+AF42</f>
        <v>439757029.912915</v>
      </c>
      <c r="AP42" s="0" t="n">
        <f aca="false">AO42+AE42+AG42+AH42+AI42+AK42+AL42+AM42+AN42</f>
        <v>624949306.745086</v>
      </c>
      <c r="AQ42" s="0" t="n">
        <f aca="false">AO42+AE42+AG42+AJ42</f>
        <v>773004271.289454</v>
      </c>
      <c r="AR42" s="0" t="n">
        <f aca="false">AB42+AC42+AD42+AF42</f>
        <v>137833427.610024</v>
      </c>
      <c r="AS42" s="0" t="n">
        <f aca="false">AR42+AE42+AG42</f>
        <v>137833427.610024</v>
      </c>
    </row>
    <row r="43" customFormat="false" ht="15" hidden="false" customHeight="false" outlineLevel="0" collapsed="false">
      <c r="A43" s="0" t="n">
        <v>2066</v>
      </c>
      <c r="B43" s="0" t="n">
        <v>40</v>
      </c>
      <c r="C43" s="0" t="n">
        <v>4832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2265.635</v>
      </c>
      <c r="I43" s="0" t="n">
        <v>214.323</v>
      </c>
      <c r="J43" s="0" t="n">
        <v>1136.266</v>
      </c>
      <c r="K43" s="0" t="n">
        <v>1939.438</v>
      </c>
      <c r="L43" s="0" t="n">
        <v>782.906</v>
      </c>
      <c r="M43" s="0" t="n">
        <v>125912.742</v>
      </c>
      <c r="N43" s="0" t="n">
        <v>8211.073</v>
      </c>
      <c r="O43" s="0" t="n">
        <v>64.126</v>
      </c>
      <c r="P43" s="0" t="n">
        <v>64.589</v>
      </c>
      <c r="Q43" s="0" t="n">
        <v>672.501</v>
      </c>
      <c r="R43" s="0" t="n">
        <v>990.095</v>
      </c>
      <c r="S43" s="0" t="n">
        <v>2744.935</v>
      </c>
      <c r="T43" s="0" t="n">
        <v>2479.958</v>
      </c>
      <c r="U43" s="0" t="n">
        <v>1837.441</v>
      </c>
      <c r="V43" s="0" t="n">
        <v>167493.446</v>
      </c>
      <c r="W43" s="0" t="n">
        <v>207.467</v>
      </c>
      <c r="X43" s="0" t="n">
        <v>560.606</v>
      </c>
      <c r="Y43" s="0" t="n">
        <v>64.126</v>
      </c>
      <c r="Z43" s="0" t="n">
        <v>682.107</v>
      </c>
      <c r="AA43" s="0" t="n">
        <f aca="false">H43*x_c_F+I43*x_c_CC+J43*x_c_DC+K43*x_c_HCC+L43*x_c_PLT+M43*x_c_SVRn+N43*x_c_SVRcc+O43*x_c_LT+P43*x_c_LT1</f>
        <v>299902230.072335</v>
      </c>
      <c r="AB43" s="0" t="n">
        <f aca="false">C43*x_c_DAA</f>
        <v>109976320</v>
      </c>
      <c r="AC43" s="0" t="n">
        <f aca="false">C43*x_c_MON</f>
        <v>27857107.6100244</v>
      </c>
      <c r="AD43" s="0" t="n">
        <f aca="false">D43*(1-x_testy)</f>
        <v>0</v>
      </c>
      <c r="AE43" s="0" t="n">
        <f aca="false">E43*(1-x_testy)</f>
        <v>0</v>
      </c>
      <c r="AF43" s="0" t="n">
        <f aca="false">F43*x_NAV</f>
        <v>0</v>
      </c>
      <c r="AG43" s="0" t="n">
        <f aca="false">G43*x_FIX*(1-x_testy)</f>
        <v>0</v>
      </c>
      <c r="AH43" s="0" t="n">
        <f aca="false">x_z_F*U43+(1-x_AGRI)*x_EMP*x_WLOSS*(x_PEN_K74*Q43+x_PEN_C22*R43)</f>
        <v>21843902.9635688</v>
      </c>
      <c r="AI43" s="0" t="n">
        <f aca="false">x_AGRI*x_EMP*x_WLOSS*(x_PEN_K74*Q43+x_PEN_C22*R43)</f>
        <v>1194147.48747089</v>
      </c>
      <c r="AJ43" s="0" t="n">
        <f aca="false">x_EMP*x_WAGE*(x_WLOSS*(Q43+R43)+S43)+U43*x_ABS_D*x_WAGE/365</f>
        <v>330352652.916564</v>
      </c>
      <c r="AK43" s="0" t="n">
        <f aca="false">AJ43*x_R_FUS</f>
        <v>104523579.382801</v>
      </c>
      <c r="AL43" s="0" t="n">
        <f aca="false">AJ43*x_R_NFZ</f>
        <v>25655517.3781533</v>
      </c>
      <c r="AM43" s="0" t="n">
        <f aca="false">AJ43*x_R_PIT</f>
        <v>21963223.2066845</v>
      </c>
      <c r="AN43" s="0" t="n">
        <f aca="false">AJ43*x_R_FP</f>
        <v>8423992.64937237</v>
      </c>
      <c r="AO43" s="0" t="n">
        <f aca="false">AA43+AB43+AC43+AD43+AF43</f>
        <v>437735657.68236</v>
      </c>
      <c r="AP43" s="0" t="n">
        <f aca="false">AO43+AE43+AG43+AH43+AI43+AK43+AL43+AM43+AN43</f>
        <v>621340020.75041</v>
      </c>
      <c r="AQ43" s="0" t="n">
        <f aca="false">AO43+AE43+AG43+AJ43</f>
        <v>768088310.598923</v>
      </c>
      <c r="AR43" s="0" t="n">
        <f aca="false">AB43+AC43+AD43+AF43</f>
        <v>137833427.610024</v>
      </c>
      <c r="AS43" s="0" t="n">
        <f aca="false">AR43+AE43+AG43</f>
        <v>137833427.610024</v>
      </c>
    </row>
    <row r="44" customFormat="false" ht="15" hidden="false" customHeight="false" outlineLevel="0" collapsed="false">
      <c r="A44" s="0" t="n">
        <v>2067</v>
      </c>
      <c r="B44" s="0" t="n">
        <v>41</v>
      </c>
      <c r="C44" s="0" t="n">
        <v>4832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2266.472</v>
      </c>
      <c r="I44" s="0" t="n">
        <v>213.039</v>
      </c>
      <c r="J44" s="0" t="n">
        <v>1121.226</v>
      </c>
      <c r="K44" s="0" t="n">
        <v>1918.152</v>
      </c>
      <c r="L44" s="0" t="n">
        <v>759.778</v>
      </c>
      <c r="M44" s="0" t="n">
        <v>127970.061</v>
      </c>
      <c r="N44" s="0" t="n">
        <v>8126.499</v>
      </c>
      <c r="O44" s="0" t="n">
        <v>63.338</v>
      </c>
      <c r="P44" s="0" t="n">
        <v>63.732</v>
      </c>
      <c r="Q44" s="0" t="n">
        <v>666.39</v>
      </c>
      <c r="R44" s="0" t="n">
        <v>981.341</v>
      </c>
      <c r="S44" s="0" t="n">
        <v>2721.654</v>
      </c>
      <c r="T44" s="0" t="n">
        <v>2479.512</v>
      </c>
      <c r="U44" s="0" t="n">
        <v>1836.38</v>
      </c>
      <c r="V44" s="0" t="n">
        <v>168769.196</v>
      </c>
      <c r="W44" s="0" t="n">
        <v>205.529</v>
      </c>
      <c r="X44" s="0" t="n">
        <v>555.519</v>
      </c>
      <c r="Y44" s="0" t="n">
        <v>63.338</v>
      </c>
      <c r="Z44" s="0" t="n">
        <v>673.892</v>
      </c>
      <c r="AA44" s="0" t="n">
        <f aca="false">H44*x_c_F+I44*x_c_CC+J44*x_c_DC+K44*x_c_HCC+L44*x_c_PLT+M44*x_c_SVRn+N44*x_c_SVRcc+O44*x_c_LT+P44*x_c_LT1</f>
        <v>298270255.404956</v>
      </c>
      <c r="AB44" s="0" t="n">
        <f aca="false">C44*x_c_DAA</f>
        <v>109976320</v>
      </c>
      <c r="AC44" s="0" t="n">
        <f aca="false">C44*x_c_MON</f>
        <v>27857107.6100244</v>
      </c>
      <c r="AD44" s="0" t="n">
        <f aca="false">D44*(1-x_testy)</f>
        <v>0</v>
      </c>
      <c r="AE44" s="0" t="n">
        <f aca="false">E44*(1-x_testy)</f>
        <v>0</v>
      </c>
      <c r="AF44" s="0" t="n">
        <f aca="false">F44*x_NAV</f>
        <v>0</v>
      </c>
      <c r="AG44" s="0" t="n">
        <f aca="false">G44*x_FIX*(1-x_testy)</f>
        <v>0</v>
      </c>
      <c r="AH44" s="0" t="n">
        <f aca="false">x_z_F*U44+(1-x_AGRI)*x_EMP*x_WLOSS*(x_PEN_K74*Q44+x_PEN_C22*R44)</f>
        <v>21680328.6201271</v>
      </c>
      <c r="AI44" s="0" t="n">
        <f aca="false">x_AGRI*x_EMP*x_WLOSS*(x_PEN_K74*Q44+x_PEN_C22*R44)</f>
        <v>1183479.71812706</v>
      </c>
      <c r="AJ44" s="0" t="n">
        <f aca="false">x_EMP*x_WAGE*(x_WLOSS*(Q44+R44)+S44)+U44*x_ABS_D*x_WAGE/365</f>
        <v>327551678.299154</v>
      </c>
      <c r="AK44" s="0" t="n">
        <f aca="false">AJ44*x_R_FUS</f>
        <v>103637351.013852</v>
      </c>
      <c r="AL44" s="0" t="n">
        <f aca="false">AJ44*x_R_NFZ</f>
        <v>25437990.8883906</v>
      </c>
      <c r="AM44" s="0" t="n">
        <f aca="false">AJ44*x_R_PIT</f>
        <v>21777002.723285</v>
      </c>
      <c r="AN44" s="0" t="n">
        <f aca="false">AJ44*x_R_FP</f>
        <v>8352567.79662843</v>
      </c>
      <c r="AO44" s="0" t="n">
        <f aca="false">AA44+AB44+AC44+AD44+AF44</f>
        <v>436103683.014981</v>
      </c>
      <c r="AP44" s="0" t="n">
        <f aca="false">AO44+AE44+AG44+AH44+AI44+AK44+AL44+AM44+AN44</f>
        <v>618172403.775391</v>
      </c>
      <c r="AQ44" s="0" t="n">
        <f aca="false">AO44+AE44+AG44+AJ44</f>
        <v>763655361.314135</v>
      </c>
      <c r="AR44" s="0" t="n">
        <f aca="false">AB44+AC44+AD44+AF44</f>
        <v>137833427.610024</v>
      </c>
      <c r="AS44" s="0" t="n">
        <f aca="false">AR44+AE44+AG44</f>
        <v>137833427.610024</v>
      </c>
    </row>
    <row r="45" customFormat="false" ht="15" hidden="false" customHeight="false" outlineLevel="0" collapsed="false">
      <c r="A45" s="0" t="n">
        <v>2068</v>
      </c>
      <c r="B45" s="0" t="n">
        <v>42</v>
      </c>
      <c r="C45" s="0" t="n">
        <v>4832</v>
      </c>
      <c r="D45" s="0" t="n">
        <v>0</v>
      </c>
      <c r="E45" s="0" t="n">
        <v>0</v>
      </c>
      <c r="F45" s="0" t="n">
        <v>0</v>
      </c>
      <c r="G45" s="0" t="n">
        <v>0</v>
      </c>
      <c r="H45" s="0" t="n">
        <v>2267.107</v>
      </c>
      <c r="I45" s="0" t="n">
        <v>211.985</v>
      </c>
      <c r="J45" s="0" t="n">
        <v>1108.559</v>
      </c>
      <c r="K45" s="0" t="n">
        <v>1900.058</v>
      </c>
      <c r="L45" s="0" t="n">
        <v>739.061</v>
      </c>
      <c r="M45" s="0" t="n">
        <v>130027.212</v>
      </c>
      <c r="N45" s="0" t="n">
        <v>8054.135</v>
      </c>
      <c r="O45" s="0" t="n">
        <v>62.683</v>
      </c>
      <c r="P45" s="0" t="n">
        <v>63.011</v>
      </c>
      <c r="Q45" s="0" t="n">
        <v>660.525</v>
      </c>
      <c r="R45" s="0" t="n">
        <v>972.963</v>
      </c>
      <c r="S45" s="0" t="n">
        <v>2699.178</v>
      </c>
      <c r="T45" s="0" t="n">
        <v>2479.092</v>
      </c>
      <c r="U45" s="0" t="n">
        <v>1835.26</v>
      </c>
      <c r="V45" s="0" t="n">
        <v>170070.194</v>
      </c>
      <c r="W45" s="0" t="n">
        <v>203.882</v>
      </c>
      <c r="X45" s="0" t="n">
        <v>551.169</v>
      </c>
      <c r="Y45" s="0" t="n">
        <v>62.683</v>
      </c>
      <c r="Z45" s="0" t="n">
        <v>666.976</v>
      </c>
      <c r="AA45" s="0" t="n">
        <f aca="false">H45*x_c_F+I45*x_c_CC+J45*x_c_DC+K45*x_c_HCC+L45*x_c_PLT+M45*x_c_SVRn+N45*x_c_SVRcc+O45*x_c_LT+P45*x_c_LT1</f>
        <v>297044538.354813</v>
      </c>
      <c r="AB45" s="0" t="n">
        <f aca="false">C45*x_c_DAA</f>
        <v>109976320</v>
      </c>
      <c r="AC45" s="0" t="n">
        <f aca="false">C45*x_c_MON</f>
        <v>27857107.6100244</v>
      </c>
      <c r="AD45" s="0" t="n">
        <f aca="false">D45*(1-x_testy)</f>
        <v>0</v>
      </c>
      <c r="AE45" s="0" t="n">
        <f aca="false">E45*(1-x_testy)</f>
        <v>0</v>
      </c>
      <c r="AF45" s="0" t="n">
        <f aca="false">F45*x_NAV</f>
        <v>0</v>
      </c>
      <c r="AG45" s="0" t="n">
        <f aca="false">G45*x_FIX*(1-x_testy)</f>
        <v>0</v>
      </c>
      <c r="AH45" s="0" t="n">
        <f aca="false">x_z_F*U45+(1-x_AGRI)*x_EMP*x_WLOSS*(x_PEN_K74*Q45+x_PEN_C22*R45)</f>
        <v>21523399.4964817</v>
      </c>
      <c r="AI45" s="0" t="n">
        <f aca="false">x_AGRI*x_EMP*x_WLOSS*(x_PEN_K74*Q45+x_PEN_C22*R45)</f>
        <v>1173259.20265719</v>
      </c>
      <c r="AJ45" s="0" t="n">
        <f aca="false">x_EMP*x_WAGE*(x_WLOSS*(Q45+R45)+S45)+U45*x_ABS_D*x_WAGE/365</f>
        <v>324853179.811173</v>
      </c>
      <c r="AK45" s="0" t="n">
        <f aca="false">AJ45*x_R_FUS</f>
        <v>102783546.092255</v>
      </c>
      <c r="AL45" s="0" t="n">
        <f aca="false">AJ45*x_R_NFZ</f>
        <v>25228422.7973155</v>
      </c>
      <c r="AM45" s="0" t="n">
        <f aca="false">AJ45*x_R_PIT</f>
        <v>21597595.2806894</v>
      </c>
      <c r="AN45" s="0" t="n">
        <f aca="false">AJ45*x_R_FP</f>
        <v>8283756.0851849</v>
      </c>
      <c r="AO45" s="0" t="n">
        <f aca="false">AA45+AB45+AC45+AD45+AF45</f>
        <v>434877965.964837</v>
      </c>
      <c r="AP45" s="0" t="n">
        <f aca="false">AO45+AE45+AG45+AH45+AI45+AK45+AL45+AM45+AN45</f>
        <v>615467944.919421</v>
      </c>
      <c r="AQ45" s="0" t="n">
        <f aca="false">AO45+AE45+AG45+AJ45</f>
        <v>759731145.77601</v>
      </c>
      <c r="AR45" s="0" t="n">
        <f aca="false">AB45+AC45+AD45+AF45</f>
        <v>137833427.610024</v>
      </c>
      <c r="AS45" s="0" t="n">
        <f aca="false">AR45+AE45+AG45</f>
        <v>137833427.610024</v>
      </c>
    </row>
    <row r="46" customFormat="false" ht="15" hidden="false" customHeight="false" outlineLevel="0" collapsed="false">
      <c r="A46" s="0" t="n">
        <v>2069</v>
      </c>
      <c r="B46" s="0" t="n">
        <v>43</v>
      </c>
      <c r="C46" s="0" t="n">
        <v>4832</v>
      </c>
      <c r="D46" s="0" t="n">
        <v>0</v>
      </c>
      <c r="E46" s="0" t="n">
        <v>0</v>
      </c>
      <c r="F46" s="0" t="n">
        <v>0</v>
      </c>
      <c r="G46" s="0" t="n">
        <v>0</v>
      </c>
      <c r="H46" s="0" t="n">
        <v>2267.589</v>
      </c>
      <c r="I46" s="0" t="n">
        <v>211.105</v>
      </c>
      <c r="J46" s="0" t="n">
        <v>1098.086</v>
      </c>
      <c r="K46" s="0" t="n">
        <v>1884.884</v>
      </c>
      <c r="L46" s="0" t="n">
        <v>720.98</v>
      </c>
      <c r="M46" s="0" t="n">
        <v>132090.936</v>
      </c>
      <c r="N46" s="0" t="n">
        <v>7995.98</v>
      </c>
      <c r="O46" s="0" t="n">
        <v>62.148</v>
      </c>
      <c r="P46" s="0" t="n">
        <v>62.415</v>
      </c>
      <c r="Q46" s="0" t="n">
        <v>654.914</v>
      </c>
      <c r="R46" s="0" t="n">
        <v>964.963</v>
      </c>
      <c r="S46" s="0" t="n">
        <v>2677.58</v>
      </c>
      <c r="T46" s="0" t="n">
        <v>2478.694</v>
      </c>
      <c r="U46" s="0" t="n">
        <v>1834.143</v>
      </c>
      <c r="V46" s="0" t="n">
        <v>171400.406</v>
      </c>
      <c r="W46" s="0" t="n">
        <v>202.477</v>
      </c>
      <c r="X46" s="0" t="n">
        <v>547.451</v>
      </c>
      <c r="Y46" s="0" t="n">
        <v>62.148</v>
      </c>
      <c r="Z46" s="0" t="n">
        <v>661.242</v>
      </c>
      <c r="AA46" s="0" t="n">
        <f aca="false">H46*x_c_F+I46*x_c_CC+J46*x_c_DC+K46*x_c_HCC+L46*x_c_PLT+M46*x_c_SVRn+N46*x_c_SVRcc+O46*x_c_LT+P46*x_c_LT1</f>
        <v>296216359.317961</v>
      </c>
      <c r="AB46" s="0" t="n">
        <f aca="false">C46*x_c_DAA</f>
        <v>109976320</v>
      </c>
      <c r="AC46" s="0" t="n">
        <f aca="false">C46*x_c_MON</f>
        <v>27857107.6100244</v>
      </c>
      <c r="AD46" s="0" t="n">
        <f aca="false">D46*(1-x_testy)</f>
        <v>0</v>
      </c>
      <c r="AE46" s="0" t="n">
        <f aca="false">E46*(1-x_testy)</f>
        <v>0</v>
      </c>
      <c r="AF46" s="0" t="n">
        <f aca="false">F46*x_NAV</f>
        <v>0</v>
      </c>
      <c r="AG46" s="0" t="n">
        <f aca="false">G46*x_FIX*(1-x_testy)</f>
        <v>0</v>
      </c>
      <c r="AH46" s="0" t="n">
        <f aca="false">x_z_F*U46+(1-x_AGRI)*x_EMP*x_WLOSS*(x_PEN_K74*Q46+x_PEN_C22*R46)</f>
        <v>21373346.2978452</v>
      </c>
      <c r="AI46" s="0" t="n">
        <f aca="false">x_AGRI*x_EMP*x_WLOSS*(x_PEN_K74*Q46+x_PEN_C22*R46)</f>
        <v>1163492.76496123</v>
      </c>
      <c r="AJ46" s="0" t="n">
        <f aca="false">x_EMP*x_WAGE*(x_WLOSS*(Q46+R46)+S46)+U46*x_ABS_D*x_WAGE/365</f>
        <v>322264110.447796</v>
      </c>
      <c r="AK46" s="0" t="n">
        <f aca="false">AJ46*x_R_FUS</f>
        <v>101964364.545683</v>
      </c>
      <c r="AL46" s="0" t="n">
        <f aca="false">AJ46*x_R_NFZ</f>
        <v>25027353.0814863</v>
      </c>
      <c r="AM46" s="0" t="n">
        <f aca="false">AJ46*x_R_PIT</f>
        <v>21425463.1430377</v>
      </c>
      <c r="AN46" s="0" t="n">
        <f aca="false">AJ46*x_R_FP</f>
        <v>8217734.81641879</v>
      </c>
      <c r="AO46" s="0" t="n">
        <f aca="false">AA46+AB46+AC46+AD46+AF46</f>
        <v>434049786.927986</v>
      </c>
      <c r="AP46" s="0" t="n">
        <f aca="false">AO46+AE46+AG46+AH46+AI46+AK46+AL46+AM46+AN46</f>
        <v>613221541.577417</v>
      </c>
      <c r="AQ46" s="0" t="n">
        <f aca="false">AO46+AE46+AG46+AJ46</f>
        <v>756313897.375781</v>
      </c>
      <c r="AR46" s="0" t="n">
        <f aca="false">AB46+AC46+AD46+AF46</f>
        <v>137833427.610024</v>
      </c>
      <c r="AS46" s="0" t="n">
        <f aca="false">AR46+AE46+AG46</f>
        <v>137833427.610024</v>
      </c>
    </row>
    <row r="47" customFormat="false" ht="15" hidden="false" customHeight="false" outlineLevel="0" collapsed="false">
      <c r="A47" s="0" t="n">
        <v>2070</v>
      </c>
      <c r="B47" s="0" t="n">
        <v>44</v>
      </c>
      <c r="C47" s="0" t="n">
        <v>4832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2267.972</v>
      </c>
      <c r="I47" s="0" t="n">
        <v>210.34</v>
      </c>
      <c r="J47" s="0" t="n">
        <v>1089.528</v>
      </c>
      <c r="K47" s="0" t="n">
        <v>1872.222</v>
      </c>
      <c r="L47" s="0" t="n">
        <v>705.598</v>
      </c>
      <c r="M47" s="0" t="n">
        <v>134163.497</v>
      </c>
      <c r="N47" s="0" t="n">
        <v>7952.774</v>
      </c>
      <c r="O47" s="0" t="n">
        <v>61.714</v>
      </c>
      <c r="P47" s="0" t="n">
        <v>61.931</v>
      </c>
      <c r="Q47" s="0" t="n">
        <v>649.564</v>
      </c>
      <c r="R47" s="0" t="n">
        <v>957.341</v>
      </c>
      <c r="S47" s="0" t="n">
        <v>2656.927</v>
      </c>
      <c r="T47" s="0" t="n">
        <v>2478.312</v>
      </c>
      <c r="U47" s="0" t="n">
        <v>1833.091</v>
      </c>
      <c r="V47" s="0" t="n">
        <v>172759.205</v>
      </c>
      <c r="W47" s="0" t="n">
        <v>201.258</v>
      </c>
      <c r="X47" s="0" t="n">
        <v>544.236</v>
      </c>
      <c r="Y47" s="0" t="n">
        <v>61.714</v>
      </c>
      <c r="Z47" s="0" t="n">
        <v>656.53</v>
      </c>
      <c r="AA47" s="0" t="n">
        <f aca="false">H47*x_c_F+I47*x_c_CC+J47*x_c_DC+K47*x_c_HCC+L47*x_c_PLT+M47*x_c_SVRn+N47*x_c_SVRcc+O47*x_c_LT+P47*x_c_LT1</f>
        <v>295753147.685189</v>
      </c>
      <c r="AB47" s="0" t="n">
        <f aca="false">C47*x_c_DAA</f>
        <v>109976320</v>
      </c>
      <c r="AC47" s="0" t="n">
        <f aca="false">C47*x_c_MON</f>
        <v>27857107.6100244</v>
      </c>
      <c r="AD47" s="0" t="n">
        <f aca="false">D47*(1-x_testy)</f>
        <v>0</v>
      </c>
      <c r="AE47" s="0" t="n">
        <f aca="false">E47*(1-x_testy)</f>
        <v>0</v>
      </c>
      <c r="AF47" s="0" t="n">
        <f aca="false">F47*x_NAV</f>
        <v>0</v>
      </c>
      <c r="AG47" s="0" t="n">
        <f aca="false">G47*x_FIX*(1-x_testy)</f>
        <v>0</v>
      </c>
      <c r="AH47" s="0" t="n">
        <f aca="false">x_z_F*U47+(1-x_AGRI)*x_EMP*x_WLOSS*(x_PEN_K74*Q47+x_PEN_C22*R47)</f>
        <v>21230366.8377244</v>
      </c>
      <c r="AI47" s="0" t="n">
        <f aca="false">x_AGRI*x_EMP*x_WLOSS*(x_PEN_K74*Q47+x_PEN_C22*R47)</f>
        <v>1154185.05486049</v>
      </c>
      <c r="AJ47" s="0" t="n">
        <f aca="false">x_EMP*x_WAGE*(x_WLOSS*(Q47+R47)+S47)+U47*x_ABS_D*x_WAGE/365</f>
        <v>319790747.583021</v>
      </c>
      <c r="AK47" s="0" t="n">
        <f aca="false">AJ47*x_R_FUS</f>
        <v>101181792.535268</v>
      </c>
      <c r="AL47" s="0" t="n">
        <f aca="false">AJ47*x_R_NFZ</f>
        <v>24835269.248045</v>
      </c>
      <c r="AM47" s="0" t="n">
        <f aca="false">AJ47*x_R_PIT</f>
        <v>21261023.6563541</v>
      </c>
      <c r="AN47" s="0" t="n">
        <f aca="false">AJ47*x_R_FP</f>
        <v>8154664.06336704</v>
      </c>
      <c r="AO47" s="0" t="n">
        <f aca="false">AA47+AB47+AC47+AD47+AF47</f>
        <v>433586575.295213</v>
      </c>
      <c r="AP47" s="0" t="n">
        <f aca="false">AO47+AE47+AG47+AH47+AI47+AK47+AL47+AM47+AN47</f>
        <v>611403876.690832</v>
      </c>
      <c r="AQ47" s="0" t="n">
        <f aca="false">AO47+AE47+AG47+AJ47</f>
        <v>753377322.878235</v>
      </c>
      <c r="AR47" s="0" t="n">
        <f aca="false">AB47+AC47+AD47+AF47</f>
        <v>137833427.610024</v>
      </c>
      <c r="AS47" s="0" t="n">
        <f aca="false">AR47+AE47+AG47</f>
        <v>137833427.610024</v>
      </c>
    </row>
    <row r="48" customFormat="false" ht="15" hidden="false" customHeight="false" outlineLevel="0" collapsed="false">
      <c r="A48" s="0" t="n">
        <v>2071</v>
      </c>
      <c r="B48" s="0" t="n">
        <v>45</v>
      </c>
      <c r="C48" s="0" t="n">
        <v>4832</v>
      </c>
      <c r="D48" s="0" t="n">
        <v>0</v>
      </c>
      <c r="E48" s="0" t="n">
        <v>0</v>
      </c>
      <c r="F48" s="0" t="n">
        <v>0</v>
      </c>
      <c r="G48" s="0" t="n">
        <v>0</v>
      </c>
      <c r="H48" s="0" t="n">
        <v>2268.307</v>
      </c>
      <c r="I48" s="0" t="n">
        <v>209.634</v>
      </c>
      <c r="J48" s="0" t="n">
        <v>1082.536</v>
      </c>
      <c r="K48" s="0" t="n">
        <v>1861.576</v>
      </c>
      <c r="L48" s="0" t="n">
        <v>692.83</v>
      </c>
      <c r="M48" s="0" t="n">
        <v>136242.669</v>
      </c>
      <c r="N48" s="0" t="n">
        <v>7924.084</v>
      </c>
      <c r="O48" s="0" t="n">
        <v>61.362</v>
      </c>
      <c r="P48" s="0" t="n">
        <v>61.538</v>
      </c>
      <c r="Q48" s="0" t="n">
        <v>644.475</v>
      </c>
      <c r="R48" s="0" t="n">
        <v>950.094</v>
      </c>
      <c r="S48" s="0" t="n">
        <v>2637.258</v>
      </c>
      <c r="T48" s="0" t="n">
        <v>2477.941</v>
      </c>
      <c r="U48" s="0" t="n">
        <v>1832.162</v>
      </c>
      <c r="V48" s="0" t="n">
        <v>174141.746</v>
      </c>
      <c r="W48" s="0" t="n">
        <v>200.166</v>
      </c>
      <c r="X48" s="0" t="n">
        <v>541.385</v>
      </c>
      <c r="Y48" s="0" t="n">
        <v>61.362</v>
      </c>
      <c r="Z48" s="0" t="n">
        <v>652.636</v>
      </c>
      <c r="AA48" s="0" t="n">
        <f aca="false">H48*x_c_F+I48*x_c_CC+J48*x_c_DC+K48*x_c_HCC+L48*x_c_PLT+M48*x_c_SVRn+N48*x_c_SVRcc+O48*x_c_LT+P48*x_c_LT1</f>
        <v>295604495.037911</v>
      </c>
      <c r="AB48" s="0" t="n">
        <f aca="false">C48*x_c_DAA</f>
        <v>109976320</v>
      </c>
      <c r="AC48" s="0" t="n">
        <f aca="false">C48*x_c_MON</f>
        <v>27857107.6100244</v>
      </c>
      <c r="AD48" s="0" t="n">
        <f aca="false">D48*(1-x_testy)</f>
        <v>0</v>
      </c>
      <c r="AE48" s="0" t="n">
        <f aca="false">E48*(1-x_testy)</f>
        <v>0</v>
      </c>
      <c r="AF48" s="0" t="n">
        <f aca="false">F48*x_NAV</f>
        <v>0</v>
      </c>
      <c r="AG48" s="0" t="n">
        <f aca="false">G48*x_FIX*(1-x_testy)</f>
        <v>0</v>
      </c>
      <c r="AH48" s="0" t="n">
        <f aca="false">x_z_F*U48+(1-x_AGRI)*x_EMP*x_WLOSS*(x_PEN_K74*Q48+x_PEN_C22*R48)</f>
        <v>21094546.095565</v>
      </c>
      <c r="AI48" s="0" t="n">
        <f aca="false">x_AGRI*x_EMP*x_WLOSS*(x_PEN_K74*Q48+x_PEN_C22*R48)</f>
        <v>1145333.8076273</v>
      </c>
      <c r="AJ48" s="0" t="n">
        <f aca="false">x_EMP*x_WAGE*(x_WLOSS*(Q48+R48)+S48)+U48*x_ABS_D*x_WAGE/365</f>
        <v>317436422.686738</v>
      </c>
      <c r="AK48" s="0" t="n">
        <f aca="false">AJ48*x_R_FUS</f>
        <v>100436884.138084</v>
      </c>
      <c r="AL48" s="0" t="n">
        <f aca="false">AJ48*x_R_NFZ</f>
        <v>24652430.0222747</v>
      </c>
      <c r="AM48" s="0" t="n">
        <f aca="false">AJ48*x_R_PIT</f>
        <v>21104498.3106618</v>
      </c>
      <c r="AN48" s="0" t="n">
        <f aca="false">AJ48*x_R_FP</f>
        <v>8094628.77851181</v>
      </c>
      <c r="AO48" s="0" t="n">
        <f aca="false">AA48+AB48+AC48+AD48+AF48</f>
        <v>433437922.647935</v>
      </c>
      <c r="AP48" s="0" t="n">
        <f aca="false">AO48+AE48+AG48+AH48+AI48+AK48+AL48+AM48+AN48</f>
        <v>609966243.800659</v>
      </c>
      <c r="AQ48" s="0" t="n">
        <f aca="false">AO48+AE48+AG48+AJ48</f>
        <v>750874345.334673</v>
      </c>
      <c r="AR48" s="0" t="n">
        <f aca="false">AB48+AC48+AD48+AF48</f>
        <v>137833427.610024</v>
      </c>
      <c r="AS48" s="0" t="n">
        <f aca="false">AR48+AE48+AG48</f>
        <v>137833427.610024</v>
      </c>
    </row>
    <row r="49" customFormat="false" ht="15" hidden="false" customHeight="false" outlineLevel="0" collapsed="false">
      <c r="A49" s="0" t="n">
        <v>2072</v>
      </c>
      <c r="B49" s="0" t="n">
        <v>46</v>
      </c>
      <c r="C49" s="0" t="n">
        <v>4832</v>
      </c>
      <c r="D49" s="0" t="n">
        <v>0</v>
      </c>
      <c r="E49" s="0" t="n">
        <v>0</v>
      </c>
      <c r="F49" s="0" t="n">
        <v>0</v>
      </c>
      <c r="G49" s="0" t="n">
        <v>0</v>
      </c>
      <c r="H49" s="0" t="n">
        <v>2268.639</v>
      </c>
      <c r="I49" s="0" t="n">
        <v>208.938</v>
      </c>
      <c r="J49" s="0" t="n">
        <v>1076.733</v>
      </c>
      <c r="K49" s="0" t="n">
        <v>1852.422</v>
      </c>
      <c r="L49" s="0" t="n">
        <v>682.478</v>
      </c>
      <c r="M49" s="0" t="n">
        <v>138322.772</v>
      </c>
      <c r="N49" s="0" t="n">
        <v>7908.603</v>
      </c>
      <c r="O49" s="0" t="n">
        <v>61.069</v>
      </c>
      <c r="P49" s="0" t="n">
        <v>61.215</v>
      </c>
      <c r="Q49" s="0" t="n">
        <v>639.641</v>
      </c>
      <c r="R49" s="0" t="n">
        <v>943.211</v>
      </c>
      <c r="S49" s="0" t="n">
        <v>2618.565</v>
      </c>
      <c r="T49" s="0" t="n">
        <v>2477.577</v>
      </c>
      <c r="U49" s="0" t="n">
        <v>1831.401</v>
      </c>
      <c r="V49" s="0" t="n">
        <v>175540.213</v>
      </c>
      <c r="W49" s="0" t="n">
        <v>199.151</v>
      </c>
      <c r="X49" s="0" t="n">
        <v>538.773</v>
      </c>
      <c r="Y49" s="0" t="n">
        <v>61.069</v>
      </c>
      <c r="Z49" s="0" t="n">
        <v>649.36</v>
      </c>
      <c r="AA49" s="0" t="n">
        <f aca="false">H49*x_c_F+I49*x_c_CC+J49*x_c_DC+K49*x_c_HCC+L49*x_c_PLT+M49*x_c_SVRn+N49*x_c_SVRcc+O49*x_c_LT+P49*x_c_LT1</f>
        <v>295708274.396096</v>
      </c>
      <c r="AB49" s="0" t="n">
        <f aca="false">C49*x_c_DAA</f>
        <v>109976320</v>
      </c>
      <c r="AC49" s="0" t="n">
        <f aca="false">C49*x_c_MON</f>
        <v>27857107.6100244</v>
      </c>
      <c r="AD49" s="0" t="n">
        <f aca="false">D49*(1-x_testy)</f>
        <v>0</v>
      </c>
      <c r="AE49" s="0" t="n">
        <f aca="false">E49*(1-x_testy)</f>
        <v>0</v>
      </c>
      <c r="AF49" s="0" t="n">
        <f aca="false">F49*x_NAV</f>
        <v>0</v>
      </c>
      <c r="AG49" s="0" t="n">
        <f aca="false">G49*x_FIX*(1-x_testy)</f>
        <v>0</v>
      </c>
      <c r="AH49" s="0" t="n">
        <f aca="false">x_z_F*U49+(1-x_AGRI)*x_EMP*x_WLOSS*(x_PEN_K74*Q49+x_PEN_C22*R49)</f>
        <v>20965790.657976</v>
      </c>
      <c r="AI49" s="0" t="n">
        <f aca="false">x_AGRI*x_EMP*x_WLOSS*(x_PEN_K74*Q49+x_PEN_C22*R49)</f>
        <v>1136926.7336991</v>
      </c>
      <c r="AJ49" s="0" t="n">
        <f aca="false">x_EMP*x_WAGE*(x_WLOSS*(Q49+R49)+S49)+U49*x_ABS_D*x_WAGE/365</f>
        <v>315199656.194524</v>
      </c>
      <c r="AK49" s="0" t="n">
        <f aca="false">AJ49*x_R_FUS</f>
        <v>99729171.2199474</v>
      </c>
      <c r="AL49" s="0" t="n">
        <f aca="false">AJ49*x_R_NFZ</f>
        <v>24478720.4997229</v>
      </c>
      <c r="AM49" s="0" t="n">
        <f aca="false">AJ49*x_R_PIT</f>
        <v>20955788.7383426</v>
      </c>
      <c r="AN49" s="0" t="n">
        <f aca="false">AJ49*x_R_FP</f>
        <v>8037591.23296036</v>
      </c>
      <c r="AO49" s="0" t="n">
        <f aca="false">AA49+AB49+AC49+AD49+AF49</f>
        <v>433541702.00612</v>
      </c>
      <c r="AP49" s="0" t="n">
        <f aca="false">AO49+AE49+AG49+AH49+AI49+AK49+AL49+AM49+AN49</f>
        <v>608845691.088769</v>
      </c>
      <c r="AQ49" s="0" t="n">
        <f aca="false">AO49+AE49+AG49+AJ49</f>
        <v>748741358.200644</v>
      </c>
      <c r="AR49" s="0" t="n">
        <f aca="false">AB49+AC49+AD49+AF49</f>
        <v>137833427.610024</v>
      </c>
      <c r="AS49" s="0" t="n">
        <f aca="false">AR49+AE49+AG49</f>
        <v>137833427.610024</v>
      </c>
    </row>
    <row r="50" customFormat="false" ht="15" hidden="false" customHeight="false" outlineLevel="0" collapsed="false">
      <c r="A50" s="0" t="n">
        <v>2073</v>
      </c>
      <c r="B50" s="0" t="n">
        <v>47</v>
      </c>
      <c r="C50" s="0" t="n">
        <v>4832</v>
      </c>
      <c r="D50" s="0" t="n">
        <v>0</v>
      </c>
      <c r="E50" s="0" t="n">
        <v>0</v>
      </c>
      <c r="F50" s="0" t="n">
        <v>0</v>
      </c>
      <c r="G50" s="0" t="n">
        <v>0</v>
      </c>
      <c r="H50" s="0" t="n">
        <v>2269.003</v>
      </c>
      <c r="I50" s="0" t="n">
        <v>208.214</v>
      </c>
      <c r="J50" s="0" t="n">
        <v>1071.736</v>
      </c>
      <c r="K50" s="0" t="n">
        <v>1844.233</v>
      </c>
      <c r="L50" s="0" t="n">
        <v>674.233</v>
      </c>
      <c r="M50" s="0" t="n">
        <v>140394.107</v>
      </c>
      <c r="N50" s="0" t="n">
        <v>7904.144</v>
      </c>
      <c r="O50" s="0" t="n">
        <v>60.813</v>
      </c>
      <c r="P50" s="0" t="n">
        <v>60.941</v>
      </c>
      <c r="Q50" s="0" t="n">
        <v>635.056</v>
      </c>
      <c r="R50" s="0" t="n">
        <v>936.678</v>
      </c>
      <c r="S50" s="0" t="n">
        <v>2600.832</v>
      </c>
      <c r="T50" s="0" t="n">
        <v>2477.216</v>
      </c>
      <c r="U50" s="0" t="n">
        <v>1830.842</v>
      </c>
      <c r="V50" s="0" t="n">
        <v>176943.466</v>
      </c>
      <c r="W50" s="0" t="n">
        <v>198.162</v>
      </c>
      <c r="X50" s="0" t="n">
        <v>536.272</v>
      </c>
      <c r="Y50" s="0" t="n">
        <v>60.813</v>
      </c>
      <c r="Z50" s="0" t="n">
        <v>646.477</v>
      </c>
      <c r="AA50" s="0" t="n">
        <f aca="false">H50*x_c_F+I50*x_c_CC+J50*x_c_DC+K50*x_c_HCC+L50*x_c_PLT+M50*x_c_SVRn+N50*x_c_SVRcc+O50*x_c_LT+P50*x_c_LT1</f>
        <v>295994034.586886</v>
      </c>
      <c r="AB50" s="0" t="n">
        <f aca="false">C50*x_c_DAA</f>
        <v>109976320</v>
      </c>
      <c r="AC50" s="0" t="n">
        <f aca="false">C50*x_c_MON</f>
        <v>27857107.6100244</v>
      </c>
      <c r="AD50" s="0" t="n">
        <f aca="false">D50*(1-x_testy)</f>
        <v>0</v>
      </c>
      <c r="AE50" s="0" t="n">
        <f aca="false">E50*(1-x_testy)</f>
        <v>0</v>
      </c>
      <c r="AF50" s="0" t="n">
        <f aca="false">F50*x_NAV</f>
        <v>0</v>
      </c>
      <c r="AG50" s="0" t="n">
        <f aca="false">G50*x_FIX*(1-x_testy)</f>
        <v>0</v>
      </c>
      <c r="AH50" s="0" t="n">
        <f aca="false">x_z_F*U50+(1-x_AGRI)*x_EMP*x_WLOSS*(x_PEN_K74*Q50+x_PEN_C22*R50)</f>
        <v>20843950.2334557</v>
      </c>
      <c r="AI50" s="0" t="n">
        <f aca="false">x_AGRI*x_EMP*x_WLOSS*(x_PEN_K74*Q50+x_PEN_C22*R50)</f>
        <v>1128949.27878563</v>
      </c>
      <c r="AJ50" s="0" t="n">
        <f aca="false">x_EMP*x_WAGE*(x_WLOSS*(Q50+R50)+S50)+U50*x_ABS_D*x_WAGE/365</f>
        <v>313078090.088437</v>
      </c>
      <c r="AK50" s="0" t="n">
        <f aca="false">AJ50*x_R_FUS</f>
        <v>99057907.7039815</v>
      </c>
      <c r="AL50" s="0" t="n">
        <f aca="false">AJ50*x_R_NFZ</f>
        <v>24313957.5543581</v>
      </c>
      <c r="AM50" s="0" t="n">
        <f aca="false">AJ50*x_R_PIT</f>
        <v>20814738.1685217</v>
      </c>
      <c r="AN50" s="0" t="n">
        <f aca="false">AJ50*x_R_FP</f>
        <v>7983491.29725514</v>
      </c>
      <c r="AO50" s="0" t="n">
        <f aca="false">AA50+AB50+AC50+AD50+AF50</f>
        <v>433827462.196911</v>
      </c>
      <c r="AP50" s="0" t="n">
        <f aca="false">AO50+AE50+AG50+AH50+AI50+AK50+AL50+AM50+AN50</f>
        <v>607970456.433269</v>
      </c>
      <c r="AQ50" s="0" t="n">
        <f aca="false">AO50+AE50+AG50+AJ50</f>
        <v>746905552.285348</v>
      </c>
      <c r="AR50" s="0" t="n">
        <f aca="false">AB50+AC50+AD50+AF50</f>
        <v>137833427.610024</v>
      </c>
      <c r="AS50" s="0" t="n">
        <f aca="false">AR50+AE50+AG50</f>
        <v>137833427.610024</v>
      </c>
    </row>
    <row r="51" customFormat="false" ht="15" hidden="false" customHeight="false" outlineLevel="0" collapsed="false">
      <c r="A51" s="0" t="n">
        <v>2074</v>
      </c>
      <c r="B51" s="0" t="n">
        <v>48</v>
      </c>
      <c r="C51" s="0" t="n">
        <v>4832</v>
      </c>
      <c r="D51" s="0" t="n">
        <v>0</v>
      </c>
      <c r="E51" s="0" t="n">
        <v>0</v>
      </c>
      <c r="F51" s="0" t="n">
        <v>0</v>
      </c>
      <c r="G51" s="0" t="n">
        <v>0</v>
      </c>
      <c r="H51" s="0" t="n">
        <v>2269.422</v>
      </c>
      <c r="I51" s="0" t="n">
        <v>207.434</v>
      </c>
      <c r="J51" s="0" t="n">
        <v>1067.176</v>
      </c>
      <c r="K51" s="0" t="n">
        <v>1836.514</v>
      </c>
      <c r="L51" s="0" t="n">
        <v>667.701</v>
      </c>
      <c r="M51" s="0" t="n">
        <v>142443.441</v>
      </c>
      <c r="N51" s="0" t="n">
        <v>7907.831</v>
      </c>
      <c r="O51" s="0" t="n">
        <v>60.574</v>
      </c>
      <c r="P51" s="0" t="n">
        <v>60.694</v>
      </c>
      <c r="Q51" s="0" t="n">
        <v>630.708</v>
      </c>
      <c r="R51" s="0" t="n">
        <v>930.481</v>
      </c>
      <c r="S51" s="0" t="n">
        <v>2584.032</v>
      </c>
      <c r="T51" s="0" t="n">
        <v>2476.856</v>
      </c>
      <c r="U51" s="0" t="n">
        <v>1830.503</v>
      </c>
      <c r="V51" s="0" t="n">
        <v>178337.633</v>
      </c>
      <c r="W51" s="0" t="n">
        <v>197.163</v>
      </c>
      <c r="X51" s="0" t="n">
        <v>533.784</v>
      </c>
      <c r="Y51" s="0" t="n">
        <v>60.574</v>
      </c>
      <c r="Z51" s="0" t="n">
        <v>643.793</v>
      </c>
      <c r="AA51" s="0" t="n">
        <f aca="false">H51*x_c_F+I51*x_c_CC+J51*x_c_DC+K51*x_c_HCC+L51*x_c_PLT+M51*x_c_SVRn+N51*x_c_SVRcc+O51*x_c_LT+P51*x_c_LT1</f>
        <v>296387492.839227</v>
      </c>
      <c r="AB51" s="0" t="n">
        <f aca="false">C51*x_c_DAA</f>
        <v>109976320</v>
      </c>
      <c r="AC51" s="0" t="n">
        <f aca="false">C51*x_c_MON</f>
        <v>27857107.6100244</v>
      </c>
      <c r="AD51" s="0" t="n">
        <f aca="false">D51*(1-x_testy)</f>
        <v>0</v>
      </c>
      <c r="AE51" s="0" t="n">
        <f aca="false">E51*(1-x_testy)</f>
        <v>0</v>
      </c>
      <c r="AF51" s="0" t="n">
        <f aca="false">F51*x_NAV</f>
        <v>0</v>
      </c>
      <c r="AG51" s="0" t="n">
        <f aca="false">G51*x_FIX*(1-x_testy)</f>
        <v>0</v>
      </c>
      <c r="AH51" s="0" t="n">
        <f aca="false">x_z_F*U51+(1-x_AGRI)*x_EMP*x_WLOSS*(x_PEN_K74*Q51+x_PEN_C22*R51)</f>
        <v>20728781.3383135</v>
      </c>
      <c r="AI51" s="0" t="n">
        <f aca="false">x_AGRI*x_EMP*x_WLOSS*(x_PEN_K74*Q51+x_PEN_C22*R51)</f>
        <v>1121382.90303552</v>
      </c>
      <c r="AJ51" s="0" t="n">
        <f aca="false">x_EMP*x_WAGE*(x_WLOSS*(Q51+R51)+S51)+U51*x_ABS_D*x_WAGE/365</f>
        <v>311068053.370323</v>
      </c>
      <c r="AK51" s="0" t="n">
        <f aca="false">AJ51*x_R_FUS</f>
        <v>98421932.0863701</v>
      </c>
      <c r="AL51" s="0" t="n">
        <f aca="false">AJ51*x_R_NFZ</f>
        <v>24157856.0927926</v>
      </c>
      <c r="AM51" s="0" t="n">
        <f aca="false">AJ51*x_R_PIT</f>
        <v>20681102.5379196</v>
      </c>
      <c r="AN51" s="0" t="n">
        <f aca="false">AJ51*x_R_FP</f>
        <v>7932235.36094323</v>
      </c>
      <c r="AO51" s="0" t="n">
        <f aca="false">AA51+AB51+AC51+AD51+AF51</f>
        <v>434220920.449251</v>
      </c>
      <c r="AP51" s="0" t="n">
        <f aca="false">AO51+AE51+AG51+AH51+AI51+AK51+AL51+AM51+AN51</f>
        <v>607264210.768626</v>
      </c>
      <c r="AQ51" s="0" t="n">
        <f aca="false">AO51+AE51+AG51+AJ51</f>
        <v>745288973.819574</v>
      </c>
      <c r="AR51" s="0" t="n">
        <f aca="false">AB51+AC51+AD51+AF51</f>
        <v>137833427.610024</v>
      </c>
      <c r="AS51" s="0" t="n">
        <f aca="false">AR51+AE51+AG51</f>
        <v>137833427.610024</v>
      </c>
    </row>
    <row r="52" customFormat="false" ht="15" hidden="false" customHeight="false" outlineLevel="0" collapsed="false">
      <c r="A52" s="0" t="n">
        <v>2075</v>
      </c>
      <c r="B52" s="0" t="n">
        <v>49</v>
      </c>
      <c r="C52" s="0" t="n">
        <v>4832</v>
      </c>
      <c r="D52" s="0" t="n">
        <v>0</v>
      </c>
      <c r="E52" s="0" t="n">
        <v>0</v>
      </c>
      <c r="F52" s="0" t="n">
        <v>0</v>
      </c>
      <c r="G52" s="0" t="n">
        <v>0</v>
      </c>
      <c r="H52" s="0" t="n">
        <v>2269.909</v>
      </c>
      <c r="I52" s="0" t="n">
        <v>206.584</v>
      </c>
      <c r="J52" s="0" t="n">
        <v>1062.729</v>
      </c>
      <c r="K52" s="0" t="n">
        <v>1828.829</v>
      </c>
      <c r="L52" s="0" t="n">
        <v>662.44</v>
      </c>
      <c r="M52" s="0" t="n">
        <v>144454.983</v>
      </c>
      <c r="N52" s="0" t="n">
        <v>7916.399</v>
      </c>
      <c r="O52" s="0" t="n">
        <v>60.334</v>
      </c>
      <c r="P52" s="0" t="n">
        <v>60.454</v>
      </c>
      <c r="Q52" s="0" t="n">
        <v>626.588</v>
      </c>
      <c r="R52" s="0" t="n">
        <v>924.601</v>
      </c>
      <c r="S52" s="0" t="n">
        <v>2568.132</v>
      </c>
      <c r="T52" s="0" t="n">
        <v>2476.493</v>
      </c>
      <c r="U52" s="0" t="n">
        <v>1830.387</v>
      </c>
      <c r="V52" s="0" t="n">
        <v>179707.101</v>
      </c>
      <c r="W52" s="0" t="n">
        <v>196.122</v>
      </c>
      <c r="X52" s="0" t="n">
        <v>531.219</v>
      </c>
      <c r="Y52" s="0" t="n">
        <v>60.334</v>
      </c>
      <c r="Z52" s="0" t="n">
        <v>641.121</v>
      </c>
      <c r="AA52" s="0" t="n">
        <f aca="false">H52*x_c_F+I52*x_c_CC+J52*x_c_DC+K52*x_c_HCC+L52*x_c_PLT+M52*x_c_SVRn+N52*x_c_SVRcc+O52*x_c_LT+P52*x_c_LT1</f>
        <v>296815558.212352</v>
      </c>
      <c r="AB52" s="0" t="n">
        <f aca="false">C52*x_c_DAA</f>
        <v>109976320</v>
      </c>
      <c r="AC52" s="0" t="n">
        <f aca="false">C52*x_c_MON</f>
        <v>27857107.6100244</v>
      </c>
      <c r="AD52" s="0" t="n">
        <f aca="false">D52*(1-x_testy)</f>
        <v>0</v>
      </c>
      <c r="AE52" s="0" t="n">
        <f aca="false">E52*(1-x_testy)</f>
        <v>0</v>
      </c>
      <c r="AF52" s="0" t="n">
        <f aca="false">F52*x_NAV</f>
        <v>0</v>
      </c>
      <c r="AG52" s="0" t="n">
        <f aca="false">G52*x_FIX*(1-x_testy)</f>
        <v>0</v>
      </c>
      <c r="AH52" s="0" t="n">
        <f aca="false">x_z_F*U52+(1-x_AGRI)*x_EMP*x_WLOSS*(x_PEN_K74*Q52+x_PEN_C22*R52)</f>
        <v>20619982.6938715</v>
      </c>
      <c r="AI52" s="0" t="n">
        <f aca="false">x_AGRI*x_EMP*x_WLOSS*(x_PEN_K74*Q52+x_PEN_C22*R52)</f>
        <v>1114207.28483185</v>
      </c>
      <c r="AJ52" s="0" t="n">
        <f aca="false">x_EMP*x_WAGE*(x_WLOSS*(Q52+R52)+S52)+U52*x_ABS_D*x_WAGE/365</f>
        <v>309165210.04598</v>
      </c>
      <c r="AK52" s="0" t="n">
        <f aca="false">AJ52*x_R_FUS</f>
        <v>97819872.4585481</v>
      </c>
      <c r="AL52" s="0" t="n">
        <f aca="false">AJ52*x_R_NFZ</f>
        <v>24010079.3773808</v>
      </c>
      <c r="AM52" s="0" t="n">
        <f aca="false">AJ52*x_R_PIT</f>
        <v>20554593.5715441</v>
      </c>
      <c r="AN52" s="0" t="n">
        <f aca="false">AJ52*x_R_FP</f>
        <v>7883712.85617249</v>
      </c>
      <c r="AO52" s="0" t="n">
        <f aca="false">AA52+AB52+AC52+AD52+AF52</f>
        <v>434648985.822376</v>
      </c>
      <c r="AP52" s="0" t="n">
        <f aca="false">AO52+AE52+AG52+AH52+AI52+AK52+AL52+AM52+AN52</f>
        <v>606651434.064725</v>
      </c>
      <c r="AQ52" s="0" t="n">
        <f aca="false">AO52+AE52+AG52+AJ52</f>
        <v>743814195.868357</v>
      </c>
      <c r="AR52" s="0" t="n">
        <f aca="false">AB52+AC52+AD52+AF52</f>
        <v>137833427.610024</v>
      </c>
      <c r="AS52" s="0" t="n">
        <f aca="false">AR52+AE52+AG52</f>
        <v>137833427.610024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598</v>
      </c>
    </row>
    <row r="2" customFormat="false" ht="28.35" hidden="false" customHeight="false" outlineLevel="0" collapsed="false">
      <c r="A2" s="3" t="s">
        <v>320</v>
      </c>
      <c r="B2" s="3" t="s">
        <v>553</v>
      </c>
      <c r="C2" s="3" t="s">
        <v>554</v>
      </c>
      <c r="D2" s="3" t="s">
        <v>555</v>
      </c>
      <c r="E2" s="3" t="s">
        <v>556</v>
      </c>
      <c r="F2" s="3" t="s">
        <v>557</v>
      </c>
      <c r="G2" s="3" t="s">
        <v>558</v>
      </c>
      <c r="H2" s="3" t="s">
        <v>559</v>
      </c>
      <c r="I2" s="3" t="s">
        <v>560</v>
      </c>
      <c r="J2" s="3" t="s">
        <v>561</v>
      </c>
      <c r="K2" s="3" t="s">
        <v>562</v>
      </c>
      <c r="L2" s="3" t="s">
        <v>563</v>
      </c>
      <c r="M2" s="3" t="s">
        <v>564</v>
      </c>
      <c r="N2" s="3" t="s">
        <v>565</v>
      </c>
      <c r="O2" s="3" t="s">
        <v>566</v>
      </c>
      <c r="P2" s="3" t="s">
        <v>567</v>
      </c>
      <c r="Q2" s="3" t="s">
        <v>568</v>
      </c>
      <c r="R2" s="3" t="s">
        <v>569</v>
      </c>
      <c r="S2" s="3" t="s">
        <v>570</v>
      </c>
      <c r="T2" s="3" t="s">
        <v>571</v>
      </c>
      <c r="U2" s="3" t="s">
        <v>572</v>
      </c>
      <c r="V2" s="3" t="s">
        <v>573</v>
      </c>
      <c r="W2" s="3" t="s">
        <v>574</v>
      </c>
      <c r="X2" s="3" t="s">
        <v>575</v>
      </c>
      <c r="Y2" s="3" t="s">
        <v>576</v>
      </c>
      <c r="Z2" s="3" t="s">
        <v>577</v>
      </c>
      <c r="AA2" s="3" t="s">
        <v>578</v>
      </c>
      <c r="AB2" s="3" t="s">
        <v>579</v>
      </c>
      <c r="AC2" s="3" t="s">
        <v>580</v>
      </c>
      <c r="AD2" s="3" t="s">
        <v>581</v>
      </c>
      <c r="AE2" s="3" t="s">
        <v>582</v>
      </c>
      <c r="AF2" s="3" t="s">
        <v>583</v>
      </c>
      <c r="AG2" s="3" t="s">
        <v>584</v>
      </c>
      <c r="AH2" s="3" t="s">
        <v>252</v>
      </c>
      <c r="AI2" s="3" t="s">
        <v>303</v>
      </c>
      <c r="AJ2" s="3" t="s">
        <v>585</v>
      </c>
      <c r="AK2" s="3" t="s">
        <v>586</v>
      </c>
      <c r="AL2" s="3" t="s">
        <v>587</v>
      </c>
      <c r="AM2" s="3" t="s">
        <v>588</v>
      </c>
      <c r="AN2" s="3" t="s">
        <v>589</v>
      </c>
      <c r="AO2" s="3" t="s">
        <v>129</v>
      </c>
      <c r="AP2" s="3" t="s">
        <v>590</v>
      </c>
      <c r="AQ2" s="3" t="s">
        <v>591</v>
      </c>
      <c r="AR2" s="3" t="s">
        <v>592</v>
      </c>
      <c r="AS2" s="3" t="s">
        <v>593</v>
      </c>
    </row>
    <row r="3" customFormat="false" ht="15" hidden="false" customHeight="false" outlineLevel="0" collapsed="false">
      <c r="A3" s="0" t="n">
        <v>2026</v>
      </c>
      <c r="B3" s="0" t="n">
        <v>0</v>
      </c>
      <c r="C3" s="0" t="n">
        <v>6976.093</v>
      </c>
      <c r="D3" s="0" t="n">
        <v>83333333.333</v>
      </c>
      <c r="E3" s="0" t="n">
        <v>666666.667</v>
      </c>
      <c r="F3" s="0" t="n">
        <v>3087.2475</v>
      </c>
      <c r="G3" s="0" t="n">
        <v>1</v>
      </c>
      <c r="H3" s="0" t="n">
        <v>3734.059</v>
      </c>
      <c r="I3" s="0" t="n">
        <v>335.705</v>
      </c>
      <c r="J3" s="0" t="n">
        <v>1577.983</v>
      </c>
      <c r="K3" s="0" t="n">
        <v>2521.548</v>
      </c>
      <c r="L3" s="0" t="n">
        <v>1540.438</v>
      </c>
      <c r="M3" s="0" t="n">
        <v>10098.027</v>
      </c>
      <c r="N3" s="0" t="n">
        <v>898.994</v>
      </c>
      <c r="O3" s="0" t="n">
        <v>89.046</v>
      </c>
      <c r="P3" s="0" t="n">
        <v>44.523</v>
      </c>
      <c r="Q3" s="0" t="n">
        <v>2133.793</v>
      </c>
      <c r="R3" s="0" t="n">
        <v>1701.081</v>
      </c>
      <c r="S3" s="0" t="n">
        <v>312.377</v>
      </c>
      <c r="T3" s="0" t="n">
        <v>4069.763</v>
      </c>
      <c r="U3" s="0" t="n">
        <v>2257.442</v>
      </c>
      <c r="V3" s="0" t="n">
        <v>113619.992</v>
      </c>
      <c r="W3" s="0" t="n">
        <v>263.001</v>
      </c>
      <c r="X3" s="0" t="n">
        <v>705.001</v>
      </c>
      <c r="Y3" s="0" t="n">
        <v>89.046</v>
      </c>
      <c r="Z3" s="0" t="n">
        <v>922.327</v>
      </c>
      <c r="AA3" s="0" t="n">
        <f aca="false">H3*x_c_F+I3*x_c_CC+J3*x_c_DC+K3*x_c_HCC+L3*x_c_PLT+M3*x_c_SVRn+N3*x_c_SVRcc+O3*x_c_LT+P3*x_c_LT1</f>
        <v>290190253.896102</v>
      </c>
      <c r="AB3" s="0" t="n">
        <f aca="false">C3*x_c_DAA</f>
        <v>158775876.68</v>
      </c>
      <c r="AC3" s="0" t="n">
        <f aca="false">C3*x_c_MON</f>
        <v>40218082.2430749</v>
      </c>
      <c r="AD3" s="0" t="n">
        <f aca="false">D3*(1-x_testy)</f>
        <v>83333333.333</v>
      </c>
      <c r="AE3" s="0" t="n">
        <f aca="false">E3*(1-x_testy)</f>
        <v>666666.667</v>
      </c>
      <c r="AF3" s="0" t="n">
        <f aca="false">F3*x_NAV</f>
        <v>6195901.84409246</v>
      </c>
      <c r="AG3" s="0" t="n">
        <f aca="false">G3*x_FIX*(1-x_testy)</f>
        <v>1223620.54528</v>
      </c>
      <c r="AH3" s="0" t="n">
        <f aca="false">x_z_F*U3+(1-x_AGRI)*x_EMP*x_WLOSS*(x_PEN_K74*Q3+x_PEN_C22*R3)</f>
        <v>45513009.8660638</v>
      </c>
      <c r="AI3" s="0" t="n">
        <f aca="false">x_AGRI*x_EMP*x_WLOSS*(x_PEN_K74*Q3+x_PEN_C22*R3)</f>
        <v>2701555.47495481</v>
      </c>
      <c r="AJ3" s="0" t="n">
        <f aca="false">x_EMP*x_WAGE*(x_WLOSS*(Q3+R3)+S3)+U3*x_ABS_D*x_WAGE/365</f>
        <v>242978639.509847</v>
      </c>
      <c r="AK3" s="0" t="n">
        <f aca="false">AJ3*x_R_FUS</f>
        <v>76878441.5409156</v>
      </c>
      <c r="AL3" s="0" t="n">
        <f aca="false">AJ3*x_R_NFZ</f>
        <v>18869964.1229742</v>
      </c>
      <c r="AM3" s="0" t="n">
        <f aca="false">AJ3*x_R_PIT</f>
        <v>16154234.109811</v>
      </c>
      <c r="AN3" s="0" t="n">
        <f aca="false">AJ3*x_R_FP</f>
        <v>6195955.3075011</v>
      </c>
      <c r="AO3" s="0" t="n">
        <f aca="false">AA3+AB3+AC3+AD3+AF3</f>
        <v>578713447.99627</v>
      </c>
      <c r="AP3" s="0" t="n">
        <f aca="false">AO3+AE3+AG3+AH3+AI3+AK3+AL3+AM3+AN3</f>
        <v>746916895.63077</v>
      </c>
      <c r="AQ3" s="0" t="n">
        <f aca="false">AO3+AE3+AG3+AJ3</f>
        <v>823582374.718397</v>
      </c>
      <c r="AR3" s="0" t="n">
        <f aca="false">AB3+AC3+AD3+AF3</f>
        <v>288523194.100167</v>
      </c>
      <c r="AS3" s="0" t="n">
        <f aca="false">AR3+AE3+AG3</f>
        <v>290413481.312447</v>
      </c>
    </row>
    <row r="4" customFormat="false" ht="15" hidden="false" customHeight="false" outlineLevel="0" collapsed="false">
      <c r="A4" s="0" t="n">
        <v>2027</v>
      </c>
      <c r="B4" s="0" t="n">
        <v>1</v>
      </c>
      <c r="C4" s="0" t="n">
        <v>8917.242</v>
      </c>
      <c r="D4" s="0" t="n">
        <v>166666666.667</v>
      </c>
      <c r="E4" s="0" t="n">
        <v>1333333.333</v>
      </c>
      <c r="F4" s="0" t="n">
        <v>5882.278</v>
      </c>
      <c r="G4" s="0" t="n">
        <v>1</v>
      </c>
      <c r="H4" s="0" t="n">
        <v>4473.792</v>
      </c>
      <c r="I4" s="0" t="n">
        <v>425.89</v>
      </c>
      <c r="J4" s="0" t="n">
        <v>1557.636</v>
      </c>
      <c r="K4" s="0" t="n">
        <v>2506.049</v>
      </c>
      <c r="L4" s="0" t="n">
        <v>1489.389</v>
      </c>
      <c r="M4" s="0" t="n">
        <v>18395.936</v>
      </c>
      <c r="N4" s="0" t="n">
        <v>1690.183</v>
      </c>
      <c r="O4" s="0" t="n">
        <v>87.741</v>
      </c>
      <c r="P4" s="0" t="n">
        <v>88.394</v>
      </c>
      <c r="Q4" s="0" t="n">
        <v>2133.537</v>
      </c>
      <c r="R4" s="0" t="n">
        <v>1706.407</v>
      </c>
      <c r="S4" s="0" t="n">
        <v>939.271</v>
      </c>
      <c r="T4" s="0" t="n">
        <v>4899.681</v>
      </c>
      <c r="U4" s="0" t="n">
        <v>2797.103</v>
      </c>
      <c r="V4" s="0" t="n">
        <v>115009.502</v>
      </c>
      <c r="W4" s="0" t="n">
        <v>266.966</v>
      </c>
      <c r="X4" s="0" t="n">
        <v>721.34</v>
      </c>
      <c r="Y4" s="0" t="n">
        <v>87.741</v>
      </c>
      <c r="Z4" s="0" t="n">
        <v>923.685</v>
      </c>
      <c r="AA4" s="0" t="n">
        <f aca="false">H4*x_c_F+I4*x_c_CC+J4*x_c_DC+K4*x_c_HCC+L4*x_c_PLT+M4*x_c_SVRn+N4*x_c_SVRcc+O4*x_c_LT+P4*x_c_LT1</f>
        <v>298791397.531438</v>
      </c>
      <c r="AB4" s="0" t="n">
        <f aca="false">C4*x_c_DAA</f>
        <v>202956427.92</v>
      </c>
      <c r="AC4" s="0" t="n">
        <f aca="false">C4*x_c_MON</f>
        <v>51409058.3565043</v>
      </c>
      <c r="AD4" s="0" t="n">
        <f aca="false">D4*(1-x_testy)</f>
        <v>166666666.667</v>
      </c>
      <c r="AE4" s="0" t="n">
        <f aca="false">E4*(1-x_testy)</f>
        <v>1333333.333</v>
      </c>
      <c r="AF4" s="0" t="n">
        <f aca="false">F4*x_NAV</f>
        <v>11805343.4678187</v>
      </c>
      <c r="AG4" s="0" t="n">
        <f aca="false">G4*x_FIX*(1-x_testy)</f>
        <v>1223620.54528</v>
      </c>
      <c r="AH4" s="0" t="n">
        <f aca="false">x_z_F*U4+(1-x_AGRI)*x_EMP*x_WLOSS*(x_PEN_K74*Q4+x_PEN_C22*R4)</f>
        <v>46680758.2750244</v>
      </c>
      <c r="AI4" s="0" t="n">
        <f aca="false">x_AGRI*x_EMP*x_WLOSS*(x_PEN_K74*Q4+x_PEN_C22*R4)</f>
        <v>2705406.0708653</v>
      </c>
      <c r="AJ4" s="0" t="n">
        <f aca="false">x_EMP*x_WAGE*(x_WLOSS*(Q4+R4)+S4)+U4*x_ABS_D*x_WAGE/365</f>
        <v>298290386.19731</v>
      </c>
      <c r="AK4" s="0" t="n">
        <f aca="false">AJ4*x_R_FUS</f>
        <v>94379078.1928288</v>
      </c>
      <c r="AL4" s="0" t="n">
        <f aca="false">AJ4*x_R_NFZ</f>
        <v>23165529.6824693</v>
      </c>
      <c r="AM4" s="0" t="n">
        <f aca="false">AJ4*x_R_PIT</f>
        <v>19831589.8922546</v>
      </c>
      <c r="AN4" s="0" t="n">
        <f aca="false">AJ4*x_R_FP</f>
        <v>7606404.8480314</v>
      </c>
      <c r="AO4" s="0" t="n">
        <f aca="false">AA4+AB4+AC4+AD4+AF4</f>
        <v>731628893.942761</v>
      </c>
      <c r="AP4" s="0" t="n">
        <f aca="false">AO4+AE4+AG4+AH4+AI4+AK4+AL4+AM4+AN4</f>
        <v>928554614.782515</v>
      </c>
      <c r="AQ4" s="0" t="n">
        <f aca="false">AO4+AE4+AG4+AJ4</f>
        <v>1032476234.01835</v>
      </c>
      <c r="AR4" s="0" t="n">
        <f aca="false">AB4+AC4+AD4+AF4</f>
        <v>432837496.411323</v>
      </c>
      <c r="AS4" s="0" t="n">
        <f aca="false">AR4+AE4+AG4</f>
        <v>435394450.289603</v>
      </c>
    </row>
    <row r="5" customFormat="false" ht="15" hidden="false" customHeight="false" outlineLevel="0" collapsed="false">
      <c r="A5" s="0" t="n">
        <v>2028</v>
      </c>
      <c r="B5" s="0" t="n">
        <v>2</v>
      </c>
      <c r="C5" s="0" t="n">
        <v>10487.994</v>
      </c>
      <c r="D5" s="0" t="n">
        <v>250000000</v>
      </c>
      <c r="E5" s="0" t="n">
        <v>2000000</v>
      </c>
      <c r="F5" s="0" t="n">
        <v>8143.9803</v>
      </c>
      <c r="G5" s="0" t="n">
        <v>1</v>
      </c>
      <c r="H5" s="0" t="n">
        <v>4650.475</v>
      </c>
      <c r="I5" s="0" t="n">
        <v>468.398</v>
      </c>
      <c r="J5" s="0" t="n">
        <v>1543.405</v>
      </c>
      <c r="K5" s="0" t="n">
        <v>2506.924</v>
      </c>
      <c r="L5" s="0" t="n">
        <v>1475.696</v>
      </c>
      <c r="M5" s="0" t="n">
        <v>26836.716</v>
      </c>
      <c r="N5" s="0" t="n">
        <v>2543.958</v>
      </c>
      <c r="O5" s="0" t="n">
        <v>86.953</v>
      </c>
      <c r="P5" s="0" t="n">
        <v>87.347</v>
      </c>
      <c r="Q5" s="0" t="n">
        <v>2134.142</v>
      </c>
      <c r="R5" s="0" t="n">
        <v>1726.102</v>
      </c>
      <c r="S5" s="0" t="n">
        <v>1568.93</v>
      </c>
      <c r="T5" s="0" t="n">
        <v>5118.873</v>
      </c>
      <c r="U5" s="0" t="n">
        <v>2999.247</v>
      </c>
      <c r="V5" s="0" t="n">
        <v>116532.564</v>
      </c>
      <c r="W5" s="0" t="n">
        <v>269.722</v>
      </c>
      <c r="X5" s="0" t="n">
        <v>731.328</v>
      </c>
      <c r="Y5" s="0" t="n">
        <v>86.953</v>
      </c>
      <c r="Z5" s="0" t="n">
        <v>919.34</v>
      </c>
      <c r="AA5" s="0" t="n">
        <f aca="false">H5*x_c_F+I5*x_c_CC+J5*x_c_DC+K5*x_c_HCC+L5*x_c_PLT+M5*x_c_SVRn+N5*x_c_SVRcc+O5*x_c_LT+P5*x_c_LT1</f>
        <v>306095822.437338</v>
      </c>
      <c r="AB5" s="0" t="n">
        <f aca="false">C5*x_c_DAA</f>
        <v>238706743.44</v>
      </c>
      <c r="AC5" s="0" t="n">
        <f aca="false">C5*x_c_MON</f>
        <v>60464647.6554822</v>
      </c>
      <c r="AD5" s="0" t="n">
        <f aca="false">D5*(1-x_testy)</f>
        <v>250000000</v>
      </c>
      <c r="AE5" s="0" t="n">
        <f aca="false">E5*(1-x_testy)</f>
        <v>2000000</v>
      </c>
      <c r="AF5" s="0" t="n">
        <f aca="false">F5*x_NAV</f>
        <v>16344430.6162764</v>
      </c>
      <c r="AG5" s="0" t="n">
        <f aca="false">G5*x_FIX*(1-x_testy)</f>
        <v>1223620.54528</v>
      </c>
      <c r="AH5" s="0" t="n">
        <f aca="false">x_z_F*U5+(1-x_AGRI)*x_EMP*x_WLOSS*(x_PEN_K74*Q5+x_PEN_C22*R5)</f>
        <v>47327364.9785035</v>
      </c>
      <c r="AI5" s="0" t="n">
        <f aca="false">x_AGRI*x_EMP*x_WLOSS*(x_PEN_K74*Q5+x_PEN_C22*R5)</f>
        <v>2720675.88541511</v>
      </c>
      <c r="AJ5" s="0" t="n">
        <f aca="false">x_EMP*x_WAGE*(x_WLOSS*(Q5+R5)+S5)+U5*x_ABS_D*x_WAGE/365</f>
        <v>353679325.88507</v>
      </c>
      <c r="AK5" s="0" t="n">
        <f aca="false">AJ5*x_R_FUS</f>
        <v>111904138.710036</v>
      </c>
      <c r="AL5" s="0" t="n">
        <f aca="false">AJ5*x_R_NFZ</f>
        <v>27467090.1275604</v>
      </c>
      <c r="AM5" s="0" t="n">
        <f aca="false">AJ5*x_R_PIT</f>
        <v>23514077.7875497</v>
      </c>
      <c r="AN5" s="0" t="n">
        <f aca="false">AJ5*x_R_FP</f>
        <v>9018822.8100693</v>
      </c>
      <c r="AO5" s="0" t="n">
        <f aca="false">AA5+AB5+AC5+AD5+AF5</f>
        <v>871611644.149097</v>
      </c>
      <c r="AP5" s="0" t="n">
        <f aca="false">AO5+AE5+AG5+AH5+AI5+AK5+AL5+AM5+AN5</f>
        <v>1096787434.99351</v>
      </c>
      <c r="AQ5" s="0" t="n">
        <f aca="false">AO5+AE5+AG5+AJ5</f>
        <v>1228514590.57945</v>
      </c>
      <c r="AR5" s="0" t="n">
        <f aca="false">AB5+AC5+AD5+AF5</f>
        <v>565515821.711759</v>
      </c>
      <c r="AS5" s="0" t="n">
        <f aca="false">AR5+AE5+AG5</f>
        <v>568739442.257039</v>
      </c>
    </row>
    <row r="6" customFormat="false" ht="15" hidden="false" customHeight="false" outlineLevel="0" collapsed="false">
      <c r="A6" s="0" t="n">
        <v>2029</v>
      </c>
      <c r="B6" s="0" t="n">
        <v>3</v>
      </c>
      <c r="C6" s="0" t="n">
        <v>9916.632</v>
      </c>
      <c r="D6" s="0" t="n">
        <v>250000000</v>
      </c>
      <c r="E6" s="0" t="n">
        <v>2000000</v>
      </c>
      <c r="F6" s="0" t="n">
        <v>7321.2846</v>
      </c>
      <c r="G6" s="0" t="n">
        <v>1</v>
      </c>
      <c r="H6" s="0" t="n">
        <v>4391.622</v>
      </c>
      <c r="I6" s="0" t="n">
        <v>468.193</v>
      </c>
      <c r="J6" s="0" t="n">
        <v>1533.873</v>
      </c>
      <c r="K6" s="0" t="n">
        <v>2515.765</v>
      </c>
      <c r="L6" s="0" t="n">
        <v>1460.803</v>
      </c>
      <c r="M6" s="0" t="n">
        <v>34563.419</v>
      </c>
      <c r="N6" s="0" t="n">
        <v>3369.731</v>
      </c>
      <c r="O6" s="0" t="n">
        <v>86.458</v>
      </c>
      <c r="P6" s="0" t="n">
        <v>86.706</v>
      </c>
      <c r="Q6" s="0" t="n">
        <v>2138.878</v>
      </c>
      <c r="R6" s="0" t="n">
        <v>1753.335</v>
      </c>
      <c r="S6" s="0" t="n">
        <v>2201.134</v>
      </c>
      <c r="T6" s="0" t="n">
        <v>4859.815</v>
      </c>
      <c r="U6" s="0" t="n">
        <v>2921.825</v>
      </c>
      <c r="V6" s="0" t="n">
        <v>118117.58</v>
      </c>
      <c r="W6" s="0" t="n">
        <v>273.028</v>
      </c>
      <c r="X6" s="0" t="n">
        <v>740.253</v>
      </c>
      <c r="Y6" s="0" t="n">
        <v>86.458</v>
      </c>
      <c r="Z6" s="0" t="n">
        <v>918.206</v>
      </c>
      <c r="AA6" s="0" t="n">
        <f aca="false">H6*x_c_F+I6*x_c_CC+J6*x_c_DC+K6*x_c_HCC+L6*x_c_PLT+M6*x_c_SVRn+N6*x_c_SVRcc+O6*x_c_LT+P6*x_c_LT1</f>
        <v>312032923.23086</v>
      </c>
      <c r="AB6" s="0" t="n">
        <f aca="false">C6*x_c_DAA</f>
        <v>225702544.32</v>
      </c>
      <c r="AC6" s="0" t="n">
        <f aca="false">C6*x_c_MON</f>
        <v>57170671.5134543</v>
      </c>
      <c r="AD6" s="0" t="n">
        <f aca="false">D6*(1-x_testy)</f>
        <v>250000000</v>
      </c>
      <c r="AE6" s="0" t="n">
        <f aca="false">E6*(1-x_testy)</f>
        <v>2000000</v>
      </c>
      <c r="AF6" s="0" t="n">
        <f aca="false">F6*x_NAV</f>
        <v>14693334.6789546</v>
      </c>
      <c r="AG6" s="0" t="n">
        <f aca="false">G6*x_FIX*(1-x_testy)</f>
        <v>1223620.54528</v>
      </c>
      <c r="AH6" s="0" t="n">
        <f aca="false">x_z_F*U6+(1-x_AGRI)*x_EMP*x_WLOSS*(x_PEN_K74*Q6+x_PEN_C22*R6)</f>
        <v>47526816.8927916</v>
      </c>
      <c r="AI6" s="0" t="n">
        <f aca="false">x_AGRI*x_EMP*x_WLOSS*(x_PEN_K74*Q6+x_PEN_C22*R6)</f>
        <v>2744380.26452145</v>
      </c>
      <c r="AJ6" s="0" t="n">
        <f aca="false">x_EMP*x_WAGE*(x_WLOSS*(Q6+R6)+S6)+U6*x_ABS_D*x_WAGE/365</f>
        <v>409102189.20018</v>
      </c>
      <c r="AK6" s="0" t="n">
        <f aca="false">AJ6*x_R_FUS</f>
        <v>129439932.662937</v>
      </c>
      <c r="AL6" s="0" t="n">
        <f aca="false">AJ6*x_R_NFZ</f>
        <v>31771285.1154752</v>
      </c>
      <c r="AM6" s="0" t="n">
        <f aca="false">AJ6*x_R_PIT</f>
        <v>27198821.067183</v>
      </c>
      <c r="AN6" s="0" t="n">
        <f aca="false">AJ6*x_R_FP</f>
        <v>10432105.8246046</v>
      </c>
      <c r="AO6" s="0" t="n">
        <f aca="false">AA6+AB6+AC6+AD6+AF6</f>
        <v>859599473.743268</v>
      </c>
      <c r="AP6" s="0" t="n">
        <f aca="false">AO6+AE6+AG6+AH6+AI6+AK6+AL6+AM6+AN6</f>
        <v>1111936436.11606</v>
      </c>
      <c r="AQ6" s="0" t="n">
        <f aca="false">AO6+AE6+AG6+AJ6</f>
        <v>1271925283.48873</v>
      </c>
      <c r="AR6" s="0" t="n">
        <f aca="false">AB6+AC6+AD6+AF6</f>
        <v>547566550.512409</v>
      </c>
      <c r="AS6" s="0" t="n">
        <f aca="false">AR6+AE6+AG6</f>
        <v>550790171.057689</v>
      </c>
    </row>
    <row r="7" customFormat="false" ht="15" hidden="false" customHeight="false" outlineLevel="0" collapsed="false">
      <c r="A7" s="0" t="n">
        <v>2030</v>
      </c>
      <c r="B7" s="0" t="n">
        <v>4</v>
      </c>
      <c r="C7" s="0" t="n">
        <v>9457.473</v>
      </c>
      <c r="D7" s="0" t="n">
        <v>250000000</v>
      </c>
      <c r="E7" s="0" t="n">
        <v>2000000</v>
      </c>
      <c r="F7" s="0" t="n">
        <v>6660.1477</v>
      </c>
      <c r="G7" s="0" t="n">
        <v>1</v>
      </c>
      <c r="H7" s="0" t="n">
        <v>4179.241</v>
      </c>
      <c r="I7" s="0" t="n">
        <v>469.148</v>
      </c>
      <c r="J7" s="0" t="n">
        <v>1528.258</v>
      </c>
      <c r="K7" s="0" t="n">
        <v>2528.449</v>
      </c>
      <c r="L7" s="0" t="n">
        <v>1445.083</v>
      </c>
      <c r="M7" s="0" t="n">
        <v>41745.333</v>
      </c>
      <c r="N7" s="0" t="n">
        <v>4169.716</v>
      </c>
      <c r="O7" s="0" t="n">
        <v>86.204</v>
      </c>
      <c r="P7" s="0" t="n">
        <v>86.331</v>
      </c>
      <c r="Q7" s="0" t="n">
        <v>2147.107</v>
      </c>
      <c r="R7" s="0" t="n">
        <v>1784.507</v>
      </c>
      <c r="S7" s="0" t="n">
        <v>2837.876</v>
      </c>
      <c r="T7" s="0" t="n">
        <v>4648.388</v>
      </c>
      <c r="U7" s="0" t="n">
        <v>2863.641</v>
      </c>
      <c r="V7" s="0" t="n">
        <v>119750.271</v>
      </c>
      <c r="W7" s="0" t="n">
        <v>275.925</v>
      </c>
      <c r="X7" s="0" t="n">
        <v>746.632</v>
      </c>
      <c r="Y7" s="0" t="n">
        <v>86.204</v>
      </c>
      <c r="Z7" s="0" t="n">
        <v>919.162</v>
      </c>
      <c r="AA7" s="0" t="n">
        <f aca="false">H7*x_c_F+I7*x_c_CC+J7*x_c_DC+K7*x_c_HCC+L7*x_c_PLT+M7*x_c_SVRn+N7*x_c_SVRcc+O7*x_c_LT+P7*x_c_LT1</f>
        <v>318090915.632706</v>
      </c>
      <c r="AB7" s="0" t="n">
        <f aca="false">C7*x_c_DAA</f>
        <v>215252085.48</v>
      </c>
      <c r="AC7" s="0" t="n">
        <f aca="false">C7*x_c_MON</f>
        <v>54523560.2400456</v>
      </c>
      <c r="AD7" s="0" t="n">
        <f aca="false">D7*(1-x_testy)</f>
        <v>250000000</v>
      </c>
      <c r="AE7" s="0" t="n">
        <f aca="false">E7*(1-x_testy)</f>
        <v>2000000</v>
      </c>
      <c r="AF7" s="0" t="n">
        <f aca="false">F7*x_NAV</f>
        <v>13366476.5835451</v>
      </c>
      <c r="AG7" s="0" t="n">
        <f aca="false">G7*x_FIX*(1-x_testy)</f>
        <v>1223620.54528</v>
      </c>
      <c r="AH7" s="0" t="n">
        <f aca="false">x_z_F*U7+(1-x_AGRI)*x_EMP*x_WLOSS*(x_PEN_K74*Q7+x_PEN_C22*R7)</f>
        <v>47845911.1396883</v>
      </c>
      <c r="AI7" s="0" t="n">
        <f aca="false">x_AGRI*x_EMP*x_WLOSS*(x_PEN_K74*Q7+x_PEN_C22*R7)</f>
        <v>2773378.49189265</v>
      </c>
      <c r="AJ7" s="0" t="n">
        <f aca="false">x_EMP*x_WAGE*(x_WLOSS*(Q7+R7)+S7)+U7*x_ABS_D*x_WAGE/365</f>
        <v>465374901.190634</v>
      </c>
      <c r="AK7" s="0" t="n">
        <f aca="false">AJ7*x_R_FUS</f>
        <v>147244618.736717</v>
      </c>
      <c r="AL7" s="0" t="n">
        <f aca="false">AJ7*x_R_NFZ</f>
        <v>36141480.2013658</v>
      </c>
      <c r="AM7" s="0" t="n">
        <f aca="false">AJ7*x_R_PIT</f>
        <v>30940065.8338898</v>
      </c>
      <c r="AN7" s="0" t="n">
        <f aca="false">AJ7*x_R_FP</f>
        <v>11867059.9803612</v>
      </c>
      <c r="AO7" s="0" t="n">
        <f aca="false">AA7+AB7+AC7+AD7+AF7</f>
        <v>851233037.936297</v>
      </c>
      <c r="AP7" s="0" t="n">
        <f aca="false">AO7+AE7+AG7+AH7+AI7+AK7+AL7+AM7+AN7</f>
        <v>1131269172.86549</v>
      </c>
      <c r="AQ7" s="0" t="n">
        <f aca="false">AO7+AE7+AG7+AJ7</f>
        <v>1319831559.67221</v>
      </c>
      <c r="AR7" s="0" t="n">
        <f aca="false">AB7+AC7+AD7+AF7</f>
        <v>533142122.303591</v>
      </c>
      <c r="AS7" s="0" t="n">
        <f aca="false">AR7+AE7+AG7</f>
        <v>536365742.848871</v>
      </c>
    </row>
    <row r="8" customFormat="false" ht="15" hidden="false" customHeight="false" outlineLevel="0" collapsed="false">
      <c r="A8" s="0" t="n">
        <v>2031</v>
      </c>
      <c r="B8" s="0" t="n">
        <v>5</v>
      </c>
      <c r="C8" s="0" t="n">
        <v>9082.597</v>
      </c>
      <c r="D8" s="0" t="n">
        <v>250000000</v>
      </c>
      <c r="E8" s="0" t="n">
        <v>2000000</v>
      </c>
      <c r="F8" s="0" t="n">
        <v>6120.3699</v>
      </c>
      <c r="G8" s="0" t="n">
        <v>1</v>
      </c>
      <c r="H8" s="0" t="n">
        <v>4002.91</v>
      </c>
      <c r="I8" s="0" t="n">
        <v>469.942</v>
      </c>
      <c r="J8" s="0" t="n">
        <v>1525.116</v>
      </c>
      <c r="K8" s="0" t="n">
        <v>2540.816</v>
      </c>
      <c r="L8" s="0" t="n">
        <v>1428.8</v>
      </c>
      <c r="M8" s="0" t="n">
        <v>48495.421</v>
      </c>
      <c r="N8" s="0" t="n">
        <v>4943.462</v>
      </c>
      <c r="O8" s="0" t="n">
        <v>86.101</v>
      </c>
      <c r="P8" s="0" t="n">
        <v>86.153</v>
      </c>
      <c r="Q8" s="0" t="n">
        <v>2157.792</v>
      </c>
      <c r="R8" s="0" t="n">
        <v>1816.313</v>
      </c>
      <c r="S8" s="0" t="n">
        <v>3480.042</v>
      </c>
      <c r="T8" s="0" t="n">
        <v>4472.853</v>
      </c>
      <c r="U8" s="0" t="n">
        <v>2820.085</v>
      </c>
      <c r="V8" s="0" t="n">
        <v>121415.396</v>
      </c>
      <c r="W8" s="0" t="n">
        <v>277.771</v>
      </c>
      <c r="X8" s="0" t="n">
        <v>749.527</v>
      </c>
      <c r="Y8" s="0" t="n">
        <v>86.101</v>
      </c>
      <c r="Z8" s="0" t="n">
        <v>920.922</v>
      </c>
      <c r="AA8" s="0" t="n">
        <f aca="false">H8*x_c_F+I8*x_c_CC+J8*x_c_DC+K8*x_c_HCC+L8*x_c_PLT+M8*x_c_SVRn+N8*x_c_SVRcc+O8*x_c_LT+P8*x_c_LT1</f>
        <v>323986351.623414</v>
      </c>
      <c r="AB8" s="0" t="n">
        <f aca="false">C8*x_c_DAA</f>
        <v>206719907.72</v>
      </c>
      <c r="AC8" s="0" t="n">
        <f aca="false">C8*x_c_MON</f>
        <v>52362351.4088337</v>
      </c>
      <c r="AD8" s="0" t="n">
        <f aca="false">D8*(1-x_testy)</f>
        <v>250000000</v>
      </c>
      <c r="AE8" s="0" t="n">
        <f aca="false">E8*(1-x_testy)</f>
        <v>2000000</v>
      </c>
      <c r="AF8" s="0" t="n">
        <f aca="false">F8*x_NAV</f>
        <v>12283178.1870219</v>
      </c>
      <c r="AG8" s="0" t="n">
        <f aca="false">G8*x_FIX*(1-x_testy)</f>
        <v>1223620.54528</v>
      </c>
      <c r="AH8" s="0" t="n">
        <f aca="false">x_z_F*U8+(1-x_AGRI)*x_EMP*x_WLOSS*(x_PEN_K74*Q8+x_PEN_C22*R8)</f>
        <v>48227001.9832175</v>
      </c>
      <c r="AI8" s="0" t="n">
        <f aca="false">x_AGRI*x_EMP*x_WLOSS*(x_PEN_K74*Q8+x_PEN_C22*R8)</f>
        <v>2804486.75473331</v>
      </c>
      <c r="AJ8" s="0" t="n">
        <f aca="false">x_EMP*x_WAGE*(x_WLOSS*(Q8+R8)+S8)+U8*x_ABS_D*x_WAGE/365</f>
        <v>522322014.300007</v>
      </c>
      <c r="AK8" s="0" t="n">
        <f aca="false">AJ8*x_R_FUS</f>
        <v>165262685.324522</v>
      </c>
      <c r="AL8" s="0" t="n">
        <f aca="false">AJ8*x_R_NFZ</f>
        <v>40564049.9525528</v>
      </c>
      <c r="AM8" s="0" t="n">
        <f aca="false">AJ8*x_R_PIT</f>
        <v>34726147.6018281</v>
      </c>
      <c r="AN8" s="0" t="n">
        <f aca="false">AJ8*x_R_FP</f>
        <v>13319211.3646502</v>
      </c>
      <c r="AO8" s="0" t="n">
        <f aca="false">AA8+AB8+AC8+AD8+AF8</f>
        <v>845351788.93927</v>
      </c>
      <c r="AP8" s="0" t="n">
        <f aca="false">AO8+AE8+AG8+AH8+AI8+AK8+AL8+AM8+AN8</f>
        <v>1153478992.46605</v>
      </c>
      <c r="AQ8" s="0" t="n">
        <f aca="false">AO8+AE8+AG8+AJ8</f>
        <v>1370897423.78456</v>
      </c>
      <c r="AR8" s="0" t="n">
        <f aca="false">AB8+AC8+AD8+AF8</f>
        <v>521365437.315856</v>
      </c>
      <c r="AS8" s="0" t="n">
        <f aca="false">AR8+AE8+AG8</f>
        <v>524589057.861136</v>
      </c>
    </row>
    <row r="9" customFormat="false" ht="15" hidden="false" customHeight="false" outlineLevel="0" collapsed="false">
      <c r="A9" s="0" t="n">
        <v>2032</v>
      </c>
      <c r="B9" s="0" t="n">
        <v>6</v>
      </c>
      <c r="C9" s="0" t="n">
        <v>8771.492</v>
      </c>
      <c r="D9" s="0" t="n">
        <v>250000000</v>
      </c>
      <c r="E9" s="0" t="n">
        <v>2000000</v>
      </c>
      <c r="F9" s="0" t="n">
        <v>5672.4146</v>
      </c>
      <c r="G9" s="0" t="n">
        <v>1</v>
      </c>
      <c r="H9" s="0" t="n">
        <v>3854.898</v>
      </c>
      <c r="I9" s="0" t="n">
        <v>469.631</v>
      </c>
      <c r="J9" s="0" t="n">
        <v>1522.706</v>
      </c>
      <c r="K9" s="0" t="n">
        <v>2549.116</v>
      </c>
      <c r="L9" s="0" t="n">
        <v>1412.126</v>
      </c>
      <c r="M9" s="0" t="n">
        <v>54889.945</v>
      </c>
      <c r="N9" s="0" t="n">
        <v>5688.559</v>
      </c>
      <c r="O9" s="0" t="n">
        <v>86.04</v>
      </c>
      <c r="P9" s="0" t="n">
        <v>86.071</v>
      </c>
      <c r="Q9" s="0" t="n">
        <v>2169.671</v>
      </c>
      <c r="R9" s="0" t="n">
        <v>1845.921</v>
      </c>
      <c r="S9" s="0" t="n">
        <v>4127.407</v>
      </c>
      <c r="T9" s="0" t="n">
        <v>4324.53</v>
      </c>
      <c r="U9" s="0" t="n">
        <v>2787.528</v>
      </c>
      <c r="V9" s="0" t="n">
        <v>123097.34</v>
      </c>
      <c r="W9" s="0" t="n">
        <v>278.16</v>
      </c>
      <c r="X9" s="0" t="n">
        <v>748.385</v>
      </c>
      <c r="Y9" s="0" t="n">
        <v>86.04</v>
      </c>
      <c r="Z9" s="0" t="n">
        <v>922.181</v>
      </c>
      <c r="AA9" s="0" t="n">
        <f aca="false">H9*x_c_F+I9*x_c_CC+J9*x_c_DC+K9*x_c_HCC+L9*x_c_PLT+M9*x_c_SVRn+N9*x_c_SVRcc+O9*x_c_LT+P9*x_c_LT1</f>
        <v>329427400.393989</v>
      </c>
      <c r="AB9" s="0" t="n">
        <f aca="false">C9*x_c_DAA</f>
        <v>199639157.92</v>
      </c>
      <c r="AC9" s="0" t="n">
        <f aca="false">C9*x_c_MON</f>
        <v>50568790.6755935</v>
      </c>
      <c r="AD9" s="0" t="n">
        <f aca="false">D9*(1-x_testy)</f>
        <v>250000000</v>
      </c>
      <c r="AE9" s="0" t="n">
        <f aca="false">E9*(1-x_testy)</f>
        <v>2000000</v>
      </c>
      <c r="AF9" s="0" t="n">
        <f aca="false">F9*x_NAV</f>
        <v>11384161.4838451</v>
      </c>
      <c r="AG9" s="0" t="n">
        <f aca="false">G9*x_FIX*(1-x_testy)</f>
        <v>1223620.54528</v>
      </c>
      <c r="AH9" s="0" t="n">
        <f aca="false">x_z_F*U9+(1-x_AGRI)*x_EMP*x_WLOSS*(x_PEN_K74*Q9+x_PEN_C22*R9)</f>
        <v>48617601.5234309</v>
      </c>
      <c r="AI9" s="0" t="n">
        <f aca="false">x_AGRI*x_EMP*x_WLOSS*(x_PEN_K74*Q9+x_PEN_C22*R9)</f>
        <v>2834728.85376786</v>
      </c>
      <c r="AJ9" s="0" t="n">
        <f aca="false">x_EMP*x_WAGE*(x_WLOSS*(Q9+R9)+S9)+U9*x_ABS_D*x_WAGE/365</f>
        <v>579689800.300273</v>
      </c>
      <c r="AK9" s="0" t="n">
        <f aca="false">AJ9*x_R_FUS</f>
        <v>183413852.815006</v>
      </c>
      <c r="AL9" s="0" t="n">
        <f aca="false">AJ9*x_R_NFZ</f>
        <v>45019289.5811195</v>
      </c>
      <c r="AM9" s="0" t="n">
        <f aca="false">AJ9*x_R_PIT</f>
        <v>38540197.4593765</v>
      </c>
      <c r="AN9" s="0" t="n">
        <f aca="false">AJ9*x_R_FP</f>
        <v>14782089.907657</v>
      </c>
      <c r="AO9" s="0" t="n">
        <f aca="false">AA9+AB9+AC9+AD9+AF9</f>
        <v>841019510.473428</v>
      </c>
      <c r="AP9" s="0" t="n">
        <f aca="false">AO9+AE9+AG9+AH9+AI9+AK9+AL9+AM9+AN9</f>
        <v>1177450891.15907</v>
      </c>
      <c r="AQ9" s="0" t="n">
        <f aca="false">AO9+AE9+AG9+AJ9</f>
        <v>1423932931.31898</v>
      </c>
      <c r="AR9" s="0" t="n">
        <f aca="false">AB9+AC9+AD9+AF9</f>
        <v>511592110.079439</v>
      </c>
      <c r="AS9" s="0" t="n">
        <f aca="false">AR9+AE9+AG9</f>
        <v>514815730.624719</v>
      </c>
    </row>
    <row r="10" customFormat="false" ht="15" hidden="false" customHeight="false" outlineLevel="0" collapsed="false">
      <c r="A10" s="0" t="n">
        <v>2033</v>
      </c>
      <c r="B10" s="0" t="n">
        <v>7</v>
      </c>
      <c r="C10" s="0" t="n">
        <v>8508.923</v>
      </c>
      <c r="D10" s="0" t="n">
        <v>250000000</v>
      </c>
      <c r="E10" s="0" t="n">
        <v>2000000</v>
      </c>
      <c r="F10" s="0" t="n">
        <v>5294.3459</v>
      </c>
      <c r="G10" s="0" t="n">
        <v>1</v>
      </c>
      <c r="H10" s="0" t="n">
        <v>3729.462</v>
      </c>
      <c r="I10" s="0" t="n">
        <v>467.562</v>
      </c>
      <c r="J10" s="0" t="n">
        <v>1519.28</v>
      </c>
      <c r="K10" s="0" t="n">
        <v>2550.298</v>
      </c>
      <c r="L10" s="0" t="n">
        <v>1395.133</v>
      </c>
      <c r="M10" s="0" t="n">
        <v>60980.852</v>
      </c>
      <c r="N10" s="0" t="n">
        <v>6401.329</v>
      </c>
      <c r="O10" s="0" t="n">
        <v>85.916</v>
      </c>
      <c r="P10" s="0" t="n">
        <v>85.978</v>
      </c>
      <c r="Q10" s="0" t="n">
        <v>2181.425</v>
      </c>
      <c r="R10" s="0" t="n">
        <v>1871.062</v>
      </c>
      <c r="S10" s="0" t="n">
        <v>4778.762</v>
      </c>
      <c r="T10" s="0" t="n">
        <v>4197.024</v>
      </c>
      <c r="U10" s="0" t="n">
        <v>2763.115</v>
      </c>
      <c r="V10" s="0" t="n">
        <v>124782.228</v>
      </c>
      <c r="W10" s="0" t="n">
        <v>276.877</v>
      </c>
      <c r="X10" s="0" t="n">
        <v>742.998</v>
      </c>
      <c r="Y10" s="0" t="n">
        <v>85.916</v>
      </c>
      <c r="Z10" s="0" t="n">
        <v>921.83</v>
      </c>
      <c r="AA10" s="0" t="n">
        <f aca="false">H10*x_c_F+I10*x_c_CC+J10*x_c_DC+K10*x_c_HCC+L10*x_c_PLT+M10*x_c_SVRn+N10*x_c_SVRcc+O10*x_c_LT+P10*x_c_LT1</f>
        <v>334153058.794529</v>
      </c>
      <c r="AB10" s="0" t="n">
        <f aca="false">C10*x_c_DAA</f>
        <v>193663087.48</v>
      </c>
      <c r="AC10" s="0" t="n">
        <f aca="false">C10*x_c_MON</f>
        <v>49055046.286509</v>
      </c>
      <c r="AD10" s="0" t="n">
        <f aca="false">D10*(1-x_testy)</f>
        <v>250000000</v>
      </c>
      <c r="AE10" s="0" t="n">
        <f aca="false">E10*(1-x_testy)</f>
        <v>2000000</v>
      </c>
      <c r="AF10" s="0" t="n">
        <f aca="false">F10*x_NAV</f>
        <v>10625402.5714081</v>
      </c>
      <c r="AG10" s="0" t="n">
        <f aca="false">G10*x_FIX*(1-x_testy)</f>
        <v>1223620.54528</v>
      </c>
      <c r="AH10" s="0" t="n">
        <f aca="false">x_z_F*U10+(1-x_AGRI)*x_EMP*x_WLOSS*(x_PEN_K74*Q10+x_PEN_C22*R10)</f>
        <v>48972670.3529972</v>
      </c>
      <c r="AI10" s="0" t="n">
        <f aca="false">x_AGRI*x_EMP*x_WLOSS*(x_PEN_K74*Q10+x_PEN_C22*R10)</f>
        <v>2861515.74078226</v>
      </c>
      <c r="AJ10" s="0" t="n">
        <f aca="false">x_EMP*x_WAGE*(x_WLOSS*(Q10+R10)+S10)+U10*x_ABS_D*x_WAGE/365</f>
        <v>637170579.341333</v>
      </c>
      <c r="AK10" s="0" t="n">
        <f aca="false">AJ10*x_R_FUS</f>
        <v>201600771.303598</v>
      </c>
      <c r="AL10" s="0" t="n">
        <f aca="false">AJ10*x_R_NFZ</f>
        <v>49483304.3622273</v>
      </c>
      <c r="AM10" s="0" t="n">
        <f aca="false">AJ10*x_R_PIT</f>
        <v>42361759.5658923</v>
      </c>
      <c r="AN10" s="0" t="n">
        <f aca="false">AJ10*x_R_FP</f>
        <v>16247849.773204</v>
      </c>
      <c r="AO10" s="0" t="n">
        <f aca="false">AA10+AB10+AC10+AD10+AF10</f>
        <v>837496595.132446</v>
      </c>
      <c r="AP10" s="0" t="n">
        <f aca="false">AO10+AE10+AG10+AH10+AI10+AK10+AL10+AM10+AN10</f>
        <v>1202248086.77643</v>
      </c>
      <c r="AQ10" s="0" t="n">
        <f aca="false">AO10+AE10+AG10+AJ10</f>
        <v>1477890795.01906</v>
      </c>
      <c r="AR10" s="0" t="n">
        <f aca="false">AB10+AC10+AD10+AF10</f>
        <v>503343536.337917</v>
      </c>
      <c r="AS10" s="0" t="n">
        <f aca="false">AR10+AE10+AG10</f>
        <v>506567156.883197</v>
      </c>
    </row>
    <row r="11" customFormat="false" ht="15" hidden="false" customHeight="false" outlineLevel="0" collapsed="false">
      <c r="A11" s="0" t="n">
        <v>2034</v>
      </c>
      <c r="B11" s="0" t="n">
        <v>8</v>
      </c>
      <c r="C11" s="0" t="n">
        <v>8283.784</v>
      </c>
      <c r="D11" s="0" t="n">
        <v>250000000</v>
      </c>
      <c r="E11" s="0" t="n">
        <v>2000000</v>
      </c>
      <c r="F11" s="0" t="n">
        <v>4970.172</v>
      </c>
      <c r="G11" s="0" t="n">
        <v>1</v>
      </c>
      <c r="H11" s="0" t="n">
        <v>3622.311</v>
      </c>
      <c r="I11" s="0" t="n">
        <v>463.313</v>
      </c>
      <c r="J11" s="0" t="n">
        <v>1513.248</v>
      </c>
      <c r="K11" s="0" t="n">
        <v>2542.088</v>
      </c>
      <c r="L11" s="0" t="n">
        <v>1377.794</v>
      </c>
      <c r="M11" s="0" t="n">
        <v>66803.874</v>
      </c>
      <c r="N11" s="0" t="n">
        <v>7077.254</v>
      </c>
      <c r="O11" s="0" t="n">
        <v>85.631</v>
      </c>
      <c r="P11" s="0" t="n">
        <v>85.773</v>
      </c>
      <c r="Q11" s="0" t="n">
        <v>2191.784</v>
      </c>
      <c r="R11" s="0" t="n">
        <v>1890.039</v>
      </c>
      <c r="S11" s="0" t="n">
        <v>5432.044</v>
      </c>
      <c r="T11" s="0" t="n">
        <v>4085.625</v>
      </c>
      <c r="U11" s="0" t="n">
        <v>2744.615</v>
      </c>
      <c r="V11" s="0" t="n">
        <v>126458.204</v>
      </c>
      <c r="W11" s="0" t="n">
        <v>273.843</v>
      </c>
      <c r="X11" s="0" t="n">
        <v>733.379</v>
      </c>
      <c r="Y11" s="0" t="n">
        <v>85.631</v>
      </c>
      <c r="Z11" s="0" t="n">
        <v>918.929</v>
      </c>
      <c r="AA11" s="0" t="n">
        <f aca="false">H11*x_c_F+I11*x_c_CC+J11*x_c_DC+K11*x_c_HCC+L11*x_c_PLT+M11*x_c_SVRn+N11*x_c_SVRcc+O11*x_c_LT+P11*x_c_LT1</f>
        <v>337946889.660755</v>
      </c>
      <c r="AB11" s="0" t="n">
        <f aca="false">C11*x_c_DAA</f>
        <v>188538923.84</v>
      </c>
      <c r="AC11" s="0" t="n">
        <f aca="false">C11*x_c_MON</f>
        <v>47757090.7090642</v>
      </c>
      <c r="AD11" s="0" t="n">
        <f aca="false">D11*(1-x_testy)</f>
        <v>250000000</v>
      </c>
      <c r="AE11" s="0" t="n">
        <f aca="false">E11*(1-x_testy)</f>
        <v>2000000</v>
      </c>
      <c r="AF11" s="0" t="n">
        <f aca="false">F11*x_NAV</f>
        <v>9974806.9632437</v>
      </c>
      <c r="AG11" s="0" t="n">
        <f aca="false">G11*x_FIX*(1-x_testy)</f>
        <v>1223620.54528</v>
      </c>
      <c r="AH11" s="0" t="n">
        <f aca="false">x_z_F*U11+(1-x_AGRI)*x_EMP*x_WLOSS*(x_PEN_K74*Q11+x_PEN_C22*R11)</f>
        <v>49255477.2196889</v>
      </c>
      <c r="AI11" s="0" t="n">
        <f aca="false">x_AGRI*x_EMP*x_WLOSS*(x_PEN_K74*Q11+x_PEN_C22*R11)</f>
        <v>2882722.72438689</v>
      </c>
      <c r="AJ11" s="0" t="n">
        <f aca="false">x_EMP*x_WAGE*(x_WLOSS*(Q11+R11)+S11)+U11*x_ABS_D*x_WAGE/365</f>
        <v>694419652.104367</v>
      </c>
      <c r="AK11" s="0" t="n">
        <f aca="false">AJ11*x_R_FUS</f>
        <v>219714377.925822</v>
      </c>
      <c r="AL11" s="0" t="n">
        <f aca="false">AJ11*x_R_NFZ</f>
        <v>53929324.6020772</v>
      </c>
      <c r="AM11" s="0" t="n">
        <f aca="false">AJ11*x_R_PIT</f>
        <v>46167916.8719388</v>
      </c>
      <c r="AN11" s="0" t="n">
        <f aca="false">AJ11*x_R_FP</f>
        <v>17707701.1286613</v>
      </c>
      <c r="AO11" s="0" t="n">
        <f aca="false">AA11+AB11+AC11+AD11+AF11</f>
        <v>834217711.173063</v>
      </c>
      <c r="AP11" s="0" t="n">
        <f aca="false">AO11+AE11+AG11+AH11+AI11+AK11+AL11+AM11+AN11</f>
        <v>1227098852.19092</v>
      </c>
      <c r="AQ11" s="0" t="n">
        <f aca="false">AO11+AE11+AG11+AJ11</f>
        <v>1531860983.82271</v>
      </c>
      <c r="AR11" s="0" t="n">
        <f aca="false">AB11+AC11+AD11+AF11</f>
        <v>496270821.512308</v>
      </c>
      <c r="AS11" s="0" t="n">
        <f aca="false">AR11+AE11+AG11</f>
        <v>499494442.057588</v>
      </c>
    </row>
    <row r="12" customFormat="false" ht="15" hidden="false" customHeight="false" outlineLevel="0" collapsed="false">
      <c r="A12" s="0" t="n">
        <v>2035</v>
      </c>
      <c r="B12" s="0" t="n">
        <v>9</v>
      </c>
      <c r="C12" s="0" t="n">
        <v>8087.773</v>
      </c>
      <c r="D12" s="0" t="n">
        <v>250000000</v>
      </c>
      <c r="E12" s="0" t="n">
        <v>2000000</v>
      </c>
      <c r="F12" s="0" t="n">
        <v>4687.9385</v>
      </c>
      <c r="G12" s="0" t="n">
        <v>1</v>
      </c>
      <c r="H12" s="0" t="n">
        <v>2885.89</v>
      </c>
      <c r="I12" s="0" t="n">
        <v>373.021</v>
      </c>
      <c r="J12" s="0" t="n">
        <v>1503.293</v>
      </c>
      <c r="K12" s="0" t="n">
        <v>2523.01</v>
      </c>
      <c r="L12" s="0" t="n">
        <v>1359.992</v>
      </c>
      <c r="M12" s="0" t="n">
        <v>71061.51</v>
      </c>
      <c r="N12" s="0" t="n">
        <v>7539.658</v>
      </c>
      <c r="O12" s="0" t="n">
        <v>85.111</v>
      </c>
      <c r="P12" s="0" t="n">
        <v>85.371</v>
      </c>
      <c r="Q12" s="0" t="n">
        <v>2199.597</v>
      </c>
      <c r="R12" s="0" t="n">
        <v>1901.688</v>
      </c>
      <c r="S12" s="0" t="n">
        <v>6084.5</v>
      </c>
      <c r="T12" s="0" t="n">
        <v>3258.91</v>
      </c>
      <c r="U12" s="0" t="n">
        <v>2227.035</v>
      </c>
      <c r="V12" s="0" t="n">
        <v>128033.901</v>
      </c>
      <c r="W12" s="0" t="n">
        <v>269.098</v>
      </c>
      <c r="X12" s="0" t="n">
        <v>719.76</v>
      </c>
      <c r="Y12" s="0" t="n">
        <v>85.111</v>
      </c>
      <c r="Z12" s="0" t="n">
        <v>912.832</v>
      </c>
      <c r="AA12" s="0" t="n">
        <f aca="false">H12*x_c_F+I12*x_c_CC+J12*x_c_DC+K12*x_c_HCC+L12*x_c_PLT+M12*x_c_SVRn+N12*x_c_SVRcc+O12*x_c_LT+P12*x_c_LT1</f>
        <v>337009493.83486</v>
      </c>
      <c r="AB12" s="0" t="n">
        <f aca="false">C12*x_c_DAA</f>
        <v>184077713.48</v>
      </c>
      <c r="AC12" s="0" t="n">
        <f aca="false">C12*x_c_MON</f>
        <v>46627061.8349441</v>
      </c>
      <c r="AD12" s="0" t="n">
        <f aca="false">D12*(1-x_testy)</f>
        <v>250000000</v>
      </c>
      <c r="AE12" s="0" t="n">
        <f aca="false">E12*(1-x_testy)</f>
        <v>2000000</v>
      </c>
      <c r="AF12" s="0" t="n">
        <f aca="false">F12*x_NAV</f>
        <v>9408382.96804582</v>
      </c>
      <c r="AG12" s="0" t="n">
        <f aca="false">G12*x_FIX*(1-x_testy)</f>
        <v>1223620.54528</v>
      </c>
      <c r="AH12" s="0" t="n">
        <f aca="false">x_z_F*U12+(1-x_AGRI)*x_EMP*x_WLOSS*(x_PEN_K74*Q12+x_PEN_C22*R12)</f>
        <v>48402942.4717612</v>
      </c>
      <c r="AI12" s="0" t="n">
        <f aca="false">x_AGRI*x_EMP*x_WLOSS*(x_PEN_K74*Q12+x_PEN_C22*R12)</f>
        <v>2896706.52677014</v>
      </c>
      <c r="AJ12" s="0" t="n">
        <f aca="false">x_EMP*x_WAGE*(x_WLOSS*(Q12+R12)+S12)+U12*x_ABS_D*x_WAGE/365</f>
        <v>749592333.546931</v>
      </c>
      <c r="AK12" s="0" t="n">
        <f aca="false">AJ12*x_R_FUS</f>
        <v>237171014.334249</v>
      </c>
      <c r="AL12" s="0" t="n">
        <f aca="false">AJ12*x_R_NFZ</f>
        <v>58214090.2155882</v>
      </c>
      <c r="AM12" s="0" t="n">
        <f aca="false">AJ12*x_R_PIT</f>
        <v>49836027.0164649</v>
      </c>
      <c r="AN12" s="0" t="n">
        <f aca="false">AJ12*x_R_FP</f>
        <v>19114604.5054467</v>
      </c>
      <c r="AO12" s="0" t="n">
        <f aca="false">AA12+AB12+AC12+AD12+AF12</f>
        <v>827122652.11785</v>
      </c>
      <c r="AP12" s="0" t="n">
        <f aca="false">AO12+AE12+AG12+AH12+AI12+AK12+AL12+AM12+AN12</f>
        <v>1245981657.73341</v>
      </c>
      <c r="AQ12" s="0" t="n">
        <f aca="false">AO12+AE12+AG12+AJ12</f>
        <v>1579938606.21006</v>
      </c>
      <c r="AR12" s="0" t="n">
        <f aca="false">AB12+AC12+AD12+AF12</f>
        <v>490113158.28299</v>
      </c>
      <c r="AS12" s="0" t="n">
        <f aca="false">AR12+AE12+AG12</f>
        <v>493336778.82827</v>
      </c>
    </row>
    <row r="13" customFormat="false" ht="15" hidden="false" customHeight="false" outlineLevel="0" collapsed="false">
      <c r="A13" s="0" t="n">
        <v>2036</v>
      </c>
      <c r="B13" s="0" t="n">
        <v>10</v>
      </c>
      <c r="C13" s="0" t="n">
        <v>4832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2198.238</v>
      </c>
      <c r="I13" s="0" t="n">
        <v>285.395</v>
      </c>
      <c r="J13" s="0" t="n">
        <v>1491.323</v>
      </c>
      <c r="K13" s="0" t="n">
        <v>2499.055</v>
      </c>
      <c r="L13" s="0" t="n">
        <v>1341.522</v>
      </c>
      <c r="M13" s="0" t="n">
        <v>73863.758</v>
      </c>
      <c r="N13" s="0" t="n">
        <v>7799.174</v>
      </c>
      <c r="O13" s="0" t="n">
        <v>84.293</v>
      </c>
      <c r="P13" s="0" t="n">
        <v>84.702</v>
      </c>
      <c r="Q13" s="0" t="n">
        <v>2206.148</v>
      </c>
      <c r="R13" s="0" t="n">
        <v>1910.594</v>
      </c>
      <c r="S13" s="0" t="n">
        <v>6732.842</v>
      </c>
      <c r="T13" s="0" t="n">
        <v>2483.633</v>
      </c>
      <c r="U13" s="0" t="n">
        <v>1732.191</v>
      </c>
      <c r="V13" s="0" t="n">
        <v>129501.649</v>
      </c>
      <c r="W13" s="0" t="n">
        <v>268.597</v>
      </c>
      <c r="X13" s="0" t="n">
        <v>715.989</v>
      </c>
      <c r="Y13" s="0" t="n">
        <v>84.293</v>
      </c>
      <c r="Z13" s="0" t="n">
        <v>903.064</v>
      </c>
      <c r="AA13" s="0" t="n">
        <f aca="false">H13*x_c_F+I13*x_c_CC+J13*x_c_DC+K13*x_c_HCC+L13*x_c_PLT+M13*x_c_SVRn+N13*x_c_SVRcc+O13*x_c_LT+P13*x_c_LT1</f>
        <v>334304671.097159</v>
      </c>
      <c r="AB13" s="0" t="n">
        <f aca="false">C13*x_c_DAA</f>
        <v>109976320</v>
      </c>
      <c r="AC13" s="0" t="n">
        <f aca="false">C13*x_c_MON</f>
        <v>27857107.6100244</v>
      </c>
      <c r="AD13" s="0" t="n">
        <f aca="false">D13*(1-x_testy)</f>
        <v>0</v>
      </c>
      <c r="AE13" s="0" t="n">
        <f aca="false">E13*(1-x_testy)</f>
        <v>0</v>
      </c>
      <c r="AF13" s="0" t="n">
        <f aca="false">F13*x_NAV</f>
        <v>0</v>
      </c>
      <c r="AG13" s="0" t="n">
        <f aca="false">G13*x_FIX*(1-x_testy)</f>
        <v>0</v>
      </c>
      <c r="AH13" s="0" t="n">
        <f aca="false">x_z_F*U13+(1-x_AGRI)*x_EMP*x_WLOSS*(x_PEN_K74*Q13+x_PEN_C22*R13)</f>
        <v>47553140.2748551</v>
      </c>
      <c r="AI13" s="0" t="n">
        <f aca="false">x_AGRI*x_EMP*x_WLOSS*(x_PEN_K74*Q13+x_PEN_C22*R13)</f>
        <v>2907781.31679862</v>
      </c>
      <c r="AJ13" s="0" t="n">
        <f aca="false">x_EMP*x_WAGE*(x_WLOSS*(Q13+R13)+S13)+U13*x_ABS_D*x_WAGE/365</f>
        <v>804262020.231792</v>
      </c>
      <c r="AK13" s="0" t="n">
        <f aca="false">AJ13*x_R_FUS</f>
        <v>254468503.201339</v>
      </c>
      <c r="AL13" s="0" t="n">
        <f aca="false">AJ13*x_R_NFZ</f>
        <v>62459792.7532212</v>
      </c>
      <c r="AM13" s="0" t="n">
        <f aca="false">AJ13*x_R_PIT</f>
        <v>53470695.9700766</v>
      </c>
      <c r="AN13" s="0" t="n">
        <f aca="false">AJ13*x_R_FP</f>
        <v>20508681.5159107</v>
      </c>
      <c r="AO13" s="0" t="n">
        <f aca="false">AA13+AB13+AC13+AD13+AF13</f>
        <v>472138098.707184</v>
      </c>
      <c r="AP13" s="0" t="n">
        <f aca="false">AO13+AE13+AG13+AH13+AI13+AK13+AL13+AM13+AN13</f>
        <v>913506693.739385</v>
      </c>
      <c r="AQ13" s="0" t="n">
        <f aca="false">AO13+AE13+AG13+AJ13</f>
        <v>1276400118.93898</v>
      </c>
      <c r="AR13" s="0" t="n">
        <f aca="false">AB13+AC13+AD13+AF13</f>
        <v>137833427.610024</v>
      </c>
      <c r="AS13" s="0" t="n">
        <f aca="false">AR13+AE13+AG13</f>
        <v>137833427.610024</v>
      </c>
    </row>
    <row r="14" customFormat="false" ht="15" hidden="false" customHeight="false" outlineLevel="0" collapsed="false">
      <c r="A14" s="0" t="n">
        <v>2037</v>
      </c>
      <c r="B14" s="0" t="n">
        <v>11</v>
      </c>
      <c r="C14" s="0" t="n">
        <v>4832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2197.62</v>
      </c>
      <c r="I14" s="0" t="n">
        <v>284.521</v>
      </c>
      <c r="J14" s="0" t="n">
        <v>1478.984</v>
      </c>
      <c r="K14" s="0" t="n">
        <v>2474.791</v>
      </c>
      <c r="L14" s="0" t="n">
        <v>1322.098</v>
      </c>
      <c r="M14" s="0" t="n">
        <v>76622.931</v>
      </c>
      <c r="N14" s="0" t="n">
        <v>8038.861</v>
      </c>
      <c r="O14" s="0" t="n">
        <v>83.504</v>
      </c>
      <c r="P14" s="0" t="n">
        <v>83.899</v>
      </c>
      <c r="Q14" s="0" t="n">
        <v>2212.7</v>
      </c>
      <c r="R14" s="0" t="n">
        <v>1920.417</v>
      </c>
      <c r="S14" s="0" t="n">
        <v>7375.012</v>
      </c>
      <c r="T14" s="0" t="n">
        <v>2482.141</v>
      </c>
      <c r="U14" s="0" t="n">
        <v>1760.834</v>
      </c>
      <c r="V14" s="0" t="n">
        <v>130934.22</v>
      </c>
      <c r="W14" s="0" t="n">
        <v>266.619</v>
      </c>
      <c r="X14" s="0" t="n">
        <v>708.934</v>
      </c>
      <c r="Y14" s="0" t="n">
        <v>83.504</v>
      </c>
      <c r="Z14" s="0" t="n">
        <v>893.631</v>
      </c>
      <c r="AA14" s="0" t="n">
        <f aca="false">H14*x_c_F+I14*x_c_CC+J14*x_c_DC+K14*x_c_HCC+L14*x_c_PLT+M14*x_c_SVRn+N14*x_c_SVRcc+O14*x_c_LT+P14*x_c_LT1</f>
        <v>333969910.008392</v>
      </c>
      <c r="AB14" s="0" t="n">
        <f aca="false">C14*x_c_DAA</f>
        <v>109976320</v>
      </c>
      <c r="AC14" s="0" t="n">
        <f aca="false">C14*x_c_MON</f>
        <v>27857107.6100244</v>
      </c>
      <c r="AD14" s="0" t="n">
        <f aca="false">D14*(1-x_testy)</f>
        <v>0</v>
      </c>
      <c r="AE14" s="0" t="n">
        <f aca="false">E14*(1-x_testy)</f>
        <v>0</v>
      </c>
      <c r="AF14" s="0" t="n">
        <f aca="false">F14*x_NAV</f>
        <v>0</v>
      </c>
      <c r="AG14" s="0" t="n">
        <f aca="false">G14*x_FIX*(1-x_testy)</f>
        <v>0</v>
      </c>
      <c r="AH14" s="0" t="n">
        <f aca="false">x_z_F*U14+(1-x_AGRI)*x_EMP*x_WLOSS*(x_PEN_K74*Q14+x_PEN_C22*R14)</f>
        <v>47790061.6123679</v>
      </c>
      <c r="AI14" s="0" t="n">
        <f aca="false">x_AGRI*x_EMP*x_WLOSS*(x_PEN_K74*Q14+x_PEN_C22*R14)</f>
        <v>2919549.02284426</v>
      </c>
      <c r="AJ14" s="0" t="n">
        <f aca="false">x_EMP*x_WAGE*(x_WLOSS*(Q14+R14)+S14)+U14*x_ABS_D*x_WAGE/365</f>
        <v>859993369.838721</v>
      </c>
      <c r="AK14" s="0" t="n">
        <f aca="false">AJ14*x_R_FUS</f>
        <v>272101902.216971</v>
      </c>
      <c r="AL14" s="0" t="n">
        <f aca="false">AJ14*x_R_NFZ</f>
        <v>66787945.0950449</v>
      </c>
      <c r="AM14" s="0" t="n">
        <f aca="false">AJ14*x_R_PIT</f>
        <v>57175948.705964</v>
      </c>
      <c r="AN14" s="0" t="n">
        <f aca="false">AJ14*x_R_FP</f>
        <v>21929830.9308874</v>
      </c>
      <c r="AO14" s="0" t="n">
        <f aca="false">AA14+AB14+AC14+AD14+AF14</f>
        <v>471803337.618416</v>
      </c>
      <c r="AP14" s="0" t="n">
        <f aca="false">AO14+AE14+AG14+AH14+AI14+AK14+AL14+AM14+AN14</f>
        <v>940508575.202496</v>
      </c>
      <c r="AQ14" s="0" t="n">
        <f aca="false">AO14+AE14+AG14+AJ14</f>
        <v>1331796707.45714</v>
      </c>
      <c r="AR14" s="0" t="n">
        <f aca="false">AB14+AC14+AD14+AF14</f>
        <v>137833427.610024</v>
      </c>
      <c r="AS14" s="0" t="n">
        <f aca="false">AR14+AE14+AG14</f>
        <v>137833427.610024</v>
      </c>
    </row>
    <row r="15" customFormat="false" ht="15" hidden="false" customHeight="false" outlineLevel="0" collapsed="false">
      <c r="A15" s="0" t="n">
        <v>2038</v>
      </c>
      <c r="B15" s="0" t="n">
        <v>12</v>
      </c>
      <c r="C15" s="0" t="n">
        <v>4832</v>
      </c>
      <c r="D15" s="0" t="n">
        <v>0</v>
      </c>
      <c r="E15" s="0" t="n">
        <v>0</v>
      </c>
      <c r="F15" s="0" t="n">
        <v>0</v>
      </c>
      <c r="G15" s="0" t="n">
        <v>0</v>
      </c>
      <c r="H15" s="0" t="n">
        <v>2198.501</v>
      </c>
      <c r="I15" s="0" t="n">
        <v>282.133</v>
      </c>
      <c r="J15" s="0" t="n">
        <v>1464.832</v>
      </c>
      <c r="K15" s="0" t="n">
        <v>2447.068</v>
      </c>
      <c r="L15" s="0" t="n">
        <v>1301.562</v>
      </c>
      <c r="M15" s="0" t="n">
        <v>79325.037</v>
      </c>
      <c r="N15" s="0" t="n">
        <v>8255.207</v>
      </c>
      <c r="O15" s="0" t="n">
        <v>82.637</v>
      </c>
      <c r="P15" s="0" t="n">
        <v>83.07</v>
      </c>
      <c r="Q15" s="0" t="n">
        <v>1443.932</v>
      </c>
      <c r="R15" s="0" t="n">
        <v>1265.993</v>
      </c>
      <c r="S15" s="0" t="n">
        <v>5095.878</v>
      </c>
      <c r="T15" s="0" t="n">
        <v>2480.633</v>
      </c>
      <c r="U15" s="0" t="n">
        <v>1535.15</v>
      </c>
      <c r="V15" s="0" t="n">
        <v>132325.169</v>
      </c>
      <c r="W15" s="0" t="n">
        <v>263.295</v>
      </c>
      <c r="X15" s="0" t="n">
        <v>698.928</v>
      </c>
      <c r="Y15" s="0" t="n">
        <v>82.637</v>
      </c>
      <c r="Z15" s="0" t="n">
        <v>883.354</v>
      </c>
      <c r="AA15" s="0" t="n">
        <f aca="false">H15*x_c_F+I15*x_c_CC+J15*x_c_DC+K15*x_c_HCC+L15*x_c_PLT+M15*x_c_SVRn+N15*x_c_SVRcc+O15*x_c_LT+P15*x_c_LT1</f>
        <v>333218942.400931</v>
      </c>
      <c r="AB15" s="0" t="n">
        <f aca="false">C15*x_c_DAA</f>
        <v>109976320</v>
      </c>
      <c r="AC15" s="0" t="n">
        <f aca="false">C15*x_c_MON</f>
        <v>27857107.6100244</v>
      </c>
      <c r="AD15" s="0" t="n">
        <f aca="false">D15*(1-x_testy)</f>
        <v>0</v>
      </c>
      <c r="AE15" s="0" t="n">
        <f aca="false">E15*(1-x_testy)</f>
        <v>0</v>
      </c>
      <c r="AF15" s="0" t="n">
        <f aca="false">F15*x_NAV</f>
        <v>0</v>
      </c>
      <c r="AG15" s="0" t="n">
        <f aca="false">G15*x_FIX*(1-x_testy)</f>
        <v>0</v>
      </c>
      <c r="AH15" s="0" t="n">
        <f aca="false">x_z_F*U15+(1-x_AGRI)*x_EMP*x_WLOSS*(x_PEN_K74*Q15+x_PEN_C22*R15)</f>
        <v>32126048.2765377</v>
      </c>
      <c r="AI15" s="0" t="n">
        <f aca="false">x_AGRI*x_EMP*x_WLOSS*(x_PEN_K74*Q15+x_PEN_C22*R15)</f>
        <v>1914856.33343223</v>
      </c>
      <c r="AJ15" s="0" t="n">
        <f aca="false">x_EMP*x_WAGE*(x_WLOSS*(Q15+R15)+S15)+U15*x_ABS_D*x_WAGE/365</f>
        <v>587181573.929633</v>
      </c>
      <c r="AK15" s="0" t="n">
        <f aca="false">AJ15*x_R_FUS</f>
        <v>185784249.991336</v>
      </c>
      <c r="AL15" s="0" t="n">
        <f aca="false">AJ15*x_R_NFZ</f>
        <v>45601108.2129493</v>
      </c>
      <c r="AM15" s="0" t="n">
        <f aca="false">AJ15*x_R_PIT</f>
        <v>39038281.8397588</v>
      </c>
      <c r="AN15" s="0" t="n">
        <f aca="false">AJ15*x_R_FP</f>
        <v>14973130.1352057</v>
      </c>
      <c r="AO15" s="0" t="n">
        <f aca="false">AA15+AB15+AC15+AD15+AF15</f>
        <v>471052370.010955</v>
      </c>
      <c r="AP15" s="0" t="n">
        <f aca="false">AO15+AE15+AG15+AH15+AI15+AK15+AL15+AM15+AN15</f>
        <v>790490044.800175</v>
      </c>
      <c r="AQ15" s="0" t="n">
        <f aca="false">AO15+AE15+AG15+AJ15</f>
        <v>1058233943.94059</v>
      </c>
      <c r="AR15" s="0" t="n">
        <f aca="false">AB15+AC15+AD15+AF15</f>
        <v>137833427.610024</v>
      </c>
      <c r="AS15" s="0" t="n">
        <f aca="false">AR15+AE15+AG15</f>
        <v>137833427.610024</v>
      </c>
    </row>
    <row r="16" customFormat="false" ht="15" hidden="false" customHeight="false" outlineLevel="0" collapsed="false">
      <c r="A16" s="0" t="n">
        <v>2039</v>
      </c>
      <c r="B16" s="0" t="n">
        <v>13</v>
      </c>
      <c r="C16" s="0" t="n">
        <v>4832</v>
      </c>
      <c r="D16" s="0" t="n">
        <v>0</v>
      </c>
      <c r="E16" s="0" t="n">
        <v>0</v>
      </c>
      <c r="F16" s="0" t="n">
        <v>0</v>
      </c>
      <c r="G16" s="0" t="n">
        <v>0</v>
      </c>
      <c r="H16" s="0" t="n">
        <v>2200.761</v>
      </c>
      <c r="I16" s="0" t="n">
        <v>278.363</v>
      </c>
      <c r="J16" s="0" t="n">
        <v>1447.831</v>
      </c>
      <c r="K16" s="0" t="n">
        <v>2414.019</v>
      </c>
      <c r="L16" s="0" t="n">
        <v>1279.833</v>
      </c>
      <c r="M16" s="0" t="n">
        <v>81962.661</v>
      </c>
      <c r="N16" s="0" t="n">
        <v>8444.969</v>
      </c>
      <c r="O16" s="0" t="n">
        <v>81.621</v>
      </c>
      <c r="P16" s="0" t="n">
        <v>82.129</v>
      </c>
      <c r="Q16" s="0" t="n">
        <v>677.221</v>
      </c>
      <c r="R16" s="0" t="n">
        <v>614.88</v>
      </c>
      <c r="S16" s="0" t="n">
        <v>2604.717</v>
      </c>
      <c r="T16" s="0" t="n">
        <v>2479.124</v>
      </c>
      <c r="U16" s="0" t="n">
        <v>1325.228</v>
      </c>
      <c r="V16" s="0" t="n">
        <v>133671.673</v>
      </c>
      <c r="W16" s="0" t="n">
        <v>258.782</v>
      </c>
      <c r="X16" s="0" t="n">
        <v>686.349</v>
      </c>
      <c r="Y16" s="0" t="n">
        <v>81.621</v>
      </c>
      <c r="Z16" s="0" t="n">
        <v>871.45</v>
      </c>
      <c r="AA16" s="0" t="n">
        <f aca="false">H16*x_c_F+I16*x_c_CC+J16*x_c_DC+K16*x_c_HCC+L16*x_c_PLT+M16*x_c_SVRn+N16*x_c_SVRcc+O16*x_c_LT+P16*x_c_LT1</f>
        <v>331871590.664929</v>
      </c>
      <c r="AB16" s="0" t="n">
        <f aca="false">C16*x_c_DAA</f>
        <v>109976320</v>
      </c>
      <c r="AC16" s="0" t="n">
        <f aca="false">C16*x_c_MON</f>
        <v>27857107.6100244</v>
      </c>
      <c r="AD16" s="0" t="n">
        <f aca="false">D16*(1-x_testy)</f>
        <v>0</v>
      </c>
      <c r="AE16" s="0" t="n">
        <f aca="false">E16*(1-x_testy)</f>
        <v>0</v>
      </c>
      <c r="AF16" s="0" t="n">
        <f aca="false">F16*x_NAV</f>
        <v>0</v>
      </c>
      <c r="AG16" s="0" t="n">
        <f aca="false">G16*x_FIX*(1-x_testy)</f>
        <v>0</v>
      </c>
      <c r="AH16" s="0" t="n">
        <f aca="false">x_z_F*U16+(1-x_AGRI)*x_EMP*x_WLOSS*(x_PEN_K74*Q16+x_PEN_C22*R16)</f>
        <v>16552927.2796112</v>
      </c>
      <c r="AI16" s="0" t="n">
        <f aca="false">x_AGRI*x_EMP*x_WLOSS*(x_PEN_K74*Q16+x_PEN_C22*R16)</f>
        <v>914029.531662993</v>
      </c>
      <c r="AJ16" s="0" t="n">
        <f aca="false">x_EMP*x_WAGE*(x_WLOSS*(Q16+R16)+S16)+U16*x_ABS_D*x_WAGE/365</f>
        <v>296632106.101418</v>
      </c>
      <c r="AK16" s="0" t="n">
        <f aca="false">AJ16*x_R_FUS</f>
        <v>93854398.3704886</v>
      </c>
      <c r="AL16" s="0" t="n">
        <f aca="false">AJ16*x_R_NFZ</f>
        <v>23036745.9919422</v>
      </c>
      <c r="AM16" s="0" t="n">
        <f aca="false">AJ16*x_R_PIT</f>
        <v>19721340.5100755</v>
      </c>
      <c r="AN16" s="0" t="n">
        <f aca="false">AJ16*x_R_FP</f>
        <v>7564118.70558616</v>
      </c>
      <c r="AO16" s="0" t="n">
        <f aca="false">AA16+AB16+AC16+AD16+AF16</f>
        <v>469705018.274953</v>
      </c>
      <c r="AP16" s="0" t="n">
        <f aca="false">AO16+AE16+AG16+AH16+AI16+AK16+AL16+AM16+AN16</f>
        <v>631348578.66432</v>
      </c>
      <c r="AQ16" s="0" t="n">
        <f aca="false">AO16+AE16+AG16+AJ16</f>
        <v>766337124.376371</v>
      </c>
      <c r="AR16" s="0" t="n">
        <f aca="false">AB16+AC16+AD16+AF16</f>
        <v>137833427.610024</v>
      </c>
      <c r="AS16" s="0" t="n">
        <f aca="false">AR16+AE16+AG16</f>
        <v>137833427.610024</v>
      </c>
    </row>
    <row r="17" customFormat="false" ht="15" hidden="false" customHeight="false" outlineLevel="0" collapsed="false">
      <c r="A17" s="0" t="n">
        <v>2040</v>
      </c>
      <c r="B17" s="0" t="n">
        <v>14</v>
      </c>
      <c r="C17" s="0" t="n">
        <v>4832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2204.247</v>
      </c>
      <c r="I17" s="0" t="n">
        <v>273.379</v>
      </c>
      <c r="J17" s="0" t="n">
        <v>1427.36</v>
      </c>
      <c r="K17" s="0" t="n">
        <v>2374.813</v>
      </c>
      <c r="L17" s="0" t="n">
        <v>1256.804</v>
      </c>
      <c r="M17" s="0" t="n">
        <v>84532.699</v>
      </c>
      <c r="N17" s="0" t="n">
        <v>8605.558</v>
      </c>
      <c r="O17" s="0" t="n">
        <v>80.416</v>
      </c>
      <c r="P17" s="0" t="n">
        <v>81.019</v>
      </c>
      <c r="Q17" s="0" t="n">
        <v>688.077</v>
      </c>
      <c r="R17" s="0" t="n">
        <v>631.838</v>
      </c>
      <c r="S17" s="0" t="n">
        <v>2821.917</v>
      </c>
      <c r="T17" s="0" t="n">
        <v>2477.627</v>
      </c>
      <c r="U17" s="0" t="n">
        <v>1383.309</v>
      </c>
      <c r="V17" s="0" t="n">
        <v>134974.538</v>
      </c>
      <c r="W17" s="0" t="n">
        <v>253.268</v>
      </c>
      <c r="X17" s="0" t="n">
        <v>671.633</v>
      </c>
      <c r="Y17" s="0" t="n">
        <v>80.416</v>
      </c>
      <c r="Z17" s="0" t="n">
        <v>857.525</v>
      </c>
      <c r="AA17" s="0" t="n">
        <f aca="false">H17*x_c_F+I17*x_c_CC+J17*x_c_DC+K17*x_c_HCC+L17*x_c_PLT+M17*x_c_SVRn+N17*x_c_SVRcc+O17*x_c_LT+P17*x_c_LT1</f>
        <v>329836026.065335</v>
      </c>
      <c r="AB17" s="0" t="n">
        <f aca="false">C17*x_c_DAA</f>
        <v>109976320</v>
      </c>
      <c r="AC17" s="0" t="n">
        <f aca="false">C17*x_c_MON</f>
        <v>27857107.6100244</v>
      </c>
      <c r="AD17" s="0" t="n">
        <f aca="false">D17*(1-x_testy)</f>
        <v>0</v>
      </c>
      <c r="AE17" s="0" t="n">
        <f aca="false">E17*(1-x_testy)</f>
        <v>0</v>
      </c>
      <c r="AF17" s="0" t="n">
        <f aca="false">F17*x_NAV</f>
        <v>0</v>
      </c>
      <c r="AG17" s="0" t="n">
        <f aca="false">G17*x_FIX*(1-x_testy)</f>
        <v>0</v>
      </c>
      <c r="AH17" s="0" t="n">
        <f aca="false">x_z_F*U17+(1-x_AGRI)*x_EMP*x_WLOSS*(x_PEN_K74*Q17+x_PEN_C22*R17)</f>
        <v>16975113.0969465</v>
      </c>
      <c r="AI17" s="0" t="n">
        <f aca="false">x_AGRI*x_EMP*x_WLOSS*(x_PEN_K74*Q17+x_PEN_C22*R17)</f>
        <v>934042.490861106</v>
      </c>
      <c r="AJ17" s="0" t="n">
        <f aca="false">x_EMP*x_WAGE*(x_WLOSS*(Q17+R17)+S17)+U17*x_ABS_D*x_WAGE/365</f>
        <v>316842330.165055</v>
      </c>
      <c r="AK17" s="0" t="n">
        <f aca="false">AJ17*x_R_FUS</f>
        <v>100248913.264223</v>
      </c>
      <c r="AL17" s="0" t="n">
        <f aca="false">AJ17*x_R_NFZ</f>
        <v>24606292.2029483</v>
      </c>
      <c r="AM17" s="0" t="n">
        <f aca="false">AJ17*x_R_PIT</f>
        <v>21065000.5601701</v>
      </c>
      <c r="AN17" s="0" t="n">
        <f aca="false">AJ17*x_R_FP</f>
        <v>8079479.41920889</v>
      </c>
      <c r="AO17" s="0" t="n">
        <f aca="false">AA17+AB17+AC17+AD17+AF17</f>
        <v>467669453.67536</v>
      </c>
      <c r="AP17" s="0" t="n">
        <f aca="false">AO17+AE17+AG17+AH17+AI17+AK17+AL17+AM17+AN17</f>
        <v>639578294.709718</v>
      </c>
      <c r="AQ17" s="0" t="n">
        <f aca="false">AO17+AE17+AG17+AJ17</f>
        <v>784511783.840414</v>
      </c>
      <c r="AR17" s="0" t="n">
        <f aca="false">AB17+AC17+AD17+AF17</f>
        <v>137833427.610024</v>
      </c>
      <c r="AS17" s="0" t="n">
        <f aca="false">AR17+AE17+AG17</f>
        <v>137833427.610024</v>
      </c>
    </row>
    <row r="18" customFormat="false" ht="15" hidden="false" customHeight="false" outlineLevel="0" collapsed="false">
      <c r="A18" s="0" t="n">
        <v>2041</v>
      </c>
      <c r="B18" s="0" t="n">
        <v>15</v>
      </c>
      <c r="C18" s="0" t="n">
        <v>4832</v>
      </c>
      <c r="D18" s="0" t="n">
        <v>0</v>
      </c>
      <c r="E18" s="0" t="n">
        <v>0</v>
      </c>
      <c r="F18" s="0" t="n">
        <v>0</v>
      </c>
      <c r="G18" s="0" t="n">
        <v>0</v>
      </c>
      <c r="H18" s="0" t="n">
        <v>2208.781</v>
      </c>
      <c r="I18" s="0" t="n">
        <v>267.379</v>
      </c>
      <c r="J18" s="0" t="n">
        <v>1403.213</v>
      </c>
      <c r="K18" s="0" t="n">
        <v>2329.471</v>
      </c>
      <c r="L18" s="0" t="n">
        <v>1232.422</v>
      </c>
      <c r="M18" s="0" t="n">
        <v>87036.264</v>
      </c>
      <c r="N18" s="0" t="n">
        <v>8735.456</v>
      </c>
      <c r="O18" s="0" t="n">
        <v>79.01</v>
      </c>
      <c r="P18" s="0" t="n">
        <v>79.713</v>
      </c>
      <c r="Q18" s="0" t="n">
        <v>699.86</v>
      </c>
      <c r="R18" s="0" t="n">
        <v>650.26</v>
      </c>
      <c r="S18" s="0" t="n">
        <v>3043.859</v>
      </c>
      <c r="T18" s="0" t="n">
        <v>2476.159</v>
      </c>
      <c r="U18" s="0" t="n">
        <v>1438.717</v>
      </c>
      <c r="V18" s="0" t="n">
        <v>136239.085</v>
      </c>
      <c r="W18" s="0" t="n">
        <v>246.962</v>
      </c>
      <c r="X18" s="0" t="n">
        <v>655.269</v>
      </c>
      <c r="Y18" s="0" t="n">
        <v>79.01</v>
      </c>
      <c r="Z18" s="0" t="n">
        <v>841.517</v>
      </c>
      <c r="AA18" s="0" t="n">
        <f aca="false">H18*x_c_F+I18*x_c_CC+J18*x_c_DC+K18*x_c_HCC+L18*x_c_PLT+M18*x_c_SVRn+N18*x_c_SVRcc+O18*x_c_LT+P18*x_c_LT1</f>
        <v>327099836.330869</v>
      </c>
      <c r="AB18" s="0" t="n">
        <f aca="false">C18*x_c_DAA</f>
        <v>109976320</v>
      </c>
      <c r="AC18" s="0" t="n">
        <f aca="false">C18*x_c_MON</f>
        <v>27857107.6100244</v>
      </c>
      <c r="AD18" s="0" t="n">
        <f aca="false">D18*(1-x_testy)</f>
        <v>0</v>
      </c>
      <c r="AE18" s="0" t="n">
        <f aca="false">E18*(1-x_testy)</f>
        <v>0</v>
      </c>
      <c r="AF18" s="0" t="n">
        <f aca="false">F18*x_NAV</f>
        <v>0</v>
      </c>
      <c r="AG18" s="0" t="n">
        <f aca="false">G18*x_FIX*(1-x_testy)</f>
        <v>0</v>
      </c>
      <c r="AH18" s="0" t="n">
        <f aca="false">x_z_F*U18+(1-x_AGRI)*x_EMP*x_WLOSS*(x_PEN_K74*Q18+x_PEN_C22*R18)</f>
        <v>17417839.8792224</v>
      </c>
      <c r="AI18" s="0" t="n">
        <f aca="false">x_AGRI*x_EMP*x_WLOSS*(x_PEN_K74*Q18+x_PEN_C22*R18)</f>
        <v>955776.406355407</v>
      </c>
      <c r="AJ18" s="0" t="n">
        <f aca="false">x_EMP*x_WAGE*(x_WLOSS*(Q18+R18)+S18)+U18*x_ABS_D*x_WAGE/365</f>
        <v>337579762.228286</v>
      </c>
      <c r="AK18" s="0" t="n">
        <f aca="false">AJ18*x_R_FUS</f>
        <v>106810236.76903</v>
      </c>
      <c r="AL18" s="0" t="n">
        <f aca="false">AJ18*x_R_NFZ</f>
        <v>26216781.9144109</v>
      </c>
      <c r="AM18" s="0" t="n">
        <f aca="false">AJ18*x_R_PIT</f>
        <v>22443711.5985623</v>
      </c>
      <c r="AN18" s="0" t="n">
        <f aca="false">AJ18*x_R_FP</f>
        <v>8608283.9368213</v>
      </c>
      <c r="AO18" s="0" t="n">
        <f aca="false">AA18+AB18+AC18+AD18+AF18</f>
        <v>464933263.940893</v>
      </c>
      <c r="AP18" s="0" t="n">
        <f aca="false">AO18+AE18+AG18+AH18+AI18+AK18+AL18+AM18+AN18</f>
        <v>647385894.445295</v>
      </c>
      <c r="AQ18" s="0" t="n">
        <f aca="false">AO18+AE18+AG18+AJ18</f>
        <v>802513026.169179</v>
      </c>
      <c r="AR18" s="0" t="n">
        <f aca="false">AB18+AC18+AD18+AF18</f>
        <v>137833427.610024</v>
      </c>
      <c r="AS18" s="0" t="n">
        <f aca="false">AR18+AE18+AG18</f>
        <v>137833427.610024</v>
      </c>
    </row>
    <row r="19" customFormat="false" ht="15" hidden="false" customHeight="false" outlineLevel="0" collapsed="false">
      <c r="A19" s="0" t="n">
        <v>2042</v>
      </c>
      <c r="B19" s="0" t="n">
        <v>16</v>
      </c>
      <c r="C19" s="0" t="n">
        <v>4832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2214.162</v>
      </c>
      <c r="I19" s="0" t="n">
        <v>260.576</v>
      </c>
      <c r="J19" s="0" t="n">
        <v>1375.357</v>
      </c>
      <c r="K19" s="0" t="n">
        <v>2278.394</v>
      </c>
      <c r="L19" s="0" t="n">
        <v>1206.414</v>
      </c>
      <c r="M19" s="0" t="n">
        <v>89468.032</v>
      </c>
      <c r="N19" s="0" t="n">
        <v>8832.909</v>
      </c>
      <c r="O19" s="0" t="n">
        <v>77.391</v>
      </c>
      <c r="P19" s="0" t="n">
        <v>78.201</v>
      </c>
      <c r="Q19" s="0" t="n">
        <v>712.611</v>
      </c>
      <c r="R19" s="0" t="n">
        <v>670.161</v>
      </c>
      <c r="S19" s="0" t="n">
        <v>3270.87</v>
      </c>
      <c r="T19" s="0" t="n">
        <v>2474.737</v>
      </c>
      <c r="U19" s="0" t="n">
        <v>1491.272</v>
      </c>
      <c r="V19" s="0" t="n">
        <v>137465.083</v>
      </c>
      <c r="W19" s="0" t="n">
        <v>240.048</v>
      </c>
      <c r="X19" s="0" t="n">
        <v>637.654</v>
      </c>
      <c r="Y19" s="0" t="n">
        <v>77.391</v>
      </c>
      <c r="Z19" s="0" t="n">
        <v>823.361</v>
      </c>
      <c r="AA19" s="0" t="n">
        <f aca="false">H19*x_c_F+I19*x_c_CC+J19*x_c_DC+K19*x_c_HCC+L19*x_c_PLT+M19*x_c_SVRn+N19*x_c_SVRcc+O19*x_c_LT+P19*x_c_LT1</f>
        <v>323666867.340614</v>
      </c>
      <c r="AB19" s="0" t="n">
        <f aca="false">C19*x_c_DAA</f>
        <v>109976320</v>
      </c>
      <c r="AC19" s="0" t="n">
        <f aca="false">C19*x_c_MON</f>
        <v>27857107.6100244</v>
      </c>
      <c r="AD19" s="0" t="n">
        <f aca="false">D19*(1-x_testy)</f>
        <v>0</v>
      </c>
      <c r="AE19" s="0" t="n">
        <f aca="false">E19*(1-x_testy)</f>
        <v>0</v>
      </c>
      <c r="AF19" s="0" t="n">
        <f aca="false">F19*x_NAV</f>
        <v>0</v>
      </c>
      <c r="AG19" s="0" t="n">
        <f aca="false">G19*x_FIX*(1-x_testy)</f>
        <v>0</v>
      </c>
      <c r="AH19" s="0" t="n">
        <f aca="false">x_z_F*U19+(1-x_AGRI)*x_EMP*x_WLOSS*(x_PEN_K74*Q19+x_PEN_C22*R19)</f>
        <v>17881320.9131044</v>
      </c>
      <c r="AI19" s="0" t="n">
        <f aca="false">x_AGRI*x_EMP*x_WLOSS*(x_PEN_K74*Q19+x_PEN_C22*R19)</f>
        <v>979269.836451953</v>
      </c>
      <c r="AJ19" s="0" t="n">
        <f aca="false">x_EMP*x_WAGE*(x_WLOSS*(Q19+R19)+S19)+U19*x_ABS_D*x_WAGE/365</f>
        <v>358874816.160571</v>
      </c>
      <c r="AK19" s="0" t="n">
        <f aca="false">AJ19*x_R_FUS</f>
        <v>113547991.833205</v>
      </c>
      <c r="AL19" s="0" t="n">
        <f aca="false">AJ19*x_R_NFZ</f>
        <v>27870577.0978461</v>
      </c>
      <c r="AM19" s="0" t="n">
        <f aca="false">AJ19*x_R_PIT</f>
        <v>23859495.6662365</v>
      </c>
      <c r="AN19" s="0" t="n">
        <f aca="false">AJ19*x_R_FP</f>
        <v>9151307.81209456</v>
      </c>
      <c r="AO19" s="0" t="n">
        <f aca="false">AA19+AB19+AC19+AD19+AF19</f>
        <v>461500294.950639</v>
      </c>
      <c r="AP19" s="0" t="n">
        <f aca="false">AO19+AE19+AG19+AH19+AI19+AK19+AL19+AM19+AN19</f>
        <v>654790258.109577</v>
      </c>
      <c r="AQ19" s="0" t="n">
        <f aca="false">AO19+AE19+AG19+AJ19</f>
        <v>820375111.11121</v>
      </c>
      <c r="AR19" s="0" t="n">
        <f aca="false">AB19+AC19+AD19+AF19</f>
        <v>137833427.610024</v>
      </c>
      <c r="AS19" s="0" t="n">
        <f aca="false">AR19+AE19+AG19</f>
        <v>137833427.610024</v>
      </c>
    </row>
    <row r="20" customFormat="false" ht="15" hidden="false" customHeight="false" outlineLevel="0" collapsed="false">
      <c r="A20" s="0" t="n">
        <v>2043</v>
      </c>
      <c r="B20" s="0" t="n">
        <v>17</v>
      </c>
      <c r="C20" s="0" t="n">
        <v>4832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2220.148</v>
      </c>
      <c r="I20" s="0" t="n">
        <v>253.239</v>
      </c>
      <c r="J20" s="0" t="n">
        <v>1344.59</v>
      </c>
      <c r="K20" s="0" t="n">
        <v>2223.219</v>
      </c>
      <c r="L20" s="0" t="n">
        <v>1179.39</v>
      </c>
      <c r="M20" s="0" t="n">
        <v>91854.179</v>
      </c>
      <c r="N20" s="0" t="n">
        <v>8901.432</v>
      </c>
      <c r="O20" s="0" t="n">
        <v>75.65</v>
      </c>
      <c r="P20" s="0" t="n">
        <v>76.52</v>
      </c>
      <c r="Q20" s="0" t="n">
        <v>726.375</v>
      </c>
      <c r="R20" s="0" t="n">
        <v>691.563</v>
      </c>
      <c r="S20" s="0" t="n">
        <v>3503.247</v>
      </c>
      <c r="T20" s="0" t="n">
        <v>2473.387</v>
      </c>
      <c r="U20" s="0" t="n">
        <v>1540.685</v>
      </c>
      <c r="V20" s="0" t="n">
        <v>138685.19</v>
      </c>
      <c r="W20" s="0" t="n">
        <v>232.884</v>
      </c>
      <c r="X20" s="0" t="n">
        <v>619.67</v>
      </c>
      <c r="Y20" s="0" t="n">
        <v>75.65</v>
      </c>
      <c r="Z20" s="0" t="n">
        <v>804.078</v>
      </c>
      <c r="AA20" s="0" t="n">
        <f aca="false">H20*x_c_F+I20*x_c_CC+J20*x_c_DC+K20*x_c_HCC+L20*x_c_PLT+M20*x_c_SVRn+N20*x_c_SVRcc+O20*x_c_LT+P20*x_c_LT1</f>
        <v>319733215.123214</v>
      </c>
      <c r="AB20" s="0" t="n">
        <f aca="false">C20*x_c_DAA</f>
        <v>109976320</v>
      </c>
      <c r="AC20" s="0" t="n">
        <f aca="false">C20*x_c_MON</f>
        <v>27857107.6100244</v>
      </c>
      <c r="AD20" s="0" t="n">
        <f aca="false">D20*(1-x_testy)</f>
        <v>0</v>
      </c>
      <c r="AE20" s="0" t="n">
        <f aca="false">E20*(1-x_testy)</f>
        <v>0</v>
      </c>
      <c r="AF20" s="0" t="n">
        <f aca="false">F20*x_NAV</f>
        <v>0</v>
      </c>
      <c r="AG20" s="0" t="n">
        <f aca="false">G20*x_FIX*(1-x_testy)</f>
        <v>0</v>
      </c>
      <c r="AH20" s="0" t="n">
        <f aca="false">x_z_F*U20+(1-x_AGRI)*x_EMP*x_WLOSS*(x_PEN_K74*Q20+x_PEN_C22*R20)</f>
        <v>18365665.5372144</v>
      </c>
      <c r="AI20" s="0" t="n">
        <f aca="false">x_AGRI*x_EMP*x_WLOSS*(x_PEN_K74*Q20+x_PEN_C22*R20)</f>
        <v>1004569.28086211</v>
      </c>
      <c r="AJ20" s="0" t="n">
        <f aca="false">x_EMP*x_WAGE*(x_WLOSS*(Q20+R20)+S20)+U20*x_ABS_D*x_WAGE/365</f>
        <v>380755629.387304</v>
      </c>
      <c r="AK20" s="0" t="n">
        <f aca="false">AJ20*x_R_FUS</f>
        <v>120471081.138143</v>
      </c>
      <c r="AL20" s="0" t="n">
        <f aca="false">AJ20*x_R_NFZ</f>
        <v>29569862.9338474</v>
      </c>
      <c r="AM20" s="0" t="n">
        <f aca="false">AJ20*x_R_PIT</f>
        <v>25314223.4566741</v>
      </c>
      <c r="AN20" s="0" t="n">
        <f aca="false">AJ20*x_R_FP</f>
        <v>9709268.54937625</v>
      </c>
      <c r="AO20" s="0" t="n">
        <f aca="false">AA20+AB20+AC20+AD20+AF20</f>
        <v>457566642.733238</v>
      </c>
      <c r="AP20" s="0" t="n">
        <f aca="false">AO20+AE20+AG20+AH20+AI20+AK20+AL20+AM20+AN20</f>
        <v>662001313.629356</v>
      </c>
      <c r="AQ20" s="0" t="n">
        <f aca="false">AO20+AE20+AG20+AJ20</f>
        <v>838322272.120543</v>
      </c>
      <c r="AR20" s="0" t="n">
        <f aca="false">AB20+AC20+AD20+AF20</f>
        <v>137833427.610024</v>
      </c>
      <c r="AS20" s="0" t="n">
        <f aca="false">AR20+AE20+AG20</f>
        <v>137833427.610024</v>
      </c>
    </row>
    <row r="21" customFormat="false" ht="15" hidden="false" customHeight="false" outlineLevel="0" collapsed="false">
      <c r="A21" s="0" t="n">
        <v>2044</v>
      </c>
      <c r="B21" s="0" t="n">
        <v>18</v>
      </c>
      <c r="C21" s="0" t="n">
        <v>4832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2226.495</v>
      </c>
      <c r="I21" s="0" t="n">
        <v>245.637</v>
      </c>
      <c r="J21" s="0" t="n">
        <v>1311.824</v>
      </c>
      <c r="K21" s="0" t="n">
        <v>2165.714</v>
      </c>
      <c r="L21" s="0" t="n">
        <v>1151.9</v>
      </c>
      <c r="M21" s="0" t="n">
        <v>94218.995</v>
      </c>
      <c r="N21" s="0" t="n">
        <v>8945.036</v>
      </c>
      <c r="O21" s="0" t="n">
        <v>73.791</v>
      </c>
      <c r="P21" s="0" t="n">
        <v>74.72</v>
      </c>
      <c r="Q21" s="0" t="n">
        <v>741.207</v>
      </c>
      <c r="R21" s="0" t="n">
        <v>714.48</v>
      </c>
      <c r="S21" s="0" t="n">
        <v>3741.332</v>
      </c>
      <c r="T21" s="0" t="n">
        <v>2472.133</v>
      </c>
      <c r="U21" s="0" t="n">
        <v>1586.709</v>
      </c>
      <c r="V21" s="0" t="n">
        <v>139929.142</v>
      </c>
      <c r="W21" s="0" t="n">
        <v>225.63</v>
      </c>
      <c r="X21" s="0" t="n">
        <v>601.648</v>
      </c>
      <c r="Y21" s="0" t="n">
        <v>73.791</v>
      </c>
      <c r="Z21" s="0" t="n">
        <v>783.759</v>
      </c>
      <c r="AA21" s="0" t="n">
        <f aca="false">H21*x_c_F+I21*x_c_CC+J21*x_c_DC+K21*x_c_HCC+L21*x_c_PLT+M21*x_c_SVRn+N21*x_c_SVRcc+O21*x_c_LT+P21*x_c_LT1</f>
        <v>315474354.734873</v>
      </c>
      <c r="AB21" s="0" t="n">
        <f aca="false">C21*x_c_DAA</f>
        <v>109976320</v>
      </c>
      <c r="AC21" s="0" t="n">
        <f aca="false">C21*x_c_MON</f>
        <v>27857107.6100244</v>
      </c>
      <c r="AD21" s="0" t="n">
        <f aca="false">D21*(1-x_testy)</f>
        <v>0</v>
      </c>
      <c r="AE21" s="0" t="n">
        <f aca="false">E21*(1-x_testy)</f>
        <v>0</v>
      </c>
      <c r="AF21" s="0" t="n">
        <f aca="false">F21*x_NAV</f>
        <v>0</v>
      </c>
      <c r="AG21" s="0" t="n">
        <f aca="false">G21*x_FIX*(1-x_testy)</f>
        <v>0</v>
      </c>
      <c r="AH21" s="0" t="n">
        <f aca="false">x_z_F*U21+(1-x_AGRI)*x_EMP*x_WLOSS*(x_PEN_K74*Q21+x_PEN_C22*R21)</f>
        <v>18871078.5660222</v>
      </c>
      <c r="AI21" s="0" t="n">
        <f aca="false">x_AGRI*x_EMP*x_WLOSS*(x_PEN_K74*Q21+x_PEN_C22*R21)</f>
        <v>1031721.84262535</v>
      </c>
      <c r="AJ21" s="0" t="n">
        <f aca="false">x_EMP*x_WAGE*(x_WLOSS*(Q21+R21)+S21)+U21*x_ABS_D*x_WAGE/365</f>
        <v>403254408.798762</v>
      </c>
      <c r="AK21" s="0" t="n">
        <f aca="false">AJ21*x_R_FUS</f>
        <v>127589694.943928</v>
      </c>
      <c r="AL21" s="0" t="n">
        <f aca="false">AJ21*x_R_NFZ</f>
        <v>31317140.6417207</v>
      </c>
      <c r="AM21" s="0" t="n">
        <f aca="false">AJ21*x_R_PIT</f>
        <v>26810036.2183673</v>
      </c>
      <c r="AN21" s="0" t="n">
        <f aca="false">AJ21*x_R_FP</f>
        <v>10282987.4243684</v>
      </c>
      <c r="AO21" s="0" t="n">
        <f aca="false">AA21+AB21+AC21+AD21+AF21</f>
        <v>453307782.344897</v>
      </c>
      <c r="AP21" s="0" t="n">
        <f aca="false">AO21+AE21+AG21+AH21+AI21+AK21+AL21+AM21+AN21</f>
        <v>669210441.981929</v>
      </c>
      <c r="AQ21" s="0" t="n">
        <f aca="false">AO21+AE21+AG21+AJ21</f>
        <v>856562191.143659</v>
      </c>
      <c r="AR21" s="0" t="n">
        <f aca="false">AB21+AC21+AD21+AF21</f>
        <v>137833427.610024</v>
      </c>
      <c r="AS21" s="0" t="n">
        <f aca="false">AR21+AE21+AG21</f>
        <v>137833427.610024</v>
      </c>
    </row>
    <row r="22" customFormat="false" ht="15" hidden="false" customHeight="false" outlineLevel="0" collapsed="false">
      <c r="A22" s="0" t="n">
        <v>2045</v>
      </c>
      <c r="B22" s="0" t="n">
        <v>19</v>
      </c>
      <c r="C22" s="0" t="n">
        <v>4832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2232.983</v>
      </c>
      <c r="I22" s="0" t="n">
        <v>238.003</v>
      </c>
      <c r="J22" s="0" t="n">
        <v>1277.607</v>
      </c>
      <c r="K22" s="0" t="n">
        <v>2107.046</v>
      </c>
      <c r="L22" s="0" t="n">
        <v>1123.821</v>
      </c>
      <c r="M22" s="0" t="n">
        <v>96562.382</v>
      </c>
      <c r="N22" s="0" t="n">
        <v>8964.956</v>
      </c>
      <c r="O22" s="0" t="n">
        <v>71.865</v>
      </c>
      <c r="P22" s="0" t="n">
        <v>72.828</v>
      </c>
      <c r="Q22" s="0" t="n">
        <v>757.156</v>
      </c>
      <c r="R22" s="0" t="n">
        <v>738.898</v>
      </c>
      <c r="S22" s="0" t="n">
        <v>3985.44</v>
      </c>
      <c r="T22" s="0" t="n">
        <v>2470.986</v>
      </c>
      <c r="U22" s="0" t="n">
        <v>1629.226</v>
      </c>
      <c r="V22" s="0" t="n">
        <v>141200.232</v>
      </c>
      <c r="W22" s="0" t="n">
        <v>218.506</v>
      </c>
      <c r="X22" s="0" t="n">
        <v>584.094</v>
      </c>
      <c r="Y22" s="0" t="n">
        <v>71.865</v>
      </c>
      <c r="Z22" s="0" t="n">
        <v>762.966</v>
      </c>
      <c r="AA22" s="0" t="n">
        <f aca="false">H22*x_c_F+I22*x_c_CC+J22*x_c_DC+K22*x_c_HCC+L22*x_c_PLT+M22*x_c_SVRn+N22*x_c_SVRcc+O22*x_c_LT+P22*x_c_LT1</f>
        <v>310992355.981999</v>
      </c>
      <c r="AB22" s="0" t="n">
        <f aca="false">C22*x_c_DAA</f>
        <v>109976320</v>
      </c>
      <c r="AC22" s="0" t="n">
        <f aca="false">C22*x_c_MON</f>
        <v>27857107.6100244</v>
      </c>
      <c r="AD22" s="0" t="n">
        <f aca="false">D22*(1-x_testy)</f>
        <v>0</v>
      </c>
      <c r="AE22" s="0" t="n">
        <f aca="false">E22*(1-x_testy)</f>
        <v>0</v>
      </c>
      <c r="AF22" s="0" t="n">
        <f aca="false">F22*x_NAV</f>
        <v>0</v>
      </c>
      <c r="AG22" s="0" t="n">
        <f aca="false">G22*x_FIX*(1-x_testy)</f>
        <v>0</v>
      </c>
      <c r="AH22" s="0" t="n">
        <f aca="false">x_z_F*U22+(1-x_AGRI)*x_EMP*x_WLOSS*(x_PEN_K74*Q22+x_PEN_C22*R22)</f>
        <v>19397649.9389808</v>
      </c>
      <c r="AI22" s="0" t="n">
        <f aca="false">x_AGRI*x_EMP*x_WLOSS*(x_PEN_K74*Q22+x_PEN_C22*R22)</f>
        <v>1060749.50176178</v>
      </c>
      <c r="AJ22" s="0" t="n">
        <f aca="false">x_EMP*x_WAGE*(x_WLOSS*(Q22+R22)+S22)+U22*x_ABS_D*x_WAGE/365</f>
        <v>426399578.849446</v>
      </c>
      <c r="AK22" s="0" t="n">
        <f aca="false">AJ22*x_R_FUS</f>
        <v>134912826.747965</v>
      </c>
      <c r="AL22" s="0" t="n">
        <f aca="false">AJ22*x_R_NFZ</f>
        <v>33114617.6930268</v>
      </c>
      <c r="AM22" s="0" t="n">
        <f aca="false">AJ22*x_R_PIT</f>
        <v>28348823.7276906</v>
      </c>
      <c r="AN22" s="0" t="n">
        <f aca="false">AJ22*x_R_FP</f>
        <v>10873189.2606609</v>
      </c>
      <c r="AO22" s="0" t="n">
        <f aca="false">AA22+AB22+AC22+AD22+AF22</f>
        <v>448825783.592023</v>
      </c>
      <c r="AP22" s="0" t="n">
        <f aca="false">AO22+AE22+AG22+AH22+AI22+AK22+AL22+AM22+AN22</f>
        <v>676533640.462109</v>
      </c>
      <c r="AQ22" s="0" t="n">
        <f aca="false">AO22+AE22+AG22+AJ22</f>
        <v>875225362.441469</v>
      </c>
      <c r="AR22" s="0" t="n">
        <f aca="false">AB22+AC22+AD22+AF22</f>
        <v>137833427.610024</v>
      </c>
      <c r="AS22" s="0" t="n">
        <f aca="false">AR22+AE22+AG22</f>
        <v>137833427.610024</v>
      </c>
    </row>
    <row r="23" customFormat="false" ht="15" hidden="false" customHeight="false" outlineLevel="0" collapsed="false">
      <c r="A23" s="0" t="n">
        <v>2046</v>
      </c>
      <c r="B23" s="0" t="n">
        <v>20</v>
      </c>
      <c r="C23" s="0" t="n">
        <v>4832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2239.406</v>
      </c>
      <c r="I23" s="0" t="n">
        <v>230.554</v>
      </c>
      <c r="J23" s="0" t="n">
        <v>1242.802</v>
      </c>
      <c r="K23" s="0" t="n">
        <v>2048.742</v>
      </c>
      <c r="L23" s="0" t="n">
        <v>1095.496</v>
      </c>
      <c r="M23" s="0" t="n">
        <v>98899.168</v>
      </c>
      <c r="N23" s="0" t="n">
        <v>8965.06</v>
      </c>
      <c r="O23" s="0" t="n">
        <v>69.918</v>
      </c>
      <c r="P23" s="0" t="n">
        <v>70.892</v>
      </c>
      <c r="Q23" s="0" t="n">
        <v>774.244</v>
      </c>
      <c r="R23" s="0" t="n">
        <v>764.766</v>
      </c>
      <c r="S23" s="0" t="n">
        <v>4235.814</v>
      </c>
      <c r="T23" s="0" t="n">
        <v>2469.96</v>
      </c>
      <c r="U23" s="0" t="n">
        <v>1668.15</v>
      </c>
      <c r="V23" s="0" t="n">
        <v>142514.688</v>
      </c>
      <c r="W23" s="0" t="n">
        <v>211.677</v>
      </c>
      <c r="X23" s="0" t="n">
        <v>567.377</v>
      </c>
      <c r="Y23" s="0" t="n">
        <v>69.918</v>
      </c>
      <c r="Z23" s="0" t="n">
        <v>742.177</v>
      </c>
      <c r="AA23" s="0" t="n">
        <f aca="false">H23*x_c_F+I23*x_c_CC+J23*x_c_DC+K23*x_c_HCC+L23*x_c_PLT+M23*x_c_SVRn+N23*x_c_SVRcc+O23*x_c_LT+P23*x_c_LT1</f>
        <v>306448020.897996</v>
      </c>
      <c r="AB23" s="0" t="n">
        <f aca="false">C23*x_c_DAA</f>
        <v>109976320</v>
      </c>
      <c r="AC23" s="0" t="n">
        <f aca="false">C23*x_c_MON</f>
        <v>27857107.6100244</v>
      </c>
      <c r="AD23" s="0" t="n">
        <f aca="false">D23*(1-x_testy)</f>
        <v>0</v>
      </c>
      <c r="AE23" s="0" t="n">
        <f aca="false">E23*(1-x_testy)</f>
        <v>0</v>
      </c>
      <c r="AF23" s="0" t="n">
        <f aca="false">F23*x_NAV</f>
        <v>0</v>
      </c>
      <c r="AG23" s="0" t="n">
        <f aca="false">G23*x_FIX*(1-x_testy)</f>
        <v>0</v>
      </c>
      <c r="AH23" s="0" t="n">
        <f aca="false">x_z_F*U23+(1-x_AGRI)*x_EMP*x_WLOSS*(x_PEN_K74*Q23+x_PEN_C22*R23)</f>
        <v>19944841.4662804</v>
      </c>
      <c r="AI23" s="0" t="n">
        <f aca="false">x_AGRI*x_EMP*x_WLOSS*(x_PEN_K74*Q23+x_PEN_C22*R23)</f>
        <v>1091628.3716252</v>
      </c>
      <c r="AJ23" s="0" t="n">
        <f aca="false">x_EMP*x_WAGE*(x_WLOSS*(Q23+R23)+S23)+U23*x_ABS_D*x_WAGE/365</f>
        <v>450210019.326185</v>
      </c>
      <c r="AK23" s="0" t="n">
        <f aca="false">AJ23*x_R_FUS</f>
        <v>142446450.114805</v>
      </c>
      <c r="AL23" s="0" t="n">
        <f aca="false">AJ23*x_R_NFZ</f>
        <v>34963760.3108909</v>
      </c>
      <c r="AM23" s="0" t="n">
        <f aca="false">AJ23*x_R_PIT</f>
        <v>29931841.1916738</v>
      </c>
      <c r="AN23" s="0" t="n">
        <f aca="false">AJ23*x_R_FP</f>
        <v>11480355.4928177</v>
      </c>
      <c r="AO23" s="0" t="n">
        <f aca="false">AA23+AB23+AC23+AD23+AF23</f>
        <v>444281448.508021</v>
      </c>
      <c r="AP23" s="0" t="n">
        <f aca="false">AO23+AE23+AG23+AH23+AI23+AK23+AL23+AM23+AN23</f>
        <v>684140325.456114</v>
      </c>
      <c r="AQ23" s="0" t="n">
        <f aca="false">AO23+AE23+AG23+AJ23</f>
        <v>894491467.834206</v>
      </c>
      <c r="AR23" s="0" t="n">
        <f aca="false">AB23+AC23+AD23+AF23</f>
        <v>137833427.610024</v>
      </c>
      <c r="AS23" s="0" t="n">
        <f aca="false">AR23+AE23+AG23</f>
        <v>137833427.610024</v>
      </c>
    </row>
    <row r="24" customFormat="false" ht="15" hidden="false" customHeight="false" outlineLevel="0" collapsed="false">
      <c r="A24" s="0" t="n">
        <v>2047</v>
      </c>
      <c r="B24" s="0" t="n">
        <v>21</v>
      </c>
      <c r="C24" s="0" t="n">
        <v>4832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2245.596</v>
      </c>
      <c r="I24" s="0" t="n">
        <v>223.46</v>
      </c>
      <c r="J24" s="0" t="n">
        <v>1208.172</v>
      </c>
      <c r="K24" s="0" t="n">
        <v>1992.061</v>
      </c>
      <c r="L24" s="0" t="n">
        <v>1067.215</v>
      </c>
      <c r="M24" s="0" t="n">
        <v>101240.67</v>
      </c>
      <c r="N24" s="0" t="n">
        <v>8949.016</v>
      </c>
      <c r="O24" s="0" t="n">
        <v>67.992</v>
      </c>
      <c r="P24" s="0" t="n">
        <v>68.955</v>
      </c>
      <c r="Q24" s="0" t="n">
        <v>792.48</v>
      </c>
      <c r="R24" s="0" t="n">
        <v>791.997</v>
      </c>
      <c r="S24" s="0" t="n">
        <v>4492.656</v>
      </c>
      <c r="T24" s="0" t="n">
        <v>2469.056</v>
      </c>
      <c r="U24" s="0" t="n">
        <v>1703.505</v>
      </c>
      <c r="V24" s="0" t="n">
        <v>143882.58</v>
      </c>
      <c r="W24" s="0" t="n">
        <v>205.266</v>
      </c>
      <c r="X24" s="0" t="n">
        <v>551.763</v>
      </c>
      <c r="Y24" s="0" t="n">
        <v>67.992</v>
      </c>
      <c r="Z24" s="0" t="n">
        <v>721.829</v>
      </c>
      <c r="AA24" s="0" t="n">
        <f aca="false">H24*x_c_F+I24*x_c_CC+J24*x_c_DC+K24*x_c_HCC+L24*x_c_PLT+M24*x_c_SVRn+N24*x_c_SVRcc+O24*x_c_LT+P24*x_c_LT1</f>
        <v>301977359.032046</v>
      </c>
      <c r="AB24" s="0" t="n">
        <f aca="false">C24*x_c_DAA</f>
        <v>109976320</v>
      </c>
      <c r="AC24" s="0" t="n">
        <f aca="false">C24*x_c_MON</f>
        <v>27857107.6100244</v>
      </c>
      <c r="AD24" s="0" t="n">
        <f aca="false">D24*(1-x_testy)</f>
        <v>0</v>
      </c>
      <c r="AE24" s="0" t="n">
        <f aca="false">E24*(1-x_testy)</f>
        <v>0</v>
      </c>
      <c r="AF24" s="0" t="n">
        <f aca="false">F24*x_NAV</f>
        <v>0</v>
      </c>
      <c r="AG24" s="0" t="n">
        <f aca="false">G24*x_FIX*(1-x_testy)</f>
        <v>0</v>
      </c>
      <c r="AH24" s="0" t="n">
        <f aca="false">x_z_F*U24+(1-x_AGRI)*x_EMP*x_WLOSS*(x_PEN_K74*Q24+x_PEN_C22*R24)</f>
        <v>20511799.3052041</v>
      </c>
      <c r="AI24" s="0" t="n">
        <f aca="false">x_AGRI*x_EMP*x_WLOSS*(x_PEN_K74*Q24+x_PEN_C22*R24)</f>
        <v>1124298.75345495</v>
      </c>
      <c r="AJ24" s="0" t="n">
        <f aca="false">x_EMP*x_WAGE*(x_WLOSS*(Q24+R24)+S24)+U24*x_ABS_D*x_WAGE/365</f>
        <v>474698757.831454</v>
      </c>
      <c r="AK24" s="0" t="n">
        <f aca="false">AJ24*x_R_FUS</f>
        <v>150194686.977872</v>
      </c>
      <c r="AL24" s="0" t="n">
        <f aca="false">AJ24*x_R_NFZ</f>
        <v>36865580.2319486</v>
      </c>
      <c r="AM24" s="0" t="n">
        <f aca="false">AJ24*x_R_PIT</f>
        <v>31559954.7397046</v>
      </c>
      <c r="AN24" s="0" t="n">
        <f aca="false">AJ24*x_R_FP</f>
        <v>12104818.3247021</v>
      </c>
      <c r="AO24" s="0" t="n">
        <f aca="false">AA24+AB24+AC24+AD24+AF24</f>
        <v>439810786.64207</v>
      </c>
      <c r="AP24" s="0" t="n">
        <f aca="false">AO24+AE24+AG24+AH24+AI24+AK24+AL24+AM24+AN24</f>
        <v>692171924.974957</v>
      </c>
      <c r="AQ24" s="0" t="n">
        <f aca="false">AO24+AE24+AG24+AJ24</f>
        <v>914509544.473525</v>
      </c>
      <c r="AR24" s="0" t="n">
        <f aca="false">AB24+AC24+AD24+AF24</f>
        <v>137833427.610024</v>
      </c>
      <c r="AS24" s="0" t="n">
        <f aca="false">AR24+AE24+AG24</f>
        <v>137833427.610024</v>
      </c>
    </row>
    <row r="25" customFormat="false" ht="15" hidden="false" customHeight="false" outlineLevel="0" collapsed="false">
      <c r="A25" s="0" t="n">
        <v>2048</v>
      </c>
      <c r="B25" s="0" t="n">
        <v>22</v>
      </c>
      <c r="C25" s="0" t="n">
        <v>4832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2251.428</v>
      </c>
      <c r="I25" s="0" t="n">
        <v>216.844</v>
      </c>
      <c r="J25" s="0" t="n">
        <v>1174.376</v>
      </c>
      <c r="K25" s="0" t="n">
        <v>1938.018</v>
      </c>
      <c r="L25" s="0" t="n">
        <v>1039.245</v>
      </c>
      <c r="M25" s="0" t="n">
        <v>103596.168</v>
      </c>
      <c r="N25" s="0" t="n">
        <v>8920.369</v>
      </c>
      <c r="O25" s="0" t="n">
        <v>66.12</v>
      </c>
      <c r="P25" s="0" t="n">
        <v>67.056</v>
      </c>
      <c r="Q25" s="0" t="n">
        <v>811.851</v>
      </c>
      <c r="R25" s="0" t="n">
        <v>820.47</v>
      </c>
      <c r="S25" s="0" t="n">
        <v>4756.122</v>
      </c>
      <c r="T25" s="0" t="n">
        <v>2468.272</v>
      </c>
      <c r="U25" s="0" t="n">
        <v>1735.395</v>
      </c>
      <c r="V25" s="0" t="n">
        <v>145310.355</v>
      </c>
      <c r="W25" s="0" t="n">
        <v>199.352</v>
      </c>
      <c r="X25" s="0" t="n">
        <v>537.42</v>
      </c>
      <c r="Y25" s="0" t="n">
        <v>66.12</v>
      </c>
      <c r="Z25" s="0" t="n">
        <v>702.268</v>
      </c>
      <c r="AA25" s="0" t="n">
        <f aca="false">H25*x_c_F+I25*x_c_CC+J25*x_c_DC+K25*x_c_HCC+L25*x_c_PLT+M25*x_c_SVRn+N25*x_c_SVRcc+O25*x_c_LT+P25*x_c_LT1</f>
        <v>297693439.983271</v>
      </c>
      <c r="AB25" s="0" t="n">
        <f aca="false">C25*x_c_DAA</f>
        <v>109976320</v>
      </c>
      <c r="AC25" s="0" t="n">
        <f aca="false">C25*x_c_MON</f>
        <v>27857107.6100244</v>
      </c>
      <c r="AD25" s="0" t="n">
        <f aca="false">D25*(1-x_testy)</f>
        <v>0</v>
      </c>
      <c r="AE25" s="0" t="n">
        <f aca="false">E25*(1-x_testy)</f>
        <v>0</v>
      </c>
      <c r="AF25" s="0" t="n">
        <f aca="false">F25*x_NAV</f>
        <v>0</v>
      </c>
      <c r="AG25" s="0" t="n">
        <f aca="false">G25*x_FIX*(1-x_testy)</f>
        <v>0</v>
      </c>
      <c r="AH25" s="0" t="n">
        <f aca="false">x_z_F*U25+(1-x_AGRI)*x_EMP*x_WLOSS*(x_PEN_K74*Q25+x_PEN_C22*R25)</f>
        <v>21097224.6784966</v>
      </c>
      <c r="AI25" s="0" t="n">
        <f aca="false">x_AGRI*x_EMP*x_WLOSS*(x_PEN_K74*Q25+x_PEN_C22*R25)</f>
        <v>1158660.66785268</v>
      </c>
      <c r="AJ25" s="0" t="n">
        <f aca="false">x_EMP*x_WAGE*(x_WLOSS*(Q25+R25)+S25)+U25*x_ABS_D*x_WAGE/365</f>
        <v>499872072.556472</v>
      </c>
      <c r="AK25" s="0" t="n">
        <f aca="false">AJ25*x_R_FUS</f>
        <v>158159523.756868</v>
      </c>
      <c r="AL25" s="0" t="n">
        <f aca="false">AJ25*x_R_NFZ</f>
        <v>38820565.0268082</v>
      </c>
      <c r="AM25" s="0" t="n">
        <f aca="false">AJ25*x_R_PIT</f>
        <v>33233581.7721393</v>
      </c>
      <c r="AN25" s="0" t="n">
        <f aca="false">AJ25*x_R_FP</f>
        <v>12746737.85019</v>
      </c>
      <c r="AO25" s="0" t="n">
        <f aca="false">AA25+AB25+AC25+AD25+AF25</f>
        <v>435526867.593295</v>
      </c>
      <c r="AP25" s="0" t="n">
        <f aca="false">AO25+AE25+AG25+AH25+AI25+AK25+AL25+AM25+AN25</f>
        <v>700743161.34565</v>
      </c>
      <c r="AQ25" s="0" t="n">
        <f aca="false">AO25+AE25+AG25+AJ25</f>
        <v>935398940.149767</v>
      </c>
      <c r="AR25" s="0" t="n">
        <f aca="false">AB25+AC25+AD25+AF25</f>
        <v>137833427.610024</v>
      </c>
      <c r="AS25" s="0" t="n">
        <f aca="false">AR25+AE25+AG25</f>
        <v>137833427.610024</v>
      </c>
    </row>
    <row r="26" customFormat="false" ht="15" hidden="false" customHeight="false" outlineLevel="0" collapsed="false">
      <c r="A26" s="0" t="n">
        <v>2049</v>
      </c>
      <c r="B26" s="0" t="n">
        <v>23</v>
      </c>
      <c r="C26" s="0" t="n">
        <v>4832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2256.822</v>
      </c>
      <c r="I26" s="0" t="n">
        <v>210.779</v>
      </c>
      <c r="J26" s="0" t="n">
        <v>1141.906</v>
      </c>
      <c r="K26" s="0" t="n">
        <v>1887.288</v>
      </c>
      <c r="L26" s="0" t="n">
        <v>1011.775</v>
      </c>
      <c r="M26" s="0" t="n">
        <v>105970.641</v>
      </c>
      <c r="N26" s="0" t="n">
        <v>8882.016</v>
      </c>
      <c r="O26" s="0" t="n">
        <v>64.328</v>
      </c>
      <c r="P26" s="0" t="n">
        <v>65.224</v>
      </c>
      <c r="Q26" s="0" t="n">
        <v>832.327</v>
      </c>
      <c r="R26" s="0" t="n">
        <v>850.038</v>
      </c>
      <c r="S26" s="0" t="n">
        <v>5026.326</v>
      </c>
      <c r="T26" s="0" t="n">
        <v>2467.601</v>
      </c>
      <c r="U26" s="0" t="n">
        <v>1764.009</v>
      </c>
      <c r="V26" s="0" t="n">
        <v>146798.603</v>
      </c>
      <c r="W26" s="0" t="n">
        <v>193.965</v>
      </c>
      <c r="X26" s="0" t="n">
        <v>524.4</v>
      </c>
      <c r="Y26" s="0" t="n">
        <v>64.328</v>
      </c>
      <c r="Z26" s="0" t="n">
        <v>683.715</v>
      </c>
      <c r="AA26" s="0" t="n">
        <f aca="false">H26*x_c_F+I26*x_c_CC+J26*x_c_DC+K26*x_c_HCC+L26*x_c_PLT+M26*x_c_SVRn+N26*x_c_SVRcc+O26*x_c_LT+P26*x_c_LT1</f>
        <v>293675036.193531</v>
      </c>
      <c r="AB26" s="0" t="n">
        <f aca="false">C26*x_c_DAA</f>
        <v>109976320</v>
      </c>
      <c r="AC26" s="0" t="n">
        <f aca="false">C26*x_c_MON</f>
        <v>27857107.6100244</v>
      </c>
      <c r="AD26" s="0" t="n">
        <f aca="false">D26*(1-x_testy)</f>
        <v>0</v>
      </c>
      <c r="AE26" s="0" t="n">
        <f aca="false">E26*(1-x_testy)</f>
        <v>0</v>
      </c>
      <c r="AF26" s="0" t="n">
        <f aca="false">F26*x_NAV</f>
        <v>0</v>
      </c>
      <c r="AG26" s="0" t="n">
        <f aca="false">G26*x_FIX*(1-x_testy)</f>
        <v>0</v>
      </c>
      <c r="AH26" s="0" t="n">
        <f aca="false">x_z_F*U26+(1-x_AGRI)*x_EMP*x_WLOSS*(x_PEN_K74*Q26+x_PEN_C22*R26)</f>
        <v>21699525.7703347</v>
      </c>
      <c r="AI26" s="0" t="n">
        <f aca="false">x_AGRI*x_EMP*x_WLOSS*(x_PEN_K74*Q26+x_PEN_C22*R26)</f>
        <v>1194583.21535703</v>
      </c>
      <c r="AJ26" s="0" t="n">
        <f aca="false">x_EMP*x_WAGE*(x_WLOSS*(Q26+R26)+S26)+U26*x_ABS_D*x_WAGE/365</f>
        <v>525730558.929168</v>
      </c>
      <c r="AK26" s="0" t="n">
        <f aca="false">AJ26*x_R_FUS</f>
        <v>166341148.845189</v>
      </c>
      <c r="AL26" s="0" t="n">
        <f aca="false">AJ26*x_R_NFZ</f>
        <v>40828760.9369981</v>
      </c>
      <c r="AM26" s="0" t="n">
        <f aca="false">AJ26*x_R_PIT</f>
        <v>34952761.875512</v>
      </c>
      <c r="AN26" s="0" t="n">
        <f aca="false">AJ26*x_R_FP</f>
        <v>13406129.2526938</v>
      </c>
      <c r="AO26" s="0" t="n">
        <f aca="false">AA26+AB26+AC26+AD26+AF26</f>
        <v>431508463.803555</v>
      </c>
      <c r="AP26" s="0" t="n">
        <f aca="false">AO26+AE26+AG26+AH26+AI26+AK26+AL26+AM26+AN26</f>
        <v>709931373.69964</v>
      </c>
      <c r="AQ26" s="0" t="n">
        <f aca="false">AO26+AE26+AG26+AJ26</f>
        <v>957239022.732723</v>
      </c>
      <c r="AR26" s="0" t="n">
        <f aca="false">AB26+AC26+AD26+AF26</f>
        <v>137833427.610024</v>
      </c>
      <c r="AS26" s="0" t="n">
        <f aca="false">AR26+AE26+AG26</f>
        <v>137833427.610024</v>
      </c>
    </row>
    <row r="27" customFormat="false" ht="15" hidden="false" customHeight="false" outlineLevel="0" collapsed="false">
      <c r="A27" s="0" t="n">
        <v>2050</v>
      </c>
      <c r="B27" s="0" t="n">
        <v>24</v>
      </c>
      <c r="C27" s="0" t="n">
        <v>4832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2261.736</v>
      </c>
      <c r="I27" s="0" t="n">
        <v>205.294</v>
      </c>
      <c r="J27" s="0" t="n">
        <v>1111.097</v>
      </c>
      <c r="K27" s="0" t="n">
        <v>1840.253</v>
      </c>
      <c r="L27" s="0" t="n">
        <v>984.934</v>
      </c>
      <c r="M27" s="0" t="n">
        <v>108365.595</v>
      </c>
      <c r="N27" s="0" t="n">
        <v>8836.243</v>
      </c>
      <c r="O27" s="0" t="n">
        <v>62.632</v>
      </c>
      <c r="P27" s="0" t="n">
        <v>63.48</v>
      </c>
      <c r="Q27" s="0" t="n">
        <v>853.843</v>
      </c>
      <c r="R27" s="0" t="n">
        <v>880.521</v>
      </c>
      <c r="S27" s="0" t="n">
        <v>5303.226</v>
      </c>
      <c r="T27" s="0" t="n">
        <v>2467.03</v>
      </c>
      <c r="U27" s="0" t="n">
        <v>1789.583</v>
      </c>
      <c r="V27" s="0" t="n">
        <v>148343.71</v>
      </c>
      <c r="W27" s="0" t="n">
        <v>189.107</v>
      </c>
      <c r="X27" s="0" t="n">
        <v>512.69</v>
      </c>
      <c r="Y27" s="0" t="n">
        <v>62.632</v>
      </c>
      <c r="Z27" s="0" t="n">
        <v>666.325</v>
      </c>
      <c r="AA27" s="0" t="n">
        <f aca="false">H27*x_c_F+I27*x_c_CC+J27*x_c_DC+K27*x_c_HCC+L27*x_c_PLT+M27*x_c_SVRn+N27*x_c_SVRcc+O27*x_c_LT+P27*x_c_LT1</f>
        <v>289970018.062849</v>
      </c>
      <c r="AB27" s="0" t="n">
        <f aca="false">C27*x_c_DAA</f>
        <v>109976320</v>
      </c>
      <c r="AC27" s="0" t="n">
        <f aca="false">C27*x_c_MON</f>
        <v>27857107.6100244</v>
      </c>
      <c r="AD27" s="0" t="n">
        <f aca="false">D27*(1-x_testy)</f>
        <v>0</v>
      </c>
      <c r="AE27" s="0" t="n">
        <f aca="false">E27*(1-x_testy)</f>
        <v>0</v>
      </c>
      <c r="AF27" s="0" t="n">
        <f aca="false">F27*x_NAV</f>
        <v>0</v>
      </c>
      <c r="AG27" s="0" t="n">
        <f aca="false">G27*x_FIX*(1-x_testy)</f>
        <v>0</v>
      </c>
      <c r="AH27" s="0" t="n">
        <f aca="false">x_z_F*U27+(1-x_AGRI)*x_EMP*x_WLOSS*(x_PEN_K74*Q27+x_PEN_C22*R27)</f>
        <v>22316478.7615053</v>
      </c>
      <c r="AI27" s="0" t="n">
        <f aca="false">x_AGRI*x_EMP*x_WLOSS*(x_PEN_K74*Q27+x_PEN_C22*R27)</f>
        <v>1231887.33539573</v>
      </c>
      <c r="AJ27" s="0" t="n">
        <f aca="false">x_EMP*x_WAGE*(x_WLOSS*(Q27+R27)+S27)+U27*x_ABS_D*x_WAGE/365</f>
        <v>552257931.145232</v>
      </c>
      <c r="AK27" s="0" t="n">
        <f aca="false">AJ27*x_R_FUS</f>
        <v>174734409.414351</v>
      </c>
      <c r="AL27" s="0" t="n">
        <f aca="false">AJ27*x_R_NFZ</f>
        <v>42888903.1906698</v>
      </c>
      <c r="AM27" s="0" t="n">
        <f aca="false">AJ27*x_R_PIT</f>
        <v>36716412.3015776</v>
      </c>
      <c r="AN27" s="0" t="n">
        <f aca="false">AJ27*x_R_FP</f>
        <v>14082577.2442034</v>
      </c>
      <c r="AO27" s="0" t="n">
        <f aca="false">AA27+AB27+AC27+AD27+AF27</f>
        <v>427803445.672873</v>
      </c>
      <c r="AP27" s="0" t="n">
        <f aca="false">AO27+AE27+AG27+AH27+AI27+AK27+AL27+AM27+AN27</f>
        <v>719774113.920577</v>
      </c>
      <c r="AQ27" s="0" t="n">
        <f aca="false">AO27+AE27+AG27+AJ27</f>
        <v>980061376.818105</v>
      </c>
      <c r="AR27" s="0" t="n">
        <f aca="false">AB27+AC27+AD27+AF27</f>
        <v>137833427.610024</v>
      </c>
      <c r="AS27" s="0" t="n">
        <f aca="false">AR27+AE27+AG27</f>
        <v>137833427.610024</v>
      </c>
    </row>
    <row r="28" customFormat="false" ht="15" hidden="false" customHeight="false" outlineLevel="0" collapsed="false">
      <c r="A28" s="0" t="n">
        <v>2051</v>
      </c>
      <c r="B28" s="0" t="n">
        <v>25</v>
      </c>
      <c r="C28" s="0" t="n">
        <v>4832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2266.163</v>
      </c>
      <c r="I28" s="0" t="n">
        <v>200.383</v>
      </c>
      <c r="J28" s="0" t="n">
        <v>1082.137</v>
      </c>
      <c r="K28" s="0" t="n">
        <v>1797.037</v>
      </c>
      <c r="L28" s="0" t="n">
        <v>958.786</v>
      </c>
      <c r="M28" s="0" t="n">
        <v>110779.097</v>
      </c>
      <c r="N28" s="0" t="n">
        <v>8784.66</v>
      </c>
      <c r="O28" s="0" t="n">
        <v>61.04</v>
      </c>
      <c r="P28" s="0" t="n">
        <v>61.836</v>
      </c>
      <c r="Q28" s="0" t="n">
        <v>876.308</v>
      </c>
      <c r="R28" s="0" t="n">
        <v>911.712</v>
      </c>
      <c r="S28" s="0" t="n">
        <v>5586.659</v>
      </c>
      <c r="T28" s="0" t="n">
        <v>2466.546</v>
      </c>
      <c r="U28" s="0" t="n">
        <v>1812.386</v>
      </c>
      <c r="V28" s="0" t="n">
        <v>149938.534</v>
      </c>
      <c r="W28" s="0" t="n">
        <v>184.751</v>
      </c>
      <c r="X28" s="0" t="n">
        <v>502.204</v>
      </c>
      <c r="Y28" s="0" t="n">
        <v>61.04</v>
      </c>
      <c r="Z28" s="0" t="n">
        <v>650.138</v>
      </c>
      <c r="AA28" s="0" t="n">
        <f aca="false">H28*x_c_F+I28*x_c_CC+J28*x_c_DC+K28*x_c_HCC+L28*x_c_PLT+M28*x_c_SVRn+N28*x_c_SVRcc+O28*x_c_LT+P28*x_c_LT1</f>
        <v>286598097.263338</v>
      </c>
      <c r="AB28" s="0" t="n">
        <f aca="false">C28*x_c_DAA</f>
        <v>109976320</v>
      </c>
      <c r="AC28" s="0" t="n">
        <f aca="false">C28*x_c_MON</f>
        <v>27857107.6100244</v>
      </c>
      <c r="AD28" s="0" t="n">
        <f aca="false">D28*(1-x_testy)</f>
        <v>0</v>
      </c>
      <c r="AE28" s="0" t="n">
        <f aca="false">E28*(1-x_testy)</f>
        <v>0</v>
      </c>
      <c r="AF28" s="0" t="n">
        <f aca="false">F28*x_NAV</f>
        <v>0</v>
      </c>
      <c r="AG28" s="0" t="n">
        <f aca="false">G28*x_FIX*(1-x_testy)</f>
        <v>0</v>
      </c>
      <c r="AH28" s="0" t="n">
        <f aca="false">x_z_F*U28+(1-x_AGRI)*x_EMP*x_WLOSS*(x_PEN_K74*Q28+x_PEN_C22*R28)</f>
        <v>22945358.0195127</v>
      </c>
      <c r="AI28" s="0" t="n">
        <f aca="false">x_AGRI*x_EMP*x_WLOSS*(x_PEN_K74*Q28+x_PEN_C22*R28)</f>
        <v>1270356.31408259</v>
      </c>
      <c r="AJ28" s="0" t="n">
        <f aca="false">x_EMP*x_WAGE*(x_WLOSS*(Q28+R28)+S28)+U28*x_ABS_D*x_WAGE/365</f>
        <v>579424785.452906</v>
      </c>
      <c r="AK28" s="0" t="n">
        <f aca="false">AJ28*x_R_FUS</f>
        <v>183330002.1173</v>
      </c>
      <c r="AL28" s="0" t="n">
        <f aca="false">AJ28*x_R_NFZ</f>
        <v>44998708.2630581</v>
      </c>
      <c r="AM28" s="0" t="n">
        <f aca="false">AJ28*x_R_PIT</f>
        <v>38522578.1661926</v>
      </c>
      <c r="AN28" s="0" t="n">
        <f aca="false">AJ28*x_R_FP</f>
        <v>14775332.0290491</v>
      </c>
      <c r="AO28" s="0" t="n">
        <f aca="false">AA28+AB28+AC28+AD28+AF28</f>
        <v>424431524.873363</v>
      </c>
      <c r="AP28" s="0" t="n">
        <f aca="false">AO28+AE28+AG28+AH28+AI28+AK28+AL28+AM28+AN28</f>
        <v>730273859.782557</v>
      </c>
      <c r="AQ28" s="0" t="n">
        <f aca="false">AO28+AE28+AG28+AJ28</f>
        <v>1003856310.32627</v>
      </c>
      <c r="AR28" s="0" t="n">
        <f aca="false">AB28+AC28+AD28+AF28</f>
        <v>137833427.610024</v>
      </c>
      <c r="AS28" s="0" t="n">
        <f aca="false">AR28+AE28+AG28</f>
        <v>137833427.610024</v>
      </c>
    </row>
    <row r="29" customFormat="false" ht="15" hidden="false" customHeight="false" outlineLevel="0" collapsed="false">
      <c r="A29" s="0" t="n">
        <v>2052</v>
      </c>
      <c r="B29" s="0" t="n">
        <v>26</v>
      </c>
      <c r="C29" s="0" t="n">
        <v>4832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2270.12</v>
      </c>
      <c r="I29" s="0" t="n">
        <v>196.014</v>
      </c>
      <c r="J29" s="0" t="n">
        <v>1055.082</v>
      </c>
      <c r="K29" s="0" t="n">
        <v>1757.544</v>
      </c>
      <c r="L29" s="0" t="n">
        <v>933.324</v>
      </c>
      <c r="M29" s="0" t="n">
        <v>113205.876</v>
      </c>
      <c r="N29" s="0" t="n">
        <v>8728.147</v>
      </c>
      <c r="O29" s="0" t="n">
        <v>59.554</v>
      </c>
      <c r="P29" s="0" t="n">
        <v>60.297</v>
      </c>
      <c r="Q29" s="0" t="n">
        <v>899.629</v>
      </c>
      <c r="R29" s="0" t="n">
        <v>943.402</v>
      </c>
      <c r="S29" s="0" t="n">
        <v>5876.469</v>
      </c>
      <c r="T29" s="0" t="n">
        <v>2466.134</v>
      </c>
      <c r="U29" s="0" t="n">
        <v>1832.699</v>
      </c>
      <c r="V29" s="0" t="n">
        <v>151572.848</v>
      </c>
      <c r="W29" s="0" t="n">
        <v>180.853</v>
      </c>
      <c r="X29" s="0" t="n">
        <v>492.827</v>
      </c>
      <c r="Y29" s="0" t="n">
        <v>59.554</v>
      </c>
      <c r="Z29" s="0" t="n">
        <v>635.142</v>
      </c>
      <c r="AA29" s="0" t="n">
        <f aca="false">H29*x_c_F+I29*x_c_CC+J29*x_c_DC+K29*x_c_HCC+L29*x_c_PLT+M29*x_c_SVRn+N29*x_c_SVRcc+O29*x_c_LT+P29*x_c_LT1</f>
        <v>283554007.331247</v>
      </c>
      <c r="AB29" s="0" t="n">
        <f aca="false">C29*x_c_DAA</f>
        <v>109976320</v>
      </c>
      <c r="AC29" s="0" t="n">
        <f aca="false">C29*x_c_MON</f>
        <v>27857107.6100244</v>
      </c>
      <c r="AD29" s="0" t="n">
        <f aca="false">D29*(1-x_testy)</f>
        <v>0</v>
      </c>
      <c r="AE29" s="0" t="n">
        <f aca="false">E29*(1-x_testy)</f>
        <v>0</v>
      </c>
      <c r="AF29" s="0" t="n">
        <f aca="false">F29*x_NAV</f>
        <v>0</v>
      </c>
      <c r="AG29" s="0" t="n">
        <f aca="false">G29*x_FIX*(1-x_testy)</f>
        <v>0</v>
      </c>
      <c r="AH29" s="0" t="n">
        <f aca="false">x_z_F*U29+(1-x_AGRI)*x_EMP*x_WLOSS*(x_PEN_K74*Q29+x_PEN_C22*R29)</f>
        <v>23583419.6414212</v>
      </c>
      <c r="AI29" s="0" t="n">
        <f aca="false">x_AGRI*x_EMP*x_WLOSS*(x_PEN_K74*Q29+x_PEN_C22*R29)</f>
        <v>1309770.59919262</v>
      </c>
      <c r="AJ29" s="0" t="n">
        <f aca="false">x_EMP*x_WAGE*(x_WLOSS*(Q29+R29)+S29)+U29*x_ABS_D*x_WAGE/365</f>
        <v>607202131.428313</v>
      </c>
      <c r="AK29" s="0" t="n">
        <f aca="false">AJ29*x_R_FUS</f>
        <v>192118754.383918</v>
      </c>
      <c r="AL29" s="0" t="n">
        <f aca="false">AJ29*x_R_NFZ</f>
        <v>47155924.7288542</v>
      </c>
      <c r="AM29" s="0" t="n">
        <f aca="false">AJ29*x_R_PIT</f>
        <v>40369332.0649762</v>
      </c>
      <c r="AN29" s="0" t="n">
        <f aca="false">AJ29*x_R_FP</f>
        <v>15483654.351422</v>
      </c>
      <c r="AO29" s="0" t="n">
        <f aca="false">AA29+AB29+AC29+AD29+AF29</f>
        <v>421387434.941272</v>
      </c>
      <c r="AP29" s="0" t="n">
        <f aca="false">AO29+AE29+AG29+AH29+AI29+AK29+AL29+AM29+AN29</f>
        <v>741408290.711056</v>
      </c>
      <c r="AQ29" s="0" t="n">
        <f aca="false">AO29+AE29+AG29+AJ29</f>
        <v>1028589566.36958</v>
      </c>
      <c r="AR29" s="0" t="n">
        <f aca="false">AB29+AC29+AD29+AF29</f>
        <v>137833427.610024</v>
      </c>
      <c r="AS29" s="0" t="n">
        <f aca="false">AR29+AE29+AG29</f>
        <v>137833427.610024</v>
      </c>
    </row>
    <row r="30" customFormat="false" ht="15" hidden="false" customHeight="false" outlineLevel="0" collapsed="false">
      <c r="A30" s="0" t="n">
        <v>2053</v>
      </c>
      <c r="B30" s="0" t="n">
        <v>27</v>
      </c>
      <c r="C30" s="0" t="n">
        <v>4832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2273.638</v>
      </c>
      <c r="I30" s="0" t="n">
        <v>192.143</v>
      </c>
      <c r="J30" s="0" t="n">
        <v>1029.884</v>
      </c>
      <c r="K30" s="0" t="n">
        <v>1721.523</v>
      </c>
      <c r="L30" s="0" t="n">
        <v>908.481</v>
      </c>
      <c r="M30" s="0" t="n">
        <v>115637.523</v>
      </c>
      <c r="N30" s="0" t="n">
        <v>8666.913</v>
      </c>
      <c r="O30" s="0" t="n">
        <v>58.169</v>
      </c>
      <c r="P30" s="0" t="n">
        <v>58.861</v>
      </c>
      <c r="Q30" s="0" t="n">
        <v>923.682</v>
      </c>
      <c r="R30" s="0" t="n">
        <v>975.369</v>
      </c>
      <c r="S30" s="0" t="n">
        <v>6172.327</v>
      </c>
      <c r="T30" s="0" t="n">
        <v>2465.781</v>
      </c>
      <c r="U30" s="0" t="n">
        <v>1850.793</v>
      </c>
      <c r="V30" s="0" t="n">
        <v>153234.066</v>
      </c>
      <c r="W30" s="0" t="n">
        <v>177.361</v>
      </c>
      <c r="X30" s="0" t="n">
        <v>484.414</v>
      </c>
      <c r="Y30" s="0" t="n">
        <v>58.169</v>
      </c>
      <c r="Z30" s="0" t="n">
        <v>621.251</v>
      </c>
      <c r="AA30" s="0" t="n">
        <f aca="false">H30*x_c_F+I30*x_c_CC+J30*x_c_DC+K30*x_c_HCC+L30*x_c_PLT+M30*x_c_SVRn+N30*x_c_SVRcc+O30*x_c_LT+P30*x_c_LT1</f>
        <v>280812433.800553</v>
      </c>
      <c r="AB30" s="0" t="n">
        <f aca="false">C30*x_c_DAA</f>
        <v>109976320</v>
      </c>
      <c r="AC30" s="0" t="n">
        <f aca="false">C30*x_c_MON</f>
        <v>27857107.6100244</v>
      </c>
      <c r="AD30" s="0" t="n">
        <f aca="false">D30*(1-x_testy)</f>
        <v>0</v>
      </c>
      <c r="AE30" s="0" t="n">
        <f aca="false">E30*(1-x_testy)</f>
        <v>0</v>
      </c>
      <c r="AF30" s="0" t="n">
        <f aca="false">F30*x_NAV</f>
        <v>0</v>
      </c>
      <c r="AG30" s="0" t="n">
        <f aca="false">G30*x_FIX*(1-x_testy)</f>
        <v>0</v>
      </c>
      <c r="AH30" s="0" t="n">
        <f aca="false">x_z_F*U30+(1-x_AGRI)*x_EMP*x_WLOSS*(x_PEN_K74*Q30+x_PEN_C22*R30)</f>
        <v>24227439.1536026</v>
      </c>
      <c r="AI30" s="0" t="n">
        <f aca="false">x_AGRI*x_EMP*x_WLOSS*(x_PEN_K74*Q30+x_PEN_C22*R30)</f>
        <v>1349880.2326151</v>
      </c>
      <c r="AJ30" s="0" t="n">
        <f aca="false">x_EMP*x_WAGE*(x_WLOSS*(Q30+R30)+S30)+U30*x_ABS_D*x_WAGE/365</f>
        <v>635543793.021282</v>
      </c>
      <c r="AK30" s="0" t="n">
        <f aca="false">AJ30*x_R_FUS</f>
        <v>201086056.111934</v>
      </c>
      <c r="AL30" s="0" t="n">
        <f aca="false">AJ30*x_R_NFZ</f>
        <v>49356966.5098258</v>
      </c>
      <c r="AM30" s="0" t="n">
        <f aca="false">AJ30*x_R_PIT</f>
        <v>42253604.0213813</v>
      </c>
      <c r="AN30" s="0" t="n">
        <f aca="false">AJ30*x_R_FP</f>
        <v>16206366.7220427</v>
      </c>
      <c r="AO30" s="0" t="n">
        <f aca="false">AA30+AB30+AC30+AD30+AF30</f>
        <v>418645861.410578</v>
      </c>
      <c r="AP30" s="0" t="n">
        <f aca="false">AO30+AE30+AG30+AH30+AI30+AK30+AL30+AM30+AN30</f>
        <v>753126174.161979</v>
      </c>
      <c r="AQ30" s="0" t="n">
        <f aca="false">AO30+AE30+AG30+AJ30</f>
        <v>1054189654.43186</v>
      </c>
      <c r="AR30" s="0" t="n">
        <f aca="false">AB30+AC30+AD30+AF30</f>
        <v>137833427.610024</v>
      </c>
      <c r="AS30" s="0" t="n">
        <f aca="false">AR30+AE30+AG30</f>
        <v>137833427.610024</v>
      </c>
    </row>
    <row r="31" customFormat="false" ht="15" hidden="false" customHeight="false" outlineLevel="0" collapsed="false">
      <c r="A31" s="0" t="n">
        <v>2054</v>
      </c>
      <c r="B31" s="0" t="n">
        <v>28</v>
      </c>
      <c r="C31" s="0" t="n">
        <v>4832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2276.758</v>
      </c>
      <c r="I31" s="0" t="n">
        <v>188.717</v>
      </c>
      <c r="J31" s="0" t="n">
        <v>1006.418</v>
      </c>
      <c r="K31" s="0" t="n">
        <v>1688.618</v>
      </c>
      <c r="L31" s="0" t="n">
        <v>884.126</v>
      </c>
      <c r="M31" s="0" t="n">
        <v>118062.611</v>
      </c>
      <c r="N31" s="0" t="n">
        <v>8600.541</v>
      </c>
      <c r="O31" s="0" t="n">
        <v>56.877</v>
      </c>
      <c r="P31" s="0" t="n">
        <v>57.523</v>
      </c>
      <c r="Q31" s="0" t="n">
        <v>948.334</v>
      </c>
      <c r="R31" s="0" t="n">
        <v>1007.385</v>
      </c>
      <c r="S31" s="0" t="n">
        <v>6473.804</v>
      </c>
      <c r="T31" s="0" t="n">
        <v>2465.475</v>
      </c>
      <c r="U31" s="0" t="n">
        <v>1866.919</v>
      </c>
      <c r="V31" s="0" t="n">
        <v>154907.626</v>
      </c>
      <c r="W31" s="0" t="n">
        <v>174.218</v>
      </c>
      <c r="X31" s="0" t="n">
        <v>476.823</v>
      </c>
      <c r="Y31" s="0" t="n">
        <v>56.877</v>
      </c>
      <c r="Z31" s="0" t="n">
        <v>608.36</v>
      </c>
      <c r="AA31" s="0" t="n">
        <f aca="false">H31*x_c_F+I31*x_c_CC+J31*x_c_DC+K31*x_c_HCC+L31*x_c_PLT+M31*x_c_SVRn+N31*x_c_SVRcc+O31*x_c_LT+P31*x_c_LT1</f>
        <v>278333281.361376</v>
      </c>
      <c r="AB31" s="0" t="n">
        <f aca="false">C31*x_c_DAA</f>
        <v>109976320</v>
      </c>
      <c r="AC31" s="0" t="n">
        <f aca="false">C31*x_c_MON</f>
        <v>27857107.6100244</v>
      </c>
      <c r="AD31" s="0" t="n">
        <f aca="false">D31*(1-x_testy)</f>
        <v>0</v>
      </c>
      <c r="AE31" s="0" t="n">
        <f aca="false">E31*(1-x_testy)</f>
        <v>0</v>
      </c>
      <c r="AF31" s="0" t="n">
        <f aca="false">F31*x_NAV</f>
        <v>0</v>
      </c>
      <c r="AG31" s="0" t="n">
        <f aca="false">G31*x_FIX*(1-x_testy)</f>
        <v>0</v>
      </c>
      <c r="AH31" s="0" t="n">
        <f aca="false">x_z_F*U31+(1-x_AGRI)*x_EMP*x_WLOSS*(x_PEN_K74*Q31+x_PEN_C22*R31)</f>
        <v>24873991.9914966</v>
      </c>
      <c r="AI31" s="0" t="n">
        <f aca="false">x_AGRI*x_EMP*x_WLOSS*(x_PEN_K74*Q31+x_PEN_C22*R31)</f>
        <v>1390424.74844225</v>
      </c>
      <c r="AJ31" s="0" t="n">
        <f aca="false">x_EMP*x_WAGE*(x_WLOSS*(Q31+R31)+S31)+U31*x_ABS_D*x_WAGE/365</f>
        <v>664394189.093478</v>
      </c>
      <c r="AK31" s="0" t="n">
        <f aca="false">AJ31*x_R_FUS</f>
        <v>210214321.429177</v>
      </c>
      <c r="AL31" s="0" t="n">
        <f aca="false">AJ31*x_R_NFZ</f>
        <v>51597517.1191886</v>
      </c>
      <c r="AM31" s="0" t="n">
        <f aca="false">AJ31*x_R_PIT</f>
        <v>44171698.7693443</v>
      </c>
      <c r="AN31" s="0" t="n">
        <f aca="false">AJ31*x_R_FP</f>
        <v>16942051.8218837</v>
      </c>
      <c r="AO31" s="0" t="n">
        <f aca="false">AA31+AB31+AC31+AD31+AF31</f>
        <v>416166708.9714</v>
      </c>
      <c r="AP31" s="0" t="n">
        <f aca="false">AO31+AE31+AG31+AH31+AI31+AK31+AL31+AM31+AN31</f>
        <v>765356714.850932</v>
      </c>
      <c r="AQ31" s="0" t="n">
        <f aca="false">AO31+AE31+AG31+AJ31</f>
        <v>1080560898.06488</v>
      </c>
      <c r="AR31" s="0" t="n">
        <f aca="false">AB31+AC31+AD31+AF31</f>
        <v>137833427.610024</v>
      </c>
      <c r="AS31" s="0" t="n">
        <f aca="false">AR31+AE31+AG31</f>
        <v>137833427.610024</v>
      </c>
    </row>
    <row r="32" customFormat="false" ht="15" hidden="false" customHeight="false" outlineLevel="0" collapsed="false">
      <c r="A32" s="0" t="n">
        <v>2055</v>
      </c>
      <c r="B32" s="0" t="n">
        <v>29</v>
      </c>
      <c r="C32" s="0" t="n">
        <v>4832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2279.516</v>
      </c>
      <c r="I32" s="0" t="n">
        <v>185.69</v>
      </c>
      <c r="J32" s="0" t="n">
        <v>984.535</v>
      </c>
      <c r="K32" s="0" t="n">
        <v>1658.457</v>
      </c>
      <c r="L32" s="0" t="n">
        <v>860.108</v>
      </c>
      <c r="M32" s="0" t="n">
        <v>120468.36</v>
      </c>
      <c r="N32" s="0" t="n">
        <v>8528.325</v>
      </c>
      <c r="O32" s="0" t="n">
        <v>55.67</v>
      </c>
      <c r="P32" s="0" t="n">
        <v>56.274</v>
      </c>
      <c r="Q32" s="0" t="n">
        <v>973.439</v>
      </c>
      <c r="R32" s="0" t="n">
        <v>1039.231</v>
      </c>
      <c r="S32" s="0" t="n">
        <v>6780.395</v>
      </c>
      <c r="T32" s="0" t="n">
        <v>2465.206</v>
      </c>
      <c r="U32" s="0" t="n">
        <v>1881.291</v>
      </c>
      <c r="V32" s="0" t="n">
        <v>156578.899</v>
      </c>
      <c r="W32" s="0" t="n">
        <v>171.377</v>
      </c>
      <c r="X32" s="0" t="n">
        <v>469.926</v>
      </c>
      <c r="Y32" s="0" t="n">
        <v>55.67</v>
      </c>
      <c r="Z32" s="0" t="n">
        <v>596.352</v>
      </c>
      <c r="AA32" s="0" t="n">
        <f aca="false">H32*x_c_F+I32*x_c_CC+J32*x_c_DC+K32*x_c_HCC+L32*x_c_PLT+M32*x_c_SVRn+N32*x_c_SVRcc+O32*x_c_LT+P32*x_c_LT1</f>
        <v>276072592.120895</v>
      </c>
      <c r="AB32" s="0" t="n">
        <f aca="false">C32*x_c_DAA</f>
        <v>109976320</v>
      </c>
      <c r="AC32" s="0" t="n">
        <f aca="false">C32*x_c_MON</f>
        <v>27857107.6100244</v>
      </c>
      <c r="AD32" s="0" t="n">
        <f aca="false">D32*(1-x_testy)</f>
        <v>0</v>
      </c>
      <c r="AE32" s="0" t="n">
        <f aca="false">E32*(1-x_testy)</f>
        <v>0</v>
      </c>
      <c r="AF32" s="0" t="n">
        <f aca="false">F32*x_NAV</f>
        <v>0</v>
      </c>
      <c r="AG32" s="0" t="n">
        <f aca="false">G32*x_FIX*(1-x_testy)</f>
        <v>0</v>
      </c>
      <c r="AH32" s="0" t="n">
        <f aca="false">x_z_F*U32+(1-x_AGRI)*x_EMP*x_WLOSS*(x_PEN_K74*Q32+x_PEN_C22*R32)</f>
        <v>25519549.6664322</v>
      </c>
      <c r="AI32" s="0" t="n">
        <f aca="false">x_AGRI*x_EMP*x_WLOSS*(x_PEN_K74*Q32+x_PEN_C22*R32)</f>
        <v>1431141.83956689</v>
      </c>
      <c r="AJ32" s="0" t="n">
        <f aca="false">x_EMP*x_WAGE*(x_WLOSS*(Q32+R32)+S32)+U32*x_ABS_D*x_WAGE/365</f>
        <v>693690931.281301</v>
      </c>
      <c r="AK32" s="0" t="n">
        <f aca="false">AJ32*x_R_FUS</f>
        <v>219483810.657404</v>
      </c>
      <c r="AL32" s="0" t="n">
        <f aca="false">AJ32*x_R_NFZ</f>
        <v>53872731.4142371</v>
      </c>
      <c r="AM32" s="0" t="n">
        <f aca="false">AJ32*x_R_PIT</f>
        <v>46119468.4700536</v>
      </c>
      <c r="AN32" s="0" t="n">
        <f aca="false">AJ32*x_R_FP</f>
        <v>17689118.7476732</v>
      </c>
      <c r="AO32" s="0" t="n">
        <f aca="false">AA32+AB32+AC32+AD32+AF32</f>
        <v>413906019.73092</v>
      </c>
      <c r="AP32" s="0" t="n">
        <f aca="false">AO32+AE32+AG32+AH32+AI32+AK32+AL32+AM32+AN32</f>
        <v>778021840.526287</v>
      </c>
      <c r="AQ32" s="0" t="n">
        <f aca="false">AO32+AE32+AG32+AJ32</f>
        <v>1107596951.01222</v>
      </c>
      <c r="AR32" s="0" t="n">
        <f aca="false">AB32+AC32+AD32+AF32</f>
        <v>137833427.610024</v>
      </c>
      <c r="AS32" s="0" t="n">
        <f aca="false">AR32+AE32+AG32</f>
        <v>137833427.610024</v>
      </c>
    </row>
    <row r="33" customFormat="false" ht="15" hidden="false" customHeight="false" outlineLevel="0" collapsed="false">
      <c r="A33" s="0" t="n">
        <v>2056</v>
      </c>
      <c r="B33" s="0" t="n">
        <v>30</v>
      </c>
      <c r="C33" s="0" t="n">
        <v>4832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2281.948</v>
      </c>
      <c r="I33" s="0" t="n">
        <v>183.017</v>
      </c>
      <c r="J33" s="0" t="n">
        <v>964.057</v>
      </c>
      <c r="K33" s="0" t="n">
        <v>1630.648</v>
      </c>
      <c r="L33" s="0" t="n">
        <v>836.232</v>
      </c>
      <c r="M33" s="0" t="n">
        <v>122839.546</v>
      </c>
      <c r="N33" s="0" t="n">
        <v>8449.126</v>
      </c>
      <c r="O33" s="0" t="n">
        <v>54.537</v>
      </c>
      <c r="P33" s="0" t="n">
        <v>55.103</v>
      </c>
      <c r="Q33" s="0" t="n">
        <v>998.835</v>
      </c>
      <c r="R33" s="0" t="n">
        <v>1070.683</v>
      </c>
      <c r="S33" s="0" t="n">
        <v>7091.383</v>
      </c>
      <c r="T33" s="0" t="n">
        <v>2464.966</v>
      </c>
      <c r="U33" s="0" t="n">
        <v>1894.097</v>
      </c>
      <c r="V33" s="0" t="n">
        <v>158231.893</v>
      </c>
      <c r="W33" s="0" t="n">
        <v>168.792</v>
      </c>
      <c r="X33" s="0" t="n">
        <v>463.599</v>
      </c>
      <c r="Y33" s="0" t="n">
        <v>54.537</v>
      </c>
      <c r="Z33" s="0" t="n">
        <v>585.089</v>
      </c>
      <c r="AA33" s="0" t="n">
        <f aca="false">H33*x_c_F+I33*x_c_CC+J33*x_c_DC+K33*x_c_HCC+L33*x_c_PLT+M33*x_c_SVRn+N33*x_c_SVRcc+O33*x_c_LT+P33*x_c_LT1</f>
        <v>273979427.167548</v>
      </c>
      <c r="AB33" s="0" t="n">
        <f aca="false">C33*x_c_DAA</f>
        <v>109976320</v>
      </c>
      <c r="AC33" s="0" t="n">
        <f aca="false">C33*x_c_MON</f>
        <v>27857107.6100244</v>
      </c>
      <c r="AD33" s="0" t="n">
        <f aca="false">D33*(1-x_testy)</f>
        <v>0</v>
      </c>
      <c r="AE33" s="0" t="n">
        <f aca="false">E33*(1-x_testy)</f>
        <v>0</v>
      </c>
      <c r="AF33" s="0" t="n">
        <f aca="false">F33*x_NAV</f>
        <v>0</v>
      </c>
      <c r="AG33" s="0" t="n">
        <f aca="false">G33*x_FIX*(1-x_testy)</f>
        <v>0</v>
      </c>
      <c r="AH33" s="0" t="n">
        <f aca="false">x_z_F*U33+(1-x_AGRI)*x_EMP*x_WLOSS*(x_PEN_K74*Q33+x_PEN_C22*R33)</f>
        <v>26160312.3371154</v>
      </c>
      <c r="AI33" s="0" t="n">
        <f aca="false">x_AGRI*x_EMP*x_WLOSS*(x_PEN_K74*Q33+x_PEN_C22*R33)</f>
        <v>1471754.79617267</v>
      </c>
      <c r="AJ33" s="0" t="n">
        <f aca="false">x_EMP*x_WAGE*(x_WLOSS*(Q33+R33)+S33)+U33*x_ABS_D*x_WAGE/365</f>
        <v>723352331.217192</v>
      </c>
      <c r="AK33" s="0" t="n">
        <f aca="false">AJ33*x_R_FUS</f>
        <v>228868677.59712</v>
      </c>
      <c r="AL33" s="0" t="n">
        <f aca="false">AJ33*x_R_NFZ</f>
        <v>56176265.3946584</v>
      </c>
      <c r="AM33" s="0" t="n">
        <f aca="false">AJ33*x_R_PIT</f>
        <v>48091482.1398795</v>
      </c>
      <c r="AN33" s="0" t="n">
        <f aca="false">AJ33*x_R_FP</f>
        <v>18445484.4460384</v>
      </c>
      <c r="AO33" s="0" t="n">
        <f aca="false">AA33+AB33+AC33+AD33+AF33</f>
        <v>411812854.777573</v>
      </c>
      <c r="AP33" s="0" t="n">
        <f aca="false">AO33+AE33+AG33+AH33+AI33+AK33+AL33+AM33+AN33</f>
        <v>791026831.488557</v>
      </c>
      <c r="AQ33" s="0" t="n">
        <f aca="false">AO33+AE33+AG33+AJ33</f>
        <v>1135165185.99477</v>
      </c>
      <c r="AR33" s="0" t="n">
        <f aca="false">AB33+AC33+AD33+AF33</f>
        <v>137833427.610024</v>
      </c>
      <c r="AS33" s="0" t="n">
        <f aca="false">AR33+AE33+AG33</f>
        <v>137833427.610024</v>
      </c>
    </row>
    <row r="34" customFormat="false" ht="15" hidden="false" customHeight="false" outlineLevel="0" collapsed="false">
      <c r="A34" s="0" t="n">
        <v>2057</v>
      </c>
      <c r="B34" s="0" t="n">
        <v>31</v>
      </c>
      <c r="C34" s="0" t="n">
        <v>4832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2284.096</v>
      </c>
      <c r="I34" s="0" t="n">
        <v>180.65</v>
      </c>
      <c r="J34" s="0" t="n">
        <v>943.783</v>
      </c>
      <c r="K34" s="0" t="n">
        <v>1603.39</v>
      </c>
      <c r="L34" s="0" t="n">
        <v>810.137</v>
      </c>
      <c r="M34" s="0" t="n">
        <v>125048.765</v>
      </c>
      <c r="N34" s="0" t="n">
        <v>8345.103</v>
      </c>
      <c r="O34" s="0" t="n">
        <v>53.345</v>
      </c>
      <c r="P34" s="0" t="n">
        <v>53.941</v>
      </c>
      <c r="Q34" s="0" t="n">
        <v>1024.349</v>
      </c>
      <c r="R34" s="0" t="n">
        <v>1101.528</v>
      </c>
      <c r="S34" s="0" t="n">
        <v>7405.89</v>
      </c>
      <c r="T34" s="0" t="n">
        <v>2464.747</v>
      </c>
      <c r="U34" s="0" t="n">
        <v>1905.525</v>
      </c>
      <c r="V34" s="0" t="n">
        <v>159751.383</v>
      </c>
      <c r="W34" s="0" t="n">
        <v>166.231</v>
      </c>
      <c r="X34" s="0" t="n">
        <v>457.135</v>
      </c>
      <c r="Y34" s="0" t="n">
        <v>53.345</v>
      </c>
      <c r="Z34" s="0" t="n">
        <v>573.137</v>
      </c>
      <c r="AA34" s="0" t="n">
        <f aca="false">H34*x_c_F+I34*x_c_CC+J34*x_c_DC+K34*x_c_HCC+L34*x_c_PLT+M34*x_c_SVRn+N34*x_c_SVRcc+O34*x_c_LT+P34*x_c_LT1</f>
        <v>271667885.714346</v>
      </c>
      <c r="AB34" s="0" t="n">
        <f aca="false">C34*x_c_DAA</f>
        <v>109976320</v>
      </c>
      <c r="AC34" s="0" t="n">
        <f aca="false">C34*x_c_MON</f>
        <v>27857107.6100244</v>
      </c>
      <c r="AD34" s="0" t="n">
        <f aca="false">D34*(1-x_testy)</f>
        <v>0</v>
      </c>
      <c r="AE34" s="0" t="n">
        <f aca="false">E34*(1-x_testy)</f>
        <v>0</v>
      </c>
      <c r="AF34" s="0" t="n">
        <f aca="false">F34*x_NAV</f>
        <v>0</v>
      </c>
      <c r="AG34" s="0" t="n">
        <f aca="false">G34*x_FIX*(1-x_testy)</f>
        <v>0</v>
      </c>
      <c r="AH34" s="0" t="n">
        <f aca="false">x_z_F*U34+(1-x_AGRI)*x_EMP*x_WLOSS*(x_PEN_K74*Q34+x_PEN_C22*R34)</f>
        <v>26792495.2480061</v>
      </c>
      <c r="AI34" s="0" t="n">
        <f aca="false">x_AGRI*x_EMP*x_WLOSS*(x_PEN_K74*Q34+x_PEN_C22*R34)</f>
        <v>1511987.90558266</v>
      </c>
      <c r="AJ34" s="0" t="n">
        <f aca="false">x_EMP*x_WAGE*(x_WLOSS*(Q34+R34)+S34)+U34*x_ABS_D*x_WAGE/365</f>
        <v>753282973.594614</v>
      </c>
      <c r="AK34" s="0" t="n">
        <f aca="false">AJ34*x_R_FUS</f>
        <v>238338732.845336</v>
      </c>
      <c r="AL34" s="0" t="n">
        <f aca="false">AJ34*x_R_NFZ</f>
        <v>58500709.0123313</v>
      </c>
      <c r="AM34" s="0" t="n">
        <f aca="false">AJ34*x_R_PIT</f>
        <v>50081396.1709946</v>
      </c>
      <c r="AN34" s="0" t="n">
        <f aca="false">AJ34*x_R_FP</f>
        <v>19208715.8266627</v>
      </c>
      <c r="AO34" s="0" t="n">
        <f aca="false">AA34+AB34+AC34+AD34+AF34</f>
        <v>409501313.32437</v>
      </c>
      <c r="AP34" s="0" t="n">
        <f aca="false">AO34+AE34+AG34+AH34+AI34+AK34+AL34+AM34+AN34</f>
        <v>803935350.333283</v>
      </c>
      <c r="AQ34" s="0" t="n">
        <f aca="false">AO34+AE34+AG34+AJ34</f>
        <v>1162784286.91898</v>
      </c>
      <c r="AR34" s="0" t="n">
        <f aca="false">AB34+AC34+AD34+AF34</f>
        <v>137833427.610024</v>
      </c>
      <c r="AS34" s="0" t="n">
        <f aca="false">AR34+AE34+AG34</f>
        <v>137833427.610024</v>
      </c>
    </row>
    <row r="35" customFormat="false" ht="15" hidden="false" customHeight="false" outlineLevel="0" collapsed="false">
      <c r="A35" s="0" t="n">
        <v>2058</v>
      </c>
      <c r="B35" s="0" t="n">
        <v>32</v>
      </c>
      <c r="C35" s="0" t="n">
        <v>4832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2285.964</v>
      </c>
      <c r="I35" s="0" t="n">
        <v>178.584</v>
      </c>
      <c r="J35" s="0" t="n">
        <v>925.034</v>
      </c>
      <c r="K35" s="0" t="n">
        <v>1578.415</v>
      </c>
      <c r="L35" s="0" t="n">
        <v>784.604</v>
      </c>
      <c r="M35" s="0" t="n">
        <v>127231.046</v>
      </c>
      <c r="N35" s="0" t="n">
        <v>8237.739</v>
      </c>
      <c r="O35" s="0" t="n">
        <v>52.385</v>
      </c>
      <c r="P35" s="0" t="n">
        <v>52.865</v>
      </c>
      <c r="Q35" s="0" t="n">
        <v>1049.8</v>
      </c>
      <c r="R35" s="0" t="n">
        <v>1131.56</v>
      </c>
      <c r="S35" s="0" t="n">
        <v>7722.874</v>
      </c>
      <c r="T35" s="0" t="n">
        <v>2464.548</v>
      </c>
      <c r="U35" s="0" t="n">
        <v>1915.652</v>
      </c>
      <c r="V35" s="0" t="n">
        <v>161257.569</v>
      </c>
      <c r="W35" s="0" t="n">
        <v>164.133</v>
      </c>
      <c r="X35" s="0" t="n">
        <v>451.922</v>
      </c>
      <c r="Y35" s="0" t="n">
        <v>52.385</v>
      </c>
      <c r="Z35" s="0" t="n">
        <v>563.589</v>
      </c>
      <c r="AA35" s="0" t="n">
        <f aca="false">H35*x_c_F+I35*x_c_CC+J35*x_c_DC+K35*x_c_HCC+L35*x_c_PLT+M35*x_c_SVRn+N35*x_c_SVRcc+O35*x_c_LT+P35*x_c_LT1</f>
        <v>269604086.310086</v>
      </c>
      <c r="AB35" s="0" t="n">
        <f aca="false">C35*x_c_DAA</f>
        <v>109976320</v>
      </c>
      <c r="AC35" s="0" t="n">
        <f aca="false">C35*x_c_MON</f>
        <v>27857107.6100244</v>
      </c>
      <c r="AD35" s="0" t="n">
        <f aca="false">D35*(1-x_testy)</f>
        <v>0</v>
      </c>
      <c r="AE35" s="0" t="n">
        <f aca="false">E35*(1-x_testy)</f>
        <v>0</v>
      </c>
      <c r="AF35" s="0" t="n">
        <f aca="false">F35*x_NAV</f>
        <v>0</v>
      </c>
      <c r="AG35" s="0" t="n">
        <f aca="false">G35*x_FIX*(1-x_testy)</f>
        <v>0</v>
      </c>
      <c r="AH35" s="0" t="n">
        <f aca="false">x_z_F*U35+(1-x_AGRI)*x_EMP*x_WLOSS*(x_PEN_K74*Q35+x_PEN_C22*R35)</f>
        <v>27412084.9883413</v>
      </c>
      <c r="AI35" s="0" t="n">
        <f aca="false">x_AGRI*x_EMP*x_WLOSS*(x_PEN_K74*Q35+x_PEN_C22*R35)</f>
        <v>1551565.42540294</v>
      </c>
      <c r="AJ35" s="0" t="n">
        <f aca="false">x_EMP*x_WAGE*(x_WLOSS*(Q35+R35)+S35)+U35*x_ABS_D*x_WAGE/365</f>
        <v>783373079.649492</v>
      </c>
      <c r="AK35" s="0" t="n">
        <f aca="false">AJ35*x_R_FUS</f>
        <v>247859242.401099</v>
      </c>
      <c r="AL35" s="0" t="n">
        <f aca="false">AJ35*x_R_NFZ</f>
        <v>60837536.7386592</v>
      </c>
      <c r="AM35" s="0" t="n">
        <f aca="false">AJ35*x_R_PIT</f>
        <v>52081912.0129637</v>
      </c>
      <c r="AN35" s="0" t="n">
        <f aca="false">AJ35*x_R_FP</f>
        <v>19976013.5310621</v>
      </c>
      <c r="AO35" s="0" t="n">
        <f aca="false">AA35+AB35+AC35+AD35+AF35</f>
        <v>407437513.92011</v>
      </c>
      <c r="AP35" s="0" t="n">
        <f aca="false">AO35+AE35+AG35+AH35+AI35+AK35+AL35+AM35+AN35</f>
        <v>817155869.017639</v>
      </c>
      <c r="AQ35" s="0" t="n">
        <f aca="false">AO35+AE35+AG35+AJ35</f>
        <v>1190810593.5696</v>
      </c>
      <c r="AR35" s="0" t="n">
        <f aca="false">AB35+AC35+AD35+AF35</f>
        <v>137833427.610024</v>
      </c>
      <c r="AS35" s="0" t="n">
        <f aca="false">AR35+AE35+AG35</f>
        <v>137833427.610024</v>
      </c>
    </row>
    <row r="36" customFormat="false" ht="15" hidden="false" customHeight="false" outlineLevel="0" collapsed="false">
      <c r="A36" s="0" t="n">
        <v>2059</v>
      </c>
      <c r="B36" s="0" t="n">
        <v>33</v>
      </c>
      <c r="C36" s="0" t="n">
        <v>4832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2287.563</v>
      </c>
      <c r="I36" s="0" t="n">
        <v>176.807</v>
      </c>
      <c r="J36" s="0" t="n">
        <v>908.582</v>
      </c>
      <c r="K36" s="0" t="n">
        <v>1556.706</v>
      </c>
      <c r="L36" s="0" t="n">
        <v>761.39</v>
      </c>
      <c r="M36" s="0" t="n">
        <v>129470.295</v>
      </c>
      <c r="N36" s="0" t="n">
        <v>8140.694</v>
      </c>
      <c r="O36" s="0" t="n">
        <v>51.46</v>
      </c>
      <c r="P36" s="0" t="n">
        <v>51.922</v>
      </c>
      <c r="Q36" s="0" t="n">
        <v>798.456</v>
      </c>
      <c r="R36" s="0" t="n">
        <v>972.361</v>
      </c>
      <c r="S36" s="0" t="n">
        <v>5030.717</v>
      </c>
      <c r="T36" s="0" t="n">
        <v>2464.37</v>
      </c>
      <c r="U36" s="0" t="n">
        <v>1896.8</v>
      </c>
      <c r="V36" s="0" t="n">
        <v>162825.037</v>
      </c>
      <c r="W36" s="0" t="n">
        <v>162.174</v>
      </c>
      <c r="X36" s="0" t="n">
        <v>446.962</v>
      </c>
      <c r="Y36" s="0" t="n">
        <v>51.46</v>
      </c>
      <c r="Z36" s="0" t="n">
        <v>554.319</v>
      </c>
      <c r="AA36" s="0" t="n">
        <f aca="false">H36*x_c_F+I36*x_c_CC+J36*x_c_DC+K36*x_c_HCC+L36*x_c_PLT+M36*x_c_SVRn+N36*x_c_SVRcc+O36*x_c_LT+P36*x_c_LT1</f>
        <v>267943105.984906</v>
      </c>
      <c r="AB36" s="0" t="n">
        <f aca="false">C36*x_c_DAA</f>
        <v>109976320</v>
      </c>
      <c r="AC36" s="0" t="n">
        <f aca="false">C36*x_c_MON</f>
        <v>27857107.6100244</v>
      </c>
      <c r="AD36" s="0" t="n">
        <f aca="false">D36*(1-x_testy)</f>
        <v>0</v>
      </c>
      <c r="AE36" s="0" t="n">
        <f aca="false">E36*(1-x_testy)</f>
        <v>0</v>
      </c>
      <c r="AF36" s="0" t="n">
        <f aca="false">F36*x_NAV</f>
        <v>0</v>
      </c>
      <c r="AG36" s="0" t="n">
        <f aca="false">G36*x_FIX*(1-x_testy)</f>
        <v>0</v>
      </c>
      <c r="AH36" s="0" t="n">
        <f aca="false">x_z_F*U36+(1-x_AGRI)*x_EMP*x_WLOSS*(x_PEN_K74*Q36+x_PEN_C22*R36)</f>
        <v>23029197.8031277</v>
      </c>
      <c r="AI36" s="0" t="n">
        <f aca="false">x_AGRI*x_EMP*x_WLOSS*(x_PEN_K74*Q36+x_PEN_C22*R36)</f>
        <v>1264426.81933573</v>
      </c>
      <c r="AJ36" s="0" t="n">
        <f aca="false">x_EMP*x_WAGE*(x_WLOSS*(Q36+R36)+S36)+U36*x_ABS_D*x_WAGE/365</f>
        <v>531332090.582059</v>
      </c>
      <c r="AK36" s="0" t="n">
        <f aca="false">AJ36*x_R_FUS</f>
        <v>168113473.460163</v>
      </c>
      <c r="AL36" s="0" t="n">
        <f aca="false">AJ36*x_R_NFZ</f>
        <v>41263781.4866932</v>
      </c>
      <c r="AM36" s="0" t="n">
        <f aca="false">AJ36*x_R_PIT</f>
        <v>35325175.0797214</v>
      </c>
      <c r="AN36" s="0" t="n">
        <f aca="false">AJ36*x_R_FP</f>
        <v>13548968.3098425</v>
      </c>
      <c r="AO36" s="0" t="n">
        <f aca="false">AA36+AB36+AC36+AD36+AF36</f>
        <v>405776533.594931</v>
      </c>
      <c r="AP36" s="0" t="n">
        <f aca="false">AO36+AE36+AG36+AH36+AI36+AK36+AL36+AM36+AN36</f>
        <v>688321556.553814</v>
      </c>
      <c r="AQ36" s="0" t="n">
        <f aca="false">AO36+AE36+AG36+AJ36</f>
        <v>937108624.176989</v>
      </c>
      <c r="AR36" s="0" t="n">
        <f aca="false">AB36+AC36+AD36+AF36</f>
        <v>137833427.610024</v>
      </c>
      <c r="AS36" s="0" t="n">
        <f aca="false">AR36+AE36+AG36</f>
        <v>137833427.610024</v>
      </c>
    </row>
    <row r="37" customFormat="false" ht="15" hidden="false" customHeight="false" outlineLevel="0" collapsed="false">
      <c r="A37" s="0" t="n">
        <v>2060</v>
      </c>
      <c r="B37" s="0" t="n">
        <v>34</v>
      </c>
      <c r="C37" s="0" t="n">
        <v>4832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2288.925</v>
      </c>
      <c r="I37" s="0" t="n">
        <v>175.281</v>
      </c>
      <c r="J37" s="0" t="n">
        <v>892.826</v>
      </c>
      <c r="K37" s="0" t="n">
        <v>1535.97</v>
      </c>
      <c r="L37" s="0" t="n">
        <v>737.294</v>
      </c>
      <c r="M37" s="0" t="n">
        <v>131595.294</v>
      </c>
      <c r="N37" s="0" t="n">
        <v>8029.678</v>
      </c>
      <c r="O37" s="0" t="n">
        <v>50.575</v>
      </c>
      <c r="P37" s="0" t="n">
        <v>51.017</v>
      </c>
      <c r="Q37" s="0" t="n">
        <v>535.993</v>
      </c>
      <c r="R37" s="0" t="n">
        <v>799.946</v>
      </c>
      <c r="S37" s="0" t="n">
        <v>2189.082</v>
      </c>
      <c r="T37" s="0" t="n">
        <v>2464.206</v>
      </c>
      <c r="U37" s="0" t="n">
        <v>1873.359</v>
      </c>
      <c r="V37" s="0" t="n">
        <v>164301.142</v>
      </c>
      <c r="W37" s="0" t="n">
        <v>160.357</v>
      </c>
      <c r="X37" s="0" t="n">
        <v>442.264</v>
      </c>
      <c r="Y37" s="0" t="n">
        <v>50.575</v>
      </c>
      <c r="Z37" s="0" t="n">
        <v>545.382</v>
      </c>
      <c r="AA37" s="0" t="n">
        <f aca="false">H37*x_c_F+I37*x_c_CC+J37*x_c_DC+K37*x_c_HCC+L37*x_c_PLT+M37*x_c_SVRn+N37*x_c_SVRcc+O37*x_c_LT+P37*x_c_LT1</f>
        <v>266235778.901268</v>
      </c>
      <c r="AB37" s="0" t="n">
        <f aca="false">C37*x_c_DAA</f>
        <v>109976320</v>
      </c>
      <c r="AC37" s="0" t="n">
        <f aca="false">C37*x_c_MON</f>
        <v>27857107.6100244</v>
      </c>
      <c r="AD37" s="0" t="n">
        <f aca="false">D37*(1-x_testy)</f>
        <v>0</v>
      </c>
      <c r="AE37" s="0" t="n">
        <f aca="false">E37*(1-x_testy)</f>
        <v>0</v>
      </c>
      <c r="AF37" s="0" t="n">
        <f aca="false">F37*x_NAV</f>
        <v>0</v>
      </c>
      <c r="AG37" s="0" t="n">
        <f aca="false">G37*x_FIX*(1-x_testy)</f>
        <v>0</v>
      </c>
      <c r="AH37" s="0" t="n">
        <f aca="false">x_z_F*U37+(1-x_AGRI)*x_EMP*x_WLOSS*(x_PEN_K74*Q37+x_PEN_C22*R37)</f>
        <v>18374193.8627914</v>
      </c>
      <c r="AI37" s="0" t="n">
        <f aca="false">x_AGRI*x_EMP*x_WLOSS*(x_PEN_K74*Q37+x_PEN_C22*R37)</f>
        <v>959925.42395125</v>
      </c>
      <c r="AJ37" s="0" t="n">
        <f aca="false">x_EMP*x_WAGE*(x_WLOSS*(Q37+R37)+S37)+U37*x_ABS_D*x_WAGE/365</f>
        <v>265202268.470608</v>
      </c>
      <c r="AK37" s="0" t="n">
        <f aca="false">AJ37*x_R_FUS</f>
        <v>83909997.7441005</v>
      </c>
      <c r="AL37" s="0" t="n">
        <f aca="false">AJ37*x_R_NFZ</f>
        <v>20595873.3716959</v>
      </c>
      <c r="AM37" s="0" t="n">
        <f aca="false">AJ37*x_R_PIT</f>
        <v>17631753.7211065</v>
      </c>
      <c r="AN37" s="0" t="n">
        <f aca="false">AJ37*x_R_FP</f>
        <v>6762657.84600052</v>
      </c>
      <c r="AO37" s="0" t="n">
        <f aca="false">AA37+AB37+AC37+AD37+AF37</f>
        <v>404069206.511292</v>
      </c>
      <c r="AP37" s="0" t="n">
        <f aca="false">AO37+AE37+AG37+AH37+AI37+AK37+AL37+AM37+AN37</f>
        <v>552303608.480938</v>
      </c>
      <c r="AQ37" s="0" t="n">
        <f aca="false">AO37+AE37+AG37+AJ37</f>
        <v>669271474.981901</v>
      </c>
      <c r="AR37" s="0" t="n">
        <f aca="false">AB37+AC37+AD37+AF37</f>
        <v>137833427.610024</v>
      </c>
      <c r="AS37" s="0" t="n">
        <f aca="false">AR37+AE37+AG37</f>
        <v>137833427.610024</v>
      </c>
    </row>
    <row r="38" customFormat="false" ht="15" hidden="false" customHeight="false" outlineLevel="0" collapsed="false">
      <c r="A38" s="0" t="n">
        <v>2061</v>
      </c>
      <c r="B38" s="0" t="n">
        <v>35</v>
      </c>
      <c r="C38" s="0" t="n">
        <v>4832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2290.053</v>
      </c>
      <c r="I38" s="0" t="n">
        <v>174.005</v>
      </c>
      <c r="J38" s="0" t="n">
        <v>877.914</v>
      </c>
      <c r="K38" s="0" t="n">
        <v>1516.36</v>
      </c>
      <c r="L38" s="0" t="n">
        <v>712.544</v>
      </c>
      <c r="M38" s="0" t="n">
        <v>133608.12</v>
      </c>
      <c r="N38" s="0" t="n">
        <v>7906.738</v>
      </c>
      <c r="O38" s="0" t="n">
        <v>49.741</v>
      </c>
      <c r="P38" s="0" t="n">
        <v>50.158</v>
      </c>
      <c r="Q38" s="0" t="n">
        <v>539.106</v>
      </c>
      <c r="R38" s="0" t="n">
        <v>802.997</v>
      </c>
      <c r="S38" s="0" t="n">
        <v>2208.429</v>
      </c>
      <c r="T38" s="0" t="n">
        <v>2464.058</v>
      </c>
      <c r="U38" s="0" t="n">
        <v>1873.538</v>
      </c>
      <c r="V38" s="0" t="n">
        <v>165689.142</v>
      </c>
      <c r="W38" s="0" t="n">
        <v>158.694</v>
      </c>
      <c r="X38" s="0" t="n">
        <v>437.869</v>
      </c>
      <c r="Y38" s="0" t="n">
        <v>49.741</v>
      </c>
      <c r="Z38" s="0" t="n">
        <v>536.88</v>
      </c>
      <c r="AA38" s="0" t="n">
        <f aca="false">H38*x_c_F+I38*x_c_CC+J38*x_c_DC+K38*x_c_HCC+L38*x_c_PLT+M38*x_c_SVRn+N38*x_c_SVRcc+O38*x_c_LT+P38*x_c_LT1</f>
        <v>264512678.856537</v>
      </c>
      <c r="AB38" s="0" t="n">
        <f aca="false">C38*x_c_DAA</f>
        <v>109976320</v>
      </c>
      <c r="AC38" s="0" t="n">
        <f aca="false">C38*x_c_MON</f>
        <v>27857107.6100244</v>
      </c>
      <c r="AD38" s="0" t="n">
        <f aca="false">D38*(1-x_testy)</f>
        <v>0</v>
      </c>
      <c r="AE38" s="0" t="n">
        <f aca="false">E38*(1-x_testy)</f>
        <v>0</v>
      </c>
      <c r="AF38" s="0" t="n">
        <f aca="false">F38*x_NAV</f>
        <v>0</v>
      </c>
      <c r="AG38" s="0" t="n">
        <f aca="false">G38*x_FIX*(1-x_testy)</f>
        <v>0</v>
      </c>
      <c r="AH38" s="0" t="n">
        <f aca="false">x_z_F*U38+(1-x_AGRI)*x_EMP*x_WLOSS*(x_PEN_K74*Q38+x_PEN_C22*R38)</f>
        <v>18440691.9291649</v>
      </c>
      <c r="AI38" s="0" t="n">
        <f aca="false">x_AGRI*x_EMP*x_WLOSS*(x_PEN_K74*Q38+x_PEN_C22*R38)</f>
        <v>964296.493955038</v>
      </c>
      <c r="AJ38" s="0" t="n">
        <f aca="false">x_EMP*x_WAGE*(x_WLOSS*(Q38+R38)+S38)+U38*x_ABS_D*x_WAGE/365</f>
        <v>267189413.964204</v>
      </c>
      <c r="AK38" s="0" t="n">
        <f aca="false">AJ38*x_R_FUS</f>
        <v>84538730.5782742</v>
      </c>
      <c r="AL38" s="0" t="n">
        <f aca="false">AJ38*x_R_NFZ</f>
        <v>20750197.0778741</v>
      </c>
      <c r="AM38" s="0" t="n">
        <f aca="false">AJ38*x_R_PIT</f>
        <v>17763867.4475582</v>
      </c>
      <c r="AN38" s="0" t="n">
        <f aca="false">AJ38*x_R_FP</f>
        <v>6813330.05608721</v>
      </c>
      <c r="AO38" s="0" t="n">
        <f aca="false">AA38+AB38+AC38+AD38+AF38</f>
        <v>402346106.466562</v>
      </c>
      <c r="AP38" s="0" t="n">
        <f aca="false">AO38+AE38+AG38+AH38+AI38+AK38+AL38+AM38+AN38</f>
        <v>551617220.049475</v>
      </c>
      <c r="AQ38" s="0" t="n">
        <f aca="false">AO38+AE38+AG38+AJ38</f>
        <v>669535520.430766</v>
      </c>
      <c r="AR38" s="0" t="n">
        <f aca="false">AB38+AC38+AD38+AF38</f>
        <v>137833427.610024</v>
      </c>
      <c r="AS38" s="0" t="n">
        <f aca="false">AR38+AE38+AG38</f>
        <v>137833427.610024</v>
      </c>
    </row>
    <row r="39" customFormat="false" ht="15" hidden="false" customHeight="false" outlineLevel="0" collapsed="false">
      <c r="A39" s="0" t="n">
        <v>2062</v>
      </c>
      <c r="B39" s="0" t="n">
        <v>36</v>
      </c>
      <c r="C39" s="0" t="n">
        <v>4832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2290.945</v>
      </c>
      <c r="I39" s="0" t="n">
        <v>172.98</v>
      </c>
      <c r="J39" s="0" t="n">
        <v>864.042</v>
      </c>
      <c r="K39" s="0" t="n">
        <v>1498.106</v>
      </c>
      <c r="L39" s="0" t="n">
        <v>687.492</v>
      </c>
      <c r="M39" s="0" t="n">
        <v>135517.514</v>
      </c>
      <c r="N39" s="0" t="n">
        <v>7775.021</v>
      </c>
      <c r="O39" s="0" t="n">
        <v>48.971</v>
      </c>
      <c r="P39" s="0" t="n">
        <v>49.356</v>
      </c>
      <c r="Q39" s="0" t="n">
        <v>541.951</v>
      </c>
      <c r="R39" s="0" t="n">
        <v>805.626</v>
      </c>
      <c r="S39" s="0" t="n">
        <v>2227.113</v>
      </c>
      <c r="T39" s="0" t="n">
        <v>2463.925</v>
      </c>
      <c r="U39" s="0" t="n">
        <v>1873.448</v>
      </c>
      <c r="V39" s="0" t="n">
        <v>166998.517</v>
      </c>
      <c r="W39" s="0" t="n">
        <v>157.203</v>
      </c>
      <c r="X39" s="0" t="n">
        <v>433.831</v>
      </c>
      <c r="Y39" s="0" t="n">
        <v>48.971</v>
      </c>
      <c r="Z39" s="0" t="n">
        <v>528.934</v>
      </c>
      <c r="AA39" s="0" t="n">
        <f aca="false">H39*x_c_F+I39*x_c_CC+J39*x_c_DC+K39*x_c_HCC+L39*x_c_PLT+M39*x_c_SVRn+N39*x_c_SVRcc+O39*x_c_LT+P39*x_c_LT1</f>
        <v>262821948.671379</v>
      </c>
      <c r="AB39" s="0" t="n">
        <f aca="false">C39*x_c_DAA</f>
        <v>109976320</v>
      </c>
      <c r="AC39" s="0" t="n">
        <f aca="false">C39*x_c_MON</f>
        <v>27857107.6100244</v>
      </c>
      <c r="AD39" s="0" t="n">
        <f aca="false">D39*(1-x_testy)</f>
        <v>0</v>
      </c>
      <c r="AE39" s="0" t="n">
        <f aca="false">E39*(1-x_testy)</f>
        <v>0</v>
      </c>
      <c r="AF39" s="0" t="n">
        <f aca="false">F39*x_NAV</f>
        <v>0</v>
      </c>
      <c r="AG39" s="0" t="n">
        <f aca="false">G39*x_FIX*(1-x_testy)</f>
        <v>0</v>
      </c>
      <c r="AH39" s="0" t="n">
        <f aca="false">x_z_F*U39+(1-x_AGRI)*x_EMP*x_WLOSS*(x_PEN_K74*Q39+x_PEN_C22*R39)</f>
        <v>18499123.9787537</v>
      </c>
      <c r="AI39" s="0" t="n">
        <f aca="false">x_AGRI*x_EMP*x_WLOSS*(x_PEN_K74*Q39+x_PEN_C22*R39)</f>
        <v>968170.970536497</v>
      </c>
      <c r="AJ39" s="0" t="n">
        <f aca="false">x_EMP*x_WAGE*(x_WLOSS*(Q39+R39)+S39)+U39*x_ABS_D*x_WAGE/365</f>
        <v>269081508.198652</v>
      </c>
      <c r="AK39" s="0" t="n">
        <f aca="false">AJ39*x_R_FUS</f>
        <v>85137389.1940533</v>
      </c>
      <c r="AL39" s="0" t="n">
        <f aca="false">AJ39*x_R_NFZ</f>
        <v>20897139.0082155</v>
      </c>
      <c r="AM39" s="0" t="n">
        <f aca="false">AJ39*x_R_PIT</f>
        <v>17889661.7695724</v>
      </c>
      <c r="AN39" s="0" t="n">
        <f aca="false">AJ39*x_R_FP</f>
        <v>6861578.45906561</v>
      </c>
      <c r="AO39" s="0" t="n">
        <f aca="false">AA39+AB39+AC39+AD39+AF39</f>
        <v>400655376.281404</v>
      </c>
      <c r="AP39" s="0" t="n">
        <f aca="false">AO39+AE39+AG39+AH39+AI39+AK39+AL39+AM39+AN39</f>
        <v>550908439.661601</v>
      </c>
      <c r="AQ39" s="0" t="n">
        <f aca="false">AO39+AE39+AG39+AJ39</f>
        <v>669736884.480055</v>
      </c>
      <c r="AR39" s="0" t="n">
        <f aca="false">AB39+AC39+AD39+AF39</f>
        <v>137833427.610024</v>
      </c>
      <c r="AS39" s="0" t="n">
        <f aca="false">AR39+AE39+AG39</f>
        <v>137833427.610024</v>
      </c>
    </row>
    <row r="40" customFormat="false" ht="15" hidden="false" customHeight="false" outlineLevel="0" collapsed="false">
      <c r="A40" s="0" t="n">
        <v>2063</v>
      </c>
      <c r="B40" s="0" t="n">
        <v>37</v>
      </c>
      <c r="C40" s="0" t="n">
        <v>4832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2291.604</v>
      </c>
      <c r="I40" s="0" t="n">
        <v>172.206</v>
      </c>
      <c r="J40" s="0" t="n">
        <v>851.434</v>
      </c>
      <c r="K40" s="0" t="n">
        <v>1481.492</v>
      </c>
      <c r="L40" s="0" t="n">
        <v>662.595</v>
      </c>
      <c r="M40" s="0" t="n">
        <v>137338.852</v>
      </c>
      <c r="N40" s="0" t="n">
        <v>7638.669</v>
      </c>
      <c r="O40" s="0" t="n">
        <v>48.279</v>
      </c>
      <c r="P40" s="0" t="n">
        <v>48.625</v>
      </c>
      <c r="Q40" s="0" t="n">
        <v>544.281</v>
      </c>
      <c r="R40" s="0" t="n">
        <v>807.58</v>
      </c>
      <c r="S40" s="0" t="n">
        <v>2243.583</v>
      </c>
      <c r="T40" s="0" t="n">
        <v>2463.81</v>
      </c>
      <c r="U40" s="0" t="n">
        <v>1873.024</v>
      </c>
      <c r="V40" s="0" t="n">
        <v>168244.697</v>
      </c>
      <c r="W40" s="0" t="n">
        <v>155.905</v>
      </c>
      <c r="X40" s="0" t="n">
        <v>430.225</v>
      </c>
      <c r="Y40" s="0" t="n">
        <v>48.279</v>
      </c>
      <c r="Z40" s="0" t="n">
        <v>521.69</v>
      </c>
      <c r="AA40" s="0" t="n">
        <f aca="false">H40*x_c_F+I40*x_c_CC+J40*x_c_DC+K40*x_c_HCC+L40*x_c_PLT+M40*x_c_SVRn+N40*x_c_SVRcc+O40*x_c_LT+P40*x_c_LT1</f>
        <v>261226253.963382</v>
      </c>
      <c r="AB40" s="0" t="n">
        <f aca="false">C40*x_c_DAA</f>
        <v>109976320</v>
      </c>
      <c r="AC40" s="0" t="n">
        <f aca="false">C40*x_c_MON</f>
        <v>27857107.6100244</v>
      </c>
      <c r="AD40" s="0" t="n">
        <f aca="false">D40*(1-x_testy)</f>
        <v>0</v>
      </c>
      <c r="AE40" s="0" t="n">
        <f aca="false">E40*(1-x_testy)</f>
        <v>0</v>
      </c>
      <c r="AF40" s="0" t="n">
        <f aca="false">F40*x_NAV</f>
        <v>0</v>
      </c>
      <c r="AG40" s="0" t="n">
        <f aca="false">G40*x_FIX*(1-x_testy)</f>
        <v>0</v>
      </c>
      <c r="AH40" s="0" t="n">
        <f aca="false">x_z_F*U40+(1-x_AGRI)*x_EMP*x_WLOSS*(x_PEN_K74*Q40+x_PEN_C22*R40)</f>
        <v>18543984.5983827</v>
      </c>
      <c r="AI40" s="0" t="n">
        <f aca="false">x_AGRI*x_EMP*x_WLOSS*(x_PEN_K74*Q40+x_PEN_C22*R40)</f>
        <v>971193.789395844</v>
      </c>
      <c r="AJ40" s="0" t="n">
        <f aca="false">x_EMP*x_WAGE*(x_WLOSS*(Q40+R40)+S40)+U40*x_ABS_D*x_WAGE/365</f>
        <v>270718778.183001</v>
      </c>
      <c r="AK40" s="0" t="n">
        <f aca="false">AJ40*x_R_FUS</f>
        <v>85655421.4171014</v>
      </c>
      <c r="AL40" s="0" t="n">
        <f aca="false">AJ40*x_R_NFZ</f>
        <v>21024291.03247</v>
      </c>
      <c r="AM40" s="0" t="n">
        <f aca="false">AJ40*x_R_PIT</f>
        <v>17998514.3118432</v>
      </c>
      <c r="AN40" s="0" t="n">
        <f aca="false">AJ40*x_R_FP</f>
        <v>6903328.84366651</v>
      </c>
      <c r="AO40" s="0" t="n">
        <f aca="false">AA40+AB40+AC40+AD40+AF40</f>
        <v>399059681.573406</v>
      </c>
      <c r="AP40" s="0" t="n">
        <f aca="false">AO40+AE40+AG40+AH40+AI40+AK40+AL40+AM40+AN40</f>
        <v>550156415.566266</v>
      </c>
      <c r="AQ40" s="0" t="n">
        <f aca="false">AO40+AE40+AG40+AJ40</f>
        <v>669778459.756407</v>
      </c>
      <c r="AR40" s="0" t="n">
        <f aca="false">AB40+AC40+AD40+AF40</f>
        <v>137833427.610024</v>
      </c>
      <c r="AS40" s="0" t="n">
        <f aca="false">AR40+AE40+AG40</f>
        <v>137833427.610024</v>
      </c>
    </row>
    <row r="41" customFormat="false" ht="15" hidden="false" customHeight="false" outlineLevel="0" collapsed="false">
      <c r="A41" s="0" t="n">
        <v>2064</v>
      </c>
      <c r="B41" s="0" t="n">
        <v>38</v>
      </c>
      <c r="C41" s="0" t="n">
        <v>4832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2292.035</v>
      </c>
      <c r="I41" s="0" t="n">
        <v>171.678</v>
      </c>
      <c r="J41" s="0" t="n">
        <v>840.316</v>
      </c>
      <c r="K41" s="0" t="n">
        <v>1466.823</v>
      </c>
      <c r="L41" s="0" t="n">
        <v>638.389</v>
      </c>
      <c r="M41" s="0" t="n">
        <v>139093.518</v>
      </c>
      <c r="N41" s="0" t="n">
        <v>7502.619</v>
      </c>
      <c r="O41" s="0" t="n">
        <v>47.677</v>
      </c>
      <c r="P41" s="0" t="n">
        <v>47.978</v>
      </c>
      <c r="Q41" s="0" t="n">
        <v>546.028</v>
      </c>
      <c r="R41" s="0" t="n">
        <v>808.803</v>
      </c>
      <c r="S41" s="0" t="n">
        <v>2257.367</v>
      </c>
      <c r="T41" s="0" t="n">
        <v>2463.713</v>
      </c>
      <c r="U41" s="0" t="n">
        <v>1872.256</v>
      </c>
      <c r="V41" s="0" t="n">
        <v>169448.177</v>
      </c>
      <c r="W41" s="0" t="n">
        <v>154.82</v>
      </c>
      <c r="X41" s="0" t="n">
        <v>427.117</v>
      </c>
      <c r="Y41" s="0" t="n">
        <v>47.677</v>
      </c>
      <c r="Z41" s="0" t="n">
        <v>515.287</v>
      </c>
      <c r="AA41" s="0" t="n">
        <f aca="false">H41*x_c_F+I41*x_c_CC+J41*x_c_DC+K41*x_c_HCC+L41*x_c_PLT+M41*x_c_SVRn+N41*x_c_SVRcc+O41*x_c_LT+P41*x_c_LT1</f>
        <v>259797231.074413</v>
      </c>
      <c r="AB41" s="0" t="n">
        <f aca="false">C41*x_c_DAA</f>
        <v>109976320</v>
      </c>
      <c r="AC41" s="0" t="n">
        <f aca="false">C41*x_c_MON</f>
        <v>27857107.6100244</v>
      </c>
      <c r="AD41" s="0" t="n">
        <f aca="false">D41*(1-x_testy)</f>
        <v>0</v>
      </c>
      <c r="AE41" s="0" t="n">
        <f aca="false">E41*(1-x_testy)</f>
        <v>0</v>
      </c>
      <c r="AF41" s="0" t="n">
        <f aca="false">F41*x_NAV</f>
        <v>0</v>
      </c>
      <c r="AG41" s="0" t="n">
        <f aca="false">G41*x_FIX*(1-x_testy)</f>
        <v>0</v>
      </c>
      <c r="AH41" s="0" t="n">
        <f aca="false">x_z_F*U41+(1-x_AGRI)*x_EMP*x_WLOSS*(x_PEN_K74*Q41+x_PEN_C22*R41)</f>
        <v>18573930.2766715</v>
      </c>
      <c r="AI41" s="0" t="n">
        <f aca="false">x_AGRI*x_EMP*x_WLOSS*(x_PEN_K74*Q41+x_PEN_C22*R41)</f>
        <v>973277.50592382</v>
      </c>
      <c r="AJ41" s="0" t="n">
        <f aca="false">x_EMP*x_WAGE*(x_WLOSS*(Q41+R41)+S41)+U41*x_ABS_D*x_WAGE/365</f>
        <v>272054170.517991</v>
      </c>
      <c r="AK41" s="0" t="n">
        <f aca="false">AJ41*x_R_FUS</f>
        <v>86077939.5518923</v>
      </c>
      <c r="AL41" s="0" t="n">
        <f aca="false">AJ41*x_R_NFZ</f>
        <v>21127998.9365977</v>
      </c>
      <c r="AM41" s="0" t="n">
        <f aca="false">AJ41*x_R_PIT</f>
        <v>18087296.7679941</v>
      </c>
      <c r="AN41" s="0" t="n">
        <f aca="false">AJ41*x_R_FP</f>
        <v>6937381.34820877</v>
      </c>
      <c r="AO41" s="0" t="n">
        <f aca="false">AA41+AB41+AC41+AD41+AF41</f>
        <v>397630658.684437</v>
      </c>
      <c r="AP41" s="0" t="n">
        <f aca="false">AO41+AE41+AG41+AH41+AI41+AK41+AL41+AM41+AN41</f>
        <v>549408483.071725</v>
      </c>
      <c r="AQ41" s="0" t="n">
        <f aca="false">AO41+AE41+AG41+AJ41</f>
        <v>669684829.202428</v>
      </c>
      <c r="AR41" s="0" t="n">
        <f aca="false">AB41+AC41+AD41+AF41</f>
        <v>137833427.610024</v>
      </c>
      <c r="AS41" s="0" t="n">
        <f aca="false">AR41+AE41+AG41</f>
        <v>137833427.610024</v>
      </c>
    </row>
    <row r="42" customFormat="false" ht="15" hidden="false" customHeight="false" outlineLevel="0" collapsed="false">
      <c r="A42" s="0" t="n">
        <v>2065</v>
      </c>
      <c r="B42" s="0" t="n">
        <v>39</v>
      </c>
      <c r="C42" s="0" t="n">
        <v>4832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2292.255</v>
      </c>
      <c r="I42" s="0" t="n">
        <v>171.38</v>
      </c>
      <c r="J42" s="0" t="n">
        <v>830.866</v>
      </c>
      <c r="K42" s="0" t="n">
        <v>1454.338</v>
      </c>
      <c r="L42" s="0" t="n">
        <v>615.411</v>
      </c>
      <c r="M42" s="0" t="n">
        <v>140805.033</v>
      </c>
      <c r="N42" s="0" t="n">
        <v>7371.853</v>
      </c>
      <c r="O42" s="0" t="n">
        <v>47.174</v>
      </c>
      <c r="P42" s="0" t="n">
        <v>47.426</v>
      </c>
      <c r="Q42" s="0" t="n">
        <v>547.126</v>
      </c>
      <c r="R42" s="0" t="n">
        <v>809.244</v>
      </c>
      <c r="S42" s="0" t="n">
        <v>2267.944</v>
      </c>
      <c r="T42" s="0" t="n">
        <v>2463.635</v>
      </c>
      <c r="U42" s="0" t="n">
        <v>1871.15</v>
      </c>
      <c r="V42" s="0" t="n">
        <v>170630.613</v>
      </c>
      <c r="W42" s="0" t="n">
        <v>153.957</v>
      </c>
      <c r="X42" s="0" t="n">
        <v>424.549</v>
      </c>
      <c r="Y42" s="0" t="n">
        <v>47.174</v>
      </c>
      <c r="Z42" s="0" t="n">
        <v>509.825</v>
      </c>
      <c r="AA42" s="0" t="n">
        <f aca="false">H42*x_c_F+I42*x_c_CC+J42*x_c_DC+K42*x_c_HCC+L42*x_c_PLT+M42*x_c_SVRn+N42*x_c_SVRcc+O42*x_c_LT+P42*x_c_LT1</f>
        <v>258601815.689066</v>
      </c>
      <c r="AB42" s="0" t="n">
        <f aca="false">C42*x_c_DAA</f>
        <v>109976320</v>
      </c>
      <c r="AC42" s="0" t="n">
        <f aca="false">C42*x_c_MON</f>
        <v>27857107.6100244</v>
      </c>
      <c r="AD42" s="0" t="n">
        <f aca="false">D42*(1-x_testy)</f>
        <v>0</v>
      </c>
      <c r="AE42" s="0" t="n">
        <f aca="false">E42*(1-x_testy)</f>
        <v>0</v>
      </c>
      <c r="AF42" s="0" t="n">
        <f aca="false">F42*x_NAV</f>
        <v>0</v>
      </c>
      <c r="AG42" s="0" t="n">
        <f aca="false">G42*x_FIX*(1-x_testy)</f>
        <v>0</v>
      </c>
      <c r="AH42" s="0" t="n">
        <f aca="false">x_z_F*U42+(1-x_AGRI)*x_EMP*x_WLOSS*(x_PEN_K74*Q42+x_PEN_C22*R42)</f>
        <v>18587727.6012031</v>
      </c>
      <c r="AI42" s="0" t="n">
        <f aca="false">x_AGRI*x_EMP*x_WLOSS*(x_PEN_K74*Q42+x_PEN_C22*R42)</f>
        <v>974339.778577652</v>
      </c>
      <c r="AJ42" s="0" t="n">
        <f aca="false">x_EMP*x_WAGE*(x_WLOSS*(Q42+R42)+S42)+U42*x_ABS_D*x_WAGE/365</f>
        <v>273036883.841217</v>
      </c>
      <c r="AK42" s="0" t="n">
        <f aca="false">AJ42*x_R_FUS</f>
        <v>86388870.0473612</v>
      </c>
      <c r="AL42" s="0" t="n">
        <f aca="false">AJ42*x_R_NFZ</f>
        <v>21204317.4359928</v>
      </c>
      <c r="AM42" s="0" t="n">
        <f aca="false">AJ42*x_R_PIT</f>
        <v>18152631.6514153</v>
      </c>
      <c r="AN42" s="0" t="n">
        <f aca="false">AJ42*x_R_FP</f>
        <v>6962440.53795104</v>
      </c>
      <c r="AO42" s="0" t="n">
        <f aca="false">AA42+AB42+AC42+AD42+AF42</f>
        <v>396435243.29909</v>
      </c>
      <c r="AP42" s="0" t="n">
        <f aca="false">AO42+AE42+AG42+AH42+AI42+AK42+AL42+AM42+AN42</f>
        <v>548705570.351591</v>
      </c>
      <c r="AQ42" s="0" t="n">
        <f aca="false">AO42+AE42+AG42+AJ42</f>
        <v>669472127.140307</v>
      </c>
      <c r="AR42" s="0" t="n">
        <f aca="false">AB42+AC42+AD42+AF42</f>
        <v>137833427.610024</v>
      </c>
      <c r="AS42" s="0" t="n">
        <f aca="false">AR42+AE42+AG42</f>
        <v>137833427.610024</v>
      </c>
    </row>
    <row r="43" customFormat="false" ht="15" hidden="false" customHeight="false" outlineLevel="0" collapsed="false">
      <c r="A43" s="0" t="n">
        <v>2066</v>
      </c>
      <c r="B43" s="0" t="n">
        <v>40</v>
      </c>
      <c r="C43" s="0" t="n">
        <v>4832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2292.294</v>
      </c>
      <c r="I43" s="0" t="n">
        <v>171.279</v>
      </c>
      <c r="J43" s="0" t="n">
        <v>823.176</v>
      </c>
      <c r="K43" s="0" t="n">
        <v>1444.166</v>
      </c>
      <c r="L43" s="0" t="n">
        <v>594.137</v>
      </c>
      <c r="M43" s="0" t="n">
        <v>142496.021</v>
      </c>
      <c r="N43" s="0" t="n">
        <v>7250.844</v>
      </c>
      <c r="O43" s="0" t="n">
        <v>46.774</v>
      </c>
      <c r="P43" s="0" t="n">
        <v>46.974</v>
      </c>
      <c r="Q43" s="0" t="n">
        <v>547.504</v>
      </c>
      <c r="R43" s="0" t="n">
        <v>808.851</v>
      </c>
      <c r="S43" s="0" t="n">
        <v>2274.743</v>
      </c>
      <c r="T43" s="0" t="n">
        <v>2463.573</v>
      </c>
      <c r="U43" s="0" t="n">
        <v>1869.73</v>
      </c>
      <c r="V43" s="0" t="n">
        <v>171811.986</v>
      </c>
      <c r="W43" s="0" t="n">
        <v>153.308</v>
      </c>
      <c r="X43" s="0" t="n">
        <v>422.526</v>
      </c>
      <c r="Y43" s="0" t="n">
        <v>46.774</v>
      </c>
      <c r="Z43" s="0" t="n">
        <v>505.355</v>
      </c>
      <c r="AA43" s="0" t="n">
        <f aca="false">H43*x_c_F+I43*x_c_CC+J43*x_c_DC+K43*x_c_HCC+L43*x_c_PLT+M43*x_c_SVRn+N43*x_c_SVRcc+O43*x_c_LT+P43*x_c_LT1</f>
        <v>257692537.988784</v>
      </c>
      <c r="AB43" s="0" t="n">
        <f aca="false">C43*x_c_DAA</f>
        <v>109976320</v>
      </c>
      <c r="AC43" s="0" t="n">
        <f aca="false">C43*x_c_MON</f>
        <v>27857107.6100244</v>
      </c>
      <c r="AD43" s="0" t="n">
        <f aca="false">D43*(1-x_testy)</f>
        <v>0</v>
      </c>
      <c r="AE43" s="0" t="n">
        <f aca="false">E43*(1-x_testy)</f>
        <v>0</v>
      </c>
      <c r="AF43" s="0" t="n">
        <f aca="false">F43*x_NAV</f>
        <v>0</v>
      </c>
      <c r="AG43" s="0" t="n">
        <f aca="false">G43*x_FIX*(1-x_testy)</f>
        <v>0</v>
      </c>
      <c r="AH43" s="0" t="n">
        <f aca="false">x_z_F*U43+(1-x_AGRI)*x_EMP*x_WLOSS*(x_PEN_K74*Q43+x_PEN_C22*R43)</f>
        <v>18584118.4967644</v>
      </c>
      <c r="AI43" s="0" t="n">
        <f aca="false">x_AGRI*x_EMP*x_WLOSS*(x_PEN_K74*Q43+x_PEN_C22*R43)</f>
        <v>974294.189604407</v>
      </c>
      <c r="AJ43" s="0" t="n">
        <f aca="false">x_EMP*x_WAGE*(x_WLOSS*(Q43+R43)+S43)+U43*x_ABS_D*x_WAGE/365</f>
        <v>273611578.522412</v>
      </c>
      <c r="AK43" s="0" t="n">
        <f aca="false">AJ43*x_R_FUS</f>
        <v>86570703.4444911</v>
      </c>
      <c r="AL43" s="0" t="n">
        <f aca="false">AJ43*x_R_NFZ</f>
        <v>21248948.799629</v>
      </c>
      <c r="AM43" s="0" t="n">
        <f aca="false">AJ43*x_R_PIT</f>
        <v>18190839.7525077</v>
      </c>
      <c r="AN43" s="0" t="n">
        <f aca="false">AJ43*x_R_FP</f>
        <v>6977095.2523215</v>
      </c>
      <c r="AO43" s="0" t="n">
        <f aca="false">AA43+AB43+AC43+AD43+AF43</f>
        <v>395525965.598808</v>
      </c>
      <c r="AP43" s="0" t="n">
        <f aca="false">AO43+AE43+AG43+AH43+AI43+AK43+AL43+AM43+AN43</f>
        <v>548071965.534127</v>
      </c>
      <c r="AQ43" s="0" t="n">
        <f aca="false">AO43+AE43+AG43+AJ43</f>
        <v>669137544.12122</v>
      </c>
      <c r="AR43" s="0" t="n">
        <f aca="false">AB43+AC43+AD43+AF43</f>
        <v>137833427.610024</v>
      </c>
      <c r="AS43" s="0" t="n">
        <f aca="false">AR43+AE43+AG43</f>
        <v>137833427.610024</v>
      </c>
    </row>
    <row r="44" customFormat="false" ht="15" hidden="false" customHeight="false" outlineLevel="0" collapsed="false">
      <c r="A44" s="0" t="n">
        <v>2067</v>
      </c>
      <c r="B44" s="0" t="n">
        <v>41</v>
      </c>
      <c r="C44" s="0" t="n">
        <v>4832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2292.191</v>
      </c>
      <c r="I44" s="0" t="n">
        <v>171.334</v>
      </c>
      <c r="J44" s="0" t="n">
        <v>817.232</v>
      </c>
      <c r="K44" s="0" t="n">
        <v>1436.287</v>
      </c>
      <c r="L44" s="0" t="n">
        <v>574.919</v>
      </c>
      <c r="M44" s="0" t="n">
        <v>144184.75</v>
      </c>
      <c r="N44" s="0" t="n">
        <v>7142.98</v>
      </c>
      <c r="O44" s="0" t="n">
        <v>46.472</v>
      </c>
      <c r="P44" s="0" t="n">
        <v>46.623</v>
      </c>
      <c r="Q44" s="0" t="n">
        <v>547.088</v>
      </c>
      <c r="R44" s="0" t="n">
        <v>807.574</v>
      </c>
      <c r="S44" s="0" t="n">
        <v>2277.135</v>
      </c>
      <c r="T44" s="0" t="n">
        <v>2463.524</v>
      </c>
      <c r="U44" s="0" t="n">
        <v>1868.042</v>
      </c>
      <c r="V44" s="0" t="n">
        <v>173007.516</v>
      </c>
      <c r="W44" s="0" t="n">
        <v>152.852</v>
      </c>
      <c r="X44" s="0" t="n">
        <v>421.009</v>
      </c>
      <c r="Y44" s="0" t="n">
        <v>46.472</v>
      </c>
      <c r="Z44" s="0" t="n">
        <v>501.857</v>
      </c>
      <c r="AA44" s="0" t="n">
        <f aca="false">H44*x_c_F+I44*x_c_CC+J44*x_c_DC+K44*x_c_HCC+L44*x_c_PLT+M44*x_c_SVRn+N44*x_c_SVRcc+O44*x_c_LT+P44*x_c_LT1</f>
        <v>257097771.032992</v>
      </c>
      <c r="AB44" s="0" t="n">
        <f aca="false">C44*x_c_DAA</f>
        <v>109976320</v>
      </c>
      <c r="AC44" s="0" t="n">
        <f aca="false">C44*x_c_MON</f>
        <v>27857107.6100244</v>
      </c>
      <c r="AD44" s="0" t="n">
        <f aca="false">D44*(1-x_testy)</f>
        <v>0</v>
      </c>
      <c r="AE44" s="0" t="n">
        <f aca="false">E44*(1-x_testy)</f>
        <v>0</v>
      </c>
      <c r="AF44" s="0" t="n">
        <f aca="false">F44*x_NAV</f>
        <v>0</v>
      </c>
      <c r="AG44" s="0" t="n">
        <f aca="false">G44*x_FIX*(1-x_testy)</f>
        <v>0</v>
      </c>
      <c r="AH44" s="0" t="n">
        <f aca="false">x_z_F*U44+(1-x_AGRI)*x_EMP*x_WLOSS*(x_PEN_K74*Q44+x_PEN_C22*R44)</f>
        <v>18561882.8113383</v>
      </c>
      <c r="AI44" s="0" t="n">
        <f aca="false">x_AGRI*x_EMP*x_WLOSS*(x_PEN_K74*Q44+x_PEN_C22*R44)</f>
        <v>973053.838289028</v>
      </c>
      <c r="AJ44" s="0" t="n">
        <f aca="false">x_EMP*x_WAGE*(x_WLOSS*(Q44+R44)+S44)+U44*x_ABS_D*x_WAGE/365</f>
        <v>273717979.759496</v>
      </c>
      <c r="AK44" s="0" t="n">
        <f aca="false">AJ44*x_R_FUS</f>
        <v>86604368.7959046</v>
      </c>
      <c r="AL44" s="0" t="n">
        <f aca="false">AJ44*x_R_NFZ</f>
        <v>21257212.0261022</v>
      </c>
      <c r="AM44" s="0" t="n">
        <f aca="false">AJ44*x_R_PIT</f>
        <v>18197913.7508514</v>
      </c>
      <c r="AN44" s="0" t="n">
        <f aca="false">AJ44*x_R_FP</f>
        <v>6979808.48386716</v>
      </c>
      <c r="AO44" s="0" t="n">
        <f aca="false">AA44+AB44+AC44+AD44+AF44</f>
        <v>394931198.643016</v>
      </c>
      <c r="AP44" s="0" t="n">
        <f aca="false">AO44+AE44+AG44+AH44+AI44+AK44+AL44+AM44+AN44</f>
        <v>547505438.349369</v>
      </c>
      <c r="AQ44" s="0" t="n">
        <f aca="false">AO44+AE44+AG44+AJ44</f>
        <v>668649178.402513</v>
      </c>
      <c r="AR44" s="0" t="n">
        <f aca="false">AB44+AC44+AD44+AF44</f>
        <v>137833427.610024</v>
      </c>
      <c r="AS44" s="0" t="n">
        <f aca="false">AR44+AE44+AG44</f>
        <v>137833427.610024</v>
      </c>
    </row>
    <row r="45" customFormat="false" ht="15" hidden="false" customHeight="false" outlineLevel="0" collapsed="false">
      <c r="A45" s="0" t="n">
        <v>2068</v>
      </c>
      <c r="B45" s="0" t="n">
        <v>42</v>
      </c>
      <c r="C45" s="0" t="n">
        <v>4832</v>
      </c>
      <c r="D45" s="0" t="n">
        <v>0</v>
      </c>
      <c r="E45" s="0" t="n">
        <v>0</v>
      </c>
      <c r="F45" s="0" t="n">
        <v>0</v>
      </c>
      <c r="G45" s="0" t="n">
        <v>0</v>
      </c>
      <c r="H45" s="0" t="n">
        <v>2291.99</v>
      </c>
      <c r="I45" s="0" t="n">
        <v>171.495</v>
      </c>
      <c r="J45" s="0" t="n">
        <v>812.93</v>
      </c>
      <c r="K45" s="0" t="n">
        <v>1430.554</v>
      </c>
      <c r="L45" s="0" t="n">
        <v>557.992</v>
      </c>
      <c r="M45" s="0" t="n">
        <v>145884.97</v>
      </c>
      <c r="N45" s="0" t="n">
        <v>7050.587</v>
      </c>
      <c r="O45" s="0" t="n">
        <v>46.263</v>
      </c>
      <c r="P45" s="0" t="n">
        <v>46.367</v>
      </c>
      <c r="Q45" s="0" t="n">
        <v>545.803</v>
      </c>
      <c r="R45" s="0" t="n">
        <v>805.362</v>
      </c>
      <c r="S45" s="0" t="n">
        <v>2274.432</v>
      </c>
      <c r="T45" s="0" t="n">
        <v>2463.485</v>
      </c>
      <c r="U45" s="0" t="n">
        <v>1866.136</v>
      </c>
      <c r="V45" s="0" t="n">
        <v>174227.791</v>
      </c>
      <c r="W45" s="0" t="n">
        <v>152.56</v>
      </c>
      <c r="X45" s="0" t="n">
        <v>419.939</v>
      </c>
      <c r="Y45" s="0" t="n">
        <v>46.263</v>
      </c>
      <c r="Z45" s="0" t="n">
        <v>499.278</v>
      </c>
      <c r="AA45" s="0" t="n">
        <f aca="false">H45*x_c_F+I45*x_c_CC+J45*x_c_DC+K45*x_c_HCC+L45*x_c_PLT+M45*x_c_SVRn+N45*x_c_SVRcc+O45*x_c_LT+P45*x_c_LT1</f>
        <v>256826514.89096</v>
      </c>
      <c r="AB45" s="0" t="n">
        <f aca="false">C45*x_c_DAA</f>
        <v>109976320</v>
      </c>
      <c r="AC45" s="0" t="n">
        <f aca="false">C45*x_c_MON</f>
        <v>27857107.6100244</v>
      </c>
      <c r="AD45" s="0" t="n">
        <f aca="false">D45*(1-x_testy)</f>
        <v>0</v>
      </c>
      <c r="AE45" s="0" t="n">
        <f aca="false">E45*(1-x_testy)</f>
        <v>0</v>
      </c>
      <c r="AF45" s="0" t="n">
        <f aca="false">F45*x_NAV</f>
        <v>0</v>
      </c>
      <c r="AG45" s="0" t="n">
        <f aca="false">G45*x_FIX*(1-x_testy)</f>
        <v>0</v>
      </c>
      <c r="AH45" s="0" t="n">
        <f aca="false">x_z_F*U45+(1-x_AGRI)*x_EMP*x_WLOSS*(x_PEN_K74*Q45+x_PEN_C22*R45)</f>
        <v>18519787.1458743</v>
      </c>
      <c r="AI45" s="0" t="n">
        <f aca="false">x_AGRI*x_EMP*x_WLOSS*(x_PEN_K74*Q45+x_PEN_C22*R45)</f>
        <v>970530.404747051</v>
      </c>
      <c r="AJ45" s="0" t="n">
        <f aca="false">x_EMP*x_WAGE*(x_WLOSS*(Q45+R45)+S45)+U45*x_ABS_D*x_WAGE/365</f>
        <v>273290684.758878</v>
      </c>
      <c r="AK45" s="0" t="n">
        <f aca="false">AJ45*x_R_FUS</f>
        <v>86469172.6577089</v>
      </c>
      <c r="AL45" s="0" t="n">
        <f aca="false">AJ45*x_R_NFZ</f>
        <v>21224027.8690592</v>
      </c>
      <c r="AM45" s="0" t="n">
        <f aca="false">AJ45*x_R_PIT</f>
        <v>18169505.3957471</v>
      </c>
      <c r="AN45" s="0" t="n">
        <f aca="false">AJ45*x_R_FP</f>
        <v>6968912.46135138</v>
      </c>
      <c r="AO45" s="0" t="n">
        <f aca="false">AA45+AB45+AC45+AD45+AF45</f>
        <v>394659942.500984</v>
      </c>
      <c r="AP45" s="0" t="n">
        <f aca="false">AO45+AE45+AG45+AH45+AI45+AK45+AL45+AM45+AN45</f>
        <v>546981878.435472</v>
      </c>
      <c r="AQ45" s="0" t="n">
        <f aca="false">AO45+AE45+AG45+AJ45</f>
        <v>667950627.259862</v>
      </c>
      <c r="AR45" s="0" t="n">
        <f aca="false">AB45+AC45+AD45+AF45</f>
        <v>137833427.610024</v>
      </c>
      <c r="AS45" s="0" t="n">
        <f aca="false">AR45+AE45+AG45</f>
        <v>137833427.610024</v>
      </c>
    </row>
    <row r="46" customFormat="false" ht="15" hidden="false" customHeight="false" outlineLevel="0" collapsed="false">
      <c r="A46" s="0" t="n">
        <v>2069</v>
      </c>
      <c r="B46" s="0" t="n">
        <v>43</v>
      </c>
      <c r="C46" s="0" t="n">
        <v>4832</v>
      </c>
      <c r="D46" s="0" t="n">
        <v>0</v>
      </c>
      <c r="E46" s="0" t="n">
        <v>0</v>
      </c>
      <c r="F46" s="0" t="n">
        <v>0</v>
      </c>
      <c r="G46" s="0" t="n">
        <v>0</v>
      </c>
      <c r="H46" s="0" t="n">
        <v>2291.736</v>
      </c>
      <c r="I46" s="0" t="n">
        <v>171.715</v>
      </c>
      <c r="J46" s="0" t="n">
        <v>810.099</v>
      </c>
      <c r="K46" s="0" t="n">
        <v>1426.731</v>
      </c>
      <c r="L46" s="0" t="n">
        <v>543.475</v>
      </c>
      <c r="M46" s="0" t="n">
        <v>147605.879</v>
      </c>
      <c r="N46" s="0" t="n">
        <v>6974.983</v>
      </c>
      <c r="O46" s="0" t="n">
        <v>46.134</v>
      </c>
      <c r="P46" s="0" t="n">
        <v>46.198</v>
      </c>
      <c r="Q46" s="0" t="n">
        <v>543.569</v>
      </c>
      <c r="R46" s="0" t="n">
        <v>802.163</v>
      </c>
      <c r="S46" s="0" t="n">
        <v>2265.882</v>
      </c>
      <c r="T46" s="0" t="n">
        <v>2463.451</v>
      </c>
      <c r="U46" s="0" t="n">
        <v>1864.066</v>
      </c>
      <c r="V46" s="0" t="n">
        <v>175479.056</v>
      </c>
      <c r="W46" s="0" t="n">
        <v>152.393</v>
      </c>
      <c r="X46" s="0" t="n">
        <v>419.236</v>
      </c>
      <c r="Y46" s="0" t="n">
        <v>46.134</v>
      </c>
      <c r="Z46" s="0" t="n">
        <v>497.517</v>
      </c>
      <c r="AA46" s="0" t="n">
        <f aca="false">H46*x_c_F+I46*x_c_CC+J46*x_c_DC+K46*x_c_HCC+L46*x_c_PLT+M46*x_c_SVRn+N46*x_c_SVRcc+O46*x_c_LT+P46*x_c_LT1</f>
        <v>256868908.6843</v>
      </c>
      <c r="AB46" s="0" t="n">
        <f aca="false">C46*x_c_DAA</f>
        <v>109976320</v>
      </c>
      <c r="AC46" s="0" t="n">
        <f aca="false">C46*x_c_MON</f>
        <v>27857107.6100244</v>
      </c>
      <c r="AD46" s="0" t="n">
        <f aca="false">D46*(1-x_testy)</f>
        <v>0</v>
      </c>
      <c r="AE46" s="0" t="n">
        <f aca="false">E46*(1-x_testy)</f>
        <v>0</v>
      </c>
      <c r="AF46" s="0" t="n">
        <f aca="false">F46*x_NAV</f>
        <v>0</v>
      </c>
      <c r="AG46" s="0" t="n">
        <f aca="false">G46*x_FIX*(1-x_testy)</f>
        <v>0</v>
      </c>
      <c r="AH46" s="0" t="n">
        <f aca="false">x_z_F*U46+(1-x_AGRI)*x_EMP*x_WLOSS*(x_PEN_K74*Q46+x_PEN_C22*R46)</f>
        <v>18456544.6558336</v>
      </c>
      <c r="AI46" s="0" t="n">
        <f aca="false">x_AGRI*x_EMP*x_WLOSS*(x_PEN_K74*Q46+x_PEN_C22*R46)</f>
        <v>966631.492883845</v>
      </c>
      <c r="AJ46" s="0" t="n">
        <f aca="false">x_EMP*x_WAGE*(x_WLOSS*(Q46+R46)+S46)+U46*x_ABS_D*x_WAGE/365</f>
        <v>272258517.688682</v>
      </c>
      <c r="AK46" s="0" t="n">
        <f aca="false">AJ46*x_R_FUS</f>
        <v>86142594.996699</v>
      </c>
      <c r="AL46" s="0" t="n">
        <f aca="false">AJ46*x_R_NFZ</f>
        <v>21143868.7422207</v>
      </c>
      <c r="AM46" s="0" t="n">
        <f aca="false">AJ46*x_R_PIT</f>
        <v>18100882.620815</v>
      </c>
      <c r="AN46" s="0" t="n">
        <f aca="false">AJ46*x_R_FP</f>
        <v>6942592.20106139</v>
      </c>
      <c r="AO46" s="0" t="n">
        <f aca="false">AA46+AB46+AC46+AD46+AF46</f>
        <v>394702336.294324</v>
      </c>
      <c r="AP46" s="0" t="n">
        <f aca="false">AO46+AE46+AG46+AH46+AI46+AK46+AL46+AM46+AN46</f>
        <v>546455451.003838</v>
      </c>
      <c r="AQ46" s="0" t="n">
        <f aca="false">AO46+AE46+AG46+AJ46</f>
        <v>666960853.983006</v>
      </c>
      <c r="AR46" s="0" t="n">
        <f aca="false">AB46+AC46+AD46+AF46</f>
        <v>137833427.610024</v>
      </c>
      <c r="AS46" s="0" t="n">
        <f aca="false">AR46+AE46+AG46</f>
        <v>137833427.610024</v>
      </c>
    </row>
    <row r="47" customFormat="false" ht="15" hidden="false" customHeight="false" outlineLevel="0" collapsed="false">
      <c r="A47" s="0" t="n">
        <v>2070</v>
      </c>
      <c r="B47" s="0" t="n">
        <v>44</v>
      </c>
      <c r="C47" s="0" t="n">
        <v>4832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2291.469</v>
      </c>
      <c r="I47" s="0" t="n">
        <v>171.949</v>
      </c>
      <c r="J47" s="0" t="n">
        <v>808.51</v>
      </c>
      <c r="K47" s="0" t="n">
        <v>1424.501</v>
      </c>
      <c r="L47" s="0" t="n">
        <v>531.371</v>
      </c>
      <c r="M47" s="0" t="n">
        <v>149351.084</v>
      </c>
      <c r="N47" s="0" t="n">
        <v>6916.393</v>
      </c>
      <c r="O47" s="0" t="n">
        <v>46.071</v>
      </c>
      <c r="P47" s="0" t="n">
        <v>46.103</v>
      </c>
      <c r="Q47" s="0" t="n">
        <v>540.957</v>
      </c>
      <c r="R47" s="0" t="n">
        <v>798.615</v>
      </c>
      <c r="S47" s="0" t="n">
        <v>2254.703</v>
      </c>
      <c r="T47" s="0" t="n">
        <v>2463.417</v>
      </c>
      <c r="U47" s="0" t="n">
        <v>1862.046</v>
      </c>
      <c r="V47" s="0" t="n">
        <v>176762.465</v>
      </c>
      <c r="W47" s="0" t="n">
        <v>152.317</v>
      </c>
      <c r="X47" s="0" t="n">
        <v>418.816</v>
      </c>
      <c r="Y47" s="0" t="n">
        <v>46.071</v>
      </c>
      <c r="Z47" s="0" t="n">
        <v>496.446</v>
      </c>
      <c r="AA47" s="0" t="n">
        <f aca="false">H47*x_c_F+I47*x_c_CC+J47*x_c_DC+K47*x_c_HCC+L47*x_c_PLT+M47*x_c_SVRn+N47*x_c_SVRcc+O47*x_c_LT+P47*x_c_LT1</f>
        <v>257198260.920579</v>
      </c>
      <c r="AB47" s="0" t="n">
        <f aca="false">C47*x_c_DAA</f>
        <v>109976320</v>
      </c>
      <c r="AC47" s="0" t="n">
        <f aca="false">C47*x_c_MON</f>
        <v>27857107.6100244</v>
      </c>
      <c r="AD47" s="0" t="n">
        <f aca="false">D47*(1-x_testy)</f>
        <v>0</v>
      </c>
      <c r="AE47" s="0" t="n">
        <f aca="false">E47*(1-x_testy)</f>
        <v>0</v>
      </c>
      <c r="AF47" s="0" t="n">
        <f aca="false">F47*x_NAV</f>
        <v>0</v>
      </c>
      <c r="AG47" s="0" t="n">
        <f aca="false">G47*x_FIX*(1-x_testy)</f>
        <v>0</v>
      </c>
      <c r="AH47" s="0" t="n">
        <f aca="false">x_z_F*U47+(1-x_AGRI)*x_EMP*x_WLOSS*(x_PEN_K74*Q47+x_PEN_C22*R47)</f>
        <v>18385620.2620545</v>
      </c>
      <c r="AI47" s="0" t="n">
        <f aca="false">x_AGRI*x_EMP*x_WLOSS*(x_PEN_K74*Q47+x_PEN_C22*R47)</f>
        <v>962218.027350837</v>
      </c>
      <c r="AJ47" s="0" t="n">
        <f aca="false">x_EMP*x_WAGE*(x_WLOSS*(Q47+R47)+S47)+U47*x_ABS_D*x_WAGE/365</f>
        <v>270962590.879451</v>
      </c>
      <c r="AK47" s="0" t="n">
        <f aca="false">AJ47*x_R_FUS</f>
        <v>85732563.7542583</v>
      </c>
      <c r="AL47" s="0" t="n">
        <f aca="false">AJ47*x_R_NFZ</f>
        <v>21043225.770289</v>
      </c>
      <c r="AM47" s="0" t="n">
        <f aca="false">AJ47*x_R_PIT</f>
        <v>18014723.9975396</v>
      </c>
      <c r="AN47" s="0" t="n">
        <f aca="false">AJ47*x_R_FP</f>
        <v>6909546.067426</v>
      </c>
      <c r="AO47" s="0" t="n">
        <f aca="false">AA47+AB47+AC47+AD47+AF47</f>
        <v>395031688.530604</v>
      </c>
      <c r="AP47" s="0" t="n">
        <f aca="false">AO47+AE47+AG47+AH47+AI47+AK47+AL47+AM47+AN47</f>
        <v>546079586.409522</v>
      </c>
      <c r="AQ47" s="0" t="n">
        <f aca="false">AO47+AE47+AG47+AJ47</f>
        <v>665994279.410055</v>
      </c>
      <c r="AR47" s="0" t="n">
        <f aca="false">AB47+AC47+AD47+AF47</f>
        <v>137833427.610024</v>
      </c>
      <c r="AS47" s="0" t="n">
        <f aca="false">AR47+AE47+AG47</f>
        <v>137833427.610024</v>
      </c>
    </row>
    <row r="48" customFormat="false" ht="15" hidden="false" customHeight="false" outlineLevel="0" collapsed="false">
      <c r="A48" s="0" t="n">
        <v>2071</v>
      </c>
      <c r="B48" s="0" t="n">
        <v>45</v>
      </c>
      <c r="C48" s="0" t="n">
        <v>4832</v>
      </c>
      <c r="D48" s="0" t="n">
        <v>0</v>
      </c>
      <c r="E48" s="0" t="n">
        <v>0</v>
      </c>
      <c r="F48" s="0" t="n">
        <v>0</v>
      </c>
      <c r="G48" s="0" t="n">
        <v>0</v>
      </c>
      <c r="H48" s="0" t="n">
        <v>2291.223</v>
      </c>
      <c r="I48" s="0" t="n">
        <v>172.158</v>
      </c>
      <c r="J48" s="0" t="n">
        <v>807.904</v>
      </c>
      <c r="K48" s="0" t="n">
        <v>1423.511</v>
      </c>
      <c r="L48" s="0" t="n">
        <v>521.567</v>
      </c>
      <c r="M48" s="0" t="n">
        <v>151118.591</v>
      </c>
      <c r="N48" s="0" t="n">
        <v>6874.055</v>
      </c>
      <c r="O48" s="0" t="n">
        <v>46.06</v>
      </c>
      <c r="P48" s="0" t="n">
        <v>46.066</v>
      </c>
      <c r="Q48" s="0" t="n">
        <v>538.57</v>
      </c>
      <c r="R48" s="0" t="n">
        <v>795.375</v>
      </c>
      <c r="S48" s="0" t="n">
        <v>2244.488</v>
      </c>
      <c r="T48" s="0" t="n">
        <v>2463.381</v>
      </c>
      <c r="U48" s="0" t="n">
        <v>1860.276</v>
      </c>
      <c r="V48" s="0" t="n">
        <v>178074.337</v>
      </c>
      <c r="W48" s="0" t="n">
        <v>152.293</v>
      </c>
      <c r="X48" s="0" t="n">
        <v>418.587</v>
      </c>
      <c r="Y48" s="0" t="n">
        <v>46.06</v>
      </c>
      <c r="Z48" s="0" t="n">
        <v>495.918</v>
      </c>
      <c r="AA48" s="0" t="n">
        <f aca="false">H48*x_c_F+I48*x_c_CC+J48*x_c_DC+K48*x_c_HCC+L48*x_c_PLT+M48*x_c_SVRn+N48*x_c_SVRcc+O48*x_c_LT+P48*x_c_LT1</f>
        <v>257775125.613202</v>
      </c>
      <c r="AB48" s="0" t="n">
        <f aca="false">C48*x_c_DAA</f>
        <v>109976320</v>
      </c>
      <c r="AC48" s="0" t="n">
        <f aca="false">C48*x_c_MON</f>
        <v>27857107.6100244</v>
      </c>
      <c r="AD48" s="0" t="n">
        <f aca="false">D48*(1-x_testy)</f>
        <v>0</v>
      </c>
      <c r="AE48" s="0" t="n">
        <f aca="false">E48*(1-x_testy)</f>
        <v>0</v>
      </c>
      <c r="AF48" s="0" t="n">
        <f aca="false">F48*x_NAV</f>
        <v>0</v>
      </c>
      <c r="AG48" s="0" t="n">
        <f aca="false">G48*x_FIX*(1-x_testy)</f>
        <v>0</v>
      </c>
      <c r="AH48" s="0" t="n">
        <f aca="false">x_z_F*U48+(1-x_AGRI)*x_EMP*x_WLOSS*(x_PEN_K74*Q48+x_PEN_C22*R48)</f>
        <v>18320988.690199</v>
      </c>
      <c r="AI48" s="0" t="n">
        <f aca="false">x_AGRI*x_EMP*x_WLOSS*(x_PEN_K74*Q48+x_PEN_C22*R48)</f>
        <v>958186.532400704</v>
      </c>
      <c r="AJ48" s="0" t="n">
        <f aca="false">x_EMP*x_WAGE*(x_WLOSS*(Q48+R48)+S48)+U48*x_ABS_D*x_WAGE/365</f>
        <v>269778737.212147</v>
      </c>
      <c r="AK48" s="0" t="n">
        <f aca="false">AJ48*x_R_FUS</f>
        <v>85357992.4539234</v>
      </c>
      <c r="AL48" s="0" t="n">
        <f aca="false">AJ48*x_R_NFZ</f>
        <v>20951286.5106326</v>
      </c>
      <c r="AM48" s="0" t="n">
        <f aca="false">AJ48*x_R_PIT</f>
        <v>17936016.4645155</v>
      </c>
      <c r="AN48" s="0" t="n">
        <f aca="false">AJ48*x_R_FP</f>
        <v>6879357.79890975</v>
      </c>
      <c r="AO48" s="0" t="n">
        <f aca="false">AA48+AB48+AC48+AD48+AF48</f>
        <v>395608553.223226</v>
      </c>
      <c r="AP48" s="0" t="n">
        <f aca="false">AO48+AE48+AG48+AH48+AI48+AK48+AL48+AM48+AN48</f>
        <v>546012381.673807</v>
      </c>
      <c r="AQ48" s="0" t="n">
        <f aca="false">AO48+AE48+AG48+AJ48</f>
        <v>665387290.435373</v>
      </c>
      <c r="AR48" s="0" t="n">
        <f aca="false">AB48+AC48+AD48+AF48</f>
        <v>137833427.610024</v>
      </c>
      <c r="AS48" s="0" t="n">
        <f aca="false">AR48+AE48+AG48</f>
        <v>137833427.610024</v>
      </c>
    </row>
    <row r="49" customFormat="false" ht="15" hidden="false" customHeight="false" outlineLevel="0" collapsed="false">
      <c r="A49" s="0" t="n">
        <v>2072</v>
      </c>
      <c r="B49" s="0" t="n">
        <v>46</v>
      </c>
      <c r="C49" s="0" t="n">
        <v>4832</v>
      </c>
      <c r="D49" s="0" t="n">
        <v>0</v>
      </c>
      <c r="E49" s="0" t="n">
        <v>0</v>
      </c>
      <c r="F49" s="0" t="n">
        <v>0</v>
      </c>
      <c r="G49" s="0" t="n">
        <v>0</v>
      </c>
      <c r="H49" s="0" t="n">
        <v>2291.022</v>
      </c>
      <c r="I49" s="0" t="n">
        <v>172.316</v>
      </c>
      <c r="J49" s="0" t="n">
        <v>808.014</v>
      </c>
      <c r="K49" s="0" t="n">
        <v>1423.401</v>
      </c>
      <c r="L49" s="0" t="n">
        <v>513.875</v>
      </c>
      <c r="M49" s="0" t="n">
        <v>152902.084</v>
      </c>
      <c r="N49" s="0" t="n">
        <v>6846.501</v>
      </c>
      <c r="O49" s="0" t="n">
        <v>46.085</v>
      </c>
      <c r="P49" s="0" t="n">
        <v>46.073</v>
      </c>
      <c r="Q49" s="0" t="n">
        <v>536.398</v>
      </c>
      <c r="R49" s="0" t="n">
        <v>792.423</v>
      </c>
      <c r="S49" s="0" t="n">
        <v>2235.197</v>
      </c>
      <c r="T49" s="0" t="n">
        <v>2463.338</v>
      </c>
      <c r="U49" s="0" t="n">
        <v>1858.768</v>
      </c>
      <c r="V49" s="0" t="n">
        <v>179407.47</v>
      </c>
      <c r="W49" s="0" t="n">
        <v>152.293</v>
      </c>
      <c r="X49" s="0" t="n">
        <v>418.473</v>
      </c>
      <c r="Y49" s="0" t="n">
        <v>46.085</v>
      </c>
      <c r="Z49" s="0" t="n">
        <v>495.79</v>
      </c>
      <c r="AA49" s="0" t="n">
        <f aca="false">H49*x_c_F+I49*x_c_CC+J49*x_c_DC+K49*x_c_HCC+L49*x_c_PLT+M49*x_c_SVRn+N49*x_c_SVRcc+O49*x_c_LT+P49*x_c_LT1</f>
        <v>258551957.559096</v>
      </c>
      <c r="AB49" s="0" t="n">
        <f aca="false">C49*x_c_DAA</f>
        <v>109976320</v>
      </c>
      <c r="AC49" s="0" t="n">
        <f aca="false">C49*x_c_MON</f>
        <v>27857107.6100244</v>
      </c>
      <c r="AD49" s="0" t="n">
        <f aca="false">D49*(1-x_testy)</f>
        <v>0</v>
      </c>
      <c r="AE49" s="0" t="n">
        <f aca="false">E49*(1-x_testy)</f>
        <v>0</v>
      </c>
      <c r="AF49" s="0" t="n">
        <f aca="false">F49*x_NAV</f>
        <v>0</v>
      </c>
      <c r="AG49" s="0" t="n">
        <f aca="false">G49*x_FIX*(1-x_testy)</f>
        <v>0</v>
      </c>
      <c r="AH49" s="0" t="n">
        <f aca="false">x_z_F*U49+(1-x_AGRI)*x_EMP*x_WLOSS*(x_PEN_K74*Q49+x_PEN_C22*R49)</f>
        <v>18262345.6940885</v>
      </c>
      <c r="AI49" s="0" t="n">
        <f aca="false">x_AGRI*x_EMP*x_WLOSS*(x_PEN_K74*Q49+x_PEN_C22*R49)</f>
        <v>954515.267247114</v>
      </c>
      <c r="AJ49" s="0" t="n">
        <f aca="false">x_EMP*x_WAGE*(x_WLOSS*(Q49+R49)+S49)+U49*x_ABS_D*x_WAGE/365</f>
        <v>268701940.933547</v>
      </c>
      <c r="AK49" s="0" t="n">
        <f aca="false">AJ49*x_R_FUS</f>
        <v>85017294.1113741</v>
      </c>
      <c r="AL49" s="0" t="n">
        <f aca="false">AJ49*x_R_NFZ</f>
        <v>20867661.4348402</v>
      </c>
      <c r="AM49" s="0" t="n">
        <f aca="false">AJ49*x_R_PIT</f>
        <v>17864426.5535333</v>
      </c>
      <c r="AN49" s="0" t="n">
        <f aca="false">AJ49*x_R_FP</f>
        <v>6851899.49380544</v>
      </c>
      <c r="AO49" s="0" t="n">
        <f aca="false">AA49+AB49+AC49+AD49+AF49</f>
        <v>396385385.16912</v>
      </c>
      <c r="AP49" s="0" t="n">
        <f aca="false">AO49+AE49+AG49+AH49+AI49+AK49+AL49+AM49+AN49</f>
        <v>546203527.724008</v>
      </c>
      <c r="AQ49" s="0" t="n">
        <f aca="false">AO49+AE49+AG49+AJ49</f>
        <v>665087326.102666</v>
      </c>
      <c r="AR49" s="0" t="n">
        <f aca="false">AB49+AC49+AD49+AF49</f>
        <v>137833427.610024</v>
      </c>
      <c r="AS49" s="0" t="n">
        <f aca="false">AR49+AE49+AG49</f>
        <v>137833427.610024</v>
      </c>
    </row>
    <row r="50" customFormat="false" ht="15" hidden="false" customHeight="false" outlineLevel="0" collapsed="false">
      <c r="A50" s="0" t="n">
        <v>2073</v>
      </c>
      <c r="B50" s="0" t="n">
        <v>47</v>
      </c>
      <c r="C50" s="0" t="n">
        <v>4832</v>
      </c>
      <c r="D50" s="0" t="n">
        <v>0</v>
      </c>
      <c r="E50" s="0" t="n">
        <v>0</v>
      </c>
      <c r="F50" s="0" t="n">
        <v>0</v>
      </c>
      <c r="G50" s="0" t="n">
        <v>0</v>
      </c>
      <c r="H50" s="0" t="n">
        <v>2290.883</v>
      </c>
      <c r="I50" s="0" t="n">
        <v>172.405</v>
      </c>
      <c r="J50" s="0" t="n">
        <v>808.58</v>
      </c>
      <c r="K50" s="0" t="n">
        <v>1423.822</v>
      </c>
      <c r="L50" s="0" t="n">
        <v>508.028</v>
      </c>
      <c r="M50" s="0" t="n">
        <v>154690.246</v>
      </c>
      <c r="N50" s="0" t="n">
        <v>6831.551</v>
      </c>
      <c r="O50" s="0" t="n">
        <v>46.131</v>
      </c>
      <c r="P50" s="0" t="n">
        <v>46.108</v>
      </c>
      <c r="Q50" s="0" t="n">
        <v>534.426</v>
      </c>
      <c r="R50" s="0" t="n">
        <v>789.739</v>
      </c>
      <c r="S50" s="0" t="n">
        <v>2226.784</v>
      </c>
      <c r="T50" s="0" t="n">
        <v>2463.288</v>
      </c>
      <c r="U50" s="0" t="n">
        <v>1857.523</v>
      </c>
      <c r="V50" s="0" t="n">
        <v>180750.609</v>
      </c>
      <c r="W50" s="0" t="n">
        <v>152.288</v>
      </c>
      <c r="X50" s="0" t="n">
        <v>418.399</v>
      </c>
      <c r="Y50" s="0" t="n">
        <v>46.131</v>
      </c>
      <c r="Z50" s="0" t="n">
        <v>495.907</v>
      </c>
      <c r="AA50" s="0" t="n">
        <f aca="false">H50*x_c_F+I50*x_c_CC+J50*x_c_DC+K50*x_c_HCC+L50*x_c_PLT+M50*x_c_SVRn+N50*x_c_SVRcc+O50*x_c_LT+P50*x_c_LT1</f>
        <v>259474775.715455</v>
      </c>
      <c r="AB50" s="0" t="n">
        <f aca="false">C50*x_c_DAA</f>
        <v>109976320</v>
      </c>
      <c r="AC50" s="0" t="n">
        <f aca="false">C50*x_c_MON</f>
        <v>27857107.6100244</v>
      </c>
      <c r="AD50" s="0" t="n">
        <f aca="false">D50*(1-x_testy)</f>
        <v>0</v>
      </c>
      <c r="AE50" s="0" t="n">
        <f aca="false">E50*(1-x_testy)</f>
        <v>0</v>
      </c>
      <c r="AF50" s="0" t="n">
        <f aca="false">F50*x_NAV</f>
        <v>0</v>
      </c>
      <c r="AG50" s="0" t="n">
        <f aca="false">G50*x_FIX*(1-x_testy)</f>
        <v>0</v>
      </c>
      <c r="AH50" s="0" t="n">
        <f aca="false">x_z_F*U50+(1-x_AGRI)*x_EMP*x_WLOSS*(x_PEN_K74*Q50+x_PEN_C22*R50)</f>
        <v>18209314.1645029</v>
      </c>
      <c r="AI50" s="0" t="n">
        <f aca="false">x_AGRI*x_EMP*x_WLOSS*(x_PEN_K74*Q50+x_PEN_C22*R50)</f>
        <v>951179.169802794</v>
      </c>
      <c r="AJ50" s="0" t="n">
        <f aca="false">x_EMP*x_WAGE*(x_WLOSS*(Q50+R50)+S50)+U50*x_ABS_D*x_WAGE/365</f>
        <v>267726368.985727</v>
      </c>
      <c r="AK50" s="0" t="n">
        <f aca="false">AJ50*x_R_FUS</f>
        <v>84708623.147084</v>
      </c>
      <c r="AL50" s="0" t="n">
        <f aca="false">AJ50*x_R_NFZ</f>
        <v>20791897.5418005</v>
      </c>
      <c r="AM50" s="0" t="n">
        <f aca="false">AJ50*x_R_PIT</f>
        <v>17799566.4585561</v>
      </c>
      <c r="AN50" s="0" t="n">
        <f aca="false">AJ50*x_R_FP</f>
        <v>6827022.40913603</v>
      </c>
      <c r="AO50" s="0" t="n">
        <f aca="false">AA50+AB50+AC50+AD50+AF50</f>
        <v>397308203.32548</v>
      </c>
      <c r="AP50" s="0" t="n">
        <f aca="false">AO50+AE50+AG50+AH50+AI50+AK50+AL50+AM50+AN50</f>
        <v>546595806.216362</v>
      </c>
      <c r="AQ50" s="0" t="n">
        <f aca="false">AO50+AE50+AG50+AJ50</f>
        <v>665034572.311207</v>
      </c>
      <c r="AR50" s="0" t="n">
        <f aca="false">AB50+AC50+AD50+AF50</f>
        <v>137833427.610024</v>
      </c>
      <c r="AS50" s="0" t="n">
        <f aca="false">AR50+AE50+AG50</f>
        <v>137833427.610024</v>
      </c>
    </row>
    <row r="51" customFormat="false" ht="15" hidden="false" customHeight="false" outlineLevel="0" collapsed="false">
      <c r="A51" s="0" t="n">
        <v>2074</v>
      </c>
      <c r="B51" s="0" t="n">
        <v>48</v>
      </c>
      <c r="C51" s="0" t="n">
        <v>4832</v>
      </c>
      <c r="D51" s="0" t="n">
        <v>0</v>
      </c>
      <c r="E51" s="0" t="n">
        <v>0</v>
      </c>
      <c r="F51" s="0" t="n">
        <v>0</v>
      </c>
      <c r="G51" s="0" t="n">
        <v>0</v>
      </c>
      <c r="H51" s="0" t="n">
        <v>2290.812</v>
      </c>
      <c r="I51" s="0" t="n">
        <v>172.416</v>
      </c>
      <c r="J51" s="0" t="n">
        <v>809.359</v>
      </c>
      <c r="K51" s="0" t="n">
        <v>1424.45</v>
      </c>
      <c r="L51" s="0" t="n">
        <v>503.701</v>
      </c>
      <c r="M51" s="0" t="n">
        <v>156467.359</v>
      </c>
      <c r="N51" s="0" t="n">
        <v>6826.484</v>
      </c>
      <c r="O51" s="0" t="n">
        <v>46.184</v>
      </c>
      <c r="P51" s="0" t="n">
        <v>46.158</v>
      </c>
      <c r="Q51" s="0" t="n">
        <v>532.639</v>
      </c>
      <c r="R51" s="0" t="n">
        <v>787.301</v>
      </c>
      <c r="S51" s="0" t="n">
        <v>2219.195</v>
      </c>
      <c r="T51" s="0" t="n">
        <v>2463.228</v>
      </c>
      <c r="U51" s="0" t="n">
        <v>1856.533</v>
      </c>
      <c r="V51" s="0" t="n">
        <v>182089.051</v>
      </c>
      <c r="W51" s="0" t="n">
        <v>152.258</v>
      </c>
      <c r="X51" s="0" t="n">
        <v>418.304</v>
      </c>
      <c r="Y51" s="0" t="n">
        <v>46.184</v>
      </c>
      <c r="Z51" s="0" t="n">
        <v>496.138</v>
      </c>
      <c r="AA51" s="0" t="n">
        <f aca="false">H51*x_c_F+I51*x_c_CC+J51*x_c_DC+K51*x_c_HCC+L51*x_c_PLT+M51*x_c_SVRn+N51*x_c_SVRcc+O51*x_c_LT+P51*x_c_LT1</f>
        <v>260485958.75183</v>
      </c>
      <c r="AB51" s="0" t="n">
        <f aca="false">C51*x_c_DAA</f>
        <v>109976320</v>
      </c>
      <c r="AC51" s="0" t="n">
        <f aca="false">C51*x_c_MON</f>
        <v>27857107.6100244</v>
      </c>
      <c r="AD51" s="0" t="n">
        <f aca="false">D51*(1-x_testy)</f>
        <v>0</v>
      </c>
      <c r="AE51" s="0" t="n">
        <f aca="false">E51*(1-x_testy)</f>
        <v>0</v>
      </c>
      <c r="AF51" s="0" t="n">
        <f aca="false">F51*x_NAV</f>
        <v>0</v>
      </c>
      <c r="AG51" s="0" t="n">
        <f aca="false">G51*x_FIX*(1-x_testy)</f>
        <v>0</v>
      </c>
      <c r="AH51" s="0" t="n">
        <f aca="false">x_z_F*U51+(1-x_AGRI)*x_EMP*x_WLOSS*(x_PEN_K74*Q51+x_PEN_C22*R51)</f>
        <v>18161475.6469705</v>
      </c>
      <c r="AI51" s="0" t="n">
        <f aca="false">x_AGRI*x_EMP*x_WLOSS*(x_PEN_K74*Q51+x_PEN_C22*R51)</f>
        <v>948151.668162026</v>
      </c>
      <c r="AJ51" s="0" t="n">
        <f aca="false">x_EMP*x_WAGE*(x_WLOSS*(Q51+R51)+S51)+U51*x_ABS_D*x_WAGE/365</f>
        <v>266845370.418117</v>
      </c>
      <c r="AK51" s="0" t="n">
        <f aca="false">AJ51*x_R_FUS</f>
        <v>84429875.2002921</v>
      </c>
      <c r="AL51" s="0" t="n">
        <f aca="false">AJ51*x_R_NFZ</f>
        <v>20723478.3120414</v>
      </c>
      <c r="AM51" s="0" t="n">
        <f aca="false">AJ51*x_R_PIT</f>
        <v>17740993.9966298</v>
      </c>
      <c r="AN51" s="0" t="n">
        <f aca="false">AJ51*x_R_FP</f>
        <v>6804556.94566197</v>
      </c>
      <c r="AO51" s="0" t="n">
        <f aca="false">AA51+AB51+AC51+AD51+AF51</f>
        <v>398319386.361855</v>
      </c>
      <c r="AP51" s="0" t="n">
        <f aca="false">AO51+AE51+AG51+AH51+AI51+AK51+AL51+AM51+AN51</f>
        <v>547127918.131613</v>
      </c>
      <c r="AQ51" s="0" t="n">
        <f aca="false">AO51+AE51+AG51+AJ51</f>
        <v>665164756.779971</v>
      </c>
      <c r="AR51" s="0" t="n">
        <f aca="false">AB51+AC51+AD51+AF51</f>
        <v>137833427.610024</v>
      </c>
      <c r="AS51" s="0" t="n">
        <f aca="false">AR51+AE51+AG51</f>
        <v>137833427.610024</v>
      </c>
    </row>
    <row r="52" customFormat="false" ht="15" hidden="false" customHeight="false" outlineLevel="0" collapsed="false">
      <c r="A52" s="0" t="n">
        <v>2075</v>
      </c>
      <c r="B52" s="0" t="n">
        <v>49</v>
      </c>
      <c r="C52" s="0" t="n">
        <v>4832</v>
      </c>
      <c r="D52" s="0" t="n">
        <v>0</v>
      </c>
      <c r="E52" s="0" t="n">
        <v>0</v>
      </c>
      <c r="F52" s="0" t="n">
        <v>0</v>
      </c>
      <c r="G52" s="0" t="n">
        <v>0</v>
      </c>
      <c r="H52" s="0" t="n">
        <v>2290.812</v>
      </c>
      <c r="I52" s="0" t="n">
        <v>172.347</v>
      </c>
      <c r="J52" s="0" t="n">
        <v>810.139</v>
      </c>
      <c r="K52" s="0" t="n">
        <v>1425.004</v>
      </c>
      <c r="L52" s="0" t="n">
        <v>500.537</v>
      </c>
      <c r="M52" s="0" t="n">
        <v>158214.529</v>
      </c>
      <c r="N52" s="0" t="n">
        <v>6828.288</v>
      </c>
      <c r="O52" s="0" t="n">
        <v>46.233</v>
      </c>
      <c r="P52" s="0" t="n">
        <v>46.208</v>
      </c>
      <c r="Q52" s="0" t="n">
        <v>531.022</v>
      </c>
      <c r="R52" s="0" t="n">
        <v>785.087</v>
      </c>
      <c r="S52" s="0" t="n">
        <v>2212.367</v>
      </c>
      <c r="T52" s="0" t="n">
        <v>2463.159</v>
      </c>
      <c r="U52" s="0" t="n">
        <v>1855.784</v>
      </c>
      <c r="V52" s="0" t="n">
        <v>183405.738</v>
      </c>
      <c r="W52" s="0" t="n">
        <v>152.187</v>
      </c>
      <c r="X52" s="0" t="n">
        <v>418.134</v>
      </c>
      <c r="Y52" s="0" t="n">
        <v>46.233</v>
      </c>
      <c r="Z52" s="0" t="n">
        <v>496.356</v>
      </c>
      <c r="AA52" s="0" t="n">
        <f aca="false">H52*x_c_F+I52*x_c_CC+J52*x_c_DC+K52*x_c_HCC+L52*x_c_PLT+M52*x_c_SVRn+N52*x_c_SVRcc+O52*x_c_LT+P52*x_c_LT1</f>
        <v>261528352.004767</v>
      </c>
      <c r="AB52" s="0" t="n">
        <f aca="false">C52*x_c_DAA</f>
        <v>109976320</v>
      </c>
      <c r="AC52" s="0" t="n">
        <f aca="false">C52*x_c_MON</f>
        <v>27857107.6100244</v>
      </c>
      <c r="AD52" s="0" t="n">
        <f aca="false">D52*(1-x_testy)</f>
        <v>0</v>
      </c>
      <c r="AE52" s="0" t="n">
        <f aca="false">E52*(1-x_testy)</f>
        <v>0</v>
      </c>
      <c r="AF52" s="0" t="n">
        <f aca="false">F52*x_NAV</f>
        <v>0</v>
      </c>
      <c r="AG52" s="0" t="n">
        <f aca="false">G52*x_FIX*(1-x_testy)</f>
        <v>0</v>
      </c>
      <c r="AH52" s="0" t="n">
        <f aca="false">x_z_F*U52+(1-x_AGRI)*x_EMP*x_WLOSS*(x_PEN_K74*Q52+x_PEN_C22*R52)</f>
        <v>18118399.35158</v>
      </c>
      <c r="AI52" s="0" t="n">
        <f aca="false">x_AGRI*x_EMP*x_WLOSS*(x_PEN_K74*Q52+x_PEN_C22*R52)</f>
        <v>945406.190419093</v>
      </c>
      <c r="AJ52" s="0" t="n">
        <f aca="false">x_EMP*x_WAGE*(x_WLOSS*(Q52+R52)+S52)+U52*x_ABS_D*x_WAGE/365</f>
        <v>266051509.31135</v>
      </c>
      <c r="AK52" s="0" t="n">
        <f aca="false">AJ52*x_R_FUS</f>
        <v>84178697.5461113</v>
      </c>
      <c r="AL52" s="0" t="n">
        <f aca="false">AJ52*x_R_NFZ</f>
        <v>20661826.2646288</v>
      </c>
      <c r="AM52" s="0" t="n">
        <f aca="false">AJ52*x_R_PIT</f>
        <v>17688214.7967987</v>
      </c>
      <c r="AN52" s="0" t="n">
        <f aca="false">AJ52*x_R_FP</f>
        <v>6784313.48743944</v>
      </c>
      <c r="AO52" s="0" t="n">
        <f aca="false">AA52+AB52+AC52+AD52+AF52</f>
        <v>399361779.614791</v>
      </c>
      <c r="AP52" s="0" t="n">
        <f aca="false">AO52+AE52+AG52+AH52+AI52+AK52+AL52+AM52+AN52</f>
        <v>547738637.251769</v>
      </c>
      <c r="AQ52" s="0" t="n">
        <f aca="false">AO52+AE52+AG52+AJ52</f>
        <v>665413288.926142</v>
      </c>
      <c r="AR52" s="0" t="n">
        <f aca="false">AB52+AC52+AD52+AF52</f>
        <v>137833427.610024</v>
      </c>
      <c r="AS52" s="0" t="n">
        <f aca="false">AR52+AE52+AG52</f>
        <v>137833427.610024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599</v>
      </c>
    </row>
    <row r="2" customFormat="false" ht="28.35" hidden="false" customHeight="false" outlineLevel="0" collapsed="false">
      <c r="A2" s="3" t="s">
        <v>320</v>
      </c>
      <c r="B2" s="3" t="s">
        <v>553</v>
      </c>
      <c r="C2" s="3" t="s">
        <v>554</v>
      </c>
      <c r="D2" s="3" t="s">
        <v>555</v>
      </c>
      <c r="E2" s="3" t="s">
        <v>556</v>
      </c>
      <c r="F2" s="3" t="s">
        <v>557</v>
      </c>
      <c r="G2" s="3" t="s">
        <v>558</v>
      </c>
      <c r="H2" s="3" t="s">
        <v>559</v>
      </c>
      <c r="I2" s="3" t="s">
        <v>560</v>
      </c>
      <c r="J2" s="3" t="s">
        <v>561</v>
      </c>
      <c r="K2" s="3" t="s">
        <v>562</v>
      </c>
      <c r="L2" s="3" t="s">
        <v>563</v>
      </c>
      <c r="M2" s="3" t="s">
        <v>564</v>
      </c>
      <c r="N2" s="3" t="s">
        <v>565</v>
      </c>
      <c r="O2" s="3" t="s">
        <v>566</v>
      </c>
      <c r="P2" s="3" t="s">
        <v>567</v>
      </c>
      <c r="Q2" s="3" t="s">
        <v>568</v>
      </c>
      <c r="R2" s="3" t="s">
        <v>569</v>
      </c>
      <c r="S2" s="3" t="s">
        <v>570</v>
      </c>
      <c r="T2" s="3" t="s">
        <v>571</v>
      </c>
      <c r="U2" s="3" t="s">
        <v>572</v>
      </c>
      <c r="V2" s="3" t="s">
        <v>573</v>
      </c>
      <c r="W2" s="3" t="s">
        <v>574</v>
      </c>
      <c r="X2" s="3" t="s">
        <v>575</v>
      </c>
      <c r="Y2" s="3" t="s">
        <v>576</v>
      </c>
      <c r="Z2" s="3" t="s">
        <v>577</v>
      </c>
      <c r="AA2" s="3" t="s">
        <v>578</v>
      </c>
      <c r="AB2" s="3" t="s">
        <v>579</v>
      </c>
      <c r="AC2" s="3" t="s">
        <v>580</v>
      </c>
      <c r="AD2" s="3" t="s">
        <v>581</v>
      </c>
      <c r="AE2" s="3" t="s">
        <v>582</v>
      </c>
      <c r="AF2" s="3" t="s">
        <v>583</v>
      </c>
      <c r="AG2" s="3" t="s">
        <v>584</v>
      </c>
      <c r="AH2" s="3" t="s">
        <v>252</v>
      </c>
      <c r="AI2" s="3" t="s">
        <v>303</v>
      </c>
      <c r="AJ2" s="3" t="s">
        <v>585</v>
      </c>
      <c r="AK2" s="3" t="s">
        <v>586</v>
      </c>
      <c r="AL2" s="3" t="s">
        <v>587</v>
      </c>
      <c r="AM2" s="3" t="s">
        <v>588</v>
      </c>
      <c r="AN2" s="3" t="s">
        <v>589</v>
      </c>
      <c r="AO2" s="3" t="s">
        <v>129</v>
      </c>
      <c r="AP2" s="3" t="s">
        <v>590</v>
      </c>
      <c r="AQ2" s="3" t="s">
        <v>591</v>
      </c>
      <c r="AR2" s="3" t="s">
        <v>592</v>
      </c>
      <c r="AS2" s="3" t="s">
        <v>593</v>
      </c>
    </row>
    <row r="3" customFormat="false" ht="15" hidden="false" customHeight="false" outlineLevel="0" collapsed="false">
      <c r="A3" s="0" t="n">
        <v>2026</v>
      </c>
      <c r="B3" s="0" t="n">
        <v>0</v>
      </c>
      <c r="C3" s="0" t="n">
        <v>3382.4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2481.186</v>
      </c>
      <c r="I3" s="0" t="n">
        <v>223.146</v>
      </c>
      <c r="J3" s="0" t="n">
        <v>1580.379</v>
      </c>
      <c r="K3" s="0" t="n">
        <v>2527.318</v>
      </c>
      <c r="L3" s="0" t="n">
        <v>1540.438</v>
      </c>
      <c r="M3" s="0" t="n">
        <v>4502.128</v>
      </c>
      <c r="N3" s="0" t="n">
        <v>397.514</v>
      </c>
      <c r="O3" s="0" t="n">
        <v>89.046</v>
      </c>
      <c r="P3" s="0" t="n">
        <v>44.523</v>
      </c>
      <c r="Q3" s="0" t="n">
        <v>2135.415</v>
      </c>
      <c r="R3" s="0" t="n">
        <v>1704.99</v>
      </c>
      <c r="S3" s="0" t="n">
        <v>312.377</v>
      </c>
      <c r="T3" s="0" t="n">
        <v>2704.332</v>
      </c>
      <c r="U3" s="0" t="n">
        <v>1499.75</v>
      </c>
      <c r="V3" s="0" t="n">
        <v>113275.597</v>
      </c>
      <c r="W3" s="0" t="n">
        <v>267.792</v>
      </c>
      <c r="X3" s="0" t="n">
        <v>716.541</v>
      </c>
      <c r="Y3" s="0" t="n">
        <v>89.046</v>
      </c>
      <c r="Z3" s="0" t="n">
        <v>922.327</v>
      </c>
      <c r="AA3" s="0" t="n">
        <f aca="false">H3*x_c_F+I3*x_c_CC+J3*x_c_DC+K3*x_c_HCC+L3*x_c_PLT+M3*x_c_SVRn+N3*x_c_SVRcc+O3*x_c_LT+P3*x_c_LT1</f>
        <v>281476894.304363</v>
      </c>
      <c r="AB3" s="0" t="n">
        <f aca="false">C3*x_c_DAA</f>
        <v>76983424</v>
      </c>
      <c r="AC3" s="0" t="n">
        <f aca="false">C3*x_c_MON</f>
        <v>19499975.3270171</v>
      </c>
      <c r="AD3" s="0" t="n">
        <f aca="false">D3*(1-x_testy)</f>
        <v>0</v>
      </c>
      <c r="AE3" s="0" t="n">
        <f aca="false">E3*(1-x_testy)</f>
        <v>0</v>
      </c>
      <c r="AF3" s="0" t="n">
        <f aca="false">F3*x_NAV</f>
        <v>0</v>
      </c>
      <c r="AG3" s="0" t="n">
        <f aca="false">G3*x_FIX*(1-x_testy)</f>
        <v>0</v>
      </c>
      <c r="AH3" s="0" t="n">
        <f aca="false">x_z_F*U3+(1-x_AGRI)*x_EMP*x_WLOSS*(x_PEN_K74*Q3+x_PEN_C22*R3)</f>
        <v>44016211.2142275</v>
      </c>
      <c r="AI3" s="0" t="n">
        <f aca="false">x_AGRI*x_EMP*x_WLOSS*(x_PEN_K74*Q3+x_PEN_C22*R3)</f>
        <v>2705583.84513071</v>
      </c>
      <c r="AJ3" s="0" t="n">
        <f aca="false">x_EMP*x_WAGE*(x_WLOSS*(Q3+R3)+S3)+U3*x_ABS_D*x_WAGE/365</f>
        <v>241055466.428253</v>
      </c>
      <c r="AK3" s="0" t="n">
        <f aca="false">AJ3*x_R_FUS</f>
        <v>76269949.5778994</v>
      </c>
      <c r="AL3" s="0" t="n">
        <f aca="false">AJ3*x_R_NFZ</f>
        <v>18720608.5782846</v>
      </c>
      <c r="AM3" s="0" t="n">
        <f aca="false">AJ3*x_R_PIT</f>
        <v>16026373.5363201</v>
      </c>
      <c r="AN3" s="0" t="n">
        <f aca="false">AJ3*x_R_FP</f>
        <v>6146914.39392046</v>
      </c>
      <c r="AO3" s="0" t="n">
        <f aca="false">AA3+AB3+AC3+AD3+AF3</f>
        <v>377960293.63138</v>
      </c>
      <c r="AP3" s="0" t="n">
        <f aca="false">AO3+AE3+AG3+AH3+AI3+AK3+AL3+AM3+AN3</f>
        <v>541845934.777163</v>
      </c>
      <c r="AQ3" s="0" t="n">
        <f aca="false">AO3+AE3+AG3+AJ3</f>
        <v>619015760.059633</v>
      </c>
      <c r="AR3" s="0" t="n">
        <f aca="false">AB3+AC3+AD3+AF3</f>
        <v>96483399.3270171</v>
      </c>
      <c r="AS3" s="0" t="n">
        <f aca="false">AR3+AE3+AG3</f>
        <v>96483399.3270171</v>
      </c>
    </row>
    <row r="4" customFormat="false" ht="15" hidden="false" customHeight="false" outlineLevel="0" collapsed="false">
      <c r="A4" s="0" t="n">
        <v>2027</v>
      </c>
      <c r="B4" s="0" t="n">
        <v>1</v>
      </c>
      <c r="C4" s="0" t="n">
        <v>3382.4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2960.678</v>
      </c>
      <c r="I4" s="0" t="n">
        <v>282.666</v>
      </c>
      <c r="J4" s="0" t="n">
        <v>1568.432</v>
      </c>
      <c r="K4" s="0" t="n">
        <v>2531.672</v>
      </c>
      <c r="L4" s="0" t="n">
        <v>1489.389</v>
      </c>
      <c r="M4" s="0" t="n">
        <v>7443.396</v>
      </c>
      <c r="N4" s="0" t="n">
        <v>670.859</v>
      </c>
      <c r="O4" s="0" t="n">
        <v>88.045</v>
      </c>
      <c r="P4" s="0" t="n">
        <v>88.546</v>
      </c>
      <c r="Q4" s="0" t="n">
        <v>2141.06</v>
      </c>
      <c r="R4" s="0" t="n">
        <v>1724.023</v>
      </c>
      <c r="S4" s="0" t="n">
        <v>940.503</v>
      </c>
      <c r="T4" s="0" t="n">
        <v>3243.344</v>
      </c>
      <c r="U4" s="0" t="n">
        <v>1851.393</v>
      </c>
      <c r="V4" s="0" t="n">
        <v>114303.361</v>
      </c>
      <c r="W4" s="0" t="n">
        <v>279.845</v>
      </c>
      <c r="X4" s="0" t="n">
        <v>752.844</v>
      </c>
      <c r="Y4" s="0" t="n">
        <v>88.045</v>
      </c>
      <c r="Z4" s="0" t="n">
        <v>927.293</v>
      </c>
      <c r="AA4" s="0" t="n">
        <f aca="false">H4*x_c_F+I4*x_c_CC+J4*x_c_DC+K4*x_c_HCC+L4*x_c_PLT+M4*x_c_SVRn+N4*x_c_SVRcc+O4*x_c_LT+P4*x_c_LT1</f>
        <v>285953810.91896</v>
      </c>
      <c r="AB4" s="0" t="n">
        <f aca="false">C4*x_c_DAA</f>
        <v>76983424</v>
      </c>
      <c r="AC4" s="0" t="n">
        <f aca="false">C4*x_c_MON</f>
        <v>19499975.3270171</v>
      </c>
      <c r="AD4" s="0" t="n">
        <f aca="false">D4*(1-x_testy)</f>
        <v>0</v>
      </c>
      <c r="AE4" s="0" t="n">
        <f aca="false">E4*(1-x_testy)</f>
        <v>0</v>
      </c>
      <c r="AF4" s="0" t="n">
        <f aca="false">F4*x_NAV</f>
        <v>0</v>
      </c>
      <c r="AG4" s="0" t="n">
        <f aca="false">G4*x_FIX*(1-x_testy)</f>
        <v>0</v>
      </c>
      <c r="AH4" s="0" t="n">
        <f aca="false">x_z_F*U4+(1-x_AGRI)*x_EMP*x_WLOSS*(x_PEN_K74*Q4+x_PEN_C22*R4)</f>
        <v>45013263.2217898</v>
      </c>
      <c r="AI4" s="0" t="n">
        <f aca="false">x_AGRI*x_EMP*x_WLOSS*(x_PEN_K74*Q4+x_PEN_C22*R4)</f>
        <v>2723701.78112422</v>
      </c>
      <c r="AJ4" s="0" t="n">
        <f aca="false">x_EMP*x_WAGE*(x_WLOSS*(Q4+R4)+S4)+U4*x_ABS_D*x_WAGE/365</f>
        <v>296992255.266513</v>
      </c>
      <c r="AK4" s="0" t="n">
        <f aca="false">AJ4*x_R_FUS</f>
        <v>93968349.5663246</v>
      </c>
      <c r="AL4" s="0" t="n">
        <f aca="false">AJ4*x_R_NFZ</f>
        <v>23064715.5362526</v>
      </c>
      <c r="AM4" s="0" t="n">
        <f aca="false">AJ4*x_R_PIT</f>
        <v>19745284.7297778</v>
      </c>
      <c r="AN4" s="0" t="n">
        <f aca="false">AJ4*x_R_FP</f>
        <v>7573302.50929607</v>
      </c>
      <c r="AO4" s="0" t="n">
        <f aca="false">AA4+AB4+AC4+AD4+AF4</f>
        <v>382437210.245977</v>
      </c>
      <c r="AP4" s="0" t="n">
        <f aca="false">AO4+AE4+AG4+AH4+AI4+AK4+AL4+AM4+AN4</f>
        <v>574525827.590542</v>
      </c>
      <c r="AQ4" s="0" t="n">
        <f aca="false">AO4+AE4+AG4+AJ4</f>
        <v>679429465.51249</v>
      </c>
      <c r="AR4" s="0" t="n">
        <f aca="false">AB4+AC4+AD4+AF4</f>
        <v>96483399.3270171</v>
      </c>
      <c r="AS4" s="0" t="n">
        <f aca="false">AR4+AE4+AG4</f>
        <v>96483399.3270171</v>
      </c>
    </row>
    <row r="5" customFormat="false" ht="15" hidden="false" customHeight="false" outlineLevel="0" collapsed="false">
      <c r="A5" s="0" t="n">
        <v>2028</v>
      </c>
      <c r="B5" s="0" t="n">
        <v>2</v>
      </c>
      <c r="C5" s="0" t="n">
        <v>3382.4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3382.55</v>
      </c>
      <c r="I5" s="0" t="n">
        <v>344.014</v>
      </c>
      <c r="J5" s="0" t="n">
        <v>1570.839</v>
      </c>
      <c r="K5" s="0" t="n">
        <v>2570.839</v>
      </c>
      <c r="L5" s="0" t="n">
        <v>1475.819</v>
      </c>
      <c r="M5" s="0" t="n">
        <v>10329.516</v>
      </c>
      <c r="N5" s="0" t="n">
        <v>952.649</v>
      </c>
      <c r="O5" s="0" t="n">
        <v>88.012</v>
      </c>
      <c r="P5" s="0" t="n">
        <v>88.029</v>
      </c>
      <c r="Q5" s="0" t="n">
        <v>2153.879</v>
      </c>
      <c r="R5" s="0" t="n">
        <v>1770.834</v>
      </c>
      <c r="S5" s="0" t="n">
        <v>1575.742</v>
      </c>
      <c r="T5" s="0" t="n">
        <v>3726.564</v>
      </c>
      <c r="U5" s="0" t="n">
        <v>2185.507</v>
      </c>
      <c r="V5" s="0" t="n">
        <v>115402.132</v>
      </c>
      <c r="W5" s="0" t="n">
        <v>294.036</v>
      </c>
      <c r="X5" s="0" t="n">
        <v>791.242</v>
      </c>
      <c r="Y5" s="0" t="n">
        <v>88.012</v>
      </c>
      <c r="Z5" s="0" t="n">
        <v>931.837</v>
      </c>
      <c r="AA5" s="0" t="n">
        <f aca="false">H5*x_c_F+I5*x_c_CC+J5*x_c_DC+K5*x_c_HCC+L5*x_c_PLT+M5*x_c_SVRn+N5*x_c_SVRcc+O5*x_c_LT+P5*x_c_LT1</f>
        <v>292113503.804358</v>
      </c>
      <c r="AB5" s="0" t="n">
        <f aca="false">C5*x_c_DAA</f>
        <v>76983424</v>
      </c>
      <c r="AC5" s="0" t="n">
        <f aca="false">C5*x_c_MON</f>
        <v>19499975.3270171</v>
      </c>
      <c r="AD5" s="0" t="n">
        <f aca="false">D5*(1-x_testy)</f>
        <v>0</v>
      </c>
      <c r="AE5" s="0" t="n">
        <f aca="false">E5*(1-x_testy)</f>
        <v>0</v>
      </c>
      <c r="AF5" s="0" t="n">
        <f aca="false">F5*x_NAV</f>
        <v>0</v>
      </c>
      <c r="AG5" s="0" t="n">
        <f aca="false">G5*x_FIX*(1-x_testy)</f>
        <v>0</v>
      </c>
      <c r="AH5" s="0" t="n">
        <f aca="false">x_z_F*U5+(1-x_AGRI)*x_EMP*x_WLOSS*(x_PEN_K74*Q5+x_PEN_C22*R5)</f>
        <v>46363626.9870147</v>
      </c>
      <c r="AI5" s="0" t="n">
        <f aca="false">x_AGRI*x_EMP*x_WLOSS*(x_PEN_K74*Q5+x_PEN_C22*R5)</f>
        <v>2767554.98808935</v>
      </c>
      <c r="AJ5" s="0" t="n">
        <f aca="false">x_EMP*x_WAGE*(x_WLOSS*(Q5+R5)+S5)+U5*x_ABS_D*x_WAGE/365</f>
        <v>355395400.172754</v>
      </c>
      <c r="AK5" s="0" t="n">
        <f aca="false">AJ5*x_R_FUS</f>
        <v>112447104.614659</v>
      </c>
      <c r="AL5" s="0" t="n">
        <f aca="false">AJ5*x_R_NFZ</f>
        <v>27600362.1728163</v>
      </c>
      <c r="AM5" s="0" t="n">
        <f aca="false">AJ5*x_R_PIT</f>
        <v>23628169.5688231</v>
      </c>
      <c r="AN5" s="0" t="n">
        <f aca="false">AJ5*x_R_FP</f>
        <v>9062582.70440523</v>
      </c>
      <c r="AO5" s="0" t="n">
        <f aca="false">AA5+AB5+AC5+AD5+AF5</f>
        <v>388596903.131375</v>
      </c>
      <c r="AP5" s="0" t="n">
        <f aca="false">AO5+AE5+AG5+AH5+AI5+AK5+AL5+AM5+AN5</f>
        <v>610466304.167183</v>
      </c>
      <c r="AQ5" s="0" t="n">
        <f aca="false">AO5+AE5+AG5+AJ5</f>
        <v>743992303.304129</v>
      </c>
      <c r="AR5" s="0" t="n">
        <f aca="false">AB5+AC5+AD5+AF5</f>
        <v>96483399.3270171</v>
      </c>
      <c r="AS5" s="0" t="n">
        <f aca="false">AR5+AE5+AG5</f>
        <v>96483399.3270171</v>
      </c>
    </row>
    <row r="6" customFormat="false" ht="15" hidden="false" customHeight="false" outlineLevel="0" collapsed="false">
      <c r="A6" s="0" t="n">
        <v>2029</v>
      </c>
      <c r="B6" s="0" t="n">
        <v>3</v>
      </c>
      <c r="C6" s="0" t="n">
        <v>3382.4</v>
      </c>
      <c r="D6" s="0" t="n">
        <v>0</v>
      </c>
      <c r="E6" s="0" t="n">
        <v>0</v>
      </c>
      <c r="F6" s="0" t="n">
        <v>0</v>
      </c>
      <c r="G6" s="0" t="n">
        <v>0</v>
      </c>
      <c r="H6" s="0" t="n">
        <v>3751.943</v>
      </c>
      <c r="I6" s="0" t="n">
        <v>406.368</v>
      </c>
      <c r="J6" s="0" t="n">
        <v>1586.611</v>
      </c>
      <c r="K6" s="0" t="n">
        <v>2635.939</v>
      </c>
      <c r="L6" s="0" t="n">
        <v>1461.47</v>
      </c>
      <c r="M6" s="0" t="n">
        <v>13158.115</v>
      </c>
      <c r="N6" s="0" t="n">
        <v>1243.075</v>
      </c>
      <c r="O6" s="0" t="n">
        <v>88.838</v>
      </c>
      <c r="P6" s="0" t="n">
        <v>88.425</v>
      </c>
      <c r="Q6" s="0" t="n">
        <v>2178.091</v>
      </c>
      <c r="R6" s="0" t="n">
        <v>1839.014</v>
      </c>
      <c r="S6" s="0" t="n">
        <v>2222.173</v>
      </c>
      <c r="T6" s="0" t="n">
        <v>4158.311</v>
      </c>
      <c r="U6" s="0" t="n">
        <v>2501.145</v>
      </c>
      <c r="V6" s="0" t="n">
        <v>116547.836</v>
      </c>
      <c r="W6" s="0" t="n">
        <v>309.291</v>
      </c>
      <c r="X6" s="0" t="n">
        <v>829.89</v>
      </c>
      <c r="Y6" s="0" t="n">
        <v>88.838</v>
      </c>
      <c r="Z6" s="0" t="n">
        <v>946.096</v>
      </c>
      <c r="AA6" s="0" t="n">
        <f aca="false">H6*x_c_F+I6*x_c_CC+J6*x_c_DC+K6*x_c_HCC+L6*x_c_PLT+M6*x_c_SVRn+N6*x_c_SVRcc+O6*x_c_LT+P6*x_c_LT1</f>
        <v>300296926.218181</v>
      </c>
      <c r="AB6" s="0" t="n">
        <f aca="false">C6*x_c_DAA</f>
        <v>76983424</v>
      </c>
      <c r="AC6" s="0" t="n">
        <f aca="false">C6*x_c_MON</f>
        <v>19499975.3270171</v>
      </c>
      <c r="AD6" s="0" t="n">
        <f aca="false">D6*(1-x_testy)</f>
        <v>0</v>
      </c>
      <c r="AE6" s="0" t="n">
        <f aca="false">E6*(1-x_testy)</f>
        <v>0</v>
      </c>
      <c r="AF6" s="0" t="n">
        <f aca="false">F6*x_NAV</f>
        <v>0</v>
      </c>
      <c r="AG6" s="0" t="n">
        <f aca="false">G6*x_FIX*(1-x_testy)</f>
        <v>0</v>
      </c>
      <c r="AH6" s="0" t="n">
        <f aca="false">x_z_F*U6+(1-x_AGRI)*x_EMP*x_WLOSS*(x_PEN_K74*Q6+x_PEN_C22*R6)</f>
        <v>48034557.403356</v>
      </c>
      <c r="AI6" s="0" t="n">
        <f aca="false">x_AGRI*x_EMP*x_WLOSS*(x_PEN_K74*Q6+x_PEN_C22*R6)</f>
        <v>2835107.76655386</v>
      </c>
      <c r="AJ6" s="0" t="n">
        <f aca="false">x_EMP*x_WAGE*(x_WLOSS*(Q6+R6)+S6)+U6*x_ABS_D*x_WAGE/365</f>
        <v>416490134.461312</v>
      </c>
      <c r="AK6" s="0" t="n">
        <f aca="false">AJ6*x_R_FUS</f>
        <v>131777478.543559</v>
      </c>
      <c r="AL6" s="0" t="n">
        <f aca="false">AJ6*x_R_NFZ</f>
        <v>32345040.3323999</v>
      </c>
      <c r="AM6" s="0" t="n">
        <f aca="false">AJ6*x_R_PIT</f>
        <v>27690002.5042819</v>
      </c>
      <c r="AN6" s="0" t="n">
        <f aca="false">AJ6*x_R_FP</f>
        <v>10620498.4287634</v>
      </c>
      <c r="AO6" s="0" t="n">
        <f aca="false">AA6+AB6+AC6+AD6+AF6</f>
        <v>396780325.545198</v>
      </c>
      <c r="AP6" s="0" t="n">
        <f aca="false">AO6+AE6+AG6+AH6+AI6+AK6+AL6+AM6+AN6</f>
        <v>650083010.524113</v>
      </c>
      <c r="AQ6" s="0" t="n">
        <f aca="false">AO6+AE6+AG6+AJ6</f>
        <v>813270460.00651</v>
      </c>
      <c r="AR6" s="0" t="n">
        <f aca="false">AB6+AC6+AD6+AF6</f>
        <v>96483399.3270171</v>
      </c>
      <c r="AS6" s="0" t="n">
        <f aca="false">AR6+AE6+AG6</f>
        <v>96483399.3270171</v>
      </c>
    </row>
    <row r="7" customFormat="false" ht="15" hidden="false" customHeight="false" outlineLevel="0" collapsed="false">
      <c r="A7" s="0" t="n">
        <v>2030</v>
      </c>
      <c r="B7" s="0" t="n">
        <v>4</v>
      </c>
      <c r="C7" s="0" t="n">
        <v>3382.4</v>
      </c>
      <c r="D7" s="0" t="n">
        <v>0</v>
      </c>
      <c r="E7" s="0" t="n">
        <v>0</v>
      </c>
      <c r="F7" s="0" t="n">
        <v>0</v>
      </c>
      <c r="G7" s="0" t="n">
        <v>0</v>
      </c>
      <c r="H7" s="0" t="n">
        <v>4073.491</v>
      </c>
      <c r="I7" s="0" t="n">
        <v>468.558</v>
      </c>
      <c r="J7" s="0" t="n">
        <v>1613.946</v>
      </c>
      <c r="K7" s="0" t="n">
        <v>2718.953</v>
      </c>
      <c r="L7" s="0" t="n">
        <v>1447.102</v>
      </c>
      <c r="M7" s="0" t="n">
        <v>15927.63</v>
      </c>
      <c r="N7" s="0" t="n">
        <v>1541.544</v>
      </c>
      <c r="O7" s="0" t="n">
        <v>90.383</v>
      </c>
      <c r="P7" s="0" t="n">
        <v>89.611</v>
      </c>
      <c r="Q7" s="0" t="n">
        <v>2212.965</v>
      </c>
      <c r="R7" s="0" t="n">
        <v>1922.845</v>
      </c>
      <c r="S7" s="0" t="n">
        <v>2886.272</v>
      </c>
      <c r="T7" s="0" t="n">
        <v>4542.049</v>
      </c>
      <c r="U7" s="0" t="n">
        <v>2797.361</v>
      </c>
      <c r="V7" s="0" t="n">
        <v>117725.48</v>
      </c>
      <c r="W7" s="0" t="n">
        <v>324.759</v>
      </c>
      <c r="X7" s="0" t="n">
        <v>867.346</v>
      </c>
      <c r="Y7" s="0" t="n">
        <v>90.383</v>
      </c>
      <c r="Z7" s="0" t="n">
        <v>967.623</v>
      </c>
      <c r="AA7" s="0" t="n">
        <f aca="false">H7*x_c_F+I7*x_c_CC+J7*x_c_DC+K7*x_c_HCC+L7*x_c_PLT+M7*x_c_SVRn+N7*x_c_SVRcc+O7*x_c_LT+P7*x_c_LT1</f>
        <v>309942408.743115</v>
      </c>
      <c r="AB7" s="0" t="n">
        <f aca="false">C7*x_c_DAA</f>
        <v>76983424</v>
      </c>
      <c r="AC7" s="0" t="n">
        <f aca="false">C7*x_c_MON</f>
        <v>19499975.3270171</v>
      </c>
      <c r="AD7" s="0" t="n">
        <f aca="false">D7*(1-x_testy)</f>
        <v>0</v>
      </c>
      <c r="AE7" s="0" t="n">
        <f aca="false">E7*(1-x_testy)</f>
        <v>0</v>
      </c>
      <c r="AF7" s="0" t="n">
        <f aca="false">F7*x_NAV</f>
        <v>0</v>
      </c>
      <c r="AG7" s="0" t="n">
        <f aca="false">G7*x_FIX*(1-x_testy)</f>
        <v>0</v>
      </c>
      <c r="AH7" s="0" t="n">
        <f aca="false">x_z_F*U7+(1-x_AGRI)*x_EMP*x_WLOSS*(x_PEN_K74*Q7+x_PEN_C22*R7)</f>
        <v>49951457.7745539</v>
      </c>
      <c r="AI7" s="0" t="n">
        <f aca="false">x_AGRI*x_EMP*x_WLOSS*(x_PEN_K74*Q7+x_PEN_C22*R7)</f>
        <v>2921557.97138623</v>
      </c>
      <c r="AJ7" s="0" t="n">
        <f aca="false">x_EMP*x_WAGE*(x_WLOSS*(Q7+R7)+S7)+U7*x_ABS_D*x_WAGE/365</f>
        <v>480473155.770838</v>
      </c>
      <c r="AK7" s="0" t="n">
        <f aca="false">AJ7*x_R_FUS</f>
        <v>152021706.485893</v>
      </c>
      <c r="AL7" s="0" t="n">
        <f aca="false">AJ7*x_R_NFZ</f>
        <v>37314025.750319</v>
      </c>
      <c r="AM7" s="0" t="n">
        <f aca="false">AJ7*x_R_PIT</f>
        <v>31943860.8161572</v>
      </c>
      <c r="AN7" s="0" t="n">
        <f aca="false">AJ7*x_R_FP</f>
        <v>12252065.4721564</v>
      </c>
      <c r="AO7" s="0" t="n">
        <f aca="false">AA7+AB7+AC7+AD7+AF7</f>
        <v>406425808.070132</v>
      </c>
      <c r="AP7" s="0" t="n">
        <f aca="false">AO7+AE7+AG7+AH7+AI7+AK7+AL7+AM7+AN7</f>
        <v>692830482.340598</v>
      </c>
      <c r="AQ7" s="0" t="n">
        <f aca="false">AO7+AE7+AG7+AJ7</f>
        <v>886898963.84097</v>
      </c>
      <c r="AR7" s="0" t="n">
        <f aca="false">AB7+AC7+AD7+AF7</f>
        <v>96483399.3270171</v>
      </c>
      <c r="AS7" s="0" t="n">
        <f aca="false">AR7+AE7+AG7</f>
        <v>96483399.3270171</v>
      </c>
    </row>
    <row r="8" customFormat="false" ht="15" hidden="false" customHeight="false" outlineLevel="0" collapsed="false">
      <c r="A8" s="0" t="n">
        <v>2031</v>
      </c>
      <c r="B8" s="0" t="n">
        <v>5</v>
      </c>
      <c r="C8" s="0" t="n">
        <v>3382.4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4351.442</v>
      </c>
      <c r="I8" s="0" t="n">
        <v>529.278</v>
      </c>
      <c r="J8" s="0" t="n">
        <v>1650.603</v>
      </c>
      <c r="K8" s="0" t="n">
        <v>2812.886</v>
      </c>
      <c r="L8" s="0" t="n">
        <v>1433.353</v>
      </c>
      <c r="M8" s="0" t="n">
        <v>18637.299</v>
      </c>
      <c r="N8" s="0" t="n">
        <v>1846.864</v>
      </c>
      <c r="O8" s="0" t="n">
        <v>92.488</v>
      </c>
      <c r="P8" s="0" t="n">
        <v>91.435</v>
      </c>
      <c r="Q8" s="0" t="n">
        <v>2257.376</v>
      </c>
      <c r="R8" s="0" t="n">
        <v>2017.356</v>
      </c>
      <c r="S8" s="0" t="n">
        <v>3572.774</v>
      </c>
      <c r="T8" s="0" t="n">
        <v>4880.72</v>
      </c>
      <c r="U8" s="0" t="n">
        <v>3073.326</v>
      </c>
      <c r="V8" s="0" t="n">
        <v>118924.35</v>
      </c>
      <c r="W8" s="0" t="n">
        <v>339.789</v>
      </c>
      <c r="X8" s="0" t="n">
        <v>902.532</v>
      </c>
      <c r="Y8" s="0" t="n">
        <v>92.488</v>
      </c>
      <c r="Z8" s="0" t="n">
        <v>994.173</v>
      </c>
      <c r="AA8" s="0" t="n">
        <f aca="false">H8*x_c_F+I8*x_c_CC+J8*x_c_DC+K8*x_c_HCC+L8*x_c_PLT+M8*x_c_SVRn+N8*x_c_SVRcc+O8*x_c_LT+P8*x_c_LT1</f>
        <v>320529941.593483</v>
      </c>
      <c r="AB8" s="0" t="n">
        <f aca="false">C8*x_c_DAA</f>
        <v>76983424</v>
      </c>
      <c r="AC8" s="0" t="n">
        <f aca="false">C8*x_c_MON</f>
        <v>19499975.3270171</v>
      </c>
      <c r="AD8" s="0" t="n">
        <f aca="false">D8*(1-x_testy)</f>
        <v>0</v>
      </c>
      <c r="AE8" s="0" t="n">
        <f aca="false">E8*(1-x_testy)</f>
        <v>0</v>
      </c>
      <c r="AF8" s="0" t="n">
        <f aca="false">F8*x_NAV</f>
        <v>0</v>
      </c>
      <c r="AG8" s="0" t="n">
        <f aca="false">G8*x_FIX*(1-x_testy)</f>
        <v>0</v>
      </c>
      <c r="AH8" s="0" t="n">
        <f aca="false">x_z_F*U8+(1-x_AGRI)*x_EMP*x_WLOSS*(x_PEN_K74*Q8+x_PEN_C22*R8)</f>
        <v>52044543.9189247</v>
      </c>
      <c r="AI8" s="0" t="n">
        <f aca="false">x_AGRI*x_EMP*x_WLOSS*(x_PEN_K74*Q8+x_PEN_C22*R8)</f>
        <v>3022405.65612991</v>
      </c>
      <c r="AJ8" s="0" t="n">
        <f aca="false">x_EMP*x_WAGE*(x_WLOSS*(Q8+R8)+S8)+U8*x_ABS_D*x_WAGE/365</f>
        <v>547412371.087065</v>
      </c>
      <c r="AK8" s="0" t="n">
        <f aca="false">AJ8*x_R_FUS</f>
        <v>173201274.211947</v>
      </c>
      <c r="AL8" s="0" t="n">
        <f aca="false">AJ8*x_R_NFZ</f>
        <v>42512592.1509926</v>
      </c>
      <c r="AM8" s="0" t="n">
        <f aca="false">AJ8*x_R_PIT</f>
        <v>36394259.2442937</v>
      </c>
      <c r="AN8" s="0" t="n">
        <f aca="false">AJ8*x_R_FP</f>
        <v>13959015.4627202</v>
      </c>
      <c r="AO8" s="0" t="n">
        <f aca="false">AA8+AB8+AC8+AD8+AF8</f>
        <v>417013340.9205</v>
      </c>
      <c r="AP8" s="0" t="n">
        <f aca="false">AO8+AE8+AG8+AH8+AI8+AK8+AL8+AM8+AN8</f>
        <v>738147431.565508</v>
      </c>
      <c r="AQ8" s="0" t="n">
        <f aca="false">AO8+AE8+AG8+AJ8</f>
        <v>964425712.007565</v>
      </c>
      <c r="AR8" s="0" t="n">
        <f aca="false">AB8+AC8+AD8+AF8</f>
        <v>96483399.3270171</v>
      </c>
      <c r="AS8" s="0" t="n">
        <f aca="false">AR8+AE8+AG8</f>
        <v>96483399.3270171</v>
      </c>
    </row>
    <row r="9" customFormat="false" ht="15" hidden="false" customHeight="false" outlineLevel="0" collapsed="false">
      <c r="A9" s="0" t="n">
        <v>2032</v>
      </c>
      <c r="B9" s="0" t="n">
        <v>6</v>
      </c>
      <c r="C9" s="0" t="n">
        <v>3382.4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4589.564</v>
      </c>
      <c r="I9" s="0" t="n">
        <v>587.216</v>
      </c>
      <c r="J9" s="0" t="n">
        <v>1694.123</v>
      </c>
      <c r="K9" s="0" t="n">
        <v>2911.749</v>
      </c>
      <c r="L9" s="0" t="n">
        <v>1420.677</v>
      </c>
      <c r="M9" s="0" t="n">
        <v>21286.685</v>
      </c>
      <c r="N9" s="0" t="n">
        <v>2157.352</v>
      </c>
      <c r="O9" s="0" t="n">
        <v>94.991</v>
      </c>
      <c r="P9" s="0" t="n">
        <v>93.74</v>
      </c>
      <c r="Q9" s="0" t="n">
        <v>2309.928</v>
      </c>
      <c r="R9" s="0" t="n">
        <v>2118.294</v>
      </c>
      <c r="S9" s="0" t="n">
        <v>4284.777</v>
      </c>
      <c r="T9" s="0" t="n">
        <v>5176.78</v>
      </c>
      <c r="U9" s="0" t="n">
        <v>3328.299</v>
      </c>
      <c r="V9" s="0" t="n">
        <v>120134.044</v>
      </c>
      <c r="W9" s="0" t="n">
        <v>353.878</v>
      </c>
      <c r="X9" s="0" t="n">
        <v>934.626</v>
      </c>
      <c r="Y9" s="0" t="n">
        <v>94.991</v>
      </c>
      <c r="Z9" s="0" t="n">
        <v>1023.696</v>
      </c>
      <c r="AA9" s="0" t="n">
        <f aca="false">H9*x_c_F+I9*x_c_CC+J9*x_c_DC+K9*x_c_HCC+L9*x_c_PLT+M9*x_c_SVRn+N9*x_c_SVRcc+O9*x_c_LT+P9*x_c_LT1</f>
        <v>331589120.192669</v>
      </c>
      <c r="AB9" s="0" t="n">
        <f aca="false">C9*x_c_DAA</f>
        <v>76983424</v>
      </c>
      <c r="AC9" s="0" t="n">
        <f aca="false">C9*x_c_MON</f>
        <v>19499975.3270171</v>
      </c>
      <c r="AD9" s="0" t="n">
        <f aca="false">D9*(1-x_testy)</f>
        <v>0</v>
      </c>
      <c r="AE9" s="0" t="n">
        <f aca="false">E9*(1-x_testy)</f>
        <v>0</v>
      </c>
      <c r="AF9" s="0" t="n">
        <f aca="false">F9*x_NAV</f>
        <v>0</v>
      </c>
      <c r="AG9" s="0" t="n">
        <f aca="false">G9*x_FIX*(1-x_testy)</f>
        <v>0</v>
      </c>
      <c r="AH9" s="0" t="n">
        <f aca="false">x_z_F*U9+(1-x_AGRI)*x_EMP*x_WLOSS*(x_PEN_K74*Q9+x_PEN_C22*R9)</f>
        <v>54249689.4402347</v>
      </c>
      <c r="AI9" s="0" t="n">
        <f aca="false">x_AGRI*x_EMP*x_WLOSS*(x_PEN_K74*Q9+x_PEN_C22*R9)</f>
        <v>3133512.88463903</v>
      </c>
      <c r="AJ9" s="0" t="n">
        <f aca="false">x_EMP*x_WAGE*(x_WLOSS*(Q9+R9)+S9)+U9*x_ABS_D*x_WAGE/365</f>
        <v>617260819.140721</v>
      </c>
      <c r="AK9" s="0" t="n">
        <f aca="false">AJ9*x_R_FUS</f>
        <v>195301323.176124</v>
      </c>
      <c r="AL9" s="0" t="n">
        <f aca="false">AJ9*x_R_NFZ</f>
        <v>47937092.4752875</v>
      </c>
      <c r="AM9" s="0" t="n">
        <f aca="false">AJ9*x_R_PIT</f>
        <v>41038075.6075012</v>
      </c>
      <c r="AN9" s="0" t="n">
        <f aca="false">AJ9*x_R_FP</f>
        <v>15740150.8880884</v>
      </c>
      <c r="AO9" s="0" t="n">
        <f aca="false">AA9+AB9+AC9+AD9+AF9</f>
        <v>428072519.519686</v>
      </c>
      <c r="AP9" s="0" t="n">
        <f aca="false">AO9+AE9+AG9+AH9+AI9+AK9+AL9+AM9+AN9</f>
        <v>785472363.991561</v>
      </c>
      <c r="AQ9" s="0" t="n">
        <f aca="false">AO9+AE9+AG9+AJ9</f>
        <v>1045333338.66041</v>
      </c>
      <c r="AR9" s="0" t="n">
        <f aca="false">AB9+AC9+AD9+AF9</f>
        <v>96483399.3270171</v>
      </c>
      <c r="AS9" s="0" t="n">
        <f aca="false">AR9+AE9+AG9</f>
        <v>96483399.3270171</v>
      </c>
    </row>
    <row r="10" customFormat="false" ht="15" hidden="false" customHeight="false" outlineLevel="0" collapsed="false">
      <c r="A10" s="0" t="n">
        <v>2033</v>
      </c>
      <c r="B10" s="0" t="n">
        <v>7</v>
      </c>
      <c r="C10" s="0" t="n">
        <v>3382.4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4791.213</v>
      </c>
      <c r="I10" s="0" t="n">
        <v>641.159</v>
      </c>
      <c r="J10" s="0" t="n">
        <v>1742.029</v>
      </c>
      <c r="K10" s="0" t="n">
        <v>3010.558</v>
      </c>
      <c r="L10" s="0" t="n">
        <v>1409.366</v>
      </c>
      <c r="M10" s="0" t="n">
        <v>23875.725</v>
      </c>
      <c r="N10" s="0" t="n">
        <v>2470.98</v>
      </c>
      <c r="O10" s="0" t="n">
        <v>97.739</v>
      </c>
      <c r="P10" s="0" t="n">
        <v>96.365</v>
      </c>
      <c r="Q10" s="0" t="n">
        <v>2369.079</v>
      </c>
      <c r="R10" s="0" t="n">
        <v>2222.092</v>
      </c>
      <c r="S10" s="0" t="n">
        <v>5023.933</v>
      </c>
      <c r="T10" s="0" t="n">
        <v>5432.372</v>
      </c>
      <c r="U10" s="0" t="n">
        <v>3561.64</v>
      </c>
      <c r="V10" s="0" t="n">
        <v>121345.817</v>
      </c>
      <c r="W10" s="0" t="n">
        <v>366.663</v>
      </c>
      <c r="X10" s="0" t="n">
        <v>963.068</v>
      </c>
      <c r="Y10" s="0" t="n">
        <v>97.739</v>
      </c>
      <c r="Z10" s="0" t="n">
        <v>1054.451</v>
      </c>
      <c r="AA10" s="0" t="n">
        <f aca="false">H10*x_c_F+I10*x_c_CC+J10*x_c_DC+K10*x_c_HCC+L10*x_c_PLT+M10*x_c_SVRn+N10*x_c_SVRcc+O10*x_c_LT+P10*x_c_LT1</f>
        <v>342708755.647083</v>
      </c>
      <c r="AB10" s="0" t="n">
        <f aca="false">C10*x_c_DAA</f>
        <v>76983424</v>
      </c>
      <c r="AC10" s="0" t="n">
        <f aca="false">C10*x_c_MON</f>
        <v>19499975.3270171</v>
      </c>
      <c r="AD10" s="0" t="n">
        <f aca="false">D10*(1-x_testy)</f>
        <v>0</v>
      </c>
      <c r="AE10" s="0" t="n">
        <f aca="false">E10*(1-x_testy)</f>
        <v>0</v>
      </c>
      <c r="AF10" s="0" t="n">
        <f aca="false">F10*x_NAV</f>
        <v>0</v>
      </c>
      <c r="AG10" s="0" t="n">
        <f aca="false">G10*x_FIX*(1-x_testy)</f>
        <v>0</v>
      </c>
      <c r="AH10" s="0" t="n">
        <f aca="false">x_z_F*U10+(1-x_AGRI)*x_EMP*x_WLOSS*(x_PEN_K74*Q10+x_PEN_C22*R10)</f>
        <v>56509343.1827422</v>
      </c>
      <c r="AI10" s="0" t="n">
        <f aca="false">x_AGRI*x_EMP*x_WLOSS*(x_PEN_K74*Q10+x_PEN_C22*R10)</f>
        <v>3251162.60650681</v>
      </c>
      <c r="AJ10" s="0" t="n">
        <f aca="false">x_EMP*x_WAGE*(x_WLOSS*(Q10+R10)+S10)+U10*x_ABS_D*x_WAGE/365</f>
        <v>689878079.152691</v>
      </c>
      <c r="AK10" s="0" t="n">
        <f aca="false">AJ10*x_R_FUS</f>
        <v>218277424.243911</v>
      </c>
      <c r="AL10" s="0" t="n">
        <f aca="false">AJ10*x_R_NFZ</f>
        <v>53576621.5050771</v>
      </c>
      <c r="AM10" s="0" t="n">
        <f aca="false">AJ10*x_R_PIT</f>
        <v>45865974.1462896</v>
      </c>
      <c r="AN10" s="0" t="n">
        <f aca="false">AJ10*x_R_FP</f>
        <v>17591891.0183936</v>
      </c>
      <c r="AO10" s="0" t="n">
        <f aca="false">AA10+AB10+AC10+AD10+AF10</f>
        <v>439192154.9741</v>
      </c>
      <c r="AP10" s="0" t="n">
        <f aca="false">AO10+AE10+AG10+AH10+AI10+AK10+AL10+AM10+AN10</f>
        <v>834264571.677021</v>
      </c>
      <c r="AQ10" s="0" t="n">
        <f aca="false">AO10+AE10+AG10+AJ10</f>
        <v>1129070234.12679</v>
      </c>
      <c r="AR10" s="0" t="n">
        <f aca="false">AB10+AC10+AD10+AF10</f>
        <v>96483399.3270171</v>
      </c>
      <c r="AS10" s="0" t="n">
        <f aca="false">AR10+AE10+AG10</f>
        <v>96483399.3270171</v>
      </c>
    </row>
    <row r="11" customFormat="false" ht="15" hidden="false" customHeight="false" outlineLevel="0" collapsed="false">
      <c r="A11" s="0" t="n">
        <v>2034</v>
      </c>
      <c r="B11" s="0" t="n">
        <v>8</v>
      </c>
      <c r="C11" s="0" t="n">
        <v>3382.4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4959.353</v>
      </c>
      <c r="I11" s="0" t="n">
        <v>690.048</v>
      </c>
      <c r="J11" s="0" t="n">
        <v>1791.954</v>
      </c>
      <c r="K11" s="0" t="n">
        <v>3105.268</v>
      </c>
      <c r="L11" s="0" t="n">
        <v>1399.546</v>
      </c>
      <c r="M11" s="0" t="n">
        <v>26404.443</v>
      </c>
      <c r="N11" s="0" t="n">
        <v>2785.456</v>
      </c>
      <c r="O11" s="0" t="n">
        <v>100.583</v>
      </c>
      <c r="P11" s="0" t="n">
        <v>99.161</v>
      </c>
      <c r="Q11" s="0" t="n">
        <v>2433.242</v>
      </c>
      <c r="R11" s="0" t="n">
        <v>2325.822</v>
      </c>
      <c r="S11" s="0" t="n">
        <v>5790.585</v>
      </c>
      <c r="T11" s="0" t="n">
        <v>5649.4</v>
      </c>
      <c r="U11" s="0" t="n">
        <v>3772.811</v>
      </c>
      <c r="V11" s="0" t="n">
        <v>122552.187</v>
      </c>
      <c r="W11" s="0" t="n">
        <v>377.886</v>
      </c>
      <c r="X11" s="0" t="n">
        <v>987.473</v>
      </c>
      <c r="Y11" s="0" t="n">
        <v>100.583</v>
      </c>
      <c r="Z11" s="0" t="n">
        <v>1084.911</v>
      </c>
      <c r="AA11" s="0" t="n">
        <f aca="false">H11*x_c_F+I11*x_c_CC+J11*x_c_DC+K11*x_c_HCC+L11*x_c_PLT+M11*x_c_SVRn+N11*x_c_SVRcc+O11*x_c_LT+P11*x_c_LT1</f>
        <v>353534359.403071</v>
      </c>
      <c r="AB11" s="0" t="n">
        <f aca="false">C11*x_c_DAA</f>
        <v>76983424</v>
      </c>
      <c r="AC11" s="0" t="n">
        <f aca="false">C11*x_c_MON</f>
        <v>19499975.3270171</v>
      </c>
      <c r="AD11" s="0" t="n">
        <f aca="false">D11*(1-x_testy)</f>
        <v>0</v>
      </c>
      <c r="AE11" s="0" t="n">
        <f aca="false">E11*(1-x_testy)</f>
        <v>0</v>
      </c>
      <c r="AF11" s="0" t="n">
        <f aca="false">F11*x_NAV</f>
        <v>0</v>
      </c>
      <c r="AG11" s="0" t="n">
        <f aca="false">G11*x_FIX*(1-x_testy)</f>
        <v>0</v>
      </c>
      <c r="AH11" s="0" t="n">
        <f aca="false">x_z_F*U11+(1-x_AGRI)*x_EMP*x_WLOSS*(x_PEN_K74*Q11+x_PEN_C22*R11)</f>
        <v>58773009.5089381</v>
      </c>
      <c r="AI11" s="0" t="n">
        <f aca="false">x_AGRI*x_EMP*x_WLOSS*(x_PEN_K74*Q11+x_PEN_C22*R11)</f>
        <v>3372090.26661115</v>
      </c>
      <c r="AJ11" s="0" t="n">
        <f aca="false">x_EMP*x_WAGE*(x_WLOSS*(Q11+R11)+S11)+U11*x_ABS_D*x_WAGE/365</f>
        <v>765044907.50687</v>
      </c>
      <c r="AK11" s="0" t="n">
        <f aca="false">AJ11*x_R_FUS</f>
        <v>242060208.735174</v>
      </c>
      <c r="AL11" s="0" t="n">
        <f aca="false">AJ11*x_R_NFZ</f>
        <v>59414152.561891</v>
      </c>
      <c r="AM11" s="0" t="n">
        <f aca="false">AJ11*x_R_PIT</f>
        <v>50863378.6299712</v>
      </c>
      <c r="AN11" s="0" t="n">
        <f aca="false">AJ11*x_R_FP</f>
        <v>19508645.1414252</v>
      </c>
      <c r="AO11" s="0" t="n">
        <f aca="false">AA11+AB11+AC11+AD11+AF11</f>
        <v>450017758.730088</v>
      </c>
      <c r="AP11" s="0" t="n">
        <f aca="false">AO11+AE11+AG11+AH11+AI11+AK11+AL11+AM11+AN11</f>
        <v>884009243.574098</v>
      </c>
      <c r="AQ11" s="0" t="n">
        <f aca="false">AO11+AE11+AG11+AJ11</f>
        <v>1215062666.23696</v>
      </c>
      <c r="AR11" s="0" t="n">
        <f aca="false">AB11+AC11+AD11+AF11</f>
        <v>96483399.3270171</v>
      </c>
      <c r="AS11" s="0" t="n">
        <f aca="false">AR11+AE11+AG11</f>
        <v>96483399.3270171</v>
      </c>
    </row>
    <row r="12" customFormat="false" ht="15" hidden="false" customHeight="false" outlineLevel="0" collapsed="false">
      <c r="A12" s="0" t="n">
        <v>2035</v>
      </c>
      <c r="B12" s="0" t="n">
        <v>9</v>
      </c>
      <c r="C12" s="0" t="n">
        <v>3382.4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5096.613</v>
      </c>
      <c r="I12" s="0" t="n">
        <v>733.024</v>
      </c>
      <c r="J12" s="0" t="n">
        <v>1841.734</v>
      </c>
      <c r="K12" s="0" t="n">
        <v>3192.708</v>
      </c>
      <c r="L12" s="0" t="n">
        <v>1391.204</v>
      </c>
      <c r="M12" s="0" t="n">
        <v>28873.036</v>
      </c>
      <c r="N12" s="0" t="n">
        <v>3098.339</v>
      </c>
      <c r="O12" s="0" t="n">
        <v>103.4</v>
      </c>
      <c r="P12" s="0" t="n">
        <v>101.992</v>
      </c>
      <c r="Q12" s="0" t="n">
        <v>2500.843</v>
      </c>
      <c r="R12" s="0" t="n">
        <v>2427.13</v>
      </c>
      <c r="S12" s="0" t="n">
        <v>6583.946</v>
      </c>
      <c r="T12" s="0" t="n">
        <v>5829.637</v>
      </c>
      <c r="U12" s="0" t="n">
        <v>3961.383</v>
      </c>
      <c r="V12" s="0" t="n">
        <v>123747.06</v>
      </c>
      <c r="W12" s="0" t="n">
        <v>387.39</v>
      </c>
      <c r="X12" s="0" t="n">
        <v>1007.655</v>
      </c>
      <c r="Y12" s="0" t="n">
        <v>103.4</v>
      </c>
      <c r="Z12" s="0" t="n">
        <v>1113.872</v>
      </c>
      <c r="AA12" s="0" t="n">
        <f aca="false">H12*x_c_F+I12*x_c_CC+J12*x_c_DC+K12*x_c_HCC+L12*x_c_PLT+M12*x_c_SVRn+N12*x_c_SVRcc+O12*x_c_LT+P12*x_c_LT1</f>
        <v>363774969.304453</v>
      </c>
      <c r="AB12" s="0" t="n">
        <f aca="false">C12*x_c_DAA</f>
        <v>76983424</v>
      </c>
      <c r="AC12" s="0" t="n">
        <f aca="false">C12*x_c_MON</f>
        <v>19499975.3270171</v>
      </c>
      <c r="AD12" s="0" t="n">
        <f aca="false">D12*(1-x_testy)</f>
        <v>0</v>
      </c>
      <c r="AE12" s="0" t="n">
        <f aca="false">E12*(1-x_testy)</f>
        <v>0</v>
      </c>
      <c r="AF12" s="0" t="n">
        <f aca="false">F12*x_NAV</f>
        <v>0</v>
      </c>
      <c r="AG12" s="0" t="n">
        <f aca="false">G12*x_FIX*(1-x_testy)</f>
        <v>0</v>
      </c>
      <c r="AH12" s="0" t="n">
        <f aca="false">x_z_F*U12+(1-x_AGRI)*x_EMP*x_WLOSS*(x_PEN_K74*Q12+x_PEN_C22*R12)</f>
        <v>60997103.2005056</v>
      </c>
      <c r="AI12" s="0" t="n">
        <f aca="false">x_AGRI*x_EMP*x_WLOSS*(x_PEN_K74*Q12+x_PEN_C22*R12)</f>
        <v>3493473.26310608</v>
      </c>
      <c r="AJ12" s="0" t="n">
        <f aca="false">x_EMP*x_WAGE*(x_WLOSS*(Q12+R12)+S12)+U12*x_ABS_D*x_WAGE/365</f>
        <v>842478137.137197</v>
      </c>
      <c r="AK12" s="0" t="n">
        <f aca="false">AJ12*x_R_FUS</f>
        <v>266560082.590209</v>
      </c>
      <c r="AL12" s="0" t="n">
        <f aca="false">AJ12*x_R_NFZ</f>
        <v>65427694.6082118</v>
      </c>
      <c r="AM12" s="0" t="n">
        <f aca="false">AJ12*x_R_PIT</f>
        <v>56011462.930099</v>
      </c>
      <c r="AN12" s="0" t="n">
        <f aca="false">AJ12*x_R_FP</f>
        <v>21483192.4969985</v>
      </c>
      <c r="AO12" s="0" t="n">
        <f aca="false">AA12+AB12+AC12+AD12+AF12</f>
        <v>460258368.63147</v>
      </c>
      <c r="AP12" s="0" t="n">
        <f aca="false">AO12+AE12+AG12+AH12+AI12+AK12+AL12+AM12+AN12</f>
        <v>934231377.720601</v>
      </c>
      <c r="AQ12" s="0" t="n">
        <f aca="false">AO12+AE12+AG12+AJ12</f>
        <v>1302736505.76867</v>
      </c>
      <c r="AR12" s="0" t="n">
        <f aca="false">AB12+AC12+AD12+AF12</f>
        <v>96483399.3270171</v>
      </c>
      <c r="AS12" s="0" t="n">
        <f aca="false">AR12+AE12+AG12</f>
        <v>96483399.3270171</v>
      </c>
    </row>
    <row r="13" customFormat="false" ht="15" hidden="false" customHeight="false" outlineLevel="0" collapsed="false">
      <c r="A13" s="0" t="n">
        <v>2036</v>
      </c>
      <c r="B13" s="0" t="n">
        <v>10</v>
      </c>
      <c r="C13" s="0" t="n">
        <v>3382.4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5205.286</v>
      </c>
      <c r="I13" s="0" t="n">
        <v>769.434</v>
      </c>
      <c r="J13" s="0" t="n">
        <v>1889.437</v>
      </c>
      <c r="K13" s="0" t="n">
        <v>3270.447</v>
      </c>
      <c r="L13" s="0" t="n">
        <v>1384.181</v>
      </c>
      <c r="M13" s="0" t="n">
        <v>31281.424</v>
      </c>
      <c r="N13" s="0" t="n">
        <v>3407.049</v>
      </c>
      <c r="O13" s="0" t="n">
        <v>106.074</v>
      </c>
      <c r="P13" s="0" t="n">
        <v>104.737</v>
      </c>
      <c r="Q13" s="0" t="n">
        <v>2570.382</v>
      </c>
      <c r="R13" s="0" t="n">
        <v>2524.174</v>
      </c>
      <c r="S13" s="0" t="n">
        <v>7402.236</v>
      </c>
      <c r="T13" s="0" t="n">
        <v>5974.72</v>
      </c>
      <c r="U13" s="0" t="n">
        <v>4127.049</v>
      </c>
      <c r="V13" s="0" t="n">
        <v>124924.608</v>
      </c>
      <c r="W13" s="0" t="n">
        <v>395.076</v>
      </c>
      <c r="X13" s="0" t="n">
        <v>1023.513</v>
      </c>
      <c r="Y13" s="0" t="n">
        <v>106.074</v>
      </c>
      <c r="Z13" s="0" t="n">
        <v>1140.287</v>
      </c>
      <c r="AA13" s="0" t="n">
        <f aca="false">H13*x_c_F+I13*x_c_CC+J13*x_c_DC+K13*x_c_HCC+L13*x_c_PLT+M13*x_c_SVRn+N13*x_c_SVRcc+O13*x_c_LT+P13*x_c_LT1</f>
        <v>373188387.832605</v>
      </c>
      <c r="AB13" s="0" t="n">
        <f aca="false">C13*x_c_DAA</f>
        <v>76983424</v>
      </c>
      <c r="AC13" s="0" t="n">
        <f aca="false">C13*x_c_MON</f>
        <v>19499975.3270171</v>
      </c>
      <c r="AD13" s="0" t="n">
        <f aca="false">D13*(1-x_testy)</f>
        <v>0</v>
      </c>
      <c r="AE13" s="0" t="n">
        <f aca="false">E13*(1-x_testy)</f>
        <v>0</v>
      </c>
      <c r="AF13" s="0" t="n">
        <f aca="false">F13*x_NAV</f>
        <v>0</v>
      </c>
      <c r="AG13" s="0" t="n">
        <f aca="false">G13*x_FIX*(1-x_testy)</f>
        <v>0</v>
      </c>
      <c r="AH13" s="0" t="n">
        <f aca="false">x_z_F*U13+(1-x_AGRI)*x_EMP*x_WLOSS*(x_PEN_K74*Q13+x_PEN_C22*R13)</f>
        <v>63144881.1066981</v>
      </c>
      <c r="AI13" s="0" t="n">
        <f aca="false">x_AGRI*x_EMP*x_WLOSS*(x_PEN_K74*Q13+x_PEN_C22*R13)</f>
        <v>3612924.66292144</v>
      </c>
      <c r="AJ13" s="0" t="n">
        <f aca="false">x_EMP*x_WAGE*(x_WLOSS*(Q13+R13)+S13)+U13*x_ABS_D*x_WAGE/365</f>
        <v>921842341.714936</v>
      </c>
      <c r="AK13" s="0" t="n">
        <f aca="false">AJ13*x_R_FUS</f>
        <v>291670916.918606</v>
      </c>
      <c r="AL13" s="0" t="n">
        <f aca="false">AJ13*x_R_NFZ</f>
        <v>71591198.0999237</v>
      </c>
      <c r="AM13" s="0" t="n">
        <f aca="false">AJ13*x_R_PIT</f>
        <v>61287926.504321</v>
      </c>
      <c r="AN13" s="0" t="n">
        <f aca="false">AJ13*x_R_FP</f>
        <v>23506979.7137309</v>
      </c>
      <c r="AO13" s="0" t="n">
        <f aca="false">AA13+AB13+AC13+AD13+AF13</f>
        <v>469671787.159622</v>
      </c>
      <c r="AP13" s="0" t="n">
        <f aca="false">AO13+AE13+AG13+AH13+AI13+AK13+AL13+AM13+AN13</f>
        <v>984486614.165823</v>
      </c>
      <c r="AQ13" s="0" t="n">
        <f aca="false">AO13+AE13+AG13+AJ13</f>
        <v>1391514128.87456</v>
      </c>
      <c r="AR13" s="0" t="n">
        <f aca="false">AB13+AC13+AD13+AF13</f>
        <v>96483399.3270171</v>
      </c>
      <c r="AS13" s="0" t="n">
        <f aca="false">AR13+AE13+AG13</f>
        <v>96483399.3270171</v>
      </c>
    </row>
    <row r="14" customFormat="false" ht="15" hidden="false" customHeight="false" outlineLevel="0" collapsed="false">
      <c r="A14" s="0" t="n">
        <v>2037</v>
      </c>
      <c r="B14" s="0" t="n">
        <v>11</v>
      </c>
      <c r="C14" s="0" t="n">
        <v>3382.4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5287.306</v>
      </c>
      <c r="I14" s="0" t="n">
        <v>798.818</v>
      </c>
      <c r="J14" s="0" t="n">
        <v>1933.378</v>
      </c>
      <c r="K14" s="0" t="n">
        <v>3336.679</v>
      </c>
      <c r="L14" s="0" t="n">
        <v>1378.183</v>
      </c>
      <c r="M14" s="0" t="n">
        <v>33629.044</v>
      </c>
      <c r="N14" s="0" t="n">
        <v>3708.913</v>
      </c>
      <c r="O14" s="0" t="n">
        <v>108.51</v>
      </c>
      <c r="P14" s="0" t="n">
        <v>107.292</v>
      </c>
      <c r="Q14" s="0" t="n">
        <v>2640.436</v>
      </c>
      <c r="R14" s="0" t="n">
        <v>2615.539</v>
      </c>
      <c r="S14" s="0" t="n">
        <v>8242.77</v>
      </c>
      <c r="T14" s="0" t="n">
        <v>6086.125</v>
      </c>
      <c r="U14" s="0" t="n">
        <v>4269.576</v>
      </c>
      <c r="V14" s="0" t="n">
        <v>126078.213</v>
      </c>
      <c r="W14" s="0" t="n">
        <v>400.913</v>
      </c>
      <c r="X14" s="0" t="n">
        <v>1035.066</v>
      </c>
      <c r="Y14" s="0" t="n">
        <v>108.51</v>
      </c>
      <c r="Z14" s="0" t="n">
        <v>1163.383</v>
      </c>
      <c r="AA14" s="0" t="n">
        <f aca="false">H14*x_c_F+I14*x_c_CC+J14*x_c_DC+K14*x_c_HCC+L14*x_c_PLT+M14*x_c_SVRn+N14*x_c_SVRcc+O14*x_c_LT+P14*x_c_LT1</f>
        <v>381579327.366183</v>
      </c>
      <c r="AB14" s="0" t="n">
        <f aca="false">C14*x_c_DAA</f>
        <v>76983424</v>
      </c>
      <c r="AC14" s="0" t="n">
        <f aca="false">C14*x_c_MON</f>
        <v>19499975.3270171</v>
      </c>
      <c r="AD14" s="0" t="n">
        <f aca="false">D14*(1-x_testy)</f>
        <v>0</v>
      </c>
      <c r="AE14" s="0" t="n">
        <f aca="false">E14*(1-x_testy)</f>
        <v>0</v>
      </c>
      <c r="AF14" s="0" t="n">
        <f aca="false">F14*x_NAV</f>
        <v>0</v>
      </c>
      <c r="AG14" s="0" t="n">
        <f aca="false">G14*x_FIX*(1-x_testy)</f>
        <v>0</v>
      </c>
      <c r="AH14" s="0" t="n">
        <f aca="false">x_z_F*U14+(1-x_AGRI)*x_EMP*x_WLOSS*(x_PEN_K74*Q14+x_PEN_C22*R14)</f>
        <v>65185402.8207546</v>
      </c>
      <c r="AI14" s="0" t="n">
        <f aca="false">x_AGRI*x_EMP*x_WLOSS*(x_PEN_K74*Q14+x_PEN_C22*R14)</f>
        <v>3728431.02725955</v>
      </c>
      <c r="AJ14" s="0" t="n">
        <f aca="false">x_EMP*x_WAGE*(x_WLOSS*(Q14+R14)+S14)+U14*x_ABS_D*x_WAGE/365</f>
        <v>1002752713.31837</v>
      </c>
      <c r="AK14" s="0" t="n">
        <f aca="false">AJ14*x_R_FUS</f>
        <v>317270958.493932</v>
      </c>
      <c r="AL14" s="0" t="n">
        <f aca="false">AJ14*x_R_NFZ</f>
        <v>77874778.4690178</v>
      </c>
      <c r="AM14" s="0" t="n">
        <f aca="false">AJ14*x_R_PIT</f>
        <v>66667185.7158728</v>
      </c>
      <c r="AN14" s="0" t="n">
        <f aca="false">AJ14*x_R_FP</f>
        <v>25570194.1896184</v>
      </c>
      <c r="AO14" s="0" t="n">
        <f aca="false">AA14+AB14+AC14+AD14+AF14</f>
        <v>478062726.6932</v>
      </c>
      <c r="AP14" s="0" t="n">
        <f aca="false">AO14+AE14+AG14+AH14+AI14+AK14+AL14+AM14+AN14</f>
        <v>1034359677.40966</v>
      </c>
      <c r="AQ14" s="0" t="n">
        <f aca="false">AO14+AE14+AG14+AJ14</f>
        <v>1480815440.01157</v>
      </c>
      <c r="AR14" s="0" t="n">
        <f aca="false">AB14+AC14+AD14+AF14</f>
        <v>96483399.3270171</v>
      </c>
      <c r="AS14" s="0" t="n">
        <f aca="false">AR14+AE14+AG14</f>
        <v>96483399.3270171</v>
      </c>
    </row>
    <row r="15" customFormat="false" ht="15" hidden="false" customHeight="false" outlineLevel="0" collapsed="false">
      <c r="A15" s="0" t="n">
        <v>2038</v>
      </c>
      <c r="B15" s="0" t="n">
        <v>12</v>
      </c>
      <c r="C15" s="0" t="n">
        <v>3382.4</v>
      </c>
      <c r="D15" s="0" t="n">
        <v>0</v>
      </c>
      <c r="E15" s="0" t="n">
        <v>0</v>
      </c>
      <c r="F15" s="0" t="n">
        <v>0</v>
      </c>
      <c r="G15" s="0" t="n">
        <v>0</v>
      </c>
      <c r="H15" s="0" t="n">
        <v>5344.396</v>
      </c>
      <c r="I15" s="0" t="n">
        <v>820.931</v>
      </c>
      <c r="J15" s="0" t="n">
        <v>1972.171</v>
      </c>
      <c r="K15" s="0" t="n">
        <v>3390.203</v>
      </c>
      <c r="L15" s="0" t="n">
        <v>1372.842</v>
      </c>
      <c r="M15" s="0" t="n">
        <v>35915.26</v>
      </c>
      <c r="N15" s="0" t="n">
        <v>4001.266</v>
      </c>
      <c r="O15" s="0" t="n">
        <v>110.631</v>
      </c>
      <c r="P15" s="0" t="n">
        <v>109.57</v>
      </c>
      <c r="Q15" s="0" t="n">
        <v>1755.917</v>
      </c>
      <c r="R15" s="0" t="n">
        <v>1764.011</v>
      </c>
      <c r="S15" s="0" t="n">
        <v>5770.056</v>
      </c>
      <c r="T15" s="0" t="n">
        <v>6165.327</v>
      </c>
      <c r="U15" s="0" t="n">
        <v>3653.265</v>
      </c>
      <c r="V15" s="0" t="n">
        <v>127203.111</v>
      </c>
      <c r="W15" s="0" t="n">
        <v>404.915</v>
      </c>
      <c r="X15" s="0" t="n">
        <v>1042.418</v>
      </c>
      <c r="Y15" s="0" t="n">
        <v>110.631</v>
      </c>
      <c r="Z15" s="0" t="n">
        <v>1182.558</v>
      </c>
      <c r="AA15" s="0" t="n">
        <f aca="false">H15*x_c_F+I15*x_c_CC+J15*x_c_DC+K15*x_c_HCC+L15*x_c_PLT+M15*x_c_SVRn+N15*x_c_SVRcc+O15*x_c_LT+P15*x_c_LT1</f>
        <v>388801087.51986</v>
      </c>
      <c r="AB15" s="0" t="n">
        <f aca="false">C15*x_c_DAA</f>
        <v>76983424</v>
      </c>
      <c r="AC15" s="0" t="n">
        <f aca="false">C15*x_c_MON</f>
        <v>19499975.3270171</v>
      </c>
      <c r="AD15" s="0" t="n">
        <f aca="false">D15*(1-x_testy)</f>
        <v>0</v>
      </c>
      <c r="AE15" s="0" t="n">
        <f aca="false">E15*(1-x_testy)</f>
        <v>0</v>
      </c>
      <c r="AF15" s="0" t="n">
        <f aca="false">F15*x_NAV</f>
        <v>0</v>
      </c>
      <c r="AG15" s="0" t="n">
        <f aca="false">G15*x_FIX*(1-x_testy)</f>
        <v>0</v>
      </c>
      <c r="AH15" s="0" t="n">
        <f aca="false">x_z_F*U15+(1-x_AGRI)*x_EMP*x_WLOSS*(x_PEN_K74*Q15+x_PEN_C22*R15)</f>
        <v>45303910.1566857</v>
      </c>
      <c r="AI15" s="0" t="n">
        <f aca="false">x_AGRI*x_EMP*x_WLOSS*(x_PEN_K74*Q15+x_PEN_C22*R15)</f>
        <v>2498053.92941408</v>
      </c>
      <c r="AJ15" s="0" t="n">
        <f aca="false">x_EMP*x_WAGE*(x_WLOSS*(Q15+R15)+S15)+U15*x_ABS_D*x_WAGE/365</f>
        <v>695179952.1534</v>
      </c>
      <c r="AK15" s="0" t="n">
        <f aca="false">AJ15*x_R_FUS</f>
        <v>219954936.861336</v>
      </c>
      <c r="AL15" s="0" t="n">
        <f aca="false">AJ15*x_R_NFZ</f>
        <v>53988370.2641852</v>
      </c>
      <c r="AM15" s="0" t="n">
        <f aca="false">AJ15*x_R_PIT</f>
        <v>46218464.7925732</v>
      </c>
      <c r="AN15" s="0" t="n">
        <f aca="false">AJ15*x_R_FP</f>
        <v>17727088.7799117</v>
      </c>
      <c r="AO15" s="0" t="n">
        <f aca="false">AA15+AB15+AC15+AD15+AF15</f>
        <v>485284486.846877</v>
      </c>
      <c r="AP15" s="0" t="n">
        <f aca="false">AO15+AE15+AG15+AH15+AI15+AK15+AL15+AM15+AN15</f>
        <v>870975311.630983</v>
      </c>
      <c r="AQ15" s="0" t="n">
        <f aca="false">AO15+AE15+AG15+AJ15</f>
        <v>1180464439.00028</v>
      </c>
      <c r="AR15" s="0" t="n">
        <f aca="false">AB15+AC15+AD15+AF15</f>
        <v>96483399.3270171</v>
      </c>
      <c r="AS15" s="0" t="n">
        <f aca="false">AR15+AE15+AG15</f>
        <v>96483399.3270171</v>
      </c>
    </row>
    <row r="16" customFormat="false" ht="15" hidden="false" customHeight="false" outlineLevel="0" collapsed="false">
      <c r="A16" s="0" t="n">
        <v>2039</v>
      </c>
      <c r="B16" s="0" t="n">
        <v>13</v>
      </c>
      <c r="C16" s="0" t="n">
        <v>3382.4</v>
      </c>
      <c r="D16" s="0" t="n">
        <v>0</v>
      </c>
      <c r="E16" s="0" t="n">
        <v>0</v>
      </c>
      <c r="F16" s="0" t="n">
        <v>0</v>
      </c>
      <c r="G16" s="0" t="n">
        <v>0</v>
      </c>
      <c r="H16" s="0" t="n">
        <v>5378.071</v>
      </c>
      <c r="I16" s="0" t="n">
        <v>835.716</v>
      </c>
      <c r="J16" s="0" t="n">
        <v>2004.713</v>
      </c>
      <c r="K16" s="0" t="n">
        <v>3430.318</v>
      </c>
      <c r="L16" s="0" t="n">
        <v>1367.713</v>
      </c>
      <c r="M16" s="0" t="n">
        <v>38139.131</v>
      </c>
      <c r="N16" s="0" t="n">
        <v>4281.468</v>
      </c>
      <c r="O16" s="0" t="n">
        <v>112.378</v>
      </c>
      <c r="P16" s="0" t="n">
        <v>111.505</v>
      </c>
      <c r="Q16" s="0" t="n">
        <v>853.319</v>
      </c>
      <c r="R16" s="0" t="n">
        <v>891.283</v>
      </c>
      <c r="S16" s="0" t="n">
        <v>3022.939</v>
      </c>
      <c r="T16" s="0" t="n">
        <v>6213.786</v>
      </c>
      <c r="U16" s="0" t="n">
        <v>3045.633</v>
      </c>
      <c r="V16" s="0" t="n">
        <v>128294.985</v>
      </c>
      <c r="W16" s="0" t="n">
        <v>407.138</v>
      </c>
      <c r="X16" s="0" t="n">
        <v>1045.751</v>
      </c>
      <c r="Y16" s="0" t="n">
        <v>112.378</v>
      </c>
      <c r="Z16" s="0" t="n">
        <v>1197.413</v>
      </c>
      <c r="AA16" s="0" t="n">
        <f aca="false">H16*x_c_F+I16*x_c_CC+J16*x_c_DC+K16*x_c_HCC+L16*x_c_PLT+M16*x_c_SVRn+N16*x_c_SVRcc+O16*x_c_LT+P16*x_c_LT1</f>
        <v>394748525.606695</v>
      </c>
      <c r="AB16" s="0" t="n">
        <f aca="false">C16*x_c_DAA</f>
        <v>76983424</v>
      </c>
      <c r="AC16" s="0" t="n">
        <f aca="false">C16*x_c_MON</f>
        <v>19499975.3270171</v>
      </c>
      <c r="AD16" s="0" t="n">
        <f aca="false">D16*(1-x_testy)</f>
        <v>0</v>
      </c>
      <c r="AE16" s="0" t="n">
        <f aca="false">E16*(1-x_testy)</f>
        <v>0</v>
      </c>
      <c r="AF16" s="0" t="n">
        <f aca="false">F16*x_NAV</f>
        <v>0</v>
      </c>
      <c r="AG16" s="0" t="n">
        <f aca="false">G16*x_FIX*(1-x_testy)</f>
        <v>0</v>
      </c>
      <c r="AH16" s="0" t="n">
        <f aca="false">x_z_F*U16+(1-x_AGRI)*x_EMP*x_WLOSS*(x_PEN_K74*Q16+x_PEN_C22*R16)</f>
        <v>25016447.5631974</v>
      </c>
      <c r="AI16" s="0" t="n">
        <f aca="false">x_AGRI*x_EMP*x_WLOSS*(x_PEN_K74*Q16+x_PEN_C22*R16)</f>
        <v>1239663.59610893</v>
      </c>
      <c r="AJ16" s="0" t="n">
        <f aca="false">x_EMP*x_WAGE*(x_WLOSS*(Q16+R16)+S16)+U16*x_ABS_D*x_WAGE/365</f>
        <v>362088935.777886</v>
      </c>
      <c r="AK16" s="0" t="n">
        <f aca="false">AJ16*x_R_FUS</f>
        <v>114564939.280123</v>
      </c>
      <c r="AL16" s="0" t="n">
        <f aca="false">AJ16*x_R_NFZ</f>
        <v>28120188.8414464</v>
      </c>
      <c r="AM16" s="0" t="n">
        <f aca="false">AJ16*x_R_PIT</f>
        <v>24073183.7536329</v>
      </c>
      <c r="AN16" s="0" t="n">
        <f aca="false">AJ16*x_R_FP</f>
        <v>9233267.86233609</v>
      </c>
      <c r="AO16" s="0" t="n">
        <f aca="false">AA16+AB16+AC16+AD16+AF16</f>
        <v>491231924.933713</v>
      </c>
      <c r="AP16" s="0" t="n">
        <f aca="false">AO16+AE16+AG16+AH16+AI16+AK16+AL16+AM16+AN16</f>
        <v>693479615.830557</v>
      </c>
      <c r="AQ16" s="0" t="n">
        <f aca="false">AO16+AE16+AG16+AJ16</f>
        <v>853320860.711598</v>
      </c>
      <c r="AR16" s="0" t="n">
        <f aca="false">AB16+AC16+AD16+AF16</f>
        <v>96483399.3270171</v>
      </c>
      <c r="AS16" s="0" t="n">
        <f aca="false">AR16+AE16+AG16</f>
        <v>96483399.3270171</v>
      </c>
    </row>
    <row r="17" customFormat="false" ht="15" hidden="false" customHeight="false" outlineLevel="0" collapsed="false">
      <c r="A17" s="0" t="n">
        <v>2040</v>
      </c>
      <c r="B17" s="0" t="n">
        <v>14</v>
      </c>
      <c r="C17" s="0" t="n">
        <v>3382.4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5389.767</v>
      </c>
      <c r="I17" s="0" t="n">
        <v>843.321</v>
      </c>
      <c r="J17" s="0" t="n">
        <v>2030.25</v>
      </c>
      <c r="K17" s="0" t="n">
        <v>3456.868</v>
      </c>
      <c r="L17" s="0" t="n">
        <v>1362.355</v>
      </c>
      <c r="M17" s="0" t="n">
        <v>40300.372</v>
      </c>
      <c r="N17" s="0" t="n">
        <v>4547.105</v>
      </c>
      <c r="O17" s="0" t="n">
        <v>113.716</v>
      </c>
      <c r="P17" s="0" t="n">
        <v>113.047</v>
      </c>
      <c r="Q17" s="0" t="n">
        <v>888.159</v>
      </c>
      <c r="R17" s="0" t="n">
        <v>938.25</v>
      </c>
      <c r="S17" s="0" t="n">
        <v>3332.364</v>
      </c>
      <c r="T17" s="0" t="n">
        <v>6233.087</v>
      </c>
      <c r="U17" s="0" t="n">
        <v>3185.906</v>
      </c>
      <c r="V17" s="0" t="n">
        <v>129352.322</v>
      </c>
      <c r="W17" s="0" t="n">
        <v>407.697</v>
      </c>
      <c r="X17" s="0" t="n">
        <v>1045.364</v>
      </c>
      <c r="Y17" s="0" t="n">
        <v>113.716</v>
      </c>
      <c r="Z17" s="0" t="n">
        <v>1207.768</v>
      </c>
      <c r="AA17" s="0" t="n">
        <f aca="false">H17*x_c_F+I17*x_c_CC+J17*x_c_DC+K17*x_c_HCC+L17*x_c_PLT+M17*x_c_SVRn+N17*x_c_SVRcc+O17*x_c_LT+P17*x_c_LT1</f>
        <v>399368085.518063</v>
      </c>
      <c r="AB17" s="0" t="n">
        <f aca="false">C17*x_c_DAA</f>
        <v>76983424</v>
      </c>
      <c r="AC17" s="0" t="n">
        <f aca="false">C17*x_c_MON</f>
        <v>19499975.3270171</v>
      </c>
      <c r="AD17" s="0" t="n">
        <f aca="false">D17*(1-x_testy)</f>
        <v>0</v>
      </c>
      <c r="AE17" s="0" t="n">
        <f aca="false">E17*(1-x_testy)</f>
        <v>0</v>
      </c>
      <c r="AF17" s="0" t="n">
        <f aca="false">F17*x_NAV</f>
        <v>0</v>
      </c>
      <c r="AG17" s="0" t="n">
        <f aca="false">G17*x_FIX*(1-x_testy)</f>
        <v>0</v>
      </c>
      <c r="AH17" s="0" t="n">
        <f aca="false">x_z_F*U17+(1-x_AGRI)*x_EMP*x_WLOSS*(x_PEN_K74*Q17+x_PEN_C22*R17)</f>
        <v>26191376.5634798</v>
      </c>
      <c r="AI17" s="0" t="n">
        <f aca="false">x_AGRI*x_EMP*x_WLOSS*(x_PEN_K74*Q17+x_PEN_C22*R17)</f>
        <v>1298262.24251899</v>
      </c>
      <c r="AJ17" s="0" t="n">
        <f aca="false">x_EMP*x_WAGE*(x_WLOSS*(Q17+R17)+S17)+U17*x_ABS_D*x_WAGE/365</f>
        <v>393356404.515814</v>
      </c>
      <c r="AK17" s="0" t="n">
        <f aca="false">AJ17*x_R_FUS</f>
        <v>124457966.388803</v>
      </c>
      <c r="AL17" s="0" t="n">
        <f aca="false">AJ17*x_R_NFZ</f>
        <v>30548451.7311026</v>
      </c>
      <c r="AM17" s="0" t="n">
        <f aca="false">AJ17*x_R_PIT</f>
        <v>26151975.5809005</v>
      </c>
      <c r="AN17" s="0" t="n">
        <f aca="false">AJ17*x_R_FP</f>
        <v>10030588.3151532</v>
      </c>
      <c r="AO17" s="0" t="n">
        <f aca="false">AA17+AB17+AC17+AD17+AF17</f>
        <v>495851484.84508</v>
      </c>
      <c r="AP17" s="0" t="n">
        <f aca="false">AO17+AE17+AG17+AH17+AI17+AK17+AL17+AM17+AN17</f>
        <v>714530105.667038</v>
      </c>
      <c r="AQ17" s="0" t="n">
        <f aca="false">AO17+AE17+AG17+AJ17</f>
        <v>889207889.360893</v>
      </c>
      <c r="AR17" s="0" t="n">
        <f aca="false">AB17+AC17+AD17+AF17</f>
        <v>96483399.3270171</v>
      </c>
      <c r="AS17" s="0" t="n">
        <f aca="false">AR17+AE17+AG17</f>
        <v>96483399.3270171</v>
      </c>
    </row>
    <row r="18" customFormat="false" ht="15" hidden="false" customHeight="false" outlineLevel="0" collapsed="false">
      <c r="A18" s="0" t="n">
        <v>2041</v>
      </c>
      <c r="B18" s="0" t="n">
        <v>15</v>
      </c>
      <c r="C18" s="0" t="n">
        <v>3382.4</v>
      </c>
      <c r="D18" s="0" t="n">
        <v>0</v>
      </c>
      <c r="E18" s="0" t="n">
        <v>0</v>
      </c>
      <c r="F18" s="0" t="n">
        <v>0</v>
      </c>
      <c r="G18" s="0" t="n">
        <v>0</v>
      </c>
      <c r="H18" s="0" t="n">
        <v>5380.964</v>
      </c>
      <c r="I18" s="0" t="n">
        <v>844.106</v>
      </c>
      <c r="J18" s="0" t="n">
        <v>2048.435</v>
      </c>
      <c r="K18" s="0" t="n">
        <v>3470.299</v>
      </c>
      <c r="L18" s="0" t="n">
        <v>1356.405</v>
      </c>
      <c r="M18" s="0" t="n">
        <v>42400.439</v>
      </c>
      <c r="N18" s="0" t="n">
        <v>4796.228</v>
      </c>
      <c r="O18" s="0" t="n">
        <v>114.633</v>
      </c>
      <c r="P18" s="0" t="n">
        <v>114.174</v>
      </c>
      <c r="Q18" s="0" t="n">
        <v>925.088</v>
      </c>
      <c r="R18" s="0" t="n">
        <v>987.602</v>
      </c>
      <c r="S18" s="0" t="n">
        <v>3656.713</v>
      </c>
      <c r="T18" s="0" t="n">
        <v>6225.07</v>
      </c>
      <c r="U18" s="0" t="n">
        <v>3309.635</v>
      </c>
      <c r="V18" s="0" t="n">
        <v>130378.13</v>
      </c>
      <c r="W18" s="0" t="n">
        <v>406.756</v>
      </c>
      <c r="X18" s="0" t="n">
        <v>1041.663</v>
      </c>
      <c r="Y18" s="0" t="n">
        <v>114.633</v>
      </c>
      <c r="Z18" s="0" t="n">
        <v>1213.701</v>
      </c>
      <c r="AA18" s="0" t="n">
        <f aca="false">H18*x_c_F+I18*x_c_CC+J18*x_c_DC+K18*x_c_HCC+L18*x_c_PLT+M18*x_c_SVRn+N18*x_c_SVRcc+O18*x_c_LT+P18*x_c_LT1</f>
        <v>402666730.681806</v>
      </c>
      <c r="AB18" s="0" t="n">
        <f aca="false">C18*x_c_DAA</f>
        <v>76983424</v>
      </c>
      <c r="AC18" s="0" t="n">
        <f aca="false">C18*x_c_MON</f>
        <v>19499975.3270171</v>
      </c>
      <c r="AD18" s="0" t="n">
        <f aca="false">D18*(1-x_testy)</f>
        <v>0</v>
      </c>
      <c r="AE18" s="0" t="n">
        <f aca="false">E18*(1-x_testy)</f>
        <v>0</v>
      </c>
      <c r="AF18" s="0" t="n">
        <f aca="false">F18*x_NAV</f>
        <v>0</v>
      </c>
      <c r="AG18" s="0" t="n">
        <f aca="false">G18*x_FIX*(1-x_testy)</f>
        <v>0</v>
      </c>
      <c r="AH18" s="0" t="n">
        <f aca="false">x_z_F*U18+(1-x_AGRI)*x_EMP*x_WLOSS*(x_PEN_K74*Q18+x_PEN_C22*R18)</f>
        <v>27380525.4826604</v>
      </c>
      <c r="AI18" s="0" t="n">
        <f aca="false">x_AGRI*x_EMP*x_WLOSS*(x_PEN_K74*Q18+x_PEN_C22*R18)</f>
        <v>1360048.9869579</v>
      </c>
      <c r="AJ18" s="0" t="n">
        <f aca="false">x_EMP*x_WAGE*(x_WLOSS*(Q18+R18)+S18)+U18*x_ABS_D*x_WAGE/365</f>
        <v>426092370.044032</v>
      </c>
      <c r="AK18" s="0" t="n">
        <f aca="false">AJ18*x_R_FUS</f>
        <v>134815625.881932</v>
      </c>
      <c r="AL18" s="0" t="n">
        <f aca="false">AJ18*x_R_NFZ</f>
        <v>33090759.5499896</v>
      </c>
      <c r="AM18" s="0" t="n">
        <f aca="false">AJ18*x_R_PIT</f>
        <v>28328399.2040648</v>
      </c>
      <c r="AN18" s="0" t="n">
        <f aca="false">AJ18*x_R_FP</f>
        <v>10865355.4361228</v>
      </c>
      <c r="AO18" s="0" t="n">
        <f aca="false">AA18+AB18+AC18+AD18+AF18</f>
        <v>499150130.008823</v>
      </c>
      <c r="AP18" s="0" t="n">
        <f aca="false">AO18+AE18+AG18+AH18+AI18+AK18+AL18+AM18+AN18</f>
        <v>734990844.550551</v>
      </c>
      <c r="AQ18" s="0" t="n">
        <f aca="false">AO18+AE18+AG18+AJ18</f>
        <v>925242500.052856</v>
      </c>
      <c r="AR18" s="0" t="n">
        <f aca="false">AB18+AC18+AD18+AF18</f>
        <v>96483399.3270171</v>
      </c>
      <c r="AS18" s="0" t="n">
        <f aca="false">AR18+AE18+AG18</f>
        <v>96483399.3270171</v>
      </c>
    </row>
    <row r="19" customFormat="false" ht="15" hidden="false" customHeight="false" outlineLevel="0" collapsed="false">
      <c r="A19" s="0" t="n">
        <v>2042</v>
      </c>
      <c r="B19" s="0" t="n">
        <v>16</v>
      </c>
      <c r="C19" s="0" t="n">
        <v>3382.4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5353.176</v>
      </c>
      <c r="I19" s="0" t="n">
        <v>838.605</v>
      </c>
      <c r="J19" s="0" t="n">
        <v>2059.116</v>
      </c>
      <c r="K19" s="0" t="n">
        <v>3471.31</v>
      </c>
      <c r="L19" s="0" t="n">
        <v>1349.305</v>
      </c>
      <c r="M19" s="0" t="n">
        <v>44438.505</v>
      </c>
      <c r="N19" s="0" t="n">
        <v>5026.887</v>
      </c>
      <c r="O19" s="0" t="n">
        <v>115.116</v>
      </c>
      <c r="P19" s="0" t="n">
        <v>114.874</v>
      </c>
      <c r="Q19" s="0" t="n">
        <v>964.216</v>
      </c>
      <c r="R19" s="0" t="n">
        <v>1039.542</v>
      </c>
      <c r="S19" s="0" t="n">
        <v>3996.584</v>
      </c>
      <c r="T19" s="0" t="n">
        <v>6191.781</v>
      </c>
      <c r="U19" s="0" t="n">
        <v>3415.909</v>
      </c>
      <c r="V19" s="0" t="n">
        <v>131374.588</v>
      </c>
      <c r="W19" s="0" t="n">
        <v>404.469</v>
      </c>
      <c r="X19" s="0" t="n">
        <v>1035.013</v>
      </c>
      <c r="Y19" s="0" t="n">
        <v>115.116</v>
      </c>
      <c r="Z19" s="0" t="n">
        <v>1215.231</v>
      </c>
      <c r="AA19" s="0" t="n">
        <f aca="false">H19*x_c_F+I19*x_c_CC+J19*x_c_DC+K19*x_c_HCC+L19*x_c_PLT+M19*x_c_SVRn+N19*x_c_SVRcc+O19*x_c_LT+P19*x_c_LT1</f>
        <v>404664431.396645</v>
      </c>
      <c r="AB19" s="0" t="n">
        <f aca="false">C19*x_c_DAA</f>
        <v>76983424</v>
      </c>
      <c r="AC19" s="0" t="n">
        <f aca="false">C19*x_c_MON</f>
        <v>19499975.3270171</v>
      </c>
      <c r="AD19" s="0" t="n">
        <f aca="false">D19*(1-x_testy)</f>
        <v>0</v>
      </c>
      <c r="AE19" s="0" t="n">
        <f aca="false">E19*(1-x_testy)</f>
        <v>0</v>
      </c>
      <c r="AF19" s="0" t="n">
        <f aca="false">F19*x_NAV</f>
        <v>0</v>
      </c>
      <c r="AG19" s="0" t="n">
        <f aca="false">G19*x_FIX*(1-x_testy)</f>
        <v>0</v>
      </c>
      <c r="AH19" s="0" t="n">
        <f aca="false">x_z_F*U19+(1-x_AGRI)*x_EMP*x_WLOSS*(x_PEN_K74*Q19+x_PEN_C22*R19)</f>
        <v>28585445.3196671</v>
      </c>
      <c r="AI19" s="0" t="n">
        <f aca="false">x_AGRI*x_EMP*x_WLOSS*(x_PEN_K74*Q19+x_PEN_C22*R19)</f>
        <v>1425250.14461851</v>
      </c>
      <c r="AJ19" s="0" t="n">
        <f aca="false">x_EMP*x_WAGE*(x_WLOSS*(Q19+R19)+S19)+U19*x_ABS_D*x_WAGE/365</f>
        <v>460362258.910357</v>
      </c>
      <c r="AK19" s="0" t="n">
        <f aca="false">AJ19*x_R_FUS</f>
        <v>145658618.719237</v>
      </c>
      <c r="AL19" s="0" t="n">
        <f aca="false">AJ19*x_R_NFZ</f>
        <v>35752193.3892372</v>
      </c>
      <c r="AM19" s="0" t="n">
        <f aca="false">AJ19*x_R_PIT</f>
        <v>30606804.4531047</v>
      </c>
      <c r="AN19" s="0" t="n">
        <f aca="false">AJ19*x_R_FP</f>
        <v>11739237.6022141</v>
      </c>
      <c r="AO19" s="0" t="n">
        <f aca="false">AA19+AB19+AC19+AD19+AF19</f>
        <v>501147830.723662</v>
      </c>
      <c r="AP19" s="0" t="n">
        <f aca="false">AO19+AE19+AG19+AH19+AI19+AK19+AL19+AM19+AN19</f>
        <v>754915380.351741</v>
      </c>
      <c r="AQ19" s="0" t="n">
        <f aca="false">AO19+AE19+AG19+AJ19</f>
        <v>961510089.634019</v>
      </c>
      <c r="AR19" s="0" t="n">
        <f aca="false">AB19+AC19+AD19+AF19</f>
        <v>96483399.3270171</v>
      </c>
      <c r="AS19" s="0" t="n">
        <f aca="false">AR19+AE19+AG19</f>
        <v>96483399.3270171</v>
      </c>
    </row>
    <row r="20" customFormat="false" ht="15" hidden="false" customHeight="false" outlineLevel="0" collapsed="false">
      <c r="A20" s="0" t="n">
        <v>2043</v>
      </c>
      <c r="B20" s="0" t="n">
        <v>17</v>
      </c>
      <c r="C20" s="0" t="n">
        <v>3382.4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5308.516</v>
      </c>
      <c r="I20" s="0" t="n">
        <v>827.704</v>
      </c>
      <c r="J20" s="0" t="n">
        <v>2063.128</v>
      </c>
      <c r="K20" s="0" t="n">
        <v>3461.961</v>
      </c>
      <c r="L20" s="0" t="n">
        <v>1341.431</v>
      </c>
      <c r="M20" s="0" t="n">
        <v>46427.657</v>
      </c>
      <c r="N20" s="0" t="n">
        <v>5239.597</v>
      </c>
      <c r="O20" s="0" t="n">
        <v>115.27</v>
      </c>
      <c r="P20" s="0" t="n">
        <v>115.193</v>
      </c>
      <c r="Q20" s="0" t="n">
        <v>1005.653</v>
      </c>
      <c r="R20" s="0" t="n">
        <v>1094.225</v>
      </c>
      <c r="S20" s="0" t="n">
        <v>4352.582</v>
      </c>
      <c r="T20" s="0" t="n">
        <v>6136.22</v>
      </c>
      <c r="U20" s="0" t="n">
        <v>3504.227</v>
      </c>
      <c r="V20" s="0" t="n">
        <v>132366.577</v>
      </c>
      <c r="W20" s="0" t="n">
        <v>401.249</v>
      </c>
      <c r="X20" s="0" t="n">
        <v>1026.433</v>
      </c>
      <c r="Y20" s="0" t="n">
        <v>115.27</v>
      </c>
      <c r="Z20" s="0" t="n">
        <v>1213.559</v>
      </c>
      <c r="AA20" s="0" t="n">
        <f aca="false">H20*x_c_F+I20*x_c_CC+J20*x_c_DC+K20*x_c_HCC+L20*x_c_PLT+M20*x_c_SVRn+N20*x_c_SVRcc+O20*x_c_LT+P20*x_c_LT1</f>
        <v>405576419.570875</v>
      </c>
      <c r="AB20" s="0" t="n">
        <f aca="false">C20*x_c_DAA</f>
        <v>76983424</v>
      </c>
      <c r="AC20" s="0" t="n">
        <f aca="false">C20*x_c_MON</f>
        <v>19499975.3270171</v>
      </c>
      <c r="AD20" s="0" t="n">
        <f aca="false">D20*(1-x_testy)</f>
        <v>0</v>
      </c>
      <c r="AE20" s="0" t="n">
        <f aca="false">E20*(1-x_testy)</f>
        <v>0</v>
      </c>
      <c r="AF20" s="0" t="n">
        <f aca="false">F20*x_NAV</f>
        <v>0</v>
      </c>
      <c r="AG20" s="0" t="n">
        <f aca="false">G20*x_FIX*(1-x_testy)</f>
        <v>0</v>
      </c>
      <c r="AH20" s="0" t="n">
        <f aca="false">x_z_F*U20+(1-x_AGRI)*x_EMP*x_WLOSS*(x_PEN_K74*Q20+x_PEN_C22*R20)</f>
        <v>29807981.7849329</v>
      </c>
      <c r="AI20" s="0" t="n">
        <f aca="false">x_AGRI*x_EMP*x_WLOSS*(x_PEN_K74*Q20+x_PEN_C22*R20)</f>
        <v>1494055.79505101</v>
      </c>
      <c r="AJ20" s="0" t="n">
        <f aca="false">x_EMP*x_WAGE*(x_WLOSS*(Q20+R20)+S20)+U20*x_ABS_D*x_WAGE/365</f>
        <v>496230673.886801</v>
      </c>
      <c r="AK20" s="0" t="n">
        <f aca="false">AJ20*x_R_FUS</f>
        <v>157007385.217784</v>
      </c>
      <c r="AL20" s="0" t="n">
        <f aca="false">AJ20*x_R_NFZ</f>
        <v>38537770.3647229</v>
      </c>
      <c r="AM20" s="0" t="n">
        <f aca="false">AJ20*x_R_PIT</f>
        <v>32991486.3899457</v>
      </c>
      <c r="AN20" s="0" t="n">
        <f aca="false">AJ20*x_R_FP</f>
        <v>12653882.1841134</v>
      </c>
      <c r="AO20" s="0" t="n">
        <f aca="false">AA20+AB20+AC20+AD20+AF20</f>
        <v>502059818.897892</v>
      </c>
      <c r="AP20" s="0" t="n">
        <f aca="false">AO20+AE20+AG20+AH20+AI20+AK20+AL20+AM20+AN20</f>
        <v>774552380.634442</v>
      </c>
      <c r="AQ20" s="0" t="n">
        <f aca="false">AO20+AE20+AG20+AJ20</f>
        <v>998290492.784693</v>
      </c>
      <c r="AR20" s="0" t="n">
        <f aca="false">AB20+AC20+AD20+AF20</f>
        <v>96483399.3270171</v>
      </c>
      <c r="AS20" s="0" t="n">
        <f aca="false">AR20+AE20+AG20</f>
        <v>96483399.3270171</v>
      </c>
    </row>
    <row r="21" customFormat="false" ht="15" hidden="false" customHeight="false" outlineLevel="0" collapsed="false">
      <c r="A21" s="0" t="n">
        <v>2044</v>
      </c>
      <c r="B21" s="0" t="n">
        <v>18</v>
      </c>
      <c r="C21" s="0" t="n">
        <v>3382.4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5249.324</v>
      </c>
      <c r="I21" s="0" t="n">
        <v>812.424</v>
      </c>
      <c r="J21" s="0" t="n">
        <v>2061.506</v>
      </c>
      <c r="K21" s="0" t="n">
        <v>3444.508</v>
      </c>
      <c r="L21" s="0" t="n">
        <v>1333.139</v>
      </c>
      <c r="M21" s="0" t="n">
        <v>48380.726</v>
      </c>
      <c r="N21" s="0" t="n">
        <v>5435.334</v>
      </c>
      <c r="O21" s="0" t="n">
        <v>115.105</v>
      </c>
      <c r="P21" s="0" t="n">
        <v>115.188</v>
      </c>
      <c r="Q21" s="0" t="n">
        <v>1049.515</v>
      </c>
      <c r="R21" s="0" t="n">
        <v>1151.764</v>
      </c>
      <c r="S21" s="0" t="n">
        <v>4725.404</v>
      </c>
      <c r="T21" s="0" t="n">
        <v>6061.748</v>
      </c>
      <c r="U21" s="0" t="n">
        <v>3574.63</v>
      </c>
      <c r="V21" s="0" t="n">
        <v>133378.108</v>
      </c>
      <c r="W21" s="0" t="n">
        <v>397.288</v>
      </c>
      <c r="X21" s="0" t="n">
        <v>1016.347</v>
      </c>
      <c r="Y21" s="0" t="n">
        <v>115.105</v>
      </c>
      <c r="Z21" s="0" t="n">
        <v>1208.881</v>
      </c>
      <c r="AA21" s="0" t="n">
        <f aca="false">H21*x_c_F+I21*x_c_CC+J21*x_c_DC+K21*x_c_HCC+L21*x_c_PLT+M21*x_c_SVRn+N21*x_c_SVRcc+O21*x_c_LT+P21*x_c_LT1</f>
        <v>405603692.470708</v>
      </c>
      <c r="AB21" s="0" t="n">
        <f aca="false">C21*x_c_DAA</f>
        <v>76983424</v>
      </c>
      <c r="AC21" s="0" t="n">
        <f aca="false">C21*x_c_MON</f>
        <v>19499975.3270171</v>
      </c>
      <c r="AD21" s="0" t="n">
        <f aca="false">D21*(1-x_testy)</f>
        <v>0</v>
      </c>
      <c r="AE21" s="0" t="n">
        <f aca="false">E21*(1-x_testy)</f>
        <v>0</v>
      </c>
      <c r="AF21" s="0" t="n">
        <f aca="false">F21*x_NAV</f>
        <v>0</v>
      </c>
      <c r="AG21" s="0" t="n">
        <f aca="false">G21*x_FIX*(1-x_testy)</f>
        <v>0</v>
      </c>
      <c r="AH21" s="0" t="n">
        <f aca="false">x_z_F*U21+(1-x_AGRI)*x_EMP*x_WLOSS*(x_PEN_K74*Q21+x_PEN_C22*R21)</f>
        <v>31050675.5040271</v>
      </c>
      <c r="AI21" s="0" t="n">
        <f aca="false">x_AGRI*x_EMP*x_WLOSS*(x_PEN_K74*Q21+x_PEN_C22*R21)</f>
        <v>1566628.29717939</v>
      </c>
      <c r="AJ21" s="0" t="n">
        <f aca="false">x_EMP*x_WAGE*(x_WLOSS*(Q21+R21)+S21)+U21*x_ABS_D*x_WAGE/365</f>
        <v>533769685.08055</v>
      </c>
      <c r="AK21" s="0" t="n">
        <f aca="false">AJ21*x_R_FUS</f>
        <v>168884728.359486</v>
      </c>
      <c r="AL21" s="0" t="n">
        <f aca="false">AJ21*x_R_NFZ</f>
        <v>41453087.5130406</v>
      </c>
      <c r="AM21" s="0" t="n">
        <f aca="false">AJ21*x_R_PIT</f>
        <v>35487236.5361228</v>
      </c>
      <c r="AN21" s="0" t="n">
        <f aca="false">AJ21*x_R_FP</f>
        <v>13611126.969554</v>
      </c>
      <c r="AO21" s="0" t="n">
        <f aca="false">AA21+AB21+AC21+AD21+AF21</f>
        <v>502087091.797725</v>
      </c>
      <c r="AP21" s="0" t="n">
        <f aca="false">AO21+AE21+AG21+AH21+AI21+AK21+AL21+AM21+AN21</f>
        <v>794140574.977135</v>
      </c>
      <c r="AQ21" s="0" t="n">
        <f aca="false">AO21+AE21+AG21+AJ21</f>
        <v>1035856776.87827</v>
      </c>
      <c r="AR21" s="0" t="n">
        <f aca="false">AB21+AC21+AD21+AF21</f>
        <v>96483399.3270171</v>
      </c>
      <c r="AS21" s="0" t="n">
        <f aca="false">AR21+AE21+AG21</f>
        <v>96483399.3270171</v>
      </c>
    </row>
    <row r="22" customFormat="false" ht="15" hidden="false" customHeight="false" outlineLevel="0" collapsed="false">
      <c r="A22" s="0" t="n">
        <v>2045</v>
      </c>
      <c r="B22" s="0" t="n">
        <v>19</v>
      </c>
      <c r="C22" s="0" t="n">
        <v>3382.4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5177.753</v>
      </c>
      <c r="I22" s="0" t="n">
        <v>793.73</v>
      </c>
      <c r="J22" s="0" t="n">
        <v>2054.955</v>
      </c>
      <c r="K22" s="0" t="n">
        <v>3420.612</v>
      </c>
      <c r="L22" s="0" t="n">
        <v>1324.129</v>
      </c>
      <c r="M22" s="0" t="n">
        <v>50300.678</v>
      </c>
      <c r="N22" s="0" t="n">
        <v>5614.162</v>
      </c>
      <c r="O22" s="0" t="n">
        <v>114.685</v>
      </c>
      <c r="P22" s="0" t="n">
        <v>114.895</v>
      </c>
      <c r="Q22" s="0" t="n">
        <v>1095.9</v>
      </c>
      <c r="R22" s="0" t="n">
        <v>1212.212</v>
      </c>
      <c r="S22" s="0" t="n">
        <v>5115.729</v>
      </c>
      <c r="T22" s="0" t="n">
        <v>5971.484</v>
      </c>
      <c r="U22" s="0" t="n">
        <v>3627.619</v>
      </c>
      <c r="V22" s="0" t="n">
        <v>134417.026</v>
      </c>
      <c r="W22" s="0" t="n">
        <v>392.88</v>
      </c>
      <c r="X22" s="0" t="n">
        <v>1005.445</v>
      </c>
      <c r="Y22" s="0" t="n">
        <v>114.685</v>
      </c>
      <c r="Z22" s="0" t="n">
        <v>1201.937</v>
      </c>
      <c r="AA22" s="0" t="n">
        <f aca="false">H22*x_c_F+I22*x_c_CC+J22*x_c_DC+K22*x_c_HCC+L22*x_c_PLT+M22*x_c_SVRn+N22*x_c_SVRcc+O22*x_c_LT+P22*x_c_LT1</f>
        <v>404891136.303551</v>
      </c>
      <c r="AB22" s="0" t="n">
        <f aca="false">C22*x_c_DAA</f>
        <v>76983424</v>
      </c>
      <c r="AC22" s="0" t="n">
        <f aca="false">C22*x_c_MON</f>
        <v>19499975.3270171</v>
      </c>
      <c r="AD22" s="0" t="n">
        <f aca="false">D22*(1-x_testy)</f>
        <v>0</v>
      </c>
      <c r="AE22" s="0" t="n">
        <f aca="false">E22*(1-x_testy)</f>
        <v>0</v>
      </c>
      <c r="AF22" s="0" t="n">
        <f aca="false">F22*x_NAV</f>
        <v>0</v>
      </c>
      <c r="AG22" s="0" t="n">
        <f aca="false">G22*x_FIX*(1-x_testy)</f>
        <v>0</v>
      </c>
      <c r="AH22" s="0" t="n">
        <f aca="false">x_z_F*U22+(1-x_AGRI)*x_EMP*x_WLOSS*(x_PEN_K74*Q22+x_PEN_C22*R22)</f>
        <v>32316146.6637541</v>
      </c>
      <c r="AI22" s="0" t="n">
        <f aca="false">x_AGRI*x_EMP*x_WLOSS*(x_PEN_K74*Q22+x_PEN_C22*R22)</f>
        <v>1643072.75869088</v>
      </c>
      <c r="AJ22" s="0" t="n">
        <f aca="false">x_EMP*x_WAGE*(x_WLOSS*(Q22+R22)+S22)+U22*x_ABS_D*x_WAGE/365</f>
        <v>573046913.598183</v>
      </c>
      <c r="AK22" s="0" t="n">
        <f aca="false">AJ22*x_R_FUS</f>
        <v>181312043.462465</v>
      </c>
      <c r="AL22" s="0" t="n">
        <f aca="false">AJ22*x_R_NFZ</f>
        <v>44503396.3569485</v>
      </c>
      <c r="AM22" s="0" t="n">
        <f aca="false">AJ22*x_R_PIT</f>
        <v>38098550.6250417</v>
      </c>
      <c r="AN22" s="0" t="n">
        <f aca="false">AJ22*x_R_FP</f>
        <v>14612696.2967537</v>
      </c>
      <c r="AO22" s="0" t="n">
        <f aca="false">AA22+AB22+AC22+AD22+AF22</f>
        <v>501374535.630568</v>
      </c>
      <c r="AP22" s="0" t="n">
        <f aca="false">AO22+AE22+AG22+AH22+AI22+AK22+AL22+AM22+AN22</f>
        <v>813860441.794222</v>
      </c>
      <c r="AQ22" s="0" t="n">
        <f aca="false">AO22+AE22+AG22+AJ22</f>
        <v>1074421449.22875</v>
      </c>
      <c r="AR22" s="0" t="n">
        <f aca="false">AB22+AC22+AD22+AF22</f>
        <v>96483399.3270171</v>
      </c>
      <c r="AS22" s="0" t="n">
        <f aca="false">AR22+AE22+AG22</f>
        <v>96483399.3270171</v>
      </c>
    </row>
    <row r="23" customFormat="false" ht="15" hidden="false" customHeight="false" outlineLevel="0" collapsed="false">
      <c r="A23" s="0" t="n">
        <v>2046</v>
      </c>
      <c r="B23" s="0" t="n">
        <v>20</v>
      </c>
      <c r="C23" s="0" t="n">
        <v>3382.4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5096.071</v>
      </c>
      <c r="I23" s="0" t="n">
        <v>772.622</v>
      </c>
      <c r="J23" s="0" t="n">
        <v>2044.587</v>
      </c>
      <c r="K23" s="0" t="n">
        <v>3392.379</v>
      </c>
      <c r="L23" s="0" t="n">
        <v>1314.611</v>
      </c>
      <c r="M23" s="0" t="n">
        <v>52196.809</v>
      </c>
      <c r="N23" s="0" t="n">
        <v>5777.475</v>
      </c>
      <c r="O23" s="0" t="n">
        <v>114.069</v>
      </c>
      <c r="P23" s="0" t="n">
        <v>114.377</v>
      </c>
      <c r="Q23" s="0" t="n">
        <v>1144.868</v>
      </c>
      <c r="R23" s="0" t="n">
        <v>1275.542</v>
      </c>
      <c r="S23" s="0" t="n">
        <v>5524.157</v>
      </c>
      <c r="T23" s="0" t="n">
        <v>5868.692</v>
      </c>
      <c r="U23" s="0" t="n">
        <v>3664.088</v>
      </c>
      <c r="V23" s="0" t="n">
        <v>135497.953</v>
      </c>
      <c r="W23" s="0" t="n">
        <v>388.265</v>
      </c>
      <c r="X23" s="0" t="n">
        <v>994.275</v>
      </c>
      <c r="Y23" s="0" t="n">
        <v>114.069</v>
      </c>
      <c r="Z23" s="0" t="n">
        <v>1193.366</v>
      </c>
      <c r="AA23" s="0" t="n">
        <f aca="false">H23*x_c_F+I23*x_c_CC+J23*x_c_DC+K23*x_c_HCC+L23*x_c_PLT+M23*x_c_SVRn+N23*x_c_SVRcc+O23*x_c_LT+P23*x_c_LT1</f>
        <v>403642801.800612</v>
      </c>
      <c r="AB23" s="0" t="n">
        <f aca="false">C23*x_c_DAA</f>
        <v>76983424</v>
      </c>
      <c r="AC23" s="0" t="n">
        <f aca="false">C23*x_c_MON</f>
        <v>19499975.3270171</v>
      </c>
      <c r="AD23" s="0" t="n">
        <f aca="false">D23*(1-x_testy)</f>
        <v>0</v>
      </c>
      <c r="AE23" s="0" t="n">
        <f aca="false">E23*(1-x_testy)</f>
        <v>0</v>
      </c>
      <c r="AF23" s="0" t="n">
        <f aca="false">F23*x_NAV</f>
        <v>0</v>
      </c>
      <c r="AG23" s="0" t="n">
        <f aca="false">G23*x_FIX*(1-x_testy)</f>
        <v>0</v>
      </c>
      <c r="AH23" s="0" t="n">
        <f aca="false">x_z_F*U23+(1-x_AGRI)*x_EMP*x_WLOSS*(x_PEN_K74*Q23+x_PEN_C22*R23)</f>
        <v>33606527.8532144</v>
      </c>
      <c r="AI23" s="0" t="n">
        <f aca="false">x_AGRI*x_EMP*x_WLOSS*(x_PEN_K74*Q23+x_PEN_C22*R23)</f>
        <v>1723408.65264778</v>
      </c>
      <c r="AJ23" s="0" t="n">
        <f aca="false">x_EMP*x_WAGE*(x_WLOSS*(Q23+R23)+S23)+U23*x_ABS_D*x_WAGE/365</f>
        <v>614117946.40705</v>
      </c>
      <c r="AK23" s="0" t="n">
        <f aca="false">AJ23*x_R_FUS</f>
        <v>194306918.243191</v>
      </c>
      <c r="AL23" s="0" t="n">
        <f aca="false">AJ23*x_R_NFZ</f>
        <v>47693013.8359179</v>
      </c>
      <c r="AM23" s="0" t="n">
        <f aca="false">AJ23*x_R_PIT</f>
        <v>40829124.3103029</v>
      </c>
      <c r="AN23" s="0" t="n">
        <f aca="false">AJ23*x_R_FP</f>
        <v>15660007.6333798</v>
      </c>
      <c r="AO23" s="0" t="n">
        <f aca="false">AA23+AB23+AC23+AD23+AF23</f>
        <v>500126201.127629</v>
      </c>
      <c r="AP23" s="0" t="n">
        <f aca="false">AO23+AE23+AG23+AH23+AI23+AK23+AL23+AM23+AN23</f>
        <v>833945201.656282</v>
      </c>
      <c r="AQ23" s="0" t="n">
        <f aca="false">AO23+AE23+AG23+AJ23</f>
        <v>1114244147.53468</v>
      </c>
      <c r="AR23" s="0" t="n">
        <f aca="false">AB23+AC23+AD23+AF23</f>
        <v>96483399.3270171</v>
      </c>
      <c r="AS23" s="0" t="n">
        <f aca="false">AR23+AE23+AG23</f>
        <v>96483399.3270171</v>
      </c>
    </row>
    <row r="24" customFormat="false" ht="15" hidden="false" customHeight="false" outlineLevel="0" collapsed="false">
      <c r="A24" s="0" t="n">
        <v>2047</v>
      </c>
      <c r="B24" s="0" t="n">
        <v>21</v>
      </c>
      <c r="C24" s="0" t="n">
        <v>3382.4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5006.406</v>
      </c>
      <c r="I24" s="0" t="n">
        <v>749.989</v>
      </c>
      <c r="J24" s="0" t="n">
        <v>2031.445</v>
      </c>
      <c r="K24" s="0" t="n">
        <v>3361.658</v>
      </c>
      <c r="L24" s="0" t="n">
        <v>1304.769</v>
      </c>
      <c r="M24" s="0" t="n">
        <v>54076.687</v>
      </c>
      <c r="N24" s="0" t="n">
        <v>5926.739</v>
      </c>
      <c r="O24" s="0" t="n">
        <v>113.316</v>
      </c>
      <c r="P24" s="0" t="n">
        <v>113.693</v>
      </c>
      <c r="Q24" s="0" t="n">
        <v>1196.448</v>
      </c>
      <c r="R24" s="0" t="n">
        <v>1341.665</v>
      </c>
      <c r="S24" s="0" t="n">
        <v>5951.23</v>
      </c>
      <c r="T24" s="0" t="n">
        <v>5756.395</v>
      </c>
      <c r="U24" s="0" t="n">
        <v>3685.286</v>
      </c>
      <c r="V24" s="0" t="n">
        <v>136629.943</v>
      </c>
      <c r="W24" s="0" t="n">
        <v>383.65</v>
      </c>
      <c r="X24" s="0" t="n">
        <v>983.303</v>
      </c>
      <c r="Y24" s="0" t="n">
        <v>113.316</v>
      </c>
      <c r="Z24" s="0" t="n">
        <v>1183.787</v>
      </c>
      <c r="AA24" s="0" t="n">
        <f aca="false">H24*x_c_F+I24*x_c_CC+J24*x_c_DC+K24*x_c_HCC+L24*x_c_PLT+M24*x_c_SVRn+N24*x_c_SVRcc+O24*x_c_LT+P24*x_c_LT1</f>
        <v>402042439.473517</v>
      </c>
      <c r="AB24" s="0" t="n">
        <f aca="false">C24*x_c_DAA</f>
        <v>76983424</v>
      </c>
      <c r="AC24" s="0" t="n">
        <f aca="false">C24*x_c_MON</f>
        <v>19499975.3270171</v>
      </c>
      <c r="AD24" s="0" t="n">
        <f aca="false">D24*(1-x_testy)</f>
        <v>0</v>
      </c>
      <c r="AE24" s="0" t="n">
        <f aca="false">E24*(1-x_testy)</f>
        <v>0</v>
      </c>
      <c r="AF24" s="0" t="n">
        <f aca="false">F24*x_NAV</f>
        <v>0</v>
      </c>
      <c r="AG24" s="0" t="n">
        <f aca="false">G24*x_FIX*(1-x_testy)</f>
        <v>0</v>
      </c>
      <c r="AH24" s="0" t="n">
        <f aca="false">x_z_F*U24+(1-x_AGRI)*x_EMP*x_WLOSS*(x_PEN_K74*Q24+x_PEN_C22*R24)</f>
        <v>34923661.8654776</v>
      </c>
      <c r="AI24" s="0" t="n">
        <f aca="false">x_AGRI*x_EMP*x_WLOSS*(x_PEN_K74*Q24+x_PEN_C22*R24)</f>
        <v>1807588.05567475</v>
      </c>
      <c r="AJ24" s="0" t="n">
        <f aca="false">x_EMP*x_WAGE*(x_WLOSS*(Q24+R24)+S24)+U24*x_ABS_D*x_WAGE/365</f>
        <v>657029382.336467</v>
      </c>
      <c r="AK24" s="0" t="n">
        <f aca="false">AJ24*x_R_FUS</f>
        <v>207884096.571258</v>
      </c>
      <c r="AL24" s="0" t="n">
        <f aca="false">AJ24*x_R_NFZ</f>
        <v>51025558.8616323</v>
      </c>
      <c r="AM24" s="0" t="n">
        <f aca="false">AJ24*x_R_PIT</f>
        <v>43682055.6765758</v>
      </c>
      <c r="AN24" s="0" t="n">
        <f aca="false">AJ24*x_R_FP</f>
        <v>16754249.2495799</v>
      </c>
      <c r="AO24" s="0" t="n">
        <f aca="false">AA24+AB24+AC24+AD24+AF24</f>
        <v>498525838.800534</v>
      </c>
      <c r="AP24" s="0" t="n">
        <f aca="false">AO24+AE24+AG24+AH24+AI24+AK24+AL24+AM24+AN24</f>
        <v>854603049.080733</v>
      </c>
      <c r="AQ24" s="0" t="n">
        <f aca="false">AO24+AE24+AG24+AJ24</f>
        <v>1155555221.137</v>
      </c>
      <c r="AR24" s="0" t="n">
        <f aca="false">AB24+AC24+AD24+AF24</f>
        <v>96483399.3270171</v>
      </c>
      <c r="AS24" s="0" t="n">
        <f aca="false">AR24+AE24+AG24</f>
        <v>96483399.3270171</v>
      </c>
    </row>
    <row r="25" customFormat="false" ht="15" hidden="false" customHeight="false" outlineLevel="0" collapsed="false">
      <c r="A25" s="0" t="n">
        <v>2048</v>
      </c>
      <c r="B25" s="0" t="n">
        <v>22</v>
      </c>
      <c r="C25" s="0" t="n">
        <v>3382.4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4910.766</v>
      </c>
      <c r="I25" s="0" t="n">
        <v>726.606</v>
      </c>
      <c r="J25" s="0" t="n">
        <v>2016.506</v>
      </c>
      <c r="K25" s="0" t="n">
        <v>3330.073</v>
      </c>
      <c r="L25" s="0" t="n">
        <v>1294.788</v>
      </c>
      <c r="M25" s="0" t="n">
        <v>55946.78</v>
      </c>
      <c r="N25" s="0" t="n">
        <v>6063.545</v>
      </c>
      <c r="O25" s="0" t="n">
        <v>112.479</v>
      </c>
      <c r="P25" s="0" t="n">
        <v>112.898</v>
      </c>
      <c r="Q25" s="0" t="n">
        <v>1250.636</v>
      </c>
      <c r="R25" s="0" t="n">
        <v>1410.435</v>
      </c>
      <c r="S25" s="0" t="n">
        <v>6397.425</v>
      </c>
      <c r="T25" s="0" t="n">
        <v>5637.372</v>
      </c>
      <c r="U25" s="0" t="n">
        <v>3692.709</v>
      </c>
      <c r="V25" s="0" t="n">
        <v>137818.773</v>
      </c>
      <c r="W25" s="0" t="n">
        <v>379.2</v>
      </c>
      <c r="X25" s="0" t="n">
        <v>972.895</v>
      </c>
      <c r="Y25" s="0" t="n">
        <v>112.479</v>
      </c>
      <c r="Z25" s="0" t="n">
        <v>1173.734</v>
      </c>
      <c r="AA25" s="0" t="n">
        <f aca="false">H25*x_c_F+I25*x_c_CC+J25*x_c_DC+K25*x_c_HCC+L25*x_c_PLT+M25*x_c_SVRn+N25*x_c_SVRcc+O25*x_c_LT+P25*x_c_LT1</f>
        <v>400254940.109704</v>
      </c>
      <c r="AB25" s="0" t="n">
        <f aca="false">C25*x_c_DAA</f>
        <v>76983424</v>
      </c>
      <c r="AC25" s="0" t="n">
        <f aca="false">C25*x_c_MON</f>
        <v>19499975.3270171</v>
      </c>
      <c r="AD25" s="0" t="n">
        <f aca="false">D25*(1-x_testy)</f>
        <v>0</v>
      </c>
      <c r="AE25" s="0" t="n">
        <f aca="false">E25*(1-x_testy)</f>
        <v>0</v>
      </c>
      <c r="AF25" s="0" t="n">
        <f aca="false">F25*x_NAV</f>
        <v>0</v>
      </c>
      <c r="AG25" s="0" t="n">
        <f aca="false">G25*x_FIX*(1-x_testy)</f>
        <v>0</v>
      </c>
      <c r="AH25" s="0" t="n">
        <f aca="false">x_z_F*U25+(1-x_AGRI)*x_EMP*x_WLOSS*(x_PEN_K74*Q25+x_PEN_C22*R25)</f>
        <v>36268916.66567</v>
      </c>
      <c r="AI25" s="0" t="n">
        <f aca="false">x_AGRI*x_EMP*x_WLOSS*(x_PEN_K74*Q25+x_PEN_C22*R25)</f>
        <v>1895498.09398455</v>
      </c>
      <c r="AJ25" s="0" t="n">
        <f aca="false">x_EMP*x_WAGE*(x_WLOSS*(Q25+R25)+S25)+U25*x_ABS_D*x_WAGE/365</f>
        <v>701818082.073706</v>
      </c>
      <c r="AK25" s="0" t="n">
        <f aca="false">AJ25*x_R_FUS</f>
        <v>222055241.168121</v>
      </c>
      <c r="AL25" s="0" t="n">
        <f aca="false">AJ25*x_R_NFZ</f>
        <v>54503894.0719261</v>
      </c>
      <c r="AM25" s="0" t="n">
        <f aca="false">AJ25*x_R_PIT</f>
        <v>46659795.376201</v>
      </c>
      <c r="AN25" s="0" t="n">
        <f aca="false">AJ25*x_R_FP</f>
        <v>17896361.0928795</v>
      </c>
      <c r="AO25" s="0" t="n">
        <f aca="false">AA25+AB25+AC25+AD25+AF25</f>
        <v>496738339.436721</v>
      </c>
      <c r="AP25" s="0" t="n">
        <f aca="false">AO25+AE25+AG25+AH25+AI25+AK25+AL25+AM25+AN25</f>
        <v>876018045.905503</v>
      </c>
      <c r="AQ25" s="0" t="n">
        <f aca="false">AO25+AE25+AG25+AJ25</f>
        <v>1198556421.51043</v>
      </c>
      <c r="AR25" s="0" t="n">
        <f aca="false">AB25+AC25+AD25+AF25</f>
        <v>96483399.3270171</v>
      </c>
      <c r="AS25" s="0" t="n">
        <f aca="false">AR25+AE25+AG25</f>
        <v>96483399.3270171</v>
      </c>
    </row>
    <row r="26" customFormat="false" ht="15" hidden="false" customHeight="false" outlineLevel="0" collapsed="false">
      <c r="A26" s="0" t="n">
        <v>2049</v>
      </c>
      <c r="B26" s="0" t="n">
        <v>23</v>
      </c>
      <c r="C26" s="0" t="n">
        <v>3382.4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4810.944</v>
      </c>
      <c r="I26" s="0" t="n">
        <v>703.087</v>
      </c>
      <c r="J26" s="0" t="n">
        <v>2000.57</v>
      </c>
      <c r="K26" s="0" t="n">
        <v>3298.868</v>
      </c>
      <c r="L26" s="0" t="n">
        <v>1284.791</v>
      </c>
      <c r="M26" s="0" t="n">
        <v>57811.185</v>
      </c>
      <c r="N26" s="0" t="n">
        <v>6189.254</v>
      </c>
      <c r="O26" s="0" t="n">
        <v>111.596</v>
      </c>
      <c r="P26" s="0" t="n">
        <v>112.037</v>
      </c>
      <c r="Q26" s="0" t="n">
        <v>1307.396</v>
      </c>
      <c r="R26" s="0" t="n">
        <v>1481.652</v>
      </c>
      <c r="S26" s="0" t="n">
        <v>6863.149</v>
      </c>
      <c r="T26" s="0" t="n">
        <v>5514.031</v>
      </c>
      <c r="U26" s="0" t="n">
        <v>3688.012</v>
      </c>
      <c r="V26" s="0" t="n">
        <v>139064.909</v>
      </c>
      <c r="W26" s="0" t="n">
        <v>375.02</v>
      </c>
      <c r="X26" s="0" t="n">
        <v>963.27</v>
      </c>
      <c r="Y26" s="0" t="n">
        <v>111.596</v>
      </c>
      <c r="Z26" s="0" t="n">
        <v>1163.59</v>
      </c>
      <c r="AA26" s="0" t="n">
        <f aca="false">H26*x_c_F+I26*x_c_CC+J26*x_c_DC+K26*x_c_HCC+L26*x_c_PLT+M26*x_c_SVRn+N26*x_c_SVRcc+O26*x_c_LT+P26*x_c_LT1</f>
        <v>398406923.586116</v>
      </c>
      <c r="AB26" s="0" t="n">
        <f aca="false">C26*x_c_DAA</f>
        <v>76983424</v>
      </c>
      <c r="AC26" s="0" t="n">
        <f aca="false">C26*x_c_MON</f>
        <v>19499975.3270171</v>
      </c>
      <c r="AD26" s="0" t="n">
        <f aca="false">D26*(1-x_testy)</f>
        <v>0</v>
      </c>
      <c r="AE26" s="0" t="n">
        <f aca="false">E26*(1-x_testy)</f>
        <v>0</v>
      </c>
      <c r="AF26" s="0" t="n">
        <f aca="false">F26*x_NAV</f>
        <v>0</v>
      </c>
      <c r="AG26" s="0" t="n">
        <f aca="false">G26*x_FIX*(1-x_testy)</f>
        <v>0</v>
      </c>
      <c r="AH26" s="0" t="n">
        <f aca="false">x_z_F*U26+(1-x_AGRI)*x_EMP*x_WLOSS*(x_PEN_K74*Q26+x_PEN_C22*R26)</f>
        <v>37643048.7839449</v>
      </c>
      <c r="AI26" s="0" t="n">
        <f aca="false">x_AGRI*x_EMP*x_WLOSS*(x_PEN_K74*Q26+x_PEN_C22*R26)</f>
        <v>1986963.87236593</v>
      </c>
      <c r="AJ26" s="0" t="n">
        <f aca="false">x_EMP*x_WAGE*(x_WLOSS*(Q26+R26)+S26)+U26*x_ABS_D*x_WAGE/365</f>
        <v>748510702.114973</v>
      </c>
      <c r="AK26" s="0" t="n">
        <f aca="false">AJ26*x_R_FUS</f>
        <v>236828786.149177</v>
      </c>
      <c r="AL26" s="0" t="n">
        <f aca="false">AJ26*x_R_NFZ</f>
        <v>58130089.6369509</v>
      </c>
      <c r="AM26" s="0" t="n">
        <f aca="false">AJ26*x_R_PIT</f>
        <v>49764115.6443063</v>
      </c>
      <c r="AN26" s="0" t="n">
        <f aca="false">AJ26*x_R_FP</f>
        <v>19087022.9039318</v>
      </c>
      <c r="AO26" s="0" t="n">
        <f aca="false">AA26+AB26+AC26+AD26+AF26</f>
        <v>494890322.913133</v>
      </c>
      <c r="AP26" s="0" t="n">
        <f aca="false">AO26+AE26+AG26+AH26+AI26+AK26+AL26+AM26+AN26</f>
        <v>898330349.90381</v>
      </c>
      <c r="AQ26" s="0" t="n">
        <f aca="false">AO26+AE26+AG26+AJ26</f>
        <v>1243401025.02811</v>
      </c>
      <c r="AR26" s="0" t="n">
        <f aca="false">AB26+AC26+AD26+AF26</f>
        <v>96483399.3270171</v>
      </c>
      <c r="AS26" s="0" t="n">
        <f aca="false">AR26+AE26+AG26</f>
        <v>96483399.3270171</v>
      </c>
    </row>
    <row r="27" customFormat="false" ht="15" hidden="false" customHeight="false" outlineLevel="0" collapsed="false">
      <c r="A27" s="0" t="n">
        <v>2050</v>
      </c>
      <c r="B27" s="0" t="n">
        <v>24</v>
      </c>
      <c r="C27" s="0" t="n">
        <v>3382.4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4708.514</v>
      </c>
      <c r="I27" s="0" t="n">
        <v>679.894</v>
      </c>
      <c r="J27" s="0" t="n">
        <v>1984.269</v>
      </c>
      <c r="K27" s="0" t="n">
        <v>3268.948</v>
      </c>
      <c r="L27" s="0" t="n">
        <v>1274.85</v>
      </c>
      <c r="M27" s="0" t="n">
        <v>59672.03</v>
      </c>
      <c r="N27" s="0" t="n">
        <v>6305.008</v>
      </c>
      <c r="O27" s="0" t="n">
        <v>110.702</v>
      </c>
      <c r="P27" s="0" t="n">
        <v>111.149</v>
      </c>
      <c r="Q27" s="0" t="n">
        <v>1366.638</v>
      </c>
      <c r="R27" s="0" t="n">
        <v>1555.055</v>
      </c>
      <c r="S27" s="0" t="n">
        <v>7348.573</v>
      </c>
      <c r="T27" s="0" t="n">
        <v>5388.408</v>
      </c>
      <c r="U27" s="0" t="n">
        <v>3672.883</v>
      </c>
      <c r="V27" s="0" t="n">
        <v>140365.016</v>
      </c>
      <c r="W27" s="0" t="n">
        <v>371.182</v>
      </c>
      <c r="X27" s="0" t="n">
        <v>954.574</v>
      </c>
      <c r="Y27" s="0" t="n">
        <v>110.702</v>
      </c>
      <c r="Z27" s="0" t="n">
        <v>1153.676</v>
      </c>
      <c r="AA27" s="0" t="n">
        <f aca="false">H27*x_c_F+I27*x_c_CC+J27*x_c_DC+K27*x_c_HCC+L27*x_c_PLT+M27*x_c_SVRn+N27*x_c_SVRcc+O27*x_c_LT+P27*x_c_LT1</f>
        <v>396594446.455353</v>
      </c>
      <c r="AB27" s="0" t="n">
        <f aca="false">C27*x_c_DAA</f>
        <v>76983424</v>
      </c>
      <c r="AC27" s="0" t="n">
        <f aca="false">C27*x_c_MON</f>
        <v>19499975.3270171</v>
      </c>
      <c r="AD27" s="0" t="n">
        <f aca="false">D27*(1-x_testy)</f>
        <v>0</v>
      </c>
      <c r="AE27" s="0" t="n">
        <f aca="false">E27*(1-x_testy)</f>
        <v>0</v>
      </c>
      <c r="AF27" s="0" t="n">
        <f aca="false">F27*x_NAV</f>
        <v>0</v>
      </c>
      <c r="AG27" s="0" t="n">
        <f aca="false">G27*x_FIX*(1-x_testy)</f>
        <v>0</v>
      </c>
      <c r="AH27" s="0" t="n">
        <f aca="false">x_z_F*U27+(1-x_AGRI)*x_EMP*x_WLOSS*(x_PEN_K74*Q27+x_PEN_C22*R27)</f>
        <v>39045643.2324229</v>
      </c>
      <c r="AI27" s="0" t="n">
        <f aca="false">x_AGRI*x_EMP*x_WLOSS*(x_PEN_K74*Q27+x_PEN_C22*R27)</f>
        <v>2081728.57609488</v>
      </c>
      <c r="AJ27" s="0" t="n">
        <f aca="false">x_EMP*x_WAGE*(x_WLOSS*(Q27+R27)+S27)+U27*x_ABS_D*x_WAGE/365</f>
        <v>797107585.515737</v>
      </c>
      <c r="AK27" s="0" t="n">
        <f aca="false">AJ27*x_R_FUS</f>
        <v>252204840.057179</v>
      </c>
      <c r="AL27" s="0" t="n">
        <f aca="false">AJ27*x_R_NFZ</f>
        <v>61904172.1987376</v>
      </c>
      <c r="AM27" s="0" t="n">
        <f aca="false">AJ27*x_R_PIT</f>
        <v>52995039.2886512</v>
      </c>
      <c r="AN27" s="0" t="n">
        <f aca="false">AJ27*x_R_FP</f>
        <v>20326243.4306513</v>
      </c>
      <c r="AO27" s="0" t="n">
        <f aca="false">AA27+AB27+AC27+AD27+AF27</f>
        <v>493077845.78237</v>
      </c>
      <c r="AP27" s="0" t="n">
        <f aca="false">AO27+AE27+AG27+AH27+AI27+AK27+AL27+AM27+AN27</f>
        <v>921635512.566107</v>
      </c>
      <c r="AQ27" s="0" t="n">
        <f aca="false">AO27+AE27+AG27+AJ27</f>
        <v>1290185431.29811</v>
      </c>
      <c r="AR27" s="0" t="n">
        <f aca="false">AB27+AC27+AD27+AF27</f>
        <v>96483399.3270171</v>
      </c>
      <c r="AS27" s="0" t="n">
        <f aca="false">AR27+AE27+AG27</f>
        <v>96483399.3270171</v>
      </c>
    </row>
    <row r="28" customFormat="false" ht="15" hidden="false" customHeight="false" outlineLevel="0" collapsed="false">
      <c r="A28" s="0" t="n">
        <v>2051</v>
      </c>
      <c r="B28" s="0" t="n">
        <v>25</v>
      </c>
      <c r="C28" s="0" t="n">
        <v>3382.4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4604.825</v>
      </c>
      <c r="I28" s="0" t="n">
        <v>657.354</v>
      </c>
      <c r="J28" s="0" t="n">
        <v>1968.064</v>
      </c>
      <c r="K28" s="0" t="n">
        <v>3240.894</v>
      </c>
      <c r="L28" s="0" t="n">
        <v>1264.979</v>
      </c>
      <c r="M28" s="0" t="n">
        <v>61529.414</v>
      </c>
      <c r="N28" s="0" t="n">
        <v>6411.634</v>
      </c>
      <c r="O28" s="0" t="n">
        <v>109.817</v>
      </c>
      <c r="P28" s="0" t="n">
        <v>110.259</v>
      </c>
      <c r="Q28" s="0" t="n">
        <v>1428.224</v>
      </c>
      <c r="R28" s="0" t="n">
        <v>1630.331</v>
      </c>
      <c r="S28" s="0" t="n">
        <v>7853.679</v>
      </c>
      <c r="T28" s="0" t="n">
        <v>5262.18</v>
      </c>
      <c r="U28" s="0" t="n">
        <v>3648.978</v>
      </c>
      <c r="V28" s="0" t="n">
        <v>141712.591</v>
      </c>
      <c r="W28" s="0" t="n">
        <v>367.712</v>
      </c>
      <c r="X28" s="0" t="n">
        <v>946.836</v>
      </c>
      <c r="Y28" s="0" t="n">
        <v>109.817</v>
      </c>
      <c r="Z28" s="0" t="n">
        <v>1144.159</v>
      </c>
      <c r="AA28" s="0" t="n">
        <f aca="false">H28*x_c_F+I28*x_c_CC+J28*x_c_DC+K28*x_c_HCC+L28*x_c_PLT+M28*x_c_SVRn+N28*x_c_SVRcc+O28*x_c_LT+P28*x_c_LT1</f>
        <v>394878948.98203</v>
      </c>
      <c r="AB28" s="0" t="n">
        <f aca="false">C28*x_c_DAA</f>
        <v>76983424</v>
      </c>
      <c r="AC28" s="0" t="n">
        <f aca="false">C28*x_c_MON</f>
        <v>19499975.3270171</v>
      </c>
      <c r="AD28" s="0" t="n">
        <f aca="false">D28*(1-x_testy)</f>
        <v>0</v>
      </c>
      <c r="AE28" s="0" t="n">
        <f aca="false">E28*(1-x_testy)</f>
        <v>0</v>
      </c>
      <c r="AF28" s="0" t="n">
        <f aca="false">F28*x_NAV</f>
        <v>0</v>
      </c>
      <c r="AG28" s="0" t="n">
        <f aca="false">G28*x_FIX*(1-x_testy)</f>
        <v>0</v>
      </c>
      <c r="AH28" s="0" t="n">
        <f aca="false">x_z_F*U28+(1-x_AGRI)*x_EMP*x_WLOSS*(x_PEN_K74*Q28+x_PEN_C22*R28)</f>
        <v>40475142.958359</v>
      </c>
      <c r="AI28" s="0" t="n">
        <f aca="false">x_AGRI*x_EMP*x_WLOSS*(x_PEN_K74*Q28+x_PEN_C22*R28)</f>
        <v>2179464.2506788</v>
      </c>
      <c r="AJ28" s="0" t="n">
        <f aca="false">x_EMP*x_WAGE*(x_WLOSS*(Q28+R28)+S28)+U28*x_ABS_D*x_WAGE/365</f>
        <v>847587398.494201</v>
      </c>
      <c r="AK28" s="0" t="n">
        <f aca="false">AJ28*x_R_FUS</f>
        <v>268176652.883565</v>
      </c>
      <c r="AL28" s="0" t="n">
        <f aca="false">AJ28*x_R_NFZ</f>
        <v>65824484.9544582</v>
      </c>
      <c r="AM28" s="0" t="n">
        <f aca="false">AJ28*x_R_PIT</f>
        <v>56351147.950378</v>
      </c>
      <c r="AN28" s="0" t="n">
        <f aca="false">AJ28*x_R_FP</f>
        <v>21613478.6616021</v>
      </c>
      <c r="AO28" s="0" t="n">
        <f aca="false">AA28+AB28+AC28+AD28+AF28</f>
        <v>491362348.309047</v>
      </c>
      <c r="AP28" s="0" t="n">
        <f aca="false">AO28+AE28+AG28+AH28+AI28+AK28+AL28+AM28+AN28</f>
        <v>945982719.968088</v>
      </c>
      <c r="AQ28" s="0" t="n">
        <f aca="false">AO28+AE28+AG28+AJ28</f>
        <v>1338949746.80325</v>
      </c>
      <c r="AR28" s="0" t="n">
        <f aca="false">AB28+AC28+AD28+AF28</f>
        <v>96483399.3270171</v>
      </c>
      <c r="AS28" s="0" t="n">
        <f aca="false">AR28+AE28+AG28</f>
        <v>96483399.3270171</v>
      </c>
    </row>
    <row r="29" customFormat="false" ht="15" hidden="false" customHeight="false" outlineLevel="0" collapsed="false">
      <c r="A29" s="0" t="n">
        <v>2052</v>
      </c>
      <c r="B29" s="0" t="n">
        <v>26</v>
      </c>
      <c r="C29" s="0" t="n">
        <v>3382.4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4500.992</v>
      </c>
      <c r="I29" s="0" t="n">
        <v>635.67</v>
      </c>
      <c r="J29" s="0" t="n">
        <v>1952.236</v>
      </c>
      <c r="K29" s="0" t="n">
        <v>3214.976</v>
      </c>
      <c r="L29" s="0" t="n">
        <v>1255.119</v>
      </c>
      <c r="M29" s="0" t="n">
        <v>63381.407</v>
      </c>
      <c r="N29" s="0" t="n">
        <v>6509.573</v>
      </c>
      <c r="O29" s="0" t="n">
        <v>108.954</v>
      </c>
      <c r="P29" s="0" t="n">
        <v>109.385</v>
      </c>
      <c r="Q29" s="0" t="n">
        <v>1492.003</v>
      </c>
      <c r="R29" s="0" t="n">
        <v>1707.157</v>
      </c>
      <c r="S29" s="0" t="n">
        <v>8378.421</v>
      </c>
      <c r="T29" s="0" t="n">
        <v>5136.663</v>
      </c>
      <c r="U29" s="0" t="n">
        <v>3617.856</v>
      </c>
      <c r="V29" s="0" t="n">
        <v>143098.289</v>
      </c>
      <c r="W29" s="0" t="n">
        <v>364.608</v>
      </c>
      <c r="X29" s="0" t="n">
        <v>940.03</v>
      </c>
      <c r="Y29" s="0" t="n">
        <v>108.954</v>
      </c>
      <c r="Z29" s="0" t="n">
        <v>1135.147</v>
      </c>
      <c r="AA29" s="0" t="n">
        <f aca="false">H29*x_c_F+I29*x_c_CC+J29*x_c_DC+K29*x_c_HCC+L29*x_c_PLT+M29*x_c_SVRn+N29*x_c_SVRcc+O29*x_c_LT+P29*x_c_LT1</f>
        <v>393290347.036942</v>
      </c>
      <c r="AB29" s="0" t="n">
        <f aca="false">C29*x_c_DAA</f>
        <v>76983424</v>
      </c>
      <c r="AC29" s="0" t="n">
        <f aca="false">C29*x_c_MON</f>
        <v>19499975.3270171</v>
      </c>
      <c r="AD29" s="0" t="n">
        <f aca="false">D29*(1-x_testy)</f>
        <v>0</v>
      </c>
      <c r="AE29" s="0" t="n">
        <f aca="false">E29*(1-x_testy)</f>
        <v>0</v>
      </c>
      <c r="AF29" s="0" t="n">
        <f aca="false">F29*x_NAV</f>
        <v>0</v>
      </c>
      <c r="AG29" s="0" t="n">
        <f aca="false">G29*x_FIX*(1-x_testy)</f>
        <v>0</v>
      </c>
      <c r="AH29" s="0" t="n">
        <f aca="false">x_z_F*U29+(1-x_AGRI)*x_EMP*x_WLOSS*(x_PEN_K74*Q29+x_PEN_C22*R29)</f>
        <v>41929546.6306272</v>
      </c>
      <c r="AI29" s="0" t="n">
        <f aca="false">x_AGRI*x_EMP*x_WLOSS*(x_PEN_K74*Q29+x_PEN_C22*R29)</f>
        <v>2279826.7571504</v>
      </c>
      <c r="AJ29" s="0" t="n">
        <f aca="false">x_EMP*x_WAGE*(x_WLOSS*(Q29+R29)+S29)+U29*x_ABS_D*x_WAGE/365</f>
        <v>899924877.267572</v>
      </c>
      <c r="AK29" s="0" t="n">
        <f aca="false">AJ29*x_R_FUS</f>
        <v>284736231.16746</v>
      </c>
      <c r="AL29" s="0" t="n">
        <f aca="false">AJ29*x_R_NFZ</f>
        <v>69889065.8934769</v>
      </c>
      <c r="AM29" s="0" t="n">
        <f aca="false">AJ29*x_R_PIT</f>
        <v>59830761.9877594</v>
      </c>
      <c r="AN29" s="0" t="n">
        <f aca="false">AJ29*x_R_FP</f>
        <v>22948084.3703231</v>
      </c>
      <c r="AO29" s="0" t="n">
        <f aca="false">AA29+AB29+AC29+AD29+AF29</f>
        <v>489773746.363959</v>
      </c>
      <c r="AP29" s="0" t="n">
        <f aca="false">AO29+AE29+AG29+AH29+AI29+AK29+AL29+AM29+AN29</f>
        <v>971387263.170756</v>
      </c>
      <c r="AQ29" s="0" t="n">
        <f aca="false">AO29+AE29+AG29+AJ29</f>
        <v>1389698623.63153</v>
      </c>
      <c r="AR29" s="0" t="n">
        <f aca="false">AB29+AC29+AD29+AF29</f>
        <v>96483399.3270171</v>
      </c>
      <c r="AS29" s="0" t="n">
        <f aca="false">AR29+AE29+AG29</f>
        <v>96483399.3270171</v>
      </c>
    </row>
    <row r="30" customFormat="false" ht="15" hidden="false" customHeight="false" outlineLevel="0" collapsed="false">
      <c r="A30" s="0" t="n">
        <v>2053</v>
      </c>
      <c r="B30" s="0" t="n">
        <v>27</v>
      </c>
      <c r="C30" s="0" t="n">
        <v>3382.4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4397.908</v>
      </c>
      <c r="I30" s="0" t="n">
        <v>614.947</v>
      </c>
      <c r="J30" s="0" t="n">
        <v>1936.91</v>
      </c>
      <c r="K30" s="0" t="n">
        <v>3191.21</v>
      </c>
      <c r="L30" s="0" t="n">
        <v>1245.143</v>
      </c>
      <c r="M30" s="0" t="n">
        <v>65224.163</v>
      </c>
      <c r="N30" s="0" t="n">
        <v>6598.859</v>
      </c>
      <c r="O30" s="0" t="n">
        <v>108.117</v>
      </c>
      <c r="P30" s="0" t="n">
        <v>108.536</v>
      </c>
      <c r="Q30" s="0" t="n">
        <v>1557.777</v>
      </c>
      <c r="R30" s="0" t="n">
        <v>1785.168</v>
      </c>
      <c r="S30" s="0" t="n">
        <v>8922.471</v>
      </c>
      <c r="T30" s="0" t="n">
        <v>5012.855</v>
      </c>
      <c r="U30" s="0" t="n">
        <v>3580.92</v>
      </c>
      <c r="V30" s="0" t="n">
        <v>144510.718</v>
      </c>
      <c r="W30" s="0" t="n">
        <v>361.839</v>
      </c>
      <c r="X30" s="0" t="n">
        <v>934.056</v>
      </c>
      <c r="Y30" s="0" t="n">
        <v>108.117</v>
      </c>
      <c r="Z30" s="0" t="n">
        <v>1126.62</v>
      </c>
      <c r="AA30" s="0" t="n">
        <f aca="false">H30*x_c_F+I30*x_c_CC+J30*x_c_DC+K30*x_c_HCC+L30*x_c_PLT+M30*x_c_SVRn+N30*x_c_SVRcc+O30*x_c_LT+P30*x_c_LT1</f>
        <v>391830616.076429</v>
      </c>
      <c r="AB30" s="0" t="n">
        <f aca="false">C30*x_c_DAA</f>
        <v>76983424</v>
      </c>
      <c r="AC30" s="0" t="n">
        <f aca="false">C30*x_c_MON</f>
        <v>19499975.3270171</v>
      </c>
      <c r="AD30" s="0" t="n">
        <f aca="false">D30*(1-x_testy)</f>
        <v>0</v>
      </c>
      <c r="AE30" s="0" t="n">
        <f aca="false">E30*(1-x_testy)</f>
        <v>0</v>
      </c>
      <c r="AF30" s="0" t="n">
        <f aca="false">F30*x_NAV</f>
        <v>0</v>
      </c>
      <c r="AG30" s="0" t="n">
        <f aca="false">G30*x_FIX*(1-x_testy)</f>
        <v>0</v>
      </c>
      <c r="AH30" s="0" t="n">
        <f aca="false">x_z_F*U30+(1-x_AGRI)*x_EMP*x_WLOSS*(x_PEN_K74*Q30+x_PEN_C22*R30)</f>
        <v>43405580.1808893</v>
      </c>
      <c r="AI30" s="0" t="n">
        <f aca="false">x_AGRI*x_EMP*x_WLOSS*(x_PEN_K74*Q30+x_PEN_C22*R30)</f>
        <v>2382409.03012623</v>
      </c>
      <c r="AJ30" s="0" t="n">
        <f aca="false">x_EMP*x_WAGE*(x_WLOSS*(Q30+R30)+S30)+U30*x_ABS_D*x_WAGE/365</f>
        <v>954065389.299871</v>
      </c>
      <c r="AK30" s="0" t="n">
        <f aca="false">AJ30*x_R_FUS</f>
        <v>301866289.174479</v>
      </c>
      <c r="AL30" s="0" t="n">
        <f aca="false">AJ30*x_R_NFZ</f>
        <v>74093672.1984172</v>
      </c>
      <c r="AM30" s="0" t="n">
        <f aca="false">AJ30*x_R_PIT</f>
        <v>63430249.2017757</v>
      </c>
      <c r="AN30" s="0" t="n">
        <f aca="false">AJ30*x_R_FP</f>
        <v>24328667.4271467</v>
      </c>
      <c r="AO30" s="0" t="n">
        <f aca="false">AA30+AB30+AC30+AD30+AF30</f>
        <v>488314015.403446</v>
      </c>
      <c r="AP30" s="0" t="n">
        <f aca="false">AO30+AE30+AG30+AH30+AI30+AK30+AL30+AM30+AN30</f>
        <v>997820882.616281</v>
      </c>
      <c r="AQ30" s="0" t="n">
        <f aca="false">AO30+AE30+AG30+AJ30</f>
        <v>1442379404.70332</v>
      </c>
      <c r="AR30" s="0" t="n">
        <f aca="false">AB30+AC30+AD30+AF30</f>
        <v>96483399.3270171</v>
      </c>
      <c r="AS30" s="0" t="n">
        <f aca="false">AR30+AE30+AG30</f>
        <v>96483399.3270171</v>
      </c>
    </row>
    <row r="31" customFormat="false" ht="15" hidden="false" customHeight="false" outlineLevel="0" collapsed="false">
      <c r="A31" s="0" t="n">
        <v>2054</v>
      </c>
      <c r="B31" s="0" t="n">
        <v>28</v>
      </c>
      <c r="C31" s="0" t="n">
        <v>3382.4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4296.253</v>
      </c>
      <c r="I31" s="0" t="n">
        <v>595.217</v>
      </c>
      <c r="J31" s="0" t="n">
        <v>1922.075</v>
      </c>
      <c r="K31" s="0" t="n">
        <v>3169.406</v>
      </c>
      <c r="L31" s="0" t="n">
        <v>1234.849</v>
      </c>
      <c r="M31" s="0" t="n">
        <v>67051.982</v>
      </c>
      <c r="N31" s="0" t="n">
        <v>6679.099</v>
      </c>
      <c r="O31" s="0" t="n">
        <v>107.304</v>
      </c>
      <c r="P31" s="0" t="n">
        <v>107.71</v>
      </c>
      <c r="Q31" s="0" t="n">
        <v>1625.314</v>
      </c>
      <c r="R31" s="0" t="n">
        <v>1863.984</v>
      </c>
      <c r="S31" s="0" t="n">
        <v>9485.321</v>
      </c>
      <c r="T31" s="0" t="n">
        <v>4891.47</v>
      </c>
      <c r="U31" s="0" t="n">
        <v>3539.393</v>
      </c>
      <c r="V31" s="0" t="n">
        <v>145936.873</v>
      </c>
      <c r="W31" s="0" t="n">
        <v>359.362</v>
      </c>
      <c r="X31" s="0" t="n">
        <v>928.79</v>
      </c>
      <c r="Y31" s="0" t="n">
        <v>107.304</v>
      </c>
      <c r="Z31" s="0" t="n">
        <v>1118.525</v>
      </c>
      <c r="AA31" s="0" t="n">
        <f aca="false">H31*x_c_F+I31*x_c_CC+J31*x_c_DC+K31*x_c_HCC+L31*x_c_PLT+M31*x_c_SVRn+N31*x_c_SVRcc+O31*x_c_LT+P31*x_c_LT1</f>
        <v>390478026.781096</v>
      </c>
      <c r="AB31" s="0" t="n">
        <f aca="false">C31*x_c_DAA</f>
        <v>76983424</v>
      </c>
      <c r="AC31" s="0" t="n">
        <f aca="false">C31*x_c_MON</f>
        <v>19499975.3270171</v>
      </c>
      <c r="AD31" s="0" t="n">
        <f aca="false">D31*(1-x_testy)</f>
        <v>0</v>
      </c>
      <c r="AE31" s="0" t="n">
        <f aca="false">E31*(1-x_testy)</f>
        <v>0</v>
      </c>
      <c r="AF31" s="0" t="n">
        <f aca="false">F31*x_NAV</f>
        <v>0</v>
      </c>
      <c r="AG31" s="0" t="n">
        <f aca="false">G31*x_FIX*(1-x_testy)</f>
        <v>0</v>
      </c>
      <c r="AH31" s="0" t="n">
        <f aca="false">x_z_F*U31+(1-x_AGRI)*x_EMP*x_WLOSS*(x_PEN_K74*Q31+x_PEN_C22*R31)</f>
        <v>44899086.4750571</v>
      </c>
      <c r="AI31" s="0" t="n">
        <f aca="false">x_AGRI*x_EMP*x_WLOSS*(x_PEN_K74*Q31+x_PEN_C22*R31)</f>
        <v>2486770.09573806</v>
      </c>
      <c r="AJ31" s="0" t="n">
        <f aca="false">x_EMP*x_WAGE*(x_WLOSS*(Q31+R31)+S31)+U31*x_ABS_D*x_WAGE/365</f>
        <v>1009935746.81761</v>
      </c>
      <c r="AK31" s="0" t="n">
        <f aca="false">AJ31*x_R_FUS</f>
        <v>319543670.293091</v>
      </c>
      <c r="AL31" s="0" t="n">
        <f aca="false">AJ31*x_R_NFZ</f>
        <v>78432620.0336022</v>
      </c>
      <c r="AM31" s="0" t="n">
        <f aca="false">AJ31*x_R_PIT</f>
        <v>67144743.7637711</v>
      </c>
      <c r="AN31" s="0" t="n">
        <f aca="false">AJ31*x_R_FP</f>
        <v>25753361.543849</v>
      </c>
      <c r="AO31" s="0" t="n">
        <f aca="false">AA31+AB31+AC31+AD31+AF31</f>
        <v>486961426.108114</v>
      </c>
      <c r="AP31" s="0" t="n">
        <f aca="false">AO31+AE31+AG31+AH31+AI31+AK31+AL31+AM31+AN31</f>
        <v>1025221678.31322</v>
      </c>
      <c r="AQ31" s="0" t="n">
        <f aca="false">AO31+AE31+AG31+AJ31</f>
        <v>1496897172.92572</v>
      </c>
      <c r="AR31" s="0" t="n">
        <f aca="false">AB31+AC31+AD31+AF31</f>
        <v>96483399.3270171</v>
      </c>
      <c r="AS31" s="0" t="n">
        <f aca="false">AR31+AE31+AG31</f>
        <v>96483399.3270171</v>
      </c>
    </row>
    <row r="32" customFormat="false" ht="15" hidden="false" customHeight="false" outlineLevel="0" collapsed="false">
      <c r="A32" s="0" t="n">
        <v>2055</v>
      </c>
      <c r="B32" s="0" t="n">
        <v>29</v>
      </c>
      <c r="C32" s="0" t="n">
        <v>3382.4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4196.542</v>
      </c>
      <c r="I32" s="0" t="n">
        <v>576.474</v>
      </c>
      <c r="J32" s="0" t="n">
        <v>1907.661</v>
      </c>
      <c r="K32" s="0" t="n">
        <v>3149.288</v>
      </c>
      <c r="L32" s="0" t="n">
        <v>1224.005</v>
      </c>
      <c r="M32" s="0" t="n">
        <v>68858.227</v>
      </c>
      <c r="N32" s="0" t="n">
        <v>6749.673</v>
      </c>
      <c r="O32" s="0" t="n">
        <v>106.509</v>
      </c>
      <c r="P32" s="0" t="n">
        <v>106.906</v>
      </c>
      <c r="Q32" s="0" t="n">
        <v>1694.364</v>
      </c>
      <c r="R32" s="0" t="n">
        <v>1943.22</v>
      </c>
      <c r="S32" s="0" t="n">
        <v>10066.295</v>
      </c>
      <c r="T32" s="0" t="n">
        <v>4773.016</v>
      </c>
      <c r="U32" s="0" t="n">
        <v>3494.316</v>
      </c>
      <c r="V32" s="0" t="n">
        <v>147363.927</v>
      </c>
      <c r="W32" s="0" t="n">
        <v>357.131</v>
      </c>
      <c r="X32" s="0" t="n">
        <v>924.105</v>
      </c>
      <c r="Y32" s="0" t="n">
        <v>106.509</v>
      </c>
      <c r="Z32" s="0" t="n">
        <v>1110.774</v>
      </c>
      <c r="AA32" s="0" t="n">
        <f aca="false">H32*x_c_F+I32*x_c_CC+J32*x_c_DC+K32*x_c_HCC+L32*x_c_PLT+M32*x_c_SVRn+N32*x_c_SVRcc+O32*x_c_LT+P32*x_c_LT1</f>
        <v>389200209.201814</v>
      </c>
      <c r="AB32" s="0" t="n">
        <f aca="false">C32*x_c_DAA</f>
        <v>76983424</v>
      </c>
      <c r="AC32" s="0" t="n">
        <f aca="false">C32*x_c_MON</f>
        <v>19499975.3270171</v>
      </c>
      <c r="AD32" s="0" t="n">
        <f aca="false">D32*(1-x_testy)</f>
        <v>0</v>
      </c>
      <c r="AE32" s="0" t="n">
        <f aca="false">E32*(1-x_testy)</f>
        <v>0</v>
      </c>
      <c r="AF32" s="0" t="n">
        <f aca="false">F32*x_NAV</f>
        <v>0</v>
      </c>
      <c r="AG32" s="0" t="n">
        <f aca="false">G32*x_FIX*(1-x_testy)</f>
        <v>0</v>
      </c>
      <c r="AH32" s="0" t="n">
        <f aca="false">x_z_F*U32+(1-x_AGRI)*x_EMP*x_WLOSS*(x_PEN_K74*Q32+x_PEN_C22*R32)</f>
        <v>46405296.2057601</v>
      </c>
      <c r="AI32" s="0" t="n">
        <f aca="false">x_AGRI*x_EMP*x_WLOSS*(x_PEN_K74*Q32+x_PEN_C22*R32)</f>
        <v>2592453.24888819</v>
      </c>
      <c r="AJ32" s="0" t="n">
        <f aca="false">x_EMP*x_WAGE*(x_WLOSS*(Q32+R32)+S32)+U32*x_ABS_D*x_WAGE/365</f>
        <v>1067446645.89892</v>
      </c>
      <c r="AK32" s="0" t="n">
        <f aca="false">AJ32*x_R_FUS</f>
        <v>337740118.762417</v>
      </c>
      <c r="AL32" s="0" t="n">
        <f aca="false">AJ32*x_R_NFZ</f>
        <v>82898973.9671557</v>
      </c>
      <c r="AM32" s="0" t="n">
        <f aca="false">AJ32*x_R_PIT</f>
        <v>70968308.376279</v>
      </c>
      <c r="AN32" s="0" t="n">
        <f aca="false">AJ32*x_R_FP</f>
        <v>27219889.4704224</v>
      </c>
      <c r="AO32" s="0" t="n">
        <f aca="false">AA32+AB32+AC32+AD32+AF32</f>
        <v>485683608.528831</v>
      </c>
      <c r="AP32" s="0" t="n">
        <f aca="false">AO32+AE32+AG32+AH32+AI32+AK32+AL32+AM32+AN32</f>
        <v>1053508648.55975</v>
      </c>
      <c r="AQ32" s="0" t="n">
        <f aca="false">AO32+AE32+AG32+AJ32</f>
        <v>1553130254.42775</v>
      </c>
      <c r="AR32" s="0" t="n">
        <f aca="false">AB32+AC32+AD32+AF32</f>
        <v>96483399.3270171</v>
      </c>
      <c r="AS32" s="0" t="n">
        <f aca="false">AR32+AE32+AG32</f>
        <v>96483399.3270171</v>
      </c>
    </row>
    <row r="33" customFormat="false" ht="15" hidden="false" customHeight="false" outlineLevel="0" collapsed="false">
      <c r="A33" s="0" t="n">
        <v>2056</v>
      </c>
      <c r="B33" s="0" t="n">
        <v>30</v>
      </c>
      <c r="C33" s="0" t="n">
        <v>3382.4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4099.129</v>
      </c>
      <c r="I33" s="0" t="n">
        <v>558.674</v>
      </c>
      <c r="J33" s="0" t="n">
        <v>1893.517</v>
      </c>
      <c r="K33" s="0" t="n">
        <v>3130.477</v>
      </c>
      <c r="L33" s="0" t="n">
        <v>1212.316</v>
      </c>
      <c r="M33" s="0" t="n">
        <v>70634.725</v>
      </c>
      <c r="N33" s="0" t="n">
        <v>6809.59</v>
      </c>
      <c r="O33" s="0" t="n">
        <v>105.721</v>
      </c>
      <c r="P33" s="0" t="n">
        <v>106.115</v>
      </c>
      <c r="Q33" s="0" t="n">
        <v>1764.634</v>
      </c>
      <c r="R33" s="0" t="n">
        <v>2022.47</v>
      </c>
      <c r="S33" s="0" t="n">
        <v>10664.368</v>
      </c>
      <c r="T33" s="0" t="n">
        <v>4657.802</v>
      </c>
      <c r="U33" s="0" t="n">
        <v>3446.543</v>
      </c>
      <c r="V33" s="0" t="n">
        <v>148778.213</v>
      </c>
      <c r="W33" s="0" t="n">
        <v>355.089</v>
      </c>
      <c r="X33" s="0" t="n">
        <v>919.846</v>
      </c>
      <c r="Y33" s="0" t="n">
        <v>105.721</v>
      </c>
      <c r="Z33" s="0" t="n">
        <v>1103.218</v>
      </c>
      <c r="AA33" s="0" t="n">
        <f aca="false">H33*x_c_F+I33*x_c_CC+J33*x_c_DC+K33*x_c_HCC+L33*x_c_PLT+M33*x_c_SVRn+N33*x_c_SVRcc+O33*x_c_LT+P33*x_c_LT1</f>
        <v>387950117.31138</v>
      </c>
      <c r="AB33" s="0" t="n">
        <f aca="false">C33*x_c_DAA</f>
        <v>76983424</v>
      </c>
      <c r="AC33" s="0" t="n">
        <f aca="false">C33*x_c_MON</f>
        <v>19499975.3270171</v>
      </c>
      <c r="AD33" s="0" t="n">
        <f aca="false">D33*(1-x_testy)</f>
        <v>0</v>
      </c>
      <c r="AE33" s="0" t="n">
        <f aca="false">E33*(1-x_testy)</f>
        <v>0</v>
      </c>
      <c r="AF33" s="0" t="n">
        <f aca="false">F33*x_NAV</f>
        <v>0</v>
      </c>
      <c r="AG33" s="0" t="n">
        <f aca="false">G33*x_FIX*(1-x_testy)</f>
        <v>0</v>
      </c>
      <c r="AH33" s="0" t="n">
        <f aca="false">x_z_F*U33+(1-x_AGRI)*x_EMP*x_WLOSS*(x_PEN_K74*Q33+x_PEN_C22*R33)</f>
        <v>47918383.6357314</v>
      </c>
      <c r="AI33" s="0" t="n">
        <f aca="false">x_AGRI*x_EMP*x_WLOSS*(x_PEN_K74*Q33+x_PEN_C22*R33)</f>
        <v>2698957.36819714</v>
      </c>
      <c r="AJ33" s="0" t="n">
        <f aca="false">x_EMP*x_WAGE*(x_WLOSS*(Q33+R33)+S33)+U33*x_ABS_D*x_WAGE/365</f>
        <v>1126474977.50856</v>
      </c>
      <c r="AK33" s="0" t="n">
        <f aca="false">AJ33*x_R_FUS</f>
        <v>356416682.883708</v>
      </c>
      <c r="AL33" s="0" t="n">
        <f aca="false">AJ33*x_R_NFZ</f>
        <v>87483173.2282922</v>
      </c>
      <c r="AM33" s="0" t="n">
        <f aca="false">AJ33*x_R_PIT</f>
        <v>74892758.2367989</v>
      </c>
      <c r="AN33" s="0" t="n">
        <f aca="false">AJ33*x_R_FP</f>
        <v>28725111.9264683</v>
      </c>
      <c r="AO33" s="0" t="n">
        <f aca="false">AA33+AB33+AC33+AD33+AF33</f>
        <v>484433516.638397</v>
      </c>
      <c r="AP33" s="0" t="n">
        <f aca="false">AO33+AE33+AG33+AH33+AI33+AK33+AL33+AM33+AN33</f>
        <v>1082568583.91759</v>
      </c>
      <c r="AQ33" s="0" t="n">
        <f aca="false">AO33+AE33+AG33+AJ33</f>
        <v>1610908494.14696</v>
      </c>
      <c r="AR33" s="0" t="n">
        <f aca="false">AB33+AC33+AD33+AF33</f>
        <v>96483399.3270171</v>
      </c>
      <c r="AS33" s="0" t="n">
        <f aca="false">AR33+AE33+AG33</f>
        <v>96483399.3270171</v>
      </c>
    </row>
    <row r="34" customFormat="false" ht="15" hidden="false" customHeight="false" outlineLevel="0" collapsed="false">
      <c r="A34" s="0" t="n">
        <v>2057</v>
      </c>
      <c r="B34" s="0" t="n">
        <v>31</v>
      </c>
      <c r="C34" s="0" t="n">
        <v>3382.4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4003.778</v>
      </c>
      <c r="I34" s="0" t="n">
        <v>541.471</v>
      </c>
      <c r="J34" s="0" t="n">
        <v>1877.181</v>
      </c>
      <c r="K34" s="0" t="n">
        <v>3109.498</v>
      </c>
      <c r="L34" s="0" t="n">
        <v>1196.483</v>
      </c>
      <c r="M34" s="0" t="n">
        <v>72311.683</v>
      </c>
      <c r="N34" s="0" t="n">
        <v>6844.937</v>
      </c>
      <c r="O34" s="0" t="n">
        <v>104.666</v>
      </c>
      <c r="P34" s="0" t="n">
        <v>105.193</v>
      </c>
      <c r="Q34" s="0" t="n">
        <v>1835.8</v>
      </c>
      <c r="R34" s="0" t="n">
        <v>2101.327</v>
      </c>
      <c r="S34" s="0" t="n">
        <v>11278.205</v>
      </c>
      <c r="T34" s="0" t="n">
        <v>4545.25</v>
      </c>
      <c r="U34" s="0" t="n">
        <v>3396.605</v>
      </c>
      <c r="V34" s="0" t="n">
        <v>150097.552</v>
      </c>
      <c r="W34" s="0" t="n">
        <v>352.688</v>
      </c>
      <c r="X34" s="0" t="n">
        <v>914.564</v>
      </c>
      <c r="Y34" s="0" t="n">
        <v>104.666</v>
      </c>
      <c r="Z34" s="0" t="n">
        <v>1093.066</v>
      </c>
      <c r="AA34" s="0" t="n">
        <f aca="false">H34*x_c_F+I34*x_c_CC+J34*x_c_DC+K34*x_c_HCC+L34*x_c_PLT+M34*x_c_SVRn+N34*x_c_SVRcc+O34*x_c_LT+P34*x_c_LT1</f>
        <v>386175700.154548</v>
      </c>
      <c r="AB34" s="0" t="n">
        <f aca="false">C34*x_c_DAA</f>
        <v>76983424</v>
      </c>
      <c r="AC34" s="0" t="n">
        <f aca="false">C34*x_c_MON</f>
        <v>19499975.3270171</v>
      </c>
      <c r="AD34" s="0" t="n">
        <f aca="false">D34*(1-x_testy)</f>
        <v>0</v>
      </c>
      <c r="AE34" s="0" t="n">
        <f aca="false">E34*(1-x_testy)</f>
        <v>0</v>
      </c>
      <c r="AF34" s="0" t="n">
        <f aca="false">F34*x_NAV</f>
        <v>0</v>
      </c>
      <c r="AG34" s="0" t="n">
        <f aca="false">G34*x_FIX*(1-x_testy)</f>
        <v>0</v>
      </c>
      <c r="AH34" s="0" t="n">
        <f aca="false">x_z_F*U34+(1-x_AGRI)*x_EMP*x_WLOSS*(x_PEN_K74*Q34+x_PEN_C22*R34)</f>
        <v>49431536.0107934</v>
      </c>
      <c r="AI34" s="0" t="n">
        <f aca="false">x_AGRI*x_EMP*x_WLOSS*(x_PEN_K74*Q34+x_PEN_C22*R34)</f>
        <v>2805759.98531038</v>
      </c>
      <c r="AJ34" s="0" t="n">
        <f aca="false">x_EMP*x_WAGE*(x_WLOSS*(Q34+R34)+S34)+U34*x_ABS_D*x_WAGE/365</f>
        <v>1186868503.12566</v>
      </c>
      <c r="AK34" s="0" t="n">
        <f aca="false">AJ34*x_R_FUS</f>
        <v>375525194.388959</v>
      </c>
      <c r="AL34" s="0" t="n">
        <f aca="false">AJ34*x_R_NFZ</f>
        <v>92173394.8212418</v>
      </c>
      <c r="AM34" s="0" t="n">
        <f aca="false">AJ34*x_R_PIT</f>
        <v>78907971.8930428</v>
      </c>
      <c r="AN34" s="0" t="n">
        <f aca="false">AJ34*x_R_FP</f>
        <v>30265146.8297043</v>
      </c>
      <c r="AO34" s="0" t="n">
        <f aca="false">AA34+AB34+AC34+AD34+AF34</f>
        <v>482659099.481565</v>
      </c>
      <c r="AP34" s="0" t="n">
        <f aca="false">AO34+AE34+AG34+AH34+AI34+AK34+AL34+AM34+AN34</f>
        <v>1111768103.41062</v>
      </c>
      <c r="AQ34" s="0" t="n">
        <f aca="false">AO34+AE34+AG34+AJ34</f>
        <v>1669527602.60722</v>
      </c>
      <c r="AR34" s="0" t="n">
        <f aca="false">AB34+AC34+AD34+AF34</f>
        <v>96483399.3270171</v>
      </c>
      <c r="AS34" s="0" t="n">
        <f aca="false">AR34+AE34+AG34</f>
        <v>96483399.3270171</v>
      </c>
    </row>
    <row r="35" customFormat="false" ht="15" hidden="false" customHeight="false" outlineLevel="0" collapsed="false">
      <c r="A35" s="0" t="n">
        <v>2058</v>
      </c>
      <c r="B35" s="0" t="n">
        <v>32</v>
      </c>
      <c r="C35" s="0" t="n">
        <v>3382.4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3910.95</v>
      </c>
      <c r="I35" s="0" t="n">
        <v>525.196</v>
      </c>
      <c r="J35" s="0" t="n">
        <v>1861.73</v>
      </c>
      <c r="K35" s="0" t="n">
        <v>3090.38</v>
      </c>
      <c r="L35" s="0" t="n">
        <v>1180.285</v>
      </c>
      <c r="M35" s="0" t="n">
        <v>73963.086</v>
      </c>
      <c r="N35" s="0" t="n">
        <v>6871.937</v>
      </c>
      <c r="O35" s="0" t="n">
        <v>103.978</v>
      </c>
      <c r="P35" s="0" t="n">
        <v>104.322</v>
      </c>
      <c r="Q35" s="0" t="n">
        <v>1907.517</v>
      </c>
      <c r="R35" s="0" t="n">
        <v>2179.379</v>
      </c>
      <c r="S35" s="0" t="n">
        <v>11906.162</v>
      </c>
      <c r="T35" s="0" t="n">
        <v>4436.146</v>
      </c>
      <c r="U35" s="0" t="n">
        <v>3344.969</v>
      </c>
      <c r="V35" s="0" t="n">
        <v>151404.911</v>
      </c>
      <c r="W35" s="0" t="n">
        <v>351.116</v>
      </c>
      <c r="X35" s="0" t="n">
        <v>911.384</v>
      </c>
      <c r="Y35" s="0" t="n">
        <v>103.978</v>
      </c>
      <c r="Z35" s="0" t="n">
        <v>1086.656</v>
      </c>
      <c r="AA35" s="0" t="n">
        <f aca="false">H35*x_c_F+I35*x_c_CC+J35*x_c_DC+K35*x_c_HCC+L35*x_c_PLT+M35*x_c_SVRn+N35*x_c_SVRcc+O35*x_c_LT+P35*x_c_LT1</f>
        <v>384624911.043322</v>
      </c>
      <c r="AB35" s="0" t="n">
        <f aca="false">C35*x_c_DAA</f>
        <v>76983424</v>
      </c>
      <c r="AC35" s="0" t="n">
        <f aca="false">C35*x_c_MON</f>
        <v>19499975.3270171</v>
      </c>
      <c r="AD35" s="0" t="n">
        <f aca="false">D35*(1-x_testy)</f>
        <v>0</v>
      </c>
      <c r="AE35" s="0" t="n">
        <f aca="false">E35*(1-x_testy)</f>
        <v>0</v>
      </c>
      <c r="AF35" s="0" t="n">
        <f aca="false">F35*x_NAV</f>
        <v>0</v>
      </c>
      <c r="AG35" s="0" t="n">
        <f aca="false">G35*x_FIX*(1-x_testy)</f>
        <v>0</v>
      </c>
      <c r="AH35" s="0" t="n">
        <f aca="false">x_z_F*U35+(1-x_AGRI)*x_EMP*x_WLOSS*(x_PEN_K74*Q35+x_PEN_C22*R35)</f>
        <v>50937540.8516252</v>
      </c>
      <c r="AI35" s="0" t="n">
        <f aca="false">x_AGRI*x_EMP*x_WLOSS*(x_PEN_K74*Q35+x_PEN_C22*R35)</f>
        <v>2912320.90786331</v>
      </c>
      <c r="AJ35" s="0" t="n">
        <f aca="false">x_EMP*x_WAGE*(x_WLOSS*(Q35+R35)+S35)+U35*x_ABS_D*x_WAGE/365</f>
        <v>1248447028.90634</v>
      </c>
      <c r="AK35" s="0" t="n">
        <f aca="false">AJ35*x_R_FUS</f>
        <v>395008639.945965</v>
      </c>
      <c r="AL35" s="0" t="n">
        <f aca="false">AJ35*x_R_NFZ</f>
        <v>96955644.711895</v>
      </c>
      <c r="AM35" s="0" t="n">
        <f aca="false">AJ35*x_R_PIT</f>
        <v>83001969.3061684</v>
      </c>
      <c r="AN35" s="0" t="n">
        <f aca="false">AJ35*x_R_FP</f>
        <v>31835399.2371116</v>
      </c>
      <c r="AO35" s="0" t="n">
        <f aca="false">AA35+AB35+AC35+AD35+AF35</f>
        <v>481108310.370339</v>
      </c>
      <c r="AP35" s="0" t="n">
        <f aca="false">AO35+AE35+AG35+AH35+AI35+AK35+AL35+AM35+AN35</f>
        <v>1141759825.33097</v>
      </c>
      <c r="AQ35" s="0" t="n">
        <f aca="false">AO35+AE35+AG35+AJ35</f>
        <v>1729555339.27668</v>
      </c>
      <c r="AR35" s="0" t="n">
        <f aca="false">AB35+AC35+AD35+AF35</f>
        <v>96483399.3270171</v>
      </c>
      <c r="AS35" s="0" t="n">
        <f aca="false">AR35+AE35+AG35</f>
        <v>96483399.3270171</v>
      </c>
    </row>
    <row r="36" customFormat="false" ht="15" hidden="false" customHeight="false" outlineLevel="0" collapsed="false">
      <c r="A36" s="0" t="n">
        <v>2059</v>
      </c>
      <c r="B36" s="0" t="n">
        <v>33</v>
      </c>
      <c r="C36" s="0" t="n">
        <v>3382.4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3821.256</v>
      </c>
      <c r="I36" s="0" t="n">
        <v>510.06</v>
      </c>
      <c r="J36" s="0" t="n">
        <v>1849.032</v>
      </c>
      <c r="K36" s="0" t="n">
        <v>3075.499</v>
      </c>
      <c r="L36" s="0" t="n">
        <v>1166.119</v>
      </c>
      <c r="M36" s="0" t="n">
        <v>75634.594</v>
      </c>
      <c r="N36" s="0" t="n">
        <v>6900.863</v>
      </c>
      <c r="O36" s="0" t="n">
        <v>103.241</v>
      </c>
      <c r="P36" s="0" t="n">
        <v>103.609</v>
      </c>
      <c r="Q36" s="0" t="n">
        <v>1480.899</v>
      </c>
      <c r="R36" s="0" t="n">
        <v>1869.032</v>
      </c>
      <c r="S36" s="0" t="n">
        <v>8043.357</v>
      </c>
      <c r="T36" s="0" t="n">
        <v>4331.315</v>
      </c>
      <c r="U36" s="0" t="n">
        <v>3203.49</v>
      </c>
      <c r="V36" s="0" t="n">
        <v>152750.488</v>
      </c>
      <c r="W36" s="0" t="n">
        <v>349.549</v>
      </c>
      <c r="X36" s="0" t="n">
        <v>908.136</v>
      </c>
      <c r="Y36" s="0" t="n">
        <v>103.241</v>
      </c>
      <c r="Z36" s="0" t="n">
        <v>1079.784</v>
      </c>
      <c r="AA36" s="0" t="n">
        <f aca="false">H36*x_c_F+I36*x_c_CC+J36*x_c_DC+K36*x_c_HCC+L36*x_c_PLT+M36*x_c_SVRn+N36*x_c_SVRcc+O36*x_c_LT+P36*x_c_LT1</f>
        <v>383478617.93154</v>
      </c>
      <c r="AB36" s="0" t="n">
        <f aca="false">C36*x_c_DAA</f>
        <v>76983424</v>
      </c>
      <c r="AC36" s="0" t="n">
        <f aca="false">C36*x_c_MON</f>
        <v>19499975.3270171</v>
      </c>
      <c r="AD36" s="0" t="n">
        <f aca="false">D36*(1-x_testy)</f>
        <v>0</v>
      </c>
      <c r="AE36" s="0" t="n">
        <f aca="false">E36*(1-x_testy)</f>
        <v>0</v>
      </c>
      <c r="AF36" s="0" t="n">
        <f aca="false">F36*x_NAV</f>
        <v>0</v>
      </c>
      <c r="AG36" s="0" t="n">
        <f aca="false">G36*x_FIX*(1-x_testy)</f>
        <v>0</v>
      </c>
      <c r="AH36" s="0" t="n">
        <f aca="false">x_z_F*U36+(1-x_AGRI)*x_EMP*x_WLOSS*(x_PEN_K74*Q36+x_PEN_C22*R36)</f>
        <v>42814839.736508</v>
      </c>
      <c r="AI36" s="0" t="n">
        <f aca="false">x_AGRI*x_EMP*x_WLOSS*(x_PEN_K74*Q36+x_PEN_C22*R36)</f>
        <v>2394651.74240163</v>
      </c>
      <c r="AJ36" s="0" t="n">
        <f aca="false">x_EMP*x_WAGE*(x_WLOSS*(Q36+R36)+S36)+U36*x_ABS_D*x_WAGE/365</f>
        <v>878385073.809189</v>
      </c>
      <c r="AK36" s="0" t="n">
        <f aca="false">AJ36*x_R_FUS</f>
        <v>277921037.353228</v>
      </c>
      <c r="AL36" s="0" t="n">
        <f aca="false">AJ36*x_R_NFZ</f>
        <v>68216263.2170954</v>
      </c>
      <c r="AM36" s="0" t="n">
        <f aca="false">AJ36*x_R_PIT</f>
        <v>58398705.9500436</v>
      </c>
      <c r="AN36" s="0" t="n">
        <f aca="false">AJ36*x_R_FP</f>
        <v>22398819.3821343</v>
      </c>
      <c r="AO36" s="0" t="n">
        <f aca="false">AA36+AB36+AC36+AD36+AF36</f>
        <v>479962017.258557</v>
      </c>
      <c r="AP36" s="0" t="n">
        <f aca="false">AO36+AE36+AG36+AH36+AI36+AK36+AL36+AM36+AN36</f>
        <v>952106334.639968</v>
      </c>
      <c r="AQ36" s="0" t="n">
        <f aca="false">AO36+AE36+AG36+AJ36</f>
        <v>1358347091.06775</v>
      </c>
      <c r="AR36" s="0" t="n">
        <f aca="false">AB36+AC36+AD36+AF36</f>
        <v>96483399.3270171</v>
      </c>
      <c r="AS36" s="0" t="n">
        <f aca="false">AR36+AE36+AG36</f>
        <v>96483399.3270171</v>
      </c>
    </row>
    <row r="37" customFormat="false" ht="15" hidden="false" customHeight="false" outlineLevel="0" collapsed="false">
      <c r="A37" s="0" t="n">
        <v>2060</v>
      </c>
      <c r="B37" s="0" t="n">
        <v>34</v>
      </c>
      <c r="C37" s="0" t="n">
        <v>3382.4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3734.477</v>
      </c>
      <c r="I37" s="0" t="n">
        <v>495.642</v>
      </c>
      <c r="J37" s="0" t="n">
        <v>1835.687</v>
      </c>
      <c r="K37" s="0" t="n">
        <v>3060.148</v>
      </c>
      <c r="L37" s="0" t="n">
        <v>1149.544</v>
      </c>
      <c r="M37" s="0" t="n">
        <v>77231.933</v>
      </c>
      <c r="N37" s="0" t="n">
        <v>6912.799</v>
      </c>
      <c r="O37" s="0" t="n">
        <v>102.474</v>
      </c>
      <c r="P37" s="0" t="n">
        <v>102.858</v>
      </c>
      <c r="Q37" s="0" t="n">
        <v>1016.995</v>
      </c>
      <c r="R37" s="0" t="n">
        <v>1518.024</v>
      </c>
      <c r="S37" s="0" t="n">
        <v>3858.267</v>
      </c>
      <c r="T37" s="0" t="n">
        <v>4230.118</v>
      </c>
      <c r="U37" s="0" t="n">
        <v>3050.049</v>
      </c>
      <c r="V37" s="0" t="n">
        <v>154026.828</v>
      </c>
      <c r="W37" s="0" t="n">
        <v>348.023</v>
      </c>
      <c r="X37" s="0" t="n">
        <v>904.909</v>
      </c>
      <c r="Y37" s="0" t="n">
        <v>102.474</v>
      </c>
      <c r="Z37" s="0" t="n">
        <v>1072.618</v>
      </c>
      <c r="AA37" s="0" t="n">
        <f aca="false">H37*x_c_F+I37*x_c_CC+J37*x_c_DC+K37*x_c_HCC+L37*x_c_PLT+M37*x_c_SVRn+N37*x_c_SVRcc+O37*x_c_LT+P37*x_c_LT1</f>
        <v>382122977.786781</v>
      </c>
      <c r="AB37" s="0" t="n">
        <f aca="false">C37*x_c_DAA</f>
        <v>76983424</v>
      </c>
      <c r="AC37" s="0" t="n">
        <f aca="false">C37*x_c_MON</f>
        <v>19499975.3270171</v>
      </c>
      <c r="AD37" s="0" t="n">
        <f aca="false">D37*(1-x_testy)</f>
        <v>0</v>
      </c>
      <c r="AE37" s="0" t="n">
        <f aca="false">E37*(1-x_testy)</f>
        <v>0</v>
      </c>
      <c r="AF37" s="0" t="n">
        <f aca="false">F37*x_NAV</f>
        <v>0</v>
      </c>
      <c r="AG37" s="0" t="n">
        <f aca="false">G37*x_FIX*(1-x_testy)</f>
        <v>0</v>
      </c>
      <c r="AH37" s="0" t="n">
        <f aca="false">x_z_F*U37+(1-x_AGRI)*x_EMP*x_WLOSS*(x_PEN_K74*Q37+x_PEN_C22*R37)</f>
        <v>33828444.8152008</v>
      </c>
      <c r="AI37" s="0" t="n">
        <f aca="false">x_AGRI*x_EMP*x_WLOSS*(x_PEN_K74*Q37+x_PEN_C22*R37)</f>
        <v>1821519.60766602</v>
      </c>
      <c r="AJ37" s="0" t="n">
        <f aca="false">x_EMP*x_WAGE*(x_WLOSS*(Q37+R37)+S37)+U37*x_ABS_D*x_WAGE/365</f>
        <v>476547188.603554</v>
      </c>
      <c r="AK37" s="0" t="n">
        <f aca="false">AJ37*x_R_FUS</f>
        <v>150779530.474164</v>
      </c>
      <c r="AL37" s="0" t="n">
        <f aca="false">AJ37*x_R_NFZ</f>
        <v>37009131.2141406</v>
      </c>
      <c r="AM37" s="0" t="n">
        <f aca="false">AJ37*x_R_PIT</f>
        <v>31682846.1324974</v>
      </c>
      <c r="AN37" s="0" t="n">
        <f aca="false">AJ37*x_R_FP</f>
        <v>12151953.3093906</v>
      </c>
      <c r="AO37" s="0" t="n">
        <f aca="false">AA37+AB37+AC37+AD37+AF37</f>
        <v>478606377.113798</v>
      </c>
      <c r="AP37" s="0" t="n">
        <f aca="false">AO37+AE37+AG37+AH37+AI37+AK37+AL37+AM37+AN37</f>
        <v>745879802.666858</v>
      </c>
      <c r="AQ37" s="0" t="n">
        <f aca="false">AO37+AE37+AG37+AJ37</f>
        <v>955153565.717352</v>
      </c>
      <c r="AR37" s="0" t="n">
        <f aca="false">AB37+AC37+AD37+AF37</f>
        <v>96483399.3270171</v>
      </c>
      <c r="AS37" s="0" t="n">
        <f aca="false">AR37+AE37+AG37</f>
        <v>96483399.3270171</v>
      </c>
    </row>
    <row r="38" customFormat="false" ht="15" hidden="false" customHeight="false" outlineLevel="0" collapsed="false">
      <c r="A38" s="0" t="n">
        <v>2061</v>
      </c>
      <c r="B38" s="0" t="n">
        <v>35</v>
      </c>
      <c r="C38" s="0" t="n">
        <v>3382.4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3650.654</v>
      </c>
      <c r="I38" s="0" t="n">
        <v>481.986</v>
      </c>
      <c r="J38" s="0" t="n">
        <v>1822.134</v>
      </c>
      <c r="K38" s="0" t="n">
        <v>3044.868</v>
      </c>
      <c r="L38" s="0" t="n">
        <v>1130.826</v>
      </c>
      <c r="M38" s="0" t="n">
        <v>78756.082</v>
      </c>
      <c r="N38" s="0" t="n">
        <v>6909.041</v>
      </c>
      <c r="O38" s="0" t="n">
        <v>101.708</v>
      </c>
      <c r="P38" s="0" t="n">
        <v>102.091</v>
      </c>
      <c r="Q38" s="0" t="n">
        <v>1014.402</v>
      </c>
      <c r="R38" s="0" t="n">
        <v>1514.373</v>
      </c>
      <c r="S38" s="0" t="n">
        <v>3848.493</v>
      </c>
      <c r="T38" s="0" t="n">
        <v>4132.64</v>
      </c>
      <c r="U38" s="0" t="n">
        <v>2975.35</v>
      </c>
      <c r="V38" s="0" t="n">
        <v>155237.53</v>
      </c>
      <c r="W38" s="0" t="n">
        <v>346.604</v>
      </c>
      <c r="X38" s="0" t="n">
        <v>901.855</v>
      </c>
      <c r="Y38" s="0" t="n">
        <v>101.708</v>
      </c>
      <c r="Z38" s="0" t="n">
        <v>1065.441</v>
      </c>
      <c r="AA38" s="0" t="n">
        <f aca="false">H38*x_c_F+I38*x_c_CC+J38*x_c_DC+K38*x_c_HCC+L38*x_c_PLT+M38*x_c_SVRn+N38*x_c_SVRcc+O38*x_c_LT+P38*x_c_LT1</f>
        <v>380624575.813671</v>
      </c>
      <c r="AB38" s="0" t="n">
        <f aca="false">C38*x_c_DAA</f>
        <v>76983424</v>
      </c>
      <c r="AC38" s="0" t="n">
        <f aca="false">C38*x_c_MON</f>
        <v>19499975.3270171</v>
      </c>
      <c r="AD38" s="0" t="n">
        <f aca="false">D38*(1-x_testy)</f>
        <v>0</v>
      </c>
      <c r="AE38" s="0" t="n">
        <f aca="false">E38*(1-x_testy)</f>
        <v>0</v>
      </c>
      <c r="AF38" s="0" t="n">
        <f aca="false">F38*x_NAV</f>
        <v>0</v>
      </c>
      <c r="AG38" s="0" t="n">
        <f aca="false">G38*x_FIX*(1-x_testy)</f>
        <v>0</v>
      </c>
      <c r="AH38" s="0" t="n">
        <f aca="false">x_z_F*U38+(1-x_AGRI)*x_EMP*x_WLOSS*(x_PEN_K74*Q38+x_PEN_C22*R38)</f>
        <v>33607113.7595497</v>
      </c>
      <c r="AI38" s="0" t="n">
        <f aca="false">x_AGRI*x_EMP*x_WLOSS*(x_PEN_K74*Q38+x_PEN_C22*R38)</f>
        <v>1817041.00742668</v>
      </c>
      <c r="AJ38" s="0" t="n">
        <f aca="false">x_EMP*x_WAGE*(x_WLOSS*(Q38+R38)+S38)+U38*x_ABS_D*x_WAGE/365</f>
        <v>475152972.117171</v>
      </c>
      <c r="AK38" s="0" t="n">
        <f aca="false">AJ38*x_R_FUS</f>
        <v>150338400.377873</v>
      </c>
      <c r="AL38" s="0" t="n">
        <f aca="false">AJ38*x_R_NFZ</f>
        <v>36900854.9675916</v>
      </c>
      <c r="AM38" s="0" t="n">
        <f aca="false">AJ38*x_R_PIT</f>
        <v>31590152.8012391</v>
      </c>
      <c r="AN38" s="0" t="n">
        <f aca="false">AJ38*x_R_FP</f>
        <v>12116400.7889879</v>
      </c>
      <c r="AO38" s="0" t="n">
        <f aca="false">AA38+AB38+AC38+AD38+AF38</f>
        <v>477107975.140689</v>
      </c>
      <c r="AP38" s="0" t="n">
        <f aca="false">AO38+AE38+AG38+AH38+AI38+AK38+AL38+AM38+AN38</f>
        <v>743477938.843356</v>
      </c>
      <c r="AQ38" s="0" t="n">
        <f aca="false">AO38+AE38+AG38+AJ38</f>
        <v>952260947.257859</v>
      </c>
      <c r="AR38" s="0" t="n">
        <f aca="false">AB38+AC38+AD38+AF38</f>
        <v>96483399.3270171</v>
      </c>
      <c r="AS38" s="0" t="n">
        <f aca="false">AR38+AE38+AG38</f>
        <v>96483399.3270171</v>
      </c>
    </row>
    <row r="39" customFormat="false" ht="15" hidden="false" customHeight="false" outlineLevel="0" collapsed="false">
      <c r="A39" s="0" t="n">
        <v>2062</v>
      </c>
      <c r="B39" s="0" t="n">
        <v>36</v>
      </c>
      <c r="C39" s="0" t="n">
        <v>3382.4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3569.921</v>
      </c>
      <c r="I39" s="0" t="n">
        <v>469.164</v>
      </c>
      <c r="J39" s="0" t="n">
        <v>1808.948</v>
      </c>
      <c r="K39" s="0" t="n">
        <v>3030.388</v>
      </c>
      <c r="L39" s="0" t="n">
        <v>1110.446</v>
      </c>
      <c r="M39" s="0" t="n">
        <v>80211.897</v>
      </c>
      <c r="N39" s="0" t="n">
        <v>6891.94</v>
      </c>
      <c r="O39" s="0" t="n">
        <v>100.978</v>
      </c>
      <c r="P39" s="0" t="n">
        <v>101.343</v>
      </c>
      <c r="Q39" s="0" t="n">
        <v>1011.958</v>
      </c>
      <c r="R39" s="0" t="n">
        <v>1510.958</v>
      </c>
      <c r="S39" s="0" t="n">
        <v>3839.13</v>
      </c>
      <c r="T39" s="0" t="n">
        <v>4039.084</v>
      </c>
      <c r="U39" s="0" t="n">
        <v>2903.779</v>
      </c>
      <c r="V39" s="0" t="n">
        <v>156391.027</v>
      </c>
      <c r="W39" s="0" t="n">
        <v>345.364</v>
      </c>
      <c r="X39" s="0" t="n">
        <v>899.158</v>
      </c>
      <c r="Y39" s="0" t="n">
        <v>100.978</v>
      </c>
      <c r="Z39" s="0" t="n">
        <v>1058.581</v>
      </c>
      <c r="AA39" s="0" t="n">
        <f aca="false">H39*x_c_F+I39*x_c_CC+J39*x_c_DC+K39*x_c_HCC+L39*x_c_PLT+M39*x_c_SVRn+N39*x_c_SVRcc+O39*x_c_LT+P39*x_c_LT1</f>
        <v>379078789.744293</v>
      </c>
      <c r="AB39" s="0" t="n">
        <f aca="false">C39*x_c_DAA</f>
        <v>76983424</v>
      </c>
      <c r="AC39" s="0" t="n">
        <f aca="false">C39*x_c_MON</f>
        <v>19499975.3270171</v>
      </c>
      <c r="AD39" s="0" t="n">
        <f aca="false">D39*(1-x_testy)</f>
        <v>0</v>
      </c>
      <c r="AE39" s="0" t="n">
        <f aca="false">E39*(1-x_testy)</f>
        <v>0</v>
      </c>
      <c r="AF39" s="0" t="n">
        <f aca="false">F39*x_NAV</f>
        <v>0</v>
      </c>
      <c r="AG39" s="0" t="n">
        <f aca="false">G39*x_FIX*(1-x_testy)</f>
        <v>0</v>
      </c>
      <c r="AH39" s="0" t="n">
        <f aca="false">x_z_F*U39+(1-x_AGRI)*x_EMP*x_WLOSS*(x_PEN_K74*Q39+x_PEN_C22*R39)</f>
        <v>33396406.3390966</v>
      </c>
      <c r="AI39" s="0" t="n">
        <f aca="false">x_AGRI*x_EMP*x_WLOSS*(x_PEN_K74*Q39+x_PEN_C22*R39)</f>
        <v>1812839.54053189</v>
      </c>
      <c r="AJ39" s="0" t="n">
        <f aca="false">x_EMP*x_WAGE*(x_WLOSS*(Q39+R39)+S39)+U39*x_ABS_D*x_WAGE/365</f>
        <v>473824040.008747</v>
      </c>
      <c r="AK39" s="0" t="n">
        <f aca="false">AJ39*x_R_FUS</f>
        <v>149917926.258768</v>
      </c>
      <c r="AL39" s="0" t="n">
        <f aca="false">AJ39*x_R_NFZ</f>
        <v>36797648.7711193</v>
      </c>
      <c r="AM39" s="0" t="n">
        <f aca="false">AJ39*x_R_PIT</f>
        <v>31501799.8479143</v>
      </c>
      <c r="AN39" s="0" t="n">
        <f aca="false">AJ39*x_R_FP</f>
        <v>12082513.0202231</v>
      </c>
      <c r="AO39" s="0" t="n">
        <f aca="false">AA39+AB39+AC39+AD39+AF39</f>
        <v>475562189.07131</v>
      </c>
      <c r="AP39" s="0" t="n">
        <f aca="false">AO39+AE39+AG39+AH39+AI39+AK39+AL39+AM39+AN39</f>
        <v>741071322.848963</v>
      </c>
      <c r="AQ39" s="0" t="n">
        <f aca="false">AO39+AE39+AG39+AJ39</f>
        <v>949386229.080058</v>
      </c>
      <c r="AR39" s="0" t="n">
        <f aca="false">AB39+AC39+AD39+AF39</f>
        <v>96483399.3270171</v>
      </c>
      <c r="AS39" s="0" t="n">
        <f aca="false">AR39+AE39+AG39</f>
        <v>96483399.3270171</v>
      </c>
    </row>
    <row r="40" customFormat="false" ht="15" hidden="false" customHeight="false" outlineLevel="0" collapsed="false">
      <c r="A40" s="0" t="n">
        <v>2063</v>
      </c>
      <c r="B40" s="0" t="n">
        <v>37</v>
      </c>
      <c r="C40" s="0" t="n">
        <v>3382.4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3492.519</v>
      </c>
      <c r="I40" s="0" t="n">
        <v>457.271</v>
      </c>
      <c r="J40" s="0" t="n">
        <v>1796.806</v>
      </c>
      <c r="K40" s="0" t="n">
        <v>3017.579</v>
      </c>
      <c r="L40" s="0" t="n">
        <v>1089.081</v>
      </c>
      <c r="M40" s="0" t="n">
        <v>81608.133</v>
      </c>
      <c r="N40" s="0" t="n">
        <v>6864.879</v>
      </c>
      <c r="O40" s="0" t="n">
        <v>100.325</v>
      </c>
      <c r="P40" s="0" t="n">
        <v>100.652</v>
      </c>
      <c r="Q40" s="0" t="n">
        <v>1009.666</v>
      </c>
      <c r="R40" s="0" t="n">
        <v>1507.782</v>
      </c>
      <c r="S40" s="0" t="n">
        <v>3830.222</v>
      </c>
      <c r="T40" s="0" t="n">
        <v>3949.789</v>
      </c>
      <c r="U40" s="0" t="n">
        <v>2835.434</v>
      </c>
      <c r="V40" s="0" t="n">
        <v>157500.283</v>
      </c>
      <c r="W40" s="0" t="n">
        <v>344.398</v>
      </c>
      <c r="X40" s="0" t="n">
        <v>897.052</v>
      </c>
      <c r="Y40" s="0" t="n">
        <v>100.325</v>
      </c>
      <c r="Z40" s="0" t="n">
        <v>1052.442</v>
      </c>
      <c r="AA40" s="0" t="n">
        <f aca="false">H40*x_c_F+I40*x_c_CC+J40*x_c_DC+K40*x_c_HCC+L40*x_c_PLT+M40*x_c_SVRn+N40*x_c_SVRcc+O40*x_c_LT+P40*x_c_LT1</f>
        <v>377605854.2895</v>
      </c>
      <c r="AB40" s="0" t="n">
        <f aca="false">C40*x_c_DAA</f>
        <v>76983424</v>
      </c>
      <c r="AC40" s="0" t="n">
        <f aca="false">C40*x_c_MON</f>
        <v>19499975.3270171</v>
      </c>
      <c r="AD40" s="0" t="n">
        <f aca="false">D40*(1-x_testy)</f>
        <v>0</v>
      </c>
      <c r="AE40" s="0" t="n">
        <f aca="false">E40*(1-x_testy)</f>
        <v>0</v>
      </c>
      <c r="AF40" s="0" t="n">
        <f aca="false">F40*x_NAV</f>
        <v>0</v>
      </c>
      <c r="AG40" s="0" t="n">
        <f aca="false">G40*x_FIX*(1-x_testy)</f>
        <v>0</v>
      </c>
      <c r="AH40" s="0" t="n">
        <f aca="false">x_z_F*U40+(1-x_AGRI)*x_EMP*x_WLOSS*(x_PEN_K74*Q40+x_PEN_C22*R40)</f>
        <v>33196588.4446691</v>
      </c>
      <c r="AI40" s="0" t="n">
        <f aca="false">x_AGRI*x_EMP*x_WLOSS*(x_PEN_K74*Q40+x_PEN_C22*R40)</f>
        <v>1808919.46448988</v>
      </c>
      <c r="AJ40" s="0" t="n">
        <f aca="false">x_EMP*x_WAGE*(x_WLOSS*(Q40+R40)+S40)+U40*x_ABS_D*x_WAGE/365</f>
        <v>472564759.721191</v>
      </c>
      <c r="AK40" s="0" t="n">
        <f aca="false">AJ40*x_R_FUS</f>
        <v>149519489.975785</v>
      </c>
      <c r="AL40" s="0" t="n">
        <f aca="false">AJ40*x_R_NFZ</f>
        <v>36699851.8047074</v>
      </c>
      <c r="AM40" s="0" t="n">
        <f aca="false">AJ40*x_R_PIT</f>
        <v>31418077.6383568</v>
      </c>
      <c r="AN40" s="0" t="n">
        <f aca="false">AJ40*x_R_FP</f>
        <v>12050401.3728904</v>
      </c>
      <c r="AO40" s="0" t="n">
        <f aca="false">AA40+AB40+AC40+AD40+AF40</f>
        <v>474089253.616517</v>
      </c>
      <c r="AP40" s="0" t="n">
        <f aca="false">AO40+AE40+AG40+AH40+AI40+AK40+AL40+AM40+AN40</f>
        <v>738782582.317415</v>
      </c>
      <c r="AQ40" s="0" t="n">
        <f aca="false">AO40+AE40+AG40+AJ40</f>
        <v>946654013.337707</v>
      </c>
      <c r="AR40" s="0" t="n">
        <f aca="false">AB40+AC40+AD40+AF40</f>
        <v>96483399.3270171</v>
      </c>
      <c r="AS40" s="0" t="n">
        <f aca="false">AR40+AE40+AG40</f>
        <v>96483399.3270171</v>
      </c>
    </row>
    <row r="41" customFormat="false" ht="15" hidden="false" customHeight="false" outlineLevel="0" collapsed="false">
      <c r="A41" s="0" t="n">
        <v>2064</v>
      </c>
      <c r="B41" s="0" t="n">
        <v>38</v>
      </c>
      <c r="C41" s="0" t="n">
        <v>3382.4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3418.799</v>
      </c>
      <c r="I41" s="0" t="n">
        <v>446.411</v>
      </c>
      <c r="J41" s="0" t="n">
        <v>1786.44</v>
      </c>
      <c r="K41" s="0" t="n">
        <v>3007.387</v>
      </c>
      <c r="L41" s="0" t="n">
        <v>1067.58</v>
      </c>
      <c r="M41" s="0" t="n">
        <v>82957.108</v>
      </c>
      <c r="N41" s="0" t="n">
        <v>6832.154</v>
      </c>
      <c r="O41" s="0" t="n">
        <v>99.791</v>
      </c>
      <c r="P41" s="0" t="n">
        <v>100.058</v>
      </c>
      <c r="Q41" s="0" t="n">
        <v>1007.533</v>
      </c>
      <c r="R41" s="0" t="n">
        <v>1504.847</v>
      </c>
      <c r="S41" s="0" t="n">
        <v>3821.813</v>
      </c>
      <c r="T41" s="0" t="n">
        <v>3865.211</v>
      </c>
      <c r="U41" s="0" t="n">
        <v>2770.509</v>
      </c>
      <c r="V41" s="0" t="n">
        <v>158581.869</v>
      </c>
      <c r="W41" s="0" t="n">
        <v>343.797</v>
      </c>
      <c r="X41" s="0" t="n">
        <v>895.764</v>
      </c>
      <c r="Y41" s="0" t="n">
        <v>99.791</v>
      </c>
      <c r="Z41" s="0" t="n">
        <v>1047.421</v>
      </c>
      <c r="AA41" s="0" t="n">
        <f aca="false">H41*x_c_F+I41*x_c_CC+J41*x_c_DC+K41*x_c_HCC+L41*x_c_PLT+M41*x_c_SVRn+N41*x_c_SVRcc+O41*x_c_LT+P41*x_c_LT1</f>
        <v>376342676.003565</v>
      </c>
      <c r="AB41" s="0" t="n">
        <f aca="false">C41*x_c_DAA</f>
        <v>76983424</v>
      </c>
      <c r="AC41" s="0" t="n">
        <f aca="false">C41*x_c_MON</f>
        <v>19499975.3270171</v>
      </c>
      <c r="AD41" s="0" t="n">
        <f aca="false">D41*(1-x_testy)</f>
        <v>0</v>
      </c>
      <c r="AE41" s="0" t="n">
        <f aca="false">E41*(1-x_testy)</f>
        <v>0</v>
      </c>
      <c r="AF41" s="0" t="n">
        <f aca="false">F41*x_NAV</f>
        <v>0</v>
      </c>
      <c r="AG41" s="0" t="n">
        <f aca="false">G41*x_FIX*(1-x_testy)</f>
        <v>0</v>
      </c>
      <c r="AH41" s="0" t="n">
        <f aca="false">x_z_F*U41+(1-x_AGRI)*x_EMP*x_WLOSS*(x_PEN_K74*Q41+x_PEN_C22*R41)</f>
        <v>33008152.111539</v>
      </c>
      <c r="AI41" s="0" t="n">
        <f aca="false">x_AGRI*x_EMP*x_WLOSS*(x_PEN_K74*Q41+x_PEN_C22*R41)</f>
        <v>1805286.93894042</v>
      </c>
      <c r="AJ41" s="0" t="n">
        <f aca="false">x_EMP*x_WAGE*(x_WLOSS*(Q41+R41)+S41)+U41*x_ABS_D*x_WAGE/365</f>
        <v>471379944.745702</v>
      </c>
      <c r="AK41" s="0" t="n">
        <f aca="false">AJ41*x_R_FUS</f>
        <v>149144614.51754</v>
      </c>
      <c r="AL41" s="0" t="n">
        <f aca="false">AJ41*x_R_NFZ</f>
        <v>36607837.888896</v>
      </c>
      <c r="AM41" s="0" t="n">
        <f aca="false">AJ41*x_R_PIT</f>
        <v>31339306.1935522</v>
      </c>
      <c r="AN41" s="0" t="n">
        <f aca="false">AJ41*x_R_FP</f>
        <v>12020188.5910154</v>
      </c>
      <c r="AO41" s="0" t="n">
        <f aca="false">AA41+AB41+AC41+AD41+AF41</f>
        <v>472826075.330582</v>
      </c>
      <c r="AP41" s="0" t="n">
        <f aca="false">AO41+AE41+AG41+AH41+AI41+AK41+AL41+AM41+AN41</f>
        <v>736751461.572065</v>
      </c>
      <c r="AQ41" s="0" t="n">
        <f aca="false">AO41+AE41+AG41+AJ41</f>
        <v>944206020.076284</v>
      </c>
      <c r="AR41" s="0" t="n">
        <f aca="false">AB41+AC41+AD41+AF41</f>
        <v>96483399.3270171</v>
      </c>
      <c r="AS41" s="0" t="n">
        <f aca="false">AR41+AE41+AG41</f>
        <v>96483399.3270171</v>
      </c>
    </row>
    <row r="42" customFormat="false" ht="15" hidden="false" customHeight="false" outlineLevel="0" collapsed="false">
      <c r="A42" s="0" t="n">
        <v>2065</v>
      </c>
      <c r="B42" s="0" t="n">
        <v>39</v>
      </c>
      <c r="C42" s="0" t="n">
        <v>3382.4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3349.189</v>
      </c>
      <c r="I42" s="0" t="n">
        <v>436.672</v>
      </c>
      <c r="J42" s="0" t="n">
        <v>1778.509</v>
      </c>
      <c r="K42" s="0" t="n">
        <v>3000.649</v>
      </c>
      <c r="L42" s="0" t="n">
        <v>1046.839</v>
      </c>
      <c r="M42" s="0" t="n">
        <v>84272.441</v>
      </c>
      <c r="N42" s="0" t="n">
        <v>6798.349</v>
      </c>
      <c r="O42" s="0" t="n">
        <v>99.41</v>
      </c>
      <c r="P42" s="0" t="n">
        <v>99.601</v>
      </c>
      <c r="Q42" s="0" t="n">
        <v>1005.561</v>
      </c>
      <c r="R42" s="0" t="n">
        <v>1502.152</v>
      </c>
      <c r="S42" s="0" t="n">
        <v>3813.935</v>
      </c>
      <c r="T42" s="0" t="n">
        <v>3785.861</v>
      </c>
      <c r="U42" s="0" t="n">
        <v>2709.279</v>
      </c>
      <c r="V42" s="0" t="n">
        <v>159652.646</v>
      </c>
      <c r="W42" s="0" t="n">
        <v>343.629</v>
      </c>
      <c r="X42" s="0" t="n">
        <v>895.474</v>
      </c>
      <c r="Y42" s="0" t="n">
        <v>99.41</v>
      </c>
      <c r="Z42" s="0" t="n">
        <v>1043.847</v>
      </c>
      <c r="AA42" s="0" t="n">
        <f aca="false">H42*x_c_F+I42*x_c_CC+J42*x_c_DC+K42*x_c_HCC+L42*x_c_PLT+M42*x_c_SVRn+N42*x_c_SVRcc+O42*x_c_LT+P42*x_c_LT1</f>
        <v>375418467.116901</v>
      </c>
      <c r="AB42" s="0" t="n">
        <f aca="false">C42*x_c_DAA</f>
        <v>76983424</v>
      </c>
      <c r="AC42" s="0" t="n">
        <f aca="false">C42*x_c_MON</f>
        <v>19499975.3270171</v>
      </c>
      <c r="AD42" s="0" t="n">
        <f aca="false">D42*(1-x_testy)</f>
        <v>0</v>
      </c>
      <c r="AE42" s="0" t="n">
        <f aca="false">E42*(1-x_testy)</f>
        <v>0</v>
      </c>
      <c r="AF42" s="0" t="n">
        <f aca="false">F42*x_NAV</f>
        <v>0</v>
      </c>
      <c r="AG42" s="0" t="n">
        <f aca="false">G42*x_FIX*(1-x_testy)</f>
        <v>0</v>
      </c>
      <c r="AH42" s="0" t="n">
        <f aca="false">x_z_F*U42+(1-x_AGRI)*x_EMP*x_WLOSS*(x_PEN_K74*Q42+x_PEN_C22*R42)</f>
        <v>32831671.3922069</v>
      </c>
      <c r="AI42" s="0" t="n">
        <f aca="false">x_AGRI*x_EMP*x_WLOSS*(x_PEN_K74*Q42+x_PEN_C22*R42)</f>
        <v>1801942.53749465</v>
      </c>
      <c r="AJ42" s="0" t="n">
        <f aca="false">x_EMP*x_WAGE*(x_WLOSS*(Q42+R42)+S42)+U42*x_ABS_D*x_WAGE/365</f>
        <v>470273185.88808</v>
      </c>
      <c r="AK42" s="0" t="n">
        <f aca="false">AJ42*x_R_FUS</f>
        <v>148794436.014989</v>
      </c>
      <c r="AL42" s="0" t="n">
        <f aca="false">AJ42*x_R_NFZ</f>
        <v>36521885.8892542</v>
      </c>
      <c r="AM42" s="0" t="n">
        <f aca="false">AJ42*x_R_PIT</f>
        <v>31265724.2452574</v>
      </c>
      <c r="AN42" s="0" t="n">
        <f aca="false">AJ42*x_R_FP</f>
        <v>11991966.240146</v>
      </c>
      <c r="AO42" s="0" t="n">
        <f aca="false">AA42+AB42+AC42+AD42+AF42</f>
        <v>471901866.443919</v>
      </c>
      <c r="AP42" s="0" t="n">
        <f aca="false">AO42+AE42+AG42+AH42+AI42+AK42+AL42+AM42+AN42</f>
        <v>735109492.763266</v>
      </c>
      <c r="AQ42" s="0" t="n">
        <f aca="false">AO42+AE42+AG42+AJ42</f>
        <v>942175052.331999</v>
      </c>
      <c r="AR42" s="0" t="n">
        <f aca="false">AB42+AC42+AD42+AF42</f>
        <v>96483399.3270171</v>
      </c>
      <c r="AS42" s="0" t="n">
        <f aca="false">AR42+AE42+AG42</f>
        <v>96483399.3270171</v>
      </c>
    </row>
    <row r="43" customFormat="false" ht="15" hidden="false" customHeight="false" outlineLevel="0" collapsed="false">
      <c r="A43" s="0" t="n">
        <v>2066</v>
      </c>
      <c r="B43" s="0" t="n">
        <v>40</v>
      </c>
      <c r="C43" s="0" t="n">
        <v>3382.4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3284.139</v>
      </c>
      <c r="I43" s="0" t="n">
        <v>428.109</v>
      </c>
      <c r="J43" s="0" t="n">
        <v>1773.512</v>
      </c>
      <c r="K43" s="0" t="n">
        <v>2997.982</v>
      </c>
      <c r="L43" s="0" t="n">
        <v>1027.695</v>
      </c>
      <c r="M43" s="0" t="n">
        <v>85567.266</v>
      </c>
      <c r="N43" s="0" t="n">
        <v>6767.824</v>
      </c>
      <c r="O43" s="0" t="n">
        <v>99.205</v>
      </c>
      <c r="P43" s="0" t="n">
        <v>99.307</v>
      </c>
      <c r="Q43" s="0" t="n">
        <v>1003.752</v>
      </c>
      <c r="R43" s="0" t="n">
        <v>1499.698</v>
      </c>
      <c r="S43" s="0" t="n">
        <v>3806.616</v>
      </c>
      <c r="T43" s="0" t="n">
        <v>3712.247</v>
      </c>
      <c r="U43" s="0" t="n">
        <v>2652.065</v>
      </c>
      <c r="V43" s="0" t="n">
        <v>160727.459</v>
      </c>
      <c r="W43" s="0" t="n">
        <v>343.932</v>
      </c>
      <c r="X43" s="0" t="n">
        <v>896.285</v>
      </c>
      <c r="Y43" s="0" t="n">
        <v>99.205</v>
      </c>
      <c r="Z43" s="0" t="n">
        <v>1041.954</v>
      </c>
      <c r="AA43" s="0" t="n">
        <f aca="false">H43*x_c_F+I43*x_c_CC+J43*x_c_DC+K43*x_c_HCC+L43*x_c_PLT+M43*x_c_SVRn+N43*x_c_SVRcc+O43*x_c_LT+P43*x_c_LT1</f>
        <v>374938379.843375</v>
      </c>
      <c r="AB43" s="0" t="n">
        <f aca="false">C43*x_c_DAA</f>
        <v>76983424</v>
      </c>
      <c r="AC43" s="0" t="n">
        <f aca="false">C43*x_c_MON</f>
        <v>19499975.3270171</v>
      </c>
      <c r="AD43" s="0" t="n">
        <f aca="false">D43*(1-x_testy)</f>
        <v>0</v>
      </c>
      <c r="AE43" s="0" t="n">
        <f aca="false">E43*(1-x_testy)</f>
        <v>0</v>
      </c>
      <c r="AF43" s="0" t="n">
        <f aca="false">F43*x_NAV</f>
        <v>0</v>
      </c>
      <c r="AG43" s="0" t="n">
        <f aca="false">G43*x_FIX*(1-x_testy)</f>
        <v>0</v>
      </c>
      <c r="AH43" s="0" t="n">
        <f aca="false">x_z_F*U43+(1-x_AGRI)*x_EMP*x_WLOSS*(x_PEN_K74*Q43+x_PEN_C22*R43)</f>
        <v>32667837.7529694</v>
      </c>
      <c r="AI43" s="0" t="n">
        <f aca="false">x_AGRI*x_EMP*x_WLOSS*(x_PEN_K74*Q43+x_PEN_C22*R43)</f>
        <v>1798888.34358218</v>
      </c>
      <c r="AJ43" s="0" t="n">
        <f aca="false">x_EMP*x_WAGE*(x_WLOSS*(Q43+R43)+S43)+U43*x_ABS_D*x_WAGE/365</f>
        <v>469247977.404552</v>
      </c>
      <c r="AK43" s="0" t="n">
        <f aca="false">AJ43*x_R_FUS</f>
        <v>148470060.0508</v>
      </c>
      <c r="AL43" s="0" t="n">
        <f aca="false">AJ43*x_R_NFZ</f>
        <v>36442267.1732149</v>
      </c>
      <c r="AM43" s="0" t="n">
        <f aca="false">AJ43*x_R_PIT</f>
        <v>31197564.1062111</v>
      </c>
      <c r="AN43" s="0" t="n">
        <f aca="false">AJ43*x_R_FP</f>
        <v>11965823.4238161</v>
      </c>
      <c r="AO43" s="0" t="n">
        <f aca="false">AA43+AB43+AC43+AD43+AF43</f>
        <v>471421779.170392</v>
      </c>
      <c r="AP43" s="0" t="n">
        <f aca="false">AO43+AE43+AG43+AH43+AI43+AK43+AL43+AM43+AN43</f>
        <v>733964220.020986</v>
      </c>
      <c r="AQ43" s="0" t="n">
        <f aca="false">AO43+AE43+AG43+AJ43</f>
        <v>940669756.574944</v>
      </c>
      <c r="AR43" s="0" t="n">
        <f aca="false">AB43+AC43+AD43+AF43</f>
        <v>96483399.3270171</v>
      </c>
      <c r="AS43" s="0" t="n">
        <f aca="false">AR43+AE43+AG43</f>
        <v>96483399.3270171</v>
      </c>
    </row>
    <row r="44" customFormat="false" ht="15" hidden="false" customHeight="false" outlineLevel="0" collapsed="false">
      <c r="A44" s="0" t="n">
        <v>2067</v>
      </c>
      <c r="B44" s="0" t="n">
        <v>41</v>
      </c>
      <c r="C44" s="0" t="n">
        <v>3382.4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3224.074</v>
      </c>
      <c r="I44" s="0" t="n">
        <v>420.731</v>
      </c>
      <c r="J44" s="0" t="n">
        <v>1771.713</v>
      </c>
      <c r="K44" s="0" t="n">
        <v>2999.67</v>
      </c>
      <c r="L44" s="0" t="n">
        <v>1010.826</v>
      </c>
      <c r="M44" s="0" t="n">
        <v>86852.16</v>
      </c>
      <c r="N44" s="0" t="n">
        <v>6744.157</v>
      </c>
      <c r="O44" s="0" t="n">
        <v>99.183</v>
      </c>
      <c r="P44" s="0" t="n">
        <v>99.194</v>
      </c>
      <c r="Q44" s="0" t="n">
        <v>1002.107</v>
      </c>
      <c r="R44" s="0" t="n">
        <v>1497.484</v>
      </c>
      <c r="S44" s="0" t="n">
        <v>3799.877</v>
      </c>
      <c r="T44" s="0" t="n">
        <v>3644.805</v>
      </c>
      <c r="U44" s="0" t="n">
        <v>2599.191</v>
      </c>
      <c r="V44" s="0" t="n">
        <v>161816.753</v>
      </c>
      <c r="W44" s="0" t="n">
        <v>344.701</v>
      </c>
      <c r="X44" s="0" t="n">
        <v>898.196</v>
      </c>
      <c r="Y44" s="0" t="n">
        <v>99.183</v>
      </c>
      <c r="Z44" s="0" t="n">
        <v>1041.821</v>
      </c>
      <c r="AA44" s="0" t="n">
        <f aca="false">H44*x_c_F+I44*x_c_CC+J44*x_c_DC+K44*x_c_HCC+L44*x_c_PLT+M44*x_c_SVRn+N44*x_c_SVRcc+O44*x_c_LT+P44*x_c_LT1</f>
        <v>374967431.799008</v>
      </c>
      <c r="AB44" s="0" t="n">
        <f aca="false">C44*x_c_DAA</f>
        <v>76983424</v>
      </c>
      <c r="AC44" s="0" t="n">
        <f aca="false">C44*x_c_MON</f>
        <v>19499975.3270171</v>
      </c>
      <c r="AD44" s="0" t="n">
        <f aca="false">D44*(1-x_testy)</f>
        <v>0</v>
      </c>
      <c r="AE44" s="0" t="n">
        <f aca="false">E44*(1-x_testy)</f>
        <v>0</v>
      </c>
      <c r="AF44" s="0" t="n">
        <f aca="false">F44*x_NAV</f>
        <v>0</v>
      </c>
      <c r="AG44" s="0" t="n">
        <f aca="false">G44*x_FIX*(1-x_testy)</f>
        <v>0</v>
      </c>
      <c r="AH44" s="0" t="n">
        <f aca="false">x_z_F*U44+(1-x_AGRI)*x_EMP*x_WLOSS*(x_PEN_K74*Q44+x_PEN_C22*R44)</f>
        <v>32517315.9361372</v>
      </c>
      <c r="AI44" s="0" t="n">
        <f aca="false">x_AGRI*x_EMP*x_WLOSS*(x_PEN_K74*Q44+x_PEN_C22*R44)</f>
        <v>1796124.26655397</v>
      </c>
      <c r="AJ44" s="0" t="n">
        <f aca="false">x_EMP*x_WAGE*(x_WLOSS*(Q44+R44)+S44)+U44*x_ABS_D*x_WAGE/365</f>
        <v>468307061.481866</v>
      </c>
      <c r="AK44" s="0" t="n">
        <f aca="false">AJ44*x_R_FUS</f>
        <v>148172354.252862</v>
      </c>
      <c r="AL44" s="0" t="n">
        <f aca="false">AJ44*x_R_NFZ</f>
        <v>36369194.7017432</v>
      </c>
      <c r="AM44" s="0" t="n">
        <f aca="false">AJ44*x_R_PIT</f>
        <v>31135008.0884337</v>
      </c>
      <c r="AN44" s="0" t="n">
        <f aca="false">AJ44*x_R_FP</f>
        <v>11941830.0677876</v>
      </c>
      <c r="AO44" s="0" t="n">
        <f aca="false">AA44+AB44+AC44+AD44+AF44</f>
        <v>471450831.126025</v>
      </c>
      <c r="AP44" s="0" t="n">
        <f aca="false">AO44+AE44+AG44+AH44+AI44+AK44+AL44+AM44+AN44</f>
        <v>733382658.439543</v>
      </c>
      <c r="AQ44" s="0" t="n">
        <f aca="false">AO44+AE44+AG44+AJ44</f>
        <v>939757892.607891</v>
      </c>
      <c r="AR44" s="0" t="n">
        <f aca="false">AB44+AC44+AD44+AF44</f>
        <v>96483399.3270171</v>
      </c>
      <c r="AS44" s="0" t="n">
        <f aca="false">AR44+AE44+AG44</f>
        <v>96483399.3270171</v>
      </c>
    </row>
    <row r="45" customFormat="false" ht="15" hidden="false" customHeight="false" outlineLevel="0" collapsed="false">
      <c r="A45" s="0" t="n">
        <v>2068</v>
      </c>
      <c r="B45" s="0" t="n">
        <v>42</v>
      </c>
      <c r="C45" s="0" t="n">
        <v>3382.4</v>
      </c>
      <c r="D45" s="0" t="n">
        <v>0</v>
      </c>
      <c r="E45" s="0" t="n">
        <v>0</v>
      </c>
      <c r="F45" s="0" t="n">
        <v>0</v>
      </c>
      <c r="G45" s="0" t="n">
        <v>0</v>
      </c>
      <c r="H45" s="0" t="n">
        <v>3169.347</v>
      </c>
      <c r="I45" s="0" t="n">
        <v>414.514</v>
      </c>
      <c r="J45" s="0" t="n">
        <v>1773.16</v>
      </c>
      <c r="K45" s="0" t="n">
        <v>3005.696</v>
      </c>
      <c r="L45" s="0" t="n">
        <v>996.741</v>
      </c>
      <c r="M45" s="0" t="n">
        <v>88135.026</v>
      </c>
      <c r="N45" s="0" t="n">
        <v>6730.08</v>
      </c>
      <c r="O45" s="0" t="n">
        <v>99.344</v>
      </c>
      <c r="P45" s="0" t="n">
        <v>99.264</v>
      </c>
      <c r="Q45" s="0" t="n">
        <v>1000.628</v>
      </c>
      <c r="R45" s="0" t="n">
        <v>1495.509</v>
      </c>
      <c r="S45" s="0" t="n">
        <v>3793.735</v>
      </c>
      <c r="T45" s="0" t="n">
        <v>3583.861</v>
      </c>
      <c r="U45" s="0" t="n">
        <v>2550.937</v>
      </c>
      <c r="V45" s="0" t="n">
        <v>162926.787</v>
      </c>
      <c r="W45" s="0" t="n">
        <v>345.903</v>
      </c>
      <c r="X45" s="0" t="n">
        <v>901.144</v>
      </c>
      <c r="Y45" s="0" t="n">
        <v>99.344</v>
      </c>
      <c r="Z45" s="0" t="n">
        <v>1043.445</v>
      </c>
      <c r="AA45" s="0" t="n">
        <f aca="false">H45*x_c_F+I45*x_c_CC+J45*x_c_DC+K45*x_c_HCC+L45*x_c_PLT+M45*x_c_SVRn+N45*x_c_SVRcc+O45*x_c_LT+P45*x_c_LT1</f>
        <v>375534932.912787</v>
      </c>
      <c r="AB45" s="0" t="n">
        <f aca="false">C45*x_c_DAA</f>
        <v>76983424</v>
      </c>
      <c r="AC45" s="0" t="n">
        <f aca="false">C45*x_c_MON</f>
        <v>19499975.3270171</v>
      </c>
      <c r="AD45" s="0" t="n">
        <f aca="false">D45*(1-x_testy)</f>
        <v>0</v>
      </c>
      <c r="AE45" s="0" t="n">
        <f aca="false">E45*(1-x_testy)</f>
        <v>0</v>
      </c>
      <c r="AF45" s="0" t="n">
        <f aca="false">F45*x_NAV</f>
        <v>0</v>
      </c>
      <c r="AG45" s="0" t="n">
        <f aca="false">G45*x_FIX*(1-x_testy)</f>
        <v>0</v>
      </c>
      <c r="AH45" s="0" t="n">
        <f aca="false">x_z_F*U45+(1-x_AGRI)*x_EMP*x_WLOSS*(x_PEN_K74*Q45+x_PEN_C22*R45)</f>
        <v>32380690.2737441</v>
      </c>
      <c r="AI45" s="0" t="n">
        <f aca="false">x_AGRI*x_EMP*x_WLOSS*(x_PEN_K74*Q45+x_PEN_C22*R45)</f>
        <v>1793650.88002119</v>
      </c>
      <c r="AJ45" s="0" t="n">
        <f aca="false">x_EMP*x_WAGE*(x_WLOSS*(Q45+R45)+S45)+U45*x_ABS_D*x_WAGE/365</f>
        <v>467452764.705444</v>
      </c>
      <c r="AK45" s="0" t="n">
        <f aca="false">AJ45*x_R_FUS</f>
        <v>147902054.752802</v>
      </c>
      <c r="AL45" s="0" t="n">
        <f aca="false">AJ45*x_R_NFZ</f>
        <v>36302849.1597895</v>
      </c>
      <c r="AM45" s="0" t="n">
        <f aca="false">AJ45*x_R_PIT</f>
        <v>31078210.8730347</v>
      </c>
      <c r="AN45" s="0" t="n">
        <f aca="false">AJ45*x_R_FP</f>
        <v>11920045.4999888</v>
      </c>
      <c r="AO45" s="0" t="n">
        <f aca="false">AA45+AB45+AC45+AD45+AF45</f>
        <v>472018332.239804</v>
      </c>
      <c r="AP45" s="0" t="n">
        <f aca="false">AO45+AE45+AG45+AH45+AI45+AK45+AL45+AM45+AN45</f>
        <v>733395833.679185</v>
      </c>
      <c r="AQ45" s="0" t="n">
        <f aca="false">AO45+AE45+AG45+AJ45</f>
        <v>939471096.945248</v>
      </c>
      <c r="AR45" s="0" t="n">
        <f aca="false">AB45+AC45+AD45+AF45</f>
        <v>96483399.3270171</v>
      </c>
      <c r="AS45" s="0" t="n">
        <f aca="false">AR45+AE45+AG45</f>
        <v>96483399.3270171</v>
      </c>
    </row>
    <row r="46" customFormat="false" ht="15" hidden="false" customHeight="false" outlineLevel="0" collapsed="false">
      <c r="A46" s="0" t="n">
        <v>2069</v>
      </c>
      <c r="B46" s="0" t="n">
        <v>43</v>
      </c>
      <c r="C46" s="0" t="n">
        <v>3382.4</v>
      </c>
      <c r="D46" s="0" t="n">
        <v>0</v>
      </c>
      <c r="E46" s="0" t="n">
        <v>0</v>
      </c>
      <c r="F46" s="0" t="n">
        <v>0</v>
      </c>
      <c r="G46" s="0" t="n">
        <v>0</v>
      </c>
      <c r="H46" s="0" t="n">
        <v>3120.213</v>
      </c>
      <c r="I46" s="0" t="n">
        <v>409.4</v>
      </c>
      <c r="J46" s="0" t="n">
        <v>1777.709</v>
      </c>
      <c r="K46" s="0" t="n">
        <v>3015.785</v>
      </c>
      <c r="L46" s="0" t="n">
        <v>985.773</v>
      </c>
      <c r="M46" s="0" t="n">
        <v>89421.059</v>
      </c>
      <c r="N46" s="0" t="n">
        <v>6727.463</v>
      </c>
      <c r="O46" s="0" t="n">
        <v>99.675</v>
      </c>
      <c r="P46" s="0" t="n">
        <v>99.509</v>
      </c>
      <c r="Q46" s="0" t="n">
        <v>999.313</v>
      </c>
      <c r="R46" s="0" t="n">
        <v>1493.77</v>
      </c>
      <c r="S46" s="0" t="n">
        <v>3788.197</v>
      </c>
      <c r="T46" s="0" t="n">
        <v>3529.613</v>
      </c>
      <c r="U46" s="0" t="n">
        <v>2507.51</v>
      </c>
      <c r="V46" s="0" t="n">
        <v>164060.061</v>
      </c>
      <c r="W46" s="0" t="n">
        <v>347.478</v>
      </c>
      <c r="X46" s="0" t="n">
        <v>904.996</v>
      </c>
      <c r="Y46" s="0" t="n">
        <v>99.675</v>
      </c>
      <c r="Z46" s="0" t="n">
        <v>1046.702</v>
      </c>
      <c r="AA46" s="0" t="n">
        <f aca="false">H46*x_c_F+I46*x_c_CC+J46*x_c_DC+K46*x_c_HCC+L46*x_c_PLT+M46*x_c_SVRn+N46*x_c_SVRcc+O46*x_c_LT+P46*x_c_LT1</f>
        <v>376635481.617352</v>
      </c>
      <c r="AB46" s="0" t="n">
        <f aca="false">C46*x_c_DAA</f>
        <v>76983424</v>
      </c>
      <c r="AC46" s="0" t="n">
        <f aca="false">C46*x_c_MON</f>
        <v>19499975.3270171</v>
      </c>
      <c r="AD46" s="0" t="n">
        <f aca="false">D46*(1-x_testy)</f>
        <v>0</v>
      </c>
      <c r="AE46" s="0" t="n">
        <f aca="false">E46*(1-x_testy)</f>
        <v>0</v>
      </c>
      <c r="AF46" s="0" t="n">
        <f aca="false">F46*x_NAV</f>
        <v>0</v>
      </c>
      <c r="AG46" s="0" t="n">
        <f aca="false">G46*x_FIX*(1-x_testy)</f>
        <v>0</v>
      </c>
      <c r="AH46" s="0" t="n">
        <f aca="false">x_z_F*U46+(1-x_AGRI)*x_EMP*x_WLOSS*(x_PEN_K74*Q46+x_PEN_C22*R46)</f>
        <v>32258331.9760934</v>
      </c>
      <c r="AI46" s="0" t="n">
        <f aca="false">x_AGRI*x_EMP*x_WLOSS*(x_PEN_K74*Q46+x_PEN_C22*R46)</f>
        <v>1791464.59073577</v>
      </c>
      <c r="AJ46" s="0" t="n">
        <f aca="false">x_EMP*x_WAGE*(x_WLOSS*(Q46+R46)+S46)+U46*x_ABS_D*x_WAGE/365</f>
        <v>466686018.509388</v>
      </c>
      <c r="AK46" s="0" t="n">
        <f aca="false">AJ46*x_R_FUS</f>
        <v>147659456.25637</v>
      </c>
      <c r="AL46" s="0" t="n">
        <f aca="false">AJ46*x_R_NFZ</f>
        <v>36243302.8834576</v>
      </c>
      <c r="AM46" s="0" t="n">
        <f aca="false">AJ46*x_R_PIT</f>
        <v>31027234.3856411</v>
      </c>
      <c r="AN46" s="0" t="n">
        <f aca="false">AJ46*x_R_FP</f>
        <v>11900493.4719894</v>
      </c>
      <c r="AO46" s="0" t="n">
        <f aca="false">AA46+AB46+AC46+AD46+AF46</f>
        <v>473118880.944369</v>
      </c>
      <c r="AP46" s="0" t="n">
        <f aca="false">AO46+AE46+AG46+AH46+AI46+AK46+AL46+AM46+AN46</f>
        <v>733999164.508656</v>
      </c>
      <c r="AQ46" s="0" t="n">
        <f aca="false">AO46+AE46+AG46+AJ46</f>
        <v>939804899.453757</v>
      </c>
      <c r="AR46" s="0" t="n">
        <f aca="false">AB46+AC46+AD46+AF46</f>
        <v>96483399.3270171</v>
      </c>
      <c r="AS46" s="0" t="n">
        <f aca="false">AR46+AE46+AG46</f>
        <v>96483399.3270171</v>
      </c>
    </row>
    <row r="47" customFormat="false" ht="15" hidden="false" customHeight="false" outlineLevel="0" collapsed="false">
      <c r="A47" s="0" t="n">
        <v>2070</v>
      </c>
      <c r="B47" s="0" t="n">
        <v>44</v>
      </c>
      <c r="C47" s="0" t="n">
        <v>3382.4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3076.807</v>
      </c>
      <c r="I47" s="0" t="n">
        <v>405.306</v>
      </c>
      <c r="J47" s="0" t="n">
        <v>1785.035</v>
      </c>
      <c r="K47" s="0" t="n">
        <v>3029.422</v>
      </c>
      <c r="L47" s="0" t="n">
        <v>978.057</v>
      </c>
      <c r="M47" s="0" t="n">
        <v>90712.112</v>
      </c>
      <c r="N47" s="0" t="n">
        <v>6737.16</v>
      </c>
      <c r="O47" s="0" t="n">
        <v>100.153</v>
      </c>
      <c r="P47" s="0" t="n">
        <v>99.914</v>
      </c>
      <c r="Q47" s="0" t="n">
        <v>998.162</v>
      </c>
      <c r="R47" s="0" t="n">
        <v>1492.265</v>
      </c>
      <c r="S47" s="0" t="n">
        <v>3783.267</v>
      </c>
      <c r="T47" s="0" t="n">
        <v>3482.113</v>
      </c>
      <c r="U47" s="0" t="n">
        <v>2469.024</v>
      </c>
      <c r="V47" s="0" t="n">
        <v>165214.899</v>
      </c>
      <c r="W47" s="0" t="n">
        <v>349.349</v>
      </c>
      <c r="X47" s="0" t="n">
        <v>909.572</v>
      </c>
      <c r="Y47" s="0" t="n">
        <v>100.153</v>
      </c>
      <c r="Z47" s="0" t="n">
        <v>1051.388</v>
      </c>
      <c r="AA47" s="0" t="n">
        <f aca="false">H47*x_c_F+I47*x_c_CC+J47*x_c_DC+K47*x_c_HCC+L47*x_c_PLT+M47*x_c_SVRn+N47*x_c_SVRcc+O47*x_c_LT+P47*x_c_LT1</f>
        <v>378229940.713688</v>
      </c>
      <c r="AB47" s="0" t="n">
        <f aca="false">C47*x_c_DAA</f>
        <v>76983424</v>
      </c>
      <c r="AC47" s="0" t="n">
        <f aca="false">C47*x_c_MON</f>
        <v>19499975.3270171</v>
      </c>
      <c r="AD47" s="0" t="n">
        <f aca="false">D47*(1-x_testy)</f>
        <v>0</v>
      </c>
      <c r="AE47" s="0" t="n">
        <f aca="false">E47*(1-x_testy)</f>
        <v>0</v>
      </c>
      <c r="AF47" s="0" t="n">
        <f aca="false">F47*x_NAV</f>
        <v>0</v>
      </c>
      <c r="AG47" s="0" t="n">
        <f aca="false">G47*x_FIX*(1-x_testy)</f>
        <v>0</v>
      </c>
      <c r="AH47" s="0" t="n">
        <f aca="false">x_z_F*U47+(1-x_AGRI)*x_EMP*x_WLOSS*(x_PEN_K74*Q47+x_PEN_C22*R47)</f>
        <v>32150452.5744473</v>
      </c>
      <c r="AI47" s="0" t="n">
        <f aca="false">x_AGRI*x_EMP*x_WLOSS*(x_PEN_K74*Q47+x_PEN_C22*R47)</f>
        <v>1789563.88887929</v>
      </c>
      <c r="AJ47" s="0" t="n">
        <f aca="false">x_EMP*x_WAGE*(x_WLOSS*(Q47+R47)+S47)+U47*x_ABS_D*x_WAGE/365</f>
        <v>466007389.426698</v>
      </c>
      <c r="AK47" s="0" t="n">
        <f aca="false">AJ47*x_R_FUS</f>
        <v>147444738.014607</v>
      </c>
      <c r="AL47" s="0" t="n">
        <f aca="false">AJ47*x_R_NFZ</f>
        <v>36190599.8702668</v>
      </c>
      <c r="AM47" s="0" t="n">
        <f aca="false">AJ47*x_R_PIT</f>
        <v>30982116.2917312</v>
      </c>
      <c r="AN47" s="0" t="n">
        <f aca="false">AJ47*x_R_FP</f>
        <v>11883188.4303808</v>
      </c>
      <c r="AO47" s="0" t="n">
        <f aca="false">AA47+AB47+AC47+AD47+AF47</f>
        <v>474713340.040705</v>
      </c>
      <c r="AP47" s="0" t="n">
        <f aca="false">AO47+AE47+AG47+AH47+AI47+AK47+AL47+AM47+AN47</f>
        <v>735153999.111018</v>
      </c>
      <c r="AQ47" s="0" t="n">
        <f aca="false">AO47+AE47+AG47+AJ47</f>
        <v>940720729.467403</v>
      </c>
      <c r="AR47" s="0" t="n">
        <f aca="false">AB47+AC47+AD47+AF47</f>
        <v>96483399.3270171</v>
      </c>
      <c r="AS47" s="0" t="n">
        <f aca="false">AR47+AE47+AG47</f>
        <v>96483399.3270171</v>
      </c>
    </row>
    <row r="48" customFormat="false" ht="15" hidden="false" customHeight="false" outlineLevel="0" collapsed="false">
      <c r="A48" s="0" t="n">
        <v>2071</v>
      </c>
      <c r="B48" s="0" t="n">
        <v>45</v>
      </c>
      <c r="C48" s="0" t="n">
        <v>3382.4</v>
      </c>
      <c r="D48" s="0" t="n">
        <v>0</v>
      </c>
      <c r="E48" s="0" t="n">
        <v>0</v>
      </c>
      <c r="F48" s="0" t="n">
        <v>0</v>
      </c>
      <c r="G48" s="0" t="n">
        <v>0</v>
      </c>
      <c r="H48" s="0" t="n">
        <v>3039.133</v>
      </c>
      <c r="I48" s="0" t="n">
        <v>402.132</v>
      </c>
      <c r="J48" s="0" t="n">
        <v>1794.678</v>
      </c>
      <c r="K48" s="0" t="n">
        <v>3045.914</v>
      </c>
      <c r="L48" s="0" t="n">
        <v>973.534</v>
      </c>
      <c r="M48" s="0" t="n">
        <v>92006.685</v>
      </c>
      <c r="N48" s="0" t="n">
        <v>6759.036</v>
      </c>
      <c r="O48" s="0" t="n">
        <v>100.75</v>
      </c>
      <c r="P48" s="0" t="n">
        <v>100.452</v>
      </c>
      <c r="Q48" s="0" t="n">
        <v>997.173</v>
      </c>
      <c r="R48" s="0" t="n">
        <v>1490.99</v>
      </c>
      <c r="S48" s="0" t="n">
        <v>3778.942</v>
      </c>
      <c r="T48" s="0" t="n">
        <v>3441.265</v>
      </c>
      <c r="U48" s="0" t="n">
        <v>2435.488</v>
      </c>
      <c r="V48" s="0" t="n">
        <v>166385.915</v>
      </c>
      <c r="W48" s="0" t="n">
        <v>351.422</v>
      </c>
      <c r="X48" s="0" t="n">
        <v>914.657</v>
      </c>
      <c r="Y48" s="0" t="n">
        <v>100.75</v>
      </c>
      <c r="Z48" s="0" t="n">
        <v>1057.22</v>
      </c>
      <c r="AA48" s="0" t="n">
        <f aca="false">H48*x_c_F+I48*x_c_CC+J48*x_c_DC+K48*x_c_HCC+L48*x_c_PLT+M48*x_c_SVRn+N48*x_c_SVRcc+O48*x_c_LT+P48*x_c_LT1</f>
        <v>380251848.396552</v>
      </c>
      <c r="AB48" s="0" t="n">
        <f aca="false">C48*x_c_DAA</f>
        <v>76983424</v>
      </c>
      <c r="AC48" s="0" t="n">
        <f aca="false">C48*x_c_MON</f>
        <v>19499975.3270171</v>
      </c>
      <c r="AD48" s="0" t="n">
        <f aca="false">D48*(1-x_testy)</f>
        <v>0</v>
      </c>
      <c r="AE48" s="0" t="n">
        <f aca="false">E48*(1-x_testy)</f>
        <v>0</v>
      </c>
      <c r="AF48" s="0" t="n">
        <f aca="false">F48*x_NAV</f>
        <v>0</v>
      </c>
      <c r="AG48" s="0" t="n">
        <f aca="false">G48*x_FIX*(1-x_testy)</f>
        <v>0</v>
      </c>
      <c r="AH48" s="0" t="n">
        <f aca="false">x_z_F*U48+(1-x_AGRI)*x_EMP*x_WLOSS*(x_PEN_K74*Q48+x_PEN_C22*R48)</f>
        <v>32057004.7885537</v>
      </c>
      <c r="AI48" s="0" t="n">
        <f aca="false">x_AGRI*x_EMP*x_WLOSS*(x_PEN_K74*Q48+x_PEN_C22*R48)</f>
        <v>1787944.42629447</v>
      </c>
      <c r="AJ48" s="0" t="n">
        <f aca="false">x_EMP*x_WAGE*(x_WLOSS*(Q48+R48)+S48)+U48*x_ABS_D*x_WAGE/365</f>
        <v>465416319.995999</v>
      </c>
      <c r="AK48" s="0" t="n">
        <f aca="false">AJ48*x_R_FUS</f>
        <v>147257723.646734</v>
      </c>
      <c r="AL48" s="0" t="n">
        <f aca="false">AJ48*x_R_NFZ</f>
        <v>36144696.8272093</v>
      </c>
      <c r="AM48" s="0" t="n">
        <f aca="false">AJ48*x_R_PIT</f>
        <v>30942819.5289461</v>
      </c>
      <c r="AN48" s="0" t="n">
        <f aca="false">AJ48*x_R_FP</f>
        <v>11868116.159898</v>
      </c>
      <c r="AO48" s="0" t="n">
        <f aca="false">AA48+AB48+AC48+AD48+AF48</f>
        <v>476735247.723569</v>
      </c>
      <c r="AP48" s="0" t="n">
        <f aca="false">AO48+AE48+AG48+AH48+AI48+AK48+AL48+AM48+AN48</f>
        <v>736793553.101204</v>
      </c>
      <c r="AQ48" s="0" t="n">
        <f aca="false">AO48+AE48+AG48+AJ48</f>
        <v>942151567.719568</v>
      </c>
      <c r="AR48" s="0" t="n">
        <f aca="false">AB48+AC48+AD48+AF48</f>
        <v>96483399.3270171</v>
      </c>
      <c r="AS48" s="0" t="n">
        <f aca="false">AR48+AE48+AG48</f>
        <v>96483399.3270171</v>
      </c>
    </row>
    <row r="49" customFormat="false" ht="15" hidden="false" customHeight="false" outlineLevel="0" collapsed="false">
      <c r="A49" s="0" t="n">
        <v>2072</v>
      </c>
      <c r="B49" s="0" t="n">
        <v>46</v>
      </c>
      <c r="C49" s="0" t="n">
        <v>3382.4</v>
      </c>
      <c r="D49" s="0" t="n">
        <v>0</v>
      </c>
      <c r="E49" s="0" t="n">
        <v>0</v>
      </c>
      <c r="F49" s="0" t="n">
        <v>0</v>
      </c>
      <c r="G49" s="0" t="n">
        <v>0</v>
      </c>
      <c r="H49" s="0" t="n">
        <v>3007.074</v>
      </c>
      <c r="I49" s="0" t="n">
        <v>399.768</v>
      </c>
      <c r="J49" s="0" t="n">
        <v>1806.095</v>
      </c>
      <c r="K49" s="0" t="n">
        <v>3064.474</v>
      </c>
      <c r="L49" s="0" t="n">
        <v>971.994</v>
      </c>
      <c r="M49" s="0" t="n">
        <v>93300.695</v>
      </c>
      <c r="N49" s="0" t="n">
        <v>6792.192</v>
      </c>
      <c r="O49" s="0" t="n">
        <v>101.435</v>
      </c>
      <c r="P49" s="0" t="n">
        <v>101.093</v>
      </c>
      <c r="Q49" s="0" t="n">
        <v>996.341</v>
      </c>
      <c r="R49" s="0" t="n">
        <v>1489.937</v>
      </c>
      <c r="S49" s="0" t="n">
        <v>3775.215</v>
      </c>
      <c r="T49" s="0" t="n">
        <v>3406.842</v>
      </c>
      <c r="U49" s="0" t="n">
        <v>2406.804</v>
      </c>
      <c r="V49" s="0" t="n">
        <v>167565.209</v>
      </c>
      <c r="W49" s="0" t="n">
        <v>353.608</v>
      </c>
      <c r="X49" s="0" t="n">
        <v>920.041</v>
      </c>
      <c r="Y49" s="0" t="n">
        <v>101.435</v>
      </c>
      <c r="Z49" s="0" t="n">
        <v>1063.901</v>
      </c>
      <c r="AA49" s="0" t="n">
        <f aca="false">H49*x_c_F+I49*x_c_CC+J49*x_c_DC+K49*x_c_HCC+L49*x_c_PLT+M49*x_c_SVRn+N49*x_c_SVRcc+O49*x_c_LT+P49*x_c_LT1</f>
        <v>382617275.184516</v>
      </c>
      <c r="AB49" s="0" t="n">
        <f aca="false">C49*x_c_DAA</f>
        <v>76983424</v>
      </c>
      <c r="AC49" s="0" t="n">
        <f aca="false">C49*x_c_MON</f>
        <v>19499975.3270171</v>
      </c>
      <c r="AD49" s="0" t="n">
        <f aca="false">D49*(1-x_testy)</f>
        <v>0</v>
      </c>
      <c r="AE49" s="0" t="n">
        <f aca="false">E49*(1-x_testy)</f>
        <v>0</v>
      </c>
      <c r="AF49" s="0" t="n">
        <f aca="false">F49*x_NAV</f>
        <v>0</v>
      </c>
      <c r="AG49" s="0" t="n">
        <f aca="false">G49*x_FIX*(1-x_testy)</f>
        <v>0</v>
      </c>
      <c r="AH49" s="0" t="n">
        <f aca="false">x_z_F*U49+(1-x_AGRI)*x_EMP*x_WLOSS*(x_PEN_K74*Q49+x_PEN_C22*R49)</f>
        <v>31977645.5231275</v>
      </c>
      <c r="AI49" s="0" t="n">
        <f aca="false">x_AGRI*x_EMP*x_WLOSS*(x_PEN_K74*Q49+x_PEN_C22*R49)</f>
        <v>1786596.84240659</v>
      </c>
      <c r="AJ49" s="0" t="n">
        <f aca="false">x_EMP*x_WAGE*(x_WLOSS*(Q49+R49)+S49)+U49*x_ABS_D*x_WAGE/365</f>
        <v>464911214.609982</v>
      </c>
      <c r="AK49" s="0" t="n">
        <f aca="false">AJ49*x_R_FUS</f>
        <v>147097908.302598</v>
      </c>
      <c r="AL49" s="0" t="n">
        <f aca="false">AJ49*x_R_NFZ</f>
        <v>36105469.8378258</v>
      </c>
      <c r="AM49" s="0" t="n">
        <f aca="false">AJ49*x_R_PIT</f>
        <v>30909238.0146521</v>
      </c>
      <c r="AN49" s="0" t="n">
        <f aca="false">AJ49*x_R_FP</f>
        <v>11855235.9725545</v>
      </c>
      <c r="AO49" s="0" t="n">
        <f aca="false">AA49+AB49+AC49+AD49+AF49</f>
        <v>479100674.511533</v>
      </c>
      <c r="AP49" s="0" t="n">
        <f aca="false">AO49+AE49+AG49+AH49+AI49+AK49+AL49+AM49+AN49</f>
        <v>738832769.004698</v>
      </c>
      <c r="AQ49" s="0" t="n">
        <f aca="false">AO49+AE49+AG49+AJ49</f>
        <v>944011889.121515</v>
      </c>
      <c r="AR49" s="0" t="n">
        <f aca="false">AB49+AC49+AD49+AF49</f>
        <v>96483399.3270171</v>
      </c>
      <c r="AS49" s="0" t="n">
        <f aca="false">AR49+AE49+AG49</f>
        <v>96483399.3270171</v>
      </c>
    </row>
    <row r="50" customFormat="false" ht="15" hidden="false" customHeight="false" outlineLevel="0" collapsed="false">
      <c r="A50" s="0" t="n">
        <v>2073</v>
      </c>
      <c r="B50" s="0" t="n">
        <v>47</v>
      </c>
      <c r="C50" s="0" t="n">
        <v>3382.4</v>
      </c>
      <c r="D50" s="0" t="n">
        <v>0</v>
      </c>
      <c r="E50" s="0" t="n">
        <v>0</v>
      </c>
      <c r="F50" s="0" t="n">
        <v>0</v>
      </c>
      <c r="G50" s="0" t="n">
        <v>0</v>
      </c>
      <c r="H50" s="0" t="n">
        <v>2980.396</v>
      </c>
      <c r="I50" s="0" t="n">
        <v>398.099</v>
      </c>
      <c r="J50" s="0" t="n">
        <v>1818.688</v>
      </c>
      <c r="K50" s="0" t="n">
        <v>3084.259</v>
      </c>
      <c r="L50" s="0" t="n">
        <v>973.072</v>
      </c>
      <c r="M50" s="0" t="n">
        <v>94587.058</v>
      </c>
      <c r="N50" s="0" t="n">
        <v>6834.919</v>
      </c>
      <c r="O50" s="0" t="n">
        <v>102.171</v>
      </c>
      <c r="P50" s="0" t="n">
        <v>101.803</v>
      </c>
      <c r="Q50" s="0" t="n">
        <v>995.662</v>
      </c>
      <c r="R50" s="0" t="n">
        <v>1489.1</v>
      </c>
      <c r="S50" s="0" t="n">
        <v>3772.072</v>
      </c>
      <c r="T50" s="0" t="n">
        <v>3378.495</v>
      </c>
      <c r="U50" s="0" t="n">
        <v>2382.782</v>
      </c>
      <c r="V50" s="0" t="n">
        <v>168742.194</v>
      </c>
      <c r="W50" s="0" t="n">
        <v>355.813</v>
      </c>
      <c r="X50" s="0" t="n">
        <v>925.497</v>
      </c>
      <c r="Y50" s="0" t="n">
        <v>102.171</v>
      </c>
      <c r="Z50" s="0" t="n">
        <v>1071.081</v>
      </c>
      <c r="AA50" s="0" t="n">
        <f aca="false">H50*x_c_F+I50*x_c_CC+J50*x_c_DC+K50*x_c_HCC+L50*x_c_PLT+M50*x_c_SVRn+N50*x_c_SVRcc+O50*x_c_LT+P50*x_c_LT1</f>
        <v>385226172.927888</v>
      </c>
      <c r="AB50" s="0" t="n">
        <f aca="false">C50*x_c_DAA</f>
        <v>76983424</v>
      </c>
      <c r="AC50" s="0" t="n">
        <f aca="false">C50*x_c_MON</f>
        <v>19499975.3270171</v>
      </c>
      <c r="AD50" s="0" t="n">
        <f aca="false">D50*(1-x_testy)</f>
        <v>0</v>
      </c>
      <c r="AE50" s="0" t="n">
        <f aca="false">E50*(1-x_testy)</f>
        <v>0</v>
      </c>
      <c r="AF50" s="0" t="n">
        <f aca="false">F50*x_NAV</f>
        <v>0</v>
      </c>
      <c r="AG50" s="0" t="n">
        <f aca="false">G50*x_FIX*(1-x_testy)</f>
        <v>0</v>
      </c>
      <c r="AH50" s="0" t="n">
        <f aca="false">x_z_F*U50+(1-x_AGRI)*x_EMP*x_WLOSS*(x_PEN_K74*Q50+x_PEN_C22*R50)</f>
        <v>31911875.431181</v>
      </c>
      <c r="AI50" s="0" t="n">
        <f aca="false">x_AGRI*x_EMP*x_WLOSS*(x_PEN_K74*Q50+x_PEN_C22*R50)</f>
        <v>1785513.95071956</v>
      </c>
      <c r="AJ50" s="0" t="n">
        <f aca="false">x_EMP*x_WAGE*(x_WLOSS*(Q50+R50)+S50)+U50*x_ABS_D*x_WAGE/365</f>
        <v>464489774.655671</v>
      </c>
      <c r="AK50" s="0" t="n">
        <f aca="false">AJ50*x_R_FUS</f>
        <v>146964564.701054</v>
      </c>
      <c r="AL50" s="0" t="n">
        <f aca="false">AJ50*x_R_NFZ</f>
        <v>36072740.3895341</v>
      </c>
      <c r="AM50" s="0" t="n">
        <f aca="false">AJ50*x_R_PIT</f>
        <v>30881218.9274644</v>
      </c>
      <c r="AN50" s="0" t="n">
        <f aca="false">AJ50*x_R_FP</f>
        <v>11844489.2537196</v>
      </c>
      <c r="AO50" s="0" t="n">
        <f aca="false">AA50+AB50+AC50+AD50+AF50</f>
        <v>481709572.254905</v>
      </c>
      <c r="AP50" s="0" t="n">
        <f aca="false">AO50+AE50+AG50+AH50+AI50+AK50+AL50+AM50+AN50</f>
        <v>741169974.908578</v>
      </c>
      <c r="AQ50" s="0" t="n">
        <f aca="false">AO50+AE50+AG50+AJ50</f>
        <v>946199346.910576</v>
      </c>
      <c r="AR50" s="0" t="n">
        <f aca="false">AB50+AC50+AD50+AF50</f>
        <v>96483399.3270171</v>
      </c>
      <c r="AS50" s="0" t="n">
        <f aca="false">AR50+AE50+AG50</f>
        <v>96483399.3270171</v>
      </c>
    </row>
    <row r="51" customFormat="false" ht="15" hidden="false" customHeight="false" outlineLevel="0" collapsed="false">
      <c r="A51" s="0" t="n">
        <v>2074</v>
      </c>
      <c r="B51" s="0" t="n">
        <v>48</v>
      </c>
      <c r="C51" s="0" t="n">
        <v>3382.4</v>
      </c>
      <c r="D51" s="0" t="n">
        <v>0</v>
      </c>
      <c r="E51" s="0" t="n">
        <v>0</v>
      </c>
      <c r="F51" s="0" t="n">
        <v>0</v>
      </c>
      <c r="G51" s="0" t="n">
        <v>0</v>
      </c>
      <c r="H51" s="0" t="n">
        <v>2958.77</v>
      </c>
      <c r="I51" s="0" t="n">
        <v>397.011</v>
      </c>
      <c r="J51" s="0" t="n">
        <v>1831.847</v>
      </c>
      <c r="K51" s="0" t="n">
        <v>3104.426</v>
      </c>
      <c r="L51" s="0" t="n">
        <v>976.275</v>
      </c>
      <c r="M51" s="0" t="n">
        <v>95856.05</v>
      </c>
      <c r="N51" s="0" t="n">
        <v>6884.845</v>
      </c>
      <c r="O51" s="0" t="n">
        <v>102.925</v>
      </c>
      <c r="P51" s="0" t="n">
        <v>102.548</v>
      </c>
      <c r="Q51" s="0" t="n">
        <v>995.129</v>
      </c>
      <c r="R51" s="0" t="n">
        <v>1488.467</v>
      </c>
      <c r="S51" s="0" t="n">
        <v>3769.491</v>
      </c>
      <c r="T51" s="0" t="n">
        <v>3355.781</v>
      </c>
      <c r="U51" s="0" t="n">
        <v>2363.148</v>
      </c>
      <c r="V51" s="0" t="n">
        <v>169904.227</v>
      </c>
      <c r="W51" s="0" t="n">
        <v>357.958</v>
      </c>
      <c r="X51" s="0" t="n">
        <v>930.83</v>
      </c>
      <c r="Y51" s="0" t="n">
        <v>102.925</v>
      </c>
      <c r="Z51" s="0" t="n">
        <v>1078.439</v>
      </c>
      <c r="AA51" s="0" t="n">
        <f aca="false">H51*x_c_F+I51*x_c_CC+J51*x_c_DC+K51*x_c_HCC+L51*x_c_PLT+M51*x_c_SVRn+N51*x_c_SVRcc+O51*x_c_LT+P51*x_c_LT1</f>
        <v>387971870.745823</v>
      </c>
      <c r="AB51" s="0" t="n">
        <f aca="false">C51*x_c_DAA</f>
        <v>76983424</v>
      </c>
      <c r="AC51" s="0" t="n">
        <f aca="false">C51*x_c_MON</f>
        <v>19499975.3270171</v>
      </c>
      <c r="AD51" s="0" t="n">
        <f aca="false">D51*(1-x_testy)</f>
        <v>0</v>
      </c>
      <c r="AE51" s="0" t="n">
        <f aca="false">E51*(1-x_testy)</f>
        <v>0</v>
      </c>
      <c r="AF51" s="0" t="n">
        <f aca="false">F51*x_NAV</f>
        <v>0</v>
      </c>
      <c r="AG51" s="0" t="n">
        <f aca="false">G51*x_FIX*(1-x_testy)</f>
        <v>0</v>
      </c>
      <c r="AH51" s="0" t="n">
        <f aca="false">x_z_F*U51+(1-x_AGRI)*x_EMP*x_WLOSS*(x_PEN_K74*Q51+x_PEN_C22*R51)</f>
        <v>31858923.7944534</v>
      </c>
      <c r="AI51" s="0" t="n">
        <f aca="false">x_AGRI*x_EMP*x_WLOSS*(x_PEN_K74*Q51+x_PEN_C22*R51)</f>
        <v>1784682.0425014</v>
      </c>
      <c r="AJ51" s="0" t="n">
        <f aca="false">x_EMP*x_WAGE*(x_WLOSS*(Q51+R51)+S51)+U51*x_ABS_D*x_WAGE/365</f>
        <v>464148280.520154</v>
      </c>
      <c r="AK51" s="0" t="n">
        <f aca="false">AJ51*x_R_FUS</f>
        <v>146856515.956577</v>
      </c>
      <c r="AL51" s="0" t="n">
        <f aca="false">AJ51*x_R_NFZ</f>
        <v>36046219.6134757</v>
      </c>
      <c r="AM51" s="0" t="n">
        <f aca="false">AJ51*x_R_PIT</f>
        <v>30858514.9719916</v>
      </c>
      <c r="AN51" s="0" t="n">
        <f aca="false">AJ51*x_R_FP</f>
        <v>11835781.1532639</v>
      </c>
      <c r="AO51" s="0" t="n">
        <f aca="false">AA51+AB51+AC51+AD51+AF51</f>
        <v>484455270.07284</v>
      </c>
      <c r="AP51" s="0" t="n">
        <f aca="false">AO51+AE51+AG51+AH51+AI51+AK51+AL51+AM51+AN51</f>
        <v>743695907.605103</v>
      </c>
      <c r="AQ51" s="0" t="n">
        <f aca="false">AO51+AE51+AG51+AJ51</f>
        <v>948603550.592994</v>
      </c>
      <c r="AR51" s="0" t="n">
        <f aca="false">AB51+AC51+AD51+AF51</f>
        <v>96483399.3270171</v>
      </c>
      <c r="AS51" s="0" t="n">
        <f aca="false">AR51+AE51+AG51</f>
        <v>96483399.3270171</v>
      </c>
    </row>
    <row r="52" customFormat="false" ht="15" hidden="false" customHeight="false" outlineLevel="0" collapsed="false">
      <c r="A52" s="0" t="n">
        <v>2075</v>
      </c>
      <c r="B52" s="0" t="n">
        <v>49</v>
      </c>
      <c r="C52" s="0" t="n">
        <v>3382.4</v>
      </c>
      <c r="D52" s="0" t="n">
        <v>0</v>
      </c>
      <c r="E52" s="0" t="n">
        <v>0</v>
      </c>
      <c r="F52" s="0" t="n">
        <v>0</v>
      </c>
      <c r="G52" s="0" t="n">
        <v>0</v>
      </c>
      <c r="H52" s="0" t="n">
        <v>2941.792</v>
      </c>
      <c r="I52" s="0" t="n">
        <v>396.397</v>
      </c>
      <c r="J52" s="0" t="n">
        <v>1844.997</v>
      </c>
      <c r="K52" s="0" t="n">
        <v>3124.199</v>
      </c>
      <c r="L52" s="0" t="n">
        <v>981.031</v>
      </c>
      <c r="M52" s="0" t="n">
        <v>97096.04</v>
      </c>
      <c r="N52" s="0" t="n">
        <v>6939.173</v>
      </c>
      <c r="O52" s="0" t="n">
        <v>103.665</v>
      </c>
      <c r="P52" s="0" t="n">
        <v>103.295</v>
      </c>
      <c r="Q52" s="0" t="n">
        <v>994.735</v>
      </c>
      <c r="R52" s="0" t="n">
        <v>1488.028</v>
      </c>
      <c r="S52" s="0" t="n">
        <v>3767.446</v>
      </c>
      <c r="T52" s="0" t="n">
        <v>3338.189</v>
      </c>
      <c r="U52" s="0" t="n">
        <v>2347.561</v>
      </c>
      <c r="V52" s="0" t="n">
        <v>171037.57</v>
      </c>
      <c r="W52" s="0" t="n">
        <v>359.971</v>
      </c>
      <c r="X52" s="0" t="n">
        <v>935.864</v>
      </c>
      <c r="Y52" s="0" t="n">
        <v>103.665</v>
      </c>
      <c r="Z52" s="0" t="n">
        <v>1085.654</v>
      </c>
      <c r="AA52" s="0" t="n">
        <f aca="false">H52*x_c_F+I52*x_c_CC+J52*x_c_DC+K52*x_c_HCC+L52*x_c_PLT+M52*x_c_SVRn+N52*x_c_SVRcc+O52*x_c_LT+P52*x_c_LT1</f>
        <v>390747906.100607</v>
      </c>
      <c r="AB52" s="0" t="n">
        <f aca="false">C52*x_c_DAA</f>
        <v>76983424</v>
      </c>
      <c r="AC52" s="0" t="n">
        <f aca="false">C52*x_c_MON</f>
        <v>19499975.3270171</v>
      </c>
      <c r="AD52" s="0" t="n">
        <f aca="false">D52*(1-x_testy)</f>
        <v>0</v>
      </c>
      <c r="AE52" s="0" t="n">
        <f aca="false">E52*(1-x_testy)</f>
        <v>0</v>
      </c>
      <c r="AF52" s="0" t="n">
        <f aca="false">F52*x_NAV</f>
        <v>0</v>
      </c>
      <c r="AG52" s="0" t="n">
        <f aca="false">G52*x_FIX*(1-x_testy)</f>
        <v>0</v>
      </c>
      <c r="AH52" s="0" t="n">
        <f aca="false">x_z_F*U52+(1-x_AGRI)*x_EMP*x_WLOSS*(x_PEN_K74*Q52+x_PEN_C22*R52)</f>
        <v>31817904.991033</v>
      </c>
      <c r="AI52" s="0" t="n">
        <f aca="false">x_AGRI*x_EMP*x_WLOSS*(x_PEN_K74*Q52+x_PEN_C22*R52)</f>
        <v>1784088.91883857</v>
      </c>
      <c r="AJ52" s="0" t="n">
        <f aca="false">x_EMP*x_WAGE*(x_WLOSS*(Q52+R52)+S52)+U52*x_ABS_D*x_WAGE/365</f>
        <v>463882584.115154</v>
      </c>
      <c r="AK52" s="0" t="n">
        <f aca="false">AJ52*x_R_FUS</f>
        <v>146772449.614035</v>
      </c>
      <c r="AL52" s="0" t="n">
        <f aca="false">AJ52*x_R_NFZ</f>
        <v>36025585.364967</v>
      </c>
      <c r="AM52" s="0" t="n">
        <f aca="false">AJ52*x_R_PIT</f>
        <v>30840850.3660116</v>
      </c>
      <c r="AN52" s="0" t="n">
        <f aca="false">AJ52*x_R_FP</f>
        <v>11829005.8949364</v>
      </c>
      <c r="AO52" s="0" t="n">
        <f aca="false">AA52+AB52+AC52+AD52+AF52</f>
        <v>487231305.427625</v>
      </c>
      <c r="AP52" s="0" t="n">
        <f aca="false">AO52+AE52+AG52+AH52+AI52+AK52+AL52+AM52+AN52</f>
        <v>746301190.577446</v>
      </c>
      <c r="AQ52" s="0" t="n">
        <f aca="false">AO52+AE52+AG52+AJ52</f>
        <v>951113889.542779</v>
      </c>
      <c r="AR52" s="0" t="n">
        <f aca="false">AB52+AC52+AD52+AF52</f>
        <v>96483399.3270171</v>
      </c>
      <c r="AS52" s="0" t="n">
        <f aca="false">AR52+AE52+AG52</f>
        <v>96483399.3270171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600</v>
      </c>
    </row>
    <row r="2" customFormat="false" ht="28.35" hidden="false" customHeight="false" outlineLevel="0" collapsed="false">
      <c r="A2" s="3" t="s">
        <v>320</v>
      </c>
      <c r="B2" s="3" t="s">
        <v>553</v>
      </c>
      <c r="C2" s="3" t="s">
        <v>554</v>
      </c>
      <c r="D2" s="3" t="s">
        <v>555</v>
      </c>
      <c r="E2" s="3" t="s">
        <v>556</v>
      </c>
      <c r="F2" s="3" t="s">
        <v>557</v>
      </c>
      <c r="G2" s="3" t="s">
        <v>558</v>
      </c>
      <c r="H2" s="3" t="s">
        <v>559</v>
      </c>
      <c r="I2" s="3" t="s">
        <v>560</v>
      </c>
      <c r="J2" s="3" t="s">
        <v>561</v>
      </c>
      <c r="K2" s="3" t="s">
        <v>562</v>
      </c>
      <c r="L2" s="3" t="s">
        <v>563</v>
      </c>
      <c r="M2" s="3" t="s">
        <v>564</v>
      </c>
      <c r="N2" s="3" t="s">
        <v>565</v>
      </c>
      <c r="O2" s="3" t="s">
        <v>566</v>
      </c>
      <c r="P2" s="3" t="s">
        <v>567</v>
      </c>
      <c r="Q2" s="3" t="s">
        <v>568</v>
      </c>
      <c r="R2" s="3" t="s">
        <v>569</v>
      </c>
      <c r="S2" s="3" t="s">
        <v>570</v>
      </c>
      <c r="T2" s="3" t="s">
        <v>571</v>
      </c>
      <c r="U2" s="3" t="s">
        <v>572</v>
      </c>
      <c r="V2" s="3" t="s">
        <v>573</v>
      </c>
      <c r="W2" s="3" t="s">
        <v>574</v>
      </c>
      <c r="X2" s="3" t="s">
        <v>575</v>
      </c>
      <c r="Y2" s="3" t="s">
        <v>576</v>
      </c>
      <c r="Z2" s="3" t="s">
        <v>577</v>
      </c>
      <c r="AA2" s="3" t="s">
        <v>578</v>
      </c>
      <c r="AB2" s="3" t="s">
        <v>579</v>
      </c>
      <c r="AC2" s="3" t="s">
        <v>580</v>
      </c>
      <c r="AD2" s="3" t="s">
        <v>581</v>
      </c>
      <c r="AE2" s="3" t="s">
        <v>582</v>
      </c>
      <c r="AF2" s="3" t="s">
        <v>583</v>
      </c>
      <c r="AG2" s="3" t="s">
        <v>584</v>
      </c>
      <c r="AH2" s="3" t="s">
        <v>252</v>
      </c>
      <c r="AI2" s="3" t="s">
        <v>303</v>
      </c>
      <c r="AJ2" s="3" t="s">
        <v>585</v>
      </c>
      <c r="AK2" s="3" t="s">
        <v>586</v>
      </c>
      <c r="AL2" s="3" t="s">
        <v>587</v>
      </c>
      <c r="AM2" s="3" t="s">
        <v>588</v>
      </c>
      <c r="AN2" s="3" t="s">
        <v>589</v>
      </c>
      <c r="AO2" s="3" t="s">
        <v>129</v>
      </c>
      <c r="AP2" s="3" t="s">
        <v>590</v>
      </c>
      <c r="AQ2" s="3" t="s">
        <v>591</v>
      </c>
      <c r="AR2" s="3" t="s">
        <v>592</v>
      </c>
      <c r="AS2" s="3" t="s">
        <v>593</v>
      </c>
    </row>
    <row r="3" customFormat="false" ht="15" hidden="false" customHeight="false" outlineLevel="0" collapsed="false">
      <c r="A3" s="0" t="n">
        <v>2026</v>
      </c>
      <c r="B3" s="0" t="n">
        <v>0</v>
      </c>
      <c r="C3" s="0" t="n">
        <v>5213.16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2581.318</v>
      </c>
      <c r="I3" s="0" t="n">
        <v>231.61</v>
      </c>
      <c r="J3" s="0" t="n">
        <v>1579.158</v>
      </c>
      <c r="K3" s="0" t="n">
        <v>2524.378</v>
      </c>
      <c r="L3" s="0" t="n">
        <v>1540.438</v>
      </c>
      <c r="M3" s="0" t="n">
        <v>7100.45</v>
      </c>
      <c r="N3" s="0" t="n">
        <v>627.462</v>
      </c>
      <c r="O3" s="0" t="n">
        <v>89.046</v>
      </c>
      <c r="P3" s="0" t="n">
        <v>44.523</v>
      </c>
      <c r="Q3" s="0" t="n">
        <v>2134.589</v>
      </c>
      <c r="R3" s="0" t="n">
        <v>1702.999</v>
      </c>
      <c r="S3" s="0" t="n">
        <v>312.377</v>
      </c>
      <c r="T3" s="0" t="n">
        <v>2812.928</v>
      </c>
      <c r="U3" s="0" t="n">
        <v>1558.451</v>
      </c>
      <c r="V3" s="0" t="n">
        <v>113433.469</v>
      </c>
      <c r="W3" s="0" t="n">
        <v>265.352</v>
      </c>
      <c r="X3" s="0" t="n">
        <v>710.662</v>
      </c>
      <c r="Y3" s="0" t="n">
        <v>89.046</v>
      </c>
      <c r="Z3" s="0" t="n">
        <v>922.327</v>
      </c>
      <c r="AA3" s="0" t="n">
        <f aca="false">H3*x_c_F+I3*x_c_CC+J3*x_c_DC+K3*x_c_HCC+L3*x_c_PLT+M3*x_c_SVRn+N3*x_c_SVRcc+O3*x_c_LT+P3*x_c_LT1</f>
        <v>283833546.178008</v>
      </c>
      <c r="AB3" s="0" t="n">
        <f aca="false">C3*x_c_DAA</f>
        <v>118651521.6</v>
      </c>
      <c r="AC3" s="0" t="n">
        <f aca="false">C3*x_c_MON</f>
        <v>30054544.517441</v>
      </c>
      <c r="AD3" s="0" t="n">
        <f aca="false">D3*(1-x_testy)</f>
        <v>0</v>
      </c>
      <c r="AE3" s="0" t="n">
        <f aca="false">E3*(1-x_testy)</f>
        <v>0</v>
      </c>
      <c r="AF3" s="0" t="n">
        <f aca="false">F3*x_NAV</f>
        <v>0</v>
      </c>
      <c r="AG3" s="0" t="n">
        <f aca="false">G3*x_FIX*(1-x_testy)</f>
        <v>0</v>
      </c>
      <c r="AH3" s="0" t="n">
        <f aca="false">x_z_F*U3+(1-x_AGRI)*x_EMP*x_WLOSS*(x_PEN_K74*Q3+x_PEN_C22*R3)</f>
        <v>44105854.7048211</v>
      </c>
      <c r="AI3" s="0" t="n">
        <f aca="false">x_AGRI*x_EMP*x_WLOSS*(x_PEN_K74*Q3+x_PEN_C22*R3)</f>
        <v>2703532.14195332</v>
      </c>
      <c r="AJ3" s="0" t="n">
        <f aca="false">x_EMP*x_WAGE*(x_WLOSS*(Q3+R3)+S3)+U3*x_ABS_D*x_WAGE/365</f>
        <v>241073843.85307</v>
      </c>
      <c r="AK3" s="0" t="n">
        <f aca="false">AJ3*x_R_FUS</f>
        <v>76275764.1951112</v>
      </c>
      <c r="AL3" s="0" t="n">
        <f aca="false">AJ3*x_R_NFZ</f>
        <v>18722035.7874732</v>
      </c>
      <c r="AM3" s="0" t="n">
        <f aca="false">AJ3*x_R_PIT</f>
        <v>16027595.3442264</v>
      </c>
      <c r="AN3" s="0" t="n">
        <f aca="false">AJ3*x_R_FP</f>
        <v>6147383.01825327</v>
      </c>
      <c r="AO3" s="0" t="n">
        <f aca="false">AA3+AB3+AC3+AD3+AF3</f>
        <v>432539612.295449</v>
      </c>
      <c r="AP3" s="0" t="n">
        <f aca="false">AO3+AE3+AG3+AH3+AI3+AK3+AL3+AM3+AN3</f>
        <v>596521777.487288</v>
      </c>
      <c r="AQ3" s="0" t="n">
        <f aca="false">AO3+AE3+AG3+AJ3</f>
        <v>673613456.148519</v>
      </c>
      <c r="AR3" s="0" t="n">
        <f aca="false">AB3+AC3+AD3+AF3</f>
        <v>148706066.117441</v>
      </c>
      <c r="AS3" s="0" t="n">
        <f aca="false">AR3+AE3+AG3</f>
        <v>148706066.117441</v>
      </c>
    </row>
    <row r="4" customFormat="false" ht="15" hidden="false" customHeight="false" outlineLevel="0" collapsed="false">
      <c r="A4" s="0" t="n">
        <v>2027</v>
      </c>
      <c r="B4" s="0" t="n">
        <v>1</v>
      </c>
      <c r="C4" s="0" t="n">
        <v>5576.635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2728.1</v>
      </c>
      <c r="I4" s="0" t="n">
        <v>259.776</v>
      </c>
      <c r="J4" s="0" t="n">
        <v>1563.329</v>
      </c>
      <c r="K4" s="0" t="n">
        <v>2519.58</v>
      </c>
      <c r="L4" s="0" t="n">
        <v>1489.389</v>
      </c>
      <c r="M4" s="0" t="n">
        <v>12106.359</v>
      </c>
      <c r="N4" s="0" t="n">
        <v>1093.455</v>
      </c>
      <c r="O4" s="0" t="n">
        <v>87.89</v>
      </c>
      <c r="P4" s="0" t="n">
        <v>88.468</v>
      </c>
      <c r="Q4" s="0" t="n">
        <v>2137.52</v>
      </c>
      <c r="R4" s="0" t="n">
        <v>1715.76</v>
      </c>
      <c r="S4" s="0" t="n">
        <v>939.875</v>
      </c>
      <c r="T4" s="0" t="n">
        <v>2987.876</v>
      </c>
      <c r="U4" s="0" t="n">
        <v>1705.223</v>
      </c>
      <c r="V4" s="0" t="n">
        <v>114593.877</v>
      </c>
      <c r="W4" s="0" t="n">
        <v>274.078</v>
      </c>
      <c r="X4" s="0" t="n">
        <v>738.717</v>
      </c>
      <c r="Y4" s="0" t="n">
        <v>87.89</v>
      </c>
      <c r="Z4" s="0" t="n">
        <v>925.455</v>
      </c>
      <c r="AA4" s="0" t="n">
        <f aca="false">H4*x_c_F+I4*x_c_CC+J4*x_c_DC+K4*x_c_HCC+L4*x_c_PLT+M4*x_c_SVRn+N4*x_c_SVRcc+O4*x_c_LT+P4*x_c_LT1</f>
        <v>288245578.892978</v>
      </c>
      <c r="AB4" s="0" t="n">
        <f aca="false">C4*x_c_DAA</f>
        <v>126924212.6</v>
      </c>
      <c r="AC4" s="0" t="n">
        <f aca="false">C4*x_c_MON</f>
        <v>32150025.1028204</v>
      </c>
      <c r="AD4" s="0" t="n">
        <f aca="false">D4*(1-x_testy)</f>
        <v>0</v>
      </c>
      <c r="AE4" s="0" t="n">
        <f aca="false">E4*(1-x_testy)</f>
        <v>0</v>
      </c>
      <c r="AF4" s="0" t="n">
        <f aca="false">F4*x_NAV</f>
        <v>0</v>
      </c>
      <c r="AG4" s="0" t="n">
        <f aca="false">G4*x_FIX*(1-x_testy)</f>
        <v>0</v>
      </c>
      <c r="AH4" s="0" t="n">
        <f aca="false">x_z_F*U4+(1-x_AGRI)*x_EMP*x_WLOSS*(x_PEN_K74*Q4+x_PEN_C22*R4)</f>
        <v>44582803.6161941</v>
      </c>
      <c r="AI4" s="0" t="n">
        <f aca="false">x_AGRI*x_EMP*x_WLOSS*(x_PEN_K74*Q4+x_PEN_C22*R4)</f>
        <v>2715112.4851527</v>
      </c>
      <c r="AJ4" s="0" t="n">
        <f aca="false">x_EMP*x_WAGE*(x_WLOSS*(Q4+R4)+S4)+U4*x_ABS_D*x_WAGE/365</f>
        <v>295863892.654718</v>
      </c>
      <c r="AK4" s="0" t="n">
        <f aca="false">AJ4*x_R_FUS</f>
        <v>93611335.6359529</v>
      </c>
      <c r="AL4" s="0" t="n">
        <f aca="false">AJ4*x_R_NFZ</f>
        <v>22977085.7674581</v>
      </c>
      <c r="AM4" s="0" t="n">
        <f aca="false">AJ4*x_R_PIT</f>
        <v>19670266.473735</v>
      </c>
      <c r="AN4" s="0" t="n">
        <f aca="false">AJ4*x_R_FP</f>
        <v>7544529.26269532</v>
      </c>
      <c r="AO4" s="0" t="n">
        <f aca="false">AA4+AB4+AC4+AD4+AF4</f>
        <v>447319816.595799</v>
      </c>
      <c r="AP4" s="0" t="n">
        <f aca="false">AO4+AE4+AG4+AH4+AI4+AK4+AL4+AM4+AN4</f>
        <v>638420949.836987</v>
      </c>
      <c r="AQ4" s="0" t="n">
        <f aca="false">AO4+AE4+AG4+AJ4</f>
        <v>743183709.250517</v>
      </c>
      <c r="AR4" s="0" t="n">
        <f aca="false">AB4+AC4+AD4+AF4</f>
        <v>159074237.70282</v>
      </c>
      <c r="AS4" s="0" t="n">
        <f aca="false">AR4+AE4+AG4</f>
        <v>159074237.70282</v>
      </c>
    </row>
    <row r="5" customFormat="false" ht="15" hidden="false" customHeight="false" outlineLevel="0" collapsed="false">
      <c r="A5" s="0" t="n">
        <v>2028</v>
      </c>
      <c r="B5" s="0" t="n">
        <v>2</v>
      </c>
      <c r="C5" s="0" t="n">
        <v>5921.215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2782.017</v>
      </c>
      <c r="I5" s="0" t="n">
        <v>281.64</v>
      </c>
      <c r="J5" s="0" t="n">
        <v>1558.707</v>
      </c>
      <c r="K5" s="0" t="n">
        <v>2542.654</v>
      </c>
      <c r="L5" s="0" t="n">
        <v>1475.757</v>
      </c>
      <c r="M5" s="0" t="n">
        <v>17159.078</v>
      </c>
      <c r="N5" s="0" t="n">
        <v>1586.693</v>
      </c>
      <c r="O5" s="0" t="n">
        <v>87.523</v>
      </c>
      <c r="P5" s="0" t="n">
        <v>87.707</v>
      </c>
      <c r="Q5" s="0" t="n">
        <v>2145.234</v>
      </c>
      <c r="R5" s="0" t="n">
        <v>1751.363</v>
      </c>
      <c r="S5" s="0" t="n">
        <v>1572.496</v>
      </c>
      <c r="T5" s="0" t="n">
        <v>3063.657</v>
      </c>
      <c r="U5" s="0" t="n">
        <v>1797.2</v>
      </c>
      <c r="V5" s="0" t="n">
        <v>115841.091</v>
      </c>
      <c r="W5" s="0" t="n">
        <v>283.892</v>
      </c>
      <c r="X5" s="0" t="n">
        <v>766.181</v>
      </c>
      <c r="Y5" s="0" t="n">
        <v>87.523</v>
      </c>
      <c r="Z5" s="0" t="n">
        <v>926.072</v>
      </c>
      <c r="AA5" s="0" t="n">
        <f aca="false">H5*x_c_F+I5*x_c_CC+J5*x_c_DC+K5*x_c_HCC+L5*x_c_PLT+M5*x_c_SVRn+N5*x_c_SVRcc+O5*x_c_LT+P5*x_c_LT1</f>
        <v>293741434.149062</v>
      </c>
      <c r="AB5" s="0" t="n">
        <f aca="false">C5*x_c_DAA</f>
        <v>134766853.4</v>
      </c>
      <c r="AC5" s="0" t="n">
        <f aca="false">C5*x_c_MON</f>
        <v>34136573.5590005</v>
      </c>
      <c r="AD5" s="0" t="n">
        <f aca="false">D5*(1-x_testy)</f>
        <v>0</v>
      </c>
      <c r="AE5" s="0" t="n">
        <f aca="false">E5*(1-x_testy)</f>
        <v>0</v>
      </c>
      <c r="AF5" s="0" t="n">
        <f aca="false">F5*x_NAV</f>
        <v>0</v>
      </c>
      <c r="AG5" s="0" t="n">
        <f aca="false">G5*x_FIX*(1-x_testy)</f>
        <v>0</v>
      </c>
      <c r="AH5" s="0" t="n">
        <f aca="false">x_z_F*U5+(1-x_AGRI)*x_EMP*x_WLOSS*(x_PEN_K74*Q5+x_PEN_C22*R5)</f>
        <v>45256045.9597694</v>
      </c>
      <c r="AI5" s="0" t="n">
        <f aca="false">x_AGRI*x_EMP*x_WLOSS*(x_PEN_K74*Q5+x_PEN_C22*R5)</f>
        <v>2747113.62129155</v>
      </c>
      <c r="AJ5" s="0" t="n">
        <f aca="false">x_EMP*x_WAGE*(x_WLOSS*(Q5+R5)+S5)+U5*x_ABS_D*x_WAGE/365</f>
        <v>352440479.23421</v>
      </c>
      <c r="AK5" s="0" t="n">
        <f aca="false">AJ5*x_R_FUS</f>
        <v>111512167.629704</v>
      </c>
      <c r="AL5" s="0" t="n">
        <f aca="false">AJ5*x_R_NFZ</f>
        <v>27370880.057808</v>
      </c>
      <c r="AM5" s="0" t="n">
        <f aca="false">AJ5*x_R_PIT</f>
        <v>23431714.0914465</v>
      </c>
      <c r="AN5" s="0" t="n">
        <f aca="false">AJ5*x_R_FP</f>
        <v>8987232.22047235</v>
      </c>
      <c r="AO5" s="0" t="n">
        <f aca="false">AA5+AB5+AC5+AD5+AF5</f>
        <v>462644861.108062</v>
      </c>
      <c r="AP5" s="0" t="n">
        <f aca="false">AO5+AE5+AG5+AH5+AI5+AK5+AL5+AM5+AN5</f>
        <v>681950014.688554</v>
      </c>
      <c r="AQ5" s="0" t="n">
        <f aca="false">AO5+AE5+AG5+AJ5</f>
        <v>815085340.342272</v>
      </c>
      <c r="AR5" s="0" t="n">
        <f aca="false">AB5+AC5+AD5+AF5</f>
        <v>168903426.959001</v>
      </c>
      <c r="AS5" s="0" t="n">
        <f aca="false">AR5+AE5+AG5</f>
        <v>168903426.959001</v>
      </c>
    </row>
    <row r="6" customFormat="false" ht="15" hidden="false" customHeight="false" outlineLevel="0" collapsed="false">
      <c r="A6" s="0" t="n">
        <v>2029</v>
      </c>
      <c r="B6" s="0" t="n">
        <v>3</v>
      </c>
      <c r="C6" s="0" t="n">
        <v>5892.245</v>
      </c>
      <c r="D6" s="0" t="n">
        <v>0</v>
      </c>
      <c r="E6" s="0" t="n">
        <v>0</v>
      </c>
      <c r="F6" s="0" t="n">
        <v>0</v>
      </c>
      <c r="G6" s="0" t="n">
        <v>0</v>
      </c>
      <c r="H6" s="0" t="n">
        <v>2750.261</v>
      </c>
      <c r="I6" s="0" t="n">
        <v>295.954</v>
      </c>
      <c r="J6" s="0" t="n">
        <v>1564.041</v>
      </c>
      <c r="K6" s="0" t="n">
        <v>2584.625</v>
      </c>
      <c r="L6" s="0" t="n">
        <v>1461.15</v>
      </c>
      <c r="M6" s="0" t="n">
        <v>22088.431</v>
      </c>
      <c r="N6" s="0" t="n">
        <v>2091.139</v>
      </c>
      <c r="O6" s="0" t="n">
        <v>87.808</v>
      </c>
      <c r="P6" s="0" t="n">
        <v>87.666</v>
      </c>
      <c r="Q6" s="0" t="n">
        <v>2161.57</v>
      </c>
      <c r="R6" s="0" t="n">
        <v>1803.154</v>
      </c>
      <c r="S6" s="0" t="n">
        <v>2212.729</v>
      </c>
      <c r="T6" s="0" t="n">
        <v>3046.215</v>
      </c>
      <c r="U6" s="0" t="n">
        <v>1834.537</v>
      </c>
      <c r="V6" s="0" t="n">
        <v>117143.129</v>
      </c>
      <c r="W6" s="0" t="n">
        <v>294.143</v>
      </c>
      <c r="X6" s="0" t="n">
        <v>792.343</v>
      </c>
      <c r="Y6" s="0" t="n">
        <v>87.808</v>
      </c>
      <c r="Z6" s="0" t="n">
        <v>934.044</v>
      </c>
      <c r="AA6" s="0" t="n">
        <f aca="false">H6*x_c_F+I6*x_c_CC+J6*x_c_DC+K6*x_c_HCC+L6*x_c_PLT+M6*x_c_SVRn+N6*x_c_SVRcc+O6*x_c_LT+P6*x_c_LT1</f>
        <v>300492752.924081</v>
      </c>
      <c r="AB6" s="0" t="n">
        <f aca="false">C6*x_c_DAA</f>
        <v>134107496.2</v>
      </c>
      <c r="AC6" s="0" t="n">
        <f aca="false">C6*x_c_MON</f>
        <v>33969557.7461979</v>
      </c>
      <c r="AD6" s="0" t="n">
        <f aca="false">D6*(1-x_testy)</f>
        <v>0</v>
      </c>
      <c r="AE6" s="0" t="n">
        <f aca="false">E6*(1-x_testy)</f>
        <v>0</v>
      </c>
      <c r="AF6" s="0" t="n">
        <f aca="false">F6*x_NAV</f>
        <v>0</v>
      </c>
      <c r="AG6" s="0" t="n">
        <f aca="false">G6*x_FIX*(1-x_testy)</f>
        <v>0</v>
      </c>
      <c r="AH6" s="0" t="n">
        <f aca="false">x_z_F*U6+(1-x_AGRI)*x_EMP*x_WLOSS*(x_PEN_K74*Q6+x_PEN_C22*R6)</f>
        <v>46088485.2285744</v>
      </c>
      <c r="AI6" s="0" t="n">
        <f aca="false">x_AGRI*x_EMP*x_WLOSS*(x_PEN_K74*Q6+x_PEN_C22*R6)</f>
        <v>2797062.47926661</v>
      </c>
      <c r="AJ6" s="0" t="n">
        <f aca="false">x_EMP*x_WAGE*(x_WLOSS*(Q6+R6)+S6)+U6*x_ABS_D*x_WAGE/365</f>
        <v>410862330.93761</v>
      </c>
      <c r="AK6" s="0" t="n">
        <f aca="false">AJ6*x_R_FUS</f>
        <v>129996841.50866</v>
      </c>
      <c r="AL6" s="0" t="n">
        <f aca="false">AJ6*x_R_NFZ</f>
        <v>31907979.4829457</v>
      </c>
      <c r="AM6" s="0" t="n">
        <f aca="false">AJ6*x_R_PIT</f>
        <v>27315842.6364462</v>
      </c>
      <c r="AN6" s="0" t="n">
        <f aca="false">AJ6*x_R_FP</f>
        <v>10476989.4389091</v>
      </c>
      <c r="AO6" s="0" t="n">
        <f aca="false">AA6+AB6+AC6+AD6+AF6</f>
        <v>468569806.870278</v>
      </c>
      <c r="AP6" s="0" t="n">
        <f aca="false">AO6+AE6+AG6+AH6+AI6+AK6+AL6+AM6+AN6</f>
        <v>717153007.64508</v>
      </c>
      <c r="AQ6" s="0" t="n">
        <f aca="false">AO6+AE6+AG6+AJ6</f>
        <v>879432137.807888</v>
      </c>
      <c r="AR6" s="0" t="n">
        <f aca="false">AB6+AC6+AD6+AF6</f>
        <v>168077053.946198</v>
      </c>
      <c r="AS6" s="0" t="n">
        <f aca="false">AR6+AE6+AG6</f>
        <v>168077053.946198</v>
      </c>
    </row>
    <row r="7" customFormat="false" ht="15" hidden="false" customHeight="false" outlineLevel="0" collapsed="false">
      <c r="A7" s="0" t="n">
        <v>2030</v>
      </c>
      <c r="B7" s="0" t="n">
        <v>4</v>
      </c>
      <c r="C7" s="0" t="n">
        <v>5864.531</v>
      </c>
      <c r="D7" s="0" t="n">
        <v>0</v>
      </c>
      <c r="E7" s="0" t="n">
        <v>0</v>
      </c>
      <c r="F7" s="0" t="n">
        <v>0</v>
      </c>
      <c r="G7" s="0" t="n">
        <v>0</v>
      </c>
      <c r="H7" s="0" t="n">
        <v>2719.483</v>
      </c>
      <c r="I7" s="0" t="n">
        <v>309.91</v>
      </c>
      <c r="J7" s="0" t="n">
        <v>1577.536</v>
      </c>
      <c r="K7" s="0" t="n">
        <v>2638.027</v>
      </c>
      <c r="L7" s="0" t="n">
        <v>1446.187</v>
      </c>
      <c r="M7" s="0" t="n">
        <v>26894.042</v>
      </c>
      <c r="N7" s="0" t="n">
        <v>2605.141</v>
      </c>
      <c r="O7" s="0" t="n">
        <v>88.61</v>
      </c>
      <c r="P7" s="0" t="n">
        <v>88.209</v>
      </c>
      <c r="Q7" s="0" t="n">
        <v>2185.593</v>
      </c>
      <c r="R7" s="0" t="n">
        <v>1865.614</v>
      </c>
      <c r="S7" s="0" t="n">
        <v>2865.368</v>
      </c>
      <c r="T7" s="0" t="n">
        <v>3029.393</v>
      </c>
      <c r="U7" s="0" t="n">
        <v>1870.053</v>
      </c>
      <c r="V7" s="0" t="n">
        <v>118486.298</v>
      </c>
      <c r="W7" s="0" t="n">
        <v>303.985</v>
      </c>
      <c r="X7" s="0" t="n">
        <v>815.855</v>
      </c>
      <c r="Y7" s="0" t="n">
        <v>88.61</v>
      </c>
      <c r="Z7" s="0" t="n">
        <v>947.075</v>
      </c>
      <c r="AA7" s="0" t="n">
        <f aca="false">H7*x_c_F+I7*x_c_CC+J7*x_c_DC+K7*x_c_HCC+L7*x_c_PLT+M7*x_c_SVRn+N7*x_c_SVRcc+O7*x_c_LT+P7*x_c_LT1</f>
        <v>308255280.973472</v>
      </c>
      <c r="AB7" s="0" t="n">
        <f aca="false">C7*x_c_DAA</f>
        <v>133476725.56</v>
      </c>
      <c r="AC7" s="0" t="n">
        <f aca="false">C7*x_c_MON</f>
        <v>33809782.9365323</v>
      </c>
      <c r="AD7" s="0" t="n">
        <f aca="false">D7*(1-x_testy)</f>
        <v>0</v>
      </c>
      <c r="AE7" s="0" t="n">
        <f aca="false">E7*(1-x_testy)</f>
        <v>0</v>
      </c>
      <c r="AF7" s="0" t="n">
        <f aca="false">F7*x_NAV</f>
        <v>0</v>
      </c>
      <c r="AG7" s="0" t="n">
        <f aca="false">G7*x_FIX*(1-x_testy)</f>
        <v>0</v>
      </c>
      <c r="AH7" s="0" t="n">
        <f aca="false">x_z_F*U7+(1-x_AGRI)*x_EMP*x_WLOSS*(x_PEN_K74*Q7+x_PEN_C22*R7)</f>
        <v>47116283.2123824</v>
      </c>
      <c r="AI7" s="0" t="n">
        <f aca="false">x_AGRI*x_EMP*x_WLOSS*(x_PEN_K74*Q7+x_PEN_C22*R7)</f>
        <v>2860171.6318032</v>
      </c>
      <c r="AJ7" s="0" t="n">
        <f aca="false">x_EMP*x_WAGE*(x_WLOSS*(Q7+R7)+S7)+U7*x_ABS_D*x_WAGE/365</f>
        <v>471340392.947593</v>
      </c>
      <c r="AK7" s="0" t="n">
        <f aca="false">AJ7*x_R_FUS</f>
        <v>149132100.328618</v>
      </c>
      <c r="AL7" s="0" t="n">
        <f aca="false">AJ7*x_R_NFZ</f>
        <v>36604766.256703</v>
      </c>
      <c r="AM7" s="0" t="n">
        <f aca="false">AJ7*x_R_PIT</f>
        <v>31336676.6249308</v>
      </c>
      <c r="AN7" s="0" t="n">
        <f aca="false">AJ7*x_R_FP</f>
        <v>12019180.0201636</v>
      </c>
      <c r="AO7" s="0" t="n">
        <f aca="false">AA7+AB7+AC7+AD7+AF7</f>
        <v>475541789.470004</v>
      </c>
      <c r="AP7" s="0" t="n">
        <f aca="false">AO7+AE7+AG7+AH7+AI7+AK7+AL7+AM7+AN7</f>
        <v>754610967.544606</v>
      </c>
      <c r="AQ7" s="0" t="n">
        <f aca="false">AO7+AE7+AG7+AJ7</f>
        <v>946882182.417597</v>
      </c>
      <c r="AR7" s="0" t="n">
        <f aca="false">AB7+AC7+AD7+AF7</f>
        <v>167286508.496532</v>
      </c>
      <c r="AS7" s="0" t="n">
        <f aca="false">AR7+AE7+AG7</f>
        <v>167286508.496532</v>
      </c>
    </row>
    <row r="8" customFormat="false" ht="15" hidden="false" customHeight="false" outlineLevel="0" collapsed="false">
      <c r="A8" s="0" t="n">
        <v>2031</v>
      </c>
      <c r="B8" s="0" t="n">
        <v>5</v>
      </c>
      <c r="C8" s="0" t="n">
        <v>5837.956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2690.204</v>
      </c>
      <c r="I8" s="0" t="n">
        <v>322.932</v>
      </c>
      <c r="J8" s="0" t="n">
        <v>1596.984</v>
      </c>
      <c r="K8" s="0" t="n">
        <v>2696.394</v>
      </c>
      <c r="L8" s="0" t="n">
        <v>1431.36</v>
      </c>
      <c r="M8" s="0" t="n">
        <v>31576.919</v>
      </c>
      <c r="N8" s="0" t="n">
        <v>3125.977</v>
      </c>
      <c r="O8" s="0" t="n">
        <v>89.777</v>
      </c>
      <c r="P8" s="0" t="n">
        <v>89.193</v>
      </c>
      <c r="Q8" s="0" t="n">
        <v>2215.991</v>
      </c>
      <c r="R8" s="0" t="n">
        <v>1933.958</v>
      </c>
      <c r="S8" s="0" t="n">
        <v>3533.522</v>
      </c>
      <c r="T8" s="0" t="n">
        <v>3013.136</v>
      </c>
      <c r="U8" s="0" t="n">
        <v>1903.771</v>
      </c>
      <c r="V8" s="0" t="n">
        <v>119860.719</v>
      </c>
      <c r="W8" s="0" t="n">
        <v>312.807</v>
      </c>
      <c r="X8" s="0" t="n">
        <v>835.793</v>
      </c>
      <c r="Y8" s="0" t="n">
        <v>89.777</v>
      </c>
      <c r="Z8" s="0" t="n">
        <v>963.061</v>
      </c>
      <c r="AA8" s="0" t="n">
        <f aca="false">H8*x_c_F+I8*x_c_CC+J8*x_c_DC+K8*x_c_HCC+L8*x_c_PLT+M8*x_c_SVRn+N8*x_c_SVRcc+O8*x_c_LT+P8*x_c_LT1</f>
        <v>316530870.193019</v>
      </c>
      <c r="AB8" s="0" t="n">
        <f aca="false">C8*x_c_DAA</f>
        <v>132871878.56</v>
      </c>
      <c r="AC8" s="0" t="n">
        <f aca="false">C8*x_c_MON</f>
        <v>33656574.609807</v>
      </c>
      <c r="AD8" s="0" t="n">
        <f aca="false">D8*(1-x_testy)</f>
        <v>0</v>
      </c>
      <c r="AE8" s="0" t="n">
        <f aca="false">E8*(1-x_testy)</f>
        <v>0</v>
      </c>
      <c r="AF8" s="0" t="n">
        <f aca="false">F8*x_NAV</f>
        <v>0</v>
      </c>
      <c r="AG8" s="0" t="n">
        <f aca="false">G8*x_FIX*(1-x_testy)</f>
        <v>0</v>
      </c>
      <c r="AH8" s="0" t="n">
        <f aca="false">x_z_F*U8+(1-x_AGRI)*x_EMP*x_WLOSS*(x_PEN_K74*Q8+x_PEN_C22*R8)</f>
        <v>48271652.398713</v>
      </c>
      <c r="AI8" s="0" t="n">
        <f aca="false">x_AGRI*x_EMP*x_WLOSS*(x_PEN_K74*Q8+x_PEN_C22*R8)</f>
        <v>2931957.32890493</v>
      </c>
      <c r="AJ8" s="0" t="n">
        <f aca="false">x_EMP*x_WAGE*(x_WLOSS*(Q8+R8)+S8)+U8*x_ABS_D*x_WAGE/365</f>
        <v>533806386.667929</v>
      </c>
      <c r="AK8" s="0" t="n">
        <f aca="false">AJ8*x_R_FUS</f>
        <v>168896340.741733</v>
      </c>
      <c r="AL8" s="0" t="n">
        <f aca="false">AJ8*x_R_NFZ</f>
        <v>41455937.795018</v>
      </c>
      <c r="AM8" s="0" t="n">
        <f aca="false">AJ8*x_R_PIT</f>
        <v>35489676.6108385</v>
      </c>
      <c r="AN8" s="0" t="n">
        <f aca="false">AJ8*x_R_FP</f>
        <v>13612062.8600322</v>
      </c>
      <c r="AO8" s="0" t="n">
        <f aca="false">AA8+AB8+AC8+AD8+AF8</f>
        <v>483059323.362826</v>
      </c>
      <c r="AP8" s="0" t="n">
        <f aca="false">AO8+AE8+AG8+AH8+AI8+AK8+AL8+AM8+AN8</f>
        <v>793716951.098065</v>
      </c>
      <c r="AQ8" s="0" t="n">
        <f aca="false">AO8+AE8+AG8+AJ8</f>
        <v>1016865710.03075</v>
      </c>
      <c r="AR8" s="0" t="n">
        <f aca="false">AB8+AC8+AD8+AF8</f>
        <v>166528453.169807</v>
      </c>
      <c r="AS8" s="0" t="n">
        <f aca="false">AR8+AE8+AG8</f>
        <v>166528453.169807</v>
      </c>
    </row>
    <row r="9" customFormat="false" ht="15" hidden="false" customHeight="false" outlineLevel="0" collapsed="false">
      <c r="A9" s="0" t="n">
        <v>2032</v>
      </c>
      <c r="B9" s="0" t="n">
        <v>6</v>
      </c>
      <c r="C9" s="0" t="n">
        <v>5812.447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2662.817</v>
      </c>
      <c r="I9" s="0" t="n">
        <v>334.582</v>
      </c>
      <c r="J9" s="0" t="n">
        <v>1620.016</v>
      </c>
      <c r="K9" s="0" t="n">
        <v>2754.305</v>
      </c>
      <c r="L9" s="0" t="n">
        <v>1416.993</v>
      </c>
      <c r="M9" s="0" t="n">
        <v>36138.643</v>
      </c>
      <c r="N9" s="0" t="n">
        <v>3650.07</v>
      </c>
      <c r="O9" s="0" t="n">
        <v>91.153</v>
      </c>
      <c r="P9" s="0" t="n">
        <v>90.465</v>
      </c>
      <c r="Q9" s="0" t="n">
        <v>2251.22</v>
      </c>
      <c r="R9" s="0" t="n">
        <v>2004.149</v>
      </c>
      <c r="S9" s="0" t="n">
        <v>4218.711</v>
      </c>
      <c r="T9" s="0" t="n">
        <v>2997.399</v>
      </c>
      <c r="U9" s="0" t="n">
        <v>1935.739</v>
      </c>
      <c r="V9" s="0" t="n">
        <v>121256.469</v>
      </c>
      <c r="W9" s="0" t="n">
        <v>320.177</v>
      </c>
      <c r="X9" s="0" t="n">
        <v>851.541</v>
      </c>
      <c r="Y9" s="0" t="n">
        <v>91.153</v>
      </c>
      <c r="Z9" s="0" t="n">
        <v>980.102</v>
      </c>
      <c r="AA9" s="0" t="n">
        <f aca="false">H9*x_c_F+I9*x_c_CC+J9*x_c_DC+K9*x_c_HCC+L9*x_c_PLT+M9*x_c_SVRn+N9*x_c_SVRcc+O9*x_c_LT+P9*x_c_LT1</f>
        <v>324875364.884453</v>
      </c>
      <c r="AB9" s="0" t="n">
        <f aca="false">C9*x_c_DAA</f>
        <v>132291293.72</v>
      </c>
      <c r="AC9" s="0" t="n">
        <f aca="false">C9*x_c_MON</f>
        <v>33509511.9115404</v>
      </c>
      <c r="AD9" s="0" t="n">
        <f aca="false">D9*(1-x_testy)</f>
        <v>0</v>
      </c>
      <c r="AE9" s="0" t="n">
        <f aca="false">E9*(1-x_testy)</f>
        <v>0</v>
      </c>
      <c r="AF9" s="0" t="n">
        <f aca="false">F9*x_NAV</f>
        <v>0</v>
      </c>
      <c r="AG9" s="0" t="n">
        <f aca="false">G9*x_FIX*(1-x_testy)</f>
        <v>0</v>
      </c>
      <c r="AH9" s="0" t="n">
        <f aca="false">x_z_F*U9+(1-x_AGRI)*x_EMP*x_WLOSS*(x_PEN_K74*Q9+x_PEN_C22*R9)</f>
        <v>49493068.1047374</v>
      </c>
      <c r="AI9" s="0" t="n">
        <f aca="false">x_AGRI*x_EMP*x_WLOSS*(x_PEN_K74*Q9+x_PEN_C22*R9)</f>
        <v>3008346.3843101</v>
      </c>
      <c r="AJ9" s="0" t="n">
        <f aca="false">x_EMP*x_WAGE*(x_WLOSS*(Q9+R9)+S9)+U9*x_ABS_D*x_WAGE/365</f>
        <v>598084846.034379</v>
      </c>
      <c r="AK9" s="0" t="n">
        <f aca="false">AJ9*x_R_FUS</f>
        <v>189234045.285277</v>
      </c>
      <c r="AL9" s="0" t="n">
        <f aca="false">AJ9*x_R_NFZ</f>
        <v>46447867.2278759</v>
      </c>
      <c r="AM9" s="0" t="n">
        <f aca="false">AJ9*x_R_PIT</f>
        <v>39763176.8778508</v>
      </c>
      <c r="AN9" s="0" t="n">
        <f aca="false">AJ9*x_R_FP</f>
        <v>15251163.5738767</v>
      </c>
      <c r="AO9" s="0" t="n">
        <f aca="false">AA9+AB9+AC9+AD9+AF9</f>
        <v>490676170.515993</v>
      </c>
      <c r="AP9" s="0" t="n">
        <f aca="false">AO9+AE9+AG9+AH9+AI9+AK9+AL9+AM9+AN9</f>
        <v>833873837.969921</v>
      </c>
      <c r="AQ9" s="0" t="n">
        <f aca="false">AO9+AE9+AG9+AJ9</f>
        <v>1088761016.55037</v>
      </c>
      <c r="AR9" s="0" t="n">
        <f aca="false">AB9+AC9+AD9+AF9</f>
        <v>165800805.63154</v>
      </c>
      <c r="AS9" s="0" t="n">
        <f aca="false">AR9+AE9+AG9</f>
        <v>165800805.63154</v>
      </c>
    </row>
    <row r="10" customFormat="false" ht="15" hidden="false" customHeight="false" outlineLevel="0" collapsed="false">
      <c r="A10" s="0" t="n">
        <v>2033</v>
      </c>
      <c r="B10" s="0" t="n">
        <v>7</v>
      </c>
      <c r="C10" s="0" t="n">
        <v>5787.908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2637.604</v>
      </c>
      <c r="I10" s="0" t="n">
        <v>344.541</v>
      </c>
      <c r="J10" s="0" t="n">
        <v>1644.32</v>
      </c>
      <c r="K10" s="0" t="n">
        <v>2807.41</v>
      </c>
      <c r="L10" s="0" t="n">
        <v>1403.264</v>
      </c>
      <c r="M10" s="0" t="n">
        <v>40581.419</v>
      </c>
      <c r="N10" s="0" t="n">
        <v>4173.275</v>
      </c>
      <c r="O10" s="0" t="n">
        <v>92.597</v>
      </c>
      <c r="P10" s="0" t="n">
        <v>91.875</v>
      </c>
      <c r="Q10" s="0" t="n">
        <v>2289.652</v>
      </c>
      <c r="R10" s="0" t="n">
        <v>2072.888</v>
      </c>
      <c r="S10" s="0" t="n">
        <v>4921.085</v>
      </c>
      <c r="T10" s="0" t="n">
        <v>2982.145</v>
      </c>
      <c r="U10" s="0" t="n">
        <v>1965.997</v>
      </c>
      <c r="V10" s="0" t="n">
        <v>122665.004</v>
      </c>
      <c r="W10" s="0" t="n">
        <v>325.824</v>
      </c>
      <c r="X10" s="0" t="n">
        <v>862.768</v>
      </c>
      <c r="Y10" s="0" t="n">
        <v>92.597</v>
      </c>
      <c r="Z10" s="0" t="n">
        <v>996.632</v>
      </c>
      <c r="AA10" s="0" t="n">
        <f aca="false">H10*x_c_F+I10*x_c_CC+J10*x_c_DC+K10*x_c_HCC+L10*x_c_PLT+M10*x_c_SVRn+N10*x_c_SVRcc+O10*x_c_LT+P10*x_c_LT1</f>
        <v>332912770.169855</v>
      </c>
      <c r="AB10" s="0" t="n">
        <f aca="false">C10*x_c_DAA</f>
        <v>131732786.08</v>
      </c>
      <c r="AC10" s="0" t="n">
        <f aca="false">C10*x_c_MON</f>
        <v>33368041.3892634</v>
      </c>
      <c r="AD10" s="0" t="n">
        <f aca="false">D10*(1-x_testy)</f>
        <v>0</v>
      </c>
      <c r="AE10" s="0" t="n">
        <f aca="false">E10*(1-x_testy)</f>
        <v>0</v>
      </c>
      <c r="AF10" s="0" t="n">
        <f aca="false">F10*x_NAV</f>
        <v>0</v>
      </c>
      <c r="AG10" s="0" t="n">
        <f aca="false">G10*x_FIX*(1-x_testy)</f>
        <v>0</v>
      </c>
      <c r="AH10" s="0" t="n">
        <f aca="false">x_z_F*U10+(1-x_AGRI)*x_EMP*x_WLOSS*(x_PEN_K74*Q10+x_PEN_C22*R10)</f>
        <v>50726573.7647452</v>
      </c>
      <c r="AI10" s="0" t="n">
        <f aca="false">x_AGRI*x_EMP*x_WLOSS*(x_PEN_K74*Q10+x_PEN_C22*R10)</f>
        <v>3085766.93690738</v>
      </c>
      <c r="AJ10" s="0" t="n">
        <f aca="false">x_EMP*x_WAGE*(x_WLOSS*(Q10+R10)+S10)+U10*x_ABS_D*x_WAGE/365</f>
        <v>663919239.306899</v>
      </c>
      <c r="AK10" s="0" t="n">
        <f aca="false">AJ10*x_R_FUS</f>
        <v>210064047.316703</v>
      </c>
      <c r="AL10" s="0" t="n">
        <f aca="false">AJ10*x_R_NFZ</f>
        <v>51560632.0438131</v>
      </c>
      <c r="AM10" s="0" t="n">
        <f aca="false">AJ10*x_R_PIT</f>
        <v>44140122.1251657</v>
      </c>
      <c r="AN10" s="0" t="n">
        <f aca="false">AJ10*x_R_FP</f>
        <v>16929940.6023259</v>
      </c>
      <c r="AO10" s="0" t="n">
        <f aca="false">AA10+AB10+AC10+AD10+AF10</f>
        <v>498013597.639118</v>
      </c>
      <c r="AP10" s="0" t="n">
        <f aca="false">AO10+AE10+AG10+AH10+AI10+AK10+AL10+AM10+AN10</f>
        <v>874520680.428778</v>
      </c>
      <c r="AQ10" s="0" t="n">
        <f aca="false">AO10+AE10+AG10+AJ10</f>
        <v>1161932836.94602</v>
      </c>
      <c r="AR10" s="0" t="n">
        <f aca="false">AB10+AC10+AD10+AF10</f>
        <v>165100827.469263</v>
      </c>
      <c r="AS10" s="0" t="n">
        <f aca="false">AR10+AE10+AG10</f>
        <v>165100827.469263</v>
      </c>
    </row>
    <row r="11" customFormat="false" ht="15" hidden="false" customHeight="false" outlineLevel="0" collapsed="false">
      <c r="A11" s="0" t="n">
        <v>2034</v>
      </c>
      <c r="B11" s="0" t="n">
        <v>8</v>
      </c>
      <c r="C11" s="0" t="n">
        <v>5764.307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2614.751</v>
      </c>
      <c r="I11" s="0" t="n">
        <v>352.597</v>
      </c>
      <c r="J11" s="0" t="n">
        <v>1667.77</v>
      </c>
      <c r="K11" s="0" t="n">
        <v>2852.363</v>
      </c>
      <c r="L11" s="0" t="n">
        <v>1390.202</v>
      </c>
      <c r="M11" s="0" t="n">
        <v>44907.583</v>
      </c>
      <c r="N11" s="0" t="n">
        <v>4691.051</v>
      </c>
      <c r="O11" s="0" t="n">
        <v>93.976</v>
      </c>
      <c r="P11" s="0" t="n">
        <v>93.286</v>
      </c>
      <c r="Q11" s="0" t="n">
        <v>2329.669</v>
      </c>
      <c r="R11" s="0" t="n">
        <v>2137.573</v>
      </c>
      <c r="S11" s="0" t="n">
        <v>5639.581</v>
      </c>
      <c r="T11" s="0" t="n">
        <v>2967.348</v>
      </c>
      <c r="U11" s="0" t="n">
        <v>1994.584</v>
      </c>
      <c r="V11" s="0" t="n">
        <v>124078.802</v>
      </c>
      <c r="W11" s="0" t="n">
        <v>329.595</v>
      </c>
      <c r="X11" s="0" t="n">
        <v>869.342</v>
      </c>
      <c r="Y11" s="0" t="n">
        <v>93.976</v>
      </c>
      <c r="Z11" s="0" t="n">
        <v>1011.33</v>
      </c>
      <c r="AA11" s="0" t="n">
        <f aca="false">H11*x_c_F+I11*x_c_CC+J11*x_c_DC+K11*x_c_HCC+L11*x_c_PLT+M11*x_c_SVRn+N11*x_c_SVRcc+O11*x_c_LT+P11*x_c_LT1</f>
        <v>340331498.073213</v>
      </c>
      <c r="AB11" s="0" t="n">
        <f aca="false">C11*x_c_DAA</f>
        <v>131195627.32</v>
      </c>
      <c r="AC11" s="0" t="n">
        <f aca="false">C11*x_c_MON</f>
        <v>33231978.5588197</v>
      </c>
      <c r="AD11" s="0" t="n">
        <f aca="false">D11*(1-x_testy)</f>
        <v>0</v>
      </c>
      <c r="AE11" s="0" t="n">
        <f aca="false">E11*(1-x_testy)</f>
        <v>0</v>
      </c>
      <c r="AF11" s="0" t="n">
        <f aca="false">F11*x_NAV</f>
        <v>0</v>
      </c>
      <c r="AG11" s="0" t="n">
        <f aca="false">G11*x_FIX*(1-x_testy)</f>
        <v>0</v>
      </c>
      <c r="AH11" s="0" t="n">
        <f aca="false">x_z_F*U11+(1-x_AGRI)*x_EMP*x_WLOSS*(x_PEN_K74*Q11+x_PEN_C22*R11)</f>
        <v>51926271.7223044</v>
      </c>
      <c r="AI11" s="0" t="n">
        <f aca="false">x_AGRI*x_EMP*x_WLOSS*(x_PEN_K74*Q11+x_PEN_C22*R11)</f>
        <v>3161179.93991534</v>
      </c>
      <c r="AJ11" s="0" t="n">
        <f aca="false">x_EMP*x_WAGE*(x_WLOSS*(Q11+R11)+S11)+U11*x_ABS_D*x_WAGE/365</f>
        <v>730988273.890604</v>
      </c>
      <c r="AK11" s="0" t="n">
        <f aca="false">AJ11*x_R_FUS</f>
        <v>231284689.858987</v>
      </c>
      <c r="AL11" s="0" t="n">
        <f aca="false">AJ11*x_R_NFZ</f>
        <v>56769280.3386182</v>
      </c>
      <c r="AM11" s="0" t="n">
        <f aca="false">AJ11*x_R_PIT</f>
        <v>48599151.4800496</v>
      </c>
      <c r="AN11" s="0" t="n">
        <f aca="false">AJ11*x_R_FP</f>
        <v>18640200.9842104</v>
      </c>
      <c r="AO11" s="0" t="n">
        <f aca="false">AA11+AB11+AC11+AD11+AF11</f>
        <v>504759103.952033</v>
      </c>
      <c r="AP11" s="0" t="n">
        <f aca="false">AO11+AE11+AG11+AH11+AI11+AK11+AL11+AM11+AN11</f>
        <v>915139878.276118</v>
      </c>
      <c r="AQ11" s="0" t="n">
        <f aca="false">AO11+AE11+AG11+AJ11</f>
        <v>1235747377.84264</v>
      </c>
      <c r="AR11" s="0" t="n">
        <f aca="false">AB11+AC11+AD11+AF11</f>
        <v>164427605.87882</v>
      </c>
      <c r="AS11" s="0" t="n">
        <f aca="false">AR11+AE11+AG11</f>
        <v>164427605.87882</v>
      </c>
    </row>
    <row r="12" customFormat="false" ht="15" hidden="false" customHeight="false" outlineLevel="0" collapsed="false">
      <c r="A12" s="0" t="n">
        <v>2035</v>
      </c>
      <c r="B12" s="0" t="n">
        <v>9</v>
      </c>
      <c r="C12" s="0" t="n">
        <v>5741.579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2401.903</v>
      </c>
      <c r="I12" s="0" t="n">
        <v>331.735</v>
      </c>
      <c r="J12" s="0" t="n">
        <v>1688.516</v>
      </c>
      <c r="K12" s="0" t="n">
        <v>2886.756</v>
      </c>
      <c r="L12" s="0" t="n">
        <v>1377.714</v>
      </c>
      <c r="M12" s="0" t="n">
        <v>48741.965</v>
      </c>
      <c r="N12" s="0" t="n">
        <v>5145.901</v>
      </c>
      <c r="O12" s="0" t="n">
        <v>95.185</v>
      </c>
      <c r="P12" s="0" t="n">
        <v>94.581</v>
      </c>
      <c r="Q12" s="0" t="n">
        <v>2369.737</v>
      </c>
      <c r="R12" s="0" t="n">
        <v>2196.226</v>
      </c>
      <c r="S12" s="0" t="n">
        <v>6372.126</v>
      </c>
      <c r="T12" s="0" t="n">
        <v>2733.637</v>
      </c>
      <c r="U12" s="0" t="n">
        <v>1870.026</v>
      </c>
      <c r="V12" s="0" t="n">
        <v>125467.855</v>
      </c>
      <c r="W12" s="0" t="n">
        <v>331.444</v>
      </c>
      <c r="X12" s="0" t="n">
        <v>871.328</v>
      </c>
      <c r="Y12" s="0" t="n">
        <v>95.185</v>
      </c>
      <c r="Z12" s="0" t="n">
        <v>1023.22</v>
      </c>
      <c r="AA12" s="0" t="n">
        <f aca="false">H12*x_c_F+I12*x_c_CC+J12*x_c_DC+K12*x_c_HCC+L12*x_c_PLT+M12*x_c_SVRn+N12*x_c_SVRcc+O12*x_c_LT+P12*x_c_LT1</f>
        <v>345799225.88181</v>
      </c>
      <c r="AB12" s="0" t="n">
        <f aca="false">C12*x_c_DAA</f>
        <v>130678338.04</v>
      </c>
      <c r="AC12" s="0" t="n">
        <f aca="false">C12*x_c_MON</f>
        <v>33100948.6867666</v>
      </c>
      <c r="AD12" s="0" t="n">
        <f aca="false">D12*(1-x_testy)</f>
        <v>0</v>
      </c>
      <c r="AE12" s="0" t="n">
        <f aca="false">E12*(1-x_testy)</f>
        <v>0</v>
      </c>
      <c r="AF12" s="0" t="n">
        <f aca="false">F12*x_NAV</f>
        <v>0</v>
      </c>
      <c r="AG12" s="0" t="n">
        <f aca="false">G12*x_FIX*(1-x_testy)</f>
        <v>0</v>
      </c>
      <c r="AH12" s="0" t="n">
        <f aca="false">x_z_F*U12+(1-x_AGRI)*x_EMP*x_WLOSS*(x_PEN_K74*Q12+x_PEN_C22*R12)</f>
        <v>52742738.642427</v>
      </c>
      <c r="AI12" s="0" t="n">
        <f aca="false">x_AGRI*x_EMP*x_WLOSS*(x_PEN_K74*Q12+x_PEN_C22*R12)</f>
        <v>3232073.20776315</v>
      </c>
      <c r="AJ12" s="0" t="n">
        <f aca="false">x_EMP*x_WAGE*(x_WLOSS*(Q12+R12)+S12)+U12*x_ABS_D*x_WAGE/365</f>
        <v>798478208.092174</v>
      </c>
      <c r="AK12" s="0" t="n">
        <f aca="false">AJ12*x_R_FUS</f>
        <v>252638505.040364</v>
      </c>
      <c r="AL12" s="0" t="n">
        <f aca="false">AJ12*x_R_NFZ</f>
        <v>62010616.1186463</v>
      </c>
      <c r="AM12" s="0" t="n">
        <f aca="false">AJ12*x_R_PIT</f>
        <v>53086163.998299</v>
      </c>
      <c r="AN12" s="0" t="n">
        <f aca="false">AJ12*x_R_FP</f>
        <v>20361194.3063504</v>
      </c>
      <c r="AO12" s="0" t="n">
        <f aca="false">AA12+AB12+AC12+AD12+AF12</f>
        <v>509578512.608577</v>
      </c>
      <c r="AP12" s="0" t="n">
        <f aca="false">AO12+AE12+AG12+AH12+AI12+AK12+AL12+AM12+AN12</f>
        <v>953649803.922426</v>
      </c>
      <c r="AQ12" s="0" t="n">
        <f aca="false">AO12+AE12+AG12+AJ12</f>
        <v>1308056720.70075</v>
      </c>
      <c r="AR12" s="0" t="n">
        <f aca="false">AB12+AC12+AD12+AF12</f>
        <v>163779286.726767</v>
      </c>
      <c r="AS12" s="0" t="n">
        <f aca="false">AR12+AE12+AG12</f>
        <v>163779286.726767</v>
      </c>
    </row>
    <row r="13" customFormat="false" ht="15" hidden="false" customHeight="false" outlineLevel="0" collapsed="false">
      <c r="A13" s="0" t="n">
        <v>2036</v>
      </c>
      <c r="B13" s="0" t="n">
        <v>10</v>
      </c>
      <c r="C13" s="0" t="n">
        <v>4832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2197.105</v>
      </c>
      <c r="I13" s="0" t="n">
        <v>309.251</v>
      </c>
      <c r="J13" s="0" t="n">
        <v>1705.908</v>
      </c>
      <c r="K13" s="0" t="n">
        <v>2911.047</v>
      </c>
      <c r="L13" s="0" t="n">
        <v>1365.586</v>
      </c>
      <c r="M13" s="0" t="n">
        <v>52100.495</v>
      </c>
      <c r="N13" s="0" t="n">
        <v>5535.595</v>
      </c>
      <c r="O13" s="0" t="n">
        <v>96.13</v>
      </c>
      <c r="P13" s="0" t="n">
        <v>95.658</v>
      </c>
      <c r="Q13" s="0" t="n">
        <v>2409.161</v>
      </c>
      <c r="R13" s="0" t="n">
        <v>2249.068</v>
      </c>
      <c r="S13" s="0" t="n">
        <v>7115.807</v>
      </c>
      <c r="T13" s="0" t="n">
        <v>2506.356</v>
      </c>
      <c r="U13" s="0" t="n">
        <v>1745.465</v>
      </c>
      <c r="V13" s="0" t="n">
        <v>126825.319</v>
      </c>
      <c r="W13" s="0" t="n">
        <v>333.187</v>
      </c>
      <c r="X13" s="0" t="n">
        <v>873.034</v>
      </c>
      <c r="Y13" s="0" t="n">
        <v>96.13</v>
      </c>
      <c r="Z13" s="0" t="n">
        <v>1031.517</v>
      </c>
      <c r="AA13" s="0" t="n">
        <f aca="false">H13*x_c_F+I13*x_c_CC+J13*x_c_DC+K13*x_c_HCC+L13*x_c_PLT+M13*x_c_SVRn+N13*x_c_SVRcc+O13*x_c_LT+P13*x_c_LT1</f>
        <v>350026868.997597</v>
      </c>
      <c r="AB13" s="0" t="n">
        <f aca="false">C13*x_c_DAA</f>
        <v>109976320</v>
      </c>
      <c r="AC13" s="0" t="n">
        <f aca="false">C13*x_c_MON</f>
        <v>27857107.6100244</v>
      </c>
      <c r="AD13" s="0" t="n">
        <f aca="false">D13*(1-x_testy)</f>
        <v>0</v>
      </c>
      <c r="AE13" s="0" t="n">
        <f aca="false">E13*(1-x_testy)</f>
        <v>0</v>
      </c>
      <c r="AF13" s="0" t="n">
        <f aca="false">F13*x_NAV</f>
        <v>0</v>
      </c>
      <c r="AG13" s="0" t="n">
        <f aca="false">G13*x_FIX*(1-x_testy)</f>
        <v>0</v>
      </c>
      <c r="AH13" s="0" t="n">
        <f aca="false">x_z_F*U13+(1-x_AGRI)*x_EMP*x_WLOSS*(x_PEN_K74*Q13+x_PEN_C22*R13)</f>
        <v>53486359.745353</v>
      </c>
      <c r="AI13" s="0" t="n">
        <f aca="false">x_AGRI*x_EMP*x_WLOSS*(x_PEN_K74*Q13+x_PEN_C22*R13)</f>
        <v>3298151.91455813</v>
      </c>
      <c r="AJ13" s="0" t="n">
        <f aca="false">x_EMP*x_WAGE*(x_WLOSS*(Q13+R13)+S13)+U13*x_ABS_D*x_WAGE/365</f>
        <v>866564595.666777</v>
      </c>
      <c r="AK13" s="0" t="n">
        <f aca="false">AJ13*x_R_FUS</f>
        <v>274181038.068968</v>
      </c>
      <c r="AL13" s="0" t="n">
        <f aca="false">AJ13*x_R_NFZ</f>
        <v>67298273.0640775</v>
      </c>
      <c r="AM13" s="0" t="n">
        <f aca="false">AJ13*x_R_PIT</f>
        <v>57612831.2262917</v>
      </c>
      <c r="AN13" s="0" t="n">
        <f aca="false">AJ13*x_R_FP</f>
        <v>22097397.1895028</v>
      </c>
      <c r="AO13" s="0" t="n">
        <f aca="false">AA13+AB13+AC13+AD13+AF13</f>
        <v>487860296.607622</v>
      </c>
      <c r="AP13" s="0" t="n">
        <f aca="false">AO13+AE13+AG13+AH13+AI13+AK13+AL13+AM13+AN13</f>
        <v>965834347.816373</v>
      </c>
      <c r="AQ13" s="0" t="n">
        <f aca="false">AO13+AE13+AG13+AJ13</f>
        <v>1354424892.2744</v>
      </c>
      <c r="AR13" s="0" t="n">
        <f aca="false">AB13+AC13+AD13+AF13</f>
        <v>137833427.610024</v>
      </c>
      <c r="AS13" s="0" t="n">
        <f aca="false">AR13+AE13+AG13</f>
        <v>137833427.610024</v>
      </c>
    </row>
    <row r="14" customFormat="false" ht="15" hidden="false" customHeight="false" outlineLevel="0" collapsed="false">
      <c r="A14" s="0" t="n">
        <v>2037</v>
      </c>
      <c r="B14" s="0" t="n">
        <v>11</v>
      </c>
      <c r="C14" s="0" t="n">
        <v>4832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2192.396</v>
      </c>
      <c r="I14" s="0" t="n">
        <v>312.245</v>
      </c>
      <c r="J14" s="0" t="n">
        <v>1719.478</v>
      </c>
      <c r="K14" s="0" t="n">
        <v>2925.845</v>
      </c>
      <c r="L14" s="0" t="n">
        <v>1353.496</v>
      </c>
      <c r="M14" s="0" t="n">
        <v>55375.24</v>
      </c>
      <c r="N14" s="0" t="n">
        <v>5911.053</v>
      </c>
      <c r="O14" s="0" t="n">
        <v>96.856</v>
      </c>
      <c r="P14" s="0" t="n">
        <v>96.493</v>
      </c>
      <c r="Q14" s="0" t="n">
        <v>2447.363</v>
      </c>
      <c r="R14" s="0" t="n">
        <v>2296.446</v>
      </c>
      <c r="S14" s="0" t="n">
        <v>7867.498</v>
      </c>
      <c r="T14" s="0" t="n">
        <v>2504.64</v>
      </c>
      <c r="U14" s="0" t="n">
        <v>1772.488</v>
      </c>
      <c r="V14" s="0" t="n">
        <v>128166.754</v>
      </c>
      <c r="W14" s="0" t="n">
        <v>333.194</v>
      </c>
      <c r="X14" s="0" t="n">
        <v>870.786</v>
      </c>
      <c r="Y14" s="0" t="n">
        <v>96.856</v>
      </c>
      <c r="Z14" s="0" t="n">
        <v>1037.02</v>
      </c>
      <c r="AA14" s="0" t="n">
        <f aca="false">H14*x_c_F+I14*x_c_CC+J14*x_c_DC+K14*x_c_HCC+L14*x_c_PLT+M14*x_c_SVRn+N14*x_c_SVRcc+O14*x_c_LT+P14*x_c_LT1</f>
        <v>354143158.293732</v>
      </c>
      <c r="AB14" s="0" t="n">
        <f aca="false">C14*x_c_DAA</f>
        <v>109976320</v>
      </c>
      <c r="AC14" s="0" t="n">
        <f aca="false">C14*x_c_MON</f>
        <v>27857107.6100244</v>
      </c>
      <c r="AD14" s="0" t="n">
        <f aca="false">D14*(1-x_testy)</f>
        <v>0</v>
      </c>
      <c r="AE14" s="0" t="n">
        <f aca="false">E14*(1-x_testy)</f>
        <v>0</v>
      </c>
      <c r="AF14" s="0" t="n">
        <f aca="false">F14*x_NAV</f>
        <v>0</v>
      </c>
      <c r="AG14" s="0" t="n">
        <f aca="false">G14*x_FIX*(1-x_testy)</f>
        <v>0</v>
      </c>
      <c r="AH14" s="0" t="n">
        <f aca="false">x_z_F*U14+(1-x_AGRI)*x_EMP*x_WLOSS*(x_PEN_K74*Q14+x_PEN_C22*R14)</f>
        <v>54466938.1731474</v>
      </c>
      <c r="AI14" s="0" t="n">
        <f aca="false">x_AGRI*x_EMP*x_WLOSS*(x_PEN_K74*Q14+x_PEN_C22*R14)</f>
        <v>3359294.07141164</v>
      </c>
      <c r="AJ14" s="0" t="n">
        <f aca="false">x_EMP*x_WAGE*(x_WLOSS*(Q14+R14)+S14)+U14*x_ABS_D*x_WAGE/365</f>
        <v>935413550.950737</v>
      </c>
      <c r="AK14" s="0" t="n">
        <f aca="false">AJ14*x_R_FUS</f>
        <v>295964847.520813</v>
      </c>
      <c r="AL14" s="0" t="n">
        <f aca="false">AJ14*x_R_NFZ</f>
        <v>72645151.7803852</v>
      </c>
      <c r="AM14" s="0" t="n">
        <f aca="false">AJ14*x_R_PIT</f>
        <v>62190197.1384418</v>
      </c>
      <c r="AN14" s="0" t="n">
        <f aca="false">AJ14*x_R_FP</f>
        <v>23853045.5492438</v>
      </c>
      <c r="AO14" s="0" t="n">
        <f aca="false">AA14+AB14+AC14+AD14+AF14</f>
        <v>491976585.903756</v>
      </c>
      <c r="AP14" s="0" t="n">
        <f aca="false">AO14+AE14+AG14+AH14+AI14+AK14+AL14+AM14+AN14</f>
        <v>1004456060.1372</v>
      </c>
      <c r="AQ14" s="0" t="n">
        <f aca="false">AO14+AE14+AG14+AJ14</f>
        <v>1427390136.85449</v>
      </c>
      <c r="AR14" s="0" t="n">
        <f aca="false">AB14+AC14+AD14+AF14</f>
        <v>137833427.610024</v>
      </c>
      <c r="AS14" s="0" t="n">
        <f aca="false">AR14+AE14+AG14</f>
        <v>137833427.610024</v>
      </c>
    </row>
    <row r="15" customFormat="false" ht="15" hidden="false" customHeight="false" outlineLevel="0" collapsed="false">
      <c r="A15" s="0" t="n">
        <v>2038</v>
      </c>
      <c r="B15" s="0" t="n">
        <v>12</v>
      </c>
      <c r="C15" s="0" t="n">
        <v>4832</v>
      </c>
      <c r="D15" s="0" t="n">
        <v>0</v>
      </c>
      <c r="E15" s="0" t="n">
        <v>0</v>
      </c>
      <c r="F15" s="0" t="n">
        <v>0</v>
      </c>
      <c r="G15" s="0" t="n">
        <v>0</v>
      </c>
      <c r="H15" s="0" t="n">
        <v>2189.313</v>
      </c>
      <c r="I15" s="0" t="n">
        <v>313.615</v>
      </c>
      <c r="J15" s="0" t="n">
        <v>1728.076</v>
      </c>
      <c r="K15" s="0" t="n">
        <v>2929.894</v>
      </c>
      <c r="L15" s="0" t="n">
        <v>1341.114</v>
      </c>
      <c r="M15" s="0" t="n">
        <v>58565.782</v>
      </c>
      <c r="N15" s="0" t="n">
        <v>6268.357</v>
      </c>
      <c r="O15" s="0" t="n">
        <v>97.291</v>
      </c>
      <c r="P15" s="0" t="n">
        <v>97.073</v>
      </c>
      <c r="Q15" s="0" t="n">
        <v>1613.586</v>
      </c>
      <c r="R15" s="0" t="n">
        <v>1532.299</v>
      </c>
      <c r="S15" s="0" t="n">
        <v>5477.165</v>
      </c>
      <c r="T15" s="0" t="n">
        <v>2502.928</v>
      </c>
      <c r="U15" s="0" t="n">
        <v>1518.453</v>
      </c>
      <c r="V15" s="0" t="n">
        <v>129486.108</v>
      </c>
      <c r="W15" s="0" t="n">
        <v>331.552</v>
      </c>
      <c r="X15" s="0" t="n">
        <v>864.84</v>
      </c>
      <c r="Y15" s="0" t="n">
        <v>97.291</v>
      </c>
      <c r="Z15" s="0" t="n">
        <v>1039.138</v>
      </c>
      <c r="AA15" s="0" t="n">
        <f aca="false">H15*x_c_F+I15*x_c_CC+J15*x_c_DC+K15*x_c_HCC+L15*x_c_PLT+M15*x_c_SVRn+N15*x_c_SVRcc+O15*x_c_LT+P15*x_c_LT1</f>
        <v>357267298.087884</v>
      </c>
      <c r="AB15" s="0" t="n">
        <f aca="false">C15*x_c_DAA</f>
        <v>109976320</v>
      </c>
      <c r="AC15" s="0" t="n">
        <f aca="false">C15*x_c_MON</f>
        <v>27857107.6100244</v>
      </c>
      <c r="AD15" s="0" t="n">
        <f aca="false">D15*(1-x_testy)</f>
        <v>0</v>
      </c>
      <c r="AE15" s="0" t="n">
        <f aca="false">E15*(1-x_testy)</f>
        <v>0</v>
      </c>
      <c r="AF15" s="0" t="n">
        <f aca="false">F15*x_NAV</f>
        <v>0</v>
      </c>
      <c r="AG15" s="0" t="n">
        <f aca="false">G15*x_FIX*(1-x_testy)</f>
        <v>0</v>
      </c>
      <c r="AH15" s="0" t="n">
        <f aca="false">x_z_F*U15+(1-x_AGRI)*x_EMP*x_WLOSS*(x_PEN_K74*Q15+x_PEN_C22*R15)</f>
        <v>36838171.0564571</v>
      </c>
      <c r="AI15" s="0" t="n">
        <f aca="false">x_AGRI*x_EMP*x_WLOSS*(x_PEN_K74*Q15+x_PEN_C22*R15)</f>
        <v>2228587.58680591</v>
      </c>
      <c r="AJ15" s="0" t="n">
        <f aca="false">x_EMP*x_WAGE*(x_WLOSS*(Q15+R15)+S15)+U15*x_ABS_D*x_WAGE/365</f>
        <v>643482187.731598</v>
      </c>
      <c r="AK15" s="0" t="n">
        <f aca="false">AJ15*x_R_FUS</f>
        <v>203597764.198278</v>
      </c>
      <c r="AL15" s="0" t="n">
        <f aca="false">AJ15*x_R_NFZ</f>
        <v>49973470.1814237</v>
      </c>
      <c r="AM15" s="0" t="n">
        <f aca="false">AJ15*x_R_PIT</f>
        <v>42781381.6353527</v>
      </c>
      <c r="AN15" s="0" t="n">
        <f aca="false">AJ15*x_R_FP</f>
        <v>16408795.7871558</v>
      </c>
      <c r="AO15" s="0" t="n">
        <f aca="false">AA15+AB15+AC15+AD15+AF15</f>
        <v>495100725.697909</v>
      </c>
      <c r="AP15" s="0" t="n">
        <f aca="false">AO15+AE15+AG15+AH15+AI15+AK15+AL15+AM15+AN15</f>
        <v>846928896.143381</v>
      </c>
      <c r="AQ15" s="0" t="n">
        <f aca="false">AO15+AE15+AG15+AJ15</f>
        <v>1138582913.42951</v>
      </c>
      <c r="AR15" s="0" t="n">
        <f aca="false">AB15+AC15+AD15+AF15</f>
        <v>137833427.610024</v>
      </c>
      <c r="AS15" s="0" t="n">
        <f aca="false">AR15+AE15+AG15</f>
        <v>137833427.610024</v>
      </c>
    </row>
    <row r="16" customFormat="false" ht="15" hidden="false" customHeight="false" outlineLevel="0" collapsed="false">
      <c r="A16" s="0" t="n">
        <v>2039</v>
      </c>
      <c r="B16" s="0" t="n">
        <v>13</v>
      </c>
      <c r="C16" s="0" t="n">
        <v>4832</v>
      </c>
      <c r="D16" s="0" t="n">
        <v>0</v>
      </c>
      <c r="E16" s="0" t="n">
        <v>0</v>
      </c>
      <c r="F16" s="0" t="n">
        <v>0</v>
      </c>
      <c r="G16" s="0" t="n">
        <v>0</v>
      </c>
      <c r="H16" s="0" t="n">
        <v>2187.788</v>
      </c>
      <c r="I16" s="0" t="n">
        <v>313.435</v>
      </c>
      <c r="J16" s="0" t="n">
        <v>1730.874</v>
      </c>
      <c r="K16" s="0" t="n">
        <v>2922.607</v>
      </c>
      <c r="L16" s="0" t="n">
        <v>1328.102</v>
      </c>
      <c r="M16" s="0" t="n">
        <v>61671.184</v>
      </c>
      <c r="N16" s="0" t="n">
        <v>6603.736</v>
      </c>
      <c r="O16" s="0" t="n">
        <v>97.389</v>
      </c>
      <c r="P16" s="0" t="n">
        <v>97.34</v>
      </c>
      <c r="Q16" s="0" t="n">
        <v>771.773</v>
      </c>
      <c r="R16" s="0" t="n">
        <v>760.224</v>
      </c>
      <c r="S16" s="0" t="n">
        <v>2840.053</v>
      </c>
      <c r="T16" s="0" t="n">
        <v>2501.223</v>
      </c>
      <c r="U16" s="0" t="n">
        <v>1279.398</v>
      </c>
      <c r="V16" s="0" t="n">
        <v>130777.76</v>
      </c>
      <c r="W16" s="0" t="n">
        <v>328.389</v>
      </c>
      <c r="X16" s="0" t="n">
        <v>855.516</v>
      </c>
      <c r="Y16" s="0" t="n">
        <v>97.389</v>
      </c>
      <c r="Z16" s="0" t="n">
        <v>1037.519</v>
      </c>
      <c r="AA16" s="0" t="n">
        <f aca="false">H16*x_c_F+I16*x_c_CC+J16*x_c_DC+K16*x_c_HCC+L16*x_c_PLT+M16*x_c_SVRn+N16*x_c_SVRcc+O16*x_c_LT+P16*x_c_LT1</f>
        <v>359307449.146861</v>
      </c>
      <c r="AB16" s="0" t="n">
        <f aca="false">C16*x_c_DAA</f>
        <v>109976320</v>
      </c>
      <c r="AC16" s="0" t="n">
        <f aca="false">C16*x_c_MON</f>
        <v>27857107.6100244</v>
      </c>
      <c r="AD16" s="0" t="n">
        <f aca="false">D16*(1-x_testy)</f>
        <v>0</v>
      </c>
      <c r="AE16" s="0" t="n">
        <f aca="false">E16*(1-x_testy)</f>
        <v>0</v>
      </c>
      <c r="AF16" s="0" t="n">
        <f aca="false">F16*x_NAV</f>
        <v>0</v>
      </c>
      <c r="AG16" s="0" t="n">
        <f aca="false">G16*x_FIX*(1-x_testy)</f>
        <v>0</v>
      </c>
      <c r="AH16" s="0" t="n">
        <f aca="false">x_z_F*U16+(1-x_AGRI)*x_EMP*x_WLOSS*(x_PEN_K74*Q16+x_PEN_C22*R16)</f>
        <v>19068896.6717017</v>
      </c>
      <c r="AI16" s="0" t="n">
        <f aca="false">x_AGRI*x_EMP*x_WLOSS*(x_PEN_K74*Q16+x_PEN_C22*R16)</f>
        <v>1086558.18701164</v>
      </c>
      <c r="AJ16" s="0" t="n">
        <f aca="false">x_EMP*x_WAGE*(x_WLOSS*(Q16+R16)+S16)+U16*x_ABS_D*x_WAGE/365</f>
        <v>329681319.551716</v>
      </c>
      <c r="AK16" s="0" t="n">
        <f aca="false">AJ16*x_R_FUS</f>
        <v>104311169.506163</v>
      </c>
      <c r="AL16" s="0" t="n">
        <f aca="false">AJ16*x_R_NFZ</f>
        <v>25603380.9577058</v>
      </c>
      <c r="AM16" s="0" t="n">
        <f aca="false">AJ16*x_R_PIT</f>
        <v>21918590.162548</v>
      </c>
      <c r="AN16" s="0" t="n">
        <f aca="false">AJ16*x_R_FP</f>
        <v>8406873.64856877</v>
      </c>
      <c r="AO16" s="0" t="n">
        <f aca="false">AA16+AB16+AC16+AD16+AF16</f>
        <v>497140876.756886</v>
      </c>
      <c r="AP16" s="0" t="n">
        <f aca="false">AO16+AE16+AG16+AH16+AI16+AK16+AL16+AM16+AN16</f>
        <v>677536345.890585</v>
      </c>
      <c r="AQ16" s="0" t="n">
        <f aca="false">AO16+AE16+AG16+AJ16</f>
        <v>826822196.308602</v>
      </c>
      <c r="AR16" s="0" t="n">
        <f aca="false">AB16+AC16+AD16+AF16</f>
        <v>137833427.610024</v>
      </c>
      <c r="AS16" s="0" t="n">
        <f aca="false">AR16+AE16+AG16</f>
        <v>137833427.610024</v>
      </c>
    </row>
    <row r="17" customFormat="false" ht="15" hidden="false" customHeight="false" outlineLevel="0" collapsed="false">
      <c r="A17" s="0" t="n">
        <v>2040</v>
      </c>
      <c r="B17" s="0" t="n">
        <v>14</v>
      </c>
      <c r="C17" s="0" t="n">
        <v>4832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2187.717</v>
      </c>
      <c r="I17" s="0" t="n">
        <v>311.811</v>
      </c>
      <c r="J17" s="0" t="n">
        <v>1727.403</v>
      </c>
      <c r="K17" s="0" t="n">
        <v>2904.028</v>
      </c>
      <c r="L17" s="0" t="n">
        <v>1314.128</v>
      </c>
      <c r="M17" s="0" t="n">
        <v>64691.548</v>
      </c>
      <c r="N17" s="0" t="n">
        <v>6913.871</v>
      </c>
      <c r="O17" s="0" t="n">
        <v>97.127</v>
      </c>
      <c r="P17" s="0" t="n">
        <v>97.258</v>
      </c>
      <c r="Q17" s="0" t="n">
        <v>793.475</v>
      </c>
      <c r="R17" s="0" t="n">
        <v>789.203</v>
      </c>
      <c r="S17" s="0" t="n">
        <v>3105.879</v>
      </c>
      <c r="T17" s="0" t="n">
        <v>2499.529</v>
      </c>
      <c r="U17" s="0" t="n">
        <v>1334.805</v>
      </c>
      <c r="V17" s="0" t="n">
        <v>132038.965</v>
      </c>
      <c r="W17" s="0" t="n">
        <v>323.874</v>
      </c>
      <c r="X17" s="0" t="n">
        <v>843.222</v>
      </c>
      <c r="Y17" s="0" t="n">
        <v>97.127</v>
      </c>
      <c r="Z17" s="0" t="n">
        <v>1032.065</v>
      </c>
      <c r="AA17" s="0" t="n">
        <f aca="false">H17*x_c_F+I17*x_c_CC+J17*x_c_DC+K17*x_c_HCC+L17*x_c_PLT+M17*x_c_SVRn+N17*x_c_SVRcc+O17*x_c_LT+P17*x_c_LT1</f>
        <v>360228996.974281</v>
      </c>
      <c r="AB17" s="0" t="n">
        <f aca="false">C17*x_c_DAA</f>
        <v>109976320</v>
      </c>
      <c r="AC17" s="0" t="n">
        <f aca="false">C17*x_c_MON</f>
        <v>27857107.6100244</v>
      </c>
      <c r="AD17" s="0" t="n">
        <f aca="false">D17*(1-x_testy)</f>
        <v>0</v>
      </c>
      <c r="AE17" s="0" t="n">
        <f aca="false">E17*(1-x_testy)</f>
        <v>0</v>
      </c>
      <c r="AF17" s="0" t="n">
        <f aca="false">F17*x_NAV</f>
        <v>0</v>
      </c>
      <c r="AG17" s="0" t="n">
        <f aca="false">G17*x_FIX*(1-x_testy)</f>
        <v>0</v>
      </c>
      <c r="AH17" s="0" t="n">
        <f aca="false">x_z_F*U17+(1-x_AGRI)*x_EMP*x_WLOSS*(x_PEN_K74*Q17+x_PEN_C22*R17)</f>
        <v>19731875.4999065</v>
      </c>
      <c r="AI17" s="0" t="n">
        <f aca="false">x_AGRI*x_EMP*x_WLOSS*(x_PEN_K74*Q17+x_PEN_C22*R17)</f>
        <v>1122850.47597481</v>
      </c>
      <c r="AJ17" s="0" t="n">
        <f aca="false">x_EMP*x_WAGE*(x_WLOSS*(Q17+R17)+S17)+U17*x_ABS_D*x_WAGE/365</f>
        <v>355280072.191626</v>
      </c>
      <c r="AK17" s="0" t="n">
        <f aca="false">AJ17*x_R_FUS</f>
        <v>112410614.84143</v>
      </c>
      <c r="AL17" s="0" t="n">
        <f aca="false">AJ17*x_R_NFZ</f>
        <v>27591405.6864738</v>
      </c>
      <c r="AM17" s="0" t="n">
        <f aca="false">AJ17*x_R_PIT</f>
        <v>23620502.0832766</v>
      </c>
      <c r="AN17" s="0" t="n">
        <f aca="false">AJ17*x_R_FP</f>
        <v>9059641.84088645</v>
      </c>
      <c r="AO17" s="0" t="n">
        <f aca="false">AA17+AB17+AC17+AD17+AF17</f>
        <v>498062424.584305</v>
      </c>
      <c r="AP17" s="0" t="n">
        <f aca="false">AO17+AE17+AG17+AH17+AI17+AK17+AL17+AM17+AN17</f>
        <v>691599315.012254</v>
      </c>
      <c r="AQ17" s="0" t="n">
        <f aca="false">AO17+AE17+AG17+AJ17</f>
        <v>853342496.775931</v>
      </c>
      <c r="AR17" s="0" t="n">
        <f aca="false">AB17+AC17+AD17+AF17</f>
        <v>137833427.610024</v>
      </c>
      <c r="AS17" s="0" t="n">
        <f aca="false">AR17+AE17+AG17</f>
        <v>137833427.610024</v>
      </c>
    </row>
    <row r="18" customFormat="false" ht="15" hidden="false" customHeight="false" outlineLevel="0" collapsed="false">
      <c r="A18" s="0" t="n">
        <v>2041</v>
      </c>
      <c r="B18" s="0" t="n">
        <v>15</v>
      </c>
      <c r="C18" s="0" t="n">
        <v>4832</v>
      </c>
      <c r="D18" s="0" t="n">
        <v>0</v>
      </c>
      <c r="E18" s="0" t="n">
        <v>0</v>
      </c>
      <c r="F18" s="0" t="n">
        <v>0</v>
      </c>
      <c r="G18" s="0" t="n">
        <v>0</v>
      </c>
      <c r="H18" s="0" t="n">
        <v>2188.972</v>
      </c>
      <c r="I18" s="0" t="n">
        <v>308.881</v>
      </c>
      <c r="J18" s="0" t="n">
        <v>1717.582</v>
      </c>
      <c r="K18" s="0" t="n">
        <v>2874.808</v>
      </c>
      <c r="L18" s="0" t="n">
        <v>1298.944</v>
      </c>
      <c r="M18" s="0" t="n">
        <v>67629.683</v>
      </c>
      <c r="N18" s="0" t="n">
        <v>7196.267</v>
      </c>
      <c r="O18" s="0" t="n">
        <v>96.506</v>
      </c>
      <c r="P18" s="0" t="n">
        <v>96.817</v>
      </c>
      <c r="Q18" s="0" t="n">
        <v>816.161</v>
      </c>
      <c r="R18" s="0" t="n">
        <v>819.301</v>
      </c>
      <c r="S18" s="0" t="n">
        <v>3380.581</v>
      </c>
      <c r="T18" s="0" t="n">
        <v>2497.853</v>
      </c>
      <c r="U18" s="0" t="n">
        <v>1388.416</v>
      </c>
      <c r="V18" s="0" t="n">
        <v>133271.711</v>
      </c>
      <c r="W18" s="0" t="n">
        <v>318.208</v>
      </c>
      <c r="X18" s="0" t="n">
        <v>828.438</v>
      </c>
      <c r="Y18" s="0" t="n">
        <v>96.506</v>
      </c>
      <c r="Z18" s="0" t="n">
        <v>1022.931</v>
      </c>
      <c r="AA18" s="0" t="n">
        <f aca="false">H18*x_c_F+I18*x_c_CC+J18*x_c_DC+K18*x_c_HCC+L18*x_c_PLT+M18*x_c_SVRn+N18*x_c_SVRcc+O18*x_c_LT+P18*x_c_LT1</f>
        <v>360058654.889366</v>
      </c>
      <c r="AB18" s="0" t="n">
        <f aca="false">C18*x_c_DAA</f>
        <v>109976320</v>
      </c>
      <c r="AC18" s="0" t="n">
        <f aca="false">C18*x_c_MON</f>
        <v>27857107.6100244</v>
      </c>
      <c r="AD18" s="0" t="n">
        <f aca="false">D18*(1-x_testy)</f>
        <v>0</v>
      </c>
      <c r="AE18" s="0" t="n">
        <f aca="false">E18*(1-x_testy)</f>
        <v>0</v>
      </c>
      <c r="AF18" s="0" t="n">
        <f aca="false">F18*x_NAV</f>
        <v>0</v>
      </c>
      <c r="AG18" s="0" t="n">
        <f aca="false">G18*x_FIX*(1-x_testy)</f>
        <v>0</v>
      </c>
      <c r="AH18" s="0" t="n">
        <f aca="false">x_z_F*U18+(1-x_AGRI)*x_EMP*x_WLOSS*(x_PEN_K74*Q18+x_PEN_C22*R18)</f>
        <v>20413830.8902773</v>
      </c>
      <c r="AI18" s="0" t="n">
        <f aca="false">x_AGRI*x_EMP*x_WLOSS*(x_PEN_K74*Q18+x_PEN_C22*R18)</f>
        <v>1160641.14038316</v>
      </c>
      <c r="AJ18" s="0" t="n">
        <f aca="false">x_EMP*x_WAGE*(x_WLOSS*(Q18+R18)+S18)+U18*x_ABS_D*x_WAGE/365</f>
        <v>381745326.205132</v>
      </c>
      <c r="AK18" s="0" t="n">
        <f aca="false">AJ18*x_R_FUS</f>
        <v>120784221.211304</v>
      </c>
      <c r="AL18" s="0" t="n">
        <f aca="false">AJ18*x_R_NFZ</f>
        <v>29646723.7784167</v>
      </c>
      <c r="AM18" s="0" t="n">
        <f aca="false">AJ18*x_R_PIT</f>
        <v>25380022.6319644</v>
      </c>
      <c r="AN18" s="0" t="n">
        <f aca="false">AJ18*x_R_FP</f>
        <v>9734505.81823086</v>
      </c>
      <c r="AO18" s="0" t="n">
        <f aca="false">AA18+AB18+AC18+AD18+AF18</f>
        <v>497892082.49939</v>
      </c>
      <c r="AP18" s="0" t="n">
        <f aca="false">AO18+AE18+AG18+AH18+AI18+AK18+AL18+AM18+AN18</f>
        <v>705012027.969966</v>
      </c>
      <c r="AQ18" s="0" t="n">
        <f aca="false">AO18+AE18+AG18+AJ18</f>
        <v>879637408.704522</v>
      </c>
      <c r="AR18" s="0" t="n">
        <f aca="false">AB18+AC18+AD18+AF18</f>
        <v>137833427.610024</v>
      </c>
      <c r="AS18" s="0" t="n">
        <f aca="false">AR18+AE18+AG18</f>
        <v>137833427.610024</v>
      </c>
    </row>
    <row r="19" customFormat="false" ht="15" hidden="false" customHeight="false" outlineLevel="0" collapsed="false">
      <c r="A19" s="0" t="n">
        <v>2042</v>
      </c>
      <c r="B19" s="0" t="n">
        <v>16</v>
      </c>
      <c r="C19" s="0" t="n">
        <v>4832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2191.396</v>
      </c>
      <c r="I19" s="0" t="n">
        <v>304.811</v>
      </c>
      <c r="J19" s="0" t="n">
        <v>1701.532</v>
      </c>
      <c r="K19" s="0" t="n">
        <v>2835.883</v>
      </c>
      <c r="L19" s="0" t="n">
        <v>1282.122</v>
      </c>
      <c r="M19" s="0" t="n">
        <v>70484.761</v>
      </c>
      <c r="N19" s="0" t="n">
        <v>7448.551</v>
      </c>
      <c r="O19" s="0" t="n">
        <v>95.53</v>
      </c>
      <c r="P19" s="0" t="n">
        <v>96.018</v>
      </c>
      <c r="Q19" s="0" t="n">
        <v>839.867</v>
      </c>
      <c r="R19" s="0" t="n">
        <v>850.608</v>
      </c>
      <c r="S19" s="0" t="n">
        <v>3664.348</v>
      </c>
      <c r="T19" s="0" t="n">
        <v>2496.207</v>
      </c>
      <c r="U19" s="0" t="n">
        <v>1440.033</v>
      </c>
      <c r="V19" s="0" t="n">
        <v>134476.429</v>
      </c>
      <c r="W19" s="0" t="n">
        <v>311.589</v>
      </c>
      <c r="X19" s="0" t="n">
        <v>811.605</v>
      </c>
      <c r="Y19" s="0" t="n">
        <v>95.53</v>
      </c>
      <c r="Z19" s="0" t="n">
        <v>1010.255</v>
      </c>
      <c r="AA19" s="0" t="n">
        <f aca="false">H19*x_c_F+I19*x_c_CC+J19*x_c_DC+K19*x_c_HCC+L19*x_c_PLT+M19*x_c_SVRn+N19*x_c_SVRcc+O19*x_c_LT+P19*x_c_LT1</f>
        <v>358838707.501184</v>
      </c>
      <c r="AB19" s="0" t="n">
        <f aca="false">C19*x_c_DAA</f>
        <v>109976320</v>
      </c>
      <c r="AC19" s="0" t="n">
        <f aca="false">C19*x_c_MON</f>
        <v>27857107.6100244</v>
      </c>
      <c r="AD19" s="0" t="n">
        <f aca="false">D19*(1-x_testy)</f>
        <v>0</v>
      </c>
      <c r="AE19" s="0" t="n">
        <f aca="false">E19*(1-x_testy)</f>
        <v>0</v>
      </c>
      <c r="AF19" s="0" t="n">
        <f aca="false">F19*x_NAV</f>
        <v>0</v>
      </c>
      <c r="AG19" s="0" t="n">
        <f aca="false">G19*x_FIX*(1-x_testy)</f>
        <v>0</v>
      </c>
      <c r="AH19" s="0" t="n">
        <f aca="false">x_z_F*U19+(1-x_AGRI)*x_EMP*x_WLOSS*(x_PEN_K74*Q19+x_PEN_C22*R19)</f>
        <v>21115745.45354</v>
      </c>
      <c r="AI19" s="0" t="n">
        <f aca="false">x_AGRI*x_EMP*x_WLOSS*(x_PEN_K74*Q19+x_PEN_C22*R19)</f>
        <v>1200022.03543349</v>
      </c>
      <c r="AJ19" s="0" t="n">
        <f aca="false">x_EMP*x_WAGE*(x_WLOSS*(Q19+R19)+S19)+U19*x_ABS_D*x_WAGE/365</f>
        <v>409099504.666365</v>
      </c>
      <c r="AK19" s="0" t="n">
        <f aca="false">AJ19*x_R_FUS</f>
        <v>129439083.276438</v>
      </c>
      <c r="AL19" s="0" t="n">
        <f aca="false">AJ19*x_R_NFZ</f>
        <v>31771076.6318946</v>
      </c>
      <c r="AM19" s="0" t="n">
        <f aca="false">AJ19*x_R_PIT</f>
        <v>27198642.5881701</v>
      </c>
      <c r="AN19" s="0" t="n">
        <f aca="false">AJ19*x_R_FP</f>
        <v>10432037.3689923</v>
      </c>
      <c r="AO19" s="0" t="n">
        <f aca="false">AA19+AB19+AC19+AD19+AF19</f>
        <v>496672135.111208</v>
      </c>
      <c r="AP19" s="0" t="n">
        <f aca="false">AO19+AE19+AG19+AH19+AI19+AK19+AL19+AM19+AN19</f>
        <v>717828742.465676</v>
      </c>
      <c r="AQ19" s="0" t="n">
        <f aca="false">AO19+AE19+AG19+AJ19</f>
        <v>905771639.777573</v>
      </c>
      <c r="AR19" s="0" t="n">
        <f aca="false">AB19+AC19+AD19+AF19</f>
        <v>137833427.610024</v>
      </c>
      <c r="AS19" s="0" t="n">
        <f aca="false">AR19+AE19+AG19</f>
        <v>137833427.610024</v>
      </c>
    </row>
    <row r="20" customFormat="false" ht="15" hidden="false" customHeight="false" outlineLevel="0" collapsed="false">
      <c r="A20" s="0" t="n">
        <v>2043</v>
      </c>
      <c r="B20" s="0" t="n">
        <v>17</v>
      </c>
      <c r="C20" s="0" t="n">
        <v>4832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2194.786</v>
      </c>
      <c r="I20" s="0" t="n">
        <v>299.822</v>
      </c>
      <c r="J20" s="0" t="n">
        <v>1680.163</v>
      </c>
      <c r="K20" s="0" t="n">
        <v>2789.241</v>
      </c>
      <c r="L20" s="0" t="n">
        <v>1264.13</v>
      </c>
      <c r="M20" s="0" t="n">
        <v>73277.451</v>
      </c>
      <c r="N20" s="0" t="n">
        <v>7671.991</v>
      </c>
      <c r="O20" s="0" t="n">
        <v>94.292</v>
      </c>
      <c r="P20" s="0" t="n">
        <v>94.911</v>
      </c>
      <c r="Q20" s="0" t="n">
        <v>864.63</v>
      </c>
      <c r="R20" s="0" t="n">
        <v>883.177</v>
      </c>
      <c r="S20" s="0" t="n">
        <v>3957.351</v>
      </c>
      <c r="T20" s="0" t="n">
        <v>2494.607</v>
      </c>
      <c r="U20" s="0" t="n">
        <v>1489.349</v>
      </c>
      <c r="V20" s="0" t="n">
        <v>135678.765</v>
      </c>
      <c r="W20" s="0" t="n">
        <v>304.375</v>
      </c>
      <c r="X20" s="0" t="n">
        <v>793.601</v>
      </c>
      <c r="Y20" s="0" t="n">
        <v>94.292</v>
      </c>
      <c r="Z20" s="0" t="n">
        <v>995.124</v>
      </c>
      <c r="AA20" s="0" t="n">
        <f aca="false">H20*x_c_F+I20*x_c_CC+J20*x_c_DC+K20*x_c_HCC+L20*x_c_PLT+M20*x_c_SVRn+N20*x_c_SVRcc+O20*x_c_LT+P20*x_c_LT1</f>
        <v>356776464.269484</v>
      </c>
      <c r="AB20" s="0" t="n">
        <f aca="false">C20*x_c_DAA</f>
        <v>109976320</v>
      </c>
      <c r="AC20" s="0" t="n">
        <f aca="false">C20*x_c_MON</f>
        <v>27857107.6100244</v>
      </c>
      <c r="AD20" s="0" t="n">
        <f aca="false">D20*(1-x_testy)</f>
        <v>0</v>
      </c>
      <c r="AE20" s="0" t="n">
        <f aca="false">E20*(1-x_testy)</f>
        <v>0</v>
      </c>
      <c r="AF20" s="0" t="n">
        <f aca="false">F20*x_NAV</f>
        <v>0</v>
      </c>
      <c r="AG20" s="0" t="n">
        <f aca="false">G20*x_FIX*(1-x_testy)</f>
        <v>0</v>
      </c>
      <c r="AH20" s="0" t="n">
        <f aca="false">x_z_F*U20+(1-x_AGRI)*x_EMP*x_WLOSS*(x_PEN_K74*Q20+x_PEN_C22*R20)</f>
        <v>21837965.1775122</v>
      </c>
      <c r="AI20" s="0" t="n">
        <f aca="false">x_AGRI*x_EMP*x_WLOSS*(x_PEN_K74*Q20+x_PEN_C22*R20)</f>
        <v>1241057.74894156</v>
      </c>
      <c r="AJ20" s="0" t="n">
        <f aca="false">x_EMP*x_WAGE*(x_WLOSS*(Q20+R20)+S20)+U20*x_ABS_D*x_WAGE/365</f>
        <v>437361207.085583</v>
      </c>
      <c r="AK20" s="0" t="n">
        <f aca="false">AJ20*x_R_FUS</f>
        <v>138381085.921879</v>
      </c>
      <c r="AL20" s="0" t="n">
        <f aca="false">AJ20*x_R_NFZ</f>
        <v>33965908.7034735</v>
      </c>
      <c r="AM20" s="0" t="n">
        <f aca="false">AJ20*x_R_PIT</f>
        <v>29077598.524967</v>
      </c>
      <c r="AN20" s="0" t="n">
        <f aca="false">AJ20*x_R_FP</f>
        <v>11152710.7806824</v>
      </c>
      <c r="AO20" s="0" t="n">
        <f aca="false">AA20+AB20+AC20+AD20+AF20</f>
        <v>494609891.879508</v>
      </c>
      <c r="AP20" s="0" t="n">
        <f aca="false">AO20+AE20+AG20+AH20+AI20+AK20+AL20+AM20+AN20</f>
        <v>730266218.736964</v>
      </c>
      <c r="AQ20" s="0" t="n">
        <f aca="false">AO20+AE20+AG20+AJ20</f>
        <v>931971098.965092</v>
      </c>
      <c r="AR20" s="0" t="n">
        <f aca="false">AB20+AC20+AD20+AF20</f>
        <v>137833427.610024</v>
      </c>
      <c r="AS20" s="0" t="n">
        <f aca="false">AR20+AE20+AG20</f>
        <v>137833427.610024</v>
      </c>
    </row>
    <row r="21" customFormat="false" ht="15" hidden="false" customHeight="false" outlineLevel="0" collapsed="false">
      <c r="A21" s="0" t="n">
        <v>2044</v>
      </c>
      <c r="B21" s="0" t="n">
        <v>18</v>
      </c>
      <c r="C21" s="0" t="n">
        <v>4832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2198.924</v>
      </c>
      <c r="I21" s="0" t="n">
        <v>294.151</v>
      </c>
      <c r="J21" s="0" t="n">
        <v>1654.528</v>
      </c>
      <c r="K21" s="0" t="n">
        <v>2736.994</v>
      </c>
      <c r="L21" s="0" t="n">
        <v>1245.406</v>
      </c>
      <c r="M21" s="0" t="n">
        <v>76027.799</v>
      </c>
      <c r="N21" s="0" t="n">
        <v>7868.558</v>
      </c>
      <c r="O21" s="0" t="n">
        <v>92.815</v>
      </c>
      <c r="P21" s="0" t="n">
        <v>93.554</v>
      </c>
      <c r="Q21" s="0" t="n">
        <v>890.492</v>
      </c>
      <c r="R21" s="0" t="n">
        <v>917.038</v>
      </c>
      <c r="S21" s="0" t="n">
        <v>4259.822</v>
      </c>
      <c r="T21" s="0" t="n">
        <v>2493.075</v>
      </c>
      <c r="U21" s="0" t="n">
        <v>1536.074</v>
      </c>
      <c r="V21" s="0" t="n">
        <v>136903.397</v>
      </c>
      <c r="W21" s="0" t="n">
        <v>296.769</v>
      </c>
      <c r="X21" s="0" t="n">
        <v>774.864</v>
      </c>
      <c r="Y21" s="0" t="n">
        <v>92.815</v>
      </c>
      <c r="Z21" s="0" t="n">
        <v>977.806</v>
      </c>
      <c r="AA21" s="0" t="n">
        <f aca="false">H21*x_c_F+I21*x_c_CC+J21*x_c_DC+K21*x_c_HCC+L21*x_c_PLT+M21*x_c_SVRn+N21*x_c_SVRcc+O21*x_c_LT+P21*x_c_LT1</f>
        <v>354066629.893124</v>
      </c>
      <c r="AB21" s="0" t="n">
        <f aca="false">C21*x_c_DAA</f>
        <v>109976320</v>
      </c>
      <c r="AC21" s="0" t="n">
        <f aca="false">C21*x_c_MON</f>
        <v>27857107.6100244</v>
      </c>
      <c r="AD21" s="0" t="n">
        <f aca="false">D21*(1-x_testy)</f>
        <v>0</v>
      </c>
      <c r="AE21" s="0" t="n">
        <f aca="false">E21*(1-x_testy)</f>
        <v>0</v>
      </c>
      <c r="AF21" s="0" t="n">
        <f aca="false">F21*x_NAV</f>
        <v>0</v>
      </c>
      <c r="AG21" s="0" t="n">
        <f aca="false">G21*x_FIX*(1-x_testy)</f>
        <v>0</v>
      </c>
      <c r="AH21" s="0" t="n">
        <f aca="false">x_z_F*U21+(1-x_AGRI)*x_EMP*x_WLOSS*(x_PEN_K74*Q21+x_PEN_C22*R21)</f>
        <v>22580658.5644355</v>
      </c>
      <c r="AI21" s="0" t="n">
        <f aca="false">x_AGRI*x_EMP*x_WLOSS*(x_PEN_K74*Q21+x_PEN_C22*R21)</f>
        <v>1283798.82711193</v>
      </c>
      <c r="AJ21" s="0" t="n">
        <f aca="false">x_EMP*x_WAGE*(x_WLOSS*(Q21+R21)+S21)+U21*x_ABS_D*x_WAGE/365</f>
        <v>466553299.449291</v>
      </c>
      <c r="AK21" s="0" t="n">
        <f aca="false">AJ21*x_R_FUS</f>
        <v>147617463.945756</v>
      </c>
      <c r="AL21" s="0" t="n">
        <f aca="false">AJ21*x_R_NFZ</f>
        <v>36232995.7885314</v>
      </c>
      <c r="AM21" s="0" t="n">
        <f aca="false">AJ21*x_R_PIT</f>
        <v>31018410.668577</v>
      </c>
      <c r="AN21" s="0" t="n">
        <f aca="false">AJ21*x_R_FP</f>
        <v>11897109.1359569</v>
      </c>
      <c r="AO21" s="0" t="n">
        <f aca="false">AA21+AB21+AC21+AD21+AF21</f>
        <v>491900057.503149</v>
      </c>
      <c r="AP21" s="0" t="n">
        <f aca="false">AO21+AE21+AG21+AH21+AI21+AK21+AL21+AM21+AN21</f>
        <v>742530494.433517</v>
      </c>
      <c r="AQ21" s="0" t="n">
        <f aca="false">AO21+AE21+AG21+AJ21</f>
        <v>958453356.952439</v>
      </c>
      <c r="AR21" s="0" t="n">
        <f aca="false">AB21+AC21+AD21+AF21</f>
        <v>137833427.610024</v>
      </c>
      <c r="AS21" s="0" t="n">
        <f aca="false">AR21+AE21+AG21</f>
        <v>137833427.610024</v>
      </c>
    </row>
    <row r="22" customFormat="false" ht="15" hidden="false" customHeight="false" outlineLevel="0" collapsed="false">
      <c r="A22" s="0" t="n">
        <v>2045</v>
      </c>
      <c r="B22" s="0" t="n">
        <v>19</v>
      </c>
      <c r="C22" s="0" t="n">
        <v>4832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2203.599</v>
      </c>
      <c r="I22" s="0" t="n">
        <v>288.021</v>
      </c>
      <c r="J22" s="0" t="n">
        <v>1625.396</v>
      </c>
      <c r="K22" s="0" t="n">
        <v>2680.749</v>
      </c>
      <c r="L22" s="0" t="n">
        <v>1225.752</v>
      </c>
      <c r="M22" s="0" t="n">
        <v>78740.188</v>
      </c>
      <c r="N22" s="0" t="n">
        <v>8038.889</v>
      </c>
      <c r="O22" s="0" t="n">
        <v>91.159</v>
      </c>
      <c r="P22" s="0" t="n">
        <v>91.987</v>
      </c>
      <c r="Q22" s="0" t="n">
        <v>917.481</v>
      </c>
      <c r="R22" s="0" t="n">
        <v>952.17</v>
      </c>
      <c r="S22" s="0" t="n">
        <v>4571.955</v>
      </c>
      <c r="T22" s="0" t="n">
        <v>2491.62</v>
      </c>
      <c r="U22" s="0" t="n">
        <v>1580.004</v>
      </c>
      <c r="V22" s="0" t="n">
        <v>138156.835</v>
      </c>
      <c r="W22" s="0" t="n">
        <v>289.024</v>
      </c>
      <c r="X22" s="0" t="n">
        <v>755.981</v>
      </c>
      <c r="Y22" s="0" t="n">
        <v>91.159</v>
      </c>
      <c r="Z22" s="0" t="n">
        <v>958.991</v>
      </c>
      <c r="AA22" s="0" t="n">
        <f aca="false">H22*x_c_F+I22*x_c_CC+J22*x_c_DC+K22*x_c_HCC+L22*x_c_PLT+M22*x_c_SVRn+N22*x_c_SVRcc+O22*x_c_LT+P22*x_c_LT1</f>
        <v>350845333.114846</v>
      </c>
      <c r="AB22" s="0" t="n">
        <f aca="false">C22*x_c_DAA</f>
        <v>109976320</v>
      </c>
      <c r="AC22" s="0" t="n">
        <f aca="false">C22*x_c_MON</f>
        <v>27857107.6100244</v>
      </c>
      <c r="AD22" s="0" t="n">
        <f aca="false">D22*(1-x_testy)</f>
        <v>0</v>
      </c>
      <c r="AE22" s="0" t="n">
        <f aca="false">E22*(1-x_testy)</f>
        <v>0</v>
      </c>
      <c r="AF22" s="0" t="n">
        <f aca="false">F22*x_NAV</f>
        <v>0</v>
      </c>
      <c r="AG22" s="0" t="n">
        <f aca="false">G22*x_FIX*(1-x_testy)</f>
        <v>0</v>
      </c>
      <c r="AH22" s="0" t="n">
        <f aca="false">x_z_F*U22+(1-x_AGRI)*x_EMP*x_WLOSS*(x_PEN_K74*Q22+x_PEN_C22*R22)</f>
        <v>23343447.7565819</v>
      </c>
      <c r="AI22" s="0" t="n">
        <f aca="false">x_AGRI*x_EMP*x_WLOSS*(x_PEN_K74*Q22+x_PEN_C22*R22)</f>
        <v>1328248.01613623</v>
      </c>
      <c r="AJ22" s="0" t="n">
        <f aca="false">x_EMP*x_WAGE*(x_WLOSS*(Q22+R22)+S22)+U22*x_ABS_D*x_WAGE/365</f>
        <v>496692105.866333</v>
      </c>
      <c r="AK22" s="0" t="n">
        <f aca="false">AJ22*x_R_FUS</f>
        <v>157153382.296108</v>
      </c>
      <c r="AL22" s="0" t="n">
        <f aca="false">AJ22*x_R_NFZ</f>
        <v>38573605.6336853</v>
      </c>
      <c r="AM22" s="0" t="n">
        <f aca="false">AJ22*x_R_PIT</f>
        <v>33022164.3138906</v>
      </c>
      <c r="AN22" s="0" t="n">
        <f aca="false">AJ22*x_R_FP</f>
        <v>12665648.6995915</v>
      </c>
      <c r="AO22" s="0" t="n">
        <f aca="false">AA22+AB22+AC22+AD22+AF22</f>
        <v>488678760.724871</v>
      </c>
      <c r="AP22" s="0" t="n">
        <f aca="false">AO22+AE22+AG22+AH22+AI22+AK22+AL22+AM22+AN22</f>
        <v>754765257.440864</v>
      </c>
      <c r="AQ22" s="0" t="n">
        <f aca="false">AO22+AE22+AG22+AJ22</f>
        <v>985370866.591204</v>
      </c>
      <c r="AR22" s="0" t="n">
        <f aca="false">AB22+AC22+AD22+AF22</f>
        <v>137833427.610024</v>
      </c>
      <c r="AS22" s="0" t="n">
        <f aca="false">AR22+AE22+AG22</f>
        <v>137833427.610024</v>
      </c>
    </row>
    <row r="23" customFormat="false" ht="15" hidden="false" customHeight="false" outlineLevel="0" collapsed="false">
      <c r="A23" s="0" t="n">
        <v>2046</v>
      </c>
      <c r="B23" s="0" t="n">
        <v>20</v>
      </c>
      <c r="C23" s="0" t="n">
        <v>4832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2208.605</v>
      </c>
      <c r="I23" s="0" t="n">
        <v>281.651</v>
      </c>
      <c r="J23" s="0" t="n">
        <v>1593.813</v>
      </c>
      <c r="K23" s="0" t="n">
        <v>2622.367</v>
      </c>
      <c r="L23" s="0" t="n">
        <v>1205.446</v>
      </c>
      <c r="M23" s="0" t="n">
        <v>81428.606</v>
      </c>
      <c r="N23" s="0" t="n">
        <v>8185.492</v>
      </c>
      <c r="O23" s="0" t="n">
        <v>89.381</v>
      </c>
      <c r="P23" s="0" t="n">
        <v>90.27</v>
      </c>
      <c r="Q23" s="0" t="n">
        <v>945.593</v>
      </c>
      <c r="R23" s="0" t="n">
        <v>988.5</v>
      </c>
      <c r="S23" s="0" t="n">
        <v>4893.858</v>
      </c>
      <c r="T23" s="0" t="n">
        <v>2490.256</v>
      </c>
      <c r="U23" s="0" t="n">
        <v>1620.965</v>
      </c>
      <c r="V23" s="0" t="n">
        <v>139453.774</v>
      </c>
      <c r="W23" s="0" t="n">
        <v>281.342</v>
      </c>
      <c r="X23" s="0" t="n">
        <v>737.402</v>
      </c>
      <c r="Y23" s="0" t="n">
        <v>89.381</v>
      </c>
      <c r="Z23" s="0" t="n">
        <v>939.259</v>
      </c>
      <c r="AA23" s="0" t="n">
        <f aca="false">H23*x_c_F+I23*x_c_CC+J23*x_c_DC+K23*x_c_HCC+L23*x_c_PLT+M23*x_c_SVRn+N23*x_c_SVRcc+O23*x_c_LT+P23*x_c_LT1</f>
        <v>347295731.48349</v>
      </c>
      <c r="AB23" s="0" t="n">
        <f aca="false">C23*x_c_DAA</f>
        <v>109976320</v>
      </c>
      <c r="AC23" s="0" t="n">
        <f aca="false">C23*x_c_MON</f>
        <v>27857107.6100244</v>
      </c>
      <c r="AD23" s="0" t="n">
        <f aca="false">D23*(1-x_testy)</f>
        <v>0</v>
      </c>
      <c r="AE23" s="0" t="n">
        <f aca="false">E23*(1-x_testy)</f>
        <v>0</v>
      </c>
      <c r="AF23" s="0" t="n">
        <f aca="false">F23*x_NAV</f>
        <v>0</v>
      </c>
      <c r="AG23" s="0" t="n">
        <f aca="false">G23*x_FIX*(1-x_testy)</f>
        <v>0</v>
      </c>
      <c r="AH23" s="0" t="n">
        <f aca="false">x_z_F*U23+(1-x_AGRI)*x_EMP*x_WLOSS*(x_PEN_K74*Q23+x_PEN_C22*R23)</f>
        <v>24125101.0913888</v>
      </c>
      <c r="AI23" s="0" t="n">
        <f aca="false">x_AGRI*x_EMP*x_WLOSS*(x_PEN_K74*Q23+x_PEN_C22*R23)</f>
        <v>1374347.55060044</v>
      </c>
      <c r="AJ23" s="0" t="n">
        <f aca="false">x_EMP*x_WAGE*(x_WLOSS*(Q23+R23)+S23)+U23*x_ABS_D*x_WAGE/365</f>
        <v>527782112.534656</v>
      </c>
      <c r="AK23" s="0" t="n">
        <f aca="false">AJ23*x_R_FUS</f>
        <v>166990260.405965</v>
      </c>
      <c r="AL23" s="0" t="n">
        <f aca="false">AJ23*x_R_NFZ</f>
        <v>40988086.6415539</v>
      </c>
      <c r="AM23" s="0" t="n">
        <f aca="false">AJ23*x_R_PIT</f>
        <v>35089157.7220717</v>
      </c>
      <c r="AN23" s="0" t="n">
        <f aca="false">AJ23*x_R_FP</f>
        <v>13458443.8696337</v>
      </c>
      <c r="AO23" s="0" t="n">
        <f aca="false">AA23+AB23+AC23+AD23+AF23</f>
        <v>485129159.093515</v>
      </c>
      <c r="AP23" s="0" t="n">
        <f aca="false">AO23+AE23+AG23+AH23+AI23+AK23+AL23+AM23+AN23</f>
        <v>767154556.374728</v>
      </c>
      <c r="AQ23" s="0" t="n">
        <f aca="false">AO23+AE23+AG23+AJ23</f>
        <v>1012911271.62817</v>
      </c>
      <c r="AR23" s="0" t="n">
        <f aca="false">AB23+AC23+AD23+AF23</f>
        <v>137833427.610024</v>
      </c>
      <c r="AS23" s="0" t="n">
        <f aca="false">AR23+AE23+AG23</f>
        <v>137833427.610024</v>
      </c>
    </row>
    <row r="24" customFormat="false" ht="15" hidden="false" customHeight="false" outlineLevel="0" collapsed="false">
      <c r="A24" s="0" t="n">
        <v>2047</v>
      </c>
      <c r="B24" s="0" t="n">
        <v>21</v>
      </c>
      <c r="C24" s="0" t="n">
        <v>4832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2213.761</v>
      </c>
      <c r="I24" s="0" t="n">
        <v>275.227</v>
      </c>
      <c r="J24" s="0" t="n">
        <v>1560.718</v>
      </c>
      <c r="K24" s="0" t="n">
        <v>2563.418</v>
      </c>
      <c r="L24" s="0" t="n">
        <v>1184.727</v>
      </c>
      <c r="M24" s="0" t="n">
        <v>84104.158</v>
      </c>
      <c r="N24" s="0" t="n">
        <v>8310.91</v>
      </c>
      <c r="O24" s="0" t="n">
        <v>87.532</v>
      </c>
      <c r="P24" s="0" t="n">
        <v>88.456</v>
      </c>
      <c r="Q24" s="0" t="n">
        <v>974.804</v>
      </c>
      <c r="R24" s="0" t="n">
        <v>1025.909</v>
      </c>
      <c r="S24" s="0" t="n">
        <v>5225.58</v>
      </c>
      <c r="T24" s="0" t="n">
        <v>2488.988</v>
      </c>
      <c r="U24" s="0" t="n">
        <v>1658.877</v>
      </c>
      <c r="V24" s="0" t="n">
        <v>140803.303</v>
      </c>
      <c r="W24" s="0" t="n">
        <v>273.881</v>
      </c>
      <c r="X24" s="0" t="n">
        <v>719.479</v>
      </c>
      <c r="Y24" s="0" t="n">
        <v>87.532</v>
      </c>
      <c r="Z24" s="0" t="n">
        <v>919.147</v>
      </c>
      <c r="AA24" s="0" t="n">
        <f aca="false">H24*x_c_F+I24*x_c_CC+J24*x_c_DC+K24*x_c_HCC+L24*x_c_PLT+M24*x_c_SVRn+N24*x_c_SVRcc+O24*x_c_LT+P24*x_c_LT1</f>
        <v>343575347.169978</v>
      </c>
      <c r="AB24" s="0" t="n">
        <f aca="false">C24*x_c_DAA</f>
        <v>109976320</v>
      </c>
      <c r="AC24" s="0" t="n">
        <f aca="false">C24*x_c_MON</f>
        <v>27857107.6100244</v>
      </c>
      <c r="AD24" s="0" t="n">
        <f aca="false">D24*(1-x_testy)</f>
        <v>0</v>
      </c>
      <c r="AE24" s="0" t="n">
        <f aca="false">E24*(1-x_testy)</f>
        <v>0</v>
      </c>
      <c r="AF24" s="0" t="n">
        <f aca="false">F24*x_NAV</f>
        <v>0</v>
      </c>
      <c r="AG24" s="0" t="n">
        <f aca="false">G24*x_FIX*(1-x_testy)</f>
        <v>0</v>
      </c>
      <c r="AH24" s="0" t="n">
        <f aca="false">x_z_F*U24+(1-x_AGRI)*x_EMP*x_WLOSS*(x_PEN_K74*Q24+x_PEN_C22*R24)</f>
        <v>24923853.8011243</v>
      </c>
      <c r="AI24" s="0" t="n">
        <f aca="false">x_AGRI*x_EMP*x_WLOSS*(x_PEN_K74*Q24+x_PEN_C22*R24)</f>
        <v>1421991.6540626</v>
      </c>
      <c r="AJ24" s="0" t="n">
        <f aca="false">x_EMP*x_WAGE*(x_WLOSS*(Q24+R24)+S24)+U24*x_ABS_D*x_WAGE/365</f>
        <v>559819442.117333</v>
      </c>
      <c r="AK24" s="0" t="n">
        <f aca="false">AJ24*x_R_FUS</f>
        <v>177126871.485924</v>
      </c>
      <c r="AL24" s="0" t="n">
        <f aca="false">AJ24*x_R_NFZ</f>
        <v>43476137.6942742</v>
      </c>
      <c r="AM24" s="0" t="n">
        <f aca="false">AJ24*x_R_PIT</f>
        <v>37219133.1115782</v>
      </c>
      <c r="AN24" s="0" t="n">
        <f aca="false">AJ24*x_R_FP</f>
        <v>14275395.773992</v>
      </c>
      <c r="AO24" s="0" t="n">
        <f aca="false">AA24+AB24+AC24+AD24+AF24</f>
        <v>481408774.780002</v>
      </c>
      <c r="AP24" s="0" t="n">
        <f aca="false">AO24+AE24+AG24+AH24+AI24+AK24+AL24+AM24+AN24</f>
        <v>779852158.300958</v>
      </c>
      <c r="AQ24" s="0" t="n">
        <f aca="false">AO24+AE24+AG24+AJ24</f>
        <v>1041228216.89734</v>
      </c>
      <c r="AR24" s="0" t="n">
        <f aca="false">AB24+AC24+AD24+AF24</f>
        <v>137833427.610024</v>
      </c>
      <c r="AS24" s="0" t="n">
        <f aca="false">AR24+AE24+AG24</f>
        <v>137833427.610024</v>
      </c>
    </row>
    <row r="25" customFormat="false" ht="15" hidden="false" customHeight="false" outlineLevel="0" collapsed="false">
      <c r="A25" s="0" t="n">
        <v>2048</v>
      </c>
      <c r="B25" s="0" t="n">
        <v>22</v>
      </c>
      <c r="C25" s="0" t="n">
        <v>4832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2218.913</v>
      </c>
      <c r="I25" s="0" t="n">
        <v>268.905</v>
      </c>
      <c r="J25" s="0" t="n">
        <v>1526.954</v>
      </c>
      <c r="K25" s="0" t="n">
        <v>2505.214</v>
      </c>
      <c r="L25" s="0" t="n">
        <v>1163.824</v>
      </c>
      <c r="M25" s="0" t="n">
        <v>86776.118</v>
      </c>
      <c r="N25" s="0" t="n">
        <v>8417.78</v>
      </c>
      <c r="O25" s="0" t="n">
        <v>85.657</v>
      </c>
      <c r="P25" s="0" t="n">
        <v>86.594</v>
      </c>
      <c r="Q25" s="0" t="n">
        <v>1005.065</v>
      </c>
      <c r="R25" s="0" t="n">
        <v>1064.242</v>
      </c>
      <c r="S25" s="0" t="n">
        <v>5567.105</v>
      </c>
      <c r="T25" s="0" t="n">
        <v>2487.818</v>
      </c>
      <c r="U25" s="0" t="n">
        <v>1693.727</v>
      </c>
      <c r="V25" s="0" t="n">
        <v>142211.273</v>
      </c>
      <c r="W25" s="0" t="n">
        <v>266.758</v>
      </c>
      <c r="X25" s="0" t="n">
        <v>702.464</v>
      </c>
      <c r="Y25" s="0" t="n">
        <v>85.657</v>
      </c>
      <c r="Z25" s="0" t="n">
        <v>899.101</v>
      </c>
      <c r="AA25" s="0" t="n">
        <f aca="false">H25*x_c_F+I25*x_c_CC+J25*x_c_DC+K25*x_c_HCC+L25*x_c_PLT+M25*x_c_SVRn+N25*x_c_SVRcc+O25*x_c_LT+P25*x_c_LT1</f>
        <v>339820233.344562</v>
      </c>
      <c r="AB25" s="0" t="n">
        <f aca="false">C25*x_c_DAA</f>
        <v>109976320</v>
      </c>
      <c r="AC25" s="0" t="n">
        <f aca="false">C25*x_c_MON</f>
        <v>27857107.6100244</v>
      </c>
      <c r="AD25" s="0" t="n">
        <f aca="false">D25*(1-x_testy)</f>
        <v>0</v>
      </c>
      <c r="AE25" s="0" t="n">
        <f aca="false">E25*(1-x_testy)</f>
        <v>0</v>
      </c>
      <c r="AF25" s="0" t="n">
        <f aca="false">F25*x_NAV</f>
        <v>0</v>
      </c>
      <c r="AG25" s="0" t="n">
        <f aca="false">G25*x_FIX*(1-x_testy)</f>
        <v>0</v>
      </c>
      <c r="AH25" s="0" t="n">
        <f aca="false">x_z_F*U25+(1-x_AGRI)*x_EMP*x_WLOSS*(x_PEN_K74*Q25+x_PEN_C22*R25)</f>
        <v>25737416.4657986</v>
      </c>
      <c r="AI25" s="0" t="n">
        <f aca="false">x_AGRI*x_EMP*x_WLOSS*(x_PEN_K74*Q25+x_PEN_C22*R25)</f>
        <v>1471030.76684398</v>
      </c>
      <c r="AJ25" s="0" t="n">
        <f aca="false">x_EMP*x_WAGE*(x_WLOSS*(Q25+R25)+S25)+U25*x_ABS_D*x_WAGE/365</f>
        <v>592791536.300321</v>
      </c>
      <c r="AK25" s="0" t="n">
        <f aca="false">AJ25*x_R_FUS</f>
        <v>187559242.085422</v>
      </c>
      <c r="AL25" s="0" t="n">
        <f aca="false">AJ25*x_R_NFZ</f>
        <v>46036783.5006192</v>
      </c>
      <c r="AM25" s="0" t="n">
        <f aca="false">AJ25*x_R_PIT</f>
        <v>39411255.5532759</v>
      </c>
      <c r="AN25" s="0" t="n">
        <f aca="false">AJ25*x_R_FP</f>
        <v>15116184.1756582</v>
      </c>
      <c r="AO25" s="0" t="n">
        <f aca="false">AA25+AB25+AC25+AD25+AF25</f>
        <v>477653660.954587</v>
      </c>
      <c r="AP25" s="0" t="n">
        <f aca="false">AO25+AE25+AG25+AH25+AI25+AK25+AL25+AM25+AN25</f>
        <v>792985573.502204</v>
      </c>
      <c r="AQ25" s="0" t="n">
        <f aca="false">AO25+AE25+AG25+AJ25</f>
        <v>1070445197.25491</v>
      </c>
      <c r="AR25" s="0" t="n">
        <f aca="false">AB25+AC25+AD25+AF25</f>
        <v>137833427.610024</v>
      </c>
      <c r="AS25" s="0" t="n">
        <f aca="false">AR25+AE25+AG25</f>
        <v>137833427.610024</v>
      </c>
    </row>
    <row r="26" customFormat="false" ht="15" hidden="false" customHeight="false" outlineLevel="0" collapsed="false">
      <c r="A26" s="0" t="n">
        <v>2049</v>
      </c>
      <c r="B26" s="0" t="n">
        <v>23</v>
      </c>
      <c r="C26" s="0" t="n">
        <v>4832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2223.946</v>
      </c>
      <c r="I26" s="0" t="n">
        <v>262.796</v>
      </c>
      <c r="J26" s="0" t="n">
        <v>1493.183</v>
      </c>
      <c r="K26" s="0" t="n">
        <v>2448.705</v>
      </c>
      <c r="L26" s="0" t="n">
        <v>1142.895</v>
      </c>
      <c r="M26" s="0" t="n">
        <v>89450.062</v>
      </c>
      <c r="N26" s="0" t="n">
        <v>8508.336</v>
      </c>
      <c r="O26" s="0" t="n">
        <v>83.788</v>
      </c>
      <c r="P26" s="0" t="n">
        <v>84.722</v>
      </c>
      <c r="Q26" s="0" t="n">
        <v>1036.308</v>
      </c>
      <c r="R26" s="0" t="n">
        <v>1103.314</v>
      </c>
      <c r="S26" s="0" t="n">
        <v>5918.36</v>
      </c>
      <c r="T26" s="0" t="n">
        <v>2486.743</v>
      </c>
      <c r="U26" s="0" t="n">
        <v>1725.587</v>
      </c>
      <c r="V26" s="0" t="n">
        <v>143678.109</v>
      </c>
      <c r="W26" s="0" t="n">
        <v>260.037</v>
      </c>
      <c r="X26" s="0" t="n">
        <v>686.484</v>
      </c>
      <c r="Y26" s="0" t="n">
        <v>83.788</v>
      </c>
      <c r="Z26" s="0" t="n">
        <v>879.424</v>
      </c>
      <c r="AA26" s="0" t="n">
        <f aca="false">H26*x_c_F+I26*x_c_CC+J26*x_c_DC+K26*x_c_HCC+L26*x_c_PLT+M26*x_c_SVRn+N26*x_c_SVRcc+O26*x_c_LT+P26*x_c_LT1</f>
        <v>336129677.353432</v>
      </c>
      <c r="AB26" s="0" t="n">
        <f aca="false">C26*x_c_DAA</f>
        <v>109976320</v>
      </c>
      <c r="AC26" s="0" t="n">
        <f aca="false">C26*x_c_MON</f>
        <v>27857107.6100244</v>
      </c>
      <c r="AD26" s="0" t="n">
        <f aca="false">D26*(1-x_testy)</f>
        <v>0</v>
      </c>
      <c r="AE26" s="0" t="n">
        <f aca="false">E26*(1-x_testy)</f>
        <v>0</v>
      </c>
      <c r="AF26" s="0" t="n">
        <f aca="false">F26*x_NAV</f>
        <v>0</v>
      </c>
      <c r="AG26" s="0" t="n">
        <f aca="false">G26*x_FIX*(1-x_testy)</f>
        <v>0</v>
      </c>
      <c r="AH26" s="0" t="n">
        <f aca="false">x_z_F*U26+(1-x_AGRI)*x_EMP*x_WLOSS*(x_PEN_K74*Q26+x_PEN_C22*R26)</f>
        <v>26563140.8434425</v>
      </c>
      <c r="AI26" s="0" t="n">
        <f aca="false">x_AGRI*x_EMP*x_WLOSS*(x_PEN_K74*Q26+x_PEN_C22*R26)</f>
        <v>1521280.06104564</v>
      </c>
      <c r="AJ26" s="0" t="n">
        <f aca="false">x_EMP*x_WAGE*(x_WLOSS*(Q26+R26)+S26)+U26*x_ABS_D*x_WAGE/365</f>
        <v>626678546.982453</v>
      </c>
      <c r="AK26" s="0" t="n">
        <f aca="false">AJ26*x_R_FUS</f>
        <v>198281092.265248</v>
      </c>
      <c r="AL26" s="0" t="n">
        <f aca="false">AJ26*x_R_NFZ</f>
        <v>48668482.6372043</v>
      </c>
      <c r="AM26" s="0" t="n">
        <f aca="false">AJ26*x_R_PIT</f>
        <v>41664205.4625565</v>
      </c>
      <c r="AN26" s="0" t="n">
        <f aca="false">AJ26*x_R_FP</f>
        <v>15980302.9480526</v>
      </c>
      <c r="AO26" s="0" t="n">
        <f aca="false">AA26+AB26+AC26+AD26+AF26</f>
        <v>473963104.963456</v>
      </c>
      <c r="AP26" s="0" t="n">
        <f aca="false">AO26+AE26+AG26+AH26+AI26+AK26+AL26+AM26+AN26</f>
        <v>806641609.181006</v>
      </c>
      <c r="AQ26" s="0" t="n">
        <f aca="false">AO26+AE26+AG26+AJ26</f>
        <v>1100641651.94591</v>
      </c>
      <c r="AR26" s="0" t="n">
        <f aca="false">AB26+AC26+AD26+AF26</f>
        <v>137833427.610024</v>
      </c>
      <c r="AS26" s="0" t="n">
        <f aca="false">AR26+AE26+AG26</f>
        <v>137833427.610024</v>
      </c>
    </row>
    <row r="27" customFormat="false" ht="15" hidden="false" customHeight="false" outlineLevel="0" collapsed="false">
      <c r="A27" s="0" t="n">
        <v>2050</v>
      </c>
      <c r="B27" s="0" t="n">
        <v>24</v>
      </c>
      <c r="C27" s="0" t="n">
        <v>4832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2228.778</v>
      </c>
      <c r="I27" s="0" t="n">
        <v>256.978</v>
      </c>
      <c r="J27" s="0" t="n">
        <v>1459.902</v>
      </c>
      <c r="K27" s="0" t="n">
        <v>2394.527</v>
      </c>
      <c r="L27" s="0" t="n">
        <v>1122.042</v>
      </c>
      <c r="M27" s="0" t="n">
        <v>92128.548</v>
      </c>
      <c r="N27" s="0" t="n">
        <v>8584.431</v>
      </c>
      <c r="O27" s="0" t="n">
        <v>81.953</v>
      </c>
      <c r="P27" s="0" t="n">
        <v>82.871</v>
      </c>
      <c r="Q27" s="0" t="n">
        <v>1068.424</v>
      </c>
      <c r="R27" s="0" t="n">
        <v>1142.899</v>
      </c>
      <c r="S27" s="0" t="n">
        <v>6279.07</v>
      </c>
      <c r="T27" s="0" t="n">
        <v>2485.756</v>
      </c>
      <c r="U27" s="0" t="n">
        <v>1754.586</v>
      </c>
      <c r="V27" s="0" t="n">
        <v>145200.366</v>
      </c>
      <c r="W27" s="0" t="n">
        <v>253.752</v>
      </c>
      <c r="X27" s="0" t="n">
        <v>671.597</v>
      </c>
      <c r="Y27" s="0" t="n">
        <v>81.953</v>
      </c>
      <c r="Z27" s="0" t="n">
        <v>860.359</v>
      </c>
      <c r="AA27" s="0" t="n">
        <f aca="false">H27*x_c_F+I27*x_c_CC+J27*x_c_DC+K27*x_c_HCC+L27*x_c_PLT+M27*x_c_SVRn+N27*x_c_SVRcc+O27*x_c_LT+P27*x_c_LT1</f>
        <v>332573784.35934</v>
      </c>
      <c r="AB27" s="0" t="n">
        <f aca="false">C27*x_c_DAA</f>
        <v>109976320</v>
      </c>
      <c r="AC27" s="0" t="n">
        <f aca="false">C27*x_c_MON</f>
        <v>27857107.6100244</v>
      </c>
      <c r="AD27" s="0" t="n">
        <f aca="false">D27*(1-x_testy)</f>
        <v>0</v>
      </c>
      <c r="AE27" s="0" t="n">
        <f aca="false">E27*(1-x_testy)</f>
        <v>0</v>
      </c>
      <c r="AF27" s="0" t="n">
        <f aca="false">F27*x_NAV</f>
        <v>0</v>
      </c>
      <c r="AG27" s="0" t="n">
        <f aca="false">G27*x_FIX*(1-x_testy)</f>
        <v>0</v>
      </c>
      <c r="AH27" s="0" t="n">
        <f aca="false">x_z_F*U27+(1-x_AGRI)*x_EMP*x_WLOSS*(x_PEN_K74*Q27+x_PEN_C22*R27)</f>
        <v>27397615.5817123</v>
      </c>
      <c r="AI27" s="0" t="n">
        <f aca="false">x_AGRI*x_EMP*x_WLOSS*(x_PEN_K74*Q27+x_PEN_C22*R27)</f>
        <v>1572496.52282279</v>
      </c>
      <c r="AJ27" s="0" t="n">
        <f aca="false">x_EMP*x_WAGE*(x_WLOSS*(Q27+R27)+S27)+U27*x_ABS_D*x_WAGE/365</f>
        <v>661439086.616621</v>
      </c>
      <c r="AK27" s="0" t="n">
        <f aca="false">AJ27*x_R_FUS</f>
        <v>209279327.005499</v>
      </c>
      <c r="AL27" s="0" t="n">
        <f aca="false">AJ27*x_R_NFZ</f>
        <v>51368020.9057334</v>
      </c>
      <c r="AM27" s="0" t="n">
        <f aca="false">AJ27*x_R_PIT</f>
        <v>43975231.2225429</v>
      </c>
      <c r="AN27" s="0" t="n">
        <f aca="false">AJ27*x_R_FP</f>
        <v>16866696.7087238</v>
      </c>
      <c r="AO27" s="0" t="n">
        <f aca="false">AA27+AB27+AC27+AD27+AF27</f>
        <v>470407211.969365</v>
      </c>
      <c r="AP27" s="0" t="n">
        <f aca="false">AO27+AE27+AG27+AH27+AI27+AK27+AL27+AM27+AN27</f>
        <v>820866599.916399</v>
      </c>
      <c r="AQ27" s="0" t="n">
        <f aca="false">AO27+AE27+AG27+AJ27</f>
        <v>1131846298.58599</v>
      </c>
      <c r="AR27" s="0" t="n">
        <f aca="false">AB27+AC27+AD27+AF27</f>
        <v>137833427.610024</v>
      </c>
      <c r="AS27" s="0" t="n">
        <f aca="false">AR27+AE27+AG27</f>
        <v>137833427.610024</v>
      </c>
    </row>
    <row r="28" customFormat="false" ht="15" hidden="false" customHeight="false" outlineLevel="0" collapsed="false">
      <c r="A28" s="0" t="n">
        <v>2051</v>
      </c>
      <c r="B28" s="0" t="n">
        <v>25</v>
      </c>
      <c r="C28" s="0" t="n">
        <v>4832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2233.358</v>
      </c>
      <c r="I28" s="0" t="n">
        <v>251.492</v>
      </c>
      <c r="J28" s="0" t="n">
        <v>1427.449</v>
      </c>
      <c r="K28" s="0" t="n">
        <v>2343.033</v>
      </c>
      <c r="L28" s="0" t="n">
        <v>1101.307</v>
      </c>
      <c r="M28" s="0" t="n">
        <v>94811.107</v>
      </c>
      <c r="N28" s="0" t="n">
        <v>8647.432</v>
      </c>
      <c r="O28" s="0" t="n">
        <v>80.166</v>
      </c>
      <c r="P28" s="0" t="n">
        <v>81.059</v>
      </c>
      <c r="Q28" s="0" t="n">
        <v>1101.276</v>
      </c>
      <c r="R28" s="0" t="n">
        <v>1182.751</v>
      </c>
      <c r="S28" s="0" t="n">
        <v>6648.815</v>
      </c>
      <c r="T28" s="0" t="n">
        <v>2484.85</v>
      </c>
      <c r="U28" s="0" t="n">
        <v>1780.893</v>
      </c>
      <c r="V28" s="0" t="n">
        <v>146771.333</v>
      </c>
      <c r="W28" s="0" t="n">
        <v>247.902</v>
      </c>
      <c r="X28" s="0" t="n">
        <v>657.776</v>
      </c>
      <c r="Y28" s="0" t="n">
        <v>80.166</v>
      </c>
      <c r="Z28" s="0" t="n">
        <v>842.014</v>
      </c>
      <c r="AA28" s="0" t="n">
        <f aca="false">H28*x_c_F+I28*x_c_CC+J28*x_c_DC+K28*x_c_HCC+L28*x_c_PLT+M28*x_c_SVRn+N28*x_c_SVRcc+O28*x_c_LT+P28*x_c_LT1</f>
        <v>329191373.836657</v>
      </c>
      <c r="AB28" s="0" t="n">
        <f aca="false">C28*x_c_DAA</f>
        <v>109976320</v>
      </c>
      <c r="AC28" s="0" t="n">
        <f aca="false">C28*x_c_MON</f>
        <v>27857107.6100244</v>
      </c>
      <c r="AD28" s="0" t="n">
        <f aca="false">D28*(1-x_testy)</f>
        <v>0</v>
      </c>
      <c r="AE28" s="0" t="n">
        <f aca="false">E28*(1-x_testy)</f>
        <v>0</v>
      </c>
      <c r="AF28" s="0" t="n">
        <f aca="false">F28*x_NAV</f>
        <v>0</v>
      </c>
      <c r="AG28" s="0" t="n">
        <f aca="false">G28*x_FIX*(1-x_testy)</f>
        <v>0</v>
      </c>
      <c r="AH28" s="0" t="n">
        <f aca="false">x_z_F*U28+(1-x_AGRI)*x_EMP*x_WLOSS*(x_PEN_K74*Q28+x_PEN_C22*R28)</f>
        <v>28237001.7544221</v>
      </c>
      <c r="AI28" s="0" t="n">
        <f aca="false">x_AGRI*x_EMP*x_WLOSS*(x_PEN_K74*Q28+x_PEN_C22*R28)</f>
        <v>1624403.4408609</v>
      </c>
      <c r="AJ28" s="0" t="n">
        <f aca="false">x_EMP*x_WAGE*(x_WLOSS*(Q28+R28)+S28)+U28*x_ABS_D*x_WAGE/365</f>
        <v>697016897.448665</v>
      </c>
      <c r="AK28" s="0" t="n">
        <f aca="false">AJ28*x_R_FUS</f>
        <v>220536146.352758</v>
      </c>
      <c r="AL28" s="0" t="n">
        <f aca="false">AJ28*x_R_NFZ</f>
        <v>54131029.2727608</v>
      </c>
      <c r="AM28" s="0" t="n">
        <f aca="false">AJ28*x_R_PIT</f>
        <v>46340592.5829275</v>
      </c>
      <c r="AN28" s="0" t="n">
        <f aca="false">AJ28*x_R_FP</f>
        <v>17773930.884941</v>
      </c>
      <c r="AO28" s="0" t="n">
        <f aca="false">AA28+AB28+AC28+AD28+AF28</f>
        <v>467024801.446682</v>
      </c>
      <c r="AP28" s="0" t="n">
        <f aca="false">AO28+AE28+AG28+AH28+AI28+AK28+AL28+AM28+AN28</f>
        <v>835667905.735351</v>
      </c>
      <c r="AQ28" s="0" t="n">
        <f aca="false">AO28+AE28+AG28+AJ28</f>
        <v>1164041698.89535</v>
      </c>
      <c r="AR28" s="0" t="n">
        <f aca="false">AB28+AC28+AD28+AF28</f>
        <v>137833427.610024</v>
      </c>
      <c r="AS28" s="0" t="n">
        <f aca="false">AR28+AE28+AG28</f>
        <v>137833427.610024</v>
      </c>
    </row>
    <row r="29" customFormat="false" ht="15" hidden="false" customHeight="false" outlineLevel="0" collapsed="false">
      <c r="A29" s="0" t="n">
        <v>2052</v>
      </c>
      <c r="B29" s="0" t="n">
        <v>26</v>
      </c>
      <c r="C29" s="0" t="n">
        <v>4832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2237.663</v>
      </c>
      <c r="I29" s="0" t="n">
        <v>246.351</v>
      </c>
      <c r="J29" s="0" t="n">
        <v>1396.015</v>
      </c>
      <c r="K29" s="0" t="n">
        <v>2294.323</v>
      </c>
      <c r="L29" s="0" t="n">
        <v>1080.664</v>
      </c>
      <c r="M29" s="0" t="n">
        <v>97494.278</v>
      </c>
      <c r="N29" s="0" t="n">
        <v>8698.135</v>
      </c>
      <c r="O29" s="0" t="n">
        <v>78.436</v>
      </c>
      <c r="P29" s="0" t="n">
        <v>79.301</v>
      </c>
      <c r="Q29" s="0" t="n">
        <v>1134.726</v>
      </c>
      <c r="R29" s="0" t="n">
        <v>1222.622</v>
      </c>
      <c r="S29" s="0" t="n">
        <v>7027.172</v>
      </c>
      <c r="T29" s="0" t="n">
        <v>2484.014</v>
      </c>
      <c r="U29" s="0" t="n">
        <v>1804.709</v>
      </c>
      <c r="V29" s="0" t="n">
        <v>148381.346</v>
      </c>
      <c r="W29" s="0" t="n">
        <v>242.464</v>
      </c>
      <c r="X29" s="0" t="n">
        <v>644.952</v>
      </c>
      <c r="Y29" s="0" t="n">
        <v>78.436</v>
      </c>
      <c r="Z29" s="0" t="n">
        <v>824.446</v>
      </c>
      <c r="AA29" s="0" t="n">
        <f aca="false">H29*x_c_F+I29*x_c_CC+J29*x_c_DC+K29*x_c_HCC+L29*x_c_PLT+M29*x_c_SVRn+N29*x_c_SVRcc+O29*x_c_LT+P29*x_c_LT1</f>
        <v>325995217.778166</v>
      </c>
      <c r="AB29" s="0" t="n">
        <f aca="false">C29*x_c_DAA</f>
        <v>109976320</v>
      </c>
      <c r="AC29" s="0" t="n">
        <f aca="false">C29*x_c_MON</f>
        <v>27857107.6100244</v>
      </c>
      <c r="AD29" s="0" t="n">
        <f aca="false">D29*(1-x_testy)</f>
        <v>0</v>
      </c>
      <c r="AE29" s="0" t="n">
        <f aca="false">E29*(1-x_testy)</f>
        <v>0</v>
      </c>
      <c r="AF29" s="0" t="n">
        <f aca="false">F29*x_NAV</f>
        <v>0</v>
      </c>
      <c r="AG29" s="0" t="n">
        <f aca="false">G29*x_FIX*(1-x_testy)</f>
        <v>0</v>
      </c>
      <c r="AH29" s="0" t="n">
        <f aca="false">x_z_F*U29+(1-x_AGRI)*x_EMP*x_WLOSS*(x_PEN_K74*Q29+x_PEN_C22*R29)</f>
        <v>29077493.3326922</v>
      </c>
      <c r="AI29" s="0" t="n">
        <f aca="false">x_AGRI*x_EMP*x_WLOSS*(x_PEN_K74*Q29+x_PEN_C22*R29)</f>
        <v>1676721.92976683</v>
      </c>
      <c r="AJ29" s="0" t="n">
        <f aca="false">x_EMP*x_WAGE*(x_WLOSS*(Q29+R29)+S29)+U29*x_ABS_D*x_WAGE/365</f>
        <v>733355395.881407</v>
      </c>
      <c r="AK29" s="0" t="n">
        <f aca="false">AJ29*x_R_FUS</f>
        <v>232033647.256877</v>
      </c>
      <c r="AL29" s="0" t="n">
        <f aca="false">AJ29*x_R_NFZ</f>
        <v>56953113.399546</v>
      </c>
      <c r="AM29" s="0" t="n">
        <f aca="false">AJ29*x_R_PIT</f>
        <v>48756527.6299987</v>
      </c>
      <c r="AN29" s="0" t="n">
        <f aca="false">AJ29*x_R_FP</f>
        <v>18700562.5949759</v>
      </c>
      <c r="AO29" s="0" t="n">
        <f aca="false">AA29+AB29+AC29+AD29+AF29</f>
        <v>463828645.38819</v>
      </c>
      <c r="AP29" s="0" t="n">
        <f aca="false">AO29+AE29+AG29+AH29+AI29+AK29+AL29+AM29+AN29</f>
        <v>851026711.532047</v>
      </c>
      <c r="AQ29" s="0" t="n">
        <f aca="false">AO29+AE29+AG29+AJ29</f>
        <v>1197184041.2696</v>
      </c>
      <c r="AR29" s="0" t="n">
        <f aca="false">AB29+AC29+AD29+AF29</f>
        <v>137833427.610024</v>
      </c>
      <c r="AS29" s="0" t="n">
        <f aca="false">AR29+AE29+AG29</f>
        <v>137833427.610024</v>
      </c>
    </row>
    <row r="30" customFormat="false" ht="15" hidden="false" customHeight="false" outlineLevel="0" collapsed="false">
      <c r="A30" s="0" t="n">
        <v>2053</v>
      </c>
      <c r="B30" s="0" t="n">
        <v>27</v>
      </c>
      <c r="C30" s="0" t="n">
        <v>4832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2241.69</v>
      </c>
      <c r="I30" s="0" t="n">
        <v>241.549</v>
      </c>
      <c r="J30" s="0" t="n">
        <v>1365.665</v>
      </c>
      <c r="K30" s="0" t="n">
        <v>2248.309</v>
      </c>
      <c r="L30" s="0" t="n">
        <v>1060.024</v>
      </c>
      <c r="M30" s="0" t="n">
        <v>100171.839</v>
      </c>
      <c r="N30" s="0" t="n">
        <v>8736.775</v>
      </c>
      <c r="O30" s="0" t="n">
        <v>76.764</v>
      </c>
      <c r="P30" s="0" t="n">
        <v>77.6</v>
      </c>
      <c r="Q30" s="0" t="n">
        <v>1168.607</v>
      </c>
      <c r="R30" s="0" t="n">
        <v>1262.253</v>
      </c>
      <c r="S30" s="0" t="n">
        <v>7413.503</v>
      </c>
      <c r="T30" s="0" t="n">
        <v>2483.239</v>
      </c>
      <c r="U30" s="0" t="n">
        <v>1826.246</v>
      </c>
      <c r="V30" s="0" t="n">
        <v>150018.545</v>
      </c>
      <c r="W30" s="0" t="n">
        <v>237.4</v>
      </c>
      <c r="X30" s="0" t="n">
        <v>633.011</v>
      </c>
      <c r="Y30" s="0" t="n">
        <v>76.764</v>
      </c>
      <c r="Z30" s="0" t="n">
        <v>807.618</v>
      </c>
      <c r="AA30" s="0" t="n">
        <f aca="false">H30*x_c_F+I30*x_c_CC+J30*x_c_DC+K30*x_c_HCC+L30*x_c_PLT+M30*x_c_SVRn+N30*x_c_SVRcc+O30*x_c_LT+P30*x_c_LT1</f>
        <v>322975403.814597</v>
      </c>
      <c r="AB30" s="0" t="n">
        <f aca="false">C30*x_c_DAA</f>
        <v>109976320</v>
      </c>
      <c r="AC30" s="0" t="n">
        <f aca="false">C30*x_c_MON</f>
        <v>27857107.6100244</v>
      </c>
      <c r="AD30" s="0" t="n">
        <f aca="false">D30*(1-x_testy)</f>
        <v>0</v>
      </c>
      <c r="AE30" s="0" t="n">
        <f aca="false">E30*(1-x_testy)</f>
        <v>0</v>
      </c>
      <c r="AF30" s="0" t="n">
        <f aca="false">F30*x_NAV</f>
        <v>0</v>
      </c>
      <c r="AG30" s="0" t="n">
        <f aca="false">G30*x_FIX*(1-x_testy)</f>
        <v>0</v>
      </c>
      <c r="AH30" s="0" t="n">
        <f aca="false">x_z_F*U30+(1-x_AGRI)*x_EMP*x_WLOSS*(x_PEN_K74*Q30+x_PEN_C22*R30)</f>
        <v>29914889.8323091</v>
      </c>
      <c r="AI30" s="0" t="n">
        <f aca="false">x_AGRI*x_EMP*x_WLOSS*(x_PEN_K74*Q30+x_PEN_C22*R30)</f>
        <v>1729145.53660054</v>
      </c>
      <c r="AJ30" s="0" t="n">
        <f aca="false">x_EMP*x_WAGE*(x_WLOSS*(Q30+R30)+S30)+U30*x_ABS_D*x_WAGE/365</f>
        <v>770377512.180412</v>
      </c>
      <c r="AK30" s="0" t="n">
        <f aca="false">AJ30*x_R_FUS</f>
        <v>243747444.853882</v>
      </c>
      <c r="AL30" s="0" t="n">
        <f aca="false">AJ30*x_R_NFZ</f>
        <v>59828287.973443</v>
      </c>
      <c r="AM30" s="0" t="n">
        <f aca="false">AJ30*x_R_PIT</f>
        <v>51217912.446134</v>
      </c>
      <c r="AN30" s="0" t="n">
        <f aca="false">AJ30*x_R_FP</f>
        <v>19644626.5606005</v>
      </c>
      <c r="AO30" s="0" t="n">
        <f aca="false">AA30+AB30+AC30+AD30+AF30</f>
        <v>460808831.424622</v>
      </c>
      <c r="AP30" s="0" t="n">
        <f aca="false">AO30+AE30+AG30+AH30+AI30+AK30+AL30+AM30+AN30</f>
        <v>866891138.627591</v>
      </c>
      <c r="AQ30" s="0" t="n">
        <f aca="false">AO30+AE30+AG30+AJ30</f>
        <v>1231186343.60503</v>
      </c>
      <c r="AR30" s="0" t="n">
        <f aca="false">AB30+AC30+AD30+AF30</f>
        <v>137833427.610024</v>
      </c>
      <c r="AS30" s="0" t="n">
        <f aca="false">AR30+AE30+AG30</f>
        <v>137833427.610024</v>
      </c>
    </row>
    <row r="31" customFormat="false" ht="15" hidden="false" customHeight="false" outlineLevel="0" collapsed="false">
      <c r="A31" s="0" t="n">
        <v>2054</v>
      </c>
      <c r="B31" s="0" t="n">
        <v>28</v>
      </c>
      <c r="C31" s="0" t="n">
        <v>4832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2245.448</v>
      </c>
      <c r="I31" s="0" t="n">
        <v>237.067</v>
      </c>
      <c r="J31" s="0" t="n">
        <v>1336.369</v>
      </c>
      <c r="K31" s="0" t="n">
        <v>2204.761</v>
      </c>
      <c r="L31" s="0" t="n">
        <v>1039.237</v>
      </c>
      <c r="M31" s="0" t="n">
        <v>102834.925</v>
      </c>
      <c r="N31" s="0" t="n">
        <v>8763.039</v>
      </c>
      <c r="O31" s="0" t="n">
        <v>75.147</v>
      </c>
      <c r="P31" s="0" t="n">
        <v>75.955</v>
      </c>
      <c r="Q31" s="0" t="n">
        <v>1202.737</v>
      </c>
      <c r="R31" s="0" t="n">
        <v>1301.384</v>
      </c>
      <c r="S31" s="0" t="n">
        <v>7807.051</v>
      </c>
      <c r="T31" s="0" t="n">
        <v>2482.515</v>
      </c>
      <c r="U31" s="0" t="n">
        <v>1845.712</v>
      </c>
      <c r="V31" s="0" t="n">
        <v>151669.255</v>
      </c>
      <c r="W31" s="0" t="n">
        <v>232.665</v>
      </c>
      <c r="X31" s="0" t="n">
        <v>621.833</v>
      </c>
      <c r="Y31" s="0" t="n">
        <v>75.147</v>
      </c>
      <c r="Z31" s="0" t="n">
        <v>791.472</v>
      </c>
      <c r="AA31" s="0" t="n">
        <f aca="false">H31*x_c_F+I31*x_c_CC+J31*x_c_DC+K31*x_c_HCC+L31*x_c_PLT+M31*x_c_SVRn+N31*x_c_SVRcc+O31*x_c_LT+P31*x_c_LT1</f>
        <v>320104719.56423</v>
      </c>
      <c r="AB31" s="0" t="n">
        <f aca="false">C31*x_c_DAA</f>
        <v>109976320</v>
      </c>
      <c r="AC31" s="0" t="n">
        <f aca="false">C31*x_c_MON</f>
        <v>27857107.6100244</v>
      </c>
      <c r="AD31" s="0" t="n">
        <f aca="false">D31*(1-x_testy)</f>
        <v>0</v>
      </c>
      <c r="AE31" s="0" t="n">
        <f aca="false">E31*(1-x_testy)</f>
        <v>0</v>
      </c>
      <c r="AF31" s="0" t="n">
        <f aca="false">F31*x_NAV</f>
        <v>0</v>
      </c>
      <c r="AG31" s="0" t="n">
        <f aca="false">G31*x_FIX*(1-x_testy)</f>
        <v>0</v>
      </c>
      <c r="AH31" s="0" t="n">
        <f aca="false">x_z_F*U31+(1-x_AGRI)*x_EMP*x_WLOSS*(x_PEN_K74*Q31+x_PEN_C22*R31)</f>
        <v>30744820.3801796</v>
      </c>
      <c r="AI31" s="0" t="n">
        <f aca="false">x_AGRI*x_EMP*x_WLOSS*(x_PEN_K74*Q31+x_PEN_C22*R31)</f>
        <v>1781357.0896099</v>
      </c>
      <c r="AJ31" s="0" t="n">
        <f aca="false">x_EMP*x_WAGE*(x_WLOSS*(Q31+R31)+S31)+U31*x_ABS_D*x_WAGE/365</f>
        <v>807995143.886023</v>
      </c>
      <c r="AK31" s="0" t="n">
        <f aca="false">AJ31*x_R_FUS</f>
        <v>255649663.525538</v>
      </c>
      <c r="AL31" s="0" t="n">
        <f aca="false">AJ31*x_R_NFZ</f>
        <v>62749710.8693325</v>
      </c>
      <c r="AM31" s="0" t="n">
        <f aca="false">AJ31*x_R_PIT</f>
        <v>53718889.6120897</v>
      </c>
      <c r="AN31" s="0" t="n">
        <f aca="false">AJ31*x_R_FP</f>
        <v>20603876.1690936</v>
      </c>
      <c r="AO31" s="0" t="n">
        <f aca="false">AA31+AB31+AC31+AD31+AF31</f>
        <v>457938147.174255</v>
      </c>
      <c r="AP31" s="0" t="n">
        <f aca="false">AO31+AE31+AG31+AH31+AI31+AK31+AL31+AM31+AN31</f>
        <v>883186464.820098</v>
      </c>
      <c r="AQ31" s="0" t="n">
        <f aca="false">AO31+AE31+AG31+AJ31</f>
        <v>1265933291.06028</v>
      </c>
      <c r="AR31" s="0" t="n">
        <f aca="false">AB31+AC31+AD31+AF31</f>
        <v>137833427.610024</v>
      </c>
      <c r="AS31" s="0" t="n">
        <f aca="false">AR31+AE31+AG31</f>
        <v>137833427.610024</v>
      </c>
    </row>
    <row r="32" customFormat="false" ht="15" hidden="false" customHeight="false" outlineLevel="0" collapsed="false">
      <c r="A32" s="0" t="n">
        <v>2055</v>
      </c>
      <c r="B32" s="0" t="n">
        <v>29</v>
      </c>
      <c r="C32" s="0" t="n">
        <v>4832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2248.951</v>
      </c>
      <c r="I32" s="0" t="n">
        <v>232.883</v>
      </c>
      <c r="J32" s="0" t="n">
        <v>1308.057</v>
      </c>
      <c r="K32" s="0" t="n">
        <v>2163.407</v>
      </c>
      <c r="L32" s="0" t="n">
        <v>1018.128</v>
      </c>
      <c r="M32" s="0" t="n">
        <v>105473.399</v>
      </c>
      <c r="N32" s="0" t="n">
        <v>8776.351</v>
      </c>
      <c r="O32" s="0" t="n">
        <v>73.581</v>
      </c>
      <c r="P32" s="0" t="n">
        <v>74.364</v>
      </c>
      <c r="Q32" s="0" t="n">
        <v>1236.931</v>
      </c>
      <c r="R32" s="0" t="n">
        <v>1339.766</v>
      </c>
      <c r="S32" s="0" t="n">
        <v>8206.961</v>
      </c>
      <c r="T32" s="0" t="n">
        <v>2481.834</v>
      </c>
      <c r="U32" s="0" t="n">
        <v>1863.296</v>
      </c>
      <c r="V32" s="0" t="n">
        <v>153319.824</v>
      </c>
      <c r="W32" s="0" t="n">
        <v>228.219</v>
      </c>
      <c r="X32" s="0" t="n">
        <v>611.304</v>
      </c>
      <c r="Y32" s="0" t="n">
        <v>73.581</v>
      </c>
      <c r="Z32" s="0" t="n">
        <v>775.927</v>
      </c>
      <c r="AA32" s="0" t="n">
        <f aca="false">H32*x_c_F+I32*x_c_CC+J32*x_c_DC+K32*x_c_HCC+L32*x_c_PLT+M32*x_c_SVRn+N32*x_c_SVRcc+O32*x_c_LT+P32*x_c_LT1</f>
        <v>317349903.269783</v>
      </c>
      <c r="AB32" s="0" t="n">
        <f aca="false">C32*x_c_DAA</f>
        <v>109976320</v>
      </c>
      <c r="AC32" s="0" t="n">
        <f aca="false">C32*x_c_MON</f>
        <v>27857107.6100244</v>
      </c>
      <c r="AD32" s="0" t="n">
        <f aca="false">D32*(1-x_testy)</f>
        <v>0</v>
      </c>
      <c r="AE32" s="0" t="n">
        <f aca="false">E32*(1-x_testy)</f>
        <v>0</v>
      </c>
      <c r="AF32" s="0" t="n">
        <f aca="false">F32*x_NAV</f>
        <v>0</v>
      </c>
      <c r="AG32" s="0" t="n">
        <f aca="false">G32*x_FIX*(1-x_testy)</f>
        <v>0</v>
      </c>
      <c r="AH32" s="0" t="n">
        <f aca="false">x_z_F*U32+(1-x_AGRI)*x_EMP*x_WLOSS*(x_PEN_K74*Q32+x_PEN_C22*R32)</f>
        <v>31562970.5236491</v>
      </c>
      <c r="AI32" s="0" t="n">
        <f aca="false">x_AGRI*x_EMP*x_WLOSS*(x_PEN_K74*Q32+x_PEN_C22*R32)</f>
        <v>1833045.72826371</v>
      </c>
      <c r="AJ32" s="0" t="n">
        <f aca="false">x_EMP*x_WAGE*(x_WLOSS*(Q32+R32)+S32)+U32*x_ABS_D*x_WAGE/365</f>
        <v>846112214.688607</v>
      </c>
      <c r="AK32" s="0" t="n">
        <f aca="false">AJ32*x_R_FUS</f>
        <v>267709904.727475</v>
      </c>
      <c r="AL32" s="0" t="n">
        <f aca="false">AJ32*x_R_NFZ</f>
        <v>65709920.7049319</v>
      </c>
      <c r="AM32" s="0" t="n">
        <f aca="false">AJ32*x_R_PIT</f>
        <v>56253071.5737935</v>
      </c>
      <c r="AN32" s="0" t="n">
        <f aca="false">AJ32*x_R_FP</f>
        <v>21575861.4745595</v>
      </c>
      <c r="AO32" s="0" t="n">
        <f aca="false">AA32+AB32+AC32+AD32+AF32</f>
        <v>455183330.879807</v>
      </c>
      <c r="AP32" s="0" t="n">
        <f aca="false">AO32+AE32+AG32+AH32+AI32+AK32+AL32+AM32+AN32</f>
        <v>899828105.61248</v>
      </c>
      <c r="AQ32" s="0" t="n">
        <f aca="false">AO32+AE32+AG32+AJ32</f>
        <v>1301295545.56841</v>
      </c>
      <c r="AR32" s="0" t="n">
        <f aca="false">AB32+AC32+AD32+AF32</f>
        <v>137833427.610024</v>
      </c>
      <c r="AS32" s="0" t="n">
        <f aca="false">AR32+AE32+AG32</f>
        <v>137833427.610024</v>
      </c>
    </row>
    <row r="33" customFormat="false" ht="15" hidden="false" customHeight="false" outlineLevel="0" collapsed="false">
      <c r="A33" s="0" t="n">
        <v>2056</v>
      </c>
      <c r="B33" s="0" t="n">
        <v>30</v>
      </c>
      <c r="C33" s="0" t="n">
        <v>4832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2252.217</v>
      </c>
      <c r="I33" s="0" t="n">
        <v>228.971</v>
      </c>
      <c r="J33" s="0" t="n">
        <v>1280.618</v>
      </c>
      <c r="K33" s="0" t="n">
        <v>2123.928</v>
      </c>
      <c r="L33" s="0" t="n">
        <v>996.478</v>
      </c>
      <c r="M33" s="0" t="n">
        <v>108074.981</v>
      </c>
      <c r="N33" s="0" t="n">
        <v>8775.704</v>
      </c>
      <c r="O33" s="0" t="n">
        <v>72.059</v>
      </c>
      <c r="P33" s="0" t="n">
        <v>72.82</v>
      </c>
      <c r="Q33" s="0" t="n">
        <v>1270.979</v>
      </c>
      <c r="R33" s="0" t="n">
        <v>1377.15</v>
      </c>
      <c r="S33" s="0" t="n">
        <v>8612.128</v>
      </c>
      <c r="T33" s="0" t="n">
        <v>2481.188</v>
      </c>
      <c r="U33" s="0" t="n">
        <v>1879.17</v>
      </c>
      <c r="V33" s="0" t="n">
        <v>154955.439</v>
      </c>
      <c r="W33" s="0" t="n">
        <v>224.016</v>
      </c>
      <c r="X33" s="0" t="n">
        <v>601.305</v>
      </c>
      <c r="Y33" s="0" t="n">
        <v>72.059</v>
      </c>
      <c r="Z33" s="0" t="n">
        <v>760.868</v>
      </c>
      <c r="AA33" s="0" t="n">
        <f aca="false">H33*x_c_F+I33*x_c_CC+J33*x_c_DC+K33*x_c_HCC+L33*x_c_PLT+M33*x_c_SVRn+N33*x_c_SVRcc+O33*x_c_LT+P33*x_c_LT1</f>
        <v>314668829.628702</v>
      </c>
      <c r="AB33" s="0" t="n">
        <f aca="false">C33*x_c_DAA</f>
        <v>109976320</v>
      </c>
      <c r="AC33" s="0" t="n">
        <f aca="false">C33*x_c_MON</f>
        <v>27857107.6100244</v>
      </c>
      <c r="AD33" s="0" t="n">
        <f aca="false">D33*(1-x_testy)</f>
        <v>0</v>
      </c>
      <c r="AE33" s="0" t="n">
        <f aca="false">E33*(1-x_testy)</f>
        <v>0</v>
      </c>
      <c r="AF33" s="0" t="n">
        <f aca="false">F33*x_NAV</f>
        <v>0</v>
      </c>
      <c r="AG33" s="0" t="n">
        <f aca="false">G33*x_FIX*(1-x_testy)</f>
        <v>0</v>
      </c>
      <c r="AH33" s="0" t="n">
        <f aca="false">x_z_F*U33+(1-x_AGRI)*x_EMP*x_WLOSS*(x_PEN_K74*Q33+x_PEN_C22*R33)</f>
        <v>32364739.6193053</v>
      </c>
      <c r="AI33" s="0" t="n">
        <f aca="false">x_AGRI*x_EMP*x_WLOSS*(x_PEN_K74*Q33+x_PEN_C22*R33)</f>
        <v>1883883.98552604</v>
      </c>
      <c r="AJ33" s="0" t="n">
        <f aca="false">x_EMP*x_WAGE*(x_WLOSS*(Q33+R33)+S33)+U33*x_ABS_D*x_WAGE/365</f>
        <v>884609916.068185</v>
      </c>
      <c r="AK33" s="0" t="n">
        <f aca="false">AJ33*x_R_FUS</f>
        <v>279890577.443974</v>
      </c>
      <c r="AL33" s="0" t="n">
        <f aca="false">AJ33*x_R_NFZ</f>
        <v>68699690.6917713</v>
      </c>
      <c r="AM33" s="0" t="n">
        <f aca="false">AJ33*x_R_PIT</f>
        <v>58812559.4449488</v>
      </c>
      <c r="AN33" s="0" t="n">
        <f aca="false">AJ33*x_R_FP</f>
        <v>22557552.8597387</v>
      </c>
      <c r="AO33" s="0" t="n">
        <f aca="false">AA33+AB33+AC33+AD33+AF33</f>
        <v>452502257.238726</v>
      </c>
      <c r="AP33" s="0" t="n">
        <f aca="false">AO33+AE33+AG33+AH33+AI33+AK33+AL33+AM33+AN33</f>
        <v>916711261.28399</v>
      </c>
      <c r="AQ33" s="0" t="n">
        <f aca="false">AO33+AE33+AG33+AJ33</f>
        <v>1337112173.30691</v>
      </c>
      <c r="AR33" s="0" t="n">
        <f aca="false">AB33+AC33+AD33+AF33</f>
        <v>137833427.610024</v>
      </c>
      <c r="AS33" s="0" t="n">
        <f aca="false">AR33+AE33+AG33</f>
        <v>137833427.610024</v>
      </c>
    </row>
    <row r="34" customFormat="false" ht="15" hidden="false" customHeight="false" outlineLevel="0" collapsed="false">
      <c r="A34" s="0" t="n">
        <v>2057</v>
      </c>
      <c r="B34" s="0" t="n">
        <v>31</v>
      </c>
      <c r="C34" s="0" t="n">
        <v>4832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2255.294</v>
      </c>
      <c r="I34" s="0" t="n">
        <v>225.273</v>
      </c>
      <c r="J34" s="0" t="n">
        <v>1252.575</v>
      </c>
      <c r="K34" s="0" t="n">
        <v>2084.193</v>
      </c>
      <c r="L34" s="0" t="n">
        <v>971.616</v>
      </c>
      <c r="M34" s="0" t="n">
        <v>110537.053</v>
      </c>
      <c r="N34" s="0" t="n">
        <v>8744.328</v>
      </c>
      <c r="O34" s="0" t="n">
        <v>70.413</v>
      </c>
      <c r="P34" s="0" t="n">
        <v>71.236</v>
      </c>
      <c r="Q34" s="0" t="n">
        <v>1304.667</v>
      </c>
      <c r="R34" s="0" t="n">
        <v>1413.298</v>
      </c>
      <c r="S34" s="0" t="n">
        <v>9021.249</v>
      </c>
      <c r="T34" s="0" t="n">
        <v>2480.567</v>
      </c>
      <c r="U34" s="0" t="n">
        <v>1893.559</v>
      </c>
      <c r="V34" s="0" t="n">
        <v>156477.429</v>
      </c>
      <c r="W34" s="0" t="n">
        <v>219.773</v>
      </c>
      <c r="X34" s="0" t="n">
        <v>590.998</v>
      </c>
      <c r="Y34" s="0" t="n">
        <v>70.413</v>
      </c>
      <c r="Z34" s="0" t="n">
        <v>744.537</v>
      </c>
      <c r="AA34" s="0" t="n">
        <f aca="false">H34*x_c_F+I34*x_c_CC+J34*x_c_DC+K34*x_c_HCC+L34*x_c_PLT+M34*x_c_SVRn+N34*x_c_SVRcc+O34*x_c_LT+P34*x_c_LT1</f>
        <v>311645232.789797</v>
      </c>
      <c r="AB34" s="0" t="n">
        <f aca="false">C34*x_c_DAA</f>
        <v>109976320</v>
      </c>
      <c r="AC34" s="0" t="n">
        <f aca="false">C34*x_c_MON</f>
        <v>27857107.6100244</v>
      </c>
      <c r="AD34" s="0" t="n">
        <f aca="false">D34*(1-x_testy)</f>
        <v>0</v>
      </c>
      <c r="AE34" s="0" t="n">
        <f aca="false">E34*(1-x_testy)</f>
        <v>0</v>
      </c>
      <c r="AF34" s="0" t="n">
        <f aca="false">F34*x_NAV</f>
        <v>0</v>
      </c>
      <c r="AG34" s="0" t="n">
        <f aca="false">G34*x_FIX*(1-x_testy)</f>
        <v>0</v>
      </c>
      <c r="AH34" s="0" t="n">
        <f aca="false">x_z_F*U34+(1-x_AGRI)*x_EMP*x_WLOSS*(x_PEN_K74*Q34+x_PEN_C22*R34)</f>
        <v>33145721.4198369</v>
      </c>
      <c r="AI34" s="0" t="n">
        <f aca="false">x_AGRI*x_EMP*x_WLOSS*(x_PEN_K74*Q34+x_PEN_C22*R34)</f>
        <v>1933550.04132166</v>
      </c>
      <c r="AJ34" s="0" t="n">
        <f aca="false">x_EMP*x_WAGE*(x_WLOSS*(Q34+R34)+S34)+U34*x_ABS_D*x_WAGE/365</f>
        <v>923353096.412207</v>
      </c>
      <c r="AK34" s="0" t="n">
        <f aca="false">AJ34*x_R_FUS</f>
        <v>292148919.704822</v>
      </c>
      <c r="AL34" s="0" t="n">
        <f aca="false">AJ34*x_R_NFZ</f>
        <v>71708524.8204684</v>
      </c>
      <c r="AM34" s="0" t="n">
        <f aca="false">AJ34*x_R_PIT</f>
        <v>61388367.7822516</v>
      </c>
      <c r="AN34" s="0" t="n">
        <f aca="false">AJ34*x_R_FP</f>
        <v>23545503.9585113</v>
      </c>
      <c r="AO34" s="0" t="n">
        <f aca="false">AA34+AB34+AC34+AD34+AF34</f>
        <v>449478660.399822</v>
      </c>
      <c r="AP34" s="0" t="n">
        <f aca="false">AO34+AE34+AG34+AH34+AI34+AK34+AL34+AM34+AN34</f>
        <v>933349248.127034</v>
      </c>
      <c r="AQ34" s="0" t="n">
        <f aca="false">AO34+AE34+AG34+AJ34</f>
        <v>1372831756.81203</v>
      </c>
      <c r="AR34" s="0" t="n">
        <f aca="false">AB34+AC34+AD34+AF34</f>
        <v>137833427.610024</v>
      </c>
      <c r="AS34" s="0" t="n">
        <f aca="false">AR34+AE34+AG34</f>
        <v>137833427.610024</v>
      </c>
    </row>
    <row r="35" customFormat="false" ht="15" hidden="false" customHeight="false" outlineLevel="0" collapsed="false">
      <c r="A35" s="0" t="n">
        <v>2058</v>
      </c>
      <c r="B35" s="0" t="n">
        <v>32</v>
      </c>
      <c r="C35" s="0" t="n">
        <v>4832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2258.141</v>
      </c>
      <c r="I35" s="0" t="n">
        <v>221.833</v>
      </c>
      <c r="J35" s="0" t="n">
        <v>1225.763</v>
      </c>
      <c r="K35" s="0" t="n">
        <v>2046.544</v>
      </c>
      <c r="L35" s="0" t="n">
        <v>946.686</v>
      </c>
      <c r="M35" s="0" t="n">
        <v>112967.92</v>
      </c>
      <c r="N35" s="0" t="n">
        <v>8702.47</v>
      </c>
      <c r="O35" s="0" t="n">
        <v>69.029</v>
      </c>
      <c r="P35" s="0" t="n">
        <v>69.721</v>
      </c>
      <c r="Q35" s="0" t="n">
        <v>1337.77</v>
      </c>
      <c r="R35" s="0" t="n">
        <v>1447.985</v>
      </c>
      <c r="S35" s="0" t="n">
        <v>9432.826</v>
      </c>
      <c r="T35" s="0" t="n">
        <v>2479.974</v>
      </c>
      <c r="U35" s="0" t="n">
        <v>1906.469</v>
      </c>
      <c r="V35" s="0" t="n">
        <v>157986.947</v>
      </c>
      <c r="W35" s="0" t="n">
        <v>216.073</v>
      </c>
      <c r="X35" s="0" t="n">
        <v>582.12</v>
      </c>
      <c r="Y35" s="0" t="n">
        <v>69.029</v>
      </c>
      <c r="Z35" s="0" t="n">
        <v>730.899</v>
      </c>
      <c r="AA35" s="0" t="n">
        <f aca="false">H35*x_c_F+I35*x_c_CC+J35*x_c_DC+K35*x_c_HCC+L35*x_c_PLT+M35*x_c_SVRn+N35*x_c_SVRcc+O35*x_c_LT+P35*x_c_LT1</f>
        <v>308818878.355894</v>
      </c>
      <c r="AB35" s="0" t="n">
        <f aca="false">C35*x_c_DAA</f>
        <v>109976320</v>
      </c>
      <c r="AC35" s="0" t="n">
        <f aca="false">C35*x_c_MON</f>
        <v>27857107.6100244</v>
      </c>
      <c r="AD35" s="0" t="n">
        <f aca="false">D35*(1-x_testy)</f>
        <v>0</v>
      </c>
      <c r="AE35" s="0" t="n">
        <f aca="false">E35*(1-x_testy)</f>
        <v>0</v>
      </c>
      <c r="AF35" s="0" t="n">
        <f aca="false">F35*x_NAV</f>
        <v>0</v>
      </c>
      <c r="AG35" s="0" t="n">
        <f aca="false">G35*x_FIX*(1-x_testy)</f>
        <v>0</v>
      </c>
      <c r="AH35" s="0" t="n">
        <f aca="false">x_z_F*U35+(1-x_AGRI)*x_EMP*x_WLOSS*(x_PEN_K74*Q35+x_PEN_C22*R35)</f>
        <v>33901097.3622297</v>
      </c>
      <c r="AI35" s="0" t="n">
        <f aca="false">x_AGRI*x_EMP*x_WLOSS*(x_PEN_K74*Q35+x_PEN_C22*R35)</f>
        <v>1981724.58253315</v>
      </c>
      <c r="AJ35" s="0" t="n">
        <f aca="false">x_EMP*x_WAGE*(x_WLOSS*(Q35+R35)+S35)+U35*x_ABS_D*x_WAGE/365</f>
        <v>962189444.394803</v>
      </c>
      <c r="AK35" s="0" t="n">
        <f aca="false">AJ35*x_R_FUS</f>
        <v>304436740.206516</v>
      </c>
      <c r="AL35" s="0" t="n">
        <f aca="false">AJ35*x_R_NFZ</f>
        <v>74724594.4411448</v>
      </c>
      <c r="AM35" s="0" t="n">
        <f aca="false">AJ35*x_R_PIT</f>
        <v>63970370.2930342</v>
      </c>
      <c r="AN35" s="0" t="n">
        <f aca="false">AJ35*x_R_FP</f>
        <v>24535830.8320675</v>
      </c>
      <c r="AO35" s="0" t="n">
        <f aca="false">AA35+AB35+AC35+AD35+AF35</f>
        <v>446652305.965918</v>
      </c>
      <c r="AP35" s="0" t="n">
        <f aca="false">AO35+AE35+AG35+AH35+AI35+AK35+AL35+AM35+AN35</f>
        <v>950202663.683443</v>
      </c>
      <c r="AQ35" s="0" t="n">
        <f aca="false">AO35+AE35+AG35+AJ35</f>
        <v>1408841750.36072</v>
      </c>
      <c r="AR35" s="0" t="n">
        <f aca="false">AB35+AC35+AD35+AF35</f>
        <v>137833427.610024</v>
      </c>
      <c r="AS35" s="0" t="n">
        <f aca="false">AR35+AE35+AG35</f>
        <v>137833427.610024</v>
      </c>
    </row>
    <row r="36" customFormat="false" ht="15" hidden="false" customHeight="false" outlineLevel="0" collapsed="false">
      <c r="A36" s="0" t="n">
        <v>2059</v>
      </c>
      <c r="B36" s="0" t="n">
        <v>33</v>
      </c>
      <c r="C36" s="0" t="n">
        <v>4832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2260.739</v>
      </c>
      <c r="I36" s="0" t="n">
        <v>218.673</v>
      </c>
      <c r="J36" s="0" t="n">
        <v>1201.281</v>
      </c>
      <c r="K36" s="0" t="n">
        <v>2012.343</v>
      </c>
      <c r="L36" s="0" t="n">
        <v>923.685</v>
      </c>
      <c r="M36" s="0" t="n">
        <v>115434.628</v>
      </c>
      <c r="N36" s="0" t="n">
        <v>8663.045</v>
      </c>
      <c r="O36" s="0" t="n">
        <v>67.652</v>
      </c>
      <c r="P36" s="0" t="n">
        <v>68.341</v>
      </c>
      <c r="Q36" s="0" t="n">
        <v>1013.328</v>
      </c>
      <c r="R36" s="0" t="n">
        <v>1228.394</v>
      </c>
      <c r="S36" s="0" t="n">
        <v>6187.082</v>
      </c>
      <c r="T36" s="0" t="n">
        <v>2479.412</v>
      </c>
      <c r="U36" s="0" t="n">
        <v>1881.929</v>
      </c>
      <c r="V36" s="0" t="n">
        <v>159546.253</v>
      </c>
      <c r="W36" s="0" t="n">
        <v>212.501</v>
      </c>
      <c r="X36" s="0" t="n">
        <v>573.446</v>
      </c>
      <c r="Y36" s="0" t="n">
        <v>67.652</v>
      </c>
      <c r="Z36" s="0" t="n">
        <v>717.299</v>
      </c>
      <c r="AA36" s="0" t="n">
        <f aca="false">H36*x_c_F+I36*x_c_CC+J36*x_c_DC+K36*x_c_HCC+L36*x_c_PLT+M36*x_c_SVRn+N36*x_c_SVRcc+O36*x_c_LT+P36*x_c_LT1</f>
        <v>306350958.070113</v>
      </c>
      <c r="AB36" s="0" t="n">
        <f aca="false">C36*x_c_DAA</f>
        <v>109976320</v>
      </c>
      <c r="AC36" s="0" t="n">
        <f aca="false">C36*x_c_MON</f>
        <v>27857107.6100244</v>
      </c>
      <c r="AD36" s="0" t="n">
        <f aca="false">D36*(1-x_testy)</f>
        <v>0</v>
      </c>
      <c r="AE36" s="0" t="n">
        <f aca="false">E36*(1-x_testy)</f>
        <v>0</v>
      </c>
      <c r="AF36" s="0" t="n">
        <f aca="false">F36*x_NAV</f>
        <v>0</v>
      </c>
      <c r="AG36" s="0" t="n">
        <f aca="false">G36*x_FIX*(1-x_testy)</f>
        <v>0</v>
      </c>
      <c r="AH36" s="0" t="n">
        <f aca="false">x_z_F*U36+(1-x_AGRI)*x_EMP*x_WLOSS*(x_PEN_K74*Q36+x_PEN_C22*R36)</f>
        <v>28082169.7007372</v>
      </c>
      <c r="AI36" s="0" t="n">
        <f aca="false">x_AGRI*x_EMP*x_WLOSS*(x_PEN_K74*Q36+x_PEN_C22*R36)</f>
        <v>1600439.40746122</v>
      </c>
      <c r="AJ36" s="0" t="n">
        <f aca="false">x_EMP*x_WAGE*(x_WLOSS*(Q36+R36)+S36)+U36*x_ABS_D*x_WAGE/365</f>
        <v>655632603.590441</v>
      </c>
      <c r="AK36" s="0" t="n">
        <f aca="false">AJ36*x_R_FUS</f>
        <v>207442155.776015</v>
      </c>
      <c r="AL36" s="0" t="n">
        <f aca="false">AJ36*x_R_NFZ</f>
        <v>50917083.6274372</v>
      </c>
      <c r="AM36" s="0" t="n">
        <f aca="false">AJ36*x_R_PIT</f>
        <v>43589191.9956019</v>
      </c>
      <c r="AN36" s="0" t="n">
        <f aca="false">AJ36*x_R_FP</f>
        <v>16718631.3915562</v>
      </c>
      <c r="AO36" s="0" t="n">
        <f aca="false">AA36+AB36+AC36+AD36+AF36</f>
        <v>444184385.680138</v>
      </c>
      <c r="AP36" s="0" t="n">
        <f aca="false">AO36+AE36+AG36+AH36+AI36+AK36+AL36+AM36+AN36</f>
        <v>792534057.578947</v>
      </c>
      <c r="AQ36" s="0" t="n">
        <f aca="false">AO36+AE36+AG36+AJ36</f>
        <v>1099816989.27058</v>
      </c>
      <c r="AR36" s="0" t="n">
        <f aca="false">AB36+AC36+AD36+AF36</f>
        <v>137833427.610024</v>
      </c>
      <c r="AS36" s="0" t="n">
        <f aca="false">AR36+AE36+AG36</f>
        <v>137833427.610024</v>
      </c>
    </row>
    <row r="37" customFormat="false" ht="15" hidden="false" customHeight="false" outlineLevel="0" collapsed="false">
      <c r="A37" s="0" t="n">
        <v>2060</v>
      </c>
      <c r="B37" s="0" t="n">
        <v>34</v>
      </c>
      <c r="C37" s="0" t="n">
        <v>4832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2263.142</v>
      </c>
      <c r="I37" s="0" t="n">
        <v>215.729</v>
      </c>
      <c r="J37" s="0" t="n">
        <v>1177.107</v>
      </c>
      <c r="K37" s="0" t="n">
        <v>1978.775</v>
      </c>
      <c r="L37" s="0" t="n">
        <v>899.002</v>
      </c>
      <c r="M37" s="0" t="n">
        <v>117799.125</v>
      </c>
      <c r="N37" s="0" t="n">
        <v>8603.275</v>
      </c>
      <c r="O37" s="0" t="n">
        <v>66.296</v>
      </c>
      <c r="P37" s="0" t="n">
        <v>66.974</v>
      </c>
      <c r="Q37" s="0" t="n">
        <v>670.099</v>
      </c>
      <c r="R37" s="0" t="n">
        <v>988.189</v>
      </c>
      <c r="S37" s="0" t="n">
        <v>2727.059</v>
      </c>
      <c r="T37" s="0" t="n">
        <v>2478.871</v>
      </c>
      <c r="U37" s="0" t="n">
        <v>1851.257</v>
      </c>
      <c r="V37" s="0" t="n">
        <v>161025.494</v>
      </c>
      <c r="W37" s="0" t="n">
        <v>209.073</v>
      </c>
      <c r="X37" s="0" t="n">
        <v>565.022</v>
      </c>
      <c r="Y37" s="0" t="n">
        <v>66.296</v>
      </c>
      <c r="Z37" s="0" t="n">
        <v>703.852</v>
      </c>
      <c r="AA37" s="0" t="n">
        <f aca="false">H37*x_c_F+I37*x_c_CC+J37*x_c_DC+K37*x_c_HCC+L37*x_c_PLT+M37*x_c_SVRn+N37*x_c_SVRcc+O37*x_c_LT+P37*x_c_LT1</f>
        <v>303765027.778938</v>
      </c>
      <c r="AB37" s="0" t="n">
        <f aca="false">C37*x_c_DAA</f>
        <v>109976320</v>
      </c>
      <c r="AC37" s="0" t="n">
        <f aca="false">C37*x_c_MON</f>
        <v>27857107.6100244</v>
      </c>
      <c r="AD37" s="0" t="n">
        <f aca="false">D37*(1-x_testy)</f>
        <v>0</v>
      </c>
      <c r="AE37" s="0" t="n">
        <f aca="false">E37*(1-x_testy)</f>
        <v>0</v>
      </c>
      <c r="AF37" s="0" t="n">
        <f aca="false">F37*x_NAV</f>
        <v>0</v>
      </c>
      <c r="AG37" s="0" t="n">
        <f aca="false">G37*x_FIX*(1-x_testy)</f>
        <v>0</v>
      </c>
      <c r="AH37" s="0" t="n">
        <f aca="false">x_z_F*U37+(1-x_AGRI)*x_EMP*x_WLOSS*(x_PEN_K74*Q37+x_PEN_C22*R37)</f>
        <v>21826399.6833267</v>
      </c>
      <c r="AI37" s="0" t="n">
        <f aca="false">x_AGRI*x_EMP*x_WLOSS*(x_PEN_K74*Q37+x_PEN_C22*R37)</f>
        <v>1191113.07752066</v>
      </c>
      <c r="AJ37" s="0" t="n">
        <f aca="false">x_EMP*x_WAGE*(x_WLOSS*(Q37+R37)+S37)+U37*x_ABS_D*x_WAGE/365</f>
        <v>328633531.82971</v>
      </c>
      <c r="AK37" s="0" t="n">
        <f aca="false">AJ37*x_R_FUS</f>
        <v>103979649.47092</v>
      </c>
      <c r="AL37" s="0" t="n">
        <f aca="false">AJ37*x_R_NFZ</f>
        <v>25522008.7154271</v>
      </c>
      <c r="AM37" s="0" t="n">
        <f aca="false">AJ37*x_R_PIT</f>
        <v>21848928.8614853</v>
      </c>
      <c r="AN37" s="0" t="n">
        <f aca="false">AJ37*x_R_FP</f>
        <v>8380155.06165759</v>
      </c>
      <c r="AO37" s="0" t="n">
        <f aca="false">AA37+AB37+AC37+AD37+AF37</f>
        <v>441598455.388962</v>
      </c>
      <c r="AP37" s="0" t="n">
        <f aca="false">AO37+AE37+AG37+AH37+AI37+AK37+AL37+AM37+AN37</f>
        <v>624346710.2593</v>
      </c>
      <c r="AQ37" s="0" t="n">
        <f aca="false">AO37+AE37+AG37+AJ37</f>
        <v>770231987.218672</v>
      </c>
      <c r="AR37" s="0" t="n">
        <f aca="false">AB37+AC37+AD37+AF37</f>
        <v>137833427.610024</v>
      </c>
      <c r="AS37" s="0" t="n">
        <f aca="false">AR37+AE37+AG37</f>
        <v>137833427.610024</v>
      </c>
    </row>
    <row r="38" customFormat="false" ht="15" hidden="false" customHeight="false" outlineLevel="0" collapsed="false">
      <c r="A38" s="0" t="n">
        <v>2061</v>
      </c>
      <c r="B38" s="0" t="n">
        <v>35</v>
      </c>
      <c r="C38" s="0" t="n">
        <v>4832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2265.331</v>
      </c>
      <c r="I38" s="0" t="n">
        <v>213.02</v>
      </c>
      <c r="J38" s="0" t="n">
        <v>1153.522</v>
      </c>
      <c r="K38" s="0" t="n">
        <v>1946.16</v>
      </c>
      <c r="L38" s="0" t="n">
        <v>872.914</v>
      </c>
      <c r="M38" s="0" t="n">
        <v>120062.928</v>
      </c>
      <c r="N38" s="0" t="n">
        <v>8525.279</v>
      </c>
      <c r="O38" s="0" t="n">
        <v>64.98</v>
      </c>
      <c r="P38" s="0" t="n">
        <v>65.638</v>
      </c>
      <c r="Q38" s="0" t="n">
        <v>665.373</v>
      </c>
      <c r="R38" s="0" t="n">
        <v>980.987</v>
      </c>
      <c r="S38" s="0" t="n">
        <v>2711.358</v>
      </c>
      <c r="T38" s="0" t="n">
        <v>2478.351</v>
      </c>
      <c r="U38" s="0" t="n">
        <v>1851.048</v>
      </c>
      <c r="V38" s="0" t="n">
        <v>162427.875</v>
      </c>
      <c r="W38" s="0" t="n">
        <v>205.821</v>
      </c>
      <c r="X38" s="0" t="n">
        <v>556.93</v>
      </c>
      <c r="Y38" s="0" t="n">
        <v>64.98</v>
      </c>
      <c r="Z38" s="0" t="n">
        <v>690.739</v>
      </c>
      <c r="AA38" s="0" t="n">
        <f aca="false">H38*x_c_F+I38*x_c_CC+J38*x_c_DC+K38*x_c_HCC+L38*x_c_PLT+M38*x_c_SVRn+N38*x_c_SVRcc+O38*x_c_LT+P38*x_c_LT1</f>
        <v>301109237.670985</v>
      </c>
      <c r="AB38" s="0" t="n">
        <f aca="false">C38*x_c_DAA</f>
        <v>109976320</v>
      </c>
      <c r="AC38" s="0" t="n">
        <f aca="false">C38*x_c_MON</f>
        <v>27857107.6100244</v>
      </c>
      <c r="AD38" s="0" t="n">
        <f aca="false">D38*(1-x_testy)</f>
        <v>0</v>
      </c>
      <c r="AE38" s="0" t="n">
        <f aca="false">E38*(1-x_testy)</f>
        <v>0</v>
      </c>
      <c r="AF38" s="0" t="n">
        <f aca="false">F38*x_NAV</f>
        <v>0</v>
      </c>
      <c r="AG38" s="0" t="n">
        <f aca="false">G38*x_FIX*(1-x_testy)</f>
        <v>0</v>
      </c>
      <c r="AH38" s="0" t="n">
        <f aca="false">x_z_F*U38+(1-x_AGRI)*x_EMP*x_WLOSS*(x_PEN_K74*Q38+x_PEN_C22*R38)</f>
        <v>21696221.1508138</v>
      </c>
      <c r="AI38" s="0" t="n">
        <f aca="false">x_AGRI*x_EMP*x_WLOSS*(x_PEN_K74*Q38+x_PEN_C22*R38)</f>
        <v>1182536.92765084</v>
      </c>
      <c r="AJ38" s="0" t="n">
        <f aca="false">x_EMP*x_WAGE*(x_WLOSS*(Q38+R38)+S38)+U38*x_ABS_D*x_WAGE/365</f>
        <v>326641947.405491</v>
      </c>
      <c r="AK38" s="0" t="n">
        <f aca="false">AJ38*x_R_FUS</f>
        <v>103349512.159098</v>
      </c>
      <c r="AL38" s="0" t="n">
        <f aca="false">AJ38*x_R_NFZ</f>
        <v>25367340.2774579</v>
      </c>
      <c r="AM38" s="0" t="n">
        <f aca="false">AJ38*x_R_PIT</f>
        <v>21716520.0163985</v>
      </c>
      <c r="AN38" s="0" t="n">
        <f aca="false">AJ38*x_R_FP</f>
        <v>8329369.65884003</v>
      </c>
      <c r="AO38" s="0" t="n">
        <f aca="false">AA38+AB38+AC38+AD38+AF38</f>
        <v>438942665.28101</v>
      </c>
      <c r="AP38" s="0" t="n">
        <f aca="false">AO38+AE38+AG38+AH38+AI38+AK38+AL38+AM38+AN38</f>
        <v>620584165.471268</v>
      </c>
      <c r="AQ38" s="0" t="n">
        <f aca="false">AO38+AE38+AG38+AJ38</f>
        <v>765584612.686501</v>
      </c>
      <c r="AR38" s="0" t="n">
        <f aca="false">AB38+AC38+AD38+AF38</f>
        <v>137833427.610024</v>
      </c>
      <c r="AS38" s="0" t="n">
        <f aca="false">AR38+AE38+AG38</f>
        <v>137833427.610024</v>
      </c>
    </row>
    <row r="39" customFormat="false" ht="15" hidden="false" customHeight="false" outlineLevel="0" collapsed="false">
      <c r="A39" s="0" t="n">
        <v>2062</v>
      </c>
      <c r="B39" s="0" t="n">
        <v>36</v>
      </c>
      <c r="C39" s="0" t="n">
        <v>4832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2267.285</v>
      </c>
      <c r="I39" s="0" t="n">
        <v>210.57</v>
      </c>
      <c r="J39" s="0" t="n">
        <v>1130.878</v>
      </c>
      <c r="K39" s="0" t="n">
        <v>1914.924</v>
      </c>
      <c r="L39" s="0" t="n">
        <v>845.852</v>
      </c>
      <c r="M39" s="0" t="n">
        <v>122233.211</v>
      </c>
      <c r="N39" s="0" t="n">
        <v>8432.415</v>
      </c>
      <c r="O39" s="0" t="n">
        <v>63.725</v>
      </c>
      <c r="P39" s="0" t="n">
        <v>64.352</v>
      </c>
      <c r="Q39" s="0" t="n">
        <v>660.756</v>
      </c>
      <c r="R39" s="0" t="n">
        <v>973.942</v>
      </c>
      <c r="S39" s="0" t="n">
        <v>2696.071</v>
      </c>
      <c r="T39" s="0" t="n">
        <v>2477.855</v>
      </c>
      <c r="U39" s="0" t="n">
        <v>1850.711</v>
      </c>
      <c r="V39" s="0" t="n">
        <v>163762.311</v>
      </c>
      <c r="W39" s="0" t="n">
        <v>202.78</v>
      </c>
      <c r="X39" s="0" t="n">
        <v>549.271</v>
      </c>
      <c r="Y39" s="0" t="n">
        <v>63.725</v>
      </c>
      <c r="Z39" s="0" t="n">
        <v>678.159</v>
      </c>
      <c r="AA39" s="0" t="n">
        <f aca="false">H39*x_c_F+I39*x_c_CC+J39*x_c_DC+K39*x_c_HCC+L39*x_c_PLT+M39*x_c_SVRn+N39*x_c_SVRcc+O39*x_c_LT+P39*x_c_LT1</f>
        <v>298452193.35643</v>
      </c>
      <c r="AB39" s="0" t="n">
        <f aca="false">C39*x_c_DAA</f>
        <v>109976320</v>
      </c>
      <c r="AC39" s="0" t="n">
        <f aca="false">C39*x_c_MON</f>
        <v>27857107.6100244</v>
      </c>
      <c r="AD39" s="0" t="n">
        <f aca="false">D39*(1-x_testy)</f>
        <v>0</v>
      </c>
      <c r="AE39" s="0" t="n">
        <f aca="false">E39*(1-x_testy)</f>
        <v>0</v>
      </c>
      <c r="AF39" s="0" t="n">
        <f aca="false">F39*x_NAV</f>
        <v>0</v>
      </c>
      <c r="AG39" s="0" t="n">
        <f aca="false">G39*x_FIX*(1-x_testy)</f>
        <v>0</v>
      </c>
      <c r="AH39" s="0" t="n">
        <f aca="false">x_z_F*U39+(1-x_AGRI)*x_EMP*x_WLOSS*(x_PEN_K74*Q39+x_PEN_C22*R39)</f>
        <v>21568667.9743788</v>
      </c>
      <c r="AI39" s="0" t="n">
        <f aca="false">x_AGRI*x_EMP*x_WLOSS*(x_PEN_K74*Q39+x_PEN_C22*R39)</f>
        <v>1174151.70288945</v>
      </c>
      <c r="AJ39" s="0" t="n">
        <f aca="false">x_EMP*x_WAGE*(x_WLOSS*(Q39+R39)+S39)+U39*x_ABS_D*x_WAGE/365</f>
        <v>324699831.334541</v>
      </c>
      <c r="AK39" s="0" t="n">
        <f aca="false">AJ39*x_R_FUS</f>
        <v>102735026.634249</v>
      </c>
      <c r="AL39" s="0" t="n">
        <f aca="false">AJ39*x_R_NFZ</f>
        <v>25216513.6012718</v>
      </c>
      <c r="AM39" s="0" t="n">
        <f aca="false">AJ39*x_R_PIT</f>
        <v>21587400.0339101</v>
      </c>
      <c r="AN39" s="0" t="n">
        <f aca="false">AJ39*x_R_FP</f>
        <v>8279845.69903079</v>
      </c>
      <c r="AO39" s="0" t="n">
        <f aca="false">AA39+AB39+AC39+AD39+AF39</f>
        <v>436285620.966454</v>
      </c>
      <c r="AP39" s="0" t="n">
        <f aca="false">AO39+AE39+AG39+AH39+AI39+AK39+AL39+AM39+AN39</f>
        <v>616847226.612184</v>
      </c>
      <c r="AQ39" s="0" t="n">
        <f aca="false">AO39+AE39+AG39+AJ39</f>
        <v>760985452.300995</v>
      </c>
      <c r="AR39" s="0" t="n">
        <f aca="false">AB39+AC39+AD39+AF39</f>
        <v>137833427.610024</v>
      </c>
      <c r="AS39" s="0" t="n">
        <f aca="false">AR39+AE39+AG39</f>
        <v>137833427.610024</v>
      </c>
    </row>
    <row r="40" customFormat="false" ht="15" hidden="false" customHeight="false" outlineLevel="0" collapsed="false">
      <c r="A40" s="0" t="n">
        <v>2063</v>
      </c>
      <c r="B40" s="0" t="n">
        <v>37</v>
      </c>
      <c r="C40" s="0" t="n">
        <v>4832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2268.979</v>
      </c>
      <c r="I40" s="0" t="n">
        <v>208.407</v>
      </c>
      <c r="J40" s="0" t="n">
        <v>1109.563</v>
      </c>
      <c r="K40" s="0" t="n">
        <v>1885.557</v>
      </c>
      <c r="L40" s="0" t="n">
        <v>818.384</v>
      </c>
      <c r="M40" s="0" t="n">
        <v>124322.803</v>
      </c>
      <c r="N40" s="0" t="n">
        <v>8329.199</v>
      </c>
      <c r="O40" s="0" t="n">
        <v>62.555</v>
      </c>
      <c r="P40" s="0" t="n">
        <v>63.14</v>
      </c>
      <c r="Q40" s="0" t="n">
        <v>656.166</v>
      </c>
      <c r="R40" s="0" t="n">
        <v>966.966</v>
      </c>
      <c r="S40" s="0" t="n">
        <v>2680.722</v>
      </c>
      <c r="T40" s="0" t="n">
        <v>2477.386</v>
      </c>
      <c r="U40" s="0" t="n">
        <v>1850.189</v>
      </c>
      <c r="V40" s="0" t="n">
        <v>165043.144</v>
      </c>
      <c r="W40" s="0" t="n">
        <v>199.994</v>
      </c>
      <c r="X40" s="0" t="n">
        <v>542.168</v>
      </c>
      <c r="Y40" s="0" t="n">
        <v>62.555</v>
      </c>
      <c r="Z40" s="0" t="n">
        <v>666.35</v>
      </c>
      <c r="AA40" s="0" t="n">
        <f aca="false">H40*x_c_F+I40*x_c_CC+J40*x_c_DC+K40*x_c_HCC+L40*x_c_PLT+M40*x_c_SVRn+N40*x_c_SVRcc+O40*x_c_LT+P40*x_c_LT1</f>
        <v>295879440.886421</v>
      </c>
      <c r="AB40" s="0" t="n">
        <f aca="false">C40*x_c_DAA</f>
        <v>109976320</v>
      </c>
      <c r="AC40" s="0" t="n">
        <f aca="false">C40*x_c_MON</f>
        <v>27857107.6100244</v>
      </c>
      <c r="AD40" s="0" t="n">
        <f aca="false">D40*(1-x_testy)</f>
        <v>0</v>
      </c>
      <c r="AE40" s="0" t="n">
        <f aca="false">E40*(1-x_testy)</f>
        <v>0</v>
      </c>
      <c r="AF40" s="0" t="n">
        <f aca="false">F40*x_NAV</f>
        <v>0</v>
      </c>
      <c r="AG40" s="0" t="n">
        <f aca="false">G40*x_FIX*(1-x_testy)</f>
        <v>0</v>
      </c>
      <c r="AH40" s="0" t="n">
        <f aca="false">x_z_F*U40+(1-x_AGRI)*x_EMP*x_WLOSS*(x_PEN_K74*Q40+x_PEN_C22*R40)</f>
        <v>21441793.8469657</v>
      </c>
      <c r="AI40" s="0" t="n">
        <f aca="false">x_AGRI*x_EMP*x_WLOSS*(x_PEN_K74*Q40+x_PEN_C22*R40)</f>
        <v>1165836.5018895</v>
      </c>
      <c r="AJ40" s="0" t="n">
        <f aca="false">x_EMP*x_WAGE*(x_WLOSS*(Q40+R40)+S40)+U40*x_ABS_D*x_WAGE/365</f>
        <v>322757135.558384</v>
      </c>
      <c r="AK40" s="0" t="n">
        <f aca="false">AJ40*x_R_FUS</f>
        <v>102120357.690673</v>
      </c>
      <c r="AL40" s="0" t="n">
        <f aca="false">AJ40*x_R_NFZ</f>
        <v>25065641.9045997</v>
      </c>
      <c r="AM40" s="0" t="n">
        <f aca="false">AJ40*x_R_PIT</f>
        <v>21458241.5102</v>
      </c>
      <c r="AN40" s="0" t="n">
        <f aca="false">AJ40*x_R_FP</f>
        <v>8230306.95673879</v>
      </c>
      <c r="AO40" s="0" t="n">
        <f aca="false">AA40+AB40+AC40+AD40+AF40</f>
        <v>433712868.496445</v>
      </c>
      <c r="AP40" s="0" t="n">
        <f aca="false">AO40+AE40+AG40+AH40+AI40+AK40+AL40+AM40+AN40</f>
        <v>613195046.907512</v>
      </c>
      <c r="AQ40" s="0" t="n">
        <f aca="false">AO40+AE40+AG40+AJ40</f>
        <v>756470004.054829</v>
      </c>
      <c r="AR40" s="0" t="n">
        <f aca="false">AB40+AC40+AD40+AF40</f>
        <v>137833427.610024</v>
      </c>
      <c r="AS40" s="0" t="n">
        <f aca="false">AR40+AE40+AG40</f>
        <v>137833427.610024</v>
      </c>
    </row>
    <row r="41" customFormat="false" ht="15" hidden="false" customHeight="false" outlineLevel="0" collapsed="false">
      <c r="A41" s="0" t="n">
        <v>2064</v>
      </c>
      <c r="B41" s="0" t="n">
        <v>38</v>
      </c>
      <c r="C41" s="0" t="n">
        <v>4832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2270.397</v>
      </c>
      <c r="I41" s="0" t="n">
        <v>206.549</v>
      </c>
      <c r="J41" s="0" t="n">
        <v>1089.975</v>
      </c>
      <c r="K41" s="0" t="n">
        <v>1858.569</v>
      </c>
      <c r="L41" s="0" t="n">
        <v>791.19</v>
      </c>
      <c r="M41" s="0" t="n">
        <v>126349.671</v>
      </c>
      <c r="N41" s="0" t="n">
        <v>8221.103</v>
      </c>
      <c r="O41" s="0" t="n">
        <v>61.492</v>
      </c>
      <c r="P41" s="0" t="n">
        <v>62.023</v>
      </c>
      <c r="Q41" s="0" t="n">
        <v>651.583</v>
      </c>
      <c r="R41" s="0" t="n">
        <v>960.041</v>
      </c>
      <c r="S41" s="0" t="n">
        <v>2665.186</v>
      </c>
      <c r="T41" s="0" t="n">
        <v>2476.947</v>
      </c>
      <c r="U41" s="0" t="n">
        <v>1849.45</v>
      </c>
      <c r="V41" s="0" t="n">
        <v>166289.248</v>
      </c>
      <c r="W41" s="0" t="n">
        <v>197.503</v>
      </c>
      <c r="X41" s="0" t="n">
        <v>535.738</v>
      </c>
      <c r="Y41" s="0" t="n">
        <v>61.492</v>
      </c>
      <c r="Z41" s="0" t="n">
        <v>655.535</v>
      </c>
      <c r="AA41" s="0" t="n">
        <f aca="false">H41*x_c_F+I41*x_c_CC+J41*x_c_DC+K41*x_c_HCC+L41*x_c_PLT+M41*x_c_SVRn+N41*x_c_SVRcc+O41*x_c_LT+P41*x_c_LT1</f>
        <v>293486434.108814</v>
      </c>
      <c r="AB41" s="0" t="n">
        <f aca="false">C41*x_c_DAA</f>
        <v>109976320</v>
      </c>
      <c r="AC41" s="0" t="n">
        <f aca="false">C41*x_c_MON</f>
        <v>27857107.6100244</v>
      </c>
      <c r="AD41" s="0" t="n">
        <f aca="false">D41*(1-x_testy)</f>
        <v>0</v>
      </c>
      <c r="AE41" s="0" t="n">
        <f aca="false">E41*(1-x_testy)</f>
        <v>0</v>
      </c>
      <c r="AF41" s="0" t="n">
        <f aca="false">F41*x_NAV</f>
        <v>0</v>
      </c>
      <c r="AG41" s="0" t="n">
        <f aca="false">G41*x_FIX*(1-x_testy)</f>
        <v>0</v>
      </c>
      <c r="AH41" s="0" t="n">
        <f aca="false">x_z_F*U41+(1-x_AGRI)*x_EMP*x_WLOSS*(x_PEN_K74*Q41+x_PEN_C22*R41)</f>
        <v>21315126.408459</v>
      </c>
      <c r="AI41" s="0" t="n">
        <f aca="false">x_AGRI*x_EMP*x_WLOSS*(x_PEN_K74*Q41+x_PEN_C22*R41)</f>
        <v>1157564.45108121</v>
      </c>
      <c r="AJ41" s="0" t="n">
        <f aca="false">x_EMP*x_WAGE*(x_WLOSS*(Q41+R41)+S41)+U41*x_ABS_D*x_WAGE/365</f>
        <v>320801030.448027</v>
      </c>
      <c r="AK41" s="0" t="n">
        <f aca="false">AJ41*x_R_FUS</f>
        <v>101501446.033756</v>
      </c>
      <c r="AL41" s="0" t="n">
        <f aca="false">AJ41*x_R_NFZ</f>
        <v>24913728.8256242</v>
      </c>
      <c r="AM41" s="0" t="n">
        <f aca="false">AJ41*x_R_PIT</f>
        <v>21328191.4779838</v>
      </c>
      <c r="AN41" s="0" t="n">
        <f aca="false">AJ41*x_R_FP</f>
        <v>8180426.27642468</v>
      </c>
      <c r="AO41" s="0" t="n">
        <f aca="false">AA41+AB41+AC41+AD41+AF41</f>
        <v>431319861.718839</v>
      </c>
      <c r="AP41" s="0" t="n">
        <f aca="false">AO41+AE41+AG41+AH41+AI41+AK41+AL41+AM41+AN41</f>
        <v>609716345.192167</v>
      </c>
      <c r="AQ41" s="0" t="n">
        <f aca="false">AO41+AE41+AG41+AJ41</f>
        <v>752120892.166866</v>
      </c>
      <c r="AR41" s="0" t="n">
        <f aca="false">AB41+AC41+AD41+AF41</f>
        <v>137833427.610024</v>
      </c>
      <c r="AS41" s="0" t="n">
        <f aca="false">AR41+AE41+AG41</f>
        <v>137833427.610024</v>
      </c>
    </row>
    <row r="42" customFormat="false" ht="15" hidden="false" customHeight="false" outlineLevel="0" collapsed="false">
      <c r="A42" s="0" t="n">
        <v>2065</v>
      </c>
      <c r="B42" s="0" t="n">
        <v>39</v>
      </c>
      <c r="C42" s="0" t="n">
        <v>4832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2271.536</v>
      </c>
      <c r="I42" s="0" t="n">
        <v>205.001</v>
      </c>
      <c r="J42" s="0" t="n">
        <v>1072.439</v>
      </c>
      <c r="K42" s="0" t="n">
        <v>1834.383</v>
      </c>
      <c r="L42" s="0" t="n">
        <v>764.962</v>
      </c>
      <c r="M42" s="0" t="n">
        <v>128333.631</v>
      </c>
      <c r="N42" s="0" t="n">
        <v>8113.763</v>
      </c>
      <c r="O42" s="0" t="n">
        <v>60.552</v>
      </c>
      <c r="P42" s="0" t="n">
        <v>61.022</v>
      </c>
      <c r="Q42" s="0" t="n">
        <v>646.989</v>
      </c>
      <c r="R42" s="0" t="n">
        <v>953.153</v>
      </c>
      <c r="S42" s="0" t="n">
        <v>2649.334</v>
      </c>
      <c r="T42" s="0" t="n">
        <v>2476.538</v>
      </c>
      <c r="U42" s="0" t="n">
        <v>1848.483</v>
      </c>
      <c r="V42" s="0" t="n">
        <v>167520.34</v>
      </c>
      <c r="W42" s="0" t="n">
        <v>195.33</v>
      </c>
      <c r="X42" s="0" t="n">
        <v>530.058</v>
      </c>
      <c r="Y42" s="0" t="n">
        <v>60.552</v>
      </c>
      <c r="Z42" s="0" t="n">
        <v>645.886</v>
      </c>
      <c r="AA42" s="0" t="n">
        <f aca="false">H42*x_c_F+I42*x_c_CC+J42*x_c_DC+K42*x_c_HCC+L42*x_c_PLT+M42*x_c_SVRn+N42*x_c_SVRcc+O42*x_c_LT+P42*x_c_LT1</f>
        <v>291361711.939967</v>
      </c>
      <c r="AB42" s="0" t="n">
        <f aca="false">C42*x_c_DAA</f>
        <v>109976320</v>
      </c>
      <c r="AC42" s="0" t="n">
        <f aca="false">C42*x_c_MON</f>
        <v>27857107.6100244</v>
      </c>
      <c r="AD42" s="0" t="n">
        <f aca="false">D42*(1-x_testy)</f>
        <v>0</v>
      </c>
      <c r="AE42" s="0" t="n">
        <f aca="false">E42*(1-x_testy)</f>
        <v>0</v>
      </c>
      <c r="AF42" s="0" t="n">
        <f aca="false">F42*x_NAV</f>
        <v>0</v>
      </c>
      <c r="AG42" s="0" t="n">
        <f aca="false">G42*x_FIX*(1-x_testy)</f>
        <v>0</v>
      </c>
      <c r="AH42" s="0" t="n">
        <f aca="false">x_z_F*U42+(1-x_AGRI)*x_EMP*x_WLOSS*(x_PEN_K74*Q42+x_PEN_C22*R42)</f>
        <v>21188302.2561936</v>
      </c>
      <c r="AI42" s="0" t="n">
        <f aca="false">x_AGRI*x_EMP*x_WLOSS*(x_PEN_K74*Q42+x_PEN_C22*R42)</f>
        <v>1149313.02505209</v>
      </c>
      <c r="AJ42" s="0" t="n">
        <f aca="false">x_EMP*x_WAGE*(x_WLOSS*(Q42+R42)+S42)+U42*x_ABS_D*x_WAGE/365</f>
        <v>318818735.134309</v>
      </c>
      <c r="AK42" s="0" t="n">
        <f aca="false">AJ42*x_R_FUS</f>
        <v>100874247.796495</v>
      </c>
      <c r="AL42" s="0" t="n">
        <f aca="false">AJ42*x_R_NFZ</f>
        <v>24759781.7892656</v>
      </c>
      <c r="AM42" s="0" t="n">
        <f aca="false">AJ42*x_R_PIT</f>
        <v>21196400.2117343</v>
      </c>
      <c r="AN42" s="0" t="n">
        <f aca="false">AJ42*x_R_FP</f>
        <v>8129877.74592488</v>
      </c>
      <c r="AO42" s="0" t="n">
        <f aca="false">AA42+AB42+AC42+AD42+AF42</f>
        <v>429195139.549991</v>
      </c>
      <c r="AP42" s="0" t="n">
        <f aca="false">AO42+AE42+AG42+AH42+AI42+AK42+AL42+AM42+AN42</f>
        <v>606493062.374657</v>
      </c>
      <c r="AQ42" s="0" t="n">
        <f aca="false">AO42+AE42+AG42+AJ42</f>
        <v>748013874.6843</v>
      </c>
      <c r="AR42" s="0" t="n">
        <f aca="false">AB42+AC42+AD42+AF42</f>
        <v>137833427.610024</v>
      </c>
      <c r="AS42" s="0" t="n">
        <f aca="false">AR42+AE42+AG42</f>
        <v>137833427.610024</v>
      </c>
    </row>
    <row r="43" customFormat="false" ht="15" hidden="false" customHeight="false" outlineLevel="0" collapsed="false">
      <c r="A43" s="0" t="n">
        <v>2066</v>
      </c>
      <c r="B43" s="0" t="n">
        <v>40</v>
      </c>
      <c r="C43" s="0" t="n">
        <v>4832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2272.41</v>
      </c>
      <c r="I43" s="0" t="n">
        <v>203.748</v>
      </c>
      <c r="J43" s="0" t="n">
        <v>1057.164</v>
      </c>
      <c r="K43" s="0" t="n">
        <v>1813.261</v>
      </c>
      <c r="L43" s="0" t="n">
        <v>740.324</v>
      </c>
      <c r="M43" s="0" t="n">
        <v>130293.743</v>
      </c>
      <c r="N43" s="0" t="n">
        <v>8012.361</v>
      </c>
      <c r="O43" s="0" t="n">
        <v>59.744</v>
      </c>
      <c r="P43" s="0" t="n">
        <v>60.148</v>
      </c>
      <c r="Q43" s="0" t="n">
        <v>642.366</v>
      </c>
      <c r="R43" s="0" t="n">
        <v>946.288</v>
      </c>
      <c r="S43" s="0" t="n">
        <v>2633.027</v>
      </c>
      <c r="T43" s="0" t="n">
        <v>2476.158</v>
      </c>
      <c r="U43" s="0" t="n">
        <v>1847.305</v>
      </c>
      <c r="V43" s="0" t="n">
        <v>168754.334</v>
      </c>
      <c r="W43" s="0" t="n">
        <v>193.477</v>
      </c>
      <c r="X43" s="0" t="n">
        <v>525.156</v>
      </c>
      <c r="Y43" s="0" t="n">
        <v>59.744</v>
      </c>
      <c r="Z43" s="0" t="n">
        <v>637.504</v>
      </c>
      <c r="AA43" s="0" t="n">
        <f aca="false">H43*x_c_F+I43*x_c_CC+J43*x_c_DC+K43*x_c_HCC+L43*x_c_PLT+M43*x_c_SVRn+N43*x_c_SVRcc+O43*x_c_LT+P43*x_c_LT1</f>
        <v>289574793.223886</v>
      </c>
      <c r="AB43" s="0" t="n">
        <f aca="false">C43*x_c_DAA</f>
        <v>109976320</v>
      </c>
      <c r="AC43" s="0" t="n">
        <f aca="false">C43*x_c_MON</f>
        <v>27857107.6100244</v>
      </c>
      <c r="AD43" s="0" t="n">
        <f aca="false">D43*(1-x_testy)</f>
        <v>0</v>
      </c>
      <c r="AE43" s="0" t="n">
        <f aca="false">E43*(1-x_testy)</f>
        <v>0</v>
      </c>
      <c r="AF43" s="0" t="n">
        <f aca="false">F43*x_NAV</f>
        <v>0</v>
      </c>
      <c r="AG43" s="0" t="n">
        <f aca="false">G43*x_FIX*(1-x_testy)</f>
        <v>0</v>
      </c>
      <c r="AH43" s="0" t="n">
        <f aca="false">x_z_F*U43+(1-x_AGRI)*x_EMP*x_WLOSS*(x_PEN_K74*Q43+x_PEN_C22*R43)</f>
        <v>21061015.5528894</v>
      </c>
      <c r="AI43" s="0" t="n">
        <f aca="false">x_AGRI*x_EMP*x_WLOSS*(x_PEN_K74*Q43+x_PEN_C22*R43)</f>
        <v>1141059.69838961</v>
      </c>
      <c r="AJ43" s="0" t="n">
        <f aca="false">x_EMP*x_WAGE*(x_WLOSS*(Q43+R43)+S43)+U43*x_ABS_D*x_WAGE/365</f>
        <v>316796698.390266</v>
      </c>
      <c r="AK43" s="0" t="n">
        <f aca="false">AJ43*x_R_FUS</f>
        <v>100234475.37068</v>
      </c>
      <c r="AL43" s="0" t="n">
        <f aca="false">AJ43*x_R_NFZ</f>
        <v>24602748.3936865</v>
      </c>
      <c r="AM43" s="0" t="n">
        <f aca="false">AJ43*x_R_PIT</f>
        <v>21061966.7693223</v>
      </c>
      <c r="AN43" s="0" t="n">
        <f aca="false">AJ43*x_R_FP</f>
        <v>8078315.80895179</v>
      </c>
      <c r="AO43" s="0" t="n">
        <f aca="false">AA43+AB43+AC43+AD43+AF43</f>
        <v>427408220.83391</v>
      </c>
      <c r="AP43" s="0" t="n">
        <f aca="false">AO43+AE43+AG43+AH43+AI43+AK43+AL43+AM43+AN43</f>
        <v>603587802.42783</v>
      </c>
      <c r="AQ43" s="0" t="n">
        <f aca="false">AO43+AE43+AG43+AJ43</f>
        <v>744204919.224176</v>
      </c>
      <c r="AR43" s="0" t="n">
        <f aca="false">AB43+AC43+AD43+AF43</f>
        <v>137833427.610024</v>
      </c>
      <c r="AS43" s="0" t="n">
        <f aca="false">AR43+AE43+AG43</f>
        <v>137833427.610024</v>
      </c>
    </row>
    <row r="44" customFormat="false" ht="15" hidden="false" customHeight="false" outlineLevel="0" collapsed="false">
      <c r="A44" s="0" t="n">
        <v>2067</v>
      </c>
      <c r="B44" s="0" t="n">
        <v>41</v>
      </c>
      <c r="C44" s="0" t="n">
        <v>4832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2273.052</v>
      </c>
      <c r="I44" s="0" t="n">
        <v>202.754</v>
      </c>
      <c r="J44" s="0" t="n">
        <v>1044.205</v>
      </c>
      <c r="K44" s="0" t="n">
        <v>1795.257</v>
      </c>
      <c r="L44" s="0" t="n">
        <v>717.755</v>
      </c>
      <c r="M44" s="0" t="n">
        <v>132245.345</v>
      </c>
      <c r="N44" s="0" t="n">
        <v>7920.971</v>
      </c>
      <c r="O44" s="0" t="n">
        <v>59.068</v>
      </c>
      <c r="P44" s="0" t="n">
        <v>59.406</v>
      </c>
      <c r="Q44" s="0" t="n">
        <v>637.697</v>
      </c>
      <c r="R44" s="0" t="n">
        <v>939.436</v>
      </c>
      <c r="S44" s="0" t="n">
        <v>2616.116</v>
      </c>
      <c r="T44" s="0" t="n">
        <v>2475.806</v>
      </c>
      <c r="U44" s="0" t="n">
        <v>1845.957</v>
      </c>
      <c r="V44" s="0" t="n">
        <v>170004.512</v>
      </c>
      <c r="W44" s="0" t="n">
        <v>191.923</v>
      </c>
      <c r="X44" s="0" t="n">
        <v>520.999</v>
      </c>
      <c r="Y44" s="0" t="n">
        <v>59.068</v>
      </c>
      <c r="Z44" s="0" t="n">
        <v>630.395</v>
      </c>
      <c r="AA44" s="0" t="n">
        <f aca="false">H44*x_c_F+I44*x_c_CC+J44*x_c_DC+K44*x_c_HCC+L44*x_c_PLT+M44*x_c_SVRn+N44*x_c_SVRcc+O44*x_c_LT+P44*x_c_LT1</f>
        <v>288165984.641768</v>
      </c>
      <c r="AB44" s="0" t="n">
        <f aca="false">C44*x_c_DAA</f>
        <v>109976320</v>
      </c>
      <c r="AC44" s="0" t="n">
        <f aca="false">C44*x_c_MON</f>
        <v>27857107.6100244</v>
      </c>
      <c r="AD44" s="0" t="n">
        <f aca="false">D44*(1-x_testy)</f>
        <v>0</v>
      </c>
      <c r="AE44" s="0" t="n">
        <f aca="false">E44*(1-x_testy)</f>
        <v>0</v>
      </c>
      <c r="AF44" s="0" t="n">
        <f aca="false">F44*x_NAV</f>
        <v>0</v>
      </c>
      <c r="AG44" s="0" t="n">
        <f aca="false">G44*x_FIX*(1-x_testy)</f>
        <v>0</v>
      </c>
      <c r="AH44" s="0" t="n">
        <f aca="false">x_z_F*U44+(1-x_AGRI)*x_EMP*x_WLOSS*(x_PEN_K74*Q44+x_PEN_C22*R44)</f>
        <v>20933065.5368229</v>
      </c>
      <c r="AI44" s="0" t="n">
        <f aca="false">x_AGRI*x_EMP*x_WLOSS*(x_PEN_K74*Q44+x_PEN_C22*R44)</f>
        <v>1132785.62957837</v>
      </c>
      <c r="AJ44" s="0" t="n">
        <f aca="false">x_EMP*x_WAGE*(x_WLOSS*(Q44+R44)+S44)+U44*x_ABS_D*x_WAGE/365</f>
        <v>314720860.311935</v>
      </c>
      <c r="AK44" s="0" t="n">
        <f aca="false">AJ44*x_R_FUS</f>
        <v>99577680.2026964</v>
      </c>
      <c r="AL44" s="0" t="n">
        <f aca="false">AJ44*x_R_NFZ</f>
        <v>24441536.7326852</v>
      </c>
      <c r="AM44" s="0" t="n">
        <f aca="false">AJ44*x_R_PIT</f>
        <v>20923956.3896483</v>
      </c>
      <c r="AN44" s="0" t="n">
        <f aca="false">AJ44*x_R_FP</f>
        <v>8025381.93795435</v>
      </c>
      <c r="AO44" s="0" t="n">
        <f aca="false">AA44+AB44+AC44+AD44+AF44</f>
        <v>425999412.251792</v>
      </c>
      <c r="AP44" s="0" t="n">
        <f aca="false">AO44+AE44+AG44+AH44+AI44+AK44+AL44+AM44+AN44</f>
        <v>601033818.681178</v>
      </c>
      <c r="AQ44" s="0" t="n">
        <f aca="false">AO44+AE44+AG44+AJ44</f>
        <v>740720272.563728</v>
      </c>
      <c r="AR44" s="0" t="n">
        <f aca="false">AB44+AC44+AD44+AF44</f>
        <v>137833427.610024</v>
      </c>
      <c r="AS44" s="0" t="n">
        <f aca="false">AR44+AE44+AG44</f>
        <v>137833427.610024</v>
      </c>
    </row>
    <row r="45" customFormat="false" ht="15" hidden="false" customHeight="false" outlineLevel="0" collapsed="false">
      <c r="A45" s="0" t="n">
        <v>2068</v>
      </c>
      <c r="B45" s="0" t="n">
        <v>42</v>
      </c>
      <c r="C45" s="0" t="n">
        <v>4832</v>
      </c>
      <c r="D45" s="0" t="n">
        <v>0</v>
      </c>
      <c r="E45" s="0" t="n">
        <v>0</v>
      </c>
      <c r="F45" s="0" t="n">
        <v>0</v>
      </c>
      <c r="G45" s="0" t="n">
        <v>0</v>
      </c>
      <c r="H45" s="0" t="n">
        <v>2273.505</v>
      </c>
      <c r="I45" s="0" t="n">
        <v>201.971</v>
      </c>
      <c r="J45" s="0" t="n">
        <v>1033.487</v>
      </c>
      <c r="K45" s="0" t="n">
        <v>1780.238</v>
      </c>
      <c r="L45" s="0" t="n">
        <v>697.595</v>
      </c>
      <c r="M45" s="0" t="n">
        <v>134199.895</v>
      </c>
      <c r="N45" s="0" t="n">
        <v>7842.54</v>
      </c>
      <c r="O45" s="0" t="n">
        <v>58.517</v>
      </c>
      <c r="P45" s="0" t="n">
        <v>58.792</v>
      </c>
      <c r="Q45" s="0" t="n">
        <v>632.963</v>
      </c>
      <c r="R45" s="0" t="n">
        <v>932.583</v>
      </c>
      <c r="S45" s="0" t="n">
        <v>2598.442</v>
      </c>
      <c r="T45" s="0" t="n">
        <v>2475.476</v>
      </c>
      <c r="U45" s="0" t="n">
        <v>1844.497</v>
      </c>
      <c r="V45" s="0" t="n">
        <v>171279.673</v>
      </c>
      <c r="W45" s="0" t="n">
        <v>190.633</v>
      </c>
      <c r="X45" s="0" t="n">
        <v>517.516</v>
      </c>
      <c r="Y45" s="0" t="n">
        <v>58.517</v>
      </c>
      <c r="Z45" s="0" t="n">
        <v>624.512</v>
      </c>
      <c r="AA45" s="0" t="n">
        <f aca="false">H45*x_c_F+I45*x_c_CC+J45*x_c_DC+K45*x_c_HCC+L45*x_c_PLT+M45*x_c_SVRn+N45*x_c_SVRcc+O45*x_c_LT+P45*x_c_LT1</f>
        <v>287148741.771607</v>
      </c>
      <c r="AB45" s="0" t="n">
        <f aca="false">C45*x_c_DAA</f>
        <v>109976320</v>
      </c>
      <c r="AC45" s="0" t="n">
        <f aca="false">C45*x_c_MON</f>
        <v>27857107.6100244</v>
      </c>
      <c r="AD45" s="0" t="n">
        <f aca="false">D45*(1-x_testy)</f>
        <v>0</v>
      </c>
      <c r="AE45" s="0" t="n">
        <f aca="false">E45*(1-x_testy)</f>
        <v>0</v>
      </c>
      <c r="AF45" s="0" t="n">
        <f aca="false">F45*x_NAV</f>
        <v>0</v>
      </c>
      <c r="AG45" s="0" t="n">
        <f aca="false">G45*x_FIX*(1-x_testy)</f>
        <v>0</v>
      </c>
      <c r="AH45" s="0" t="n">
        <f aca="false">x_z_F*U45+(1-x_AGRI)*x_EMP*x_WLOSS*(x_PEN_K74*Q45+x_PEN_C22*R45)</f>
        <v>20804220.6132717</v>
      </c>
      <c r="AI45" s="0" t="n">
        <f aca="false">x_AGRI*x_EMP*x_WLOSS*(x_PEN_K74*Q45+x_PEN_C22*R45)</f>
        <v>1124467.62894567</v>
      </c>
      <c r="AJ45" s="0" t="n">
        <f aca="false">x_EMP*x_WAGE*(x_WLOSS*(Q45+R45)+S45)+U45*x_ABS_D*x_WAGE/365</f>
        <v>312576030.209715</v>
      </c>
      <c r="AK45" s="0" t="n">
        <f aca="false">AJ45*x_R_FUS</f>
        <v>98899055.958354</v>
      </c>
      <c r="AL45" s="0" t="n">
        <f aca="false">AJ45*x_R_NFZ</f>
        <v>24274967.0821167</v>
      </c>
      <c r="AM45" s="0" t="n">
        <f aca="false">AJ45*x_R_PIT</f>
        <v>20781359.1322642</v>
      </c>
      <c r="AN45" s="0" t="n">
        <f aca="false">AJ45*x_R_FP</f>
        <v>7970688.77034774</v>
      </c>
      <c r="AO45" s="0" t="n">
        <f aca="false">AA45+AB45+AC45+AD45+AF45</f>
        <v>424982169.381631</v>
      </c>
      <c r="AP45" s="0" t="n">
        <f aca="false">AO45+AE45+AG45+AH45+AI45+AK45+AL45+AM45+AN45</f>
        <v>598836928.566931</v>
      </c>
      <c r="AQ45" s="0" t="n">
        <f aca="false">AO45+AE45+AG45+AJ45</f>
        <v>737558199.591346</v>
      </c>
      <c r="AR45" s="0" t="n">
        <f aca="false">AB45+AC45+AD45+AF45</f>
        <v>137833427.610024</v>
      </c>
      <c r="AS45" s="0" t="n">
        <f aca="false">AR45+AE45+AG45</f>
        <v>137833427.610024</v>
      </c>
    </row>
    <row r="46" customFormat="false" ht="15" hidden="false" customHeight="false" outlineLevel="0" collapsed="false">
      <c r="A46" s="0" t="n">
        <v>2069</v>
      </c>
      <c r="B46" s="0" t="n">
        <v>43</v>
      </c>
      <c r="C46" s="0" t="n">
        <v>4832</v>
      </c>
      <c r="D46" s="0" t="n">
        <v>0</v>
      </c>
      <c r="E46" s="0" t="n">
        <v>0</v>
      </c>
      <c r="F46" s="0" t="n">
        <v>0</v>
      </c>
      <c r="G46" s="0" t="n">
        <v>0</v>
      </c>
      <c r="H46" s="0" t="n">
        <v>2273.821</v>
      </c>
      <c r="I46" s="0" t="n">
        <v>201.343</v>
      </c>
      <c r="J46" s="0" t="n">
        <v>1024.824</v>
      </c>
      <c r="K46" s="0" t="n">
        <v>1767.933</v>
      </c>
      <c r="L46" s="0" t="n">
        <v>680.042</v>
      </c>
      <c r="M46" s="0" t="n">
        <v>136164.939</v>
      </c>
      <c r="N46" s="0" t="n">
        <v>7778.914</v>
      </c>
      <c r="O46" s="0" t="n">
        <v>58.078</v>
      </c>
      <c r="P46" s="0" t="n">
        <v>58.297</v>
      </c>
      <c r="Q46" s="0" t="n">
        <v>628.147</v>
      </c>
      <c r="R46" s="0" t="n">
        <v>925.72</v>
      </c>
      <c r="S46" s="0" t="n">
        <v>2579.834</v>
      </c>
      <c r="T46" s="0" t="n">
        <v>2475.164</v>
      </c>
      <c r="U46" s="0" t="n">
        <v>1842.988</v>
      </c>
      <c r="V46" s="0" t="n">
        <v>172584.489</v>
      </c>
      <c r="W46" s="0" t="n">
        <v>189.559</v>
      </c>
      <c r="X46" s="0" t="n">
        <v>514.605</v>
      </c>
      <c r="Y46" s="0" t="n">
        <v>58.078</v>
      </c>
      <c r="Z46" s="0" t="n">
        <v>619.739</v>
      </c>
      <c r="AA46" s="0" t="n">
        <f aca="false">H46*x_c_F+I46*x_c_CC+J46*x_c_DC+K46*x_c_HCC+L46*x_c_PLT+M46*x_c_SVRn+N46*x_c_SVRcc+O46*x_c_LT+P46*x_c_LT1</f>
        <v>286513601.339835</v>
      </c>
      <c r="AB46" s="0" t="n">
        <f aca="false">C46*x_c_DAA</f>
        <v>109976320</v>
      </c>
      <c r="AC46" s="0" t="n">
        <f aca="false">C46*x_c_MON</f>
        <v>27857107.6100244</v>
      </c>
      <c r="AD46" s="0" t="n">
        <f aca="false">D46*(1-x_testy)</f>
        <v>0</v>
      </c>
      <c r="AE46" s="0" t="n">
        <f aca="false">E46*(1-x_testy)</f>
        <v>0</v>
      </c>
      <c r="AF46" s="0" t="n">
        <f aca="false">F46*x_NAV</f>
        <v>0</v>
      </c>
      <c r="AG46" s="0" t="n">
        <f aca="false">G46*x_FIX*(1-x_testy)</f>
        <v>0</v>
      </c>
      <c r="AH46" s="0" t="n">
        <f aca="false">x_z_F*U46+(1-x_AGRI)*x_EMP*x_WLOSS*(x_PEN_K74*Q46+x_PEN_C22*R46)</f>
        <v>20674336.6715037</v>
      </c>
      <c r="AI46" s="0" t="n">
        <f aca="false">x_AGRI*x_EMP*x_WLOSS*(x_PEN_K74*Q46+x_PEN_C22*R46)</f>
        <v>1116087.6098853</v>
      </c>
      <c r="AJ46" s="0" t="n">
        <f aca="false">x_EMP*x_WAGE*(x_WLOSS*(Q46+R46)+S46)+U46*x_ABS_D*x_WAGE/365</f>
        <v>310346391.757652</v>
      </c>
      <c r="AK46" s="0" t="n">
        <f aca="false">AJ46*x_R_FUS</f>
        <v>98193598.352121</v>
      </c>
      <c r="AL46" s="0" t="n">
        <f aca="false">AJ46*x_R_NFZ</f>
        <v>24101811.130291</v>
      </c>
      <c r="AM46" s="0" t="n">
        <f aca="false">AJ46*x_R_PIT</f>
        <v>20633123.4618055</v>
      </c>
      <c r="AN46" s="0" t="n">
        <f aca="false">AJ46*x_R_FP</f>
        <v>7913832.98982011</v>
      </c>
      <c r="AO46" s="0" t="n">
        <f aca="false">AA46+AB46+AC46+AD46+AF46</f>
        <v>424347028.949859</v>
      </c>
      <c r="AP46" s="0" t="n">
        <f aca="false">AO46+AE46+AG46+AH46+AI46+AK46+AL46+AM46+AN46</f>
        <v>596979819.165286</v>
      </c>
      <c r="AQ46" s="0" t="n">
        <f aca="false">AO46+AE46+AG46+AJ46</f>
        <v>734693420.707511</v>
      </c>
      <c r="AR46" s="0" t="n">
        <f aca="false">AB46+AC46+AD46+AF46</f>
        <v>137833427.610024</v>
      </c>
      <c r="AS46" s="0" t="n">
        <f aca="false">AR46+AE46+AG46</f>
        <v>137833427.610024</v>
      </c>
    </row>
    <row r="47" customFormat="false" ht="15" hidden="false" customHeight="false" outlineLevel="0" collapsed="false">
      <c r="A47" s="0" t="n">
        <v>2070</v>
      </c>
      <c r="B47" s="0" t="n">
        <v>44</v>
      </c>
      <c r="C47" s="0" t="n">
        <v>4832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2274.053</v>
      </c>
      <c r="I47" s="0" t="n">
        <v>200.813</v>
      </c>
      <c r="J47" s="0" t="n">
        <v>1017.944</v>
      </c>
      <c r="K47" s="0" t="n">
        <v>1757.947</v>
      </c>
      <c r="L47" s="0" t="n">
        <v>665.144</v>
      </c>
      <c r="M47" s="0" t="n">
        <v>138143.209</v>
      </c>
      <c r="N47" s="0" t="n">
        <v>7730.718</v>
      </c>
      <c r="O47" s="0" t="n">
        <v>57.734</v>
      </c>
      <c r="P47" s="0" t="n">
        <v>57.906</v>
      </c>
      <c r="Q47" s="0" t="n">
        <v>623.418</v>
      </c>
      <c r="R47" s="0" t="n">
        <v>919.038</v>
      </c>
      <c r="S47" s="0" t="n">
        <v>2561.233</v>
      </c>
      <c r="T47" s="0" t="n">
        <v>2474.866</v>
      </c>
      <c r="U47" s="0" t="n">
        <v>1841.544</v>
      </c>
      <c r="V47" s="0" t="n">
        <v>173918.876</v>
      </c>
      <c r="W47" s="0" t="n">
        <v>188.649</v>
      </c>
      <c r="X47" s="0" t="n">
        <v>512.146</v>
      </c>
      <c r="Y47" s="0" t="n">
        <v>57.734</v>
      </c>
      <c r="Z47" s="0" t="n">
        <v>615.922</v>
      </c>
      <c r="AA47" s="0" t="n">
        <f aca="false">H47*x_c_F+I47*x_c_CC+J47*x_c_DC+K47*x_c_HCC+L47*x_c_PLT+M47*x_c_SVRn+N47*x_c_SVRcc+O47*x_c_LT+P47*x_c_LT1</f>
        <v>286229030.054705</v>
      </c>
      <c r="AB47" s="0" t="n">
        <f aca="false">C47*x_c_DAA</f>
        <v>109976320</v>
      </c>
      <c r="AC47" s="0" t="n">
        <f aca="false">C47*x_c_MON</f>
        <v>27857107.6100244</v>
      </c>
      <c r="AD47" s="0" t="n">
        <f aca="false">D47*(1-x_testy)</f>
        <v>0</v>
      </c>
      <c r="AE47" s="0" t="n">
        <f aca="false">E47*(1-x_testy)</f>
        <v>0</v>
      </c>
      <c r="AF47" s="0" t="n">
        <f aca="false">F47*x_NAV</f>
        <v>0</v>
      </c>
      <c r="AG47" s="0" t="n">
        <f aca="false">G47*x_FIX*(1-x_testy)</f>
        <v>0</v>
      </c>
      <c r="AH47" s="0" t="n">
        <f aca="false">x_z_F*U47+(1-x_AGRI)*x_EMP*x_WLOSS*(x_PEN_K74*Q47+x_PEN_C22*R47)</f>
        <v>20547527.8893897</v>
      </c>
      <c r="AI47" s="0" t="n">
        <f aca="false">x_AGRI*x_EMP*x_WLOSS*(x_PEN_K74*Q47+x_PEN_C22*R47)</f>
        <v>1107902.02003057</v>
      </c>
      <c r="AJ47" s="0" t="n">
        <f aca="false">x_EMP*x_WAGE*(x_WLOSS*(Q47+R47)+S47)+U47*x_ABS_D*x_WAGE/365</f>
        <v>308132196.928867</v>
      </c>
      <c r="AK47" s="0" t="n">
        <f aca="false">AJ47*x_R_FUS</f>
        <v>97493027.1082935</v>
      </c>
      <c r="AL47" s="0" t="n">
        <f aca="false">AJ47*x_R_NFZ</f>
        <v>23929854.5456927</v>
      </c>
      <c r="AM47" s="0" t="n">
        <f aca="false">AJ47*x_R_PIT</f>
        <v>20485914.5478817</v>
      </c>
      <c r="AN47" s="0" t="n">
        <f aca="false">AJ47*x_R_FP</f>
        <v>7857371.02168611</v>
      </c>
      <c r="AO47" s="0" t="n">
        <f aca="false">AA47+AB47+AC47+AD47+AF47</f>
        <v>424062457.664729</v>
      </c>
      <c r="AP47" s="0" t="n">
        <f aca="false">AO47+AE47+AG47+AH47+AI47+AK47+AL47+AM47+AN47</f>
        <v>595484054.797703</v>
      </c>
      <c r="AQ47" s="0" t="n">
        <f aca="false">AO47+AE47+AG47+AJ47</f>
        <v>732194654.593596</v>
      </c>
      <c r="AR47" s="0" t="n">
        <f aca="false">AB47+AC47+AD47+AF47</f>
        <v>137833427.610024</v>
      </c>
      <c r="AS47" s="0" t="n">
        <f aca="false">AR47+AE47+AG47</f>
        <v>137833427.610024</v>
      </c>
    </row>
    <row r="48" customFormat="false" ht="15" hidden="false" customHeight="false" outlineLevel="0" collapsed="false">
      <c r="A48" s="0" t="n">
        <v>2071</v>
      </c>
      <c r="B48" s="0" t="n">
        <v>45</v>
      </c>
      <c r="C48" s="0" t="n">
        <v>4832</v>
      </c>
      <c r="D48" s="0" t="n">
        <v>0</v>
      </c>
      <c r="E48" s="0" t="n">
        <v>0</v>
      </c>
      <c r="F48" s="0" t="n">
        <v>0</v>
      </c>
      <c r="G48" s="0" t="n">
        <v>0</v>
      </c>
      <c r="H48" s="0" t="n">
        <v>2274.248</v>
      </c>
      <c r="I48" s="0" t="n">
        <v>200.327</v>
      </c>
      <c r="J48" s="0" t="n">
        <v>1012.515</v>
      </c>
      <c r="K48" s="0" t="n">
        <v>1749.811</v>
      </c>
      <c r="L48" s="0" t="n">
        <v>652.807</v>
      </c>
      <c r="M48" s="0" t="n">
        <v>140132.616</v>
      </c>
      <c r="N48" s="0" t="n">
        <v>7697.441</v>
      </c>
      <c r="O48" s="0" t="n">
        <v>57.465</v>
      </c>
      <c r="P48" s="0" t="n">
        <v>57.599</v>
      </c>
      <c r="Q48" s="0" t="n">
        <v>618.953</v>
      </c>
      <c r="R48" s="0" t="n">
        <v>912.726</v>
      </c>
      <c r="S48" s="0" t="n">
        <v>2543.655</v>
      </c>
      <c r="T48" s="0" t="n">
        <v>2474.575</v>
      </c>
      <c r="U48" s="0" t="n">
        <v>1840.267</v>
      </c>
      <c r="V48" s="0" t="n">
        <v>175278.337</v>
      </c>
      <c r="W48" s="0" t="n">
        <v>187.85</v>
      </c>
      <c r="X48" s="0" t="n">
        <v>510.012</v>
      </c>
      <c r="Y48" s="0" t="n">
        <v>57.465</v>
      </c>
      <c r="Z48" s="0" t="n">
        <v>612.867</v>
      </c>
      <c r="AA48" s="0" t="n">
        <f aca="false">H48*x_c_F+I48*x_c_CC+J48*x_c_DC+K48*x_c_HCC+L48*x_c_PLT+M48*x_c_SVRn+N48*x_c_SVRcc+O48*x_c_LT+P48*x_c_LT1</f>
        <v>286245912.334835</v>
      </c>
      <c r="AB48" s="0" t="n">
        <f aca="false">C48*x_c_DAA</f>
        <v>109976320</v>
      </c>
      <c r="AC48" s="0" t="n">
        <f aca="false">C48*x_c_MON</f>
        <v>27857107.6100244</v>
      </c>
      <c r="AD48" s="0" t="n">
        <f aca="false">D48*(1-x_testy)</f>
        <v>0</v>
      </c>
      <c r="AE48" s="0" t="n">
        <f aca="false">E48*(1-x_testy)</f>
        <v>0</v>
      </c>
      <c r="AF48" s="0" t="n">
        <f aca="false">F48*x_NAV</f>
        <v>0</v>
      </c>
      <c r="AG48" s="0" t="n">
        <f aca="false">G48*x_FIX*(1-x_testy)</f>
        <v>0</v>
      </c>
      <c r="AH48" s="0" t="n">
        <f aca="false">x_z_F*U48+(1-x_AGRI)*x_EMP*x_WLOSS*(x_PEN_K74*Q48+x_PEN_C22*R48)</f>
        <v>20427941.3287396</v>
      </c>
      <c r="AI48" s="0" t="n">
        <f aca="false">x_AGRI*x_EMP*x_WLOSS*(x_PEN_K74*Q48+x_PEN_C22*R48)</f>
        <v>1100171.11127785</v>
      </c>
      <c r="AJ48" s="0" t="n">
        <f aca="false">x_EMP*x_WAGE*(x_WLOSS*(Q48+R48)+S48)+U48*x_ABS_D*x_WAGE/365</f>
        <v>306040385.100992</v>
      </c>
      <c r="AK48" s="0" t="n">
        <f aca="false">AJ48*x_R_FUS</f>
        <v>96831177.8459538</v>
      </c>
      <c r="AL48" s="0" t="n">
        <f aca="false">AJ48*x_R_NFZ</f>
        <v>23767402.3473281</v>
      </c>
      <c r="AM48" s="0" t="n">
        <f aca="false">AJ48*x_R_PIT</f>
        <v>20346842.1666661</v>
      </c>
      <c r="AN48" s="0" t="n">
        <f aca="false">AJ48*x_R_FP</f>
        <v>7804029.82007529</v>
      </c>
      <c r="AO48" s="0" t="n">
        <f aca="false">AA48+AB48+AC48+AD48+AF48</f>
        <v>424079339.94486</v>
      </c>
      <c r="AP48" s="0" t="n">
        <f aca="false">AO48+AE48+AG48+AH48+AI48+AK48+AL48+AM48+AN48</f>
        <v>594356904.564901</v>
      </c>
      <c r="AQ48" s="0" t="n">
        <f aca="false">AO48+AE48+AG48+AJ48</f>
        <v>730119725.045852</v>
      </c>
      <c r="AR48" s="0" t="n">
        <f aca="false">AB48+AC48+AD48+AF48</f>
        <v>137833427.610024</v>
      </c>
      <c r="AS48" s="0" t="n">
        <f aca="false">AR48+AE48+AG48</f>
        <v>137833427.610024</v>
      </c>
    </row>
    <row r="49" customFormat="false" ht="15" hidden="false" customHeight="false" outlineLevel="0" collapsed="false">
      <c r="A49" s="0" t="n">
        <v>2072</v>
      </c>
      <c r="B49" s="0" t="n">
        <v>46</v>
      </c>
      <c r="C49" s="0" t="n">
        <v>4832</v>
      </c>
      <c r="D49" s="0" t="n">
        <v>0</v>
      </c>
      <c r="E49" s="0" t="n">
        <v>0</v>
      </c>
      <c r="F49" s="0" t="n">
        <v>0</v>
      </c>
      <c r="G49" s="0" t="n">
        <v>0</v>
      </c>
      <c r="H49" s="0" t="n">
        <v>2274.448</v>
      </c>
      <c r="I49" s="0" t="n">
        <v>199.84</v>
      </c>
      <c r="J49" s="0" t="n">
        <v>1008.183</v>
      </c>
      <c r="K49" s="0" t="n">
        <v>1743.038</v>
      </c>
      <c r="L49" s="0" t="n">
        <v>642.834</v>
      </c>
      <c r="M49" s="0" t="n">
        <v>142127.351</v>
      </c>
      <c r="N49" s="0" t="n">
        <v>7677.746</v>
      </c>
      <c r="O49" s="0" t="n">
        <v>57.251</v>
      </c>
      <c r="P49" s="0" t="n">
        <v>57.358</v>
      </c>
      <c r="Q49" s="0" t="n">
        <v>614.739</v>
      </c>
      <c r="R49" s="0" t="n">
        <v>906.769</v>
      </c>
      <c r="S49" s="0" t="n">
        <v>2527.077</v>
      </c>
      <c r="T49" s="0" t="n">
        <v>2474.288</v>
      </c>
      <c r="U49" s="0" t="n">
        <v>1839.194</v>
      </c>
      <c r="V49" s="0" t="n">
        <v>176655.244</v>
      </c>
      <c r="W49" s="0" t="n">
        <v>187.115</v>
      </c>
      <c r="X49" s="0" t="n">
        <v>508.086</v>
      </c>
      <c r="Y49" s="0" t="n">
        <v>57.251</v>
      </c>
      <c r="Z49" s="0" t="n">
        <v>610.387</v>
      </c>
      <c r="AA49" s="0" t="n">
        <f aca="false">H49*x_c_F+I49*x_c_CC+J49*x_c_DC+K49*x_c_HCC+L49*x_c_PLT+M49*x_c_SVRn+N49*x_c_SVRcc+O49*x_c_LT+P49*x_c_LT1</f>
        <v>286505917.72648</v>
      </c>
      <c r="AB49" s="0" t="n">
        <f aca="false">C49*x_c_DAA</f>
        <v>109976320</v>
      </c>
      <c r="AC49" s="0" t="n">
        <f aca="false">C49*x_c_MON</f>
        <v>27857107.6100244</v>
      </c>
      <c r="AD49" s="0" t="n">
        <f aca="false">D49*(1-x_testy)</f>
        <v>0</v>
      </c>
      <c r="AE49" s="0" t="n">
        <f aca="false">E49*(1-x_testy)</f>
        <v>0</v>
      </c>
      <c r="AF49" s="0" t="n">
        <f aca="false">F49*x_NAV</f>
        <v>0</v>
      </c>
      <c r="AG49" s="0" t="n">
        <f aca="false">G49*x_FIX*(1-x_testy)</f>
        <v>0</v>
      </c>
      <c r="AH49" s="0" t="n">
        <f aca="false">x_z_F*U49+(1-x_AGRI)*x_EMP*x_WLOSS*(x_PEN_K74*Q49+x_PEN_C22*R49)</f>
        <v>20315351.0974289</v>
      </c>
      <c r="AI49" s="0" t="n">
        <f aca="false">x_AGRI*x_EMP*x_WLOSS*(x_PEN_K74*Q49+x_PEN_C22*R49)</f>
        <v>1092874.92460636</v>
      </c>
      <c r="AJ49" s="0" t="n">
        <f aca="false">x_EMP*x_WAGE*(x_WLOSS*(Q49+R49)+S49)+U49*x_ABS_D*x_WAGE/365</f>
        <v>304067572.756209</v>
      </c>
      <c r="AK49" s="0" t="n">
        <f aca="false">AJ49*x_R_FUS</f>
        <v>96206980.0200645</v>
      </c>
      <c r="AL49" s="0" t="n">
        <f aca="false">AJ49*x_R_NFZ</f>
        <v>23614191.7678199</v>
      </c>
      <c r="AM49" s="0" t="n">
        <f aca="false">AJ49*x_R_PIT</f>
        <v>20215681.3677719</v>
      </c>
      <c r="AN49" s="0" t="n">
        <f aca="false">AJ49*x_R_FP</f>
        <v>7753723.10528333</v>
      </c>
      <c r="AO49" s="0" t="n">
        <f aca="false">AA49+AB49+AC49+AD49+AF49</f>
        <v>424339345.336504</v>
      </c>
      <c r="AP49" s="0" t="n">
        <f aca="false">AO49+AE49+AG49+AH49+AI49+AK49+AL49+AM49+AN49</f>
        <v>593538147.619479</v>
      </c>
      <c r="AQ49" s="0" t="n">
        <f aca="false">AO49+AE49+AG49+AJ49</f>
        <v>728406918.092713</v>
      </c>
      <c r="AR49" s="0" t="n">
        <f aca="false">AB49+AC49+AD49+AF49</f>
        <v>137833427.610024</v>
      </c>
      <c r="AS49" s="0" t="n">
        <f aca="false">AR49+AE49+AG49</f>
        <v>137833427.610024</v>
      </c>
    </row>
    <row r="50" customFormat="false" ht="15" hidden="false" customHeight="false" outlineLevel="0" collapsed="false">
      <c r="A50" s="0" t="n">
        <v>2073</v>
      </c>
      <c r="B50" s="0" t="n">
        <v>47</v>
      </c>
      <c r="C50" s="0" t="n">
        <v>4832</v>
      </c>
      <c r="D50" s="0" t="n">
        <v>0</v>
      </c>
      <c r="E50" s="0" t="n">
        <v>0</v>
      </c>
      <c r="F50" s="0" t="n">
        <v>0</v>
      </c>
      <c r="G50" s="0" t="n">
        <v>0</v>
      </c>
      <c r="H50" s="0" t="n">
        <v>2274.683</v>
      </c>
      <c r="I50" s="0" t="n">
        <v>199.319</v>
      </c>
      <c r="J50" s="0" t="n">
        <v>1004.591</v>
      </c>
      <c r="K50" s="0" t="n">
        <v>1737.14</v>
      </c>
      <c r="L50" s="0" t="n">
        <v>634.925</v>
      </c>
      <c r="M50" s="0" t="n">
        <v>144117.294</v>
      </c>
      <c r="N50" s="0" t="n">
        <v>7669.45</v>
      </c>
      <c r="O50" s="0" t="n">
        <v>57.072</v>
      </c>
      <c r="P50" s="0" t="n">
        <v>57.162</v>
      </c>
      <c r="Q50" s="0" t="n">
        <v>610.769</v>
      </c>
      <c r="R50" s="0" t="n">
        <v>901.15</v>
      </c>
      <c r="S50" s="0" t="n">
        <v>2511.465</v>
      </c>
      <c r="T50" s="0" t="n">
        <v>2474.002</v>
      </c>
      <c r="U50" s="0" t="n">
        <v>1838.35</v>
      </c>
      <c r="V50" s="0" t="n">
        <v>178038.424</v>
      </c>
      <c r="W50" s="0" t="n">
        <v>186.399</v>
      </c>
      <c r="X50" s="0" t="n">
        <v>506.255</v>
      </c>
      <c r="Y50" s="0" t="n">
        <v>57.072</v>
      </c>
      <c r="Z50" s="0" t="n">
        <v>608.273</v>
      </c>
      <c r="AA50" s="0" t="n">
        <f aca="false">H50*x_c_F+I50*x_c_CC+J50*x_c_DC+K50*x_c_HCC+L50*x_c_PLT+M50*x_c_SVRn+N50*x_c_SVRcc+O50*x_c_LT+P50*x_c_LT1</f>
        <v>286942254.111878</v>
      </c>
      <c r="AB50" s="0" t="n">
        <f aca="false">C50*x_c_DAA</f>
        <v>109976320</v>
      </c>
      <c r="AC50" s="0" t="n">
        <f aca="false">C50*x_c_MON</f>
        <v>27857107.6100244</v>
      </c>
      <c r="AD50" s="0" t="n">
        <f aca="false">D50*(1-x_testy)</f>
        <v>0</v>
      </c>
      <c r="AE50" s="0" t="n">
        <f aca="false">E50*(1-x_testy)</f>
        <v>0</v>
      </c>
      <c r="AF50" s="0" t="n">
        <f aca="false">F50*x_NAV</f>
        <v>0</v>
      </c>
      <c r="AG50" s="0" t="n">
        <f aca="false">G50*x_FIX*(1-x_testy)</f>
        <v>0</v>
      </c>
      <c r="AH50" s="0" t="n">
        <f aca="false">x_z_F*U50+(1-x_AGRI)*x_EMP*x_WLOSS*(x_PEN_K74*Q50+x_PEN_C22*R50)</f>
        <v>20209544.0880446</v>
      </c>
      <c r="AI50" s="0" t="n">
        <f aca="false">x_AGRI*x_EMP*x_WLOSS*(x_PEN_K74*Q50+x_PEN_C22*R50)</f>
        <v>1085995.976738</v>
      </c>
      <c r="AJ50" s="0" t="n">
        <f aca="false">x_EMP*x_WAGE*(x_WLOSS*(Q50+R50)+S50)+U50*x_ABS_D*x_WAGE/365</f>
        <v>302209622.006863</v>
      </c>
      <c r="AK50" s="0" t="n">
        <f aca="false">AJ50*x_R_FUS</f>
        <v>95619124.4029715</v>
      </c>
      <c r="AL50" s="0" t="n">
        <f aca="false">AJ50*x_R_NFZ</f>
        <v>23469901.454675</v>
      </c>
      <c r="AM50" s="0" t="n">
        <f aca="false">AJ50*x_R_PIT</f>
        <v>20092157.0471568</v>
      </c>
      <c r="AN50" s="0" t="n">
        <f aca="false">AJ50*x_R_FP</f>
        <v>7706345.36117501</v>
      </c>
      <c r="AO50" s="0" t="n">
        <f aca="false">AA50+AB50+AC50+AD50+AF50</f>
        <v>424775681.721902</v>
      </c>
      <c r="AP50" s="0" t="n">
        <f aca="false">AO50+AE50+AG50+AH50+AI50+AK50+AL50+AM50+AN50</f>
        <v>592958750.052663</v>
      </c>
      <c r="AQ50" s="0" t="n">
        <f aca="false">AO50+AE50+AG50+AJ50</f>
        <v>726985303.728765</v>
      </c>
      <c r="AR50" s="0" t="n">
        <f aca="false">AB50+AC50+AD50+AF50</f>
        <v>137833427.610024</v>
      </c>
      <c r="AS50" s="0" t="n">
        <f aca="false">AR50+AE50+AG50</f>
        <v>137833427.610024</v>
      </c>
    </row>
    <row r="51" customFormat="false" ht="15" hidden="false" customHeight="false" outlineLevel="0" collapsed="false">
      <c r="A51" s="0" t="n">
        <v>2074</v>
      </c>
      <c r="B51" s="0" t="n">
        <v>48</v>
      </c>
      <c r="C51" s="0" t="n">
        <v>4832</v>
      </c>
      <c r="D51" s="0" t="n">
        <v>0</v>
      </c>
      <c r="E51" s="0" t="n">
        <v>0</v>
      </c>
      <c r="F51" s="0" t="n">
        <v>0</v>
      </c>
      <c r="G51" s="0" t="n">
        <v>0</v>
      </c>
      <c r="H51" s="0" t="n">
        <v>2274.974</v>
      </c>
      <c r="I51" s="0" t="n">
        <v>198.739</v>
      </c>
      <c r="J51" s="0" t="n">
        <v>1001.4</v>
      </c>
      <c r="K51" s="0" t="n">
        <v>1731.661</v>
      </c>
      <c r="L51" s="0" t="n">
        <v>628.702</v>
      </c>
      <c r="M51" s="0" t="n">
        <v>146088.529</v>
      </c>
      <c r="N51" s="0" t="n">
        <v>7669.722</v>
      </c>
      <c r="O51" s="0" t="n">
        <v>56.908</v>
      </c>
      <c r="P51" s="0" t="n">
        <v>56.99</v>
      </c>
      <c r="Q51" s="0" t="n">
        <v>607.028</v>
      </c>
      <c r="R51" s="0" t="n">
        <v>895.851</v>
      </c>
      <c r="S51" s="0" t="n">
        <v>2496.783</v>
      </c>
      <c r="T51" s="0" t="n">
        <v>2473.713</v>
      </c>
      <c r="U51" s="0" t="n">
        <v>1837.746</v>
      </c>
      <c r="V51" s="0" t="n">
        <v>179413.766</v>
      </c>
      <c r="W51" s="0" t="n">
        <v>185.669</v>
      </c>
      <c r="X51" s="0" t="n">
        <v>504.428</v>
      </c>
      <c r="Y51" s="0" t="n">
        <v>56.908</v>
      </c>
      <c r="Z51" s="0" t="n">
        <v>606.346</v>
      </c>
      <c r="AA51" s="0" t="n">
        <f aca="false">H51*x_c_F+I51*x_c_CC+J51*x_c_DC+K51*x_c_HCC+L51*x_c_PLT+M51*x_c_SVRn+N51*x_c_SVRcc+O51*x_c_LT+P51*x_c_LT1</f>
        <v>287483904.264108</v>
      </c>
      <c r="AB51" s="0" t="n">
        <f aca="false">C51*x_c_DAA</f>
        <v>109976320</v>
      </c>
      <c r="AC51" s="0" t="n">
        <f aca="false">C51*x_c_MON</f>
        <v>27857107.6100244</v>
      </c>
      <c r="AD51" s="0" t="n">
        <f aca="false">D51*(1-x_testy)</f>
        <v>0</v>
      </c>
      <c r="AE51" s="0" t="n">
        <f aca="false">E51*(1-x_testy)</f>
        <v>0</v>
      </c>
      <c r="AF51" s="0" t="n">
        <f aca="false">F51*x_NAV</f>
        <v>0</v>
      </c>
      <c r="AG51" s="0" t="n">
        <f aca="false">G51*x_FIX*(1-x_testy)</f>
        <v>0</v>
      </c>
      <c r="AH51" s="0" t="n">
        <f aca="false">x_z_F*U51+(1-x_AGRI)*x_EMP*x_WLOSS*(x_PEN_K74*Q51+x_PEN_C22*R51)</f>
        <v>20110186.5925246</v>
      </c>
      <c r="AI51" s="0" t="n">
        <f aca="false">x_AGRI*x_EMP*x_WLOSS*(x_PEN_K74*Q51+x_PEN_C22*R51)</f>
        <v>1079510.71540393</v>
      </c>
      <c r="AJ51" s="0" t="n">
        <f aca="false">x_EMP*x_WAGE*(x_WLOSS*(Q51+R51)+S51)+U51*x_ABS_D*x_WAGE/365</f>
        <v>300461691.14606</v>
      </c>
      <c r="AK51" s="0" t="n">
        <f aca="false">AJ51*x_R_FUS</f>
        <v>95066079.0786133</v>
      </c>
      <c r="AL51" s="0" t="n">
        <f aca="false">AJ51*x_R_NFZ</f>
        <v>23334155.3960941</v>
      </c>
      <c r="AM51" s="0" t="n">
        <f aca="false">AJ51*x_R_PIT</f>
        <v>19975947.307938</v>
      </c>
      <c r="AN51" s="0" t="n">
        <f aca="false">AJ51*x_R_FP</f>
        <v>7661773.12422452</v>
      </c>
      <c r="AO51" s="0" t="n">
        <f aca="false">AA51+AB51+AC51+AD51+AF51</f>
        <v>425317331.874132</v>
      </c>
      <c r="AP51" s="0" t="n">
        <f aca="false">AO51+AE51+AG51+AH51+AI51+AK51+AL51+AM51+AN51</f>
        <v>592544984.088931</v>
      </c>
      <c r="AQ51" s="0" t="n">
        <f aca="false">AO51+AE51+AG51+AJ51</f>
        <v>725779023.020192</v>
      </c>
      <c r="AR51" s="0" t="n">
        <f aca="false">AB51+AC51+AD51+AF51</f>
        <v>137833427.610024</v>
      </c>
      <c r="AS51" s="0" t="n">
        <f aca="false">AR51+AE51+AG51</f>
        <v>137833427.610024</v>
      </c>
    </row>
    <row r="52" customFormat="false" ht="15" hidden="false" customHeight="false" outlineLevel="0" collapsed="false">
      <c r="A52" s="0" t="n">
        <v>2075</v>
      </c>
      <c r="B52" s="0" t="n">
        <v>49</v>
      </c>
      <c r="C52" s="0" t="n">
        <v>4832</v>
      </c>
      <c r="D52" s="0" t="n">
        <v>0</v>
      </c>
      <c r="E52" s="0" t="n">
        <v>0</v>
      </c>
      <c r="F52" s="0" t="n">
        <v>0</v>
      </c>
      <c r="G52" s="0" t="n">
        <v>0</v>
      </c>
      <c r="H52" s="0" t="n">
        <v>2275.333</v>
      </c>
      <c r="I52" s="0" t="n">
        <v>198.088</v>
      </c>
      <c r="J52" s="0" t="n">
        <v>998.311</v>
      </c>
      <c r="K52" s="0" t="n">
        <v>1726.201</v>
      </c>
      <c r="L52" s="0" t="n">
        <v>623.744</v>
      </c>
      <c r="M52" s="0" t="n">
        <v>148024.397</v>
      </c>
      <c r="N52" s="0" t="n">
        <v>7675.367</v>
      </c>
      <c r="O52" s="0" t="n">
        <v>56.743</v>
      </c>
      <c r="P52" s="0" t="n">
        <v>56.826</v>
      </c>
      <c r="Q52" s="0" t="n">
        <v>603.504</v>
      </c>
      <c r="R52" s="0" t="n">
        <v>890.852</v>
      </c>
      <c r="S52" s="0" t="n">
        <v>2482.983</v>
      </c>
      <c r="T52" s="0" t="n">
        <v>2473.42</v>
      </c>
      <c r="U52" s="0" t="n">
        <v>1837.38</v>
      </c>
      <c r="V52" s="0" t="n">
        <v>180765.245</v>
      </c>
      <c r="W52" s="0" t="n">
        <v>184.898</v>
      </c>
      <c r="X52" s="0" t="n">
        <v>502.526</v>
      </c>
      <c r="Y52" s="0" t="n">
        <v>56.743</v>
      </c>
      <c r="Z52" s="0" t="n">
        <v>604.432</v>
      </c>
      <c r="AA52" s="0" t="n">
        <f aca="false">H52*x_c_F+I52*x_c_CC+J52*x_c_DC+K52*x_c_HCC+L52*x_c_PLT+M52*x_c_SVRn+N52*x_c_SVRcc+O52*x_c_LT+P52*x_c_LT1</f>
        <v>288061703.68694</v>
      </c>
      <c r="AB52" s="0" t="n">
        <f aca="false">C52*x_c_DAA</f>
        <v>109976320</v>
      </c>
      <c r="AC52" s="0" t="n">
        <f aca="false">C52*x_c_MON</f>
        <v>27857107.6100244</v>
      </c>
      <c r="AD52" s="0" t="n">
        <f aca="false">D52*(1-x_testy)</f>
        <v>0</v>
      </c>
      <c r="AE52" s="0" t="n">
        <f aca="false">E52*(1-x_testy)</f>
        <v>0</v>
      </c>
      <c r="AF52" s="0" t="n">
        <f aca="false">F52*x_NAV</f>
        <v>0</v>
      </c>
      <c r="AG52" s="0" t="n">
        <f aca="false">G52*x_FIX*(1-x_testy)</f>
        <v>0</v>
      </c>
      <c r="AH52" s="0" t="n">
        <f aca="false">x_z_F*U52+(1-x_AGRI)*x_EMP*x_WLOSS*(x_PEN_K74*Q52+x_PEN_C22*R52)</f>
        <v>20016925.4827704</v>
      </c>
      <c r="AI52" s="0" t="n">
        <f aca="false">x_AGRI*x_EMP*x_WLOSS*(x_PEN_K74*Q52+x_PEN_C22*R52)</f>
        <v>1073396.07129745</v>
      </c>
      <c r="AJ52" s="0" t="n">
        <f aca="false">x_EMP*x_WAGE*(x_WLOSS*(Q52+R52)+S52)+U52*x_ABS_D*x_WAGE/365</f>
        <v>298817931.840942</v>
      </c>
      <c r="AK52" s="0" t="n">
        <f aca="false">AJ52*x_R_FUS</f>
        <v>94545993.6344741</v>
      </c>
      <c r="AL52" s="0" t="n">
        <f aca="false">AJ52*x_R_NFZ</f>
        <v>23206499.4046994</v>
      </c>
      <c r="AM52" s="0" t="n">
        <f aca="false">AJ52*x_R_PIT</f>
        <v>19866663.3285371</v>
      </c>
      <c r="AN52" s="0" t="n">
        <f aca="false">AJ52*x_R_FP</f>
        <v>7619857.26194402</v>
      </c>
      <c r="AO52" s="0" t="n">
        <f aca="false">AA52+AB52+AC52+AD52+AF52</f>
        <v>425895131.296965</v>
      </c>
      <c r="AP52" s="0" t="n">
        <f aca="false">AO52+AE52+AG52+AH52+AI52+AK52+AL52+AM52+AN52</f>
        <v>592224466.480687</v>
      </c>
      <c r="AQ52" s="0" t="n">
        <f aca="false">AO52+AE52+AG52+AJ52</f>
        <v>724713063.137907</v>
      </c>
      <c r="AR52" s="0" t="n">
        <f aca="false">AB52+AC52+AD52+AF52</f>
        <v>137833427.610024</v>
      </c>
      <c r="AS52" s="0" t="n">
        <f aca="false">AR52+AE52+AG52</f>
        <v>137833427.610024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601</v>
      </c>
    </row>
    <row r="2" customFormat="false" ht="15" hidden="false" customHeight="false" outlineLevel="0" collapsed="false">
      <c r="A2" s="1" t="s">
        <v>602</v>
      </c>
      <c r="B2" s="0" t="n">
        <f aca="false">x_H</f>
        <v>20</v>
      </c>
    </row>
    <row r="3" customFormat="false" ht="15" hidden="false" customHeight="false" outlineLevel="0" collapsed="false">
      <c r="A3" s="1" t="s">
        <v>603</v>
      </c>
      <c r="B3" s="0" t="n">
        <f aca="false">SUM(H13:H62)</f>
        <v>-1803594625.46485</v>
      </c>
    </row>
    <row r="4" customFormat="false" ht="15" hidden="false" customHeight="false" outlineLevel="0" collapsed="false">
      <c r="A4" s="1" t="s">
        <v>604</v>
      </c>
      <c r="B4" s="0" t="n">
        <f aca="false">SUM(F13:F62)</f>
        <v>1128886288.23073</v>
      </c>
    </row>
    <row r="5" customFormat="false" ht="15" hidden="false" customHeight="false" outlineLevel="0" collapsed="false">
      <c r="A5" s="1" t="s">
        <v>605</v>
      </c>
      <c r="B5" s="0" t="n">
        <f aca="false">B3-B4</f>
        <v>-2932480913.69558</v>
      </c>
    </row>
    <row r="6" customFormat="false" ht="15" hidden="false" customHeight="false" outlineLevel="0" collapsed="false">
      <c r="A6" s="1" t="s">
        <v>606</v>
      </c>
      <c r="B6" s="0" t="n">
        <f aca="false">IF(B3=0,"—",(B5-B3)/ABS(B3))</f>
        <v>-0.625909099690167</v>
      </c>
    </row>
    <row r="7" customFormat="false" ht="15" hidden="false" customHeight="false" outlineLevel="0" collapsed="false">
      <c r="A7" s="1" t="s">
        <v>607</v>
      </c>
      <c r="B7" s="0" t="str">
        <f aca="false">IFERROR(INDEX(A13:A62,MATCH(1,M13:M62,0)),"brak w horyzoncie")</f>
        <v>brak w horyzoncie</v>
      </c>
    </row>
    <row r="8" customFormat="false" ht="15" hidden="false" customHeight="false" outlineLevel="0" collapsed="false">
      <c r="A8" s="1" t="s">
        <v>608</v>
      </c>
      <c r="B8" s="0" t="str">
        <f aca="false">IFERROR(INDEX(A13:A62,MATCH(1,N13:N62,0)),"brak w horyzoncie")</f>
        <v>brak w horyzoncie</v>
      </c>
    </row>
    <row r="9" customFormat="false" ht="15" hidden="false" customHeight="false" outlineLevel="0" collapsed="false">
      <c r="A9" s="1" t="s">
        <v>609</v>
      </c>
      <c r="B9" s="0" t="n">
        <f aca="false">SUM(E13:E62)</f>
        <v>-144712911.993685</v>
      </c>
    </row>
    <row r="10" customFormat="false" ht="15" hidden="false" customHeight="false" outlineLevel="0" collapsed="false">
      <c r="A10" s="1" t="s">
        <v>610</v>
      </c>
      <c r="B10" s="0" t="n">
        <f aca="false">IFERROR(B4/SUM(P13:P62),"—")</f>
        <v>-20980.5850018805</v>
      </c>
    </row>
    <row r="11" customFormat="false" ht="15" hidden="false" customHeight="false" outlineLevel="0" collapsed="false">
      <c r="A11" s="1" t="s">
        <v>611</v>
      </c>
      <c r="B11" s="0" t="n">
        <f aca="false">IFERROR(B9/SUM(P13:P62),"—")</f>
        <v>2689.51938083299</v>
      </c>
    </row>
    <row r="12" customFormat="false" ht="55.2" hidden="false" customHeight="false" outlineLevel="0" collapsed="false">
      <c r="A12" s="3" t="s">
        <v>320</v>
      </c>
      <c r="B12" s="3" t="s">
        <v>553</v>
      </c>
      <c r="C12" s="3" t="s">
        <v>612</v>
      </c>
      <c r="D12" s="3" t="s">
        <v>613</v>
      </c>
      <c r="E12" s="3" t="s">
        <v>614</v>
      </c>
      <c r="F12" s="3" t="s">
        <v>615</v>
      </c>
      <c r="G12" s="3" t="s">
        <v>616</v>
      </c>
      <c r="H12" s="3" t="s">
        <v>617</v>
      </c>
      <c r="I12" s="3" t="s">
        <v>618</v>
      </c>
      <c r="J12" s="3" t="s">
        <v>619</v>
      </c>
      <c r="K12" s="3" t="s">
        <v>620</v>
      </c>
      <c r="L12" s="3" t="s">
        <v>621</v>
      </c>
      <c r="M12" s="3" t="s">
        <v>622</v>
      </c>
      <c r="N12" s="3" t="s">
        <v>623</v>
      </c>
      <c r="O12" s="3" t="s">
        <v>624</v>
      </c>
      <c r="P12" s="3" t="s">
        <v>625</v>
      </c>
    </row>
    <row r="13" customFormat="false" ht="15" hidden="false" customHeight="false" outlineLevel="0" collapsed="false">
      <c r="A13" s="0" t="n">
        <v>2026</v>
      </c>
      <c r="B13" s="0" t="n">
        <v>0</v>
      </c>
      <c r="C13" s="0" t="n">
        <f aca="false">IF(B13&lt;x_H,(1+x_dk)^(-B13),0)</f>
        <v>1</v>
      </c>
      <c r="D13" s="0" t="n">
        <f aca="false">IF(B13&lt;x_H,(1+x_de)^(-B13),0)</f>
        <v>1</v>
      </c>
      <c r="E13" s="0" t="n">
        <f aca="false">(L_S0!AO3-L_S1!AO3)*C13</f>
        <v>-131768415.598007</v>
      </c>
      <c r="F13" s="0" t="n">
        <f aca="false">(L_S0!AP3-L_S1!AP3)*C13</f>
        <v>-124718362.89077</v>
      </c>
      <c r="G13" s="0" t="n">
        <f aca="false">(L_S0!AQ3-L_S1!AQ3)*C13</f>
        <v>-125657451.779137</v>
      </c>
      <c r="H13" s="0" t="n">
        <f aca="false">(L_S0!AS3-L_S1!AS3)*C13</f>
        <v>-137833427.610024</v>
      </c>
      <c r="I13" s="0" t="n">
        <f aca="false">E13</f>
        <v>-131768415.598007</v>
      </c>
      <c r="J13" s="0" t="n">
        <f aca="false">F13</f>
        <v>-124718362.89077</v>
      </c>
      <c r="K13" s="0" t="n">
        <f aca="false">G13</f>
        <v>-125657451.779137</v>
      </c>
      <c r="L13" s="0" t="n">
        <f aca="false">J13</f>
        <v>-124718362.89077</v>
      </c>
      <c r="M13" s="0" t="n">
        <v>0</v>
      </c>
      <c r="N13" s="0" t="n">
        <v>0</v>
      </c>
      <c r="O13" s="0" t="n">
        <f aca="false">I13</f>
        <v>-131768415.598007</v>
      </c>
      <c r="P13" s="0" t="n">
        <f aca="false">(L_S0!V3-L_S1!V3)*D13</f>
        <v>-391.087</v>
      </c>
    </row>
    <row r="14" customFormat="false" ht="15" hidden="false" customHeight="false" outlineLevel="0" collapsed="false">
      <c r="A14" s="0" t="n">
        <v>2027</v>
      </c>
      <c r="B14" s="0" t="n">
        <v>1</v>
      </c>
      <c r="C14" s="0" t="n">
        <f aca="false">IF(B14&lt;x_H,(1+x_dk)^(-B14),0)</f>
        <v>0.952380952380952</v>
      </c>
      <c r="D14" s="0" t="n">
        <f aca="false">IF(B14&lt;x_H,(1+x_de)^(-B14),0)</f>
        <v>0.966183574879227</v>
      </c>
      <c r="E14" s="0" t="n">
        <f aca="false">(L_S0!AO4-L_S1!AO4)*C14</f>
        <v>-115386322.816273</v>
      </c>
      <c r="F14" s="0" t="n">
        <f aca="false">(L_S0!AP4-L_S1!AP4)*C14</f>
        <v>-100193153.233182</v>
      </c>
      <c r="G14" s="0" t="n">
        <f aca="false">(L_S0!AQ4-L_S1!AQ4)*C14</f>
        <v>-101865876.369357</v>
      </c>
      <c r="H14" s="0" t="n">
        <f aca="false">(L_S0!AS4-L_S1!AS4)*C14</f>
        <v>-131269931.057166</v>
      </c>
      <c r="I14" s="0" t="n">
        <f aca="false">I13+E14</f>
        <v>-247154738.41428</v>
      </c>
      <c r="J14" s="0" t="n">
        <f aca="false">J13+F14</f>
        <v>-224911516.123952</v>
      </c>
      <c r="K14" s="0" t="n">
        <f aca="false">K13+G14</f>
        <v>-227523328.148494</v>
      </c>
      <c r="L14" s="0" t="n">
        <f aca="false">MAX(L13,J14)</f>
        <v>-124718362.89077</v>
      </c>
      <c r="M14" s="0" t="n">
        <f aca="false">IF(AND(B14&lt;x_H,J14&lt;=0,L13&gt;0),1,0)</f>
        <v>0</v>
      </c>
      <c r="N14" s="0" t="n">
        <f aca="false">IF(AND(B14&lt;x_H,I14&lt;=0,O13&gt;0),1,0)</f>
        <v>0</v>
      </c>
      <c r="O14" s="0" t="n">
        <f aca="false">MAX(O13,I14)</f>
        <v>-131768415.598007</v>
      </c>
      <c r="P14" s="0" t="n">
        <f aca="false">(L_S0!V4-L_S1!V4)*D14</f>
        <v>-642.270531400966</v>
      </c>
    </row>
    <row r="15" customFormat="false" ht="15" hidden="false" customHeight="false" outlineLevel="0" collapsed="false">
      <c r="A15" s="0" t="n">
        <v>2028</v>
      </c>
      <c r="B15" s="0" t="n">
        <v>2</v>
      </c>
      <c r="C15" s="0" t="n">
        <f aca="false">IF(B15&lt;x_H,(1+x_dk)^(-B15),0)</f>
        <v>0.90702947845805</v>
      </c>
      <c r="D15" s="0" t="n">
        <f aca="false">IF(B15&lt;x_H,(1+x_de)^(-B15),0)</f>
        <v>0.933510700366403</v>
      </c>
      <c r="E15" s="0" t="n">
        <f aca="false">(L_S0!AO5-L_S1!AO5)*C15</f>
        <v>-99298386.6622205</v>
      </c>
      <c r="F15" s="0" t="n">
        <f aca="false">(L_S0!AP5-L_S1!AP5)*C15</f>
        <v>-75801634.6015086</v>
      </c>
      <c r="G15" s="0" t="n">
        <f aca="false">(L_S0!AQ5-L_S1!AQ5)*C15</f>
        <v>-77764668.7352783</v>
      </c>
      <c r="H15" s="0" t="n">
        <f aca="false">(L_S0!AS5-L_S1!AS5)*C15</f>
        <v>-125018981.959206</v>
      </c>
      <c r="I15" s="0" t="n">
        <f aca="false">I14+E15</f>
        <v>-346453125.076501</v>
      </c>
      <c r="J15" s="0" t="n">
        <f aca="false">J14+F15</f>
        <v>-300713150.725461</v>
      </c>
      <c r="K15" s="0" t="n">
        <f aca="false">K14+G15</f>
        <v>-305287996.883772</v>
      </c>
      <c r="L15" s="0" t="n">
        <f aca="false">MAX(L14,J15)</f>
        <v>-124718362.89077</v>
      </c>
      <c r="M15" s="0" t="n">
        <f aca="false">IF(AND(B15&lt;x_H,J15&lt;=0,L14&gt;0),1,0)</f>
        <v>0</v>
      </c>
      <c r="N15" s="0" t="n">
        <f aca="false">IF(AND(B15&lt;x_H,I15&lt;=0,O14&gt;0),1,0)</f>
        <v>0</v>
      </c>
      <c r="O15" s="0" t="n">
        <f aca="false">MAX(O14,I15)</f>
        <v>-131768415.598007</v>
      </c>
      <c r="P15" s="0" t="n">
        <f aca="false">(L_S0!V5-L_S1!V5)*D15</f>
        <v>-890.925809237086</v>
      </c>
    </row>
    <row r="16" customFormat="false" ht="15" hidden="false" customHeight="false" outlineLevel="0" collapsed="false">
      <c r="A16" s="0" t="n">
        <v>2029</v>
      </c>
      <c r="B16" s="0" t="n">
        <v>3</v>
      </c>
      <c r="C16" s="0" t="n">
        <f aca="false">IF(B16&lt;x_H,(1+x_dk)^(-B16),0)</f>
        <v>0.863837598531476</v>
      </c>
      <c r="D16" s="0" t="n">
        <f aca="false">IF(B16&lt;x_H,(1+x_de)^(-B16),0)</f>
        <v>0.901942705668022</v>
      </c>
      <c r="E16" s="0" t="n">
        <f aca="false">(L_S0!AO6-L_S1!AO6)*C16</f>
        <v>-83573026.8636561</v>
      </c>
      <c r="F16" s="0" t="n">
        <f aca="false">(L_S0!AP6-L_S1!AP6)*C16</f>
        <v>-51596031.6967327</v>
      </c>
      <c r="G16" s="0" t="n">
        <f aca="false">(L_S0!AQ6-L_S1!AQ6)*C16</f>
        <v>-53336369.5864557</v>
      </c>
      <c r="H16" s="0" t="n">
        <f aca="false">(L_S0!AS6-L_S1!AS6)*C16</f>
        <v>-119065697.104006</v>
      </c>
      <c r="I16" s="0" t="n">
        <f aca="false">I15+E16</f>
        <v>-430026151.940157</v>
      </c>
      <c r="J16" s="0" t="n">
        <f aca="false">J15+F16</f>
        <v>-352309182.422193</v>
      </c>
      <c r="K16" s="0" t="n">
        <f aca="false">K15+G16</f>
        <v>-358624366.470228</v>
      </c>
      <c r="L16" s="0" t="n">
        <f aca="false">MAX(L15,J16)</f>
        <v>-124718362.89077</v>
      </c>
      <c r="M16" s="0" t="n">
        <f aca="false">IF(AND(B16&lt;x_H,J16&lt;=0,L15&gt;0),1,0)</f>
        <v>0</v>
      </c>
      <c r="N16" s="0" t="n">
        <f aca="false">IF(AND(B16&lt;x_H,I16&lt;=0,O15&gt;0),1,0)</f>
        <v>0</v>
      </c>
      <c r="O16" s="0" t="n">
        <f aca="false">MAX(O15,I16)</f>
        <v>-131768415.598007</v>
      </c>
      <c r="P16" s="0" t="n">
        <f aca="false">(L_S0!V6-L_S1!V6)*D16</f>
        <v>-1139.2465373574</v>
      </c>
    </row>
    <row r="17" customFormat="false" ht="15" hidden="false" customHeight="false" outlineLevel="0" collapsed="false">
      <c r="A17" s="0" t="n">
        <v>2030</v>
      </c>
      <c r="B17" s="0" t="n">
        <v>4</v>
      </c>
      <c r="C17" s="0" t="n">
        <f aca="false">IF(B17&lt;x_H,(1+x_dk)^(-B17),0)</f>
        <v>0.822702474791882</v>
      </c>
      <c r="D17" s="0" t="n">
        <f aca="false">IF(B17&lt;x_H,(1+x_de)^(-B17),0)</f>
        <v>0.871442227698572</v>
      </c>
      <c r="E17" s="0" t="n">
        <f aca="false">(L_S0!AO7-L_S1!AO7)*C17</f>
        <v>-68270380.2645175</v>
      </c>
      <c r="F17" s="0" t="n">
        <f aca="false">(L_S0!AP7-L_S1!AP7)*C17</f>
        <v>-27625767.711677</v>
      </c>
      <c r="G17" s="0" t="n">
        <f aca="false">(L_S0!AQ7-L_S1!AQ7)*C17</f>
        <v>-28578956.3352513</v>
      </c>
      <c r="H17" s="0" t="n">
        <f aca="false">(L_S0!AS7-L_S1!AS7)*C17</f>
        <v>-113395902.003815</v>
      </c>
      <c r="I17" s="0" t="n">
        <f aca="false">I16+E17</f>
        <v>-498296532.204674</v>
      </c>
      <c r="J17" s="0" t="n">
        <f aca="false">J16+F17</f>
        <v>-379934950.13387</v>
      </c>
      <c r="K17" s="0" t="n">
        <f aca="false">K16+G17</f>
        <v>-387203322.805479</v>
      </c>
      <c r="L17" s="0" t="n">
        <f aca="false">MAX(L16,J17)</f>
        <v>-124718362.89077</v>
      </c>
      <c r="M17" s="0" t="n">
        <f aca="false">IF(AND(B17&lt;x_H,J17&lt;=0,L16&gt;0),1,0)</f>
        <v>0</v>
      </c>
      <c r="N17" s="0" t="n">
        <f aca="false">IF(AND(B17&lt;x_H,I17&lt;=0,O16&gt;0),1,0)</f>
        <v>0</v>
      </c>
      <c r="O17" s="0" t="n">
        <f aca="false">MAX(O16,I17)</f>
        <v>-131768415.598007</v>
      </c>
      <c r="P17" s="0" t="n">
        <f aca="false">(L_S0!V7-L_S1!V7)*D17</f>
        <v>-1388.25888381527</v>
      </c>
    </row>
    <row r="18" customFormat="false" ht="15" hidden="false" customHeight="false" outlineLevel="0" collapsed="false">
      <c r="A18" s="0" t="n">
        <v>2031</v>
      </c>
      <c r="B18" s="0" t="n">
        <v>5</v>
      </c>
      <c r="C18" s="0" t="n">
        <f aca="false">IF(B18&lt;x_H,(1+x_dk)^(-B18),0)</f>
        <v>0.783526166468459</v>
      </c>
      <c r="D18" s="0" t="n">
        <f aca="false">IF(B18&lt;x_H,(1+x_de)^(-B18),0)</f>
        <v>0.841973166858524</v>
      </c>
      <c r="E18" s="0" t="n">
        <f aca="false">(L_S0!AO8-L_S1!AO8)*C18</f>
        <v>-53448385.5829928</v>
      </c>
      <c r="F18" s="0" t="n">
        <f aca="false">(L_S0!AP8-L_S1!AP8)*C18</f>
        <v>-3946291.27925309</v>
      </c>
      <c r="G18" s="0" t="n">
        <f aca="false">(L_S0!AQ8-L_S1!AQ8)*C18</f>
        <v>-3513926.33881478</v>
      </c>
      <c r="H18" s="0" t="n">
        <f aca="false">(L_S0!AS8-L_S1!AS8)*C18</f>
        <v>-107996097.14649</v>
      </c>
      <c r="I18" s="0" t="n">
        <f aca="false">I17+E18</f>
        <v>-551744917.787667</v>
      </c>
      <c r="J18" s="0" t="n">
        <f aca="false">J17+F18</f>
        <v>-383881241.413123</v>
      </c>
      <c r="K18" s="0" t="n">
        <f aca="false">K17+G18</f>
        <v>-390717249.144294</v>
      </c>
      <c r="L18" s="0" t="n">
        <f aca="false">MAX(L17,J18)</f>
        <v>-124718362.89077</v>
      </c>
      <c r="M18" s="0" t="n">
        <f aca="false">IF(AND(B18&lt;x_H,J18&lt;=0,L17&gt;0),1,0)</f>
        <v>0</v>
      </c>
      <c r="N18" s="0" t="n">
        <f aca="false">IF(AND(B18&lt;x_H,I18&lt;=0,O17&gt;0),1,0)</f>
        <v>0</v>
      </c>
      <c r="O18" s="0" t="n">
        <f aca="false">MAX(O17,I18)</f>
        <v>-131768415.598007</v>
      </c>
      <c r="P18" s="0" t="n">
        <f aca="false">(L_S0!V8-L_S1!V8)*D18</f>
        <v>-1638.22466483713</v>
      </c>
    </row>
    <row r="19" customFormat="false" ht="15" hidden="false" customHeight="false" outlineLevel="0" collapsed="false">
      <c r="A19" s="0" t="n">
        <v>2032</v>
      </c>
      <c r="B19" s="0" t="n">
        <v>6</v>
      </c>
      <c r="C19" s="0" t="n">
        <f aca="false">IF(B19&lt;x_H,(1+x_dk)^(-B19),0)</f>
        <v>0.746215396636628</v>
      </c>
      <c r="D19" s="0" t="n">
        <f aca="false">IF(B19&lt;x_H,(1+x_de)^(-B19),0)</f>
        <v>0.813500644307753</v>
      </c>
      <c r="E19" s="0" t="n">
        <f aca="false">(L_S0!AO9-L_S1!AO9)*C19</f>
        <v>-39169912.8609562</v>
      </c>
      <c r="F19" s="0" t="n">
        <f aca="false">(L_S0!AP9-L_S1!AP9)*C19</f>
        <v>19370695.3651483</v>
      </c>
      <c r="G19" s="0" t="n">
        <f aca="false">(L_S0!AQ9-L_S1!AQ9)*C19</f>
        <v>21803965.2584895</v>
      </c>
      <c r="H19" s="0" t="n">
        <f aca="false">(L_S0!AS9-L_S1!AS9)*C19</f>
        <v>-102853425.8538</v>
      </c>
      <c r="I19" s="0" t="n">
        <f aca="false">I18+E19</f>
        <v>-590914830.648623</v>
      </c>
      <c r="J19" s="0" t="n">
        <f aca="false">J18+F19</f>
        <v>-364510546.047975</v>
      </c>
      <c r="K19" s="0" t="n">
        <f aca="false">K18+G19</f>
        <v>-368913283.885805</v>
      </c>
      <c r="L19" s="0" t="n">
        <f aca="false">MAX(L18,J19)</f>
        <v>-124718362.89077</v>
      </c>
      <c r="M19" s="0" t="n">
        <f aca="false">IF(AND(B19&lt;x_H,J19&lt;=0,L18&gt;0),1,0)</f>
        <v>0</v>
      </c>
      <c r="N19" s="0" t="n">
        <f aca="false">IF(AND(B19&lt;x_H,I19&lt;=0,O18&gt;0),1,0)</f>
        <v>0</v>
      </c>
      <c r="O19" s="0" t="n">
        <f aca="false">MAX(O18,I19)</f>
        <v>-131768415.598007</v>
      </c>
      <c r="P19" s="0" t="n">
        <f aca="false">(L_S0!V9-L_S1!V9)*D19</f>
        <v>-1888.87365402332</v>
      </c>
    </row>
    <row r="20" customFormat="false" ht="15" hidden="false" customHeight="false" outlineLevel="0" collapsed="false">
      <c r="A20" s="0" t="n">
        <v>2033</v>
      </c>
      <c r="B20" s="0" t="n">
        <v>7</v>
      </c>
      <c r="C20" s="0" t="n">
        <f aca="false">IF(B20&lt;x_H,(1+x_dk)^(-B20),0)</f>
        <v>0.710681330130121</v>
      </c>
      <c r="D20" s="0" t="n">
        <f aca="false">IF(B20&lt;x_H,(1+x_de)^(-B20),0)</f>
        <v>0.785990960683819</v>
      </c>
      <c r="E20" s="0" t="n">
        <f aca="false">(L_S0!AO10-L_S1!AO10)*C20</f>
        <v>-25499608.694018</v>
      </c>
      <c r="F20" s="0" t="n">
        <f aca="false">(L_S0!AP10-L_S1!AP10)*C20</f>
        <v>42240572.2774729</v>
      </c>
      <c r="G20" s="0" t="n">
        <f aca="false">(L_S0!AQ10-L_S1!AQ10)*C20</f>
        <v>47290977.9589103</v>
      </c>
      <c r="H20" s="0" t="n">
        <f aca="false">(L_S0!AS10-L_S1!AS10)*C20</f>
        <v>-97955643.6702859</v>
      </c>
      <c r="I20" s="0" t="n">
        <f aca="false">I19+E20</f>
        <v>-616414439.342641</v>
      </c>
      <c r="J20" s="0" t="n">
        <f aca="false">J19+F20</f>
        <v>-322269973.770502</v>
      </c>
      <c r="K20" s="0" t="n">
        <f aca="false">K19+G20</f>
        <v>-321622305.926895</v>
      </c>
      <c r="L20" s="0" t="n">
        <f aca="false">MAX(L19,J20)</f>
        <v>-124718362.89077</v>
      </c>
      <c r="M20" s="0" t="n">
        <f aca="false">IF(AND(B20&lt;x_H,J20&lt;=0,L19&gt;0),1,0)</f>
        <v>0</v>
      </c>
      <c r="N20" s="0" t="n">
        <f aca="false">IF(AND(B20&lt;x_H,I20&lt;=0,O19&gt;0),1,0)</f>
        <v>0</v>
      </c>
      <c r="O20" s="0" t="n">
        <f aca="false">MAX(O19,I20)</f>
        <v>-131768415.598007</v>
      </c>
      <c r="P20" s="0" t="n">
        <f aca="false">(L_S0!V10-L_S1!V10)*D20</f>
        <v>-2139.5923675441</v>
      </c>
    </row>
    <row r="21" customFormat="false" ht="15" hidden="false" customHeight="false" outlineLevel="0" collapsed="false">
      <c r="A21" s="0" t="n">
        <v>2034</v>
      </c>
      <c r="B21" s="0" t="n">
        <v>8</v>
      </c>
      <c r="C21" s="0" t="n">
        <f aca="false">IF(B21&lt;x_H,(1+x_dk)^(-B21),0)</f>
        <v>0.676839362028687</v>
      </c>
      <c r="D21" s="0" t="n">
        <f aca="false">IF(B21&lt;x_H,(1+x_de)^(-B21),0)</f>
        <v>0.759411556216251</v>
      </c>
      <c r="E21" s="0" t="n">
        <f aca="false">(L_S0!AO11-L_S1!AO11)*C21</f>
        <v>-12502245.132689</v>
      </c>
      <c r="F21" s="0" t="n">
        <f aca="false">(L_S0!AP11-L_S1!AP11)*C21</f>
        <v>64567358.0583802</v>
      </c>
      <c r="G21" s="0" t="n">
        <f aca="false">(L_S0!AQ11-L_S1!AQ11)*C21</f>
        <v>72836836.4035623</v>
      </c>
      <c r="H21" s="0" t="n">
        <f aca="false">(L_S0!AS11-L_S1!AS11)*C21</f>
        <v>-93291089.2097961</v>
      </c>
      <c r="I21" s="0" t="n">
        <f aca="false">I20+E21</f>
        <v>-628916684.47533</v>
      </c>
      <c r="J21" s="0" t="n">
        <f aca="false">J20+F21</f>
        <v>-257702615.712122</v>
      </c>
      <c r="K21" s="0" t="n">
        <f aca="false">K20+G21</f>
        <v>-248785469.523332</v>
      </c>
      <c r="L21" s="0" t="n">
        <f aca="false">MAX(L20,J21)</f>
        <v>-124718362.89077</v>
      </c>
      <c r="M21" s="0" t="n">
        <f aca="false">IF(AND(B21&lt;x_H,J21&lt;=0,L20&gt;0),1,0)</f>
        <v>0</v>
      </c>
      <c r="N21" s="0" t="n">
        <f aca="false">IF(AND(B21&lt;x_H,I21&lt;=0,O20&gt;0),1,0)</f>
        <v>0</v>
      </c>
      <c r="O21" s="0" t="n">
        <f aca="false">MAX(O20,I21)</f>
        <v>-131768415.598007</v>
      </c>
      <c r="P21" s="0" t="n">
        <f aca="false">(L_S0!V11-L_S1!V11)*D21</f>
        <v>-2389.50440927712</v>
      </c>
    </row>
    <row r="22" customFormat="false" ht="15" hidden="false" customHeight="false" outlineLevel="0" collapsed="false">
      <c r="A22" s="0" t="n">
        <v>2035</v>
      </c>
      <c r="B22" s="0" t="n">
        <v>9</v>
      </c>
      <c r="C22" s="0" t="n">
        <f aca="false">IF(B22&lt;x_H,(1+x_dk)^(-B22),0)</f>
        <v>0.644608916217797</v>
      </c>
      <c r="D22" s="0" t="n">
        <f aca="false">IF(B22&lt;x_H,(1+x_de)^(-B22),0)</f>
        <v>0.733730972189614</v>
      </c>
      <c r="E22" s="0" t="n">
        <f aca="false">(L_S0!AO12-L_S1!AO12)*C22</f>
        <v>-238135.3958455</v>
      </c>
      <c r="F22" s="0" t="n">
        <f aca="false">(L_S0!AP12-L_S1!AP12)*C22</f>
        <v>86249716.9364007</v>
      </c>
      <c r="G22" s="0" t="n">
        <f aca="false">(L_S0!AQ12-L_S1!AQ12)*C22</f>
        <v>98312066.6637211</v>
      </c>
      <c r="H22" s="0" t="n">
        <f aca="false">(L_S0!AS12-L_S1!AS12)*C22</f>
        <v>-88848656.390282</v>
      </c>
      <c r="I22" s="0" t="n">
        <f aca="false">I21+E22</f>
        <v>-629154819.871176</v>
      </c>
      <c r="J22" s="0" t="n">
        <f aca="false">J21+F22</f>
        <v>-171452898.775721</v>
      </c>
      <c r="K22" s="0" t="n">
        <f aca="false">K21+G22</f>
        <v>-150473402.859611</v>
      </c>
      <c r="L22" s="0" t="n">
        <f aca="false">MAX(L21,J22)</f>
        <v>-124718362.89077</v>
      </c>
      <c r="M22" s="0" t="n">
        <f aca="false">IF(AND(B22&lt;x_H,J22&lt;=0,L21&gt;0),1,0)</f>
        <v>0</v>
      </c>
      <c r="N22" s="0" t="n">
        <f aca="false">IF(AND(B22&lt;x_H,I22&lt;=0,O21&gt;0),1,0)</f>
        <v>0</v>
      </c>
      <c r="O22" s="0" t="n">
        <f aca="false">MAX(O21,I22)</f>
        <v>-131768415.598007</v>
      </c>
      <c r="P22" s="0" t="n">
        <f aca="false">(L_S0!V12-L_S1!V12)*D22</f>
        <v>-2637.56473765917</v>
      </c>
    </row>
    <row r="23" customFormat="false" ht="15" hidden="false" customHeight="false" outlineLevel="0" collapsed="false">
      <c r="A23" s="0" t="n">
        <v>2036</v>
      </c>
      <c r="B23" s="0" t="n">
        <v>10</v>
      </c>
      <c r="C23" s="0" t="n">
        <f aca="false">IF(B23&lt;x_H,(1+x_dk)^(-B23),0)</f>
        <v>0.613913253540759</v>
      </c>
      <c r="D23" s="0" t="n">
        <f aca="false">IF(B23&lt;x_H,(1+x_de)^(-B23),0)</f>
        <v>0.708918813709772</v>
      </c>
      <c r="E23" s="0" t="n">
        <f aca="false">(L_S0!AO13-L_S1!AO13)*C23</f>
        <v>11236645.5461674</v>
      </c>
      <c r="F23" s="0" t="n">
        <f aca="false">(L_S0!AP13-L_S1!AP13)*C23</f>
        <v>107182074.761795</v>
      </c>
      <c r="G23" s="0" t="n">
        <f aca="false">(L_S0!AQ13-L_S1!AQ13)*C23</f>
        <v>123570606.841063</v>
      </c>
      <c r="H23" s="0" t="n">
        <f aca="false">(L_S0!AS13-L_S1!AS13)*C23</f>
        <v>-84617767.9907448</v>
      </c>
      <c r="I23" s="0" t="n">
        <f aca="false">I22+E23</f>
        <v>-617918174.325008</v>
      </c>
      <c r="J23" s="0" t="n">
        <f aca="false">J22+F23</f>
        <v>-64270824.013926</v>
      </c>
      <c r="K23" s="0" t="n">
        <f aca="false">K22+G23</f>
        <v>-26902796.0185485</v>
      </c>
      <c r="L23" s="0" t="n">
        <f aca="false">MAX(L22,J23)</f>
        <v>-64270824.013926</v>
      </c>
      <c r="M23" s="0" t="n">
        <f aca="false">IF(AND(B23&lt;x_H,J23&lt;=0,L22&gt;0),1,0)</f>
        <v>0</v>
      </c>
      <c r="N23" s="0" t="n">
        <f aca="false">IF(AND(B23&lt;x_H,I23&lt;=0,O22&gt;0),1,0)</f>
        <v>0</v>
      </c>
      <c r="O23" s="0" t="n">
        <f aca="false">MAX(O22,I23)</f>
        <v>-131768415.598007</v>
      </c>
      <c r="P23" s="0" t="n">
        <f aca="false">(L_S0!V13-L_S1!V13)*D23</f>
        <v>-2882.55251139565</v>
      </c>
    </row>
    <row r="24" customFormat="false" ht="15" hidden="false" customHeight="false" outlineLevel="0" collapsed="false">
      <c r="A24" s="0" t="n">
        <v>2037</v>
      </c>
      <c r="B24" s="0" t="n">
        <v>11</v>
      </c>
      <c r="C24" s="0" t="n">
        <f aca="false">IF(B24&lt;x_H,(1+x_dk)^(-B24),0)</f>
        <v>0.584679289086437</v>
      </c>
      <c r="D24" s="0" t="n">
        <f aca="false">IF(B24&lt;x_H,(1+x_de)^(-B24),0)</f>
        <v>0.684945713729249</v>
      </c>
      <c r="E24" s="0" t="n">
        <f aca="false">(L_S0!AO14-L_S1!AO14)*C24</f>
        <v>21873415.8422805</v>
      </c>
      <c r="F24" s="0" t="n">
        <f aca="false">(L_S0!AP14-L_S1!AP14)*C24</f>
        <v>127258968.678782</v>
      </c>
      <c r="G24" s="0" t="n">
        <f aca="false">(L_S0!AQ14-L_S1!AQ14)*C24</f>
        <v>148455709.024476</v>
      </c>
      <c r="H24" s="0" t="n">
        <f aca="false">(L_S0!AS14-L_S1!AS14)*C24</f>
        <v>-80588350.467376</v>
      </c>
      <c r="I24" s="0" t="n">
        <f aca="false">I23+E24</f>
        <v>-596044758.482728</v>
      </c>
      <c r="J24" s="0" t="n">
        <f aca="false">J23+F24</f>
        <v>62988144.6648564</v>
      </c>
      <c r="K24" s="0" t="n">
        <f aca="false">K23+G24</f>
        <v>121552913.005928</v>
      </c>
      <c r="L24" s="0" t="n">
        <f aca="false">MAX(L23,J24)</f>
        <v>62988144.6648564</v>
      </c>
      <c r="M24" s="0" t="n">
        <f aca="false">IF(AND(B24&lt;x_H,J24&lt;=0,L23&gt;0),1,0)</f>
        <v>0</v>
      </c>
      <c r="N24" s="0" t="n">
        <f aca="false">IF(AND(B24&lt;x_H,I24&lt;=0,O23&gt;0),1,0)</f>
        <v>0</v>
      </c>
      <c r="O24" s="0" t="n">
        <f aca="false">MAX(O23,I24)</f>
        <v>-131768415.598007</v>
      </c>
      <c r="P24" s="0" t="n">
        <f aca="false">(L_S0!V14-L_S1!V14)*D24</f>
        <v>-3123.08738061416</v>
      </c>
    </row>
    <row r="25" customFormat="false" ht="15" hidden="false" customHeight="false" outlineLevel="0" collapsed="false">
      <c r="A25" s="0" t="n">
        <v>2038</v>
      </c>
      <c r="B25" s="0" t="n">
        <v>12</v>
      </c>
      <c r="C25" s="0" t="n">
        <f aca="false">IF(B25&lt;x_H,(1+x_dk)^(-B25),0)</f>
        <v>0.556837418177559</v>
      </c>
      <c r="D25" s="0" t="n">
        <f aca="false">IF(B25&lt;x_H,(1+x_de)^(-B25),0)</f>
        <v>0.661783298289129</v>
      </c>
      <c r="E25" s="0" t="n">
        <f aca="false">(L_S0!AO15-L_S1!AO15)*C25</f>
        <v>31634524.2535831</v>
      </c>
      <c r="F25" s="0" t="n">
        <f aca="false">(L_S0!AP15-L_S1!AP15)*C25</f>
        <v>115232909.081858</v>
      </c>
      <c r="G25" s="0" t="n">
        <f aca="false">(L_S0!AQ15-L_S1!AQ15)*C25</f>
        <v>129603806.204829</v>
      </c>
      <c r="H25" s="0" t="n">
        <f aca="false">(L_S0!AS15-L_S1!AS15)*C25</f>
        <v>-76750809.9689295</v>
      </c>
      <c r="I25" s="0" t="n">
        <f aca="false">I24+E25</f>
        <v>-564410234.229145</v>
      </c>
      <c r="J25" s="0" t="n">
        <f aca="false">J24+F25</f>
        <v>178221053.746714</v>
      </c>
      <c r="K25" s="0" t="n">
        <f aca="false">K24+G25</f>
        <v>251156719.210757</v>
      </c>
      <c r="L25" s="0" t="n">
        <f aca="false">MAX(L24,J25)</f>
        <v>178221053.746714</v>
      </c>
      <c r="M25" s="0" t="n">
        <f aca="false">IF(AND(B25&lt;x_H,J25&lt;=0,L24&gt;0),1,0)</f>
        <v>0</v>
      </c>
      <c r="N25" s="0" t="n">
        <f aca="false">IF(AND(B25&lt;x_H,I25&lt;=0,O24&gt;0),1,0)</f>
        <v>0</v>
      </c>
      <c r="O25" s="0" t="n">
        <f aca="false">MAX(O24,I25)</f>
        <v>-131768415.598007</v>
      </c>
      <c r="P25" s="0" t="n">
        <f aca="false">(L_S0!V15-L_S1!V15)*D25</f>
        <v>-3357.68727339636</v>
      </c>
    </row>
    <row r="26" customFormat="false" ht="15" hidden="false" customHeight="false" outlineLevel="0" collapsed="false">
      <c r="A26" s="0" t="n">
        <v>2039</v>
      </c>
      <c r="B26" s="0" t="n">
        <v>13</v>
      </c>
      <c r="C26" s="0" t="n">
        <f aca="false">IF(B26&lt;x_H,(1+x_dk)^(-B26),0)</f>
        <v>0.530321350645295</v>
      </c>
      <c r="D26" s="0" t="n">
        <f aca="false">IF(B26&lt;x_H,(1+x_de)^(-B26),0)</f>
        <v>0.639404152936357</v>
      </c>
      <c r="E26" s="0" t="n">
        <f aca="false">(L_S0!AO16-L_S1!AO16)*C26</f>
        <v>40492514.8111994</v>
      </c>
      <c r="F26" s="0" t="n">
        <f aca="false">(L_S0!AP16-L_S1!AP16)*C26</f>
        <v>101533596.157116</v>
      </c>
      <c r="G26" s="0" t="n">
        <f aca="false">(L_S0!AQ16-L_S1!AQ16)*C26</f>
        <v>107942981.046993</v>
      </c>
      <c r="H26" s="0" t="n">
        <f aca="false">(L_S0!AS16-L_S1!AS16)*C26</f>
        <v>-73096009.4942186</v>
      </c>
      <c r="I26" s="0" t="n">
        <f aca="false">I25+E26</f>
        <v>-523917719.417945</v>
      </c>
      <c r="J26" s="0" t="n">
        <f aca="false">J25+F26</f>
        <v>279754649.90383</v>
      </c>
      <c r="K26" s="0" t="n">
        <f aca="false">K25+G26</f>
        <v>359099700.25775</v>
      </c>
      <c r="L26" s="0" t="n">
        <f aca="false">MAX(L25,J26)</f>
        <v>279754649.90383</v>
      </c>
      <c r="M26" s="0" t="n">
        <f aca="false">IF(AND(B26&lt;x_H,J26&lt;=0,L25&gt;0),1,0)</f>
        <v>0</v>
      </c>
      <c r="N26" s="0" t="n">
        <f aca="false">IF(AND(B26&lt;x_H,I26&lt;=0,O25&gt;0),1,0)</f>
        <v>0</v>
      </c>
      <c r="O26" s="0" t="n">
        <f aca="false">MAX(O25,I26)</f>
        <v>-131768415.598007</v>
      </c>
      <c r="P26" s="0" t="n">
        <f aca="false">(L_S0!V16-L_S1!V16)*D26</f>
        <v>-3584.78293740097</v>
      </c>
    </row>
    <row r="27" customFormat="false" ht="15" hidden="false" customHeight="false" outlineLevel="0" collapsed="false">
      <c r="A27" s="0" t="n">
        <v>2040</v>
      </c>
      <c r="B27" s="0" t="n">
        <v>14</v>
      </c>
      <c r="C27" s="0" t="n">
        <f aca="false">IF(B27&lt;x_H,(1+x_dk)^(-B27),0)</f>
        <v>0.505067952995519</v>
      </c>
      <c r="D27" s="0" t="n">
        <f aca="false">IF(B27&lt;x_H,(1+x_de)^(-B27),0)</f>
        <v>0.617781790276673</v>
      </c>
      <c r="E27" s="0" t="n">
        <f aca="false">(L_S0!AO17-L_S1!AO17)*C27</f>
        <v>48435329.2551112</v>
      </c>
      <c r="F27" s="0" t="n">
        <f aca="false">(L_S0!AP17-L_S1!AP17)*C27</f>
        <v>114475933.538322</v>
      </c>
      <c r="G27" s="0" t="n">
        <f aca="false">(L_S0!AQ17-L_S1!AQ17)*C27</f>
        <v>122694937.891763</v>
      </c>
      <c r="H27" s="0" t="n">
        <f aca="false">(L_S0!AS17-L_S1!AS17)*C27</f>
        <v>-69615247.137351</v>
      </c>
      <c r="I27" s="0" t="n">
        <f aca="false">I26+E27</f>
        <v>-475482390.162834</v>
      </c>
      <c r="J27" s="0" t="n">
        <f aca="false">J26+F27</f>
        <v>394230583.442152</v>
      </c>
      <c r="K27" s="0" t="n">
        <f aca="false">K26+G27</f>
        <v>481794638.149513</v>
      </c>
      <c r="L27" s="0" t="n">
        <f aca="false">MAX(L26,J27)</f>
        <v>394230583.442152</v>
      </c>
      <c r="M27" s="0" t="n">
        <f aca="false">IF(AND(B27&lt;x_H,J27&lt;=0,L26&gt;0),1,0)</f>
        <v>0</v>
      </c>
      <c r="N27" s="0" t="n">
        <f aca="false">IF(AND(B27&lt;x_H,I27&lt;=0,O26&gt;0),1,0)</f>
        <v>0</v>
      </c>
      <c r="O27" s="0" t="n">
        <f aca="false">MAX(O26,I27)</f>
        <v>-131768415.598007</v>
      </c>
      <c r="P27" s="0" t="n">
        <f aca="false">(L_S0!V17-L_S1!V17)*D27</f>
        <v>-3802.90654880489</v>
      </c>
    </row>
    <row r="28" customFormat="false" ht="15" hidden="false" customHeight="false" outlineLevel="0" collapsed="false">
      <c r="A28" s="0" t="n">
        <v>2041</v>
      </c>
      <c r="B28" s="0" t="n">
        <v>15</v>
      </c>
      <c r="C28" s="0" t="n">
        <f aca="false">IF(B28&lt;x_H,(1+x_dk)^(-B28),0)</f>
        <v>0.48101709809097</v>
      </c>
      <c r="D28" s="0" t="n">
        <f aca="false">IF(B28&lt;x_H,(1+x_de)^(-B28),0)</f>
        <v>0.596890618624805</v>
      </c>
      <c r="E28" s="0" t="n">
        <f aca="false">(L_S0!AO18-L_S1!AO18)*C28</f>
        <v>55468333.45088</v>
      </c>
      <c r="F28" s="0" t="n">
        <f aca="false">(L_S0!AP18-L_S1!AP18)*C28</f>
        <v>126477812.563</v>
      </c>
      <c r="G28" s="0" t="n">
        <f aca="false">(L_S0!AQ18-L_S1!AQ18)*C28</f>
        <v>136698198.888815</v>
      </c>
      <c r="H28" s="0" t="n">
        <f aca="false">(L_S0!AS18-L_S1!AS18)*C28</f>
        <v>-66300235.3689057</v>
      </c>
      <c r="I28" s="0" t="n">
        <f aca="false">I27+E28</f>
        <v>-420014056.711954</v>
      </c>
      <c r="J28" s="0" t="n">
        <f aca="false">J27+F28</f>
        <v>520708396.005152</v>
      </c>
      <c r="K28" s="0" t="n">
        <f aca="false">K27+G28</f>
        <v>618492837.038328</v>
      </c>
      <c r="L28" s="0" t="n">
        <f aca="false">MAX(L27,J28)</f>
        <v>520708396.005152</v>
      </c>
      <c r="M28" s="0" t="n">
        <f aca="false">IF(AND(B28&lt;x_H,J28&lt;=0,L27&gt;0),1,0)</f>
        <v>0</v>
      </c>
      <c r="N28" s="0" t="n">
        <f aca="false">IF(AND(B28&lt;x_H,I28&lt;=0,O27&gt;0),1,0)</f>
        <v>0</v>
      </c>
      <c r="O28" s="0" t="n">
        <f aca="false">MAX(O27,I28)</f>
        <v>-131768415.598007</v>
      </c>
      <c r="P28" s="0" t="n">
        <f aca="false">(L_S0!V18-L_S1!V18)*D28</f>
        <v>-4010.90440191083</v>
      </c>
    </row>
    <row r="29" customFormat="false" ht="15" hidden="false" customHeight="false" outlineLevel="0" collapsed="false">
      <c r="A29" s="0" t="n">
        <v>2042</v>
      </c>
      <c r="B29" s="0" t="n">
        <v>16</v>
      </c>
      <c r="C29" s="0" t="n">
        <f aca="false">IF(B29&lt;x_H,(1+x_dk)^(-B29),0)</f>
        <v>0.4581115219914</v>
      </c>
      <c r="D29" s="0" t="n">
        <f aca="false">IF(B29&lt;x_H,(1+x_de)^(-B29),0)</f>
        <v>0.576705911714788</v>
      </c>
      <c r="E29" s="0" t="n">
        <f aca="false">(L_S0!AO19-L_S1!AO19)*C29</f>
        <v>61606108.8088041</v>
      </c>
      <c r="F29" s="0" t="n">
        <f aca="false">(L_S0!AP19-L_S1!AP19)*C29</f>
        <v>137546187.374375</v>
      </c>
      <c r="G29" s="0" t="n">
        <f aca="false">(L_S0!AQ19-L_S1!AQ19)*C29</f>
        <v>149956222.429982</v>
      </c>
      <c r="H29" s="0" t="n">
        <f aca="false">(L_S0!AS19-L_S1!AS19)*C29</f>
        <v>-63143081.3037197</v>
      </c>
      <c r="I29" s="0" t="n">
        <f aca="false">I28+E29</f>
        <v>-358407947.90315</v>
      </c>
      <c r="J29" s="0" t="n">
        <f aca="false">J28+F29</f>
        <v>658254583.379527</v>
      </c>
      <c r="K29" s="0" t="n">
        <f aca="false">K28+G29</f>
        <v>768449059.46831</v>
      </c>
      <c r="L29" s="0" t="n">
        <f aca="false">MAX(L28,J29)</f>
        <v>658254583.379527</v>
      </c>
      <c r="M29" s="0" t="n">
        <f aca="false">IF(AND(B29&lt;x_H,J29&lt;=0,L28&gt;0),1,0)</f>
        <v>0</v>
      </c>
      <c r="N29" s="0" t="n">
        <f aca="false">IF(AND(B29&lt;x_H,I29&lt;=0,O28&gt;0),1,0)</f>
        <v>0</v>
      </c>
      <c r="O29" s="0" t="n">
        <f aca="false">MAX(O28,I29)</f>
        <v>-131768415.598007</v>
      </c>
      <c r="P29" s="0" t="n">
        <f aca="false">(L_S0!V19-L_S1!V19)*D29</f>
        <v>-4206.89546077403</v>
      </c>
    </row>
    <row r="30" customFormat="false" ht="15" hidden="false" customHeight="false" outlineLevel="0" collapsed="false">
      <c r="A30" s="0" t="n">
        <v>2043</v>
      </c>
      <c r="B30" s="0" t="n">
        <v>17</v>
      </c>
      <c r="C30" s="0" t="n">
        <f aca="false">IF(B30&lt;x_H,(1+x_dk)^(-B30),0)</f>
        <v>0.436296687610857</v>
      </c>
      <c r="D30" s="0" t="n">
        <f aca="false">IF(B30&lt;x_H,(1+x_de)^(-B30),0)</f>
        <v>0.557203779434577</v>
      </c>
      <c r="E30" s="0" t="n">
        <f aca="false">(L_S0!AO20-L_S1!AO20)*C30</f>
        <v>66915566.737144</v>
      </c>
      <c r="F30" s="0" t="n">
        <f aca="false">(L_S0!AP20-L_S1!AP20)*C30</f>
        <v>147741847.41788</v>
      </c>
      <c r="G30" s="0" t="n">
        <f aca="false">(L_S0!AQ20-L_S1!AQ20)*C30</f>
        <v>162525216.124034</v>
      </c>
      <c r="H30" s="0" t="n">
        <f aca="false">(L_S0!AS20-L_S1!AS20)*C30</f>
        <v>-60136267.9083045</v>
      </c>
      <c r="I30" s="0" t="n">
        <f aca="false">I29+E30</f>
        <v>-291492381.166006</v>
      </c>
      <c r="J30" s="0" t="n">
        <f aca="false">J29+F30</f>
        <v>805996430.797407</v>
      </c>
      <c r="K30" s="0" t="n">
        <f aca="false">K29+G30</f>
        <v>930974275.592344</v>
      </c>
      <c r="L30" s="0" t="n">
        <f aca="false">MAX(L29,J30)</f>
        <v>805996430.797407</v>
      </c>
      <c r="M30" s="0" t="n">
        <f aca="false">IF(AND(B30&lt;x_H,J30&lt;=0,L29&gt;0),1,0)</f>
        <v>0</v>
      </c>
      <c r="N30" s="0" t="n">
        <f aca="false">IF(AND(B30&lt;x_H,I30&lt;=0,O29&gt;0),1,0)</f>
        <v>0</v>
      </c>
      <c r="O30" s="0" t="n">
        <f aca="false">MAX(O29,I30)</f>
        <v>-131768415.598007</v>
      </c>
      <c r="P30" s="0" t="n">
        <f aca="false">(L_S0!V20-L_S1!V20)*D30</f>
        <v>-4392.10307101511</v>
      </c>
    </row>
    <row r="31" customFormat="false" ht="15" hidden="false" customHeight="false" outlineLevel="0" collapsed="false">
      <c r="A31" s="0" t="n">
        <v>2044</v>
      </c>
      <c r="B31" s="0" t="n">
        <v>18</v>
      </c>
      <c r="C31" s="0" t="n">
        <f aca="false">IF(B31&lt;x_H,(1+x_dk)^(-B31),0)</f>
        <v>0.415520654867483</v>
      </c>
      <c r="D31" s="0" t="n">
        <f aca="false">IF(B31&lt;x_H,(1+x_de)^(-B31),0)</f>
        <v>0.538361139550316</v>
      </c>
      <c r="E31" s="0" t="n">
        <f aca="false">(L_S0!AO21-L_S1!AO21)*C31</f>
        <v>71465102.1585618</v>
      </c>
      <c r="F31" s="0" t="n">
        <f aca="false">(L_S0!AP21-L_S1!AP21)*C31</f>
        <v>157128567.143602</v>
      </c>
      <c r="G31" s="0" t="n">
        <f aca="false">(L_S0!AQ21-L_S1!AQ21)*C31</f>
        <v>174463604.100279</v>
      </c>
      <c r="H31" s="0" t="n">
        <f aca="false">(L_S0!AS21-L_S1!AS21)*C31</f>
        <v>-57272636.1031471</v>
      </c>
      <c r="I31" s="0" t="n">
        <f aca="false">I30+E31</f>
        <v>-220027279.007444</v>
      </c>
      <c r="J31" s="0" t="n">
        <f aca="false">J30+F31</f>
        <v>963124997.941009</v>
      </c>
      <c r="K31" s="0" t="n">
        <f aca="false">K30+G31</f>
        <v>1105437879.69262</v>
      </c>
      <c r="L31" s="0" t="n">
        <f aca="false">MAX(L30,J31)</f>
        <v>963124997.941009</v>
      </c>
      <c r="M31" s="0" t="n">
        <f aca="false">IF(AND(B31&lt;x_H,J31&lt;=0,L30&gt;0),1,0)</f>
        <v>0</v>
      </c>
      <c r="N31" s="0" t="n">
        <f aca="false">IF(AND(B31&lt;x_H,I31&lt;=0,O30&gt;0),1,0)</f>
        <v>0</v>
      </c>
      <c r="O31" s="0" t="n">
        <f aca="false">MAX(O30,I31)</f>
        <v>-131768415.598007</v>
      </c>
      <c r="P31" s="0" t="n">
        <f aca="false">(L_S0!V21-L_S1!V21)*D31</f>
        <v>-4567.56465689507</v>
      </c>
    </row>
    <row r="32" customFormat="false" ht="15" hidden="false" customHeight="false" outlineLevel="0" collapsed="false">
      <c r="A32" s="0" t="n">
        <v>2045</v>
      </c>
      <c r="B32" s="0" t="n">
        <v>19</v>
      </c>
      <c r="C32" s="0" t="n">
        <f aca="false">IF(B32&lt;x_H,(1+x_dk)^(-B32),0)</f>
        <v>0.39573395701665</v>
      </c>
      <c r="D32" s="0" t="n">
        <f aca="false">IF(B32&lt;x_H,(1+x_de)^(-B32),0)</f>
        <v>0.520155690386779</v>
      </c>
      <c r="E32" s="0" t="n">
        <f aca="false">(L_S0!AO22-L_S1!AO22)*C32</f>
        <v>75314367.0137591</v>
      </c>
      <c r="F32" s="0" t="n">
        <f aca="false">(L_S0!AP22-L_S1!AP22)*C32</f>
        <v>165761290.28972</v>
      </c>
      <c r="G32" s="0" t="n">
        <f aca="false">(L_S0!AQ22-L_S1!AQ22)*C32</f>
        <v>185819653.905753</v>
      </c>
      <c r="H32" s="0" t="n">
        <f aca="false">(L_S0!AS22-L_S1!AS22)*C32</f>
        <v>-54545367.717283</v>
      </c>
      <c r="I32" s="0" t="n">
        <f aca="false">I31+E32</f>
        <v>-144712911.993685</v>
      </c>
      <c r="J32" s="0" t="n">
        <f aca="false">J31+F32</f>
        <v>1128886288.23073</v>
      </c>
      <c r="K32" s="0" t="n">
        <f aca="false">K31+G32</f>
        <v>1291257533.59838</v>
      </c>
      <c r="L32" s="0" t="n">
        <f aca="false">MAX(L31,J32)</f>
        <v>1128886288.23073</v>
      </c>
      <c r="M32" s="0" t="n">
        <f aca="false">IF(AND(B32&lt;x_H,J32&lt;=0,L31&gt;0),1,0)</f>
        <v>0</v>
      </c>
      <c r="N32" s="0" t="n">
        <f aca="false">IF(AND(B32&lt;x_H,I32&lt;=0,O31&gt;0),1,0)</f>
        <v>0</v>
      </c>
      <c r="O32" s="0" t="n">
        <f aca="false">MAX(O31,I32)</f>
        <v>-131768415.598007</v>
      </c>
      <c r="P32" s="0" t="n">
        <f aca="false">(L_S0!V22-L_S1!V22)*D32</f>
        <v>-4732.20221898264</v>
      </c>
    </row>
    <row r="33" customFormat="false" ht="15" hidden="false" customHeight="false" outlineLevel="0" collapsed="false">
      <c r="A33" s="0" t="n">
        <v>2046</v>
      </c>
      <c r="B33" s="0" t="n">
        <v>20</v>
      </c>
      <c r="C33" s="0" t="n">
        <f aca="false">IF(B33&lt;x_H,(1+x_dk)^(-B33),0)</f>
        <v>0</v>
      </c>
      <c r="D33" s="0" t="n">
        <f aca="false">IF(B33&lt;x_H,(1+x_de)^(-B33),0)</f>
        <v>0</v>
      </c>
      <c r="E33" s="0" t="n">
        <f aca="false">(L_S0!AO23-L_S1!AO23)*C33</f>
        <v>0</v>
      </c>
      <c r="F33" s="0" t="n">
        <f aca="false">(L_S0!AP23-L_S1!AP23)*C33</f>
        <v>0</v>
      </c>
      <c r="G33" s="0" t="n">
        <f aca="false">(L_S0!AQ23-L_S1!AQ23)*C33</f>
        <v>0</v>
      </c>
      <c r="H33" s="0" t="n">
        <f aca="false">(L_S0!AS23-L_S1!AS23)*C33</f>
        <v>-0</v>
      </c>
      <c r="I33" s="0" t="n">
        <f aca="false">I32+E33</f>
        <v>-144712911.993685</v>
      </c>
      <c r="J33" s="0" t="n">
        <f aca="false">J32+F33</f>
        <v>1128886288.23073</v>
      </c>
      <c r="K33" s="0" t="n">
        <f aca="false">K32+G33</f>
        <v>1291257533.59838</v>
      </c>
      <c r="L33" s="0" t="n">
        <f aca="false">MAX(L32,J33)</f>
        <v>1128886288.23073</v>
      </c>
      <c r="M33" s="0" t="n">
        <f aca="false">IF(AND(B33&lt;x_H,J33&lt;=0,L32&gt;0),1,0)</f>
        <v>0</v>
      </c>
      <c r="N33" s="0" t="n">
        <f aca="false">IF(AND(B33&lt;x_H,I33&lt;=0,O32&gt;0),1,0)</f>
        <v>0</v>
      </c>
      <c r="O33" s="0" t="n">
        <f aca="false">MAX(O32,I33)</f>
        <v>-131768415.598007</v>
      </c>
      <c r="P33" s="0" t="n">
        <f aca="false">(L_S0!V23-L_S1!V23)*D33</f>
        <v>-0</v>
      </c>
    </row>
    <row r="34" customFormat="false" ht="15" hidden="false" customHeight="false" outlineLevel="0" collapsed="false">
      <c r="A34" s="0" t="n">
        <v>2047</v>
      </c>
      <c r="B34" s="0" t="n">
        <v>21</v>
      </c>
      <c r="C34" s="0" t="n">
        <f aca="false">IF(B34&lt;x_H,(1+x_dk)^(-B34),0)</f>
        <v>0</v>
      </c>
      <c r="D34" s="0" t="n">
        <f aca="false">IF(B34&lt;x_H,(1+x_de)^(-B34),0)</f>
        <v>0</v>
      </c>
      <c r="E34" s="0" t="n">
        <f aca="false">(L_S0!AO24-L_S1!AO24)*C34</f>
        <v>0</v>
      </c>
      <c r="F34" s="0" t="n">
        <f aca="false">(L_S0!AP24-L_S1!AP24)*C34</f>
        <v>0</v>
      </c>
      <c r="G34" s="0" t="n">
        <f aca="false">(L_S0!AQ24-L_S1!AQ24)*C34</f>
        <v>0</v>
      </c>
      <c r="H34" s="0" t="n">
        <f aca="false">(L_S0!AS24-L_S1!AS24)*C34</f>
        <v>-0</v>
      </c>
      <c r="I34" s="0" t="n">
        <f aca="false">I33+E34</f>
        <v>-144712911.993685</v>
      </c>
      <c r="J34" s="0" t="n">
        <f aca="false">J33+F34</f>
        <v>1128886288.23073</v>
      </c>
      <c r="K34" s="0" t="n">
        <f aca="false">K33+G34</f>
        <v>1291257533.59838</v>
      </c>
      <c r="L34" s="0" t="n">
        <f aca="false">MAX(L33,J34)</f>
        <v>1128886288.23073</v>
      </c>
      <c r="M34" s="0" t="n">
        <f aca="false">IF(AND(B34&lt;x_H,J34&lt;=0,L33&gt;0),1,0)</f>
        <v>0</v>
      </c>
      <c r="N34" s="0" t="n">
        <f aca="false">IF(AND(B34&lt;x_H,I34&lt;=0,O33&gt;0),1,0)</f>
        <v>0</v>
      </c>
      <c r="O34" s="0" t="n">
        <f aca="false">MAX(O33,I34)</f>
        <v>-131768415.598007</v>
      </c>
      <c r="P34" s="0" t="n">
        <f aca="false">(L_S0!V24-L_S1!V24)*D34</f>
        <v>-0</v>
      </c>
    </row>
    <row r="35" customFormat="false" ht="15" hidden="false" customHeight="false" outlineLevel="0" collapsed="false">
      <c r="A35" s="0" t="n">
        <v>2048</v>
      </c>
      <c r="B35" s="0" t="n">
        <v>22</v>
      </c>
      <c r="C35" s="0" t="n">
        <f aca="false">IF(B35&lt;x_H,(1+x_dk)^(-B35),0)</f>
        <v>0</v>
      </c>
      <c r="D35" s="0" t="n">
        <f aca="false">IF(B35&lt;x_H,(1+x_de)^(-B35),0)</f>
        <v>0</v>
      </c>
      <c r="E35" s="0" t="n">
        <f aca="false">(L_S0!AO25-L_S1!AO25)*C35</f>
        <v>0</v>
      </c>
      <c r="F35" s="0" t="n">
        <f aca="false">(L_S0!AP25-L_S1!AP25)*C35</f>
        <v>0</v>
      </c>
      <c r="G35" s="0" t="n">
        <f aca="false">(L_S0!AQ25-L_S1!AQ25)*C35</f>
        <v>0</v>
      </c>
      <c r="H35" s="0" t="n">
        <f aca="false">(L_S0!AS25-L_S1!AS25)*C35</f>
        <v>-0</v>
      </c>
      <c r="I35" s="0" t="n">
        <f aca="false">I34+E35</f>
        <v>-144712911.993685</v>
      </c>
      <c r="J35" s="0" t="n">
        <f aca="false">J34+F35</f>
        <v>1128886288.23073</v>
      </c>
      <c r="K35" s="0" t="n">
        <f aca="false">K34+G35</f>
        <v>1291257533.59838</v>
      </c>
      <c r="L35" s="0" t="n">
        <f aca="false">MAX(L34,J35)</f>
        <v>1128886288.23073</v>
      </c>
      <c r="M35" s="0" t="n">
        <f aca="false">IF(AND(B35&lt;x_H,J35&lt;=0,L34&gt;0),1,0)</f>
        <v>0</v>
      </c>
      <c r="N35" s="0" t="n">
        <f aca="false">IF(AND(B35&lt;x_H,I35&lt;=0,O34&gt;0),1,0)</f>
        <v>0</v>
      </c>
      <c r="O35" s="0" t="n">
        <f aca="false">MAX(O34,I35)</f>
        <v>-131768415.598007</v>
      </c>
      <c r="P35" s="0" t="n">
        <f aca="false">(L_S0!V25-L_S1!V25)*D35</f>
        <v>-0</v>
      </c>
    </row>
    <row r="36" customFormat="false" ht="15" hidden="false" customHeight="false" outlineLevel="0" collapsed="false">
      <c r="A36" s="0" t="n">
        <v>2049</v>
      </c>
      <c r="B36" s="0" t="n">
        <v>23</v>
      </c>
      <c r="C36" s="0" t="n">
        <f aca="false">IF(B36&lt;x_H,(1+x_dk)^(-B36),0)</f>
        <v>0</v>
      </c>
      <c r="D36" s="0" t="n">
        <f aca="false">IF(B36&lt;x_H,(1+x_de)^(-B36),0)</f>
        <v>0</v>
      </c>
      <c r="E36" s="0" t="n">
        <f aca="false">(L_S0!AO26-L_S1!AO26)*C36</f>
        <v>0</v>
      </c>
      <c r="F36" s="0" t="n">
        <f aca="false">(L_S0!AP26-L_S1!AP26)*C36</f>
        <v>0</v>
      </c>
      <c r="G36" s="0" t="n">
        <f aca="false">(L_S0!AQ26-L_S1!AQ26)*C36</f>
        <v>0</v>
      </c>
      <c r="H36" s="0" t="n">
        <f aca="false">(L_S0!AS26-L_S1!AS26)*C36</f>
        <v>-0</v>
      </c>
      <c r="I36" s="0" t="n">
        <f aca="false">I35+E36</f>
        <v>-144712911.993685</v>
      </c>
      <c r="J36" s="0" t="n">
        <f aca="false">J35+F36</f>
        <v>1128886288.23073</v>
      </c>
      <c r="K36" s="0" t="n">
        <f aca="false">K35+G36</f>
        <v>1291257533.59838</v>
      </c>
      <c r="L36" s="0" t="n">
        <f aca="false">MAX(L35,J36)</f>
        <v>1128886288.23073</v>
      </c>
      <c r="M36" s="0" t="n">
        <f aca="false">IF(AND(B36&lt;x_H,J36&lt;=0,L35&gt;0),1,0)</f>
        <v>0</v>
      </c>
      <c r="N36" s="0" t="n">
        <f aca="false">IF(AND(B36&lt;x_H,I36&lt;=0,O35&gt;0),1,0)</f>
        <v>0</v>
      </c>
      <c r="O36" s="0" t="n">
        <f aca="false">MAX(O35,I36)</f>
        <v>-131768415.598007</v>
      </c>
      <c r="P36" s="0" t="n">
        <f aca="false">(L_S0!V26-L_S1!V26)*D36</f>
        <v>-0</v>
      </c>
    </row>
    <row r="37" customFormat="false" ht="15" hidden="false" customHeight="false" outlineLevel="0" collapsed="false">
      <c r="A37" s="0" t="n">
        <v>2050</v>
      </c>
      <c r="B37" s="0" t="n">
        <v>24</v>
      </c>
      <c r="C37" s="0" t="n">
        <f aca="false">IF(B37&lt;x_H,(1+x_dk)^(-B37),0)</f>
        <v>0</v>
      </c>
      <c r="D37" s="0" t="n">
        <f aca="false">IF(B37&lt;x_H,(1+x_de)^(-B37),0)</f>
        <v>0</v>
      </c>
      <c r="E37" s="0" t="n">
        <f aca="false">(L_S0!AO27-L_S1!AO27)*C37</f>
        <v>0</v>
      </c>
      <c r="F37" s="0" t="n">
        <f aca="false">(L_S0!AP27-L_S1!AP27)*C37</f>
        <v>0</v>
      </c>
      <c r="G37" s="0" t="n">
        <f aca="false">(L_S0!AQ27-L_S1!AQ27)*C37</f>
        <v>0</v>
      </c>
      <c r="H37" s="0" t="n">
        <f aca="false">(L_S0!AS27-L_S1!AS27)*C37</f>
        <v>-0</v>
      </c>
      <c r="I37" s="0" t="n">
        <f aca="false">I36+E37</f>
        <v>-144712911.993685</v>
      </c>
      <c r="J37" s="0" t="n">
        <f aca="false">J36+F37</f>
        <v>1128886288.23073</v>
      </c>
      <c r="K37" s="0" t="n">
        <f aca="false">K36+G37</f>
        <v>1291257533.59838</v>
      </c>
      <c r="L37" s="0" t="n">
        <f aca="false">MAX(L36,J37)</f>
        <v>1128886288.23073</v>
      </c>
      <c r="M37" s="0" t="n">
        <f aca="false">IF(AND(B37&lt;x_H,J37&lt;=0,L36&gt;0),1,0)</f>
        <v>0</v>
      </c>
      <c r="N37" s="0" t="n">
        <f aca="false">IF(AND(B37&lt;x_H,I37&lt;=0,O36&gt;0),1,0)</f>
        <v>0</v>
      </c>
      <c r="O37" s="0" t="n">
        <f aca="false">MAX(O36,I37)</f>
        <v>-131768415.598007</v>
      </c>
      <c r="P37" s="0" t="n">
        <f aca="false">(L_S0!V27-L_S1!V27)*D37</f>
        <v>-0</v>
      </c>
    </row>
    <row r="38" customFormat="false" ht="15" hidden="false" customHeight="false" outlineLevel="0" collapsed="false">
      <c r="A38" s="0" t="n">
        <v>2051</v>
      </c>
      <c r="B38" s="0" t="n">
        <v>25</v>
      </c>
      <c r="C38" s="0" t="n">
        <f aca="false">IF(B38&lt;x_H,(1+x_dk)^(-B38),0)</f>
        <v>0</v>
      </c>
      <c r="D38" s="0" t="n">
        <f aca="false">IF(B38&lt;x_H,(1+x_de)^(-B38),0)</f>
        <v>0</v>
      </c>
      <c r="E38" s="0" t="n">
        <f aca="false">(L_S0!AO28-L_S1!AO28)*C38</f>
        <v>0</v>
      </c>
      <c r="F38" s="0" t="n">
        <f aca="false">(L_S0!AP28-L_S1!AP28)*C38</f>
        <v>0</v>
      </c>
      <c r="G38" s="0" t="n">
        <f aca="false">(L_S0!AQ28-L_S1!AQ28)*C38</f>
        <v>0</v>
      </c>
      <c r="H38" s="0" t="n">
        <f aca="false">(L_S0!AS28-L_S1!AS28)*C38</f>
        <v>-0</v>
      </c>
      <c r="I38" s="0" t="n">
        <f aca="false">I37+E38</f>
        <v>-144712911.993685</v>
      </c>
      <c r="J38" s="0" t="n">
        <f aca="false">J37+F38</f>
        <v>1128886288.23073</v>
      </c>
      <c r="K38" s="0" t="n">
        <f aca="false">K37+G38</f>
        <v>1291257533.59838</v>
      </c>
      <c r="L38" s="0" t="n">
        <f aca="false">MAX(L37,J38)</f>
        <v>1128886288.23073</v>
      </c>
      <c r="M38" s="0" t="n">
        <f aca="false">IF(AND(B38&lt;x_H,J38&lt;=0,L37&gt;0),1,0)</f>
        <v>0</v>
      </c>
      <c r="N38" s="0" t="n">
        <f aca="false">IF(AND(B38&lt;x_H,I38&lt;=0,O37&gt;0),1,0)</f>
        <v>0</v>
      </c>
      <c r="O38" s="0" t="n">
        <f aca="false">MAX(O37,I38)</f>
        <v>-131768415.598007</v>
      </c>
      <c r="P38" s="0" t="n">
        <f aca="false">(L_S0!V28-L_S1!V28)*D38</f>
        <v>-0</v>
      </c>
    </row>
    <row r="39" customFormat="false" ht="15" hidden="false" customHeight="false" outlineLevel="0" collapsed="false">
      <c r="A39" s="0" t="n">
        <v>2052</v>
      </c>
      <c r="B39" s="0" t="n">
        <v>26</v>
      </c>
      <c r="C39" s="0" t="n">
        <f aca="false">IF(B39&lt;x_H,(1+x_dk)^(-B39),0)</f>
        <v>0</v>
      </c>
      <c r="D39" s="0" t="n">
        <f aca="false">IF(B39&lt;x_H,(1+x_de)^(-B39),0)</f>
        <v>0</v>
      </c>
      <c r="E39" s="0" t="n">
        <f aca="false">(L_S0!AO29-L_S1!AO29)*C39</f>
        <v>0</v>
      </c>
      <c r="F39" s="0" t="n">
        <f aca="false">(L_S0!AP29-L_S1!AP29)*C39</f>
        <v>0</v>
      </c>
      <c r="G39" s="0" t="n">
        <f aca="false">(L_S0!AQ29-L_S1!AQ29)*C39</f>
        <v>0</v>
      </c>
      <c r="H39" s="0" t="n">
        <f aca="false">(L_S0!AS29-L_S1!AS29)*C39</f>
        <v>-0</v>
      </c>
      <c r="I39" s="0" t="n">
        <f aca="false">I38+E39</f>
        <v>-144712911.993685</v>
      </c>
      <c r="J39" s="0" t="n">
        <f aca="false">J38+F39</f>
        <v>1128886288.23073</v>
      </c>
      <c r="K39" s="0" t="n">
        <f aca="false">K38+G39</f>
        <v>1291257533.59838</v>
      </c>
      <c r="L39" s="0" t="n">
        <f aca="false">MAX(L38,J39)</f>
        <v>1128886288.23073</v>
      </c>
      <c r="M39" s="0" t="n">
        <f aca="false">IF(AND(B39&lt;x_H,J39&lt;=0,L38&gt;0),1,0)</f>
        <v>0</v>
      </c>
      <c r="N39" s="0" t="n">
        <f aca="false">IF(AND(B39&lt;x_H,I39&lt;=0,O38&gt;0),1,0)</f>
        <v>0</v>
      </c>
      <c r="O39" s="0" t="n">
        <f aca="false">MAX(O38,I39)</f>
        <v>-131768415.598007</v>
      </c>
      <c r="P39" s="0" t="n">
        <f aca="false">(L_S0!V29-L_S1!V29)*D39</f>
        <v>-0</v>
      </c>
    </row>
    <row r="40" customFormat="false" ht="15" hidden="false" customHeight="false" outlineLevel="0" collapsed="false">
      <c r="A40" s="0" t="n">
        <v>2053</v>
      </c>
      <c r="B40" s="0" t="n">
        <v>27</v>
      </c>
      <c r="C40" s="0" t="n">
        <f aca="false">IF(B40&lt;x_H,(1+x_dk)^(-B40),0)</f>
        <v>0</v>
      </c>
      <c r="D40" s="0" t="n">
        <f aca="false">IF(B40&lt;x_H,(1+x_de)^(-B40),0)</f>
        <v>0</v>
      </c>
      <c r="E40" s="0" t="n">
        <f aca="false">(L_S0!AO30-L_S1!AO30)*C40</f>
        <v>0</v>
      </c>
      <c r="F40" s="0" t="n">
        <f aca="false">(L_S0!AP30-L_S1!AP30)*C40</f>
        <v>0</v>
      </c>
      <c r="G40" s="0" t="n">
        <f aca="false">(L_S0!AQ30-L_S1!AQ30)*C40</f>
        <v>0</v>
      </c>
      <c r="H40" s="0" t="n">
        <f aca="false">(L_S0!AS30-L_S1!AS30)*C40</f>
        <v>-0</v>
      </c>
      <c r="I40" s="0" t="n">
        <f aca="false">I39+E40</f>
        <v>-144712911.993685</v>
      </c>
      <c r="J40" s="0" t="n">
        <f aca="false">J39+F40</f>
        <v>1128886288.23073</v>
      </c>
      <c r="K40" s="0" t="n">
        <f aca="false">K39+G40</f>
        <v>1291257533.59838</v>
      </c>
      <c r="L40" s="0" t="n">
        <f aca="false">MAX(L39,J40)</f>
        <v>1128886288.23073</v>
      </c>
      <c r="M40" s="0" t="n">
        <f aca="false">IF(AND(B40&lt;x_H,J40&lt;=0,L39&gt;0),1,0)</f>
        <v>0</v>
      </c>
      <c r="N40" s="0" t="n">
        <f aca="false">IF(AND(B40&lt;x_H,I40&lt;=0,O39&gt;0),1,0)</f>
        <v>0</v>
      </c>
      <c r="O40" s="0" t="n">
        <f aca="false">MAX(O39,I40)</f>
        <v>-131768415.598007</v>
      </c>
      <c r="P40" s="0" t="n">
        <f aca="false">(L_S0!V30-L_S1!V30)*D40</f>
        <v>-0</v>
      </c>
    </row>
    <row r="41" customFormat="false" ht="15" hidden="false" customHeight="false" outlineLevel="0" collapsed="false">
      <c r="A41" s="0" t="n">
        <v>2054</v>
      </c>
      <c r="B41" s="0" t="n">
        <v>28</v>
      </c>
      <c r="C41" s="0" t="n">
        <f aca="false">IF(B41&lt;x_H,(1+x_dk)^(-B41),0)</f>
        <v>0</v>
      </c>
      <c r="D41" s="0" t="n">
        <f aca="false">IF(B41&lt;x_H,(1+x_de)^(-B41),0)</f>
        <v>0</v>
      </c>
      <c r="E41" s="0" t="n">
        <f aca="false">(L_S0!AO31-L_S1!AO31)*C41</f>
        <v>0</v>
      </c>
      <c r="F41" s="0" t="n">
        <f aca="false">(L_S0!AP31-L_S1!AP31)*C41</f>
        <v>0</v>
      </c>
      <c r="G41" s="0" t="n">
        <f aca="false">(L_S0!AQ31-L_S1!AQ31)*C41</f>
        <v>0</v>
      </c>
      <c r="H41" s="0" t="n">
        <f aca="false">(L_S0!AS31-L_S1!AS31)*C41</f>
        <v>-0</v>
      </c>
      <c r="I41" s="0" t="n">
        <f aca="false">I40+E41</f>
        <v>-144712911.993685</v>
      </c>
      <c r="J41" s="0" t="n">
        <f aca="false">J40+F41</f>
        <v>1128886288.23073</v>
      </c>
      <c r="K41" s="0" t="n">
        <f aca="false">K40+G41</f>
        <v>1291257533.59838</v>
      </c>
      <c r="L41" s="0" t="n">
        <f aca="false">MAX(L40,J41)</f>
        <v>1128886288.23073</v>
      </c>
      <c r="M41" s="0" t="n">
        <f aca="false">IF(AND(B41&lt;x_H,J41&lt;=0,L40&gt;0),1,0)</f>
        <v>0</v>
      </c>
      <c r="N41" s="0" t="n">
        <f aca="false">IF(AND(B41&lt;x_H,I41&lt;=0,O40&gt;0),1,0)</f>
        <v>0</v>
      </c>
      <c r="O41" s="0" t="n">
        <f aca="false">MAX(O40,I41)</f>
        <v>-131768415.598007</v>
      </c>
      <c r="P41" s="0" t="n">
        <f aca="false">(L_S0!V31-L_S1!V31)*D41</f>
        <v>-0</v>
      </c>
    </row>
    <row r="42" customFormat="false" ht="15" hidden="false" customHeight="false" outlineLevel="0" collapsed="false">
      <c r="A42" s="0" t="n">
        <v>2055</v>
      </c>
      <c r="B42" s="0" t="n">
        <v>29</v>
      </c>
      <c r="C42" s="0" t="n">
        <f aca="false">IF(B42&lt;x_H,(1+x_dk)^(-B42),0)</f>
        <v>0</v>
      </c>
      <c r="D42" s="0" t="n">
        <f aca="false">IF(B42&lt;x_H,(1+x_de)^(-B42),0)</f>
        <v>0</v>
      </c>
      <c r="E42" s="0" t="n">
        <f aca="false">(L_S0!AO32-L_S1!AO32)*C42</f>
        <v>0</v>
      </c>
      <c r="F42" s="0" t="n">
        <f aca="false">(L_S0!AP32-L_S1!AP32)*C42</f>
        <v>0</v>
      </c>
      <c r="G42" s="0" t="n">
        <f aca="false">(L_S0!AQ32-L_S1!AQ32)*C42</f>
        <v>0</v>
      </c>
      <c r="H42" s="0" t="n">
        <f aca="false">(L_S0!AS32-L_S1!AS32)*C42</f>
        <v>-0</v>
      </c>
      <c r="I42" s="0" t="n">
        <f aca="false">I41+E42</f>
        <v>-144712911.993685</v>
      </c>
      <c r="J42" s="0" t="n">
        <f aca="false">J41+F42</f>
        <v>1128886288.23073</v>
      </c>
      <c r="K42" s="0" t="n">
        <f aca="false">K41+G42</f>
        <v>1291257533.59838</v>
      </c>
      <c r="L42" s="0" t="n">
        <f aca="false">MAX(L41,J42)</f>
        <v>1128886288.23073</v>
      </c>
      <c r="M42" s="0" t="n">
        <f aca="false">IF(AND(B42&lt;x_H,J42&lt;=0,L41&gt;0),1,0)</f>
        <v>0</v>
      </c>
      <c r="N42" s="0" t="n">
        <f aca="false">IF(AND(B42&lt;x_H,I42&lt;=0,O41&gt;0),1,0)</f>
        <v>0</v>
      </c>
      <c r="O42" s="0" t="n">
        <f aca="false">MAX(O41,I42)</f>
        <v>-131768415.598007</v>
      </c>
      <c r="P42" s="0" t="n">
        <f aca="false">(L_S0!V32-L_S1!V32)*D42</f>
        <v>-0</v>
      </c>
    </row>
    <row r="43" customFormat="false" ht="15" hidden="false" customHeight="false" outlineLevel="0" collapsed="false">
      <c r="A43" s="0" t="n">
        <v>2056</v>
      </c>
      <c r="B43" s="0" t="n">
        <v>30</v>
      </c>
      <c r="C43" s="0" t="n">
        <f aca="false">IF(B43&lt;x_H,(1+x_dk)^(-B43),0)</f>
        <v>0</v>
      </c>
      <c r="D43" s="0" t="n">
        <f aca="false">IF(B43&lt;x_H,(1+x_de)^(-B43),0)</f>
        <v>0</v>
      </c>
      <c r="E43" s="0" t="n">
        <f aca="false">(L_S0!AO33-L_S1!AO33)*C43</f>
        <v>0</v>
      </c>
      <c r="F43" s="0" t="n">
        <f aca="false">(L_S0!AP33-L_S1!AP33)*C43</f>
        <v>0</v>
      </c>
      <c r="G43" s="0" t="n">
        <f aca="false">(L_S0!AQ33-L_S1!AQ33)*C43</f>
        <v>0</v>
      </c>
      <c r="H43" s="0" t="n">
        <f aca="false">(L_S0!AS33-L_S1!AS33)*C43</f>
        <v>-0</v>
      </c>
      <c r="I43" s="0" t="n">
        <f aca="false">I42+E43</f>
        <v>-144712911.993685</v>
      </c>
      <c r="J43" s="0" t="n">
        <f aca="false">J42+F43</f>
        <v>1128886288.23073</v>
      </c>
      <c r="K43" s="0" t="n">
        <f aca="false">K42+G43</f>
        <v>1291257533.59838</v>
      </c>
      <c r="L43" s="0" t="n">
        <f aca="false">MAX(L42,J43)</f>
        <v>1128886288.23073</v>
      </c>
      <c r="M43" s="0" t="n">
        <f aca="false">IF(AND(B43&lt;x_H,J43&lt;=0,L42&gt;0),1,0)</f>
        <v>0</v>
      </c>
      <c r="N43" s="0" t="n">
        <f aca="false">IF(AND(B43&lt;x_H,I43&lt;=0,O42&gt;0),1,0)</f>
        <v>0</v>
      </c>
      <c r="O43" s="0" t="n">
        <f aca="false">MAX(O42,I43)</f>
        <v>-131768415.598007</v>
      </c>
      <c r="P43" s="0" t="n">
        <f aca="false">(L_S0!V33-L_S1!V33)*D43</f>
        <v>-0</v>
      </c>
    </row>
    <row r="44" customFormat="false" ht="15" hidden="false" customHeight="false" outlineLevel="0" collapsed="false">
      <c r="A44" s="0" t="n">
        <v>2057</v>
      </c>
      <c r="B44" s="0" t="n">
        <v>31</v>
      </c>
      <c r="C44" s="0" t="n">
        <f aca="false">IF(B44&lt;x_H,(1+x_dk)^(-B44),0)</f>
        <v>0</v>
      </c>
      <c r="D44" s="0" t="n">
        <f aca="false">IF(B44&lt;x_H,(1+x_de)^(-B44),0)</f>
        <v>0</v>
      </c>
      <c r="E44" s="0" t="n">
        <f aca="false">(L_S0!AO34-L_S1!AO34)*C44</f>
        <v>0</v>
      </c>
      <c r="F44" s="0" t="n">
        <f aca="false">(L_S0!AP34-L_S1!AP34)*C44</f>
        <v>0</v>
      </c>
      <c r="G44" s="0" t="n">
        <f aca="false">(L_S0!AQ34-L_S1!AQ34)*C44</f>
        <v>0</v>
      </c>
      <c r="H44" s="0" t="n">
        <f aca="false">(L_S0!AS34-L_S1!AS34)*C44</f>
        <v>-0</v>
      </c>
      <c r="I44" s="0" t="n">
        <f aca="false">I43+E44</f>
        <v>-144712911.993685</v>
      </c>
      <c r="J44" s="0" t="n">
        <f aca="false">J43+F44</f>
        <v>1128886288.23073</v>
      </c>
      <c r="K44" s="0" t="n">
        <f aca="false">K43+G44</f>
        <v>1291257533.59838</v>
      </c>
      <c r="L44" s="0" t="n">
        <f aca="false">MAX(L43,J44)</f>
        <v>1128886288.23073</v>
      </c>
      <c r="M44" s="0" t="n">
        <f aca="false">IF(AND(B44&lt;x_H,J44&lt;=0,L43&gt;0),1,0)</f>
        <v>0</v>
      </c>
      <c r="N44" s="0" t="n">
        <f aca="false">IF(AND(B44&lt;x_H,I44&lt;=0,O43&gt;0),1,0)</f>
        <v>0</v>
      </c>
      <c r="O44" s="0" t="n">
        <f aca="false">MAX(O43,I44)</f>
        <v>-131768415.598007</v>
      </c>
      <c r="P44" s="0" t="n">
        <f aca="false">(L_S0!V34-L_S1!V34)*D44</f>
        <v>-0</v>
      </c>
    </row>
    <row r="45" customFormat="false" ht="15" hidden="false" customHeight="false" outlineLevel="0" collapsed="false">
      <c r="A45" s="0" t="n">
        <v>2058</v>
      </c>
      <c r="B45" s="0" t="n">
        <v>32</v>
      </c>
      <c r="C45" s="0" t="n">
        <f aca="false">IF(B45&lt;x_H,(1+x_dk)^(-B45),0)</f>
        <v>0</v>
      </c>
      <c r="D45" s="0" t="n">
        <f aca="false">IF(B45&lt;x_H,(1+x_de)^(-B45),0)</f>
        <v>0</v>
      </c>
      <c r="E45" s="0" t="n">
        <f aca="false">(L_S0!AO35-L_S1!AO35)*C45</f>
        <v>0</v>
      </c>
      <c r="F45" s="0" t="n">
        <f aca="false">(L_S0!AP35-L_S1!AP35)*C45</f>
        <v>0</v>
      </c>
      <c r="G45" s="0" t="n">
        <f aca="false">(L_S0!AQ35-L_S1!AQ35)*C45</f>
        <v>0</v>
      </c>
      <c r="H45" s="0" t="n">
        <f aca="false">(L_S0!AS35-L_S1!AS35)*C45</f>
        <v>-0</v>
      </c>
      <c r="I45" s="0" t="n">
        <f aca="false">I44+E45</f>
        <v>-144712911.993685</v>
      </c>
      <c r="J45" s="0" t="n">
        <f aca="false">J44+F45</f>
        <v>1128886288.23073</v>
      </c>
      <c r="K45" s="0" t="n">
        <f aca="false">K44+G45</f>
        <v>1291257533.59838</v>
      </c>
      <c r="L45" s="0" t="n">
        <f aca="false">MAX(L44,J45)</f>
        <v>1128886288.23073</v>
      </c>
      <c r="M45" s="0" t="n">
        <f aca="false">IF(AND(B45&lt;x_H,J45&lt;=0,L44&gt;0),1,0)</f>
        <v>0</v>
      </c>
      <c r="N45" s="0" t="n">
        <f aca="false">IF(AND(B45&lt;x_H,I45&lt;=0,O44&gt;0),1,0)</f>
        <v>0</v>
      </c>
      <c r="O45" s="0" t="n">
        <f aca="false">MAX(O44,I45)</f>
        <v>-131768415.598007</v>
      </c>
      <c r="P45" s="0" t="n">
        <f aca="false">(L_S0!V35-L_S1!V35)*D45</f>
        <v>-0</v>
      </c>
    </row>
    <row r="46" customFormat="false" ht="15" hidden="false" customHeight="false" outlineLevel="0" collapsed="false">
      <c r="A46" s="0" t="n">
        <v>2059</v>
      </c>
      <c r="B46" s="0" t="n">
        <v>33</v>
      </c>
      <c r="C46" s="0" t="n">
        <f aca="false">IF(B46&lt;x_H,(1+x_dk)^(-B46),0)</f>
        <v>0</v>
      </c>
      <c r="D46" s="0" t="n">
        <f aca="false">IF(B46&lt;x_H,(1+x_de)^(-B46),0)</f>
        <v>0</v>
      </c>
      <c r="E46" s="0" t="n">
        <f aca="false">(L_S0!AO36-L_S1!AO36)*C46</f>
        <v>0</v>
      </c>
      <c r="F46" s="0" t="n">
        <f aca="false">(L_S0!AP36-L_S1!AP36)*C46</f>
        <v>0</v>
      </c>
      <c r="G46" s="0" t="n">
        <f aca="false">(L_S0!AQ36-L_S1!AQ36)*C46</f>
        <v>0</v>
      </c>
      <c r="H46" s="0" t="n">
        <f aca="false">(L_S0!AS36-L_S1!AS36)*C46</f>
        <v>-0</v>
      </c>
      <c r="I46" s="0" t="n">
        <f aca="false">I45+E46</f>
        <v>-144712911.993685</v>
      </c>
      <c r="J46" s="0" t="n">
        <f aca="false">J45+F46</f>
        <v>1128886288.23073</v>
      </c>
      <c r="K46" s="0" t="n">
        <f aca="false">K45+G46</f>
        <v>1291257533.59838</v>
      </c>
      <c r="L46" s="0" t="n">
        <f aca="false">MAX(L45,J46)</f>
        <v>1128886288.23073</v>
      </c>
      <c r="M46" s="0" t="n">
        <f aca="false">IF(AND(B46&lt;x_H,J46&lt;=0,L45&gt;0),1,0)</f>
        <v>0</v>
      </c>
      <c r="N46" s="0" t="n">
        <f aca="false">IF(AND(B46&lt;x_H,I46&lt;=0,O45&gt;0),1,0)</f>
        <v>0</v>
      </c>
      <c r="O46" s="0" t="n">
        <f aca="false">MAX(O45,I46)</f>
        <v>-131768415.598007</v>
      </c>
      <c r="P46" s="0" t="n">
        <f aca="false">(L_S0!V36-L_S1!V36)*D46</f>
        <v>-0</v>
      </c>
    </row>
    <row r="47" customFormat="false" ht="15" hidden="false" customHeight="false" outlineLevel="0" collapsed="false">
      <c r="A47" s="0" t="n">
        <v>2060</v>
      </c>
      <c r="B47" s="0" t="n">
        <v>34</v>
      </c>
      <c r="C47" s="0" t="n">
        <f aca="false">IF(B47&lt;x_H,(1+x_dk)^(-B47),0)</f>
        <v>0</v>
      </c>
      <c r="D47" s="0" t="n">
        <f aca="false">IF(B47&lt;x_H,(1+x_de)^(-B47),0)</f>
        <v>0</v>
      </c>
      <c r="E47" s="0" t="n">
        <f aca="false">(L_S0!AO37-L_S1!AO37)*C47</f>
        <v>0</v>
      </c>
      <c r="F47" s="0" t="n">
        <f aca="false">(L_S0!AP37-L_S1!AP37)*C47</f>
        <v>0</v>
      </c>
      <c r="G47" s="0" t="n">
        <f aca="false">(L_S0!AQ37-L_S1!AQ37)*C47</f>
        <v>0</v>
      </c>
      <c r="H47" s="0" t="n">
        <f aca="false">(L_S0!AS37-L_S1!AS37)*C47</f>
        <v>-0</v>
      </c>
      <c r="I47" s="0" t="n">
        <f aca="false">I46+E47</f>
        <v>-144712911.993685</v>
      </c>
      <c r="J47" s="0" t="n">
        <f aca="false">J46+F47</f>
        <v>1128886288.23073</v>
      </c>
      <c r="K47" s="0" t="n">
        <f aca="false">K46+G47</f>
        <v>1291257533.59838</v>
      </c>
      <c r="L47" s="0" t="n">
        <f aca="false">MAX(L46,J47)</f>
        <v>1128886288.23073</v>
      </c>
      <c r="M47" s="0" t="n">
        <f aca="false">IF(AND(B47&lt;x_H,J47&lt;=0,L46&gt;0),1,0)</f>
        <v>0</v>
      </c>
      <c r="N47" s="0" t="n">
        <f aca="false">IF(AND(B47&lt;x_H,I47&lt;=0,O46&gt;0),1,0)</f>
        <v>0</v>
      </c>
      <c r="O47" s="0" t="n">
        <f aca="false">MAX(O46,I47)</f>
        <v>-131768415.598007</v>
      </c>
      <c r="P47" s="0" t="n">
        <f aca="false">(L_S0!V37-L_S1!V37)*D47</f>
        <v>-0</v>
      </c>
    </row>
    <row r="48" customFormat="false" ht="15" hidden="false" customHeight="false" outlineLevel="0" collapsed="false">
      <c r="A48" s="0" t="n">
        <v>2061</v>
      </c>
      <c r="B48" s="0" t="n">
        <v>35</v>
      </c>
      <c r="C48" s="0" t="n">
        <f aca="false">IF(B48&lt;x_H,(1+x_dk)^(-B48),0)</f>
        <v>0</v>
      </c>
      <c r="D48" s="0" t="n">
        <f aca="false">IF(B48&lt;x_H,(1+x_de)^(-B48),0)</f>
        <v>0</v>
      </c>
      <c r="E48" s="0" t="n">
        <f aca="false">(L_S0!AO38-L_S1!AO38)*C48</f>
        <v>0</v>
      </c>
      <c r="F48" s="0" t="n">
        <f aca="false">(L_S0!AP38-L_S1!AP38)*C48</f>
        <v>0</v>
      </c>
      <c r="G48" s="0" t="n">
        <f aca="false">(L_S0!AQ38-L_S1!AQ38)*C48</f>
        <v>0</v>
      </c>
      <c r="H48" s="0" t="n">
        <f aca="false">(L_S0!AS38-L_S1!AS38)*C48</f>
        <v>-0</v>
      </c>
      <c r="I48" s="0" t="n">
        <f aca="false">I47+E48</f>
        <v>-144712911.993685</v>
      </c>
      <c r="J48" s="0" t="n">
        <f aca="false">J47+F48</f>
        <v>1128886288.23073</v>
      </c>
      <c r="K48" s="0" t="n">
        <f aca="false">K47+G48</f>
        <v>1291257533.59838</v>
      </c>
      <c r="L48" s="0" t="n">
        <f aca="false">MAX(L47,J48)</f>
        <v>1128886288.23073</v>
      </c>
      <c r="M48" s="0" t="n">
        <f aca="false">IF(AND(B48&lt;x_H,J48&lt;=0,L47&gt;0),1,0)</f>
        <v>0</v>
      </c>
      <c r="N48" s="0" t="n">
        <f aca="false">IF(AND(B48&lt;x_H,I48&lt;=0,O47&gt;0),1,0)</f>
        <v>0</v>
      </c>
      <c r="O48" s="0" t="n">
        <f aca="false">MAX(O47,I48)</f>
        <v>-131768415.598007</v>
      </c>
      <c r="P48" s="0" t="n">
        <f aca="false">(L_S0!V38-L_S1!V38)*D48</f>
        <v>-0</v>
      </c>
    </row>
    <row r="49" customFormat="false" ht="15" hidden="false" customHeight="false" outlineLevel="0" collapsed="false">
      <c r="A49" s="0" t="n">
        <v>2062</v>
      </c>
      <c r="B49" s="0" t="n">
        <v>36</v>
      </c>
      <c r="C49" s="0" t="n">
        <f aca="false">IF(B49&lt;x_H,(1+x_dk)^(-B49),0)</f>
        <v>0</v>
      </c>
      <c r="D49" s="0" t="n">
        <f aca="false">IF(B49&lt;x_H,(1+x_de)^(-B49),0)</f>
        <v>0</v>
      </c>
      <c r="E49" s="0" t="n">
        <f aca="false">(L_S0!AO39-L_S1!AO39)*C49</f>
        <v>0</v>
      </c>
      <c r="F49" s="0" t="n">
        <f aca="false">(L_S0!AP39-L_S1!AP39)*C49</f>
        <v>0</v>
      </c>
      <c r="G49" s="0" t="n">
        <f aca="false">(L_S0!AQ39-L_S1!AQ39)*C49</f>
        <v>0</v>
      </c>
      <c r="H49" s="0" t="n">
        <f aca="false">(L_S0!AS39-L_S1!AS39)*C49</f>
        <v>-0</v>
      </c>
      <c r="I49" s="0" t="n">
        <f aca="false">I48+E49</f>
        <v>-144712911.993685</v>
      </c>
      <c r="J49" s="0" t="n">
        <f aca="false">J48+F49</f>
        <v>1128886288.23073</v>
      </c>
      <c r="K49" s="0" t="n">
        <f aca="false">K48+G49</f>
        <v>1291257533.59838</v>
      </c>
      <c r="L49" s="0" t="n">
        <f aca="false">MAX(L48,J49)</f>
        <v>1128886288.23073</v>
      </c>
      <c r="M49" s="0" t="n">
        <f aca="false">IF(AND(B49&lt;x_H,J49&lt;=0,L48&gt;0),1,0)</f>
        <v>0</v>
      </c>
      <c r="N49" s="0" t="n">
        <f aca="false">IF(AND(B49&lt;x_H,I49&lt;=0,O48&gt;0),1,0)</f>
        <v>0</v>
      </c>
      <c r="O49" s="0" t="n">
        <f aca="false">MAX(O48,I49)</f>
        <v>-131768415.598007</v>
      </c>
      <c r="P49" s="0" t="n">
        <f aca="false">(L_S0!V39-L_S1!V39)*D49</f>
        <v>-0</v>
      </c>
    </row>
    <row r="50" customFormat="false" ht="15" hidden="false" customHeight="false" outlineLevel="0" collapsed="false">
      <c r="A50" s="0" t="n">
        <v>2063</v>
      </c>
      <c r="B50" s="0" t="n">
        <v>37</v>
      </c>
      <c r="C50" s="0" t="n">
        <f aca="false">IF(B50&lt;x_H,(1+x_dk)^(-B50),0)</f>
        <v>0</v>
      </c>
      <c r="D50" s="0" t="n">
        <f aca="false">IF(B50&lt;x_H,(1+x_de)^(-B50),0)</f>
        <v>0</v>
      </c>
      <c r="E50" s="0" t="n">
        <f aca="false">(L_S0!AO40-L_S1!AO40)*C50</f>
        <v>0</v>
      </c>
      <c r="F50" s="0" t="n">
        <f aca="false">(L_S0!AP40-L_S1!AP40)*C50</f>
        <v>0</v>
      </c>
      <c r="G50" s="0" t="n">
        <f aca="false">(L_S0!AQ40-L_S1!AQ40)*C50</f>
        <v>0</v>
      </c>
      <c r="H50" s="0" t="n">
        <f aca="false">(L_S0!AS40-L_S1!AS40)*C50</f>
        <v>-0</v>
      </c>
      <c r="I50" s="0" t="n">
        <f aca="false">I49+E50</f>
        <v>-144712911.993685</v>
      </c>
      <c r="J50" s="0" t="n">
        <f aca="false">J49+F50</f>
        <v>1128886288.23073</v>
      </c>
      <c r="K50" s="0" t="n">
        <f aca="false">K49+G50</f>
        <v>1291257533.59838</v>
      </c>
      <c r="L50" s="0" t="n">
        <f aca="false">MAX(L49,J50)</f>
        <v>1128886288.23073</v>
      </c>
      <c r="M50" s="0" t="n">
        <f aca="false">IF(AND(B50&lt;x_H,J50&lt;=0,L49&gt;0),1,0)</f>
        <v>0</v>
      </c>
      <c r="N50" s="0" t="n">
        <f aca="false">IF(AND(B50&lt;x_H,I50&lt;=0,O49&gt;0),1,0)</f>
        <v>0</v>
      </c>
      <c r="O50" s="0" t="n">
        <f aca="false">MAX(O49,I50)</f>
        <v>-131768415.598007</v>
      </c>
      <c r="P50" s="0" t="n">
        <f aca="false">(L_S0!V40-L_S1!V40)*D50</f>
        <v>-0</v>
      </c>
    </row>
    <row r="51" customFormat="false" ht="15" hidden="false" customHeight="false" outlineLevel="0" collapsed="false">
      <c r="A51" s="0" t="n">
        <v>2064</v>
      </c>
      <c r="B51" s="0" t="n">
        <v>38</v>
      </c>
      <c r="C51" s="0" t="n">
        <f aca="false">IF(B51&lt;x_H,(1+x_dk)^(-B51),0)</f>
        <v>0</v>
      </c>
      <c r="D51" s="0" t="n">
        <f aca="false">IF(B51&lt;x_H,(1+x_de)^(-B51),0)</f>
        <v>0</v>
      </c>
      <c r="E51" s="0" t="n">
        <f aca="false">(L_S0!AO41-L_S1!AO41)*C51</f>
        <v>0</v>
      </c>
      <c r="F51" s="0" t="n">
        <f aca="false">(L_S0!AP41-L_S1!AP41)*C51</f>
        <v>0</v>
      </c>
      <c r="G51" s="0" t="n">
        <f aca="false">(L_S0!AQ41-L_S1!AQ41)*C51</f>
        <v>0</v>
      </c>
      <c r="H51" s="0" t="n">
        <f aca="false">(L_S0!AS41-L_S1!AS41)*C51</f>
        <v>-0</v>
      </c>
      <c r="I51" s="0" t="n">
        <f aca="false">I50+E51</f>
        <v>-144712911.993685</v>
      </c>
      <c r="J51" s="0" t="n">
        <f aca="false">J50+F51</f>
        <v>1128886288.23073</v>
      </c>
      <c r="K51" s="0" t="n">
        <f aca="false">K50+G51</f>
        <v>1291257533.59838</v>
      </c>
      <c r="L51" s="0" t="n">
        <f aca="false">MAX(L50,J51)</f>
        <v>1128886288.23073</v>
      </c>
      <c r="M51" s="0" t="n">
        <f aca="false">IF(AND(B51&lt;x_H,J51&lt;=0,L50&gt;0),1,0)</f>
        <v>0</v>
      </c>
      <c r="N51" s="0" t="n">
        <f aca="false">IF(AND(B51&lt;x_H,I51&lt;=0,O50&gt;0),1,0)</f>
        <v>0</v>
      </c>
      <c r="O51" s="0" t="n">
        <f aca="false">MAX(O50,I51)</f>
        <v>-131768415.598007</v>
      </c>
      <c r="P51" s="0" t="n">
        <f aca="false">(L_S0!V41-L_S1!V41)*D51</f>
        <v>-0</v>
      </c>
    </row>
    <row r="52" customFormat="false" ht="15" hidden="false" customHeight="false" outlineLevel="0" collapsed="false">
      <c r="A52" s="0" t="n">
        <v>2065</v>
      </c>
      <c r="B52" s="0" t="n">
        <v>39</v>
      </c>
      <c r="C52" s="0" t="n">
        <f aca="false">IF(B52&lt;x_H,(1+x_dk)^(-B52),0)</f>
        <v>0</v>
      </c>
      <c r="D52" s="0" t="n">
        <f aca="false">IF(B52&lt;x_H,(1+x_de)^(-B52),0)</f>
        <v>0</v>
      </c>
      <c r="E52" s="0" t="n">
        <f aca="false">(L_S0!AO42-L_S1!AO42)*C52</f>
        <v>0</v>
      </c>
      <c r="F52" s="0" t="n">
        <f aca="false">(L_S0!AP42-L_S1!AP42)*C52</f>
        <v>0</v>
      </c>
      <c r="G52" s="0" t="n">
        <f aca="false">(L_S0!AQ42-L_S1!AQ42)*C52</f>
        <v>0</v>
      </c>
      <c r="H52" s="0" t="n">
        <f aca="false">(L_S0!AS42-L_S1!AS42)*C52</f>
        <v>-0</v>
      </c>
      <c r="I52" s="0" t="n">
        <f aca="false">I51+E52</f>
        <v>-144712911.993685</v>
      </c>
      <c r="J52" s="0" t="n">
        <f aca="false">J51+F52</f>
        <v>1128886288.23073</v>
      </c>
      <c r="K52" s="0" t="n">
        <f aca="false">K51+G52</f>
        <v>1291257533.59838</v>
      </c>
      <c r="L52" s="0" t="n">
        <f aca="false">MAX(L51,J52)</f>
        <v>1128886288.23073</v>
      </c>
      <c r="M52" s="0" t="n">
        <f aca="false">IF(AND(B52&lt;x_H,J52&lt;=0,L51&gt;0),1,0)</f>
        <v>0</v>
      </c>
      <c r="N52" s="0" t="n">
        <f aca="false">IF(AND(B52&lt;x_H,I52&lt;=0,O51&gt;0),1,0)</f>
        <v>0</v>
      </c>
      <c r="O52" s="0" t="n">
        <f aca="false">MAX(O51,I52)</f>
        <v>-131768415.598007</v>
      </c>
      <c r="P52" s="0" t="n">
        <f aca="false">(L_S0!V42-L_S1!V42)*D52</f>
        <v>-0</v>
      </c>
    </row>
    <row r="53" customFormat="false" ht="15" hidden="false" customHeight="false" outlineLevel="0" collapsed="false">
      <c r="A53" s="0" t="n">
        <v>2066</v>
      </c>
      <c r="B53" s="0" t="n">
        <v>40</v>
      </c>
      <c r="C53" s="0" t="n">
        <f aca="false">IF(B53&lt;x_H,(1+x_dk)^(-B53),0)</f>
        <v>0</v>
      </c>
      <c r="D53" s="0" t="n">
        <f aca="false">IF(B53&lt;x_H,(1+x_de)^(-B53),0)</f>
        <v>0</v>
      </c>
      <c r="E53" s="0" t="n">
        <f aca="false">(L_S0!AO43-L_S1!AO43)*C53</f>
        <v>0</v>
      </c>
      <c r="F53" s="0" t="n">
        <f aca="false">(L_S0!AP43-L_S1!AP43)*C53</f>
        <v>0</v>
      </c>
      <c r="G53" s="0" t="n">
        <f aca="false">(L_S0!AQ43-L_S1!AQ43)*C53</f>
        <v>0</v>
      </c>
      <c r="H53" s="0" t="n">
        <f aca="false">(L_S0!AS43-L_S1!AS43)*C53</f>
        <v>-0</v>
      </c>
      <c r="I53" s="0" t="n">
        <f aca="false">I52+E53</f>
        <v>-144712911.993685</v>
      </c>
      <c r="J53" s="0" t="n">
        <f aca="false">J52+F53</f>
        <v>1128886288.23073</v>
      </c>
      <c r="K53" s="0" t="n">
        <f aca="false">K52+G53</f>
        <v>1291257533.59838</v>
      </c>
      <c r="L53" s="0" t="n">
        <f aca="false">MAX(L52,J53)</f>
        <v>1128886288.23073</v>
      </c>
      <c r="M53" s="0" t="n">
        <f aca="false">IF(AND(B53&lt;x_H,J53&lt;=0,L52&gt;0),1,0)</f>
        <v>0</v>
      </c>
      <c r="N53" s="0" t="n">
        <f aca="false">IF(AND(B53&lt;x_H,I53&lt;=0,O52&gt;0),1,0)</f>
        <v>0</v>
      </c>
      <c r="O53" s="0" t="n">
        <f aca="false">MAX(O52,I53)</f>
        <v>-131768415.598007</v>
      </c>
      <c r="P53" s="0" t="n">
        <f aca="false">(L_S0!V43-L_S1!V43)*D53</f>
        <v>-0</v>
      </c>
    </row>
    <row r="54" customFormat="false" ht="15" hidden="false" customHeight="false" outlineLevel="0" collapsed="false">
      <c r="A54" s="0" t="n">
        <v>2067</v>
      </c>
      <c r="B54" s="0" t="n">
        <v>41</v>
      </c>
      <c r="C54" s="0" t="n">
        <f aca="false">IF(B54&lt;x_H,(1+x_dk)^(-B54),0)</f>
        <v>0</v>
      </c>
      <c r="D54" s="0" t="n">
        <f aca="false">IF(B54&lt;x_H,(1+x_de)^(-B54),0)</f>
        <v>0</v>
      </c>
      <c r="E54" s="0" t="n">
        <f aca="false">(L_S0!AO44-L_S1!AO44)*C54</f>
        <v>0</v>
      </c>
      <c r="F54" s="0" t="n">
        <f aca="false">(L_S0!AP44-L_S1!AP44)*C54</f>
        <v>0</v>
      </c>
      <c r="G54" s="0" t="n">
        <f aca="false">(L_S0!AQ44-L_S1!AQ44)*C54</f>
        <v>0</v>
      </c>
      <c r="H54" s="0" t="n">
        <f aca="false">(L_S0!AS44-L_S1!AS44)*C54</f>
        <v>-0</v>
      </c>
      <c r="I54" s="0" t="n">
        <f aca="false">I53+E54</f>
        <v>-144712911.993685</v>
      </c>
      <c r="J54" s="0" t="n">
        <f aca="false">J53+F54</f>
        <v>1128886288.23073</v>
      </c>
      <c r="K54" s="0" t="n">
        <f aca="false">K53+G54</f>
        <v>1291257533.59838</v>
      </c>
      <c r="L54" s="0" t="n">
        <f aca="false">MAX(L53,J54)</f>
        <v>1128886288.23073</v>
      </c>
      <c r="M54" s="0" t="n">
        <f aca="false">IF(AND(B54&lt;x_H,J54&lt;=0,L53&gt;0),1,0)</f>
        <v>0</v>
      </c>
      <c r="N54" s="0" t="n">
        <f aca="false">IF(AND(B54&lt;x_H,I54&lt;=0,O53&gt;0),1,0)</f>
        <v>0</v>
      </c>
      <c r="O54" s="0" t="n">
        <f aca="false">MAX(O53,I54)</f>
        <v>-131768415.598007</v>
      </c>
      <c r="P54" s="0" t="n">
        <f aca="false">(L_S0!V44-L_S1!V44)*D54</f>
        <v>-0</v>
      </c>
    </row>
    <row r="55" customFormat="false" ht="15" hidden="false" customHeight="false" outlineLevel="0" collapsed="false">
      <c r="A55" s="0" t="n">
        <v>2068</v>
      </c>
      <c r="B55" s="0" t="n">
        <v>42</v>
      </c>
      <c r="C55" s="0" t="n">
        <f aca="false">IF(B55&lt;x_H,(1+x_dk)^(-B55),0)</f>
        <v>0</v>
      </c>
      <c r="D55" s="0" t="n">
        <f aca="false">IF(B55&lt;x_H,(1+x_de)^(-B55),0)</f>
        <v>0</v>
      </c>
      <c r="E55" s="0" t="n">
        <f aca="false">(L_S0!AO45-L_S1!AO45)*C55</f>
        <v>0</v>
      </c>
      <c r="F55" s="0" t="n">
        <f aca="false">(L_S0!AP45-L_S1!AP45)*C55</f>
        <v>0</v>
      </c>
      <c r="G55" s="0" t="n">
        <f aca="false">(L_S0!AQ45-L_S1!AQ45)*C55</f>
        <v>0</v>
      </c>
      <c r="H55" s="0" t="n">
        <f aca="false">(L_S0!AS45-L_S1!AS45)*C55</f>
        <v>-0</v>
      </c>
      <c r="I55" s="0" t="n">
        <f aca="false">I54+E55</f>
        <v>-144712911.993685</v>
      </c>
      <c r="J55" s="0" t="n">
        <f aca="false">J54+F55</f>
        <v>1128886288.23073</v>
      </c>
      <c r="K55" s="0" t="n">
        <f aca="false">K54+G55</f>
        <v>1291257533.59838</v>
      </c>
      <c r="L55" s="0" t="n">
        <f aca="false">MAX(L54,J55)</f>
        <v>1128886288.23073</v>
      </c>
      <c r="M55" s="0" t="n">
        <f aca="false">IF(AND(B55&lt;x_H,J55&lt;=0,L54&gt;0),1,0)</f>
        <v>0</v>
      </c>
      <c r="N55" s="0" t="n">
        <f aca="false">IF(AND(B55&lt;x_H,I55&lt;=0,O54&gt;0),1,0)</f>
        <v>0</v>
      </c>
      <c r="O55" s="0" t="n">
        <f aca="false">MAX(O54,I55)</f>
        <v>-131768415.598007</v>
      </c>
      <c r="P55" s="0" t="n">
        <f aca="false">(L_S0!V45-L_S1!V45)*D55</f>
        <v>-0</v>
      </c>
    </row>
    <row r="56" customFormat="false" ht="15" hidden="false" customHeight="false" outlineLevel="0" collapsed="false">
      <c r="A56" s="0" t="n">
        <v>2069</v>
      </c>
      <c r="B56" s="0" t="n">
        <v>43</v>
      </c>
      <c r="C56" s="0" t="n">
        <f aca="false">IF(B56&lt;x_H,(1+x_dk)^(-B56),0)</f>
        <v>0</v>
      </c>
      <c r="D56" s="0" t="n">
        <f aca="false">IF(B56&lt;x_H,(1+x_de)^(-B56),0)</f>
        <v>0</v>
      </c>
      <c r="E56" s="0" t="n">
        <f aca="false">(L_S0!AO46-L_S1!AO46)*C56</f>
        <v>0</v>
      </c>
      <c r="F56" s="0" t="n">
        <f aca="false">(L_S0!AP46-L_S1!AP46)*C56</f>
        <v>0</v>
      </c>
      <c r="G56" s="0" t="n">
        <f aca="false">(L_S0!AQ46-L_S1!AQ46)*C56</f>
        <v>0</v>
      </c>
      <c r="H56" s="0" t="n">
        <f aca="false">(L_S0!AS46-L_S1!AS46)*C56</f>
        <v>-0</v>
      </c>
      <c r="I56" s="0" t="n">
        <f aca="false">I55+E56</f>
        <v>-144712911.993685</v>
      </c>
      <c r="J56" s="0" t="n">
        <f aca="false">J55+F56</f>
        <v>1128886288.23073</v>
      </c>
      <c r="K56" s="0" t="n">
        <f aca="false">K55+G56</f>
        <v>1291257533.59838</v>
      </c>
      <c r="L56" s="0" t="n">
        <f aca="false">MAX(L55,J56)</f>
        <v>1128886288.23073</v>
      </c>
      <c r="M56" s="0" t="n">
        <f aca="false">IF(AND(B56&lt;x_H,J56&lt;=0,L55&gt;0),1,0)</f>
        <v>0</v>
      </c>
      <c r="N56" s="0" t="n">
        <f aca="false">IF(AND(B56&lt;x_H,I56&lt;=0,O55&gt;0),1,0)</f>
        <v>0</v>
      </c>
      <c r="O56" s="0" t="n">
        <f aca="false">MAX(O55,I56)</f>
        <v>-131768415.598007</v>
      </c>
      <c r="P56" s="0" t="n">
        <f aca="false">(L_S0!V46-L_S1!V46)*D56</f>
        <v>-0</v>
      </c>
    </row>
    <row r="57" customFormat="false" ht="15" hidden="false" customHeight="false" outlineLevel="0" collapsed="false">
      <c r="A57" s="0" t="n">
        <v>2070</v>
      </c>
      <c r="B57" s="0" t="n">
        <v>44</v>
      </c>
      <c r="C57" s="0" t="n">
        <f aca="false">IF(B57&lt;x_H,(1+x_dk)^(-B57),0)</f>
        <v>0</v>
      </c>
      <c r="D57" s="0" t="n">
        <f aca="false">IF(B57&lt;x_H,(1+x_de)^(-B57),0)</f>
        <v>0</v>
      </c>
      <c r="E57" s="0" t="n">
        <f aca="false">(L_S0!AO47-L_S1!AO47)*C57</f>
        <v>0</v>
      </c>
      <c r="F57" s="0" t="n">
        <f aca="false">(L_S0!AP47-L_S1!AP47)*C57</f>
        <v>0</v>
      </c>
      <c r="G57" s="0" t="n">
        <f aca="false">(L_S0!AQ47-L_S1!AQ47)*C57</f>
        <v>0</v>
      </c>
      <c r="H57" s="0" t="n">
        <f aca="false">(L_S0!AS47-L_S1!AS47)*C57</f>
        <v>-0</v>
      </c>
      <c r="I57" s="0" t="n">
        <f aca="false">I56+E57</f>
        <v>-144712911.993685</v>
      </c>
      <c r="J57" s="0" t="n">
        <f aca="false">J56+F57</f>
        <v>1128886288.23073</v>
      </c>
      <c r="K57" s="0" t="n">
        <f aca="false">K56+G57</f>
        <v>1291257533.59838</v>
      </c>
      <c r="L57" s="0" t="n">
        <f aca="false">MAX(L56,J57)</f>
        <v>1128886288.23073</v>
      </c>
      <c r="M57" s="0" t="n">
        <f aca="false">IF(AND(B57&lt;x_H,J57&lt;=0,L56&gt;0),1,0)</f>
        <v>0</v>
      </c>
      <c r="N57" s="0" t="n">
        <f aca="false">IF(AND(B57&lt;x_H,I57&lt;=0,O56&gt;0),1,0)</f>
        <v>0</v>
      </c>
      <c r="O57" s="0" t="n">
        <f aca="false">MAX(O56,I57)</f>
        <v>-131768415.598007</v>
      </c>
      <c r="P57" s="0" t="n">
        <f aca="false">(L_S0!V47-L_S1!V47)*D57</f>
        <v>-0</v>
      </c>
    </row>
    <row r="58" customFormat="false" ht="15" hidden="false" customHeight="false" outlineLevel="0" collapsed="false">
      <c r="A58" s="0" t="n">
        <v>2071</v>
      </c>
      <c r="B58" s="0" t="n">
        <v>45</v>
      </c>
      <c r="C58" s="0" t="n">
        <f aca="false">IF(B58&lt;x_H,(1+x_dk)^(-B58),0)</f>
        <v>0</v>
      </c>
      <c r="D58" s="0" t="n">
        <f aca="false">IF(B58&lt;x_H,(1+x_de)^(-B58),0)</f>
        <v>0</v>
      </c>
      <c r="E58" s="0" t="n">
        <f aca="false">(L_S0!AO48-L_S1!AO48)*C58</f>
        <v>0</v>
      </c>
      <c r="F58" s="0" t="n">
        <f aca="false">(L_S0!AP48-L_S1!AP48)*C58</f>
        <v>0</v>
      </c>
      <c r="G58" s="0" t="n">
        <f aca="false">(L_S0!AQ48-L_S1!AQ48)*C58</f>
        <v>0</v>
      </c>
      <c r="H58" s="0" t="n">
        <f aca="false">(L_S0!AS48-L_S1!AS48)*C58</f>
        <v>-0</v>
      </c>
      <c r="I58" s="0" t="n">
        <f aca="false">I57+E58</f>
        <v>-144712911.993685</v>
      </c>
      <c r="J58" s="0" t="n">
        <f aca="false">J57+F58</f>
        <v>1128886288.23073</v>
      </c>
      <c r="K58" s="0" t="n">
        <f aca="false">K57+G58</f>
        <v>1291257533.59838</v>
      </c>
      <c r="L58" s="0" t="n">
        <f aca="false">MAX(L57,J58)</f>
        <v>1128886288.23073</v>
      </c>
      <c r="M58" s="0" t="n">
        <f aca="false">IF(AND(B58&lt;x_H,J58&lt;=0,L57&gt;0),1,0)</f>
        <v>0</v>
      </c>
      <c r="N58" s="0" t="n">
        <f aca="false">IF(AND(B58&lt;x_H,I58&lt;=0,O57&gt;0),1,0)</f>
        <v>0</v>
      </c>
      <c r="O58" s="0" t="n">
        <f aca="false">MAX(O57,I58)</f>
        <v>-131768415.598007</v>
      </c>
      <c r="P58" s="0" t="n">
        <f aca="false">(L_S0!V48-L_S1!V48)*D58</f>
        <v>-0</v>
      </c>
    </row>
    <row r="59" customFormat="false" ht="15" hidden="false" customHeight="false" outlineLevel="0" collapsed="false">
      <c r="A59" s="0" t="n">
        <v>2072</v>
      </c>
      <c r="B59" s="0" t="n">
        <v>46</v>
      </c>
      <c r="C59" s="0" t="n">
        <f aca="false">IF(B59&lt;x_H,(1+x_dk)^(-B59),0)</f>
        <v>0</v>
      </c>
      <c r="D59" s="0" t="n">
        <f aca="false">IF(B59&lt;x_H,(1+x_de)^(-B59),0)</f>
        <v>0</v>
      </c>
      <c r="E59" s="0" t="n">
        <f aca="false">(L_S0!AO49-L_S1!AO49)*C59</f>
        <v>0</v>
      </c>
      <c r="F59" s="0" t="n">
        <f aca="false">(L_S0!AP49-L_S1!AP49)*C59</f>
        <v>0</v>
      </c>
      <c r="G59" s="0" t="n">
        <f aca="false">(L_S0!AQ49-L_S1!AQ49)*C59</f>
        <v>0</v>
      </c>
      <c r="H59" s="0" t="n">
        <f aca="false">(L_S0!AS49-L_S1!AS49)*C59</f>
        <v>-0</v>
      </c>
      <c r="I59" s="0" t="n">
        <f aca="false">I58+E59</f>
        <v>-144712911.993685</v>
      </c>
      <c r="J59" s="0" t="n">
        <f aca="false">J58+F59</f>
        <v>1128886288.23073</v>
      </c>
      <c r="K59" s="0" t="n">
        <f aca="false">K58+G59</f>
        <v>1291257533.59838</v>
      </c>
      <c r="L59" s="0" t="n">
        <f aca="false">MAX(L58,J59)</f>
        <v>1128886288.23073</v>
      </c>
      <c r="M59" s="0" t="n">
        <f aca="false">IF(AND(B59&lt;x_H,J59&lt;=0,L58&gt;0),1,0)</f>
        <v>0</v>
      </c>
      <c r="N59" s="0" t="n">
        <f aca="false">IF(AND(B59&lt;x_H,I59&lt;=0,O58&gt;0),1,0)</f>
        <v>0</v>
      </c>
      <c r="O59" s="0" t="n">
        <f aca="false">MAX(O58,I59)</f>
        <v>-131768415.598007</v>
      </c>
      <c r="P59" s="0" t="n">
        <f aca="false">(L_S0!V49-L_S1!V49)*D59</f>
        <v>-0</v>
      </c>
    </row>
    <row r="60" customFormat="false" ht="15" hidden="false" customHeight="false" outlineLevel="0" collapsed="false">
      <c r="A60" s="0" t="n">
        <v>2073</v>
      </c>
      <c r="B60" s="0" t="n">
        <v>47</v>
      </c>
      <c r="C60" s="0" t="n">
        <f aca="false">IF(B60&lt;x_H,(1+x_dk)^(-B60),0)</f>
        <v>0</v>
      </c>
      <c r="D60" s="0" t="n">
        <f aca="false">IF(B60&lt;x_H,(1+x_de)^(-B60),0)</f>
        <v>0</v>
      </c>
      <c r="E60" s="0" t="n">
        <f aca="false">(L_S0!AO50-L_S1!AO50)*C60</f>
        <v>0</v>
      </c>
      <c r="F60" s="0" t="n">
        <f aca="false">(L_S0!AP50-L_S1!AP50)*C60</f>
        <v>0</v>
      </c>
      <c r="G60" s="0" t="n">
        <f aca="false">(L_S0!AQ50-L_S1!AQ50)*C60</f>
        <v>0</v>
      </c>
      <c r="H60" s="0" t="n">
        <f aca="false">(L_S0!AS50-L_S1!AS50)*C60</f>
        <v>-0</v>
      </c>
      <c r="I60" s="0" t="n">
        <f aca="false">I59+E60</f>
        <v>-144712911.993685</v>
      </c>
      <c r="J60" s="0" t="n">
        <f aca="false">J59+F60</f>
        <v>1128886288.23073</v>
      </c>
      <c r="K60" s="0" t="n">
        <f aca="false">K59+G60</f>
        <v>1291257533.59838</v>
      </c>
      <c r="L60" s="0" t="n">
        <f aca="false">MAX(L59,J60)</f>
        <v>1128886288.23073</v>
      </c>
      <c r="M60" s="0" t="n">
        <f aca="false">IF(AND(B60&lt;x_H,J60&lt;=0,L59&gt;0),1,0)</f>
        <v>0</v>
      </c>
      <c r="N60" s="0" t="n">
        <f aca="false">IF(AND(B60&lt;x_H,I60&lt;=0,O59&gt;0),1,0)</f>
        <v>0</v>
      </c>
      <c r="O60" s="0" t="n">
        <f aca="false">MAX(O59,I60)</f>
        <v>-131768415.598007</v>
      </c>
      <c r="P60" s="0" t="n">
        <f aca="false">(L_S0!V50-L_S1!V50)*D60</f>
        <v>-0</v>
      </c>
    </row>
    <row r="61" customFormat="false" ht="15" hidden="false" customHeight="false" outlineLevel="0" collapsed="false">
      <c r="A61" s="0" t="n">
        <v>2074</v>
      </c>
      <c r="B61" s="0" t="n">
        <v>48</v>
      </c>
      <c r="C61" s="0" t="n">
        <f aca="false">IF(B61&lt;x_H,(1+x_dk)^(-B61),0)</f>
        <v>0</v>
      </c>
      <c r="D61" s="0" t="n">
        <f aca="false">IF(B61&lt;x_H,(1+x_de)^(-B61),0)</f>
        <v>0</v>
      </c>
      <c r="E61" s="0" t="n">
        <f aca="false">(L_S0!AO51-L_S1!AO51)*C61</f>
        <v>0</v>
      </c>
      <c r="F61" s="0" t="n">
        <f aca="false">(L_S0!AP51-L_S1!AP51)*C61</f>
        <v>0</v>
      </c>
      <c r="G61" s="0" t="n">
        <f aca="false">(L_S0!AQ51-L_S1!AQ51)*C61</f>
        <v>0</v>
      </c>
      <c r="H61" s="0" t="n">
        <f aca="false">(L_S0!AS51-L_S1!AS51)*C61</f>
        <v>-0</v>
      </c>
      <c r="I61" s="0" t="n">
        <f aca="false">I60+E61</f>
        <v>-144712911.993685</v>
      </c>
      <c r="J61" s="0" t="n">
        <f aca="false">J60+F61</f>
        <v>1128886288.23073</v>
      </c>
      <c r="K61" s="0" t="n">
        <f aca="false">K60+G61</f>
        <v>1291257533.59838</v>
      </c>
      <c r="L61" s="0" t="n">
        <f aca="false">MAX(L60,J61)</f>
        <v>1128886288.23073</v>
      </c>
      <c r="M61" s="0" t="n">
        <f aca="false">IF(AND(B61&lt;x_H,J61&lt;=0,L60&gt;0),1,0)</f>
        <v>0</v>
      </c>
      <c r="N61" s="0" t="n">
        <f aca="false">IF(AND(B61&lt;x_H,I61&lt;=0,O60&gt;0),1,0)</f>
        <v>0</v>
      </c>
      <c r="O61" s="0" t="n">
        <f aca="false">MAX(O60,I61)</f>
        <v>-131768415.598007</v>
      </c>
      <c r="P61" s="0" t="n">
        <f aca="false">(L_S0!V51-L_S1!V51)*D61</f>
        <v>-0</v>
      </c>
    </row>
    <row r="62" customFormat="false" ht="15" hidden="false" customHeight="false" outlineLevel="0" collapsed="false">
      <c r="A62" s="0" t="n">
        <v>2075</v>
      </c>
      <c r="B62" s="0" t="n">
        <v>49</v>
      </c>
      <c r="C62" s="0" t="n">
        <f aca="false">IF(B62&lt;x_H,(1+x_dk)^(-B62),0)</f>
        <v>0</v>
      </c>
      <c r="D62" s="0" t="n">
        <f aca="false">IF(B62&lt;x_H,(1+x_de)^(-B62),0)</f>
        <v>0</v>
      </c>
      <c r="E62" s="0" t="n">
        <f aca="false">(L_S0!AO52-L_S1!AO52)*C62</f>
        <v>0</v>
      </c>
      <c r="F62" s="0" t="n">
        <f aca="false">(L_S0!AP52-L_S1!AP52)*C62</f>
        <v>0</v>
      </c>
      <c r="G62" s="0" t="n">
        <f aca="false">(L_S0!AQ52-L_S1!AQ52)*C62</f>
        <v>0</v>
      </c>
      <c r="H62" s="0" t="n">
        <f aca="false">(L_S0!AS52-L_S1!AS52)*C62</f>
        <v>-0</v>
      </c>
      <c r="I62" s="0" t="n">
        <f aca="false">I61+E62</f>
        <v>-144712911.993685</v>
      </c>
      <c r="J62" s="0" t="n">
        <f aca="false">J61+F62</f>
        <v>1128886288.23073</v>
      </c>
      <c r="K62" s="0" t="n">
        <f aca="false">K61+G62</f>
        <v>1291257533.59838</v>
      </c>
      <c r="L62" s="0" t="n">
        <f aca="false">MAX(L61,J62)</f>
        <v>1128886288.23073</v>
      </c>
      <c r="M62" s="0" t="n">
        <f aca="false">IF(AND(B62&lt;x_H,J62&lt;=0,L61&gt;0),1,0)</f>
        <v>0</v>
      </c>
      <c r="N62" s="0" t="n">
        <f aca="false">IF(AND(B62&lt;x_H,I62&lt;=0,O61&gt;0),1,0)</f>
        <v>0</v>
      </c>
      <c r="O62" s="0" t="n">
        <f aca="false">MAX(O61,I62)</f>
        <v>-131768415.598007</v>
      </c>
      <c r="P62" s="0" t="n">
        <f aca="false">(L_S0!V52-L_S1!V52)*D62</f>
        <v>-0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626</v>
      </c>
    </row>
    <row r="2" customFormat="false" ht="15" hidden="false" customHeight="false" outlineLevel="0" collapsed="false">
      <c r="A2" s="1" t="s">
        <v>602</v>
      </c>
      <c r="B2" s="0" t="n">
        <f aca="false">x_H</f>
        <v>20</v>
      </c>
    </row>
    <row r="3" customFormat="false" ht="15" hidden="false" customHeight="false" outlineLevel="0" collapsed="false">
      <c r="A3" s="1" t="s">
        <v>603</v>
      </c>
      <c r="B3" s="0" t="n">
        <f aca="false">SUM(H13:H62)</f>
        <v>573202064.831132</v>
      </c>
    </row>
    <row r="4" customFormat="false" ht="15" hidden="false" customHeight="false" outlineLevel="0" collapsed="false">
      <c r="A4" s="1" t="s">
        <v>604</v>
      </c>
      <c r="B4" s="0" t="n">
        <f aca="false">SUM(F13:F62)</f>
        <v>479829394.716306</v>
      </c>
    </row>
    <row r="5" customFormat="false" ht="15" hidden="false" customHeight="false" outlineLevel="0" collapsed="false">
      <c r="A5" s="1" t="s">
        <v>605</v>
      </c>
      <c r="B5" s="0" t="n">
        <f aca="false">B3-B4</f>
        <v>93372670.1148252</v>
      </c>
    </row>
    <row r="6" customFormat="false" ht="15" hidden="false" customHeight="false" outlineLevel="0" collapsed="false">
      <c r="A6" s="1" t="s">
        <v>606</v>
      </c>
      <c r="B6" s="0" t="n">
        <f aca="false">IF(B3=0,"—",(B5-B3)/ABS(B3))</f>
        <v>-0.837103395392804</v>
      </c>
    </row>
    <row r="7" customFormat="false" ht="15" hidden="false" customHeight="false" outlineLevel="0" collapsed="false">
      <c r="A7" s="1" t="s">
        <v>607</v>
      </c>
      <c r="B7" s="0" t="str">
        <f aca="false">IFERROR(INDEX(A13:A62,MATCH(1,M13:M62,0)),"brak w horyzoncie")</f>
        <v>brak w horyzoncie</v>
      </c>
    </row>
    <row r="8" customFormat="false" ht="15" hidden="false" customHeight="false" outlineLevel="0" collapsed="false">
      <c r="A8" s="1" t="s">
        <v>608</v>
      </c>
      <c r="B8" s="0" t="str">
        <f aca="false">IFERROR(INDEX(A13:A62,MATCH(1,N13:N62,0)),"brak w horyzoncie")</f>
        <v>brak w horyzoncie</v>
      </c>
    </row>
    <row r="9" customFormat="false" ht="15" hidden="false" customHeight="false" outlineLevel="0" collapsed="false">
      <c r="A9" s="1" t="s">
        <v>609</v>
      </c>
      <c r="B9" s="0" t="n">
        <f aca="false">SUM(E13:E62)</f>
        <v>528309206.973209</v>
      </c>
    </row>
    <row r="10" customFormat="false" ht="15" hidden="false" customHeight="false" outlineLevel="0" collapsed="false">
      <c r="A10" s="1" t="s">
        <v>610</v>
      </c>
      <c r="B10" s="0" t="n">
        <f aca="false">IFERROR(B4/SUM(P13:P62),"—")</f>
        <v>61256.9248005947</v>
      </c>
    </row>
    <row r="11" customFormat="false" ht="15" hidden="false" customHeight="false" outlineLevel="0" collapsed="false">
      <c r="A11" s="1" t="s">
        <v>611</v>
      </c>
      <c r="B11" s="0" t="n">
        <f aca="false">IFERROR(B9/SUM(P13:P62),"—")</f>
        <v>67446.0500323323</v>
      </c>
    </row>
    <row r="12" customFormat="false" ht="55.2" hidden="false" customHeight="false" outlineLevel="0" collapsed="false">
      <c r="A12" s="3" t="s">
        <v>320</v>
      </c>
      <c r="B12" s="3" t="s">
        <v>553</v>
      </c>
      <c r="C12" s="3" t="s">
        <v>612</v>
      </c>
      <c r="D12" s="3" t="s">
        <v>613</v>
      </c>
      <c r="E12" s="3" t="s">
        <v>614</v>
      </c>
      <c r="F12" s="3" t="s">
        <v>615</v>
      </c>
      <c r="G12" s="3" t="s">
        <v>616</v>
      </c>
      <c r="H12" s="3" t="s">
        <v>617</v>
      </c>
      <c r="I12" s="3" t="s">
        <v>618</v>
      </c>
      <c r="J12" s="3" t="s">
        <v>619</v>
      </c>
      <c r="K12" s="3" t="s">
        <v>620</v>
      </c>
      <c r="L12" s="3" t="s">
        <v>621</v>
      </c>
      <c r="M12" s="3" t="s">
        <v>622</v>
      </c>
      <c r="N12" s="3" t="s">
        <v>623</v>
      </c>
      <c r="O12" s="3" t="s">
        <v>624</v>
      </c>
      <c r="P12" s="3" t="s">
        <v>625</v>
      </c>
    </row>
    <row r="13" customFormat="false" ht="15" hidden="false" customHeight="false" outlineLevel="0" collapsed="false">
      <c r="A13" s="0" t="n">
        <v>2026</v>
      </c>
      <c r="B13" s="0" t="n">
        <v>0</v>
      </c>
      <c r="C13" s="0" t="n">
        <f aca="false">IF(B13&lt;x_H,(1+x_dk)^(-B13),0)</f>
        <v>1</v>
      </c>
      <c r="D13" s="0" t="n">
        <f aca="false">IF(B13&lt;x_H,(1+x_de)^(-B13),0)</f>
        <v>1</v>
      </c>
      <c r="E13" s="0" t="n">
        <f aca="false">(L_I1!AO3-L_S1!AO3)*C13</f>
        <v>28967828.6798008</v>
      </c>
      <c r="F13" s="0" t="n">
        <f aca="false">(L_I1!AP3-L_S1!AP3)*C13</f>
        <v>30719707.3355658</v>
      </c>
      <c r="G13" s="0" t="n">
        <f aca="false">(L_I1!AQ3-L_S1!AQ3)*C13</f>
        <v>30623770.3112268</v>
      </c>
      <c r="H13" s="0" t="n">
        <f aca="false">(L_I1!AS3-L_S1!AS3)*C13</f>
        <v>28762925.7196966</v>
      </c>
      <c r="I13" s="0" t="n">
        <f aca="false">E13</f>
        <v>28967828.6798008</v>
      </c>
      <c r="J13" s="0" t="n">
        <f aca="false">F13</f>
        <v>30719707.3355658</v>
      </c>
      <c r="K13" s="0" t="n">
        <f aca="false">G13</f>
        <v>30623770.3112268</v>
      </c>
      <c r="L13" s="0" t="n">
        <f aca="false">J13</f>
        <v>30719707.3355658</v>
      </c>
      <c r="M13" s="0" t="n">
        <v>0</v>
      </c>
      <c r="N13" s="0" t="n">
        <v>0</v>
      </c>
      <c r="O13" s="0" t="n">
        <f aca="false">I13</f>
        <v>28967828.6798008</v>
      </c>
      <c r="P13" s="0" t="n">
        <f aca="false">(L_I1!V3-L_S1!V3)*D13</f>
        <v>40.5460000000021</v>
      </c>
    </row>
    <row r="14" customFormat="false" ht="15" hidden="false" customHeight="false" outlineLevel="0" collapsed="false">
      <c r="A14" s="0" t="n">
        <v>2027</v>
      </c>
      <c r="B14" s="0" t="n">
        <v>1</v>
      </c>
      <c r="C14" s="0" t="n">
        <f aca="false">IF(B14&lt;x_H,(1+x_dk)^(-B14),0)</f>
        <v>0.952380952380952</v>
      </c>
      <c r="D14" s="0" t="n">
        <f aca="false">IF(B14&lt;x_H,(1+x_de)^(-B14),0)</f>
        <v>0.966183574879227</v>
      </c>
      <c r="E14" s="0" t="n">
        <f aca="false">(L_I1!AO4-L_S1!AO4)*C14</f>
        <v>54366779.0378631</v>
      </c>
      <c r="F14" s="0" t="n">
        <f aca="false">(L_I1!AP4-L_S1!AP4)*C14</f>
        <v>56294595.1091362</v>
      </c>
      <c r="G14" s="0" t="n">
        <f aca="false">(L_I1!AQ4-L_S1!AQ4)*C14</f>
        <v>56106222.7049864</v>
      </c>
      <c r="H14" s="0" t="n">
        <f aca="false">(L_I1!AS4-L_S1!AS4)*C14</f>
        <v>53140727.591501</v>
      </c>
      <c r="I14" s="0" t="n">
        <f aca="false">I13+E14</f>
        <v>83334607.7176639</v>
      </c>
      <c r="J14" s="0" t="n">
        <f aca="false">J13+F14</f>
        <v>87014302.444702</v>
      </c>
      <c r="K14" s="0" t="n">
        <f aca="false">K13+G14</f>
        <v>86729993.0162132</v>
      </c>
      <c r="L14" s="0" t="n">
        <f aca="false">MAX(L13,J14)</f>
        <v>87014302.444702</v>
      </c>
      <c r="M14" s="0" t="n">
        <f aca="false">IF(AND(B14&lt;x_H,J14&lt;=0,L13&gt;0),1,0)</f>
        <v>0</v>
      </c>
      <c r="N14" s="0" t="n">
        <f aca="false">IF(AND(B14&lt;x_H,I14&lt;=0,O13&gt;0),1,0)</f>
        <v>0</v>
      </c>
      <c r="O14" s="0" t="n">
        <f aca="false">MAX(O13,I14)</f>
        <v>83334607.7176639</v>
      </c>
      <c r="P14" s="0" t="n">
        <f aca="false">(L_I1!V4-L_S1!V4)*D14</f>
        <v>88.0077294685882</v>
      </c>
    </row>
    <row r="15" customFormat="false" ht="15" hidden="false" customHeight="false" outlineLevel="0" collapsed="false">
      <c r="A15" s="0" t="n">
        <v>2028</v>
      </c>
      <c r="B15" s="0" t="n">
        <v>2</v>
      </c>
      <c r="C15" s="0" t="n">
        <f aca="false">IF(B15&lt;x_H,(1+x_dk)^(-B15),0)</f>
        <v>0.90702947845805</v>
      </c>
      <c r="D15" s="0" t="n">
        <f aca="false">IF(B15&lt;x_H,(1+x_de)^(-B15),0)</f>
        <v>0.933510700366403</v>
      </c>
      <c r="E15" s="0" t="n">
        <f aca="false">(L_I1!AO5-L_S1!AO5)*C15</f>
        <v>76411357.314424</v>
      </c>
      <c r="F15" s="0" t="n">
        <f aca="false">(L_I1!AP5-L_S1!AP5)*C15</f>
        <v>78204234.0992828</v>
      </c>
      <c r="G15" s="0" t="n">
        <f aca="false">(L_I1!AQ5-L_S1!AQ5)*C15</f>
        <v>77894225.1206596</v>
      </c>
      <c r="H15" s="0" t="n">
        <f aca="false">(L_I1!AS5-L_S1!AS5)*C15</f>
        <v>74642739.1331122</v>
      </c>
      <c r="I15" s="0" t="n">
        <f aca="false">I14+E15</f>
        <v>159745965.032088</v>
      </c>
      <c r="J15" s="0" t="n">
        <f aca="false">J14+F15</f>
        <v>165218536.543985</v>
      </c>
      <c r="K15" s="0" t="n">
        <f aca="false">K14+G15</f>
        <v>164624218.136873</v>
      </c>
      <c r="L15" s="0" t="n">
        <f aca="false">MAX(L14,J15)</f>
        <v>165218536.543985</v>
      </c>
      <c r="M15" s="0" t="n">
        <f aca="false">IF(AND(B15&lt;x_H,J15&lt;=0,L14&gt;0),1,0)</f>
        <v>0</v>
      </c>
      <c r="N15" s="0" t="n">
        <f aca="false">IF(AND(B15&lt;x_H,I15&lt;=0,O14&gt;0),1,0)</f>
        <v>0</v>
      </c>
      <c r="O15" s="0" t="n">
        <f aca="false">MAX(O14,I15)</f>
        <v>159745965.032088</v>
      </c>
      <c r="P15" s="0" t="n">
        <f aca="false">(L_I1!V5-L_S1!V5)*D15</f>
        <v>142.478004154126</v>
      </c>
    </row>
    <row r="16" customFormat="false" ht="15" hidden="false" customHeight="false" outlineLevel="0" collapsed="false">
      <c r="A16" s="0" t="n">
        <v>2029</v>
      </c>
      <c r="B16" s="0" t="n">
        <v>3</v>
      </c>
      <c r="C16" s="0" t="n">
        <f aca="false">IF(B16&lt;x_H,(1+x_dk)^(-B16),0)</f>
        <v>0.863837598531476</v>
      </c>
      <c r="D16" s="0" t="n">
        <f aca="false">IF(B16&lt;x_H,(1+x_de)^(-B16),0)</f>
        <v>0.901942705668022</v>
      </c>
      <c r="E16" s="0" t="n">
        <f aca="false">(L_I1!AO6-L_S1!AO6)*C16</f>
        <v>72123239.6651928</v>
      </c>
      <c r="F16" s="0" t="n">
        <f aca="false">(L_I1!AP6-L_S1!AP6)*C16</f>
        <v>73472624.655015</v>
      </c>
      <c r="G16" s="0" t="n">
        <f aca="false">(L_I1!AQ6-L_S1!AQ6)*C16</f>
        <v>72984200.4022808</v>
      </c>
      <c r="H16" s="0" t="n">
        <f aca="false">(L_I1!AS6-L_S1!AS6)*C16</f>
        <v>70374470.9050457</v>
      </c>
      <c r="I16" s="0" t="n">
        <f aca="false">I15+E16</f>
        <v>231869204.697281</v>
      </c>
      <c r="J16" s="0" t="n">
        <f aca="false">J15+F16</f>
        <v>238691161.199</v>
      </c>
      <c r="K16" s="0" t="n">
        <f aca="false">K15+G16</f>
        <v>237608418.539154</v>
      </c>
      <c r="L16" s="0" t="n">
        <f aca="false">MAX(L15,J16)</f>
        <v>238691161.199</v>
      </c>
      <c r="M16" s="0" t="n">
        <f aca="false">IF(AND(B16&lt;x_H,J16&lt;=0,L15&gt;0),1,0)</f>
        <v>0</v>
      </c>
      <c r="N16" s="0" t="n">
        <f aca="false">IF(AND(B16&lt;x_H,I16&lt;=0,O15&gt;0),1,0)</f>
        <v>0</v>
      </c>
      <c r="O16" s="0" t="n">
        <f aca="false">MAX(O15,I16)</f>
        <v>231869204.697281</v>
      </c>
      <c r="P16" s="0" t="n">
        <f aca="false">(L_I1!V6-L_S1!V6)*D16</f>
        <v>195.093815006819</v>
      </c>
    </row>
    <row r="17" customFormat="false" ht="15" hidden="false" customHeight="false" outlineLevel="0" collapsed="false">
      <c r="A17" s="0" t="n">
        <v>2030</v>
      </c>
      <c r="B17" s="0" t="n">
        <v>4</v>
      </c>
      <c r="C17" s="0" t="n">
        <f aca="false">IF(B17&lt;x_H,(1+x_dk)^(-B17),0)</f>
        <v>0.822702474791882</v>
      </c>
      <c r="D17" s="0" t="n">
        <f aca="false">IF(B17&lt;x_H,(1+x_de)^(-B17),0)</f>
        <v>0.871442227698572</v>
      </c>
      <c r="E17" s="0" t="n">
        <f aca="false">(L_I1!AO7-L_S1!AO7)*C17</f>
        <v>67878477.6573966</v>
      </c>
      <c r="F17" s="0" t="n">
        <f aca="false">(L_I1!AP7-L_S1!AP7)*C17</f>
        <v>68649807.6641474</v>
      </c>
      <c r="G17" s="0" t="n">
        <f aca="false">(L_I1!AQ7-L_S1!AQ7)*C17</f>
        <v>67885714.2427218</v>
      </c>
      <c r="H17" s="0" t="n">
        <f aca="false">(L_I1!AS7-L_S1!AS7)*C17</f>
        <v>66372921.9259777</v>
      </c>
      <c r="I17" s="0" t="n">
        <f aca="false">I16+E17</f>
        <v>299747682.354677</v>
      </c>
      <c r="J17" s="0" t="n">
        <f aca="false">J16+F17</f>
        <v>307340968.863147</v>
      </c>
      <c r="K17" s="0" t="n">
        <f aca="false">K16+G17</f>
        <v>305494132.781875</v>
      </c>
      <c r="L17" s="0" t="n">
        <f aca="false">MAX(L16,J17)</f>
        <v>307340968.863147</v>
      </c>
      <c r="M17" s="0" t="n">
        <f aca="false">IF(AND(B17&lt;x_H,J17&lt;=0,L16&gt;0),1,0)</f>
        <v>0</v>
      </c>
      <c r="N17" s="0" t="n">
        <f aca="false">IF(AND(B17&lt;x_H,I17&lt;=0,O16&gt;0),1,0)</f>
        <v>0</v>
      </c>
      <c r="O17" s="0" t="n">
        <f aca="false">MAX(O16,I17)</f>
        <v>299747682.354677</v>
      </c>
      <c r="P17" s="0" t="n">
        <f aca="false">(L_I1!V7-L_S1!V7)*D17</f>
        <v>246.421204495228</v>
      </c>
    </row>
    <row r="18" customFormat="false" ht="15" hidden="false" customHeight="false" outlineLevel="0" collapsed="false">
      <c r="A18" s="0" t="n">
        <v>2031</v>
      </c>
      <c r="B18" s="0" t="n">
        <v>5</v>
      </c>
      <c r="C18" s="0" t="n">
        <f aca="false">IF(B18&lt;x_H,(1+x_dk)^(-B18),0)</f>
        <v>0.783526166468459</v>
      </c>
      <c r="D18" s="0" t="n">
        <f aca="false">IF(B18&lt;x_H,(1+x_de)^(-B18),0)</f>
        <v>0.841973166858524</v>
      </c>
      <c r="E18" s="0" t="n">
        <f aca="false">(L_I1!AO8-L_S1!AO8)*C18</f>
        <v>63704539.4578432</v>
      </c>
      <c r="F18" s="0" t="n">
        <f aca="false">(L_I1!AP8-L_S1!AP8)*C18</f>
        <v>63765475.5255802</v>
      </c>
      <c r="G18" s="0" t="n">
        <f aca="false">(L_I1!AQ8-L_S1!AQ8)*C18</f>
        <v>62620673.7781272</v>
      </c>
      <c r="H18" s="0" t="n">
        <f aca="false">(L_I1!AS8-L_S1!AS8)*C18</f>
        <v>62618350.4120492</v>
      </c>
      <c r="I18" s="0" t="n">
        <f aca="false">I17+E18</f>
        <v>363452221.81252</v>
      </c>
      <c r="J18" s="0" t="n">
        <f aca="false">J17+F18</f>
        <v>371106444.388728</v>
      </c>
      <c r="K18" s="0" t="n">
        <f aca="false">K17+G18</f>
        <v>368114806.560003</v>
      </c>
      <c r="L18" s="0" t="n">
        <f aca="false">MAX(L17,J18)</f>
        <v>371106444.388728</v>
      </c>
      <c r="M18" s="0" t="n">
        <f aca="false">IF(AND(B18&lt;x_H,J18&lt;=0,L17&gt;0),1,0)</f>
        <v>0</v>
      </c>
      <c r="N18" s="0" t="n">
        <f aca="false">IF(AND(B18&lt;x_H,I18&lt;=0,O17&gt;0),1,0)</f>
        <v>0</v>
      </c>
      <c r="O18" s="0" t="n">
        <f aca="false">MAX(O17,I18)</f>
        <v>363452221.81252</v>
      </c>
      <c r="P18" s="0" t="n">
        <f aca="false">(L_I1!V8-L_S1!V8)*D18</f>
        <v>296.749232793446</v>
      </c>
    </row>
    <row r="19" customFormat="false" ht="15" hidden="false" customHeight="false" outlineLevel="0" collapsed="false">
      <c r="A19" s="0" t="n">
        <v>2032</v>
      </c>
      <c r="B19" s="0" t="n">
        <v>6</v>
      </c>
      <c r="C19" s="0" t="n">
        <f aca="false">IF(B19&lt;x_H,(1+x_dk)^(-B19),0)</f>
        <v>0.746215396636628</v>
      </c>
      <c r="D19" s="0" t="n">
        <f aca="false">IF(B19&lt;x_H,(1+x_de)^(-B19),0)</f>
        <v>0.813500644307753</v>
      </c>
      <c r="E19" s="0" t="n">
        <f aca="false">(L_I1!AO9-L_S1!AO9)*C19</f>
        <v>59625411.7602529</v>
      </c>
      <c r="F19" s="0" t="n">
        <f aca="false">(L_I1!AP9-L_S1!AP9)*C19</f>
        <v>58849196.0770931</v>
      </c>
      <c r="G19" s="0" t="n">
        <f aca="false">(L_I1!AQ9-L_S1!AQ9)*C19</f>
        <v>57215323.6799025</v>
      </c>
      <c r="H19" s="0" t="n">
        <f aca="false">(L_I1!AS9-L_S1!AS9)*C19</f>
        <v>59093542.4055723</v>
      </c>
      <c r="I19" s="0" t="n">
        <f aca="false">I18+E19</f>
        <v>423077633.572773</v>
      </c>
      <c r="J19" s="0" t="n">
        <f aca="false">J18+F19</f>
        <v>429955640.465821</v>
      </c>
      <c r="K19" s="0" t="n">
        <f aca="false">K18+G19</f>
        <v>425330130.239905</v>
      </c>
      <c r="L19" s="0" t="n">
        <f aca="false">MAX(L18,J19)</f>
        <v>429955640.465821</v>
      </c>
      <c r="M19" s="0" t="n">
        <f aca="false">IF(AND(B19&lt;x_H,J19&lt;=0,L18&gt;0),1,0)</f>
        <v>0</v>
      </c>
      <c r="N19" s="0" t="n">
        <f aca="false">IF(AND(B19&lt;x_H,I19&lt;=0,O18&gt;0),1,0)</f>
        <v>0</v>
      </c>
      <c r="O19" s="0" t="n">
        <f aca="false">MAX(O18,I19)</f>
        <v>423077633.572773</v>
      </c>
      <c r="P19" s="0" t="n">
        <f aca="false">(L_I1!V9-L_S1!V9)*D19</f>
        <v>346.181945182589</v>
      </c>
    </row>
    <row r="20" customFormat="false" ht="15" hidden="false" customHeight="false" outlineLevel="0" collapsed="false">
      <c r="A20" s="0" t="n">
        <v>2033</v>
      </c>
      <c r="B20" s="0" t="n">
        <v>7</v>
      </c>
      <c r="C20" s="0" t="n">
        <f aca="false">IF(B20&lt;x_H,(1+x_dk)^(-B20),0)</f>
        <v>0.710681330130121</v>
      </c>
      <c r="D20" s="0" t="n">
        <f aca="false">IF(B20&lt;x_H,(1+x_de)^(-B20),0)</f>
        <v>0.785990960683819</v>
      </c>
      <c r="E20" s="0" t="n">
        <f aca="false">(L_I1!AO10-L_S1!AO10)*C20</f>
        <v>55663095.8966222</v>
      </c>
      <c r="F20" s="0" t="n">
        <f aca="false">(L_I1!AP10-L_S1!AP10)*C20</f>
        <v>53932019.7687858</v>
      </c>
      <c r="G20" s="0" t="n">
        <f aca="false">(L_I1!AQ10-L_S1!AQ10)*C20</f>
        <v>51701569.7954605</v>
      </c>
      <c r="H20" s="0" t="n">
        <f aca="false">(L_I1!AS10-L_S1!AS10)*C20</f>
        <v>55782102.7843541</v>
      </c>
      <c r="I20" s="0" t="n">
        <f aca="false">I19+E20</f>
        <v>478740729.469395</v>
      </c>
      <c r="J20" s="0" t="n">
        <f aca="false">J19+F20</f>
        <v>483887660.234606</v>
      </c>
      <c r="K20" s="0" t="n">
        <f aca="false">K19+G20</f>
        <v>477031700.035366</v>
      </c>
      <c r="L20" s="0" t="n">
        <f aca="false">MAX(L19,J20)</f>
        <v>483887660.234606</v>
      </c>
      <c r="M20" s="0" t="n">
        <f aca="false">IF(AND(B20&lt;x_H,J20&lt;=0,L19&gt;0),1,0)</f>
        <v>0</v>
      </c>
      <c r="N20" s="0" t="n">
        <f aca="false">IF(AND(B20&lt;x_H,I20&lt;=0,O19&gt;0),1,0)</f>
        <v>0</v>
      </c>
      <c r="O20" s="0" t="n">
        <f aca="false">MAX(O19,I20)</f>
        <v>478740729.469395</v>
      </c>
      <c r="P20" s="0" t="n">
        <f aca="false">(L_I1!V10-L_S1!V10)*D20</f>
        <v>394.695578789869</v>
      </c>
    </row>
    <row r="21" customFormat="false" ht="15" hidden="false" customHeight="false" outlineLevel="0" collapsed="false">
      <c r="A21" s="0" t="n">
        <v>2034</v>
      </c>
      <c r="B21" s="0" t="n">
        <v>8</v>
      </c>
      <c r="C21" s="0" t="n">
        <f aca="false">IF(B21&lt;x_H,(1+x_dk)^(-B21),0)</f>
        <v>0.676839362028687</v>
      </c>
      <c r="D21" s="0" t="n">
        <f aca="false">IF(B21&lt;x_H,(1+x_de)^(-B21),0)</f>
        <v>0.759411556216251</v>
      </c>
      <c r="E21" s="0" t="n">
        <f aca="false">(L_I1!AO11-L_S1!AO11)*C21</f>
        <v>51836538.1649911</v>
      </c>
      <c r="F21" s="0" t="n">
        <f aca="false">(L_I1!AP11-L_S1!AP11)*C21</f>
        <v>49044935.7336906</v>
      </c>
      <c r="G21" s="0" t="n">
        <f aca="false">(L_I1!AQ11-L_S1!AQ11)*C21</f>
        <v>46114902.3479433</v>
      </c>
      <c r="H21" s="0" t="n">
        <f aca="false">(L_I1!AS11-L_S1!AS11)*C21</f>
        <v>52670149.3037955</v>
      </c>
      <c r="I21" s="0" t="n">
        <f aca="false">I20+E21</f>
        <v>530577267.634387</v>
      </c>
      <c r="J21" s="0" t="n">
        <f aca="false">J20+F21</f>
        <v>532932595.968297</v>
      </c>
      <c r="K21" s="0" t="n">
        <f aca="false">K20+G21</f>
        <v>523146602.383309</v>
      </c>
      <c r="L21" s="0" t="n">
        <f aca="false">MAX(L20,J21)</f>
        <v>532932595.968297</v>
      </c>
      <c r="M21" s="0" t="n">
        <f aca="false">IF(AND(B21&lt;x_H,J21&lt;=0,L20&gt;0),1,0)</f>
        <v>0</v>
      </c>
      <c r="N21" s="0" t="n">
        <f aca="false">IF(AND(B21&lt;x_H,I21&lt;=0,O20&gt;0),1,0)</f>
        <v>0</v>
      </c>
      <c r="O21" s="0" t="n">
        <f aca="false">MAX(O20,I21)</f>
        <v>530577267.634387</v>
      </c>
      <c r="P21" s="0" t="n">
        <f aca="false">(L_I1!V11-L_S1!V11)*D21</f>
        <v>442.183326249587</v>
      </c>
    </row>
    <row r="22" customFormat="false" ht="15" hidden="false" customHeight="false" outlineLevel="0" collapsed="false">
      <c r="A22" s="0" t="n">
        <v>2035</v>
      </c>
      <c r="B22" s="0" t="n">
        <v>9</v>
      </c>
      <c r="C22" s="0" t="n">
        <f aca="false">IF(B22&lt;x_H,(1+x_dk)^(-B22),0)</f>
        <v>0.644608916217797</v>
      </c>
      <c r="D22" s="0" t="n">
        <f aca="false">IF(B22&lt;x_H,(1+x_de)^(-B22),0)</f>
        <v>0.733730972189614</v>
      </c>
      <c r="E22" s="0" t="n">
        <f aca="false">(L_I1!AO12-L_S1!AO12)*C22</f>
        <v>47459871.0825811</v>
      </c>
      <c r="F22" s="0" t="n">
        <f aca="false">(L_I1!AP12-L_S1!AP12)*C22</f>
        <v>43176298.0116278</v>
      </c>
      <c r="G22" s="0" t="n">
        <f aca="false">(L_I1!AQ12-L_S1!AQ12)*C22</f>
        <v>39504576.7967017</v>
      </c>
      <c r="H22" s="0" t="n">
        <f aca="false">(L_I1!AS12-L_S1!AS12)*C22</f>
        <v>49744134.6500275</v>
      </c>
      <c r="I22" s="0" t="n">
        <f aca="false">I21+E22</f>
        <v>578037138.716968</v>
      </c>
      <c r="J22" s="0" t="n">
        <f aca="false">J21+F22</f>
        <v>576108893.979925</v>
      </c>
      <c r="K22" s="0" t="n">
        <f aca="false">K21+G22</f>
        <v>562651179.180011</v>
      </c>
      <c r="L22" s="0" t="n">
        <f aca="false">MAX(L21,J22)</f>
        <v>576108893.979925</v>
      </c>
      <c r="M22" s="0" t="n">
        <f aca="false">IF(AND(B22&lt;x_H,J22&lt;=0,L21&gt;0),1,0)</f>
        <v>0</v>
      </c>
      <c r="N22" s="0" t="n">
        <f aca="false">IF(AND(B22&lt;x_H,I22&lt;=0,O21&gt;0),1,0)</f>
        <v>0</v>
      </c>
      <c r="O22" s="0" t="n">
        <f aca="false">MAX(O21,I22)</f>
        <v>578037138.716968</v>
      </c>
      <c r="P22" s="0" t="n">
        <f aca="false">(L_I1!V12-L_S1!V12)*D22</f>
        <v>471.110313968644</v>
      </c>
    </row>
    <row r="23" customFormat="false" ht="15" hidden="false" customHeight="false" outlineLevel="0" collapsed="false">
      <c r="A23" s="0" t="n">
        <v>2036</v>
      </c>
      <c r="B23" s="0" t="n">
        <v>10</v>
      </c>
      <c r="C23" s="0" t="n">
        <f aca="false">IF(B23&lt;x_H,(1+x_dk)^(-B23),0)</f>
        <v>0.613913253540759</v>
      </c>
      <c r="D23" s="0" t="n">
        <f aca="false">IF(B23&lt;x_H,(1+x_de)^(-B23),0)</f>
        <v>0.708918813709772</v>
      </c>
      <c r="E23" s="0" t="n">
        <f aca="false">(L_I1!AO13-L_S1!AO13)*C23</f>
        <v>-3042094.82724111</v>
      </c>
      <c r="F23" s="0" t="n">
        <f aca="false">(L_I1!AP13-L_S1!AP13)*C23</f>
        <v>-9552647.47240684</v>
      </c>
      <c r="G23" s="0" t="n">
        <f aca="false">(L_I1!AQ13-L_S1!AQ13)*C23</f>
        <v>-14033267.5213708</v>
      </c>
      <c r="H23" s="0" t="n">
        <f aca="false">(L_I1!AS13-L_S1!AS13)*C23</f>
        <v>0</v>
      </c>
      <c r="I23" s="0" t="n">
        <f aca="false">I22+E23</f>
        <v>574995043.889727</v>
      </c>
      <c r="J23" s="0" t="n">
        <f aca="false">J22+F23</f>
        <v>566556246.507518</v>
      </c>
      <c r="K23" s="0" t="n">
        <f aca="false">K22+G23</f>
        <v>548617911.65864</v>
      </c>
      <c r="L23" s="0" t="n">
        <f aca="false">MAX(L22,J23)</f>
        <v>576108893.979925</v>
      </c>
      <c r="M23" s="0" t="n">
        <f aca="false">IF(AND(B23&lt;x_H,J23&lt;=0,L22&gt;0),1,0)</f>
        <v>0</v>
      </c>
      <c r="N23" s="0" t="n">
        <f aca="false">IF(AND(B23&lt;x_H,I23&lt;=0,O22&gt;0),1,0)</f>
        <v>0</v>
      </c>
      <c r="O23" s="0" t="n">
        <f aca="false">MAX(O22,I23)</f>
        <v>578037138.716968</v>
      </c>
      <c r="P23" s="0" t="n">
        <f aca="false">(L_I1!V13-L_S1!V13)*D23</f>
        <v>482.631219454799</v>
      </c>
    </row>
    <row r="24" customFormat="false" ht="15" hidden="false" customHeight="false" outlineLevel="0" collapsed="false">
      <c r="A24" s="0" t="n">
        <v>2037</v>
      </c>
      <c r="B24" s="0" t="n">
        <v>11</v>
      </c>
      <c r="C24" s="0" t="n">
        <f aca="false">IF(B24&lt;x_H,(1+x_dk)^(-B24),0)</f>
        <v>0.584679289086437</v>
      </c>
      <c r="D24" s="0" t="n">
        <f aca="false">IF(B24&lt;x_H,(1+x_de)^(-B24),0)</f>
        <v>0.684945713729249</v>
      </c>
      <c r="E24" s="0" t="n">
        <f aca="false">(L_I1!AO14-L_S1!AO14)*C24</f>
        <v>-3871885.06187633</v>
      </c>
      <c r="F24" s="0" t="n">
        <f aca="false">(L_I1!AP14-L_S1!AP14)*C24</f>
        <v>-11433625.9571776</v>
      </c>
      <c r="G24" s="0" t="n">
        <f aca="false">(L_I1!AQ14-L_S1!AQ14)*C24</f>
        <v>-16797060.4273679</v>
      </c>
      <c r="H24" s="0" t="n">
        <f aca="false">(L_I1!AS14-L_S1!AS14)*C24</f>
        <v>0</v>
      </c>
      <c r="I24" s="0" t="n">
        <f aca="false">I23+E24</f>
        <v>571123158.82785</v>
      </c>
      <c r="J24" s="0" t="n">
        <f aca="false">J23+F24</f>
        <v>555122620.55034</v>
      </c>
      <c r="K24" s="0" t="n">
        <f aca="false">K23+G24</f>
        <v>531820851.231272</v>
      </c>
      <c r="L24" s="0" t="n">
        <f aca="false">MAX(L23,J24)</f>
        <v>576108893.979925</v>
      </c>
      <c r="M24" s="0" t="n">
        <f aca="false">IF(AND(B24&lt;x_H,J24&lt;=0,L23&gt;0),1,0)</f>
        <v>0</v>
      </c>
      <c r="N24" s="0" t="n">
        <f aca="false">IF(AND(B24&lt;x_H,I24&lt;=0,O23&gt;0),1,0)</f>
        <v>0</v>
      </c>
      <c r="O24" s="0" t="n">
        <f aca="false">MAX(O23,I24)</f>
        <v>578037138.716968</v>
      </c>
      <c r="P24" s="0" t="n">
        <f aca="false">(L_I1!V14-L_S1!V14)*D24</f>
        <v>493.839010141654</v>
      </c>
    </row>
    <row r="25" customFormat="false" ht="15" hidden="false" customHeight="false" outlineLevel="0" collapsed="false">
      <c r="A25" s="0" t="n">
        <v>2038</v>
      </c>
      <c r="B25" s="0" t="n">
        <v>12</v>
      </c>
      <c r="C25" s="0" t="n">
        <f aca="false">IF(B25&lt;x_H,(1+x_dk)^(-B25),0)</f>
        <v>0.556837418177559</v>
      </c>
      <c r="D25" s="0" t="n">
        <f aca="false">IF(B25&lt;x_H,(1+x_de)^(-B25),0)</f>
        <v>0.661783298289129</v>
      </c>
      <c r="E25" s="0" t="n">
        <f aca="false">(L_I1!AO15-L_S1!AO15)*C25</f>
        <v>-4504110.16631807</v>
      </c>
      <c r="F25" s="0" t="n">
        <f aca="false">(L_I1!AP15-L_S1!AP15)*C25</f>
        <v>-9855134.30909707</v>
      </c>
      <c r="G25" s="0" t="n">
        <f aca="false">(L_I1!AQ15-L_S1!AQ15)*C25</f>
        <v>-13736570.6324851</v>
      </c>
      <c r="H25" s="0" t="n">
        <f aca="false">(L_I1!AS15-L_S1!AS15)*C25</f>
        <v>0</v>
      </c>
      <c r="I25" s="0" t="n">
        <f aca="false">I24+E25</f>
        <v>566619048.661532</v>
      </c>
      <c r="J25" s="0" t="n">
        <f aca="false">J24+F25</f>
        <v>545267486.241243</v>
      </c>
      <c r="K25" s="0" t="n">
        <f aca="false">K24+G25</f>
        <v>518084280.598787</v>
      </c>
      <c r="L25" s="0" t="n">
        <f aca="false">MAX(L24,J25)</f>
        <v>576108893.979925</v>
      </c>
      <c r="M25" s="0" t="n">
        <f aca="false">IF(AND(B25&lt;x_H,J25&lt;=0,L24&gt;0),1,0)</f>
        <v>0</v>
      </c>
      <c r="N25" s="0" t="n">
        <f aca="false">IF(AND(B25&lt;x_H,I25&lt;=0,O24&gt;0),1,0)</f>
        <v>0</v>
      </c>
      <c r="O25" s="0" t="n">
        <f aca="false">MAX(O24,I25)</f>
        <v>578037138.716968</v>
      </c>
      <c r="P25" s="0" t="n">
        <f aca="false">(L_I1!V15-L_S1!V15)*D25</f>
        <v>504.180267584868</v>
      </c>
    </row>
    <row r="26" customFormat="false" ht="15" hidden="false" customHeight="false" outlineLevel="0" collapsed="false">
      <c r="A26" s="0" t="n">
        <v>2039</v>
      </c>
      <c r="B26" s="0" t="n">
        <v>13</v>
      </c>
      <c r="C26" s="0" t="n">
        <f aca="false">IF(B26&lt;x_H,(1+x_dk)^(-B26),0)</f>
        <v>0.530321350645295</v>
      </c>
      <c r="D26" s="0" t="n">
        <f aca="false">IF(B26&lt;x_H,(1+x_de)^(-B26),0)</f>
        <v>0.639404152936357</v>
      </c>
      <c r="E26" s="0" t="n">
        <f aca="false">(L_I1!AO16-L_S1!AO16)*C26</f>
        <v>-4972984.39780689</v>
      </c>
      <c r="F26" s="0" t="n">
        <f aca="false">(L_I1!AP16-L_S1!AP16)*C26</f>
        <v>-7911004.08589089</v>
      </c>
      <c r="G26" s="0" t="n">
        <f aca="false">(L_I1!AQ16-L_S1!AQ16)*C26</f>
        <v>-10120793.2535988</v>
      </c>
      <c r="H26" s="0" t="n">
        <f aca="false">(L_I1!AS16-L_S1!AS16)*C26</f>
        <v>0</v>
      </c>
      <c r="I26" s="0" t="n">
        <f aca="false">I25+E26</f>
        <v>561646064.263725</v>
      </c>
      <c r="J26" s="0" t="n">
        <f aca="false">J25+F26</f>
        <v>537356482.155352</v>
      </c>
      <c r="K26" s="0" t="n">
        <f aca="false">K25+G26</f>
        <v>507963487.345188</v>
      </c>
      <c r="L26" s="0" t="n">
        <f aca="false">MAX(L25,J26)</f>
        <v>576108893.979925</v>
      </c>
      <c r="M26" s="0" t="n">
        <f aca="false">IF(AND(B26&lt;x_H,J26&lt;=0,L25&gt;0),1,0)</f>
        <v>0</v>
      </c>
      <c r="N26" s="0" t="n">
        <f aca="false">IF(AND(B26&lt;x_H,I26&lt;=0,O25&gt;0),1,0)</f>
        <v>0</v>
      </c>
      <c r="O26" s="0" t="n">
        <f aca="false">MAX(O25,I26)</f>
        <v>578037138.716968</v>
      </c>
      <c r="P26" s="0" t="n">
        <f aca="false">(L_I1!V16-L_S1!V16)*D26</f>
        <v>513.24268011633</v>
      </c>
    </row>
    <row r="27" customFormat="false" ht="15" hidden="false" customHeight="false" outlineLevel="0" collapsed="false">
      <c r="A27" s="0" t="n">
        <v>2040</v>
      </c>
      <c r="B27" s="0" t="n">
        <v>14</v>
      </c>
      <c r="C27" s="0" t="n">
        <f aca="false">IF(B27&lt;x_H,(1+x_dk)^(-B27),0)</f>
        <v>0.505067952995519</v>
      </c>
      <c r="D27" s="0" t="n">
        <f aca="false">IF(B27&lt;x_H,(1+x_de)^(-B27),0)</f>
        <v>0.617781790276673</v>
      </c>
      <c r="E27" s="0" t="n">
        <f aca="false">(L_I1!AO17-L_S1!AO17)*C27</f>
        <v>-5304446.2190012</v>
      </c>
      <c r="F27" s="0" t="n">
        <f aca="false">(L_I1!AP17-L_S1!AP17)*C27</f>
        <v>-8570304.54771297</v>
      </c>
      <c r="G27" s="0" t="n">
        <f aca="false">(L_I1!AQ17-L_S1!AQ17)*C27</f>
        <v>-11075749.2245481</v>
      </c>
      <c r="H27" s="0" t="n">
        <f aca="false">(L_I1!AS17-L_S1!AS17)*C27</f>
        <v>0</v>
      </c>
      <c r="I27" s="0" t="n">
        <f aca="false">I26+E27</f>
        <v>556341618.044724</v>
      </c>
      <c r="J27" s="0" t="n">
        <f aca="false">J26+F27</f>
        <v>528786177.607639</v>
      </c>
      <c r="K27" s="0" t="n">
        <f aca="false">K26+G27</f>
        <v>496887738.12064</v>
      </c>
      <c r="L27" s="0" t="n">
        <f aca="false">MAX(L26,J27)</f>
        <v>576108893.979925</v>
      </c>
      <c r="M27" s="0" t="n">
        <f aca="false">IF(AND(B27&lt;x_H,J27&lt;=0,L26&gt;0),1,0)</f>
        <v>0</v>
      </c>
      <c r="N27" s="0" t="n">
        <f aca="false">IF(AND(B27&lt;x_H,I27&lt;=0,O26&gt;0),1,0)</f>
        <v>0</v>
      </c>
      <c r="O27" s="0" t="n">
        <f aca="false">MAX(O26,I27)</f>
        <v>578037138.716968</v>
      </c>
      <c r="P27" s="0" t="n">
        <f aca="false">(L_I1!V17-L_S1!V17)*D27</f>
        <v>520.745568914326</v>
      </c>
    </row>
    <row r="28" customFormat="false" ht="15" hidden="false" customHeight="false" outlineLevel="0" collapsed="false">
      <c r="A28" s="0" t="n">
        <v>2041</v>
      </c>
      <c r="B28" s="0" t="n">
        <v>15</v>
      </c>
      <c r="C28" s="0" t="n">
        <f aca="false">IF(B28&lt;x_H,(1+x_dk)^(-B28),0)</f>
        <v>0.48101709809097</v>
      </c>
      <c r="D28" s="0" t="n">
        <f aca="false">IF(B28&lt;x_H,(1+x_de)^(-B28),0)</f>
        <v>0.596890618624805</v>
      </c>
      <c r="E28" s="0" t="n">
        <f aca="false">(L_I1!AO18-L_S1!AO18)*C28</f>
        <v>-5520320.80902553</v>
      </c>
      <c r="F28" s="0" t="n">
        <f aca="false">(L_I1!AP18-L_S1!AP18)*C28</f>
        <v>-9106207.57930158</v>
      </c>
      <c r="G28" s="0" t="n">
        <f aca="false">(L_I1!AQ18-L_S1!AQ18)*C28</f>
        <v>-11905293.2900841</v>
      </c>
      <c r="H28" s="0" t="n">
        <f aca="false">(L_I1!AS18-L_S1!AS18)*C28</f>
        <v>0</v>
      </c>
      <c r="I28" s="0" t="n">
        <f aca="false">I27+E28</f>
        <v>550821297.235699</v>
      </c>
      <c r="J28" s="0" t="n">
        <f aca="false">J27+F28</f>
        <v>519679970.028338</v>
      </c>
      <c r="K28" s="0" t="n">
        <f aca="false">K27+G28</f>
        <v>484982444.830556</v>
      </c>
      <c r="L28" s="0" t="n">
        <f aca="false">MAX(L27,J28)</f>
        <v>576108893.979925</v>
      </c>
      <c r="M28" s="0" t="n">
        <f aca="false">IF(AND(B28&lt;x_H,J28&lt;=0,L27&gt;0),1,0)</f>
        <v>0</v>
      </c>
      <c r="N28" s="0" t="n">
        <f aca="false">IF(AND(B28&lt;x_H,I28&lt;=0,O27&gt;0),1,0)</f>
        <v>0</v>
      </c>
      <c r="O28" s="0" t="n">
        <f aca="false">MAX(O27,I28)</f>
        <v>578037138.716968</v>
      </c>
      <c r="P28" s="0" t="n">
        <f aca="false">(L_I1!V18-L_S1!V18)*D28</f>
        <v>526.533330735648</v>
      </c>
    </row>
    <row r="29" customFormat="false" ht="15" hidden="false" customHeight="false" outlineLevel="0" collapsed="false">
      <c r="A29" s="0" t="n">
        <v>2042</v>
      </c>
      <c r="B29" s="0" t="n">
        <v>16</v>
      </c>
      <c r="C29" s="0" t="n">
        <f aca="false">IF(B29&lt;x_H,(1+x_dk)^(-B29),0)</f>
        <v>0.4581115219914</v>
      </c>
      <c r="D29" s="0" t="n">
        <f aca="false">IF(B29&lt;x_H,(1+x_de)^(-B29),0)</f>
        <v>0.576705911714788</v>
      </c>
      <c r="E29" s="0" t="n">
        <f aca="false">(L_I1!AO19-L_S1!AO19)*C29</f>
        <v>-5637114.54772307</v>
      </c>
      <c r="F29" s="0" t="n">
        <f aca="false">(L_I1!AP19-L_S1!AP19)*C29</f>
        <v>-9533855.74773232</v>
      </c>
      <c r="G29" s="0" t="n">
        <f aca="false">(L_I1!AQ19-L_S1!AQ19)*C29</f>
        <v>-12622372.1365032</v>
      </c>
      <c r="H29" s="0" t="n">
        <f aca="false">(L_I1!AS19-L_S1!AS19)*C29</f>
        <v>0</v>
      </c>
      <c r="I29" s="0" t="n">
        <f aca="false">I28+E29</f>
        <v>545184182.687976</v>
      </c>
      <c r="J29" s="0" t="n">
        <f aca="false">J28+F29</f>
        <v>510146114.280605</v>
      </c>
      <c r="K29" s="0" t="n">
        <f aca="false">K28+G29</f>
        <v>472360072.694053</v>
      </c>
      <c r="L29" s="0" t="n">
        <f aca="false">MAX(L28,J29)</f>
        <v>576108893.979925</v>
      </c>
      <c r="M29" s="0" t="n">
        <f aca="false">IF(AND(B29&lt;x_H,J29&lt;=0,L28&gt;0),1,0)</f>
        <v>0</v>
      </c>
      <c r="N29" s="0" t="n">
        <f aca="false">IF(AND(B29&lt;x_H,I29&lt;=0,O28&gt;0),1,0)</f>
        <v>0</v>
      </c>
      <c r="O29" s="0" t="n">
        <f aca="false">MAX(O28,I29)</f>
        <v>578037138.716968</v>
      </c>
      <c r="P29" s="0" t="n">
        <f aca="false">(L_I1!V19-L_S1!V19)*D29</f>
        <v>530.349137119339</v>
      </c>
    </row>
    <row r="30" customFormat="false" ht="15" hidden="false" customHeight="false" outlineLevel="0" collapsed="false">
      <c r="A30" s="0" t="n">
        <v>2043</v>
      </c>
      <c r="B30" s="0" t="n">
        <v>17</v>
      </c>
      <c r="C30" s="0" t="n">
        <f aca="false">IF(B30&lt;x_H,(1+x_dk)^(-B30),0)</f>
        <v>0.436296687610857</v>
      </c>
      <c r="D30" s="0" t="n">
        <f aca="false">IF(B30&lt;x_H,(1+x_de)^(-B30),0)</f>
        <v>0.557203779434577</v>
      </c>
      <c r="E30" s="0" t="n">
        <f aca="false">(L_I1!AO20-L_S1!AO20)*C30</f>
        <v>-5673372.87450204</v>
      </c>
      <c r="F30" s="0" t="n">
        <f aca="false">(L_I1!AP20-L_S1!AP20)*C30</f>
        <v>-9870287.06713085</v>
      </c>
      <c r="G30" s="0" t="n">
        <f aca="false">(L_I1!AQ20-L_S1!AQ20)*C30</f>
        <v>-13242006.939179</v>
      </c>
      <c r="H30" s="0" t="n">
        <f aca="false">(L_I1!AS20-L_S1!AS20)*C30</f>
        <v>0</v>
      </c>
      <c r="I30" s="0" t="n">
        <f aca="false">I29+E30</f>
        <v>539510809.813474</v>
      </c>
      <c r="J30" s="0" t="n">
        <f aca="false">J29+F30</f>
        <v>500275827.213475</v>
      </c>
      <c r="K30" s="0" t="n">
        <f aca="false">K29+G30</f>
        <v>459118065.754874</v>
      </c>
      <c r="L30" s="0" t="n">
        <f aca="false">MAX(L29,J30)</f>
        <v>576108893.979925</v>
      </c>
      <c r="M30" s="0" t="n">
        <f aca="false">IF(AND(B30&lt;x_H,J30&lt;=0,L29&gt;0),1,0)</f>
        <v>0</v>
      </c>
      <c r="N30" s="0" t="n">
        <f aca="false">IF(AND(B30&lt;x_H,I30&lt;=0,O29&gt;0),1,0)</f>
        <v>0</v>
      </c>
      <c r="O30" s="0" t="n">
        <f aca="false">MAX(O29,I30)</f>
        <v>578037138.716968</v>
      </c>
      <c r="P30" s="0" t="n">
        <f aca="false">(L_I1!V20-L_S1!V20)*D30</f>
        <v>532.493463428004</v>
      </c>
    </row>
    <row r="31" customFormat="false" ht="15" hidden="false" customHeight="false" outlineLevel="0" collapsed="false">
      <c r="A31" s="0" t="n">
        <v>2044</v>
      </c>
      <c r="B31" s="0" t="n">
        <v>18</v>
      </c>
      <c r="C31" s="0" t="n">
        <f aca="false">IF(B31&lt;x_H,(1+x_dk)^(-B31),0)</f>
        <v>0.415520654867483</v>
      </c>
      <c r="D31" s="0" t="n">
        <f aca="false">IF(B31&lt;x_H,(1+x_de)^(-B31),0)</f>
        <v>0.538361139550316</v>
      </c>
      <c r="E31" s="0" t="n">
        <f aca="false">(L_I1!AO21-L_S1!AO21)*C31</f>
        <v>-5642938.99120837</v>
      </c>
      <c r="F31" s="0" t="n">
        <f aca="false">(L_I1!AP21-L_S1!AP21)*C31</f>
        <v>-10127990.4989274</v>
      </c>
      <c r="G31" s="0" t="n">
        <f aca="false">(L_I1!AQ21-L_S1!AQ21)*C31</f>
        <v>-13774980.0073978</v>
      </c>
      <c r="H31" s="0" t="n">
        <f aca="false">(L_I1!AS21-L_S1!AS21)*C31</f>
        <v>0</v>
      </c>
      <c r="I31" s="0" t="n">
        <f aca="false">I30+E31</f>
        <v>533867870.822265</v>
      </c>
      <c r="J31" s="0" t="n">
        <f aca="false">J30+F31</f>
        <v>490147836.714547</v>
      </c>
      <c r="K31" s="0" t="n">
        <f aca="false">K30+G31</f>
        <v>445343085.747476</v>
      </c>
      <c r="L31" s="0" t="n">
        <f aca="false">MAX(L30,J31)</f>
        <v>576108893.979925</v>
      </c>
      <c r="M31" s="0" t="n">
        <f aca="false">IF(AND(B31&lt;x_H,J31&lt;=0,L30&gt;0),1,0)</f>
        <v>0</v>
      </c>
      <c r="N31" s="0" t="n">
        <f aca="false">IF(AND(B31&lt;x_H,I31&lt;=0,O30&gt;0),1,0)</f>
        <v>0</v>
      </c>
      <c r="O31" s="0" t="n">
        <f aca="false">MAX(O30,I31)</f>
        <v>578037138.716968</v>
      </c>
      <c r="P31" s="0" t="n">
        <f aca="false">(L_I1!V21-L_S1!V21)*D31</f>
        <v>533.217098861917</v>
      </c>
    </row>
    <row r="32" customFormat="false" ht="15" hidden="false" customHeight="false" outlineLevel="0" collapsed="false">
      <c r="A32" s="0" t="n">
        <v>2045</v>
      </c>
      <c r="B32" s="0" t="n">
        <v>19</v>
      </c>
      <c r="C32" s="0" t="n">
        <f aca="false">IF(B32&lt;x_H,(1+x_dk)^(-B32),0)</f>
        <v>0.39573395701665</v>
      </c>
      <c r="D32" s="0" t="n">
        <f aca="false">IF(B32&lt;x_H,(1+x_de)^(-B32),0)</f>
        <v>0.520155690386779</v>
      </c>
      <c r="E32" s="0" t="n">
        <f aca="false">(L_I1!AO22-L_S1!AO22)*C32</f>
        <v>-5558663.84905589</v>
      </c>
      <c r="F32" s="0" t="n">
        <f aca="false">(L_I1!AP22-L_S1!AP22)*C32</f>
        <v>-10318441.9982409</v>
      </c>
      <c r="G32" s="0" t="n">
        <f aca="false">(L_I1!AQ22-L_S1!AQ22)*C32</f>
        <v>-14231169.0830172</v>
      </c>
      <c r="H32" s="0" t="n">
        <f aca="false">(L_I1!AS22-L_S1!AS22)*C32</f>
        <v>0</v>
      </c>
      <c r="I32" s="0" t="n">
        <f aca="false">I31+E32</f>
        <v>528309206.973209</v>
      </c>
      <c r="J32" s="0" t="n">
        <f aca="false">J31+F32</f>
        <v>479829394.716306</v>
      </c>
      <c r="K32" s="0" t="n">
        <f aca="false">K31+G32</f>
        <v>431111916.664459</v>
      </c>
      <c r="L32" s="0" t="n">
        <f aca="false">MAX(L31,J32)</f>
        <v>576108893.979925</v>
      </c>
      <c r="M32" s="0" t="n">
        <f aca="false">IF(AND(B32&lt;x_H,J32&lt;=0,L31&gt;0),1,0)</f>
        <v>0</v>
      </c>
      <c r="N32" s="0" t="n">
        <f aca="false">IF(AND(B32&lt;x_H,I32&lt;=0,O31&gt;0),1,0)</f>
        <v>0</v>
      </c>
      <c r="O32" s="0" t="n">
        <f aca="false">MAX(O31,I32)</f>
        <v>578037138.716968</v>
      </c>
      <c r="P32" s="0" t="n">
        <f aca="false">(L_I1!V22-L_S1!V22)*D32</f>
        <v>532.364784751527</v>
      </c>
    </row>
    <row r="33" customFormat="false" ht="15" hidden="false" customHeight="false" outlineLevel="0" collapsed="false">
      <c r="A33" s="0" t="n">
        <v>2046</v>
      </c>
      <c r="B33" s="0" t="n">
        <v>20</v>
      </c>
      <c r="C33" s="0" t="n">
        <f aca="false">IF(B33&lt;x_H,(1+x_dk)^(-B33),0)</f>
        <v>0</v>
      </c>
      <c r="D33" s="0" t="n">
        <f aca="false">IF(B33&lt;x_H,(1+x_de)^(-B33),0)</f>
        <v>0</v>
      </c>
      <c r="E33" s="0" t="n">
        <f aca="false">(L_I1!AO23-L_S1!AO23)*C33</f>
        <v>-0</v>
      </c>
      <c r="F33" s="0" t="n">
        <f aca="false">(L_I1!AP23-L_S1!AP23)*C33</f>
        <v>-0</v>
      </c>
      <c r="G33" s="0" t="n">
        <f aca="false">(L_I1!AQ23-L_S1!AQ23)*C33</f>
        <v>-0</v>
      </c>
      <c r="H33" s="0" t="n">
        <f aca="false">(L_I1!AS23-L_S1!AS23)*C33</f>
        <v>0</v>
      </c>
      <c r="I33" s="0" t="n">
        <f aca="false">I32+E33</f>
        <v>528309206.973209</v>
      </c>
      <c r="J33" s="0" t="n">
        <f aca="false">J32+F33</f>
        <v>479829394.716306</v>
      </c>
      <c r="K33" s="0" t="n">
        <f aca="false">K32+G33</f>
        <v>431111916.664459</v>
      </c>
      <c r="L33" s="0" t="n">
        <f aca="false">MAX(L32,J33)</f>
        <v>576108893.979925</v>
      </c>
      <c r="M33" s="0" t="n">
        <f aca="false">IF(AND(B33&lt;x_H,J33&lt;=0,L32&gt;0),1,0)</f>
        <v>0</v>
      </c>
      <c r="N33" s="0" t="n">
        <f aca="false">IF(AND(B33&lt;x_H,I33&lt;=0,O32&gt;0),1,0)</f>
        <v>0</v>
      </c>
      <c r="O33" s="0" t="n">
        <f aca="false">MAX(O32,I33)</f>
        <v>578037138.716968</v>
      </c>
      <c r="P33" s="0" t="n">
        <f aca="false">(L_I1!V23-L_S1!V23)*D33</f>
        <v>0</v>
      </c>
    </row>
    <row r="34" customFormat="false" ht="15" hidden="false" customHeight="false" outlineLevel="0" collapsed="false">
      <c r="A34" s="0" t="n">
        <v>2047</v>
      </c>
      <c r="B34" s="0" t="n">
        <v>21</v>
      </c>
      <c r="C34" s="0" t="n">
        <f aca="false">IF(B34&lt;x_H,(1+x_dk)^(-B34),0)</f>
        <v>0</v>
      </c>
      <c r="D34" s="0" t="n">
        <f aca="false">IF(B34&lt;x_H,(1+x_de)^(-B34),0)</f>
        <v>0</v>
      </c>
      <c r="E34" s="0" t="n">
        <f aca="false">(L_I1!AO24-L_S1!AO24)*C34</f>
        <v>-0</v>
      </c>
      <c r="F34" s="0" t="n">
        <f aca="false">(L_I1!AP24-L_S1!AP24)*C34</f>
        <v>-0</v>
      </c>
      <c r="G34" s="0" t="n">
        <f aca="false">(L_I1!AQ24-L_S1!AQ24)*C34</f>
        <v>-0</v>
      </c>
      <c r="H34" s="0" t="n">
        <f aca="false">(L_I1!AS24-L_S1!AS24)*C34</f>
        <v>0</v>
      </c>
      <c r="I34" s="0" t="n">
        <f aca="false">I33+E34</f>
        <v>528309206.973209</v>
      </c>
      <c r="J34" s="0" t="n">
        <f aca="false">J33+F34</f>
        <v>479829394.716306</v>
      </c>
      <c r="K34" s="0" t="n">
        <f aca="false">K33+G34</f>
        <v>431111916.664459</v>
      </c>
      <c r="L34" s="0" t="n">
        <f aca="false">MAX(L33,J34)</f>
        <v>576108893.979925</v>
      </c>
      <c r="M34" s="0" t="n">
        <f aca="false">IF(AND(B34&lt;x_H,J34&lt;=0,L33&gt;0),1,0)</f>
        <v>0</v>
      </c>
      <c r="N34" s="0" t="n">
        <f aca="false">IF(AND(B34&lt;x_H,I34&lt;=0,O33&gt;0),1,0)</f>
        <v>0</v>
      </c>
      <c r="O34" s="0" t="n">
        <f aca="false">MAX(O33,I34)</f>
        <v>578037138.716968</v>
      </c>
      <c r="P34" s="0" t="n">
        <f aca="false">(L_I1!V24-L_S1!V24)*D34</f>
        <v>0</v>
      </c>
    </row>
    <row r="35" customFormat="false" ht="15" hidden="false" customHeight="false" outlineLevel="0" collapsed="false">
      <c r="A35" s="0" t="n">
        <v>2048</v>
      </c>
      <c r="B35" s="0" t="n">
        <v>22</v>
      </c>
      <c r="C35" s="0" t="n">
        <f aca="false">IF(B35&lt;x_H,(1+x_dk)^(-B35),0)</f>
        <v>0</v>
      </c>
      <c r="D35" s="0" t="n">
        <f aca="false">IF(B35&lt;x_H,(1+x_de)^(-B35),0)</f>
        <v>0</v>
      </c>
      <c r="E35" s="0" t="n">
        <f aca="false">(L_I1!AO25-L_S1!AO25)*C35</f>
        <v>-0</v>
      </c>
      <c r="F35" s="0" t="n">
        <f aca="false">(L_I1!AP25-L_S1!AP25)*C35</f>
        <v>-0</v>
      </c>
      <c r="G35" s="0" t="n">
        <f aca="false">(L_I1!AQ25-L_S1!AQ25)*C35</f>
        <v>-0</v>
      </c>
      <c r="H35" s="0" t="n">
        <f aca="false">(L_I1!AS25-L_S1!AS25)*C35</f>
        <v>0</v>
      </c>
      <c r="I35" s="0" t="n">
        <f aca="false">I34+E35</f>
        <v>528309206.973209</v>
      </c>
      <c r="J35" s="0" t="n">
        <f aca="false">J34+F35</f>
        <v>479829394.716306</v>
      </c>
      <c r="K35" s="0" t="n">
        <f aca="false">K34+G35</f>
        <v>431111916.664459</v>
      </c>
      <c r="L35" s="0" t="n">
        <f aca="false">MAX(L34,J35)</f>
        <v>576108893.979925</v>
      </c>
      <c r="M35" s="0" t="n">
        <f aca="false">IF(AND(B35&lt;x_H,J35&lt;=0,L34&gt;0),1,0)</f>
        <v>0</v>
      </c>
      <c r="N35" s="0" t="n">
        <f aca="false">IF(AND(B35&lt;x_H,I35&lt;=0,O34&gt;0),1,0)</f>
        <v>0</v>
      </c>
      <c r="O35" s="0" t="n">
        <f aca="false">MAX(O34,I35)</f>
        <v>578037138.716968</v>
      </c>
      <c r="P35" s="0" t="n">
        <f aca="false">(L_I1!V25-L_S1!V25)*D35</f>
        <v>0</v>
      </c>
    </row>
    <row r="36" customFormat="false" ht="15" hidden="false" customHeight="false" outlineLevel="0" collapsed="false">
      <c r="A36" s="0" t="n">
        <v>2049</v>
      </c>
      <c r="B36" s="0" t="n">
        <v>23</v>
      </c>
      <c r="C36" s="0" t="n">
        <f aca="false">IF(B36&lt;x_H,(1+x_dk)^(-B36),0)</f>
        <v>0</v>
      </c>
      <c r="D36" s="0" t="n">
        <f aca="false">IF(B36&lt;x_H,(1+x_de)^(-B36),0)</f>
        <v>0</v>
      </c>
      <c r="E36" s="0" t="n">
        <f aca="false">(L_I1!AO26-L_S1!AO26)*C36</f>
        <v>-0</v>
      </c>
      <c r="F36" s="0" t="n">
        <f aca="false">(L_I1!AP26-L_S1!AP26)*C36</f>
        <v>-0</v>
      </c>
      <c r="G36" s="0" t="n">
        <f aca="false">(L_I1!AQ26-L_S1!AQ26)*C36</f>
        <v>-0</v>
      </c>
      <c r="H36" s="0" t="n">
        <f aca="false">(L_I1!AS26-L_S1!AS26)*C36</f>
        <v>0</v>
      </c>
      <c r="I36" s="0" t="n">
        <f aca="false">I35+E36</f>
        <v>528309206.973209</v>
      </c>
      <c r="J36" s="0" t="n">
        <f aca="false">J35+F36</f>
        <v>479829394.716306</v>
      </c>
      <c r="K36" s="0" t="n">
        <f aca="false">K35+G36</f>
        <v>431111916.664459</v>
      </c>
      <c r="L36" s="0" t="n">
        <f aca="false">MAX(L35,J36)</f>
        <v>576108893.979925</v>
      </c>
      <c r="M36" s="0" t="n">
        <f aca="false">IF(AND(B36&lt;x_H,J36&lt;=0,L35&gt;0),1,0)</f>
        <v>0</v>
      </c>
      <c r="N36" s="0" t="n">
        <f aca="false">IF(AND(B36&lt;x_H,I36&lt;=0,O35&gt;0),1,0)</f>
        <v>0</v>
      </c>
      <c r="O36" s="0" t="n">
        <f aca="false">MAX(O35,I36)</f>
        <v>578037138.716968</v>
      </c>
      <c r="P36" s="0" t="n">
        <f aca="false">(L_I1!V26-L_S1!V26)*D36</f>
        <v>0</v>
      </c>
    </row>
    <row r="37" customFormat="false" ht="15" hidden="false" customHeight="false" outlineLevel="0" collapsed="false">
      <c r="A37" s="0" t="n">
        <v>2050</v>
      </c>
      <c r="B37" s="0" t="n">
        <v>24</v>
      </c>
      <c r="C37" s="0" t="n">
        <f aca="false">IF(B37&lt;x_H,(1+x_dk)^(-B37),0)</f>
        <v>0</v>
      </c>
      <c r="D37" s="0" t="n">
        <f aca="false">IF(B37&lt;x_H,(1+x_de)^(-B37),0)</f>
        <v>0</v>
      </c>
      <c r="E37" s="0" t="n">
        <f aca="false">(L_I1!AO27-L_S1!AO27)*C37</f>
        <v>-0</v>
      </c>
      <c r="F37" s="0" t="n">
        <f aca="false">(L_I1!AP27-L_S1!AP27)*C37</f>
        <v>-0</v>
      </c>
      <c r="G37" s="0" t="n">
        <f aca="false">(L_I1!AQ27-L_S1!AQ27)*C37</f>
        <v>-0</v>
      </c>
      <c r="H37" s="0" t="n">
        <f aca="false">(L_I1!AS27-L_S1!AS27)*C37</f>
        <v>0</v>
      </c>
      <c r="I37" s="0" t="n">
        <f aca="false">I36+E37</f>
        <v>528309206.973209</v>
      </c>
      <c r="J37" s="0" t="n">
        <f aca="false">J36+F37</f>
        <v>479829394.716306</v>
      </c>
      <c r="K37" s="0" t="n">
        <f aca="false">K36+G37</f>
        <v>431111916.664459</v>
      </c>
      <c r="L37" s="0" t="n">
        <f aca="false">MAX(L36,J37)</f>
        <v>576108893.979925</v>
      </c>
      <c r="M37" s="0" t="n">
        <f aca="false">IF(AND(B37&lt;x_H,J37&lt;=0,L36&gt;0),1,0)</f>
        <v>0</v>
      </c>
      <c r="N37" s="0" t="n">
        <f aca="false">IF(AND(B37&lt;x_H,I37&lt;=0,O36&gt;0),1,0)</f>
        <v>0</v>
      </c>
      <c r="O37" s="0" t="n">
        <f aca="false">MAX(O36,I37)</f>
        <v>578037138.716968</v>
      </c>
      <c r="P37" s="0" t="n">
        <f aca="false">(L_I1!V27-L_S1!V27)*D37</f>
        <v>0</v>
      </c>
    </row>
    <row r="38" customFormat="false" ht="15" hidden="false" customHeight="false" outlineLevel="0" collapsed="false">
      <c r="A38" s="0" t="n">
        <v>2051</v>
      </c>
      <c r="B38" s="0" t="n">
        <v>25</v>
      </c>
      <c r="C38" s="0" t="n">
        <f aca="false">IF(B38&lt;x_H,(1+x_dk)^(-B38),0)</f>
        <v>0</v>
      </c>
      <c r="D38" s="0" t="n">
        <f aca="false">IF(B38&lt;x_H,(1+x_de)^(-B38),0)</f>
        <v>0</v>
      </c>
      <c r="E38" s="0" t="n">
        <f aca="false">(L_I1!AO28-L_S1!AO28)*C38</f>
        <v>-0</v>
      </c>
      <c r="F38" s="0" t="n">
        <f aca="false">(L_I1!AP28-L_S1!AP28)*C38</f>
        <v>-0</v>
      </c>
      <c r="G38" s="0" t="n">
        <f aca="false">(L_I1!AQ28-L_S1!AQ28)*C38</f>
        <v>-0</v>
      </c>
      <c r="H38" s="0" t="n">
        <f aca="false">(L_I1!AS28-L_S1!AS28)*C38</f>
        <v>0</v>
      </c>
      <c r="I38" s="0" t="n">
        <f aca="false">I37+E38</f>
        <v>528309206.973209</v>
      </c>
      <c r="J38" s="0" t="n">
        <f aca="false">J37+F38</f>
        <v>479829394.716306</v>
      </c>
      <c r="K38" s="0" t="n">
        <f aca="false">K37+G38</f>
        <v>431111916.664459</v>
      </c>
      <c r="L38" s="0" t="n">
        <f aca="false">MAX(L37,J38)</f>
        <v>576108893.979925</v>
      </c>
      <c r="M38" s="0" t="n">
        <f aca="false">IF(AND(B38&lt;x_H,J38&lt;=0,L37&gt;0),1,0)</f>
        <v>0</v>
      </c>
      <c r="N38" s="0" t="n">
        <f aca="false">IF(AND(B38&lt;x_H,I38&lt;=0,O37&gt;0),1,0)</f>
        <v>0</v>
      </c>
      <c r="O38" s="0" t="n">
        <f aca="false">MAX(O37,I38)</f>
        <v>578037138.716968</v>
      </c>
      <c r="P38" s="0" t="n">
        <f aca="false">(L_I1!V28-L_S1!V28)*D38</f>
        <v>0</v>
      </c>
    </row>
    <row r="39" customFormat="false" ht="15" hidden="false" customHeight="false" outlineLevel="0" collapsed="false">
      <c r="A39" s="0" t="n">
        <v>2052</v>
      </c>
      <c r="B39" s="0" t="n">
        <v>26</v>
      </c>
      <c r="C39" s="0" t="n">
        <f aca="false">IF(B39&lt;x_H,(1+x_dk)^(-B39),0)</f>
        <v>0</v>
      </c>
      <c r="D39" s="0" t="n">
        <f aca="false">IF(B39&lt;x_H,(1+x_de)^(-B39),0)</f>
        <v>0</v>
      </c>
      <c r="E39" s="0" t="n">
        <f aca="false">(L_I1!AO29-L_S1!AO29)*C39</f>
        <v>-0</v>
      </c>
      <c r="F39" s="0" t="n">
        <f aca="false">(L_I1!AP29-L_S1!AP29)*C39</f>
        <v>-0</v>
      </c>
      <c r="G39" s="0" t="n">
        <f aca="false">(L_I1!AQ29-L_S1!AQ29)*C39</f>
        <v>-0</v>
      </c>
      <c r="H39" s="0" t="n">
        <f aca="false">(L_I1!AS29-L_S1!AS29)*C39</f>
        <v>0</v>
      </c>
      <c r="I39" s="0" t="n">
        <f aca="false">I38+E39</f>
        <v>528309206.973209</v>
      </c>
      <c r="J39" s="0" t="n">
        <f aca="false">J38+F39</f>
        <v>479829394.716306</v>
      </c>
      <c r="K39" s="0" t="n">
        <f aca="false">K38+G39</f>
        <v>431111916.664459</v>
      </c>
      <c r="L39" s="0" t="n">
        <f aca="false">MAX(L38,J39)</f>
        <v>576108893.979925</v>
      </c>
      <c r="M39" s="0" t="n">
        <f aca="false">IF(AND(B39&lt;x_H,J39&lt;=0,L38&gt;0),1,0)</f>
        <v>0</v>
      </c>
      <c r="N39" s="0" t="n">
        <f aca="false">IF(AND(B39&lt;x_H,I39&lt;=0,O38&gt;0),1,0)</f>
        <v>0</v>
      </c>
      <c r="O39" s="0" t="n">
        <f aca="false">MAX(O38,I39)</f>
        <v>578037138.716968</v>
      </c>
      <c r="P39" s="0" t="n">
        <f aca="false">(L_I1!V29-L_S1!V29)*D39</f>
        <v>0</v>
      </c>
    </row>
    <row r="40" customFormat="false" ht="15" hidden="false" customHeight="false" outlineLevel="0" collapsed="false">
      <c r="A40" s="0" t="n">
        <v>2053</v>
      </c>
      <c r="B40" s="0" t="n">
        <v>27</v>
      </c>
      <c r="C40" s="0" t="n">
        <f aca="false">IF(B40&lt;x_H,(1+x_dk)^(-B40),0)</f>
        <v>0</v>
      </c>
      <c r="D40" s="0" t="n">
        <f aca="false">IF(B40&lt;x_H,(1+x_de)^(-B40),0)</f>
        <v>0</v>
      </c>
      <c r="E40" s="0" t="n">
        <f aca="false">(L_I1!AO30-L_S1!AO30)*C40</f>
        <v>-0</v>
      </c>
      <c r="F40" s="0" t="n">
        <f aca="false">(L_I1!AP30-L_S1!AP30)*C40</f>
        <v>-0</v>
      </c>
      <c r="G40" s="0" t="n">
        <f aca="false">(L_I1!AQ30-L_S1!AQ30)*C40</f>
        <v>-0</v>
      </c>
      <c r="H40" s="0" t="n">
        <f aca="false">(L_I1!AS30-L_S1!AS30)*C40</f>
        <v>0</v>
      </c>
      <c r="I40" s="0" t="n">
        <f aca="false">I39+E40</f>
        <v>528309206.973209</v>
      </c>
      <c r="J40" s="0" t="n">
        <f aca="false">J39+F40</f>
        <v>479829394.716306</v>
      </c>
      <c r="K40" s="0" t="n">
        <f aca="false">K39+G40</f>
        <v>431111916.664459</v>
      </c>
      <c r="L40" s="0" t="n">
        <f aca="false">MAX(L39,J40)</f>
        <v>576108893.979925</v>
      </c>
      <c r="M40" s="0" t="n">
        <f aca="false">IF(AND(B40&lt;x_H,J40&lt;=0,L39&gt;0),1,0)</f>
        <v>0</v>
      </c>
      <c r="N40" s="0" t="n">
        <f aca="false">IF(AND(B40&lt;x_H,I40&lt;=0,O39&gt;0),1,0)</f>
        <v>0</v>
      </c>
      <c r="O40" s="0" t="n">
        <f aca="false">MAX(O39,I40)</f>
        <v>578037138.716968</v>
      </c>
      <c r="P40" s="0" t="n">
        <f aca="false">(L_I1!V30-L_S1!V30)*D40</f>
        <v>0</v>
      </c>
    </row>
    <row r="41" customFormat="false" ht="15" hidden="false" customHeight="false" outlineLevel="0" collapsed="false">
      <c r="A41" s="0" t="n">
        <v>2054</v>
      </c>
      <c r="B41" s="0" t="n">
        <v>28</v>
      </c>
      <c r="C41" s="0" t="n">
        <f aca="false">IF(B41&lt;x_H,(1+x_dk)^(-B41),0)</f>
        <v>0</v>
      </c>
      <c r="D41" s="0" t="n">
        <f aca="false">IF(B41&lt;x_H,(1+x_de)^(-B41),0)</f>
        <v>0</v>
      </c>
      <c r="E41" s="0" t="n">
        <f aca="false">(L_I1!AO31-L_S1!AO31)*C41</f>
        <v>-0</v>
      </c>
      <c r="F41" s="0" t="n">
        <f aca="false">(L_I1!AP31-L_S1!AP31)*C41</f>
        <v>-0</v>
      </c>
      <c r="G41" s="0" t="n">
        <f aca="false">(L_I1!AQ31-L_S1!AQ31)*C41</f>
        <v>-0</v>
      </c>
      <c r="H41" s="0" t="n">
        <f aca="false">(L_I1!AS31-L_S1!AS31)*C41</f>
        <v>0</v>
      </c>
      <c r="I41" s="0" t="n">
        <f aca="false">I40+E41</f>
        <v>528309206.973209</v>
      </c>
      <c r="J41" s="0" t="n">
        <f aca="false">J40+F41</f>
        <v>479829394.716306</v>
      </c>
      <c r="K41" s="0" t="n">
        <f aca="false">K40+G41</f>
        <v>431111916.664459</v>
      </c>
      <c r="L41" s="0" t="n">
        <f aca="false">MAX(L40,J41)</f>
        <v>576108893.979925</v>
      </c>
      <c r="M41" s="0" t="n">
        <f aca="false">IF(AND(B41&lt;x_H,J41&lt;=0,L40&gt;0),1,0)</f>
        <v>0</v>
      </c>
      <c r="N41" s="0" t="n">
        <f aca="false">IF(AND(B41&lt;x_H,I41&lt;=0,O40&gt;0),1,0)</f>
        <v>0</v>
      </c>
      <c r="O41" s="0" t="n">
        <f aca="false">MAX(O40,I41)</f>
        <v>578037138.716968</v>
      </c>
      <c r="P41" s="0" t="n">
        <f aca="false">(L_I1!V31-L_S1!V31)*D41</f>
        <v>0</v>
      </c>
    </row>
    <row r="42" customFormat="false" ht="15" hidden="false" customHeight="false" outlineLevel="0" collapsed="false">
      <c r="A42" s="0" t="n">
        <v>2055</v>
      </c>
      <c r="B42" s="0" t="n">
        <v>29</v>
      </c>
      <c r="C42" s="0" t="n">
        <f aca="false">IF(B42&lt;x_H,(1+x_dk)^(-B42),0)</f>
        <v>0</v>
      </c>
      <c r="D42" s="0" t="n">
        <f aca="false">IF(B42&lt;x_H,(1+x_de)^(-B42),0)</f>
        <v>0</v>
      </c>
      <c r="E42" s="0" t="n">
        <f aca="false">(L_I1!AO32-L_S1!AO32)*C42</f>
        <v>-0</v>
      </c>
      <c r="F42" s="0" t="n">
        <f aca="false">(L_I1!AP32-L_S1!AP32)*C42</f>
        <v>-0</v>
      </c>
      <c r="G42" s="0" t="n">
        <f aca="false">(L_I1!AQ32-L_S1!AQ32)*C42</f>
        <v>-0</v>
      </c>
      <c r="H42" s="0" t="n">
        <f aca="false">(L_I1!AS32-L_S1!AS32)*C42</f>
        <v>0</v>
      </c>
      <c r="I42" s="0" t="n">
        <f aca="false">I41+E42</f>
        <v>528309206.973209</v>
      </c>
      <c r="J42" s="0" t="n">
        <f aca="false">J41+F42</f>
        <v>479829394.716306</v>
      </c>
      <c r="K42" s="0" t="n">
        <f aca="false">K41+G42</f>
        <v>431111916.664459</v>
      </c>
      <c r="L42" s="0" t="n">
        <f aca="false">MAX(L41,J42)</f>
        <v>576108893.979925</v>
      </c>
      <c r="M42" s="0" t="n">
        <f aca="false">IF(AND(B42&lt;x_H,J42&lt;=0,L41&gt;0),1,0)</f>
        <v>0</v>
      </c>
      <c r="N42" s="0" t="n">
        <f aca="false">IF(AND(B42&lt;x_H,I42&lt;=0,O41&gt;0),1,0)</f>
        <v>0</v>
      </c>
      <c r="O42" s="0" t="n">
        <f aca="false">MAX(O41,I42)</f>
        <v>578037138.716968</v>
      </c>
      <c r="P42" s="0" t="n">
        <f aca="false">(L_I1!V32-L_S1!V32)*D42</f>
        <v>0</v>
      </c>
    </row>
    <row r="43" customFormat="false" ht="15" hidden="false" customHeight="false" outlineLevel="0" collapsed="false">
      <c r="A43" s="0" t="n">
        <v>2056</v>
      </c>
      <c r="B43" s="0" t="n">
        <v>30</v>
      </c>
      <c r="C43" s="0" t="n">
        <f aca="false">IF(B43&lt;x_H,(1+x_dk)^(-B43),0)</f>
        <v>0</v>
      </c>
      <c r="D43" s="0" t="n">
        <f aca="false">IF(B43&lt;x_H,(1+x_de)^(-B43),0)</f>
        <v>0</v>
      </c>
      <c r="E43" s="0" t="n">
        <f aca="false">(L_I1!AO33-L_S1!AO33)*C43</f>
        <v>-0</v>
      </c>
      <c r="F43" s="0" t="n">
        <f aca="false">(L_I1!AP33-L_S1!AP33)*C43</f>
        <v>-0</v>
      </c>
      <c r="G43" s="0" t="n">
        <f aca="false">(L_I1!AQ33-L_S1!AQ33)*C43</f>
        <v>-0</v>
      </c>
      <c r="H43" s="0" t="n">
        <f aca="false">(L_I1!AS33-L_S1!AS33)*C43</f>
        <v>0</v>
      </c>
      <c r="I43" s="0" t="n">
        <f aca="false">I42+E43</f>
        <v>528309206.973209</v>
      </c>
      <c r="J43" s="0" t="n">
        <f aca="false">J42+F43</f>
        <v>479829394.716306</v>
      </c>
      <c r="K43" s="0" t="n">
        <f aca="false">K42+G43</f>
        <v>431111916.664459</v>
      </c>
      <c r="L43" s="0" t="n">
        <f aca="false">MAX(L42,J43)</f>
        <v>576108893.979925</v>
      </c>
      <c r="M43" s="0" t="n">
        <f aca="false">IF(AND(B43&lt;x_H,J43&lt;=0,L42&gt;0),1,0)</f>
        <v>0</v>
      </c>
      <c r="N43" s="0" t="n">
        <f aca="false">IF(AND(B43&lt;x_H,I43&lt;=0,O42&gt;0),1,0)</f>
        <v>0</v>
      </c>
      <c r="O43" s="0" t="n">
        <f aca="false">MAX(O42,I43)</f>
        <v>578037138.716968</v>
      </c>
      <c r="P43" s="0" t="n">
        <f aca="false">(L_I1!V33-L_S1!V33)*D43</f>
        <v>0</v>
      </c>
    </row>
    <row r="44" customFormat="false" ht="15" hidden="false" customHeight="false" outlineLevel="0" collapsed="false">
      <c r="A44" s="0" t="n">
        <v>2057</v>
      </c>
      <c r="B44" s="0" t="n">
        <v>31</v>
      </c>
      <c r="C44" s="0" t="n">
        <f aca="false">IF(B44&lt;x_H,(1+x_dk)^(-B44),0)</f>
        <v>0</v>
      </c>
      <c r="D44" s="0" t="n">
        <f aca="false">IF(B44&lt;x_H,(1+x_de)^(-B44),0)</f>
        <v>0</v>
      </c>
      <c r="E44" s="0" t="n">
        <f aca="false">(L_I1!AO34-L_S1!AO34)*C44</f>
        <v>-0</v>
      </c>
      <c r="F44" s="0" t="n">
        <f aca="false">(L_I1!AP34-L_S1!AP34)*C44</f>
        <v>-0</v>
      </c>
      <c r="G44" s="0" t="n">
        <f aca="false">(L_I1!AQ34-L_S1!AQ34)*C44</f>
        <v>-0</v>
      </c>
      <c r="H44" s="0" t="n">
        <f aca="false">(L_I1!AS34-L_S1!AS34)*C44</f>
        <v>0</v>
      </c>
      <c r="I44" s="0" t="n">
        <f aca="false">I43+E44</f>
        <v>528309206.973209</v>
      </c>
      <c r="J44" s="0" t="n">
        <f aca="false">J43+F44</f>
        <v>479829394.716306</v>
      </c>
      <c r="K44" s="0" t="n">
        <f aca="false">K43+G44</f>
        <v>431111916.664459</v>
      </c>
      <c r="L44" s="0" t="n">
        <f aca="false">MAX(L43,J44)</f>
        <v>576108893.979925</v>
      </c>
      <c r="M44" s="0" t="n">
        <f aca="false">IF(AND(B44&lt;x_H,J44&lt;=0,L43&gt;0),1,0)</f>
        <v>0</v>
      </c>
      <c r="N44" s="0" t="n">
        <f aca="false">IF(AND(B44&lt;x_H,I44&lt;=0,O43&gt;0),1,0)</f>
        <v>0</v>
      </c>
      <c r="O44" s="0" t="n">
        <f aca="false">MAX(O43,I44)</f>
        <v>578037138.716968</v>
      </c>
      <c r="P44" s="0" t="n">
        <f aca="false">(L_I1!V34-L_S1!V34)*D44</f>
        <v>0</v>
      </c>
    </row>
    <row r="45" customFormat="false" ht="15" hidden="false" customHeight="false" outlineLevel="0" collapsed="false">
      <c r="A45" s="0" t="n">
        <v>2058</v>
      </c>
      <c r="B45" s="0" t="n">
        <v>32</v>
      </c>
      <c r="C45" s="0" t="n">
        <f aca="false">IF(B45&lt;x_H,(1+x_dk)^(-B45),0)</f>
        <v>0</v>
      </c>
      <c r="D45" s="0" t="n">
        <f aca="false">IF(B45&lt;x_H,(1+x_de)^(-B45),0)</f>
        <v>0</v>
      </c>
      <c r="E45" s="0" t="n">
        <f aca="false">(L_I1!AO35-L_S1!AO35)*C45</f>
        <v>-0</v>
      </c>
      <c r="F45" s="0" t="n">
        <f aca="false">(L_I1!AP35-L_S1!AP35)*C45</f>
        <v>-0</v>
      </c>
      <c r="G45" s="0" t="n">
        <f aca="false">(L_I1!AQ35-L_S1!AQ35)*C45</f>
        <v>-0</v>
      </c>
      <c r="H45" s="0" t="n">
        <f aca="false">(L_I1!AS35-L_S1!AS35)*C45</f>
        <v>0</v>
      </c>
      <c r="I45" s="0" t="n">
        <f aca="false">I44+E45</f>
        <v>528309206.973209</v>
      </c>
      <c r="J45" s="0" t="n">
        <f aca="false">J44+F45</f>
        <v>479829394.716306</v>
      </c>
      <c r="K45" s="0" t="n">
        <f aca="false">K44+G45</f>
        <v>431111916.664459</v>
      </c>
      <c r="L45" s="0" t="n">
        <f aca="false">MAX(L44,J45)</f>
        <v>576108893.979925</v>
      </c>
      <c r="M45" s="0" t="n">
        <f aca="false">IF(AND(B45&lt;x_H,J45&lt;=0,L44&gt;0),1,0)</f>
        <v>0</v>
      </c>
      <c r="N45" s="0" t="n">
        <f aca="false">IF(AND(B45&lt;x_H,I45&lt;=0,O44&gt;0),1,0)</f>
        <v>0</v>
      </c>
      <c r="O45" s="0" t="n">
        <f aca="false">MAX(O44,I45)</f>
        <v>578037138.716968</v>
      </c>
      <c r="P45" s="0" t="n">
        <f aca="false">(L_I1!V35-L_S1!V35)*D45</f>
        <v>0</v>
      </c>
    </row>
    <row r="46" customFormat="false" ht="15" hidden="false" customHeight="false" outlineLevel="0" collapsed="false">
      <c r="A46" s="0" t="n">
        <v>2059</v>
      </c>
      <c r="B46" s="0" t="n">
        <v>33</v>
      </c>
      <c r="C46" s="0" t="n">
        <f aca="false">IF(B46&lt;x_H,(1+x_dk)^(-B46),0)</f>
        <v>0</v>
      </c>
      <c r="D46" s="0" t="n">
        <f aca="false">IF(B46&lt;x_H,(1+x_de)^(-B46),0)</f>
        <v>0</v>
      </c>
      <c r="E46" s="0" t="n">
        <f aca="false">(L_I1!AO36-L_S1!AO36)*C46</f>
        <v>-0</v>
      </c>
      <c r="F46" s="0" t="n">
        <f aca="false">(L_I1!AP36-L_S1!AP36)*C46</f>
        <v>-0</v>
      </c>
      <c r="G46" s="0" t="n">
        <f aca="false">(L_I1!AQ36-L_S1!AQ36)*C46</f>
        <v>-0</v>
      </c>
      <c r="H46" s="0" t="n">
        <f aca="false">(L_I1!AS36-L_S1!AS36)*C46</f>
        <v>0</v>
      </c>
      <c r="I46" s="0" t="n">
        <f aca="false">I45+E46</f>
        <v>528309206.973209</v>
      </c>
      <c r="J46" s="0" t="n">
        <f aca="false">J45+F46</f>
        <v>479829394.716306</v>
      </c>
      <c r="K46" s="0" t="n">
        <f aca="false">K45+G46</f>
        <v>431111916.664459</v>
      </c>
      <c r="L46" s="0" t="n">
        <f aca="false">MAX(L45,J46)</f>
        <v>576108893.979925</v>
      </c>
      <c r="M46" s="0" t="n">
        <f aca="false">IF(AND(B46&lt;x_H,J46&lt;=0,L45&gt;0),1,0)</f>
        <v>0</v>
      </c>
      <c r="N46" s="0" t="n">
        <f aca="false">IF(AND(B46&lt;x_H,I46&lt;=0,O45&gt;0),1,0)</f>
        <v>0</v>
      </c>
      <c r="O46" s="0" t="n">
        <f aca="false">MAX(O45,I46)</f>
        <v>578037138.716968</v>
      </c>
      <c r="P46" s="0" t="n">
        <f aca="false">(L_I1!V36-L_S1!V36)*D46</f>
        <v>0</v>
      </c>
    </row>
    <row r="47" customFormat="false" ht="15" hidden="false" customHeight="false" outlineLevel="0" collapsed="false">
      <c r="A47" s="0" t="n">
        <v>2060</v>
      </c>
      <c r="B47" s="0" t="n">
        <v>34</v>
      </c>
      <c r="C47" s="0" t="n">
        <f aca="false">IF(B47&lt;x_H,(1+x_dk)^(-B47),0)</f>
        <v>0</v>
      </c>
      <c r="D47" s="0" t="n">
        <f aca="false">IF(B47&lt;x_H,(1+x_de)^(-B47),0)</f>
        <v>0</v>
      </c>
      <c r="E47" s="0" t="n">
        <f aca="false">(L_I1!AO37-L_S1!AO37)*C47</f>
        <v>-0</v>
      </c>
      <c r="F47" s="0" t="n">
        <f aca="false">(L_I1!AP37-L_S1!AP37)*C47</f>
        <v>-0</v>
      </c>
      <c r="G47" s="0" t="n">
        <f aca="false">(L_I1!AQ37-L_S1!AQ37)*C47</f>
        <v>-0</v>
      </c>
      <c r="H47" s="0" t="n">
        <f aca="false">(L_I1!AS37-L_S1!AS37)*C47</f>
        <v>0</v>
      </c>
      <c r="I47" s="0" t="n">
        <f aca="false">I46+E47</f>
        <v>528309206.973209</v>
      </c>
      <c r="J47" s="0" t="n">
        <f aca="false">J46+F47</f>
        <v>479829394.716306</v>
      </c>
      <c r="K47" s="0" t="n">
        <f aca="false">K46+G47</f>
        <v>431111916.664459</v>
      </c>
      <c r="L47" s="0" t="n">
        <f aca="false">MAX(L46,J47)</f>
        <v>576108893.979925</v>
      </c>
      <c r="M47" s="0" t="n">
        <f aca="false">IF(AND(B47&lt;x_H,J47&lt;=0,L46&gt;0),1,0)</f>
        <v>0</v>
      </c>
      <c r="N47" s="0" t="n">
        <f aca="false">IF(AND(B47&lt;x_H,I47&lt;=0,O46&gt;0),1,0)</f>
        <v>0</v>
      </c>
      <c r="O47" s="0" t="n">
        <f aca="false">MAX(O46,I47)</f>
        <v>578037138.716968</v>
      </c>
      <c r="P47" s="0" t="n">
        <f aca="false">(L_I1!V37-L_S1!V37)*D47</f>
        <v>0</v>
      </c>
    </row>
    <row r="48" customFormat="false" ht="15" hidden="false" customHeight="false" outlineLevel="0" collapsed="false">
      <c r="A48" s="0" t="n">
        <v>2061</v>
      </c>
      <c r="B48" s="0" t="n">
        <v>35</v>
      </c>
      <c r="C48" s="0" t="n">
        <f aca="false">IF(B48&lt;x_H,(1+x_dk)^(-B48),0)</f>
        <v>0</v>
      </c>
      <c r="D48" s="0" t="n">
        <f aca="false">IF(B48&lt;x_H,(1+x_de)^(-B48),0)</f>
        <v>0</v>
      </c>
      <c r="E48" s="0" t="n">
        <f aca="false">(L_I1!AO38-L_S1!AO38)*C48</f>
        <v>-0</v>
      </c>
      <c r="F48" s="0" t="n">
        <f aca="false">(L_I1!AP38-L_S1!AP38)*C48</f>
        <v>-0</v>
      </c>
      <c r="G48" s="0" t="n">
        <f aca="false">(L_I1!AQ38-L_S1!AQ38)*C48</f>
        <v>-0</v>
      </c>
      <c r="H48" s="0" t="n">
        <f aca="false">(L_I1!AS38-L_S1!AS38)*C48</f>
        <v>0</v>
      </c>
      <c r="I48" s="0" t="n">
        <f aca="false">I47+E48</f>
        <v>528309206.973209</v>
      </c>
      <c r="J48" s="0" t="n">
        <f aca="false">J47+F48</f>
        <v>479829394.716306</v>
      </c>
      <c r="K48" s="0" t="n">
        <f aca="false">K47+G48</f>
        <v>431111916.664459</v>
      </c>
      <c r="L48" s="0" t="n">
        <f aca="false">MAX(L47,J48)</f>
        <v>576108893.979925</v>
      </c>
      <c r="M48" s="0" t="n">
        <f aca="false">IF(AND(B48&lt;x_H,J48&lt;=0,L47&gt;0),1,0)</f>
        <v>0</v>
      </c>
      <c r="N48" s="0" t="n">
        <f aca="false">IF(AND(B48&lt;x_H,I48&lt;=0,O47&gt;0),1,0)</f>
        <v>0</v>
      </c>
      <c r="O48" s="0" t="n">
        <f aca="false">MAX(O47,I48)</f>
        <v>578037138.716968</v>
      </c>
      <c r="P48" s="0" t="n">
        <f aca="false">(L_I1!V38-L_S1!V38)*D48</f>
        <v>0</v>
      </c>
    </row>
    <row r="49" customFormat="false" ht="15" hidden="false" customHeight="false" outlineLevel="0" collapsed="false">
      <c r="A49" s="0" t="n">
        <v>2062</v>
      </c>
      <c r="B49" s="0" t="n">
        <v>36</v>
      </c>
      <c r="C49" s="0" t="n">
        <f aca="false">IF(B49&lt;x_H,(1+x_dk)^(-B49),0)</f>
        <v>0</v>
      </c>
      <c r="D49" s="0" t="n">
        <f aca="false">IF(B49&lt;x_H,(1+x_de)^(-B49),0)</f>
        <v>0</v>
      </c>
      <c r="E49" s="0" t="n">
        <f aca="false">(L_I1!AO39-L_S1!AO39)*C49</f>
        <v>-0</v>
      </c>
      <c r="F49" s="0" t="n">
        <f aca="false">(L_I1!AP39-L_S1!AP39)*C49</f>
        <v>-0</v>
      </c>
      <c r="G49" s="0" t="n">
        <f aca="false">(L_I1!AQ39-L_S1!AQ39)*C49</f>
        <v>-0</v>
      </c>
      <c r="H49" s="0" t="n">
        <f aca="false">(L_I1!AS39-L_S1!AS39)*C49</f>
        <v>0</v>
      </c>
      <c r="I49" s="0" t="n">
        <f aca="false">I48+E49</f>
        <v>528309206.973209</v>
      </c>
      <c r="J49" s="0" t="n">
        <f aca="false">J48+F49</f>
        <v>479829394.716306</v>
      </c>
      <c r="K49" s="0" t="n">
        <f aca="false">K48+G49</f>
        <v>431111916.664459</v>
      </c>
      <c r="L49" s="0" t="n">
        <f aca="false">MAX(L48,J49)</f>
        <v>576108893.979925</v>
      </c>
      <c r="M49" s="0" t="n">
        <f aca="false">IF(AND(B49&lt;x_H,J49&lt;=0,L48&gt;0),1,0)</f>
        <v>0</v>
      </c>
      <c r="N49" s="0" t="n">
        <f aca="false">IF(AND(B49&lt;x_H,I49&lt;=0,O48&gt;0),1,0)</f>
        <v>0</v>
      </c>
      <c r="O49" s="0" t="n">
        <f aca="false">MAX(O48,I49)</f>
        <v>578037138.716968</v>
      </c>
      <c r="P49" s="0" t="n">
        <f aca="false">(L_I1!V39-L_S1!V39)*D49</f>
        <v>0</v>
      </c>
    </row>
    <row r="50" customFormat="false" ht="15" hidden="false" customHeight="false" outlineLevel="0" collapsed="false">
      <c r="A50" s="0" t="n">
        <v>2063</v>
      </c>
      <c r="B50" s="0" t="n">
        <v>37</v>
      </c>
      <c r="C50" s="0" t="n">
        <f aca="false">IF(B50&lt;x_H,(1+x_dk)^(-B50),0)</f>
        <v>0</v>
      </c>
      <c r="D50" s="0" t="n">
        <f aca="false">IF(B50&lt;x_H,(1+x_de)^(-B50),0)</f>
        <v>0</v>
      </c>
      <c r="E50" s="0" t="n">
        <f aca="false">(L_I1!AO40-L_S1!AO40)*C50</f>
        <v>-0</v>
      </c>
      <c r="F50" s="0" t="n">
        <f aca="false">(L_I1!AP40-L_S1!AP40)*C50</f>
        <v>-0</v>
      </c>
      <c r="G50" s="0" t="n">
        <f aca="false">(L_I1!AQ40-L_S1!AQ40)*C50</f>
        <v>-0</v>
      </c>
      <c r="H50" s="0" t="n">
        <f aca="false">(L_I1!AS40-L_S1!AS40)*C50</f>
        <v>0</v>
      </c>
      <c r="I50" s="0" t="n">
        <f aca="false">I49+E50</f>
        <v>528309206.973209</v>
      </c>
      <c r="J50" s="0" t="n">
        <f aca="false">J49+F50</f>
        <v>479829394.716306</v>
      </c>
      <c r="K50" s="0" t="n">
        <f aca="false">K49+G50</f>
        <v>431111916.664459</v>
      </c>
      <c r="L50" s="0" t="n">
        <f aca="false">MAX(L49,J50)</f>
        <v>576108893.979925</v>
      </c>
      <c r="M50" s="0" t="n">
        <f aca="false">IF(AND(B50&lt;x_H,J50&lt;=0,L49&gt;0),1,0)</f>
        <v>0</v>
      </c>
      <c r="N50" s="0" t="n">
        <f aca="false">IF(AND(B50&lt;x_H,I50&lt;=0,O49&gt;0),1,0)</f>
        <v>0</v>
      </c>
      <c r="O50" s="0" t="n">
        <f aca="false">MAX(O49,I50)</f>
        <v>578037138.716968</v>
      </c>
      <c r="P50" s="0" t="n">
        <f aca="false">(L_I1!V40-L_S1!V40)*D50</f>
        <v>0</v>
      </c>
    </row>
    <row r="51" customFormat="false" ht="15" hidden="false" customHeight="false" outlineLevel="0" collapsed="false">
      <c r="A51" s="0" t="n">
        <v>2064</v>
      </c>
      <c r="B51" s="0" t="n">
        <v>38</v>
      </c>
      <c r="C51" s="0" t="n">
        <f aca="false">IF(B51&lt;x_H,(1+x_dk)^(-B51),0)</f>
        <v>0</v>
      </c>
      <c r="D51" s="0" t="n">
        <f aca="false">IF(B51&lt;x_H,(1+x_de)^(-B51),0)</f>
        <v>0</v>
      </c>
      <c r="E51" s="0" t="n">
        <f aca="false">(L_I1!AO41-L_S1!AO41)*C51</f>
        <v>-0</v>
      </c>
      <c r="F51" s="0" t="n">
        <f aca="false">(L_I1!AP41-L_S1!AP41)*C51</f>
        <v>-0</v>
      </c>
      <c r="G51" s="0" t="n">
        <f aca="false">(L_I1!AQ41-L_S1!AQ41)*C51</f>
        <v>-0</v>
      </c>
      <c r="H51" s="0" t="n">
        <f aca="false">(L_I1!AS41-L_S1!AS41)*C51</f>
        <v>0</v>
      </c>
      <c r="I51" s="0" t="n">
        <f aca="false">I50+E51</f>
        <v>528309206.973209</v>
      </c>
      <c r="J51" s="0" t="n">
        <f aca="false">J50+F51</f>
        <v>479829394.716306</v>
      </c>
      <c r="K51" s="0" t="n">
        <f aca="false">K50+G51</f>
        <v>431111916.664459</v>
      </c>
      <c r="L51" s="0" t="n">
        <f aca="false">MAX(L50,J51)</f>
        <v>576108893.979925</v>
      </c>
      <c r="M51" s="0" t="n">
        <f aca="false">IF(AND(B51&lt;x_H,J51&lt;=0,L50&gt;0),1,0)</f>
        <v>0</v>
      </c>
      <c r="N51" s="0" t="n">
        <f aca="false">IF(AND(B51&lt;x_H,I51&lt;=0,O50&gt;0),1,0)</f>
        <v>0</v>
      </c>
      <c r="O51" s="0" t="n">
        <f aca="false">MAX(O50,I51)</f>
        <v>578037138.716968</v>
      </c>
      <c r="P51" s="0" t="n">
        <f aca="false">(L_I1!V41-L_S1!V41)*D51</f>
        <v>0</v>
      </c>
    </row>
    <row r="52" customFormat="false" ht="15" hidden="false" customHeight="false" outlineLevel="0" collapsed="false">
      <c r="A52" s="0" t="n">
        <v>2065</v>
      </c>
      <c r="B52" s="0" t="n">
        <v>39</v>
      </c>
      <c r="C52" s="0" t="n">
        <f aca="false">IF(B52&lt;x_H,(1+x_dk)^(-B52),0)</f>
        <v>0</v>
      </c>
      <c r="D52" s="0" t="n">
        <f aca="false">IF(B52&lt;x_H,(1+x_de)^(-B52),0)</f>
        <v>0</v>
      </c>
      <c r="E52" s="0" t="n">
        <f aca="false">(L_I1!AO42-L_S1!AO42)*C52</f>
        <v>-0</v>
      </c>
      <c r="F52" s="0" t="n">
        <f aca="false">(L_I1!AP42-L_S1!AP42)*C52</f>
        <v>-0</v>
      </c>
      <c r="G52" s="0" t="n">
        <f aca="false">(L_I1!AQ42-L_S1!AQ42)*C52</f>
        <v>-0</v>
      </c>
      <c r="H52" s="0" t="n">
        <f aca="false">(L_I1!AS42-L_S1!AS42)*C52</f>
        <v>0</v>
      </c>
      <c r="I52" s="0" t="n">
        <f aca="false">I51+E52</f>
        <v>528309206.973209</v>
      </c>
      <c r="J52" s="0" t="n">
        <f aca="false">J51+F52</f>
        <v>479829394.716306</v>
      </c>
      <c r="K52" s="0" t="n">
        <f aca="false">K51+G52</f>
        <v>431111916.664459</v>
      </c>
      <c r="L52" s="0" t="n">
        <f aca="false">MAX(L51,J52)</f>
        <v>576108893.979925</v>
      </c>
      <c r="M52" s="0" t="n">
        <f aca="false">IF(AND(B52&lt;x_H,J52&lt;=0,L51&gt;0),1,0)</f>
        <v>0</v>
      </c>
      <c r="N52" s="0" t="n">
        <f aca="false">IF(AND(B52&lt;x_H,I52&lt;=0,O51&gt;0),1,0)</f>
        <v>0</v>
      </c>
      <c r="O52" s="0" t="n">
        <f aca="false">MAX(O51,I52)</f>
        <v>578037138.716968</v>
      </c>
      <c r="P52" s="0" t="n">
        <f aca="false">(L_I1!V42-L_S1!V42)*D52</f>
        <v>0</v>
      </c>
    </row>
    <row r="53" customFormat="false" ht="15" hidden="false" customHeight="false" outlineLevel="0" collapsed="false">
      <c r="A53" s="0" t="n">
        <v>2066</v>
      </c>
      <c r="B53" s="0" t="n">
        <v>40</v>
      </c>
      <c r="C53" s="0" t="n">
        <f aca="false">IF(B53&lt;x_H,(1+x_dk)^(-B53),0)</f>
        <v>0</v>
      </c>
      <c r="D53" s="0" t="n">
        <f aca="false">IF(B53&lt;x_H,(1+x_de)^(-B53),0)</f>
        <v>0</v>
      </c>
      <c r="E53" s="0" t="n">
        <f aca="false">(L_I1!AO43-L_S1!AO43)*C53</f>
        <v>-0</v>
      </c>
      <c r="F53" s="0" t="n">
        <f aca="false">(L_I1!AP43-L_S1!AP43)*C53</f>
        <v>-0</v>
      </c>
      <c r="G53" s="0" t="n">
        <f aca="false">(L_I1!AQ43-L_S1!AQ43)*C53</f>
        <v>-0</v>
      </c>
      <c r="H53" s="0" t="n">
        <f aca="false">(L_I1!AS43-L_S1!AS43)*C53</f>
        <v>0</v>
      </c>
      <c r="I53" s="0" t="n">
        <f aca="false">I52+E53</f>
        <v>528309206.973209</v>
      </c>
      <c r="J53" s="0" t="n">
        <f aca="false">J52+F53</f>
        <v>479829394.716306</v>
      </c>
      <c r="K53" s="0" t="n">
        <f aca="false">K52+G53</f>
        <v>431111916.664459</v>
      </c>
      <c r="L53" s="0" t="n">
        <f aca="false">MAX(L52,J53)</f>
        <v>576108893.979925</v>
      </c>
      <c r="M53" s="0" t="n">
        <f aca="false">IF(AND(B53&lt;x_H,J53&lt;=0,L52&gt;0),1,0)</f>
        <v>0</v>
      </c>
      <c r="N53" s="0" t="n">
        <f aca="false">IF(AND(B53&lt;x_H,I53&lt;=0,O52&gt;0),1,0)</f>
        <v>0</v>
      </c>
      <c r="O53" s="0" t="n">
        <f aca="false">MAX(O52,I53)</f>
        <v>578037138.716968</v>
      </c>
      <c r="P53" s="0" t="n">
        <f aca="false">(L_I1!V43-L_S1!V43)*D53</f>
        <v>0</v>
      </c>
    </row>
    <row r="54" customFormat="false" ht="15" hidden="false" customHeight="false" outlineLevel="0" collapsed="false">
      <c r="A54" s="0" t="n">
        <v>2067</v>
      </c>
      <c r="B54" s="0" t="n">
        <v>41</v>
      </c>
      <c r="C54" s="0" t="n">
        <f aca="false">IF(B54&lt;x_H,(1+x_dk)^(-B54),0)</f>
        <v>0</v>
      </c>
      <c r="D54" s="0" t="n">
        <f aca="false">IF(B54&lt;x_H,(1+x_de)^(-B54),0)</f>
        <v>0</v>
      </c>
      <c r="E54" s="0" t="n">
        <f aca="false">(L_I1!AO44-L_S1!AO44)*C54</f>
        <v>-0</v>
      </c>
      <c r="F54" s="0" t="n">
        <f aca="false">(L_I1!AP44-L_S1!AP44)*C54</f>
        <v>-0</v>
      </c>
      <c r="G54" s="0" t="n">
        <f aca="false">(L_I1!AQ44-L_S1!AQ44)*C54</f>
        <v>-0</v>
      </c>
      <c r="H54" s="0" t="n">
        <f aca="false">(L_I1!AS44-L_S1!AS44)*C54</f>
        <v>0</v>
      </c>
      <c r="I54" s="0" t="n">
        <f aca="false">I53+E54</f>
        <v>528309206.973209</v>
      </c>
      <c r="J54" s="0" t="n">
        <f aca="false">J53+F54</f>
        <v>479829394.716306</v>
      </c>
      <c r="K54" s="0" t="n">
        <f aca="false">K53+G54</f>
        <v>431111916.664459</v>
      </c>
      <c r="L54" s="0" t="n">
        <f aca="false">MAX(L53,J54)</f>
        <v>576108893.979925</v>
      </c>
      <c r="M54" s="0" t="n">
        <f aca="false">IF(AND(B54&lt;x_H,J54&lt;=0,L53&gt;0),1,0)</f>
        <v>0</v>
      </c>
      <c r="N54" s="0" t="n">
        <f aca="false">IF(AND(B54&lt;x_H,I54&lt;=0,O53&gt;0),1,0)</f>
        <v>0</v>
      </c>
      <c r="O54" s="0" t="n">
        <f aca="false">MAX(O53,I54)</f>
        <v>578037138.716968</v>
      </c>
      <c r="P54" s="0" t="n">
        <f aca="false">(L_I1!V44-L_S1!V44)*D54</f>
        <v>0</v>
      </c>
    </row>
    <row r="55" customFormat="false" ht="15" hidden="false" customHeight="false" outlineLevel="0" collapsed="false">
      <c r="A55" s="0" t="n">
        <v>2068</v>
      </c>
      <c r="B55" s="0" t="n">
        <v>42</v>
      </c>
      <c r="C55" s="0" t="n">
        <f aca="false">IF(B55&lt;x_H,(1+x_dk)^(-B55),0)</f>
        <v>0</v>
      </c>
      <c r="D55" s="0" t="n">
        <f aca="false">IF(B55&lt;x_H,(1+x_de)^(-B55),0)</f>
        <v>0</v>
      </c>
      <c r="E55" s="0" t="n">
        <f aca="false">(L_I1!AO45-L_S1!AO45)*C55</f>
        <v>-0</v>
      </c>
      <c r="F55" s="0" t="n">
        <f aca="false">(L_I1!AP45-L_S1!AP45)*C55</f>
        <v>-0</v>
      </c>
      <c r="G55" s="0" t="n">
        <f aca="false">(L_I1!AQ45-L_S1!AQ45)*C55</f>
        <v>-0</v>
      </c>
      <c r="H55" s="0" t="n">
        <f aca="false">(L_I1!AS45-L_S1!AS45)*C55</f>
        <v>0</v>
      </c>
      <c r="I55" s="0" t="n">
        <f aca="false">I54+E55</f>
        <v>528309206.973209</v>
      </c>
      <c r="J55" s="0" t="n">
        <f aca="false">J54+F55</f>
        <v>479829394.716306</v>
      </c>
      <c r="K55" s="0" t="n">
        <f aca="false">K54+G55</f>
        <v>431111916.664459</v>
      </c>
      <c r="L55" s="0" t="n">
        <f aca="false">MAX(L54,J55)</f>
        <v>576108893.979925</v>
      </c>
      <c r="M55" s="0" t="n">
        <f aca="false">IF(AND(B55&lt;x_H,J55&lt;=0,L54&gt;0),1,0)</f>
        <v>0</v>
      </c>
      <c r="N55" s="0" t="n">
        <f aca="false">IF(AND(B55&lt;x_H,I55&lt;=0,O54&gt;0),1,0)</f>
        <v>0</v>
      </c>
      <c r="O55" s="0" t="n">
        <f aca="false">MAX(O54,I55)</f>
        <v>578037138.716968</v>
      </c>
      <c r="P55" s="0" t="n">
        <f aca="false">(L_I1!V45-L_S1!V45)*D55</f>
        <v>0</v>
      </c>
    </row>
    <row r="56" customFormat="false" ht="15" hidden="false" customHeight="false" outlineLevel="0" collapsed="false">
      <c r="A56" s="0" t="n">
        <v>2069</v>
      </c>
      <c r="B56" s="0" t="n">
        <v>43</v>
      </c>
      <c r="C56" s="0" t="n">
        <f aca="false">IF(B56&lt;x_H,(1+x_dk)^(-B56),0)</f>
        <v>0</v>
      </c>
      <c r="D56" s="0" t="n">
        <f aca="false">IF(B56&lt;x_H,(1+x_de)^(-B56),0)</f>
        <v>0</v>
      </c>
      <c r="E56" s="0" t="n">
        <f aca="false">(L_I1!AO46-L_S1!AO46)*C56</f>
        <v>-0</v>
      </c>
      <c r="F56" s="0" t="n">
        <f aca="false">(L_I1!AP46-L_S1!AP46)*C56</f>
        <v>-0</v>
      </c>
      <c r="G56" s="0" t="n">
        <f aca="false">(L_I1!AQ46-L_S1!AQ46)*C56</f>
        <v>-0</v>
      </c>
      <c r="H56" s="0" t="n">
        <f aca="false">(L_I1!AS46-L_S1!AS46)*C56</f>
        <v>0</v>
      </c>
      <c r="I56" s="0" t="n">
        <f aca="false">I55+E56</f>
        <v>528309206.973209</v>
      </c>
      <c r="J56" s="0" t="n">
        <f aca="false">J55+F56</f>
        <v>479829394.716306</v>
      </c>
      <c r="K56" s="0" t="n">
        <f aca="false">K55+G56</f>
        <v>431111916.664459</v>
      </c>
      <c r="L56" s="0" t="n">
        <f aca="false">MAX(L55,J56)</f>
        <v>576108893.979925</v>
      </c>
      <c r="M56" s="0" t="n">
        <f aca="false">IF(AND(B56&lt;x_H,J56&lt;=0,L55&gt;0),1,0)</f>
        <v>0</v>
      </c>
      <c r="N56" s="0" t="n">
        <f aca="false">IF(AND(B56&lt;x_H,I56&lt;=0,O55&gt;0),1,0)</f>
        <v>0</v>
      </c>
      <c r="O56" s="0" t="n">
        <f aca="false">MAX(O55,I56)</f>
        <v>578037138.716968</v>
      </c>
      <c r="P56" s="0" t="n">
        <f aca="false">(L_I1!V46-L_S1!V46)*D56</f>
        <v>0</v>
      </c>
    </row>
    <row r="57" customFormat="false" ht="15" hidden="false" customHeight="false" outlineLevel="0" collapsed="false">
      <c r="A57" s="0" t="n">
        <v>2070</v>
      </c>
      <c r="B57" s="0" t="n">
        <v>44</v>
      </c>
      <c r="C57" s="0" t="n">
        <f aca="false">IF(B57&lt;x_H,(1+x_dk)^(-B57),0)</f>
        <v>0</v>
      </c>
      <c r="D57" s="0" t="n">
        <f aca="false">IF(B57&lt;x_H,(1+x_de)^(-B57),0)</f>
        <v>0</v>
      </c>
      <c r="E57" s="0" t="n">
        <f aca="false">(L_I1!AO47-L_S1!AO47)*C57</f>
        <v>-0</v>
      </c>
      <c r="F57" s="0" t="n">
        <f aca="false">(L_I1!AP47-L_S1!AP47)*C57</f>
        <v>-0</v>
      </c>
      <c r="G57" s="0" t="n">
        <f aca="false">(L_I1!AQ47-L_S1!AQ47)*C57</f>
        <v>-0</v>
      </c>
      <c r="H57" s="0" t="n">
        <f aca="false">(L_I1!AS47-L_S1!AS47)*C57</f>
        <v>0</v>
      </c>
      <c r="I57" s="0" t="n">
        <f aca="false">I56+E57</f>
        <v>528309206.973209</v>
      </c>
      <c r="J57" s="0" t="n">
        <f aca="false">J56+F57</f>
        <v>479829394.716306</v>
      </c>
      <c r="K57" s="0" t="n">
        <f aca="false">K56+G57</f>
        <v>431111916.664459</v>
      </c>
      <c r="L57" s="0" t="n">
        <f aca="false">MAX(L56,J57)</f>
        <v>576108893.979925</v>
      </c>
      <c r="M57" s="0" t="n">
        <f aca="false">IF(AND(B57&lt;x_H,J57&lt;=0,L56&gt;0),1,0)</f>
        <v>0</v>
      </c>
      <c r="N57" s="0" t="n">
        <f aca="false">IF(AND(B57&lt;x_H,I57&lt;=0,O56&gt;0),1,0)</f>
        <v>0</v>
      </c>
      <c r="O57" s="0" t="n">
        <f aca="false">MAX(O56,I57)</f>
        <v>578037138.716968</v>
      </c>
      <c r="P57" s="0" t="n">
        <f aca="false">(L_I1!V47-L_S1!V47)*D57</f>
        <v>0</v>
      </c>
    </row>
    <row r="58" customFormat="false" ht="15" hidden="false" customHeight="false" outlineLevel="0" collapsed="false">
      <c r="A58" s="0" t="n">
        <v>2071</v>
      </c>
      <c r="B58" s="0" t="n">
        <v>45</v>
      </c>
      <c r="C58" s="0" t="n">
        <f aca="false">IF(B58&lt;x_H,(1+x_dk)^(-B58),0)</f>
        <v>0</v>
      </c>
      <c r="D58" s="0" t="n">
        <f aca="false">IF(B58&lt;x_H,(1+x_de)^(-B58),0)</f>
        <v>0</v>
      </c>
      <c r="E58" s="0" t="n">
        <f aca="false">(L_I1!AO48-L_S1!AO48)*C58</f>
        <v>-0</v>
      </c>
      <c r="F58" s="0" t="n">
        <f aca="false">(L_I1!AP48-L_S1!AP48)*C58</f>
        <v>-0</v>
      </c>
      <c r="G58" s="0" t="n">
        <f aca="false">(L_I1!AQ48-L_S1!AQ48)*C58</f>
        <v>-0</v>
      </c>
      <c r="H58" s="0" t="n">
        <f aca="false">(L_I1!AS48-L_S1!AS48)*C58</f>
        <v>0</v>
      </c>
      <c r="I58" s="0" t="n">
        <f aca="false">I57+E58</f>
        <v>528309206.973209</v>
      </c>
      <c r="J58" s="0" t="n">
        <f aca="false">J57+F58</f>
        <v>479829394.716306</v>
      </c>
      <c r="K58" s="0" t="n">
        <f aca="false">K57+G58</f>
        <v>431111916.664459</v>
      </c>
      <c r="L58" s="0" t="n">
        <f aca="false">MAX(L57,J58)</f>
        <v>576108893.979925</v>
      </c>
      <c r="M58" s="0" t="n">
        <f aca="false">IF(AND(B58&lt;x_H,J58&lt;=0,L57&gt;0),1,0)</f>
        <v>0</v>
      </c>
      <c r="N58" s="0" t="n">
        <f aca="false">IF(AND(B58&lt;x_H,I58&lt;=0,O57&gt;0),1,0)</f>
        <v>0</v>
      </c>
      <c r="O58" s="0" t="n">
        <f aca="false">MAX(O57,I58)</f>
        <v>578037138.716968</v>
      </c>
      <c r="P58" s="0" t="n">
        <f aca="false">(L_I1!V48-L_S1!V48)*D58</f>
        <v>0</v>
      </c>
    </row>
    <row r="59" customFormat="false" ht="15" hidden="false" customHeight="false" outlineLevel="0" collapsed="false">
      <c r="A59" s="0" t="n">
        <v>2072</v>
      </c>
      <c r="B59" s="0" t="n">
        <v>46</v>
      </c>
      <c r="C59" s="0" t="n">
        <f aca="false">IF(B59&lt;x_H,(1+x_dk)^(-B59),0)</f>
        <v>0</v>
      </c>
      <c r="D59" s="0" t="n">
        <f aca="false">IF(B59&lt;x_H,(1+x_de)^(-B59),0)</f>
        <v>0</v>
      </c>
      <c r="E59" s="0" t="n">
        <f aca="false">(L_I1!AO49-L_S1!AO49)*C59</f>
        <v>-0</v>
      </c>
      <c r="F59" s="0" t="n">
        <f aca="false">(L_I1!AP49-L_S1!AP49)*C59</f>
        <v>-0</v>
      </c>
      <c r="G59" s="0" t="n">
        <f aca="false">(L_I1!AQ49-L_S1!AQ49)*C59</f>
        <v>-0</v>
      </c>
      <c r="H59" s="0" t="n">
        <f aca="false">(L_I1!AS49-L_S1!AS49)*C59</f>
        <v>0</v>
      </c>
      <c r="I59" s="0" t="n">
        <f aca="false">I58+E59</f>
        <v>528309206.973209</v>
      </c>
      <c r="J59" s="0" t="n">
        <f aca="false">J58+F59</f>
        <v>479829394.716306</v>
      </c>
      <c r="K59" s="0" t="n">
        <f aca="false">K58+G59</f>
        <v>431111916.664459</v>
      </c>
      <c r="L59" s="0" t="n">
        <f aca="false">MAX(L58,J59)</f>
        <v>576108893.979925</v>
      </c>
      <c r="M59" s="0" t="n">
        <f aca="false">IF(AND(B59&lt;x_H,J59&lt;=0,L58&gt;0),1,0)</f>
        <v>0</v>
      </c>
      <c r="N59" s="0" t="n">
        <f aca="false">IF(AND(B59&lt;x_H,I59&lt;=0,O58&gt;0),1,0)</f>
        <v>0</v>
      </c>
      <c r="O59" s="0" t="n">
        <f aca="false">MAX(O58,I59)</f>
        <v>578037138.716968</v>
      </c>
      <c r="P59" s="0" t="n">
        <f aca="false">(L_I1!V49-L_S1!V49)*D59</f>
        <v>0</v>
      </c>
    </row>
    <row r="60" customFormat="false" ht="15" hidden="false" customHeight="false" outlineLevel="0" collapsed="false">
      <c r="A60" s="0" t="n">
        <v>2073</v>
      </c>
      <c r="B60" s="0" t="n">
        <v>47</v>
      </c>
      <c r="C60" s="0" t="n">
        <f aca="false">IF(B60&lt;x_H,(1+x_dk)^(-B60),0)</f>
        <v>0</v>
      </c>
      <c r="D60" s="0" t="n">
        <f aca="false">IF(B60&lt;x_H,(1+x_de)^(-B60),0)</f>
        <v>0</v>
      </c>
      <c r="E60" s="0" t="n">
        <f aca="false">(L_I1!AO50-L_S1!AO50)*C60</f>
        <v>-0</v>
      </c>
      <c r="F60" s="0" t="n">
        <f aca="false">(L_I1!AP50-L_S1!AP50)*C60</f>
        <v>-0</v>
      </c>
      <c r="G60" s="0" t="n">
        <f aca="false">(L_I1!AQ50-L_S1!AQ50)*C60</f>
        <v>-0</v>
      </c>
      <c r="H60" s="0" t="n">
        <f aca="false">(L_I1!AS50-L_S1!AS50)*C60</f>
        <v>0</v>
      </c>
      <c r="I60" s="0" t="n">
        <f aca="false">I59+E60</f>
        <v>528309206.973209</v>
      </c>
      <c r="J60" s="0" t="n">
        <f aca="false">J59+F60</f>
        <v>479829394.716306</v>
      </c>
      <c r="K60" s="0" t="n">
        <f aca="false">K59+G60</f>
        <v>431111916.664459</v>
      </c>
      <c r="L60" s="0" t="n">
        <f aca="false">MAX(L59,J60)</f>
        <v>576108893.979925</v>
      </c>
      <c r="M60" s="0" t="n">
        <f aca="false">IF(AND(B60&lt;x_H,J60&lt;=0,L59&gt;0),1,0)</f>
        <v>0</v>
      </c>
      <c r="N60" s="0" t="n">
        <f aca="false">IF(AND(B60&lt;x_H,I60&lt;=0,O59&gt;0),1,0)</f>
        <v>0</v>
      </c>
      <c r="O60" s="0" t="n">
        <f aca="false">MAX(O59,I60)</f>
        <v>578037138.716968</v>
      </c>
      <c r="P60" s="0" t="n">
        <f aca="false">(L_I1!V50-L_S1!V50)*D60</f>
        <v>0</v>
      </c>
    </row>
    <row r="61" customFormat="false" ht="15" hidden="false" customHeight="false" outlineLevel="0" collapsed="false">
      <c r="A61" s="0" t="n">
        <v>2074</v>
      </c>
      <c r="B61" s="0" t="n">
        <v>48</v>
      </c>
      <c r="C61" s="0" t="n">
        <f aca="false">IF(B61&lt;x_H,(1+x_dk)^(-B61),0)</f>
        <v>0</v>
      </c>
      <c r="D61" s="0" t="n">
        <f aca="false">IF(B61&lt;x_H,(1+x_de)^(-B61),0)</f>
        <v>0</v>
      </c>
      <c r="E61" s="0" t="n">
        <f aca="false">(L_I1!AO51-L_S1!AO51)*C61</f>
        <v>-0</v>
      </c>
      <c r="F61" s="0" t="n">
        <f aca="false">(L_I1!AP51-L_S1!AP51)*C61</f>
        <v>-0</v>
      </c>
      <c r="G61" s="0" t="n">
        <f aca="false">(L_I1!AQ51-L_S1!AQ51)*C61</f>
        <v>-0</v>
      </c>
      <c r="H61" s="0" t="n">
        <f aca="false">(L_I1!AS51-L_S1!AS51)*C61</f>
        <v>0</v>
      </c>
      <c r="I61" s="0" t="n">
        <f aca="false">I60+E61</f>
        <v>528309206.973209</v>
      </c>
      <c r="J61" s="0" t="n">
        <f aca="false">J60+F61</f>
        <v>479829394.716306</v>
      </c>
      <c r="K61" s="0" t="n">
        <f aca="false">K60+G61</f>
        <v>431111916.664459</v>
      </c>
      <c r="L61" s="0" t="n">
        <f aca="false">MAX(L60,J61)</f>
        <v>576108893.979925</v>
      </c>
      <c r="M61" s="0" t="n">
        <f aca="false">IF(AND(B61&lt;x_H,J61&lt;=0,L60&gt;0),1,0)</f>
        <v>0</v>
      </c>
      <c r="N61" s="0" t="n">
        <f aca="false">IF(AND(B61&lt;x_H,I61&lt;=0,O60&gt;0),1,0)</f>
        <v>0</v>
      </c>
      <c r="O61" s="0" t="n">
        <f aca="false">MAX(O60,I61)</f>
        <v>578037138.716968</v>
      </c>
      <c r="P61" s="0" t="n">
        <f aca="false">(L_I1!V51-L_S1!V51)*D61</f>
        <v>0</v>
      </c>
    </row>
    <row r="62" customFormat="false" ht="15" hidden="false" customHeight="false" outlineLevel="0" collapsed="false">
      <c r="A62" s="0" t="n">
        <v>2075</v>
      </c>
      <c r="B62" s="0" t="n">
        <v>49</v>
      </c>
      <c r="C62" s="0" t="n">
        <f aca="false">IF(B62&lt;x_H,(1+x_dk)^(-B62),0)</f>
        <v>0</v>
      </c>
      <c r="D62" s="0" t="n">
        <f aca="false">IF(B62&lt;x_H,(1+x_de)^(-B62),0)</f>
        <v>0</v>
      </c>
      <c r="E62" s="0" t="n">
        <f aca="false">(L_I1!AO52-L_S1!AO52)*C62</f>
        <v>-0</v>
      </c>
      <c r="F62" s="0" t="n">
        <f aca="false">(L_I1!AP52-L_S1!AP52)*C62</f>
        <v>-0</v>
      </c>
      <c r="G62" s="0" t="n">
        <f aca="false">(L_I1!AQ52-L_S1!AQ52)*C62</f>
        <v>-0</v>
      </c>
      <c r="H62" s="0" t="n">
        <f aca="false">(L_I1!AS52-L_S1!AS52)*C62</f>
        <v>0</v>
      </c>
      <c r="I62" s="0" t="n">
        <f aca="false">I61+E62</f>
        <v>528309206.973209</v>
      </c>
      <c r="J62" s="0" t="n">
        <f aca="false">J61+F62</f>
        <v>479829394.716306</v>
      </c>
      <c r="K62" s="0" t="n">
        <f aca="false">K61+G62</f>
        <v>431111916.664459</v>
      </c>
      <c r="L62" s="0" t="n">
        <f aca="false">MAX(L61,J62)</f>
        <v>576108893.979925</v>
      </c>
      <c r="M62" s="0" t="n">
        <f aca="false">IF(AND(B62&lt;x_H,J62&lt;=0,L61&gt;0),1,0)</f>
        <v>0</v>
      </c>
      <c r="N62" s="0" t="n">
        <f aca="false">IF(AND(B62&lt;x_H,I62&lt;=0,O61&gt;0),1,0)</f>
        <v>0</v>
      </c>
      <c r="O62" s="0" t="n">
        <f aca="false">MAX(O61,I62)</f>
        <v>578037138.716968</v>
      </c>
      <c r="P62" s="0" t="n">
        <f aca="false">(L_I1!V52-L_S1!V52)*D62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627</v>
      </c>
    </row>
    <row r="2" customFormat="false" ht="15" hidden="false" customHeight="false" outlineLevel="0" collapsed="false">
      <c r="A2" s="1" t="s">
        <v>602</v>
      </c>
      <c r="B2" s="0" t="n">
        <f aca="false">x_H</f>
        <v>20</v>
      </c>
    </row>
    <row r="3" customFormat="false" ht="15" hidden="false" customHeight="false" outlineLevel="0" collapsed="false">
      <c r="A3" s="1" t="s">
        <v>603</v>
      </c>
      <c r="B3" s="0" t="n">
        <f aca="false">SUM(H13:H62)</f>
        <v>432059391.220591</v>
      </c>
    </row>
    <row r="4" customFormat="false" ht="15" hidden="false" customHeight="false" outlineLevel="0" collapsed="false">
      <c r="A4" s="1" t="s">
        <v>604</v>
      </c>
      <c r="B4" s="0" t="n">
        <f aca="false">SUM(F13:F62)</f>
        <v>402377147.240352</v>
      </c>
    </row>
    <row r="5" customFormat="false" ht="15" hidden="false" customHeight="false" outlineLevel="0" collapsed="false">
      <c r="A5" s="1" t="s">
        <v>605</v>
      </c>
      <c r="B5" s="0" t="n">
        <f aca="false">B3-B4</f>
        <v>29682243.9802384</v>
      </c>
    </row>
    <row r="6" customFormat="false" ht="15" hidden="false" customHeight="false" outlineLevel="0" collapsed="false">
      <c r="A6" s="1" t="s">
        <v>606</v>
      </c>
      <c r="B6" s="0" t="n">
        <f aca="false">IF(B3=0,"—",(B5-B3)/ABS(B3))</f>
        <v>-0.93130054667627</v>
      </c>
    </row>
    <row r="7" customFormat="false" ht="15" hidden="false" customHeight="false" outlineLevel="0" collapsed="false">
      <c r="A7" s="1" t="s">
        <v>607</v>
      </c>
      <c r="B7" s="0" t="str">
        <f aca="false">IFERROR(INDEX(A13:A62,MATCH(1,M13:M62,0)),"brak w horyzoncie")</f>
        <v>brak w horyzoncie</v>
      </c>
    </row>
    <row r="8" customFormat="false" ht="15" hidden="false" customHeight="false" outlineLevel="0" collapsed="false">
      <c r="A8" s="1" t="s">
        <v>608</v>
      </c>
      <c r="B8" s="0" t="str">
        <f aca="false">IFERROR(INDEX(A13:A62,MATCH(1,N13:N62,0)),"brak w horyzoncie")</f>
        <v>brak w horyzoncie</v>
      </c>
    </row>
    <row r="9" customFormat="false" ht="15" hidden="false" customHeight="false" outlineLevel="0" collapsed="false">
      <c r="A9" s="1" t="s">
        <v>609</v>
      </c>
      <c r="B9" s="0" t="n">
        <f aca="false">SUM(E13:E62)</f>
        <v>410999588.711708</v>
      </c>
    </row>
    <row r="10" customFormat="false" ht="15" hidden="false" customHeight="false" outlineLevel="0" collapsed="false">
      <c r="A10" s="1" t="s">
        <v>610</v>
      </c>
      <c r="B10" s="0" t="n">
        <f aca="false">IFERROR(B4/SUM(P13:P62),"—")</f>
        <v>161575.129157005</v>
      </c>
    </row>
    <row r="11" customFormat="false" ht="15" hidden="false" customHeight="false" outlineLevel="0" collapsed="false">
      <c r="A11" s="1" t="s">
        <v>611</v>
      </c>
      <c r="B11" s="0" t="n">
        <f aca="false">IFERROR(B9/SUM(P13:P62),"—")</f>
        <v>165037.483080279</v>
      </c>
    </row>
    <row r="12" customFormat="false" ht="55.2" hidden="false" customHeight="false" outlineLevel="0" collapsed="false">
      <c r="A12" s="3" t="s">
        <v>320</v>
      </c>
      <c r="B12" s="3" t="s">
        <v>553</v>
      </c>
      <c r="C12" s="3" t="s">
        <v>612</v>
      </c>
      <c r="D12" s="3" t="s">
        <v>613</v>
      </c>
      <c r="E12" s="3" t="s">
        <v>614</v>
      </c>
      <c r="F12" s="3" t="s">
        <v>615</v>
      </c>
      <c r="G12" s="3" t="s">
        <v>616</v>
      </c>
      <c r="H12" s="3" t="s">
        <v>617</v>
      </c>
      <c r="I12" s="3" t="s">
        <v>618</v>
      </c>
      <c r="J12" s="3" t="s">
        <v>619</v>
      </c>
      <c r="K12" s="3" t="s">
        <v>620</v>
      </c>
      <c r="L12" s="3" t="s">
        <v>621</v>
      </c>
      <c r="M12" s="3" t="s">
        <v>622</v>
      </c>
      <c r="N12" s="3" t="s">
        <v>623</v>
      </c>
      <c r="O12" s="3" t="s">
        <v>624</v>
      </c>
      <c r="P12" s="3" t="s">
        <v>625</v>
      </c>
    </row>
    <row r="13" customFormat="false" ht="15" hidden="false" customHeight="false" outlineLevel="0" collapsed="false">
      <c r="A13" s="0" t="n">
        <v>2026</v>
      </c>
      <c r="B13" s="0" t="n">
        <v>0</v>
      </c>
      <c r="C13" s="0" t="n">
        <f aca="false">IF(B13&lt;x_H,(1+x_dk)^(-B13),0)</f>
        <v>1</v>
      </c>
      <c r="D13" s="0" t="n">
        <f aca="false">IF(B13&lt;x_H,(1+x_de)^(-B13),0)</f>
        <v>1</v>
      </c>
      <c r="E13" s="0" t="n">
        <f aca="false">(L_I2!AO3-L_S1!AO3)*C13</f>
        <v>20518814.7666852</v>
      </c>
      <c r="F13" s="0" t="n">
        <f aca="false">(L_I2!AP3-L_S1!AP3)*C13</f>
        <v>21908480.4810392</v>
      </c>
      <c r="G13" s="0" t="n">
        <f aca="false">(L_I2!AQ3-L_S1!AQ3)*C13</f>
        <v>21878329.3651468</v>
      </c>
      <c r="H13" s="0" t="n">
        <f aca="false">(L_I2!AS3-L_S1!AS3)*C13</f>
        <v>21293905.710299</v>
      </c>
      <c r="I13" s="0" t="n">
        <f aca="false">E13</f>
        <v>20518814.7666852</v>
      </c>
      <c r="J13" s="0" t="n">
        <f aca="false">F13</f>
        <v>21908480.4810392</v>
      </c>
      <c r="K13" s="0" t="n">
        <f aca="false">G13</f>
        <v>21878329.3651468</v>
      </c>
      <c r="L13" s="0" t="n">
        <f aca="false">J13</f>
        <v>21908480.4810392</v>
      </c>
      <c r="M13" s="0" t="n">
        <v>0</v>
      </c>
      <c r="N13" s="0" t="n">
        <v>0</v>
      </c>
      <c r="O13" s="0" t="n">
        <f aca="false">I13</f>
        <v>20518814.7666852</v>
      </c>
      <c r="P13" s="0" t="n">
        <f aca="false">(L_I2!V3-L_S1!V3)*D13</f>
        <v>12.7030000000086</v>
      </c>
    </row>
    <row r="14" customFormat="false" ht="15" hidden="false" customHeight="false" outlineLevel="0" collapsed="false">
      <c r="A14" s="0" t="n">
        <v>2027</v>
      </c>
      <c r="B14" s="0" t="n">
        <v>1</v>
      </c>
      <c r="C14" s="0" t="n">
        <f aca="false">IF(B14&lt;x_H,(1+x_dk)^(-B14),0)</f>
        <v>0.952380952380952</v>
      </c>
      <c r="D14" s="0" t="n">
        <f aca="false">IF(B14&lt;x_H,(1+x_de)^(-B14),0)</f>
        <v>0.966183574879227</v>
      </c>
      <c r="E14" s="0" t="n">
        <f aca="false">(L_I2!AO4-L_S1!AO4)*C14</f>
        <v>38841955.2052948</v>
      </c>
      <c r="F14" s="0" t="n">
        <f aca="false">(L_I2!AP4-L_S1!AP4)*C14</f>
        <v>40248262.1271154</v>
      </c>
      <c r="G14" s="0" t="n">
        <f aca="false">(L_I2!AQ4-L_S1!AQ4)*C14</f>
        <v>40188933.5888438</v>
      </c>
      <c r="H14" s="0" t="n">
        <f aca="false">(L_I2!AS4-L_S1!AS4)*C14</f>
        <v>39254422.6950046</v>
      </c>
      <c r="I14" s="0" t="n">
        <f aca="false">I13+E14</f>
        <v>59360769.9719801</v>
      </c>
      <c r="J14" s="0" t="n">
        <f aca="false">J13+F14</f>
        <v>62156742.6081546</v>
      </c>
      <c r="K14" s="0" t="n">
        <f aca="false">K13+G14</f>
        <v>62067262.9539906</v>
      </c>
      <c r="L14" s="0" t="n">
        <f aca="false">MAX(L13,J14)</f>
        <v>62156742.6081546</v>
      </c>
      <c r="M14" s="0" t="n">
        <f aca="false">IF(AND(B14&lt;x_H,J14&lt;=0,L13&gt;0),1,0)</f>
        <v>0</v>
      </c>
      <c r="N14" s="0" t="n">
        <f aca="false">IF(AND(B14&lt;x_H,I14&lt;=0,O13&gt;0),1,0)</f>
        <v>0</v>
      </c>
      <c r="O14" s="0" t="n">
        <f aca="false">MAX(O13,I14)</f>
        <v>59360769.9719801</v>
      </c>
      <c r="P14" s="0" t="n">
        <f aca="false">(L_I2!V4-L_S1!V4)*D14</f>
        <v>27.61352657005</v>
      </c>
    </row>
    <row r="15" customFormat="false" ht="15" hidden="false" customHeight="false" outlineLevel="0" collapsed="false">
      <c r="A15" s="0" t="n">
        <v>2028</v>
      </c>
      <c r="B15" s="0" t="n">
        <v>2</v>
      </c>
      <c r="C15" s="0" t="n">
        <f aca="false">IF(B15&lt;x_H,(1+x_dk)^(-B15),0)</f>
        <v>0.90702947845805</v>
      </c>
      <c r="D15" s="0" t="n">
        <f aca="false">IF(B15&lt;x_H,(1+x_de)^(-B15),0)</f>
        <v>0.933510700366403</v>
      </c>
      <c r="E15" s="0" t="n">
        <f aca="false">(L_I2!AO5-L_S1!AO5)*C15</f>
        <v>55126725.5539036</v>
      </c>
      <c r="F15" s="0" t="n">
        <f aca="false">(L_I2!AP5-L_S1!AP5)*C15</f>
        <v>56454286.7477469</v>
      </c>
      <c r="G15" s="0" t="n">
        <f aca="false">(L_I2!AQ5-L_S1!AQ5)*C15</f>
        <v>56356531.0121005</v>
      </c>
      <c r="H15" s="0" t="n">
        <f aca="false">(L_I2!AS5-L_S1!AS5)*C15</f>
        <v>55326711.3383401</v>
      </c>
      <c r="I15" s="0" t="n">
        <f aca="false">I14+E15</f>
        <v>114487495.525884</v>
      </c>
      <c r="J15" s="0" t="n">
        <f aca="false">J14+F15</f>
        <v>118611029.355901</v>
      </c>
      <c r="K15" s="0" t="n">
        <f aca="false">K14+G15</f>
        <v>118423793.966091</v>
      </c>
      <c r="L15" s="0" t="n">
        <f aca="false">MAX(L14,J15)</f>
        <v>118611029.355901</v>
      </c>
      <c r="M15" s="0" t="n">
        <f aca="false">IF(AND(B15&lt;x_H,J15&lt;=0,L14&gt;0),1,0)</f>
        <v>0</v>
      </c>
      <c r="N15" s="0" t="n">
        <f aca="false">IF(AND(B15&lt;x_H,I15&lt;=0,O14&gt;0),1,0)</f>
        <v>0</v>
      </c>
      <c r="O15" s="0" t="n">
        <f aca="false">MAX(O14,I15)</f>
        <v>114487495.525884</v>
      </c>
      <c r="P15" s="0" t="n">
        <f aca="false">(L_I2!V5-L_S1!V5)*D15</f>
        <v>44.7889098928859</v>
      </c>
    </row>
    <row r="16" customFormat="false" ht="15" hidden="false" customHeight="false" outlineLevel="0" collapsed="false">
      <c r="A16" s="0" t="n">
        <v>2029</v>
      </c>
      <c r="B16" s="0" t="n">
        <v>3</v>
      </c>
      <c r="C16" s="0" t="n">
        <f aca="false">IF(B16&lt;x_H,(1+x_dk)^(-B16),0)</f>
        <v>0.863837598531476</v>
      </c>
      <c r="D16" s="0" t="n">
        <f aca="false">IF(B16&lt;x_H,(1+x_de)^(-B16),0)</f>
        <v>0.901942705668022</v>
      </c>
      <c r="E16" s="0" t="n">
        <f aca="false">(L_I2!AO6-L_S1!AO6)*C16</f>
        <v>52341761.7301083</v>
      </c>
      <c r="F16" s="0" t="n">
        <f aca="false">(L_I2!AP6-L_S1!AP6)*C16</f>
        <v>53495035.8751018</v>
      </c>
      <c r="G16" s="0" t="n">
        <f aca="false">(L_I2!AQ6-L_S1!AQ6)*C16</f>
        <v>53340991.0182485</v>
      </c>
      <c r="H16" s="0" t="n">
        <f aca="false">(L_I2!AS6-L_S1!AS6)*C16</f>
        <v>52507913.9657668</v>
      </c>
      <c r="I16" s="0" t="n">
        <f aca="false">I15+E16</f>
        <v>166829257.255992</v>
      </c>
      <c r="J16" s="0" t="n">
        <f aca="false">J15+F16</f>
        <v>172106065.231003</v>
      </c>
      <c r="K16" s="0" t="n">
        <f aca="false">K15+G16</f>
        <v>171764784.98434</v>
      </c>
      <c r="L16" s="0" t="n">
        <f aca="false">MAX(L15,J16)</f>
        <v>172106065.231003</v>
      </c>
      <c r="M16" s="0" t="n">
        <f aca="false">IF(AND(B16&lt;x_H,J16&lt;=0,L15&gt;0),1,0)</f>
        <v>0</v>
      </c>
      <c r="N16" s="0" t="n">
        <f aca="false">IF(AND(B16&lt;x_H,I16&lt;=0,O15&gt;0),1,0)</f>
        <v>0</v>
      </c>
      <c r="O16" s="0" t="n">
        <f aca="false">MAX(O15,I16)</f>
        <v>166829257.255992</v>
      </c>
      <c r="P16" s="0" t="n">
        <f aca="false">(L_I2!V6-L_S1!V6)*D16</f>
        <v>61.4556701361042</v>
      </c>
    </row>
    <row r="17" customFormat="false" ht="15" hidden="false" customHeight="false" outlineLevel="0" collapsed="false">
      <c r="A17" s="0" t="n">
        <v>2030</v>
      </c>
      <c r="B17" s="0" t="n">
        <v>4</v>
      </c>
      <c r="C17" s="0" t="n">
        <f aca="false">IF(B17&lt;x_H,(1+x_dk)^(-B17),0)</f>
        <v>0.822702474791882</v>
      </c>
      <c r="D17" s="0" t="n">
        <f aca="false">IF(B17&lt;x_H,(1+x_de)^(-B17),0)</f>
        <v>0.871442227698572</v>
      </c>
      <c r="E17" s="0" t="n">
        <f aca="false">(L_I2!AO7-L_S1!AO7)*C17</f>
        <v>49635002.8977958</v>
      </c>
      <c r="F17" s="0" t="n">
        <f aca="false">(L_I2!AP7-L_S1!AP7)*C17</f>
        <v>50572823.6657001</v>
      </c>
      <c r="G17" s="0" t="n">
        <f aca="false">(L_I2!AQ7-L_S1!AQ7)*C17</f>
        <v>50331738.0418189</v>
      </c>
      <c r="H17" s="0" t="n">
        <f aca="false">(L_I2!AS7-L_S1!AS7)*C17</f>
        <v>49839391.0759293</v>
      </c>
      <c r="I17" s="0" t="n">
        <f aca="false">I16+E17</f>
        <v>216464260.153788</v>
      </c>
      <c r="J17" s="0" t="n">
        <f aca="false">J16+F17</f>
        <v>222678888.896703</v>
      </c>
      <c r="K17" s="0" t="n">
        <f aca="false">K16+G17</f>
        <v>222096523.026158</v>
      </c>
      <c r="L17" s="0" t="n">
        <f aca="false">MAX(L16,J17)</f>
        <v>222678888.896703</v>
      </c>
      <c r="M17" s="0" t="n">
        <f aca="false">IF(AND(B17&lt;x_H,J17&lt;=0,L16&gt;0),1,0)</f>
        <v>0</v>
      </c>
      <c r="N17" s="0" t="n">
        <f aca="false">IF(AND(B17&lt;x_H,I17&lt;=0,O16&gt;0),1,0)</f>
        <v>0</v>
      </c>
      <c r="O17" s="0" t="n">
        <f aca="false">MAX(O16,I17)</f>
        <v>216464260.153788</v>
      </c>
      <c r="P17" s="0" t="n">
        <f aca="false">(L_I2!V7-L_S1!V7)*D17</f>
        <v>77.7831903599206</v>
      </c>
    </row>
    <row r="18" customFormat="false" ht="15" hidden="false" customHeight="false" outlineLevel="0" collapsed="false">
      <c r="A18" s="0" t="n">
        <v>2031</v>
      </c>
      <c r="B18" s="0" t="n">
        <v>5</v>
      </c>
      <c r="C18" s="0" t="n">
        <f aca="false">IF(B18&lt;x_H,(1+x_dk)^(-B18),0)</f>
        <v>0.783526166468459</v>
      </c>
      <c r="D18" s="0" t="n">
        <f aca="false">IF(B18&lt;x_H,(1+x_de)^(-B18),0)</f>
        <v>0.841973166858524</v>
      </c>
      <c r="E18" s="0" t="n">
        <f aca="false">(L_I2!AO8-L_S1!AO8)*C18</f>
        <v>47011985.6596354</v>
      </c>
      <c r="F18" s="0" t="n">
        <f aca="false">(L_I2!AP8-L_S1!AP8)*C18</f>
        <v>47693694.2543099</v>
      </c>
      <c r="G18" s="0" t="n">
        <f aca="false">(L_I2!AQ8-L_S1!AQ8)*C18</f>
        <v>47332288.222055</v>
      </c>
      <c r="H18" s="0" t="n">
        <f aca="false">(L_I2!AS8-L_S1!AS8)*C18</f>
        <v>47312093.9597296</v>
      </c>
      <c r="I18" s="0" t="n">
        <f aca="false">I17+E18</f>
        <v>263476245.813423</v>
      </c>
      <c r="J18" s="0" t="n">
        <f aca="false">J17+F18</f>
        <v>270372583.151013</v>
      </c>
      <c r="K18" s="0" t="n">
        <f aca="false">K17+G18</f>
        <v>269428811.248213</v>
      </c>
      <c r="L18" s="0" t="n">
        <f aca="false">MAX(L17,J18)</f>
        <v>270372583.151013</v>
      </c>
      <c r="M18" s="0" t="n">
        <f aca="false">IF(AND(B18&lt;x_H,J18&lt;=0,L17&gt;0),1,0)</f>
        <v>0</v>
      </c>
      <c r="N18" s="0" t="n">
        <f aca="false">IF(AND(B18&lt;x_H,I18&lt;=0,O17&gt;0),1,0)</f>
        <v>0</v>
      </c>
      <c r="O18" s="0" t="n">
        <f aca="false">MAX(O17,I18)</f>
        <v>263476245.813423</v>
      </c>
      <c r="P18" s="0" t="n">
        <f aca="false">(L_I2!V8-L_S1!V8)*D18</f>
        <v>93.8564328560486</v>
      </c>
    </row>
    <row r="19" customFormat="false" ht="15" hidden="false" customHeight="false" outlineLevel="0" collapsed="false">
      <c r="A19" s="0" t="n">
        <v>2032</v>
      </c>
      <c r="B19" s="0" t="n">
        <v>6</v>
      </c>
      <c r="C19" s="0" t="n">
        <f aca="false">IF(B19&lt;x_H,(1+x_dk)^(-B19),0)</f>
        <v>0.746215396636628</v>
      </c>
      <c r="D19" s="0" t="n">
        <f aca="false">IF(B19&lt;x_H,(1+x_de)^(-B19),0)</f>
        <v>0.813500644307753</v>
      </c>
      <c r="E19" s="0" t="n">
        <f aca="false">(L_I2!AO9-L_S1!AO9)*C19</f>
        <v>44476710.3040308</v>
      </c>
      <c r="F19" s="0" t="n">
        <f aca="false">(L_I2!AP9-L_S1!AP9)*C19</f>
        <v>44863062.6179383</v>
      </c>
      <c r="G19" s="0" t="n">
        <f aca="false">(L_I2!AQ9-L_S1!AQ9)*C19</f>
        <v>44346804.5864237</v>
      </c>
      <c r="H19" s="0" t="n">
        <f aca="false">(L_I2!AS9-L_S1!AS9)*C19</f>
        <v>44917883.9310843</v>
      </c>
      <c r="I19" s="0" t="n">
        <f aca="false">I18+E19</f>
        <v>307952956.117454</v>
      </c>
      <c r="J19" s="0" t="n">
        <f aca="false">J18+F19</f>
        <v>315235645.768952</v>
      </c>
      <c r="K19" s="0" t="n">
        <f aca="false">K18+G19</f>
        <v>313775615.834637</v>
      </c>
      <c r="L19" s="0" t="n">
        <f aca="false">MAX(L18,J19)</f>
        <v>315235645.768952</v>
      </c>
      <c r="M19" s="0" t="n">
        <f aca="false">IF(AND(B19&lt;x_H,J19&lt;=0,L18&gt;0),1,0)</f>
        <v>0</v>
      </c>
      <c r="N19" s="0" t="n">
        <f aca="false">IF(AND(B19&lt;x_H,I19&lt;=0,O18&gt;0),1,0)</f>
        <v>0</v>
      </c>
      <c r="O19" s="0" t="n">
        <f aca="false">MAX(O18,I19)</f>
        <v>307952956.117454</v>
      </c>
      <c r="P19" s="0" t="n">
        <f aca="false">(L_I2!V9-L_S1!V9)*D19</f>
        <v>109.704629388131</v>
      </c>
    </row>
    <row r="20" customFormat="false" ht="15" hidden="false" customHeight="false" outlineLevel="0" collapsed="false">
      <c r="A20" s="0" t="n">
        <v>2033</v>
      </c>
      <c r="B20" s="0" t="n">
        <v>7</v>
      </c>
      <c r="C20" s="0" t="n">
        <f aca="false">IF(B20&lt;x_H,(1+x_dk)^(-B20),0)</f>
        <v>0.710681330130121</v>
      </c>
      <c r="D20" s="0" t="n">
        <f aca="false">IF(B20&lt;x_H,(1+x_de)^(-B20),0)</f>
        <v>0.785990960683819</v>
      </c>
      <c r="E20" s="0" t="n">
        <f aca="false">(L_I2!AO10-L_S1!AO10)*C20</f>
        <v>42034146.0285082</v>
      </c>
      <c r="F20" s="0" t="n">
        <f aca="false">(L_I2!AP10-L_S1!AP10)*C20</f>
        <v>42088394.4480006</v>
      </c>
      <c r="G20" s="0" t="n">
        <f aca="false">(L_I2!AQ10-L_S1!AQ10)*C20</f>
        <v>41382817.0930477</v>
      </c>
      <c r="H20" s="0" t="n">
        <f aca="false">(L_I2!AS10-L_S1!AS10)*C20</f>
        <v>42648951.2354984</v>
      </c>
      <c r="I20" s="0" t="n">
        <f aca="false">I19+E20</f>
        <v>349987102.145962</v>
      </c>
      <c r="J20" s="0" t="n">
        <f aca="false">J19+F20</f>
        <v>357324040.216952</v>
      </c>
      <c r="K20" s="0" t="n">
        <f aca="false">K19+G20</f>
        <v>355158432.927685</v>
      </c>
      <c r="L20" s="0" t="n">
        <f aca="false">MAX(L19,J20)</f>
        <v>357324040.216952</v>
      </c>
      <c r="M20" s="0" t="n">
        <f aca="false">IF(AND(B20&lt;x_H,J20&lt;=0,L19&gt;0),1,0)</f>
        <v>0</v>
      </c>
      <c r="N20" s="0" t="n">
        <f aca="false">IF(AND(B20&lt;x_H,I20&lt;=0,O19&gt;0),1,0)</f>
        <v>0</v>
      </c>
      <c r="O20" s="0" t="n">
        <f aca="false">MAX(O19,I20)</f>
        <v>349987102.145962</v>
      </c>
      <c r="P20" s="0" t="n">
        <f aca="false">(L_I2!V10-L_S1!V10)*D20</f>
        <v>125.314468816623</v>
      </c>
    </row>
    <row r="21" customFormat="false" ht="15" hidden="false" customHeight="false" outlineLevel="0" collapsed="false">
      <c r="A21" s="0" t="n">
        <v>2034</v>
      </c>
      <c r="B21" s="0" t="n">
        <v>8</v>
      </c>
      <c r="C21" s="0" t="n">
        <f aca="false">IF(B21&lt;x_H,(1+x_dk)^(-B21),0)</f>
        <v>0.676839362028687</v>
      </c>
      <c r="D21" s="0" t="n">
        <f aca="false">IF(B21&lt;x_H,(1+x_de)^(-B21),0)</f>
        <v>0.759411556216251</v>
      </c>
      <c r="E21" s="0" t="n">
        <f aca="false">(L_I2!AO11-L_S1!AO11)*C21</f>
        <v>39687226.5915513</v>
      </c>
      <c r="F21" s="0" t="n">
        <f aca="false">(L_I2!AP11-L_S1!AP11)*C21</f>
        <v>39376276.5213282</v>
      </c>
      <c r="G21" s="0" t="n">
        <f aca="false">(L_I2!AQ11-L_S1!AQ11)*C21</f>
        <v>38448220.5341101</v>
      </c>
      <c r="H21" s="0" t="n">
        <f aca="false">(L_I2!AS11-L_S1!AS11)*C21</f>
        <v>40498442.3599399</v>
      </c>
      <c r="I21" s="0" t="n">
        <f aca="false">I20+E21</f>
        <v>389674328.737513</v>
      </c>
      <c r="J21" s="0" t="n">
        <f aca="false">J20+F21</f>
        <v>396700316.73828</v>
      </c>
      <c r="K21" s="0" t="n">
        <f aca="false">K20+G21</f>
        <v>393606653.461795</v>
      </c>
      <c r="L21" s="0" t="n">
        <f aca="false">MAX(L20,J21)</f>
        <v>396700316.73828</v>
      </c>
      <c r="M21" s="0" t="n">
        <f aca="false">IF(AND(B21&lt;x_H,J21&lt;=0,L20&gt;0),1,0)</f>
        <v>0</v>
      </c>
      <c r="N21" s="0" t="n">
        <f aca="false">IF(AND(B21&lt;x_H,I21&lt;=0,O20&gt;0),1,0)</f>
        <v>0</v>
      </c>
      <c r="O21" s="0" t="n">
        <f aca="false">MAX(O20,I21)</f>
        <v>389674328.737513</v>
      </c>
      <c r="P21" s="0" t="n">
        <f aca="false">(L_I2!V11-L_S1!V11)*D21</f>
        <v>140.649854915258</v>
      </c>
    </row>
    <row r="22" customFormat="false" ht="15" hidden="false" customHeight="false" outlineLevel="0" collapsed="false">
      <c r="A22" s="0" t="n">
        <v>2035</v>
      </c>
      <c r="B22" s="0" t="n">
        <v>9</v>
      </c>
      <c r="C22" s="0" t="n">
        <f aca="false">IF(B22&lt;x_H,(1+x_dk)^(-B22),0)</f>
        <v>0.644608916217797</v>
      </c>
      <c r="D22" s="0" t="n">
        <f aca="false">IF(B22&lt;x_H,(1+x_de)^(-B22),0)</f>
        <v>0.733730972189614</v>
      </c>
      <c r="E22" s="0" t="n">
        <f aca="false">(L_I2!AO12-L_S1!AO12)*C22</f>
        <v>37207463.4988089</v>
      </c>
      <c r="F22" s="0" t="n">
        <f aca="false">(L_I2!AP12-L_S1!AP12)*C22</f>
        <v>36390514.0423913</v>
      </c>
      <c r="G22" s="0" t="n">
        <f aca="false">(L_I2!AQ12-L_S1!AQ12)*C22</f>
        <v>35226518.4254107</v>
      </c>
      <c r="H22" s="0" t="n">
        <f aca="false">(L_I2!AS12-L_S1!AS12)*C22</f>
        <v>38459674.9489984</v>
      </c>
      <c r="I22" s="0" t="n">
        <f aca="false">I21+E22</f>
        <v>426881792.236322</v>
      </c>
      <c r="J22" s="0" t="n">
        <f aca="false">J21+F22</f>
        <v>433090830.780672</v>
      </c>
      <c r="K22" s="0" t="n">
        <f aca="false">K21+G22</f>
        <v>428833171.887206</v>
      </c>
      <c r="L22" s="0" t="n">
        <f aca="false">MAX(L21,J22)</f>
        <v>433090830.780672</v>
      </c>
      <c r="M22" s="0" t="n">
        <f aca="false">IF(AND(B22&lt;x_H,J22&lt;=0,L21&gt;0),1,0)</f>
        <v>0</v>
      </c>
      <c r="N22" s="0" t="n">
        <f aca="false">IF(AND(B22&lt;x_H,I22&lt;=0,O21&gt;0),1,0)</f>
        <v>0</v>
      </c>
      <c r="O22" s="0" t="n">
        <f aca="false">MAX(O21,I22)</f>
        <v>426881792.236322</v>
      </c>
      <c r="P22" s="0" t="n">
        <f aca="false">(L_I2!V12-L_S1!V12)*D22</f>
        <v>149.979013101392</v>
      </c>
    </row>
    <row r="23" customFormat="false" ht="15" hidden="false" customHeight="false" outlineLevel="0" collapsed="false">
      <c r="A23" s="0" t="n">
        <v>2036</v>
      </c>
      <c r="B23" s="0" t="n">
        <v>10</v>
      </c>
      <c r="C23" s="0" t="n">
        <f aca="false">IF(B23&lt;x_H,(1+x_dk)^(-B23),0)</f>
        <v>0.613913253540759</v>
      </c>
      <c r="D23" s="0" t="n">
        <f aca="false">IF(B23&lt;x_H,(1+x_de)^(-B23),0)</f>
        <v>0.708918813709772</v>
      </c>
      <c r="E23" s="0" t="n">
        <f aca="false">(L_I2!AO13-L_S1!AO13)*C23</f>
        <v>-964441.477467034</v>
      </c>
      <c r="F23" s="0" t="n">
        <f aca="false">(L_I2!AP13-L_S1!AP13)*C23</f>
        <v>-3033007.63457844</v>
      </c>
      <c r="G23" s="0" t="n">
        <f aca="false">(L_I2!AQ13-L_S1!AQ13)*C23</f>
        <v>-4454834.97909262</v>
      </c>
      <c r="H23" s="0" t="n">
        <f aca="false">(L_I2!AS13-L_S1!AS13)*C23</f>
        <v>0</v>
      </c>
      <c r="I23" s="0" t="n">
        <f aca="false">I22+E23</f>
        <v>425917350.758855</v>
      </c>
      <c r="J23" s="0" t="n">
        <f aca="false">J22+F23</f>
        <v>430057823.146093</v>
      </c>
      <c r="K23" s="0" t="n">
        <f aca="false">K22+G23</f>
        <v>424378336.908113</v>
      </c>
      <c r="L23" s="0" t="n">
        <f aca="false">MAX(L22,J23)</f>
        <v>433090830.780672</v>
      </c>
      <c r="M23" s="0" t="n">
        <f aca="false">IF(AND(B23&lt;x_H,J23&lt;=0,L22&gt;0),1,0)</f>
        <v>0</v>
      </c>
      <c r="N23" s="0" t="n">
        <f aca="false">IF(AND(B23&lt;x_H,I23&lt;=0,O22&gt;0),1,0)</f>
        <v>0</v>
      </c>
      <c r="O23" s="0" t="n">
        <f aca="false">MAX(O22,I23)</f>
        <v>426881792.236322</v>
      </c>
      <c r="P23" s="0" t="n">
        <f aca="false">(L_I2!V13-L_S1!V13)*D23</f>
        <v>153.650354764643</v>
      </c>
    </row>
    <row r="24" customFormat="false" ht="15" hidden="false" customHeight="false" outlineLevel="0" collapsed="false">
      <c r="A24" s="0" t="n">
        <v>2037</v>
      </c>
      <c r="B24" s="0" t="n">
        <v>11</v>
      </c>
      <c r="C24" s="0" t="n">
        <f aca="false">IF(B24&lt;x_H,(1+x_dk)^(-B24),0)</f>
        <v>0.584679289086437</v>
      </c>
      <c r="D24" s="0" t="n">
        <f aca="false">IF(B24&lt;x_H,(1+x_de)^(-B24),0)</f>
        <v>0.684945713729249</v>
      </c>
      <c r="E24" s="0" t="n">
        <f aca="false">(L_I2!AO14-L_S1!AO14)*C24</f>
        <v>-1231906.30267888</v>
      </c>
      <c r="F24" s="0" t="n">
        <f aca="false">(L_I2!AP14-L_S1!AP14)*C24</f>
        <v>-3637030.64164534</v>
      </c>
      <c r="G24" s="0" t="n">
        <f aca="false">(L_I2!AQ14-L_S1!AQ14)*C24</f>
        <v>-5340981.0072954</v>
      </c>
      <c r="H24" s="0" t="n">
        <f aca="false">(L_I2!AS14-L_S1!AS14)*C24</f>
        <v>0</v>
      </c>
      <c r="I24" s="0" t="n">
        <f aca="false">I23+E24</f>
        <v>424685444.456176</v>
      </c>
      <c r="J24" s="0" t="n">
        <f aca="false">J23+F24</f>
        <v>426420792.504448</v>
      </c>
      <c r="K24" s="0" t="n">
        <f aca="false">K23+G24</f>
        <v>419037355.900818</v>
      </c>
      <c r="L24" s="0" t="n">
        <f aca="false">MAX(L23,J24)</f>
        <v>433090830.780672</v>
      </c>
      <c r="M24" s="0" t="n">
        <f aca="false">IF(AND(B24&lt;x_H,J24&lt;=0,L23&gt;0),1,0)</f>
        <v>0</v>
      </c>
      <c r="N24" s="0" t="n">
        <f aca="false">IF(AND(B24&lt;x_H,I24&lt;=0,O23&gt;0),1,0)</f>
        <v>0</v>
      </c>
      <c r="O24" s="0" t="n">
        <f aca="false">MAX(O23,I24)</f>
        <v>426881792.236322</v>
      </c>
      <c r="P24" s="0" t="n">
        <f aca="false">(L_I2!V14-L_S1!V14)*D24</f>
        <v>157.225863857979</v>
      </c>
    </row>
    <row r="25" customFormat="false" ht="15" hidden="false" customHeight="false" outlineLevel="0" collapsed="false">
      <c r="A25" s="0" t="n">
        <v>2038</v>
      </c>
      <c r="B25" s="0" t="n">
        <v>12</v>
      </c>
      <c r="C25" s="0" t="n">
        <f aca="false">IF(B25&lt;x_H,(1+x_dk)^(-B25),0)</f>
        <v>0.556837418177559</v>
      </c>
      <c r="D25" s="0" t="n">
        <f aca="false">IF(B25&lt;x_H,(1+x_de)^(-B25),0)</f>
        <v>0.661783298289129</v>
      </c>
      <c r="E25" s="0" t="n">
        <f aca="false">(L_I2!AO15-L_S1!AO15)*C25</f>
        <v>-1435645.56203114</v>
      </c>
      <c r="F25" s="0" t="n">
        <f aca="false">(L_I2!AP15-L_S1!AP15)*C25</f>
        <v>-3138796.35943033</v>
      </c>
      <c r="G25" s="0" t="n">
        <f aca="false">(L_I2!AQ15-L_S1!AQ15)*C25</f>
        <v>-4372762.06962188</v>
      </c>
      <c r="H25" s="0" t="n">
        <f aca="false">(L_I2!AS15-L_S1!AS15)*C25</f>
        <v>0</v>
      </c>
      <c r="I25" s="0" t="n">
        <f aca="false">I24+E25</f>
        <v>423249798.894145</v>
      </c>
      <c r="J25" s="0" t="n">
        <f aca="false">J24+F25</f>
        <v>423281996.145018</v>
      </c>
      <c r="K25" s="0" t="n">
        <f aca="false">K24+G25</f>
        <v>414664593.831196</v>
      </c>
      <c r="L25" s="0" t="n">
        <f aca="false">MAX(L24,J25)</f>
        <v>433090830.780672</v>
      </c>
      <c r="M25" s="0" t="n">
        <f aca="false">IF(AND(B25&lt;x_H,J25&lt;=0,L24&gt;0),1,0)</f>
        <v>0</v>
      </c>
      <c r="N25" s="0" t="n">
        <f aca="false">IF(AND(B25&lt;x_H,I25&lt;=0,O24&gt;0),1,0)</f>
        <v>0</v>
      </c>
      <c r="O25" s="0" t="n">
        <f aca="false">MAX(O24,I25)</f>
        <v>426881792.236322</v>
      </c>
      <c r="P25" s="0" t="n">
        <f aca="false">(L_I2!V15-L_S1!V15)*D25</f>
        <v>160.530098232591</v>
      </c>
    </row>
    <row r="26" customFormat="false" ht="15" hidden="false" customHeight="false" outlineLevel="0" collapsed="false">
      <c r="A26" s="0" t="n">
        <v>2039</v>
      </c>
      <c r="B26" s="0" t="n">
        <v>13</v>
      </c>
      <c r="C26" s="0" t="n">
        <f aca="false">IF(B26&lt;x_H,(1+x_dk)^(-B26),0)</f>
        <v>0.530321350645295</v>
      </c>
      <c r="D26" s="0" t="n">
        <f aca="false">IF(B26&lt;x_H,(1+x_de)^(-B26),0)</f>
        <v>0.639404152936357</v>
      </c>
      <c r="E26" s="0" t="n">
        <f aca="false">(L_I2!AO16-L_S1!AO16)*C26</f>
        <v>-1587043.37279921</v>
      </c>
      <c r="F26" s="0" t="n">
        <f aca="false">(L_I2!AP16-L_S1!AP16)*C26</f>
        <v>-2523150.55945177</v>
      </c>
      <c r="G26" s="0" t="n">
        <f aca="false">(L_I2!AQ16-L_S1!AQ16)*C26</f>
        <v>-3226368.39968032</v>
      </c>
      <c r="H26" s="0" t="n">
        <f aca="false">(L_I2!AS16-L_S1!AS16)*C26</f>
        <v>0</v>
      </c>
      <c r="I26" s="0" t="n">
        <f aca="false">I25+E26</f>
        <v>421662755.521346</v>
      </c>
      <c r="J26" s="0" t="n">
        <f aca="false">J25+F26</f>
        <v>420758845.585566</v>
      </c>
      <c r="K26" s="0" t="n">
        <f aca="false">K25+G26</f>
        <v>411438225.431516</v>
      </c>
      <c r="L26" s="0" t="n">
        <f aca="false">MAX(L25,J26)</f>
        <v>433090830.780672</v>
      </c>
      <c r="M26" s="0" t="n">
        <f aca="false">IF(AND(B26&lt;x_H,J26&lt;=0,L25&gt;0),1,0)</f>
        <v>0</v>
      </c>
      <c r="N26" s="0" t="n">
        <f aca="false">IF(AND(B26&lt;x_H,I26&lt;=0,O25&gt;0),1,0)</f>
        <v>0</v>
      </c>
      <c r="O26" s="0" t="n">
        <f aca="false">MAX(O25,I26)</f>
        <v>426881792.236322</v>
      </c>
      <c r="P26" s="0" t="n">
        <f aca="false">(L_I2!V16-L_S1!V16)*D26</f>
        <v>163.430422682226</v>
      </c>
    </row>
    <row r="27" customFormat="false" ht="15" hidden="false" customHeight="false" outlineLevel="0" collapsed="false">
      <c r="A27" s="0" t="n">
        <v>2040</v>
      </c>
      <c r="B27" s="0" t="n">
        <v>14</v>
      </c>
      <c r="C27" s="0" t="n">
        <f aca="false">IF(B27&lt;x_H,(1+x_dk)^(-B27),0)</f>
        <v>0.505067952995519</v>
      </c>
      <c r="D27" s="0" t="n">
        <f aca="false">IF(B27&lt;x_H,(1+x_de)^(-B27),0)</f>
        <v>0.617781790276673</v>
      </c>
      <c r="E27" s="0" t="n">
        <f aca="false">(L_I2!AO17-L_S1!AO17)*C27</f>
        <v>-1694076.76425601</v>
      </c>
      <c r="F27" s="0" t="n">
        <f aca="false">(L_I2!AP17-L_S1!AP17)*C27</f>
        <v>-2735163.32389596</v>
      </c>
      <c r="G27" s="0" t="n">
        <f aca="false">(L_I2!AQ17-L_S1!AQ17)*C27</f>
        <v>-3532984.43574551</v>
      </c>
      <c r="H27" s="0" t="n">
        <f aca="false">(L_I2!AS17-L_S1!AS17)*C27</f>
        <v>0</v>
      </c>
      <c r="I27" s="0" t="n">
        <f aca="false">I26+E27</f>
        <v>419968678.75709</v>
      </c>
      <c r="J27" s="0" t="n">
        <f aca="false">J26+F27</f>
        <v>418023682.26167</v>
      </c>
      <c r="K27" s="0" t="n">
        <f aca="false">K26+G27</f>
        <v>407905240.99577</v>
      </c>
      <c r="L27" s="0" t="n">
        <f aca="false">MAX(L26,J27)</f>
        <v>433090830.780672</v>
      </c>
      <c r="M27" s="0" t="n">
        <f aca="false">IF(AND(B27&lt;x_H,J27&lt;=0,L26&gt;0),1,0)</f>
        <v>0</v>
      </c>
      <c r="N27" s="0" t="n">
        <f aca="false">IF(AND(B27&lt;x_H,I27&lt;=0,O26&gt;0),1,0)</f>
        <v>0</v>
      </c>
      <c r="O27" s="0" t="n">
        <f aca="false">MAX(O26,I27)</f>
        <v>426881792.236322</v>
      </c>
      <c r="P27" s="0" t="n">
        <f aca="false">(L_I2!V17-L_S1!V17)*D27</f>
        <v>165.837343781872</v>
      </c>
    </row>
    <row r="28" customFormat="false" ht="15" hidden="false" customHeight="false" outlineLevel="0" collapsed="false">
      <c r="A28" s="0" t="n">
        <v>2041</v>
      </c>
      <c r="B28" s="0" t="n">
        <v>15</v>
      </c>
      <c r="C28" s="0" t="n">
        <f aca="false">IF(B28&lt;x_H,(1+x_dk)^(-B28),0)</f>
        <v>0.48101709809097</v>
      </c>
      <c r="D28" s="0" t="n">
        <f aca="false">IF(B28&lt;x_H,(1+x_de)^(-B28),0)</f>
        <v>0.596890618624805</v>
      </c>
      <c r="E28" s="0" t="n">
        <f aca="false">(L_I2!AO18-L_S1!AO18)*C28</f>
        <v>-1764421.00667548</v>
      </c>
      <c r="F28" s="0" t="n">
        <f aca="false">(L_I2!AP18-L_S1!AP18)*C28</f>
        <v>-2907994.75072508</v>
      </c>
      <c r="G28" s="0" t="n">
        <f aca="false">(L_I2!AQ18-L_S1!AQ18)*C28</f>
        <v>-3799811.15886731</v>
      </c>
      <c r="H28" s="0" t="n">
        <f aca="false">(L_I2!AS18-L_S1!AS18)*C28</f>
        <v>0</v>
      </c>
      <c r="I28" s="0" t="n">
        <f aca="false">I27+E28</f>
        <v>418204257.750415</v>
      </c>
      <c r="J28" s="0" t="n">
        <f aca="false">J27+F28</f>
        <v>415115687.510945</v>
      </c>
      <c r="K28" s="0" t="n">
        <f aca="false">K27+G28</f>
        <v>404105429.836903</v>
      </c>
      <c r="L28" s="0" t="n">
        <f aca="false">MAX(L27,J28)</f>
        <v>433090830.780672</v>
      </c>
      <c r="M28" s="0" t="n">
        <f aca="false">IF(AND(B28&lt;x_H,J28&lt;=0,L27&gt;0),1,0)</f>
        <v>0</v>
      </c>
      <c r="N28" s="0" t="n">
        <f aca="false">IF(AND(B28&lt;x_H,I28&lt;=0,O27&gt;0),1,0)</f>
        <v>0</v>
      </c>
      <c r="O28" s="0" t="n">
        <f aca="false">MAX(O27,I28)</f>
        <v>426881792.236322</v>
      </c>
      <c r="P28" s="0" t="n">
        <f aca="false">(L_I2!V18-L_S1!V18)*D28</f>
        <v>167.700000646354</v>
      </c>
    </row>
    <row r="29" customFormat="false" ht="15" hidden="false" customHeight="false" outlineLevel="0" collapsed="false">
      <c r="A29" s="0" t="n">
        <v>2042</v>
      </c>
      <c r="B29" s="0" t="n">
        <v>16</v>
      </c>
      <c r="C29" s="0" t="n">
        <f aca="false">IF(B29&lt;x_H,(1+x_dk)^(-B29),0)</f>
        <v>0.4581115219914</v>
      </c>
      <c r="D29" s="0" t="n">
        <f aca="false">IF(B29&lt;x_H,(1+x_de)^(-B29),0)</f>
        <v>0.576705911714788</v>
      </c>
      <c r="E29" s="0" t="n">
        <f aca="false">(L_I2!AO19-L_S1!AO19)*C29</f>
        <v>-1802813.80464372</v>
      </c>
      <c r="F29" s="0" t="n">
        <f aca="false">(L_I2!AP19-L_S1!AP19)*C29</f>
        <v>-3045978.39754385</v>
      </c>
      <c r="G29" s="0" t="n">
        <f aca="false">(L_I2!AQ19-L_S1!AQ19)*C29</f>
        <v>-4030478.55570241</v>
      </c>
      <c r="H29" s="0" t="n">
        <f aca="false">(L_I2!AS19-L_S1!AS19)*C29</f>
        <v>0</v>
      </c>
      <c r="I29" s="0" t="n">
        <f aca="false">I28+E29</f>
        <v>416401443.945771</v>
      </c>
      <c r="J29" s="0" t="n">
        <f aca="false">J28+F29</f>
        <v>412069709.113401</v>
      </c>
      <c r="K29" s="0" t="n">
        <f aca="false">K28+G29</f>
        <v>400074951.2812</v>
      </c>
      <c r="L29" s="0" t="n">
        <f aca="false">MAX(L28,J29)</f>
        <v>433090830.780672</v>
      </c>
      <c r="M29" s="0" t="n">
        <f aca="false">IF(AND(B29&lt;x_H,J29&lt;=0,L28&gt;0),1,0)</f>
        <v>0</v>
      </c>
      <c r="N29" s="0" t="n">
        <f aca="false">IF(AND(B29&lt;x_H,I29&lt;=0,O28&gt;0),1,0)</f>
        <v>0</v>
      </c>
      <c r="O29" s="0" t="n">
        <f aca="false">MAX(O28,I29)</f>
        <v>426881792.236322</v>
      </c>
      <c r="P29" s="0" t="n">
        <f aca="false">(L_I2!V19-L_S1!V19)*D29</f>
        <v>168.936769542264</v>
      </c>
    </row>
    <row r="30" customFormat="false" ht="15" hidden="false" customHeight="false" outlineLevel="0" collapsed="false">
      <c r="A30" s="0" t="n">
        <v>2043</v>
      </c>
      <c r="B30" s="0" t="n">
        <v>17</v>
      </c>
      <c r="C30" s="0" t="n">
        <f aca="false">IF(B30&lt;x_H,(1+x_dk)^(-B30),0)</f>
        <v>0.436296687610857</v>
      </c>
      <c r="D30" s="0" t="n">
        <f aca="false">IF(B30&lt;x_H,(1+x_de)^(-B30),0)</f>
        <v>0.557203779434577</v>
      </c>
      <c r="E30" s="0" t="n">
        <f aca="false">(L_I2!AO20-L_S1!AO20)*C30</f>
        <v>-1815286.98629268</v>
      </c>
      <c r="F30" s="0" t="n">
        <f aca="false">(L_I2!AP20-L_S1!AP20)*C30</f>
        <v>-3154603.49152615</v>
      </c>
      <c r="G30" s="0" t="n">
        <f aca="false">(L_I2!AQ20-L_S1!AQ20)*C30</f>
        <v>-4229796.30397465</v>
      </c>
      <c r="H30" s="0" t="n">
        <f aca="false">(L_I2!AS20-L_S1!AS20)*C30</f>
        <v>0</v>
      </c>
      <c r="I30" s="0" t="n">
        <f aca="false">I29+E30</f>
        <v>414586156.959478</v>
      </c>
      <c r="J30" s="0" t="n">
        <f aca="false">J29+F30</f>
        <v>408915105.621875</v>
      </c>
      <c r="K30" s="0" t="n">
        <f aca="false">K29+G30</f>
        <v>395845154.977226</v>
      </c>
      <c r="L30" s="0" t="n">
        <f aca="false">MAX(L29,J30)</f>
        <v>433090830.780672</v>
      </c>
      <c r="M30" s="0" t="n">
        <f aca="false">IF(AND(B30&lt;x_H,J30&lt;=0,L29&gt;0),1,0)</f>
        <v>0</v>
      </c>
      <c r="N30" s="0" t="n">
        <f aca="false">IF(AND(B30&lt;x_H,I30&lt;=0,O29&gt;0),1,0)</f>
        <v>0</v>
      </c>
      <c r="O30" s="0" t="n">
        <f aca="false">MAX(O29,I30)</f>
        <v>426881792.236322</v>
      </c>
      <c r="P30" s="0" t="n">
        <f aca="false">(L_I2!V20-L_S1!V20)*D30</f>
        <v>169.641805056427</v>
      </c>
    </row>
    <row r="31" customFormat="false" ht="15" hidden="false" customHeight="false" outlineLevel="0" collapsed="false">
      <c r="A31" s="0" t="n">
        <v>2044</v>
      </c>
      <c r="B31" s="0" t="n">
        <v>18</v>
      </c>
      <c r="C31" s="0" t="n">
        <f aca="false">IF(B31&lt;x_H,(1+x_dk)^(-B31),0)</f>
        <v>0.415520654867483</v>
      </c>
      <c r="D31" s="0" t="n">
        <f aca="false">IF(B31&lt;x_H,(1+x_de)^(-B31),0)</f>
        <v>0.538361139550316</v>
      </c>
      <c r="E31" s="0" t="n">
        <f aca="false">(L_I2!AO21-L_S1!AO21)*C31</f>
        <v>-1806417.60546102</v>
      </c>
      <c r="F31" s="0" t="n">
        <f aca="false">(L_I2!AP21-L_S1!AP21)*C31</f>
        <v>-3238087.69428528</v>
      </c>
      <c r="G31" s="0" t="n">
        <f aca="false">(L_I2!AQ21-L_S1!AQ21)*C31</f>
        <v>-4401482.1565995</v>
      </c>
      <c r="H31" s="0" t="n">
        <f aca="false">(L_I2!AS21-L_S1!AS21)*C31</f>
        <v>0</v>
      </c>
      <c r="I31" s="0" t="n">
        <f aca="false">I30+E31</f>
        <v>412779739.354017</v>
      </c>
      <c r="J31" s="0" t="n">
        <f aca="false">J30+F31</f>
        <v>405677017.92759</v>
      </c>
      <c r="K31" s="0" t="n">
        <f aca="false">K30+G31</f>
        <v>391443672.820626</v>
      </c>
      <c r="L31" s="0" t="n">
        <f aca="false">MAX(L30,J31)</f>
        <v>433090830.780672</v>
      </c>
      <c r="M31" s="0" t="n">
        <f aca="false">IF(AND(B31&lt;x_H,J31&lt;=0,L30&gt;0),1,0)</f>
        <v>0</v>
      </c>
      <c r="N31" s="0" t="n">
        <f aca="false">IF(AND(B31&lt;x_H,I31&lt;=0,O30&gt;0),1,0)</f>
        <v>0</v>
      </c>
      <c r="O31" s="0" t="n">
        <f aca="false">MAX(O30,I31)</f>
        <v>426881792.236322</v>
      </c>
      <c r="P31" s="0" t="n">
        <f aca="false">(L_I2!V21-L_S1!V21)*D31</f>
        <v>169.893854974731</v>
      </c>
    </row>
    <row r="32" customFormat="false" ht="15" hidden="false" customHeight="false" outlineLevel="0" collapsed="false">
      <c r="A32" s="0" t="n">
        <v>2045</v>
      </c>
      <c r="B32" s="0" t="n">
        <v>19</v>
      </c>
      <c r="C32" s="0" t="n">
        <f aca="false">IF(B32&lt;x_H,(1+x_dk)^(-B32),0)</f>
        <v>0.39573395701665</v>
      </c>
      <c r="D32" s="0" t="n">
        <f aca="false">IF(B32&lt;x_H,(1+x_de)^(-B32),0)</f>
        <v>0.520155690386779</v>
      </c>
      <c r="E32" s="0" t="n">
        <f aca="false">(L_I2!AO22-L_S1!AO22)*C32</f>
        <v>-1780150.64230896</v>
      </c>
      <c r="F32" s="0" t="n">
        <f aca="false">(L_I2!AP22-L_S1!AP22)*C32</f>
        <v>-3299870.68723728</v>
      </c>
      <c r="G32" s="0" t="n">
        <f aca="false">(L_I2!AQ22-L_S1!AQ22)*C32</f>
        <v>-4548428.88532266</v>
      </c>
      <c r="H32" s="0" t="n">
        <f aca="false">(L_I2!AS22-L_S1!AS22)*C32</f>
        <v>0</v>
      </c>
      <c r="I32" s="0" t="n">
        <f aca="false">I31+E32</f>
        <v>410999588.711708</v>
      </c>
      <c r="J32" s="0" t="n">
        <f aca="false">J31+F32</f>
        <v>402377147.240352</v>
      </c>
      <c r="K32" s="0" t="n">
        <f aca="false">K31+G32</f>
        <v>386895243.935304</v>
      </c>
      <c r="L32" s="0" t="n">
        <f aca="false">MAX(L31,J32)</f>
        <v>433090830.780672</v>
      </c>
      <c r="M32" s="0" t="n">
        <f aca="false">IF(AND(B32&lt;x_H,J32&lt;=0,L31&gt;0),1,0)</f>
        <v>0</v>
      </c>
      <c r="N32" s="0" t="n">
        <f aca="false">IF(AND(B32&lt;x_H,I32&lt;=0,O31&gt;0),1,0)</f>
        <v>0</v>
      </c>
      <c r="O32" s="0" t="n">
        <f aca="false">MAX(O31,I32)</f>
        <v>426881792.236322</v>
      </c>
      <c r="P32" s="0" t="n">
        <f aca="false">(L_I2!V22-L_S1!V22)*D32</f>
        <v>169.645657485506</v>
      </c>
    </row>
    <row r="33" customFormat="false" ht="15" hidden="false" customHeight="false" outlineLevel="0" collapsed="false">
      <c r="A33" s="0" t="n">
        <v>2046</v>
      </c>
      <c r="B33" s="0" t="n">
        <v>20</v>
      </c>
      <c r="C33" s="0" t="n">
        <f aca="false">IF(B33&lt;x_H,(1+x_dk)^(-B33),0)</f>
        <v>0</v>
      </c>
      <c r="D33" s="0" t="n">
        <f aca="false">IF(B33&lt;x_H,(1+x_de)^(-B33),0)</f>
        <v>0</v>
      </c>
      <c r="E33" s="0" t="n">
        <f aca="false">(L_I2!AO23-L_S1!AO23)*C33</f>
        <v>-0</v>
      </c>
      <c r="F33" s="0" t="n">
        <f aca="false">(L_I2!AP23-L_S1!AP23)*C33</f>
        <v>-0</v>
      </c>
      <c r="G33" s="0" t="n">
        <f aca="false">(L_I2!AQ23-L_S1!AQ23)*C33</f>
        <v>-0</v>
      </c>
      <c r="H33" s="0" t="n">
        <f aca="false">(L_I2!AS23-L_S1!AS23)*C33</f>
        <v>0</v>
      </c>
      <c r="I33" s="0" t="n">
        <f aca="false">I32+E33</f>
        <v>410999588.711708</v>
      </c>
      <c r="J33" s="0" t="n">
        <f aca="false">J32+F33</f>
        <v>402377147.240352</v>
      </c>
      <c r="K33" s="0" t="n">
        <f aca="false">K32+G33</f>
        <v>386895243.935304</v>
      </c>
      <c r="L33" s="0" t="n">
        <f aca="false">MAX(L32,J33)</f>
        <v>433090830.780672</v>
      </c>
      <c r="M33" s="0" t="n">
        <f aca="false">IF(AND(B33&lt;x_H,J33&lt;=0,L32&gt;0),1,0)</f>
        <v>0</v>
      </c>
      <c r="N33" s="0" t="n">
        <f aca="false">IF(AND(B33&lt;x_H,I33&lt;=0,O32&gt;0),1,0)</f>
        <v>0</v>
      </c>
      <c r="O33" s="0" t="n">
        <f aca="false">MAX(O32,I33)</f>
        <v>426881792.236322</v>
      </c>
      <c r="P33" s="0" t="n">
        <f aca="false">(L_I2!V23-L_S1!V23)*D33</f>
        <v>0</v>
      </c>
    </row>
    <row r="34" customFormat="false" ht="15" hidden="false" customHeight="false" outlineLevel="0" collapsed="false">
      <c r="A34" s="0" t="n">
        <v>2047</v>
      </c>
      <c r="B34" s="0" t="n">
        <v>21</v>
      </c>
      <c r="C34" s="0" t="n">
        <f aca="false">IF(B34&lt;x_H,(1+x_dk)^(-B34),0)</f>
        <v>0</v>
      </c>
      <c r="D34" s="0" t="n">
        <f aca="false">IF(B34&lt;x_H,(1+x_de)^(-B34),0)</f>
        <v>0</v>
      </c>
      <c r="E34" s="0" t="n">
        <f aca="false">(L_I2!AO24-L_S1!AO24)*C34</f>
        <v>-0</v>
      </c>
      <c r="F34" s="0" t="n">
        <f aca="false">(L_I2!AP24-L_S1!AP24)*C34</f>
        <v>-0</v>
      </c>
      <c r="G34" s="0" t="n">
        <f aca="false">(L_I2!AQ24-L_S1!AQ24)*C34</f>
        <v>-0</v>
      </c>
      <c r="H34" s="0" t="n">
        <f aca="false">(L_I2!AS24-L_S1!AS24)*C34</f>
        <v>0</v>
      </c>
      <c r="I34" s="0" t="n">
        <f aca="false">I33+E34</f>
        <v>410999588.711708</v>
      </c>
      <c r="J34" s="0" t="n">
        <f aca="false">J33+F34</f>
        <v>402377147.240352</v>
      </c>
      <c r="K34" s="0" t="n">
        <f aca="false">K33+G34</f>
        <v>386895243.935304</v>
      </c>
      <c r="L34" s="0" t="n">
        <f aca="false">MAX(L33,J34)</f>
        <v>433090830.780672</v>
      </c>
      <c r="M34" s="0" t="n">
        <f aca="false">IF(AND(B34&lt;x_H,J34&lt;=0,L33&gt;0),1,0)</f>
        <v>0</v>
      </c>
      <c r="N34" s="0" t="n">
        <f aca="false">IF(AND(B34&lt;x_H,I34&lt;=0,O33&gt;0),1,0)</f>
        <v>0</v>
      </c>
      <c r="O34" s="0" t="n">
        <f aca="false">MAX(O33,I34)</f>
        <v>426881792.236322</v>
      </c>
      <c r="P34" s="0" t="n">
        <f aca="false">(L_I2!V24-L_S1!V24)*D34</f>
        <v>0</v>
      </c>
    </row>
    <row r="35" customFormat="false" ht="15" hidden="false" customHeight="false" outlineLevel="0" collapsed="false">
      <c r="A35" s="0" t="n">
        <v>2048</v>
      </c>
      <c r="B35" s="0" t="n">
        <v>22</v>
      </c>
      <c r="C35" s="0" t="n">
        <f aca="false">IF(B35&lt;x_H,(1+x_dk)^(-B35),0)</f>
        <v>0</v>
      </c>
      <c r="D35" s="0" t="n">
        <f aca="false">IF(B35&lt;x_H,(1+x_de)^(-B35),0)</f>
        <v>0</v>
      </c>
      <c r="E35" s="0" t="n">
        <f aca="false">(L_I2!AO25-L_S1!AO25)*C35</f>
        <v>-0</v>
      </c>
      <c r="F35" s="0" t="n">
        <f aca="false">(L_I2!AP25-L_S1!AP25)*C35</f>
        <v>-0</v>
      </c>
      <c r="G35" s="0" t="n">
        <f aca="false">(L_I2!AQ25-L_S1!AQ25)*C35</f>
        <v>-0</v>
      </c>
      <c r="H35" s="0" t="n">
        <f aca="false">(L_I2!AS25-L_S1!AS25)*C35</f>
        <v>0</v>
      </c>
      <c r="I35" s="0" t="n">
        <f aca="false">I34+E35</f>
        <v>410999588.711708</v>
      </c>
      <c r="J35" s="0" t="n">
        <f aca="false">J34+F35</f>
        <v>402377147.240352</v>
      </c>
      <c r="K35" s="0" t="n">
        <f aca="false">K34+G35</f>
        <v>386895243.935304</v>
      </c>
      <c r="L35" s="0" t="n">
        <f aca="false">MAX(L34,J35)</f>
        <v>433090830.780672</v>
      </c>
      <c r="M35" s="0" t="n">
        <f aca="false">IF(AND(B35&lt;x_H,J35&lt;=0,L34&gt;0),1,0)</f>
        <v>0</v>
      </c>
      <c r="N35" s="0" t="n">
        <f aca="false">IF(AND(B35&lt;x_H,I35&lt;=0,O34&gt;0),1,0)</f>
        <v>0</v>
      </c>
      <c r="O35" s="0" t="n">
        <f aca="false">MAX(O34,I35)</f>
        <v>426881792.236322</v>
      </c>
      <c r="P35" s="0" t="n">
        <f aca="false">(L_I2!V25-L_S1!V25)*D35</f>
        <v>0</v>
      </c>
    </row>
    <row r="36" customFormat="false" ht="15" hidden="false" customHeight="false" outlineLevel="0" collapsed="false">
      <c r="A36" s="0" t="n">
        <v>2049</v>
      </c>
      <c r="B36" s="0" t="n">
        <v>23</v>
      </c>
      <c r="C36" s="0" t="n">
        <f aca="false">IF(B36&lt;x_H,(1+x_dk)^(-B36),0)</f>
        <v>0</v>
      </c>
      <c r="D36" s="0" t="n">
        <f aca="false">IF(B36&lt;x_H,(1+x_de)^(-B36),0)</f>
        <v>0</v>
      </c>
      <c r="E36" s="0" t="n">
        <f aca="false">(L_I2!AO26-L_S1!AO26)*C36</f>
        <v>-0</v>
      </c>
      <c r="F36" s="0" t="n">
        <f aca="false">(L_I2!AP26-L_S1!AP26)*C36</f>
        <v>-0</v>
      </c>
      <c r="G36" s="0" t="n">
        <f aca="false">(L_I2!AQ26-L_S1!AQ26)*C36</f>
        <v>-0</v>
      </c>
      <c r="H36" s="0" t="n">
        <f aca="false">(L_I2!AS26-L_S1!AS26)*C36</f>
        <v>0</v>
      </c>
      <c r="I36" s="0" t="n">
        <f aca="false">I35+E36</f>
        <v>410999588.711708</v>
      </c>
      <c r="J36" s="0" t="n">
        <f aca="false">J35+F36</f>
        <v>402377147.240352</v>
      </c>
      <c r="K36" s="0" t="n">
        <f aca="false">K35+G36</f>
        <v>386895243.935304</v>
      </c>
      <c r="L36" s="0" t="n">
        <f aca="false">MAX(L35,J36)</f>
        <v>433090830.780672</v>
      </c>
      <c r="M36" s="0" t="n">
        <f aca="false">IF(AND(B36&lt;x_H,J36&lt;=0,L35&gt;0),1,0)</f>
        <v>0</v>
      </c>
      <c r="N36" s="0" t="n">
        <f aca="false">IF(AND(B36&lt;x_H,I36&lt;=0,O35&gt;0),1,0)</f>
        <v>0</v>
      </c>
      <c r="O36" s="0" t="n">
        <f aca="false">MAX(O35,I36)</f>
        <v>426881792.236322</v>
      </c>
      <c r="P36" s="0" t="n">
        <f aca="false">(L_I2!V26-L_S1!V26)*D36</f>
        <v>0</v>
      </c>
    </row>
    <row r="37" customFormat="false" ht="15" hidden="false" customHeight="false" outlineLevel="0" collapsed="false">
      <c r="A37" s="0" t="n">
        <v>2050</v>
      </c>
      <c r="B37" s="0" t="n">
        <v>24</v>
      </c>
      <c r="C37" s="0" t="n">
        <f aca="false">IF(B37&lt;x_H,(1+x_dk)^(-B37),0)</f>
        <v>0</v>
      </c>
      <c r="D37" s="0" t="n">
        <f aca="false">IF(B37&lt;x_H,(1+x_de)^(-B37),0)</f>
        <v>0</v>
      </c>
      <c r="E37" s="0" t="n">
        <f aca="false">(L_I2!AO27-L_S1!AO27)*C37</f>
        <v>-0</v>
      </c>
      <c r="F37" s="0" t="n">
        <f aca="false">(L_I2!AP27-L_S1!AP27)*C37</f>
        <v>-0</v>
      </c>
      <c r="G37" s="0" t="n">
        <f aca="false">(L_I2!AQ27-L_S1!AQ27)*C37</f>
        <v>-0</v>
      </c>
      <c r="H37" s="0" t="n">
        <f aca="false">(L_I2!AS27-L_S1!AS27)*C37</f>
        <v>0</v>
      </c>
      <c r="I37" s="0" t="n">
        <f aca="false">I36+E37</f>
        <v>410999588.711708</v>
      </c>
      <c r="J37" s="0" t="n">
        <f aca="false">J36+F37</f>
        <v>402377147.240352</v>
      </c>
      <c r="K37" s="0" t="n">
        <f aca="false">K36+G37</f>
        <v>386895243.935304</v>
      </c>
      <c r="L37" s="0" t="n">
        <f aca="false">MAX(L36,J37)</f>
        <v>433090830.780672</v>
      </c>
      <c r="M37" s="0" t="n">
        <f aca="false">IF(AND(B37&lt;x_H,J37&lt;=0,L36&gt;0),1,0)</f>
        <v>0</v>
      </c>
      <c r="N37" s="0" t="n">
        <f aca="false">IF(AND(B37&lt;x_H,I37&lt;=0,O36&gt;0),1,0)</f>
        <v>0</v>
      </c>
      <c r="O37" s="0" t="n">
        <f aca="false">MAX(O36,I37)</f>
        <v>426881792.236322</v>
      </c>
      <c r="P37" s="0" t="n">
        <f aca="false">(L_I2!V27-L_S1!V27)*D37</f>
        <v>0</v>
      </c>
    </row>
    <row r="38" customFormat="false" ht="15" hidden="false" customHeight="false" outlineLevel="0" collapsed="false">
      <c r="A38" s="0" t="n">
        <v>2051</v>
      </c>
      <c r="B38" s="0" t="n">
        <v>25</v>
      </c>
      <c r="C38" s="0" t="n">
        <f aca="false">IF(B38&lt;x_H,(1+x_dk)^(-B38),0)</f>
        <v>0</v>
      </c>
      <c r="D38" s="0" t="n">
        <f aca="false">IF(B38&lt;x_H,(1+x_de)^(-B38),0)</f>
        <v>0</v>
      </c>
      <c r="E38" s="0" t="n">
        <f aca="false">(L_I2!AO28-L_S1!AO28)*C38</f>
        <v>-0</v>
      </c>
      <c r="F38" s="0" t="n">
        <f aca="false">(L_I2!AP28-L_S1!AP28)*C38</f>
        <v>-0</v>
      </c>
      <c r="G38" s="0" t="n">
        <f aca="false">(L_I2!AQ28-L_S1!AQ28)*C38</f>
        <v>-0</v>
      </c>
      <c r="H38" s="0" t="n">
        <f aca="false">(L_I2!AS28-L_S1!AS28)*C38</f>
        <v>0</v>
      </c>
      <c r="I38" s="0" t="n">
        <f aca="false">I37+E38</f>
        <v>410999588.711708</v>
      </c>
      <c r="J38" s="0" t="n">
        <f aca="false">J37+F38</f>
        <v>402377147.240352</v>
      </c>
      <c r="K38" s="0" t="n">
        <f aca="false">K37+G38</f>
        <v>386895243.935304</v>
      </c>
      <c r="L38" s="0" t="n">
        <f aca="false">MAX(L37,J38)</f>
        <v>433090830.780672</v>
      </c>
      <c r="M38" s="0" t="n">
        <f aca="false">IF(AND(B38&lt;x_H,J38&lt;=0,L37&gt;0),1,0)</f>
        <v>0</v>
      </c>
      <c r="N38" s="0" t="n">
        <f aca="false">IF(AND(B38&lt;x_H,I38&lt;=0,O37&gt;0),1,0)</f>
        <v>0</v>
      </c>
      <c r="O38" s="0" t="n">
        <f aca="false">MAX(O37,I38)</f>
        <v>426881792.236322</v>
      </c>
      <c r="P38" s="0" t="n">
        <f aca="false">(L_I2!V28-L_S1!V28)*D38</f>
        <v>0</v>
      </c>
    </row>
    <row r="39" customFormat="false" ht="15" hidden="false" customHeight="false" outlineLevel="0" collapsed="false">
      <c r="A39" s="0" t="n">
        <v>2052</v>
      </c>
      <c r="B39" s="0" t="n">
        <v>26</v>
      </c>
      <c r="C39" s="0" t="n">
        <f aca="false">IF(B39&lt;x_H,(1+x_dk)^(-B39),0)</f>
        <v>0</v>
      </c>
      <c r="D39" s="0" t="n">
        <f aca="false">IF(B39&lt;x_H,(1+x_de)^(-B39),0)</f>
        <v>0</v>
      </c>
      <c r="E39" s="0" t="n">
        <f aca="false">(L_I2!AO29-L_S1!AO29)*C39</f>
        <v>-0</v>
      </c>
      <c r="F39" s="0" t="n">
        <f aca="false">(L_I2!AP29-L_S1!AP29)*C39</f>
        <v>-0</v>
      </c>
      <c r="G39" s="0" t="n">
        <f aca="false">(L_I2!AQ29-L_S1!AQ29)*C39</f>
        <v>-0</v>
      </c>
      <c r="H39" s="0" t="n">
        <f aca="false">(L_I2!AS29-L_S1!AS29)*C39</f>
        <v>0</v>
      </c>
      <c r="I39" s="0" t="n">
        <f aca="false">I38+E39</f>
        <v>410999588.711708</v>
      </c>
      <c r="J39" s="0" t="n">
        <f aca="false">J38+F39</f>
        <v>402377147.240352</v>
      </c>
      <c r="K39" s="0" t="n">
        <f aca="false">K38+G39</f>
        <v>386895243.935304</v>
      </c>
      <c r="L39" s="0" t="n">
        <f aca="false">MAX(L38,J39)</f>
        <v>433090830.780672</v>
      </c>
      <c r="M39" s="0" t="n">
        <f aca="false">IF(AND(B39&lt;x_H,J39&lt;=0,L38&gt;0),1,0)</f>
        <v>0</v>
      </c>
      <c r="N39" s="0" t="n">
        <f aca="false">IF(AND(B39&lt;x_H,I39&lt;=0,O38&gt;0),1,0)</f>
        <v>0</v>
      </c>
      <c r="O39" s="0" t="n">
        <f aca="false">MAX(O38,I39)</f>
        <v>426881792.236322</v>
      </c>
      <c r="P39" s="0" t="n">
        <f aca="false">(L_I2!V29-L_S1!V29)*D39</f>
        <v>0</v>
      </c>
    </row>
    <row r="40" customFormat="false" ht="15" hidden="false" customHeight="false" outlineLevel="0" collapsed="false">
      <c r="A40" s="0" t="n">
        <v>2053</v>
      </c>
      <c r="B40" s="0" t="n">
        <v>27</v>
      </c>
      <c r="C40" s="0" t="n">
        <f aca="false">IF(B40&lt;x_H,(1+x_dk)^(-B40),0)</f>
        <v>0</v>
      </c>
      <c r="D40" s="0" t="n">
        <f aca="false">IF(B40&lt;x_H,(1+x_de)^(-B40),0)</f>
        <v>0</v>
      </c>
      <c r="E40" s="0" t="n">
        <f aca="false">(L_I2!AO30-L_S1!AO30)*C40</f>
        <v>-0</v>
      </c>
      <c r="F40" s="0" t="n">
        <f aca="false">(L_I2!AP30-L_S1!AP30)*C40</f>
        <v>-0</v>
      </c>
      <c r="G40" s="0" t="n">
        <f aca="false">(L_I2!AQ30-L_S1!AQ30)*C40</f>
        <v>-0</v>
      </c>
      <c r="H40" s="0" t="n">
        <f aca="false">(L_I2!AS30-L_S1!AS30)*C40</f>
        <v>0</v>
      </c>
      <c r="I40" s="0" t="n">
        <f aca="false">I39+E40</f>
        <v>410999588.711708</v>
      </c>
      <c r="J40" s="0" t="n">
        <f aca="false">J39+F40</f>
        <v>402377147.240352</v>
      </c>
      <c r="K40" s="0" t="n">
        <f aca="false">K39+G40</f>
        <v>386895243.935304</v>
      </c>
      <c r="L40" s="0" t="n">
        <f aca="false">MAX(L39,J40)</f>
        <v>433090830.780672</v>
      </c>
      <c r="M40" s="0" t="n">
        <f aca="false">IF(AND(B40&lt;x_H,J40&lt;=0,L39&gt;0),1,0)</f>
        <v>0</v>
      </c>
      <c r="N40" s="0" t="n">
        <f aca="false">IF(AND(B40&lt;x_H,I40&lt;=0,O39&gt;0),1,0)</f>
        <v>0</v>
      </c>
      <c r="O40" s="0" t="n">
        <f aca="false">MAX(O39,I40)</f>
        <v>426881792.236322</v>
      </c>
      <c r="P40" s="0" t="n">
        <f aca="false">(L_I2!V30-L_S1!V30)*D40</f>
        <v>0</v>
      </c>
    </row>
    <row r="41" customFormat="false" ht="15" hidden="false" customHeight="false" outlineLevel="0" collapsed="false">
      <c r="A41" s="0" t="n">
        <v>2054</v>
      </c>
      <c r="B41" s="0" t="n">
        <v>28</v>
      </c>
      <c r="C41" s="0" t="n">
        <f aca="false">IF(B41&lt;x_H,(1+x_dk)^(-B41),0)</f>
        <v>0</v>
      </c>
      <c r="D41" s="0" t="n">
        <f aca="false">IF(B41&lt;x_H,(1+x_de)^(-B41),0)</f>
        <v>0</v>
      </c>
      <c r="E41" s="0" t="n">
        <f aca="false">(L_I2!AO31-L_S1!AO31)*C41</f>
        <v>-0</v>
      </c>
      <c r="F41" s="0" t="n">
        <f aca="false">(L_I2!AP31-L_S1!AP31)*C41</f>
        <v>-0</v>
      </c>
      <c r="G41" s="0" t="n">
        <f aca="false">(L_I2!AQ31-L_S1!AQ31)*C41</f>
        <v>-0</v>
      </c>
      <c r="H41" s="0" t="n">
        <f aca="false">(L_I2!AS31-L_S1!AS31)*C41</f>
        <v>0</v>
      </c>
      <c r="I41" s="0" t="n">
        <f aca="false">I40+E41</f>
        <v>410999588.711708</v>
      </c>
      <c r="J41" s="0" t="n">
        <f aca="false">J40+F41</f>
        <v>402377147.240352</v>
      </c>
      <c r="K41" s="0" t="n">
        <f aca="false">K40+G41</f>
        <v>386895243.935304</v>
      </c>
      <c r="L41" s="0" t="n">
        <f aca="false">MAX(L40,J41)</f>
        <v>433090830.780672</v>
      </c>
      <c r="M41" s="0" t="n">
        <f aca="false">IF(AND(B41&lt;x_H,J41&lt;=0,L40&gt;0),1,0)</f>
        <v>0</v>
      </c>
      <c r="N41" s="0" t="n">
        <f aca="false">IF(AND(B41&lt;x_H,I41&lt;=0,O40&gt;0),1,0)</f>
        <v>0</v>
      </c>
      <c r="O41" s="0" t="n">
        <f aca="false">MAX(O40,I41)</f>
        <v>426881792.236322</v>
      </c>
      <c r="P41" s="0" t="n">
        <f aca="false">(L_I2!V31-L_S1!V31)*D41</f>
        <v>0</v>
      </c>
    </row>
    <row r="42" customFormat="false" ht="15" hidden="false" customHeight="false" outlineLevel="0" collapsed="false">
      <c r="A42" s="0" t="n">
        <v>2055</v>
      </c>
      <c r="B42" s="0" t="n">
        <v>29</v>
      </c>
      <c r="C42" s="0" t="n">
        <f aca="false">IF(B42&lt;x_H,(1+x_dk)^(-B42),0)</f>
        <v>0</v>
      </c>
      <c r="D42" s="0" t="n">
        <f aca="false">IF(B42&lt;x_H,(1+x_de)^(-B42),0)</f>
        <v>0</v>
      </c>
      <c r="E42" s="0" t="n">
        <f aca="false">(L_I2!AO32-L_S1!AO32)*C42</f>
        <v>-0</v>
      </c>
      <c r="F42" s="0" t="n">
        <f aca="false">(L_I2!AP32-L_S1!AP32)*C42</f>
        <v>-0</v>
      </c>
      <c r="G42" s="0" t="n">
        <f aca="false">(L_I2!AQ32-L_S1!AQ32)*C42</f>
        <v>-0</v>
      </c>
      <c r="H42" s="0" t="n">
        <f aca="false">(L_I2!AS32-L_S1!AS32)*C42</f>
        <v>0</v>
      </c>
      <c r="I42" s="0" t="n">
        <f aca="false">I41+E42</f>
        <v>410999588.711708</v>
      </c>
      <c r="J42" s="0" t="n">
        <f aca="false">J41+F42</f>
        <v>402377147.240352</v>
      </c>
      <c r="K42" s="0" t="n">
        <f aca="false">K41+G42</f>
        <v>386895243.935304</v>
      </c>
      <c r="L42" s="0" t="n">
        <f aca="false">MAX(L41,J42)</f>
        <v>433090830.780672</v>
      </c>
      <c r="M42" s="0" t="n">
        <f aca="false">IF(AND(B42&lt;x_H,J42&lt;=0,L41&gt;0),1,0)</f>
        <v>0</v>
      </c>
      <c r="N42" s="0" t="n">
        <f aca="false">IF(AND(B42&lt;x_H,I42&lt;=0,O41&gt;0),1,0)</f>
        <v>0</v>
      </c>
      <c r="O42" s="0" t="n">
        <f aca="false">MAX(O41,I42)</f>
        <v>426881792.236322</v>
      </c>
      <c r="P42" s="0" t="n">
        <f aca="false">(L_I2!V32-L_S1!V32)*D42</f>
        <v>0</v>
      </c>
    </row>
    <row r="43" customFormat="false" ht="15" hidden="false" customHeight="false" outlineLevel="0" collapsed="false">
      <c r="A43" s="0" t="n">
        <v>2056</v>
      </c>
      <c r="B43" s="0" t="n">
        <v>30</v>
      </c>
      <c r="C43" s="0" t="n">
        <f aca="false">IF(B43&lt;x_H,(1+x_dk)^(-B43),0)</f>
        <v>0</v>
      </c>
      <c r="D43" s="0" t="n">
        <f aca="false">IF(B43&lt;x_H,(1+x_de)^(-B43),0)</f>
        <v>0</v>
      </c>
      <c r="E43" s="0" t="n">
        <f aca="false">(L_I2!AO33-L_S1!AO33)*C43</f>
        <v>-0</v>
      </c>
      <c r="F43" s="0" t="n">
        <f aca="false">(L_I2!AP33-L_S1!AP33)*C43</f>
        <v>-0</v>
      </c>
      <c r="G43" s="0" t="n">
        <f aca="false">(L_I2!AQ33-L_S1!AQ33)*C43</f>
        <v>-0</v>
      </c>
      <c r="H43" s="0" t="n">
        <f aca="false">(L_I2!AS33-L_S1!AS33)*C43</f>
        <v>0</v>
      </c>
      <c r="I43" s="0" t="n">
        <f aca="false">I42+E43</f>
        <v>410999588.711708</v>
      </c>
      <c r="J43" s="0" t="n">
        <f aca="false">J42+F43</f>
        <v>402377147.240352</v>
      </c>
      <c r="K43" s="0" t="n">
        <f aca="false">K42+G43</f>
        <v>386895243.935304</v>
      </c>
      <c r="L43" s="0" t="n">
        <f aca="false">MAX(L42,J43)</f>
        <v>433090830.780672</v>
      </c>
      <c r="M43" s="0" t="n">
        <f aca="false">IF(AND(B43&lt;x_H,J43&lt;=0,L42&gt;0),1,0)</f>
        <v>0</v>
      </c>
      <c r="N43" s="0" t="n">
        <f aca="false">IF(AND(B43&lt;x_H,I43&lt;=0,O42&gt;0),1,0)</f>
        <v>0</v>
      </c>
      <c r="O43" s="0" t="n">
        <f aca="false">MAX(O42,I43)</f>
        <v>426881792.236322</v>
      </c>
      <c r="P43" s="0" t="n">
        <f aca="false">(L_I2!V33-L_S1!V33)*D43</f>
        <v>0</v>
      </c>
    </row>
    <row r="44" customFormat="false" ht="15" hidden="false" customHeight="false" outlineLevel="0" collapsed="false">
      <c r="A44" s="0" t="n">
        <v>2057</v>
      </c>
      <c r="B44" s="0" t="n">
        <v>31</v>
      </c>
      <c r="C44" s="0" t="n">
        <f aca="false">IF(B44&lt;x_H,(1+x_dk)^(-B44),0)</f>
        <v>0</v>
      </c>
      <c r="D44" s="0" t="n">
        <f aca="false">IF(B44&lt;x_H,(1+x_de)^(-B44),0)</f>
        <v>0</v>
      </c>
      <c r="E44" s="0" t="n">
        <f aca="false">(L_I2!AO34-L_S1!AO34)*C44</f>
        <v>-0</v>
      </c>
      <c r="F44" s="0" t="n">
        <f aca="false">(L_I2!AP34-L_S1!AP34)*C44</f>
        <v>-0</v>
      </c>
      <c r="G44" s="0" t="n">
        <f aca="false">(L_I2!AQ34-L_S1!AQ34)*C44</f>
        <v>-0</v>
      </c>
      <c r="H44" s="0" t="n">
        <f aca="false">(L_I2!AS34-L_S1!AS34)*C44</f>
        <v>0</v>
      </c>
      <c r="I44" s="0" t="n">
        <f aca="false">I43+E44</f>
        <v>410999588.711708</v>
      </c>
      <c r="J44" s="0" t="n">
        <f aca="false">J43+F44</f>
        <v>402377147.240352</v>
      </c>
      <c r="K44" s="0" t="n">
        <f aca="false">K43+G44</f>
        <v>386895243.935304</v>
      </c>
      <c r="L44" s="0" t="n">
        <f aca="false">MAX(L43,J44)</f>
        <v>433090830.780672</v>
      </c>
      <c r="M44" s="0" t="n">
        <f aca="false">IF(AND(B44&lt;x_H,J44&lt;=0,L43&gt;0),1,0)</f>
        <v>0</v>
      </c>
      <c r="N44" s="0" t="n">
        <f aca="false">IF(AND(B44&lt;x_H,I44&lt;=0,O43&gt;0),1,0)</f>
        <v>0</v>
      </c>
      <c r="O44" s="0" t="n">
        <f aca="false">MAX(O43,I44)</f>
        <v>426881792.236322</v>
      </c>
      <c r="P44" s="0" t="n">
        <f aca="false">(L_I2!V34-L_S1!V34)*D44</f>
        <v>0</v>
      </c>
    </row>
    <row r="45" customFormat="false" ht="15" hidden="false" customHeight="false" outlineLevel="0" collapsed="false">
      <c r="A45" s="0" t="n">
        <v>2058</v>
      </c>
      <c r="B45" s="0" t="n">
        <v>32</v>
      </c>
      <c r="C45" s="0" t="n">
        <f aca="false">IF(B45&lt;x_H,(1+x_dk)^(-B45),0)</f>
        <v>0</v>
      </c>
      <c r="D45" s="0" t="n">
        <f aca="false">IF(B45&lt;x_H,(1+x_de)^(-B45),0)</f>
        <v>0</v>
      </c>
      <c r="E45" s="0" t="n">
        <f aca="false">(L_I2!AO35-L_S1!AO35)*C45</f>
        <v>-0</v>
      </c>
      <c r="F45" s="0" t="n">
        <f aca="false">(L_I2!AP35-L_S1!AP35)*C45</f>
        <v>-0</v>
      </c>
      <c r="G45" s="0" t="n">
        <f aca="false">(L_I2!AQ35-L_S1!AQ35)*C45</f>
        <v>-0</v>
      </c>
      <c r="H45" s="0" t="n">
        <f aca="false">(L_I2!AS35-L_S1!AS35)*C45</f>
        <v>0</v>
      </c>
      <c r="I45" s="0" t="n">
        <f aca="false">I44+E45</f>
        <v>410999588.711708</v>
      </c>
      <c r="J45" s="0" t="n">
        <f aca="false">J44+F45</f>
        <v>402377147.240352</v>
      </c>
      <c r="K45" s="0" t="n">
        <f aca="false">K44+G45</f>
        <v>386895243.935304</v>
      </c>
      <c r="L45" s="0" t="n">
        <f aca="false">MAX(L44,J45)</f>
        <v>433090830.780672</v>
      </c>
      <c r="M45" s="0" t="n">
        <f aca="false">IF(AND(B45&lt;x_H,J45&lt;=0,L44&gt;0),1,0)</f>
        <v>0</v>
      </c>
      <c r="N45" s="0" t="n">
        <f aca="false">IF(AND(B45&lt;x_H,I45&lt;=0,O44&gt;0),1,0)</f>
        <v>0</v>
      </c>
      <c r="O45" s="0" t="n">
        <f aca="false">MAX(O44,I45)</f>
        <v>426881792.236322</v>
      </c>
      <c r="P45" s="0" t="n">
        <f aca="false">(L_I2!V35-L_S1!V35)*D45</f>
        <v>0</v>
      </c>
    </row>
    <row r="46" customFormat="false" ht="15" hidden="false" customHeight="false" outlineLevel="0" collapsed="false">
      <c r="A46" s="0" t="n">
        <v>2059</v>
      </c>
      <c r="B46" s="0" t="n">
        <v>33</v>
      </c>
      <c r="C46" s="0" t="n">
        <f aca="false">IF(B46&lt;x_H,(1+x_dk)^(-B46),0)</f>
        <v>0</v>
      </c>
      <c r="D46" s="0" t="n">
        <f aca="false">IF(B46&lt;x_H,(1+x_de)^(-B46),0)</f>
        <v>0</v>
      </c>
      <c r="E46" s="0" t="n">
        <f aca="false">(L_I2!AO36-L_S1!AO36)*C46</f>
        <v>-0</v>
      </c>
      <c r="F46" s="0" t="n">
        <f aca="false">(L_I2!AP36-L_S1!AP36)*C46</f>
        <v>-0</v>
      </c>
      <c r="G46" s="0" t="n">
        <f aca="false">(L_I2!AQ36-L_S1!AQ36)*C46</f>
        <v>-0</v>
      </c>
      <c r="H46" s="0" t="n">
        <f aca="false">(L_I2!AS36-L_S1!AS36)*C46</f>
        <v>0</v>
      </c>
      <c r="I46" s="0" t="n">
        <f aca="false">I45+E46</f>
        <v>410999588.711708</v>
      </c>
      <c r="J46" s="0" t="n">
        <f aca="false">J45+F46</f>
        <v>402377147.240352</v>
      </c>
      <c r="K46" s="0" t="n">
        <f aca="false">K45+G46</f>
        <v>386895243.935304</v>
      </c>
      <c r="L46" s="0" t="n">
        <f aca="false">MAX(L45,J46)</f>
        <v>433090830.780672</v>
      </c>
      <c r="M46" s="0" t="n">
        <f aca="false">IF(AND(B46&lt;x_H,J46&lt;=0,L45&gt;0),1,0)</f>
        <v>0</v>
      </c>
      <c r="N46" s="0" t="n">
        <f aca="false">IF(AND(B46&lt;x_H,I46&lt;=0,O45&gt;0),1,0)</f>
        <v>0</v>
      </c>
      <c r="O46" s="0" t="n">
        <f aca="false">MAX(O45,I46)</f>
        <v>426881792.236322</v>
      </c>
      <c r="P46" s="0" t="n">
        <f aca="false">(L_I2!V36-L_S1!V36)*D46</f>
        <v>0</v>
      </c>
    </row>
    <row r="47" customFormat="false" ht="15" hidden="false" customHeight="false" outlineLevel="0" collapsed="false">
      <c r="A47" s="0" t="n">
        <v>2060</v>
      </c>
      <c r="B47" s="0" t="n">
        <v>34</v>
      </c>
      <c r="C47" s="0" t="n">
        <f aca="false">IF(B47&lt;x_H,(1+x_dk)^(-B47),0)</f>
        <v>0</v>
      </c>
      <c r="D47" s="0" t="n">
        <f aca="false">IF(B47&lt;x_H,(1+x_de)^(-B47),0)</f>
        <v>0</v>
      </c>
      <c r="E47" s="0" t="n">
        <f aca="false">(L_I2!AO37-L_S1!AO37)*C47</f>
        <v>-0</v>
      </c>
      <c r="F47" s="0" t="n">
        <f aca="false">(L_I2!AP37-L_S1!AP37)*C47</f>
        <v>-0</v>
      </c>
      <c r="G47" s="0" t="n">
        <f aca="false">(L_I2!AQ37-L_S1!AQ37)*C47</f>
        <v>-0</v>
      </c>
      <c r="H47" s="0" t="n">
        <f aca="false">(L_I2!AS37-L_S1!AS37)*C47</f>
        <v>0</v>
      </c>
      <c r="I47" s="0" t="n">
        <f aca="false">I46+E47</f>
        <v>410999588.711708</v>
      </c>
      <c r="J47" s="0" t="n">
        <f aca="false">J46+F47</f>
        <v>402377147.240352</v>
      </c>
      <c r="K47" s="0" t="n">
        <f aca="false">K46+G47</f>
        <v>386895243.935304</v>
      </c>
      <c r="L47" s="0" t="n">
        <f aca="false">MAX(L46,J47)</f>
        <v>433090830.780672</v>
      </c>
      <c r="M47" s="0" t="n">
        <f aca="false">IF(AND(B47&lt;x_H,J47&lt;=0,L46&gt;0),1,0)</f>
        <v>0</v>
      </c>
      <c r="N47" s="0" t="n">
        <f aca="false">IF(AND(B47&lt;x_H,I47&lt;=0,O46&gt;0),1,0)</f>
        <v>0</v>
      </c>
      <c r="O47" s="0" t="n">
        <f aca="false">MAX(O46,I47)</f>
        <v>426881792.236322</v>
      </c>
      <c r="P47" s="0" t="n">
        <f aca="false">(L_I2!V37-L_S1!V37)*D47</f>
        <v>0</v>
      </c>
    </row>
    <row r="48" customFormat="false" ht="15" hidden="false" customHeight="false" outlineLevel="0" collapsed="false">
      <c r="A48" s="0" t="n">
        <v>2061</v>
      </c>
      <c r="B48" s="0" t="n">
        <v>35</v>
      </c>
      <c r="C48" s="0" t="n">
        <f aca="false">IF(B48&lt;x_H,(1+x_dk)^(-B48),0)</f>
        <v>0</v>
      </c>
      <c r="D48" s="0" t="n">
        <f aca="false">IF(B48&lt;x_H,(1+x_de)^(-B48),0)</f>
        <v>0</v>
      </c>
      <c r="E48" s="0" t="n">
        <f aca="false">(L_I2!AO38-L_S1!AO38)*C48</f>
        <v>-0</v>
      </c>
      <c r="F48" s="0" t="n">
        <f aca="false">(L_I2!AP38-L_S1!AP38)*C48</f>
        <v>-0</v>
      </c>
      <c r="G48" s="0" t="n">
        <f aca="false">(L_I2!AQ38-L_S1!AQ38)*C48</f>
        <v>-0</v>
      </c>
      <c r="H48" s="0" t="n">
        <f aca="false">(L_I2!AS38-L_S1!AS38)*C48</f>
        <v>0</v>
      </c>
      <c r="I48" s="0" t="n">
        <f aca="false">I47+E48</f>
        <v>410999588.711708</v>
      </c>
      <c r="J48" s="0" t="n">
        <f aca="false">J47+F48</f>
        <v>402377147.240352</v>
      </c>
      <c r="K48" s="0" t="n">
        <f aca="false">K47+G48</f>
        <v>386895243.935304</v>
      </c>
      <c r="L48" s="0" t="n">
        <f aca="false">MAX(L47,J48)</f>
        <v>433090830.780672</v>
      </c>
      <c r="M48" s="0" t="n">
        <f aca="false">IF(AND(B48&lt;x_H,J48&lt;=0,L47&gt;0),1,0)</f>
        <v>0</v>
      </c>
      <c r="N48" s="0" t="n">
        <f aca="false">IF(AND(B48&lt;x_H,I48&lt;=0,O47&gt;0),1,0)</f>
        <v>0</v>
      </c>
      <c r="O48" s="0" t="n">
        <f aca="false">MAX(O47,I48)</f>
        <v>426881792.236322</v>
      </c>
      <c r="P48" s="0" t="n">
        <f aca="false">(L_I2!V38-L_S1!V38)*D48</f>
        <v>0</v>
      </c>
    </row>
    <row r="49" customFormat="false" ht="15" hidden="false" customHeight="false" outlineLevel="0" collapsed="false">
      <c r="A49" s="0" t="n">
        <v>2062</v>
      </c>
      <c r="B49" s="0" t="n">
        <v>36</v>
      </c>
      <c r="C49" s="0" t="n">
        <f aca="false">IF(B49&lt;x_H,(1+x_dk)^(-B49),0)</f>
        <v>0</v>
      </c>
      <c r="D49" s="0" t="n">
        <f aca="false">IF(B49&lt;x_H,(1+x_de)^(-B49),0)</f>
        <v>0</v>
      </c>
      <c r="E49" s="0" t="n">
        <f aca="false">(L_I2!AO39-L_S1!AO39)*C49</f>
        <v>-0</v>
      </c>
      <c r="F49" s="0" t="n">
        <f aca="false">(L_I2!AP39-L_S1!AP39)*C49</f>
        <v>-0</v>
      </c>
      <c r="G49" s="0" t="n">
        <f aca="false">(L_I2!AQ39-L_S1!AQ39)*C49</f>
        <v>-0</v>
      </c>
      <c r="H49" s="0" t="n">
        <f aca="false">(L_I2!AS39-L_S1!AS39)*C49</f>
        <v>0</v>
      </c>
      <c r="I49" s="0" t="n">
        <f aca="false">I48+E49</f>
        <v>410999588.711708</v>
      </c>
      <c r="J49" s="0" t="n">
        <f aca="false">J48+F49</f>
        <v>402377147.240352</v>
      </c>
      <c r="K49" s="0" t="n">
        <f aca="false">K48+G49</f>
        <v>386895243.935304</v>
      </c>
      <c r="L49" s="0" t="n">
        <f aca="false">MAX(L48,J49)</f>
        <v>433090830.780672</v>
      </c>
      <c r="M49" s="0" t="n">
        <f aca="false">IF(AND(B49&lt;x_H,J49&lt;=0,L48&gt;0),1,0)</f>
        <v>0</v>
      </c>
      <c r="N49" s="0" t="n">
        <f aca="false">IF(AND(B49&lt;x_H,I49&lt;=0,O48&gt;0),1,0)</f>
        <v>0</v>
      </c>
      <c r="O49" s="0" t="n">
        <f aca="false">MAX(O48,I49)</f>
        <v>426881792.236322</v>
      </c>
      <c r="P49" s="0" t="n">
        <f aca="false">(L_I2!V39-L_S1!V39)*D49</f>
        <v>0</v>
      </c>
    </row>
    <row r="50" customFormat="false" ht="15" hidden="false" customHeight="false" outlineLevel="0" collapsed="false">
      <c r="A50" s="0" t="n">
        <v>2063</v>
      </c>
      <c r="B50" s="0" t="n">
        <v>37</v>
      </c>
      <c r="C50" s="0" t="n">
        <f aca="false">IF(B50&lt;x_H,(1+x_dk)^(-B50),0)</f>
        <v>0</v>
      </c>
      <c r="D50" s="0" t="n">
        <f aca="false">IF(B50&lt;x_H,(1+x_de)^(-B50),0)</f>
        <v>0</v>
      </c>
      <c r="E50" s="0" t="n">
        <f aca="false">(L_I2!AO40-L_S1!AO40)*C50</f>
        <v>-0</v>
      </c>
      <c r="F50" s="0" t="n">
        <f aca="false">(L_I2!AP40-L_S1!AP40)*C50</f>
        <v>-0</v>
      </c>
      <c r="G50" s="0" t="n">
        <f aca="false">(L_I2!AQ40-L_S1!AQ40)*C50</f>
        <v>-0</v>
      </c>
      <c r="H50" s="0" t="n">
        <f aca="false">(L_I2!AS40-L_S1!AS40)*C50</f>
        <v>0</v>
      </c>
      <c r="I50" s="0" t="n">
        <f aca="false">I49+E50</f>
        <v>410999588.711708</v>
      </c>
      <c r="J50" s="0" t="n">
        <f aca="false">J49+F50</f>
        <v>402377147.240352</v>
      </c>
      <c r="K50" s="0" t="n">
        <f aca="false">K49+G50</f>
        <v>386895243.935304</v>
      </c>
      <c r="L50" s="0" t="n">
        <f aca="false">MAX(L49,J50)</f>
        <v>433090830.780672</v>
      </c>
      <c r="M50" s="0" t="n">
        <f aca="false">IF(AND(B50&lt;x_H,J50&lt;=0,L49&gt;0),1,0)</f>
        <v>0</v>
      </c>
      <c r="N50" s="0" t="n">
        <f aca="false">IF(AND(B50&lt;x_H,I50&lt;=0,O49&gt;0),1,0)</f>
        <v>0</v>
      </c>
      <c r="O50" s="0" t="n">
        <f aca="false">MAX(O49,I50)</f>
        <v>426881792.236322</v>
      </c>
      <c r="P50" s="0" t="n">
        <f aca="false">(L_I2!V40-L_S1!V40)*D50</f>
        <v>0</v>
      </c>
    </row>
    <row r="51" customFormat="false" ht="15" hidden="false" customHeight="false" outlineLevel="0" collapsed="false">
      <c r="A51" s="0" t="n">
        <v>2064</v>
      </c>
      <c r="B51" s="0" t="n">
        <v>38</v>
      </c>
      <c r="C51" s="0" t="n">
        <f aca="false">IF(B51&lt;x_H,(1+x_dk)^(-B51),0)</f>
        <v>0</v>
      </c>
      <c r="D51" s="0" t="n">
        <f aca="false">IF(B51&lt;x_H,(1+x_de)^(-B51),0)</f>
        <v>0</v>
      </c>
      <c r="E51" s="0" t="n">
        <f aca="false">(L_I2!AO41-L_S1!AO41)*C51</f>
        <v>-0</v>
      </c>
      <c r="F51" s="0" t="n">
        <f aca="false">(L_I2!AP41-L_S1!AP41)*C51</f>
        <v>-0</v>
      </c>
      <c r="G51" s="0" t="n">
        <f aca="false">(L_I2!AQ41-L_S1!AQ41)*C51</f>
        <v>-0</v>
      </c>
      <c r="H51" s="0" t="n">
        <f aca="false">(L_I2!AS41-L_S1!AS41)*C51</f>
        <v>0</v>
      </c>
      <c r="I51" s="0" t="n">
        <f aca="false">I50+E51</f>
        <v>410999588.711708</v>
      </c>
      <c r="J51" s="0" t="n">
        <f aca="false">J50+F51</f>
        <v>402377147.240352</v>
      </c>
      <c r="K51" s="0" t="n">
        <f aca="false">K50+G51</f>
        <v>386895243.935304</v>
      </c>
      <c r="L51" s="0" t="n">
        <f aca="false">MAX(L50,J51)</f>
        <v>433090830.780672</v>
      </c>
      <c r="M51" s="0" t="n">
        <f aca="false">IF(AND(B51&lt;x_H,J51&lt;=0,L50&gt;0),1,0)</f>
        <v>0</v>
      </c>
      <c r="N51" s="0" t="n">
        <f aca="false">IF(AND(B51&lt;x_H,I51&lt;=0,O50&gt;0),1,0)</f>
        <v>0</v>
      </c>
      <c r="O51" s="0" t="n">
        <f aca="false">MAX(O50,I51)</f>
        <v>426881792.236322</v>
      </c>
      <c r="P51" s="0" t="n">
        <f aca="false">(L_I2!V41-L_S1!V41)*D51</f>
        <v>0</v>
      </c>
    </row>
    <row r="52" customFormat="false" ht="15" hidden="false" customHeight="false" outlineLevel="0" collapsed="false">
      <c r="A52" s="0" t="n">
        <v>2065</v>
      </c>
      <c r="B52" s="0" t="n">
        <v>39</v>
      </c>
      <c r="C52" s="0" t="n">
        <f aca="false">IF(B52&lt;x_H,(1+x_dk)^(-B52),0)</f>
        <v>0</v>
      </c>
      <c r="D52" s="0" t="n">
        <f aca="false">IF(B52&lt;x_H,(1+x_de)^(-B52),0)</f>
        <v>0</v>
      </c>
      <c r="E52" s="0" t="n">
        <f aca="false">(L_I2!AO42-L_S1!AO42)*C52</f>
        <v>-0</v>
      </c>
      <c r="F52" s="0" t="n">
        <f aca="false">(L_I2!AP42-L_S1!AP42)*C52</f>
        <v>-0</v>
      </c>
      <c r="G52" s="0" t="n">
        <f aca="false">(L_I2!AQ42-L_S1!AQ42)*C52</f>
        <v>-0</v>
      </c>
      <c r="H52" s="0" t="n">
        <f aca="false">(L_I2!AS42-L_S1!AS42)*C52</f>
        <v>0</v>
      </c>
      <c r="I52" s="0" t="n">
        <f aca="false">I51+E52</f>
        <v>410999588.711708</v>
      </c>
      <c r="J52" s="0" t="n">
        <f aca="false">J51+F52</f>
        <v>402377147.240352</v>
      </c>
      <c r="K52" s="0" t="n">
        <f aca="false">K51+G52</f>
        <v>386895243.935304</v>
      </c>
      <c r="L52" s="0" t="n">
        <f aca="false">MAX(L51,J52)</f>
        <v>433090830.780672</v>
      </c>
      <c r="M52" s="0" t="n">
        <f aca="false">IF(AND(B52&lt;x_H,J52&lt;=0,L51&gt;0),1,0)</f>
        <v>0</v>
      </c>
      <c r="N52" s="0" t="n">
        <f aca="false">IF(AND(B52&lt;x_H,I52&lt;=0,O51&gt;0),1,0)</f>
        <v>0</v>
      </c>
      <c r="O52" s="0" t="n">
        <f aca="false">MAX(O51,I52)</f>
        <v>426881792.236322</v>
      </c>
      <c r="P52" s="0" t="n">
        <f aca="false">(L_I2!V42-L_S1!V42)*D52</f>
        <v>0</v>
      </c>
    </row>
    <row r="53" customFormat="false" ht="15" hidden="false" customHeight="false" outlineLevel="0" collapsed="false">
      <c r="A53" s="0" t="n">
        <v>2066</v>
      </c>
      <c r="B53" s="0" t="n">
        <v>40</v>
      </c>
      <c r="C53" s="0" t="n">
        <f aca="false">IF(B53&lt;x_H,(1+x_dk)^(-B53),0)</f>
        <v>0</v>
      </c>
      <c r="D53" s="0" t="n">
        <f aca="false">IF(B53&lt;x_H,(1+x_de)^(-B53),0)</f>
        <v>0</v>
      </c>
      <c r="E53" s="0" t="n">
        <f aca="false">(L_I2!AO43-L_S1!AO43)*C53</f>
        <v>-0</v>
      </c>
      <c r="F53" s="0" t="n">
        <f aca="false">(L_I2!AP43-L_S1!AP43)*C53</f>
        <v>-0</v>
      </c>
      <c r="G53" s="0" t="n">
        <f aca="false">(L_I2!AQ43-L_S1!AQ43)*C53</f>
        <v>-0</v>
      </c>
      <c r="H53" s="0" t="n">
        <f aca="false">(L_I2!AS43-L_S1!AS43)*C53</f>
        <v>0</v>
      </c>
      <c r="I53" s="0" t="n">
        <f aca="false">I52+E53</f>
        <v>410999588.711708</v>
      </c>
      <c r="J53" s="0" t="n">
        <f aca="false">J52+F53</f>
        <v>402377147.240352</v>
      </c>
      <c r="K53" s="0" t="n">
        <f aca="false">K52+G53</f>
        <v>386895243.935304</v>
      </c>
      <c r="L53" s="0" t="n">
        <f aca="false">MAX(L52,J53)</f>
        <v>433090830.780672</v>
      </c>
      <c r="M53" s="0" t="n">
        <f aca="false">IF(AND(B53&lt;x_H,J53&lt;=0,L52&gt;0),1,0)</f>
        <v>0</v>
      </c>
      <c r="N53" s="0" t="n">
        <f aca="false">IF(AND(B53&lt;x_H,I53&lt;=0,O52&gt;0),1,0)</f>
        <v>0</v>
      </c>
      <c r="O53" s="0" t="n">
        <f aca="false">MAX(O52,I53)</f>
        <v>426881792.236322</v>
      </c>
      <c r="P53" s="0" t="n">
        <f aca="false">(L_I2!V43-L_S1!V43)*D53</f>
        <v>0</v>
      </c>
    </row>
    <row r="54" customFormat="false" ht="15" hidden="false" customHeight="false" outlineLevel="0" collapsed="false">
      <c r="A54" s="0" t="n">
        <v>2067</v>
      </c>
      <c r="B54" s="0" t="n">
        <v>41</v>
      </c>
      <c r="C54" s="0" t="n">
        <f aca="false">IF(B54&lt;x_H,(1+x_dk)^(-B54),0)</f>
        <v>0</v>
      </c>
      <c r="D54" s="0" t="n">
        <f aca="false">IF(B54&lt;x_H,(1+x_de)^(-B54),0)</f>
        <v>0</v>
      </c>
      <c r="E54" s="0" t="n">
        <f aca="false">(L_I2!AO44-L_S1!AO44)*C54</f>
        <v>-0</v>
      </c>
      <c r="F54" s="0" t="n">
        <f aca="false">(L_I2!AP44-L_S1!AP44)*C54</f>
        <v>-0</v>
      </c>
      <c r="G54" s="0" t="n">
        <f aca="false">(L_I2!AQ44-L_S1!AQ44)*C54</f>
        <v>-0</v>
      </c>
      <c r="H54" s="0" t="n">
        <f aca="false">(L_I2!AS44-L_S1!AS44)*C54</f>
        <v>0</v>
      </c>
      <c r="I54" s="0" t="n">
        <f aca="false">I53+E54</f>
        <v>410999588.711708</v>
      </c>
      <c r="J54" s="0" t="n">
        <f aca="false">J53+F54</f>
        <v>402377147.240352</v>
      </c>
      <c r="K54" s="0" t="n">
        <f aca="false">K53+G54</f>
        <v>386895243.935304</v>
      </c>
      <c r="L54" s="0" t="n">
        <f aca="false">MAX(L53,J54)</f>
        <v>433090830.780672</v>
      </c>
      <c r="M54" s="0" t="n">
        <f aca="false">IF(AND(B54&lt;x_H,J54&lt;=0,L53&gt;0),1,0)</f>
        <v>0</v>
      </c>
      <c r="N54" s="0" t="n">
        <f aca="false">IF(AND(B54&lt;x_H,I54&lt;=0,O53&gt;0),1,0)</f>
        <v>0</v>
      </c>
      <c r="O54" s="0" t="n">
        <f aca="false">MAX(O53,I54)</f>
        <v>426881792.236322</v>
      </c>
      <c r="P54" s="0" t="n">
        <f aca="false">(L_I2!V44-L_S1!V44)*D54</f>
        <v>0</v>
      </c>
    </row>
    <row r="55" customFormat="false" ht="15" hidden="false" customHeight="false" outlineLevel="0" collapsed="false">
      <c r="A55" s="0" t="n">
        <v>2068</v>
      </c>
      <c r="B55" s="0" t="n">
        <v>42</v>
      </c>
      <c r="C55" s="0" t="n">
        <f aca="false">IF(B55&lt;x_H,(1+x_dk)^(-B55),0)</f>
        <v>0</v>
      </c>
      <c r="D55" s="0" t="n">
        <f aca="false">IF(B55&lt;x_H,(1+x_de)^(-B55),0)</f>
        <v>0</v>
      </c>
      <c r="E55" s="0" t="n">
        <f aca="false">(L_I2!AO45-L_S1!AO45)*C55</f>
        <v>-0</v>
      </c>
      <c r="F55" s="0" t="n">
        <f aca="false">(L_I2!AP45-L_S1!AP45)*C55</f>
        <v>-0</v>
      </c>
      <c r="G55" s="0" t="n">
        <f aca="false">(L_I2!AQ45-L_S1!AQ45)*C55</f>
        <v>-0</v>
      </c>
      <c r="H55" s="0" t="n">
        <f aca="false">(L_I2!AS45-L_S1!AS45)*C55</f>
        <v>0</v>
      </c>
      <c r="I55" s="0" t="n">
        <f aca="false">I54+E55</f>
        <v>410999588.711708</v>
      </c>
      <c r="J55" s="0" t="n">
        <f aca="false">J54+F55</f>
        <v>402377147.240352</v>
      </c>
      <c r="K55" s="0" t="n">
        <f aca="false">K54+G55</f>
        <v>386895243.935304</v>
      </c>
      <c r="L55" s="0" t="n">
        <f aca="false">MAX(L54,J55)</f>
        <v>433090830.780672</v>
      </c>
      <c r="M55" s="0" t="n">
        <f aca="false">IF(AND(B55&lt;x_H,J55&lt;=0,L54&gt;0),1,0)</f>
        <v>0</v>
      </c>
      <c r="N55" s="0" t="n">
        <f aca="false">IF(AND(B55&lt;x_H,I55&lt;=0,O54&gt;0),1,0)</f>
        <v>0</v>
      </c>
      <c r="O55" s="0" t="n">
        <f aca="false">MAX(O54,I55)</f>
        <v>426881792.236322</v>
      </c>
      <c r="P55" s="0" t="n">
        <f aca="false">(L_I2!V45-L_S1!V45)*D55</f>
        <v>0</v>
      </c>
    </row>
    <row r="56" customFormat="false" ht="15" hidden="false" customHeight="false" outlineLevel="0" collapsed="false">
      <c r="A56" s="0" t="n">
        <v>2069</v>
      </c>
      <c r="B56" s="0" t="n">
        <v>43</v>
      </c>
      <c r="C56" s="0" t="n">
        <f aca="false">IF(B56&lt;x_H,(1+x_dk)^(-B56),0)</f>
        <v>0</v>
      </c>
      <c r="D56" s="0" t="n">
        <f aca="false">IF(B56&lt;x_H,(1+x_de)^(-B56),0)</f>
        <v>0</v>
      </c>
      <c r="E56" s="0" t="n">
        <f aca="false">(L_I2!AO46-L_S1!AO46)*C56</f>
        <v>-0</v>
      </c>
      <c r="F56" s="0" t="n">
        <f aca="false">(L_I2!AP46-L_S1!AP46)*C56</f>
        <v>-0</v>
      </c>
      <c r="G56" s="0" t="n">
        <f aca="false">(L_I2!AQ46-L_S1!AQ46)*C56</f>
        <v>-0</v>
      </c>
      <c r="H56" s="0" t="n">
        <f aca="false">(L_I2!AS46-L_S1!AS46)*C56</f>
        <v>0</v>
      </c>
      <c r="I56" s="0" t="n">
        <f aca="false">I55+E56</f>
        <v>410999588.711708</v>
      </c>
      <c r="J56" s="0" t="n">
        <f aca="false">J55+F56</f>
        <v>402377147.240352</v>
      </c>
      <c r="K56" s="0" t="n">
        <f aca="false">K55+G56</f>
        <v>386895243.935304</v>
      </c>
      <c r="L56" s="0" t="n">
        <f aca="false">MAX(L55,J56)</f>
        <v>433090830.780672</v>
      </c>
      <c r="M56" s="0" t="n">
        <f aca="false">IF(AND(B56&lt;x_H,J56&lt;=0,L55&gt;0),1,0)</f>
        <v>0</v>
      </c>
      <c r="N56" s="0" t="n">
        <f aca="false">IF(AND(B56&lt;x_H,I56&lt;=0,O55&gt;0),1,0)</f>
        <v>0</v>
      </c>
      <c r="O56" s="0" t="n">
        <f aca="false">MAX(O55,I56)</f>
        <v>426881792.236322</v>
      </c>
      <c r="P56" s="0" t="n">
        <f aca="false">(L_I2!V46-L_S1!V46)*D56</f>
        <v>0</v>
      </c>
    </row>
    <row r="57" customFormat="false" ht="15" hidden="false" customHeight="false" outlineLevel="0" collapsed="false">
      <c r="A57" s="0" t="n">
        <v>2070</v>
      </c>
      <c r="B57" s="0" t="n">
        <v>44</v>
      </c>
      <c r="C57" s="0" t="n">
        <f aca="false">IF(B57&lt;x_H,(1+x_dk)^(-B57),0)</f>
        <v>0</v>
      </c>
      <c r="D57" s="0" t="n">
        <f aca="false">IF(B57&lt;x_H,(1+x_de)^(-B57),0)</f>
        <v>0</v>
      </c>
      <c r="E57" s="0" t="n">
        <f aca="false">(L_I2!AO47-L_S1!AO47)*C57</f>
        <v>-0</v>
      </c>
      <c r="F57" s="0" t="n">
        <f aca="false">(L_I2!AP47-L_S1!AP47)*C57</f>
        <v>-0</v>
      </c>
      <c r="G57" s="0" t="n">
        <f aca="false">(L_I2!AQ47-L_S1!AQ47)*C57</f>
        <v>-0</v>
      </c>
      <c r="H57" s="0" t="n">
        <f aca="false">(L_I2!AS47-L_S1!AS47)*C57</f>
        <v>0</v>
      </c>
      <c r="I57" s="0" t="n">
        <f aca="false">I56+E57</f>
        <v>410999588.711708</v>
      </c>
      <c r="J57" s="0" t="n">
        <f aca="false">J56+F57</f>
        <v>402377147.240352</v>
      </c>
      <c r="K57" s="0" t="n">
        <f aca="false">K56+G57</f>
        <v>386895243.935304</v>
      </c>
      <c r="L57" s="0" t="n">
        <f aca="false">MAX(L56,J57)</f>
        <v>433090830.780672</v>
      </c>
      <c r="M57" s="0" t="n">
        <f aca="false">IF(AND(B57&lt;x_H,J57&lt;=0,L56&gt;0),1,0)</f>
        <v>0</v>
      </c>
      <c r="N57" s="0" t="n">
        <f aca="false">IF(AND(B57&lt;x_H,I57&lt;=0,O56&gt;0),1,0)</f>
        <v>0</v>
      </c>
      <c r="O57" s="0" t="n">
        <f aca="false">MAX(O56,I57)</f>
        <v>426881792.236322</v>
      </c>
      <c r="P57" s="0" t="n">
        <f aca="false">(L_I2!V47-L_S1!V47)*D57</f>
        <v>0</v>
      </c>
    </row>
    <row r="58" customFormat="false" ht="15" hidden="false" customHeight="false" outlineLevel="0" collapsed="false">
      <c r="A58" s="0" t="n">
        <v>2071</v>
      </c>
      <c r="B58" s="0" t="n">
        <v>45</v>
      </c>
      <c r="C58" s="0" t="n">
        <f aca="false">IF(B58&lt;x_H,(1+x_dk)^(-B58),0)</f>
        <v>0</v>
      </c>
      <c r="D58" s="0" t="n">
        <f aca="false">IF(B58&lt;x_H,(1+x_de)^(-B58),0)</f>
        <v>0</v>
      </c>
      <c r="E58" s="0" t="n">
        <f aca="false">(L_I2!AO48-L_S1!AO48)*C58</f>
        <v>-0</v>
      </c>
      <c r="F58" s="0" t="n">
        <f aca="false">(L_I2!AP48-L_S1!AP48)*C58</f>
        <v>-0</v>
      </c>
      <c r="G58" s="0" t="n">
        <f aca="false">(L_I2!AQ48-L_S1!AQ48)*C58</f>
        <v>-0</v>
      </c>
      <c r="H58" s="0" t="n">
        <f aca="false">(L_I2!AS48-L_S1!AS48)*C58</f>
        <v>0</v>
      </c>
      <c r="I58" s="0" t="n">
        <f aca="false">I57+E58</f>
        <v>410999588.711708</v>
      </c>
      <c r="J58" s="0" t="n">
        <f aca="false">J57+F58</f>
        <v>402377147.240352</v>
      </c>
      <c r="K58" s="0" t="n">
        <f aca="false">K57+G58</f>
        <v>386895243.935304</v>
      </c>
      <c r="L58" s="0" t="n">
        <f aca="false">MAX(L57,J58)</f>
        <v>433090830.780672</v>
      </c>
      <c r="M58" s="0" t="n">
        <f aca="false">IF(AND(B58&lt;x_H,J58&lt;=0,L57&gt;0),1,0)</f>
        <v>0</v>
      </c>
      <c r="N58" s="0" t="n">
        <f aca="false">IF(AND(B58&lt;x_H,I58&lt;=0,O57&gt;0),1,0)</f>
        <v>0</v>
      </c>
      <c r="O58" s="0" t="n">
        <f aca="false">MAX(O57,I58)</f>
        <v>426881792.236322</v>
      </c>
      <c r="P58" s="0" t="n">
        <f aca="false">(L_I2!V48-L_S1!V48)*D58</f>
        <v>0</v>
      </c>
    </row>
    <row r="59" customFormat="false" ht="15" hidden="false" customHeight="false" outlineLevel="0" collapsed="false">
      <c r="A59" s="0" t="n">
        <v>2072</v>
      </c>
      <c r="B59" s="0" t="n">
        <v>46</v>
      </c>
      <c r="C59" s="0" t="n">
        <f aca="false">IF(B59&lt;x_H,(1+x_dk)^(-B59),0)</f>
        <v>0</v>
      </c>
      <c r="D59" s="0" t="n">
        <f aca="false">IF(B59&lt;x_H,(1+x_de)^(-B59),0)</f>
        <v>0</v>
      </c>
      <c r="E59" s="0" t="n">
        <f aca="false">(L_I2!AO49-L_S1!AO49)*C59</f>
        <v>-0</v>
      </c>
      <c r="F59" s="0" t="n">
        <f aca="false">(L_I2!AP49-L_S1!AP49)*C59</f>
        <v>-0</v>
      </c>
      <c r="G59" s="0" t="n">
        <f aca="false">(L_I2!AQ49-L_S1!AQ49)*C59</f>
        <v>-0</v>
      </c>
      <c r="H59" s="0" t="n">
        <f aca="false">(L_I2!AS49-L_S1!AS49)*C59</f>
        <v>0</v>
      </c>
      <c r="I59" s="0" t="n">
        <f aca="false">I58+E59</f>
        <v>410999588.711708</v>
      </c>
      <c r="J59" s="0" t="n">
        <f aca="false">J58+F59</f>
        <v>402377147.240352</v>
      </c>
      <c r="K59" s="0" t="n">
        <f aca="false">K58+G59</f>
        <v>386895243.935304</v>
      </c>
      <c r="L59" s="0" t="n">
        <f aca="false">MAX(L58,J59)</f>
        <v>433090830.780672</v>
      </c>
      <c r="M59" s="0" t="n">
        <f aca="false">IF(AND(B59&lt;x_H,J59&lt;=0,L58&gt;0),1,0)</f>
        <v>0</v>
      </c>
      <c r="N59" s="0" t="n">
        <f aca="false">IF(AND(B59&lt;x_H,I59&lt;=0,O58&gt;0),1,0)</f>
        <v>0</v>
      </c>
      <c r="O59" s="0" t="n">
        <f aca="false">MAX(O58,I59)</f>
        <v>426881792.236322</v>
      </c>
      <c r="P59" s="0" t="n">
        <f aca="false">(L_I2!V49-L_S1!V49)*D59</f>
        <v>0</v>
      </c>
    </row>
    <row r="60" customFormat="false" ht="15" hidden="false" customHeight="false" outlineLevel="0" collapsed="false">
      <c r="A60" s="0" t="n">
        <v>2073</v>
      </c>
      <c r="B60" s="0" t="n">
        <v>47</v>
      </c>
      <c r="C60" s="0" t="n">
        <f aca="false">IF(B60&lt;x_H,(1+x_dk)^(-B60),0)</f>
        <v>0</v>
      </c>
      <c r="D60" s="0" t="n">
        <f aca="false">IF(B60&lt;x_H,(1+x_de)^(-B60),0)</f>
        <v>0</v>
      </c>
      <c r="E60" s="0" t="n">
        <f aca="false">(L_I2!AO50-L_S1!AO50)*C60</f>
        <v>-0</v>
      </c>
      <c r="F60" s="0" t="n">
        <f aca="false">(L_I2!AP50-L_S1!AP50)*C60</f>
        <v>-0</v>
      </c>
      <c r="G60" s="0" t="n">
        <f aca="false">(L_I2!AQ50-L_S1!AQ50)*C60</f>
        <v>-0</v>
      </c>
      <c r="H60" s="0" t="n">
        <f aca="false">(L_I2!AS50-L_S1!AS50)*C60</f>
        <v>0</v>
      </c>
      <c r="I60" s="0" t="n">
        <f aca="false">I59+E60</f>
        <v>410999588.711708</v>
      </c>
      <c r="J60" s="0" t="n">
        <f aca="false">J59+F60</f>
        <v>402377147.240352</v>
      </c>
      <c r="K60" s="0" t="n">
        <f aca="false">K59+G60</f>
        <v>386895243.935304</v>
      </c>
      <c r="L60" s="0" t="n">
        <f aca="false">MAX(L59,J60)</f>
        <v>433090830.780672</v>
      </c>
      <c r="M60" s="0" t="n">
        <f aca="false">IF(AND(B60&lt;x_H,J60&lt;=0,L59&gt;0),1,0)</f>
        <v>0</v>
      </c>
      <c r="N60" s="0" t="n">
        <f aca="false">IF(AND(B60&lt;x_H,I60&lt;=0,O59&gt;0),1,0)</f>
        <v>0</v>
      </c>
      <c r="O60" s="0" t="n">
        <f aca="false">MAX(O59,I60)</f>
        <v>426881792.236322</v>
      </c>
      <c r="P60" s="0" t="n">
        <f aca="false">(L_I2!V50-L_S1!V50)*D60</f>
        <v>0</v>
      </c>
    </row>
    <row r="61" customFormat="false" ht="15" hidden="false" customHeight="false" outlineLevel="0" collapsed="false">
      <c r="A61" s="0" t="n">
        <v>2074</v>
      </c>
      <c r="B61" s="0" t="n">
        <v>48</v>
      </c>
      <c r="C61" s="0" t="n">
        <f aca="false">IF(B61&lt;x_H,(1+x_dk)^(-B61),0)</f>
        <v>0</v>
      </c>
      <c r="D61" s="0" t="n">
        <f aca="false">IF(B61&lt;x_H,(1+x_de)^(-B61),0)</f>
        <v>0</v>
      </c>
      <c r="E61" s="0" t="n">
        <f aca="false">(L_I2!AO51-L_S1!AO51)*C61</f>
        <v>-0</v>
      </c>
      <c r="F61" s="0" t="n">
        <f aca="false">(L_I2!AP51-L_S1!AP51)*C61</f>
        <v>-0</v>
      </c>
      <c r="G61" s="0" t="n">
        <f aca="false">(L_I2!AQ51-L_S1!AQ51)*C61</f>
        <v>-0</v>
      </c>
      <c r="H61" s="0" t="n">
        <f aca="false">(L_I2!AS51-L_S1!AS51)*C61</f>
        <v>0</v>
      </c>
      <c r="I61" s="0" t="n">
        <f aca="false">I60+E61</f>
        <v>410999588.711708</v>
      </c>
      <c r="J61" s="0" t="n">
        <f aca="false">J60+F61</f>
        <v>402377147.240352</v>
      </c>
      <c r="K61" s="0" t="n">
        <f aca="false">K60+G61</f>
        <v>386895243.935304</v>
      </c>
      <c r="L61" s="0" t="n">
        <f aca="false">MAX(L60,J61)</f>
        <v>433090830.780672</v>
      </c>
      <c r="M61" s="0" t="n">
        <f aca="false">IF(AND(B61&lt;x_H,J61&lt;=0,L60&gt;0),1,0)</f>
        <v>0</v>
      </c>
      <c r="N61" s="0" t="n">
        <f aca="false">IF(AND(B61&lt;x_H,I61&lt;=0,O60&gt;0),1,0)</f>
        <v>0</v>
      </c>
      <c r="O61" s="0" t="n">
        <f aca="false">MAX(O60,I61)</f>
        <v>426881792.236322</v>
      </c>
      <c r="P61" s="0" t="n">
        <f aca="false">(L_I2!V51-L_S1!V51)*D61</f>
        <v>0</v>
      </c>
    </row>
    <row r="62" customFormat="false" ht="15" hidden="false" customHeight="false" outlineLevel="0" collapsed="false">
      <c r="A62" s="0" t="n">
        <v>2075</v>
      </c>
      <c r="B62" s="0" t="n">
        <v>49</v>
      </c>
      <c r="C62" s="0" t="n">
        <f aca="false">IF(B62&lt;x_H,(1+x_dk)^(-B62),0)</f>
        <v>0</v>
      </c>
      <c r="D62" s="0" t="n">
        <f aca="false">IF(B62&lt;x_H,(1+x_de)^(-B62),0)</f>
        <v>0</v>
      </c>
      <c r="E62" s="0" t="n">
        <f aca="false">(L_I2!AO52-L_S1!AO52)*C62</f>
        <v>-0</v>
      </c>
      <c r="F62" s="0" t="n">
        <f aca="false">(L_I2!AP52-L_S1!AP52)*C62</f>
        <v>-0</v>
      </c>
      <c r="G62" s="0" t="n">
        <f aca="false">(L_I2!AQ52-L_S1!AQ52)*C62</f>
        <v>-0</v>
      </c>
      <c r="H62" s="0" t="n">
        <f aca="false">(L_I2!AS52-L_S1!AS52)*C62</f>
        <v>0</v>
      </c>
      <c r="I62" s="0" t="n">
        <f aca="false">I61+E62</f>
        <v>410999588.711708</v>
      </c>
      <c r="J62" s="0" t="n">
        <f aca="false">J61+F62</f>
        <v>402377147.240352</v>
      </c>
      <c r="K62" s="0" t="n">
        <f aca="false">K61+G62</f>
        <v>386895243.935304</v>
      </c>
      <c r="L62" s="0" t="n">
        <f aca="false">MAX(L61,J62)</f>
        <v>433090830.780672</v>
      </c>
      <c r="M62" s="0" t="n">
        <f aca="false">IF(AND(B62&lt;x_H,J62&lt;=0,L61&gt;0),1,0)</f>
        <v>0</v>
      </c>
      <c r="N62" s="0" t="n">
        <f aca="false">IF(AND(B62&lt;x_H,I62&lt;=0,O61&gt;0),1,0)</f>
        <v>0</v>
      </c>
      <c r="O62" s="0" t="n">
        <f aca="false">MAX(O61,I62)</f>
        <v>426881792.236322</v>
      </c>
      <c r="P62" s="0" t="n">
        <f aca="false">(L_I2!V52-L_S1!V52)*D62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628</v>
      </c>
    </row>
    <row r="2" customFormat="false" ht="15" hidden="false" customHeight="false" outlineLevel="0" collapsed="false">
      <c r="A2" s="1" t="s">
        <v>602</v>
      </c>
      <c r="B2" s="0" t="n">
        <f aca="false">x_H</f>
        <v>20</v>
      </c>
    </row>
    <row r="3" customFormat="false" ht="15" hidden="false" customHeight="false" outlineLevel="0" collapsed="false">
      <c r="A3" s="1" t="s">
        <v>603</v>
      </c>
      <c r="B3" s="0" t="n">
        <f aca="false">SUM(H13:H62)</f>
        <v>128067948.788543</v>
      </c>
    </row>
    <row r="4" customFormat="false" ht="15" hidden="false" customHeight="false" outlineLevel="0" collapsed="false">
      <c r="A4" s="1" t="s">
        <v>604</v>
      </c>
      <c r="B4" s="0" t="n">
        <f aca="false">SUM(F13:F62)</f>
        <v>96305499.2955596</v>
      </c>
    </row>
    <row r="5" customFormat="false" ht="15" hidden="false" customHeight="false" outlineLevel="0" collapsed="false">
      <c r="A5" s="1" t="s">
        <v>605</v>
      </c>
      <c r="B5" s="0" t="n">
        <f aca="false">B3-B4</f>
        <v>31762449.4929834</v>
      </c>
    </row>
    <row r="6" customFormat="false" ht="15" hidden="false" customHeight="false" outlineLevel="0" collapsed="false">
      <c r="A6" s="1" t="s">
        <v>606</v>
      </c>
      <c r="B6" s="0" t="n">
        <f aca="false">IF(B3=0,"—",(B5-B3)/ABS(B3))</f>
        <v>-0.751987520738484</v>
      </c>
    </row>
    <row r="7" customFormat="false" ht="15" hidden="false" customHeight="false" outlineLevel="0" collapsed="false">
      <c r="A7" s="1" t="s">
        <v>607</v>
      </c>
      <c r="B7" s="0" t="str">
        <f aca="false">IFERROR(INDEX(A13:A62,MATCH(1,M13:M62,0)),"brak w horyzoncie")</f>
        <v>brak w horyzoncie</v>
      </c>
    </row>
    <row r="8" customFormat="false" ht="15" hidden="false" customHeight="false" outlineLevel="0" collapsed="false">
      <c r="A8" s="1" t="s">
        <v>608</v>
      </c>
      <c r="B8" s="0" t="str">
        <f aca="false">IFERROR(INDEX(A13:A62,MATCH(1,N13:N62,0)),"brak w horyzoncie")</f>
        <v>brak w horyzoncie</v>
      </c>
    </row>
    <row r="9" customFormat="false" ht="15" hidden="false" customHeight="false" outlineLevel="0" collapsed="false">
      <c r="A9" s="1" t="s">
        <v>609</v>
      </c>
      <c r="B9" s="0" t="n">
        <f aca="false">SUM(E13:E62)</f>
        <v>112790498.686162</v>
      </c>
    </row>
    <row r="10" customFormat="false" ht="15" hidden="false" customHeight="false" outlineLevel="0" collapsed="false">
      <c r="A10" s="1" t="s">
        <v>610</v>
      </c>
      <c r="B10" s="0" t="n">
        <f aca="false">IFERROR(B4/SUM(P13:P62),"—")</f>
        <v>17472.4577102503</v>
      </c>
    </row>
    <row r="11" customFormat="false" ht="15" hidden="false" customHeight="false" outlineLevel="0" collapsed="false">
      <c r="A11" s="1" t="s">
        <v>611</v>
      </c>
      <c r="B11" s="0" t="n">
        <f aca="false">IFERROR(B9/SUM(P13:P62),"—")</f>
        <v>20463.2885227444</v>
      </c>
    </row>
    <row r="12" customFormat="false" ht="55.2" hidden="false" customHeight="false" outlineLevel="0" collapsed="false">
      <c r="A12" s="3" t="s">
        <v>320</v>
      </c>
      <c r="B12" s="3" t="s">
        <v>553</v>
      </c>
      <c r="C12" s="3" t="s">
        <v>612</v>
      </c>
      <c r="D12" s="3" t="s">
        <v>613</v>
      </c>
      <c r="E12" s="3" t="s">
        <v>614</v>
      </c>
      <c r="F12" s="3" t="s">
        <v>615</v>
      </c>
      <c r="G12" s="3" t="s">
        <v>616</v>
      </c>
      <c r="H12" s="3" t="s">
        <v>617</v>
      </c>
      <c r="I12" s="3" t="s">
        <v>618</v>
      </c>
      <c r="J12" s="3" t="s">
        <v>619</v>
      </c>
      <c r="K12" s="3" t="s">
        <v>620</v>
      </c>
      <c r="L12" s="3" t="s">
        <v>621</v>
      </c>
      <c r="M12" s="3" t="s">
        <v>622</v>
      </c>
      <c r="N12" s="3" t="s">
        <v>623</v>
      </c>
      <c r="O12" s="3" t="s">
        <v>624</v>
      </c>
      <c r="P12" s="3" t="s">
        <v>625</v>
      </c>
    </row>
    <row r="13" customFormat="false" ht="15" hidden="false" customHeight="false" outlineLevel="0" collapsed="false">
      <c r="A13" s="0" t="n">
        <v>2026</v>
      </c>
      <c r="B13" s="0" t="n">
        <v>0</v>
      </c>
      <c r="C13" s="0" t="n">
        <f aca="false">IF(B13&lt;x_H,(1+x_dk)^(-B13),0)</f>
        <v>1</v>
      </c>
      <c r="D13" s="0" t="n">
        <f aca="false">IF(B13&lt;x_H,(1+x_de)^(-B13),0)</f>
        <v>1</v>
      </c>
      <c r="E13" s="0" t="n">
        <f aca="false">(L_I3!AO3-L_S1!AO3)*C13</f>
        <v>13578744.3428739</v>
      </c>
      <c r="F13" s="0" t="n">
        <f aca="false">(L_I3!AP3-L_S1!AP3)*C13</f>
        <v>14805519.2355977</v>
      </c>
      <c r="G13" s="0" t="n">
        <f aca="false">(L_I3!AQ3-L_S1!AQ3)*C13</f>
        <v>14703134.3550026</v>
      </c>
      <c r="H13" s="0" t="n">
        <f aca="false">(L_I3!AS3-L_S1!AS3)*C13</f>
        <v>12742552.2032754</v>
      </c>
      <c r="I13" s="0" t="n">
        <f aca="false">E13</f>
        <v>13578744.3428739</v>
      </c>
      <c r="J13" s="0" t="n">
        <f aca="false">F13</f>
        <v>14805519.2355977</v>
      </c>
      <c r="K13" s="0" t="n">
        <f aca="false">G13</f>
        <v>14703134.3550026</v>
      </c>
      <c r="L13" s="0" t="n">
        <f aca="false">J13</f>
        <v>14805519.2355977</v>
      </c>
      <c r="M13" s="0" t="n">
        <v>0</v>
      </c>
      <c r="N13" s="0" t="n">
        <v>0</v>
      </c>
      <c r="O13" s="0" t="n">
        <f aca="false">I13</f>
        <v>13578744.3428739</v>
      </c>
      <c r="P13" s="0" t="n">
        <f aca="false">(L_I3!V3-L_S1!V3)*D13</f>
        <v>44.9060000000027</v>
      </c>
    </row>
    <row r="14" customFormat="false" ht="15" hidden="false" customHeight="false" outlineLevel="0" collapsed="false">
      <c r="A14" s="0" t="n">
        <v>2027</v>
      </c>
      <c r="B14" s="0" t="n">
        <v>1</v>
      </c>
      <c r="C14" s="0" t="n">
        <f aca="false">IF(B14&lt;x_H,(1+x_dk)^(-B14),0)</f>
        <v>0.952380952380952</v>
      </c>
      <c r="D14" s="0" t="n">
        <f aca="false">IF(B14&lt;x_H,(1+x_de)^(-B14),0)</f>
        <v>0.966183574879227</v>
      </c>
      <c r="E14" s="0" t="n">
        <f aca="false">(L_I3!AO4-L_S1!AO4)*C14</f>
        <v>23279765.9164573</v>
      </c>
      <c r="F14" s="0" t="n">
        <f aca="false">(L_I3!AP4-L_S1!AP4)*C14</f>
        <v>25255901.5732522</v>
      </c>
      <c r="G14" s="0" t="n">
        <f aca="false">(L_I3!AQ4-L_S1!AQ4)*C14</f>
        <v>25071486.9000171</v>
      </c>
      <c r="H14" s="0" t="n">
        <f aca="false">(L_I3!AS4-L_S1!AS4)*C14</f>
        <v>22324022.3041907</v>
      </c>
      <c r="I14" s="0" t="n">
        <f aca="false">I13+E14</f>
        <v>36858510.2593312</v>
      </c>
      <c r="J14" s="0" t="n">
        <f aca="false">J13+F14</f>
        <v>40061420.80885</v>
      </c>
      <c r="K14" s="0" t="n">
        <f aca="false">K13+G14</f>
        <v>39774621.2550198</v>
      </c>
      <c r="L14" s="0" t="n">
        <f aca="false">MAX(L13,J14)</f>
        <v>40061420.80885</v>
      </c>
      <c r="M14" s="0" t="n">
        <f aca="false">IF(AND(B14&lt;x_H,J14&lt;=0,L13&gt;0),1,0)</f>
        <v>0</v>
      </c>
      <c r="N14" s="0" t="n">
        <f aca="false">IF(AND(B14&lt;x_H,I14&lt;=0,O13&gt;0),1,0)</f>
        <v>0</v>
      </c>
      <c r="O14" s="0" t="n">
        <f aca="false">MAX(O13,I14)</f>
        <v>36858510.2593312</v>
      </c>
      <c r="P14" s="0" t="n">
        <f aca="false">(L_I3!V4-L_S1!V4)*D14</f>
        <v>97.4299516908179</v>
      </c>
    </row>
    <row r="15" customFormat="false" ht="15" hidden="false" customHeight="false" outlineLevel="0" collapsed="false">
      <c r="A15" s="0" t="n">
        <v>2028</v>
      </c>
      <c r="B15" s="0" t="n">
        <v>2</v>
      </c>
      <c r="C15" s="0" t="n">
        <f aca="false">IF(B15&lt;x_H,(1+x_dk)^(-B15),0)</f>
        <v>0.90702947845805</v>
      </c>
      <c r="D15" s="0" t="n">
        <f aca="false">IF(B15&lt;x_H,(1+x_de)^(-B15),0)</f>
        <v>0.933510700366403</v>
      </c>
      <c r="E15" s="0" t="n">
        <f aca="false">(L_I3!AO5-L_S1!AO5)*C15</f>
        <v>27189474.2951204</v>
      </c>
      <c r="F15" s="0" t="n">
        <f aca="false">(L_I3!AP5-L_S1!AP5)*C15</f>
        <v>29461761.4867926</v>
      </c>
      <c r="G15" s="0" t="n">
        <f aca="false">(L_I3!AQ5-L_S1!AQ5)*C15</f>
        <v>29184928.0510934</v>
      </c>
      <c r="H15" s="0" t="n">
        <f aca="false">(L_I3!AS5-L_S1!AS5)*C15</f>
        <v>26798243.5134251</v>
      </c>
      <c r="I15" s="0" t="n">
        <f aca="false">I14+E15</f>
        <v>64047984.5544517</v>
      </c>
      <c r="J15" s="0" t="n">
        <f aca="false">J14+F15</f>
        <v>69523182.2956426</v>
      </c>
      <c r="K15" s="0" t="n">
        <f aca="false">K14+G15</f>
        <v>68959549.3061132</v>
      </c>
      <c r="L15" s="0" t="n">
        <f aca="false">MAX(L14,J15)</f>
        <v>69523182.2956426</v>
      </c>
      <c r="M15" s="0" t="n">
        <f aca="false">IF(AND(B15&lt;x_H,J15&lt;=0,L14&gt;0),1,0)</f>
        <v>0</v>
      </c>
      <c r="N15" s="0" t="n">
        <f aca="false">IF(AND(B15&lt;x_H,I15&lt;=0,O14&gt;0),1,0)</f>
        <v>0</v>
      </c>
      <c r="O15" s="0" t="n">
        <f aca="false">MAX(O14,I15)</f>
        <v>64047984.5544517</v>
      </c>
      <c r="P15" s="0" t="n">
        <f aca="false">(L_I3!V5-L_S1!V5)*D15</f>
        <v>158.993675465004</v>
      </c>
    </row>
    <row r="16" customFormat="false" ht="15" hidden="false" customHeight="false" outlineLevel="0" collapsed="false">
      <c r="A16" s="0" t="n">
        <v>2029</v>
      </c>
      <c r="B16" s="0" t="n">
        <v>3</v>
      </c>
      <c r="C16" s="0" t="n">
        <f aca="false">IF(B16&lt;x_H,(1+x_dk)^(-B16),0)</f>
        <v>0.863837598531476</v>
      </c>
      <c r="D16" s="0" t="n">
        <f aca="false">IF(B16&lt;x_H,(1+x_de)^(-B16),0)</f>
        <v>0.901942705668022</v>
      </c>
      <c r="E16" s="0" t="n">
        <f aca="false">(L_I3!AO6-L_S1!AO6)*C16</f>
        <v>19384924.1782051</v>
      </c>
      <c r="F16" s="0" t="n">
        <f aca="false">(L_I3!AP6-L_S1!AP6)*C16</f>
        <v>21061028.166834</v>
      </c>
      <c r="G16" s="0" t="n">
        <f aca="false">(L_I3!AQ6-L_S1!AQ6)*C16</f>
        <v>20653074.9372113</v>
      </c>
      <c r="H16" s="0" t="n">
        <f aca="false">(L_I3!AS6-L_S1!AS6)*C16</f>
        <v>19478221.9331204</v>
      </c>
      <c r="I16" s="0" t="n">
        <f aca="false">I15+E16</f>
        <v>83432908.7326568</v>
      </c>
      <c r="J16" s="0" t="n">
        <f aca="false">J15+F16</f>
        <v>90584210.4624765</v>
      </c>
      <c r="K16" s="0" t="n">
        <f aca="false">K15+G16</f>
        <v>89612624.2433245</v>
      </c>
      <c r="L16" s="0" t="n">
        <f aca="false">MAX(L15,J16)</f>
        <v>90584210.4624765</v>
      </c>
      <c r="M16" s="0" t="n">
        <f aca="false">IF(AND(B16&lt;x_H,J16&lt;=0,L15&gt;0),1,0)</f>
        <v>0</v>
      </c>
      <c r="N16" s="0" t="n">
        <f aca="false">IF(AND(B16&lt;x_H,I16&lt;=0,O15&gt;0),1,0)</f>
        <v>0</v>
      </c>
      <c r="O16" s="0" t="n">
        <f aca="false">MAX(O15,I16)</f>
        <v>83432908.7326568</v>
      </c>
      <c r="P16" s="0" t="n">
        <f aca="false">(L_I3!V6-L_S1!V6)*D16</f>
        <v>220.686439280149</v>
      </c>
    </row>
    <row r="17" customFormat="false" ht="15" hidden="false" customHeight="false" outlineLevel="0" collapsed="false">
      <c r="A17" s="0" t="n">
        <v>2030</v>
      </c>
      <c r="B17" s="0" t="n">
        <v>4</v>
      </c>
      <c r="C17" s="0" t="n">
        <f aca="false">IF(B17&lt;x_H,(1+x_dk)^(-B17),0)</f>
        <v>0.822702474791882</v>
      </c>
      <c r="D17" s="0" t="n">
        <f aca="false">IF(B17&lt;x_H,(1+x_de)^(-B17),0)</f>
        <v>0.871442227698572</v>
      </c>
      <c r="E17" s="0" t="n">
        <f aca="false">(L_I3!AO7-L_S1!AO7)*C17</f>
        <v>13664600.7010598</v>
      </c>
      <c r="F17" s="0" t="n">
        <f aca="false">(L_I3!AP7-L_S1!AP7)*C17</f>
        <v>14740889.2010774</v>
      </c>
      <c r="G17" s="0" t="n">
        <f aca="false">(L_I3!AQ7-L_S1!AQ7)*C17</f>
        <v>14134332.9850845</v>
      </c>
      <c r="H17" s="0" t="n">
        <f aca="false">(L_I3!AS7-L_S1!AS7)*C17</f>
        <v>14256662.6039765</v>
      </c>
      <c r="I17" s="0" t="n">
        <f aca="false">I16+E17</f>
        <v>97097509.4337166</v>
      </c>
      <c r="J17" s="0" t="n">
        <f aca="false">J16+F17</f>
        <v>105325099.663554</v>
      </c>
      <c r="K17" s="0" t="n">
        <f aca="false">K16+G17</f>
        <v>103746957.228409</v>
      </c>
      <c r="L17" s="0" t="n">
        <f aca="false">MAX(L16,J17)</f>
        <v>105325099.663554</v>
      </c>
      <c r="M17" s="0" t="n">
        <f aca="false">IF(AND(B17&lt;x_H,J17&lt;=0,L16&gt;0),1,0)</f>
        <v>0</v>
      </c>
      <c r="N17" s="0" t="n">
        <f aca="false">IF(AND(B17&lt;x_H,I17&lt;=0,O16&gt;0),1,0)</f>
        <v>0</v>
      </c>
      <c r="O17" s="0" t="n">
        <f aca="false">MAX(O16,I17)</f>
        <v>97097509.4337166</v>
      </c>
      <c r="P17" s="0" t="n">
        <f aca="false">(L_I3!V7-L_S1!V7)*D17</f>
        <v>280.50418146275</v>
      </c>
    </row>
    <row r="18" customFormat="false" ht="15" hidden="false" customHeight="false" outlineLevel="0" collapsed="false">
      <c r="A18" s="0" t="n">
        <v>2031</v>
      </c>
      <c r="B18" s="0" t="n">
        <v>5</v>
      </c>
      <c r="C18" s="0" t="n">
        <f aca="false">IF(B18&lt;x_H,(1+x_dk)^(-B18),0)</f>
        <v>0.783526166468459</v>
      </c>
      <c r="D18" s="0" t="n">
        <f aca="false">IF(B18&lt;x_H,(1+x_de)^(-B18),0)</f>
        <v>0.841973166858524</v>
      </c>
      <c r="E18" s="0" t="n">
        <f aca="false">(L_I3!AO8-L_S1!AO8)*C18</f>
        <v>9496719.81699671</v>
      </c>
      <c r="F18" s="0" t="n">
        <f aca="false">(L_I3!AP8-L_S1!AP8)*C18</f>
        <v>9980758.02495155</v>
      </c>
      <c r="G18" s="0" t="n">
        <f aca="false">(L_I3!AQ8-L_S1!AQ8)*C18</f>
        <v>9121297.08872812</v>
      </c>
      <c r="H18" s="0" t="n">
        <f aca="false">(L_I3!AS8-L_S1!AS8)*C18</f>
        <v>10526973.5649034</v>
      </c>
      <c r="I18" s="0" t="n">
        <f aca="false">I17+E18</f>
        <v>106594229.250713</v>
      </c>
      <c r="J18" s="0" t="n">
        <f aca="false">J17+F18</f>
        <v>115305857.688505</v>
      </c>
      <c r="K18" s="0" t="n">
        <f aca="false">K17+G18</f>
        <v>112868254.317137</v>
      </c>
      <c r="L18" s="0" t="n">
        <f aca="false">MAX(L17,J18)</f>
        <v>115305857.688505</v>
      </c>
      <c r="M18" s="0" t="n">
        <f aca="false">IF(AND(B18&lt;x_H,J18&lt;=0,L17&gt;0),1,0)</f>
        <v>0</v>
      </c>
      <c r="N18" s="0" t="n">
        <f aca="false">IF(AND(B18&lt;x_H,I18&lt;=0,O17&gt;0),1,0)</f>
        <v>0</v>
      </c>
      <c r="O18" s="0" t="n">
        <f aca="false">MAX(O17,I18)</f>
        <v>106594229.250713</v>
      </c>
      <c r="P18" s="0" t="n">
        <f aca="false">(L_I3!V8-L_S1!V8)*D18</f>
        <v>334.377855593526</v>
      </c>
    </row>
    <row r="19" customFormat="false" ht="15" hidden="false" customHeight="false" outlineLevel="0" collapsed="false">
      <c r="A19" s="0" t="n">
        <v>2032</v>
      </c>
      <c r="B19" s="0" t="n">
        <v>6</v>
      </c>
      <c r="C19" s="0" t="n">
        <f aca="false">IF(B19&lt;x_H,(1+x_dk)^(-B19),0)</f>
        <v>0.746215396636628</v>
      </c>
      <c r="D19" s="0" t="n">
        <f aca="false">IF(B19&lt;x_H,(1+x_de)^(-B19),0)</f>
        <v>0.813500644307753</v>
      </c>
      <c r="E19" s="0" t="n">
        <f aca="false">(L_I3!AO9-L_S1!AO9)*C19</f>
        <v>6479560.81010781</v>
      </c>
      <c r="F19" s="0" t="n">
        <f aca="false">(L_I3!AP9-L_S1!AP9)*C19</f>
        <v>6389044.34003691</v>
      </c>
      <c r="G19" s="0" t="n">
        <f aca="false">(L_I3!AQ9-L_S1!AQ9)*C19</f>
        <v>5236849.92174691</v>
      </c>
      <c r="H19" s="0" t="n">
        <f aca="false">(L_I3!AS9-L_S1!AS9)*C19</f>
        <v>7858189.38926611</v>
      </c>
      <c r="I19" s="0" t="n">
        <f aca="false">I18+E19</f>
        <v>113073790.060821</v>
      </c>
      <c r="J19" s="0" t="n">
        <f aca="false">J18+F19</f>
        <v>121694902.028542</v>
      </c>
      <c r="K19" s="0" t="n">
        <f aca="false">K18+G19</f>
        <v>118105104.238884</v>
      </c>
      <c r="L19" s="0" t="n">
        <f aca="false">MAX(L18,J19)</f>
        <v>121694902.028542</v>
      </c>
      <c r="M19" s="0" t="n">
        <f aca="false">IF(AND(B19&lt;x_H,J19&lt;=0,L18&gt;0),1,0)</f>
        <v>0</v>
      </c>
      <c r="N19" s="0" t="n">
        <f aca="false">IF(AND(B19&lt;x_H,I19&lt;=0,O18&gt;0),1,0)</f>
        <v>0</v>
      </c>
      <c r="O19" s="0" t="n">
        <f aca="false">MAX(O18,I19)</f>
        <v>113073790.060821</v>
      </c>
      <c r="P19" s="0" t="n">
        <f aca="false">(L_I3!V9-L_S1!V9)*D19</f>
        <v>378.948937634668</v>
      </c>
    </row>
    <row r="20" customFormat="false" ht="15" hidden="false" customHeight="false" outlineLevel="0" collapsed="false">
      <c r="A20" s="0" t="n">
        <v>2033</v>
      </c>
      <c r="B20" s="0" t="n">
        <v>7</v>
      </c>
      <c r="C20" s="0" t="n">
        <f aca="false">IF(B20&lt;x_H,(1+x_dk)^(-B20),0)</f>
        <v>0.710681330130121</v>
      </c>
      <c r="D20" s="0" t="n">
        <f aca="false">IF(B20&lt;x_H,(1+x_de)^(-B20),0)</f>
        <v>0.785990960683819</v>
      </c>
      <c r="E20" s="0" t="n">
        <f aca="false">(L_I3!AO10-L_S1!AO10)*C20</f>
        <v>4311552.60643263</v>
      </c>
      <c r="F20" s="0" t="n">
        <f aca="false">(L_I3!AP10-L_S1!AP10)*C20</f>
        <v>3673323.90316809</v>
      </c>
      <c r="G20" s="0" t="n">
        <f aca="false">(L_I3!AQ10-L_S1!AQ10)*C20</f>
        <v>2203093.70108284</v>
      </c>
      <c r="H20" s="0" t="n">
        <f aca="false">(L_I3!AS10-L_S1!AS10)*C20</f>
        <v>5944046.89782434</v>
      </c>
      <c r="I20" s="0" t="n">
        <f aca="false">I19+E20</f>
        <v>117385342.667254</v>
      </c>
      <c r="J20" s="0" t="n">
        <f aca="false">J19+F20</f>
        <v>125368225.93171</v>
      </c>
      <c r="K20" s="0" t="n">
        <f aca="false">K19+G20</f>
        <v>120308197.939967</v>
      </c>
      <c r="L20" s="0" t="n">
        <f aca="false">MAX(L19,J20)</f>
        <v>125368225.93171</v>
      </c>
      <c r="M20" s="0" t="n">
        <f aca="false">IF(AND(B20&lt;x_H,J20&lt;=0,L19&gt;0),1,0)</f>
        <v>0</v>
      </c>
      <c r="N20" s="0" t="n">
        <f aca="false">IF(AND(B20&lt;x_H,I20&lt;=0,O19&gt;0),1,0)</f>
        <v>0</v>
      </c>
      <c r="O20" s="0" t="n">
        <f aca="false">MAX(O19,I20)</f>
        <v>117385342.667254</v>
      </c>
      <c r="P20" s="0" t="n">
        <f aca="false">(L_I3!V10-L_S1!V10)*D20</f>
        <v>411.75001065479</v>
      </c>
    </row>
    <row r="21" customFormat="false" ht="15" hidden="false" customHeight="false" outlineLevel="0" collapsed="false">
      <c r="A21" s="0" t="n">
        <v>2034</v>
      </c>
      <c r="B21" s="0" t="n">
        <v>8</v>
      </c>
      <c r="C21" s="0" t="n">
        <f aca="false">IF(B21&lt;x_H,(1+x_dk)^(-B21),0)</f>
        <v>0.676839362028687</v>
      </c>
      <c r="D21" s="0" t="n">
        <f aca="false">IF(B21&lt;x_H,(1+x_de)^(-B21),0)</f>
        <v>0.759411556216251</v>
      </c>
      <c r="E21" s="0" t="n">
        <f aca="false">(L_I3!AO11-L_S1!AO11)*C21</f>
        <v>2765384.79661972</v>
      </c>
      <c r="F21" s="0" t="n">
        <f aca="false">(L_I3!AP11-L_S1!AP11)*C21</f>
        <v>1614081.1788534</v>
      </c>
      <c r="G21" s="0" t="n">
        <f aca="false">(L_I3!AQ11-L_S1!AQ11)*C21</f>
        <v>-185812.456472606</v>
      </c>
      <c r="H21" s="0" t="n">
        <f aca="false">(L_I3!AS11-L_S1!AS11)*C21</f>
        <v>4566911.89584899</v>
      </c>
      <c r="I21" s="0" t="n">
        <f aca="false">I20+E21</f>
        <v>120150727.463873</v>
      </c>
      <c r="J21" s="0" t="n">
        <f aca="false">J20+F21</f>
        <v>126982307.110564</v>
      </c>
      <c r="K21" s="0" t="n">
        <f aca="false">K20+G21</f>
        <v>120122385.483494</v>
      </c>
      <c r="L21" s="0" t="n">
        <f aca="false">MAX(L20,J21)</f>
        <v>126982307.110564</v>
      </c>
      <c r="M21" s="0" t="n">
        <f aca="false">IF(AND(B21&lt;x_H,J21&lt;=0,L20&gt;0),1,0)</f>
        <v>0</v>
      </c>
      <c r="N21" s="0" t="n">
        <f aca="false">IF(AND(B21&lt;x_H,I21&lt;=0,O20&gt;0),1,0)</f>
        <v>0</v>
      </c>
      <c r="O21" s="0" t="n">
        <f aca="false">MAX(O20,I21)</f>
        <v>120150727.463873</v>
      </c>
      <c r="P21" s="0" t="n">
        <f aca="false">(L_I3!V11-L_S1!V11)*D21</f>
        <v>431.387531566417</v>
      </c>
    </row>
    <row r="22" customFormat="false" ht="15" hidden="false" customHeight="false" outlineLevel="0" collapsed="false">
      <c r="A22" s="0" t="n">
        <v>2035</v>
      </c>
      <c r="B22" s="0" t="n">
        <v>9</v>
      </c>
      <c r="C22" s="0" t="n">
        <f aca="false">IF(B22&lt;x_H,(1+x_dk)^(-B22),0)</f>
        <v>0.644608916217797</v>
      </c>
      <c r="D22" s="0" t="n">
        <f aca="false">IF(B22&lt;x_H,(1+x_de)^(-B22),0)</f>
        <v>0.733730972189614</v>
      </c>
      <c r="E22" s="0" t="n">
        <f aca="false">(L_I3!AO12-L_S1!AO12)*C22</f>
        <v>1598190.17841687</v>
      </c>
      <c r="F22" s="0" t="n">
        <f aca="false">(L_I3!AP12-L_S1!AP12)*C22</f>
        <v>-61261.1222824637</v>
      </c>
      <c r="G22" s="0" t="n">
        <f aca="false">(L_I3!AQ12-L_S1!AQ12)*C22</f>
        <v>-2185019.83401703</v>
      </c>
      <c r="H22" s="0" t="n">
        <f aca="false">(L_I3!AS12-L_S1!AS12)*C22</f>
        <v>3572124.48271197</v>
      </c>
      <c r="I22" s="0" t="n">
        <f aca="false">I21+E22</f>
        <v>121748917.64229</v>
      </c>
      <c r="J22" s="0" t="n">
        <f aca="false">J21+F22</f>
        <v>126921045.988281</v>
      </c>
      <c r="K22" s="0" t="n">
        <f aca="false">K21+G22</f>
        <v>117937365.649477</v>
      </c>
      <c r="L22" s="0" t="n">
        <f aca="false">MAX(L21,J22)</f>
        <v>126982307.110564</v>
      </c>
      <c r="M22" s="0" t="n">
        <f aca="false">IF(AND(B22&lt;x_H,J22&lt;=0,L21&gt;0),1,0)</f>
        <v>0</v>
      </c>
      <c r="N22" s="0" t="n">
        <f aca="false">IF(AND(B22&lt;x_H,I22&lt;=0,O21&gt;0),1,0)</f>
        <v>0</v>
      </c>
      <c r="O22" s="0" t="n">
        <f aca="false">MAX(O21,I22)</f>
        <v>121748917.64229</v>
      </c>
      <c r="P22" s="0" t="n">
        <f aca="false">(L_I3!V12-L_S1!V12)*D22</f>
        <v>435.827392708963</v>
      </c>
    </row>
    <row r="23" customFormat="false" ht="15" hidden="false" customHeight="false" outlineLevel="0" collapsed="false">
      <c r="A23" s="0" t="n">
        <v>2036</v>
      </c>
      <c r="B23" s="0" t="n">
        <v>10</v>
      </c>
      <c r="C23" s="0" t="n">
        <f aca="false">IF(B23&lt;x_H,(1+x_dk)^(-B23),0)</f>
        <v>0.613913253540759</v>
      </c>
      <c r="D23" s="0" t="n">
        <f aca="false">IF(B23&lt;x_H,(1+x_de)^(-B23),0)</f>
        <v>0.708918813709772</v>
      </c>
      <c r="E23" s="0" t="n">
        <f aca="false">(L_I3!AO13-L_S1!AO13)*C23</f>
        <v>-851075.897257737</v>
      </c>
      <c r="F23" s="0" t="n">
        <f aca="false">(L_I3!AP13-L_S1!AP13)*C23</f>
        <v>-4184103.01206029</v>
      </c>
      <c r="G23" s="0" t="n">
        <f aca="false">(L_I3!AQ13-L_S1!AQ13)*C23</f>
        <v>-6620708.94733357</v>
      </c>
      <c r="H23" s="0" t="n">
        <f aca="false">(L_I3!AS13-L_S1!AS13)*C23</f>
        <v>0</v>
      </c>
      <c r="I23" s="0" t="n">
        <f aca="false">I22+E23</f>
        <v>120897841.745033</v>
      </c>
      <c r="J23" s="0" t="n">
        <f aca="false">J22+F23</f>
        <v>122736942.976221</v>
      </c>
      <c r="K23" s="0" t="n">
        <f aca="false">K22+G23</f>
        <v>111316656.702144</v>
      </c>
      <c r="L23" s="0" t="n">
        <f aca="false">MAX(L22,J23)</f>
        <v>126982307.110564</v>
      </c>
      <c r="M23" s="0" t="n">
        <f aca="false">IF(AND(B23&lt;x_H,J23&lt;=0,L22&gt;0),1,0)</f>
        <v>0</v>
      </c>
      <c r="N23" s="0" t="n">
        <f aca="false">IF(AND(B23&lt;x_H,I23&lt;=0,O22&gt;0),1,0)</f>
        <v>0</v>
      </c>
      <c r="O23" s="0" t="n">
        <f aca="false">MAX(O22,I23)</f>
        <v>121748917.64229</v>
      </c>
      <c r="P23" s="0" t="n">
        <f aca="false">(L_I3!V13-L_S1!V13)*D23</f>
        <v>426.063042714829</v>
      </c>
    </row>
    <row r="24" customFormat="false" ht="15" hidden="false" customHeight="false" outlineLevel="0" collapsed="false">
      <c r="A24" s="0" t="n">
        <v>2037</v>
      </c>
      <c r="B24" s="0" t="n">
        <v>11</v>
      </c>
      <c r="C24" s="0" t="n">
        <f aca="false">IF(B24&lt;x_H,(1+x_dk)^(-B24),0)</f>
        <v>0.584679289086437</v>
      </c>
      <c r="D24" s="0" t="n">
        <f aca="false">IF(B24&lt;x_H,(1+x_de)^(-B24),0)</f>
        <v>0.684945713729249</v>
      </c>
      <c r="E24" s="0" t="n">
        <f aca="false">(L_I3!AO14-L_S1!AO14)*C24</f>
        <v>-890031.05057507</v>
      </c>
      <c r="F24" s="0" t="n">
        <f aca="false">(L_I3!AP14-L_S1!AP14)*C24</f>
        <v>-4513220.29799972</v>
      </c>
      <c r="G24" s="0" t="n">
        <f aca="false">(L_I3!AQ14-L_S1!AQ14)*C24</f>
        <v>-7245928.35952293</v>
      </c>
      <c r="H24" s="0" t="n">
        <f aca="false">(L_I3!AS14-L_S1!AS14)*C24</f>
        <v>0</v>
      </c>
      <c r="I24" s="0" t="n">
        <f aca="false">I23+E24</f>
        <v>120007810.694458</v>
      </c>
      <c r="J24" s="0" t="n">
        <f aca="false">J23+F24</f>
        <v>118223722.678221</v>
      </c>
      <c r="K24" s="0" t="n">
        <f aca="false">K23+G24</f>
        <v>104070728.342621</v>
      </c>
      <c r="L24" s="0" t="n">
        <f aca="false">MAX(L23,J24)</f>
        <v>126982307.110564</v>
      </c>
      <c r="M24" s="0" t="n">
        <f aca="false">IF(AND(B24&lt;x_H,J24&lt;=0,L23&gt;0),1,0)</f>
        <v>0</v>
      </c>
      <c r="N24" s="0" t="n">
        <f aca="false">IF(AND(B24&lt;x_H,I24&lt;=0,O23&gt;0),1,0)</f>
        <v>0</v>
      </c>
      <c r="O24" s="0" t="n">
        <f aca="false">MAX(O23,I24)</f>
        <v>121748917.64229</v>
      </c>
      <c r="P24" s="0" t="n">
        <f aca="false">(L_I3!V14-L_S1!V14)*D24</f>
        <v>404.830999588247</v>
      </c>
    </row>
    <row r="25" customFormat="false" ht="15" hidden="false" customHeight="false" outlineLevel="0" collapsed="false">
      <c r="A25" s="0" t="n">
        <v>2038</v>
      </c>
      <c r="B25" s="0" t="n">
        <v>12</v>
      </c>
      <c r="C25" s="0" t="n">
        <f aca="false">IF(B25&lt;x_H,(1+x_dk)^(-B25),0)</f>
        <v>0.556837418177559</v>
      </c>
      <c r="D25" s="0" t="n">
        <f aca="false">IF(B25&lt;x_H,(1+x_de)^(-B25),0)</f>
        <v>0.661783298289129</v>
      </c>
      <c r="E25" s="0" t="n">
        <f aca="false">(L_I3!AO15-L_S1!AO15)*C25</f>
        <v>-898602.110257122</v>
      </c>
      <c r="F25" s="0" t="n">
        <f aca="false">(L_I3!AP15-L_S1!AP15)*C25</f>
        <v>-3471818.29663939</v>
      </c>
      <c r="G25" s="0" t="n">
        <f aca="false">(L_I3!AQ15-L_S1!AQ15)*C25</f>
        <v>-5441046.25022203</v>
      </c>
      <c r="H25" s="0" t="n">
        <f aca="false">(L_I3!AS15-L_S1!AS15)*C25</f>
        <v>0</v>
      </c>
      <c r="I25" s="0" t="n">
        <f aca="false">I24+E25</f>
        <v>119109208.5842</v>
      </c>
      <c r="J25" s="0" t="n">
        <f aca="false">J24+F25</f>
        <v>114751904.381582</v>
      </c>
      <c r="K25" s="0" t="n">
        <f aca="false">K24+G25</f>
        <v>98629682.0923987</v>
      </c>
      <c r="L25" s="0" t="n">
        <f aca="false">MAX(L24,J25)</f>
        <v>126982307.110564</v>
      </c>
      <c r="M25" s="0" t="n">
        <f aca="false">IF(AND(B25&lt;x_H,J25&lt;=0,L24&gt;0),1,0)</f>
        <v>0</v>
      </c>
      <c r="N25" s="0" t="n">
        <f aca="false">IF(AND(B25&lt;x_H,I25&lt;=0,O24&gt;0),1,0)</f>
        <v>0</v>
      </c>
      <c r="O25" s="0" t="n">
        <f aca="false">MAX(O24,I25)</f>
        <v>121748917.64229</v>
      </c>
      <c r="P25" s="0" t="n">
        <f aca="false">(L_I3!V15-L_S1!V15)*D25</f>
        <v>373.904916400164</v>
      </c>
    </row>
    <row r="26" customFormat="false" ht="15" hidden="false" customHeight="false" outlineLevel="0" collapsed="false">
      <c r="A26" s="0" t="n">
        <v>2039</v>
      </c>
      <c r="B26" s="0" t="n">
        <v>13</v>
      </c>
      <c r="C26" s="0" t="n">
        <f aca="false">IF(B26&lt;x_H,(1+x_dk)^(-B26),0)</f>
        <v>0.530321350645295</v>
      </c>
      <c r="D26" s="0" t="n">
        <f aca="false">IF(B26&lt;x_H,(1+x_de)^(-B26),0)</f>
        <v>0.639404152936357</v>
      </c>
      <c r="E26" s="0" t="n">
        <f aca="false">(L_I3!AO16-L_S1!AO16)*C26</f>
        <v>-895580.058900409</v>
      </c>
      <c r="F26" s="0" t="n">
        <f aca="false">(L_I3!AP16-L_S1!AP16)*C26</f>
        <v>-2397586.77241756</v>
      </c>
      <c r="G26" s="0" t="n">
        <f aca="false">(L_I3!AQ16-L_S1!AQ16)*C26</f>
        <v>-3563102.69439548</v>
      </c>
      <c r="H26" s="0" t="n">
        <f aca="false">(L_I3!AS16-L_S1!AS16)*C26</f>
        <v>0</v>
      </c>
      <c r="I26" s="0" t="n">
        <f aca="false">I25+E26</f>
        <v>118213628.5253</v>
      </c>
      <c r="J26" s="0" t="n">
        <f aca="false">J25+F26</f>
        <v>112354317.609164</v>
      </c>
      <c r="K26" s="0" t="n">
        <f aca="false">K25+G26</f>
        <v>95066579.3980032</v>
      </c>
      <c r="L26" s="0" t="n">
        <f aca="false">MAX(L25,J26)</f>
        <v>126982307.110564</v>
      </c>
      <c r="M26" s="0" t="n">
        <f aca="false">IF(AND(B26&lt;x_H,J26&lt;=0,L25&gt;0),1,0)</f>
        <v>0</v>
      </c>
      <c r="N26" s="0" t="n">
        <f aca="false">IF(AND(B26&lt;x_H,I26&lt;=0,O25&gt;0),1,0)</f>
        <v>0</v>
      </c>
      <c r="O26" s="0" t="n">
        <f aca="false">MAX(O25,I26)</f>
        <v>121748917.64229</v>
      </c>
      <c r="P26" s="0" t="n">
        <f aca="false">(L_I3!V16-L_S1!V16)*D26</f>
        <v>336.426970896539</v>
      </c>
    </row>
    <row r="27" customFormat="false" ht="15" hidden="false" customHeight="false" outlineLevel="0" collapsed="false">
      <c r="A27" s="0" t="n">
        <v>2040</v>
      </c>
      <c r="B27" s="0" t="n">
        <v>14</v>
      </c>
      <c r="C27" s="0" t="n">
        <f aca="false">IF(B27&lt;x_H,(1+x_dk)^(-B27),0)</f>
        <v>0.505067952995519</v>
      </c>
      <c r="D27" s="0" t="n">
        <f aca="false">IF(B27&lt;x_H,(1+x_de)^(-B27),0)</f>
        <v>0.617781790276673</v>
      </c>
      <c r="E27" s="0" t="n">
        <f aca="false">(L_I3!AO17-L_S1!AO17)*C27</f>
        <v>-890771.179037944</v>
      </c>
      <c r="F27" s="0" t="n">
        <f aca="false">(L_I3!AP17-L_S1!AP17)*C27</f>
        <v>-2490022.98590822</v>
      </c>
      <c r="G27" s="0" t="n">
        <f aca="false">(L_I3!AQ17-L_S1!AQ17)*C27</f>
        <v>-3758246.60781989</v>
      </c>
      <c r="H27" s="0" t="n">
        <f aca="false">(L_I3!AS17-L_S1!AS17)*C27</f>
        <v>0</v>
      </c>
      <c r="I27" s="0" t="n">
        <f aca="false">I26+E27</f>
        <v>117322857.346262</v>
      </c>
      <c r="J27" s="0" t="n">
        <f aca="false">J26+F27</f>
        <v>109864294.623256</v>
      </c>
      <c r="K27" s="0" t="n">
        <f aca="false">K26+G27</f>
        <v>91308332.7901833</v>
      </c>
      <c r="L27" s="0" t="n">
        <f aca="false">MAX(L26,J27)</f>
        <v>126982307.110564</v>
      </c>
      <c r="M27" s="0" t="n">
        <f aca="false">IF(AND(B27&lt;x_H,J27&lt;=0,L26&gt;0),1,0)</f>
        <v>0</v>
      </c>
      <c r="N27" s="0" t="n">
        <f aca="false">IF(AND(B27&lt;x_H,I27&lt;=0,O26&gt;0),1,0)</f>
        <v>0</v>
      </c>
      <c r="O27" s="0" t="n">
        <f aca="false">MAX(O26,I27)</f>
        <v>121748917.64229</v>
      </c>
      <c r="P27" s="0" t="n">
        <f aca="false">(L_I3!V17-L_S1!V17)*D27</f>
        <v>295.493061452603</v>
      </c>
    </row>
    <row r="28" customFormat="false" ht="15" hidden="false" customHeight="false" outlineLevel="0" collapsed="false">
      <c r="A28" s="0" t="n">
        <v>2041</v>
      </c>
      <c r="B28" s="0" t="n">
        <v>15</v>
      </c>
      <c r="C28" s="0" t="n">
        <f aca="false">IF(B28&lt;x_H,(1+x_dk)^(-B28),0)</f>
        <v>0.48101709809097</v>
      </c>
      <c r="D28" s="0" t="n">
        <f aca="false">IF(B28&lt;x_H,(1+x_de)^(-B28),0)</f>
        <v>0.596890618624805</v>
      </c>
      <c r="E28" s="0" t="n">
        <f aca="false">(L_I3!AO18-L_S1!AO18)*C28</f>
        <v>-889857.434076172</v>
      </c>
      <c r="F28" s="0" t="n">
        <f aca="false">(L_I3!AP18-L_S1!AP18)*C28</f>
        <v>-2574202.23959383</v>
      </c>
      <c r="G28" s="0" t="n">
        <f aca="false">(L_I3!AQ18-L_S1!AQ18)*C28</f>
        <v>-3936425.78587226</v>
      </c>
      <c r="H28" s="0" t="n">
        <f aca="false">(L_I3!AS18-L_S1!AS18)*C28</f>
        <v>0</v>
      </c>
      <c r="I28" s="0" t="n">
        <f aca="false">I27+E28</f>
        <v>116432999.912186</v>
      </c>
      <c r="J28" s="0" t="n">
        <f aca="false">J27+F28</f>
        <v>107290092.383662</v>
      </c>
      <c r="K28" s="0" t="n">
        <f aca="false">K27+G28</f>
        <v>87371907.0043111</v>
      </c>
      <c r="L28" s="0" t="n">
        <f aca="false">MAX(L27,J28)</f>
        <v>126982307.110564</v>
      </c>
      <c r="M28" s="0" t="n">
        <f aca="false">IF(AND(B28&lt;x_H,J28&lt;=0,L27&gt;0),1,0)</f>
        <v>0</v>
      </c>
      <c r="N28" s="0" t="n">
        <f aca="false">IF(AND(B28&lt;x_H,I28&lt;=0,O27&gt;0),1,0)</f>
        <v>0</v>
      </c>
      <c r="O28" s="0" t="n">
        <f aca="false">MAX(O27,I28)</f>
        <v>121748917.64229</v>
      </c>
      <c r="P28" s="0" t="n">
        <f aca="false">(L_I3!V18-L_S1!V18)*D28</f>
        <v>253.61583940058</v>
      </c>
    </row>
    <row r="29" customFormat="false" ht="15" hidden="false" customHeight="false" outlineLevel="0" collapsed="false">
      <c r="A29" s="0" t="n">
        <v>2042</v>
      </c>
      <c r="B29" s="0" t="n">
        <v>16</v>
      </c>
      <c r="C29" s="0" t="n">
        <f aca="false">IF(B29&lt;x_H,(1+x_dk)^(-B29),0)</f>
        <v>0.4581115219914</v>
      </c>
      <c r="D29" s="0" t="n">
        <f aca="false">IF(B29&lt;x_H,(1+x_de)^(-B29),0)</f>
        <v>0.576705911714788</v>
      </c>
      <c r="E29" s="0" t="n">
        <f aca="false">(L_I3!AO19-L_S1!AO19)*C29</f>
        <v>-898944.571503959</v>
      </c>
      <c r="F29" s="0" t="n">
        <f aca="false">(L_I3!AP19-L_S1!AP19)*C29</f>
        <v>-2656003.94937657</v>
      </c>
      <c r="G29" s="0" t="n">
        <f aca="false">(L_I3!AQ19-L_S1!AQ19)*C29</f>
        <v>-4102694.55859397</v>
      </c>
      <c r="H29" s="0" t="n">
        <f aca="false">(L_I3!AS19-L_S1!AS19)*C29</f>
        <v>0</v>
      </c>
      <c r="I29" s="0" t="n">
        <f aca="false">I28+E29</f>
        <v>115534055.340682</v>
      </c>
      <c r="J29" s="0" t="n">
        <f aca="false">J28+F29</f>
        <v>104634088.434286</v>
      </c>
      <c r="K29" s="0" t="n">
        <f aca="false">K28+G29</f>
        <v>83269212.4457171</v>
      </c>
      <c r="L29" s="0" t="n">
        <f aca="false">MAX(L28,J29)</f>
        <v>126982307.110564</v>
      </c>
      <c r="M29" s="0" t="n">
        <f aca="false">IF(AND(B29&lt;x_H,J29&lt;=0,L28&gt;0),1,0)</f>
        <v>0</v>
      </c>
      <c r="N29" s="0" t="n">
        <f aca="false">IF(AND(B29&lt;x_H,I29&lt;=0,O28&gt;0),1,0)</f>
        <v>0</v>
      </c>
      <c r="O29" s="0" t="n">
        <f aca="false">MAX(O28,I29)</f>
        <v>121748917.64229</v>
      </c>
      <c r="P29" s="0" t="n">
        <f aca="false">(L_I3!V19-L_S1!V19)*D29</f>
        <v>211.591668890436</v>
      </c>
    </row>
    <row r="30" customFormat="false" ht="15" hidden="false" customHeight="false" outlineLevel="0" collapsed="false">
      <c r="A30" s="0" t="n">
        <v>2043</v>
      </c>
      <c r="B30" s="0" t="n">
        <v>17</v>
      </c>
      <c r="C30" s="0" t="n">
        <f aca="false">IF(B30&lt;x_H,(1+x_dk)^(-B30),0)</f>
        <v>0.436296687610857</v>
      </c>
      <c r="D30" s="0" t="n">
        <f aca="false">IF(B30&lt;x_H,(1+x_de)^(-B30),0)</f>
        <v>0.557203779434577</v>
      </c>
      <c r="E30" s="0" t="n">
        <f aca="false">(L_I3!AO20-L_S1!AO20)*C30</f>
        <v>-908642.533228629</v>
      </c>
      <c r="F30" s="0" t="n">
        <f aca="false">(L_I3!AP20-L_S1!AP20)*C30</f>
        <v>-2726060.49434141</v>
      </c>
      <c r="G30" s="0" t="n">
        <f aca="false">(L_I3!AQ20-L_S1!AQ20)*C30</f>
        <v>-4247106.22118667</v>
      </c>
      <c r="H30" s="0" t="n">
        <f aca="false">(L_I3!AS20-L_S1!AS20)*C30</f>
        <v>0</v>
      </c>
      <c r="I30" s="0" t="n">
        <f aca="false">I29+E30</f>
        <v>114625412.807453</v>
      </c>
      <c r="J30" s="0" t="n">
        <f aca="false">J29+F30</f>
        <v>101908027.939944</v>
      </c>
      <c r="K30" s="0" t="n">
        <f aca="false">K29+G30</f>
        <v>79022106.2245304</v>
      </c>
      <c r="L30" s="0" t="n">
        <f aca="false">MAX(L29,J30)</f>
        <v>126982307.110564</v>
      </c>
      <c r="M30" s="0" t="n">
        <f aca="false">IF(AND(B30&lt;x_H,J30&lt;=0,L29&gt;0),1,0)</f>
        <v>0</v>
      </c>
      <c r="N30" s="0" t="n">
        <f aca="false">IF(AND(B30&lt;x_H,I30&lt;=0,O29&gt;0),1,0)</f>
        <v>0</v>
      </c>
      <c r="O30" s="0" t="n">
        <f aca="false">MAX(O29,I30)</f>
        <v>121748917.64229</v>
      </c>
      <c r="P30" s="0" t="n">
        <f aca="false">(L_I3!V20-L_S1!V20)*D30</f>
        <v>172.230573815668</v>
      </c>
    </row>
    <row r="31" customFormat="false" ht="15" hidden="false" customHeight="false" outlineLevel="0" collapsed="false">
      <c r="A31" s="0" t="n">
        <v>2044</v>
      </c>
      <c r="B31" s="0" t="n">
        <v>18</v>
      </c>
      <c r="C31" s="0" t="n">
        <f aca="false">IF(B31&lt;x_H,(1+x_dk)^(-B31),0)</f>
        <v>0.415520654867483</v>
      </c>
      <c r="D31" s="0" t="n">
        <f aca="false">IF(B31&lt;x_H,(1+x_de)^(-B31),0)</f>
        <v>0.538361139550316</v>
      </c>
      <c r="E31" s="0" t="n">
        <f aca="false">(L_I3!AO21-L_S1!AO21)*C31</f>
        <v>-914706.330317827</v>
      </c>
      <c r="F31" s="0" t="n">
        <f aca="false">(L_I3!AP21-L_S1!AP21)*C31</f>
        <v>-2780332.92711293</v>
      </c>
      <c r="G31" s="0" t="n">
        <f aca="false">(L_I3!AQ21-L_S1!AQ21)*C31</f>
        <v>-4365307.04260859</v>
      </c>
      <c r="H31" s="0" t="n">
        <f aca="false">(L_I3!AS21-L_S1!AS21)*C31</f>
        <v>0</v>
      </c>
      <c r="I31" s="0" t="n">
        <f aca="false">I30+E31</f>
        <v>113710706.477135</v>
      </c>
      <c r="J31" s="0" t="n">
        <f aca="false">J30+F31</f>
        <v>99127695.0128314</v>
      </c>
      <c r="K31" s="0" t="n">
        <f aca="false">K30+G31</f>
        <v>74656799.1819219</v>
      </c>
      <c r="L31" s="0" t="n">
        <f aca="false">MAX(L30,J31)</f>
        <v>126982307.110564</v>
      </c>
      <c r="M31" s="0" t="n">
        <f aca="false">IF(AND(B31&lt;x_H,J31&lt;=0,L30&gt;0),1,0)</f>
        <v>0</v>
      </c>
      <c r="N31" s="0" t="n">
        <f aca="false">IF(AND(B31&lt;x_H,I31&lt;=0,O30&gt;0),1,0)</f>
        <v>0</v>
      </c>
      <c r="O31" s="0" t="n">
        <f aca="false">MAX(O30,I31)</f>
        <v>121748917.64229</v>
      </c>
      <c r="P31" s="0" t="n">
        <f aca="false">(L_I3!V21-L_S1!V21)*D31</f>
        <v>137.229869554805</v>
      </c>
    </row>
    <row r="32" customFormat="false" ht="15" hidden="false" customHeight="false" outlineLevel="0" collapsed="false">
      <c r="A32" s="0" t="n">
        <v>2045</v>
      </c>
      <c r="B32" s="0" t="n">
        <v>19</v>
      </c>
      <c r="C32" s="0" t="n">
        <f aca="false">IF(B32&lt;x_H,(1+x_dk)^(-B32),0)</f>
        <v>0.39573395701665</v>
      </c>
      <c r="D32" s="0" t="n">
        <f aca="false">IF(B32&lt;x_H,(1+x_de)^(-B32),0)</f>
        <v>0.520155690386779</v>
      </c>
      <c r="E32" s="0" t="n">
        <f aca="false">(L_I3!AO22-L_S1!AO22)*C32</f>
        <v>-920207.790973869</v>
      </c>
      <c r="F32" s="0" t="n">
        <f aca="false">(L_I3!AP22-L_S1!AP22)*C32</f>
        <v>-2822195.71727183</v>
      </c>
      <c r="G32" s="0" t="n">
        <f aca="false">(L_I3!AQ22-L_S1!AQ22)*C32</f>
        <v>-4460545.3454019</v>
      </c>
      <c r="H32" s="0" t="n">
        <f aca="false">(L_I3!AS22-L_S1!AS22)*C32</f>
        <v>0</v>
      </c>
      <c r="I32" s="0" t="n">
        <f aca="false">I31+E32</f>
        <v>112790498.686162</v>
      </c>
      <c r="J32" s="0" t="n">
        <f aca="false">J31+F32</f>
        <v>96305499.2955596</v>
      </c>
      <c r="K32" s="0" t="n">
        <f aca="false">K31+G32</f>
        <v>70196253.83652</v>
      </c>
      <c r="L32" s="0" t="n">
        <f aca="false">MAX(L31,J32)</f>
        <v>126982307.110564</v>
      </c>
      <c r="M32" s="0" t="n">
        <f aca="false">IF(AND(B32&lt;x_H,J32&lt;=0,L31&gt;0),1,0)</f>
        <v>0</v>
      </c>
      <c r="N32" s="0" t="n">
        <f aca="false">IF(AND(B32&lt;x_H,I32&lt;=0,O31&gt;0),1,0)</f>
        <v>0</v>
      </c>
      <c r="O32" s="0" t="n">
        <f aca="false">MAX(O31,I32)</f>
        <v>121748917.64229</v>
      </c>
      <c r="P32" s="0" t="n">
        <f aca="false">(L_I3!V22-L_S1!V22)*D32</f>
        <v>105.647261807382</v>
      </c>
    </row>
    <row r="33" customFormat="false" ht="15" hidden="false" customHeight="false" outlineLevel="0" collapsed="false">
      <c r="A33" s="0" t="n">
        <v>2046</v>
      </c>
      <c r="B33" s="0" t="n">
        <v>20</v>
      </c>
      <c r="C33" s="0" t="n">
        <f aca="false">IF(B33&lt;x_H,(1+x_dk)^(-B33),0)</f>
        <v>0</v>
      </c>
      <c r="D33" s="0" t="n">
        <f aca="false">IF(B33&lt;x_H,(1+x_de)^(-B33),0)</f>
        <v>0</v>
      </c>
      <c r="E33" s="0" t="n">
        <f aca="false">(L_I3!AO23-L_S1!AO23)*C33</f>
        <v>-0</v>
      </c>
      <c r="F33" s="0" t="n">
        <f aca="false">(L_I3!AP23-L_S1!AP23)*C33</f>
        <v>-0</v>
      </c>
      <c r="G33" s="0" t="n">
        <f aca="false">(L_I3!AQ23-L_S1!AQ23)*C33</f>
        <v>-0</v>
      </c>
      <c r="H33" s="0" t="n">
        <f aca="false">(L_I3!AS23-L_S1!AS23)*C33</f>
        <v>0</v>
      </c>
      <c r="I33" s="0" t="n">
        <f aca="false">I32+E33</f>
        <v>112790498.686162</v>
      </c>
      <c r="J33" s="0" t="n">
        <f aca="false">J32+F33</f>
        <v>96305499.2955596</v>
      </c>
      <c r="K33" s="0" t="n">
        <f aca="false">K32+G33</f>
        <v>70196253.83652</v>
      </c>
      <c r="L33" s="0" t="n">
        <f aca="false">MAX(L32,J33)</f>
        <v>126982307.110564</v>
      </c>
      <c r="M33" s="0" t="n">
        <f aca="false">IF(AND(B33&lt;x_H,J33&lt;=0,L32&gt;0),1,0)</f>
        <v>0</v>
      </c>
      <c r="N33" s="0" t="n">
        <f aca="false">IF(AND(B33&lt;x_H,I33&lt;=0,O32&gt;0),1,0)</f>
        <v>0</v>
      </c>
      <c r="O33" s="0" t="n">
        <f aca="false">MAX(O32,I33)</f>
        <v>121748917.64229</v>
      </c>
      <c r="P33" s="0" t="n">
        <f aca="false">(L_I3!V23-L_S1!V23)*D33</f>
        <v>0</v>
      </c>
    </row>
    <row r="34" customFormat="false" ht="15" hidden="false" customHeight="false" outlineLevel="0" collapsed="false">
      <c r="A34" s="0" t="n">
        <v>2047</v>
      </c>
      <c r="B34" s="0" t="n">
        <v>21</v>
      </c>
      <c r="C34" s="0" t="n">
        <f aca="false">IF(B34&lt;x_H,(1+x_dk)^(-B34),0)</f>
        <v>0</v>
      </c>
      <c r="D34" s="0" t="n">
        <f aca="false">IF(B34&lt;x_H,(1+x_de)^(-B34),0)</f>
        <v>0</v>
      </c>
      <c r="E34" s="0" t="n">
        <f aca="false">(L_I3!AO24-L_S1!AO24)*C34</f>
        <v>-0</v>
      </c>
      <c r="F34" s="0" t="n">
        <f aca="false">(L_I3!AP24-L_S1!AP24)*C34</f>
        <v>-0</v>
      </c>
      <c r="G34" s="0" t="n">
        <f aca="false">(L_I3!AQ24-L_S1!AQ24)*C34</f>
        <v>-0</v>
      </c>
      <c r="H34" s="0" t="n">
        <f aca="false">(L_I3!AS24-L_S1!AS24)*C34</f>
        <v>0</v>
      </c>
      <c r="I34" s="0" t="n">
        <f aca="false">I33+E34</f>
        <v>112790498.686162</v>
      </c>
      <c r="J34" s="0" t="n">
        <f aca="false">J33+F34</f>
        <v>96305499.2955596</v>
      </c>
      <c r="K34" s="0" t="n">
        <f aca="false">K33+G34</f>
        <v>70196253.83652</v>
      </c>
      <c r="L34" s="0" t="n">
        <f aca="false">MAX(L33,J34)</f>
        <v>126982307.110564</v>
      </c>
      <c r="M34" s="0" t="n">
        <f aca="false">IF(AND(B34&lt;x_H,J34&lt;=0,L33&gt;0),1,0)</f>
        <v>0</v>
      </c>
      <c r="N34" s="0" t="n">
        <f aca="false">IF(AND(B34&lt;x_H,I34&lt;=0,O33&gt;0),1,0)</f>
        <v>0</v>
      </c>
      <c r="O34" s="0" t="n">
        <f aca="false">MAX(O33,I34)</f>
        <v>121748917.64229</v>
      </c>
      <c r="P34" s="0" t="n">
        <f aca="false">(L_I3!V24-L_S1!V24)*D34</f>
        <v>0</v>
      </c>
    </row>
    <row r="35" customFormat="false" ht="15" hidden="false" customHeight="false" outlineLevel="0" collapsed="false">
      <c r="A35" s="0" t="n">
        <v>2048</v>
      </c>
      <c r="B35" s="0" t="n">
        <v>22</v>
      </c>
      <c r="C35" s="0" t="n">
        <f aca="false">IF(B35&lt;x_H,(1+x_dk)^(-B35),0)</f>
        <v>0</v>
      </c>
      <c r="D35" s="0" t="n">
        <f aca="false">IF(B35&lt;x_H,(1+x_de)^(-B35),0)</f>
        <v>0</v>
      </c>
      <c r="E35" s="0" t="n">
        <f aca="false">(L_I3!AO25-L_S1!AO25)*C35</f>
        <v>-0</v>
      </c>
      <c r="F35" s="0" t="n">
        <f aca="false">(L_I3!AP25-L_S1!AP25)*C35</f>
        <v>-0</v>
      </c>
      <c r="G35" s="0" t="n">
        <f aca="false">(L_I3!AQ25-L_S1!AQ25)*C35</f>
        <v>-0</v>
      </c>
      <c r="H35" s="0" t="n">
        <f aca="false">(L_I3!AS25-L_S1!AS25)*C35</f>
        <v>0</v>
      </c>
      <c r="I35" s="0" t="n">
        <f aca="false">I34+E35</f>
        <v>112790498.686162</v>
      </c>
      <c r="J35" s="0" t="n">
        <f aca="false">J34+F35</f>
        <v>96305499.2955596</v>
      </c>
      <c r="K35" s="0" t="n">
        <f aca="false">K34+G35</f>
        <v>70196253.83652</v>
      </c>
      <c r="L35" s="0" t="n">
        <f aca="false">MAX(L34,J35)</f>
        <v>126982307.110564</v>
      </c>
      <c r="M35" s="0" t="n">
        <f aca="false">IF(AND(B35&lt;x_H,J35&lt;=0,L34&gt;0),1,0)</f>
        <v>0</v>
      </c>
      <c r="N35" s="0" t="n">
        <f aca="false">IF(AND(B35&lt;x_H,I35&lt;=0,O34&gt;0),1,0)</f>
        <v>0</v>
      </c>
      <c r="O35" s="0" t="n">
        <f aca="false">MAX(O34,I35)</f>
        <v>121748917.64229</v>
      </c>
      <c r="P35" s="0" t="n">
        <f aca="false">(L_I3!V25-L_S1!V25)*D35</f>
        <v>0</v>
      </c>
    </row>
    <row r="36" customFormat="false" ht="15" hidden="false" customHeight="false" outlineLevel="0" collapsed="false">
      <c r="A36" s="0" t="n">
        <v>2049</v>
      </c>
      <c r="B36" s="0" t="n">
        <v>23</v>
      </c>
      <c r="C36" s="0" t="n">
        <f aca="false">IF(B36&lt;x_H,(1+x_dk)^(-B36),0)</f>
        <v>0</v>
      </c>
      <c r="D36" s="0" t="n">
        <f aca="false">IF(B36&lt;x_H,(1+x_de)^(-B36),0)</f>
        <v>0</v>
      </c>
      <c r="E36" s="0" t="n">
        <f aca="false">(L_I3!AO26-L_S1!AO26)*C36</f>
        <v>-0</v>
      </c>
      <c r="F36" s="0" t="n">
        <f aca="false">(L_I3!AP26-L_S1!AP26)*C36</f>
        <v>-0</v>
      </c>
      <c r="G36" s="0" t="n">
        <f aca="false">(L_I3!AQ26-L_S1!AQ26)*C36</f>
        <v>-0</v>
      </c>
      <c r="H36" s="0" t="n">
        <f aca="false">(L_I3!AS26-L_S1!AS26)*C36</f>
        <v>0</v>
      </c>
      <c r="I36" s="0" t="n">
        <f aca="false">I35+E36</f>
        <v>112790498.686162</v>
      </c>
      <c r="J36" s="0" t="n">
        <f aca="false">J35+F36</f>
        <v>96305499.2955596</v>
      </c>
      <c r="K36" s="0" t="n">
        <f aca="false">K35+G36</f>
        <v>70196253.83652</v>
      </c>
      <c r="L36" s="0" t="n">
        <f aca="false">MAX(L35,J36)</f>
        <v>126982307.110564</v>
      </c>
      <c r="M36" s="0" t="n">
        <f aca="false">IF(AND(B36&lt;x_H,J36&lt;=0,L35&gt;0),1,0)</f>
        <v>0</v>
      </c>
      <c r="N36" s="0" t="n">
        <f aca="false">IF(AND(B36&lt;x_H,I36&lt;=0,O35&gt;0),1,0)</f>
        <v>0</v>
      </c>
      <c r="O36" s="0" t="n">
        <f aca="false">MAX(O35,I36)</f>
        <v>121748917.64229</v>
      </c>
      <c r="P36" s="0" t="n">
        <f aca="false">(L_I3!V26-L_S1!V26)*D36</f>
        <v>0</v>
      </c>
    </row>
    <row r="37" customFormat="false" ht="15" hidden="false" customHeight="false" outlineLevel="0" collapsed="false">
      <c r="A37" s="0" t="n">
        <v>2050</v>
      </c>
      <c r="B37" s="0" t="n">
        <v>24</v>
      </c>
      <c r="C37" s="0" t="n">
        <f aca="false">IF(B37&lt;x_H,(1+x_dk)^(-B37),0)</f>
        <v>0</v>
      </c>
      <c r="D37" s="0" t="n">
        <f aca="false">IF(B37&lt;x_H,(1+x_de)^(-B37),0)</f>
        <v>0</v>
      </c>
      <c r="E37" s="0" t="n">
        <f aca="false">(L_I3!AO27-L_S1!AO27)*C37</f>
        <v>-0</v>
      </c>
      <c r="F37" s="0" t="n">
        <f aca="false">(L_I3!AP27-L_S1!AP27)*C37</f>
        <v>-0</v>
      </c>
      <c r="G37" s="0" t="n">
        <f aca="false">(L_I3!AQ27-L_S1!AQ27)*C37</f>
        <v>-0</v>
      </c>
      <c r="H37" s="0" t="n">
        <f aca="false">(L_I3!AS27-L_S1!AS27)*C37</f>
        <v>0</v>
      </c>
      <c r="I37" s="0" t="n">
        <f aca="false">I36+E37</f>
        <v>112790498.686162</v>
      </c>
      <c r="J37" s="0" t="n">
        <f aca="false">J36+F37</f>
        <v>96305499.2955596</v>
      </c>
      <c r="K37" s="0" t="n">
        <f aca="false">K36+G37</f>
        <v>70196253.83652</v>
      </c>
      <c r="L37" s="0" t="n">
        <f aca="false">MAX(L36,J37)</f>
        <v>126982307.110564</v>
      </c>
      <c r="M37" s="0" t="n">
        <f aca="false">IF(AND(B37&lt;x_H,J37&lt;=0,L36&gt;0),1,0)</f>
        <v>0</v>
      </c>
      <c r="N37" s="0" t="n">
        <f aca="false">IF(AND(B37&lt;x_H,I37&lt;=0,O36&gt;0),1,0)</f>
        <v>0</v>
      </c>
      <c r="O37" s="0" t="n">
        <f aca="false">MAX(O36,I37)</f>
        <v>121748917.64229</v>
      </c>
      <c r="P37" s="0" t="n">
        <f aca="false">(L_I3!V27-L_S1!V27)*D37</f>
        <v>0</v>
      </c>
    </row>
    <row r="38" customFormat="false" ht="15" hidden="false" customHeight="false" outlineLevel="0" collapsed="false">
      <c r="A38" s="0" t="n">
        <v>2051</v>
      </c>
      <c r="B38" s="0" t="n">
        <v>25</v>
      </c>
      <c r="C38" s="0" t="n">
        <f aca="false">IF(B38&lt;x_H,(1+x_dk)^(-B38),0)</f>
        <v>0</v>
      </c>
      <c r="D38" s="0" t="n">
        <f aca="false">IF(B38&lt;x_H,(1+x_de)^(-B38),0)</f>
        <v>0</v>
      </c>
      <c r="E38" s="0" t="n">
        <f aca="false">(L_I3!AO28-L_S1!AO28)*C38</f>
        <v>-0</v>
      </c>
      <c r="F38" s="0" t="n">
        <f aca="false">(L_I3!AP28-L_S1!AP28)*C38</f>
        <v>-0</v>
      </c>
      <c r="G38" s="0" t="n">
        <f aca="false">(L_I3!AQ28-L_S1!AQ28)*C38</f>
        <v>-0</v>
      </c>
      <c r="H38" s="0" t="n">
        <f aca="false">(L_I3!AS28-L_S1!AS28)*C38</f>
        <v>0</v>
      </c>
      <c r="I38" s="0" t="n">
        <f aca="false">I37+E38</f>
        <v>112790498.686162</v>
      </c>
      <c r="J38" s="0" t="n">
        <f aca="false">J37+F38</f>
        <v>96305499.2955596</v>
      </c>
      <c r="K38" s="0" t="n">
        <f aca="false">K37+G38</f>
        <v>70196253.83652</v>
      </c>
      <c r="L38" s="0" t="n">
        <f aca="false">MAX(L37,J38)</f>
        <v>126982307.110564</v>
      </c>
      <c r="M38" s="0" t="n">
        <f aca="false">IF(AND(B38&lt;x_H,J38&lt;=0,L37&gt;0),1,0)</f>
        <v>0</v>
      </c>
      <c r="N38" s="0" t="n">
        <f aca="false">IF(AND(B38&lt;x_H,I38&lt;=0,O37&gt;0),1,0)</f>
        <v>0</v>
      </c>
      <c r="O38" s="0" t="n">
        <f aca="false">MAX(O37,I38)</f>
        <v>121748917.64229</v>
      </c>
      <c r="P38" s="0" t="n">
        <f aca="false">(L_I3!V28-L_S1!V28)*D38</f>
        <v>-0</v>
      </c>
    </row>
    <row r="39" customFormat="false" ht="15" hidden="false" customHeight="false" outlineLevel="0" collapsed="false">
      <c r="A39" s="0" t="n">
        <v>2052</v>
      </c>
      <c r="B39" s="0" t="n">
        <v>26</v>
      </c>
      <c r="C39" s="0" t="n">
        <f aca="false">IF(B39&lt;x_H,(1+x_dk)^(-B39),0)</f>
        <v>0</v>
      </c>
      <c r="D39" s="0" t="n">
        <f aca="false">IF(B39&lt;x_H,(1+x_de)^(-B39),0)</f>
        <v>0</v>
      </c>
      <c r="E39" s="0" t="n">
        <f aca="false">(L_I3!AO29-L_S1!AO29)*C39</f>
        <v>-0</v>
      </c>
      <c r="F39" s="0" t="n">
        <f aca="false">(L_I3!AP29-L_S1!AP29)*C39</f>
        <v>-0</v>
      </c>
      <c r="G39" s="0" t="n">
        <f aca="false">(L_I3!AQ29-L_S1!AQ29)*C39</f>
        <v>-0</v>
      </c>
      <c r="H39" s="0" t="n">
        <f aca="false">(L_I3!AS29-L_S1!AS29)*C39</f>
        <v>0</v>
      </c>
      <c r="I39" s="0" t="n">
        <f aca="false">I38+E39</f>
        <v>112790498.686162</v>
      </c>
      <c r="J39" s="0" t="n">
        <f aca="false">J38+F39</f>
        <v>96305499.2955596</v>
      </c>
      <c r="K39" s="0" t="n">
        <f aca="false">K38+G39</f>
        <v>70196253.83652</v>
      </c>
      <c r="L39" s="0" t="n">
        <f aca="false">MAX(L38,J39)</f>
        <v>126982307.110564</v>
      </c>
      <c r="M39" s="0" t="n">
        <f aca="false">IF(AND(B39&lt;x_H,J39&lt;=0,L38&gt;0),1,0)</f>
        <v>0</v>
      </c>
      <c r="N39" s="0" t="n">
        <f aca="false">IF(AND(B39&lt;x_H,I39&lt;=0,O38&gt;0),1,0)</f>
        <v>0</v>
      </c>
      <c r="O39" s="0" t="n">
        <f aca="false">MAX(O38,I39)</f>
        <v>121748917.64229</v>
      </c>
      <c r="P39" s="0" t="n">
        <f aca="false">(L_I3!V29-L_S1!V29)*D39</f>
        <v>-0</v>
      </c>
    </row>
    <row r="40" customFormat="false" ht="15" hidden="false" customHeight="false" outlineLevel="0" collapsed="false">
      <c r="A40" s="0" t="n">
        <v>2053</v>
      </c>
      <c r="B40" s="0" t="n">
        <v>27</v>
      </c>
      <c r="C40" s="0" t="n">
        <f aca="false">IF(B40&lt;x_H,(1+x_dk)^(-B40),0)</f>
        <v>0</v>
      </c>
      <c r="D40" s="0" t="n">
        <f aca="false">IF(B40&lt;x_H,(1+x_de)^(-B40),0)</f>
        <v>0</v>
      </c>
      <c r="E40" s="0" t="n">
        <f aca="false">(L_I3!AO30-L_S1!AO30)*C40</f>
        <v>-0</v>
      </c>
      <c r="F40" s="0" t="n">
        <f aca="false">(L_I3!AP30-L_S1!AP30)*C40</f>
        <v>-0</v>
      </c>
      <c r="G40" s="0" t="n">
        <f aca="false">(L_I3!AQ30-L_S1!AQ30)*C40</f>
        <v>-0</v>
      </c>
      <c r="H40" s="0" t="n">
        <f aca="false">(L_I3!AS30-L_S1!AS30)*C40</f>
        <v>0</v>
      </c>
      <c r="I40" s="0" t="n">
        <f aca="false">I39+E40</f>
        <v>112790498.686162</v>
      </c>
      <c r="J40" s="0" t="n">
        <f aca="false">J39+F40</f>
        <v>96305499.2955596</v>
      </c>
      <c r="K40" s="0" t="n">
        <f aca="false">K39+G40</f>
        <v>70196253.83652</v>
      </c>
      <c r="L40" s="0" t="n">
        <f aca="false">MAX(L39,J40)</f>
        <v>126982307.110564</v>
      </c>
      <c r="M40" s="0" t="n">
        <f aca="false">IF(AND(B40&lt;x_H,J40&lt;=0,L39&gt;0),1,0)</f>
        <v>0</v>
      </c>
      <c r="N40" s="0" t="n">
        <f aca="false">IF(AND(B40&lt;x_H,I40&lt;=0,O39&gt;0),1,0)</f>
        <v>0</v>
      </c>
      <c r="O40" s="0" t="n">
        <f aca="false">MAX(O39,I40)</f>
        <v>121748917.64229</v>
      </c>
      <c r="P40" s="0" t="n">
        <f aca="false">(L_I3!V30-L_S1!V30)*D40</f>
        <v>-0</v>
      </c>
    </row>
    <row r="41" customFormat="false" ht="15" hidden="false" customHeight="false" outlineLevel="0" collapsed="false">
      <c r="A41" s="0" t="n">
        <v>2054</v>
      </c>
      <c r="B41" s="0" t="n">
        <v>28</v>
      </c>
      <c r="C41" s="0" t="n">
        <f aca="false">IF(B41&lt;x_H,(1+x_dk)^(-B41),0)</f>
        <v>0</v>
      </c>
      <c r="D41" s="0" t="n">
        <f aca="false">IF(B41&lt;x_H,(1+x_de)^(-B41),0)</f>
        <v>0</v>
      </c>
      <c r="E41" s="0" t="n">
        <f aca="false">(L_I3!AO31-L_S1!AO31)*C41</f>
        <v>-0</v>
      </c>
      <c r="F41" s="0" t="n">
        <f aca="false">(L_I3!AP31-L_S1!AP31)*C41</f>
        <v>-0</v>
      </c>
      <c r="G41" s="0" t="n">
        <f aca="false">(L_I3!AQ31-L_S1!AQ31)*C41</f>
        <v>-0</v>
      </c>
      <c r="H41" s="0" t="n">
        <f aca="false">(L_I3!AS31-L_S1!AS31)*C41</f>
        <v>0</v>
      </c>
      <c r="I41" s="0" t="n">
        <f aca="false">I40+E41</f>
        <v>112790498.686162</v>
      </c>
      <c r="J41" s="0" t="n">
        <f aca="false">J40+F41</f>
        <v>96305499.2955596</v>
      </c>
      <c r="K41" s="0" t="n">
        <f aca="false">K40+G41</f>
        <v>70196253.83652</v>
      </c>
      <c r="L41" s="0" t="n">
        <f aca="false">MAX(L40,J41)</f>
        <v>126982307.110564</v>
      </c>
      <c r="M41" s="0" t="n">
        <f aca="false">IF(AND(B41&lt;x_H,J41&lt;=0,L40&gt;0),1,0)</f>
        <v>0</v>
      </c>
      <c r="N41" s="0" t="n">
        <f aca="false">IF(AND(B41&lt;x_H,I41&lt;=0,O40&gt;0),1,0)</f>
        <v>0</v>
      </c>
      <c r="O41" s="0" t="n">
        <f aca="false">MAX(O40,I41)</f>
        <v>121748917.64229</v>
      </c>
      <c r="P41" s="0" t="n">
        <f aca="false">(L_I3!V31-L_S1!V31)*D41</f>
        <v>-0</v>
      </c>
    </row>
    <row r="42" customFormat="false" ht="15" hidden="false" customHeight="false" outlineLevel="0" collapsed="false">
      <c r="A42" s="0" t="n">
        <v>2055</v>
      </c>
      <c r="B42" s="0" t="n">
        <v>29</v>
      </c>
      <c r="C42" s="0" t="n">
        <f aca="false">IF(B42&lt;x_H,(1+x_dk)^(-B42),0)</f>
        <v>0</v>
      </c>
      <c r="D42" s="0" t="n">
        <f aca="false">IF(B42&lt;x_H,(1+x_de)^(-B42),0)</f>
        <v>0</v>
      </c>
      <c r="E42" s="0" t="n">
        <f aca="false">(L_I3!AO32-L_S1!AO32)*C42</f>
        <v>-0</v>
      </c>
      <c r="F42" s="0" t="n">
        <f aca="false">(L_I3!AP32-L_S1!AP32)*C42</f>
        <v>-0</v>
      </c>
      <c r="G42" s="0" t="n">
        <f aca="false">(L_I3!AQ32-L_S1!AQ32)*C42</f>
        <v>-0</v>
      </c>
      <c r="H42" s="0" t="n">
        <f aca="false">(L_I3!AS32-L_S1!AS32)*C42</f>
        <v>0</v>
      </c>
      <c r="I42" s="0" t="n">
        <f aca="false">I41+E42</f>
        <v>112790498.686162</v>
      </c>
      <c r="J42" s="0" t="n">
        <f aca="false">J41+F42</f>
        <v>96305499.2955596</v>
      </c>
      <c r="K42" s="0" t="n">
        <f aca="false">K41+G42</f>
        <v>70196253.83652</v>
      </c>
      <c r="L42" s="0" t="n">
        <f aca="false">MAX(L41,J42)</f>
        <v>126982307.110564</v>
      </c>
      <c r="M42" s="0" t="n">
        <f aca="false">IF(AND(B42&lt;x_H,J42&lt;=0,L41&gt;0),1,0)</f>
        <v>0</v>
      </c>
      <c r="N42" s="0" t="n">
        <f aca="false">IF(AND(B42&lt;x_H,I42&lt;=0,O41&gt;0),1,0)</f>
        <v>0</v>
      </c>
      <c r="O42" s="0" t="n">
        <f aca="false">MAX(O41,I42)</f>
        <v>121748917.64229</v>
      </c>
      <c r="P42" s="0" t="n">
        <f aca="false">(L_I3!V32-L_S1!V32)*D42</f>
        <v>-0</v>
      </c>
    </row>
    <row r="43" customFormat="false" ht="15" hidden="false" customHeight="false" outlineLevel="0" collapsed="false">
      <c r="A43" s="0" t="n">
        <v>2056</v>
      </c>
      <c r="B43" s="0" t="n">
        <v>30</v>
      </c>
      <c r="C43" s="0" t="n">
        <f aca="false">IF(B43&lt;x_H,(1+x_dk)^(-B43),0)</f>
        <v>0</v>
      </c>
      <c r="D43" s="0" t="n">
        <f aca="false">IF(B43&lt;x_H,(1+x_de)^(-B43),0)</f>
        <v>0</v>
      </c>
      <c r="E43" s="0" t="n">
        <f aca="false">(L_I3!AO33-L_S1!AO33)*C43</f>
        <v>-0</v>
      </c>
      <c r="F43" s="0" t="n">
        <f aca="false">(L_I3!AP33-L_S1!AP33)*C43</f>
        <v>-0</v>
      </c>
      <c r="G43" s="0" t="n">
        <f aca="false">(L_I3!AQ33-L_S1!AQ33)*C43</f>
        <v>-0</v>
      </c>
      <c r="H43" s="0" t="n">
        <f aca="false">(L_I3!AS33-L_S1!AS33)*C43</f>
        <v>0</v>
      </c>
      <c r="I43" s="0" t="n">
        <f aca="false">I42+E43</f>
        <v>112790498.686162</v>
      </c>
      <c r="J43" s="0" t="n">
        <f aca="false">J42+F43</f>
        <v>96305499.2955596</v>
      </c>
      <c r="K43" s="0" t="n">
        <f aca="false">K42+G43</f>
        <v>70196253.83652</v>
      </c>
      <c r="L43" s="0" t="n">
        <f aca="false">MAX(L42,J43)</f>
        <v>126982307.110564</v>
      </c>
      <c r="M43" s="0" t="n">
        <f aca="false">IF(AND(B43&lt;x_H,J43&lt;=0,L42&gt;0),1,0)</f>
        <v>0</v>
      </c>
      <c r="N43" s="0" t="n">
        <f aca="false">IF(AND(B43&lt;x_H,I43&lt;=0,O42&gt;0),1,0)</f>
        <v>0</v>
      </c>
      <c r="O43" s="0" t="n">
        <f aca="false">MAX(O42,I43)</f>
        <v>121748917.64229</v>
      </c>
      <c r="P43" s="0" t="n">
        <f aca="false">(L_I3!V33-L_S1!V33)*D43</f>
        <v>-0</v>
      </c>
    </row>
    <row r="44" customFormat="false" ht="15" hidden="false" customHeight="false" outlineLevel="0" collapsed="false">
      <c r="A44" s="0" t="n">
        <v>2057</v>
      </c>
      <c r="B44" s="0" t="n">
        <v>31</v>
      </c>
      <c r="C44" s="0" t="n">
        <f aca="false">IF(B44&lt;x_H,(1+x_dk)^(-B44),0)</f>
        <v>0</v>
      </c>
      <c r="D44" s="0" t="n">
        <f aca="false">IF(B44&lt;x_H,(1+x_de)^(-B44),0)</f>
        <v>0</v>
      </c>
      <c r="E44" s="0" t="n">
        <f aca="false">(L_I3!AO34-L_S1!AO34)*C44</f>
        <v>-0</v>
      </c>
      <c r="F44" s="0" t="n">
        <f aca="false">(L_I3!AP34-L_S1!AP34)*C44</f>
        <v>-0</v>
      </c>
      <c r="G44" s="0" t="n">
        <f aca="false">(L_I3!AQ34-L_S1!AQ34)*C44</f>
        <v>-0</v>
      </c>
      <c r="H44" s="0" t="n">
        <f aca="false">(L_I3!AS34-L_S1!AS34)*C44</f>
        <v>0</v>
      </c>
      <c r="I44" s="0" t="n">
        <f aca="false">I43+E44</f>
        <v>112790498.686162</v>
      </c>
      <c r="J44" s="0" t="n">
        <f aca="false">J43+F44</f>
        <v>96305499.2955596</v>
      </c>
      <c r="K44" s="0" t="n">
        <f aca="false">K43+G44</f>
        <v>70196253.83652</v>
      </c>
      <c r="L44" s="0" t="n">
        <f aca="false">MAX(L43,J44)</f>
        <v>126982307.110564</v>
      </c>
      <c r="M44" s="0" t="n">
        <f aca="false">IF(AND(B44&lt;x_H,J44&lt;=0,L43&gt;0),1,0)</f>
        <v>0</v>
      </c>
      <c r="N44" s="0" t="n">
        <f aca="false">IF(AND(B44&lt;x_H,I44&lt;=0,O43&gt;0),1,0)</f>
        <v>0</v>
      </c>
      <c r="O44" s="0" t="n">
        <f aca="false">MAX(O43,I44)</f>
        <v>121748917.64229</v>
      </c>
      <c r="P44" s="0" t="n">
        <f aca="false">(L_I3!V34-L_S1!V34)*D44</f>
        <v>-0</v>
      </c>
    </row>
    <row r="45" customFormat="false" ht="15" hidden="false" customHeight="false" outlineLevel="0" collapsed="false">
      <c r="A45" s="0" t="n">
        <v>2058</v>
      </c>
      <c r="B45" s="0" t="n">
        <v>32</v>
      </c>
      <c r="C45" s="0" t="n">
        <f aca="false">IF(B45&lt;x_H,(1+x_dk)^(-B45),0)</f>
        <v>0</v>
      </c>
      <c r="D45" s="0" t="n">
        <f aca="false">IF(B45&lt;x_H,(1+x_de)^(-B45),0)</f>
        <v>0</v>
      </c>
      <c r="E45" s="0" t="n">
        <f aca="false">(L_I3!AO35-L_S1!AO35)*C45</f>
        <v>-0</v>
      </c>
      <c r="F45" s="0" t="n">
        <f aca="false">(L_I3!AP35-L_S1!AP35)*C45</f>
        <v>-0</v>
      </c>
      <c r="G45" s="0" t="n">
        <f aca="false">(L_I3!AQ35-L_S1!AQ35)*C45</f>
        <v>-0</v>
      </c>
      <c r="H45" s="0" t="n">
        <f aca="false">(L_I3!AS35-L_S1!AS35)*C45</f>
        <v>0</v>
      </c>
      <c r="I45" s="0" t="n">
        <f aca="false">I44+E45</f>
        <v>112790498.686162</v>
      </c>
      <c r="J45" s="0" t="n">
        <f aca="false">J44+F45</f>
        <v>96305499.2955596</v>
      </c>
      <c r="K45" s="0" t="n">
        <f aca="false">K44+G45</f>
        <v>70196253.83652</v>
      </c>
      <c r="L45" s="0" t="n">
        <f aca="false">MAX(L44,J45)</f>
        <v>126982307.110564</v>
      </c>
      <c r="M45" s="0" t="n">
        <f aca="false">IF(AND(B45&lt;x_H,J45&lt;=0,L44&gt;0),1,0)</f>
        <v>0</v>
      </c>
      <c r="N45" s="0" t="n">
        <f aca="false">IF(AND(B45&lt;x_H,I45&lt;=0,O44&gt;0),1,0)</f>
        <v>0</v>
      </c>
      <c r="O45" s="0" t="n">
        <f aca="false">MAX(O44,I45)</f>
        <v>121748917.64229</v>
      </c>
      <c r="P45" s="0" t="n">
        <f aca="false">(L_I3!V35-L_S1!V35)*D45</f>
        <v>-0</v>
      </c>
    </row>
    <row r="46" customFormat="false" ht="15" hidden="false" customHeight="false" outlineLevel="0" collapsed="false">
      <c r="A46" s="0" t="n">
        <v>2059</v>
      </c>
      <c r="B46" s="0" t="n">
        <v>33</v>
      </c>
      <c r="C46" s="0" t="n">
        <f aca="false">IF(B46&lt;x_H,(1+x_dk)^(-B46),0)</f>
        <v>0</v>
      </c>
      <c r="D46" s="0" t="n">
        <f aca="false">IF(B46&lt;x_H,(1+x_de)^(-B46),0)</f>
        <v>0</v>
      </c>
      <c r="E46" s="0" t="n">
        <f aca="false">(L_I3!AO36-L_S1!AO36)*C46</f>
        <v>-0</v>
      </c>
      <c r="F46" s="0" t="n">
        <f aca="false">(L_I3!AP36-L_S1!AP36)*C46</f>
        <v>-0</v>
      </c>
      <c r="G46" s="0" t="n">
        <f aca="false">(L_I3!AQ36-L_S1!AQ36)*C46</f>
        <v>-0</v>
      </c>
      <c r="H46" s="0" t="n">
        <f aca="false">(L_I3!AS36-L_S1!AS36)*C46</f>
        <v>0</v>
      </c>
      <c r="I46" s="0" t="n">
        <f aca="false">I45+E46</f>
        <v>112790498.686162</v>
      </c>
      <c r="J46" s="0" t="n">
        <f aca="false">J45+F46</f>
        <v>96305499.2955596</v>
      </c>
      <c r="K46" s="0" t="n">
        <f aca="false">K45+G46</f>
        <v>70196253.83652</v>
      </c>
      <c r="L46" s="0" t="n">
        <f aca="false">MAX(L45,J46)</f>
        <v>126982307.110564</v>
      </c>
      <c r="M46" s="0" t="n">
        <f aca="false">IF(AND(B46&lt;x_H,J46&lt;=0,L45&gt;0),1,0)</f>
        <v>0</v>
      </c>
      <c r="N46" s="0" t="n">
        <f aca="false">IF(AND(B46&lt;x_H,I46&lt;=0,O45&gt;0),1,0)</f>
        <v>0</v>
      </c>
      <c r="O46" s="0" t="n">
        <f aca="false">MAX(O45,I46)</f>
        <v>121748917.64229</v>
      </c>
      <c r="P46" s="0" t="n">
        <f aca="false">(L_I3!V36-L_S1!V36)*D46</f>
        <v>-0</v>
      </c>
    </row>
    <row r="47" customFormat="false" ht="15" hidden="false" customHeight="false" outlineLevel="0" collapsed="false">
      <c r="A47" s="0" t="n">
        <v>2060</v>
      </c>
      <c r="B47" s="0" t="n">
        <v>34</v>
      </c>
      <c r="C47" s="0" t="n">
        <f aca="false">IF(B47&lt;x_H,(1+x_dk)^(-B47),0)</f>
        <v>0</v>
      </c>
      <c r="D47" s="0" t="n">
        <f aca="false">IF(B47&lt;x_H,(1+x_de)^(-B47),0)</f>
        <v>0</v>
      </c>
      <c r="E47" s="0" t="n">
        <f aca="false">(L_I3!AO37-L_S1!AO37)*C47</f>
        <v>-0</v>
      </c>
      <c r="F47" s="0" t="n">
        <f aca="false">(L_I3!AP37-L_S1!AP37)*C47</f>
        <v>-0</v>
      </c>
      <c r="G47" s="0" t="n">
        <f aca="false">(L_I3!AQ37-L_S1!AQ37)*C47</f>
        <v>-0</v>
      </c>
      <c r="H47" s="0" t="n">
        <f aca="false">(L_I3!AS37-L_S1!AS37)*C47</f>
        <v>0</v>
      </c>
      <c r="I47" s="0" t="n">
        <f aca="false">I46+E47</f>
        <v>112790498.686162</v>
      </c>
      <c r="J47" s="0" t="n">
        <f aca="false">J46+F47</f>
        <v>96305499.2955596</v>
      </c>
      <c r="K47" s="0" t="n">
        <f aca="false">K46+G47</f>
        <v>70196253.83652</v>
      </c>
      <c r="L47" s="0" t="n">
        <f aca="false">MAX(L46,J47)</f>
        <v>126982307.110564</v>
      </c>
      <c r="M47" s="0" t="n">
        <f aca="false">IF(AND(B47&lt;x_H,J47&lt;=0,L46&gt;0),1,0)</f>
        <v>0</v>
      </c>
      <c r="N47" s="0" t="n">
        <f aca="false">IF(AND(B47&lt;x_H,I47&lt;=0,O46&gt;0),1,0)</f>
        <v>0</v>
      </c>
      <c r="O47" s="0" t="n">
        <f aca="false">MAX(O46,I47)</f>
        <v>121748917.64229</v>
      </c>
      <c r="P47" s="0" t="n">
        <f aca="false">(L_I3!V37-L_S1!V37)*D47</f>
        <v>-0</v>
      </c>
    </row>
    <row r="48" customFormat="false" ht="15" hidden="false" customHeight="false" outlineLevel="0" collapsed="false">
      <c r="A48" s="0" t="n">
        <v>2061</v>
      </c>
      <c r="B48" s="0" t="n">
        <v>35</v>
      </c>
      <c r="C48" s="0" t="n">
        <f aca="false">IF(B48&lt;x_H,(1+x_dk)^(-B48),0)</f>
        <v>0</v>
      </c>
      <c r="D48" s="0" t="n">
        <f aca="false">IF(B48&lt;x_H,(1+x_de)^(-B48),0)</f>
        <v>0</v>
      </c>
      <c r="E48" s="0" t="n">
        <f aca="false">(L_I3!AO38-L_S1!AO38)*C48</f>
        <v>-0</v>
      </c>
      <c r="F48" s="0" t="n">
        <f aca="false">(L_I3!AP38-L_S1!AP38)*C48</f>
        <v>-0</v>
      </c>
      <c r="G48" s="0" t="n">
        <f aca="false">(L_I3!AQ38-L_S1!AQ38)*C48</f>
        <v>-0</v>
      </c>
      <c r="H48" s="0" t="n">
        <f aca="false">(L_I3!AS38-L_S1!AS38)*C48</f>
        <v>0</v>
      </c>
      <c r="I48" s="0" t="n">
        <f aca="false">I47+E48</f>
        <v>112790498.686162</v>
      </c>
      <c r="J48" s="0" t="n">
        <f aca="false">J47+F48</f>
        <v>96305499.2955596</v>
      </c>
      <c r="K48" s="0" t="n">
        <f aca="false">K47+G48</f>
        <v>70196253.83652</v>
      </c>
      <c r="L48" s="0" t="n">
        <f aca="false">MAX(L47,J48)</f>
        <v>126982307.110564</v>
      </c>
      <c r="M48" s="0" t="n">
        <f aca="false">IF(AND(B48&lt;x_H,J48&lt;=0,L47&gt;0),1,0)</f>
        <v>0</v>
      </c>
      <c r="N48" s="0" t="n">
        <f aca="false">IF(AND(B48&lt;x_H,I48&lt;=0,O47&gt;0),1,0)</f>
        <v>0</v>
      </c>
      <c r="O48" s="0" t="n">
        <f aca="false">MAX(O47,I48)</f>
        <v>121748917.64229</v>
      </c>
      <c r="P48" s="0" t="n">
        <f aca="false">(L_I3!V38-L_S1!V38)*D48</f>
        <v>-0</v>
      </c>
    </row>
    <row r="49" customFormat="false" ht="15" hidden="false" customHeight="false" outlineLevel="0" collapsed="false">
      <c r="A49" s="0" t="n">
        <v>2062</v>
      </c>
      <c r="B49" s="0" t="n">
        <v>36</v>
      </c>
      <c r="C49" s="0" t="n">
        <f aca="false">IF(B49&lt;x_H,(1+x_dk)^(-B49),0)</f>
        <v>0</v>
      </c>
      <c r="D49" s="0" t="n">
        <f aca="false">IF(B49&lt;x_H,(1+x_de)^(-B49),0)</f>
        <v>0</v>
      </c>
      <c r="E49" s="0" t="n">
        <f aca="false">(L_I3!AO39-L_S1!AO39)*C49</f>
        <v>-0</v>
      </c>
      <c r="F49" s="0" t="n">
        <f aca="false">(L_I3!AP39-L_S1!AP39)*C49</f>
        <v>-0</v>
      </c>
      <c r="G49" s="0" t="n">
        <f aca="false">(L_I3!AQ39-L_S1!AQ39)*C49</f>
        <v>-0</v>
      </c>
      <c r="H49" s="0" t="n">
        <f aca="false">(L_I3!AS39-L_S1!AS39)*C49</f>
        <v>0</v>
      </c>
      <c r="I49" s="0" t="n">
        <f aca="false">I48+E49</f>
        <v>112790498.686162</v>
      </c>
      <c r="J49" s="0" t="n">
        <f aca="false">J48+F49</f>
        <v>96305499.2955596</v>
      </c>
      <c r="K49" s="0" t="n">
        <f aca="false">K48+G49</f>
        <v>70196253.83652</v>
      </c>
      <c r="L49" s="0" t="n">
        <f aca="false">MAX(L48,J49)</f>
        <v>126982307.110564</v>
      </c>
      <c r="M49" s="0" t="n">
        <f aca="false">IF(AND(B49&lt;x_H,J49&lt;=0,L48&gt;0),1,0)</f>
        <v>0</v>
      </c>
      <c r="N49" s="0" t="n">
        <f aca="false">IF(AND(B49&lt;x_H,I49&lt;=0,O48&gt;0),1,0)</f>
        <v>0</v>
      </c>
      <c r="O49" s="0" t="n">
        <f aca="false">MAX(O48,I49)</f>
        <v>121748917.64229</v>
      </c>
      <c r="P49" s="0" t="n">
        <f aca="false">(L_I3!V39-L_S1!V39)*D49</f>
        <v>-0</v>
      </c>
    </row>
    <row r="50" customFormat="false" ht="15" hidden="false" customHeight="false" outlineLevel="0" collapsed="false">
      <c r="A50" s="0" t="n">
        <v>2063</v>
      </c>
      <c r="B50" s="0" t="n">
        <v>37</v>
      </c>
      <c r="C50" s="0" t="n">
        <f aca="false">IF(B50&lt;x_H,(1+x_dk)^(-B50),0)</f>
        <v>0</v>
      </c>
      <c r="D50" s="0" t="n">
        <f aca="false">IF(B50&lt;x_H,(1+x_de)^(-B50),0)</f>
        <v>0</v>
      </c>
      <c r="E50" s="0" t="n">
        <f aca="false">(L_I3!AO40-L_S1!AO40)*C50</f>
        <v>-0</v>
      </c>
      <c r="F50" s="0" t="n">
        <f aca="false">(L_I3!AP40-L_S1!AP40)*C50</f>
        <v>-0</v>
      </c>
      <c r="G50" s="0" t="n">
        <f aca="false">(L_I3!AQ40-L_S1!AQ40)*C50</f>
        <v>-0</v>
      </c>
      <c r="H50" s="0" t="n">
        <f aca="false">(L_I3!AS40-L_S1!AS40)*C50</f>
        <v>0</v>
      </c>
      <c r="I50" s="0" t="n">
        <f aca="false">I49+E50</f>
        <v>112790498.686162</v>
      </c>
      <c r="J50" s="0" t="n">
        <f aca="false">J49+F50</f>
        <v>96305499.2955596</v>
      </c>
      <c r="K50" s="0" t="n">
        <f aca="false">K49+G50</f>
        <v>70196253.83652</v>
      </c>
      <c r="L50" s="0" t="n">
        <f aca="false">MAX(L49,J50)</f>
        <v>126982307.110564</v>
      </c>
      <c r="M50" s="0" t="n">
        <f aca="false">IF(AND(B50&lt;x_H,J50&lt;=0,L49&gt;0),1,0)</f>
        <v>0</v>
      </c>
      <c r="N50" s="0" t="n">
        <f aca="false">IF(AND(B50&lt;x_H,I50&lt;=0,O49&gt;0),1,0)</f>
        <v>0</v>
      </c>
      <c r="O50" s="0" t="n">
        <f aca="false">MAX(O49,I50)</f>
        <v>121748917.64229</v>
      </c>
      <c r="P50" s="0" t="n">
        <f aca="false">(L_I3!V40-L_S1!V40)*D50</f>
        <v>-0</v>
      </c>
    </row>
    <row r="51" customFormat="false" ht="15" hidden="false" customHeight="false" outlineLevel="0" collapsed="false">
      <c r="A51" s="0" t="n">
        <v>2064</v>
      </c>
      <c r="B51" s="0" t="n">
        <v>38</v>
      </c>
      <c r="C51" s="0" t="n">
        <f aca="false">IF(B51&lt;x_H,(1+x_dk)^(-B51),0)</f>
        <v>0</v>
      </c>
      <c r="D51" s="0" t="n">
        <f aca="false">IF(B51&lt;x_H,(1+x_de)^(-B51),0)</f>
        <v>0</v>
      </c>
      <c r="E51" s="0" t="n">
        <f aca="false">(L_I3!AO41-L_S1!AO41)*C51</f>
        <v>-0</v>
      </c>
      <c r="F51" s="0" t="n">
        <f aca="false">(L_I3!AP41-L_S1!AP41)*C51</f>
        <v>-0</v>
      </c>
      <c r="G51" s="0" t="n">
        <f aca="false">(L_I3!AQ41-L_S1!AQ41)*C51</f>
        <v>-0</v>
      </c>
      <c r="H51" s="0" t="n">
        <f aca="false">(L_I3!AS41-L_S1!AS41)*C51</f>
        <v>0</v>
      </c>
      <c r="I51" s="0" t="n">
        <f aca="false">I50+E51</f>
        <v>112790498.686162</v>
      </c>
      <c r="J51" s="0" t="n">
        <f aca="false">J50+F51</f>
        <v>96305499.2955596</v>
      </c>
      <c r="K51" s="0" t="n">
        <f aca="false">K50+G51</f>
        <v>70196253.83652</v>
      </c>
      <c r="L51" s="0" t="n">
        <f aca="false">MAX(L50,J51)</f>
        <v>126982307.110564</v>
      </c>
      <c r="M51" s="0" t="n">
        <f aca="false">IF(AND(B51&lt;x_H,J51&lt;=0,L50&gt;0),1,0)</f>
        <v>0</v>
      </c>
      <c r="N51" s="0" t="n">
        <f aca="false">IF(AND(B51&lt;x_H,I51&lt;=0,O50&gt;0),1,0)</f>
        <v>0</v>
      </c>
      <c r="O51" s="0" t="n">
        <f aca="false">MAX(O50,I51)</f>
        <v>121748917.64229</v>
      </c>
      <c r="P51" s="0" t="n">
        <f aca="false">(L_I3!V41-L_S1!V41)*D51</f>
        <v>-0</v>
      </c>
    </row>
    <row r="52" customFormat="false" ht="15" hidden="false" customHeight="false" outlineLevel="0" collapsed="false">
      <c r="A52" s="0" t="n">
        <v>2065</v>
      </c>
      <c r="B52" s="0" t="n">
        <v>39</v>
      </c>
      <c r="C52" s="0" t="n">
        <f aca="false">IF(B52&lt;x_H,(1+x_dk)^(-B52),0)</f>
        <v>0</v>
      </c>
      <c r="D52" s="0" t="n">
        <f aca="false">IF(B52&lt;x_H,(1+x_de)^(-B52),0)</f>
        <v>0</v>
      </c>
      <c r="E52" s="0" t="n">
        <f aca="false">(L_I3!AO42-L_S1!AO42)*C52</f>
        <v>-0</v>
      </c>
      <c r="F52" s="0" t="n">
        <f aca="false">(L_I3!AP42-L_S1!AP42)*C52</f>
        <v>-0</v>
      </c>
      <c r="G52" s="0" t="n">
        <f aca="false">(L_I3!AQ42-L_S1!AQ42)*C52</f>
        <v>-0</v>
      </c>
      <c r="H52" s="0" t="n">
        <f aca="false">(L_I3!AS42-L_S1!AS42)*C52</f>
        <v>0</v>
      </c>
      <c r="I52" s="0" t="n">
        <f aca="false">I51+E52</f>
        <v>112790498.686162</v>
      </c>
      <c r="J52" s="0" t="n">
        <f aca="false">J51+F52</f>
        <v>96305499.2955596</v>
      </c>
      <c r="K52" s="0" t="n">
        <f aca="false">K51+G52</f>
        <v>70196253.83652</v>
      </c>
      <c r="L52" s="0" t="n">
        <f aca="false">MAX(L51,J52)</f>
        <v>126982307.110564</v>
      </c>
      <c r="M52" s="0" t="n">
        <f aca="false">IF(AND(B52&lt;x_H,J52&lt;=0,L51&gt;0),1,0)</f>
        <v>0</v>
      </c>
      <c r="N52" s="0" t="n">
        <f aca="false">IF(AND(B52&lt;x_H,I52&lt;=0,O51&gt;0),1,0)</f>
        <v>0</v>
      </c>
      <c r="O52" s="0" t="n">
        <f aca="false">MAX(O51,I52)</f>
        <v>121748917.64229</v>
      </c>
      <c r="P52" s="0" t="n">
        <f aca="false">(L_I3!V42-L_S1!V42)*D52</f>
        <v>-0</v>
      </c>
    </row>
    <row r="53" customFormat="false" ht="15" hidden="false" customHeight="false" outlineLevel="0" collapsed="false">
      <c r="A53" s="0" t="n">
        <v>2066</v>
      </c>
      <c r="B53" s="0" t="n">
        <v>40</v>
      </c>
      <c r="C53" s="0" t="n">
        <f aca="false">IF(B53&lt;x_H,(1+x_dk)^(-B53),0)</f>
        <v>0</v>
      </c>
      <c r="D53" s="0" t="n">
        <f aca="false">IF(B53&lt;x_H,(1+x_de)^(-B53),0)</f>
        <v>0</v>
      </c>
      <c r="E53" s="0" t="n">
        <f aca="false">(L_I3!AO43-L_S1!AO43)*C53</f>
        <v>-0</v>
      </c>
      <c r="F53" s="0" t="n">
        <f aca="false">(L_I3!AP43-L_S1!AP43)*C53</f>
        <v>-0</v>
      </c>
      <c r="G53" s="0" t="n">
        <f aca="false">(L_I3!AQ43-L_S1!AQ43)*C53</f>
        <v>-0</v>
      </c>
      <c r="H53" s="0" t="n">
        <f aca="false">(L_I3!AS43-L_S1!AS43)*C53</f>
        <v>0</v>
      </c>
      <c r="I53" s="0" t="n">
        <f aca="false">I52+E53</f>
        <v>112790498.686162</v>
      </c>
      <c r="J53" s="0" t="n">
        <f aca="false">J52+F53</f>
        <v>96305499.2955596</v>
      </c>
      <c r="K53" s="0" t="n">
        <f aca="false">K52+G53</f>
        <v>70196253.83652</v>
      </c>
      <c r="L53" s="0" t="n">
        <f aca="false">MAX(L52,J53)</f>
        <v>126982307.110564</v>
      </c>
      <c r="M53" s="0" t="n">
        <f aca="false">IF(AND(B53&lt;x_H,J53&lt;=0,L52&gt;0),1,0)</f>
        <v>0</v>
      </c>
      <c r="N53" s="0" t="n">
        <f aca="false">IF(AND(B53&lt;x_H,I53&lt;=0,O52&gt;0),1,0)</f>
        <v>0</v>
      </c>
      <c r="O53" s="0" t="n">
        <f aca="false">MAX(O52,I53)</f>
        <v>121748917.64229</v>
      </c>
      <c r="P53" s="0" t="n">
        <f aca="false">(L_I3!V43-L_S1!V43)*D53</f>
        <v>-0</v>
      </c>
    </row>
    <row r="54" customFormat="false" ht="15" hidden="false" customHeight="false" outlineLevel="0" collapsed="false">
      <c r="A54" s="0" t="n">
        <v>2067</v>
      </c>
      <c r="B54" s="0" t="n">
        <v>41</v>
      </c>
      <c r="C54" s="0" t="n">
        <f aca="false">IF(B54&lt;x_H,(1+x_dk)^(-B54),0)</f>
        <v>0</v>
      </c>
      <c r="D54" s="0" t="n">
        <f aca="false">IF(B54&lt;x_H,(1+x_de)^(-B54),0)</f>
        <v>0</v>
      </c>
      <c r="E54" s="0" t="n">
        <f aca="false">(L_I3!AO44-L_S1!AO44)*C54</f>
        <v>-0</v>
      </c>
      <c r="F54" s="0" t="n">
        <f aca="false">(L_I3!AP44-L_S1!AP44)*C54</f>
        <v>-0</v>
      </c>
      <c r="G54" s="0" t="n">
        <f aca="false">(L_I3!AQ44-L_S1!AQ44)*C54</f>
        <v>-0</v>
      </c>
      <c r="H54" s="0" t="n">
        <f aca="false">(L_I3!AS44-L_S1!AS44)*C54</f>
        <v>0</v>
      </c>
      <c r="I54" s="0" t="n">
        <f aca="false">I53+E54</f>
        <v>112790498.686162</v>
      </c>
      <c r="J54" s="0" t="n">
        <f aca="false">J53+F54</f>
        <v>96305499.2955596</v>
      </c>
      <c r="K54" s="0" t="n">
        <f aca="false">K53+G54</f>
        <v>70196253.83652</v>
      </c>
      <c r="L54" s="0" t="n">
        <f aca="false">MAX(L53,J54)</f>
        <v>126982307.110564</v>
      </c>
      <c r="M54" s="0" t="n">
        <f aca="false">IF(AND(B54&lt;x_H,J54&lt;=0,L53&gt;0),1,0)</f>
        <v>0</v>
      </c>
      <c r="N54" s="0" t="n">
        <f aca="false">IF(AND(B54&lt;x_H,I54&lt;=0,O53&gt;0),1,0)</f>
        <v>0</v>
      </c>
      <c r="O54" s="0" t="n">
        <f aca="false">MAX(O53,I54)</f>
        <v>121748917.64229</v>
      </c>
      <c r="P54" s="0" t="n">
        <f aca="false">(L_I3!V44-L_S1!V44)*D54</f>
        <v>-0</v>
      </c>
    </row>
    <row r="55" customFormat="false" ht="15" hidden="false" customHeight="false" outlineLevel="0" collapsed="false">
      <c r="A55" s="0" t="n">
        <v>2068</v>
      </c>
      <c r="B55" s="0" t="n">
        <v>42</v>
      </c>
      <c r="C55" s="0" t="n">
        <f aca="false">IF(B55&lt;x_H,(1+x_dk)^(-B55),0)</f>
        <v>0</v>
      </c>
      <c r="D55" s="0" t="n">
        <f aca="false">IF(B55&lt;x_H,(1+x_de)^(-B55),0)</f>
        <v>0</v>
      </c>
      <c r="E55" s="0" t="n">
        <f aca="false">(L_I3!AO45-L_S1!AO45)*C55</f>
        <v>-0</v>
      </c>
      <c r="F55" s="0" t="n">
        <f aca="false">(L_I3!AP45-L_S1!AP45)*C55</f>
        <v>-0</v>
      </c>
      <c r="G55" s="0" t="n">
        <f aca="false">(L_I3!AQ45-L_S1!AQ45)*C55</f>
        <v>-0</v>
      </c>
      <c r="H55" s="0" t="n">
        <f aca="false">(L_I3!AS45-L_S1!AS45)*C55</f>
        <v>0</v>
      </c>
      <c r="I55" s="0" t="n">
        <f aca="false">I54+E55</f>
        <v>112790498.686162</v>
      </c>
      <c r="J55" s="0" t="n">
        <f aca="false">J54+F55</f>
        <v>96305499.2955596</v>
      </c>
      <c r="K55" s="0" t="n">
        <f aca="false">K54+G55</f>
        <v>70196253.83652</v>
      </c>
      <c r="L55" s="0" t="n">
        <f aca="false">MAX(L54,J55)</f>
        <v>126982307.110564</v>
      </c>
      <c r="M55" s="0" t="n">
        <f aca="false">IF(AND(B55&lt;x_H,J55&lt;=0,L54&gt;0),1,0)</f>
        <v>0</v>
      </c>
      <c r="N55" s="0" t="n">
        <f aca="false">IF(AND(B55&lt;x_H,I55&lt;=0,O54&gt;0),1,0)</f>
        <v>0</v>
      </c>
      <c r="O55" s="0" t="n">
        <f aca="false">MAX(O54,I55)</f>
        <v>121748917.64229</v>
      </c>
      <c r="P55" s="0" t="n">
        <f aca="false">(L_I3!V45-L_S1!V45)*D55</f>
        <v>-0</v>
      </c>
    </row>
    <row r="56" customFormat="false" ht="15" hidden="false" customHeight="false" outlineLevel="0" collapsed="false">
      <c r="A56" s="0" t="n">
        <v>2069</v>
      </c>
      <c r="B56" s="0" t="n">
        <v>43</v>
      </c>
      <c r="C56" s="0" t="n">
        <f aca="false">IF(B56&lt;x_H,(1+x_dk)^(-B56),0)</f>
        <v>0</v>
      </c>
      <c r="D56" s="0" t="n">
        <f aca="false">IF(B56&lt;x_H,(1+x_de)^(-B56),0)</f>
        <v>0</v>
      </c>
      <c r="E56" s="0" t="n">
        <f aca="false">(L_I3!AO46-L_S1!AO46)*C56</f>
        <v>-0</v>
      </c>
      <c r="F56" s="0" t="n">
        <f aca="false">(L_I3!AP46-L_S1!AP46)*C56</f>
        <v>-0</v>
      </c>
      <c r="G56" s="0" t="n">
        <f aca="false">(L_I3!AQ46-L_S1!AQ46)*C56</f>
        <v>-0</v>
      </c>
      <c r="H56" s="0" t="n">
        <f aca="false">(L_I3!AS46-L_S1!AS46)*C56</f>
        <v>0</v>
      </c>
      <c r="I56" s="0" t="n">
        <f aca="false">I55+E56</f>
        <v>112790498.686162</v>
      </c>
      <c r="J56" s="0" t="n">
        <f aca="false">J55+F56</f>
        <v>96305499.2955596</v>
      </c>
      <c r="K56" s="0" t="n">
        <f aca="false">K55+G56</f>
        <v>70196253.83652</v>
      </c>
      <c r="L56" s="0" t="n">
        <f aca="false">MAX(L55,J56)</f>
        <v>126982307.110564</v>
      </c>
      <c r="M56" s="0" t="n">
        <f aca="false">IF(AND(B56&lt;x_H,J56&lt;=0,L55&gt;0),1,0)</f>
        <v>0</v>
      </c>
      <c r="N56" s="0" t="n">
        <f aca="false">IF(AND(B56&lt;x_H,I56&lt;=0,O55&gt;0),1,0)</f>
        <v>0</v>
      </c>
      <c r="O56" s="0" t="n">
        <f aca="false">MAX(O55,I56)</f>
        <v>121748917.64229</v>
      </c>
      <c r="P56" s="0" t="n">
        <f aca="false">(L_I3!V46-L_S1!V46)*D56</f>
        <v>-0</v>
      </c>
    </row>
    <row r="57" customFormat="false" ht="15" hidden="false" customHeight="false" outlineLevel="0" collapsed="false">
      <c r="A57" s="0" t="n">
        <v>2070</v>
      </c>
      <c r="B57" s="0" t="n">
        <v>44</v>
      </c>
      <c r="C57" s="0" t="n">
        <f aca="false">IF(B57&lt;x_H,(1+x_dk)^(-B57),0)</f>
        <v>0</v>
      </c>
      <c r="D57" s="0" t="n">
        <f aca="false">IF(B57&lt;x_H,(1+x_de)^(-B57),0)</f>
        <v>0</v>
      </c>
      <c r="E57" s="0" t="n">
        <f aca="false">(L_I3!AO47-L_S1!AO47)*C57</f>
        <v>-0</v>
      </c>
      <c r="F57" s="0" t="n">
        <f aca="false">(L_I3!AP47-L_S1!AP47)*C57</f>
        <v>-0</v>
      </c>
      <c r="G57" s="0" t="n">
        <f aca="false">(L_I3!AQ47-L_S1!AQ47)*C57</f>
        <v>-0</v>
      </c>
      <c r="H57" s="0" t="n">
        <f aca="false">(L_I3!AS47-L_S1!AS47)*C57</f>
        <v>0</v>
      </c>
      <c r="I57" s="0" t="n">
        <f aca="false">I56+E57</f>
        <v>112790498.686162</v>
      </c>
      <c r="J57" s="0" t="n">
        <f aca="false">J56+F57</f>
        <v>96305499.2955596</v>
      </c>
      <c r="K57" s="0" t="n">
        <f aca="false">K56+G57</f>
        <v>70196253.83652</v>
      </c>
      <c r="L57" s="0" t="n">
        <f aca="false">MAX(L56,J57)</f>
        <v>126982307.110564</v>
      </c>
      <c r="M57" s="0" t="n">
        <f aca="false">IF(AND(B57&lt;x_H,J57&lt;=0,L56&gt;0),1,0)</f>
        <v>0</v>
      </c>
      <c r="N57" s="0" t="n">
        <f aca="false">IF(AND(B57&lt;x_H,I57&lt;=0,O56&gt;0),1,0)</f>
        <v>0</v>
      </c>
      <c r="O57" s="0" t="n">
        <f aca="false">MAX(O56,I57)</f>
        <v>121748917.64229</v>
      </c>
      <c r="P57" s="0" t="n">
        <f aca="false">(L_I3!V47-L_S1!V47)*D57</f>
        <v>-0</v>
      </c>
    </row>
    <row r="58" customFormat="false" ht="15" hidden="false" customHeight="false" outlineLevel="0" collapsed="false">
      <c r="A58" s="0" t="n">
        <v>2071</v>
      </c>
      <c r="B58" s="0" t="n">
        <v>45</v>
      </c>
      <c r="C58" s="0" t="n">
        <f aca="false">IF(B58&lt;x_H,(1+x_dk)^(-B58),0)</f>
        <v>0</v>
      </c>
      <c r="D58" s="0" t="n">
        <f aca="false">IF(B58&lt;x_H,(1+x_de)^(-B58),0)</f>
        <v>0</v>
      </c>
      <c r="E58" s="0" t="n">
        <f aca="false">(L_I3!AO48-L_S1!AO48)*C58</f>
        <v>-0</v>
      </c>
      <c r="F58" s="0" t="n">
        <f aca="false">(L_I3!AP48-L_S1!AP48)*C58</f>
        <v>-0</v>
      </c>
      <c r="G58" s="0" t="n">
        <f aca="false">(L_I3!AQ48-L_S1!AQ48)*C58</f>
        <v>-0</v>
      </c>
      <c r="H58" s="0" t="n">
        <f aca="false">(L_I3!AS48-L_S1!AS48)*C58</f>
        <v>0</v>
      </c>
      <c r="I58" s="0" t="n">
        <f aca="false">I57+E58</f>
        <v>112790498.686162</v>
      </c>
      <c r="J58" s="0" t="n">
        <f aca="false">J57+F58</f>
        <v>96305499.2955596</v>
      </c>
      <c r="K58" s="0" t="n">
        <f aca="false">K57+G58</f>
        <v>70196253.83652</v>
      </c>
      <c r="L58" s="0" t="n">
        <f aca="false">MAX(L57,J58)</f>
        <v>126982307.110564</v>
      </c>
      <c r="M58" s="0" t="n">
        <f aca="false">IF(AND(B58&lt;x_H,J58&lt;=0,L57&gt;0),1,0)</f>
        <v>0</v>
      </c>
      <c r="N58" s="0" t="n">
        <f aca="false">IF(AND(B58&lt;x_H,I58&lt;=0,O57&gt;0),1,0)</f>
        <v>0</v>
      </c>
      <c r="O58" s="0" t="n">
        <f aca="false">MAX(O57,I58)</f>
        <v>121748917.64229</v>
      </c>
      <c r="P58" s="0" t="n">
        <f aca="false">(L_I3!V48-L_S1!V48)*D58</f>
        <v>-0</v>
      </c>
    </row>
    <row r="59" customFormat="false" ht="15" hidden="false" customHeight="false" outlineLevel="0" collapsed="false">
      <c r="A59" s="0" t="n">
        <v>2072</v>
      </c>
      <c r="B59" s="0" t="n">
        <v>46</v>
      </c>
      <c r="C59" s="0" t="n">
        <f aca="false">IF(B59&lt;x_H,(1+x_dk)^(-B59),0)</f>
        <v>0</v>
      </c>
      <c r="D59" s="0" t="n">
        <f aca="false">IF(B59&lt;x_H,(1+x_de)^(-B59),0)</f>
        <v>0</v>
      </c>
      <c r="E59" s="0" t="n">
        <f aca="false">(L_I3!AO49-L_S1!AO49)*C59</f>
        <v>-0</v>
      </c>
      <c r="F59" s="0" t="n">
        <f aca="false">(L_I3!AP49-L_S1!AP49)*C59</f>
        <v>-0</v>
      </c>
      <c r="G59" s="0" t="n">
        <f aca="false">(L_I3!AQ49-L_S1!AQ49)*C59</f>
        <v>-0</v>
      </c>
      <c r="H59" s="0" t="n">
        <f aca="false">(L_I3!AS49-L_S1!AS49)*C59</f>
        <v>0</v>
      </c>
      <c r="I59" s="0" t="n">
        <f aca="false">I58+E59</f>
        <v>112790498.686162</v>
      </c>
      <c r="J59" s="0" t="n">
        <f aca="false">J58+F59</f>
        <v>96305499.2955596</v>
      </c>
      <c r="K59" s="0" t="n">
        <f aca="false">K58+G59</f>
        <v>70196253.83652</v>
      </c>
      <c r="L59" s="0" t="n">
        <f aca="false">MAX(L58,J59)</f>
        <v>126982307.110564</v>
      </c>
      <c r="M59" s="0" t="n">
        <f aca="false">IF(AND(B59&lt;x_H,J59&lt;=0,L58&gt;0),1,0)</f>
        <v>0</v>
      </c>
      <c r="N59" s="0" t="n">
        <f aca="false">IF(AND(B59&lt;x_H,I59&lt;=0,O58&gt;0),1,0)</f>
        <v>0</v>
      </c>
      <c r="O59" s="0" t="n">
        <f aca="false">MAX(O58,I59)</f>
        <v>121748917.64229</v>
      </c>
      <c r="P59" s="0" t="n">
        <f aca="false">(L_I3!V49-L_S1!V49)*D59</f>
        <v>-0</v>
      </c>
    </row>
    <row r="60" customFormat="false" ht="15" hidden="false" customHeight="false" outlineLevel="0" collapsed="false">
      <c r="A60" s="0" t="n">
        <v>2073</v>
      </c>
      <c r="B60" s="0" t="n">
        <v>47</v>
      </c>
      <c r="C60" s="0" t="n">
        <f aca="false">IF(B60&lt;x_H,(1+x_dk)^(-B60),0)</f>
        <v>0</v>
      </c>
      <c r="D60" s="0" t="n">
        <f aca="false">IF(B60&lt;x_H,(1+x_de)^(-B60),0)</f>
        <v>0</v>
      </c>
      <c r="E60" s="0" t="n">
        <f aca="false">(L_I3!AO50-L_S1!AO50)*C60</f>
        <v>-0</v>
      </c>
      <c r="F60" s="0" t="n">
        <f aca="false">(L_I3!AP50-L_S1!AP50)*C60</f>
        <v>-0</v>
      </c>
      <c r="G60" s="0" t="n">
        <f aca="false">(L_I3!AQ50-L_S1!AQ50)*C60</f>
        <v>-0</v>
      </c>
      <c r="H60" s="0" t="n">
        <f aca="false">(L_I3!AS50-L_S1!AS50)*C60</f>
        <v>0</v>
      </c>
      <c r="I60" s="0" t="n">
        <f aca="false">I59+E60</f>
        <v>112790498.686162</v>
      </c>
      <c r="J60" s="0" t="n">
        <f aca="false">J59+F60</f>
        <v>96305499.2955596</v>
      </c>
      <c r="K60" s="0" t="n">
        <f aca="false">K59+G60</f>
        <v>70196253.83652</v>
      </c>
      <c r="L60" s="0" t="n">
        <f aca="false">MAX(L59,J60)</f>
        <v>126982307.110564</v>
      </c>
      <c r="M60" s="0" t="n">
        <f aca="false">IF(AND(B60&lt;x_H,J60&lt;=0,L59&gt;0),1,0)</f>
        <v>0</v>
      </c>
      <c r="N60" s="0" t="n">
        <f aca="false">IF(AND(B60&lt;x_H,I60&lt;=0,O59&gt;0),1,0)</f>
        <v>0</v>
      </c>
      <c r="O60" s="0" t="n">
        <f aca="false">MAX(O59,I60)</f>
        <v>121748917.64229</v>
      </c>
      <c r="P60" s="0" t="n">
        <f aca="false">(L_I3!V50-L_S1!V50)*D60</f>
        <v>-0</v>
      </c>
    </row>
    <row r="61" customFormat="false" ht="15" hidden="false" customHeight="false" outlineLevel="0" collapsed="false">
      <c r="A61" s="0" t="n">
        <v>2074</v>
      </c>
      <c r="B61" s="0" t="n">
        <v>48</v>
      </c>
      <c r="C61" s="0" t="n">
        <f aca="false">IF(B61&lt;x_H,(1+x_dk)^(-B61),0)</f>
        <v>0</v>
      </c>
      <c r="D61" s="0" t="n">
        <f aca="false">IF(B61&lt;x_H,(1+x_de)^(-B61),0)</f>
        <v>0</v>
      </c>
      <c r="E61" s="0" t="n">
        <f aca="false">(L_I3!AO51-L_S1!AO51)*C61</f>
        <v>-0</v>
      </c>
      <c r="F61" s="0" t="n">
        <f aca="false">(L_I3!AP51-L_S1!AP51)*C61</f>
        <v>-0</v>
      </c>
      <c r="G61" s="0" t="n">
        <f aca="false">(L_I3!AQ51-L_S1!AQ51)*C61</f>
        <v>-0</v>
      </c>
      <c r="H61" s="0" t="n">
        <f aca="false">(L_I3!AS51-L_S1!AS51)*C61</f>
        <v>0</v>
      </c>
      <c r="I61" s="0" t="n">
        <f aca="false">I60+E61</f>
        <v>112790498.686162</v>
      </c>
      <c r="J61" s="0" t="n">
        <f aca="false">J60+F61</f>
        <v>96305499.2955596</v>
      </c>
      <c r="K61" s="0" t="n">
        <f aca="false">K60+G61</f>
        <v>70196253.83652</v>
      </c>
      <c r="L61" s="0" t="n">
        <f aca="false">MAX(L60,J61)</f>
        <v>126982307.110564</v>
      </c>
      <c r="M61" s="0" t="n">
        <f aca="false">IF(AND(B61&lt;x_H,J61&lt;=0,L60&gt;0),1,0)</f>
        <v>0</v>
      </c>
      <c r="N61" s="0" t="n">
        <f aca="false">IF(AND(B61&lt;x_H,I61&lt;=0,O60&gt;0),1,0)</f>
        <v>0</v>
      </c>
      <c r="O61" s="0" t="n">
        <f aca="false">MAX(O60,I61)</f>
        <v>121748917.64229</v>
      </c>
      <c r="P61" s="0" t="n">
        <f aca="false">(L_I3!V51-L_S1!V51)*D61</f>
        <v>-0</v>
      </c>
    </row>
    <row r="62" customFormat="false" ht="15" hidden="false" customHeight="false" outlineLevel="0" collapsed="false">
      <c r="A62" s="0" t="n">
        <v>2075</v>
      </c>
      <c r="B62" s="0" t="n">
        <v>49</v>
      </c>
      <c r="C62" s="0" t="n">
        <f aca="false">IF(B62&lt;x_H,(1+x_dk)^(-B62),0)</f>
        <v>0</v>
      </c>
      <c r="D62" s="0" t="n">
        <f aca="false">IF(B62&lt;x_H,(1+x_de)^(-B62),0)</f>
        <v>0</v>
      </c>
      <c r="E62" s="0" t="n">
        <f aca="false">(L_I3!AO52-L_S1!AO52)*C62</f>
        <v>-0</v>
      </c>
      <c r="F62" s="0" t="n">
        <f aca="false">(L_I3!AP52-L_S1!AP52)*C62</f>
        <v>-0</v>
      </c>
      <c r="G62" s="0" t="n">
        <f aca="false">(L_I3!AQ52-L_S1!AQ52)*C62</f>
        <v>-0</v>
      </c>
      <c r="H62" s="0" t="n">
        <f aca="false">(L_I3!AS52-L_S1!AS52)*C62</f>
        <v>0</v>
      </c>
      <c r="I62" s="0" t="n">
        <f aca="false">I61+E62</f>
        <v>112790498.686162</v>
      </c>
      <c r="J62" s="0" t="n">
        <f aca="false">J61+F62</f>
        <v>96305499.2955596</v>
      </c>
      <c r="K62" s="0" t="n">
        <f aca="false">K61+G62</f>
        <v>70196253.83652</v>
      </c>
      <c r="L62" s="0" t="n">
        <f aca="false">MAX(L61,J62)</f>
        <v>126982307.110564</v>
      </c>
      <c r="M62" s="0" t="n">
        <f aca="false">IF(AND(B62&lt;x_H,J62&lt;=0,L61&gt;0),1,0)</f>
        <v>0</v>
      </c>
      <c r="N62" s="0" t="n">
        <f aca="false">IF(AND(B62&lt;x_H,I62&lt;=0,O61&gt;0),1,0)</f>
        <v>0</v>
      </c>
      <c r="O62" s="0" t="n">
        <f aca="false">MAX(O61,I62)</f>
        <v>121748917.64229</v>
      </c>
      <c r="P62" s="0" t="n">
        <f aca="false">(L_I3!V52-L_S1!V52)*D62</f>
        <v>-0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629</v>
      </c>
    </row>
    <row r="2" customFormat="false" ht="15" hidden="false" customHeight="false" outlineLevel="0" collapsed="false">
      <c r="A2" s="1" t="s">
        <v>602</v>
      </c>
      <c r="B2" s="0" t="n">
        <f aca="false">x_H</f>
        <v>20</v>
      </c>
    </row>
    <row r="3" customFormat="false" ht="15" hidden="false" customHeight="false" outlineLevel="0" collapsed="false">
      <c r="A3" s="1" t="s">
        <v>603</v>
      </c>
      <c r="B3" s="0" t="n">
        <f aca="false">SUM(H13:H62)</f>
        <v>2831759417.70538</v>
      </c>
    </row>
    <row r="4" customFormat="false" ht="15" hidden="false" customHeight="false" outlineLevel="0" collapsed="false">
      <c r="A4" s="1" t="s">
        <v>604</v>
      </c>
      <c r="B4" s="0" t="n">
        <f aca="false">SUM(F13:F62)</f>
        <v>2438858223.15684</v>
      </c>
    </row>
    <row r="5" customFormat="false" ht="15" hidden="false" customHeight="false" outlineLevel="0" collapsed="false">
      <c r="A5" s="1" t="s">
        <v>605</v>
      </c>
      <c r="B5" s="0" t="n">
        <f aca="false">B3-B4</f>
        <v>392901194.548548</v>
      </c>
    </row>
    <row r="6" customFormat="false" ht="15" hidden="false" customHeight="false" outlineLevel="0" collapsed="false">
      <c r="A6" s="1" t="s">
        <v>606</v>
      </c>
      <c r="B6" s="0" t="n">
        <f aca="false">IF(B3=0,"—",(B5-B3)/ABS(B3))</f>
        <v>-0.861251915649345</v>
      </c>
    </row>
    <row r="7" customFormat="false" ht="15" hidden="false" customHeight="false" outlineLevel="0" collapsed="false">
      <c r="A7" s="1" t="s">
        <v>607</v>
      </c>
      <c r="B7" s="0" t="str">
        <f aca="false">IFERROR(INDEX(A13:A62,MATCH(1,M13:M62,0)),"brak w horyzoncie")</f>
        <v>brak w horyzoncie</v>
      </c>
    </row>
    <row r="8" customFormat="false" ht="15" hidden="false" customHeight="false" outlineLevel="0" collapsed="false">
      <c r="A8" s="1" t="s">
        <v>608</v>
      </c>
      <c r="B8" s="0" t="str">
        <f aca="false">IFERROR(INDEX(A13:A62,MATCH(1,N13:N62,0)),"brak w horyzoncie")</f>
        <v>brak w horyzoncie</v>
      </c>
    </row>
    <row r="9" customFormat="false" ht="15" hidden="false" customHeight="false" outlineLevel="0" collapsed="false">
      <c r="A9" s="1" t="s">
        <v>609</v>
      </c>
      <c r="B9" s="0" t="n">
        <f aca="false">SUM(E13:E62)</f>
        <v>2676452221.85192</v>
      </c>
    </row>
    <row r="10" customFormat="false" ht="15" hidden="false" customHeight="false" outlineLevel="0" collapsed="false">
      <c r="A10" s="1" t="s">
        <v>610</v>
      </c>
      <c r="B10" s="0" t="n">
        <f aca="false">IFERROR(B4/SUM(P13:P62),"—")</f>
        <v>66048.9539532801</v>
      </c>
    </row>
    <row r="11" customFormat="false" ht="15" hidden="false" customHeight="false" outlineLevel="0" collapsed="false">
      <c r="A11" s="1" t="s">
        <v>611</v>
      </c>
      <c r="B11" s="0" t="n">
        <f aca="false">IFERROR(B9/SUM(P13:P62),"—")</f>
        <v>72483.4547087503</v>
      </c>
    </row>
    <row r="12" customFormat="false" ht="55.2" hidden="false" customHeight="false" outlineLevel="0" collapsed="false">
      <c r="A12" s="3" t="s">
        <v>320</v>
      </c>
      <c r="B12" s="3" t="s">
        <v>553</v>
      </c>
      <c r="C12" s="3" t="s">
        <v>612</v>
      </c>
      <c r="D12" s="3" t="s">
        <v>613</v>
      </c>
      <c r="E12" s="3" t="s">
        <v>614</v>
      </c>
      <c r="F12" s="3" t="s">
        <v>615</v>
      </c>
      <c r="G12" s="3" t="s">
        <v>616</v>
      </c>
      <c r="H12" s="3" t="s">
        <v>617</v>
      </c>
      <c r="I12" s="3" t="s">
        <v>618</v>
      </c>
      <c r="J12" s="3" t="s">
        <v>619</v>
      </c>
      <c r="K12" s="3" t="s">
        <v>620</v>
      </c>
      <c r="L12" s="3" t="s">
        <v>621</v>
      </c>
      <c r="M12" s="3" t="s">
        <v>622</v>
      </c>
      <c r="N12" s="3" t="s">
        <v>623</v>
      </c>
      <c r="O12" s="3" t="s">
        <v>624</v>
      </c>
      <c r="P12" s="3" t="s">
        <v>625</v>
      </c>
    </row>
    <row r="13" customFormat="false" ht="15" hidden="false" customHeight="false" outlineLevel="0" collapsed="false">
      <c r="A13" s="0" t="n">
        <v>2026</v>
      </c>
      <c r="B13" s="0" t="n">
        <v>0</v>
      </c>
      <c r="C13" s="0" t="n">
        <f aca="false">IF(B13&lt;x_H,(1+x_dk)^(-B13),0)</f>
        <v>1</v>
      </c>
      <c r="D13" s="0" t="n">
        <f aca="false">IF(B13&lt;x_H,(1+x_de)^(-B13),0)</f>
        <v>1</v>
      </c>
      <c r="E13" s="0" t="n">
        <f aca="false">(L_I4!AO3-L_S1!AO3)*C13</f>
        <v>158474997.713621</v>
      </c>
      <c r="F13" s="0" t="n">
        <f aca="false">(L_I4!AP3-L_S1!AP3)*C13</f>
        <v>163224538.266768</v>
      </c>
      <c r="G13" s="0" t="n">
        <f aca="false">(L_I4!AQ3-L_S1!AQ3)*C13</f>
        <v>162702401.668825</v>
      </c>
      <c r="H13" s="0" t="n">
        <f aca="false">(L_I4!AS3-L_S1!AS3)*C13</f>
        <v>152580053.702423</v>
      </c>
      <c r="I13" s="0" t="n">
        <f aca="false">E13</f>
        <v>158474997.713621</v>
      </c>
      <c r="J13" s="0" t="n">
        <f aca="false">F13</f>
        <v>163224538.266768</v>
      </c>
      <c r="K13" s="0" t="n">
        <f aca="false">G13</f>
        <v>162702401.668825</v>
      </c>
      <c r="L13" s="0" t="n">
        <f aca="false">J13</f>
        <v>163224538.266768</v>
      </c>
      <c r="M13" s="0" t="n">
        <v>0</v>
      </c>
      <c r="N13" s="0" t="n">
        <v>0</v>
      </c>
      <c r="O13" s="0" t="n">
        <f aca="false">I13</f>
        <v>158474997.713621</v>
      </c>
      <c r="P13" s="0" t="n">
        <f aca="false">(L_I4!V3-L_S1!V3)*D13</f>
        <v>227.069000000003</v>
      </c>
    </row>
    <row r="14" customFormat="false" ht="15" hidden="false" customHeight="false" outlineLevel="0" collapsed="false">
      <c r="A14" s="0" t="n">
        <v>2027</v>
      </c>
      <c r="B14" s="0" t="n">
        <v>1</v>
      </c>
      <c r="C14" s="0" t="n">
        <f aca="false">IF(B14&lt;x_H,(1+x_dk)^(-B14),0)</f>
        <v>0.952380952380952</v>
      </c>
      <c r="D14" s="0" t="n">
        <f aca="false">IF(B14&lt;x_H,(1+x_de)^(-B14),0)</f>
        <v>0.966183574879227</v>
      </c>
      <c r="E14" s="0" t="n">
        <f aca="false">(L_I4!AO4-L_S1!AO4)*C14</f>
        <v>293391297.146399</v>
      </c>
      <c r="F14" s="0" t="n">
        <f aca="false">(L_I4!AP4-L_S1!AP4)*C14</f>
        <v>299700986.601753</v>
      </c>
      <c r="G14" s="0" t="n">
        <f aca="false">(L_I4!AQ4-L_S1!AQ4)*C14</f>
        <v>298711528.314085</v>
      </c>
      <c r="H14" s="0" t="n">
        <f aca="false">(L_I4!AS4-L_S1!AS4)*C14</f>
        <v>283391450.171027</v>
      </c>
      <c r="I14" s="0" t="n">
        <f aca="false">I13+E14</f>
        <v>451866294.86002</v>
      </c>
      <c r="J14" s="0" t="n">
        <f aca="false">J13+F14</f>
        <v>462925524.868522</v>
      </c>
      <c r="K14" s="0" t="n">
        <f aca="false">K13+G14</f>
        <v>461413929.98291</v>
      </c>
      <c r="L14" s="0" t="n">
        <f aca="false">MAX(L13,J14)</f>
        <v>462925524.868522</v>
      </c>
      <c r="M14" s="0" t="n">
        <f aca="false">IF(AND(B14&lt;x_H,J14&lt;=0,L13&gt;0),1,0)</f>
        <v>0</v>
      </c>
      <c r="N14" s="0" t="n">
        <f aca="false">IF(AND(B14&lt;x_H,I14&lt;=0,O13&gt;0),1,0)</f>
        <v>0</v>
      </c>
      <c r="O14" s="0" t="n">
        <f aca="false">MAX(O13,I14)</f>
        <v>451866294.86002</v>
      </c>
      <c r="P14" s="0" t="n">
        <f aca="false">(L_I4!V4-L_S1!V4)*D14</f>
        <v>489.577777777767</v>
      </c>
    </row>
    <row r="15" customFormat="false" ht="15" hidden="false" customHeight="false" outlineLevel="0" collapsed="false">
      <c r="A15" s="0" t="n">
        <v>2028</v>
      </c>
      <c r="B15" s="0" t="n">
        <v>2</v>
      </c>
      <c r="C15" s="0" t="n">
        <f aca="false">IF(B15&lt;x_H,(1+x_dk)^(-B15),0)</f>
        <v>0.90702947845805</v>
      </c>
      <c r="D15" s="0" t="n">
        <f aca="false">IF(B15&lt;x_H,(1+x_de)^(-B15),0)</f>
        <v>0.933510700366403</v>
      </c>
      <c r="E15" s="0" t="n">
        <f aca="false">(L_I4!AO5-L_S1!AO5)*C15</f>
        <v>402004811.319897</v>
      </c>
      <c r="F15" s="0" t="n">
        <f aca="false">(L_I4!AP5-L_S1!AP5)*C15</f>
        <v>408012669.255453</v>
      </c>
      <c r="G15" s="0" t="n">
        <f aca="false">(L_I4!AQ5-L_S1!AQ5)*C15</f>
        <v>406425408.514669</v>
      </c>
      <c r="H15" s="0" t="n">
        <f aca="false">(L_I4!AS5-L_S1!AS5)*C15</f>
        <v>390844457.729718</v>
      </c>
      <c r="I15" s="0" t="n">
        <f aca="false">I14+E15</f>
        <v>853871106.179917</v>
      </c>
      <c r="J15" s="0" t="n">
        <f aca="false">J14+F15</f>
        <v>870938194.123974</v>
      </c>
      <c r="K15" s="0" t="n">
        <f aca="false">K14+G15</f>
        <v>867839338.497579</v>
      </c>
      <c r="L15" s="0" t="n">
        <f aca="false">MAX(L14,J15)</f>
        <v>870938194.123974</v>
      </c>
      <c r="M15" s="0" t="n">
        <f aca="false">IF(AND(B15&lt;x_H,J15&lt;=0,L14&gt;0),1,0)</f>
        <v>0</v>
      </c>
      <c r="N15" s="0" t="n">
        <f aca="false">IF(AND(B15&lt;x_H,I15&lt;=0,O14&gt;0),1,0)</f>
        <v>0</v>
      </c>
      <c r="O15" s="0" t="n">
        <f aca="false">MAX(O14,I15)</f>
        <v>853871106.179917</v>
      </c>
      <c r="P15" s="0" t="n">
        <f aca="false">(L_I4!V5-L_S1!V5)*D15</f>
        <v>787.975448668582</v>
      </c>
    </row>
    <row r="16" customFormat="false" ht="15" hidden="false" customHeight="false" outlineLevel="0" collapsed="false">
      <c r="A16" s="0" t="n">
        <v>2029</v>
      </c>
      <c r="B16" s="0" t="n">
        <v>3</v>
      </c>
      <c r="C16" s="0" t="n">
        <f aca="false">IF(B16&lt;x_H,(1+x_dk)^(-B16),0)</f>
        <v>0.863837598531476</v>
      </c>
      <c r="D16" s="0" t="n">
        <f aca="false">IF(B16&lt;x_H,(1+x_de)^(-B16),0)</f>
        <v>0.901942705668022</v>
      </c>
      <c r="E16" s="0" t="n">
        <f aca="false">(L_I4!AO6-L_S1!AO6)*C16</f>
        <v>366717488.124746</v>
      </c>
      <c r="F16" s="0" t="n">
        <f aca="false">(L_I4!AP6-L_S1!AP6)*C16</f>
        <v>370252504.085488</v>
      </c>
      <c r="G16" s="0" t="n">
        <f aca="false">(L_I4!AQ6-L_S1!AQ6)*C16</f>
        <v>367785647.44736</v>
      </c>
      <c r="H16" s="0" t="n">
        <f aca="false">(L_I4!AS6-L_S1!AS6)*C16</f>
        <v>356727561.557209</v>
      </c>
      <c r="I16" s="0" t="n">
        <f aca="false">I15+E16</f>
        <v>1220588594.30466</v>
      </c>
      <c r="J16" s="0" t="n">
        <f aca="false">J15+F16</f>
        <v>1241190698.20946</v>
      </c>
      <c r="K16" s="0" t="n">
        <f aca="false">K15+G16</f>
        <v>1235624985.94494</v>
      </c>
      <c r="L16" s="0" t="n">
        <f aca="false">MAX(L15,J16)</f>
        <v>1241190698.20946</v>
      </c>
      <c r="M16" s="0" t="n">
        <f aca="false">IF(AND(B16&lt;x_H,J16&lt;=0,L15&gt;0),1,0)</f>
        <v>0</v>
      </c>
      <c r="N16" s="0" t="n">
        <f aca="false">IF(AND(B16&lt;x_H,I16&lt;=0,O15&gt;0),1,0)</f>
        <v>0</v>
      </c>
      <c r="O16" s="0" t="n">
        <f aca="false">MAX(O15,I16)</f>
        <v>1220588594.30466</v>
      </c>
      <c r="P16" s="0" t="n">
        <f aca="false">(L_I4!V6-L_S1!V6)*D16</f>
        <v>1073.99278648773</v>
      </c>
    </row>
    <row r="17" customFormat="false" ht="15" hidden="false" customHeight="false" outlineLevel="0" collapsed="false">
      <c r="A17" s="0" t="n">
        <v>2030</v>
      </c>
      <c r="B17" s="0" t="n">
        <v>4</v>
      </c>
      <c r="C17" s="0" t="n">
        <f aca="false">IF(B17&lt;x_H,(1+x_dk)^(-B17),0)</f>
        <v>0.822702474791882</v>
      </c>
      <c r="D17" s="0" t="n">
        <f aca="false">IF(B17&lt;x_H,(1+x_de)^(-B17),0)</f>
        <v>0.871442227698572</v>
      </c>
      <c r="E17" s="0" t="n">
        <f aca="false">(L_I4!AO7-L_S1!AO7)*C17</f>
        <v>335825473.788673</v>
      </c>
      <c r="F17" s="0" t="n">
        <f aca="false">(L_I4!AP7-L_S1!AP7)*C17</f>
        <v>336385645.941906</v>
      </c>
      <c r="G17" s="0" t="n">
        <f aca="false">(L_I4!AQ7-L_S1!AQ7)*C17</f>
        <v>332570290.491781</v>
      </c>
      <c r="H17" s="0" t="n">
        <f aca="false">(L_I4!AS7-L_S1!AS7)*C17</f>
        <v>327873522.031537</v>
      </c>
      <c r="I17" s="0" t="n">
        <f aca="false">I16+E17</f>
        <v>1556414068.09334</v>
      </c>
      <c r="J17" s="0" t="n">
        <f aca="false">J16+F17</f>
        <v>1577576344.15137</v>
      </c>
      <c r="K17" s="0" t="n">
        <f aca="false">K16+G17</f>
        <v>1568195276.43672</v>
      </c>
      <c r="L17" s="0" t="n">
        <f aca="false">MAX(L16,J17)</f>
        <v>1577576344.15137</v>
      </c>
      <c r="M17" s="0" t="n">
        <f aca="false">IF(AND(B17&lt;x_H,J17&lt;=0,L16&gt;0),1,0)</f>
        <v>0</v>
      </c>
      <c r="N17" s="0" t="n">
        <f aca="false">IF(AND(B17&lt;x_H,I17&lt;=0,O16&gt;0),1,0)</f>
        <v>0</v>
      </c>
      <c r="O17" s="0" t="n">
        <f aca="false">MAX(O16,I17)</f>
        <v>1556414068.09334</v>
      </c>
      <c r="P17" s="0" t="n">
        <f aca="false">(L_I4!V7-L_S1!V7)*D17</f>
        <v>1347.90065136607</v>
      </c>
    </row>
    <row r="18" customFormat="false" ht="15" hidden="false" customHeight="false" outlineLevel="0" collapsed="false">
      <c r="A18" s="0" t="n">
        <v>2031</v>
      </c>
      <c r="B18" s="0" t="n">
        <v>5</v>
      </c>
      <c r="C18" s="0" t="n">
        <f aca="false">IF(B18&lt;x_H,(1+x_dk)^(-B18),0)</f>
        <v>0.783526166468459</v>
      </c>
      <c r="D18" s="0" t="n">
        <f aca="false">IF(B18&lt;x_H,(1+x_de)^(-B18),0)</f>
        <v>0.841973166858524</v>
      </c>
      <c r="E18" s="0" t="n">
        <f aca="false">(L_I4!AO8-L_S1!AO8)*C18</f>
        <v>308393857.827938</v>
      </c>
      <c r="F18" s="0" t="n">
        <f aca="false">(L_I4!AP8-L_S1!AP8)*C18</f>
        <v>305513401.60103</v>
      </c>
      <c r="G18" s="0" t="n">
        <f aca="false">(L_I4!AQ8-L_S1!AQ8)*C18</f>
        <v>299878738.225424</v>
      </c>
      <c r="H18" s="0" t="n">
        <f aca="false">(L_I4!AS8-L_S1!AS8)*C18</f>
        <v>303033156.330746</v>
      </c>
      <c r="I18" s="0" t="n">
        <f aca="false">I17+E18</f>
        <v>1864807925.92127</v>
      </c>
      <c r="J18" s="0" t="n">
        <f aca="false">J17+F18</f>
        <v>1883089745.7524</v>
      </c>
      <c r="K18" s="0" t="n">
        <f aca="false">K17+G18</f>
        <v>1868074014.66214</v>
      </c>
      <c r="L18" s="0" t="n">
        <f aca="false">MAX(L17,J18)</f>
        <v>1883089745.7524</v>
      </c>
      <c r="M18" s="0" t="n">
        <f aca="false">IF(AND(B18&lt;x_H,J18&lt;=0,L17&gt;0),1,0)</f>
        <v>0</v>
      </c>
      <c r="N18" s="0" t="n">
        <f aca="false">IF(AND(B18&lt;x_H,I18&lt;=0,O17&gt;0),1,0)</f>
        <v>0</v>
      </c>
      <c r="O18" s="0" t="n">
        <f aca="false">MAX(O17,I18)</f>
        <v>1864807925.92127</v>
      </c>
      <c r="P18" s="0" t="n">
        <f aca="false">(L_I4!V8-L_S1!V8)*D18</f>
        <v>1605.74554992555</v>
      </c>
    </row>
    <row r="19" customFormat="false" ht="15" hidden="false" customHeight="false" outlineLevel="0" collapsed="false">
      <c r="A19" s="0" t="n">
        <v>2032</v>
      </c>
      <c r="B19" s="0" t="n">
        <v>6</v>
      </c>
      <c r="C19" s="0" t="n">
        <f aca="false">IF(B19&lt;x_H,(1+x_dk)^(-B19),0)</f>
        <v>0.746215396636628</v>
      </c>
      <c r="D19" s="0" t="n">
        <f aca="false">IF(B19&lt;x_H,(1+x_de)^(-B19),0)</f>
        <v>0.813500644307753</v>
      </c>
      <c r="E19" s="0" t="n">
        <f aca="false">(L_I4!AO9-L_S1!AO9)*C19</f>
        <v>283746236.31376</v>
      </c>
      <c r="F19" s="0" t="n">
        <f aca="false">(L_I4!AP9-L_S1!AP9)*C19</f>
        <v>277007828.775514</v>
      </c>
      <c r="G19" s="0" t="n">
        <f aca="false">(L_I4!AQ9-L_S1!AQ9)*C19</f>
        <v>269101912.678058</v>
      </c>
      <c r="H19" s="0" t="n">
        <f aca="false">(L_I4!AS9-L_S1!AS9)*C19</f>
        <v>281309998.769099</v>
      </c>
      <c r="I19" s="0" t="n">
        <f aca="false">I18+E19</f>
        <v>2148554162.23503</v>
      </c>
      <c r="J19" s="0" t="n">
        <f aca="false">J18+F19</f>
        <v>2160097574.52791</v>
      </c>
      <c r="K19" s="0" t="n">
        <f aca="false">K18+G19</f>
        <v>2137175927.3402</v>
      </c>
      <c r="L19" s="0" t="n">
        <f aca="false">MAX(L18,J19)</f>
        <v>2160097574.52791</v>
      </c>
      <c r="M19" s="0" t="n">
        <f aca="false">IF(AND(B19&lt;x_H,J19&lt;=0,L18&gt;0),1,0)</f>
        <v>0</v>
      </c>
      <c r="N19" s="0" t="n">
        <f aca="false">IF(AND(B19&lt;x_H,I19&lt;=0,O18&gt;0),1,0)</f>
        <v>0</v>
      </c>
      <c r="O19" s="0" t="n">
        <f aca="false">MAX(O18,I19)</f>
        <v>2148554162.23503</v>
      </c>
      <c r="P19" s="0" t="n">
        <f aca="false">(L_I4!V9-L_S1!V9)*D19</f>
        <v>1843.73168977005</v>
      </c>
    </row>
    <row r="20" customFormat="false" ht="15" hidden="false" customHeight="false" outlineLevel="0" collapsed="false">
      <c r="A20" s="0" t="n">
        <v>2033</v>
      </c>
      <c r="B20" s="0" t="n">
        <v>7</v>
      </c>
      <c r="C20" s="0" t="n">
        <f aca="false">IF(B20&lt;x_H,(1+x_dk)^(-B20),0)</f>
        <v>0.710681330130121</v>
      </c>
      <c r="D20" s="0" t="n">
        <f aca="false">IF(B20&lt;x_H,(1+x_de)^(-B20),0)</f>
        <v>0.785990960683819</v>
      </c>
      <c r="E20" s="0" t="n">
        <f aca="false">(L_I4!AO10-L_S1!AO10)*C20</f>
        <v>261393257.605235</v>
      </c>
      <c r="F20" s="0" t="n">
        <f aca="false">(L_I4!AP10-L_S1!AP10)*C20</f>
        <v>250438098.048827</v>
      </c>
      <c r="G20" s="0" t="n">
        <f aca="false">(L_I4!AQ10-L_S1!AQ10)*C20</f>
        <v>239843320.920806</v>
      </c>
      <c r="H20" s="0" t="n">
        <f aca="false">(L_I4!AS10-L_S1!AS10)*C20</f>
        <v>262052177.183699</v>
      </c>
      <c r="I20" s="0" t="n">
        <f aca="false">I19+E20</f>
        <v>2409947419.84027</v>
      </c>
      <c r="J20" s="0" t="n">
        <f aca="false">J19+F20</f>
        <v>2410535672.57674</v>
      </c>
      <c r="K20" s="0" t="n">
        <f aca="false">K19+G20</f>
        <v>2377019248.26101</v>
      </c>
      <c r="L20" s="0" t="n">
        <f aca="false">MAX(L19,J20)</f>
        <v>2410535672.57674</v>
      </c>
      <c r="M20" s="0" t="n">
        <f aca="false">IF(AND(B20&lt;x_H,J20&lt;=0,L19&gt;0),1,0)</f>
        <v>0</v>
      </c>
      <c r="N20" s="0" t="n">
        <f aca="false">IF(AND(B20&lt;x_H,I20&lt;=0,O19&gt;0),1,0)</f>
        <v>0</v>
      </c>
      <c r="O20" s="0" t="n">
        <f aca="false">MAX(O19,I20)</f>
        <v>2409947419.84027</v>
      </c>
      <c r="P20" s="0" t="n">
        <f aca="false">(L_I4!V10-L_S1!V10)*D20</f>
        <v>2058.81450453271</v>
      </c>
    </row>
    <row r="21" customFormat="false" ht="15" hidden="false" customHeight="false" outlineLevel="0" collapsed="false">
      <c r="A21" s="0" t="n">
        <v>2034</v>
      </c>
      <c r="B21" s="0" t="n">
        <v>8</v>
      </c>
      <c r="C21" s="0" t="n">
        <f aca="false">IF(B21&lt;x_H,(1+x_dk)^(-B21),0)</f>
        <v>0.676839362028687</v>
      </c>
      <c r="D21" s="0" t="n">
        <f aca="false">IF(B21&lt;x_H,(1+x_de)^(-B21),0)</f>
        <v>0.759411556216251</v>
      </c>
      <c r="E21" s="0" t="n">
        <f aca="false">(L_I4!AO11-L_S1!AO11)*C21</f>
        <v>240985123.589899</v>
      </c>
      <c r="F21" s="0" t="n">
        <f aca="false">(L_I4!AP11-L_S1!AP11)*C21</f>
        <v>225520885.966641</v>
      </c>
      <c r="G21" s="0" t="n">
        <f aca="false">(L_I4!AQ11-L_S1!AQ11)*C21</f>
        <v>211866083.856843</v>
      </c>
      <c r="H21" s="0" t="n">
        <f aca="false">(L_I4!AS11-L_S1!AS11)*C21</f>
        <v>244786410.289337</v>
      </c>
      <c r="I21" s="0" t="n">
        <f aca="false">I20+E21</f>
        <v>2650932543.43017</v>
      </c>
      <c r="J21" s="0" t="n">
        <f aca="false">J20+F21</f>
        <v>2636056558.54338</v>
      </c>
      <c r="K21" s="0" t="n">
        <f aca="false">K20+G21</f>
        <v>2588885332.11785</v>
      </c>
      <c r="L21" s="0" t="n">
        <f aca="false">MAX(L20,J21)</f>
        <v>2636056558.54338</v>
      </c>
      <c r="M21" s="0" t="n">
        <f aca="false">IF(AND(B21&lt;x_H,J21&lt;=0,L20&gt;0),1,0)</f>
        <v>0</v>
      </c>
      <c r="N21" s="0" t="n">
        <f aca="false">IF(AND(B21&lt;x_H,I21&lt;=0,O20&gt;0),1,0)</f>
        <v>0</v>
      </c>
      <c r="O21" s="0" t="n">
        <f aca="false">MAX(O20,I21)</f>
        <v>2650932543.43017</v>
      </c>
      <c r="P21" s="0" t="n">
        <f aca="false">(L_I4!V11-L_S1!V11)*D21</f>
        <v>2249.12870193365</v>
      </c>
    </row>
    <row r="22" customFormat="false" ht="15" hidden="false" customHeight="false" outlineLevel="0" collapsed="false">
      <c r="A22" s="0" t="n">
        <v>2035</v>
      </c>
      <c r="B22" s="0" t="n">
        <v>9</v>
      </c>
      <c r="C22" s="0" t="n">
        <f aca="false">IF(B22&lt;x_H,(1+x_dk)^(-B22),0)</f>
        <v>0.644608916217797</v>
      </c>
      <c r="D22" s="0" t="n">
        <f aca="false">IF(B22&lt;x_H,(1+x_de)^(-B22),0)</f>
        <v>0.733730972189614</v>
      </c>
      <c r="E22" s="0" t="n">
        <f aca="false">(L_I4!AO12-L_S1!AO12)*C22</f>
        <v>219921208.892077</v>
      </c>
      <c r="F22" s="0" t="n">
        <f aca="false">(L_I4!AP12-L_S1!AP12)*C22</f>
        <v>198596814.94822</v>
      </c>
      <c r="G22" s="0" t="n">
        <f aca="false">(L_I4!AQ12-L_S1!AQ12)*C22</f>
        <v>181742861.829665</v>
      </c>
      <c r="H22" s="0" t="n">
        <f aca="false">(L_I4!AS12-L_S1!AS12)*C22</f>
        <v>229160629.940588</v>
      </c>
      <c r="I22" s="0" t="n">
        <f aca="false">I21+E22</f>
        <v>2870853752.32224</v>
      </c>
      <c r="J22" s="0" t="n">
        <f aca="false">J21+F22</f>
        <v>2834653373.4916</v>
      </c>
      <c r="K22" s="0" t="n">
        <f aca="false">K21+G22</f>
        <v>2770628193.94752</v>
      </c>
      <c r="L22" s="0" t="n">
        <f aca="false">MAX(L21,J22)</f>
        <v>2834653373.4916</v>
      </c>
      <c r="M22" s="0" t="n">
        <f aca="false">IF(AND(B22&lt;x_H,J22&lt;=0,L21&gt;0),1,0)</f>
        <v>0</v>
      </c>
      <c r="N22" s="0" t="n">
        <f aca="false">IF(AND(B22&lt;x_H,I22&lt;=0,O21&gt;0),1,0)</f>
        <v>0</v>
      </c>
      <c r="O22" s="0" t="n">
        <f aca="false">MAX(O21,I22)</f>
        <v>2870853752.32224</v>
      </c>
      <c r="P22" s="0" t="n">
        <f aca="false">(L_I4!V12-L_S1!V12)*D22</f>
        <v>2353.89774023192</v>
      </c>
    </row>
    <row r="23" customFormat="false" ht="15" hidden="false" customHeight="false" outlineLevel="0" collapsed="false">
      <c r="A23" s="0" t="n">
        <v>2036</v>
      </c>
      <c r="B23" s="0" t="n">
        <v>10</v>
      </c>
      <c r="C23" s="0" t="n">
        <f aca="false">IF(B23&lt;x_H,(1+x_dk)^(-B23),0)</f>
        <v>0.613913253540759</v>
      </c>
      <c r="D23" s="0" t="n">
        <f aca="false">IF(B23&lt;x_H,(1+x_de)^(-B23),0)</f>
        <v>0.708918813709772</v>
      </c>
      <c r="E23" s="0" t="n">
        <f aca="false">(L_I4!AO13-L_S1!AO13)*C23</f>
        <v>-12694160.4931107</v>
      </c>
      <c r="F23" s="0" t="n">
        <f aca="false">(L_I4!AP13-L_S1!AP13)*C23</f>
        <v>-41677287.836966</v>
      </c>
      <c r="G23" s="0" t="n">
        <f aca="false">(L_I4!AQ13-L_S1!AQ13)*C23</f>
        <v>-61933709.9765006</v>
      </c>
      <c r="H23" s="0" t="n">
        <f aca="false">(L_I4!AS13-L_S1!AS13)*C23</f>
        <v>0</v>
      </c>
      <c r="I23" s="0" t="n">
        <f aca="false">I22+E23</f>
        <v>2858159591.82913</v>
      </c>
      <c r="J23" s="0" t="n">
        <f aca="false">J22+F23</f>
        <v>2792976085.65463</v>
      </c>
      <c r="K23" s="0" t="n">
        <f aca="false">K22+G23</f>
        <v>2708694483.97102</v>
      </c>
      <c r="L23" s="0" t="n">
        <f aca="false">MAX(L22,J23)</f>
        <v>2834653373.4916</v>
      </c>
      <c r="M23" s="0" t="n">
        <f aca="false">IF(AND(B23&lt;x_H,J23&lt;=0,L22&gt;0),1,0)</f>
        <v>0</v>
      </c>
      <c r="N23" s="0" t="n">
        <f aca="false">IF(AND(B23&lt;x_H,I23&lt;=0,O22&gt;0),1,0)</f>
        <v>0</v>
      </c>
      <c r="O23" s="0" t="n">
        <f aca="false">MAX(O22,I23)</f>
        <v>2870853752.32224</v>
      </c>
      <c r="P23" s="0" t="n">
        <f aca="false">(L_I4!V13-L_S1!V13)*D23</f>
        <v>2379.93190815067</v>
      </c>
    </row>
    <row r="24" customFormat="false" ht="15" hidden="false" customHeight="false" outlineLevel="0" collapsed="false">
      <c r="A24" s="0" t="n">
        <v>2037</v>
      </c>
      <c r="B24" s="0" t="n">
        <v>11</v>
      </c>
      <c r="C24" s="0" t="n">
        <f aca="false">IF(B24&lt;x_H,(1+x_dk)^(-B24),0)</f>
        <v>0.584679289086437</v>
      </c>
      <c r="D24" s="0" t="n">
        <f aca="false">IF(B24&lt;x_H,(1+x_de)^(-B24),0)</f>
        <v>0.684945713729249</v>
      </c>
      <c r="E24" s="0" t="n">
        <f aca="false">(L_I4!AO14-L_S1!AO14)*C24</f>
        <v>-15666765.527913</v>
      </c>
      <c r="F24" s="0" t="n">
        <f aca="false">(L_I4!AP14-L_S1!AP14)*C24</f>
        <v>-48822395.9876655</v>
      </c>
      <c r="G24" s="0" t="n">
        <f aca="false">(L_I4!AQ14-L_S1!AQ14)*C24</f>
        <v>-72688558.7687483</v>
      </c>
      <c r="H24" s="0" t="n">
        <f aca="false">(L_I4!AS14-L_S1!AS14)*C24</f>
        <v>0</v>
      </c>
      <c r="I24" s="0" t="n">
        <f aca="false">I23+E24</f>
        <v>2842492826.30122</v>
      </c>
      <c r="J24" s="0" t="n">
        <f aca="false">J23+F24</f>
        <v>2744153689.66697</v>
      </c>
      <c r="K24" s="0" t="n">
        <f aca="false">K23+G24</f>
        <v>2636005925.20227</v>
      </c>
      <c r="L24" s="0" t="n">
        <f aca="false">MAX(L23,J24)</f>
        <v>2834653373.4916</v>
      </c>
      <c r="M24" s="0" t="n">
        <f aca="false">IF(AND(B24&lt;x_H,J24&lt;=0,L23&gt;0),1,0)</f>
        <v>0</v>
      </c>
      <c r="N24" s="0" t="n">
        <f aca="false">IF(AND(B24&lt;x_H,I24&lt;=0,O23&gt;0),1,0)</f>
        <v>0</v>
      </c>
      <c r="O24" s="0" t="n">
        <f aca="false">MAX(O23,I24)</f>
        <v>2870853752.32224</v>
      </c>
      <c r="P24" s="0" t="n">
        <f aca="false">(L_I4!V14-L_S1!V14)*D24</f>
        <v>2389.40298473308</v>
      </c>
    </row>
    <row r="25" customFormat="false" ht="15" hidden="false" customHeight="false" outlineLevel="0" collapsed="false">
      <c r="A25" s="0" t="n">
        <v>2038</v>
      </c>
      <c r="B25" s="0" t="n">
        <v>12</v>
      </c>
      <c r="C25" s="0" t="n">
        <f aca="false">IF(B25&lt;x_H,(1+x_dk)^(-B25),0)</f>
        <v>0.556837418177559</v>
      </c>
      <c r="D25" s="0" t="n">
        <f aca="false">IF(B25&lt;x_H,(1+x_de)^(-B25),0)</f>
        <v>0.661783298289129</v>
      </c>
      <c r="E25" s="0" t="n">
        <f aca="false">(L_I4!AO15-L_S1!AO15)*C25</f>
        <v>-17895134.4584567</v>
      </c>
      <c r="F25" s="0" t="n">
        <f aca="false">(L_I4!AP15-L_S1!AP15)*C25</f>
        <v>-41282398.5759551</v>
      </c>
      <c r="G25" s="0" t="n">
        <f aca="false">(L_I4!AQ15-L_S1!AQ15)*C25</f>
        <v>-58477883.3559218</v>
      </c>
      <c r="H25" s="0" t="n">
        <f aca="false">(L_I4!AS15-L_S1!AS15)*C25</f>
        <v>0</v>
      </c>
      <c r="I25" s="0" t="n">
        <f aca="false">I24+E25</f>
        <v>2824597691.84276</v>
      </c>
      <c r="J25" s="0" t="n">
        <f aca="false">J24+F25</f>
        <v>2702871291.09101</v>
      </c>
      <c r="K25" s="0" t="n">
        <f aca="false">K24+G25</f>
        <v>2577528041.84635</v>
      </c>
      <c r="L25" s="0" t="n">
        <f aca="false">MAX(L24,J25)</f>
        <v>2834653373.4916</v>
      </c>
      <c r="M25" s="0" t="n">
        <f aca="false">IF(AND(B25&lt;x_H,J25&lt;=0,L24&gt;0),1,0)</f>
        <v>0</v>
      </c>
      <c r="N25" s="0" t="n">
        <f aca="false">IF(AND(B25&lt;x_H,I25&lt;=0,O24&gt;0),1,0)</f>
        <v>0</v>
      </c>
      <c r="O25" s="0" t="n">
        <f aca="false">MAX(O24,I25)</f>
        <v>2870853752.32224</v>
      </c>
      <c r="P25" s="0" t="n">
        <f aca="false">(L_I4!V15-L_S1!V15)*D25</f>
        <v>2383.0234202089</v>
      </c>
    </row>
    <row r="26" customFormat="false" ht="15" hidden="false" customHeight="false" outlineLevel="0" collapsed="false">
      <c r="A26" s="0" t="n">
        <v>2039</v>
      </c>
      <c r="B26" s="0" t="n">
        <v>13</v>
      </c>
      <c r="C26" s="0" t="n">
        <f aca="false">IF(B26&lt;x_H,(1+x_dk)^(-B26),0)</f>
        <v>0.530321350645295</v>
      </c>
      <c r="D26" s="0" t="n">
        <f aca="false">IF(B26&lt;x_H,(1+x_de)^(-B26),0)</f>
        <v>0.639404152936357</v>
      </c>
      <c r="E26" s="0" t="n">
        <f aca="false">(L_I4!AO16-L_S1!AO16)*C26</f>
        <v>-19522805.9240585</v>
      </c>
      <c r="F26" s="0" t="n">
        <f aca="false">(L_I4!AP16-L_S1!AP16)*C26</f>
        <v>-32405363.1846141</v>
      </c>
      <c r="G26" s="0" t="n">
        <f aca="false">(L_I4!AQ16-L_S1!AQ16)*C26</f>
        <v>-42197318.2945774</v>
      </c>
      <c r="H26" s="0" t="n">
        <f aca="false">(L_I4!AS16-L_S1!AS16)*C26</f>
        <v>0</v>
      </c>
      <c r="I26" s="0" t="n">
        <f aca="false">I25+E26</f>
        <v>2805074885.91871</v>
      </c>
      <c r="J26" s="0" t="n">
        <f aca="false">J25+F26</f>
        <v>2670465927.9064</v>
      </c>
      <c r="K26" s="0" t="n">
        <f aca="false">K25+G26</f>
        <v>2535330723.55177</v>
      </c>
      <c r="L26" s="0" t="n">
        <f aca="false">MAX(L25,J26)</f>
        <v>2834653373.4916</v>
      </c>
      <c r="M26" s="0" t="n">
        <f aca="false">IF(AND(B26&lt;x_H,J26&lt;=0,L25&gt;0),1,0)</f>
        <v>0</v>
      </c>
      <c r="N26" s="0" t="n">
        <f aca="false">IF(AND(B26&lt;x_H,I26&lt;=0,O25&gt;0),1,0)</f>
        <v>0</v>
      </c>
      <c r="O26" s="0" t="n">
        <f aca="false">MAX(O25,I26)</f>
        <v>2870853752.32224</v>
      </c>
      <c r="P26" s="0" t="n">
        <f aca="false">(L_I4!V16-L_S1!V16)*D26</f>
        <v>2363.62267055285</v>
      </c>
    </row>
    <row r="27" customFormat="false" ht="15" hidden="false" customHeight="false" outlineLevel="0" collapsed="false">
      <c r="A27" s="0" t="n">
        <v>2040</v>
      </c>
      <c r="B27" s="0" t="n">
        <v>14</v>
      </c>
      <c r="C27" s="0" t="n">
        <f aca="false">IF(B27&lt;x_H,(1+x_dk)^(-B27),0)</f>
        <v>0.505067952995519</v>
      </c>
      <c r="D27" s="0" t="n">
        <f aca="false">IF(B27&lt;x_H,(1+x_de)^(-B27),0)</f>
        <v>0.617781790276673</v>
      </c>
      <c r="E27" s="0" t="n">
        <f aca="false">(L_I4!AO17-L_S1!AO17)*C27</f>
        <v>-20654961.8214347</v>
      </c>
      <c r="F27" s="0" t="n">
        <f aca="false">(L_I4!AP17-L_S1!AP17)*C27</f>
        <v>-34844454.7846531</v>
      </c>
      <c r="G27" s="0" t="n">
        <f aca="false">(L_I4!AQ17-L_S1!AQ17)*C27</f>
        <v>-45839936.5101115</v>
      </c>
      <c r="H27" s="0" t="n">
        <f aca="false">(L_I4!AS17-L_S1!AS17)*C27</f>
        <v>0</v>
      </c>
      <c r="I27" s="0" t="n">
        <f aca="false">I26+E27</f>
        <v>2784419924.09727</v>
      </c>
      <c r="J27" s="0" t="n">
        <f aca="false">J26+F27</f>
        <v>2635621473.12175</v>
      </c>
      <c r="K27" s="0" t="n">
        <f aca="false">K26+G27</f>
        <v>2489490787.04166</v>
      </c>
      <c r="L27" s="0" t="n">
        <f aca="false">MAX(L26,J27)</f>
        <v>2834653373.4916</v>
      </c>
      <c r="M27" s="0" t="n">
        <f aca="false">IF(AND(B27&lt;x_H,J27&lt;=0,L26&gt;0),1,0)</f>
        <v>0</v>
      </c>
      <c r="N27" s="0" t="n">
        <f aca="false">IF(AND(B27&lt;x_H,I27&lt;=0,O26&gt;0),1,0)</f>
        <v>0</v>
      </c>
      <c r="O27" s="0" t="n">
        <f aca="false">MAX(O26,I27)</f>
        <v>2870853752.32224</v>
      </c>
      <c r="P27" s="0" t="n">
        <f aca="false">(L_I4!V17-L_S1!V17)*D27</f>
        <v>2334.28911234219</v>
      </c>
    </row>
    <row r="28" customFormat="false" ht="15" hidden="false" customHeight="false" outlineLevel="0" collapsed="false">
      <c r="A28" s="0" t="n">
        <v>2041</v>
      </c>
      <c r="B28" s="0" t="n">
        <v>15</v>
      </c>
      <c r="C28" s="0" t="n">
        <f aca="false">IF(B28&lt;x_H,(1+x_dk)^(-B28),0)</f>
        <v>0.48101709809097</v>
      </c>
      <c r="D28" s="0" t="n">
        <f aca="false">IF(B28&lt;x_H,(1+x_de)^(-B28),0)</f>
        <v>0.596890618624805</v>
      </c>
      <c r="E28" s="0" t="n">
        <f aca="false">(L_I4!AO18-L_S1!AO18)*C28</f>
        <v>-21374076.0685407</v>
      </c>
      <c r="F28" s="0" t="n">
        <f aca="false">(L_I4!AP18-L_S1!AP18)*C28</f>
        <v>-36825363.1015417</v>
      </c>
      <c r="G28" s="0" t="n">
        <f aca="false">(L_I4!AQ18-L_S1!AQ18)*C28</f>
        <v>-49003439.9692926</v>
      </c>
      <c r="H28" s="0" t="n">
        <f aca="false">(L_I4!AS18-L_S1!AS18)*C28</f>
        <v>0</v>
      </c>
      <c r="I28" s="0" t="n">
        <f aca="false">I27+E28</f>
        <v>2763045848.02873</v>
      </c>
      <c r="J28" s="0" t="n">
        <f aca="false">J27+F28</f>
        <v>2598796110.02021</v>
      </c>
      <c r="K28" s="0" t="n">
        <f aca="false">K27+G28</f>
        <v>2440487347.07236</v>
      </c>
      <c r="L28" s="0" t="n">
        <f aca="false">MAX(L27,J28)</f>
        <v>2834653373.4916</v>
      </c>
      <c r="M28" s="0" t="n">
        <f aca="false">IF(AND(B28&lt;x_H,J28&lt;=0,L27&gt;0),1,0)</f>
        <v>0</v>
      </c>
      <c r="N28" s="0" t="n">
        <f aca="false">IF(AND(B28&lt;x_H,I28&lt;=0,O27&gt;0),1,0)</f>
        <v>0</v>
      </c>
      <c r="O28" s="0" t="n">
        <f aca="false">MAX(O27,I28)</f>
        <v>2870853752.32224</v>
      </c>
      <c r="P28" s="0" t="n">
        <f aca="false">(L_I4!V18-L_S1!V18)*D28</f>
        <v>2297.7310332868</v>
      </c>
    </row>
    <row r="29" customFormat="false" ht="15" hidden="false" customHeight="false" outlineLevel="0" collapsed="false">
      <c r="A29" s="0" t="n">
        <v>2042</v>
      </c>
      <c r="B29" s="0" t="n">
        <v>16</v>
      </c>
      <c r="C29" s="0" t="n">
        <f aca="false">IF(B29&lt;x_H,(1+x_dk)^(-B29),0)</f>
        <v>0.4581115219914</v>
      </c>
      <c r="D29" s="0" t="n">
        <f aca="false">IF(B29&lt;x_H,(1+x_de)^(-B29),0)</f>
        <v>0.576705911714788</v>
      </c>
      <c r="E29" s="0" t="n">
        <f aca="false">(L_I4!AO19-L_S1!AO19)*C29</f>
        <v>-21749739.7749197</v>
      </c>
      <c r="F29" s="0" t="n">
        <f aca="false">(L_I4!AP19-L_S1!AP19)*C29</f>
        <v>-38412511.7601361</v>
      </c>
      <c r="G29" s="0" t="n">
        <f aca="false">(L_I4!AQ19-L_S1!AQ19)*C29</f>
        <v>-51743505.8566331</v>
      </c>
      <c r="H29" s="0" t="n">
        <f aca="false">(L_I4!AS19-L_S1!AS19)*C29</f>
        <v>0</v>
      </c>
      <c r="I29" s="0" t="n">
        <f aca="false">I28+E29</f>
        <v>2741296108.25381</v>
      </c>
      <c r="J29" s="0" t="n">
        <f aca="false">J28+F29</f>
        <v>2560383598.26007</v>
      </c>
      <c r="K29" s="0" t="n">
        <f aca="false">K28+G29</f>
        <v>2388743841.21573</v>
      </c>
      <c r="L29" s="0" t="n">
        <f aca="false">MAX(L28,J29)</f>
        <v>2834653373.4916</v>
      </c>
      <c r="M29" s="0" t="n">
        <f aca="false">IF(AND(B29&lt;x_H,J29&lt;=0,L28&gt;0),1,0)</f>
        <v>0</v>
      </c>
      <c r="N29" s="0" t="n">
        <f aca="false">IF(AND(B29&lt;x_H,I29&lt;=0,O28&gt;0),1,0)</f>
        <v>0</v>
      </c>
      <c r="O29" s="0" t="n">
        <f aca="false">MAX(O28,I29)</f>
        <v>2870853752.32224</v>
      </c>
      <c r="P29" s="0" t="n">
        <f aca="false">(L_I4!V19-L_S1!V19)*D29</f>
        <v>2253.92356698939</v>
      </c>
    </row>
    <row r="30" customFormat="false" ht="15" hidden="false" customHeight="false" outlineLevel="0" collapsed="false">
      <c r="A30" s="0" t="n">
        <v>2043</v>
      </c>
      <c r="B30" s="0" t="n">
        <v>17</v>
      </c>
      <c r="C30" s="0" t="n">
        <f aca="false">IF(B30&lt;x_H,(1+x_dk)^(-B30),0)</f>
        <v>0.436296687610857</v>
      </c>
      <c r="D30" s="0" t="n">
        <f aca="false">IF(B30&lt;x_H,(1+x_de)^(-B30),0)</f>
        <v>0.557203779434577</v>
      </c>
      <c r="E30" s="0" t="n">
        <f aca="false">(L_I4!AO20-L_S1!AO20)*C30</f>
        <v>-21835219.7753633</v>
      </c>
      <c r="F30" s="0" t="n">
        <f aca="false">(L_I4!AP20-L_S1!AP20)*C30</f>
        <v>-39654039.0456496</v>
      </c>
      <c r="G30" s="0" t="n">
        <f aca="false">(L_I4!AQ20-L_S1!AQ20)*C30</f>
        <v>-54100679.8900985</v>
      </c>
      <c r="H30" s="0" t="n">
        <f aca="false">(L_I4!AS20-L_S1!AS20)*C30</f>
        <v>0</v>
      </c>
      <c r="I30" s="0" t="n">
        <f aca="false">I29+E30</f>
        <v>2719460888.47845</v>
      </c>
      <c r="J30" s="0" t="n">
        <f aca="false">J29+F30</f>
        <v>2520729559.21442</v>
      </c>
      <c r="K30" s="0" t="n">
        <f aca="false">K29+G30</f>
        <v>2334643161.32563</v>
      </c>
      <c r="L30" s="0" t="n">
        <f aca="false">MAX(L29,J30)</f>
        <v>2834653373.4916</v>
      </c>
      <c r="M30" s="0" t="n">
        <f aca="false">IF(AND(B30&lt;x_H,J30&lt;=0,L29&gt;0),1,0)</f>
        <v>0</v>
      </c>
      <c r="N30" s="0" t="n">
        <f aca="false">IF(AND(B30&lt;x_H,I30&lt;=0,O29&gt;0),1,0)</f>
        <v>0</v>
      </c>
      <c r="O30" s="0" t="n">
        <f aca="false">MAX(O29,I30)</f>
        <v>2870853752.32224</v>
      </c>
      <c r="P30" s="0" t="n">
        <f aca="false">(L_I4!V20-L_S1!V20)*D30</f>
        <v>2207.6848360146</v>
      </c>
    </row>
    <row r="31" customFormat="false" ht="15" hidden="false" customHeight="false" outlineLevel="0" collapsed="false">
      <c r="A31" s="0" t="n">
        <v>2044</v>
      </c>
      <c r="B31" s="0" t="n">
        <v>18</v>
      </c>
      <c r="C31" s="0" t="n">
        <f aca="false">IF(B31&lt;x_H,(1+x_dk)^(-B31),0)</f>
        <v>0.415520654867483</v>
      </c>
      <c r="D31" s="0" t="n">
        <f aca="false">IF(B31&lt;x_H,(1+x_de)^(-B31),0)</f>
        <v>0.538361139550316</v>
      </c>
      <c r="E31" s="0" t="n">
        <f aca="false">(L_I4!AO21-L_S1!AO21)*C31</f>
        <v>-21678826.4377912</v>
      </c>
      <c r="F31" s="0" t="n">
        <f aca="false">(L_I4!AP21-L_S1!AP21)*C31</f>
        <v>-40593986.7085293</v>
      </c>
      <c r="G31" s="0" t="n">
        <f aca="false">(L_I4!AQ21-L_S1!AQ21)*C31</f>
        <v>-56112863.9494734</v>
      </c>
      <c r="H31" s="0" t="n">
        <f aca="false">(L_I4!AS21-L_S1!AS21)*C31</f>
        <v>0</v>
      </c>
      <c r="I31" s="0" t="n">
        <f aca="false">I30+E31</f>
        <v>2697782062.04066</v>
      </c>
      <c r="J31" s="0" t="n">
        <f aca="false">J30+F31</f>
        <v>2480135572.50589</v>
      </c>
      <c r="K31" s="0" t="n">
        <f aca="false">K30+G31</f>
        <v>2278530297.37616</v>
      </c>
      <c r="L31" s="0" t="n">
        <f aca="false">MAX(L30,J31)</f>
        <v>2834653373.4916</v>
      </c>
      <c r="M31" s="0" t="n">
        <f aca="false">IF(AND(B31&lt;x_H,J31&lt;=0,L30&gt;0),1,0)</f>
        <v>0</v>
      </c>
      <c r="N31" s="0" t="n">
        <f aca="false">IF(AND(B31&lt;x_H,I31&lt;=0,O30&gt;0),1,0)</f>
        <v>0</v>
      </c>
      <c r="O31" s="0" t="n">
        <f aca="false">MAX(O30,I31)</f>
        <v>2870853752.32224</v>
      </c>
      <c r="P31" s="0" t="n">
        <f aca="false">(L_I4!V21-L_S1!V21)*D31</f>
        <v>2162.16062505059</v>
      </c>
    </row>
    <row r="32" customFormat="false" ht="15" hidden="false" customHeight="false" outlineLevel="0" collapsed="false">
      <c r="A32" s="0" t="n">
        <v>2045</v>
      </c>
      <c r="B32" s="0" t="n">
        <v>19</v>
      </c>
      <c r="C32" s="0" t="n">
        <f aca="false">IF(B32&lt;x_H,(1+x_dk)^(-B32),0)</f>
        <v>0.39573395701665</v>
      </c>
      <c r="D32" s="0" t="n">
        <f aca="false">IF(B32&lt;x_H,(1+x_de)^(-B32),0)</f>
        <v>0.520155690386779</v>
      </c>
      <c r="E32" s="0" t="n">
        <f aca="false">(L_I4!AO22-L_S1!AO22)*C32</f>
        <v>-21329840.1887316</v>
      </c>
      <c r="F32" s="0" t="n">
        <f aca="false">(L_I4!AP22-L_S1!AP22)*C32</f>
        <v>-41277349.3490547</v>
      </c>
      <c r="G32" s="0" t="n">
        <f aca="false">(L_I4!AQ22-L_S1!AQ22)*C32</f>
        <v>-57819485.2877858</v>
      </c>
      <c r="H32" s="0" t="n">
        <f aca="false">(L_I4!AS22-L_S1!AS22)*C32</f>
        <v>0</v>
      </c>
      <c r="I32" s="0" t="n">
        <f aca="false">I31+E32</f>
        <v>2676452221.85192</v>
      </c>
      <c r="J32" s="0" t="n">
        <f aca="false">J31+F32</f>
        <v>2438858223.15684</v>
      </c>
      <c r="K32" s="0" t="n">
        <f aca="false">K31+G32</f>
        <v>2220710812.08837</v>
      </c>
      <c r="L32" s="0" t="n">
        <f aca="false">MAX(L31,J32)</f>
        <v>2834653373.4916</v>
      </c>
      <c r="M32" s="0" t="n">
        <f aca="false">IF(AND(B32&lt;x_H,J32&lt;=0,L31&gt;0),1,0)</f>
        <v>0</v>
      </c>
      <c r="N32" s="0" t="n">
        <f aca="false">IF(AND(B32&lt;x_H,I32&lt;=0,O31&gt;0),1,0)</f>
        <v>0</v>
      </c>
      <c r="O32" s="0" t="n">
        <f aca="false">MAX(O31,I32)</f>
        <v>2870853752.32224</v>
      </c>
      <c r="P32" s="0" t="n">
        <f aca="false">(L_I4!V22-L_S1!V22)*D32</f>
        <v>2115.40505240758</v>
      </c>
    </row>
    <row r="33" customFormat="false" ht="15" hidden="false" customHeight="false" outlineLevel="0" collapsed="false">
      <c r="A33" s="0" t="n">
        <v>2046</v>
      </c>
      <c r="B33" s="0" t="n">
        <v>20</v>
      </c>
      <c r="C33" s="0" t="n">
        <f aca="false">IF(B33&lt;x_H,(1+x_dk)^(-B33),0)</f>
        <v>0</v>
      </c>
      <c r="D33" s="0" t="n">
        <f aca="false">IF(B33&lt;x_H,(1+x_de)^(-B33),0)</f>
        <v>0</v>
      </c>
      <c r="E33" s="0" t="n">
        <f aca="false">(L_I4!AO23-L_S1!AO23)*C33</f>
        <v>-0</v>
      </c>
      <c r="F33" s="0" t="n">
        <f aca="false">(L_I4!AP23-L_S1!AP23)*C33</f>
        <v>-0</v>
      </c>
      <c r="G33" s="0" t="n">
        <f aca="false">(L_I4!AQ23-L_S1!AQ23)*C33</f>
        <v>-0</v>
      </c>
      <c r="H33" s="0" t="n">
        <f aca="false">(L_I4!AS23-L_S1!AS23)*C33</f>
        <v>0</v>
      </c>
      <c r="I33" s="0" t="n">
        <f aca="false">I32+E33</f>
        <v>2676452221.85192</v>
      </c>
      <c r="J33" s="0" t="n">
        <f aca="false">J32+F33</f>
        <v>2438858223.15684</v>
      </c>
      <c r="K33" s="0" t="n">
        <f aca="false">K32+G33</f>
        <v>2220710812.08837</v>
      </c>
      <c r="L33" s="0" t="n">
        <f aca="false">MAX(L32,J33)</f>
        <v>2834653373.4916</v>
      </c>
      <c r="M33" s="0" t="n">
        <f aca="false">IF(AND(B33&lt;x_H,J33&lt;=0,L32&gt;0),1,0)</f>
        <v>0</v>
      </c>
      <c r="N33" s="0" t="n">
        <f aca="false">IF(AND(B33&lt;x_H,I33&lt;=0,O32&gt;0),1,0)</f>
        <v>0</v>
      </c>
      <c r="O33" s="0" t="n">
        <f aca="false">MAX(O32,I33)</f>
        <v>2870853752.32224</v>
      </c>
      <c r="P33" s="0" t="n">
        <f aca="false">(L_I4!V23-L_S1!V23)*D33</f>
        <v>0</v>
      </c>
    </row>
    <row r="34" customFormat="false" ht="15" hidden="false" customHeight="false" outlineLevel="0" collapsed="false">
      <c r="A34" s="0" t="n">
        <v>2047</v>
      </c>
      <c r="B34" s="0" t="n">
        <v>21</v>
      </c>
      <c r="C34" s="0" t="n">
        <f aca="false">IF(B34&lt;x_H,(1+x_dk)^(-B34),0)</f>
        <v>0</v>
      </c>
      <c r="D34" s="0" t="n">
        <f aca="false">IF(B34&lt;x_H,(1+x_de)^(-B34),0)</f>
        <v>0</v>
      </c>
      <c r="E34" s="0" t="n">
        <f aca="false">(L_I4!AO24-L_S1!AO24)*C34</f>
        <v>-0</v>
      </c>
      <c r="F34" s="0" t="n">
        <f aca="false">(L_I4!AP24-L_S1!AP24)*C34</f>
        <v>-0</v>
      </c>
      <c r="G34" s="0" t="n">
        <f aca="false">(L_I4!AQ24-L_S1!AQ24)*C34</f>
        <v>-0</v>
      </c>
      <c r="H34" s="0" t="n">
        <f aca="false">(L_I4!AS24-L_S1!AS24)*C34</f>
        <v>0</v>
      </c>
      <c r="I34" s="0" t="n">
        <f aca="false">I33+E34</f>
        <v>2676452221.85192</v>
      </c>
      <c r="J34" s="0" t="n">
        <f aca="false">J33+F34</f>
        <v>2438858223.15684</v>
      </c>
      <c r="K34" s="0" t="n">
        <f aca="false">K33+G34</f>
        <v>2220710812.08837</v>
      </c>
      <c r="L34" s="0" t="n">
        <f aca="false">MAX(L33,J34)</f>
        <v>2834653373.4916</v>
      </c>
      <c r="M34" s="0" t="n">
        <f aca="false">IF(AND(B34&lt;x_H,J34&lt;=0,L33&gt;0),1,0)</f>
        <v>0</v>
      </c>
      <c r="N34" s="0" t="n">
        <f aca="false">IF(AND(B34&lt;x_H,I34&lt;=0,O33&gt;0),1,0)</f>
        <v>0</v>
      </c>
      <c r="O34" s="0" t="n">
        <f aca="false">MAX(O33,I34)</f>
        <v>2870853752.32224</v>
      </c>
      <c r="P34" s="0" t="n">
        <f aca="false">(L_I4!V24-L_S1!V24)*D34</f>
        <v>0</v>
      </c>
    </row>
    <row r="35" customFormat="false" ht="15" hidden="false" customHeight="false" outlineLevel="0" collapsed="false">
      <c r="A35" s="0" t="n">
        <v>2048</v>
      </c>
      <c r="B35" s="0" t="n">
        <v>22</v>
      </c>
      <c r="C35" s="0" t="n">
        <f aca="false">IF(B35&lt;x_H,(1+x_dk)^(-B35),0)</f>
        <v>0</v>
      </c>
      <c r="D35" s="0" t="n">
        <f aca="false">IF(B35&lt;x_H,(1+x_de)^(-B35),0)</f>
        <v>0</v>
      </c>
      <c r="E35" s="0" t="n">
        <f aca="false">(L_I4!AO25-L_S1!AO25)*C35</f>
        <v>-0</v>
      </c>
      <c r="F35" s="0" t="n">
        <f aca="false">(L_I4!AP25-L_S1!AP25)*C35</f>
        <v>-0</v>
      </c>
      <c r="G35" s="0" t="n">
        <f aca="false">(L_I4!AQ25-L_S1!AQ25)*C35</f>
        <v>-0</v>
      </c>
      <c r="H35" s="0" t="n">
        <f aca="false">(L_I4!AS25-L_S1!AS25)*C35</f>
        <v>0</v>
      </c>
      <c r="I35" s="0" t="n">
        <f aca="false">I34+E35</f>
        <v>2676452221.85192</v>
      </c>
      <c r="J35" s="0" t="n">
        <f aca="false">J34+F35</f>
        <v>2438858223.15684</v>
      </c>
      <c r="K35" s="0" t="n">
        <f aca="false">K34+G35</f>
        <v>2220710812.08837</v>
      </c>
      <c r="L35" s="0" t="n">
        <f aca="false">MAX(L34,J35)</f>
        <v>2834653373.4916</v>
      </c>
      <c r="M35" s="0" t="n">
        <f aca="false">IF(AND(B35&lt;x_H,J35&lt;=0,L34&gt;0),1,0)</f>
        <v>0</v>
      </c>
      <c r="N35" s="0" t="n">
        <f aca="false">IF(AND(B35&lt;x_H,I35&lt;=0,O34&gt;0),1,0)</f>
        <v>0</v>
      </c>
      <c r="O35" s="0" t="n">
        <f aca="false">MAX(O34,I35)</f>
        <v>2870853752.32224</v>
      </c>
      <c r="P35" s="0" t="n">
        <f aca="false">(L_I4!V25-L_S1!V25)*D35</f>
        <v>0</v>
      </c>
    </row>
    <row r="36" customFormat="false" ht="15" hidden="false" customHeight="false" outlineLevel="0" collapsed="false">
      <c r="A36" s="0" t="n">
        <v>2049</v>
      </c>
      <c r="B36" s="0" t="n">
        <v>23</v>
      </c>
      <c r="C36" s="0" t="n">
        <f aca="false">IF(B36&lt;x_H,(1+x_dk)^(-B36),0)</f>
        <v>0</v>
      </c>
      <c r="D36" s="0" t="n">
        <f aca="false">IF(B36&lt;x_H,(1+x_de)^(-B36),0)</f>
        <v>0</v>
      </c>
      <c r="E36" s="0" t="n">
        <f aca="false">(L_I4!AO26-L_S1!AO26)*C36</f>
        <v>-0</v>
      </c>
      <c r="F36" s="0" t="n">
        <f aca="false">(L_I4!AP26-L_S1!AP26)*C36</f>
        <v>-0</v>
      </c>
      <c r="G36" s="0" t="n">
        <f aca="false">(L_I4!AQ26-L_S1!AQ26)*C36</f>
        <v>-0</v>
      </c>
      <c r="H36" s="0" t="n">
        <f aca="false">(L_I4!AS26-L_S1!AS26)*C36</f>
        <v>0</v>
      </c>
      <c r="I36" s="0" t="n">
        <f aca="false">I35+E36</f>
        <v>2676452221.85192</v>
      </c>
      <c r="J36" s="0" t="n">
        <f aca="false">J35+F36</f>
        <v>2438858223.15684</v>
      </c>
      <c r="K36" s="0" t="n">
        <f aca="false">K35+G36</f>
        <v>2220710812.08837</v>
      </c>
      <c r="L36" s="0" t="n">
        <f aca="false">MAX(L35,J36)</f>
        <v>2834653373.4916</v>
      </c>
      <c r="M36" s="0" t="n">
        <f aca="false">IF(AND(B36&lt;x_H,J36&lt;=0,L35&gt;0),1,0)</f>
        <v>0</v>
      </c>
      <c r="N36" s="0" t="n">
        <f aca="false">IF(AND(B36&lt;x_H,I36&lt;=0,O35&gt;0),1,0)</f>
        <v>0</v>
      </c>
      <c r="O36" s="0" t="n">
        <f aca="false">MAX(O35,I36)</f>
        <v>2870853752.32224</v>
      </c>
      <c r="P36" s="0" t="n">
        <f aca="false">(L_I4!V26-L_S1!V26)*D36</f>
        <v>0</v>
      </c>
    </row>
    <row r="37" customFormat="false" ht="15" hidden="false" customHeight="false" outlineLevel="0" collapsed="false">
      <c r="A37" s="0" t="n">
        <v>2050</v>
      </c>
      <c r="B37" s="0" t="n">
        <v>24</v>
      </c>
      <c r="C37" s="0" t="n">
        <f aca="false">IF(B37&lt;x_H,(1+x_dk)^(-B37),0)</f>
        <v>0</v>
      </c>
      <c r="D37" s="0" t="n">
        <f aca="false">IF(B37&lt;x_H,(1+x_de)^(-B37),0)</f>
        <v>0</v>
      </c>
      <c r="E37" s="0" t="n">
        <f aca="false">(L_I4!AO27-L_S1!AO27)*C37</f>
        <v>-0</v>
      </c>
      <c r="F37" s="0" t="n">
        <f aca="false">(L_I4!AP27-L_S1!AP27)*C37</f>
        <v>-0</v>
      </c>
      <c r="G37" s="0" t="n">
        <f aca="false">(L_I4!AQ27-L_S1!AQ27)*C37</f>
        <v>-0</v>
      </c>
      <c r="H37" s="0" t="n">
        <f aca="false">(L_I4!AS27-L_S1!AS27)*C37</f>
        <v>0</v>
      </c>
      <c r="I37" s="0" t="n">
        <f aca="false">I36+E37</f>
        <v>2676452221.85192</v>
      </c>
      <c r="J37" s="0" t="n">
        <f aca="false">J36+F37</f>
        <v>2438858223.15684</v>
      </c>
      <c r="K37" s="0" t="n">
        <f aca="false">K36+G37</f>
        <v>2220710812.08837</v>
      </c>
      <c r="L37" s="0" t="n">
        <f aca="false">MAX(L36,J37)</f>
        <v>2834653373.4916</v>
      </c>
      <c r="M37" s="0" t="n">
        <f aca="false">IF(AND(B37&lt;x_H,J37&lt;=0,L36&gt;0),1,0)</f>
        <v>0</v>
      </c>
      <c r="N37" s="0" t="n">
        <f aca="false">IF(AND(B37&lt;x_H,I37&lt;=0,O36&gt;0),1,0)</f>
        <v>0</v>
      </c>
      <c r="O37" s="0" t="n">
        <f aca="false">MAX(O36,I37)</f>
        <v>2870853752.32224</v>
      </c>
      <c r="P37" s="0" t="n">
        <f aca="false">(L_I4!V27-L_S1!V27)*D37</f>
        <v>0</v>
      </c>
    </row>
    <row r="38" customFormat="false" ht="15" hidden="false" customHeight="false" outlineLevel="0" collapsed="false">
      <c r="A38" s="0" t="n">
        <v>2051</v>
      </c>
      <c r="B38" s="0" t="n">
        <v>25</v>
      </c>
      <c r="C38" s="0" t="n">
        <f aca="false">IF(B38&lt;x_H,(1+x_dk)^(-B38),0)</f>
        <v>0</v>
      </c>
      <c r="D38" s="0" t="n">
        <f aca="false">IF(B38&lt;x_H,(1+x_de)^(-B38),0)</f>
        <v>0</v>
      </c>
      <c r="E38" s="0" t="n">
        <f aca="false">(L_I4!AO28-L_S1!AO28)*C38</f>
        <v>-0</v>
      </c>
      <c r="F38" s="0" t="n">
        <f aca="false">(L_I4!AP28-L_S1!AP28)*C38</f>
        <v>-0</v>
      </c>
      <c r="G38" s="0" t="n">
        <f aca="false">(L_I4!AQ28-L_S1!AQ28)*C38</f>
        <v>-0</v>
      </c>
      <c r="H38" s="0" t="n">
        <f aca="false">(L_I4!AS28-L_S1!AS28)*C38</f>
        <v>0</v>
      </c>
      <c r="I38" s="0" t="n">
        <f aca="false">I37+E38</f>
        <v>2676452221.85192</v>
      </c>
      <c r="J38" s="0" t="n">
        <f aca="false">J37+F38</f>
        <v>2438858223.15684</v>
      </c>
      <c r="K38" s="0" t="n">
        <f aca="false">K37+G38</f>
        <v>2220710812.08837</v>
      </c>
      <c r="L38" s="0" t="n">
        <f aca="false">MAX(L37,J38)</f>
        <v>2834653373.4916</v>
      </c>
      <c r="M38" s="0" t="n">
        <f aca="false">IF(AND(B38&lt;x_H,J38&lt;=0,L37&gt;0),1,0)</f>
        <v>0</v>
      </c>
      <c r="N38" s="0" t="n">
        <f aca="false">IF(AND(B38&lt;x_H,I38&lt;=0,O37&gt;0),1,0)</f>
        <v>0</v>
      </c>
      <c r="O38" s="0" t="n">
        <f aca="false">MAX(O37,I38)</f>
        <v>2870853752.32224</v>
      </c>
      <c r="P38" s="0" t="n">
        <f aca="false">(L_I4!V28-L_S1!V28)*D38</f>
        <v>0</v>
      </c>
    </row>
    <row r="39" customFormat="false" ht="15" hidden="false" customHeight="false" outlineLevel="0" collapsed="false">
      <c r="A39" s="0" t="n">
        <v>2052</v>
      </c>
      <c r="B39" s="0" t="n">
        <v>26</v>
      </c>
      <c r="C39" s="0" t="n">
        <f aca="false">IF(B39&lt;x_H,(1+x_dk)^(-B39),0)</f>
        <v>0</v>
      </c>
      <c r="D39" s="0" t="n">
        <f aca="false">IF(B39&lt;x_H,(1+x_de)^(-B39),0)</f>
        <v>0</v>
      </c>
      <c r="E39" s="0" t="n">
        <f aca="false">(L_I4!AO29-L_S1!AO29)*C39</f>
        <v>-0</v>
      </c>
      <c r="F39" s="0" t="n">
        <f aca="false">(L_I4!AP29-L_S1!AP29)*C39</f>
        <v>-0</v>
      </c>
      <c r="G39" s="0" t="n">
        <f aca="false">(L_I4!AQ29-L_S1!AQ29)*C39</f>
        <v>-0</v>
      </c>
      <c r="H39" s="0" t="n">
        <f aca="false">(L_I4!AS29-L_S1!AS29)*C39</f>
        <v>0</v>
      </c>
      <c r="I39" s="0" t="n">
        <f aca="false">I38+E39</f>
        <v>2676452221.85192</v>
      </c>
      <c r="J39" s="0" t="n">
        <f aca="false">J38+F39</f>
        <v>2438858223.15684</v>
      </c>
      <c r="K39" s="0" t="n">
        <f aca="false">K38+G39</f>
        <v>2220710812.08837</v>
      </c>
      <c r="L39" s="0" t="n">
        <f aca="false">MAX(L38,J39)</f>
        <v>2834653373.4916</v>
      </c>
      <c r="M39" s="0" t="n">
        <f aca="false">IF(AND(B39&lt;x_H,J39&lt;=0,L38&gt;0),1,0)</f>
        <v>0</v>
      </c>
      <c r="N39" s="0" t="n">
        <f aca="false">IF(AND(B39&lt;x_H,I39&lt;=0,O38&gt;0),1,0)</f>
        <v>0</v>
      </c>
      <c r="O39" s="0" t="n">
        <f aca="false">MAX(O38,I39)</f>
        <v>2870853752.32224</v>
      </c>
      <c r="P39" s="0" t="n">
        <f aca="false">(L_I4!V29-L_S1!V29)*D39</f>
        <v>0</v>
      </c>
    </row>
    <row r="40" customFormat="false" ht="15" hidden="false" customHeight="false" outlineLevel="0" collapsed="false">
      <c r="A40" s="0" t="n">
        <v>2053</v>
      </c>
      <c r="B40" s="0" t="n">
        <v>27</v>
      </c>
      <c r="C40" s="0" t="n">
        <f aca="false">IF(B40&lt;x_H,(1+x_dk)^(-B40),0)</f>
        <v>0</v>
      </c>
      <c r="D40" s="0" t="n">
        <f aca="false">IF(B40&lt;x_H,(1+x_de)^(-B40),0)</f>
        <v>0</v>
      </c>
      <c r="E40" s="0" t="n">
        <f aca="false">(L_I4!AO30-L_S1!AO30)*C40</f>
        <v>-0</v>
      </c>
      <c r="F40" s="0" t="n">
        <f aca="false">(L_I4!AP30-L_S1!AP30)*C40</f>
        <v>-0</v>
      </c>
      <c r="G40" s="0" t="n">
        <f aca="false">(L_I4!AQ30-L_S1!AQ30)*C40</f>
        <v>-0</v>
      </c>
      <c r="H40" s="0" t="n">
        <f aca="false">(L_I4!AS30-L_S1!AS30)*C40</f>
        <v>0</v>
      </c>
      <c r="I40" s="0" t="n">
        <f aca="false">I39+E40</f>
        <v>2676452221.85192</v>
      </c>
      <c r="J40" s="0" t="n">
        <f aca="false">J39+F40</f>
        <v>2438858223.15684</v>
      </c>
      <c r="K40" s="0" t="n">
        <f aca="false">K39+G40</f>
        <v>2220710812.08837</v>
      </c>
      <c r="L40" s="0" t="n">
        <f aca="false">MAX(L39,J40)</f>
        <v>2834653373.4916</v>
      </c>
      <c r="M40" s="0" t="n">
        <f aca="false">IF(AND(B40&lt;x_H,J40&lt;=0,L39&gt;0),1,0)</f>
        <v>0</v>
      </c>
      <c r="N40" s="0" t="n">
        <f aca="false">IF(AND(B40&lt;x_H,I40&lt;=0,O39&gt;0),1,0)</f>
        <v>0</v>
      </c>
      <c r="O40" s="0" t="n">
        <f aca="false">MAX(O39,I40)</f>
        <v>2870853752.32224</v>
      </c>
      <c r="P40" s="0" t="n">
        <f aca="false">(L_I4!V30-L_S1!V30)*D40</f>
        <v>0</v>
      </c>
    </row>
    <row r="41" customFormat="false" ht="15" hidden="false" customHeight="false" outlineLevel="0" collapsed="false">
      <c r="A41" s="0" t="n">
        <v>2054</v>
      </c>
      <c r="B41" s="0" t="n">
        <v>28</v>
      </c>
      <c r="C41" s="0" t="n">
        <f aca="false">IF(B41&lt;x_H,(1+x_dk)^(-B41),0)</f>
        <v>0</v>
      </c>
      <c r="D41" s="0" t="n">
        <f aca="false">IF(B41&lt;x_H,(1+x_de)^(-B41),0)</f>
        <v>0</v>
      </c>
      <c r="E41" s="0" t="n">
        <f aca="false">(L_I4!AO31-L_S1!AO31)*C41</f>
        <v>-0</v>
      </c>
      <c r="F41" s="0" t="n">
        <f aca="false">(L_I4!AP31-L_S1!AP31)*C41</f>
        <v>-0</v>
      </c>
      <c r="G41" s="0" t="n">
        <f aca="false">(L_I4!AQ31-L_S1!AQ31)*C41</f>
        <v>-0</v>
      </c>
      <c r="H41" s="0" t="n">
        <f aca="false">(L_I4!AS31-L_S1!AS31)*C41</f>
        <v>0</v>
      </c>
      <c r="I41" s="0" t="n">
        <f aca="false">I40+E41</f>
        <v>2676452221.85192</v>
      </c>
      <c r="J41" s="0" t="n">
        <f aca="false">J40+F41</f>
        <v>2438858223.15684</v>
      </c>
      <c r="K41" s="0" t="n">
        <f aca="false">K40+G41</f>
        <v>2220710812.08837</v>
      </c>
      <c r="L41" s="0" t="n">
        <f aca="false">MAX(L40,J41)</f>
        <v>2834653373.4916</v>
      </c>
      <c r="M41" s="0" t="n">
        <f aca="false">IF(AND(B41&lt;x_H,J41&lt;=0,L40&gt;0),1,0)</f>
        <v>0</v>
      </c>
      <c r="N41" s="0" t="n">
        <f aca="false">IF(AND(B41&lt;x_H,I41&lt;=0,O40&gt;0),1,0)</f>
        <v>0</v>
      </c>
      <c r="O41" s="0" t="n">
        <f aca="false">MAX(O40,I41)</f>
        <v>2870853752.32224</v>
      </c>
      <c r="P41" s="0" t="n">
        <f aca="false">(L_I4!V31-L_S1!V31)*D41</f>
        <v>0</v>
      </c>
    </row>
    <row r="42" customFormat="false" ht="15" hidden="false" customHeight="false" outlineLevel="0" collapsed="false">
      <c r="A42" s="0" t="n">
        <v>2055</v>
      </c>
      <c r="B42" s="0" t="n">
        <v>29</v>
      </c>
      <c r="C42" s="0" t="n">
        <f aca="false">IF(B42&lt;x_H,(1+x_dk)^(-B42),0)</f>
        <v>0</v>
      </c>
      <c r="D42" s="0" t="n">
        <f aca="false">IF(B42&lt;x_H,(1+x_de)^(-B42),0)</f>
        <v>0</v>
      </c>
      <c r="E42" s="0" t="n">
        <f aca="false">(L_I4!AO32-L_S1!AO32)*C42</f>
        <v>-0</v>
      </c>
      <c r="F42" s="0" t="n">
        <f aca="false">(L_I4!AP32-L_S1!AP32)*C42</f>
        <v>-0</v>
      </c>
      <c r="G42" s="0" t="n">
        <f aca="false">(L_I4!AQ32-L_S1!AQ32)*C42</f>
        <v>-0</v>
      </c>
      <c r="H42" s="0" t="n">
        <f aca="false">(L_I4!AS32-L_S1!AS32)*C42</f>
        <v>0</v>
      </c>
      <c r="I42" s="0" t="n">
        <f aca="false">I41+E42</f>
        <v>2676452221.85192</v>
      </c>
      <c r="J42" s="0" t="n">
        <f aca="false">J41+F42</f>
        <v>2438858223.15684</v>
      </c>
      <c r="K42" s="0" t="n">
        <f aca="false">K41+G42</f>
        <v>2220710812.08837</v>
      </c>
      <c r="L42" s="0" t="n">
        <f aca="false">MAX(L41,J42)</f>
        <v>2834653373.4916</v>
      </c>
      <c r="M42" s="0" t="n">
        <f aca="false">IF(AND(B42&lt;x_H,J42&lt;=0,L41&gt;0),1,0)</f>
        <v>0</v>
      </c>
      <c r="N42" s="0" t="n">
        <f aca="false">IF(AND(B42&lt;x_H,I42&lt;=0,O41&gt;0),1,0)</f>
        <v>0</v>
      </c>
      <c r="O42" s="0" t="n">
        <f aca="false">MAX(O41,I42)</f>
        <v>2870853752.32224</v>
      </c>
      <c r="P42" s="0" t="n">
        <f aca="false">(L_I4!V32-L_S1!V32)*D42</f>
        <v>0</v>
      </c>
    </row>
    <row r="43" customFormat="false" ht="15" hidden="false" customHeight="false" outlineLevel="0" collapsed="false">
      <c r="A43" s="0" t="n">
        <v>2056</v>
      </c>
      <c r="B43" s="0" t="n">
        <v>30</v>
      </c>
      <c r="C43" s="0" t="n">
        <f aca="false">IF(B43&lt;x_H,(1+x_dk)^(-B43),0)</f>
        <v>0</v>
      </c>
      <c r="D43" s="0" t="n">
        <f aca="false">IF(B43&lt;x_H,(1+x_de)^(-B43),0)</f>
        <v>0</v>
      </c>
      <c r="E43" s="0" t="n">
        <f aca="false">(L_I4!AO33-L_S1!AO33)*C43</f>
        <v>-0</v>
      </c>
      <c r="F43" s="0" t="n">
        <f aca="false">(L_I4!AP33-L_S1!AP33)*C43</f>
        <v>-0</v>
      </c>
      <c r="G43" s="0" t="n">
        <f aca="false">(L_I4!AQ33-L_S1!AQ33)*C43</f>
        <v>-0</v>
      </c>
      <c r="H43" s="0" t="n">
        <f aca="false">(L_I4!AS33-L_S1!AS33)*C43</f>
        <v>0</v>
      </c>
      <c r="I43" s="0" t="n">
        <f aca="false">I42+E43</f>
        <v>2676452221.85192</v>
      </c>
      <c r="J43" s="0" t="n">
        <f aca="false">J42+F43</f>
        <v>2438858223.15684</v>
      </c>
      <c r="K43" s="0" t="n">
        <f aca="false">K42+G43</f>
        <v>2220710812.08837</v>
      </c>
      <c r="L43" s="0" t="n">
        <f aca="false">MAX(L42,J43)</f>
        <v>2834653373.4916</v>
      </c>
      <c r="M43" s="0" t="n">
        <f aca="false">IF(AND(B43&lt;x_H,J43&lt;=0,L42&gt;0),1,0)</f>
        <v>0</v>
      </c>
      <c r="N43" s="0" t="n">
        <f aca="false">IF(AND(B43&lt;x_H,I43&lt;=0,O42&gt;0),1,0)</f>
        <v>0</v>
      </c>
      <c r="O43" s="0" t="n">
        <f aca="false">MAX(O42,I43)</f>
        <v>2870853752.32224</v>
      </c>
      <c r="P43" s="0" t="n">
        <f aca="false">(L_I4!V33-L_S1!V33)*D43</f>
        <v>0</v>
      </c>
    </row>
    <row r="44" customFormat="false" ht="15" hidden="false" customHeight="false" outlineLevel="0" collapsed="false">
      <c r="A44" s="0" t="n">
        <v>2057</v>
      </c>
      <c r="B44" s="0" t="n">
        <v>31</v>
      </c>
      <c r="C44" s="0" t="n">
        <f aca="false">IF(B44&lt;x_H,(1+x_dk)^(-B44),0)</f>
        <v>0</v>
      </c>
      <c r="D44" s="0" t="n">
        <f aca="false">IF(B44&lt;x_H,(1+x_de)^(-B44),0)</f>
        <v>0</v>
      </c>
      <c r="E44" s="0" t="n">
        <f aca="false">(L_I4!AO34-L_S1!AO34)*C44</f>
        <v>-0</v>
      </c>
      <c r="F44" s="0" t="n">
        <f aca="false">(L_I4!AP34-L_S1!AP34)*C44</f>
        <v>-0</v>
      </c>
      <c r="G44" s="0" t="n">
        <f aca="false">(L_I4!AQ34-L_S1!AQ34)*C44</f>
        <v>-0</v>
      </c>
      <c r="H44" s="0" t="n">
        <f aca="false">(L_I4!AS34-L_S1!AS34)*C44</f>
        <v>0</v>
      </c>
      <c r="I44" s="0" t="n">
        <f aca="false">I43+E44</f>
        <v>2676452221.85192</v>
      </c>
      <c r="J44" s="0" t="n">
        <f aca="false">J43+F44</f>
        <v>2438858223.15684</v>
      </c>
      <c r="K44" s="0" t="n">
        <f aca="false">K43+G44</f>
        <v>2220710812.08837</v>
      </c>
      <c r="L44" s="0" t="n">
        <f aca="false">MAX(L43,J44)</f>
        <v>2834653373.4916</v>
      </c>
      <c r="M44" s="0" t="n">
        <f aca="false">IF(AND(B44&lt;x_H,J44&lt;=0,L43&gt;0),1,0)</f>
        <v>0</v>
      </c>
      <c r="N44" s="0" t="n">
        <f aca="false">IF(AND(B44&lt;x_H,I44&lt;=0,O43&gt;0),1,0)</f>
        <v>0</v>
      </c>
      <c r="O44" s="0" t="n">
        <f aca="false">MAX(O43,I44)</f>
        <v>2870853752.32224</v>
      </c>
      <c r="P44" s="0" t="n">
        <f aca="false">(L_I4!V34-L_S1!V34)*D44</f>
        <v>0</v>
      </c>
    </row>
    <row r="45" customFormat="false" ht="15" hidden="false" customHeight="false" outlineLevel="0" collapsed="false">
      <c r="A45" s="0" t="n">
        <v>2058</v>
      </c>
      <c r="B45" s="0" t="n">
        <v>32</v>
      </c>
      <c r="C45" s="0" t="n">
        <f aca="false">IF(B45&lt;x_H,(1+x_dk)^(-B45),0)</f>
        <v>0</v>
      </c>
      <c r="D45" s="0" t="n">
        <f aca="false">IF(B45&lt;x_H,(1+x_de)^(-B45),0)</f>
        <v>0</v>
      </c>
      <c r="E45" s="0" t="n">
        <f aca="false">(L_I4!AO35-L_S1!AO35)*C45</f>
        <v>-0</v>
      </c>
      <c r="F45" s="0" t="n">
        <f aca="false">(L_I4!AP35-L_S1!AP35)*C45</f>
        <v>-0</v>
      </c>
      <c r="G45" s="0" t="n">
        <f aca="false">(L_I4!AQ35-L_S1!AQ35)*C45</f>
        <v>-0</v>
      </c>
      <c r="H45" s="0" t="n">
        <f aca="false">(L_I4!AS35-L_S1!AS35)*C45</f>
        <v>0</v>
      </c>
      <c r="I45" s="0" t="n">
        <f aca="false">I44+E45</f>
        <v>2676452221.85192</v>
      </c>
      <c r="J45" s="0" t="n">
        <f aca="false">J44+F45</f>
        <v>2438858223.15684</v>
      </c>
      <c r="K45" s="0" t="n">
        <f aca="false">K44+G45</f>
        <v>2220710812.08837</v>
      </c>
      <c r="L45" s="0" t="n">
        <f aca="false">MAX(L44,J45)</f>
        <v>2834653373.4916</v>
      </c>
      <c r="M45" s="0" t="n">
        <f aca="false">IF(AND(B45&lt;x_H,J45&lt;=0,L44&gt;0),1,0)</f>
        <v>0</v>
      </c>
      <c r="N45" s="0" t="n">
        <f aca="false">IF(AND(B45&lt;x_H,I45&lt;=0,O44&gt;0),1,0)</f>
        <v>0</v>
      </c>
      <c r="O45" s="0" t="n">
        <f aca="false">MAX(O44,I45)</f>
        <v>2870853752.32224</v>
      </c>
      <c r="P45" s="0" t="n">
        <f aca="false">(L_I4!V35-L_S1!V35)*D45</f>
        <v>0</v>
      </c>
    </row>
    <row r="46" customFormat="false" ht="15" hidden="false" customHeight="false" outlineLevel="0" collapsed="false">
      <c r="A46" s="0" t="n">
        <v>2059</v>
      </c>
      <c r="B46" s="0" t="n">
        <v>33</v>
      </c>
      <c r="C46" s="0" t="n">
        <f aca="false">IF(B46&lt;x_H,(1+x_dk)^(-B46),0)</f>
        <v>0</v>
      </c>
      <c r="D46" s="0" t="n">
        <f aca="false">IF(B46&lt;x_H,(1+x_de)^(-B46),0)</f>
        <v>0</v>
      </c>
      <c r="E46" s="0" t="n">
        <f aca="false">(L_I4!AO36-L_S1!AO36)*C46</f>
        <v>-0</v>
      </c>
      <c r="F46" s="0" t="n">
        <f aca="false">(L_I4!AP36-L_S1!AP36)*C46</f>
        <v>-0</v>
      </c>
      <c r="G46" s="0" t="n">
        <f aca="false">(L_I4!AQ36-L_S1!AQ36)*C46</f>
        <v>-0</v>
      </c>
      <c r="H46" s="0" t="n">
        <f aca="false">(L_I4!AS36-L_S1!AS36)*C46</f>
        <v>0</v>
      </c>
      <c r="I46" s="0" t="n">
        <f aca="false">I45+E46</f>
        <v>2676452221.85192</v>
      </c>
      <c r="J46" s="0" t="n">
        <f aca="false">J45+F46</f>
        <v>2438858223.15684</v>
      </c>
      <c r="K46" s="0" t="n">
        <f aca="false">K45+G46</f>
        <v>2220710812.08837</v>
      </c>
      <c r="L46" s="0" t="n">
        <f aca="false">MAX(L45,J46)</f>
        <v>2834653373.4916</v>
      </c>
      <c r="M46" s="0" t="n">
        <f aca="false">IF(AND(B46&lt;x_H,J46&lt;=0,L45&gt;0),1,0)</f>
        <v>0</v>
      </c>
      <c r="N46" s="0" t="n">
        <f aca="false">IF(AND(B46&lt;x_H,I46&lt;=0,O45&gt;0),1,0)</f>
        <v>0</v>
      </c>
      <c r="O46" s="0" t="n">
        <f aca="false">MAX(O45,I46)</f>
        <v>2870853752.32224</v>
      </c>
      <c r="P46" s="0" t="n">
        <f aca="false">(L_I4!V36-L_S1!V36)*D46</f>
        <v>0</v>
      </c>
    </row>
    <row r="47" customFormat="false" ht="15" hidden="false" customHeight="false" outlineLevel="0" collapsed="false">
      <c r="A47" s="0" t="n">
        <v>2060</v>
      </c>
      <c r="B47" s="0" t="n">
        <v>34</v>
      </c>
      <c r="C47" s="0" t="n">
        <f aca="false">IF(B47&lt;x_H,(1+x_dk)^(-B47),0)</f>
        <v>0</v>
      </c>
      <c r="D47" s="0" t="n">
        <f aca="false">IF(B47&lt;x_H,(1+x_de)^(-B47),0)</f>
        <v>0</v>
      </c>
      <c r="E47" s="0" t="n">
        <f aca="false">(L_I4!AO37-L_S1!AO37)*C47</f>
        <v>-0</v>
      </c>
      <c r="F47" s="0" t="n">
        <f aca="false">(L_I4!AP37-L_S1!AP37)*C47</f>
        <v>-0</v>
      </c>
      <c r="G47" s="0" t="n">
        <f aca="false">(L_I4!AQ37-L_S1!AQ37)*C47</f>
        <v>-0</v>
      </c>
      <c r="H47" s="0" t="n">
        <f aca="false">(L_I4!AS37-L_S1!AS37)*C47</f>
        <v>0</v>
      </c>
      <c r="I47" s="0" t="n">
        <f aca="false">I46+E47</f>
        <v>2676452221.85192</v>
      </c>
      <c r="J47" s="0" t="n">
        <f aca="false">J46+F47</f>
        <v>2438858223.15684</v>
      </c>
      <c r="K47" s="0" t="n">
        <f aca="false">K46+G47</f>
        <v>2220710812.08837</v>
      </c>
      <c r="L47" s="0" t="n">
        <f aca="false">MAX(L46,J47)</f>
        <v>2834653373.4916</v>
      </c>
      <c r="M47" s="0" t="n">
        <f aca="false">IF(AND(B47&lt;x_H,J47&lt;=0,L46&gt;0),1,0)</f>
        <v>0</v>
      </c>
      <c r="N47" s="0" t="n">
        <f aca="false">IF(AND(B47&lt;x_H,I47&lt;=0,O46&gt;0),1,0)</f>
        <v>0</v>
      </c>
      <c r="O47" s="0" t="n">
        <f aca="false">MAX(O46,I47)</f>
        <v>2870853752.32224</v>
      </c>
      <c r="P47" s="0" t="n">
        <f aca="false">(L_I4!V37-L_S1!V37)*D47</f>
        <v>0</v>
      </c>
    </row>
    <row r="48" customFormat="false" ht="15" hidden="false" customHeight="false" outlineLevel="0" collapsed="false">
      <c r="A48" s="0" t="n">
        <v>2061</v>
      </c>
      <c r="B48" s="0" t="n">
        <v>35</v>
      </c>
      <c r="C48" s="0" t="n">
        <f aca="false">IF(B48&lt;x_H,(1+x_dk)^(-B48),0)</f>
        <v>0</v>
      </c>
      <c r="D48" s="0" t="n">
        <f aca="false">IF(B48&lt;x_H,(1+x_de)^(-B48),0)</f>
        <v>0</v>
      </c>
      <c r="E48" s="0" t="n">
        <f aca="false">(L_I4!AO38-L_S1!AO38)*C48</f>
        <v>-0</v>
      </c>
      <c r="F48" s="0" t="n">
        <f aca="false">(L_I4!AP38-L_S1!AP38)*C48</f>
        <v>-0</v>
      </c>
      <c r="G48" s="0" t="n">
        <f aca="false">(L_I4!AQ38-L_S1!AQ38)*C48</f>
        <v>-0</v>
      </c>
      <c r="H48" s="0" t="n">
        <f aca="false">(L_I4!AS38-L_S1!AS38)*C48</f>
        <v>0</v>
      </c>
      <c r="I48" s="0" t="n">
        <f aca="false">I47+E48</f>
        <v>2676452221.85192</v>
      </c>
      <c r="J48" s="0" t="n">
        <f aca="false">J47+F48</f>
        <v>2438858223.15684</v>
      </c>
      <c r="K48" s="0" t="n">
        <f aca="false">K47+G48</f>
        <v>2220710812.08837</v>
      </c>
      <c r="L48" s="0" t="n">
        <f aca="false">MAX(L47,J48)</f>
        <v>2834653373.4916</v>
      </c>
      <c r="M48" s="0" t="n">
        <f aca="false">IF(AND(B48&lt;x_H,J48&lt;=0,L47&gt;0),1,0)</f>
        <v>0</v>
      </c>
      <c r="N48" s="0" t="n">
        <f aca="false">IF(AND(B48&lt;x_H,I48&lt;=0,O47&gt;0),1,0)</f>
        <v>0</v>
      </c>
      <c r="O48" s="0" t="n">
        <f aca="false">MAX(O47,I48)</f>
        <v>2870853752.32224</v>
      </c>
      <c r="P48" s="0" t="n">
        <f aca="false">(L_I4!V38-L_S1!V38)*D48</f>
        <v>0</v>
      </c>
    </row>
    <row r="49" customFormat="false" ht="15" hidden="false" customHeight="false" outlineLevel="0" collapsed="false">
      <c r="A49" s="0" t="n">
        <v>2062</v>
      </c>
      <c r="B49" s="0" t="n">
        <v>36</v>
      </c>
      <c r="C49" s="0" t="n">
        <f aca="false">IF(B49&lt;x_H,(1+x_dk)^(-B49),0)</f>
        <v>0</v>
      </c>
      <c r="D49" s="0" t="n">
        <f aca="false">IF(B49&lt;x_H,(1+x_de)^(-B49),0)</f>
        <v>0</v>
      </c>
      <c r="E49" s="0" t="n">
        <f aca="false">(L_I4!AO39-L_S1!AO39)*C49</f>
        <v>-0</v>
      </c>
      <c r="F49" s="0" t="n">
        <f aca="false">(L_I4!AP39-L_S1!AP39)*C49</f>
        <v>-0</v>
      </c>
      <c r="G49" s="0" t="n">
        <f aca="false">(L_I4!AQ39-L_S1!AQ39)*C49</f>
        <v>-0</v>
      </c>
      <c r="H49" s="0" t="n">
        <f aca="false">(L_I4!AS39-L_S1!AS39)*C49</f>
        <v>0</v>
      </c>
      <c r="I49" s="0" t="n">
        <f aca="false">I48+E49</f>
        <v>2676452221.85192</v>
      </c>
      <c r="J49" s="0" t="n">
        <f aca="false">J48+F49</f>
        <v>2438858223.15684</v>
      </c>
      <c r="K49" s="0" t="n">
        <f aca="false">K48+G49</f>
        <v>2220710812.08837</v>
      </c>
      <c r="L49" s="0" t="n">
        <f aca="false">MAX(L48,J49)</f>
        <v>2834653373.4916</v>
      </c>
      <c r="M49" s="0" t="n">
        <f aca="false">IF(AND(B49&lt;x_H,J49&lt;=0,L48&gt;0),1,0)</f>
        <v>0</v>
      </c>
      <c r="N49" s="0" t="n">
        <f aca="false">IF(AND(B49&lt;x_H,I49&lt;=0,O48&gt;0),1,0)</f>
        <v>0</v>
      </c>
      <c r="O49" s="0" t="n">
        <f aca="false">MAX(O48,I49)</f>
        <v>2870853752.32224</v>
      </c>
      <c r="P49" s="0" t="n">
        <f aca="false">(L_I4!V39-L_S1!V39)*D49</f>
        <v>0</v>
      </c>
    </row>
    <row r="50" customFormat="false" ht="15" hidden="false" customHeight="false" outlineLevel="0" collapsed="false">
      <c r="A50" s="0" t="n">
        <v>2063</v>
      </c>
      <c r="B50" s="0" t="n">
        <v>37</v>
      </c>
      <c r="C50" s="0" t="n">
        <f aca="false">IF(B50&lt;x_H,(1+x_dk)^(-B50),0)</f>
        <v>0</v>
      </c>
      <c r="D50" s="0" t="n">
        <f aca="false">IF(B50&lt;x_H,(1+x_de)^(-B50),0)</f>
        <v>0</v>
      </c>
      <c r="E50" s="0" t="n">
        <f aca="false">(L_I4!AO40-L_S1!AO40)*C50</f>
        <v>-0</v>
      </c>
      <c r="F50" s="0" t="n">
        <f aca="false">(L_I4!AP40-L_S1!AP40)*C50</f>
        <v>-0</v>
      </c>
      <c r="G50" s="0" t="n">
        <f aca="false">(L_I4!AQ40-L_S1!AQ40)*C50</f>
        <v>-0</v>
      </c>
      <c r="H50" s="0" t="n">
        <f aca="false">(L_I4!AS40-L_S1!AS40)*C50</f>
        <v>0</v>
      </c>
      <c r="I50" s="0" t="n">
        <f aca="false">I49+E50</f>
        <v>2676452221.85192</v>
      </c>
      <c r="J50" s="0" t="n">
        <f aca="false">J49+F50</f>
        <v>2438858223.15684</v>
      </c>
      <c r="K50" s="0" t="n">
        <f aca="false">K49+G50</f>
        <v>2220710812.08837</v>
      </c>
      <c r="L50" s="0" t="n">
        <f aca="false">MAX(L49,J50)</f>
        <v>2834653373.4916</v>
      </c>
      <c r="M50" s="0" t="n">
        <f aca="false">IF(AND(B50&lt;x_H,J50&lt;=0,L49&gt;0),1,0)</f>
        <v>0</v>
      </c>
      <c r="N50" s="0" t="n">
        <f aca="false">IF(AND(B50&lt;x_H,I50&lt;=0,O49&gt;0),1,0)</f>
        <v>0</v>
      </c>
      <c r="O50" s="0" t="n">
        <f aca="false">MAX(O49,I50)</f>
        <v>2870853752.32224</v>
      </c>
      <c r="P50" s="0" t="n">
        <f aca="false">(L_I4!V40-L_S1!V40)*D50</f>
        <v>0</v>
      </c>
    </row>
    <row r="51" customFormat="false" ht="15" hidden="false" customHeight="false" outlineLevel="0" collapsed="false">
      <c r="A51" s="0" t="n">
        <v>2064</v>
      </c>
      <c r="B51" s="0" t="n">
        <v>38</v>
      </c>
      <c r="C51" s="0" t="n">
        <f aca="false">IF(B51&lt;x_H,(1+x_dk)^(-B51),0)</f>
        <v>0</v>
      </c>
      <c r="D51" s="0" t="n">
        <f aca="false">IF(B51&lt;x_H,(1+x_de)^(-B51),0)</f>
        <v>0</v>
      </c>
      <c r="E51" s="0" t="n">
        <f aca="false">(L_I4!AO41-L_S1!AO41)*C51</f>
        <v>-0</v>
      </c>
      <c r="F51" s="0" t="n">
        <f aca="false">(L_I4!AP41-L_S1!AP41)*C51</f>
        <v>-0</v>
      </c>
      <c r="G51" s="0" t="n">
        <f aca="false">(L_I4!AQ41-L_S1!AQ41)*C51</f>
        <v>-0</v>
      </c>
      <c r="H51" s="0" t="n">
        <f aca="false">(L_I4!AS41-L_S1!AS41)*C51</f>
        <v>0</v>
      </c>
      <c r="I51" s="0" t="n">
        <f aca="false">I50+E51</f>
        <v>2676452221.85192</v>
      </c>
      <c r="J51" s="0" t="n">
        <f aca="false">J50+F51</f>
        <v>2438858223.15684</v>
      </c>
      <c r="K51" s="0" t="n">
        <f aca="false">K50+G51</f>
        <v>2220710812.08837</v>
      </c>
      <c r="L51" s="0" t="n">
        <f aca="false">MAX(L50,J51)</f>
        <v>2834653373.4916</v>
      </c>
      <c r="M51" s="0" t="n">
        <f aca="false">IF(AND(B51&lt;x_H,J51&lt;=0,L50&gt;0),1,0)</f>
        <v>0</v>
      </c>
      <c r="N51" s="0" t="n">
        <f aca="false">IF(AND(B51&lt;x_H,I51&lt;=0,O50&gt;0),1,0)</f>
        <v>0</v>
      </c>
      <c r="O51" s="0" t="n">
        <f aca="false">MAX(O50,I51)</f>
        <v>2870853752.32224</v>
      </c>
      <c r="P51" s="0" t="n">
        <f aca="false">(L_I4!V41-L_S1!V41)*D51</f>
        <v>0</v>
      </c>
    </row>
    <row r="52" customFormat="false" ht="15" hidden="false" customHeight="false" outlineLevel="0" collapsed="false">
      <c r="A52" s="0" t="n">
        <v>2065</v>
      </c>
      <c r="B52" s="0" t="n">
        <v>39</v>
      </c>
      <c r="C52" s="0" t="n">
        <f aca="false">IF(B52&lt;x_H,(1+x_dk)^(-B52),0)</f>
        <v>0</v>
      </c>
      <c r="D52" s="0" t="n">
        <f aca="false">IF(B52&lt;x_H,(1+x_de)^(-B52),0)</f>
        <v>0</v>
      </c>
      <c r="E52" s="0" t="n">
        <f aca="false">(L_I4!AO42-L_S1!AO42)*C52</f>
        <v>-0</v>
      </c>
      <c r="F52" s="0" t="n">
        <f aca="false">(L_I4!AP42-L_S1!AP42)*C52</f>
        <v>-0</v>
      </c>
      <c r="G52" s="0" t="n">
        <f aca="false">(L_I4!AQ42-L_S1!AQ42)*C52</f>
        <v>-0</v>
      </c>
      <c r="H52" s="0" t="n">
        <f aca="false">(L_I4!AS42-L_S1!AS42)*C52</f>
        <v>0</v>
      </c>
      <c r="I52" s="0" t="n">
        <f aca="false">I51+E52</f>
        <v>2676452221.85192</v>
      </c>
      <c r="J52" s="0" t="n">
        <f aca="false">J51+F52</f>
        <v>2438858223.15684</v>
      </c>
      <c r="K52" s="0" t="n">
        <f aca="false">K51+G52</f>
        <v>2220710812.08837</v>
      </c>
      <c r="L52" s="0" t="n">
        <f aca="false">MAX(L51,J52)</f>
        <v>2834653373.4916</v>
      </c>
      <c r="M52" s="0" t="n">
        <f aca="false">IF(AND(B52&lt;x_H,J52&lt;=0,L51&gt;0),1,0)</f>
        <v>0</v>
      </c>
      <c r="N52" s="0" t="n">
        <f aca="false">IF(AND(B52&lt;x_H,I52&lt;=0,O51&gt;0),1,0)</f>
        <v>0</v>
      </c>
      <c r="O52" s="0" t="n">
        <f aca="false">MAX(O51,I52)</f>
        <v>2870853752.32224</v>
      </c>
      <c r="P52" s="0" t="n">
        <f aca="false">(L_I4!V42-L_S1!V42)*D52</f>
        <v>0</v>
      </c>
    </row>
    <row r="53" customFormat="false" ht="15" hidden="false" customHeight="false" outlineLevel="0" collapsed="false">
      <c r="A53" s="0" t="n">
        <v>2066</v>
      </c>
      <c r="B53" s="0" t="n">
        <v>40</v>
      </c>
      <c r="C53" s="0" t="n">
        <f aca="false">IF(B53&lt;x_H,(1+x_dk)^(-B53),0)</f>
        <v>0</v>
      </c>
      <c r="D53" s="0" t="n">
        <f aca="false">IF(B53&lt;x_H,(1+x_de)^(-B53),0)</f>
        <v>0</v>
      </c>
      <c r="E53" s="0" t="n">
        <f aca="false">(L_I4!AO43-L_S1!AO43)*C53</f>
        <v>-0</v>
      </c>
      <c r="F53" s="0" t="n">
        <f aca="false">(L_I4!AP43-L_S1!AP43)*C53</f>
        <v>-0</v>
      </c>
      <c r="G53" s="0" t="n">
        <f aca="false">(L_I4!AQ43-L_S1!AQ43)*C53</f>
        <v>-0</v>
      </c>
      <c r="H53" s="0" t="n">
        <f aca="false">(L_I4!AS43-L_S1!AS43)*C53</f>
        <v>0</v>
      </c>
      <c r="I53" s="0" t="n">
        <f aca="false">I52+E53</f>
        <v>2676452221.85192</v>
      </c>
      <c r="J53" s="0" t="n">
        <f aca="false">J52+F53</f>
        <v>2438858223.15684</v>
      </c>
      <c r="K53" s="0" t="n">
        <f aca="false">K52+G53</f>
        <v>2220710812.08837</v>
      </c>
      <c r="L53" s="0" t="n">
        <f aca="false">MAX(L52,J53)</f>
        <v>2834653373.4916</v>
      </c>
      <c r="M53" s="0" t="n">
        <f aca="false">IF(AND(B53&lt;x_H,J53&lt;=0,L52&gt;0),1,0)</f>
        <v>0</v>
      </c>
      <c r="N53" s="0" t="n">
        <f aca="false">IF(AND(B53&lt;x_H,I53&lt;=0,O52&gt;0),1,0)</f>
        <v>0</v>
      </c>
      <c r="O53" s="0" t="n">
        <f aca="false">MAX(O52,I53)</f>
        <v>2870853752.32224</v>
      </c>
      <c r="P53" s="0" t="n">
        <f aca="false">(L_I4!V43-L_S1!V43)*D53</f>
        <v>0</v>
      </c>
    </row>
    <row r="54" customFormat="false" ht="15" hidden="false" customHeight="false" outlineLevel="0" collapsed="false">
      <c r="A54" s="0" t="n">
        <v>2067</v>
      </c>
      <c r="B54" s="0" t="n">
        <v>41</v>
      </c>
      <c r="C54" s="0" t="n">
        <f aca="false">IF(B54&lt;x_H,(1+x_dk)^(-B54),0)</f>
        <v>0</v>
      </c>
      <c r="D54" s="0" t="n">
        <f aca="false">IF(B54&lt;x_H,(1+x_de)^(-B54),0)</f>
        <v>0</v>
      </c>
      <c r="E54" s="0" t="n">
        <f aca="false">(L_I4!AO44-L_S1!AO44)*C54</f>
        <v>-0</v>
      </c>
      <c r="F54" s="0" t="n">
        <f aca="false">(L_I4!AP44-L_S1!AP44)*C54</f>
        <v>-0</v>
      </c>
      <c r="G54" s="0" t="n">
        <f aca="false">(L_I4!AQ44-L_S1!AQ44)*C54</f>
        <v>-0</v>
      </c>
      <c r="H54" s="0" t="n">
        <f aca="false">(L_I4!AS44-L_S1!AS44)*C54</f>
        <v>0</v>
      </c>
      <c r="I54" s="0" t="n">
        <f aca="false">I53+E54</f>
        <v>2676452221.85192</v>
      </c>
      <c r="J54" s="0" t="n">
        <f aca="false">J53+F54</f>
        <v>2438858223.15684</v>
      </c>
      <c r="K54" s="0" t="n">
        <f aca="false">K53+G54</f>
        <v>2220710812.08837</v>
      </c>
      <c r="L54" s="0" t="n">
        <f aca="false">MAX(L53,J54)</f>
        <v>2834653373.4916</v>
      </c>
      <c r="M54" s="0" t="n">
        <f aca="false">IF(AND(B54&lt;x_H,J54&lt;=0,L53&gt;0),1,0)</f>
        <v>0</v>
      </c>
      <c r="N54" s="0" t="n">
        <f aca="false">IF(AND(B54&lt;x_H,I54&lt;=0,O53&gt;0),1,0)</f>
        <v>0</v>
      </c>
      <c r="O54" s="0" t="n">
        <f aca="false">MAX(O53,I54)</f>
        <v>2870853752.32224</v>
      </c>
      <c r="P54" s="0" t="n">
        <f aca="false">(L_I4!V44-L_S1!V44)*D54</f>
        <v>0</v>
      </c>
    </row>
    <row r="55" customFormat="false" ht="15" hidden="false" customHeight="false" outlineLevel="0" collapsed="false">
      <c r="A55" s="0" t="n">
        <v>2068</v>
      </c>
      <c r="B55" s="0" t="n">
        <v>42</v>
      </c>
      <c r="C55" s="0" t="n">
        <f aca="false">IF(B55&lt;x_H,(1+x_dk)^(-B55),0)</f>
        <v>0</v>
      </c>
      <c r="D55" s="0" t="n">
        <f aca="false">IF(B55&lt;x_H,(1+x_de)^(-B55),0)</f>
        <v>0</v>
      </c>
      <c r="E55" s="0" t="n">
        <f aca="false">(L_I4!AO45-L_S1!AO45)*C55</f>
        <v>-0</v>
      </c>
      <c r="F55" s="0" t="n">
        <f aca="false">(L_I4!AP45-L_S1!AP45)*C55</f>
        <v>-0</v>
      </c>
      <c r="G55" s="0" t="n">
        <f aca="false">(L_I4!AQ45-L_S1!AQ45)*C55</f>
        <v>-0</v>
      </c>
      <c r="H55" s="0" t="n">
        <f aca="false">(L_I4!AS45-L_S1!AS45)*C55</f>
        <v>0</v>
      </c>
      <c r="I55" s="0" t="n">
        <f aca="false">I54+E55</f>
        <v>2676452221.85192</v>
      </c>
      <c r="J55" s="0" t="n">
        <f aca="false">J54+F55</f>
        <v>2438858223.15684</v>
      </c>
      <c r="K55" s="0" t="n">
        <f aca="false">K54+G55</f>
        <v>2220710812.08837</v>
      </c>
      <c r="L55" s="0" t="n">
        <f aca="false">MAX(L54,J55)</f>
        <v>2834653373.4916</v>
      </c>
      <c r="M55" s="0" t="n">
        <f aca="false">IF(AND(B55&lt;x_H,J55&lt;=0,L54&gt;0),1,0)</f>
        <v>0</v>
      </c>
      <c r="N55" s="0" t="n">
        <f aca="false">IF(AND(B55&lt;x_H,I55&lt;=0,O54&gt;0),1,0)</f>
        <v>0</v>
      </c>
      <c r="O55" s="0" t="n">
        <f aca="false">MAX(O54,I55)</f>
        <v>2870853752.32224</v>
      </c>
      <c r="P55" s="0" t="n">
        <f aca="false">(L_I4!V45-L_S1!V45)*D55</f>
        <v>0</v>
      </c>
    </row>
    <row r="56" customFormat="false" ht="15" hidden="false" customHeight="false" outlineLevel="0" collapsed="false">
      <c r="A56" s="0" t="n">
        <v>2069</v>
      </c>
      <c r="B56" s="0" t="n">
        <v>43</v>
      </c>
      <c r="C56" s="0" t="n">
        <f aca="false">IF(B56&lt;x_H,(1+x_dk)^(-B56),0)</f>
        <v>0</v>
      </c>
      <c r="D56" s="0" t="n">
        <f aca="false">IF(B56&lt;x_H,(1+x_de)^(-B56),0)</f>
        <v>0</v>
      </c>
      <c r="E56" s="0" t="n">
        <f aca="false">(L_I4!AO46-L_S1!AO46)*C56</f>
        <v>-0</v>
      </c>
      <c r="F56" s="0" t="n">
        <f aca="false">(L_I4!AP46-L_S1!AP46)*C56</f>
        <v>-0</v>
      </c>
      <c r="G56" s="0" t="n">
        <f aca="false">(L_I4!AQ46-L_S1!AQ46)*C56</f>
        <v>-0</v>
      </c>
      <c r="H56" s="0" t="n">
        <f aca="false">(L_I4!AS46-L_S1!AS46)*C56</f>
        <v>0</v>
      </c>
      <c r="I56" s="0" t="n">
        <f aca="false">I55+E56</f>
        <v>2676452221.85192</v>
      </c>
      <c r="J56" s="0" t="n">
        <f aca="false">J55+F56</f>
        <v>2438858223.15684</v>
      </c>
      <c r="K56" s="0" t="n">
        <f aca="false">K55+G56</f>
        <v>2220710812.08837</v>
      </c>
      <c r="L56" s="0" t="n">
        <f aca="false">MAX(L55,J56)</f>
        <v>2834653373.4916</v>
      </c>
      <c r="M56" s="0" t="n">
        <f aca="false">IF(AND(B56&lt;x_H,J56&lt;=0,L55&gt;0),1,0)</f>
        <v>0</v>
      </c>
      <c r="N56" s="0" t="n">
        <f aca="false">IF(AND(B56&lt;x_H,I56&lt;=0,O55&gt;0),1,0)</f>
        <v>0</v>
      </c>
      <c r="O56" s="0" t="n">
        <f aca="false">MAX(O55,I56)</f>
        <v>2870853752.32224</v>
      </c>
      <c r="P56" s="0" t="n">
        <f aca="false">(L_I4!V46-L_S1!V46)*D56</f>
        <v>0</v>
      </c>
    </row>
    <row r="57" customFormat="false" ht="15" hidden="false" customHeight="false" outlineLevel="0" collapsed="false">
      <c r="A57" s="0" t="n">
        <v>2070</v>
      </c>
      <c r="B57" s="0" t="n">
        <v>44</v>
      </c>
      <c r="C57" s="0" t="n">
        <f aca="false">IF(B57&lt;x_H,(1+x_dk)^(-B57),0)</f>
        <v>0</v>
      </c>
      <c r="D57" s="0" t="n">
        <f aca="false">IF(B57&lt;x_H,(1+x_de)^(-B57),0)</f>
        <v>0</v>
      </c>
      <c r="E57" s="0" t="n">
        <f aca="false">(L_I4!AO47-L_S1!AO47)*C57</f>
        <v>-0</v>
      </c>
      <c r="F57" s="0" t="n">
        <f aca="false">(L_I4!AP47-L_S1!AP47)*C57</f>
        <v>-0</v>
      </c>
      <c r="G57" s="0" t="n">
        <f aca="false">(L_I4!AQ47-L_S1!AQ47)*C57</f>
        <v>-0</v>
      </c>
      <c r="H57" s="0" t="n">
        <f aca="false">(L_I4!AS47-L_S1!AS47)*C57</f>
        <v>0</v>
      </c>
      <c r="I57" s="0" t="n">
        <f aca="false">I56+E57</f>
        <v>2676452221.85192</v>
      </c>
      <c r="J57" s="0" t="n">
        <f aca="false">J56+F57</f>
        <v>2438858223.15684</v>
      </c>
      <c r="K57" s="0" t="n">
        <f aca="false">K56+G57</f>
        <v>2220710812.08837</v>
      </c>
      <c r="L57" s="0" t="n">
        <f aca="false">MAX(L56,J57)</f>
        <v>2834653373.4916</v>
      </c>
      <c r="M57" s="0" t="n">
        <f aca="false">IF(AND(B57&lt;x_H,J57&lt;=0,L56&gt;0),1,0)</f>
        <v>0</v>
      </c>
      <c r="N57" s="0" t="n">
        <f aca="false">IF(AND(B57&lt;x_H,I57&lt;=0,O56&gt;0),1,0)</f>
        <v>0</v>
      </c>
      <c r="O57" s="0" t="n">
        <f aca="false">MAX(O56,I57)</f>
        <v>2870853752.32224</v>
      </c>
      <c r="P57" s="0" t="n">
        <f aca="false">(L_I4!V47-L_S1!V47)*D57</f>
        <v>0</v>
      </c>
    </row>
    <row r="58" customFormat="false" ht="15" hidden="false" customHeight="false" outlineLevel="0" collapsed="false">
      <c r="A58" s="0" t="n">
        <v>2071</v>
      </c>
      <c r="B58" s="0" t="n">
        <v>45</v>
      </c>
      <c r="C58" s="0" t="n">
        <f aca="false">IF(B58&lt;x_H,(1+x_dk)^(-B58),0)</f>
        <v>0</v>
      </c>
      <c r="D58" s="0" t="n">
        <f aca="false">IF(B58&lt;x_H,(1+x_de)^(-B58),0)</f>
        <v>0</v>
      </c>
      <c r="E58" s="0" t="n">
        <f aca="false">(L_I4!AO48-L_S1!AO48)*C58</f>
        <v>-0</v>
      </c>
      <c r="F58" s="0" t="n">
        <f aca="false">(L_I4!AP48-L_S1!AP48)*C58</f>
        <v>-0</v>
      </c>
      <c r="G58" s="0" t="n">
        <f aca="false">(L_I4!AQ48-L_S1!AQ48)*C58</f>
        <v>-0</v>
      </c>
      <c r="H58" s="0" t="n">
        <f aca="false">(L_I4!AS48-L_S1!AS48)*C58</f>
        <v>0</v>
      </c>
      <c r="I58" s="0" t="n">
        <f aca="false">I57+E58</f>
        <v>2676452221.85192</v>
      </c>
      <c r="J58" s="0" t="n">
        <f aca="false">J57+F58</f>
        <v>2438858223.15684</v>
      </c>
      <c r="K58" s="0" t="n">
        <f aca="false">K57+G58</f>
        <v>2220710812.08837</v>
      </c>
      <c r="L58" s="0" t="n">
        <f aca="false">MAX(L57,J58)</f>
        <v>2834653373.4916</v>
      </c>
      <c r="M58" s="0" t="n">
        <f aca="false">IF(AND(B58&lt;x_H,J58&lt;=0,L57&gt;0),1,0)</f>
        <v>0</v>
      </c>
      <c r="N58" s="0" t="n">
        <f aca="false">IF(AND(B58&lt;x_H,I58&lt;=0,O57&gt;0),1,0)</f>
        <v>0</v>
      </c>
      <c r="O58" s="0" t="n">
        <f aca="false">MAX(O57,I58)</f>
        <v>2870853752.32224</v>
      </c>
      <c r="P58" s="0" t="n">
        <f aca="false">(L_I4!V48-L_S1!V48)*D58</f>
        <v>0</v>
      </c>
    </row>
    <row r="59" customFormat="false" ht="15" hidden="false" customHeight="false" outlineLevel="0" collapsed="false">
      <c r="A59" s="0" t="n">
        <v>2072</v>
      </c>
      <c r="B59" s="0" t="n">
        <v>46</v>
      </c>
      <c r="C59" s="0" t="n">
        <f aca="false">IF(B59&lt;x_H,(1+x_dk)^(-B59),0)</f>
        <v>0</v>
      </c>
      <c r="D59" s="0" t="n">
        <f aca="false">IF(B59&lt;x_H,(1+x_de)^(-B59),0)</f>
        <v>0</v>
      </c>
      <c r="E59" s="0" t="n">
        <f aca="false">(L_I4!AO49-L_S1!AO49)*C59</f>
        <v>-0</v>
      </c>
      <c r="F59" s="0" t="n">
        <f aca="false">(L_I4!AP49-L_S1!AP49)*C59</f>
        <v>-0</v>
      </c>
      <c r="G59" s="0" t="n">
        <f aca="false">(L_I4!AQ49-L_S1!AQ49)*C59</f>
        <v>-0</v>
      </c>
      <c r="H59" s="0" t="n">
        <f aca="false">(L_I4!AS49-L_S1!AS49)*C59</f>
        <v>0</v>
      </c>
      <c r="I59" s="0" t="n">
        <f aca="false">I58+E59</f>
        <v>2676452221.85192</v>
      </c>
      <c r="J59" s="0" t="n">
        <f aca="false">J58+F59</f>
        <v>2438858223.15684</v>
      </c>
      <c r="K59" s="0" t="n">
        <f aca="false">K58+G59</f>
        <v>2220710812.08837</v>
      </c>
      <c r="L59" s="0" t="n">
        <f aca="false">MAX(L58,J59)</f>
        <v>2834653373.4916</v>
      </c>
      <c r="M59" s="0" t="n">
        <f aca="false">IF(AND(B59&lt;x_H,J59&lt;=0,L58&gt;0),1,0)</f>
        <v>0</v>
      </c>
      <c r="N59" s="0" t="n">
        <f aca="false">IF(AND(B59&lt;x_H,I59&lt;=0,O58&gt;0),1,0)</f>
        <v>0</v>
      </c>
      <c r="O59" s="0" t="n">
        <f aca="false">MAX(O58,I59)</f>
        <v>2870853752.32224</v>
      </c>
      <c r="P59" s="0" t="n">
        <f aca="false">(L_I4!V49-L_S1!V49)*D59</f>
        <v>0</v>
      </c>
    </row>
    <row r="60" customFormat="false" ht="15" hidden="false" customHeight="false" outlineLevel="0" collapsed="false">
      <c r="A60" s="0" t="n">
        <v>2073</v>
      </c>
      <c r="B60" s="0" t="n">
        <v>47</v>
      </c>
      <c r="C60" s="0" t="n">
        <f aca="false">IF(B60&lt;x_H,(1+x_dk)^(-B60),0)</f>
        <v>0</v>
      </c>
      <c r="D60" s="0" t="n">
        <f aca="false">IF(B60&lt;x_H,(1+x_de)^(-B60),0)</f>
        <v>0</v>
      </c>
      <c r="E60" s="0" t="n">
        <f aca="false">(L_I4!AO50-L_S1!AO50)*C60</f>
        <v>-0</v>
      </c>
      <c r="F60" s="0" t="n">
        <f aca="false">(L_I4!AP50-L_S1!AP50)*C60</f>
        <v>-0</v>
      </c>
      <c r="G60" s="0" t="n">
        <f aca="false">(L_I4!AQ50-L_S1!AQ50)*C60</f>
        <v>-0</v>
      </c>
      <c r="H60" s="0" t="n">
        <f aca="false">(L_I4!AS50-L_S1!AS50)*C60</f>
        <v>0</v>
      </c>
      <c r="I60" s="0" t="n">
        <f aca="false">I59+E60</f>
        <v>2676452221.85192</v>
      </c>
      <c r="J60" s="0" t="n">
        <f aca="false">J59+F60</f>
        <v>2438858223.15684</v>
      </c>
      <c r="K60" s="0" t="n">
        <f aca="false">K59+G60</f>
        <v>2220710812.08837</v>
      </c>
      <c r="L60" s="0" t="n">
        <f aca="false">MAX(L59,J60)</f>
        <v>2834653373.4916</v>
      </c>
      <c r="M60" s="0" t="n">
        <f aca="false">IF(AND(B60&lt;x_H,J60&lt;=0,L59&gt;0),1,0)</f>
        <v>0</v>
      </c>
      <c r="N60" s="0" t="n">
        <f aca="false">IF(AND(B60&lt;x_H,I60&lt;=0,O59&gt;0),1,0)</f>
        <v>0</v>
      </c>
      <c r="O60" s="0" t="n">
        <f aca="false">MAX(O59,I60)</f>
        <v>2870853752.32224</v>
      </c>
      <c r="P60" s="0" t="n">
        <f aca="false">(L_I4!V50-L_S1!V50)*D60</f>
        <v>0</v>
      </c>
    </row>
    <row r="61" customFormat="false" ht="15" hidden="false" customHeight="false" outlineLevel="0" collapsed="false">
      <c r="A61" s="0" t="n">
        <v>2074</v>
      </c>
      <c r="B61" s="0" t="n">
        <v>48</v>
      </c>
      <c r="C61" s="0" t="n">
        <f aca="false">IF(B61&lt;x_H,(1+x_dk)^(-B61),0)</f>
        <v>0</v>
      </c>
      <c r="D61" s="0" t="n">
        <f aca="false">IF(B61&lt;x_H,(1+x_de)^(-B61),0)</f>
        <v>0</v>
      </c>
      <c r="E61" s="0" t="n">
        <f aca="false">(L_I4!AO51-L_S1!AO51)*C61</f>
        <v>-0</v>
      </c>
      <c r="F61" s="0" t="n">
        <f aca="false">(L_I4!AP51-L_S1!AP51)*C61</f>
        <v>-0</v>
      </c>
      <c r="G61" s="0" t="n">
        <f aca="false">(L_I4!AQ51-L_S1!AQ51)*C61</f>
        <v>-0</v>
      </c>
      <c r="H61" s="0" t="n">
        <f aca="false">(L_I4!AS51-L_S1!AS51)*C61</f>
        <v>0</v>
      </c>
      <c r="I61" s="0" t="n">
        <f aca="false">I60+E61</f>
        <v>2676452221.85192</v>
      </c>
      <c r="J61" s="0" t="n">
        <f aca="false">J60+F61</f>
        <v>2438858223.15684</v>
      </c>
      <c r="K61" s="0" t="n">
        <f aca="false">K60+G61</f>
        <v>2220710812.08837</v>
      </c>
      <c r="L61" s="0" t="n">
        <f aca="false">MAX(L60,J61)</f>
        <v>2834653373.4916</v>
      </c>
      <c r="M61" s="0" t="n">
        <f aca="false">IF(AND(B61&lt;x_H,J61&lt;=0,L60&gt;0),1,0)</f>
        <v>0</v>
      </c>
      <c r="N61" s="0" t="n">
        <f aca="false">IF(AND(B61&lt;x_H,I61&lt;=0,O60&gt;0),1,0)</f>
        <v>0</v>
      </c>
      <c r="O61" s="0" t="n">
        <f aca="false">MAX(O60,I61)</f>
        <v>2870853752.32224</v>
      </c>
      <c r="P61" s="0" t="n">
        <f aca="false">(L_I4!V51-L_S1!V51)*D61</f>
        <v>0</v>
      </c>
    </row>
    <row r="62" customFormat="false" ht="15" hidden="false" customHeight="false" outlineLevel="0" collapsed="false">
      <c r="A62" s="0" t="n">
        <v>2075</v>
      </c>
      <c r="B62" s="0" t="n">
        <v>49</v>
      </c>
      <c r="C62" s="0" t="n">
        <f aca="false">IF(B62&lt;x_H,(1+x_dk)^(-B62),0)</f>
        <v>0</v>
      </c>
      <c r="D62" s="0" t="n">
        <f aca="false">IF(B62&lt;x_H,(1+x_de)^(-B62),0)</f>
        <v>0</v>
      </c>
      <c r="E62" s="0" t="n">
        <f aca="false">(L_I4!AO52-L_S1!AO52)*C62</f>
        <v>-0</v>
      </c>
      <c r="F62" s="0" t="n">
        <f aca="false">(L_I4!AP52-L_S1!AP52)*C62</f>
        <v>-0</v>
      </c>
      <c r="G62" s="0" t="n">
        <f aca="false">(L_I4!AQ52-L_S1!AQ52)*C62</f>
        <v>-0</v>
      </c>
      <c r="H62" s="0" t="n">
        <f aca="false">(L_I4!AS52-L_S1!AS52)*C62</f>
        <v>0</v>
      </c>
      <c r="I62" s="0" t="n">
        <f aca="false">I61+E62</f>
        <v>2676452221.85192</v>
      </c>
      <c r="J62" s="0" t="n">
        <f aca="false">J61+F62</f>
        <v>2438858223.15684</v>
      </c>
      <c r="K62" s="0" t="n">
        <f aca="false">K61+G62</f>
        <v>2220710812.08837</v>
      </c>
      <c r="L62" s="0" t="n">
        <f aca="false">MAX(L61,J62)</f>
        <v>2834653373.4916</v>
      </c>
      <c r="M62" s="0" t="n">
        <f aca="false">IF(AND(B62&lt;x_H,J62&lt;=0,L61&gt;0),1,0)</f>
        <v>0</v>
      </c>
      <c r="N62" s="0" t="n">
        <f aca="false">IF(AND(B62&lt;x_H,I62&lt;=0,O61&gt;0),1,0)</f>
        <v>0</v>
      </c>
      <c r="O62" s="0" t="n">
        <f aca="false">MAX(O61,I62)</f>
        <v>2870853752.32224</v>
      </c>
      <c r="P62" s="0" t="n">
        <f aca="false">(L_I4!V52-L_S1!V52)*D62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630</v>
      </c>
    </row>
    <row r="2" customFormat="false" ht="15" hidden="false" customHeight="false" outlineLevel="0" collapsed="false">
      <c r="A2" s="1" t="s">
        <v>602</v>
      </c>
      <c r="B2" s="0" t="n">
        <f aca="false">x_H</f>
        <v>20</v>
      </c>
    </row>
    <row r="3" customFormat="false" ht="15" hidden="false" customHeight="false" outlineLevel="0" collapsed="false">
      <c r="A3" s="1" t="s">
        <v>603</v>
      </c>
      <c r="B3" s="0" t="n">
        <f aca="false">SUM(H13:H62)</f>
        <v>-541078387.639455</v>
      </c>
    </row>
    <row r="4" customFormat="false" ht="15" hidden="false" customHeight="false" outlineLevel="0" collapsed="false">
      <c r="A4" s="1" t="s">
        <v>604</v>
      </c>
      <c r="B4" s="0" t="n">
        <f aca="false">SUM(F13:F62)</f>
        <v>-159337467.438907</v>
      </c>
    </row>
    <row r="5" customFormat="false" ht="15" hidden="false" customHeight="false" outlineLevel="0" collapsed="false">
      <c r="A5" s="1" t="s">
        <v>605</v>
      </c>
      <c r="B5" s="0" t="n">
        <f aca="false">B3-B4</f>
        <v>-381740920.200549</v>
      </c>
    </row>
    <row r="6" customFormat="false" ht="15" hidden="false" customHeight="false" outlineLevel="0" collapsed="false">
      <c r="A6" s="1" t="s">
        <v>606</v>
      </c>
      <c r="B6" s="0" t="n">
        <f aca="false">IF(B3=0,"—",(B5-B3)/ABS(B3))</f>
        <v>0.294481300822313</v>
      </c>
    </row>
    <row r="7" customFormat="false" ht="15" hidden="false" customHeight="false" outlineLevel="0" collapsed="false">
      <c r="A7" s="1" t="s">
        <v>607</v>
      </c>
      <c r="B7" s="0" t="str">
        <f aca="false">IFERROR(INDEX(A13:A62,MATCH(1,M13:M62,0)),"brak w horyzoncie")</f>
        <v>brak w horyzoncie</v>
      </c>
    </row>
    <row r="8" customFormat="false" ht="15" hidden="false" customHeight="false" outlineLevel="0" collapsed="false">
      <c r="A8" s="1" t="s">
        <v>608</v>
      </c>
      <c r="B8" s="0" t="str">
        <f aca="false">IFERROR(INDEX(A13:A62,MATCH(1,N13:N62,0)),"brak w horyzoncie")</f>
        <v>brak w horyzoncie</v>
      </c>
    </row>
    <row r="9" customFormat="false" ht="15" hidden="false" customHeight="false" outlineLevel="0" collapsed="false">
      <c r="A9" s="1" t="s">
        <v>609</v>
      </c>
      <c r="B9" s="0" t="n">
        <f aca="false">SUM(E13:E62)</f>
        <v>-353253712.599829</v>
      </c>
    </row>
    <row r="10" customFormat="false" ht="15" hidden="false" customHeight="false" outlineLevel="0" collapsed="false">
      <c r="A10" s="1" t="s">
        <v>610</v>
      </c>
      <c r="B10" s="0" t="n">
        <f aca="false">IFERROR(B4/SUM(P13:P62),"—")</f>
        <v>9886.72111543849</v>
      </c>
    </row>
    <row r="11" customFormat="false" ht="15" hidden="false" customHeight="false" outlineLevel="0" collapsed="false">
      <c r="A11" s="1" t="s">
        <v>611</v>
      </c>
      <c r="B11" s="0" t="n">
        <f aca="false">IFERROR(B9/SUM(P13:P62),"—")</f>
        <v>21919.0187694359</v>
      </c>
    </row>
    <row r="12" customFormat="false" ht="55.2" hidden="false" customHeight="false" outlineLevel="0" collapsed="false">
      <c r="A12" s="3" t="s">
        <v>320</v>
      </c>
      <c r="B12" s="3" t="s">
        <v>553</v>
      </c>
      <c r="C12" s="3" t="s">
        <v>612</v>
      </c>
      <c r="D12" s="3" t="s">
        <v>613</v>
      </c>
      <c r="E12" s="3" t="s">
        <v>614</v>
      </c>
      <c r="F12" s="3" t="s">
        <v>615</v>
      </c>
      <c r="G12" s="3" t="s">
        <v>616</v>
      </c>
      <c r="H12" s="3" t="s">
        <v>617</v>
      </c>
      <c r="I12" s="3" t="s">
        <v>618</v>
      </c>
      <c r="J12" s="3" t="s">
        <v>619</v>
      </c>
      <c r="K12" s="3" t="s">
        <v>620</v>
      </c>
      <c r="L12" s="3" t="s">
        <v>621</v>
      </c>
      <c r="M12" s="3" t="s">
        <v>622</v>
      </c>
      <c r="N12" s="3" t="s">
        <v>623</v>
      </c>
      <c r="O12" s="3" t="s">
        <v>624</v>
      </c>
      <c r="P12" s="3" t="s">
        <v>625</v>
      </c>
    </row>
    <row r="13" customFormat="false" ht="15" hidden="false" customHeight="false" outlineLevel="0" collapsed="false">
      <c r="A13" s="0" t="n">
        <v>2026</v>
      </c>
      <c r="B13" s="0" t="n">
        <v>0</v>
      </c>
      <c r="C13" s="0" t="n">
        <f aca="false">IF(B13&lt;x_H,(1+x_dk)^(-B13),0)</f>
        <v>1</v>
      </c>
      <c r="D13" s="0" t="n">
        <f aca="false">IF(B13&lt;x_H,(1+x_de)^(-B13),0)</f>
        <v>1</v>
      </c>
      <c r="E13" s="0" t="n">
        <f aca="false">(L_I5!AO3-L_S1!AO3)*C13</f>
        <v>-42278156.6512682</v>
      </c>
      <c r="F13" s="0" t="n">
        <f aca="false">(L_I5!AP3-L_S1!AP3)*C13</f>
        <v>-41846422.586839</v>
      </c>
      <c r="G13" s="0" t="n">
        <f aca="false">(L_I5!AQ3-L_S1!AQ3)*C13</f>
        <v>-41864212.9899384</v>
      </c>
      <c r="H13" s="0" t="n">
        <f aca="false">(L_I5!AS3-L_S1!AS3)*C13</f>
        <v>-41350028.2830073</v>
      </c>
      <c r="I13" s="0" t="n">
        <f aca="false">E13</f>
        <v>-42278156.6512682</v>
      </c>
      <c r="J13" s="0" t="n">
        <f aca="false">F13</f>
        <v>-41846422.586839</v>
      </c>
      <c r="K13" s="0" t="n">
        <f aca="false">G13</f>
        <v>-41864212.9899384</v>
      </c>
      <c r="L13" s="0" t="n">
        <f aca="false">J13</f>
        <v>-41846422.586839</v>
      </c>
      <c r="M13" s="0" t="n">
        <v>0</v>
      </c>
      <c r="N13" s="0" t="n">
        <v>0</v>
      </c>
      <c r="O13" s="0" t="n">
        <f aca="false">I13</f>
        <v>-42278156.6512682</v>
      </c>
      <c r="P13" s="0" t="n">
        <f aca="false">(L_I5!V3-L_S1!V3)*D13</f>
        <v>-117.326000000001</v>
      </c>
    </row>
    <row r="14" customFormat="false" ht="15" hidden="false" customHeight="false" outlineLevel="0" collapsed="false">
      <c r="A14" s="0" t="n">
        <v>2027</v>
      </c>
      <c r="B14" s="0" t="n">
        <v>1</v>
      </c>
      <c r="C14" s="0" t="n">
        <f aca="false">IF(B14&lt;x_H,(1+x_dk)^(-B14),0)</f>
        <v>0.952380952380952</v>
      </c>
      <c r="D14" s="0" t="n">
        <f aca="false">IF(B14&lt;x_H,(1+x_de)^(-B14),0)</f>
        <v>0.966183574879227</v>
      </c>
      <c r="E14" s="0" t="n">
        <f aca="false">(L_I5!AO4-L_S1!AO4)*C14</f>
        <v>-39172211.1362527</v>
      </c>
      <c r="F14" s="0" t="n">
        <f aca="false">(L_I5!AP4-L_S1!AP4)*C14</f>
        <v>-37469286.9144112</v>
      </c>
      <c r="G14" s="0" t="n">
        <f aca="false">(L_I5!AQ4-L_S1!AQ4)*C14</f>
        <v>-37523489.3105443</v>
      </c>
      <c r="H14" s="0" t="n">
        <f aca="false">(L_I5!AS4-L_S1!AS4)*C14</f>
        <v>-39380979.3171498</v>
      </c>
      <c r="I14" s="0" t="n">
        <f aca="false">I13+E14</f>
        <v>-81450367.7875209</v>
      </c>
      <c r="J14" s="0" t="n">
        <f aca="false">J13+F14</f>
        <v>-79315709.5012501</v>
      </c>
      <c r="K14" s="0" t="n">
        <f aca="false">K13+G14</f>
        <v>-79387702.3004827</v>
      </c>
      <c r="L14" s="0" t="n">
        <f aca="false">MAX(L13,J14)</f>
        <v>-41846422.586839</v>
      </c>
      <c r="M14" s="0" t="n">
        <f aca="false">IF(AND(B14&lt;x_H,J14&lt;=0,L13&gt;0),1,0)</f>
        <v>0</v>
      </c>
      <c r="N14" s="0" t="n">
        <f aca="false">IF(AND(B14&lt;x_H,I14&lt;=0,O13&gt;0),1,0)</f>
        <v>0</v>
      </c>
      <c r="O14" s="0" t="n">
        <f aca="false">MAX(O13,I14)</f>
        <v>-42278156.6512682</v>
      </c>
      <c r="P14" s="0" t="n">
        <f aca="false">(L_I5!V4-L_S1!V4)*D14</f>
        <v>-192.684057971014</v>
      </c>
    </row>
    <row r="15" customFormat="false" ht="15" hidden="false" customHeight="false" outlineLevel="0" collapsed="false">
      <c r="A15" s="0" t="n">
        <v>2028</v>
      </c>
      <c r="B15" s="0" t="n">
        <v>2</v>
      </c>
      <c r="C15" s="0" t="n">
        <f aca="false">IF(B15&lt;x_H,(1+x_dk)^(-B15),0)</f>
        <v>0.90702947845805</v>
      </c>
      <c r="D15" s="0" t="n">
        <f aca="false">IF(B15&lt;x_H,(1+x_de)^(-B15),0)</f>
        <v>0.933510700366403</v>
      </c>
      <c r="E15" s="0" t="n">
        <f aca="false">(L_I5!AO5-L_S1!AO5)*C15</f>
        <v>-36103797.3129565</v>
      </c>
      <c r="F15" s="0" t="n">
        <f aca="false">(L_I5!AP5-L_S1!AP5)*C15</f>
        <v>-33094932.4010805</v>
      </c>
      <c r="G15" s="0" t="n">
        <f aca="false">(L_I5!AQ5-L_S1!AQ5)*C15</f>
        <v>-33050589.0139641</v>
      </c>
      <c r="H15" s="0" t="n">
        <f aca="false">(L_I5!AS5-L_S1!AS5)*C15</f>
        <v>-37505694.5877617</v>
      </c>
      <c r="I15" s="0" t="n">
        <f aca="false">I14+E15</f>
        <v>-117554165.100477</v>
      </c>
      <c r="J15" s="0" t="n">
        <f aca="false">J14+F15</f>
        <v>-112410641.902331</v>
      </c>
      <c r="K15" s="0" t="n">
        <f aca="false">K14+G15</f>
        <v>-112438291.314447</v>
      </c>
      <c r="L15" s="0" t="n">
        <f aca="false">MAX(L14,J15)</f>
        <v>-41846422.586839</v>
      </c>
      <c r="M15" s="0" t="n">
        <f aca="false">IF(AND(B15&lt;x_H,J15&lt;=0,L14&gt;0),1,0)</f>
        <v>0</v>
      </c>
      <c r="N15" s="0" t="n">
        <f aca="false">IF(AND(B15&lt;x_H,I15&lt;=0,O14&gt;0),1,0)</f>
        <v>0</v>
      </c>
      <c r="O15" s="0" t="n">
        <f aca="false">MAX(O14,I15)</f>
        <v>-42278156.6512682</v>
      </c>
      <c r="P15" s="0" t="n">
        <f aca="false">(L_I5!V5-L_S1!V5)*D15</f>
        <v>-267.294919368012</v>
      </c>
    </row>
    <row r="16" customFormat="false" ht="15" hidden="false" customHeight="false" outlineLevel="0" collapsed="false">
      <c r="A16" s="0" t="n">
        <v>2029</v>
      </c>
      <c r="B16" s="0" t="n">
        <v>3</v>
      </c>
      <c r="C16" s="0" t="n">
        <f aca="false">IF(B16&lt;x_H,(1+x_dk)^(-B16),0)</f>
        <v>0.863837598531476</v>
      </c>
      <c r="D16" s="0" t="n">
        <f aca="false">IF(B16&lt;x_H,(1+x_de)^(-B16),0)</f>
        <v>0.901942705668022</v>
      </c>
      <c r="E16" s="0" t="n">
        <f aca="false">(L_I5!AO6-L_S1!AO6)*C16</f>
        <v>-33083093.4090583</v>
      </c>
      <c r="F16" s="0" t="n">
        <f aca="false">(L_I5!AP6-L_S1!AP6)*C16</f>
        <v>-28713849.951397</v>
      </c>
      <c r="G16" s="0" t="n">
        <f aca="false">(L_I5!AQ6-L_S1!AQ6)*C16</f>
        <v>-28417633.8243974</v>
      </c>
      <c r="H16" s="0" t="n">
        <f aca="false">(L_I5!AS6-L_S1!AS6)*C16</f>
        <v>-35719709.1312017</v>
      </c>
      <c r="I16" s="0" t="n">
        <f aca="false">I15+E16</f>
        <v>-150637258.509536</v>
      </c>
      <c r="J16" s="0" t="n">
        <f aca="false">J15+F16</f>
        <v>-141124491.853728</v>
      </c>
      <c r="K16" s="0" t="n">
        <f aca="false">K15+G16</f>
        <v>-140855925.138844</v>
      </c>
      <c r="L16" s="0" t="n">
        <f aca="false">MAX(L15,J16)</f>
        <v>-41846422.586839</v>
      </c>
      <c r="M16" s="0" t="n">
        <f aca="false">IF(AND(B16&lt;x_H,J16&lt;=0,L15&gt;0),1,0)</f>
        <v>0</v>
      </c>
      <c r="N16" s="0" t="n">
        <f aca="false">IF(AND(B16&lt;x_H,I16&lt;=0,O15&gt;0),1,0)</f>
        <v>0</v>
      </c>
      <c r="O16" s="0" t="n">
        <f aca="false">MAX(O15,I16)</f>
        <v>-42278156.6512682</v>
      </c>
      <c r="P16" s="0" t="n">
        <f aca="false">(L_I5!V6-L_S1!V6)*D16</f>
        <v>-341.826364078419</v>
      </c>
    </row>
    <row r="17" customFormat="false" ht="15" hidden="false" customHeight="false" outlineLevel="0" collapsed="false">
      <c r="A17" s="0" t="n">
        <v>2030</v>
      </c>
      <c r="B17" s="0" t="n">
        <v>4</v>
      </c>
      <c r="C17" s="0" t="n">
        <f aca="false">IF(B17&lt;x_H,(1+x_dk)^(-B17),0)</f>
        <v>0.822702474791882</v>
      </c>
      <c r="D17" s="0" t="n">
        <f aca="false">IF(B17&lt;x_H,(1+x_de)^(-B17),0)</f>
        <v>0.871442227698572</v>
      </c>
      <c r="E17" s="0" t="n">
        <f aca="false">(L_I5!AO7-L_S1!AO7)*C17</f>
        <v>-30118535.0275419</v>
      </c>
      <c r="F17" s="0" t="n">
        <f aca="false">(L_I5!AP7-L_S1!AP7)*C17</f>
        <v>-24318949.797435</v>
      </c>
      <c r="G17" s="0" t="n">
        <f aca="false">(L_I5!AQ7-L_S1!AQ7)*C17</f>
        <v>-23604427.5166541</v>
      </c>
      <c r="H17" s="0" t="n">
        <f aca="false">(L_I5!AS7-L_S1!AS7)*C17</f>
        <v>-34018770.6011444</v>
      </c>
      <c r="I17" s="0" t="n">
        <f aca="false">I16+E17</f>
        <v>-180755793.537078</v>
      </c>
      <c r="J17" s="0" t="n">
        <f aca="false">J16+F17</f>
        <v>-165443441.651163</v>
      </c>
      <c r="K17" s="0" t="n">
        <f aca="false">K16+G17</f>
        <v>-164460352.655498</v>
      </c>
      <c r="L17" s="0" t="n">
        <f aca="false">MAX(L16,J17)</f>
        <v>-41846422.586839</v>
      </c>
      <c r="M17" s="0" t="n">
        <f aca="false">IF(AND(B17&lt;x_H,J17&lt;=0,L16&gt;0),1,0)</f>
        <v>0</v>
      </c>
      <c r="N17" s="0" t="n">
        <f aca="false">IF(AND(B17&lt;x_H,I17&lt;=0,O16&gt;0),1,0)</f>
        <v>0</v>
      </c>
      <c r="O17" s="0" t="n">
        <f aca="false">MAX(O16,I17)</f>
        <v>-42278156.6512682</v>
      </c>
      <c r="P17" s="0" t="n">
        <f aca="false">(L_I5!V7-L_S1!V7)*D17</f>
        <v>-416.587728297944</v>
      </c>
    </row>
    <row r="18" customFormat="false" ht="15" hidden="false" customHeight="false" outlineLevel="0" collapsed="false">
      <c r="A18" s="0" t="n">
        <v>2031</v>
      </c>
      <c r="B18" s="0" t="n">
        <v>5</v>
      </c>
      <c r="C18" s="0" t="n">
        <f aca="false">IF(B18&lt;x_H,(1+x_dk)^(-B18),0)</f>
        <v>0.783526166468459</v>
      </c>
      <c r="D18" s="0" t="n">
        <f aca="false">IF(B18&lt;x_H,(1+x_de)^(-B18),0)</f>
        <v>0.841973166858524</v>
      </c>
      <c r="E18" s="0" t="n">
        <f aca="false">(L_I5!AO8-L_S1!AO8)*C18</f>
        <v>-27220524.2992586</v>
      </c>
      <c r="F18" s="0" t="n">
        <f aca="false">(L_I5!AP8-L_S1!AP8)*C18</f>
        <v>-19909744.1247362</v>
      </c>
      <c r="G18" s="0" t="n">
        <f aca="false">(L_I5!AQ8-L_S1!AQ8)*C18</f>
        <v>-18602483.8810743</v>
      </c>
      <c r="H18" s="0" t="n">
        <f aca="false">(L_I5!AS8-L_S1!AS8)*C18</f>
        <v>-32398829.1439471</v>
      </c>
      <c r="I18" s="0" t="n">
        <f aca="false">I17+E18</f>
        <v>-207976317.836336</v>
      </c>
      <c r="J18" s="0" t="n">
        <f aca="false">J17+F18</f>
        <v>-185353185.775899</v>
      </c>
      <c r="K18" s="0" t="n">
        <f aca="false">K17+G18</f>
        <v>-183062836.536573</v>
      </c>
      <c r="L18" s="0" t="n">
        <f aca="false">MAX(L17,J18)</f>
        <v>-41846422.586839</v>
      </c>
      <c r="M18" s="0" t="n">
        <f aca="false">IF(AND(B18&lt;x_H,J18&lt;=0,L17&gt;0),1,0)</f>
        <v>0</v>
      </c>
      <c r="N18" s="0" t="n">
        <f aca="false">IF(AND(B18&lt;x_H,I18&lt;=0,O17&gt;0),1,0)</f>
        <v>0</v>
      </c>
      <c r="O18" s="0" t="n">
        <f aca="false">MAX(O17,I18)</f>
        <v>-42278156.6512682</v>
      </c>
      <c r="P18" s="0" t="n">
        <f aca="false">(L_I5!V8-L_S1!V8)*D18</f>
        <v>-491.648339484696</v>
      </c>
    </row>
    <row r="19" customFormat="false" ht="15" hidden="false" customHeight="false" outlineLevel="0" collapsed="false">
      <c r="A19" s="0" t="n">
        <v>2032</v>
      </c>
      <c r="B19" s="0" t="n">
        <v>6</v>
      </c>
      <c r="C19" s="0" t="n">
        <f aca="false">IF(B19&lt;x_H,(1+x_dk)^(-B19),0)</f>
        <v>0.746215396636628</v>
      </c>
      <c r="D19" s="0" t="n">
        <f aca="false">IF(B19&lt;x_H,(1+x_de)^(-B19),0)</f>
        <v>0.813500644307753</v>
      </c>
      <c r="E19" s="0" t="n">
        <f aca="false">(L_I5!AO9-L_S1!AO9)*C19</f>
        <v>-24401166.3306885</v>
      </c>
      <c r="F19" s="0" t="n">
        <f aca="false">(L_I5!AP9-L_S1!AP9)*C19</f>
        <v>-15492583.3478264</v>
      </c>
      <c r="G19" s="0" t="n">
        <f aca="false">(L_I5!AQ9-L_S1!AQ9)*C19</f>
        <v>-13414932.5241252</v>
      </c>
      <c r="H19" s="0" t="n">
        <f aca="false">(L_I5!AS9-L_S1!AS9)*C19</f>
        <v>-30856027.7561401</v>
      </c>
      <c r="I19" s="0" t="n">
        <f aca="false">I18+E19</f>
        <v>-232377484.167025</v>
      </c>
      <c r="J19" s="0" t="n">
        <f aca="false">J18+F19</f>
        <v>-200845769.123725</v>
      </c>
      <c r="K19" s="0" t="n">
        <f aca="false">K18+G19</f>
        <v>-196477769.060698</v>
      </c>
      <c r="L19" s="0" t="n">
        <f aca="false">MAX(L18,J19)</f>
        <v>-41846422.586839</v>
      </c>
      <c r="M19" s="0" t="n">
        <f aca="false">IF(AND(B19&lt;x_H,J19&lt;=0,L18&gt;0),1,0)</f>
        <v>0</v>
      </c>
      <c r="N19" s="0" t="n">
        <f aca="false">IF(AND(B19&lt;x_H,I19&lt;=0,O18&gt;0),1,0)</f>
        <v>0</v>
      </c>
      <c r="O19" s="0" t="n">
        <f aca="false">MAX(O18,I19)</f>
        <v>-42278156.6512682</v>
      </c>
      <c r="P19" s="0" t="n">
        <f aca="false">(L_I5!V9-L_S1!V9)*D19</f>
        <v>-566.911515504543</v>
      </c>
    </row>
    <row r="20" customFormat="false" ht="15" hidden="false" customHeight="false" outlineLevel="0" collapsed="false">
      <c r="A20" s="0" t="n">
        <v>2033</v>
      </c>
      <c r="B20" s="0" t="n">
        <v>7</v>
      </c>
      <c r="C20" s="0" t="n">
        <f aca="false">IF(B20&lt;x_H,(1+x_dk)^(-B20),0)</f>
        <v>0.710681330130121</v>
      </c>
      <c r="D20" s="0" t="n">
        <f aca="false">IF(B20&lt;x_H,(1+x_de)^(-B20),0)</f>
        <v>0.785990960683819</v>
      </c>
      <c r="E20" s="0" t="n">
        <f aca="false">(L_I5!AO10-L_S1!AO10)*C20</f>
        <v>-21674271.7232314</v>
      </c>
      <c r="F20" s="0" t="n">
        <f aca="false">(L_I5!AP10-L_S1!AP10)*C20</f>
        <v>-11080915.9279762</v>
      </c>
      <c r="G20" s="0" t="n">
        <f aca="false">(L_I5!AQ10-L_S1!AQ10)*C20</f>
        <v>-8056939.27084551</v>
      </c>
      <c r="H20" s="0" t="n">
        <f aca="false">(L_I5!AS10-L_S1!AS10)*C20</f>
        <v>-29386693.1010858</v>
      </c>
      <c r="I20" s="0" t="n">
        <f aca="false">I19+E20</f>
        <v>-254051755.890256</v>
      </c>
      <c r="J20" s="0" t="n">
        <f aca="false">J19+F20</f>
        <v>-211926685.051701</v>
      </c>
      <c r="K20" s="0" t="n">
        <f aca="false">K19+G20</f>
        <v>-204534708.331543</v>
      </c>
      <c r="L20" s="0" t="n">
        <f aca="false">MAX(L19,J20)</f>
        <v>-41846422.586839</v>
      </c>
      <c r="M20" s="0" t="n">
        <f aca="false">IF(AND(B20&lt;x_H,J20&lt;=0,L19&gt;0),1,0)</f>
        <v>0</v>
      </c>
      <c r="N20" s="0" t="n">
        <f aca="false">IF(AND(B20&lt;x_H,I20&lt;=0,O19&gt;0),1,0)</f>
        <v>0</v>
      </c>
      <c r="O20" s="0" t="n">
        <f aca="false">MAX(O19,I20)</f>
        <v>-42278156.6512682</v>
      </c>
      <c r="P20" s="0" t="n">
        <f aca="false">(L_I5!V10-L_S1!V10)*D20</f>
        <v>-642.173478661741</v>
      </c>
    </row>
    <row r="21" customFormat="false" ht="15" hidden="false" customHeight="false" outlineLevel="0" collapsed="false">
      <c r="A21" s="0" t="n">
        <v>2034</v>
      </c>
      <c r="B21" s="0" t="n">
        <v>8</v>
      </c>
      <c r="C21" s="0" t="n">
        <f aca="false">IF(B21&lt;x_H,(1+x_dk)^(-B21),0)</f>
        <v>0.676839362028687</v>
      </c>
      <c r="D21" s="0" t="n">
        <f aca="false">IF(B21&lt;x_H,(1+x_de)^(-B21),0)</f>
        <v>0.759411556216251</v>
      </c>
      <c r="E21" s="0" t="n">
        <f aca="false">(L_I5!AO11-L_S1!AO11)*C21</f>
        <v>-19056527.1130565</v>
      </c>
      <c r="F21" s="0" t="n">
        <f aca="false">(L_I5!AP11-L_S1!AP11)*C21</f>
        <v>-6695665.84823918</v>
      </c>
      <c r="G21" s="0" t="n">
        <f aca="false">(L_I5!AQ11-L_S1!AQ11)*C21</f>
        <v>-2555487.3096584</v>
      </c>
      <c r="H21" s="0" t="n">
        <f aca="false">(L_I5!AS11-L_S1!AS11)*C21</f>
        <v>-27987326.7629388</v>
      </c>
      <c r="I21" s="0" t="n">
        <f aca="false">I20+E21</f>
        <v>-273108283.003313</v>
      </c>
      <c r="J21" s="0" t="n">
        <f aca="false">J20+F21</f>
        <v>-218622350.899941</v>
      </c>
      <c r="K21" s="0" t="n">
        <f aca="false">K20+G21</f>
        <v>-207090195.641202</v>
      </c>
      <c r="L21" s="0" t="n">
        <f aca="false">MAX(L20,J21)</f>
        <v>-41846422.586839</v>
      </c>
      <c r="M21" s="0" t="n">
        <f aca="false">IF(AND(B21&lt;x_H,J21&lt;=0,L20&gt;0),1,0)</f>
        <v>0</v>
      </c>
      <c r="N21" s="0" t="n">
        <f aca="false">IF(AND(B21&lt;x_H,I21&lt;=0,O20&gt;0),1,0)</f>
        <v>0</v>
      </c>
      <c r="O21" s="0" t="n">
        <f aca="false">MAX(O20,I21)</f>
        <v>-42278156.6512682</v>
      </c>
      <c r="P21" s="0" t="n">
        <f aca="false">(L_I5!V11-L_S1!V11)*D21</f>
        <v>-717.145746643477</v>
      </c>
    </row>
    <row r="22" customFormat="false" ht="15" hidden="false" customHeight="false" outlineLevel="0" collapsed="false">
      <c r="A22" s="0" t="n">
        <v>2035</v>
      </c>
      <c r="B22" s="0" t="n">
        <v>9</v>
      </c>
      <c r="C22" s="0" t="n">
        <f aca="false">IF(B22&lt;x_H,(1+x_dk)^(-B22),0)</f>
        <v>0.644608916217797</v>
      </c>
      <c r="D22" s="0" t="n">
        <f aca="false">IF(B22&lt;x_H,(1+x_de)^(-B22),0)</f>
        <v>0.733730972189614</v>
      </c>
      <c r="E22" s="0" t="n">
        <f aca="false">(L_I5!AO12-L_S1!AO12)*C22</f>
        <v>-16562779.285097</v>
      </c>
      <c r="F22" s="0" t="n">
        <f aca="false">(L_I5!AP12-L_S1!AP12)*C22</f>
        <v>-2360195.18143124</v>
      </c>
      <c r="G22" s="0" t="n">
        <f aca="false">(L_I5!AQ12-L_S1!AQ12)*C22</f>
        <v>3055916.29084096</v>
      </c>
      <c r="H22" s="0" t="n">
        <f aca="false">(L_I5!AS12-L_S1!AS12)*C22</f>
        <v>-26654596.9170846</v>
      </c>
      <c r="I22" s="0" t="n">
        <f aca="false">I21+E22</f>
        <v>-289671062.28841</v>
      </c>
      <c r="J22" s="0" t="n">
        <f aca="false">J21+F22</f>
        <v>-220982546.081372</v>
      </c>
      <c r="K22" s="0" t="n">
        <f aca="false">K21+G22</f>
        <v>-204034279.350361</v>
      </c>
      <c r="L22" s="0" t="n">
        <f aca="false">MAX(L21,J22)</f>
        <v>-41846422.586839</v>
      </c>
      <c r="M22" s="0" t="n">
        <f aca="false">IF(AND(B22&lt;x_H,J22&lt;=0,L21&gt;0),1,0)</f>
        <v>0</v>
      </c>
      <c r="N22" s="0" t="n">
        <f aca="false">IF(AND(B22&lt;x_H,I22&lt;=0,O21&gt;0),1,0)</f>
        <v>0</v>
      </c>
      <c r="O22" s="0" t="n">
        <f aca="false">MAX(O21,I22)</f>
        <v>-42278156.6512682</v>
      </c>
      <c r="P22" s="0" t="n">
        <f aca="false">(L_I5!V12-L_S1!V12)*D22</f>
        <v>-791.490274320381</v>
      </c>
    </row>
    <row r="23" customFormat="false" ht="15" hidden="false" customHeight="false" outlineLevel="0" collapsed="false">
      <c r="A23" s="0" t="n">
        <v>2036</v>
      </c>
      <c r="B23" s="0" t="n">
        <v>10</v>
      </c>
      <c r="C23" s="0" t="n">
        <f aca="false">IF(B23&lt;x_H,(1+x_dk)^(-B23),0)</f>
        <v>0.613913253540759</v>
      </c>
      <c r="D23" s="0" t="n">
        <f aca="false">IF(B23&lt;x_H,(1+x_de)^(-B23),0)</f>
        <v>0.708918813709772</v>
      </c>
      <c r="E23" s="0" t="n">
        <f aca="false">(L_I5!AO13-L_S1!AO13)*C23</f>
        <v>-14208261.8395196</v>
      </c>
      <c r="F23" s="0" t="n">
        <f aca="false">(L_I5!AP13-L_S1!AP13)*C23</f>
        <v>1898226.04809261</v>
      </c>
      <c r="G23" s="0" t="n">
        <f aca="false">(L_I5!AQ13-L_S1!AQ13)*C23</f>
        <v>8736306.39117607</v>
      </c>
      <c r="H23" s="0" t="n">
        <f aca="false">(L_I5!AS13-L_S1!AS13)*C23</f>
        <v>-25385330.3972234</v>
      </c>
      <c r="I23" s="0" t="n">
        <f aca="false">I22+E23</f>
        <v>-303879324.127929</v>
      </c>
      <c r="J23" s="0" t="n">
        <f aca="false">J22+F23</f>
        <v>-219084320.033279</v>
      </c>
      <c r="K23" s="0" t="n">
        <f aca="false">K22+G23</f>
        <v>-195297972.959185</v>
      </c>
      <c r="L23" s="0" t="n">
        <f aca="false">MAX(L22,J23)</f>
        <v>-41846422.586839</v>
      </c>
      <c r="M23" s="0" t="n">
        <f aca="false">IF(AND(B23&lt;x_H,J23&lt;=0,L22&gt;0),1,0)</f>
        <v>0</v>
      </c>
      <c r="N23" s="0" t="n">
        <f aca="false">IF(AND(B23&lt;x_H,I23&lt;=0,O22&gt;0),1,0)</f>
        <v>0</v>
      </c>
      <c r="O23" s="0" t="n">
        <f aca="false">MAX(O22,I23)</f>
        <v>-42278156.6512682</v>
      </c>
      <c r="P23" s="0" t="n">
        <f aca="false">(L_I5!V13-L_S1!V13)*D23</f>
        <v>-864.818567870324</v>
      </c>
    </row>
    <row r="24" customFormat="false" ht="15" hidden="false" customHeight="false" outlineLevel="0" collapsed="false">
      <c r="A24" s="0" t="n">
        <v>2037</v>
      </c>
      <c r="B24" s="0" t="n">
        <v>11</v>
      </c>
      <c r="C24" s="0" t="n">
        <f aca="false">IF(B24&lt;x_H,(1+x_dk)^(-B24),0)</f>
        <v>0.584679289086437</v>
      </c>
      <c r="D24" s="0" t="n">
        <f aca="false">IF(B24&lt;x_H,(1+x_de)^(-B24),0)</f>
        <v>0.684945713729249</v>
      </c>
      <c r="E24" s="0" t="n">
        <f aca="false">(L_I5!AO14-L_S1!AO14)*C24</f>
        <v>-12007030.3735531</v>
      </c>
      <c r="F24" s="0" t="n">
        <f aca="false">(L_I5!AP14-L_S1!AP14)*C24</f>
        <v>6050399.73079487</v>
      </c>
      <c r="G24" s="0" t="n">
        <f aca="false">(L_I5!AQ14-L_S1!AQ14)*C24</f>
        <v>14439607.8417386</v>
      </c>
      <c r="H24" s="0" t="n">
        <f aca="false">(L_I5!AS14-L_S1!AS14)*C24</f>
        <v>-24176505.1402128</v>
      </c>
      <c r="I24" s="0" t="n">
        <f aca="false">I23+E24</f>
        <v>-315886354.501482</v>
      </c>
      <c r="J24" s="0" t="n">
        <f aca="false">J23+F24</f>
        <v>-213033920.302484</v>
      </c>
      <c r="K24" s="0" t="n">
        <f aca="false">K23+G24</f>
        <v>-180858365.117446</v>
      </c>
      <c r="L24" s="0" t="n">
        <f aca="false">MAX(L23,J24)</f>
        <v>-41846422.586839</v>
      </c>
      <c r="M24" s="0" t="n">
        <f aca="false">IF(AND(B24&lt;x_H,J24&lt;=0,L23&gt;0),1,0)</f>
        <v>0</v>
      </c>
      <c r="N24" s="0" t="n">
        <f aca="false">IF(AND(B24&lt;x_H,I24&lt;=0,O23&gt;0),1,0)</f>
        <v>0</v>
      </c>
      <c r="O24" s="0" t="n">
        <f aca="false">MAX(O23,I24)</f>
        <v>-42278156.6512682</v>
      </c>
      <c r="P24" s="0" t="n">
        <f aca="false">(L_I5!V14-L_S1!V14)*D24</f>
        <v>-936.698195756142</v>
      </c>
    </row>
    <row r="25" customFormat="false" ht="15" hidden="false" customHeight="false" outlineLevel="0" collapsed="false">
      <c r="A25" s="0" t="n">
        <v>2038</v>
      </c>
      <c r="B25" s="0" t="n">
        <v>12</v>
      </c>
      <c r="C25" s="0" t="n">
        <f aca="false">IF(B25&lt;x_H,(1+x_dk)^(-B25),0)</f>
        <v>0.556837418177559</v>
      </c>
      <c r="D25" s="0" t="n">
        <f aca="false">IF(B25&lt;x_H,(1+x_de)^(-B25),0)</f>
        <v>0.661783298289129</v>
      </c>
      <c r="E25" s="0" t="n">
        <f aca="false">(L_I5!AO15-L_S1!AO15)*C25</f>
        <v>-9970159.26434083</v>
      </c>
      <c r="F25" s="0" t="n">
        <f aca="false">(L_I5!AP15-L_S1!AP15)*C25</f>
        <v>3534809.60744371</v>
      </c>
      <c r="G25" s="0" t="n">
        <f aca="false">(L_I5!AQ15-L_S1!AQ15)*C25</f>
        <v>9584629.93568013</v>
      </c>
      <c r="H25" s="0" t="n">
        <f aca="false">(L_I5!AS15-L_S1!AS15)*C25</f>
        <v>-23025242.9906789</v>
      </c>
      <c r="I25" s="0" t="n">
        <f aca="false">I24+E25</f>
        <v>-325856513.765823</v>
      </c>
      <c r="J25" s="0" t="n">
        <f aca="false">J24+F25</f>
        <v>-209499110.695041</v>
      </c>
      <c r="K25" s="0" t="n">
        <f aca="false">K24+G25</f>
        <v>-171273735.181766</v>
      </c>
      <c r="L25" s="0" t="n">
        <f aca="false">MAX(L24,J25)</f>
        <v>-41846422.586839</v>
      </c>
      <c r="M25" s="0" t="n">
        <f aca="false">IF(AND(B25&lt;x_H,J25&lt;=0,L24&gt;0),1,0)</f>
        <v>0</v>
      </c>
      <c r="N25" s="0" t="n">
        <f aca="false">IF(AND(B25&lt;x_H,I25&lt;=0,O24&gt;0),1,0)</f>
        <v>0</v>
      </c>
      <c r="O25" s="0" t="n">
        <f aca="false">MAX(O24,I25)</f>
        <v>-42278156.6512682</v>
      </c>
      <c r="P25" s="0" t="n">
        <f aca="false">(L_I5!V15-L_S1!V15)*D25</f>
        <v>-1006.66901705931</v>
      </c>
    </row>
    <row r="26" customFormat="false" ht="15" hidden="false" customHeight="false" outlineLevel="0" collapsed="false">
      <c r="A26" s="0" t="n">
        <v>2039</v>
      </c>
      <c r="B26" s="0" t="n">
        <v>13</v>
      </c>
      <c r="C26" s="0" t="n">
        <f aca="false">IF(B26&lt;x_H,(1+x_dk)^(-B26),0)</f>
        <v>0.530321350645295</v>
      </c>
      <c r="D26" s="0" t="n">
        <f aca="false">IF(B26&lt;x_H,(1+x_de)^(-B26),0)</f>
        <v>0.639404152936357</v>
      </c>
      <c r="E26" s="0" t="n">
        <f aca="false">(L_I5!AO16-L_S1!AO16)*C26</f>
        <v>-8106627.70957003</v>
      </c>
      <c r="F26" s="0" t="n">
        <f aca="false">(L_I5!AP16-L_S1!AP16)*C26</f>
        <v>544052.362377864</v>
      </c>
      <c r="G26" s="0" t="n">
        <f aca="false">(L_I5!AQ16-L_S1!AQ16)*C26</f>
        <v>3932014.24289442</v>
      </c>
      <c r="H26" s="0" t="n">
        <f aca="false">(L_I5!AS16-L_S1!AS16)*C26</f>
        <v>-21928802.8482656</v>
      </c>
      <c r="I26" s="0" t="n">
        <f aca="false">I25+E26</f>
        <v>-333963141.475393</v>
      </c>
      <c r="J26" s="0" t="n">
        <f aca="false">J25+F26</f>
        <v>-208955058.332663</v>
      </c>
      <c r="K26" s="0" t="n">
        <f aca="false">K25+G26</f>
        <v>-167341720.938872</v>
      </c>
      <c r="L26" s="0" t="n">
        <f aca="false">MAX(L25,J26)</f>
        <v>-41846422.586839</v>
      </c>
      <c r="M26" s="0" t="n">
        <f aca="false">IF(AND(B26&lt;x_H,J26&lt;=0,L25&gt;0),1,0)</f>
        <v>0</v>
      </c>
      <c r="N26" s="0" t="n">
        <f aca="false">IF(AND(B26&lt;x_H,I26&lt;=0,O25&gt;0),1,0)</f>
        <v>0</v>
      </c>
      <c r="O26" s="0" t="n">
        <f aca="false">MAX(O25,I26)</f>
        <v>-42278156.6512682</v>
      </c>
      <c r="P26" s="0" t="n">
        <f aca="false">(L_I5!V16-L_S1!V16)*D26</f>
        <v>-1074.25396569023</v>
      </c>
    </row>
    <row r="27" customFormat="false" ht="15" hidden="false" customHeight="false" outlineLevel="0" collapsed="false">
      <c r="A27" s="0" t="n">
        <v>2040</v>
      </c>
      <c r="B27" s="0" t="n">
        <v>14</v>
      </c>
      <c r="C27" s="0" t="n">
        <f aca="false">IF(B27&lt;x_H,(1+x_dk)^(-B27),0)</f>
        <v>0.505067952995519</v>
      </c>
      <c r="D27" s="0" t="n">
        <f aca="false">IF(B27&lt;x_H,(1+x_de)^(-B27),0)</f>
        <v>0.617781790276673</v>
      </c>
      <c r="E27" s="0" t="n">
        <f aca="false">(L_I5!AO17-L_S1!AO17)*C27</f>
        <v>-6421121.02728824</v>
      </c>
      <c r="F27" s="0" t="n">
        <f aca="false">(L_I5!AP17-L_S1!AP17)*C27</f>
        <v>3011302.94886783</v>
      </c>
      <c r="G27" s="0" t="n">
        <f aca="false">(L_I5!AQ17-L_S1!AQ17)*C27</f>
        <v>7038711.19171966</v>
      </c>
      <c r="H27" s="0" t="n">
        <f aca="false">(L_I5!AS17-L_S1!AS17)*C27</f>
        <v>-20884574.1412053</v>
      </c>
      <c r="I27" s="0" t="n">
        <f aca="false">I26+E27</f>
        <v>-340384262.502681</v>
      </c>
      <c r="J27" s="0" t="n">
        <f aca="false">J26+F27</f>
        <v>-205943755.383795</v>
      </c>
      <c r="K27" s="0" t="n">
        <f aca="false">K26+G27</f>
        <v>-160303009.747152</v>
      </c>
      <c r="L27" s="0" t="n">
        <f aca="false">MAX(L26,J27)</f>
        <v>-41846422.586839</v>
      </c>
      <c r="M27" s="0" t="n">
        <f aca="false">IF(AND(B27&lt;x_H,J27&lt;=0,L26&gt;0),1,0)</f>
        <v>0</v>
      </c>
      <c r="N27" s="0" t="n">
        <f aca="false">IF(AND(B27&lt;x_H,I27&lt;=0,O26&gt;0),1,0)</f>
        <v>0</v>
      </c>
      <c r="O27" s="0" t="n">
        <f aca="false">MAX(O26,I27)</f>
        <v>-42278156.6512682</v>
      </c>
      <c r="P27" s="0" t="n">
        <f aca="false">(L_I5!V17-L_S1!V17)*D27</f>
        <v>-1139.01355345996</v>
      </c>
    </row>
    <row r="28" customFormat="false" ht="15" hidden="false" customHeight="false" outlineLevel="0" collapsed="false">
      <c r="A28" s="0" t="n">
        <v>2041</v>
      </c>
      <c r="B28" s="0" t="n">
        <v>15</v>
      </c>
      <c r="C28" s="0" t="n">
        <f aca="false">IF(B28&lt;x_H,(1+x_dk)^(-B28),0)</f>
        <v>0.48101709809097</v>
      </c>
      <c r="D28" s="0" t="n">
        <f aca="false">IF(B28&lt;x_H,(1+x_de)^(-B28),0)</f>
        <v>0.596890618624805</v>
      </c>
      <c r="E28" s="0" t="n">
        <f aca="false">(L_I5!AO18-L_S1!AO18)*C28</f>
        <v>-4915178.4467774</v>
      </c>
      <c r="F28" s="0" t="n">
        <f aca="false">(L_I5!AP18-L_S1!AP18)*C28</f>
        <v>5314115.77649259</v>
      </c>
      <c r="G28" s="0" t="n">
        <f aca="false">(L_I5!AQ18-L_S1!AQ18)*C28</f>
        <v>10031535.4084651</v>
      </c>
      <c r="H28" s="0" t="n">
        <f aca="false">(L_I5!AS18-L_S1!AS18)*C28</f>
        <v>-19890070.6106717</v>
      </c>
      <c r="I28" s="0" t="n">
        <f aca="false">I27+E28</f>
        <v>-345299440.949459</v>
      </c>
      <c r="J28" s="0" t="n">
        <f aca="false">J27+F28</f>
        <v>-200629639.607302</v>
      </c>
      <c r="K28" s="0" t="n">
        <f aca="false">K27+G28</f>
        <v>-150271474.338687</v>
      </c>
      <c r="L28" s="0" t="n">
        <f aca="false">MAX(L27,J28)</f>
        <v>-41846422.586839</v>
      </c>
      <c r="M28" s="0" t="n">
        <f aca="false">IF(AND(B28&lt;x_H,J28&lt;=0,L27&gt;0),1,0)</f>
        <v>0</v>
      </c>
      <c r="N28" s="0" t="n">
        <f aca="false">IF(AND(B28&lt;x_H,I28&lt;=0,O27&gt;0),1,0)</f>
        <v>0</v>
      </c>
      <c r="O28" s="0" t="n">
        <f aca="false">MAX(O27,I28)</f>
        <v>-42278156.6512682</v>
      </c>
      <c r="P28" s="0" t="n">
        <f aca="false">(L_I5!V18-L_S1!V18)*D28</f>
        <v>-1200.61802239534</v>
      </c>
    </row>
    <row r="29" customFormat="false" ht="15" hidden="false" customHeight="false" outlineLevel="0" collapsed="false">
      <c r="A29" s="0" t="n">
        <v>2042</v>
      </c>
      <c r="B29" s="0" t="n">
        <v>16</v>
      </c>
      <c r="C29" s="0" t="n">
        <f aca="false">IF(B29&lt;x_H,(1+x_dk)^(-B29),0)</f>
        <v>0.4581115219914</v>
      </c>
      <c r="D29" s="0" t="n">
        <f aca="false">IF(B29&lt;x_H,(1+x_de)^(-B29),0)</f>
        <v>0.576705911714788</v>
      </c>
      <c r="E29" s="0" t="n">
        <f aca="false">(L_I5!AO19-L_S1!AO19)*C29</f>
        <v>-3586746.81873153</v>
      </c>
      <c r="F29" s="0" t="n">
        <f aca="false">(L_I5!AP19-L_S1!AP19)*C29</f>
        <v>7455960.37979646</v>
      </c>
      <c r="G29" s="0" t="n">
        <f aca="false">(L_I5!AQ19-L_S1!AQ19)*C29</f>
        <v>12912053.9606745</v>
      </c>
      <c r="H29" s="0" t="n">
        <f aca="false">(L_I5!AS19-L_S1!AS19)*C29</f>
        <v>-18942924.3911159</v>
      </c>
      <c r="I29" s="0" t="n">
        <f aca="false">I28+E29</f>
        <v>-348886187.76819</v>
      </c>
      <c r="J29" s="0" t="n">
        <f aca="false">J28+F29</f>
        <v>-193173679.227506</v>
      </c>
      <c r="K29" s="0" t="n">
        <f aca="false">K28+G29</f>
        <v>-137359420.378012</v>
      </c>
      <c r="L29" s="0" t="n">
        <f aca="false">MAX(L28,J29)</f>
        <v>-41846422.586839</v>
      </c>
      <c r="M29" s="0" t="n">
        <f aca="false">IF(AND(B29&lt;x_H,J29&lt;=0,L28&gt;0),1,0)</f>
        <v>0</v>
      </c>
      <c r="N29" s="0" t="n">
        <f aca="false">IF(AND(B29&lt;x_H,I29&lt;=0,O28&gt;0),1,0)</f>
        <v>0</v>
      </c>
      <c r="O29" s="0" t="n">
        <f aca="false">MAX(O28,I29)</f>
        <v>-42278156.6512682</v>
      </c>
      <c r="P29" s="0" t="n">
        <f aca="false">(L_I5!V19-L_S1!V19)*D29</f>
        <v>-1258.50090477998</v>
      </c>
    </row>
    <row r="30" customFormat="false" ht="15" hidden="false" customHeight="false" outlineLevel="0" collapsed="false">
      <c r="A30" s="0" t="n">
        <v>2043</v>
      </c>
      <c r="B30" s="0" t="n">
        <v>17</v>
      </c>
      <c r="C30" s="0" t="n">
        <f aca="false">IF(B30&lt;x_H,(1+x_dk)^(-B30),0)</f>
        <v>0.436296687610857</v>
      </c>
      <c r="D30" s="0" t="n">
        <f aca="false">IF(B30&lt;x_H,(1+x_de)^(-B30),0)</f>
        <v>0.557203779434577</v>
      </c>
      <c r="E30" s="0" t="n">
        <f aca="false">(L_I5!AO20-L_S1!AO20)*C30</f>
        <v>-2422994.3934388</v>
      </c>
      <c r="F30" s="0" t="n">
        <f aca="false">(L_I5!AP20-L_S1!AP20)*C30</f>
        <v>9451618.675737</v>
      </c>
      <c r="G30" s="0" t="n">
        <f aca="false">(L_I5!AQ20-L_S1!AQ20)*C30</f>
        <v>15692924.908673</v>
      </c>
      <c r="H30" s="0" t="n">
        <f aca="false">(L_I5!AS20-L_S1!AS20)*C30</f>
        <v>-18040880.3724914</v>
      </c>
      <c r="I30" s="0" t="n">
        <f aca="false">I29+E30</f>
        <v>-351309182.161629</v>
      </c>
      <c r="J30" s="0" t="n">
        <f aca="false">J29+F30</f>
        <v>-183722060.551769</v>
      </c>
      <c r="K30" s="0" t="n">
        <f aca="false">K29+G30</f>
        <v>-121666495.469339</v>
      </c>
      <c r="L30" s="0" t="n">
        <f aca="false">MAX(L29,J30)</f>
        <v>-41846422.586839</v>
      </c>
      <c r="M30" s="0" t="n">
        <f aca="false">IF(AND(B30&lt;x_H,J30&lt;=0,L29&gt;0),1,0)</f>
        <v>0</v>
      </c>
      <c r="N30" s="0" t="n">
        <f aca="false">IF(AND(B30&lt;x_H,I30&lt;=0,O29&gt;0),1,0)</f>
        <v>0</v>
      </c>
      <c r="O30" s="0" t="n">
        <f aca="false">MAX(O29,I30)</f>
        <v>-42278156.6512682</v>
      </c>
      <c r="P30" s="0" t="n">
        <f aca="false">(L_I5!V20-L_S1!V20)*D30</f>
        <v>-1313.07020836986</v>
      </c>
    </row>
    <row r="31" customFormat="false" ht="15" hidden="false" customHeight="false" outlineLevel="0" collapsed="false">
      <c r="A31" s="0" t="n">
        <v>2044</v>
      </c>
      <c r="B31" s="0" t="n">
        <v>18</v>
      </c>
      <c r="C31" s="0" t="n">
        <f aca="false">IF(B31&lt;x_H,(1+x_dk)^(-B31),0)</f>
        <v>0.415520654867483</v>
      </c>
      <c r="D31" s="0" t="n">
        <f aca="false">IF(B31&lt;x_H,(1+x_de)^(-B31),0)</f>
        <v>0.538361139550316</v>
      </c>
      <c r="E31" s="0" t="n">
        <f aca="false">(L_I5!AO21-L_S1!AO21)*C31</f>
        <v>-1410015.8299685</v>
      </c>
      <c r="F31" s="0" t="n">
        <f aca="false">(L_I5!AP21-L_S1!AP21)*C31</f>
        <v>11317063.9663202</v>
      </c>
      <c r="G31" s="0" t="n">
        <f aca="false">(L_I5!AQ21-L_S1!AQ21)*C31</f>
        <v>18387739.7291681</v>
      </c>
      <c r="H31" s="0" t="n">
        <f aca="false">(L_I5!AS21-L_S1!AS21)*C31</f>
        <v>-17181790.8309441</v>
      </c>
      <c r="I31" s="0" t="n">
        <f aca="false">I30+E31</f>
        <v>-352719197.991598</v>
      </c>
      <c r="J31" s="0" t="n">
        <f aca="false">J30+F31</f>
        <v>-172404996.585449</v>
      </c>
      <c r="K31" s="0" t="n">
        <f aca="false">K30+G31</f>
        <v>-103278755.740171</v>
      </c>
      <c r="L31" s="0" t="n">
        <f aca="false">MAX(L30,J31)</f>
        <v>-41846422.586839</v>
      </c>
      <c r="M31" s="0" t="n">
        <f aca="false">IF(AND(B31&lt;x_H,J31&lt;=0,L30&gt;0),1,0)</f>
        <v>0</v>
      </c>
      <c r="N31" s="0" t="n">
        <f aca="false">IF(AND(B31&lt;x_H,I31&lt;=0,O30&gt;0),1,0)</f>
        <v>0</v>
      </c>
      <c r="O31" s="0" t="n">
        <f aca="false">MAX(O30,I31)</f>
        <v>-42278156.6512682</v>
      </c>
      <c r="P31" s="0" t="n">
        <f aca="false">(L_I5!V21-L_S1!V21)*D31</f>
        <v>-1364.66150442227</v>
      </c>
    </row>
    <row r="32" customFormat="false" ht="15" hidden="false" customHeight="false" outlineLevel="0" collapsed="false">
      <c r="A32" s="0" t="n">
        <v>2045</v>
      </c>
      <c r="B32" s="0" t="n">
        <v>19</v>
      </c>
      <c r="C32" s="0" t="n">
        <f aca="false">IF(B32&lt;x_H,(1+x_dk)^(-B32),0)</f>
        <v>0.39573395701665</v>
      </c>
      <c r="D32" s="0" t="n">
        <f aca="false">IF(B32&lt;x_H,(1+x_de)^(-B32),0)</f>
        <v>0.520155690386779</v>
      </c>
      <c r="E32" s="0" t="n">
        <f aca="false">(L_I5!AO22-L_S1!AO22)*C32</f>
        <v>-534514.608231471</v>
      </c>
      <c r="F32" s="0" t="n">
        <f aca="false">(L_I5!AP22-L_S1!AP22)*C32</f>
        <v>13067529.146542</v>
      </c>
      <c r="G32" s="0" t="n">
        <f aca="false">(L_I5!AQ22-L_S1!AQ22)*C32</f>
        <v>21009170.3587777</v>
      </c>
      <c r="H32" s="0" t="n">
        <f aca="false">(L_I5!AS22-L_S1!AS22)*C32</f>
        <v>-16363610.3151849</v>
      </c>
      <c r="I32" s="0" t="n">
        <f aca="false">I31+E32</f>
        <v>-353253712.599829</v>
      </c>
      <c r="J32" s="0" t="n">
        <f aca="false">J31+F32</f>
        <v>-159337467.438907</v>
      </c>
      <c r="K32" s="0" t="n">
        <f aca="false">K31+G32</f>
        <v>-82269585.3813936</v>
      </c>
      <c r="L32" s="0" t="n">
        <f aca="false">MAX(L31,J32)</f>
        <v>-41846422.586839</v>
      </c>
      <c r="M32" s="0" t="n">
        <f aca="false">IF(AND(B32&lt;x_H,J32&lt;=0,L31&gt;0),1,0)</f>
        <v>0</v>
      </c>
      <c r="N32" s="0" t="n">
        <f aca="false">IF(AND(B32&lt;x_H,I32&lt;=0,O31&gt;0),1,0)</f>
        <v>0</v>
      </c>
      <c r="O32" s="0" t="n">
        <f aca="false">MAX(O31,I32)</f>
        <v>-42278156.6512682</v>
      </c>
      <c r="P32" s="0" t="n">
        <f aca="false">(L_I5!V22-L_S1!V22)*D32</f>
        <v>-1412.91814755815</v>
      </c>
    </row>
    <row r="33" customFormat="false" ht="15" hidden="false" customHeight="false" outlineLevel="0" collapsed="false">
      <c r="A33" s="0" t="n">
        <v>2046</v>
      </c>
      <c r="B33" s="0" t="n">
        <v>20</v>
      </c>
      <c r="C33" s="0" t="n">
        <f aca="false">IF(B33&lt;x_H,(1+x_dk)^(-B33),0)</f>
        <v>0</v>
      </c>
      <c r="D33" s="0" t="n">
        <f aca="false">IF(B33&lt;x_H,(1+x_de)^(-B33),0)</f>
        <v>0</v>
      </c>
      <c r="E33" s="0" t="n">
        <f aca="false">(L_I5!AO23-L_S1!AO23)*C33</f>
        <v>0</v>
      </c>
      <c r="F33" s="0" t="n">
        <f aca="false">(L_I5!AP23-L_S1!AP23)*C33</f>
        <v>0</v>
      </c>
      <c r="G33" s="0" t="n">
        <f aca="false">(L_I5!AQ23-L_S1!AQ23)*C33</f>
        <v>0</v>
      </c>
      <c r="H33" s="0" t="n">
        <f aca="false">(L_I5!AS23-L_S1!AS23)*C33</f>
        <v>-0</v>
      </c>
      <c r="I33" s="0" t="n">
        <f aca="false">I32+E33</f>
        <v>-353253712.599829</v>
      </c>
      <c r="J33" s="0" t="n">
        <f aca="false">J32+F33</f>
        <v>-159337467.438907</v>
      </c>
      <c r="K33" s="0" t="n">
        <f aca="false">K32+G33</f>
        <v>-82269585.3813936</v>
      </c>
      <c r="L33" s="0" t="n">
        <f aca="false">MAX(L32,J33)</f>
        <v>-41846422.586839</v>
      </c>
      <c r="M33" s="0" t="n">
        <f aca="false">IF(AND(B33&lt;x_H,J33&lt;=0,L32&gt;0),1,0)</f>
        <v>0</v>
      </c>
      <c r="N33" s="0" t="n">
        <f aca="false">IF(AND(B33&lt;x_H,I33&lt;=0,O32&gt;0),1,0)</f>
        <v>0</v>
      </c>
      <c r="O33" s="0" t="n">
        <f aca="false">MAX(O32,I33)</f>
        <v>-42278156.6512682</v>
      </c>
      <c r="P33" s="0" t="n">
        <f aca="false">(L_I5!V23-L_S1!V23)*D33</f>
        <v>-0</v>
      </c>
    </row>
    <row r="34" customFormat="false" ht="15" hidden="false" customHeight="false" outlineLevel="0" collapsed="false">
      <c r="A34" s="0" t="n">
        <v>2047</v>
      </c>
      <c r="B34" s="0" t="n">
        <v>21</v>
      </c>
      <c r="C34" s="0" t="n">
        <f aca="false">IF(B34&lt;x_H,(1+x_dk)^(-B34),0)</f>
        <v>0</v>
      </c>
      <c r="D34" s="0" t="n">
        <f aca="false">IF(B34&lt;x_H,(1+x_de)^(-B34),0)</f>
        <v>0</v>
      </c>
      <c r="E34" s="0" t="n">
        <f aca="false">(L_I5!AO24-L_S1!AO24)*C34</f>
        <v>0</v>
      </c>
      <c r="F34" s="0" t="n">
        <f aca="false">(L_I5!AP24-L_S1!AP24)*C34</f>
        <v>0</v>
      </c>
      <c r="G34" s="0" t="n">
        <f aca="false">(L_I5!AQ24-L_S1!AQ24)*C34</f>
        <v>0</v>
      </c>
      <c r="H34" s="0" t="n">
        <f aca="false">(L_I5!AS24-L_S1!AS24)*C34</f>
        <v>-0</v>
      </c>
      <c r="I34" s="0" t="n">
        <f aca="false">I33+E34</f>
        <v>-353253712.599829</v>
      </c>
      <c r="J34" s="0" t="n">
        <f aca="false">J33+F34</f>
        <v>-159337467.438907</v>
      </c>
      <c r="K34" s="0" t="n">
        <f aca="false">K33+G34</f>
        <v>-82269585.3813936</v>
      </c>
      <c r="L34" s="0" t="n">
        <f aca="false">MAX(L33,J34)</f>
        <v>-41846422.586839</v>
      </c>
      <c r="M34" s="0" t="n">
        <f aca="false">IF(AND(B34&lt;x_H,J34&lt;=0,L33&gt;0),1,0)</f>
        <v>0</v>
      </c>
      <c r="N34" s="0" t="n">
        <f aca="false">IF(AND(B34&lt;x_H,I34&lt;=0,O33&gt;0),1,0)</f>
        <v>0</v>
      </c>
      <c r="O34" s="0" t="n">
        <f aca="false">MAX(O33,I34)</f>
        <v>-42278156.6512682</v>
      </c>
      <c r="P34" s="0" t="n">
        <f aca="false">(L_I5!V24-L_S1!V24)*D34</f>
        <v>-0</v>
      </c>
    </row>
    <row r="35" customFormat="false" ht="15" hidden="false" customHeight="false" outlineLevel="0" collapsed="false">
      <c r="A35" s="0" t="n">
        <v>2048</v>
      </c>
      <c r="B35" s="0" t="n">
        <v>22</v>
      </c>
      <c r="C35" s="0" t="n">
        <f aca="false">IF(B35&lt;x_H,(1+x_dk)^(-B35),0)</f>
        <v>0</v>
      </c>
      <c r="D35" s="0" t="n">
        <f aca="false">IF(B35&lt;x_H,(1+x_de)^(-B35),0)</f>
        <v>0</v>
      </c>
      <c r="E35" s="0" t="n">
        <f aca="false">(L_I5!AO25-L_S1!AO25)*C35</f>
        <v>0</v>
      </c>
      <c r="F35" s="0" t="n">
        <f aca="false">(L_I5!AP25-L_S1!AP25)*C35</f>
        <v>0</v>
      </c>
      <c r="G35" s="0" t="n">
        <f aca="false">(L_I5!AQ25-L_S1!AQ25)*C35</f>
        <v>0</v>
      </c>
      <c r="H35" s="0" t="n">
        <f aca="false">(L_I5!AS25-L_S1!AS25)*C35</f>
        <v>-0</v>
      </c>
      <c r="I35" s="0" t="n">
        <f aca="false">I34+E35</f>
        <v>-353253712.599829</v>
      </c>
      <c r="J35" s="0" t="n">
        <f aca="false">J34+F35</f>
        <v>-159337467.438907</v>
      </c>
      <c r="K35" s="0" t="n">
        <f aca="false">K34+G35</f>
        <v>-82269585.3813936</v>
      </c>
      <c r="L35" s="0" t="n">
        <f aca="false">MAX(L34,J35)</f>
        <v>-41846422.586839</v>
      </c>
      <c r="M35" s="0" t="n">
        <f aca="false">IF(AND(B35&lt;x_H,J35&lt;=0,L34&gt;0),1,0)</f>
        <v>0</v>
      </c>
      <c r="N35" s="0" t="n">
        <f aca="false">IF(AND(B35&lt;x_H,I35&lt;=0,O34&gt;0),1,0)</f>
        <v>0</v>
      </c>
      <c r="O35" s="0" t="n">
        <f aca="false">MAX(O34,I35)</f>
        <v>-42278156.6512682</v>
      </c>
      <c r="P35" s="0" t="n">
        <f aca="false">(L_I5!V25-L_S1!V25)*D35</f>
        <v>-0</v>
      </c>
    </row>
    <row r="36" customFormat="false" ht="15" hidden="false" customHeight="false" outlineLevel="0" collapsed="false">
      <c r="A36" s="0" t="n">
        <v>2049</v>
      </c>
      <c r="B36" s="0" t="n">
        <v>23</v>
      </c>
      <c r="C36" s="0" t="n">
        <f aca="false">IF(B36&lt;x_H,(1+x_dk)^(-B36),0)</f>
        <v>0</v>
      </c>
      <c r="D36" s="0" t="n">
        <f aca="false">IF(B36&lt;x_H,(1+x_de)^(-B36),0)</f>
        <v>0</v>
      </c>
      <c r="E36" s="0" t="n">
        <f aca="false">(L_I5!AO26-L_S1!AO26)*C36</f>
        <v>0</v>
      </c>
      <c r="F36" s="0" t="n">
        <f aca="false">(L_I5!AP26-L_S1!AP26)*C36</f>
        <v>0</v>
      </c>
      <c r="G36" s="0" t="n">
        <f aca="false">(L_I5!AQ26-L_S1!AQ26)*C36</f>
        <v>0</v>
      </c>
      <c r="H36" s="0" t="n">
        <f aca="false">(L_I5!AS26-L_S1!AS26)*C36</f>
        <v>-0</v>
      </c>
      <c r="I36" s="0" t="n">
        <f aca="false">I35+E36</f>
        <v>-353253712.599829</v>
      </c>
      <c r="J36" s="0" t="n">
        <f aca="false">J35+F36</f>
        <v>-159337467.438907</v>
      </c>
      <c r="K36" s="0" t="n">
        <f aca="false">K35+G36</f>
        <v>-82269585.3813936</v>
      </c>
      <c r="L36" s="0" t="n">
        <f aca="false">MAX(L35,J36)</f>
        <v>-41846422.586839</v>
      </c>
      <c r="M36" s="0" t="n">
        <f aca="false">IF(AND(B36&lt;x_H,J36&lt;=0,L35&gt;0),1,0)</f>
        <v>0</v>
      </c>
      <c r="N36" s="0" t="n">
        <f aca="false">IF(AND(B36&lt;x_H,I36&lt;=0,O35&gt;0),1,0)</f>
        <v>0</v>
      </c>
      <c r="O36" s="0" t="n">
        <f aca="false">MAX(O35,I36)</f>
        <v>-42278156.6512682</v>
      </c>
      <c r="P36" s="0" t="n">
        <f aca="false">(L_I5!V26-L_S1!V26)*D36</f>
        <v>-0</v>
      </c>
    </row>
    <row r="37" customFormat="false" ht="15" hidden="false" customHeight="false" outlineLevel="0" collapsed="false">
      <c r="A37" s="0" t="n">
        <v>2050</v>
      </c>
      <c r="B37" s="0" t="n">
        <v>24</v>
      </c>
      <c r="C37" s="0" t="n">
        <f aca="false">IF(B37&lt;x_H,(1+x_dk)^(-B37),0)</f>
        <v>0</v>
      </c>
      <c r="D37" s="0" t="n">
        <f aca="false">IF(B37&lt;x_H,(1+x_de)^(-B37),0)</f>
        <v>0</v>
      </c>
      <c r="E37" s="0" t="n">
        <f aca="false">(L_I5!AO27-L_S1!AO27)*C37</f>
        <v>0</v>
      </c>
      <c r="F37" s="0" t="n">
        <f aca="false">(L_I5!AP27-L_S1!AP27)*C37</f>
        <v>0</v>
      </c>
      <c r="G37" s="0" t="n">
        <f aca="false">(L_I5!AQ27-L_S1!AQ27)*C37</f>
        <v>0</v>
      </c>
      <c r="H37" s="0" t="n">
        <f aca="false">(L_I5!AS27-L_S1!AS27)*C37</f>
        <v>-0</v>
      </c>
      <c r="I37" s="0" t="n">
        <f aca="false">I36+E37</f>
        <v>-353253712.599829</v>
      </c>
      <c r="J37" s="0" t="n">
        <f aca="false">J36+F37</f>
        <v>-159337467.438907</v>
      </c>
      <c r="K37" s="0" t="n">
        <f aca="false">K36+G37</f>
        <v>-82269585.3813936</v>
      </c>
      <c r="L37" s="0" t="n">
        <f aca="false">MAX(L36,J37)</f>
        <v>-41846422.586839</v>
      </c>
      <c r="M37" s="0" t="n">
        <f aca="false">IF(AND(B37&lt;x_H,J37&lt;=0,L36&gt;0),1,0)</f>
        <v>0</v>
      </c>
      <c r="N37" s="0" t="n">
        <f aca="false">IF(AND(B37&lt;x_H,I37&lt;=0,O36&gt;0),1,0)</f>
        <v>0</v>
      </c>
      <c r="O37" s="0" t="n">
        <f aca="false">MAX(O36,I37)</f>
        <v>-42278156.6512682</v>
      </c>
      <c r="P37" s="0" t="n">
        <f aca="false">(L_I5!V27-L_S1!V27)*D37</f>
        <v>-0</v>
      </c>
    </row>
    <row r="38" customFormat="false" ht="15" hidden="false" customHeight="false" outlineLevel="0" collapsed="false">
      <c r="A38" s="0" t="n">
        <v>2051</v>
      </c>
      <c r="B38" s="0" t="n">
        <v>25</v>
      </c>
      <c r="C38" s="0" t="n">
        <f aca="false">IF(B38&lt;x_H,(1+x_dk)^(-B38),0)</f>
        <v>0</v>
      </c>
      <c r="D38" s="0" t="n">
        <f aca="false">IF(B38&lt;x_H,(1+x_de)^(-B38),0)</f>
        <v>0</v>
      </c>
      <c r="E38" s="0" t="n">
        <f aca="false">(L_I5!AO28-L_S1!AO28)*C38</f>
        <v>0</v>
      </c>
      <c r="F38" s="0" t="n">
        <f aca="false">(L_I5!AP28-L_S1!AP28)*C38</f>
        <v>0</v>
      </c>
      <c r="G38" s="0" t="n">
        <f aca="false">(L_I5!AQ28-L_S1!AQ28)*C38</f>
        <v>0</v>
      </c>
      <c r="H38" s="0" t="n">
        <f aca="false">(L_I5!AS28-L_S1!AS28)*C38</f>
        <v>-0</v>
      </c>
      <c r="I38" s="0" t="n">
        <f aca="false">I37+E38</f>
        <v>-353253712.599829</v>
      </c>
      <c r="J38" s="0" t="n">
        <f aca="false">J37+F38</f>
        <v>-159337467.438907</v>
      </c>
      <c r="K38" s="0" t="n">
        <f aca="false">K37+G38</f>
        <v>-82269585.3813936</v>
      </c>
      <c r="L38" s="0" t="n">
        <f aca="false">MAX(L37,J38)</f>
        <v>-41846422.586839</v>
      </c>
      <c r="M38" s="0" t="n">
        <f aca="false">IF(AND(B38&lt;x_H,J38&lt;=0,L37&gt;0),1,0)</f>
        <v>0</v>
      </c>
      <c r="N38" s="0" t="n">
        <f aca="false">IF(AND(B38&lt;x_H,I38&lt;=0,O37&gt;0),1,0)</f>
        <v>0</v>
      </c>
      <c r="O38" s="0" t="n">
        <f aca="false">MAX(O37,I38)</f>
        <v>-42278156.6512682</v>
      </c>
      <c r="P38" s="0" t="n">
        <f aca="false">(L_I5!V28-L_S1!V28)*D38</f>
        <v>-0</v>
      </c>
    </row>
    <row r="39" customFormat="false" ht="15" hidden="false" customHeight="false" outlineLevel="0" collapsed="false">
      <c r="A39" s="0" t="n">
        <v>2052</v>
      </c>
      <c r="B39" s="0" t="n">
        <v>26</v>
      </c>
      <c r="C39" s="0" t="n">
        <f aca="false">IF(B39&lt;x_H,(1+x_dk)^(-B39),0)</f>
        <v>0</v>
      </c>
      <c r="D39" s="0" t="n">
        <f aca="false">IF(B39&lt;x_H,(1+x_de)^(-B39),0)</f>
        <v>0</v>
      </c>
      <c r="E39" s="0" t="n">
        <f aca="false">(L_I5!AO29-L_S1!AO29)*C39</f>
        <v>0</v>
      </c>
      <c r="F39" s="0" t="n">
        <f aca="false">(L_I5!AP29-L_S1!AP29)*C39</f>
        <v>0</v>
      </c>
      <c r="G39" s="0" t="n">
        <f aca="false">(L_I5!AQ29-L_S1!AQ29)*C39</f>
        <v>0</v>
      </c>
      <c r="H39" s="0" t="n">
        <f aca="false">(L_I5!AS29-L_S1!AS29)*C39</f>
        <v>-0</v>
      </c>
      <c r="I39" s="0" t="n">
        <f aca="false">I38+E39</f>
        <v>-353253712.599829</v>
      </c>
      <c r="J39" s="0" t="n">
        <f aca="false">J38+F39</f>
        <v>-159337467.438907</v>
      </c>
      <c r="K39" s="0" t="n">
        <f aca="false">K38+G39</f>
        <v>-82269585.3813936</v>
      </c>
      <c r="L39" s="0" t="n">
        <f aca="false">MAX(L38,J39)</f>
        <v>-41846422.586839</v>
      </c>
      <c r="M39" s="0" t="n">
        <f aca="false">IF(AND(B39&lt;x_H,J39&lt;=0,L38&gt;0),1,0)</f>
        <v>0</v>
      </c>
      <c r="N39" s="0" t="n">
        <f aca="false">IF(AND(B39&lt;x_H,I39&lt;=0,O38&gt;0),1,0)</f>
        <v>0</v>
      </c>
      <c r="O39" s="0" t="n">
        <f aca="false">MAX(O38,I39)</f>
        <v>-42278156.6512682</v>
      </c>
      <c r="P39" s="0" t="n">
        <f aca="false">(L_I5!V29-L_S1!V29)*D39</f>
        <v>-0</v>
      </c>
    </row>
    <row r="40" customFormat="false" ht="15" hidden="false" customHeight="false" outlineLevel="0" collapsed="false">
      <c r="A40" s="0" t="n">
        <v>2053</v>
      </c>
      <c r="B40" s="0" t="n">
        <v>27</v>
      </c>
      <c r="C40" s="0" t="n">
        <f aca="false">IF(B40&lt;x_H,(1+x_dk)^(-B40),0)</f>
        <v>0</v>
      </c>
      <c r="D40" s="0" t="n">
        <f aca="false">IF(B40&lt;x_H,(1+x_de)^(-B40),0)</f>
        <v>0</v>
      </c>
      <c r="E40" s="0" t="n">
        <f aca="false">(L_I5!AO30-L_S1!AO30)*C40</f>
        <v>0</v>
      </c>
      <c r="F40" s="0" t="n">
        <f aca="false">(L_I5!AP30-L_S1!AP30)*C40</f>
        <v>0</v>
      </c>
      <c r="G40" s="0" t="n">
        <f aca="false">(L_I5!AQ30-L_S1!AQ30)*C40</f>
        <v>0</v>
      </c>
      <c r="H40" s="0" t="n">
        <f aca="false">(L_I5!AS30-L_S1!AS30)*C40</f>
        <v>-0</v>
      </c>
      <c r="I40" s="0" t="n">
        <f aca="false">I39+E40</f>
        <v>-353253712.599829</v>
      </c>
      <c r="J40" s="0" t="n">
        <f aca="false">J39+F40</f>
        <v>-159337467.438907</v>
      </c>
      <c r="K40" s="0" t="n">
        <f aca="false">K39+G40</f>
        <v>-82269585.3813936</v>
      </c>
      <c r="L40" s="0" t="n">
        <f aca="false">MAX(L39,J40)</f>
        <v>-41846422.586839</v>
      </c>
      <c r="M40" s="0" t="n">
        <f aca="false">IF(AND(B40&lt;x_H,J40&lt;=0,L39&gt;0),1,0)</f>
        <v>0</v>
      </c>
      <c r="N40" s="0" t="n">
        <f aca="false">IF(AND(B40&lt;x_H,I40&lt;=0,O39&gt;0),1,0)</f>
        <v>0</v>
      </c>
      <c r="O40" s="0" t="n">
        <f aca="false">MAX(O39,I40)</f>
        <v>-42278156.6512682</v>
      </c>
      <c r="P40" s="0" t="n">
        <f aca="false">(L_I5!V30-L_S1!V30)*D40</f>
        <v>-0</v>
      </c>
    </row>
    <row r="41" customFormat="false" ht="15" hidden="false" customHeight="false" outlineLevel="0" collapsed="false">
      <c r="A41" s="0" t="n">
        <v>2054</v>
      </c>
      <c r="B41" s="0" t="n">
        <v>28</v>
      </c>
      <c r="C41" s="0" t="n">
        <f aca="false">IF(B41&lt;x_H,(1+x_dk)^(-B41),0)</f>
        <v>0</v>
      </c>
      <c r="D41" s="0" t="n">
        <f aca="false">IF(B41&lt;x_H,(1+x_de)^(-B41),0)</f>
        <v>0</v>
      </c>
      <c r="E41" s="0" t="n">
        <f aca="false">(L_I5!AO31-L_S1!AO31)*C41</f>
        <v>0</v>
      </c>
      <c r="F41" s="0" t="n">
        <f aca="false">(L_I5!AP31-L_S1!AP31)*C41</f>
        <v>0</v>
      </c>
      <c r="G41" s="0" t="n">
        <f aca="false">(L_I5!AQ31-L_S1!AQ31)*C41</f>
        <v>0</v>
      </c>
      <c r="H41" s="0" t="n">
        <f aca="false">(L_I5!AS31-L_S1!AS31)*C41</f>
        <v>-0</v>
      </c>
      <c r="I41" s="0" t="n">
        <f aca="false">I40+E41</f>
        <v>-353253712.599829</v>
      </c>
      <c r="J41" s="0" t="n">
        <f aca="false">J40+F41</f>
        <v>-159337467.438907</v>
      </c>
      <c r="K41" s="0" t="n">
        <f aca="false">K40+G41</f>
        <v>-82269585.3813936</v>
      </c>
      <c r="L41" s="0" t="n">
        <f aca="false">MAX(L40,J41)</f>
        <v>-41846422.586839</v>
      </c>
      <c r="M41" s="0" t="n">
        <f aca="false">IF(AND(B41&lt;x_H,J41&lt;=0,L40&gt;0),1,0)</f>
        <v>0</v>
      </c>
      <c r="N41" s="0" t="n">
        <f aca="false">IF(AND(B41&lt;x_H,I41&lt;=0,O40&gt;0),1,0)</f>
        <v>0</v>
      </c>
      <c r="O41" s="0" t="n">
        <f aca="false">MAX(O40,I41)</f>
        <v>-42278156.6512682</v>
      </c>
      <c r="P41" s="0" t="n">
        <f aca="false">(L_I5!V31-L_S1!V31)*D41</f>
        <v>-0</v>
      </c>
    </row>
    <row r="42" customFormat="false" ht="15" hidden="false" customHeight="false" outlineLevel="0" collapsed="false">
      <c r="A42" s="0" t="n">
        <v>2055</v>
      </c>
      <c r="B42" s="0" t="n">
        <v>29</v>
      </c>
      <c r="C42" s="0" t="n">
        <f aca="false">IF(B42&lt;x_H,(1+x_dk)^(-B42),0)</f>
        <v>0</v>
      </c>
      <c r="D42" s="0" t="n">
        <f aca="false">IF(B42&lt;x_H,(1+x_de)^(-B42),0)</f>
        <v>0</v>
      </c>
      <c r="E42" s="0" t="n">
        <f aca="false">(L_I5!AO32-L_S1!AO32)*C42</f>
        <v>0</v>
      </c>
      <c r="F42" s="0" t="n">
        <f aca="false">(L_I5!AP32-L_S1!AP32)*C42</f>
        <v>0</v>
      </c>
      <c r="G42" s="0" t="n">
        <f aca="false">(L_I5!AQ32-L_S1!AQ32)*C42</f>
        <v>0</v>
      </c>
      <c r="H42" s="0" t="n">
        <f aca="false">(L_I5!AS32-L_S1!AS32)*C42</f>
        <v>-0</v>
      </c>
      <c r="I42" s="0" t="n">
        <f aca="false">I41+E42</f>
        <v>-353253712.599829</v>
      </c>
      <c r="J42" s="0" t="n">
        <f aca="false">J41+F42</f>
        <v>-159337467.438907</v>
      </c>
      <c r="K42" s="0" t="n">
        <f aca="false">K41+G42</f>
        <v>-82269585.3813936</v>
      </c>
      <c r="L42" s="0" t="n">
        <f aca="false">MAX(L41,J42)</f>
        <v>-41846422.586839</v>
      </c>
      <c r="M42" s="0" t="n">
        <f aca="false">IF(AND(B42&lt;x_H,J42&lt;=0,L41&gt;0),1,0)</f>
        <v>0</v>
      </c>
      <c r="N42" s="0" t="n">
        <f aca="false">IF(AND(B42&lt;x_H,I42&lt;=0,O41&gt;0),1,0)</f>
        <v>0</v>
      </c>
      <c r="O42" s="0" t="n">
        <f aca="false">MAX(O41,I42)</f>
        <v>-42278156.6512682</v>
      </c>
      <c r="P42" s="0" t="n">
        <f aca="false">(L_I5!V32-L_S1!V32)*D42</f>
        <v>-0</v>
      </c>
    </row>
    <row r="43" customFormat="false" ht="15" hidden="false" customHeight="false" outlineLevel="0" collapsed="false">
      <c r="A43" s="0" t="n">
        <v>2056</v>
      </c>
      <c r="B43" s="0" t="n">
        <v>30</v>
      </c>
      <c r="C43" s="0" t="n">
        <f aca="false">IF(B43&lt;x_H,(1+x_dk)^(-B43),0)</f>
        <v>0</v>
      </c>
      <c r="D43" s="0" t="n">
        <f aca="false">IF(B43&lt;x_H,(1+x_de)^(-B43),0)</f>
        <v>0</v>
      </c>
      <c r="E43" s="0" t="n">
        <f aca="false">(L_I5!AO33-L_S1!AO33)*C43</f>
        <v>0</v>
      </c>
      <c r="F43" s="0" t="n">
        <f aca="false">(L_I5!AP33-L_S1!AP33)*C43</f>
        <v>0</v>
      </c>
      <c r="G43" s="0" t="n">
        <f aca="false">(L_I5!AQ33-L_S1!AQ33)*C43</f>
        <v>0</v>
      </c>
      <c r="H43" s="0" t="n">
        <f aca="false">(L_I5!AS33-L_S1!AS33)*C43</f>
        <v>-0</v>
      </c>
      <c r="I43" s="0" t="n">
        <f aca="false">I42+E43</f>
        <v>-353253712.599829</v>
      </c>
      <c r="J43" s="0" t="n">
        <f aca="false">J42+F43</f>
        <v>-159337467.438907</v>
      </c>
      <c r="K43" s="0" t="n">
        <f aca="false">K42+G43</f>
        <v>-82269585.3813936</v>
      </c>
      <c r="L43" s="0" t="n">
        <f aca="false">MAX(L42,J43)</f>
        <v>-41846422.586839</v>
      </c>
      <c r="M43" s="0" t="n">
        <f aca="false">IF(AND(B43&lt;x_H,J43&lt;=0,L42&gt;0),1,0)</f>
        <v>0</v>
      </c>
      <c r="N43" s="0" t="n">
        <f aca="false">IF(AND(B43&lt;x_H,I43&lt;=0,O42&gt;0),1,0)</f>
        <v>0</v>
      </c>
      <c r="O43" s="0" t="n">
        <f aca="false">MAX(O42,I43)</f>
        <v>-42278156.6512682</v>
      </c>
      <c r="P43" s="0" t="n">
        <f aca="false">(L_I5!V33-L_S1!V33)*D43</f>
        <v>-0</v>
      </c>
    </row>
    <row r="44" customFormat="false" ht="15" hidden="false" customHeight="false" outlineLevel="0" collapsed="false">
      <c r="A44" s="0" t="n">
        <v>2057</v>
      </c>
      <c r="B44" s="0" t="n">
        <v>31</v>
      </c>
      <c r="C44" s="0" t="n">
        <f aca="false">IF(B44&lt;x_H,(1+x_dk)^(-B44),0)</f>
        <v>0</v>
      </c>
      <c r="D44" s="0" t="n">
        <f aca="false">IF(B44&lt;x_H,(1+x_de)^(-B44),0)</f>
        <v>0</v>
      </c>
      <c r="E44" s="0" t="n">
        <f aca="false">(L_I5!AO34-L_S1!AO34)*C44</f>
        <v>0</v>
      </c>
      <c r="F44" s="0" t="n">
        <f aca="false">(L_I5!AP34-L_S1!AP34)*C44</f>
        <v>0</v>
      </c>
      <c r="G44" s="0" t="n">
        <f aca="false">(L_I5!AQ34-L_S1!AQ34)*C44</f>
        <v>0</v>
      </c>
      <c r="H44" s="0" t="n">
        <f aca="false">(L_I5!AS34-L_S1!AS34)*C44</f>
        <v>-0</v>
      </c>
      <c r="I44" s="0" t="n">
        <f aca="false">I43+E44</f>
        <v>-353253712.599829</v>
      </c>
      <c r="J44" s="0" t="n">
        <f aca="false">J43+F44</f>
        <v>-159337467.438907</v>
      </c>
      <c r="K44" s="0" t="n">
        <f aca="false">K43+G44</f>
        <v>-82269585.3813936</v>
      </c>
      <c r="L44" s="0" t="n">
        <f aca="false">MAX(L43,J44)</f>
        <v>-41846422.586839</v>
      </c>
      <c r="M44" s="0" t="n">
        <f aca="false">IF(AND(B44&lt;x_H,J44&lt;=0,L43&gt;0),1,0)</f>
        <v>0</v>
      </c>
      <c r="N44" s="0" t="n">
        <f aca="false">IF(AND(B44&lt;x_H,I44&lt;=0,O43&gt;0),1,0)</f>
        <v>0</v>
      </c>
      <c r="O44" s="0" t="n">
        <f aca="false">MAX(O43,I44)</f>
        <v>-42278156.6512682</v>
      </c>
      <c r="P44" s="0" t="n">
        <f aca="false">(L_I5!V34-L_S1!V34)*D44</f>
        <v>-0</v>
      </c>
    </row>
    <row r="45" customFormat="false" ht="15" hidden="false" customHeight="false" outlineLevel="0" collapsed="false">
      <c r="A45" s="0" t="n">
        <v>2058</v>
      </c>
      <c r="B45" s="0" t="n">
        <v>32</v>
      </c>
      <c r="C45" s="0" t="n">
        <f aca="false">IF(B45&lt;x_H,(1+x_dk)^(-B45),0)</f>
        <v>0</v>
      </c>
      <c r="D45" s="0" t="n">
        <f aca="false">IF(B45&lt;x_H,(1+x_de)^(-B45),0)</f>
        <v>0</v>
      </c>
      <c r="E45" s="0" t="n">
        <f aca="false">(L_I5!AO35-L_S1!AO35)*C45</f>
        <v>0</v>
      </c>
      <c r="F45" s="0" t="n">
        <f aca="false">(L_I5!AP35-L_S1!AP35)*C45</f>
        <v>0</v>
      </c>
      <c r="G45" s="0" t="n">
        <f aca="false">(L_I5!AQ35-L_S1!AQ35)*C45</f>
        <v>0</v>
      </c>
      <c r="H45" s="0" t="n">
        <f aca="false">(L_I5!AS35-L_S1!AS35)*C45</f>
        <v>-0</v>
      </c>
      <c r="I45" s="0" t="n">
        <f aca="false">I44+E45</f>
        <v>-353253712.599829</v>
      </c>
      <c r="J45" s="0" t="n">
        <f aca="false">J44+F45</f>
        <v>-159337467.438907</v>
      </c>
      <c r="K45" s="0" t="n">
        <f aca="false">K44+G45</f>
        <v>-82269585.3813936</v>
      </c>
      <c r="L45" s="0" t="n">
        <f aca="false">MAX(L44,J45)</f>
        <v>-41846422.586839</v>
      </c>
      <c r="M45" s="0" t="n">
        <f aca="false">IF(AND(B45&lt;x_H,J45&lt;=0,L44&gt;0),1,0)</f>
        <v>0</v>
      </c>
      <c r="N45" s="0" t="n">
        <f aca="false">IF(AND(B45&lt;x_H,I45&lt;=0,O44&gt;0),1,0)</f>
        <v>0</v>
      </c>
      <c r="O45" s="0" t="n">
        <f aca="false">MAX(O44,I45)</f>
        <v>-42278156.6512682</v>
      </c>
      <c r="P45" s="0" t="n">
        <f aca="false">(L_I5!V35-L_S1!V35)*D45</f>
        <v>-0</v>
      </c>
    </row>
    <row r="46" customFormat="false" ht="15" hidden="false" customHeight="false" outlineLevel="0" collapsed="false">
      <c r="A46" s="0" t="n">
        <v>2059</v>
      </c>
      <c r="B46" s="0" t="n">
        <v>33</v>
      </c>
      <c r="C46" s="0" t="n">
        <f aca="false">IF(B46&lt;x_H,(1+x_dk)^(-B46),0)</f>
        <v>0</v>
      </c>
      <c r="D46" s="0" t="n">
        <f aca="false">IF(B46&lt;x_H,(1+x_de)^(-B46),0)</f>
        <v>0</v>
      </c>
      <c r="E46" s="0" t="n">
        <f aca="false">(L_I5!AO36-L_S1!AO36)*C46</f>
        <v>0</v>
      </c>
      <c r="F46" s="0" t="n">
        <f aca="false">(L_I5!AP36-L_S1!AP36)*C46</f>
        <v>0</v>
      </c>
      <c r="G46" s="0" t="n">
        <f aca="false">(L_I5!AQ36-L_S1!AQ36)*C46</f>
        <v>0</v>
      </c>
      <c r="H46" s="0" t="n">
        <f aca="false">(L_I5!AS36-L_S1!AS36)*C46</f>
        <v>-0</v>
      </c>
      <c r="I46" s="0" t="n">
        <f aca="false">I45+E46</f>
        <v>-353253712.599829</v>
      </c>
      <c r="J46" s="0" t="n">
        <f aca="false">J45+F46</f>
        <v>-159337467.438907</v>
      </c>
      <c r="K46" s="0" t="n">
        <f aca="false">K45+G46</f>
        <v>-82269585.3813936</v>
      </c>
      <c r="L46" s="0" t="n">
        <f aca="false">MAX(L45,J46)</f>
        <v>-41846422.586839</v>
      </c>
      <c r="M46" s="0" t="n">
        <f aca="false">IF(AND(B46&lt;x_H,J46&lt;=0,L45&gt;0),1,0)</f>
        <v>0</v>
      </c>
      <c r="N46" s="0" t="n">
        <f aca="false">IF(AND(B46&lt;x_H,I46&lt;=0,O45&gt;0),1,0)</f>
        <v>0</v>
      </c>
      <c r="O46" s="0" t="n">
        <f aca="false">MAX(O45,I46)</f>
        <v>-42278156.6512682</v>
      </c>
      <c r="P46" s="0" t="n">
        <f aca="false">(L_I5!V36-L_S1!V36)*D46</f>
        <v>-0</v>
      </c>
    </row>
    <row r="47" customFormat="false" ht="15" hidden="false" customHeight="false" outlineLevel="0" collapsed="false">
      <c r="A47" s="0" t="n">
        <v>2060</v>
      </c>
      <c r="B47" s="0" t="n">
        <v>34</v>
      </c>
      <c r="C47" s="0" t="n">
        <f aca="false">IF(B47&lt;x_H,(1+x_dk)^(-B47),0)</f>
        <v>0</v>
      </c>
      <c r="D47" s="0" t="n">
        <f aca="false">IF(B47&lt;x_H,(1+x_de)^(-B47),0)</f>
        <v>0</v>
      </c>
      <c r="E47" s="0" t="n">
        <f aca="false">(L_I5!AO37-L_S1!AO37)*C47</f>
        <v>0</v>
      </c>
      <c r="F47" s="0" t="n">
        <f aca="false">(L_I5!AP37-L_S1!AP37)*C47</f>
        <v>0</v>
      </c>
      <c r="G47" s="0" t="n">
        <f aca="false">(L_I5!AQ37-L_S1!AQ37)*C47</f>
        <v>0</v>
      </c>
      <c r="H47" s="0" t="n">
        <f aca="false">(L_I5!AS37-L_S1!AS37)*C47</f>
        <v>-0</v>
      </c>
      <c r="I47" s="0" t="n">
        <f aca="false">I46+E47</f>
        <v>-353253712.599829</v>
      </c>
      <c r="J47" s="0" t="n">
        <f aca="false">J46+F47</f>
        <v>-159337467.438907</v>
      </c>
      <c r="K47" s="0" t="n">
        <f aca="false">K46+G47</f>
        <v>-82269585.3813936</v>
      </c>
      <c r="L47" s="0" t="n">
        <f aca="false">MAX(L46,J47)</f>
        <v>-41846422.586839</v>
      </c>
      <c r="M47" s="0" t="n">
        <f aca="false">IF(AND(B47&lt;x_H,J47&lt;=0,L46&gt;0),1,0)</f>
        <v>0</v>
      </c>
      <c r="N47" s="0" t="n">
        <f aca="false">IF(AND(B47&lt;x_H,I47&lt;=0,O46&gt;0),1,0)</f>
        <v>0</v>
      </c>
      <c r="O47" s="0" t="n">
        <f aca="false">MAX(O46,I47)</f>
        <v>-42278156.6512682</v>
      </c>
      <c r="P47" s="0" t="n">
        <f aca="false">(L_I5!V37-L_S1!V37)*D47</f>
        <v>-0</v>
      </c>
    </row>
    <row r="48" customFormat="false" ht="15" hidden="false" customHeight="false" outlineLevel="0" collapsed="false">
      <c r="A48" s="0" t="n">
        <v>2061</v>
      </c>
      <c r="B48" s="0" t="n">
        <v>35</v>
      </c>
      <c r="C48" s="0" t="n">
        <f aca="false">IF(B48&lt;x_H,(1+x_dk)^(-B48),0)</f>
        <v>0</v>
      </c>
      <c r="D48" s="0" t="n">
        <f aca="false">IF(B48&lt;x_H,(1+x_de)^(-B48),0)</f>
        <v>0</v>
      </c>
      <c r="E48" s="0" t="n">
        <f aca="false">(L_I5!AO38-L_S1!AO38)*C48</f>
        <v>0</v>
      </c>
      <c r="F48" s="0" t="n">
        <f aca="false">(L_I5!AP38-L_S1!AP38)*C48</f>
        <v>0</v>
      </c>
      <c r="G48" s="0" t="n">
        <f aca="false">(L_I5!AQ38-L_S1!AQ38)*C48</f>
        <v>0</v>
      </c>
      <c r="H48" s="0" t="n">
        <f aca="false">(L_I5!AS38-L_S1!AS38)*C48</f>
        <v>-0</v>
      </c>
      <c r="I48" s="0" t="n">
        <f aca="false">I47+E48</f>
        <v>-353253712.599829</v>
      </c>
      <c r="J48" s="0" t="n">
        <f aca="false">J47+F48</f>
        <v>-159337467.438907</v>
      </c>
      <c r="K48" s="0" t="n">
        <f aca="false">K47+G48</f>
        <v>-82269585.3813936</v>
      </c>
      <c r="L48" s="0" t="n">
        <f aca="false">MAX(L47,J48)</f>
        <v>-41846422.586839</v>
      </c>
      <c r="M48" s="0" t="n">
        <f aca="false">IF(AND(B48&lt;x_H,J48&lt;=0,L47&gt;0),1,0)</f>
        <v>0</v>
      </c>
      <c r="N48" s="0" t="n">
        <f aca="false">IF(AND(B48&lt;x_H,I48&lt;=0,O47&gt;0),1,0)</f>
        <v>0</v>
      </c>
      <c r="O48" s="0" t="n">
        <f aca="false">MAX(O47,I48)</f>
        <v>-42278156.6512682</v>
      </c>
      <c r="P48" s="0" t="n">
        <f aca="false">(L_I5!V38-L_S1!V38)*D48</f>
        <v>-0</v>
      </c>
    </row>
    <row r="49" customFormat="false" ht="15" hidden="false" customHeight="false" outlineLevel="0" collapsed="false">
      <c r="A49" s="0" t="n">
        <v>2062</v>
      </c>
      <c r="B49" s="0" t="n">
        <v>36</v>
      </c>
      <c r="C49" s="0" t="n">
        <f aca="false">IF(B49&lt;x_H,(1+x_dk)^(-B49),0)</f>
        <v>0</v>
      </c>
      <c r="D49" s="0" t="n">
        <f aca="false">IF(B49&lt;x_H,(1+x_de)^(-B49),0)</f>
        <v>0</v>
      </c>
      <c r="E49" s="0" t="n">
        <f aca="false">(L_I5!AO39-L_S1!AO39)*C49</f>
        <v>0</v>
      </c>
      <c r="F49" s="0" t="n">
        <f aca="false">(L_I5!AP39-L_S1!AP39)*C49</f>
        <v>0</v>
      </c>
      <c r="G49" s="0" t="n">
        <f aca="false">(L_I5!AQ39-L_S1!AQ39)*C49</f>
        <v>0</v>
      </c>
      <c r="H49" s="0" t="n">
        <f aca="false">(L_I5!AS39-L_S1!AS39)*C49</f>
        <v>-0</v>
      </c>
      <c r="I49" s="0" t="n">
        <f aca="false">I48+E49</f>
        <v>-353253712.599829</v>
      </c>
      <c r="J49" s="0" t="n">
        <f aca="false">J48+F49</f>
        <v>-159337467.438907</v>
      </c>
      <c r="K49" s="0" t="n">
        <f aca="false">K48+G49</f>
        <v>-82269585.3813936</v>
      </c>
      <c r="L49" s="0" t="n">
        <f aca="false">MAX(L48,J49)</f>
        <v>-41846422.586839</v>
      </c>
      <c r="M49" s="0" t="n">
        <f aca="false">IF(AND(B49&lt;x_H,J49&lt;=0,L48&gt;0),1,0)</f>
        <v>0</v>
      </c>
      <c r="N49" s="0" t="n">
        <f aca="false">IF(AND(B49&lt;x_H,I49&lt;=0,O48&gt;0),1,0)</f>
        <v>0</v>
      </c>
      <c r="O49" s="0" t="n">
        <f aca="false">MAX(O48,I49)</f>
        <v>-42278156.6512682</v>
      </c>
      <c r="P49" s="0" t="n">
        <f aca="false">(L_I5!V39-L_S1!V39)*D49</f>
        <v>-0</v>
      </c>
    </row>
    <row r="50" customFormat="false" ht="15" hidden="false" customHeight="false" outlineLevel="0" collapsed="false">
      <c r="A50" s="0" t="n">
        <v>2063</v>
      </c>
      <c r="B50" s="0" t="n">
        <v>37</v>
      </c>
      <c r="C50" s="0" t="n">
        <f aca="false">IF(B50&lt;x_H,(1+x_dk)^(-B50),0)</f>
        <v>0</v>
      </c>
      <c r="D50" s="0" t="n">
        <f aca="false">IF(B50&lt;x_H,(1+x_de)^(-B50),0)</f>
        <v>0</v>
      </c>
      <c r="E50" s="0" t="n">
        <f aca="false">(L_I5!AO40-L_S1!AO40)*C50</f>
        <v>0</v>
      </c>
      <c r="F50" s="0" t="n">
        <f aca="false">(L_I5!AP40-L_S1!AP40)*C50</f>
        <v>0</v>
      </c>
      <c r="G50" s="0" t="n">
        <f aca="false">(L_I5!AQ40-L_S1!AQ40)*C50</f>
        <v>0</v>
      </c>
      <c r="H50" s="0" t="n">
        <f aca="false">(L_I5!AS40-L_S1!AS40)*C50</f>
        <v>-0</v>
      </c>
      <c r="I50" s="0" t="n">
        <f aca="false">I49+E50</f>
        <v>-353253712.599829</v>
      </c>
      <c r="J50" s="0" t="n">
        <f aca="false">J49+F50</f>
        <v>-159337467.438907</v>
      </c>
      <c r="K50" s="0" t="n">
        <f aca="false">K49+G50</f>
        <v>-82269585.3813936</v>
      </c>
      <c r="L50" s="0" t="n">
        <f aca="false">MAX(L49,J50)</f>
        <v>-41846422.586839</v>
      </c>
      <c r="M50" s="0" t="n">
        <f aca="false">IF(AND(B50&lt;x_H,J50&lt;=0,L49&gt;0),1,0)</f>
        <v>0</v>
      </c>
      <c r="N50" s="0" t="n">
        <f aca="false">IF(AND(B50&lt;x_H,I50&lt;=0,O49&gt;0),1,0)</f>
        <v>0</v>
      </c>
      <c r="O50" s="0" t="n">
        <f aca="false">MAX(O49,I50)</f>
        <v>-42278156.6512682</v>
      </c>
      <c r="P50" s="0" t="n">
        <f aca="false">(L_I5!V40-L_S1!V40)*D50</f>
        <v>-0</v>
      </c>
    </row>
    <row r="51" customFormat="false" ht="15" hidden="false" customHeight="false" outlineLevel="0" collapsed="false">
      <c r="A51" s="0" t="n">
        <v>2064</v>
      </c>
      <c r="B51" s="0" t="n">
        <v>38</v>
      </c>
      <c r="C51" s="0" t="n">
        <f aca="false">IF(B51&lt;x_H,(1+x_dk)^(-B51),0)</f>
        <v>0</v>
      </c>
      <c r="D51" s="0" t="n">
        <f aca="false">IF(B51&lt;x_H,(1+x_de)^(-B51),0)</f>
        <v>0</v>
      </c>
      <c r="E51" s="0" t="n">
        <f aca="false">(L_I5!AO41-L_S1!AO41)*C51</f>
        <v>0</v>
      </c>
      <c r="F51" s="0" t="n">
        <f aca="false">(L_I5!AP41-L_S1!AP41)*C51</f>
        <v>0</v>
      </c>
      <c r="G51" s="0" t="n">
        <f aca="false">(L_I5!AQ41-L_S1!AQ41)*C51</f>
        <v>0</v>
      </c>
      <c r="H51" s="0" t="n">
        <f aca="false">(L_I5!AS41-L_S1!AS41)*C51</f>
        <v>-0</v>
      </c>
      <c r="I51" s="0" t="n">
        <f aca="false">I50+E51</f>
        <v>-353253712.599829</v>
      </c>
      <c r="J51" s="0" t="n">
        <f aca="false">J50+F51</f>
        <v>-159337467.438907</v>
      </c>
      <c r="K51" s="0" t="n">
        <f aca="false">K50+G51</f>
        <v>-82269585.3813936</v>
      </c>
      <c r="L51" s="0" t="n">
        <f aca="false">MAX(L50,J51)</f>
        <v>-41846422.586839</v>
      </c>
      <c r="M51" s="0" t="n">
        <f aca="false">IF(AND(B51&lt;x_H,J51&lt;=0,L50&gt;0),1,0)</f>
        <v>0</v>
      </c>
      <c r="N51" s="0" t="n">
        <f aca="false">IF(AND(B51&lt;x_H,I51&lt;=0,O50&gt;0),1,0)</f>
        <v>0</v>
      </c>
      <c r="O51" s="0" t="n">
        <f aca="false">MAX(O50,I51)</f>
        <v>-42278156.6512682</v>
      </c>
      <c r="P51" s="0" t="n">
        <f aca="false">(L_I5!V41-L_S1!V41)*D51</f>
        <v>-0</v>
      </c>
    </row>
    <row r="52" customFormat="false" ht="15" hidden="false" customHeight="false" outlineLevel="0" collapsed="false">
      <c r="A52" s="0" t="n">
        <v>2065</v>
      </c>
      <c r="B52" s="0" t="n">
        <v>39</v>
      </c>
      <c r="C52" s="0" t="n">
        <f aca="false">IF(B52&lt;x_H,(1+x_dk)^(-B52),0)</f>
        <v>0</v>
      </c>
      <c r="D52" s="0" t="n">
        <f aca="false">IF(B52&lt;x_H,(1+x_de)^(-B52),0)</f>
        <v>0</v>
      </c>
      <c r="E52" s="0" t="n">
        <f aca="false">(L_I5!AO42-L_S1!AO42)*C52</f>
        <v>0</v>
      </c>
      <c r="F52" s="0" t="n">
        <f aca="false">(L_I5!AP42-L_S1!AP42)*C52</f>
        <v>0</v>
      </c>
      <c r="G52" s="0" t="n">
        <f aca="false">(L_I5!AQ42-L_S1!AQ42)*C52</f>
        <v>0</v>
      </c>
      <c r="H52" s="0" t="n">
        <f aca="false">(L_I5!AS42-L_S1!AS42)*C52</f>
        <v>-0</v>
      </c>
      <c r="I52" s="0" t="n">
        <f aca="false">I51+E52</f>
        <v>-353253712.599829</v>
      </c>
      <c r="J52" s="0" t="n">
        <f aca="false">J51+F52</f>
        <v>-159337467.438907</v>
      </c>
      <c r="K52" s="0" t="n">
        <f aca="false">K51+G52</f>
        <v>-82269585.3813936</v>
      </c>
      <c r="L52" s="0" t="n">
        <f aca="false">MAX(L51,J52)</f>
        <v>-41846422.586839</v>
      </c>
      <c r="M52" s="0" t="n">
        <f aca="false">IF(AND(B52&lt;x_H,J52&lt;=0,L51&gt;0),1,0)</f>
        <v>0</v>
      </c>
      <c r="N52" s="0" t="n">
        <f aca="false">IF(AND(B52&lt;x_H,I52&lt;=0,O51&gt;0),1,0)</f>
        <v>0</v>
      </c>
      <c r="O52" s="0" t="n">
        <f aca="false">MAX(O51,I52)</f>
        <v>-42278156.6512682</v>
      </c>
      <c r="P52" s="0" t="n">
        <f aca="false">(L_I5!V42-L_S1!V42)*D52</f>
        <v>-0</v>
      </c>
    </row>
    <row r="53" customFormat="false" ht="15" hidden="false" customHeight="false" outlineLevel="0" collapsed="false">
      <c r="A53" s="0" t="n">
        <v>2066</v>
      </c>
      <c r="B53" s="0" t="n">
        <v>40</v>
      </c>
      <c r="C53" s="0" t="n">
        <f aca="false">IF(B53&lt;x_H,(1+x_dk)^(-B53),0)</f>
        <v>0</v>
      </c>
      <c r="D53" s="0" t="n">
        <f aca="false">IF(B53&lt;x_H,(1+x_de)^(-B53),0)</f>
        <v>0</v>
      </c>
      <c r="E53" s="0" t="n">
        <f aca="false">(L_I5!AO43-L_S1!AO43)*C53</f>
        <v>0</v>
      </c>
      <c r="F53" s="0" t="n">
        <f aca="false">(L_I5!AP43-L_S1!AP43)*C53</f>
        <v>0</v>
      </c>
      <c r="G53" s="0" t="n">
        <f aca="false">(L_I5!AQ43-L_S1!AQ43)*C53</f>
        <v>0</v>
      </c>
      <c r="H53" s="0" t="n">
        <f aca="false">(L_I5!AS43-L_S1!AS43)*C53</f>
        <v>-0</v>
      </c>
      <c r="I53" s="0" t="n">
        <f aca="false">I52+E53</f>
        <v>-353253712.599829</v>
      </c>
      <c r="J53" s="0" t="n">
        <f aca="false">J52+F53</f>
        <v>-159337467.438907</v>
      </c>
      <c r="K53" s="0" t="n">
        <f aca="false">K52+G53</f>
        <v>-82269585.3813936</v>
      </c>
      <c r="L53" s="0" t="n">
        <f aca="false">MAX(L52,J53)</f>
        <v>-41846422.586839</v>
      </c>
      <c r="M53" s="0" t="n">
        <f aca="false">IF(AND(B53&lt;x_H,J53&lt;=0,L52&gt;0),1,0)</f>
        <v>0</v>
      </c>
      <c r="N53" s="0" t="n">
        <f aca="false">IF(AND(B53&lt;x_H,I53&lt;=0,O52&gt;0),1,0)</f>
        <v>0</v>
      </c>
      <c r="O53" s="0" t="n">
        <f aca="false">MAX(O52,I53)</f>
        <v>-42278156.6512682</v>
      </c>
      <c r="P53" s="0" t="n">
        <f aca="false">(L_I5!V43-L_S1!V43)*D53</f>
        <v>-0</v>
      </c>
    </row>
    <row r="54" customFormat="false" ht="15" hidden="false" customHeight="false" outlineLevel="0" collapsed="false">
      <c r="A54" s="0" t="n">
        <v>2067</v>
      </c>
      <c r="B54" s="0" t="n">
        <v>41</v>
      </c>
      <c r="C54" s="0" t="n">
        <f aca="false">IF(B54&lt;x_H,(1+x_dk)^(-B54),0)</f>
        <v>0</v>
      </c>
      <c r="D54" s="0" t="n">
        <f aca="false">IF(B54&lt;x_H,(1+x_de)^(-B54),0)</f>
        <v>0</v>
      </c>
      <c r="E54" s="0" t="n">
        <f aca="false">(L_I5!AO44-L_S1!AO44)*C54</f>
        <v>0</v>
      </c>
      <c r="F54" s="0" t="n">
        <f aca="false">(L_I5!AP44-L_S1!AP44)*C54</f>
        <v>0</v>
      </c>
      <c r="G54" s="0" t="n">
        <f aca="false">(L_I5!AQ44-L_S1!AQ44)*C54</f>
        <v>0</v>
      </c>
      <c r="H54" s="0" t="n">
        <f aca="false">(L_I5!AS44-L_S1!AS44)*C54</f>
        <v>-0</v>
      </c>
      <c r="I54" s="0" t="n">
        <f aca="false">I53+E54</f>
        <v>-353253712.599829</v>
      </c>
      <c r="J54" s="0" t="n">
        <f aca="false">J53+F54</f>
        <v>-159337467.438907</v>
      </c>
      <c r="K54" s="0" t="n">
        <f aca="false">K53+G54</f>
        <v>-82269585.3813936</v>
      </c>
      <c r="L54" s="0" t="n">
        <f aca="false">MAX(L53,J54)</f>
        <v>-41846422.586839</v>
      </c>
      <c r="M54" s="0" t="n">
        <f aca="false">IF(AND(B54&lt;x_H,J54&lt;=0,L53&gt;0),1,0)</f>
        <v>0</v>
      </c>
      <c r="N54" s="0" t="n">
        <f aca="false">IF(AND(B54&lt;x_H,I54&lt;=0,O53&gt;0),1,0)</f>
        <v>0</v>
      </c>
      <c r="O54" s="0" t="n">
        <f aca="false">MAX(O53,I54)</f>
        <v>-42278156.6512682</v>
      </c>
      <c r="P54" s="0" t="n">
        <f aca="false">(L_I5!V44-L_S1!V44)*D54</f>
        <v>-0</v>
      </c>
    </row>
    <row r="55" customFormat="false" ht="15" hidden="false" customHeight="false" outlineLevel="0" collapsed="false">
      <c r="A55" s="0" t="n">
        <v>2068</v>
      </c>
      <c r="B55" s="0" t="n">
        <v>42</v>
      </c>
      <c r="C55" s="0" t="n">
        <f aca="false">IF(B55&lt;x_H,(1+x_dk)^(-B55),0)</f>
        <v>0</v>
      </c>
      <c r="D55" s="0" t="n">
        <f aca="false">IF(B55&lt;x_H,(1+x_de)^(-B55),0)</f>
        <v>0</v>
      </c>
      <c r="E55" s="0" t="n">
        <f aca="false">(L_I5!AO45-L_S1!AO45)*C55</f>
        <v>0</v>
      </c>
      <c r="F55" s="0" t="n">
        <f aca="false">(L_I5!AP45-L_S1!AP45)*C55</f>
        <v>0</v>
      </c>
      <c r="G55" s="0" t="n">
        <f aca="false">(L_I5!AQ45-L_S1!AQ45)*C55</f>
        <v>0</v>
      </c>
      <c r="H55" s="0" t="n">
        <f aca="false">(L_I5!AS45-L_S1!AS45)*C55</f>
        <v>-0</v>
      </c>
      <c r="I55" s="0" t="n">
        <f aca="false">I54+E55</f>
        <v>-353253712.599829</v>
      </c>
      <c r="J55" s="0" t="n">
        <f aca="false">J54+F55</f>
        <v>-159337467.438907</v>
      </c>
      <c r="K55" s="0" t="n">
        <f aca="false">K54+G55</f>
        <v>-82269585.3813936</v>
      </c>
      <c r="L55" s="0" t="n">
        <f aca="false">MAX(L54,J55)</f>
        <v>-41846422.586839</v>
      </c>
      <c r="M55" s="0" t="n">
        <f aca="false">IF(AND(B55&lt;x_H,J55&lt;=0,L54&gt;0),1,0)</f>
        <v>0</v>
      </c>
      <c r="N55" s="0" t="n">
        <f aca="false">IF(AND(B55&lt;x_H,I55&lt;=0,O54&gt;0),1,0)</f>
        <v>0</v>
      </c>
      <c r="O55" s="0" t="n">
        <f aca="false">MAX(O54,I55)</f>
        <v>-42278156.6512682</v>
      </c>
      <c r="P55" s="0" t="n">
        <f aca="false">(L_I5!V45-L_S1!V45)*D55</f>
        <v>-0</v>
      </c>
    </row>
    <row r="56" customFormat="false" ht="15" hidden="false" customHeight="false" outlineLevel="0" collapsed="false">
      <c r="A56" s="0" t="n">
        <v>2069</v>
      </c>
      <c r="B56" s="0" t="n">
        <v>43</v>
      </c>
      <c r="C56" s="0" t="n">
        <f aca="false">IF(B56&lt;x_H,(1+x_dk)^(-B56),0)</f>
        <v>0</v>
      </c>
      <c r="D56" s="0" t="n">
        <f aca="false">IF(B56&lt;x_H,(1+x_de)^(-B56),0)</f>
        <v>0</v>
      </c>
      <c r="E56" s="0" t="n">
        <f aca="false">(L_I5!AO46-L_S1!AO46)*C56</f>
        <v>0</v>
      </c>
      <c r="F56" s="0" t="n">
        <f aca="false">(L_I5!AP46-L_S1!AP46)*C56</f>
        <v>0</v>
      </c>
      <c r="G56" s="0" t="n">
        <f aca="false">(L_I5!AQ46-L_S1!AQ46)*C56</f>
        <v>0</v>
      </c>
      <c r="H56" s="0" t="n">
        <f aca="false">(L_I5!AS46-L_S1!AS46)*C56</f>
        <v>-0</v>
      </c>
      <c r="I56" s="0" t="n">
        <f aca="false">I55+E56</f>
        <v>-353253712.599829</v>
      </c>
      <c r="J56" s="0" t="n">
        <f aca="false">J55+F56</f>
        <v>-159337467.438907</v>
      </c>
      <c r="K56" s="0" t="n">
        <f aca="false">K55+G56</f>
        <v>-82269585.3813936</v>
      </c>
      <c r="L56" s="0" t="n">
        <f aca="false">MAX(L55,J56)</f>
        <v>-41846422.586839</v>
      </c>
      <c r="M56" s="0" t="n">
        <f aca="false">IF(AND(B56&lt;x_H,J56&lt;=0,L55&gt;0),1,0)</f>
        <v>0</v>
      </c>
      <c r="N56" s="0" t="n">
        <f aca="false">IF(AND(B56&lt;x_H,I56&lt;=0,O55&gt;0),1,0)</f>
        <v>0</v>
      </c>
      <c r="O56" s="0" t="n">
        <f aca="false">MAX(O55,I56)</f>
        <v>-42278156.6512682</v>
      </c>
      <c r="P56" s="0" t="n">
        <f aca="false">(L_I5!V46-L_S1!V46)*D56</f>
        <v>-0</v>
      </c>
    </row>
    <row r="57" customFormat="false" ht="15" hidden="false" customHeight="false" outlineLevel="0" collapsed="false">
      <c r="A57" s="0" t="n">
        <v>2070</v>
      </c>
      <c r="B57" s="0" t="n">
        <v>44</v>
      </c>
      <c r="C57" s="0" t="n">
        <f aca="false">IF(B57&lt;x_H,(1+x_dk)^(-B57),0)</f>
        <v>0</v>
      </c>
      <c r="D57" s="0" t="n">
        <f aca="false">IF(B57&lt;x_H,(1+x_de)^(-B57),0)</f>
        <v>0</v>
      </c>
      <c r="E57" s="0" t="n">
        <f aca="false">(L_I5!AO47-L_S1!AO47)*C57</f>
        <v>0</v>
      </c>
      <c r="F57" s="0" t="n">
        <f aca="false">(L_I5!AP47-L_S1!AP47)*C57</f>
        <v>0</v>
      </c>
      <c r="G57" s="0" t="n">
        <f aca="false">(L_I5!AQ47-L_S1!AQ47)*C57</f>
        <v>0</v>
      </c>
      <c r="H57" s="0" t="n">
        <f aca="false">(L_I5!AS47-L_S1!AS47)*C57</f>
        <v>-0</v>
      </c>
      <c r="I57" s="0" t="n">
        <f aca="false">I56+E57</f>
        <v>-353253712.599829</v>
      </c>
      <c r="J57" s="0" t="n">
        <f aca="false">J56+F57</f>
        <v>-159337467.438907</v>
      </c>
      <c r="K57" s="0" t="n">
        <f aca="false">K56+G57</f>
        <v>-82269585.3813936</v>
      </c>
      <c r="L57" s="0" t="n">
        <f aca="false">MAX(L56,J57)</f>
        <v>-41846422.586839</v>
      </c>
      <c r="M57" s="0" t="n">
        <f aca="false">IF(AND(B57&lt;x_H,J57&lt;=0,L56&gt;0),1,0)</f>
        <v>0</v>
      </c>
      <c r="N57" s="0" t="n">
        <f aca="false">IF(AND(B57&lt;x_H,I57&lt;=0,O56&gt;0),1,0)</f>
        <v>0</v>
      </c>
      <c r="O57" s="0" t="n">
        <f aca="false">MAX(O56,I57)</f>
        <v>-42278156.6512682</v>
      </c>
      <c r="P57" s="0" t="n">
        <f aca="false">(L_I5!V47-L_S1!V47)*D57</f>
        <v>-0</v>
      </c>
    </row>
    <row r="58" customFormat="false" ht="15" hidden="false" customHeight="false" outlineLevel="0" collapsed="false">
      <c r="A58" s="0" t="n">
        <v>2071</v>
      </c>
      <c r="B58" s="0" t="n">
        <v>45</v>
      </c>
      <c r="C58" s="0" t="n">
        <f aca="false">IF(B58&lt;x_H,(1+x_dk)^(-B58),0)</f>
        <v>0</v>
      </c>
      <c r="D58" s="0" t="n">
        <f aca="false">IF(B58&lt;x_H,(1+x_de)^(-B58),0)</f>
        <v>0</v>
      </c>
      <c r="E58" s="0" t="n">
        <f aca="false">(L_I5!AO48-L_S1!AO48)*C58</f>
        <v>0</v>
      </c>
      <c r="F58" s="0" t="n">
        <f aca="false">(L_I5!AP48-L_S1!AP48)*C58</f>
        <v>0</v>
      </c>
      <c r="G58" s="0" t="n">
        <f aca="false">(L_I5!AQ48-L_S1!AQ48)*C58</f>
        <v>0</v>
      </c>
      <c r="H58" s="0" t="n">
        <f aca="false">(L_I5!AS48-L_S1!AS48)*C58</f>
        <v>-0</v>
      </c>
      <c r="I58" s="0" t="n">
        <f aca="false">I57+E58</f>
        <v>-353253712.599829</v>
      </c>
      <c r="J58" s="0" t="n">
        <f aca="false">J57+F58</f>
        <v>-159337467.438907</v>
      </c>
      <c r="K58" s="0" t="n">
        <f aca="false">K57+G58</f>
        <v>-82269585.3813936</v>
      </c>
      <c r="L58" s="0" t="n">
        <f aca="false">MAX(L57,J58)</f>
        <v>-41846422.586839</v>
      </c>
      <c r="M58" s="0" t="n">
        <f aca="false">IF(AND(B58&lt;x_H,J58&lt;=0,L57&gt;0),1,0)</f>
        <v>0</v>
      </c>
      <c r="N58" s="0" t="n">
        <f aca="false">IF(AND(B58&lt;x_H,I58&lt;=0,O57&gt;0),1,0)</f>
        <v>0</v>
      </c>
      <c r="O58" s="0" t="n">
        <f aca="false">MAX(O57,I58)</f>
        <v>-42278156.6512682</v>
      </c>
      <c r="P58" s="0" t="n">
        <f aca="false">(L_I5!V48-L_S1!V48)*D58</f>
        <v>-0</v>
      </c>
    </row>
    <row r="59" customFormat="false" ht="15" hidden="false" customHeight="false" outlineLevel="0" collapsed="false">
      <c r="A59" s="0" t="n">
        <v>2072</v>
      </c>
      <c r="B59" s="0" t="n">
        <v>46</v>
      </c>
      <c r="C59" s="0" t="n">
        <f aca="false">IF(B59&lt;x_H,(1+x_dk)^(-B59),0)</f>
        <v>0</v>
      </c>
      <c r="D59" s="0" t="n">
        <f aca="false">IF(B59&lt;x_H,(1+x_de)^(-B59),0)</f>
        <v>0</v>
      </c>
      <c r="E59" s="0" t="n">
        <f aca="false">(L_I5!AO49-L_S1!AO49)*C59</f>
        <v>0</v>
      </c>
      <c r="F59" s="0" t="n">
        <f aca="false">(L_I5!AP49-L_S1!AP49)*C59</f>
        <v>0</v>
      </c>
      <c r="G59" s="0" t="n">
        <f aca="false">(L_I5!AQ49-L_S1!AQ49)*C59</f>
        <v>0</v>
      </c>
      <c r="H59" s="0" t="n">
        <f aca="false">(L_I5!AS49-L_S1!AS49)*C59</f>
        <v>-0</v>
      </c>
      <c r="I59" s="0" t="n">
        <f aca="false">I58+E59</f>
        <v>-353253712.599829</v>
      </c>
      <c r="J59" s="0" t="n">
        <f aca="false">J58+F59</f>
        <v>-159337467.438907</v>
      </c>
      <c r="K59" s="0" t="n">
        <f aca="false">K58+G59</f>
        <v>-82269585.3813936</v>
      </c>
      <c r="L59" s="0" t="n">
        <f aca="false">MAX(L58,J59)</f>
        <v>-41846422.586839</v>
      </c>
      <c r="M59" s="0" t="n">
        <f aca="false">IF(AND(B59&lt;x_H,J59&lt;=0,L58&gt;0),1,0)</f>
        <v>0</v>
      </c>
      <c r="N59" s="0" t="n">
        <f aca="false">IF(AND(B59&lt;x_H,I59&lt;=0,O58&gt;0),1,0)</f>
        <v>0</v>
      </c>
      <c r="O59" s="0" t="n">
        <f aca="false">MAX(O58,I59)</f>
        <v>-42278156.6512682</v>
      </c>
      <c r="P59" s="0" t="n">
        <f aca="false">(L_I5!V49-L_S1!V49)*D59</f>
        <v>-0</v>
      </c>
    </row>
    <row r="60" customFormat="false" ht="15" hidden="false" customHeight="false" outlineLevel="0" collapsed="false">
      <c r="A60" s="0" t="n">
        <v>2073</v>
      </c>
      <c r="B60" s="0" t="n">
        <v>47</v>
      </c>
      <c r="C60" s="0" t="n">
        <f aca="false">IF(B60&lt;x_H,(1+x_dk)^(-B60),0)</f>
        <v>0</v>
      </c>
      <c r="D60" s="0" t="n">
        <f aca="false">IF(B60&lt;x_H,(1+x_de)^(-B60),0)</f>
        <v>0</v>
      </c>
      <c r="E60" s="0" t="n">
        <f aca="false">(L_I5!AO50-L_S1!AO50)*C60</f>
        <v>0</v>
      </c>
      <c r="F60" s="0" t="n">
        <f aca="false">(L_I5!AP50-L_S1!AP50)*C60</f>
        <v>0</v>
      </c>
      <c r="G60" s="0" t="n">
        <f aca="false">(L_I5!AQ50-L_S1!AQ50)*C60</f>
        <v>0</v>
      </c>
      <c r="H60" s="0" t="n">
        <f aca="false">(L_I5!AS50-L_S1!AS50)*C60</f>
        <v>-0</v>
      </c>
      <c r="I60" s="0" t="n">
        <f aca="false">I59+E60</f>
        <v>-353253712.599829</v>
      </c>
      <c r="J60" s="0" t="n">
        <f aca="false">J59+F60</f>
        <v>-159337467.438907</v>
      </c>
      <c r="K60" s="0" t="n">
        <f aca="false">K59+G60</f>
        <v>-82269585.3813936</v>
      </c>
      <c r="L60" s="0" t="n">
        <f aca="false">MAX(L59,J60)</f>
        <v>-41846422.586839</v>
      </c>
      <c r="M60" s="0" t="n">
        <f aca="false">IF(AND(B60&lt;x_H,J60&lt;=0,L59&gt;0),1,0)</f>
        <v>0</v>
      </c>
      <c r="N60" s="0" t="n">
        <f aca="false">IF(AND(B60&lt;x_H,I60&lt;=0,O59&gt;0),1,0)</f>
        <v>0</v>
      </c>
      <c r="O60" s="0" t="n">
        <f aca="false">MAX(O59,I60)</f>
        <v>-42278156.6512682</v>
      </c>
      <c r="P60" s="0" t="n">
        <f aca="false">(L_I5!V50-L_S1!V50)*D60</f>
        <v>-0</v>
      </c>
    </row>
    <row r="61" customFormat="false" ht="15" hidden="false" customHeight="false" outlineLevel="0" collapsed="false">
      <c r="A61" s="0" t="n">
        <v>2074</v>
      </c>
      <c r="B61" s="0" t="n">
        <v>48</v>
      </c>
      <c r="C61" s="0" t="n">
        <f aca="false">IF(B61&lt;x_H,(1+x_dk)^(-B61),0)</f>
        <v>0</v>
      </c>
      <c r="D61" s="0" t="n">
        <f aca="false">IF(B61&lt;x_H,(1+x_de)^(-B61),0)</f>
        <v>0</v>
      </c>
      <c r="E61" s="0" t="n">
        <f aca="false">(L_I5!AO51-L_S1!AO51)*C61</f>
        <v>0</v>
      </c>
      <c r="F61" s="0" t="n">
        <f aca="false">(L_I5!AP51-L_S1!AP51)*C61</f>
        <v>0</v>
      </c>
      <c r="G61" s="0" t="n">
        <f aca="false">(L_I5!AQ51-L_S1!AQ51)*C61</f>
        <v>0</v>
      </c>
      <c r="H61" s="0" t="n">
        <f aca="false">(L_I5!AS51-L_S1!AS51)*C61</f>
        <v>-0</v>
      </c>
      <c r="I61" s="0" t="n">
        <f aca="false">I60+E61</f>
        <v>-353253712.599829</v>
      </c>
      <c r="J61" s="0" t="n">
        <f aca="false">J60+F61</f>
        <v>-159337467.438907</v>
      </c>
      <c r="K61" s="0" t="n">
        <f aca="false">K60+G61</f>
        <v>-82269585.3813936</v>
      </c>
      <c r="L61" s="0" t="n">
        <f aca="false">MAX(L60,J61)</f>
        <v>-41846422.586839</v>
      </c>
      <c r="M61" s="0" t="n">
        <f aca="false">IF(AND(B61&lt;x_H,J61&lt;=0,L60&gt;0),1,0)</f>
        <v>0</v>
      </c>
      <c r="N61" s="0" t="n">
        <f aca="false">IF(AND(B61&lt;x_H,I61&lt;=0,O60&gt;0),1,0)</f>
        <v>0</v>
      </c>
      <c r="O61" s="0" t="n">
        <f aca="false">MAX(O60,I61)</f>
        <v>-42278156.6512682</v>
      </c>
      <c r="P61" s="0" t="n">
        <f aca="false">(L_I5!V51-L_S1!V51)*D61</f>
        <v>-0</v>
      </c>
    </row>
    <row r="62" customFormat="false" ht="15" hidden="false" customHeight="false" outlineLevel="0" collapsed="false">
      <c r="A62" s="0" t="n">
        <v>2075</v>
      </c>
      <c r="B62" s="0" t="n">
        <v>49</v>
      </c>
      <c r="C62" s="0" t="n">
        <f aca="false">IF(B62&lt;x_H,(1+x_dk)^(-B62),0)</f>
        <v>0</v>
      </c>
      <c r="D62" s="0" t="n">
        <f aca="false">IF(B62&lt;x_H,(1+x_de)^(-B62),0)</f>
        <v>0</v>
      </c>
      <c r="E62" s="0" t="n">
        <f aca="false">(L_I5!AO52-L_S1!AO52)*C62</f>
        <v>0</v>
      </c>
      <c r="F62" s="0" t="n">
        <f aca="false">(L_I5!AP52-L_S1!AP52)*C62</f>
        <v>0</v>
      </c>
      <c r="G62" s="0" t="n">
        <f aca="false">(L_I5!AQ52-L_S1!AQ52)*C62</f>
        <v>0</v>
      </c>
      <c r="H62" s="0" t="n">
        <f aca="false">(L_I5!AS52-L_S1!AS52)*C62</f>
        <v>-0</v>
      </c>
      <c r="I62" s="0" t="n">
        <f aca="false">I61+E62</f>
        <v>-353253712.599829</v>
      </c>
      <c r="J62" s="0" t="n">
        <f aca="false">J61+F62</f>
        <v>-159337467.438907</v>
      </c>
      <c r="K62" s="0" t="n">
        <f aca="false">K61+G62</f>
        <v>-82269585.3813936</v>
      </c>
      <c r="L62" s="0" t="n">
        <f aca="false">MAX(L61,J62)</f>
        <v>-41846422.586839</v>
      </c>
      <c r="M62" s="0" t="n">
        <f aca="false">IF(AND(B62&lt;x_H,J62&lt;=0,L61&gt;0),1,0)</f>
        <v>0</v>
      </c>
      <c r="N62" s="0" t="n">
        <f aca="false">IF(AND(B62&lt;x_H,I62&lt;=0,O61&gt;0),1,0)</f>
        <v>0</v>
      </c>
      <c r="O62" s="0" t="n">
        <f aca="false">MAX(O61,I62)</f>
        <v>-42278156.6512682</v>
      </c>
      <c r="P62" s="0" t="n">
        <f aca="false">(L_I5!V52-L_S1!V52)*D62</f>
        <v>-0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631</v>
      </c>
    </row>
    <row r="2" customFormat="false" ht="15" hidden="false" customHeight="false" outlineLevel="0" collapsed="false">
      <c r="A2" s="1" t="s">
        <v>602</v>
      </c>
      <c r="B2" s="0" t="n">
        <f aca="false">x_H</f>
        <v>20</v>
      </c>
    </row>
    <row r="3" customFormat="false" ht="15" hidden="false" customHeight="false" outlineLevel="0" collapsed="false">
      <c r="A3" s="1" t="s">
        <v>603</v>
      </c>
      <c r="B3" s="0" t="n">
        <f aca="false">SUM(H13:H62)</f>
        <v>207096433.075478</v>
      </c>
    </row>
    <row r="4" customFormat="false" ht="15" hidden="false" customHeight="false" outlineLevel="0" collapsed="false">
      <c r="A4" s="1" t="s">
        <v>604</v>
      </c>
      <c r="B4" s="0" t="n">
        <f aca="false">SUM(F13:F62)</f>
        <v>113723762.960653</v>
      </c>
    </row>
    <row r="5" customFormat="false" ht="15" hidden="false" customHeight="false" outlineLevel="0" collapsed="false">
      <c r="A5" s="1" t="s">
        <v>605</v>
      </c>
      <c r="B5" s="0" t="n">
        <f aca="false">B3-B4</f>
        <v>93372670.1148248</v>
      </c>
    </row>
    <row r="6" customFormat="false" ht="15" hidden="false" customHeight="false" outlineLevel="0" collapsed="false">
      <c r="A6" s="1" t="s">
        <v>606</v>
      </c>
      <c r="B6" s="0" t="n">
        <f aca="false">IF(B3=0,"—",(B5-B3)/ABS(B3))</f>
        <v>-0.5491343393597</v>
      </c>
    </row>
    <row r="7" customFormat="false" ht="15" hidden="false" customHeight="false" outlineLevel="0" collapsed="false">
      <c r="A7" s="1" t="s">
        <v>607</v>
      </c>
      <c r="B7" s="0" t="str">
        <f aca="false">IFERROR(INDEX(A13:A62,MATCH(1,M13:M62,0)),"brak w horyzoncie")</f>
        <v>brak w horyzoncie</v>
      </c>
    </row>
    <row r="8" customFormat="false" ht="15" hidden="false" customHeight="false" outlineLevel="0" collapsed="false">
      <c r="A8" s="1" t="s">
        <v>608</v>
      </c>
      <c r="B8" s="0" t="str">
        <f aca="false">IFERROR(INDEX(A13:A62,MATCH(1,N13:N62,0)),"brak w horyzoncie")</f>
        <v>brak w horyzoncie</v>
      </c>
    </row>
    <row r="9" customFormat="false" ht="15" hidden="false" customHeight="false" outlineLevel="0" collapsed="false">
      <c r="A9" s="1" t="s">
        <v>609</v>
      </c>
      <c r="B9" s="0" t="n">
        <f aca="false">SUM(E13:E62)</f>
        <v>172124472.39734</v>
      </c>
    </row>
    <row r="10" customFormat="false" ht="15" hidden="false" customHeight="false" outlineLevel="0" collapsed="false">
      <c r="A10" s="1" t="s">
        <v>610</v>
      </c>
      <c r="B10" s="0" t="n">
        <f aca="false">IFERROR(B4/SUM(P13:P62),"—")</f>
        <v>14518.4269084643</v>
      </c>
    </row>
    <row r="11" customFormat="false" ht="15" hidden="false" customHeight="false" outlineLevel="0" collapsed="false">
      <c r="A11" s="1" t="s">
        <v>611</v>
      </c>
      <c r="B11" s="0" t="n">
        <f aca="false">IFERROR(B9/SUM(P13:P62),"—")</f>
        <v>21974.0932466628</v>
      </c>
    </row>
    <row r="12" customFormat="false" ht="55.2" hidden="false" customHeight="false" outlineLevel="0" collapsed="false">
      <c r="A12" s="3" t="s">
        <v>320</v>
      </c>
      <c r="B12" s="3" t="s">
        <v>553</v>
      </c>
      <c r="C12" s="3" t="s">
        <v>612</v>
      </c>
      <c r="D12" s="3" t="s">
        <v>613</v>
      </c>
      <c r="E12" s="3" t="s">
        <v>614</v>
      </c>
      <c r="F12" s="3" t="s">
        <v>615</v>
      </c>
      <c r="G12" s="3" t="s">
        <v>616</v>
      </c>
      <c r="H12" s="3" t="s">
        <v>617</v>
      </c>
      <c r="I12" s="3" t="s">
        <v>618</v>
      </c>
      <c r="J12" s="3" t="s">
        <v>619</v>
      </c>
      <c r="K12" s="3" t="s">
        <v>620</v>
      </c>
      <c r="L12" s="3" t="s">
        <v>621</v>
      </c>
      <c r="M12" s="3" t="s">
        <v>622</v>
      </c>
      <c r="N12" s="3" t="s">
        <v>623</v>
      </c>
      <c r="O12" s="3" t="s">
        <v>624</v>
      </c>
      <c r="P12" s="3" t="s">
        <v>625</v>
      </c>
    </row>
    <row r="13" customFormat="false" ht="15" hidden="false" customHeight="false" outlineLevel="0" collapsed="false">
      <c r="A13" s="0" t="n">
        <v>2026</v>
      </c>
      <c r="B13" s="0" t="n">
        <v>0</v>
      </c>
      <c r="C13" s="0" t="n">
        <f aca="false">IF(B13&lt;x_H,(1+x_dk)^(-B13),0)</f>
        <v>1</v>
      </c>
      <c r="D13" s="0" t="n">
        <f aca="false">IF(B13&lt;x_H,(1+x_de)^(-B13),0)</f>
        <v>1</v>
      </c>
      <c r="E13" s="0" t="n">
        <f aca="false">(L_V1!AO3-L_S1!AO3)*C13</f>
        <v>12301162.0128008</v>
      </c>
      <c r="F13" s="0" t="n">
        <f aca="false">(L_V1!AP3-L_S1!AP3)*C13</f>
        <v>12829420.1232859</v>
      </c>
      <c r="G13" s="0" t="n">
        <f aca="false">(L_V1!AQ3-L_S1!AQ3)*C13</f>
        <v>12733483.0989468</v>
      </c>
      <c r="H13" s="0" t="n">
        <f aca="false">(L_V1!AS3-L_S1!AS3)*C13</f>
        <v>10872638.5074165</v>
      </c>
      <c r="I13" s="0" t="n">
        <f aca="false">E13</f>
        <v>12301162.0128008</v>
      </c>
      <c r="J13" s="0" t="n">
        <f aca="false">F13</f>
        <v>12829420.1232859</v>
      </c>
      <c r="K13" s="0" t="n">
        <f aca="false">G13</f>
        <v>12733483.0989468</v>
      </c>
      <c r="L13" s="0" t="n">
        <f aca="false">J13</f>
        <v>12829420.1232859</v>
      </c>
      <c r="M13" s="0" t="n">
        <v>0</v>
      </c>
      <c r="N13" s="0" t="n">
        <v>0</v>
      </c>
      <c r="O13" s="0" t="n">
        <f aca="false">I13</f>
        <v>12301162.0128008</v>
      </c>
      <c r="P13" s="0" t="n">
        <f aca="false">(L_V1!V3-L_S1!V3)*D13</f>
        <v>40.5460000000021</v>
      </c>
    </row>
    <row r="14" customFormat="false" ht="15" hidden="false" customHeight="false" outlineLevel="0" collapsed="false">
      <c r="A14" s="0" t="n">
        <v>2027</v>
      </c>
      <c r="B14" s="0" t="n">
        <v>1</v>
      </c>
      <c r="C14" s="0" t="n">
        <f aca="false">IF(B14&lt;x_H,(1+x_dk)^(-B14),0)</f>
        <v>0.952380952380952</v>
      </c>
      <c r="D14" s="0" t="n">
        <f aca="false">IF(B14&lt;x_H,(1+x_de)^(-B14),0)</f>
        <v>0.966183574879227</v>
      </c>
      <c r="E14" s="0" t="n">
        <f aca="false">(L_V1!AO4-L_S1!AO4)*C14</f>
        <v>22620747.2921488</v>
      </c>
      <c r="F14" s="0" t="n">
        <f aca="false">(L_V1!AP4-L_S1!AP4)*C14</f>
        <v>23383210.4631552</v>
      </c>
      <c r="G14" s="0" t="n">
        <f aca="false">(L_V1!AQ4-L_S1!AQ4)*C14</f>
        <v>23194838.0590055</v>
      </c>
      <c r="H14" s="0" t="n">
        <f aca="false">(L_V1!AS4-L_S1!AS4)*C14</f>
        <v>20229342.94552</v>
      </c>
      <c r="I14" s="0" t="n">
        <f aca="false">I13+E14</f>
        <v>34921909.3049496</v>
      </c>
      <c r="J14" s="0" t="n">
        <f aca="false">J13+F14</f>
        <v>36212630.5864411</v>
      </c>
      <c r="K14" s="0" t="n">
        <f aca="false">K13+G14</f>
        <v>35928321.1579523</v>
      </c>
      <c r="L14" s="0" t="n">
        <f aca="false">MAX(L13,J14)</f>
        <v>36212630.5864411</v>
      </c>
      <c r="M14" s="0" t="n">
        <f aca="false">IF(AND(B14&lt;x_H,J14&lt;=0,L13&gt;0),1,0)</f>
        <v>0</v>
      </c>
      <c r="N14" s="0" t="n">
        <f aca="false">IF(AND(B14&lt;x_H,I14&lt;=0,O13&gt;0),1,0)</f>
        <v>0</v>
      </c>
      <c r="O14" s="0" t="n">
        <f aca="false">MAX(O13,I14)</f>
        <v>34921909.3049496</v>
      </c>
      <c r="P14" s="0" t="n">
        <f aca="false">(L_V1!V4-L_S1!V4)*D14</f>
        <v>88.0077294685882</v>
      </c>
    </row>
    <row r="15" customFormat="false" ht="15" hidden="false" customHeight="false" outlineLevel="0" collapsed="false">
      <c r="A15" s="0" t="n">
        <v>2028</v>
      </c>
      <c r="B15" s="0" t="n">
        <v>2</v>
      </c>
      <c r="C15" s="0" t="n">
        <f aca="false">IF(B15&lt;x_H,(1+x_dk)^(-B15),0)</f>
        <v>0.90702947845805</v>
      </c>
      <c r="D15" s="0" t="n">
        <f aca="false">IF(B15&lt;x_H,(1+x_de)^(-B15),0)</f>
        <v>0.933510700366403</v>
      </c>
      <c r="E15" s="0" t="n">
        <f aca="false">(L_V1!AO5-L_S1!AO5)*C15</f>
        <v>31059883.3915215</v>
      </c>
      <c r="F15" s="0" t="n">
        <f aca="false">(L_V1!AP5-L_S1!AP5)*C15</f>
        <v>31742900.2713646</v>
      </c>
      <c r="G15" s="0" t="n">
        <f aca="false">(L_V1!AQ5-L_S1!AQ5)*C15</f>
        <v>31432891.2927412</v>
      </c>
      <c r="H15" s="0" t="n">
        <f aca="false">(L_V1!AS5-L_S1!AS5)*C15</f>
        <v>28181405.3051938</v>
      </c>
      <c r="I15" s="0" t="n">
        <f aca="false">I14+E15</f>
        <v>65981792.6964711</v>
      </c>
      <c r="J15" s="0" t="n">
        <f aca="false">J14+F15</f>
        <v>67955530.8578057</v>
      </c>
      <c r="K15" s="0" t="n">
        <f aca="false">K14+G15</f>
        <v>67361212.4506936</v>
      </c>
      <c r="L15" s="0" t="n">
        <f aca="false">MAX(L14,J15)</f>
        <v>67955530.8578057</v>
      </c>
      <c r="M15" s="0" t="n">
        <f aca="false">IF(AND(B15&lt;x_H,J15&lt;=0,L14&gt;0),1,0)</f>
        <v>0</v>
      </c>
      <c r="N15" s="0" t="n">
        <f aca="false">IF(AND(B15&lt;x_H,I15&lt;=0,O14&gt;0),1,0)</f>
        <v>0</v>
      </c>
      <c r="O15" s="0" t="n">
        <f aca="false">MAX(O14,I15)</f>
        <v>65981792.6964711</v>
      </c>
      <c r="P15" s="0" t="n">
        <f aca="false">(L_V1!V5-L_S1!V5)*D15</f>
        <v>142.478004154126</v>
      </c>
    </row>
    <row r="16" customFormat="false" ht="15" hidden="false" customHeight="false" outlineLevel="0" collapsed="false">
      <c r="A16" s="0" t="n">
        <v>2029</v>
      </c>
      <c r="B16" s="0" t="n">
        <v>3</v>
      </c>
      <c r="C16" s="0" t="n">
        <f aca="false">IF(B16&lt;x_H,(1+x_dk)^(-B16),0)</f>
        <v>0.863837598531476</v>
      </c>
      <c r="D16" s="0" t="n">
        <f aca="false">IF(B16&lt;x_H,(1+x_de)^(-B16),0)</f>
        <v>0.901942705668022</v>
      </c>
      <c r="E16" s="0" t="n">
        <f aca="false">(L_V1!AO6-L_S1!AO6)*C16</f>
        <v>28931359.738619</v>
      </c>
      <c r="F16" s="0" t="n">
        <f aca="false">(L_V1!AP6-L_S1!AP6)*C16</f>
        <v>29223735.2950926</v>
      </c>
      <c r="G16" s="0" t="n">
        <f aca="false">(L_V1!AQ6-L_S1!AQ6)*C16</f>
        <v>28735311.0423586</v>
      </c>
      <c r="H16" s="0" t="n">
        <f aca="false">(L_V1!AS6-L_S1!AS6)*C16</f>
        <v>26125581.5451234</v>
      </c>
      <c r="I16" s="0" t="n">
        <f aca="false">I15+E16</f>
        <v>94913152.4350901</v>
      </c>
      <c r="J16" s="0" t="n">
        <f aca="false">J15+F16</f>
        <v>97179266.1528983</v>
      </c>
      <c r="K16" s="0" t="n">
        <f aca="false">K15+G16</f>
        <v>96096523.4930522</v>
      </c>
      <c r="L16" s="0" t="n">
        <f aca="false">MAX(L15,J16)</f>
        <v>97179266.1528983</v>
      </c>
      <c r="M16" s="0" t="n">
        <f aca="false">IF(AND(B16&lt;x_H,J16&lt;=0,L15&gt;0),1,0)</f>
        <v>0</v>
      </c>
      <c r="N16" s="0" t="n">
        <f aca="false">IF(AND(B16&lt;x_H,I16&lt;=0,O15&gt;0),1,0)</f>
        <v>0</v>
      </c>
      <c r="O16" s="0" t="n">
        <f aca="false">MAX(O15,I16)</f>
        <v>94913152.4350901</v>
      </c>
      <c r="P16" s="0" t="n">
        <f aca="false">(L_V1!V6-L_S1!V6)*D16</f>
        <v>195.093815006819</v>
      </c>
    </row>
    <row r="17" customFormat="false" ht="15" hidden="false" customHeight="false" outlineLevel="0" collapsed="false">
      <c r="A17" s="0" t="n">
        <v>2030</v>
      </c>
      <c r="B17" s="0" t="n">
        <v>4</v>
      </c>
      <c r="C17" s="0" t="n">
        <f aca="false">IF(B17&lt;x_H,(1+x_dk)^(-B17),0)</f>
        <v>0.822702474791882</v>
      </c>
      <c r="D17" s="0" t="n">
        <f aca="false">IF(B17&lt;x_H,(1+x_de)^(-B17),0)</f>
        <v>0.871442227698572</v>
      </c>
      <c r="E17" s="0" t="n">
        <f aca="false">(L_V1!AO7-L_S1!AO7)*C17</f>
        <v>26743353.9178025</v>
      </c>
      <c r="F17" s="0" t="n">
        <f aca="false">(L_V1!AP7-L_S1!AP7)*C17</f>
        <v>26508008.2737454</v>
      </c>
      <c r="G17" s="0" t="n">
        <f aca="false">(L_V1!AQ7-L_S1!AQ7)*C17</f>
        <v>25743914.8523196</v>
      </c>
      <c r="H17" s="0" t="n">
        <f aca="false">(L_V1!AS7-L_S1!AS7)*C17</f>
        <v>24231122.5355755</v>
      </c>
      <c r="I17" s="0" t="n">
        <f aca="false">I16+E17</f>
        <v>121656506.352893</v>
      </c>
      <c r="J17" s="0" t="n">
        <f aca="false">J16+F17</f>
        <v>123687274.426644</v>
      </c>
      <c r="K17" s="0" t="n">
        <f aca="false">K16+G17</f>
        <v>121840438.345372</v>
      </c>
      <c r="L17" s="0" t="n">
        <f aca="false">MAX(L16,J17)</f>
        <v>123687274.426644</v>
      </c>
      <c r="M17" s="0" t="n">
        <f aca="false">IF(AND(B17&lt;x_H,J17&lt;=0,L16&gt;0),1,0)</f>
        <v>0</v>
      </c>
      <c r="N17" s="0" t="n">
        <f aca="false">IF(AND(B17&lt;x_H,I17&lt;=0,O16&gt;0),1,0)</f>
        <v>0</v>
      </c>
      <c r="O17" s="0" t="n">
        <f aca="false">MAX(O16,I17)</f>
        <v>121656506.352893</v>
      </c>
      <c r="P17" s="0" t="n">
        <f aca="false">(L_V1!V7-L_S1!V7)*D17</f>
        <v>246.421204495228</v>
      </c>
    </row>
    <row r="18" customFormat="false" ht="15" hidden="false" customHeight="false" outlineLevel="0" collapsed="false">
      <c r="A18" s="0" t="n">
        <v>2031</v>
      </c>
      <c r="B18" s="0" t="n">
        <v>5</v>
      </c>
      <c r="C18" s="0" t="n">
        <f aca="false">IF(B18&lt;x_H,(1+x_dk)^(-B18),0)</f>
        <v>0.783526166468459</v>
      </c>
      <c r="D18" s="0" t="n">
        <f aca="false">IF(B18&lt;x_H,(1+x_de)^(-B18),0)</f>
        <v>0.841973166858524</v>
      </c>
      <c r="E18" s="0" t="n">
        <f aca="false">(L_V1!AO8-L_S1!AO8)*C18</f>
        <v>24528231.1344202</v>
      </c>
      <c r="F18" s="0" t="n">
        <f aca="false">(L_V1!AP8-L_S1!AP8)*C18</f>
        <v>23630428.4871021</v>
      </c>
      <c r="G18" s="0" t="n">
        <f aca="false">(L_V1!AQ8-L_S1!AQ8)*C18</f>
        <v>22485626.739649</v>
      </c>
      <c r="H18" s="0" t="n">
        <f aca="false">(L_V1!AS8-L_S1!AS8)*C18</f>
        <v>22483303.3735709</v>
      </c>
      <c r="I18" s="0" t="n">
        <f aca="false">I17+E18</f>
        <v>146184737.487313</v>
      </c>
      <c r="J18" s="0" t="n">
        <f aca="false">J17+F18</f>
        <v>147317702.913746</v>
      </c>
      <c r="K18" s="0" t="n">
        <f aca="false">K17+G18</f>
        <v>144326065.085021</v>
      </c>
      <c r="L18" s="0" t="n">
        <f aca="false">MAX(L17,J18)</f>
        <v>147317702.913746</v>
      </c>
      <c r="M18" s="0" t="n">
        <f aca="false">IF(AND(B18&lt;x_H,J18&lt;=0,L17&gt;0),1,0)</f>
        <v>0</v>
      </c>
      <c r="N18" s="0" t="n">
        <f aca="false">IF(AND(B18&lt;x_H,I18&lt;=0,O17&gt;0),1,0)</f>
        <v>0</v>
      </c>
      <c r="O18" s="0" t="n">
        <f aca="false">MAX(O17,I18)</f>
        <v>146184737.487313</v>
      </c>
      <c r="P18" s="0" t="n">
        <f aca="false">(L_V1!V8-L_S1!V8)*D18</f>
        <v>296.749232793446</v>
      </c>
    </row>
    <row r="19" customFormat="false" ht="15" hidden="false" customHeight="false" outlineLevel="0" collapsed="false">
      <c r="A19" s="0" t="n">
        <v>2032</v>
      </c>
      <c r="B19" s="0" t="n">
        <v>6</v>
      </c>
      <c r="C19" s="0" t="n">
        <f aca="false">IF(B19&lt;x_H,(1+x_dk)^(-B19),0)</f>
        <v>0.746215396636628</v>
      </c>
      <c r="D19" s="0" t="n">
        <f aca="false">IF(B19&lt;x_H,(1+x_de)^(-B19),0)</f>
        <v>0.813500644307753</v>
      </c>
      <c r="E19" s="0" t="n">
        <f aca="false">(L_V1!AO9-L_S1!AO9)*C19</f>
        <v>22314641.9284214</v>
      </c>
      <c r="F19" s="0" t="n">
        <f aca="false">(L_V1!AP9-L_S1!AP9)*C19</f>
        <v>20625341.7547328</v>
      </c>
      <c r="G19" s="0" t="n">
        <f aca="false">(L_V1!AQ9-L_S1!AQ9)*C19</f>
        <v>18991469.3575423</v>
      </c>
      <c r="H19" s="0" t="n">
        <f aca="false">(L_V1!AS9-L_S1!AS9)*C19</f>
        <v>20869688.0832121</v>
      </c>
      <c r="I19" s="0" t="n">
        <f aca="false">I18+E19</f>
        <v>168499379.415734</v>
      </c>
      <c r="J19" s="0" t="n">
        <f aca="false">J18+F19</f>
        <v>167943044.668479</v>
      </c>
      <c r="K19" s="0" t="n">
        <f aca="false">K18+G19</f>
        <v>163317534.442563</v>
      </c>
      <c r="L19" s="0" t="n">
        <f aca="false">MAX(L18,J19)</f>
        <v>167943044.668479</v>
      </c>
      <c r="M19" s="0" t="n">
        <f aca="false">IF(AND(B19&lt;x_H,J19&lt;=0,L18&gt;0),1,0)</f>
        <v>0</v>
      </c>
      <c r="N19" s="0" t="n">
        <f aca="false">IF(AND(B19&lt;x_H,I19&lt;=0,O18&gt;0),1,0)</f>
        <v>0</v>
      </c>
      <c r="O19" s="0" t="n">
        <f aca="false">MAX(O18,I19)</f>
        <v>168499379.415734</v>
      </c>
      <c r="P19" s="0" t="n">
        <f aca="false">(L_V1!V9-L_S1!V9)*D19</f>
        <v>346.181945182589</v>
      </c>
    </row>
    <row r="20" customFormat="false" ht="15" hidden="false" customHeight="false" outlineLevel="0" collapsed="false">
      <c r="A20" s="0" t="n">
        <v>2033</v>
      </c>
      <c r="B20" s="0" t="n">
        <v>7</v>
      </c>
      <c r="C20" s="0" t="n">
        <f aca="false">IF(B20&lt;x_H,(1+x_dk)^(-B20),0)</f>
        <v>0.710681330130121</v>
      </c>
      <c r="D20" s="0" t="n">
        <f aca="false">IF(B20&lt;x_H,(1+x_de)^(-B20),0)</f>
        <v>0.785990960683819</v>
      </c>
      <c r="E20" s="0" t="n">
        <f aca="false">(L_V1!AO10-L_S1!AO10)*C20</f>
        <v>20129029.3901162</v>
      </c>
      <c r="F20" s="0" t="n">
        <f aca="false">(L_V1!AP10-L_S1!AP10)*C20</f>
        <v>17528348.9855857</v>
      </c>
      <c r="G20" s="0" t="n">
        <f aca="false">(L_V1!AQ10-L_S1!AQ10)*C20</f>
        <v>15297899.0122603</v>
      </c>
      <c r="H20" s="0" t="n">
        <f aca="false">(L_V1!AS10-L_S1!AS10)*C20</f>
        <v>19378432.0011539</v>
      </c>
      <c r="I20" s="0" t="n">
        <f aca="false">I19+E20</f>
        <v>188628408.80585</v>
      </c>
      <c r="J20" s="0" t="n">
        <f aca="false">J19+F20</f>
        <v>185471393.654064</v>
      </c>
      <c r="K20" s="0" t="n">
        <f aca="false">K19+G20</f>
        <v>178615433.454823</v>
      </c>
      <c r="L20" s="0" t="n">
        <f aca="false">MAX(L19,J20)</f>
        <v>185471393.654064</v>
      </c>
      <c r="M20" s="0" t="n">
        <f aca="false">IF(AND(B20&lt;x_H,J20&lt;=0,L19&gt;0),1,0)</f>
        <v>0</v>
      </c>
      <c r="N20" s="0" t="n">
        <f aca="false">IF(AND(B20&lt;x_H,I20&lt;=0,O19&gt;0),1,0)</f>
        <v>0</v>
      </c>
      <c r="O20" s="0" t="n">
        <f aca="false">MAX(O19,I20)</f>
        <v>188628408.80585</v>
      </c>
      <c r="P20" s="0" t="n">
        <f aca="false">(L_V1!V10-L_S1!V10)*D20</f>
        <v>394.695578789869</v>
      </c>
    </row>
    <row r="21" customFormat="false" ht="15" hidden="false" customHeight="false" outlineLevel="0" collapsed="false">
      <c r="A21" s="0" t="n">
        <v>2034</v>
      </c>
      <c r="B21" s="0" t="n">
        <v>8</v>
      </c>
      <c r="C21" s="0" t="n">
        <f aca="false">IF(B21&lt;x_H,(1+x_dk)^(-B21),0)</f>
        <v>0.676839362028687</v>
      </c>
      <c r="D21" s="0" t="n">
        <f aca="false">IF(B21&lt;x_H,(1+x_de)^(-B21),0)</f>
        <v>0.759411556216251</v>
      </c>
      <c r="E21" s="0" t="n">
        <f aca="false">(L_V1!AO11-L_S1!AO11)*C21</f>
        <v>17994570.0635568</v>
      </c>
      <c r="F21" s="0" t="n">
        <f aca="false">(L_V1!AP11-L_S1!AP11)*C21</f>
        <v>14374773.0830238</v>
      </c>
      <c r="G21" s="0" t="n">
        <f aca="false">(L_V1!AQ11-L_S1!AQ11)*C21</f>
        <v>11444739.6972765</v>
      </c>
      <c r="H21" s="0" t="n">
        <f aca="false">(L_V1!AS11-L_S1!AS11)*C21</f>
        <v>17999986.6531286</v>
      </c>
      <c r="I21" s="0" t="n">
        <f aca="false">I20+E21</f>
        <v>206622978.869407</v>
      </c>
      <c r="J21" s="0" t="n">
        <f aca="false">J20+F21</f>
        <v>199846166.737088</v>
      </c>
      <c r="K21" s="0" t="n">
        <f aca="false">K20+G21</f>
        <v>190060173.1521</v>
      </c>
      <c r="L21" s="0" t="n">
        <f aca="false">MAX(L20,J21)</f>
        <v>199846166.737088</v>
      </c>
      <c r="M21" s="0" t="n">
        <f aca="false">IF(AND(B21&lt;x_H,J21&lt;=0,L20&gt;0),1,0)</f>
        <v>0</v>
      </c>
      <c r="N21" s="0" t="n">
        <f aca="false">IF(AND(B21&lt;x_H,I21&lt;=0,O20&gt;0),1,0)</f>
        <v>0</v>
      </c>
      <c r="O21" s="0" t="n">
        <f aca="false">MAX(O20,I21)</f>
        <v>206622978.869407</v>
      </c>
      <c r="P21" s="0" t="n">
        <f aca="false">(L_V1!V11-L_S1!V11)*D21</f>
        <v>442.183326249587</v>
      </c>
    </row>
    <row r="22" customFormat="false" ht="15" hidden="false" customHeight="false" outlineLevel="0" collapsed="false">
      <c r="A22" s="0" t="n">
        <v>2035</v>
      </c>
      <c r="B22" s="0" t="n">
        <v>9</v>
      </c>
      <c r="C22" s="0" t="n">
        <f aca="false">IF(B22&lt;x_H,(1+x_dk)^(-B22),0)</f>
        <v>0.644608916217797</v>
      </c>
      <c r="D22" s="0" t="n">
        <f aca="false">IF(B22&lt;x_H,(1+x_de)^(-B22),0)</f>
        <v>0.733730972189614</v>
      </c>
      <c r="E22" s="0" t="n">
        <f aca="false">(L_V1!AO12-L_S1!AO12)*C22</f>
        <v>15229425.2716912</v>
      </c>
      <c r="F22" s="0" t="n">
        <f aca="false">(L_V1!AP12-L_S1!AP12)*C22</f>
        <v>10157095.487183</v>
      </c>
      <c r="G22" s="0" t="n">
        <f aca="false">(L_V1!AQ12-L_S1!AQ12)*C22</f>
        <v>6485374.27225711</v>
      </c>
      <c r="H22" s="0" t="n">
        <f aca="false">(L_V1!AS12-L_S1!AS12)*C22</f>
        <v>16724932.1255828</v>
      </c>
      <c r="I22" s="0" t="n">
        <f aca="false">I21+E22</f>
        <v>221852404.141098</v>
      </c>
      <c r="J22" s="0" t="n">
        <f aca="false">J21+F22</f>
        <v>210003262.224271</v>
      </c>
      <c r="K22" s="0" t="n">
        <f aca="false">K21+G22</f>
        <v>196545547.424357</v>
      </c>
      <c r="L22" s="0" t="n">
        <f aca="false">MAX(L21,J22)</f>
        <v>210003262.224271</v>
      </c>
      <c r="M22" s="0" t="n">
        <f aca="false">IF(AND(B22&lt;x_H,J22&lt;=0,L21&gt;0),1,0)</f>
        <v>0</v>
      </c>
      <c r="N22" s="0" t="n">
        <f aca="false">IF(AND(B22&lt;x_H,I22&lt;=0,O21&gt;0),1,0)</f>
        <v>0</v>
      </c>
      <c r="O22" s="0" t="n">
        <f aca="false">MAX(O21,I22)</f>
        <v>221852404.141098</v>
      </c>
      <c r="P22" s="0" t="n">
        <f aca="false">(L_V1!V12-L_S1!V12)*D22</f>
        <v>471.110313968644</v>
      </c>
    </row>
    <row r="23" customFormat="false" ht="15" hidden="false" customHeight="false" outlineLevel="0" collapsed="false">
      <c r="A23" s="0" t="n">
        <v>2036</v>
      </c>
      <c r="B23" s="0" t="n">
        <v>10</v>
      </c>
      <c r="C23" s="0" t="n">
        <f aca="false">IF(B23&lt;x_H,(1+x_dk)^(-B23),0)</f>
        <v>0.613913253540759</v>
      </c>
      <c r="D23" s="0" t="n">
        <f aca="false">IF(B23&lt;x_H,(1+x_de)^(-B23),0)</f>
        <v>0.708918813709772</v>
      </c>
      <c r="E23" s="0" t="n">
        <f aca="false">(L_V1!AO13-L_S1!AO13)*C23</f>
        <v>-3042094.82724111</v>
      </c>
      <c r="F23" s="0" t="n">
        <f aca="false">(L_V1!AP13-L_S1!AP13)*C23</f>
        <v>-9552647.47240684</v>
      </c>
      <c r="G23" s="0" t="n">
        <f aca="false">(L_V1!AQ13-L_S1!AQ13)*C23</f>
        <v>-14033267.5213708</v>
      </c>
      <c r="H23" s="0" t="n">
        <f aca="false">(L_V1!AS13-L_S1!AS13)*C23</f>
        <v>0</v>
      </c>
      <c r="I23" s="0" t="n">
        <f aca="false">I22+E23</f>
        <v>218810309.313857</v>
      </c>
      <c r="J23" s="0" t="n">
        <f aca="false">J22+F23</f>
        <v>200450614.751864</v>
      </c>
      <c r="K23" s="0" t="n">
        <f aca="false">K22+G23</f>
        <v>182512279.902986</v>
      </c>
      <c r="L23" s="0" t="n">
        <f aca="false">MAX(L22,J23)</f>
        <v>210003262.224271</v>
      </c>
      <c r="M23" s="0" t="n">
        <f aca="false">IF(AND(B23&lt;x_H,J23&lt;=0,L22&gt;0),1,0)</f>
        <v>0</v>
      </c>
      <c r="N23" s="0" t="n">
        <f aca="false">IF(AND(B23&lt;x_H,I23&lt;=0,O22&gt;0),1,0)</f>
        <v>0</v>
      </c>
      <c r="O23" s="0" t="n">
        <f aca="false">MAX(O22,I23)</f>
        <v>221852404.141098</v>
      </c>
      <c r="P23" s="0" t="n">
        <f aca="false">(L_V1!V13-L_S1!V13)*D23</f>
        <v>482.631219454799</v>
      </c>
    </row>
    <row r="24" customFormat="false" ht="15" hidden="false" customHeight="false" outlineLevel="0" collapsed="false">
      <c r="A24" s="0" t="n">
        <v>2037</v>
      </c>
      <c r="B24" s="0" t="n">
        <v>11</v>
      </c>
      <c r="C24" s="0" t="n">
        <f aca="false">IF(B24&lt;x_H,(1+x_dk)^(-B24),0)</f>
        <v>0.584679289086437</v>
      </c>
      <c r="D24" s="0" t="n">
        <f aca="false">IF(B24&lt;x_H,(1+x_de)^(-B24),0)</f>
        <v>0.684945713729249</v>
      </c>
      <c r="E24" s="0" t="n">
        <f aca="false">(L_V1!AO14-L_S1!AO14)*C24</f>
        <v>-3871885.06187633</v>
      </c>
      <c r="F24" s="0" t="n">
        <f aca="false">(L_V1!AP14-L_S1!AP14)*C24</f>
        <v>-11433625.9571776</v>
      </c>
      <c r="G24" s="0" t="n">
        <f aca="false">(L_V1!AQ14-L_S1!AQ14)*C24</f>
        <v>-16797060.4273679</v>
      </c>
      <c r="H24" s="0" t="n">
        <f aca="false">(L_V1!AS14-L_S1!AS14)*C24</f>
        <v>0</v>
      </c>
      <c r="I24" s="0" t="n">
        <f aca="false">I23+E24</f>
        <v>214938424.251981</v>
      </c>
      <c r="J24" s="0" t="n">
        <f aca="false">J23+F24</f>
        <v>189016988.794687</v>
      </c>
      <c r="K24" s="0" t="n">
        <f aca="false">K23+G24</f>
        <v>165715219.475618</v>
      </c>
      <c r="L24" s="0" t="n">
        <f aca="false">MAX(L23,J24)</f>
        <v>210003262.224271</v>
      </c>
      <c r="M24" s="0" t="n">
        <f aca="false">IF(AND(B24&lt;x_H,J24&lt;=0,L23&gt;0),1,0)</f>
        <v>0</v>
      </c>
      <c r="N24" s="0" t="n">
        <f aca="false">IF(AND(B24&lt;x_H,I24&lt;=0,O23&gt;0),1,0)</f>
        <v>0</v>
      </c>
      <c r="O24" s="0" t="n">
        <f aca="false">MAX(O23,I24)</f>
        <v>221852404.141098</v>
      </c>
      <c r="P24" s="0" t="n">
        <f aca="false">(L_V1!V14-L_S1!V14)*D24</f>
        <v>493.839010141654</v>
      </c>
    </row>
    <row r="25" customFormat="false" ht="15" hidden="false" customHeight="false" outlineLevel="0" collapsed="false">
      <c r="A25" s="0" t="n">
        <v>2038</v>
      </c>
      <c r="B25" s="0" t="n">
        <v>12</v>
      </c>
      <c r="C25" s="0" t="n">
        <f aca="false">IF(B25&lt;x_H,(1+x_dk)^(-B25),0)</f>
        <v>0.556837418177559</v>
      </c>
      <c r="D25" s="0" t="n">
        <f aca="false">IF(B25&lt;x_H,(1+x_de)^(-B25),0)</f>
        <v>0.661783298289129</v>
      </c>
      <c r="E25" s="0" t="n">
        <f aca="false">(L_V1!AO15-L_S1!AO15)*C25</f>
        <v>-4504110.16631807</v>
      </c>
      <c r="F25" s="0" t="n">
        <f aca="false">(L_V1!AP15-L_S1!AP15)*C25</f>
        <v>-9855134.30909707</v>
      </c>
      <c r="G25" s="0" t="n">
        <f aca="false">(L_V1!AQ15-L_S1!AQ15)*C25</f>
        <v>-13736570.6324851</v>
      </c>
      <c r="H25" s="0" t="n">
        <f aca="false">(L_V1!AS15-L_S1!AS15)*C25</f>
        <v>0</v>
      </c>
      <c r="I25" s="0" t="n">
        <f aca="false">I24+E25</f>
        <v>210434314.085663</v>
      </c>
      <c r="J25" s="0" t="n">
        <f aca="false">J24+F25</f>
        <v>179161854.48559</v>
      </c>
      <c r="K25" s="0" t="n">
        <f aca="false">K24+G25</f>
        <v>151978648.843133</v>
      </c>
      <c r="L25" s="0" t="n">
        <f aca="false">MAX(L24,J25)</f>
        <v>210003262.224271</v>
      </c>
      <c r="M25" s="0" t="n">
        <f aca="false">IF(AND(B25&lt;x_H,J25&lt;=0,L24&gt;0),1,0)</f>
        <v>0</v>
      </c>
      <c r="N25" s="0" t="n">
        <f aca="false">IF(AND(B25&lt;x_H,I25&lt;=0,O24&gt;0),1,0)</f>
        <v>0</v>
      </c>
      <c r="O25" s="0" t="n">
        <f aca="false">MAX(O24,I25)</f>
        <v>221852404.141098</v>
      </c>
      <c r="P25" s="0" t="n">
        <f aca="false">(L_V1!V15-L_S1!V15)*D25</f>
        <v>504.180267584868</v>
      </c>
    </row>
    <row r="26" customFormat="false" ht="15" hidden="false" customHeight="false" outlineLevel="0" collapsed="false">
      <c r="A26" s="0" t="n">
        <v>2039</v>
      </c>
      <c r="B26" s="0" t="n">
        <v>13</v>
      </c>
      <c r="C26" s="0" t="n">
        <f aca="false">IF(B26&lt;x_H,(1+x_dk)^(-B26),0)</f>
        <v>0.530321350645295</v>
      </c>
      <c r="D26" s="0" t="n">
        <f aca="false">IF(B26&lt;x_H,(1+x_de)^(-B26),0)</f>
        <v>0.639404152936357</v>
      </c>
      <c r="E26" s="0" t="n">
        <f aca="false">(L_V1!AO16-L_S1!AO16)*C26</f>
        <v>-4972984.39780689</v>
      </c>
      <c r="F26" s="0" t="n">
        <f aca="false">(L_V1!AP16-L_S1!AP16)*C26</f>
        <v>-7911004.08589089</v>
      </c>
      <c r="G26" s="0" t="n">
        <f aca="false">(L_V1!AQ16-L_S1!AQ16)*C26</f>
        <v>-10120793.2535988</v>
      </c>
      <c r="H26" s="0" t="n">
        <f aca="false">(L_V1!AS16-L_S1!AS16)*C26</f>
        <v>0</v>
      </c>
      <c r="I26" s="0" t="n">
        <f aca="false">I25+E26</f>
        <v>205461329.687856</v>
      </c>
      <c r="J26" s="0" t="n">
        <f aca="false">J25+F26</f>
        <v>171250850.399699</v>
      </c>
      <c r="K26" s="0" t="n">
        <f aca="false">K25+G26</f>
        <v>141857855.589534</v>
      </c>
      <c r="L26" s="0" t="n">
        <f aca="false">MAX(L25,J26)</f>
        <v>210003262.224271</v>
      </c>
      <c r="M26" s="0" t="n">
        <f aca="false">IF(AND(B26&lt;x_H,J26&lt;=0,L25&gt;0),1,0)</f>
        <v>0</v>
      </c>
      <c r="N26" s="0" t="n">
        <f aca="false">IF(AND(B26&lt;x_H,I26&lt;=0,O25&gt;0),1,0)</f>
        <v>0</v>
      </c>
      <c r="O26" s="0" t="n">
        <f aca="false">MAX(O25,I26)</f>
        <v>221852404.141098</v>
      </c>
      <c r="P26" s="0" t="n">
        <f aca="false">(L_V1!V16-L_S1!V16)*D26</f>
        <v>513.24268011633</v>
      </c>
    </row>
    <row r="27" customFormat="false" ht="15" hidden="false" customHeight="false" outlineLevel="0" collapsed="false">
      <c r="A27" s="0" t="n">
        <v>2040</v>
      </c>
      <c r="B27" s="0" t="n">
        <v>14</v>
      </c>
      <c r="C27" s="0" t="n">
        <f aca="false">IF(B27&lt;x_H,(1+x_dk)^(-B27),0)</f>
        <v>0.505067952995519</v>
      </c>
      <c r="D27" s="0" t="n">
        <f aca="false">IF(B27&lt;x_H,(1+x_de)^(-B27),0)</f>
        <v>0.617781790276673</v>
      </c>
      <c r="E27" s="0" t="n">
        <f aca="false">(L_V1!AO17-L_S1!AO17)*C27</f>
        <v>-5304446.2190012</v>
      </c>
      <c r="F27" s="0" t="n">
        <f aca="false">(L_V1!AP17-L_S1!AP17)*C27</f>
        <v>-8570304.54771297</v>
      </c>
      <c r="G27" s="0" t="n">
        <f aca="false">(L_V1!AQ17-L_S1!AQ17)*C27</f>
        <v>-11075749.2245481</v>
      </c>
      <c r="H27" s="0" t="n">
        <f aca="false">(L_V1!AS17-L_S1!AS17)*C27</f>
        <v>0</v>
      </c>
      <c r="I27" s="0" t="n">
        <f aca="false">I26+E27</f>
        <v>200156883.468855</v>
      </c>
      <c r="J27" s="0" t="n">
        <f aca="false">J26+F27</f>
        <v>162680545.851986</v>
      </c>
      <c r="K27" s="0" t="n">
        <f aca="false">K26+G27</f>
        <v>130782106.364986</v>
      </c>
      <c r="L27" s="0" t="n">
        <f aca="false">MAX(L26,J27)</f>
        <v>210003262.224271</v>
      </c>
      <c r="M27" s="0" t="n">
        <f aca="false">IF(AND(B27&lt;x_H,J27&lt;=0,L26&gt;0),1,0)</f>
        <v>0</v>
      </c>
      <c r="N27" s="0" t="n">
        <f aca="false">IF(AND(B27&lt;x_H,I27&lt;=0,O26&gt;0),1,0)</f>
        <v>0</v>
      </c>
      <c r="O27" s="0" t="n">
        <f aca="false">MAX(O26,I27)</f>
        <v>221852404.141098</v>
      </c>
      <c r="P27" s="0" t="n">
        <f aca="false">(L_V1!V17-L_S1!V17)*D27</f>
        <v>520.745568914326</v>
      </c>
    </row>
    <row r="28" customFormat="false" ht="15" hidden="false" customHeight="false" outlineLevel="0" collapsed="false">
      <c r="A28" s="0" t="n">
        <v>2041</v>
      </c>
      <c r="B28" s="0" t="n">
        <v>15</v>
      </c>
      <c r="C28" s="0" t="n">
        <f aca="false">IF(B28&lt;x_H,(1+x_dk)^(-B28),0)</f>
        <v>0.48101709809097</v>
      </c>
      <c r="D28" s="0" t="n">
        <f aca="false">IF(B28&lt;x_H,(1+x_de)^(-B28),0)</f>
        <v>0.596890618624805</v>
      </c>
      <c r="E28" s="0" t="n">
        <f aca="false">(L_V1!AO18-L_S1!AO18)*C28</f>
        <v>-5520320.80902553</v>
      </c>
      <c r="F28" s="0" t="n">
        <f aca="false">(L_V1!AP18-L_S1!AP18)*C28</f>
        <v>-9106207.57930158</v>
      </c>
      <c r="G28" s="0" t="n">
        <f aca="false">(L_V1!AQ18-L_S1!AQ18)*C28</f>
        <v>-11905293.2900841</v>
      </c>
      <c r="H28" s="0" t="n">
        <f aca="false">(L_V1!AS18-L_S1!AS18)*C28</f>
        <v>0</v>
      </c>
      <c r="I28" s="0" t="n">
        <f aca="false">I27+E28</f>
        <v>194636562.659829</v>
      </c>
      <c r="J28" s="0" t="n">
        <f aca="false">J27+F28</f>
        <v>153574338.272684</v>
      </c>
      <c r="K28" s="0" t="n">
        <f aca="false">K27+G28</f>
        <v>118876813.074902</v>
      </c>
      <c r="L28" s="0" t="n">
        <f aca="false">MAX(L27,J28)</f>
        <v>210003262.224271</v>
      </c>
      <c r="M28" s="0" t="n">
        <f aca="false">IF(AND(B28&lt;x_H,J28&lt;=0,L27&gt;0),1,0)</f>
        <v>0</v>
      </c>
      <c r="N28" s="0" t="n">
        <f aca="false">IF(AND(B28&lt;x_H,I28&lt;=0,O27&gt;0),1,0)</f>
        <v>0</v>
      </c>
      <c r="O28" s="0" t="n">
        <f aca="false">MAX(O27,I28)</f>
        <v>221852404.141098</v>
      </c>
      <c r="P28" s="0" t="n">
        <f aca="false">(L_V1!V18-L_S1!V18)*D28</f>
        <v>526.533330735648</v>
      </c>
    </row>
    <row r="29" customFormat="false" ht="15" hidden="false" customHeight="false" outlineLevel="0" collapsed="false">
      <c r="A29" s="0" t="n">
        <v>2042</v>
      </c>
      <c r="B29" s="0" t="n">
        <v>16</v>
      </c>
      <c r="C29" s="0" t="n">
        <f aca="false">IF(B29&lt;x_H,(1+x_dk)^(-B29),0)</f>
        <v>0.4581115219914</v>
      </c>
      <c r="D29" s="0" t="n">
        <f aca="false">IF(B29&lt;x_H,(1+x_de)^(-B29),0)</f>
        <v>0.576705911714788</v>
      </c>
      <c r="E29" s="0" t="n">
        <f aca="false">(L_V1!AO19-L_S1!AO19)*C29</f>
        <v>-5637114.54772307</v>
      </c>
      <c r="F29" s="0" t="n">
        <f aca="false">(L_V1!AP19-L_S1!AP19)*C29</f>
        <v>-9533855.74773232</v>
      </c>
      <c r="G29" s="0" t="n">
        <f aca="false">(L_V1!AQ19-L_S1!AQ19)*C29</f>
        <v>-12622372.1365032</v>
      </c>
      <c r="H29" s="0" t="n">
        <f aca="false">(L_V1!AS19-L_S1!AS19)*C29</f>
        <v>0</v>
      </c>
      <c r="I29" s="0" t="n">
        <f aca="false">I28+E29</f>
        <v>188999448.112106</v>
      </c>
      <c r="J29" s="0" t="n">
        <f aca="false">J28+F29</f>
        <v>144040482.524952</v>
      </c>
      <c r="K29" s="0" t="n">
        <f aca="false">K28+G29</f>
        <v>106254440.938399</v>
      </c>
      <c r="L29" s="0" t="n">
        <f aca="false">MAX(L28,J29)</f>
        <v>210003262.224271</v>
      </c>
      <c r="M29" s="0" t="n">
        <f aca="false">IF(AND(B29&lt;x_H,J29&lt;=0,L28&gt;0),1,0)</f>
        <v>0</v>
      </c>
      <c r="N29" s="0" t="n">
        <f aca="false">IF(AND(B29&lt;x_H,I29&lt;=0,O28&gt;0),1,0)</f>
        <v>0</v>
      </c>
      <c r="O29" s="0" t="n">
        <f aca="false">MAX(O28,I29)</f>
        <v>221852404.141098</v>
      </c>
      <c r="P29" s="0" t="n">
        <f aca="false">(L_V1!V19-L_S1!V19)*D29</f>
        <v>530.349137119339</v>
      </c>
    </row>
    <row r="30" customFormat="false" ht="15" hidden="false" customHeight="false" outlineLevel="0" collapsed="false">
      <c r="A30" s="0" t="n">
        <v>2043</v>
      </c>
      <c r="B30" s="0" t="n">
        <v>17</v>
      </c>
      <c r="C30" s="0" t="n">
        <f aca="false">IF(B30&lt;x_H,(1+x_dk)^(-B30),0)</f>
        <v>0.436296687610857</v>
      </c>
      <c r="D30" s="0" t="n">
        <f aca="false">IF(B30&lt;x_H,(1+x_de)^(-B30),0)</f>
        <v>0.557203779434577</v>
      </c>
      <c r="E30" s="0" t="n">
        <f aca="false">(L_V1!AO20-L_S1!AO20)*C30</f>
        <v>-5673372.87450204</v>
      </c>
      <c r="F30" s="0" t="n">
        <f aca="false">(L_V1!AP20-L_S1!AP20)*C30</f>
        <v>-9870287.06713085</v>
      </c>
      <c r="G30" s="0" t="n">
        <f aca="false">(L_V1!AQ20-L_S1!AQ20)*C30</f>
        <v>-13242006.939179</v>
      </c>
      <c r="H30" s="0" t="n">
        <f aca="false">(L_V1!AS20-L_S1!AS20)*C30</f>
        <v>0</v>
      </c>
      <c r="I30" s="0" t="n">
        <f aca="false">I29+E30</f>
        <v>183326075.237604</v>
      </c>
      <c r="J30" s="0" t="n">
        <f aca="false">J29+F30</f>
        <v>134170195.457821</v>
      </c>
      <c r="K30" s="0" t="n">
        <f aca="false">K29+G30</f>
        <v>93012433.9992199</v>
      </c>
      <c r="L30" s="0" t="n">
        <f aca="false">MAX(L29,J30)</f>
        <v>210003262.224271</v>
      </c>
      <c r="M30" s="0" t="n">
        <f aca="false">IF(AND(B30&lt;x_H,J30&lt;=0,L29&gt;0),1,0)</f>
        <v>0</v>
      </c>
      <c r="N30" s="0" t="n">
        <f aca="false">IF(AND(B30&lt;x_H,I30&lt;=0,O29&gt;0),1,0)</f>
        <v>0</v>
      </c>
      <c r="O30" s="0" t="n">
        <f aca="false">MAX(O29,I30)</f>
        <v>221852404.141098</v>
      </c>
      <c r="P30" s="0" t="n">
        <f aca="false">(L_V1!V20-L_S1!V20)*D30</f>
        <v>532.493463428004</v>
      </c>
    </row>
    <row r="31" customFormat="false" ht="15" hidden="false" customHeight="false" outlineLevel="0" collapsed="false">
      <c r="A31" s="0" t="n">
        <v>2044</v>
      </c>
      <c r="B31" s="0" t="n">
        <v>18</v>
      </c>
      <c r="C31" s="0" t="n">
        <f aca="false">IF(B31&lt;x_H,(1+x_dk)^(-B31),0)</f>
        <v>0.415520654867483</v>
      </c>
      <c r="D31" s="0" t="n">
        <f aca="false">IF(B31&lt;x_H,(1+x_de)^(-B31),0)</f>
        <v>0.538361139550316</v>
      </c>
      <c r="E31" s="0" t="n">
        <f aca="false">(L_V1!AO21-L_S1!AO21)*C31</f>
        <v>-5642938.99120837</v>
      </c>
      <c r="F31" s="0" t="n">
        <f aca="false">(L_V1!AP21-L_S1!AP21)*C31</f>
        <v>-10127990.4989274</v>
      </c>
      <c r="G31" s="0" t="n">
        <f aca="false">(L_V1!AQ21-L_S1!AQ21)*C31</f>
        <v>-13774980.0073978</v>
      </c>
      <c r="H31" s="0" t="n">
        <f aca="false">(L_V1!AS21-L_S1!AS21)*C31</f>
        <v>0</v>
      </c>
      <c r="I31" s="0" t="n">
        <f aca="false">I30+E31</f>
        <v>177683136.246396</v>
      </c>
      <c r="J31" s="0" t="n">
        <f aca="false">J30+F31</f>
        <v>124042204.958894</v>
      </c>
      <c r="K31" s="0" t="n">
        <f aca="false">K30+G31</f>
        <v>79237453.9918222</v>
      </c>
      <c r="L31" s="0" t="n">
        <f aca="false">MAX(L30,J31)</f>
        <v>210003262.224271</v>
      </c>
      <c r="M31" s="0" t="n">
        <f aca="false">IF(AND(B31&lt;x_H,J31&lt;=0,L30&gt;0),1,0)</f>
        <v>0</v>
      </c>
      <c r="N31" s="0" t="n">
        <f aca="false">IF(AND(B31&lt;x_H,I31&lt;=0,O30&gt;0),1,0)</f>
        <v>0</v>
      </c>
      <c r="O31" s="0" t="n">
        <f aca="false">MAX(O30,I31)</f>
        <v>221852404.141098</v>
      </c>
      <c r="P31" s="0" t="n">
        <f aca="false">(L_V1!V21-L_S1!V21)*D31</f>
        <v>533.217098861917</v>
      </c>
    </row>
    <row r="32" customFormat="false" ht="15" hidden="false" customHeight="false" outlineLevel="0" collapsed="false">
      <c r="A32" s="0" t="n">
        <v>2045</v>
      </c>
      <c r="B32" s="0" t="n">
        <v>19</v>
      </c>
      <c r="C32" s="0" t="n">
        <f aca="false">IF(B32&lt;x_H,(1+x_dk)^(-B32),0)</f>
        <v>0.39573395701665</v>
      </c>
      <c r="D32" s="0" t="n">
        <f aca="false">IF(B32&lt;x_H,(1+x_de)^(-B32),0)</f>
        <v>0.520155690386779</v>
      </c>
      <c r="E32" s="0" t="n">
        <f aca="false">(L_V1!AO22-L_S1!AO22)*C32</f>
        <v>-5558663.84905589</v>
      </c>
      <c r="F32" s="0" t="n">
        <f aca="false">(L_V1!AP22-L_S1!AP22)*C32</f>
        <v>-10318441.9982409</v>
      </c>
      <c r="G32" s="0" t="n">
        <f aca="false">(L_V1!AQ22-L_S1!AQ22)*C32</f>
        <v>-14231169.0830172</v>
      </c>
      <c r="H32" s="0" t="n">
        <f aca="false">(L_V1!AS22-L_S1!AS22)*C32</f>
        <v>0</v>
      </c>
      <c r="I32" s="0" t="n">
        <f aca="false">I31+E32</f>
        <v>172124472.39734</v>
      </c>
      <c r="J32" s="0" t="n">
        <f aca="false">J31+F32</f>
        <v>113723762.960653</v>
      </c>
      <c r="K32" s="0" t="n">
        <f aca="false">K31+G32</f>
        <v>65006284.908805</v>
      </c>
      <c r="L32" s="0" t="n">
        <f aca="false">MAX(L31,J32)</f>
        <v>210003262.224271</v>
      </c>
      <c r="M32" s="0" t="n">
        <f aca="false">IF(AND(B32&lt;x_H,J32&lt;=0,L31&gt;0),1,0)</f>
        <v>0</v>
      </c>
      <c r="N32" s="0" t="n">
        <f aca="false">IF(AND(B32&lt;x_H,I32&lt;=0,O31&gt;0),1,0)</f>
        <v>0</v>
      </c>
      <c r="O32" s="0" t="n">
        <f aca="false">MAX(O31,I32)</f>
        <v>221852404.141098</v>
      </c>
      <c r="P32" s="0" t="n">
        <f aca="false">(L_V1!V22-L_S1!V22)*D32</f>
        <v>532.364784751527</v>
      </c>
    </row>
    <row r="33" customFormat="false" ht="15" hidden="false" customHeight="false" outlineLevel="0" collapsed="false">
      <c r="A33" s="0" t="n">
        <v>2046</v>
      </c>
      <c r="B33" s="0" t="n">
        <v>20</v>
      </c>
      <c r="C33" s="0" t="n">
        <f aca="false">IF(B33&lt;x_H,(1+x_dk)^(-B33),0)</f>
        <v>0</v>
      </c>
      <c r="D33" s="0" t="n">
        <f aca="false">IF(B33&lt;x_H,(1+x_de)^(-B33),0)</f>
        <v>0</v>
      </c>
      <c r="E33" s="0" t="n">
        <f aca="false">(L_V1!AO23-L_S1!AO23)*C33</f>
        <v>-0</v>
      </c>
      <c r="F33" s="0" t="n">
        <f aca="false">(L_V1!AP23-L_S1!AP23)*C33</f>
        <v>-0</v>
      </c>
      <c r="G33" s="0" t="n">
        <f aca="false">(L_V1!AQ23-L_S1!AQ23)*C33</f>
        <v>-0</v>
      </c>
      <c r="H33" s="0" t="n">
        <f aca="false">(L_V1!AS23-L_S1!AS23)*C33</f>
        <v>0</v>
      </c>
      <c r="I33" s="0" t="n">
        <f aca="false">I32+E33</f>
        <v>172124472.39734</v>
      </c>
      <c r="J33" s="0" t="n">
        <f aca="false">J32+F33</f>
        <v>113723762.960653</v>
      </c>
      <c r="K33" s="0" t="n">
        <f aca="false">K32+G33</f>
        <v>65006284.908805</v>
      </c>
      <c r="L33" s="0" t="n">
        <f aca="false">MAX(L32,J33)</f>
        <v>210003262.224271</v>
      </c>
      <c r="M33" s="0" t="n">
        <f aca="false">IF(AND(B33&lt;x_H,J33&lt;=0,L32&gt;0),1,0)</f>
        <v>0</v>
      </c>
      <c r="N33" s="0" t="n">
        <f aca="false">IF(AND(B33&lt;x_H,I33&lt;=0,O32&gt;0),1,0)</f>
        <v>0</v>
      </c>
      <c r="O33" s="0" t="n">
        <f aca="false">MAX(O32,I33)</f>
        <v>221852404.141098</v>
      </c>
      <c r="P33" s="0" t="n">
        <f aca="false">(L_V1!V23-L_S1!V23)*D33</f>
        <v>0</v>
      </c>
    </row>
    <row r="34" customFormat="false" ht="15" hidden="false" customHeight="false" outlineLevel="0" collapsed="false">
      <c r="A34" s="0" t="n">
        <v>2047</v>
      </c>
      <c r="B34" s="0" t="n">
        <v>21</v>
      </c>
      <c r="C34" s="0" t="n">
        <f aca="false">IF(B34&lt;x_H,(1+x_dk)^(-B34),0)</f>
        <v>0</v>
      </c>
      <c r="D34" s="0" t="n">
        <f aca="false">IF(B34&lt;x_H,(1+x_de)^(-B34),0)</f>
        <v>0</v>
      </c>
      <c r="E34" s="0" t="n">
        <f aca="false">(L_V1!AO24-L_S1!AO24)*C34</f>
        <v>-0</v>
      </c>
      <c r="F34" s="0" t="n">
        <f aca="false">(L_V1!AP24-L_S1!AP24)*C34</f>
        <v>-0</v>
      </c>
      <c r="G34" s="0" t="n">
        <f aca="false">(L_V1!AQ24-L_S1!AQ24)*C34</f>
        <v>-0</v>
      </c>
      <c r="H34" s="0" t="n">
        <f aca="false">(L_V1!AS24-L_S1!AS24)*C34</f>
        <v>0</v>
      </c>
      <c r="I34" s="0" t="n">
        <f aca="false">I33+E34</f>
        <v>172124472.39734</v>
      </c>
      <c r="J34" s="0" t="n">
        <f aca="false">J33+F34</f>
        <v>113723762.960653</v>
      </c>
      <c r="K34" s="0" t="n">
        <f aca="false">K33+G34</f>
        <v>65006284.908805</v>
      </c>
      <c r="L34" s="0" t="n">
        <f aca="false">MAX(L33,J34)</f>
        <v>210003262.224271</v>
      </c>
      <c r="M34" s="0" t="n">
        <f aca="false">IF(AND(B34&lt;x_H,J34&lt;=0,L33&gt;0),1,0)</f>
        <v>0</v>
      </c>
      <c r="N34" s="0" t="n">
        <f aca="false">IF(AND(B34&lt;x_H,I34&lt;=0,O33&gt;0),1,0)</f>
        <v>0</v>
      </c>
      <c r="O34" s="0" t="n">
        <f aca="false">MAX(O33,I34)</f>
        <v>221852404.141098</v>
      </c>
      <c r="P34" s="0" t="n">
        <f aca="false">(L_V1!V24-L_S1!V24)*D34</f>
        <v>0</v>
      </c>
    </row>
    <row r="35" customFormat="false" ht="15" hidden="false" customHeight="false" outlineLevel="0" collapsed="false">
      <c r="A35" s="0" t="n">
        <v>2048</v>
      </c>
      <c r="B35" s="0" t="n">
        <v>22</v>
      </c>
      <c r="C35" s="0" t="n">
        <f aca="false">IF(B35&lt;x_H,(1+x_dk)^(-B35),0)</f>
        <v>0</v>
      </c>
      <c r="D35" s="0" t="n">
        <f aca="false">IF(B35&lt;x_H,(1+x_de)^(-B35),0)</f>
        <v>0</v>
      </c>
      <c r="E35" s="0" t="n">
        <f aca="false">(L_V1!AO25-L_S1!AO25)*C35</f>
        <v>-0</v>
      </c>
      <c r="F35" s="0" t="n">
        <f aca="false">(L_V1!AP25-L_S1!AP25)*C35</f>
        <v>-0</v>
      </c>
      <c r="G35" s="0" t="n">
        <f aca="false">(L_V1!AQ25-L_S1!AQ25)*C35</f>
        <v>-0</v>
      </c>
      <c r="H35" s="0" t="n">
        <f aca="false">(L_V1!AS25-L_S1!AS25)*C35</f>
        <v>0</v>
      </c>
      <c r="I35" s="0" t="n">
        <f aca="false">I34+E35</f>
        <v>172124472.39734</v>
      </c>
      <c r="J35" s="0" t="n">
        <f aca="false">J34+F35</f>
        <v>113723762.960653</v>
      </c>
      <c r="K35" s="0" t="n">
        <f aca="false">K34+G35</f>
        <v>65006284.908805</v>
      </c>
      <c r="L35" s="0" t="n">
        <f aca="false">MAX(L34,J35)</f>
        <v>210003262.224271</v>
      </c>
      <c r="M35" s="0" t="n">
        <f aca="false">IF(AND(B35&lt;x_H,J35&lt;=0,L34&gt;0),1,0)</f>
        <v>0</v>
      </c>
      <c r="N35" s="0" t="n">
        <f aca="false">IF(AND(B35&lt;x_H,I35&lt;=0,O34&gt;0),1,0)</f>
        <v>0</v>
      </c>
      <c r="O35" s="0" t="n">
        <f aca="false">MAX(O34,I35)</f>
        <v>221852404.141098</v>
      </c>
      <c r="P35" s="0" t="n">
        <f aca="false">(L_V1!V25-L_S1!V25)*D35</f>
        <v>0</v>
      </c>
    </row>
    <row r="36" customFormat="false" ht="15" hidden="false" customHeight="false" outlineLevel="0" collapsed="false">
      <c r="A36" s="0" t="n">
        <v>2049</v>
      </c>
      <c r="B36" s="0" t="n">
        <v>23</v>
      </c>
      <c r="C36" s="0" t="n">
        <f aca="false">IF(B36&lt;x_H,(1+x_dk)^(-B36),0)</f>
        <v>0</v>
      </c>
      <c r="D36" s="0" t="n">
        <f aca="false">IF(B36&lt;x_H,(1+x_de)^(-B36),0)</f>
        <v>0</v>
      </c>
      <c r="E36" s="0" t="n">
        <f aca="false">(L_V1!AO26-L_S1!AO26)*C36</f>
        <v>-0</v>
      </c>
      <c r="F36" s="0" t="n">
        <f aca="false">(L_V1!AP26-L_S1!AP26)*C36</f>
        <v>-0</v>
      </c>
      <c r="G36" s="0" t="n">
        <f aca="false">(L_V1!AQ26-L_S1!AQ26)*C36</f>
        <v>-0</v>
      </c>
      <c r="H36" s="0" t="n">
        <f aca="false">(L_V1!AS26-L_S1!AS26)*C36</f>
        <v>0</v>
      </c>
      <c r="I36" s="0" t="n">
        <f aca="false">I35+E36</f>
        <v>172124472.39734</v>
      </c>
      <c r="J36" s="0" t="n">
        <f aca="false">J35+F36</f>
        <v>113723762.960653</v>
      </c>
      <c r="K36" s="0" t="n">
        <f aca="false">K35+G36</f>
        <v>65006284.908805</v>
      </c>
      <c r="L36" s="0" t="n">
        <f aca="false">MAX(L35,J36)</f>
        <v>210003262.224271</v>
      </c>
      <c r="M36" s="0" t="n">
        <f aca="false">IF(AND(B36&lt;x_H,J36&lt;=0,L35&gt;0),1,0)</f>
        <v>0</v>
      </c>
      <c r="N36" s="0" t="n">
        <f aca="false">IF(AND(B36&lt;x_H,I36&lt;=0,O35&gt;0),1,0)</f>
        <v>0</v>
      </c>
      <c r="O36" s="0" t="n">
        <f aca="false">MAX(O35,I36)</f>
        <v>221852404.141098</v>
      </c>
      <c r="P36" s="0" t="n">
        <f aca="false">(L_V1!V26-L_S1!V26)*D36</f>
        <v>0</v>
      </c>
    </row>
    <row r="37" customFormat="false" ht="15" hidden="false" customHeight="false" outlineLevel="0" collapsed="false">
      <c r="A37" s="0" t="n">
        <v>2050</v>
      </c>
      <c r="B37" s="0" t="n">
        <v>24</v>
      </c>
      <c r="C37" s="0" t="n">
        <f aca="false">IF(B37&lt;x_H,(1+x_dk)^(-B37),0)</f>
        <v>0</v>
      </c>
      <c r="D37" s="0" t="n">
        <f aca="false">IF(B37&lt;x_H,(1+x_de)^(-B37),0)</f>
        <v>0</v>
      </c>
      <c r="E37" s="0" t="n">
        <f aca="false">(L_V1!AO27-L_S1!AO27)*C37</f>
        <v>-0</v>
      </c>
      <c r="F37" s="0" t="n">
        <f aca="false">(L_V1!AP27-L_S1!AP27)*C37</f>
        <v>-0</v>
      </c>
      <c r="G37" s="0" t="n">
        <f aca="false">(L_V1!AQ27-L_S1!AQ27)*C37</f>
        <v>-0</v>
      </c>
      <c r="H37" s="0" t="n">
        <f aca="false">(L_V1!AS27-L_S1!AS27)*C37</f>
        <v>0</v>
      </c>
      <c r="I37" s="0" t="n">
        <f aca="false">I36+E37</f>
        <v>172124472.39734</v>
      </c>
      <c r="J37" s="0" t="n">
        <f aca="false">J36+F37</f>
        <v>113723762.960653</v>
      </c>
      <c r="K37" s="0" t="n">
        <f aca="false">K36+G37</f>
        <v>65006284.908805</v>
      </c>
      <c r="L37" s="0" t="n">
        <f aca="false">MAX(L36,J37)</f>
        <v>210003262.224271</v>
      </c>
      <c r="M37" s="0" t="n">
        <f aca="false">IF(AND(B37&lt;x_H,J37&lt;=0,L36&gt;0),1,0)</f>
        <v>0</v>
      </c>
      <c r="N37" s="0" t="n">
        <f aca="false">IF(AND(B37&lt;x_H,I37&lt;=0,O36&gt;0),1,0)</f>
        <v>0</v>
      </c>
      <c r="O37" s="0" t="n">
        <f aca="false">MAX(O36,I37)</f>
        <v>221852404.141098</v>
      </c>
      <c r="P37" s="0" t="n">
        <f aca="false">(L_V1!V27-L_S1!V27)*D37</f>
        <v>0</v>
      </c>
    </row>
    <row r="38" customFormat="false" ht="15" hidden="false" customHeight="false" outlineLevel="0" collapsed="false">
      <c r="A38" s="0" t="n">
        <v>2051</v>
      </c>
      <c r="B38" s="0" t="n">
        <v>25</v>
      </c>
      <c r="C38" s="0" t="n">
        <f aca="false">IF(B38&lt;x_H,(1+x_dk)^(-B38),0)</f>
        <v>0</v>
      </c>
      <c r="D38" s="0" t="n">
        <f aca="false">IF(B38&lt;x_H,(1+x_de)^(-B38),0)</f>
        <v>0</v>
      </c>
      <c r="E38" s="0" t="n">
        <f aca="false">(L_V1!AO28-L_S1!AO28)*C38</f>
        <v>-0</v>
      </c>
      <c r="F38" s="0" t="n">
        <f aca="false">(L_V1!AP28-L_S1!AP28)*C38</f>
        <v>-0</v>
      </c>
      <c r="G38" s="0" t="n">
        <f aca="false">(L_V1!AQ28-L_S1!AQ28)*C38</f>
        <v>-0</v>
      </c>
      <c r="H38" s="0" t="n">
        <f aca="false">(L_V1!AS28-L_S1!AS28)*C38</f>
        <v>0</v>
      </c>
      <c r="I38" s="0" t="n">
        <f aca="false">I37+E38</f>
        <v>172124472.39734</v>
      </c>
      <c r="J38" s="0" t="n">
        <f aca="false">J37+F38</f>
        <v>113723762.960653</v>
      </c>
      <c r="K38" s="0" t="n">
        <f aca="false">K37+G38</f>
        <v>65006284.908805</v>
      </c>
      <c r="L38" s="0" t="n">
        <f aca="false">MAX(L37,J38)</f>
        <v>210003262.224271</v>
      </c>
      <c r="M38" s="0" t="n">
        <f aca="false">IF(AND(B38&lt;x_H,J38&lt;=0,L37&gt;0),1,0)</f>
        <v>0</v>
      </c>
      <c r="N38" s="0" t="n">
        <f aca="false">IF(AND(B38&lt;x_H,I38&lt;=0,O37&gt;0),1,0)</f>
        <v>0</v>
      </c>
      <c r="O38" s="0" t="n">
        <f aca="false">MAX(O37,I38)</f>
        <v>221852404.141098</v>
      </c>
      <c r="P38" s="0" t="n">
        <f aca="false">(L_V1!V28-L_S1!V28)*D38</f>
        <v>0</v>
      </c>
    </row>
    <row r="39" customFormat="false" ht="15" hidden="false" customHeight="false" outlineLevel="0" collapsed="false">
      <c r="A39" s="0" t="n">
        <v>2052</v>
      </c>
      <c r="B39" s="0" t="n">
        <v>26</v>
      </c>
      <c r="C39" s="0" t="n">
        <f aca="false">IF(B39&lt;x_H,(1+x_dk)^(-B39),0)</f>
        <v>0</v>
      </c>
      <c r="D39" s="0" t="n">
        <f aca="false">IF(B39&lt;x_H,(1+x_de)^(-B39),0)</f>
        <v>0</v>
      </c>
      <c r="E39" s="0" t="n">
        <f aca="false">(L_V1!AO29-L_S1!AO29)*C39</f>
        <v>-0</v>
      </c>
      <c r="F39" s="0" t="n">
        <f aca="false">(L_V1!AP29-L_S1!AP29)*C39</f>
        <v>-0</v>
      </c>
      <c r="G39" s="0" t="n">
        <f aca="false">(L_V1!AQ29-L_S1!AQ29)*C39</f>
        <v>-0</v>
      </c>
      <c r="H39" s="0" t="n">
        <f aca="false">(L_V1!AS29-L_S1!AS29)*C39</f>
        <v>0</v>
      </c>
      <c r="I39" s="0" t="n">
        <f aca="false">I38+E39</f>
        <v>172124472.39734</v>
      </c>
      <c r="J39" s="0" t="n">
        <f aca="false">J38+F39</f>
        <v>113723762.960653</v>
      </c>
      <c r="K39" s="0" t="n">
        <f aca="false">K38+G39</f>
        <v>65006284.908805</v>
      </c>
      <c r="L39" s="0" t="n">
        <f aca="false">MAX(L38,J39)</f>
        <v>210003262.224271</v>
      </c>
      <c r="M39" s="0" t="n">
        <f aca="false">IF(AND(B39&lt;x_H,J39&lt;=0,L38&gt;0),1,0)</f>
        <v>0</v>
      </c>
      <c r="N39" s="0" t="n">
        <f aca="false">IF(AND(B39&lt;x_H,I39&lt;=0,O38&gt;0),1,0)</f>
        <v>0</v>
      </c>
      <c r="O39" s="0" t="n">
        <f aca="false">MAX(O38,I39)</f>
        <v>221852404.141098</v>
      </c>
      <c r="P39" s="0" t="n">
        <f aca="false">(L_V1!V29-L_S1!V29)*D39</f>
        <v>0</v>
      </c>
    </row>
    <row r="40" customFormat="false" ht="15" hidden="false" customHeight="false" outlineLevel="0" collapsed="false">
      <c r="A40" s="0" t="n">
        <v>2053</v>
      </c>
      <c r="B40" s="0" t="n">
        <v>27</v>
      </c>
      <c r="C40" s="0" t="n">
        <f aca="false">IF(B40&lt;x_H,(1+x_dk)^(-B40),0)</f>
        <v>0</v>
      </c>
      <c r="D40" s="0" t="n">
        <f aca="false">IF(B40&lt;x_H,(1+x_de)^(-B40),0)</f>
        <v>0</v>
      </c>
      <c r="E40" s="0" t="n">
        <f aca="false">(L_V1!AO30-L_S1!AO30)*C40</f>
        <v>-0</v>
      </c>
      <c r="F40" s="0" t="n">
        <f aca="false">(L_V1!AP30-L_S1!AP30)*C40</f>
        <v>-0</v>
      </c>
      <c r="G40" s="0" t="n">
        <f aca="false">(L_V1!AQ30-L_S1!AQ30)*C40</f>
        <v>-0</v>
      </c>
      <c r="H40" s="0" t="n">
        <f aca="false">(L_V1!AS30-L_S1!AS30)*C40</f>
        <v>0</v>
      </c>
      <c r="I40" s="0" t="n">
        <f aca="false">I39+E40</f>
        <v>172124472.39734</v>
      </c>
      <c r="J40" s="0" t="n">
        <f aca="false">J39+F40</f>
        <v>113723762.960653</v>
      </c>
      <c r="K40" s="0" t="n">
        <f aca="false">K39+G40</f>
        <v>65006284.908805</v>
      </c>
      <c r="L40" s="0" t="n">
        <f aca="false">MAX(L39,J40)</f>
        <v>210003262.224271</v>
      </c>
      <c r="M40" s="0" t="n">
        <f aca="false">IF(AND(B40&lt;x_H,J40&lt;=0,L39&gt;0),1,0)</f>
        <v>0</v>
      </c>
      <c r="N40" s="0" t="n">
        <f aca="false">IF(AND(B40&lt;x_H,I40&lt;=0,O39&gt;0),1,0)</f>
        <v>0</v>
      </c>
      <c r="O40" s="0" t="n">
        <f aca="false">MAX(O39,I40)</f>
        <v>221852404.141098</v>
      </c>
      <c r="P40" s="0" t="n">
        <f aca="false">(L_V1!V30-L_S1!V30)*D40</f>
        <v>0</v>
      </c>
    </row>
    <row r="41" customFormat="false" ht="15" hidden="false" customHeight="false" outlineLevel="0" collapsed="false">
      <c r="A41" s="0" t="n">
        <v>2054</v>
      </c>
      <c r="B41" s="0" t="n">
        <v>28</v>
      </c>
      <c r="C41" s="0" t="n">
        <f aca="false">IF(B41&lt;x_H,(1+x_dk)^(-B41),0)</f>
        <v>0</v>
      </c>
      <c r="D41" s="0" t="n">
        <f aca="false">IF(B41&lt;x_H,(1+x_de)^(-B41),0)</f>
        <v>0</v>
      </c>
      <c r="E41" s="0" t="n">
        <f aca="false">(L_V1!AO31-L_S1!AO31)*C41</f>
        <v>-0</v>
      </c>
      <c r="F41" s="0" t="n">
        <f aca="false">(L_V1!AP31-L_S1!AP31)*C41</f>
        <v>-0</v>
      </c>
      <c r="G41" s="0" t="n">
        <f aca="false">(L_V1!AQ31-L_S1!AQ31)*C41</f>
        <v>-0</v>
      </c>
      <c r="H41" s="0" t="n">
        <f aca="false">(L_V1!AS31-L_S1!AS31)*C41</f>
        <v>0</v>
      </c>
      <c r="I41" s="0" t="n">
        <f aca="false">I40+E41</f>
        <v>172124472.39734</v>
      </c>
      <c r="J41" s="0" t="n">
        <f aca="false">J40+F41</f>
        <v>113723762.960653</v>
      </c>
      <c r="K41" s="0" t="n">
        <f aca="false">K40+G41</f>
        <v>65006284.908805</v>
      </c>
      <c r="L41" s="0" t="n">
        <f aca="false">MAX(L40,J41)</f>
        <v>210003262.224271</v>
      </c>
      <c r="M41" s="0" t="n">
        <f aca="false">IF(AND(B41&lt;x_H,J41&lt;=0,L40&gt;0),1,0)</f>
        <v>0</v>
      </c>
      <c r="N41" s="0" t="n">
        <f aca="false">IF(AND(B41&lt;x_H,I41&lt;=0,O40&gt;0),1,0)</f>
        <v>0</v>
      </c>
      <c r="O41" s="0" t="n">
        <f aca="false">MAX(O40,I41)</f>
        <v>221852404.141098</v>
      </c>
      <c r="P41" s="0" t="n">
        <f aca="false">(L_V1!V31-L_S1!V31)*D41</f>
        <v>0</v>
      </c>
    </row>
    <row r="42" customFormat="false" ht="15" hidden="false" customHeight="false" outlineLevel="0" collapsed="false">
      <c r="A42" s="0" t="n">
        <v>2055</v>
      </c>
      <c r="B42" s="0" t="n">
        <v>29</v>
      </c>
      <c r="C42" s="0" t="n">
        <f aca="false">IF(B42&lt;x_H,(1+x_dk)^(-B42),0)</f>
        <v>0</v>
      </c>
      <c r="D42" s="0" t="n">
        <f aca="false">IF(B42&lt;x_H,(1+x_de)^(-B42),0)</f>
        <v>0</v>
      </c>
      <c r="E42" s="0" t="n">
        <f aca="false">(L_V1!AO32-L_S1!AO32)*C42</f>
        <v>-0</v>
      </c>
      <c r="F42" s="0" t="n">
        <f aca="false">(L_V1!AP32-L_S1!AP32)*C42</f>
        <v>-0</v>
      </c>
      <c r="G42" s="0" t="n">
        <f aca="false">(L_V1!AQ32-L_S1!AQ32)*C42</f>
        <v>-0</v>
      </c>
      <c r="H42" s="0" t="n">
        <f aca="false">(L_V1!AS32-L_S1!AS32)*C42</f>
        <v>0</v>
      </c>
      <c r="I42" s="0" t="n">
        <f aca="false">I41+E42</f>
        <v>172124472.39734</v>
      </c>
      <c r="J42" s="0" t="n">
        <f aca="false">J41+F42</f>
        <v>113723762.960653</v>
      </c>
      <c r="K42" s="0" t="n">
        <f aca="false">K41+G42</f>
        <v>65006284.908805</v>
      </c>
      <c r="L42" s="0" t="n">
        <f aca="false">MAX(L41,J42)</f>
        <v>210003262.224271</v>
      </c>
      <c r="M42" s="0" t="n">
        <f aca="false">IF(AND(B42&lt;x_H,J42&lt;=0,L41&gt;0),1,0)</f>
        <v>0</v>
      </c>
      <c r="N42" s="0" t="n">
        <f aca="false">IF(AND(B42&lt;x_H,I42&lt;=0,O41&gt;0),1,0)</f>
        <v>0</v>
      </c>
      <c r="O42" s="0" t="n">
        <f aca="false">MAX(O41,I42)</f>
        <v>221852404.141098</v>
      </c>
      <c r="P42" s="0" t="n">
        <f aca="false">(L_V1!V32-L_S1!V32)*D42</f>
        <v>0</v>
      </c>
    </row>
    <row r="43" customFormat="false" ht="15" hidden="false" customHeight="false" outlineLevel="0" collapsed="false">
      <c r="A43" s="0" t="n">
        <v>2056</v>
      </c>
      <c r="B43" s="0" t="n">
        <v>30</v>
      </c>
      <c r="C43" s="0" t="n">
        <f aca="false">IF(B43&lt;x_H,(1+x_dk)^(-B43),0)</f>
        <v>0</v>
      </c>
      <c r="D43" s="0" t="n">
        <f aca="false">IF(B43&lt;x_H,(1+x_de)^(-B43),0)</f>
        <v>0</v>
      </c>
      <c r="E43" s="0" t="n">
        <f aca="false">(L_V1!AO33-L_S1!AO33)*C43</f>
        <v>-0</v>
      </c>
      <c r="F43" s="0" t="n">
        <f aca="false">(L_V1!AP33-L_S1!AP33)*C43</f>
        <v>-0</v>
      </c>
      <c r="G43" s="0" t="n">
        <f aca="false">(L_V1!AQ33-L_S1!AQ33)*C43</f>
        <v>-0</v>
      </c>
      <c r="H43" s="0" t="n">
        <f aca="false">(L_V1!AS33-L_S1!AS33)*C43</f>
        <v>0</v>
      </c>
      <c r="I43" s="0" t="n">
        <f aca="false">I42+E43</f>
        <v>172124472.39734</v>
      </c>
      <c r="J43" s="0" t="n">
        <f aca="false">J42+F43</f>
        <v>113723762.960653</v>
      </c>
      <c r="K43" s="0" t="n">
        <f aca="false">K42+G43</f>
        <v>65006284.908805</v>
      </c>
      <c r="L43" s="0" t="n">
        <f aca="false">MAX(L42,J43)</f>
        <v>210003262.224271</v>
      </c>
      <c r="M43" s="0" t="n">
        <f aca="false">IF(AND(B43&lt;x_H,J43&lt;=0,L42&gt;0),1,0)</f>
        <v>0</v>
      </c>
      <c r="N43" s="0" t="n">
        <f aca="false">IF(AND(B43&lt;x_H,I43&lt;=0,O42&gt;0),1,0)</f>
        <v>0</v>
      </c>
      <c r="O43" s="0" t="n">
        <f aca="false">MAX(O42,I43)</f>
        <v>221852404.141098</v>
      </c>
      <c r="P43" s="0" t="n">
        <f aca="false">(L_V1!V33-L_S1!V33)*D43</f>
        <v>0</v>
      </c>
    </row>
    <row r="44" customFormat="false" ht="15" hidden="false" customHeight="false" outlineLevel="0" collapsed="false">
      <c r="A44" s="0" t="n">
        <v>2057</v>
      </c>
      <c r="B44" s="0" t="n">
        <v>31</v>
      </c>
      <c r="C44" s="0" t="n">
        <f aca="false">IF(B44&lt;x_H,(1+x_dk)^(-B44),0)</f>
        <v>0</v>
      </c>
      <c r="D44" s="0" t="n">
        <f aca="false">IF(B44&lt;x_H,(1+x_de)^(-B44),0)</f>
        <v>0</v>
      </c>
      <c r="E44" s="0" t="n">
        <f aca="false">(L_V1!AO34-L_S1!AO34)*C44</f>
        <v>-0</v>
      </c>
      <c r="F44" s="0" t="n">
        <f aca="false">(L_V1!AP34-L_S1!AP34)*C44</f>
        <v>-0</v>
      </c>
      <c r="G44" s="0" t="n">
        <f aca="false">(L_V1!AQ34-L_S1!AQ34)*C44</f>
        <v>-0</v>
      </c>
      <c r="H44" s="0" t="n">
        <f aca="false">(L_V1!AS34-L_S1!AS34)*C44</f>
        <v>0</v>
      </c>
      <c r="I44" s="0" t="n">
        <f aca="false">I43+E44</f>
        <v>172124472.39734</v>
      </c>
      <c r="J44" s="0" t="n">
        <f aca="false">J43+F44</f>
        <v>113723762.960653</v>
      </c>
      <c r="K44" s="0" t="n">
        <f aca="false">K43+G44</f>
        <v>65006284.908805</v>
      </c>
      <c r="L44" s="0" t="n">
        <f aca="false">MAX(L43,J44)</f>
        <v>210003262.224271</v>
      </c>
      <c r="M44" s="0" t="n">
        <f aca="false">IF(AND(B44&lt;x_H,J44&lt;=0,L43&gt;0),1,0)</f>
        <v>0</v>
      </c>
      <c r="N44" s="0" t="n">
        <f aca="false">IF(AND(B44&lt;x_H,I44&lt;=0,O43&gt;0),1,0)</f>
        <v>0</v>
      </c>
      <c r="O44" s="0" t="n">
        <f aca="false">MAX(O43,I44)</f>
        <v>221852404.141098</v>
      </c>
      <c r="P44" s="0" t="n">
        <f aca="false">(L_V1!V34-L_S1!V34)*D44</f>
        <v>0</v>
      </c>
    </row>
    <row r="45" customFormat="false" ht="15" hidden="false" customHeight="false" outlineLevel="0" collapsed="false">
      <c r="A45" s="0" t="n">
        <v>2058</v>
      </c>
      <c r="B45" s="0" t="n">
        <v>32</v>
      </c>
      <c r="C45" s="0" t="n">
        <f aca="false">IF(B45&lt;x_H,(1+x_dk)^(-B45),0)</f>
        <v>0</v>
      </c>
      <c r="D45" s="0" t="n">
        <f aca="false">IF(B45&lt;x_H,(1+x_de)^(-B45),0)</f>
        <v>0</v>
      </c>
      <c r="E45" s="0" t="n">
        <f aca="false">(L_V1!AO35-L_S1!AO35)*C45</f>
        <v>-0</v>
      </c>
      <c r="F45" s="0" t="n">
        <f aca="false">(L_V1!AP35-L_S1!AP35)*C45</f>
        <v>-0</v>
      </c>
      <c r="G45" s="0" t="n">
        <f aca="false">(L_V1!AQ35-L_S1!AQ35)*C45</f>
        <v>-0</v>
      </c>
      <c r="H45" s="0" t="n">
        <f aca="false">(L_V1!AS35-L_S1!AS35)*C45</f>
        <v>0</v>
      </c>
      <c r="I45" s="0" t="n">
        <f aca="false">I44+E45</f>
        <v>172124472.39734</v>
      </c>
      <c r="J45" s="0" t="n">
        <f aca="false">J44+F45</f>
        <v>113723762.960653</v>
      </c>
      <c r="K45" s="0" t="n">
        <f aca="false">K44+G45</f>
        <v>65006284.908805</v>
      </c>
      <c r="L45" s="0" t="n">
        <f aca="false">MAX(L44,J45)</f>
        <v>210003262.224271</v>
      </c>
      <c r="M45" s="0" t="n">
        <f aca="false">IF(AND(B45&lt;x_H,J45&lt;=0,L44&gt;0),1,0)</f>
        <v>0</v>
      </c>
      <c r="N45" s="0" t="n">
        <f aca="false">IF(AND(B45&lt;x_H,I45&lt;=0,O44&gt;0),1,0)</f>
        <v>0</v>
      </c>
      <c r="O45" s="0" t="n">
        <f aca="false">MAX(O44,I45)</f>
        <v>221852404.141098</v>
      </c>
      <c r="P45" s="0" t="n">
        <f aca="false">(L_V1!V35-L_S1!V35)*D45</f>
        <v>0</v>
      </c>
    </row>
    <row r="46" customFormat="false" ht="15" hidden="false" customHeight="false" outlineLevel="0" collapsed="false">
      <c r="A46" s="0" t="n">
        <v>2059</v>
      </c>
      <c r="B46" s="0" t="n">
        <v>33</v>
      </c>
      <c r="C46" s="0" t="n">
        <f aca="false">IF(B46&lt;x_H,(1+x_dk)^(-B46),0)</f>
        <v>0</v>
      </c>
      <c r="D46" s="0" t="n">
        <f aca="false">IF(B46&lt;x_H,(1+x_de)^(-B46),0)</f>
        <v>0</v>
      </c>
      <c r="E46" s="0" t="n">
        <f aca="false">(L_V1!AO36-L_S1!AO36)*C46</f>
        <v>-0</v>
      </c>
      <c r="F46" s="0" t="n">
        <f aca="false">(L_V1!AP36-L_S1!AP36)*C46</f>
        <v>-0</v>
      </c>
      <c r="G46" s="0" t="n">
        <f aca="false">(L_V1!AQ36-L_S1!AQ36)*C46</f>
        <v>-0</v>
      </c>
      <c r="H46" s="0" t="n">
        <f aca="false">(L_V1!AS36-L_S1!AS36)*C46</f>
        <v>0</v>
      </c>
      <c r="I46" s="0" t="n">
        <f aca="false">I45+E46</f>
        <v>172124472.39734</v>
      </c>
      <c r="J46" s="0" t="n">
        <f aca="false">J45+F46</f>
        <v>113723762.960653</v>
      </c>
      <c r="K46" s="0" t="n">
        <f aca="false">K45+G46</f>
        <v>65006284.908805</v>
      </c>
      <c r="L46" s="0" t="n">
        <f aca="false">MAX(L45,J46)</f>
        <v>210003262.224271</v>
      </c>
      <c r="M46" s="0" t="n">
        <f aca="false">IF(AND(B46&lt;x_H,J46&lt;=0,L45&gt;0),1,0)</f>
        <v>0</v>
      </c>
      <c r="N46" s="0" t="n">
        <f aca="false">IF(AND(B46&lt;x_H,I46&lt;=0,O45&gt;0),1,0)</f>
        <v>0</v>
      </c>
      <c r="O46" s="0" t="n">
        <f aca="false">MAX(O45,I46)</f>
        <v>221852404.141098</v>
      </c>
      <c r="P46" s="0" t="n">
        <f aca="false">(L_V1!V36-L_S1!V36)*D46</f>
        <v>0</v>
      </c>
    </row>
    <row r="47" customFormat="false" ht="15" hidden="false" customHeight="false" outlineLevel="0" collapsed="false">
      <c r="A47" s="0" t="n">
        <v>2060</v>
      </c>
      <c r="B47" s="0" t="n">
        <v>34</v>
      </c>
      <c r="C47" s="0" t="n">
        <f aca="false">IF(B47&lt;x_H,(1+x_dk)^(-B47),0)</f>
        <v>0</v>
      </c>
      <c r="D47" s="0" t="n">
        <f aca="false">IF(B47&lt;x_H,(1+x_de)^(-B47),0)</f>
        <v>0</v>
      </c>
      <c r="E47" s="0" t="n">
        <f aca="false">(L_V1!AO37-L_S1!AO37)*C47</f>
        <v>-0</v>
      </c>
      <c r="F47" s="0" t="n">
        <f aca="false">(L_V1!AP37-L_S1!AP37)*C47</f>
        <v>-0</v>
      </c>
      <c r="G47" s="0" t="n">
        <f aca="false">(L_V1!AQ37-L_S1!AQ37)*C47</f>
        <v>-0</v>
      </c>
      <c r="H47" s="0" t="n">
        <f aca="false">(L_V1!AS37-L_S1!AS37)*C47</f>
        <v>0</v>
      </c>
      <c r="I47" s="0" t="n">
        <f aca="false">I46+E47</f>
        <v>172124472.39734</v>
      </c>
      <c r="J47" s="0" t="n">
        <f aca="false">J46+F47</f>
        <v>113723762.960653</v>
      </c>
      <c r="K47" s="0" t="n">
        <f aca="false">K46+G47</f>
        <v>65006284.908805</v>
      </c>
      <c r="L47" s="0" t="n">
        <f aca="false">MAX(L46,J47)</f>
        <v>210003262.224271</v>
      </c>
      <c r="M47" s="0" t="n">
        <f aca="false">IF(AND(B47&lt;x_H,J47&lt;=0,L46&gt;0),1,0)</f>
        <v>0</v>
      </c>
      <c r="N47" s="0" t="n">
        <f aca="false">IF(AND(B47&lt;x_H,I47&lt;=0,O46&gt;0),1,0)</f>
        <v>0</v>
      </c>
      <c r="O47" s="0" t="n">
        <f aca="false">MAX(O46,I47)</f>
        <v>221852404.141098</v>
      </c>
      <c r="P47" s="0" t="n">
        <f aca="false">(L_V1!V37-L_S1!V37)*D47</f>
        <v>0</v>
      </c>
    </row>
    <row r="48" customFormat="false" ht="15" hidden="false" customHeight="false" outlineLevel="0" collapsed="false">
      <c r="A48" s="0" t="n">
        <v>2061</v>
      </c>
      <c r="B48" s="0" t="n">
        <v>35</v>
      </c>
      <c r="C48" s="0" t="n">
        <f aca="false">IF(B48&lt;x_H,(1+x_dk)^(-B48),0)</f>
        <v>0</v>
      </c>
      <c r="D48" s="0" t="n">
        <f aca="false">IF(B48&lt;x_H,(1+x_de)^(-B48),0)</f>
        <v>0</v>
      </c>
      <c r="E48" s="0" t="n">
        <f aca="false">(L_V1!AO38-L_S1!AO38)*C48</f>
        <v>-0</v>
      </c>
      <c r="F48" s="0" t="n">
        <f aca="false">(L_V1!AP38-L_S1!AP38)*C48</f>
        <v>-0</v>
      </c>
      <c r="G48" s="0" t="n">
        <f aca="false">(L_V1!AQ38-L_S1!AQ38)*C48</f>
        <v>-0</v>
      </c>
      <c r="H48" s="0" t="n">
        <f aca="false">(L_V1!AS38-L_S1!AS38)*C48</f>
        <v>0</v>
      </c>
      <c r="I48" s="0" t="n">
        <f aca="false">I47+E48</f>
        <v>172124472.39734</v>
      </c>
      <c r="J48" s="0" t="n">
        <f aca="false">J47+F48</f>
        <v>113723762.960653</v>
      </c>
      <c r="K48" s="0" t="n">
        <f aca="false">K47+G48</f>
        <v>65006284.908805</v>
      </c>
      <c r="L48" s="0" t="n">
        <f aca="false">MAX(L47,J48)</f>
        <v>210003262.224271</v>
      </c>
      <c r="M48" s="0" t="n">
        <f aca="false">IF(AND(B48&lt;x_H,J48&lt;=0,L47&gt;0),1,0)</f>
        <v>0</v>
      </c>
      <c r="N48" s="0" t="n">
        <f aca="false">IF(AND(B48&lt;x_H,I48&lt;=0,O47&gt;0),1,0)</f>
        <v>0</v>
      </c>
      <c r="O48" s="0" t="n">
        <f aca="false">MAX(O47,I48)</f>
        <v>221852404.141098</v>
      </c>
      <c r="P48" s="0" t="n">
        <f aca="false">(L_V1!V38-L_S1!V38)*D48</f>
        <v>0</v>
      </c>
    </row>
    <row r="49" customFormat="false" ht="15" hidden="false" customHeight="false" outlineLevel="0" collapsed="false">
      <c r="A49" s="0" t="n">
        <v>2062</v>
      </c>
      <c r="B49" s="0" t="n">
        <v>36</v>
      </c>
      <c r="C49" s="0" t="n">
        <f aca="false">IF(B49&lt;x_H,(1+x_dk)^(-B49),0)</f>
        <v>0</v>
      </c>
      <c r="D49" s="0" t="n">
        <f aca="false">IF(B49&lt;x_H,(1+x_de)^(-B49),0)</f>
        <v>0</v>
      </c>
      <c r="E49" s="0" t="n">
        <f aca="false">(L_V1!AO39-L_S1!AO39)*C49</f>
        <v>-0</v>
      </c>
      <c r="F49" s="0" t="n">
        <f aca="false">(L_V1!AP39-L_S1!AP39)*C49</f>
        <v>-0</v>
      </c>
      <c r="G49" s="0" t="n">
        <f aca="false">(L_V1!AQ39-L_S1!AQ39)*C49</f>
        <v>-0</v>
      </c>
      <c r="H49" s="0" t="n">
        <f aca="false">(L_V1!AS39-L_S1!AS39)*C49</f>
        <v>0</v>
      </c>
      <c r="I49" s="0" t="n">
        <f aca="false">I48+E49</f>
        <v>172124472.39734</v>
      </c>
      <c r="J49" s="0" t="n">
        <f aca="false">J48+F49</f>
        <v>113723762.960653</v>
      </c>
      <c r="K49" s="0" t="n">
        <f aca="false">K48+G49</f>
        <v>65006284.908805</v>
      </c>
      <c r="L49" s="0" t="n">
        <f aca="false">MAX(L48,J49)</f>
        <v>210003262.224271</v>
      </c>
      <c r="M49" s="0" t="n">
        <f aca="false">IF(AND(B49&lt;x_H,J49&lt;=0,L48&gt;0),1,0)</f>
        <v>0</v>
      </c>
      <c r="N49" s="0" t="n">
        <f aca="false">IF(AND(B49&lt;x_H,I49&lt;=0,O48&gt;0),1,0)</f>
        <v>0</v>
      </c>
      <c r="O49" s="0" t="n">
        <f aca="false">MAX(O48,I49)</f>
        <v>221852404.141098</v>
      </c>
      <c r="P49" s="0" t="n">
        <f aca="false">(L_V1!V39-L_S1!V39)*D49</f>
        <v>0</v>
      </c>
    </row>
    <row r="50" customFormat="false" ht="15" hidden="false" customHeight="false" outlineLevel="0" collapsed="false">
      <c r="A50" s="0" t="n">
        <v>2063</v>
      </c>
      <c r="B50" s="0" t="n">
        <v>37</v>
      </c>
      <c r="C50" s="0" t="n">
        <f aca="false">IF(B50&lt;x_H,(1+x_dk)^(-B50),0)</f>
        <v>0</v>
      </c>
      <c r="D50" s="0" t="n">
        <f aca="false">IF(B50&lt;x_H,(1+x_de)^(-B50),0)</f>
        <v>0</v>
      </c>
      <c r="E50" s="0" t="n">
        <f aca="false">(L_V1!AO40-L_S1!AO40)*C50</f>
        <v>-0</v>
      </c>
      <c r="F50" s="0" t="n">
        <f aca="false">(L_V1!AP40-L_S1!AP40)*C50</f>
        <v>-0</v>
      </c>
      <c r="G50" s="0" t="n">
        <f aca="false">(L_V1!AQ40-L_S1!AQ40)*C50</f>
        <v>-0</v>
      </c>
      <c r="H50" s="0" t="n">
        <f aca="false">(L_V1!AS40-L_S1!AS40)*C50</f>
        <v>0</v>
      </c>
      <c r="I50" s="0" t="n">
        <f aca="false">I49+E50</f>
        <v>172124472.39734</v>
      </c>
      <c r="J50" s="0" t="n">
        <f aca="false">J49+F50</f>
        <v>113723762.960653</v>
      </c>
      <c r="K50" s="0" t="n">
        <f aca="false">K49+G50</f>
        <v>65006284.908805</v>
      </c>
      <c r="L50" s="0" t="n">
        <f aca="false">MAX(L49,J50)</f>
        <v>210003262.224271</v>
      </c>
      <c r="M50" s="0" t="n">
        <f aca="false">IF(AND(B50&lt;x_H,J50&lt;=0,L49&gt;0),1,0)</f>
        <v>0</v>
      </c>
      <c r="N50" s="0" t="n">
        <f aca="false">IF(AND(B50&lt;x_H,I50&lt;=0,O49&gt;0),1,0)</f>
        <v>0</v>
      </c>
      <c r="O50" s="0" t="n">
        <f aca="false">MAX(O49,I50)</f>
        <v>221852404.141098</v>
      </c>
      <c r="P50" s="0" t="n">
        <f aca="false">(L_V1!V40-L_S1!V40)*D50</f>
        <v>0</v>
      </c>
    </row>
    <row r="51" customFormat="false" ht="15" hidden="false" customHeight="false" outlineLevel="0" collapsed="false">
      <c r="A51" s="0" t="n">
        <v>2064</v>
      </c>
      <c r="B51" s="0" t="n">
        <v>38</v>
      </c>
      <c r="C51" s="0" t="n">
        <f aca="false">IF(B51&lt;x_H,(1+x_dk)^(-B51),0)</f>
        <v>0</v>
      </c>
      <c r="D51" s="0" t="n">
        <f aca="false">IF(B51&lt;x_H,(1+x_de)^(-B51),0)</f>
        <v>0</v>
      </c>
      <c r="E51" s="0" t="n">
        <f aca="false">(L_V1!AO41-L_S1!AO41)*C51</f>
        <v>-0</v>
      </c>
      <c r="F51" s="0" t="n">
        <f aca="false">(L_V1!AP41-L_S1!AP41)*C51</f>
        <v>-0</v>
      </c>
      <c r="G51" s="0" t="n">
        <f aca="false">(L_V1!AQ41-L_S1!AQ41)*C51</f>
        <v>-0</v>
      </c>
      <c r="H51" s="0" t="n">
        <f aca="false">(L_V1!AS41-L_S1!AS41)*C51</f>
        <v>0</v>
      </c>
      <c r="I51" s="0" t="n">
        <f aca="false">I50+E51</f>
        <v>172124472.39734</v>
      </c>
      <c r="J51" s="0" t="n">
        <f aca="false">J50+F51</f>
        <v>113723762.960653</v>
      </c>
      <c r="K51" s="0" t="n">
        <f aca="false">K50+G51</f>
        <v>65006284.908805</v>
      </c>
      <c r="L51" s="0" t="n">
        <f aca="false">MAX(L50,J51)</f>
        <v>210003262.224271</v>
      </c>
      <c r="M51" s="0" t="n">
        <f aca="false">IF(AND(B51&lt;x_H,J51&lt;=0,L50&gt;0),1,0)</f>
        <v>0</v>
      </c>
      <c r="N51" s="0" t="n">
        <f aca="false">IF(AND(B51&lt;x_H,I51&lt;=0,O50&gt;0),1,0)</f>
        <v>0</v>
      </c>
      <c r="O51" s="0" t="n">
        <f aca="false">MAX(O50,I51)</f>
        <v>221852404.141098</v>
      </c>
      <c r="P51" s="0" t="n">
        <f aca="false">(L_V1!V41-L_S1!V41)*D51</f>
        <v>0</v>
      </c>
    </row>
    <row r="52" customFormat="false" ht="15" hidden="false" customHeight="false" outlineLevel="0" collapsed="false">
      <c r="A52" s="0" t="n">
        <v>2065</v>
      </c>
      <c r="B52" s="0" t="n">
        <v>39</v>
      </c>
      <c r="C52" s="0" t="n">
        <f aca="false">IF(B52&lt;x_H,(1+x_dk)^(-B52),0)</f>
        <v>0</v>
      </c>
      <c r="D52" s="0" t="n">
        <f aca="false">IF(B52&lt;x_H,(1+x_de)^(-B52),0)</f>
        <v>0</v>
      </c>
      <c r="E52" s="0" t="n">
        <f aca="false">(L_V1!AO42-L_S1!AO42)*C52</f>
        <v>-0</v>
      </c>
      <c r="F52" s="0" t="n">
        <f aca="false">(L_V1!AP42-L_S1!AP42)*C52</f>
        <v>-0</v>
      </c>
      <c r="G52" s="0" t="n">
        <f aca="false">(L_V1!AQ42-L_S1!AQ42)*C52</f>
        <v>-0</v>
      </c>
      <c r="H52" s="0" t="n">
        <f aca="false">(L_V1!AS42-L_S1!AS42)*C52</f>
        <v>0</v>
      </c>
      <c r="I52" s="0" t="n">
        <f aca="false">I51+E52</f>
        <v>172124472.39734</v>
      </c>
      <c r="J52" s="0" t="n">
        <f aca="false">J51+F52</f>
        <v>113723762.960653</v>
      </c>
      <c r="K52" s="0" t="n">
        <f aca="false">K51+G52</f>
        <v>65006284.908805</v>
      </c>
      <c r="L52" s="0" t="n">
        <f aca="false">MAX(L51,J52)</f>
        <v>210003262.224271</v>
      </c>
      <c r="M52" s="0" t="n">
        <f aca="false">IF(AND(B52&lt;x_H,J52&lt;=0,L51&gt;0),1,0)</f>
        <v>0</v>
      </c>
      <c r="N52" s="0" t="n">
        <f aca="false">IF(AND(B52&lt;x_H,I52&lt;=0,O51&gt;0),1,0)</f>
        <v>0</v>
      </c>
      <c r="O52" s="0" t="n">
        <f aca="false">MAX(O51,I52)</f>
        <v>221852404.141098</v>
      </c>
      <c r="P52" s="0" t="n">
        <f aca="false">(L_V1!V42-L_S1!V42)*D52</f>
        <v>0</v>
      </c>
    </row>
    <row r="53" customFormat="false" ht="15" hidden="false" customHeight="false" outlineLevel="0" collapsed="false">
      <c r="A53" s="0" t="n">
        <v>2066</v>
      </c>
      <c r="B53" s="0" t="n">
        <v>40</v>
      </c>
      <c r="C53" s="0" t="n">
        <f aca="false">IF(B53&lt;x_H,(1+x_dk)^(-B53),0)</f>
        <v>0</v>
      </c>
      <c r="D53" s="0" t="n">
        <f aca="false">IF(B53&lt;x_H,(1+x_de)^(-B53),0)</f>
        <v>0</v>
      </c>
      <c r="E53" s="0" t="n">
        <f aca="false">(L_V1!AO43-L_S1!AO43)*C53</f>
        <v>-0</v>
      </c>
      <c r="F53" s="0" t="n">
        <f aca="false">(L_V1!AP43-L_S1!AP43)*C53</f>
        <v>-0</v>
      </c>
      <c r="G53" s="0" t="n">
        <f aca="false">(L_V1!AQ43-L_S1!AQ43)*C53</f>
        <v>-0</v>
      </c>
      <c r="H53" s="0" t="n">
        <f aca="false">(L_V1!AS43-L_S1!AS43)*C53</f>
        <v>0</v>
      </c>
      <c r="I53" s="0" t="n">
        <f aca="false">I52+E53</f>
        <v>172124472.39734</v>
      </c>
      <c r="J53" s="0" t="n">
        <f aca="false">J52+F53</f>
        <v>113723762.960653</v>
      </c>
      <c r="K53" s="0" t="n">
        <f aca="false">K52+G53</f>
        <v>65006284.908805</v>
      </c>
      <c r="L53" s="0" t="n">
        <f aca="false">MAX(L52,J53)</f>
        <v>210003262.224271</v>
      </c>
      <c r="M53" s="0" t="n">
        <f aca="false">IF(AND(B53&lt;x_H,J53&lt;=0,L52&gt;0),1,0)</f>
        <v>0</v>
      </c>
      <c r="N53" s="0" t="n">
        <f aca="false">IF(AND(B53&lt;x_H,I53&lt;=0,O52&gt;0),1,0)</f>
        <v>0</v>
      </c>
      <c r="O53" s="0" t="n">
        <f aca="false">MAX(O52,I53)</f>
        <v>221852404.141098</v>
      </c>
      <c r="P53" s="0" t="n">
        <f aca="false">(L_V1!V43-L_S1!V43)*D53</f>
        <v>0</v>
      </c>
    </row>
    <row r="54" customFormat="false" ht="15" hidden="false" customHeight="false" outlineLevel="0" collapsed="false">
      <c r="A54" s="0" t="n">
        <v>2067</v>
      </c>
      <c r="B54" s="0" t="n">
        <v>41</v>
      </c>
      <c r="C54" s="0" t="n">
        <f aca="false">IF(B54&lt;x_H,(1+x_dk)^(-B54),0)</f>
        <v>0</v>
      </c>
      <c r="D54" s="0" t="n">
        <f aca="false">IF(B54&lt;x_H,(1+x_de)^(-B54),0)</f>
        <v>0</v>
      </c>
      <c r="E54" s="0" t="n">
        <f aca="false">(L_V1!AO44-L_S1!AO44)*C54</f>
        <v>-0</v>
      </c>
      <c r="F54" s="0" t="n">
        <f aca="false">(L_V1!AP44-L_S1!AP44)*C54</f>
        <v>-0</v>
      </c>
      <c r="G54" s="0" t="n">
        <f aca="false">(L_V1!AQ44-L_S1!AQ44)*C54</f>
        <v>-0</v>
      </c>
      <c r="H54" s="0" t="n">
        <f aca="false">(L_V1!AS44-L_S1!AS44)*C54</f>
        <v>0</v>
      </c>
      <c r="I54" s="0" t="n">
        <f aca="false">I53+E54</f>
        <v>172124472.39734</v>
      </c>
      <c r="J54" s="0" t="n">
        <f aca="false">J53+F54</f>
        <v>113723762.960653</v>
      </c>
      <c r="K54" s="0" t="n">
        <f aca="false">K53+G54</f>
        <v>65006284.908805</v>
      </c>
      <c r="L54" s="0" t="n">
        <f aca="false">MAX(L53,J54)</f>
        <v>210003262.224271</v>
      </c>
      <c r="M54" s="0" t="n">
        <f aca="false">IF(AND(B54&lt;x_H,J54&lt;=0,L53&gt;0),1,0)</f>
        <v>0</v>
      </c>
      <c r="N54" s="0" t="n">
        <f aca="false">IF(AND(B54&lt;x_H,I54&lt;=0,O53&gt;0),1,0)</f>
        <v>0</v>
      </c>
      <c r="O54" s="0" t="n">
        <f aca="false">MAX(O53,I54)</f>
        <v>221852404.141098</v>
      </c>
      <c r="P54" s="0" t="n">
        <f aca="false">(L_V1!V44-L_S1!V44)*D54</f>
        <v>0</v>
      </c>
    </row>
    <row r="55" customFormat="false" ht="15" hidden="false" customHeight="false" outlineLevel="0" collapsed="false">
      <c r="A55" s="0" t="n">
        <v>2068</v>
      </c>
      <c r="B55" s="0" t="n">
        <v>42</v>
      </c>
      <c r="C55" s="0" t="n">
        <f aca="false">IF(B55&lt;x_H,(1+x_dk)^(-B55),0)</f>
        <v>0</v>
      </c>
      <c r="D55" s="0" t="n">
        <f aca="false">IF(B55&lt;x_H,(1+x_de)^(-B55),0)</f>
        <v>0</v>
      </c>
      <c r="E55" s="0" t="n">
        <f aca="false">(L_V1!AO45-L_S1!AO45)*C55</f>
        <v>-0</v>
      </c>
      <c r="F55" s="0" t="n">
        <f aca="false">(L_V1!AP45-L_S1!AP45)*C55</f>
        <v>-0</v>
      </c>
      <c r="G55" s="0" t="n">
        <f aca="false">(L_V1!AQ45-L_S1!AQ45)*C55</f>
        <v>-0</v>
      </c>
      <c r="H55" s="0" t="n">
        <f aca="false">(L_V1!AS45-L_S1!AS45)*C55</f>
        <v>0</v>
      </c>
      <c r="I55" s="0" t="n">
        <f aca="false">I54+E55</f>
        <v>172124472.39734</v>
      </c>
      <c r="J55" s="0" t="n">
        <f aca="false">J54+F55</f>
        <v>113723762.960653</v>
      </c>
      <c r="K55" s="0" t="n">
        <f aca="false">K54+G55</f>
        <v>65006284.908805</v>
      </c>
      <c r="L55" s="0" t="n">
        <f aca="false">MAX(L54,J55)</f>
        <v>210003262.224271</v>
      </c>
      <c r="M55" s="0" t="n">
        <f aca="false">IF(AND(B55&lt;x_H,J55&lt;=0,L54&gt;0),1,0)</f>
        <v>0</v>
      </c>
      <c r="N55" s="0" t="n">
        <f aca="false">IF(AND(B55&lt;x_H,I55&lt;=0,O54&gt;0),1,0)</f>
        <v>0</v>
      </c>
      <c r="O55" s="0" t="n">
        <f aca="false">MAX(O54,I55)</f>
        <v>221852404.141098</v>
      </c>
      <c r="P55" s="0" t="n">
        <f aca="false">(L_V1!V45-L_S1!V45)*D55</f>
        <v>0</v>
      </c>
    </row>
    <row r="56" customFormat="false" ht="15" hidden="false" customHeight="false" outlineLevel="0" collapsed="false">
      <c r="A56" s="0" t="n">
        <v>2069</v>
      </c>
      <c r="B56" s="0" t="n">
        <v>43</v>
      </c>
      <c r="C56" s="0" t="n">
        <f aca="false">IF(B56&lt;x_H,(1+x_dk)^(-B56),0)</f>
        <v>0</v>
      </c>
      <c r="D56" s="0" t="n">
        <f aca="false">IF(B56&lt;x_H,(1+x_de)^(-B56),0)</f>
        <v>0</v>
      </c>
      <c r="E56" s="0" t="n">
        <f aca="false">(L_V1!AO46-L_S1!AO46)*C56</f>
        <v>-0</v>
      </c>
      <c r="F56" s="0" t="n">
        <f aca="false">(L_V1!AP46-L_S1!AP46)*C56</f>
        <v>-0</v>
      </c>
      <c r="G56" s="0" t="n">
        <f aca="false">(L_V1!AQ46-L_S1!AQ46)*C56</f>
        <v>-0</v>
      </c>
      <c r="H56" s="0" t="n">
        <f aca="false">(L_V1!AS46-L_S1!AS46)*C56</f>
        <v>0</v>
      </c>
      <c r="I56" s="0" t="n">
        <f aca="false">I55+E56</f>
        <v>172124472.39734</v>
      </c>
      <c r="J56" s="0" t="n">
        <f aca="false">J55+F56</f>
        <v>113723762.960653</v>
      </c>
      <c r="K56" s="0" t="n">
        <f aca="false">K55+G56</f>
        <v>65006284.908805</v>
      </c>
      <c r="L56" s="0" t="n">
        <f aca="false">MAX(L55,J56)</f>
        <v>210003262.224271</v>
      </c>
      <c r="M56" s="0" t="n">
        <f aca="false">IF(AND(B56&lt;x_H,J56&lt;=0,L55&gt;0),1,0)</f>
        <v>0</v>
      </c>
      <c r="N56" s="0" t="n">
        <f aca="false">IF(AND(B56&lt;x_H,I56&lt;=0,O55&gt;0),1,0)</f>
        <v>0</v>
      </c>
      <c r="O56" s="0" t="n">
        <f aca="false">MAX(O55,I56)</f>
        <v>221852404.141098</v>
      </c>
      <c r="P56" s="0" t="n">
        <f aca="false">(L_V1!V46-L_S1!V46)*D56</f>
        <v>0</v>
      </c>
    </row>
    <row r="57" customFormat="false" ht="15" hidden="false" customHeight="false" outlineLevel="0" collapsed="false">
      <c r="A57" s="0" t="n">
        <v>2070</v>
      </c>
      <c r="B57" s="0" t="n">
        <v>44</v>
      </c>
      <c r="C57" s="0" t="n">
        <f aca="false">IF(B57&lt;x_H,(1+x_dk)^(-B57),0)</f>
        <v>0</v>
      </c>
      <c r="D57" s="0" t="n">
        <f aca="false">IF(B57&lt;x_H,(1+x_de)^(-B57),0)</f>
        <v>0</v>
      </c>
      <c r="E57" s="0" t="n">
        <f aca="false">(L_V1!AO47-L_S1!AO47)*C57</f>
        <v>-0</v>
      </c>
      <c r="F57" s="0" t="n">
        <f aca="false">(L_V1!AP47-L_S1!AP47)*C57</f>
        <v>-0</v>
      </c>
      <c r="G57" s="0" t="n">
        <f aca="false">(L_V1!AQ47-L_S1!AQ47)*C57</f>
        <v>-0</v>
      </c>
      <c r="H57" s="0" t="n">
        <f aca="false">(L_V1!AS47-L_S1!AS47)*C57</f>
        <v>0</v>
      </c>
      <c r="I57" s="0" t="n">
        <f aca="false">I56+E57</f>
        <v>172124472.39734</v>
      </c>
      <c r="J57" s="0" t="n">
        <f aca="false">J56+F57</f>
        <v>113723762.960653</v>
      </c>
      <c r="K57" s="0" t="n">
        <f aca="false">K56+G57</f>
        <v>65006284.908805</v>
      </c>
      <c r="L57" s="0" t="n">
        <f aca="false">MAX(L56,J57)</f>
        <v>210003262.224271</v>
      </c>
      <c r="M57" s="0" t="n">
        <f aca="false">IF(AND(B57&lt;x_H,J57&lt;=0,L56&gt;0),1,0)</f>
        <v>0</v>
      </c>
      <c r="N57" s="0" t="n">
        <f aca="false">IF(AND(B57&lt;x_H,I57&lt;=0,O56&gt;0),1,0)</f>
        <v>0</v>
      </c>
      <c r="O57" s="0" t="n">
        <f aca="false">MAX(O56,I57)</f>
        <v>221852404.141098</v>
      </c>
      <c r="P57" s="0" t="n">
        <f aca="false">(L_V1!V47-L_S1!V47)*D57</f>
        <v>0</v>
      </c>
    </row>
    <row r="58" customFormat="false" ht="15" hidden="false" customHeight="false" outlineLevel="0" collapsed="false">
      <c r="A58" s="0" t="n">
        <v>2071</v>
      </c>
      <c r="B58" s="0" t="n">
        <v>45</v>
      </c>
      <c r="C58" s="0" t="n">
        <f aca="false">IF(B58&lt;x_H,(1+x_dk)^(-B58),0)</f>
        <v>0</v>
      </c>
      <c r="D58" s="0" t="n">
        <f aca="false">IF(B58&lt;x_H,(1+x_de)^(-B58),0)</f>
        <v>0</v>
      </c>
      <c r="E58" s="0" t="n">
        <f aca="false">(L_V1!AO48-L_S1!AO48)*C58</f>
        <v>-0</v>
      </c>
      <c r="F58" s="0" t="n">
        <f aca="false">(L_V1!AP48-L_S1!AP48)*C58</f>
        <v>-0</v>
      </c>
      <c r="G58" s="0" t="n">
        <f aca="false">(L_V1!AQ48-L_S1!AQ48)*C58</f>
        <v>-0</v>
      </c>
      <c r="H58" s="0" t="n">
        <f aca="false">(L_V1!AS48-L_S1!AS48)*C58</f>
        <v>0</v>
      </c>
      <c r="I58" s="0" t="n">
        <f aca="false">I57+E58</f>
        <v>172124472.39734</v>
      </c>
      <c r="J58" s="0" t="n">
        <f aca="false">J57+F58</f>
        <v>113723762.960653</v>
      </c>
      <c r="K58" s="0" t="n">
        <f aca="false">K57+G58</f>
        <v>65006284.908805</v>
      </c>
      <c r="L58" s="0" t="n">
        <f aca="false">MAX(L57,J58)</f>
        <v>210003262.224271</v>
      </c>
      <c r="M58" s="0" t="n">
        <f aca="false">IF(AND(B58&lt;x_H,J58&lt;=0,L57&gt;0),1,0)</f>
        <v>0</v>
      </c>
      <c r="N58" s="0" t="n">
        <f aca="false">IF(AND(B58&lt;x_H,I58&lt;=0,O57&gt;0),1,0)</f>
        <v>0</v>
      </c>
      <c r="O58" s="0" t="n">
        <f aca="false">MAX(O57,I58)</f>
        <v>221852404.141098</v>
      </c>
      <c r="P58" s="0" t="n">
        <f aca="false">(L_V1!V48-L_S1!V48)*D58</f>
        <v>0</v>
      </c>
    </row>
    <row r="59" customFormat="false" ht="15" hidden="false" customHeight="false" outlineLevel="0" collapsed="false">
      <c r="A59" s="0" t="n">
        <v>2072</v>
      </c>
      <c r="B59" s="0" t="n">
        <v>46</v>
      </c>
      <c r="C59" s="0" t="n">
        <f aca="false">IF(B59&lt;x_H,(1+x_dk)^(-B59),0)</f>
        <v>0</v>
      </c>
      <c r="D59" s="0" t="n">
        <f aca="false">IF(B59&lt;x_H,(1+x_de)^(-B59),0)</f>
        <v>0</v>
      </c>
      <c r="E59" s="0" t="n">
        <f aca="false">(L_V1!AO49-L_S1!AO49)*C59</f>
        <v>-0</v>
      </c>
      <c r="F59" s="0" t="n">
        <f aca="false">(L_V1!AP49-L_S1!AP49)*C59</f>
        <v>-0</v>
      </c>
      <c r="G59" s="0" t="n">
        <f aca="false">(L_V1!AQ49-L_S1!AQ49)*C59</f>
        <v>-0</v>
      </c>
      <c r="H59" s="0" t="n">
        <f aca="false">(L_V1!AS49-L_S1!AS49)*C59</f>
        <v>0</v>
      </c>
      <c r="I59" s="0" t="n">
        <f aca="false">I58+E59</f>
        <v>172124472.39734</v>
      </c>
      <c r="J59" s="0" t="n">
        <f aca="false">J58+F59</f>
        <v>113723762.960653</v>
      </c>
      <c r="K59" s="0" t="n">
        <f aca="false">K58+G59</f>
        <v>65006284.908805</v>
      </c>
      <c r="L59" s="0" t="n">
        <f aca="false">MAX(L58,J59)</f>
        <v>210003262.224271</v>
      </c>
      <c r="M59" s="0" t="n">
        <f aca="false">IF(AND(B59&lt;x_H,J59&lt;=0,L58&gt;0),1,0)</f>
        <v>0</v>
      </c>
      <c r="N59" s="0" t="n">
        <f aca="false">IF(AND(B59&lt;x_H,I59&lt;=0,O58&gt;0),1,0)</f>
        <v>0</v>
      </c>
      <c r="O59" s="0" t="n">
        <f aca="false">MAX(O58,I59)</f>
        <v>221852404.141098</v>
      </c>
      <c r="P59" s="0" t="n">
        <f aca="false">(L_V1!V49-L_S1!V49)*D59</f>
        <v>0</v>
      </c>
    </row>
    <row r="60" customFormat="false" ht="15" hidden="false" customHeight="false" outlineLevel="0" collapsed="false">
      <c r="A60" s="0" t="n">
        <v>2073</v>
      </c>
      <c r="B60" s="0" t="n">
        <v>47</v>
      </c>
      <c r="C60" s="0" t="n">
        <f aca="false">IF(B60&lt;x_H,(1+x_dk)^(-B60),0)</f>
        <v>0</v>
      </c>
      <c r="D60" s="0" t="n">
        <f aca="false">IF(B60&lt;x_H,(1+x_de)^(-B60),0)</f>
        <v>0</v>
      </c>
      <c r="E60" s="0" t="n">
        <f aca="false">(L_V1!AO50-L_S1!AO50)*C60</f>
        <v>-0</v>
      </c>
      <c r="F60" s="0" t="n">
        <f aca="false">(L_V1!AP50-L_S1!AP50)*C60</f>
        <v>-0</v>
      </c>
      <c r="G60" s="0" t="n">
        <f aca="false">(L_V1!AQ50-L_S1!AQ50)*C60</f>
        <v>-0</v>
      </c>
      <c r="H60" s="0" t="n">
        <f aca="false">(L_V1!AS50-L_S1!AS50)*C60</f>
        <v>0</v>
      </c>
      <c r="I60" s="0" t="n">
        <f aca="false">I59+E60</f>
        <v>172124472.39734</v>
      </c>
      <c r="J60" s="0" t="n">
        <f aca="false">J59+F60</f>
        <v>113723762.960653</v>
      </c>
      <c r="K60" s="0" t="n">
        <f aca="false">K59+G60</f>
        <v>65006284.908805</v>
      </c>
      <c r="L60" s="0" t="n">
        <f aca="false">MAX(L59,J60)</f>
        <v>210003262.224271</v>
      </c>
      <c r="M60" s="0" t="n">
        <f aca="false">IF(AND(B60&lt;x_H,J60&lt;=0,L59&gt;0),1,0)</f>
        <v>0</v>
      </c>
      <c r="N60" s="0" t="n">
        <f aca="false">IF(AND(B60&lt;x_H,I60&lt;=0,O59&gt;0),1,0)</f>
        <v>0</v>
      </c>
      <c r="O60" s="0" t="n">
        <f aca="false">MAX(O59,I60)</f>
        <v>221852404.141098</v>
      </c>
      <c r="P60" s="0" t="n">
        <f aca="false">(L_V1!V50-L_S1!V50)*D60</f>
        <v>0</v>
      </c>
    </row>
    <row r="61" customFormat="false" ht="15" hidden="false" customHeight="false" outlineLevel="0" collapsed="false">
      <c r="A61" s="0" t="n">
        <v>2074</v>
      </c>
      <c r="B61" s="0" t="n">
        <v>48</v>
      </c>
      <c r="C61" s="0" t="n">
        <f aca="false">IF(B61&lt;x_H,(1+x_dk)^(-B61),0)</f>
        <v>0</v>
      </c>
      <c r="D61" s="0" t="n">
        <f aca="false">IF(B61&lt;x_H,(1+x_de)^(-B61),0)</f>
        <v>0</v>
      </c>
      <c r="E61" s="0" t="n">
        <f aca="false">(L_V1!AO51-L_S1!AO51)*C61</f>
        <v>-0</v>
      </c>
      <c r="F61" s="0" t="n">
        <f aca="false">(L_V1!AP51-L_S1!AP51)*C61</f>
        <v>-0</v>
      </c>
      <c r="G61" s="0" t="n">
        <f aca="false">(L_V1!AQ51-L_S1!AQ51)*C61</f>
        <v>-0</v>
      </c>
      <c r="H61" s="0" t="n">
        <f aca="false">(L_V1!AS51-L_S1!AS51)*C61</f>
        <v>0</v>
      </c>
      <c r="I61" s="0" t="n">
        <f aca="false">I60+E61</f>
        <v>172124472.39734</v>
      </c>
      <c r="J61" s="0" t="n">
        <f aca="false">J60+F61</f>
        <v>113723762.960653</v>
      </c>
      <c r="K61" s="0" t="n">
        <f aca="false">K60+G61</f>
        <v>65006284.908805</v>
      </c>
      <c r="L61" s="0" t="n">
        <f aca="false">MAX(L60,J61)</f>
        <v>210003262.224271</v>
      </c>
      <c r="M61" s="0" t="n">
        <f aca="false">IF(AND(B61&lt;x_H,J61&lt;=0,L60&gt;0),1,0)</f>
        <v>0</v>
      </c>
      <c r="N61" s="0" t="n">
        <f aca="false">IF(AND(B61&lt;x_H,I61&lt;=0,O60&gt;0),1,0)</f>
        <v>0</v>
      </c>
      <c r="O61" s="0" t="n">
        <f aca="false">MAX(O60,I61)</f>
        <v>221852404.141098</v>
      </c>
      <c r="P61" s="0" t="n">
        <f aca="false">(L_V1!V51-L_S1!V51)*D61</f>
        <v>0</v>
      </c>
    </row>
    <row r="62" customFormat="false" ht="15" hidden="false" customHeight="false" outlineLevel="0" collapsed="false">
      <c r="A62" s="0" t="n">
        <v>2075</v>
      </c>
      <c r="B62" s="0" t="n">
        <v>49</v>
      </c>
      <c r="C62" s="0" t="n">
        <f aca="false">IF(B62&lt;x_H,(1+x_dk)^(-B62),0)</f>
        <v>0</v>
      </c>
      <c r="D62" s="0" t="n">
        <f aca="false">IF(B62&lt;x_H,(1+x_de)^(-B62),0)</f>
        <v>0</v>
      </c>
      <c r="E62" s="0" t="n">
        <f aca="false">(L_V1!AO52-L_S1!AO52)*C62</f>
        <v>-0</v>
      </c>
      <c r="F62" s="0" t="n">
        <f aca="false">(L_V1!AP52-L_S1!AP52)*C62</f>
        <v>-0</v>
      </c>
      <c r="G62" s="0" t="n">
        <f aca="false">(L_V1!AQ52-L_S1!AQ52)*C62</f>
        <v>-0</v>
      </c>
      <c r="H62" s="0" t="n">
        <f aca="false">(L_V1!AS52-L_S1!AS52)*C62</f>
        <v>0</v>
      </c>
      <c r="I62" s="0" t="n">
        <f aca="false">I61+E62</f>
        <v>172124472.39734</v>
      </c>
      <c r="J62" s="0" t="n">
        <f aca="false">J61+F62</f>
        <v>113723762.960653</v>
      </c>
      <c r="K62" s="0" t="n">
        <f aca="false">K61+G62</f>
        <v>65006284.908805</v>
      </c>
      <c r="L62" s="0" t="n">
        <f aca="false">MAX(L61,J62)</f>
        <v>210003262.224271</v>
      </c>
      <c r="M62" s="0" t="n">
        <f aca="false">IF(AND(B62&lt;x_H,J62&lt;=0,L61&gt;0),1,0)</f>
        <v>0</v>
      </c>
      <c r="N62" s="0" t="n">
        <f aca="false">IF(AND(B62&lt;x_H,I62&lt;=0,O61&gt;0),1,0)</f>
        <v>0</v>
      </c>
      <c r="O62" s="0" t="n">
        <f aca="false">MAX(O61,I62)</f>
        <v>221852404.141098</v>
      </c>
      <c r="P62" s="0" t="n">
        <f aca="false">(L_V1!V52-L_S1!V52)*D62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632</v>
      </c>
    </row>
    <row r="2" customFormat="false" ht="55.2" hidden="false" customHeight="false" outlineLevel="0" collapsed="false">
      <c r="A2" s="3" t="s">
        <v>633</v>
      </c>
      <c r="B2" s="3" t="s">
        <v>634</v>
      </c>
      <c r="C2" s="3" t="s">
        <v>635</v>
      </c>
      <c r="D2" s="3" t="s">
        <v>636</v>
      </c>
      <c r="E2" s="3" t="s">
        <v>637</v>
      </c>
      <c r="F2" s="3" t="s">
        <v>638</v>
      </c>
      <c r="G2" s="3" t="s">
        <v>639</v>
      </c>
      <c r="H2" s="3" t="s">
        <v>637</v>
      </c>
      <c r="I2" s="3" t="s">
        <v>638</v>
      </c>
      <c r="J2" s="3" t="s">
        <v>640</v>
      </c>
      <c r="K2" s="3" t="s">
        <v>641</v>
      </c>
      <c r="L2" s="3" t="s">
        <v>642</v>
      </c>
      <c r="M2" s="3" t="s">
        <v>643</v>
      </c>
      <c r="N2" s="3" t="s">
        <v>637</v>
      </c>
      <c r="O2" s="3" t="s">
        <v>638</v>
      </c>
    </row>
    <row r="3" customFormat="false" ht="15" hidden="false" customHeight="false" outlineLevel="0" collapsed="false">
      <c r="A3" s="0" t="s">
        <v>644</v>
      </c>
      <c r="B3" s="0" t="n">
        <v>5</v>
      </c>
      <c r="C3" s="0" t="s">
        <v>129</v>
      </c>
      <c r="D3" s="0" t="n">
        <v>298.6</v>
      </c>
      <c r="E3" s="0" t="n">
        <v>270.2</v>
      </c>
      <c r="F3" s="0" t="n">
        <v>333.8</v>
      </c>
      <c r="G3" s="0" t="n">
        <v>-1.041</v>
      </c>
      <c r="H3" s="0" t="n">
        <v>-1.052</v>
      </c>
      <c r="I3" s="0" t="n">
        <v>-1.032</v>
      </c>
      <c r="J3" s="0" t="s">
        <v>645</v>
      </c>
      <c r="K3" s="0" t="n">
        <v>0</v>
      </c>
      <c r="L3" s="0" t="n">
        <v>0</v>
      </c>
      <c r="M3" s="0" t="n">
        <v>12</v>
      </c>
      <c r="N3" s="0" t="n">
        <v>9</v>
      </c>
      <c r="O3" s="0" t="n">
        <v>17</v>
      </c>
    </row>
    <row r="4" customFormat="false" ht="15" hidden="false" customHeight="false" outlineLevel="0" collapsed="false">
      <c r="A4" s="0" t="s">
        <v>644</v>
      </c>
      <c r="B4" s="0" t="n">
        <v>5</v>
      </c>
      <c r="C4" s="0" t="s">
        <v>590</v>
      </c>
      <c r="D4" s="0" t="n">
        <v>306.3</v>
      </c>
      <c r="E4" s="0" t="n">
        <v>277.7</v>
      </c>
      <c r="F4" s="0" t="n">
        <v>341.4</v>
      </c>
      <c r="G4" s="0" t="n">
        <v>-1.047</v>
      </c>
      <c r="H4" s="0" t="n">
        <v>-1.061</v>
      </c>
      <c r="I4" s="0" t="n">
        <v>-1.036</v>
      </c>
      <c r="J4" s="0" t="s">
        <v>645</v>
      </c>
      <c r="K4" s="0" t="n">
        <v>0</v>
      </c>
      <c r="L4" s="0" t="n">
        <v>0</v>
      </c>
      <c r="M4" s="0" t="n">
        <v>12</v>
      </c>
      <c r="N4" s="0" t="n">
        <v>9</v>
      </c>
      <c r="O4" s="0" t="n">
        <v>17</v>
      </c>
    </row>
    <row r="5" customFormat="false" ht="15" hidden="false" customHeight="false" outlineLevel="0" collapsed="false">
      <c r="A5" s="0" t="s">
        <v>644</v>
      </c>
      <c r="B5" s="0" t="n">
        <v>5</v>
      </c>
      <c r="C5" s="0" t="s">
        <v>591</v>
      </c>
      <c r="D5" s="0" t="n">
        <v>304.4</v>
      </c>
      <c r="E5" s="0" t="n">
        <v>276.1</v>
      </c>
      <c r="F5" s="0" t="n">
        <v>339.2</v>
      </c>
      <c r="G5" s="0" t="n">
        <v>-1.041</v>
      </c>
      <c r="H5" s="0" t="n">
        <v>-1.055</v>
      </c>
      <c r="I5" s="0" t="n">
        <v>-1.029</v>
      </c>
      <c r="J5" s="0" t="s">
        <v>645</v>
      </c>
      <c r="K5" s="0" t="n">
        <v>0</v>
      </c>
      <c r="L5" s="0" t="n">
        <v>0</v>
      </c>
      <c r="M5" s="0" t="n">
        <v>12</v>
      </c>
      <c r="N5" s="0" t="n">
        <v>9</v>
      </c>
      <c r="O5" s="0" t="n">
        <v>17</v>
      </c>
    </row>
    <row r="6" customFormat="false" ht="15" hidden="false" customHeight="false" outlineLevel="0" collapsed="false">
      <c r="A6" s="0" t="s">
        <v>644</v>
      </c>
      <c r="B6" s="0" t="n">
        <v>5</v>
      </c>
      <c r="C6" s="0" t="s">
        <v>646</v>
      </c>
      <c r="D6" s="0" t="n">
        <v>120.5</v>
      </c>
      <c r="E6" s="0" t="n">
        <v>92.1</v>
      </c>
      <c r="F6" s="0" t="n">
        <v>155.7</v>
      </c>
      <c r="G6" s="0" t="n">
        <v>-1.11</v>
      </c>
      <c r="H6" s="0" t="n">
        <v>-1.148</v>
      </c>
      <c r="I6" s="0" t="n">
        <v>-1.08</v>
      </c>
      <c r="J6" s="0" t="s">
        <v>645</v>
      </c>
      <c r="K6" s="0" t="n">
        <v>0</v>
      </c>
      <c r="L6" s="0" t="n">
        <v>0.993</v>
      </c>
      <c r="M6" s="0" t="n">
        <v>12</v>
      </c>
      <c r="N6" s="0" t="n">
        <v>9</v>
      </c>
      <c r="O6" s="0" t="n">
        <v>17</v>
      </c>
    </row>
    <row r="7" customFormat="false" ht="15" hidden="false" customHeight="false" outlineLevel="0" collapsed="false">
      <c r="A7" s="0" t="s">
        <v>644</v>
      </c>
      <c r="B7" s="0" t="n">
        <v>5</v>
      </c>
      <c r="C7" s="0" t="s">
        <v>647</v>
      </c>
      <c r="D7" s="0" t="n">
        <v>122.7</v>
      </c>
      <c r="E7" s="0" t="n">
        <v>94</v>
      </c>
      <c r="F7" s="0" t="n">
        <v>157.7</v>
      </c>
      <c r="G7" s="0" t="n">
        <v>-1.128</v>
      </c>
      <c r="H7" s="0" t="n">
        <v>-1.174</v>
      </c>
      <c r="I7" s="0" t="n">
        <v>-1.092</v>
      </c>
      <c r="J7" s="0" t="s">
        <v>645</v>
      </c>
      <c r="K7" s="0" t="n">
        <v>0</v>
      </c>
      <c r="L7" s="0" t="n">
        <v>0.991</v>
      </c>
      <c r="M7" s="0" t="n">
        <v>12</v>
      </c>
      <c r="N7" s="0" t="n">
        <v>9</v>
      </c>
      <c r="O7" s="0" t="n">
        <v>17</v>
      </c>
    </row>
    <row r="8" customFormat="false" ht="15" hidden="false" customHeight="false" outlineLevel="0" collapsed="false">
      <c r="A8" s="0" t="s">
        <v>644</v>
      </c>
      <c r="B8" s="0" t="n">
        <v>5</v>
      </c>
      <c r="C8" s="0" t="s">
        <v>648</v>
      </c>
      <c r="D8" s="0" t="n">
        <v>120.8</v>
      </c>
      <c r="E8" s="0" t="n">
        <v>92.5</v>
      </c>
      <c r="F8" s="0" t="n">
        <v>155.6</v>
      </c>
      <c r="G8" s="0" t="n">
        <v>-1.111</v>
      </c>
      <c r="H8" s="0" t="n">
        <v>-1.155</v>
      </c>
      <c r="I8" s="0" t="n">
        <v>-1.076</v>
      </c>
      <c r="J8" s="0" t="s">
        <v>645</v>
      </c>
      <c r="K8" s="0" t="n">
        <v>0</v>
      </c>
      <c r="L8" s="0" t="n">
        <v>0.993</v>
      </c>
      <c r="M8" s="0" t="n">
        <v>12</v>
      </c>
      <c r="N8" s="0" t="n">
        <v>9</v>
      </c>
      <c r="O8" s="0" t="n">
        <v>17</v>
      </c>
    </row>
    <row r="9" customFormat="false" ht="15" hidden="false" customHeight="false" outlineLevel="0" collapsed="false">
      <c r="A9" s="0" t="s">
        <v>644</v>
      </c>
      <c r="B9" s="0" t="n">
        <v>10</v>
      </c>
      <c r="C9" s="0" t="s">
        <v>129</v>
      </c>
      <c r="D9" s="0" t="n">
        <v>575.8</v>
      </c>
      <c r="E9" s="0" t="n">
        <v>522.2</v>
      </c>
      <c r="F9" s="0" t="n">
        <v>642.3</v>
      </c>
      <c r="G9" s="0" t="n">
        <v>-1.026</v>
      </c>
      <c r="H9" s="0" t="n">
        <v>-1.044</v>
      </c>
      <c r="I9" s="0" t="n">
        <v>-1.009</v>
      </c>
      <c r="J9" s="0" t="s">
        <v>645</v>
      </c>
      <c r="K9" s="0" t="n">
        <v>0</v>
      </c>
      <c r="L9" s="0" t="n">
        <v>0.829</v>
      </c>
      <c r="M9" s="0" t="n">
        <v>119</v>
      </c>
      <c r="N9" s="0" t="n">
        <v>89</v>
      </c>
      <c r="O9" s="0" t="n">
        <v>158</v>
      </c>
    </row>
    <row r="10" customFormat="false" ht="15" hidden="false" customHeight="false" outlineLevel="0" collapsed="false">
      <c r="A10" s="0" t="s">
        <v>644</v>
      </c>
      <c r="B10" s="0" t="n">
        <v>10</v>
      </c>
      <c r="C10" s="0" t="s">
        <v>590</v>
      </c>
      <c r="D10" s="0" t="n">
        <v>575.2</v>
      </c>
      <c r="E10" s="0" t="n">
        <v>521.4</v>
      </c>
      <c r="F10" s="0" t="n">
        <v>639.2</v>
      </c>
      <c r="G10" s="0" t="n">
        <v>-1.008</v>
      </c>
      <c r="H10" s="0" t="n">
        <v>-1.032</v>
      </c>
      <c r="I10" s="0" t="n">
        <v>-0.981</v>
      </c>
      <c r="J10" s="0" t="s">
        <v>645</v>
      </c>
      <c r="K10" s="0" t="n">
        <v>0</v>
      </c>
      <c r="L10" s="0" t="n">
        <v>0.829</v>
      </c>
      <c r="M10" s="0" t="n">
        <v>119</v>
      </c>
      <c r="N10" s="0" t="n">
        <v>89</v>
      </c>
      <c r="O10" s="0" t="n">
        <v>158</v>
      </c>
    </row>
    <row r="11" customFormat="false" ht="15" hidden="false" customHeight="false" outlineLevel="0" collapsed="false">
      <c r="A11" s="0" t="s">
        <v>644</v>
      </c>
      <c r="B11" s="0" t="n">
        <v>10</v>
      </c>
      <c r="C11" s="0" t="s">
        <v>591</v>
      </c>
      <c r="D11" s="0" t="n">
        <v>562.9</v>
      </c>
      <c r="E11" s="0" t="n">
        <v>508.9</v>
      </c>
      <c r="F11" s="0" t="n">
        <v>625.4</v>
      </c>
      <c r="G11" s="0" t="n">
        <v>-0.986</v>
      </c>
      <c r="H11" s="0" t="n">
        <v>-1.018</v>
      </c>
      <c r="I11" s="0" t="n">
        <v>-0.954</v>
      </c>
      <c r="J11" s="0" t="s">
        <v>645</v>
      </c>
      <c r="K11" s="0" t="n">
        <v>0</v>
      </c>
      <c r="L11" s="0" t="n">
        <v>0.867</v>
      </c>
      <c r="M11" s="0" t="n">
        <v>119</v>
      </c>
      <c r="N11" s="0" t="n">
        <v>89</v>
      </c>
      <c r="O11" s="0" t="n">
        <v>158</v>
      </c>
    </row>
    <row r="12" customFormat="false" ht="15" hidden="false" customHeight="false" outlineLevel="0" collapsed="false">
      <c r="A12" s="0" t="s">
        <v>644</v>
      </c>
      <c r="B12" s="0" t="n">
        <v>10</v>
      </c>
      <c r="C12" s="0" t="s">
        <v>646</v>
      </c>
      <c r="D12" s="0" t="n">
        <v>219.7</v>
      </c>
      <c r="E12" s="0" t="n">
        <v>166</v>
      </c>
      <c r="F12" s="0" t="n">
        <v>286.1</v>
      </c>
      <c r="G12" s="0" t="n">
        <v>-1.072</v>
      </c>
      <c r="H12" s="0" t="n">
        <v>-1.124</v>
      </c>
      <c r="I12" s="0" t="n">
        <v>-1.026</v>
      </c>
      <c r="J12" s="0" t="s">
        <v>645</v>
      </c>
      <c r="K12" s="0" t="n">
        <v>0</v>
      </c>
      <c r="L12" s="0" t="n">
        <v>1</v>
      </c>
      <c r="M12" s="0" t="n">
        <v>119</v>
      </c>
      <c r="N12" s="0" t="n">
        <v>89</v>
      </c>
      <c r="O12" s="0" t="n">
        <v>158</v>
      </c>
    </row>
    <row r="13" customFormat="false" ht="15" hidden="false" customHeight="false" outlineLevel="0" collapsed="false">
      <c r="A13" s="0" t="s">
        <v>644</v>
      </c>
      <c r="B13" s="0" t="n">
        <v>10</v>
      </c>
      <c r="C13" s="0" t="s">
        <v>647</v>
      </c>
      <c r="D13" s="0" t="n">
        <v>209.1</v>
      </c>
      <c r="E13" s="0" t="n">
        <v>155.3</v>
      </c>
      <c r="F13" s="0" t="n">
        <v>273.1</v>
      </c>
      <c r="G13" s="0" t="n">
        <v>-1.021</v>
      </c>
      <c r="H13" s="0" t="n">
        <v>-1.093</v>
      </c>
      <c r="I13" s="0" t="n">
        <v>-0.95</v>
      </c>
      <c r="J13" s="0" t="s">
        <v>645</v>
      </c>
      <c r="K13" s="0" t="n">
        <v>0</v>
      </c>
      <c r="L13" s="0" t="n">
        <v>1</v>
      </c>
      <c r="M13" s="0" t="n">
        <v>119</v>
      </c>
      <c r="N13" s="0" t="n">
        <v>89</v>
      </c>
      <c r="O13" s="0" t="n">
        <v>158</v>
      </c>
    </row>
    <row r="14" customFormat="false" ht="15" hidden="false" customHeight="false" outlineLevel="0" collapsed="false">
      <c r="A14" s="0" t="s">
        <v>644</v>
      </c>
      <c r="B14" s="0" t="n">
        <v>10</v>
      </c>
      <c r="C14" s="0" t="s">
        <v>648</v>
      </c>
      <c r="D14" s="0" t="n">
        <v>196.8</v>
      </c>
      <c r="E14" s="0" t="n">
        <v>142.8</v>
      </c>
      <c r="F14" s="0" t="n">
        <v>259.3</v>
      </c>
      <c r="G14" s="0" t="n">
        <v>-0.96</v>
      </c>
      <c r="H14" s="0" t="n">
        <v>-1.051</v>
      </c>
      <c r="I14" s="0" t="n">
        <v>-0.871</v>
      </c>
      <c r="J14" s="0" t="s">
        <v>645</v>
      </c>
      <c r="K14" s="0" t="n">
        <v>0</v>
      </c>
      <c r="L14" s="0" t="n">
        <v>1</v>
      </c>
      <c r="M14" s="0" t="n">
        <v>119</v>
      </c>
      <c r="N14" s="0" t="n">
        <v>89</v>
      </c>
      <c r="O14" s="0" t="n">
        <v>158</v>
      </c>
    </row>
    <row r="15" customFormat="false" ht="15" hidden="false" customHeight="false" outlineLevel="0" collapsed="false">
      <c r="A15" s="0" t="s">
        <v>644</v>
      </c>
      <c r="B15" s="0" t="n">
        <v>20</v>
      </c>
      <c r="C15" s="0" t="s">
        <v>129</v>
      </c>
      <c r="D15" s="0" t="n">
        <v>527.6</v>
      </c>
      <c r="E15" s="0" t="n">
        <v>470.6</v>
      </c>
      <c r="F15" s="0" t="n">
        <v>593.7</v>
      </c>
      <c r="G15" s="0" t="n">
        <v>-0.943</v>
      </c>
      <c r="H15" s="0" t="n">
        <v>-0.991</v>
      </c>
      <c r="I15" s="0" t="n">
        <v>-0.884</v>
      </c>
      <c r="J15" s="0" t="s">
        <v>645</v>
      </c>
      <c r="K15" s="0" t="n">
        <v>0</v>
      </c>
      <c r="L15" s="0" t="n">
        <v>1</v>
      </c>
      <c r="M15" s="0" t="n">
        <v>691</v>
      </c>
      <c r="N15" s="0" t="n">
        <v>524</v>
      </c>
      <c r="O15" s="0" t="n">
        <v>892</v>
      </c>
    </row>
    <row r="16" customFormat="false" ht="15" hidden="false" customHeight="false" outlineLevel="0" collapsed="false">
      <c r="A16" s="0" t="s">
        <v>644</v>
      </c>
      <c r="B16" s="0" t="n">
        <v>20</v>
      </c>
      <c r="C16" s="0" t="s">
        <v>590</v>
      </c>
      <c r="D16" s="0" t="n">
        <v>480.7</v>
      </c>
      <c r="E16" s="0" t="n">
        <v>408.1</v>
      </c>
      <c r="F16" s="0" t="n">
        <v>553.1</v>
      </c>
      <c r="G16" s="0" t="n">
        <v>-0.845</v>
      </c>
      <c r="H16" s="0" t="n">
        <v>-0.924</v>
      </c>
      <c r="I16" s="0" t="n">
        <v>-0.734</v>
      </c>
      <c r="J16" s="0" t="s">
        <v>645</v>
      </c>
      <c r="K16" s="0" t="n">
        <v>0</v>
      </c>
      <c r="L16" s="0" t="n">
        <v>1</v>
      </c>
      <c r="M16" s="0" t="n">
        <v>691</v>
      </c>
      <c r="N16" s="0" t="n">
        <v>524</v>
      </c>
      <c r="O16" s="0" t="n">
        <v>892</v>
      </c>
    </row>
    <row r="17" customFormat="false" ht="15" hidden="false" customHeight="false" outlineLevel="0" collapsed="false">
      <c r="A17" s="0" t="s">
        <v>644</v>
      </c>
      <c r="B17" s="0" t="n">
        <v>20</v>
      </c>
      <c r="C17" s="0" t="s">
        <v>591</v>
      </c>
      <c r="D17" s="0" t="n">
        <v>434.3</v>
      </c>
      <c r="E17" s="0" t="n">
        <v>334.5</v>
      </c>
      <c r="F17" s="0" t="n">
        <v>513.4</v>
      </c>
      <c r="G17" s="0" t="n">
        <v>-0.762</v>
      </c>
      <c r="H17" s="0" t="n">
        <v>-0.867</v>
      </c>
      <c r="I17" s="0" t="n">
        <v>-0.589</v>
      </c>
      <c r="J17" s="0" t="s">
        <v>645</v>
      </c>
      <c r="K17" s="0" t="n">
        <v>0</v>
      </c>
      <c r="L17" s="0" t="n">
        <v>1</v>
      </c>
      <c r="M17" s="0" t="n">
        <v>691</v>
      </c>
      <c r="N17" s="0" t="n">
        <v>524</v>
      </c>
      <c r="O17" s="0" t="n">
        <v>892</v>
      </c>
    </row>
    <row r="18" customFormat="false" ht="15" hidden="false" customHeight="false" outlineLevel="0" collapsed="false">
      <c r="A18" s="0" t="s">
        <v>644</v>
      </c>
      <c r="B18" s="0" t="n">
        <v>20</v>
      </c>
      <c r="C18" s="0" t="s">
        <v>646</v>
      </c>
      <c r="D18" s="0" t="n">
        <v>171.4</v>
      </c>
      <c r="E18" s="0" t="n">
        <v>114.4</v>
      </c>
      <c r="F18" s="0" t="n">
        <v>237.5</v>
      </c>
      <c r="G18" s="0" t="n">
        <v>-0.842</v>
      </c>
      <c r="H18" s="0" t="n">
        <v>-0.976</v>
      </c>
      <c r="I18" s="0" t="n">
        <v>-0.672</v>
      </c>
      <c r="J18" s="0" t="s">
        <v>645</v>
      </c>
      <c r="K18" s="0" t="n">
        <v>0</v>
      </c>
      <c r="L18" s="0" t="n">
        <v>1</v>
      </c>
      <c r="M18" s="0" t="n">
        <v>691</v>
      </c>
      <c r="N18" s="0" t="n">
        <v>524</v>
      </c>
      <c r="O18" s="0" t="n">
        <v>892</v>
      </c>
    </row>
    <row r="19" customFormat="false" ht="15" hidden="false" customHeight="false" outlineLevel="0" collapsed="false">
      <c r="A19" s="0" t="s">
        <v>644</v>
      </c>
      <c r="B19" s="0" t="n">
        <v>20</v>
      </c>
      <c r="C19" s="0" t="s">
        <v>647</v>
      </c>
      <c r="D19" s="0" t="n">
        <v>114.6</v>
      </c>
      <c r="E19" s="0" t="n">
        <v>42</v>
      </c>
      <c r="F19" s="0" t="n">
        <v>187</v>
      </c>
      <c r="G19" s="0" t="n">
        <v>-0.567</v>
      </c>
      <c r="H19" s="0" t="n">
        <v>-0.789</v>
      </c>
      <c r="I19" s="0" t="n">
        <v>-0.235</v>
      </c>
      <c r="J19" s="0" t="s">
        <v>645</v>
      </c>
      <c r="K19" s="0" t="n">
        <v>0.002</v>
      </c>
      <c r="L19" s="0" t="n">
        <v>1</v>
      </c>
      <c r="M19" s="0" t="n">
        <v>691</v>
      </c>
      <c r="N19" s="0" t="n">
        <v>524</v>
      </c>
      <c r="O19" s="0" t="n">
        <v>892</v>
      </c>
    </row>
    <row r="20" customFormat="false" ht="15" hidden="false" customHeight="false" outlineLevel="0" collapsed="false">
      <c r="A20" s="0" t="s">
        <v>644</v>
      </c>
      <c r="B20" s="0" t="n">
        <v>20</v>
      </c>
      <c r="C20" s="0" t="s">
        <v>648</v>
      </c>
      <c r="D20" s="0" t="n">
        <v>68.2</v>
      </c>
      <c r="E20" s="0" t="n">
        <v>-31.6</v>
      </c>
      <c r="F20" s="0" t="n">
        <v>147.3</v>
      </c>
      <c r="G20" s="0" t="n">
        <v>-0.34</v>
      </c>
      <c r="H20" s="0" t="n">
        <v>-0.633</v>
      </c>
      <c r="I20" s="0" t="n">
        <v>0.155</v>
      </c>
      <c r="J20" s="0" t="s">
        <v>645</v>
      </c>
      <c r="K20" s="0" t="n">
        <v>0.077</v>
      </c>
      <c r="L20" s="0" t="n">
        <v>1</v>
      </c>
      <c r="M20" s="0" t="n">
        <v>691</v>
      </c>
      <c r="N20" s="0" t="n">
        <v>524</v>
      </c>
      <c r="O20" s="0" t="n">
        <v>892</v>
      </c>
    </row>
    <row r="21" customFormat="false" ht="15" hidden="false" customHeight="false" outlineLevel="0" collapsed="false">
      <c r="A21" s="0" t="s">
        <v>644</v>
      </c>
      <c r="B21" s="0" t="n">
        <v>50</v>
      </c>
      <c r="C21" s="0" t="s">
        <v>129</v>
      </c>
      <c r="D21" s="0" t="n">
        <v>449.3</v>
      </c>
      <c r="E21" s="0" t="n">
        <v>378</v>
      </c>
      <c r="F21" s="0" t="n">
        <v>519.5</v>
      </c>
      <c r="G21" s="0" t="n">
        <v>-0.802</v>
      </c>
      <c r="H21" s="0" t="n">
        <v>-0.89</v>
      </c>
      <c r="I21" s="0" t="n">
        <v>-0.693</v>
      </c>
      <c r="J21" s="0" t="s">
        <v>645</v>
      </c>
      <c r="K21" s="0" t="n">
        <v>0</v>
      </c>
      <c r="L21" s="0" t="n">
        <v>1</v>
      </c>
      <c r="M21" s="0" t="n">
        <v>2323</v>
      </c>
      <c r="N21" s="0" t="n">
        <v>1753</v>
      </c>
      <c r="O21" s="0" t="n">
        <v>2989</v>
      </c>
    </row>
    <row r="22" customFormat="false" ht="15" hidden="false" customHeight="false" outlineLevel="0" collapsed="false">
      <c r="A22" s="0" t="s">
        <v>644</v>
      </c>
      <c r="B22" s="0" t="n">
        <v>50</v>
      </c>
      <c r="C22" s="0" t="s">
        <v>590</v>
      </c>
      <c r="D22" s="0" t="n">
        <v>304.1</v>
      </c>
      <c r="E22" s="0" t="n">
        <v>182.8</v>
      </c>
      <c r="F22" s="0" t="n">
        <v>402.7</v>
      </c>
      <c r="G22" s="0" t="n">
        <v>-0.53</v>
      </c>
      <c r="H22" s="0" t="n">
        <v>-0.695</v>
      </c>
      <c r="I22" s="0" t="n">
        <v>-0.317</v>
      </c>
      <c r="J22" s="0" t="s">
        <v>645</v>
      </c>
      <c r="K22" s="0" t="n">
        <v>0</v>
      </c>
      <c r="L22" s="0" t="n">
        <v>1</v>
      </c>
      <c r="M22" s="0" t="n">
        <v>2323</v>
      </c>
      <c r="N22" s="0" t="n">
        <v>1753</v>
      </c>
      <c r="O22" s="0" t="n">
        <v>2989</v>
      </c>
    </row>
    <row r="23" customFormat="false" ht="15" hidden="false" customHeight="false" outlineLevel="0" collapsed="false">
      <c r="A23" s="0" t="s">
        <v>644</v>
      </c>
      <c r="B23" s="0" t="n">
        <v>50</v>
      </c>
      <c r="C23" s="0" t="s">
        <v>591</v>
      </c>
      <c r="D23" s="0" t="n">
        <v>171.5</v>
      </c>
      <c r="E23" s="0" t="n">
        <v>-8.6</v>
      </c>
      <c r="F23" s="0" t="n">
        <v>308.6</v>
      </c>
      <c r="G23" s="0" t="n">
        <v>-0.299</v>
      </c>
      <c r="H23" s="0" t="n">
        <v>-0.537</v>
      </c>
      <c r="I23" s="0" t="n">
        <v>0.015</v>
      </c>
      <c r="J23" s="0" t="s">
        <v>645</v>
      </c>
      <c r="K23" s="0" t="n">
        <v>0.031</v>
      </c>
      <c r="L23" s="0" t="n">
        <v>1</v>
      </c>
      <c r="M23" s="0" t="n">
        <v>2323</v>
      </c>
      <c r="N23" s="0" t="n">
        <v>1753</v>
      </c>
      <c r="O23" s="0" t="n">
        <v>2989</v>
      </c>
    </row>
    <row r="24" customFormat="false" ht="15" hidden="false" customHeight="false" outlineLevel="0" collapsed="false">
      <c r="A24" s="0" t="s">
        <v>644</v>
      </c>
      <c r="B24" s="0" t="n">
        <v>50</v>
      </c>
      <c r="C24" s="0" t="s">
        <v>646</v>
      </c>
      <c r="D24" s="0" t="n">
        <v>93.1</v>
      </c>
      <c r="E24" s="0" t="n">
        <v>21.8</v>
      </c>
      <c r="F24" s="0" t="n">
        <v>163.3</v>
      </c>
      <c r="G24" s="0" t="n">
        <v>-0.459</v>
      </c>
      <c r="H24" s="0" t="n">
        <v>-0.708</v>
      </c>
      <c r="I24" s="0" t="n">
        <v>-0.127</v>
      </c>
      <c r="J24" s="0" t="s">
        <v>645</v>
      </c>
      <c r="K24" s="0" t="n">
        <v>0.004</v>
      </c>
      <c r="L24" s="0" t="n">
        <v>1</v>
      </c>
      <c r="M24" s="0" t="n">
        <v>2323</v>
      </c>
      <c r="N24" s="0" t="n">
        <v>1753</v>
      </c>
      <c r="O24" s="0" t="n">
        <v>2989</v>
      </c>
    </row>
    <row r="25" customFormat="false" ht="15" hidden="false" customHeight="false" outlineLevel="0" collapsed="false">
      <c r="A25" s="0" t="s">
        <v>644</v>
      </c>
      <c r="B25" s="0" t="n">
        <v>50</v>
      </c>
      <c r="C25" s="0" t="s">
        <v>647</v>
      </c>
      <c r="D25" s="0" t="n">
        <v>-62</v>
      </c>
      <c r="E25" s="0" t="n">
        <v>-183.3</v>
      </c>
      <c r="F25" s="0" t="n">
        <v>36.6</v>
      </c>
      <c r="G25" s="0" t="n">
        <v>0.299</v>
      </c>
      <c r="H25" s="0" t="n">
        <v>-0.162</v>
      </c>
      <c r="I25" s="0" t="n">
        <v>0.964</v>
      </c>
      <c r="J25" s="0" t="n">
        <v>2057</v>
      </c>
      <c r="K25" s="0" t="n">
        <v>0.883</v>
      </c>
      <c r="L25" s="0" t="n">
        <v>1</v>
      </c>
      <c r="M25" s="0" t="n">
        <v>2323</v>
      </c>
      <c r="N25" s="0" t="n">
        <v>1753</v>
      </c>
      <c r="O25" s="0" t="n">
        <v>2989</v>
      </c>
    </row>
    <row r="26" customFormat="false" ht="15" hidden="false" customHeight="false" outlineLevel="0" collapsed="false">
      <c r="A26" s="0" t="s">
        <v>644</v>
      </c>
      <c r="B26" s="0" t="n">
        <v>50</v>
      </c>
      <c r="C26" s="0" t="s">
        <v>648</v>
      </c>
      <c r="D26" s="0" t="n">
        <v>-194.7</v>
      </c>
      <c r="E26" s="0" t="n">
        <v>-374.7</v>
      </c>
      <c r="F26" s="0" t="n">
        <v>-57.5</v>
      </c>
      <c r="G26" s="0" t="n">
        <v>0.946</v>
      </c>
      <c r="H26" s="0" t="n">
        <v>0.276</v>
      </c>
      <c r="I26" s="0" t="n">
        <v>1.955</v>
      </c>
      <c r="J26" s="0" t="n">
        <v>2050</v>
      </c>
      <c r="K26" s="0" t="n">
        <v>0.998</v>
      </c>
      <c r="L26" s="0" t="n">
        <v>1</v>
      </c>
      <c r="M26" s="0" t="n">
        <v>2323</v>
      </c>
      <c r="N26" s="0" t="n">
        <v>1753</v>
      </c>
      <c r="O26" s="0" t="n">
        <v>2989</v>
      </c>
    </row>
    <row r="27" customFormat="false" ht="15" hidden="false" customHeight="false" outlineLevel="0" collapsed="false">
      <c r="A27" s="0" t="s">
        <v>649</v>
      </c>
      <c r="B27" s="0" t="n">
        <v>5</v>
      </c>
      <c r="C27" s="0" t="s">
        <v>129</v>
      </c>
      <c r="D27" s="0" t="n">
        <v>215.3</v>
      </c>
      <c r="E27" s="0" t="n">
        <v>198.2</v>
      </c>
      <c r="F27" s="0" t="n">
        <v>240.1</v>
      </c>
      <c r="G27" s="0" t="n">
        <v>-1.017</v>
      </c>
      <c r="H27" s="0" t="n">
        <v>-1.027</v>
      </c>
      <c r="I27" s="0" t="n">
        <v>-1.01</v>
      </c>
      <c r="J27" s="0" t="s">
        <v>645</v>
      </c>
      <c r="K27" s="0" t="n">
        <v>0</v>
      </c>
      <c r="L27" s="0" t="n">
        <v>0</v>
      </c>
      <c r="M27" s="0" t="n">
        <v>4</v>
      </c>
      <c r="N27" s="0" t="n">
        <v>2</v>
      </c>
      <c r="O27" s="0" t="n">
        <v>7</v>
      </c>
    </row>
    <row r="28" customFormat="false" ht="15" hidden="false" customHeight="false" outlineLevel="0" collapsed="false">
      <c r="A28" s="0" t="s">
        <v>649</v>
      </c>
      <c r="B28" s="0" t="n">
        <v>5</v>
      </c>
      <c r="C28" s="0" t="s">
        <v>590</v>
      </c>
      <c r="D28" s="0" t="n">
        <v>221.4</v>
      </c>
      <c r="E28" s="0" t="n">
        <v>204.1</v>
      </c>
      <c r="F28" s="0" t="n">
        <v>246.5</v>
      </c>
      <c r="G28" s="0" t="n">
        <v>-1.02</v>
      </c>
      <c r="H28" s="0" t="n">
        <v>-1.031</v>
      </c>
      <c r="I28" s="0" t="n">
        <v>-1.012</v>
      </c>
      <c r="J28" s="0" t="s">
        <v>645</v>
      </c>
      <c r="K28" s="0" t="n">
        <v>0</v>
      </c>
      <c r="L28" s="0" t="n">
        <v>0</v>
      </c>
      <c r="M28" s="0" t="n">
        <v>4</v>
      </c>
      <c r="N28" s="0" t="n">
        <v>2</v>
      </c>
      <c r="O28" s="0" t="n">
        <v>7</v>
      </c>
    </row>
    <row r="29" customFormat="false" ht="15" hidden="false" customHeight="false" outlineLevel="0" collapsed="false">
      <c r="A29" s="0" t="s">
        <v>649</v>
      </c>
      <c r="B29" s="0" t="n">
        <v>5</v>
      </c>
      <c r="C29" s="0" t="s">
        <v>591</v>
      </c>
      <c r="D29" s="0" t="n">
        <v>220.9</v>
      </c>
      <c r="E29" s="0" t="n">
        <v>203.8</v>
      </c>
      <c r="F29" s="0" t="n">
        <v>245.6</v>
      </c>
      <c r="G29" s="0" t="n">
        <v>-1.017</v>
      </c>
      <c r="H29" s="0" t="n">
        <v>-1.028</v>
      </c>
      <c r="I29" s="0" t="n">
        <v>-1.01</v>
      </c>
      <c r="J29" s="0" t="s">
        <v>645</v>
      </c>
      <c r="K29" s="0" t="n">
        <v>0</v>
      </c>
      <c r="L29" s="0" t="n">
        <v>0</v>
      </c>
      <c r="M29" s="0" t="n">
        <v>4</v>
      </c>
      <c r="N29" s="0" t="n">
        <v>2</v>
      </c>
      <c r="O29" s="0" t="n">
        <v>7</v>
      </c>
    </row>
    <row r="30" customFormat="false" ht="15" hidden="false" customHeight="false" outlineLevel="0" collapsed="false">
      <c r="A30" s="0" t="s">
        <v>649</v>
      </c>
      <c r="B30" s="0" t="n">
        <v>5</v>
      </c>
      <c r="C30" s="0" t="s">
        <v>646</v>
      </c>
      <c r="D30" s="0" t="n">
        <v>37.2</v>
      </c>
      <c r="E30" s="0" t="n">
        <v>20.1</v>
      </c>
      <c r="F30" s="0" t="n">
        <v>62</v>
      </c>
      <c r="G30" s="0" t="n">
        <v>-1.11</v>
      </c>
      <c r="H30" s="0" t="n">
        <v>-1.148</v>
      </c>
      <c r="I30" s="0" t="n">
        <v>-1.08</v>
      </c>
      <c r="J30" s="0" t="s">
        <v>645</v>
      </c>
      <c r="K30" s="0" t="n">
        <v>0</v>
      </c>
      <c r="L30" s="0" t="n">
        <v>0.993</v>
      </c>
      <c r="M30" s="0" t="n">
        <v>4</v>
      </c>
      <c r="N30" s="0" t="n">
        <v>2</v>
      </c>
      <c r="O30" s="0" t="n">
        <v>7</v>
      </c>
    </row>
    <row r="31" customFormat="false" ht="15" hidden="false" customHeight="false" outlineLevel="0" collapsed="false">
      <c r="A31" s="0" t="s">
        <v>649</v>
      </c>
      <c r="B31" s="0" t="n">
        <v>5</v>
      </c>
      <c r="C31" s="0" t="s">
        <v>647</v>
      </c>
      <c r="D31" s="0" t="n">
        <v>37.8</v>
      </c>
      <c r="E31" s="0" t="n">
        <v>20.4</v>
      </c>
      <c r="F31" s="0" t="n">
        <v>62.8</v>
      </c>
      <c r="G31" s="0" t="n">
        <v>-1.129</v>
      </c>
      <c r="H31" s="0" t="n">
        <v>-1.175</v>
      </c>
      <c r="I31" s="0" t="n">
        <v>-1.092</v>
      </c>
      <c r="J31" s="0" t="s">
        <v>645</v>
      </c>
      <c r="K31" s="0" t="n">
        <v>0</v>
      </c>
      <c r="L31" s="0" t="n">
        <v>0.99</v>
      </c>
      <c r="M31" s="0" t="n">
        <v>4</v>
      </c>
      <c r="N31" s="0" t="n">
        <v>2</v>
      </c>
      <c r="O31" s="0" t="n">
        <v>7</v>
      </c>
    </row>
    <row r="32" customFormat="false" ht="15" hidden="false" customHeight="false" outlineLevel="0" collapsed="false">
      <c r="A32" s="0" t="s">
        <v>649</v>
      </c>
      <c r="B32" s="0" t="n">
        <v>5</v>
      </c>
      <c r="C32" s="0" t="s">
        <v>648</v>
      </c>
      <c r="D32" s="0" t="n">
        <v>37.2</v>
      </c>
      <c r="E32" s="0" t="n">
        <v>20.1</v>
      </c>
      <c r="F32" s="0" t="n">
        <v>62</v>
      </c>
      <c r="G32" s="0" t="n">
        <v>-1.112</v>
      </c>
      <c r="H32" s="0" t="n">
        <v>-1.156</v>
      </c>
      <c r="I32" s="0" t="n">
        <v>-1.077</v>
      </c>
      <c r="J32" s="0" t="s">
        <v>645</v>
      </c>
      <c r="K32" s="0" t="n">
        <v>0</v>
      </c>
      <c r="L32" s="0" t="n">
        <v>0.991</v>
      </c>
      <c r="M32" s="0" t="n">
        <v>4</v>
      </c>
      <c r="N32" s="0" t="n">
        <v>2</v>
      </c>
      <c r="O32" s="0" t="n">
        <v>7</v>
      </c>
    </row>
    <row r="33" customFormat="false" ht="15" hidden="false" customHeight="false" outlineLevel="0" collapsed="false">
      <c r="A33" s="0" t="s">
        <v>649</v>
      </c>
      <c r="B33" s="0" t="n">
        <v>10</v>
      </c>
      <c r="C33" s="0" t="s">
        <v>129</v>
      </c>
      <c r="D33" s="0" t="n">
        <v>424.5</v>
      </c>
      <c r="E33" s="0" t="n">
        <v>392.9</v>
      </c>
      <c r="F33" s="0" t="n">
        <v>470.5</v>
      </c>
      <c r="G33" s="0" t="n">
        <v>-1.011</v>
      </c>
      <c r="H33" s="0" t="n">
        <v>-1.021</v>
      </c>
      <c r="I33" s="0" t="n">
        <v>-1.004</v>
      </c>
      <c r="J33" s="0" t="s">
        <v>645</v>
      </c>
      <c r="K33" s="0" t="n">
        <v>0</v>
      </c>
      <c r="L33" s="0" t="n">
        <v>0</v>
      </c>
      <c r="M33" s="0" t="n">
        <v>37</v>
      </c>
      <c r="N33" s="0" t="n">
        <v>20</v>
      </c>
      <c r="O33" s="0" t="n">
        <v>64</v>
      </c>
    </row>
    <row r="34" customFormat="false" ht="15" hidden="false" customHeight="false" outlineLevel="0" collapsed="false">
      <c r="A34" s="0" t="s">
        <v>649</v>
      </c>
      <c r="B34" s="0" t="n">
        <v>10</v>
      </c>
      <c r="C34" s="0" t="s">
        <v>590</v>
      </c>
      <c r="D34" s="0" t="n">
        <v>431.1</v>
      </c>
      <c r="E34" s="0" t="n">
        <v>401</v>
      </c>
      <c r="F34" s="0" t="n">
        <v>475.4</v>
      </c>
      <c r="G34" s="0" t="n">
        <v>-1.003</v>
      </c>
      <c r="H34" s="0" t="n">
        <v>-1.014</v>
      </c>
      <c r="I34" s="0" t="n">
        <v>-0.992</v>
      </c>
      <c r="J34" s="0" t="s">
        <v>645</v>
      </c>
      <c r="K34" s="0" t="n">
        <v>0</v>
      </c>
      <c r="L34" s="0" t="n">
        <v>0</v>
      </c>
      <c r="M34" s="0" t="n">
        <v>37</v>
      </c>
      <c r="N34" s="0" t="n">
        <v>20</v>
      </c>
      <c r="O34" s="0" t="n">
        <v>64</v>
      </c>
    </row>
    <row r="35" customFormat="false" ht="15" hidden="false" customHeight="false" outlineLevel="0" collapsed="false">
      <c r="A35" s="0" t="s">
        <v>649</v>
      </c>
      <c r="B35" s="0" t="n">
        <v>10</v>
      </c>
      <c r="C35" s="0" t="s">
        <v>591</v>
      </c>
      <c r="D35" s="0" t="n">
        <v>427.2</v>
      </c>
      <c r="E35" s="0" t="n">
        <v>399.2</v>
      </c>
      <c r="F35" s="0" t="n">
        <v>469.3</v>
      </c>
      <c r="G35" s="0" t="n">
        <v>-0.995</v>
      </c>
      <c r="H35" s="0" t="n">
        <v>-1.008</v>
      </c>
      <c r="I35" s="0" t="n">
        <v>-0.98</v>
      </c>
      <c r="J35" s="0" t="s">
        <v>645</v>
      </c>
      <c r="K35" s="0" t="n">
        <v>0</v>
      </c>
      <c r="L35" s="0" t="n">
        <v>0</v>
      </c>
      <c r="M35" s="0" t="n">
        <v>37</v>
      </c>
      <c r="N35" s="0" t="n">
        <v>20</v>
      </c>
      <c r="O35" s="0" t="n">
        <v>64</v>
      </c>
    </row>
    <row r="36" customFormat="false" ht="15" hidden="false" customHeight="false" outlineLevel="0" collapsed="false">
      <c r="A36" s="0" t="s">
        <v>649</v>
      </c>
      <c r="B36" s="0" t="n">
        <v>10</v>
      </c>
      <c r="C36" s="0" t="s">
        <v>646</v>
      </c>
      <c r="D36" s="0" t="n">
        <v>68.4</v>
      </c>
      <c r="E36" s="0" t="n">
        <v>36.7</v>
      </c>
      <c r="F36" s="0" t="n">
        <v>114.4</v>
      </c>
      <c r="G36" s="0" t="n">
        <v>-1.072</v>
      </c>
      <c r="H36" s="0" t="n">
        <v>-1.124</v>
      </c>
      <c r="I36" s="0" t="n">
        <v>-1.026</v>
      </c>
      <c r="J36" s="0" t="s">
        <v>645</v>
      </c>
      <c r="K36" s="0" t="n">
        <v>0</v>
      </c>
      <c r="L36" s="0" t="n">
        <v>1</v>
      </c>
      <c r="M36" s="0" t="n">
        <v>37</v>
      </c>
      <c r="N36" s="0" t="n">
        <v>20</v>
      </c>
      <c r="O36" s="0" t="n">
        <v>64</v>
      </c>
    </row>
    <row r="37" customFormat="false" ht="15" hidden="false" customHeight="false" outlineLevel="0" collapsed="false">
      <c r="A37" s="0" t="s">
        <v>649</v>
      </c>
      <c r="B37" s="0" t="n">
        <v>10</v>
      </c>
      <c r="C37" s="0" t="s">
        <v>647</v>
      </c>
      <c r="D37" s="0" t="n">
        <v>65</v>
      </c>
      <c r="E37" s="0" t="n">
        <v>34.9</v>
      </c>
      <c r="F37" s="0" t="n">
        <v>109.3</v>
      </c>
      <c r="G37" s="0" t="n">
        <v>-1.023</v>
      </c>
      <c r="H37" s="0" t="n">
        <v>-1.094</v>
      </c>
      <c r="I37" s="0" t="n">
        <v>-0.952</v>
      </c>
      <c r="J37" s="0" t="s">
        <v>645</v>
      </c>
      <c r="K37" s="0" t="n">
        <v>0</v>
      </c>
      <c r="L37" s="0" t="n">
        <v>1</v>
      </c>
      <c r="M37" s="0" t="n">
        <v>37</v>
      </c>
      <c r="N37" s="0" t="n">
        <v>20</v>
      </c>
      <c r="O37" s="0" t="n">
        <v>64</v>
      </c>
    </row>
    <row r="38" customFormat="false" ht="15" hidden="false" customHeight="false" outlineLevel="0" collapsed="false">
      <c r="A38" s="0" t="s">
        <v>649</v>
      </c>
      <c r="B38" s="0" t="n">
        <v>10</v>
      </c>
      <c r="C38" s="0" t="s">
        <v>648</v>
      </c>
      <c r="D38" s="0" t="n">
        <v>61.1</v>
      </c>
      <c r="E38" s="0" t="n">
        <v>33.1</v>
      </c>
      <c r="F38" s="0" t="n">
        <v>103.2</v>
      </c>
      <c r="G38" s="0" t="n">
        <v>-0.962</v>
      </c>
      <c r="H38" s="0" t="n">
        <v>-1.053</v>
      </c>
      <c r="I38" s="0" t="n">
        <v>-0.874</v>
      </c>
      <c r="J38" s="0" t="s">
        <v>645</v>
      </c>
      <c r="K38" s="0" t="n">
        <v>0</v>
      </c>
      <c r="L38" s="0" t="n">
        <v>1</v>
      </c>
      <c r="M38" s="0" t="n">
        <v>37</v>
      </c>
      <c r="N38" s="0" t="n">
        <v>20</v>
      </c>
      <c r="O38" s="0" t="n">
        <v>64</v>
      </c>
    </row>
    <row r="39" customFormat="false" ht="15" hidden="false" customHeight="false" outlineLevel="0" collapsed="false">
      <c r="A39" s="0" t="s">
        <v>649</v>
      </c>
      <c r="B39" s="0" t="n">
        <v>20</v>
      </c>
      <c r="C39" s="0" t="s">
        <v>129</v>
      </c>
      <c r="D39" s="0" t="n">
        <v>409.1</v>
      </c>
      <c r="E39" s="0" t="n">
        <v>383.7</v>
      </c>
      <c r="F39" s="0" t="n">
        <v>447.8</v>
      </c>
      <c r="G39" s="0" t="n">
        <v>-0.976</v>
      </c>
      <c r="H39" s="0" t="n">
        <v>-0.996</v>
      </c>
      <c r="I39" s="0" t="n">
        <v>-0.945</v>
      </c>
      <c r="J39" s="0" t="s">
        <v>645</v>
      </c>
      <c r="K39" s="0" t="n">
        <v>0</v>
      </c>
      <c r="L39" s="0" t="n">
        <v>0.906</v>
      </c>
      <c r="M39" s="0" t="n">
        <v>217</v>
      </c>
      <c r="N39" s="0" t="n">
        <v>119</v>
      </c>
      <c r="O39" s="0" t="n">
        <v>369</v>
      </c>
    </row>
    <row r="40" customFormat="false" ht="15" hidden="false" customHeight="false" outlineLevel="0" collapsed="false">
      <c r="A40" s="0" t="s">
        <v>649</v>
      </c>
      <c r="B40" s="0" t="n">
        <v>20</v>
      </c>
      <c r="C40" s="0" t="s">
        <v>590</v>
      </c>
      <c r="D40" s="0" t="n">
        <v>401.2</v>
      </c>
      <c r="E40" s="0" t="n">
        <v>378.2</v>
      </c>
      <c r="F40" s="0" t="n">
        <v>435</v>
      </c>
      <c r="G40" s="0" t="n">
        <v>-0.937</v>
      </c>
      <c r="H40" s="0" t="n">
        <v>-0.973</v>
      </c>
      <c r="I40" s="0" t="n">
        <v>-0.875</v>
      </c>
      <c r="J40" s="0" t="s">
        <v>645</v>
      </c>
      <c r="K40" s="0" t="n">
        <v>0</v>
      </c>
      <c r="L40" s="0" t="n">
        <v>0.909</v>
      </c>
      <c r="M40" s="0" t="n">
        <v>217</v>
      </c>
      <c r="N40" s="0" t="n">
        <v>119</v>
      </c>
      <c r="O40" s="0" t="n">
        <v>369</v>
      </c>
    </row>
    <row r="41" customFormat="false" ht="15" hidden="false" customHeight="false" outlineLevel="0" collapsed="false">
      <c r="A41" s="0" t="s">
        <v>649</v>
      </c>
      <c r="B41" s="0" t="n">
        <v>20</v>
      </c>
      <c r="C41" s="0" t="s">
        <v>591</v>
      </c>
      <c r="D41" s="0" t="n">
        <v>386.6</v>
      </c>
      <c r="E41" s="0" t="n">
        <v>356.7</v>
      </c>
      <c r="F41" s="0" t="n">
        <v>418</v>
      </c>
      <c r="G41" s="0" t="n">
        <v>-0.903</v>
      </c>
      <c r="H41" s="0" t="n">
        <v>-0.954</v>
      </c>
      <c r="I41" s="0" t="n">
        <v>-0.808</v>
      </c>
      <c r="J41" s="0" t="s">
        <v>645</v>
      </c>
      <c r="K41" s="0" t="n">
        <v>0</v>
      </c>
      <c r="L41" s="0" t="n">
        <v>0.92</v>
      </c>
      <c r="M41" s="0" t="n">
        <v>217</v>
      </c>
      <c r="N41" s="0" t="n">
        <v>119</v>
      </c>
      <c r="O41" s="0" t="n">
        <v>369</v>
      </c>
    </row>
    <row r="42" customFormat="false" ht="15" hidden="false" customHeight="false" outlineLevel="0" collapsed="false">
      <c r="A42" s="0" t="s">
        <v>649</v>
      </c>
      <c r="B42" s="0" t="n">
        <v>20</v>
      </c>
      <c r="C42" s="0" t="s">
        <v>646</v>
      </c>
      <c r="D42" s="0" t="n">
        <v>52.9</v>
      </c>
      <c r="E42" s="0" t="n">
        <v>27.5</v>
      </c>
      <c r="F42" s="0" t="n">
        <v>91.6</v>
      </c>
      <c r="G42" s="0" t="n">
        <v>-0.842</v>
      </c>
      <c r="H42" s="0" t="n">
        <v>-0.976</v>
      </c>
      <c r="I42" s="0" t="n">
        <v>-0.672</v>
      </c>
      <c r="J42" s="0" t="s">
        <v>645</v>
      </c>
      <c r="K42" s="0" t="n">
        <v>0</v>
      </c>
      <c r="L42" s="0" t="n">
        <v>1</v>
      </c>
      <c r="M42" s="0" t="n">
        <v>217</v>
      </c>
      <c r="N42" s="0" t="n">
        <v>119</v>
      </c>
      <c r="O42" s="0" t="n">
        <v>369</v>
      </c>
    </row>
    <row r="43" customFormat="false" ht="15" hidden="false" customHeight="false" outlineLevel="0" collapsed="false">
      <c r="A43" s="0" t="s">
        <v>649</v>
      </c>
      <c r="B43" s="0" t="n">
        <v>20</v>
      </c>
      <c r="C43" s="0" t="s">
        <v>647</v>
      </c>
      <c r="D43" s="0" t="n">
        <v>35.1</v>
      </c>
      <c r="E43" s="0" t="n">
        <v>12.1</v>
      </c>
      <c r="F43" s="0" t="n">
        <v>68.9</v>
      </c>
      <c r="G43" s="0" t="n">
        <v>-0.568</v>
      </c>
      <c r="H43" s="0" t="n">
        <v>-0.789</v>
      </c>
      <c r="I43" s="0" t="n">
        <v>-0.236</v>
      </c>
      <c r="J43" s="0" t="s">
        <v>645</v>
      </c>
      <c r="K43" s="0" t="n">
        <v>0.002</v>
      </c>
      <c r="L43" s="0" t="n">
        <v>1</v>
      </c>
      <c r="M43" s="0" t="n">
        <v>217</v>
      </c>
      <c r="N43" s="0" t="n">
        <v>119</v>
      </c>
      <c r="O43" s="0" t="n">
        <v>369</v>
      </c>
    </row>
    <row r="44" customFormat="false" ht="15" hidden="false" customHeight="false" outlineLevel="0" collapsed="false">
      <c r="A44" s="0" t="s">
        <v>649</v>
      </c>
      <c r="B44" s="0" t="n">
        <v>20</v>
      </c>
      <c r="C44" s="0" t="s">
        <v>648</v>
      </c>
      <c r="D44" s="0" t="n">
        <v>20.5</v>
      </c>
      <c r="E44" s="0" t="n">
        <v>-9.4</v>
      </c>
      <c r="F44" s="0" t="n">
        <v>51.8</v>
      </c>
      <c r="G44" s="0" t="n">
        <v>-0.341</v>
      </c>
      <c r="H44" s="0" t="n">
        <v>-0.634</v>
      </c>
      <c r="I44" s="0" t="n">
        <v>0.154</v>
      </c>
      <c r="J44" s="0" t="s">
        <v>645</v>
      </c>
      <c r="K44" s="0" t="n">
        <v>0.077</v>
      </c>
      <c r="L44" s="0" t="n">
        <v>1</v>
      </c>
      <c r="M44" s="0" t="n">
        <v>217</v>
      </c>
      <c r="N44" s="0" t="n">
        <v>119</v>
      </c>
      <c r="O44" s="0" t="n">
        <v>369</v>
      </c>
    </row>
    <row r="45" customFormat="false" ht="15" hidden="false" customHeight="false" outlineLevel="0" collapsed="false">
      <c r="A45" s="0" t="s">
        <v>649</v>
      </c>
      <c r="B45" s="0" t="n">
        <v>50</v>
      </c>
      <c r="C45" s="0" t="s">
        <v>129</v>
      </c>
      <c r="D45" s="0" t="n">
        <v>384.3</v>
      </c>
      <c r="E45" s="0" t="n">
        <v>362.8</v>
      </c>
      <c r="F45" s="0" t="n">
        <v>416.7</v>
      </c>
      <c r="G45" s="0" t="n">
        <v>-0.918</v>
      </c>
      <c r="H45" s="0" t="n">
        <v>-0.96</v>
      </c>
      <c r="I45" s="0" t="n">
        <v>-0.849</v>
      </c>
      <c r="J45" s="0" t="s">
        <v>645</v>
      </c>
      <c r="K45" s="0" t="n">
        <v>0</v>
      </c>
      <c r="L45" s="0" t="n">
        <v>1</v>
      </c>
      <c r="M45" s="0" t="n">
        <v>728</v>
      </c>
      <c r="N45" s="0" t="n">
        <v>401</v>
      </c>
      <c r="O45" s="0" t="n">
        <v>1234</v>
      </c>
    </row>
    <row r="46" customFormat="false" ht="15" hidden="false" customHeight="false" outlineLevel="0" collapsed="false">
      <c r="A46" s="0" t="s">
        <v>649</v>
      </c>
      <c r="B46" s="0" t="n">
        <v>50</v>
      </c>
      <c r="C46" s="0" t="s">
        <v>590</v>
      </c>
      <c r="D46" s="0" t="n">
        <v>347.3</v>
      </c>
      <c r="E46" s="0" t="n">
        <v>301.5</v>
      </c>
      <c r="F46" s="0" t="n">
        <v>377.2</v>
      </c>
      <c r="G46" s="0" t="n">
        <v>-0.809</v>
      </c>
      <c r="H46" s="0" t="n">
        <v>-0.896</v>
      </c>
      <c r="I46" s="0" t="n">
        <v>-0.666</v>
      </c>
      <c r="J46" s="0" t="s">
        <v>645</v>
      </c>
      <c r="K46" s="0" t="n">
        <v>0</v>
      </c>
      <c r="L46" s="0" t="n">
        <v>1</v>
      </c>
      <c r="M46" s="0" t="n">
        <v>728</v>
      </c>
      <c r="N46" s="0" t="n">
        <v>401</v>
      </c>
      <c r="O46" s="0" t="n">
        <v>1234</v>
      </c>
    </row>
    <row r="47" customFormat="false" ht="15" hidden="false" customHeight="false" outlineLevel="0" collapsed="false">
      <c r="A47" s="0" t="s">
        <v>649</v>
      </c>
      <c r="B47" s="0" t="n">
        <v>50</v>
      </c>
      <c r="C47" s="0" t="s">
        <v>591</v>
      </c>
      <c r="D47" s="0" t="n">
        <v>306.6</v>
      </c>
      <c r="E47" s="0" t="n">
        <v>227.8</v>
      </c>
      <c r="F47" s="0" t="n">
        <v>349.8</v>
      </c>
      <c r="G47" s="0" t="n">
        <v>-0.713</v>
      </c>
      <c r="H47" s="0" t="n">
        <v>-0.842</v>
      </c>
      <c r="I47" s="0" t="n">
        <v>-0.5</v>
      </c>
      <c r="J47" s="0" t="s">
        <v>645</v>
      </c>
      <c r="K47" s="0" t="n">
        <v>0</v>
      </c>
      <c r="L47" s="0" t="n">
        <v>1</v>
      </c>
      <c r="M47" s="0" t="n">
        <v>728</v>
      </c>
      <c r="N47" s="0" t="n">
        <v>401</v>
      </c>
      <c r="O47" s="0" t="n">
        <v>1234</v>
      </c>
    </row>
    <row r="48" customFormat="false" ht="15" hidden="false" customHeight="false" outlineLevel="0" collapsed="false">
      <c r="A48" s="0" t="s">
        <v>649</v>
      </c>
      <c r="B48" s="0" t="n">
        <v>50</v>
      </c>
      <c r="C48" s="0" t="s">
        <v>646</v>
      </c>
      <c r="D48" s="0" t="n">
        <v>28.2</v>
      </c>
      <c r="E48" s="0" t="n">
        <v>6.6</v>
      </c>
      <c r="F48" s="0" t="n">
        <v>60.5</v>
      </c>
      <c r="G48" s="0" t="n">
        <v>-0.457</v>
      </c>
      <c r="H48" s="0" t="n">
        <v>-0.706</v>
      </c>
      <c r="I48" s="0" t="n">
        <v>-0.124</v>
      </c>
      <c r="J48" s="0" t="s">
        <v>645</v>
      </c>
      <c r="K48" s="0" t="n">
        <v>0.004</v>
      </c>
      <c r="L48" s="0" t="n">
        <v>1</v>
      </c>
      <c r="M48" s="0" t="n">
        <v>728</v>
      </c>
      <c r="N48" s="0" t="n">
        <v>401</v>
      </c>
      <c r="O48" s="0" t="n">
        <v>1234</v>
      </c>
    </row>
    <row r="49" customFormat="false" ht="15" hidden="false" customHeight="false" outlineLevel="0" collapsed="false">
      <c r="A49" s="0" t="s">
        <v>649</v>
      </c>
      <c r="B49" s="0" t="n">
        <v>50</v>
      </c>
      <c r="C49" s="0" t="s">
        <v>647</v>
      </c>
      <c r="D49" s="0" t="n">
        <v>-18.8</v>
      </c>
      <c r="E49" s="0" t="n">
        <v>-64.6</v>
      </c>
      <c r="F49" s="0" t="n">
        <v>11.1</v>
      </c>
      <c r="G49" s="0" t="n">
        <v>0.301</v>
      </c>
      <c r="H49" s="0" t="n">
        <v>-0.161</v>
      </c>
      <c r="I49" s="0" t="n">
        <v>0.967</v>
      </c>
      <c r="J49" s="0" t="n">
        <v>2057</v>
      </c>
      <c r="K49" s="0" t="n">
        <v>0.883</v>
      </c>
      <c r="L49" s="0" t="n">
        <v>1</v>
      </c>
      <c r="M49" s="0" t="n">
        <v>728</v>
      </c>
      <c r="N49" s="0" t="n">
        <v>401</v>
      </c>
      <c r="O49" s="0" t="n">
        <v>1234</v>
      </c>
    </row>
    <row r="50" customFormat="false" ht="15" hidden="false" customHeight="false" outlineLevel="0" collapsed="false">
      <c r="A50" s="0" t="s">
        <v>649</v>
      </c>
      <c r="B50" s="0" t="n">
        <v>50</v>
      </c>
      <c r="C50" s="0" t="s">
        <v>648</v>
      </c>
      <c r="D50" s="0" t="n">
        <v>-59.5</v>
      </c>
      <c r="E50" s="0" t="n">
        <v>-138.3</v>
      </c>
      <c r="F50" s="0" t="n">
        <v>-16.3</v>
      </c>
      <c r="G50" s="0" t="n">
        <v>0.947</v>
      </c>
      <c r="H50" s="0" t="n">
        <v>0.276</v>
      </c>
      <c r="I50" s="0" t="n">
        <v>1.958</v>
      </c>
      <c r="J50" s="0" t="n">
        <v>2050</v>
      </c>
      <c r="K50" s="0" t="n">
        <v>0.998</v>
      </c>
      <c r="L50" s="0" t="n">
        <v>1</v>
      </c>
      <c r="M50" s="0" t="n">
        <v>728</v>
      </c>
      <c r="N50" s="0" t="n">
        <v>401</v>
      </c>
      <c r="O50" s="0" t="n">
        <v>1234</v>
      </c>
    </row>
    <row r="51" customFormat="false" ht="15" hidden="false" customHeight="false" outlineLevel="0" collapsed="false">
      <c r="A51" s="0" t="s">
        <v>650</v>
      </c>
      <c r="B51" s="0" t="n">
        <v>5</v>
      </c>
      <c r="C51" s="0" t="s">
        <v>129</v>
      </c>
      <c r="D51" s="0" t="n">
        <v>96.8</v>
      </c>
      <c r="E51" s="0" t="n">
        <v>74.9</v>
      </c>
      <c r="F51" s="0" t="n">
        <v>122.4</v>
      </c>
      <c r="G51" s="0" t="n">
        <v>-1.098</v>
      </c>
      <c r="H51" s="0" t="n">
        <v>-1.131</v>
      </c>
      <c r="I51" s="0" t="n">
        <v>-1.07</v>
      </c>
      <c r="J51" s="0" t="s">
        <v>645</v>
      </c>
      <c r="K51" s="0" t="n">
        <v>0</v>
      </c>
      <c r="L51" s="0" t="n">
        <v>1</v>
      </c>
      <c r="M51" s="0" t="n">
        <v>10</v>
      </c>
      <c r="N51" s="0" t="n">
        <v>7</v>
      </c>
      <c r="O51" s="0" t="n">
        <v>14</v>
      </c>
    </row>
    <row r="52" customFormat="false" ht="15" hidden="false" customHeight="false" outlineLevel="0" collapsed="false">
      <c r="A52" s="0" t="s">
        <v>650</v>
      </c>
      <c r="B52" s="0" t="n">
        <v>5</v>
      </c>
      <c r="C52" s="0" t="s">
        <v>590</v>
      </c>
      <c r="D52" s="0" t="n">
        <v>104.9</v>
      </c>
      <c r="E52" s="0" t="n">
        <v>82.6</v>
      </c>
      <c r="F52" s="0" t="n">
        <v>131</v>
      </c>
      <c r="G52" s="0" t="n">
        <v>-1.102</v>
      </c>
      <c r="H52" s="0" t="n">
        <v>-1.139</v>
      </c>
      <c r="I52" s="0" t="n">
        <v>-1.072</v>
      </c>
      <c r="J52" s="0" t="s">
        <v>645</v>
      </c>
      <c r="K52" s="0" t="n">
        <v>0</v>
      </c>
      <c r="L52" s="0" t="n">
        <v>1</v>
      </c>
      <c r="M52" s="0" t="n">
        <v>10</v>
      </c>
      <c r="N52" s="0" t="n">
        <v>7</v>
      </c>
      <c r="O52" s="0" t="n">
        <v>14</v>
      </c>
    </row>
    <row r="53" customFormat="false" ht="15" hidden="false" customHeight="false" outlineLevel="0" collapsed="false">
      <c r="A53" s="0" t="s">
        <v>650</v>
      </c>
      <c r="B53" s="0" t="n">
        <v>5</v>
      </c>
      <c r="C53" s="0" t="s">
        <v>591</v>
      </c>
      <c r="D53" s="0" t="n">
        <v>103.3</v>
      </c>
      <c r="E53" s="0" t="n">
        <v>81.2</v>
      </c>
      <c r="F53" s="0" t="n">
        <v>129.1</v>
      </c>
      <c r="G53" s="0" t="n">
        <v>-1.085</v>
      </c>
      <c r="H53" s="0" t="n">
        <v>-1.121</v>
      </c>
      <c r="I53" s="0" t="n">
        <v>-1.056</v>
      </c>
      <c r="J53" s="0" t="s">
        <v>645</v>
      </c>
      <c r="K53" s="0" t="n">
        <v>0</v>
      </c>
      <c r="L53" s="0" t="n">
        <v>1</v>
      </c>
      <c r="M53" s="0" t="n">
        <v>10</v>
      </c>
      <c r="N53" s="0" t="n">
        <v>7</v>
      </c>
      <c r="O53" s="0" t="n">
        <v>14</v>
      </c>
    </row>
    <row r="54" customFormat="false" ht="15" hidden="false" customHeight="false" outlineLevel="0" collapsed="false">
      <c r="A54" s="0" t="s">
        <v>650</v>
      </c>
      <c r="B54" s="0" t="n">
        <v>5</v>
      </c>
      <c r="C54" s="0" t="s">
        <v>646</v>
      </c>
      <c r="D54" s="0" t="n">
        <v>96.8</v>
      </c>
      <c r="E54" s="0" t="n">
        <v>74.9</v>
      </c>
      <c r="F54" s="0" t="n">
        <v>122.4</v>
      </c>
      <c r="G54" s="0" t="n">
        <v>-1.098</v>
      </c>
      <c r="H54" s="0" t="n">
        <v>-1.131</v>
      </c>
      <c r="I54" s="0" t="n">
        <v>-1.07</v>
      </c>
      <c r="J54" s="0" t="s">
        <v>645</v>
      </c>
      <c r="K54" s="0" t="n">
        <v>0</v>
      </c>
      <c r="L54" s="0" t="n">
        <v>1</v>
      </c>
      <c r="M54" s="0" t="n">
        <v>10</v>
      </c>
      <c r="N54" s="0" t="n">
        <v>7</v>
      </c>
      <c r="O54" s="0" t="n">
        <v>14</v>
      </c>
    </row>
    <row r="55" customFormat="false" ht="15" hidden="false" customHeight="false" outlineLevel="0" collapsed="false">
      <c r="A55" s="0" t="s">
        <v>650</v>
      </c>
      <c r="B55" s="0" t="n">
        <v>5</v>
      </c>
      <c r="C55" s="0" t="s">
        <v>647</v>
      </c>
      <c r="D55" s="0" t="n">
        <v>97.8</v>
      </c>
      <c r="E55" s="0" t="n">
        <v>75.5</v>
      </c>
      <c r="F55" s="0" t="n">
        <v>123.8</v>
      </c>
      <c r="G55" s="0" t="n">
        <v>-1.11</v>
      </c>
      <c r="H55" s="0" t="n">
        <v>-1.152</v>
      </c>
      <c r="I55" s="0" t="n">
        <v>-1.077</v>
      </c>
      <c r="J55" s="0" t="s">
        <v>645</v>
      </c>
      <c r="K55" s="0" t="n">
        <v>0</v>
      </c>
      <c r="L55" s="0" t="n">
        <v>1</v>
      </c>
      <c r="M55" s="0" t="n">
        <v>10</v>
      </c>
      <c r="N55" s="0" t="n">
        <v>7</v>
      </c>
      <c r="O55" s="0" t="n">
        <v>14</v>
      </c>
    </row>
    <row r="56" customFormat="false" ht="15" hidden="false" customHeight="false" outlineLevel="0" collapsed="false">
      <c r="A56" s="0" t="s">
        <v>650</v>
      </c>
      <c r="B56" s="0" t="n">
        <v>5</v>
      </c>
      <c r="C56" s="0" t="s">
        <v>648</v>
      </c>
      <c r="D56" s="0" t="n">
        <v>96.2</v>
      </c>
      <c r="E56" s="0" t="n">
        <v>74.1</v>
      </c>
      <c r="F56" s="0" t="n">
        <v>122</v>
      </c>
      <c r="G56" s="0" t="n">
        <v>-1.092</v>
      </c>
      <c r="H56" s="0" t="n">
        <v>-1.132</v>
      </c>
      <c r="I56" s="0" t="n">
        <v>-1.06</v>
      </c>
      <c r="J56" s="0" t="s">
        <v>645</v>
      </c>
      <c r="K56" s="0" t="n">
        <v>0</v>
      </c>
      <c r="L56" s="0" t="n">
        <v>1</v>
      </c>
      <c r="M56" s="0" t="n">
        <v>10</v>
      </c>
      <c r="N56" s="0" t="n">
        <v>7</v>
      </c>
      <c r="O56" s="0" t="n">
        <v>14</v>
      </c>
    </row>
    <row r="57" customFormat="false" ht="15" hidden="false" customHeight="false" outlineLevel="0" collapsed="false">
      <c r="A57" s="0" t="s">
        <v>650</v>
      </c>
      <c r="B57" s="0" t="n">
        <v>10</v>
      </c>
      <c r="C57" s="0" t="s">
        <v>129</v>
      </c>
      <c r="D57" s="0" t="n">
        <v>121.5</v>
      </c>
      <c r="E57" s="0" t="n">
        <v>92.9</v>
      </c>
      <c r="F57" s="0" t="n">
        <v>154.9</v>
      </c>
      <c r="G57" s="0" t="n">
        <v>-1.073</v>
      </c>
      <c r="H57" s="0" t="n">
        <v>-1.12</v>
      </c>
      <c r="I57" s="0" t="n">
        <v>-1.026</v>
      </c>
      <c r="J57" s="0" t="s">
        <v>645</v>
      </c>
      <c r="K57" s="0" t="n">
        <v>0</v>
      </c>
      <c r="L57" s="0" t="n">
        <v>1</v>
      </c>
      <c r="M57" s="0" t="n">
        <v>57</v>
      </c>
      <c r="N57" s="0" t="n">
        <v>39</v>
      </c>
      <c r="O57" s="0" t="n">
        <v>80</v>
      </c>
    </row>
    <row r="58" customFormat="false" ht="15" hidden="false" customHeight="false" outlineLevel="0" collapsed="false">
      <c r="A58" s="0" t="s">
        <v>650</v>
      </c>
      <c r="B58" s="0" t="n">
        <v>10</v>
      </c>
      <c r="C58" s="0" t="s">
        <v>590</v>
      </c>
      <c r="D58" s="0" t="n">
        <v>127.1</v>
      </c>
      <c r="E58" s="0" t="n">
        <v>99.5</v>
      </c>
      <c r="F58" s="0" t="n">
        <v>161</v>
      </c>
      <c r="G58" s="0" t="n">
        <v>-0.998</v>
      </c>
      <c r="H58" s="0" t="n">
        <v>-1.071</v>
      </c>
      <c r="I58" s="0" t="n">
        <v>-0.932</v>
      </c>
      <c r="J58" s="0" t="s">
        <v>645</v>
      </c>
      <c r="K58" s="0" t="n">
        <v>0</v>
      </c>
      <c r="L58" s="0" t="n">
        <v>1</v>
      </c>
      <c r="M58" s="0" t="n">
        <v>57</v>
      </c>
      <c r="N58" s="0" t="n">
        <v>39</v>
      </c>
      <c r="O58" s="0" t="n">
        <v>80</v>
      </c>
    </row>
    <row r="59" customFormat="false" ht="15" hidden="false" customHeight="false" outlineLevel="0" collapsed="false">
      <c r="A59" s="0" t="s">
        <v>650</v>
      </c>
      <c r="B59" s="0" t="n">
        <v>10</v>
      </c>
      <c r="C59" s="0" t="s">
        <v>591</v>
      </c>
      <c r="D59" s="0" t="n">
        <v>118.9</v>
      </c>
      <c r="E59" s="0" t="n">
        <v>90.9</v>
      </c>
      <c r="F59" s="0" t="n">
        <v>153.6</v>
      </c>
      <c r="G59" s="0" t="n">
        <v>-0.931</v>
      </c>
      <c r="H59" s="0" t="n">
        <v>-1.035</v>
      </c>
      <c r="I59" s="0" t="n">
        <v>-0.84</v>
      </c>
      <c r="J59" s="0" t="s">
        <v>645</v>
      </c>
      <c r="K59" s="0" t="n">
        <v>0</v>
      </c>
      <c r="L59" s="0" t="n">
        <v>1</v>
      </c>
      <c r="M59" s="0" t="n">
        <v>57</v>
      </c>
      <c r="N59" s="0" t="n">
        <v>39</v>
      </c>
      <c r="O59" s="0" t="n">
        <v>80</v>
      </c>
    </row>
    <row r="60" customFormat="false" ht="15" hidden="false" customHeight="false" outlineLevel="0" collapsed="false">
      <c r="A60" s="0" t="s">
        <v>650</v>
      </c>
      <c r="B60" s="0" t="n">
        <v>10</v>
      </c>
      <c r="C60" s="0" t="s">
        <v>646</v>
      </c>
      <c r="D60" s="0" t="n">
        <v>121.5</v>
      </c>
      <c r="E60" s="0" t="n">
        <v>92.9</v>
      </c>
      <c r="F60" s="0" t="n">
        <v>154.9</v>
      </c>
      <c r="G60" s="0" t="n">
        <v>-1.073</v>
      </c>
      <c r="H60" s="0" t="n">
        <v>-1.12</v>
      </c>
      <c r="I60" s="0" t="n">
        <v>-1.026</v>
      </c>
      <c r="J60" s="0" t="s">
        <v>645</v>
      </c>
      <c r="K60" s="0" t="n">
        <v>0</v>
      </c>
      <c r="L60" s="0" t="n">
        <v>1</v>
      </c>
      <c r="M60" s="0" t="n">
        <v>57</v>
      </c>
      <c r="N60" s="0" t="n">
        <v>39</v>
      </c>
      <c r="O60" s="0" t="n">
        <v>80</v>
      </c>
    </row>
    <row r="61" customFormat="false" ht="15" hidden="false" customHeight="false" outlineLevel="0" collapsed="false">
      <c r="A61" s="0" t="s">
        <v>650</v>
      </c>
      <c r="B61" s="0" t="n">
        <v>10</v>
      </c>
      <c r="C61" s="0" t="s">
        <v>647</v>
      </c>
      <c r="D61" s="0" t="n">
        <v>112.9</v>
      </c>
      <c r="E61" s="0" t="n">
        <v>85.2</v>
      </c>
      <c r="F61" s="0" t="n">
        <v>146.7</v>
      </c>
      <c r="G61" s="0" t="n">
        <v>-0.998</v>
      </c>
      <c r="H61" s="0" t="n">
        <v>-1.079</v>
      </c>
      <c r="I61" s="0" t="n">
        <v>-0.922</v>
      </c>
      <c r="J61" s="0" t="s">
        <v>645</v>
      </c>
      <c r="K61" s="0" t="n">
        <v>0</v>
      </c>
      <c r="L61" s="0" t="n">
        <v>1</v>
      </c>
      <c r="M61" s="0" t="n">
        <v>57</v>
      </c>
      <c r="N61" s="0" t="n">
        <v>39</v>
      </c>
      <c r="O61" s="0" t="n">
        <v>80</v>
      </c>
    </row>
    <row r="62" customFormat="false" ht="15" hidden="false" customHeight="false" outlineLevel="0" collapsed="false">
      <c r="A62" s="0" t="s">
        <v>650</v>
      </c>
      <c r="B62" s="0" t="n">
        <v>10</v>
      </c>
      <c r="C62" s="0" t="s">
        <v>648</v>
      </c>
      <c r="D62" s="0" t="n">
        <v>104.6</v>
      </c>
      <c r="E62" s="0" t="n">
        <v>76.7</v>
      </c>
      <c r="F62" s="0" t="n">
        <v>139.3</v>
      </c>
      <c r="G62" s="0" t="n">
        <v>-0.922</v>
      </c>
      <c r="H62" s="0" t="n">
        <v>-1.039</v>
      </c>
      <c r="I62" s="0" t="n">
        <v>-0.818</v>
      </c>
      <c r="J62" s="0" t="s">
        <v>645</v>
      </c>
      <c r="K62" s="0" t="n">
        <v>0</v>
      </c>
      <c r="L62" s="0" t="n">
        <v>1</v>
      </c>
      <c r="M62" s="0" t="n">
        <v>57</v>
      </c>
      <c r="N62" s="0" t="n">
        <v>39</v>
      </c>
      <c r="O62" s="0" t="n">
        <v>80</v>
      </c>
    </row>
    <row r="63" customFormat="false" ht="15" hidden="false" customHeight="false" outlineLevel="0" collapsed="false">
      <c r="A63" s="0" t="s">
        <v>650</v>
      </c>
      <c r="B63" s="0" t="n">
        <v>20</v>
      </c>
      <c r="C63" s="0" t="s">
        <v>129</v>
      </c>
      <c r="D63" s="0" t="n">
        <v>112.7</v>
      </c>
      <c r="E63" s="0" t="n">
        <v>83.9</v>
      </c>
      <c r="F63" s="0" t="n">
        <v>146.2</v>
      </c>
      <c r="G63" s="0" t="n">
        <v>-0.999</v>
      </c>
      <c r="H63" s="0" t="n">
        <v>-1.078</v>
      </c>
      <c r="I63" s="0" t="n">
        <v>-0.901</v>
      </c>
      <c r="J63" s="0" t="s">
        <v>645</v>
      </c>
      <c r="K63" s="0" t="n">
        <v>0</v>
      </c>
      <c r="L63" s="0" t="n">
        <v>1</v>
      </c>
      <c r="M63" s="0" t="n">
        <v>166</v>
      </c>
      <c r="N63" s="0" t="n">
        <v>116</v>
      </c>
      <c r="O63" s="0" t="n">
        <v>232</v>
      </c>
    </row>
    <row r="64" customFormat="false" ht="15" hidden="false" customHeight="false" outlineLevel="0" collapsed="false">
      <c r="A64" s="0" t="s">
        <v>650</v>
      </c>
      <c r="B64" s="0" t="n">
        <v>20</v>
      </c>
      <c r="C64" s="0" t="s">
        <v>590</v>
      </c>
      <c r="D64" s="0" t="n">
        <v>97.1</v>
      </c>
      <c r="E64" s="0" t="n">
        <v>59.2</v>
      </c>
      <c r="F64" s="0" t="n">
        <v>134.6</v>
      </c>
      <c r="G64" s="0" t="n">
        <v>-0.769</v>
      </c>
      <c r="H64" s="0" t="n">
        <v>-0.92</v>
      </c>
      <c r="I64" s="0" t="n">
        <v>-0.527</v>
      </c>
      <c r="J64" s="0" t="s">
        <v>645</v>
      </c>
      <c r="K64" s="0" t="n">
        <v>0</v>
      </c>
      <c r="L64" s="0" t="n">
        <v>1</v>
      </c>
      <c r="M64" s="0" t="n">
        <v>166</v>
      </c>
      <c r="N64" s="0" t="n">
        <v>116</v>
      </c>
      <c r="O64" s="0" t="n">
        <v>232</v>
      </c>
    </row>
    <row r="65" customFormat="false" ht="15" hidden="false" customHeight="false" outlineLevel="0" collapsed="false">
      <c r="A65" s="0" t="s">
        <v>650</v>
      </c>
      <c r="B65" s="0" t="n">
        <v>20</v>
      </c>
      <c r="C65" s="0" t="s">
        <v>591</v>
      </c>
      <c r="D65" s="0" t="n">
        <v>72.6</v>
      </c>
      <c r="E65" s="0" t="n">
        <v>23.4</v>
      </c>
      <c r="F65" s="0" t="n">
        <v>114</v>
      </c>
      <c r="G65" s="0" t="n">
        <v>-0.573</v>
      </c>
      <c r="H65" s="0" t="n">
        <v>-0.794</v>
      </c>
      <c r="I65" s="0" t="n">
        <v>-0.2</v>
      </c>
      <c r="J65" s="0" t="s">
        <v>645</v>
      </c>
      <c r="K65" s="0" t="n">
        <v>0.002</v>
      </c>
      <c r="L65" s="0" t="n">
        <v>1</v>
      </c>
      <c r="M65" s="0" t="n">
        <v>166</v>
      </c>
      <c r="N65" s="0" t="n">
        <v>116</v>
      </c>
      <c r="O65" s="0" t="n">
        <v>232</v>
      </c>
    </row>
    <row r="66" customFormat="false" ht="15" hidden="false" customHeight="false" outlineLevel="0" collapsed="false">
      <c r="A66" s="0" t="s">
        <v>650</v>
      </c>
      <c r="B66" s="0" t="n">
        <v>20</v>
      </c>
      <c r="C66" s="0" t="s">
        <v>646</v>
      </c>
      <c r="D66" s="0" t="n">
        <v>112.7</v>
      </c>
      <c r="E66" s="0" t="n">
        <v>83.9</v>
      </c>
      <c r="F66" s="0" t="n">
        <v>146.2</v>
      </c>
      <c r="G66" s="0" t="n">
        <v>-0.999</v>
      </c>
      <c r="H66" s="0" t="n">
        <v>-1.078</v>
      </c>
      <c r="I66" s="0" t="n">
        <v>-0.901</v>
      </c>
      <c r="J66" s="0" t="s">
        <v>645</v>
      </c>
      <c r="K66" s="0" t="n">
        <v>0</v>
      </c>
      <c r="L66" s="0" t="n">
        <v>1</v>
      </c>
      <c r="M66" s="0" t="n">
        <v>166</v>
      </c>
      <c r="N66" s="0" t="n">
        <v>116</v>
      </c>
      <c r="O66" s="0" t="n">
        <v>232</v>
      </c>
    </row>
    <row r="67" customFormat="false" ht="15" hidden="false" customHeight="false" outlineLevel="0" collapsed="false">
      <c r="A67" s="0" t="s">
        <v>650</v>
      </c>
      <c r="B67" s="0" t="n">
        <v>20</v>
      </c>
      <c r="C67" s="0" t="s">
        <v>647</v>
      </c>
      <c r="D67" s="0" t="n">
        <v>82.9</v>
      </c>
      <c r="E67" s="0" t="n">
        <v>44.9</v>
      </c>
      <c r="F67" s="0" t="n">
        <v>120.4</v>
      </c>
      <c r="G67" s="0" t="n">
        <v>-0.739</v>
      </c>
      <c r="H67" s="0" t="n">
        <v>-0.91</v>
      </c>
      <c r="I67" s="0" t="n">
        <v>-0.458</v>
      </c>
      <c r="J67" s="0" t="s">
        <v>645</v>
      </c>
      <c r="K67" s="0" t="n">
        <v>0</v>
      </c>
      <c r="L67" s="0" t="n">
        <v>1</v>
      </c>
      <c r="M67" s="0" t="n">
        <v>166</v>
      </c>
      <c r="N67" s="0" t="n">
        <v>116</v>
      </c>
      <c r="O67" s="0" t="n">
        <v>232</v>
      </c>
    </row>
    <row r="68" customFormat="false" ht="15" hidden="false" customHeight="false" outlineLevel="0" collapsed="false">
      <c r="A68" s="0" t="s">
        <v>650</v>
      </c>
      <c r="B68" s="0" t="n">
        <v>20</v>
      </c>
      <c r="C68" s="0" t="s">
        <v>648</v>
      </c>
      <c r="D68" s="0" t="n">
        <v>58.4</v>
      </c>
      <c r="E68" s="0" t="n">
        <v>9.1</v>
      </c>
      <c r="F68" s="0" t="n">
        <v>99.8</v>
      </c>
      <c r="G68" s="0" t="n">
        <v>-0.52</v>
      </c>
      <c r="H68" s="0" t="n">
        <v>-0.77</v>
      </c>
      <c r="I68" s="0" t="n">
        <v>-0.09</v>
      </c>
      <c r="J68" s="0" t="s">
        <v>645</v>
      </c>
      <c r="K68" s="0" t="n">
        <v>0.013</v>
      </c>
      <c r="L68" s="0" t="n">
        <v>1</v>
      </c>
      <c r="M68" s="0" t="n">
        <v>166</v>
      </c>
      <c r="N68" s="0" t="n">
        <v>116</v>
      </c>
      <c r="O68" s="0" t="n">
        <v>232</v>
      </c>
    </row>
    <row r="69" customFormat="false" ht="15" hidden="false" customHeight="false" outlineLevel="0" collapsed="false">
      <c r="A69" s="0" t="s">
        <v>650</v>
      </c>
      <c r="B69" s="0" t="n">
        <v>50</v>
      </c>
      <c r="C69" s="0" t="s">
        <v>129</v>
      </c>
      <c r="D69" s="0" t="n">
        <v>100.3</v>
      </c>
      <c r="E69" s="0" t="n">
        <v>71.6</v>
      </c>
      <c r="F69" s="0" t="n">
        <v>133.6</v>
      </c>
      <c r="G69" s="0" t="n">
        <v>-0.889</v>
      </c>
      <c r="H69" s="0" t="n">
        <v>-0.978</v>
      </c>
      <c r="I69" s="0" t="n">
        <v>-0.771</v>
      </c>
      <c r="J69" s="0" t="s">
        <v>645</v>
      </c>
      <c r="K69" s="0" t="n">
        <v>0</v>
      </c>
      <c r="L69" s="0" t="n">
        <v>1</v>
      </c>
      <c r="M69" s="0" t="n">
        <v>354</v>
      </c>
      <c r="N69" s="0" t="n">
        <v>278</v>
      </c>
      <c r="O69" s="0" t="n">
        <v>442</v>
      </c>
    </row>
    <row r="70" customFormat="false" ht="15" hidden="false" customHeight="false" outlineLevel="0" collapsed="false">
      <c r="A70" s="0" t="s">
        <v>650</v>
      </c>
      <c r="B70" s="0" t="n">
        <v>50</v>
      </c>
      <c r="C70" s="0" t="s">
        <v>590</v>
      </c>
      <c r="D70" s="0" t="n">
        <v>59.9</v>
      </c>
      <c r="E70" s="0" t="n">
        <v>16.7</v>
      </c>
      <c r="F70" s="0" t="n">
        <v>101.2</v>
      </c>
      <c r="G70" s="0" t="n">
        <v>-0.475</v>
      </c>
      <c r="H70" s="0" t="n">
        <v>-0.704</v>
      </c>
      <c r="I70" s="0" t="n">
        <v>-0.143</v>
      </c>
      <c r="J70" s="0" t="s">
        <v>645</v>
      </c>
      <c r="K70" s="0" t="n">
        <v>0.003</v>
      </c>
      <c r="L70" s="0" t="n">
        <v>1</v>
      </c>
      <c r="M70" s="0" t="n">
        <v>354</v>
      </c>
      <c r="N70" s="0" t="n">
        <v>278</v>
      </c>
      <c r="O70" s="0" t="n">
        <v>442</v>
      </c>
    </row>
    <row r="71" customFormat="false" ht="15" hidden="false" customHeight="false" outlineLevel="0" collapsed="false">
      <c r="A71" s="0" t="s">
        <v>650</v>
      </c>
      <c r="B71" s="0" t="n">
        <v>50</v>
      </c>
      <c r="C71" s="0" t="s">
        <v>591</v>
      </c>
      <c r="D71" s="0" t="n">
        <v>12.8</v>
      </c>
      <c r="E71" s="0" t="n">
        <v>-53.6</v>
      </c>
      <c r="F71" s="0" t="n">
        <v>64.5</v>
      </c>
      <c r="G71" s="0" t="n">
        <v>-0.096</v>
      </c>
      <c r="H71" s="0" t="n">
        <v>-0.464</v>
      </c>
      <c r="I71" s="0" t="n">
        <v>0.447</v>
      </c>
      <c r="J71" s="0" t="s">
        <v>645</v>
      </c>
      <c r="K71" s="0" t="n">
        <v>0.343</v>
      </c>
      <c r="L71" s="0" t="n">
        <v>1</v>
      </c>
      <c r="M71" s="0" t="n">
        <v>354</v>
      </c>
      <c r="N71" s="0" t="n">
        <v>278</v>
      </c>
      <c r="O71" s="0" t="n">
        <v>442</v>
      </c>
    </row>
    <row r="72" customFormat="false" ht="15" hidden="false" customHeight="false" outlineLevel="0" collapsed="false">
      <c r="A72" s="0" t="s">
        <v>650</v>
      </c>
      <c r="B72" s="0" t="n">
        <v>50</v>
      </c>
      <c r="C72" s="0" t="s">
        <v>646</v>
      </c>
      <c r="D72" s="0" t="n">
        <v>100.3</v>
      </c>
      <c r="E72" s="0" t="n">
        <v>71.6</v>
      </c>
      <c r="F72" s="0" t="n">
        <v>133.6</v>
      </c>
      <c r="G72" s="0" t="n">
        <v>-0.889</v>
      </c>
      <c r="H72" s="0" t="n">
        <v>-0.978</v>
      </c>
      <c r="I72" s="0" t="n">
        <v>-0.771</v>
      </c>
      <c r="J72" s="0" t="s">
        <v>645</v>
      </c>
      <c r="K72" s="0" t="n">
        <v>0</v>
      </c>
      <c r="L72" s="0" t="n">
        <v>1</v>
      </c>
      <c r="M72" s="0" t="n">
        <v>354</v>
      </c>
      <c r="N72" s="0" t="n">
        <v>278</v>
      </c>
      <c r="O72" s="0" t="n">
        <v>442</v>
      </c>
    </row>
    <row r="73" customFormat="false" ht="15" hidden="false" customHeight="false" outlineLevel="0" collapsed="false">
      <c r="A73" s="0" t="s">
        <v>650</v>
      </c>
      <c r="B73" s="0" t="n">
        <v>50</v>
      </c>
      <c r="C73" s="0" t="s">
        <v>647</v>
      </c>
      <c r="D73" s="0" t="n">
        <v>45.7</v>
      </c>
      <c r="E73" s="0" t="n">
        <v>2.4</v>
      </c>
      <c r="F73" s="0" t="n">
        <v>87</v>
      </c>
      <c r="G73" s="0" t="n">
        <v>-0.41</v>
      </c>
      <c r="H73" s="0" t="n">
        <v>-0.665</v>
      </c>
      <c r="I73" s="0" t="n">
        <v>-0.023</v>
      </c>
      <c r="J73" s="0" t="s">
        <v>645</v>
      </c>
      <c r="K73" s="0" t="n">
        <v>0.019</v>
      </c>
      <c r="L73" s="0" t="n">
        <v>1</v>
      </c>
      <c r="M73" s="0" t="n">
        <v>354</v>
      </c>
      <c r="N73" s="0" t="n">
        <v>278</v>
      </c>
      <c r="O73" s="0" t="n">
        <v>442</v>
      </c>
    </row>
    <row r="74" customFormat="false" ht="15" hidden="false" customHeight="false" outlineLevel="0" collapsed="false">
      <c r="A74" s="0" t="s">
        <v>650</v>
      </c>
      <c r="B74" s="0" t="n">
        <v>50</v>
      </c>
      <c r="C74" s="0" t="s">
        <v>648</v>
      </c>
      <c r="D74" s="0" t="n">
        <v>-1.4</v>
      </c>
      <c r="E74" s="0" t="n">
        <v>-67.9</v>
      </c>
      <c r="F74" s="0" t="n">
        <v>50.2</v>
      </c>
      <c r="G74" s="0" t="n">
        <v>0.013</v>
      </c>
      <c r="H74" s="0" t="n">
        <v>-0.4</v>
      </c>
      <c r="I74" s="0" t="n">
        <v>0.659</v>
      </c>
      <c r="J74" s="0" t="n">
        <v>2066</v>
      </c>
      <c r="K74" s="0" t="n">
        <v>0.525</v>
      </c>
      <c r="L74" s="0" t="n">
        <v>1</v>
      </c>
      <c r="M74" s="0" t="n">
        <v>354</v>
      </c>
      <c r="N74" s="0" t="n">
        <v>278</v>
      </c>
      <c r="O74" s="0" t="n">
        <v>442</v>
      </c>
    </row>
    <row r="75" customFormat="false" ht="15" hidden="false" customHeight="false" outlineLevel="0" collapsed="false">
      <c r="A75" s="0" t="s">
        <v>651</v>
      </c>
      <c r="B75" s="0" t="n">
        <v>5</v>
      </c>
      <c r="C75" s="0" t="s">
        <v>129</v>
      </c>
      <c r="D75" s="0" t="n">
        <v>1549.2</v>
      </c>
      <c r="E75" s="0" t="n">
        <v>1393.7</v>
      </c>
      <c r="F75" s="0" t="n">
        <v>1750.7</v>
      </c>
      <c r="G75" s="0" t="n">
        <v>-1.038</v>
      </c>
      <c r="H75" s="0" t="n">
        <v>-1.049</v>
      </c>
      <c r="I75" s="0" t="n">
        <v>-1.029</v>
      </c>
      <c r="J75" s="0" t="s">
        <v>645</v>
      </c>
      <c r="K75" s="0" t="n">
        <v>0</v>
      </c>
      <c r="L75" s="0" t="n">
        <v>0</v>
      </c>
      <c r="M75" s="0" t="n">
        <v>63</v>
      </c>
      <c r="N75" s="0" t="n">
        <v>44</v>
      </c>
      <c r="O75" s="0" t="n">
        <v>90</v>
      </c>
    </row>
    <row r="76" customFormat="false" ht="15" hidden="false" customHeight="false" outlineLevel="0" collapsed="false">
      <c r="A76" s="0" t="s">
        <v>651</v>
      </c>
      <c r="B76" s="0" t="n">
        <v>5</v>
      </c>
      <c r="C76" s="0" t="s">
        <v>590</v>
      </c>
      <c r="D76" s="0" t="n">
        <v>1569.7</v>
      </c>
      <c r="E76" s="0" t="n">
        <v>1415.3</v>
      </c>
      <c r="F76" s="0" t="n">
        <v>1773.8</v>
      </c>
      <c r="G76" s="0" t="n">
        <v>-1.043</v>
      </c>
      <c r="H76" s="0" t="n">
        <v>-1.056</v>
      </c>
      <c r="I76" s="0" t="n">
        <v>-1.032</v>
      </c>
      <c r="J76" s="0" t="s">
        <v>645</v>
      </c>
      <c r="K76" s="0" t="n">
        <v>0</v>
      </c>
      <c r="L76" s="0" t="n">
        <v>0</v>
      </c>
      <c r="M76" s="0" t="n">
        <v>63</v>
      </c>
      <c r="N76" s="0" t="n">
        <v>44</v>
      </c>
      <c r="O76" s="0" t="n">
        <v>90</v>
      </c>
    </row>
    <row r="77" customFormat="false" ht="15" hidden="false" customHeight="false" outlineLevel="0" collapsed="false">
      <c r="A77" s="0" t="s">
        <v>651</v>
      </c>
      <c r="B77" s="0" t="n">
        <v>5</v>
      </c>
      <c r="C77" s="0" t="s">
        <v>591</v>
      </c>
      <c r="D77" s="0" t="n">
        <v>1560.5</v>
      </c>
      <c r="E77" s="0" t="n">
        <v>1406.9</v>
      </c>
      <c r="F77" s="0" t="n">
        <v>1763</v>
      </c>
      <c r="G77" s="0" t="n">
        <v>-1.037</v>
      </c>
      <c r="H77" s="0" t="n">
        <v>-1.05</v>
      </c>
      <c r="I77" s="0" t="n">
        <v>-1.026</v>
      </c>
      <c r="J77" s="0" t="s">
        <v>645</v>
      </c>
      <c r="K77" s="0" t="n">
        <v>0</v>
      </c>
      <c r="L77" s="0" t="n">
        <v>0</v>
      </c>
      <c r="M77" s="0" t="n">
        <v>63</v>
      </c>
      <c r="N77" s="0" t="n">
        <v>44</v>
      </c>
      <c r="O77" s="0" t="n">
        <v>90</v>
      </c>
    </row>
    <row r="78" customFormat="false" ht="15" hidden="false" customHeight="false" outlineLevel="0" collapsed="false">
      <c r="A78" s="0" t="s">
        <v>651</v>
      </c>
      <c r="B78" s="0" t="n">
        <v>5</v>
      </c>
      <c r="C78" s="0" t="s">
        <v>646</v>
      </c>
      <c r="D78" s="0" t="n">
        <v>658.8</v>
      </c>
      <c r="E78" s="0" t="n">
        <v>503.3</v>
      </c>
      <c r="F78" s="0" t="n">
        <v>860.3</v>
      </c>
      <c r="G78" s="0" t="n">
        <v>-1.095</v>
      </c>
      <c r="H78" s="0" t="n">
        <v>-1.126</v>
      </c>
      <c r="I78" s="0" t="n">
        <v>-1.07</v>
      </c>
      <c r="J78" s="0" t="s">
        <v>645</v>
      </c>
      <c r="K78" s="0" t="n">
        <v>0</v>
      </c>
      <c r="L78" s="0" t="n">
        <v>0.995</v>
      </c>
      <c r="M78" s="0" t="n">
        <v>63</v>
      </c>
      <c r="N78" s="0" t="n">
        <v>44</v>
      </c>
      <c r="O78" s="0" t="n">
        <v>90</v>
      </c>
    </row>
    <row r="79" customFormat="false" ht="15" hidden="false" customHeight="false" outlineLevel="0" collapsed="false">
      <c r="A79" s="0" t="s">
        <v>651</v>
      </c>
      <c r="B79" s="0" t="n">
        <v>5</v>
      </c>
      <c r="C79" s="0" t="s">
        <v>647</v>
      </c>
      <c r="D79" s="0" t="n">
        <v>666.6</v>
      </c>
      <c r="E79" s="0" t="n">
        <v>512.1</v>
      </c>
      <c r="F79" s="0" t="n">
        <v>870.7</v>
      </c>
      <c r="G79" s="0" t="n">
        <v>-1.108</v>
      </c>
      <c r="H79" s="0" t="n">
        <v>-1.147</v>
      </c>
      <c r="I79" s="0" t="n">
        <v>-1.078</v>
      </c>
      <c r="J79" s="0" t="s">
        <v>645</v>
      </c>
      <c r="K79" s="0" t="n">
        <v>0</v>
      </c>
      <c r="L79" s="0" t="n">
        <v>0.995</v>
      </c>
      <c r="M79" s="0" t="n">
        <v>63</v>
      </c>
      <c r="N79" s="0" t="n">
        <v>44</v>
      </c>
      <c r="O79" s="0" t="n">
        <v>90</v>
      </c>
    </row>
    <row r="80" customFormat="false" ht="15" hidden="false" customHeight="false" outlineLevel="0" collapsed="false">
      <c r="A80" s="0" t="s">
        <v>651</v>
      </c>
      <c r="B80" s="0" t="n">
        <v>5</v>
      </c>
      <c r="C80" s="0" t="s">
        <v>648</v>
      </c>
      <c r="D80" s="0" t="n">
        <v>657.3</v>
      </c>
      <c r="E80" s="0" t="n">
        <v>503.8</v>
      </c>
      <c r="F80" s="0" t="n">
        <v>859.9</v>
      </c>
      <c r="G80" s="0" t="n">
        <v>-1.093</v>
      </c>
      <c r="H80" s="0" t="n">
        <v>-1.13</v>
      </c>
      <c r="I80" s="0" t="n">
        <v>-1.063</v>
      </c>
      <c r="J80" s="0" t="s">
        <v>645</v>
      </c>
      <c r="K80" s="0" t="n">
        <v>0</v>
      </c>
      <c r="L80" s="0" t="n">
        <v>0.996</v>
      </c>
      <c r="M80" s="0" t="n">
        <v>63</v>
      </c>
      <c r="N80" s="0" t="n">
        <v>44</v>
      </c>
      <c r="O80" s="0" t="n">
        <v>90</v>
      </c>
    </row>
    <row r="81" customFormat="false" ht="15" hidden="false" customHeight="false" outlineLevel="0" collapsed="false">
      <c r="A81" s="0" t="s">
        <v>651</v>
      </c>
      <c r="B81" s="0" t="n">
        <v>10</v>
      </c>
      <c r="C81" s="0" t="s">
        <v>129</v>
      </c>
      <c r="D81" s="0" t="n">
        <v>2859.7</v>
      </c>
      <c r="E81" s="0" t="n">
        <v>2599.9</v>
      </c>
      <c r="F81" s="0" t="n">
        <v>3193.6</v>
      </c>
      <c r="G81" s="0" t="n">
        <v>-1.023</v>
      </c>
      <c r="H81" s="0" t="n">
        <v>-1.038</v>
      </c>
      <c r="I81" s="0" t="n">
        <v>-1.007</v>
      </c>
      <c r="J81" s="0" t="s">
        <v>645</v>
      </c>
      <c r="K81" s="0" t="n">
        <v>0</v>
      </c>
      <c r="L81" s="0" t="n">
        <v>0.944</v>
      </c>
      <c r="M81" s="0" t="n">
        <v>540</v>
      </c>
      <c r="N81" s="0" t="n">
        <v>391</v>
      </c>
      <c r="O81" s="0" t="n">
        <v>740</v>
      </c>
    </row>
    <row r="82" customFormat="false" ht="15" hidden="false" customHeight="false" outlineLevel="0" collapsed="false">
      <c r="A82" s="0" t="s">
        <v>651</v>
      </c>
      <c r="B82" s="0" t="n">
        <v>10</v>
      </c>
      <c r="C82" s="0" t="s">
        <v>590</v>
      </c>
      <c r="D82" s="0" t="n">
        <v>2828.5</v>
      </c>
      <c r="E82" s="0" t="n">
        <v>2575.6</v>
      </c>
      <c r="F82" s="0" t="n">
        <v>3157.9</v>
      </c>
      <c r="G82" s="0" t="n">
        <v>-1.003</v>
      </c>
      <c r="H82" s="0" t="n">
        <v>-1.027</v>
      </c>
      <c r="I82" s="0" t="n">
        <v>-0.98</v>
      </c>
      <c r="J82" s="0" t="s">
        <v>645</v>
      </c>
      <c r="K82" s="0" t="n">
        <v>0</v>
      </c>
      <c r="L82" s="0" t="n">
        <v>0.952</v>
      </c>
      <c r="M82" s="0" t="n">
        <v>540</v>
      </c>
      <c r="N82" s="0" t="n">
        <v>391</v>
      </c>
      <c r="O82" s="0" t="n">
        <v>740</v>
      </c>
    </row>
    <row r="83" customFormat="false" ht="15" hidden="false" customHeight="false" outlineLevel="0" collapsed="false">
      <c r="A83" s="0" t="s">
        <v>651</v>
      </c>
      <c r="B83" s="0" t="n">
        <v>10</v>
      </c>
      <c r="C83" s="0" t="s">
        <v>591</v>
      </c>
      <c r="D83" s="0" t="n">
        <v>2767.6</v>
      </c>
      <c r="E83" s="0" t="n">
        <v>2516.4</v>
      </c>
      <c r="F83" s="0" t="n">
        <v>3094.1</v>
      </c>
      <c r="G83" s="0" t="n">
        <v>-0.982</v>
      </c>
      <c r="H83" s="0" t="n">
        <v>-1.015</v>
      </c>
      <c r="I83" s="0" t="n">
        <v>-0.952</v>
      </c>
      <c r="J83" s="0" t="s">
        <v>645</v>
      </c>
      <c r="K83" s="0" t="n">
        <v>0</v>
      </c>
      <c r="L83" s="0" t="n">
        <v>0.967</v>
      </c>
      <c r="M83" s="0" t="n">
        <v>540</v>
      </c>
      <c r="N83" s="0" t="n">
        <v>391</v>
      </c>
      <c r="O83" s="0" t="n">
        <v>740</v>
      </c>
    </row>
    <row r="84" customFormat="false" ht="15" hidden="false" customHeight="false" outlineLevel="0" collapsed="false">
      <c r="A84" s="0" t="s">
        <v>651</v>
      </c>
      <c r="B84" s="0" t="n">
        <v>10</v>
      </c>
      <c r="C84" s="0" t="s">
        <v>646</v>
      </c>
      <c r="D84" s="0" t="n">
        <v>1078.8</v>
      </c>
      <c r="E84" s="0" t="n">
        <v>818.9</v>
      </c>
      <c r="F84" s="0" t="n">
        <v>1412.7</v>
      </c>
      <c r="G84" s="0" t="n">
        <v>-1.063</v>
      </c>
      <c r="H84" s="0" t="n">
        <v>-1.109</v>
      </c>
      <c r="I84" s="0" t="n">
        <v>-1.02</v>
      </c>
      <c r="J84" s="0" t="s">
        <v>645</v>
      </c>
      <c r="K84" s="0" t="n">
        <v>0</v>
      </c>
      <c r="L84" s="0" t="n">
        <v>1</v>
      </c>
      <c r="M84" s="0" t="n">
        <v>540</v>
      </c>
      <c r="N84" s="0" t="n">
        <v>391</v>
      </c>
      <c r="O84" s="0" t="n">
        <v>740</v>
      </c>
    </row>
    <row r="85" customFormat="false" ht="15" hidden="false" customHeight="false" outlineLevel="0" collapsed="false">
      <c r="A85" s="0" t="s">
        <v>651</v>
      </c>
      <c r="B85" s="0" t="n">
        <v>10</v>
      </c>
      <c r="C85" s="0" t="s">
        <v>647</v>
      </c>
      <c r="D85" s="0" t="n">
        <v>1023.4</v>
      </c>
      <c r="E85" s="0" t="n">
        <v>770.5</v>
      </c>
      <c r="F85" s="0" t="n">
        <v>1352.8</v>
      </c>
      <c r="G85" s="0" t="n">
        <v>-1.01</v>
      </c>
      <c r="H85" s="0" t="n">
        <v>-1.075</v>
      </c>
      <c r="I85" s="0" t="n">
        <v>-0.942</v>
      </c>
      <c r="J85" s="0" t="s">
        <v>645</v>
      </c>
      <c r="K85" s="0" t="n">
        <v>0</v>
      </c>
      <c r="L85" s="0" t="n">
        <v>1</v>
      </c>
      <c r="M85" s="0" t="n">
        <v>540</v>
      </c>
      <c r="N85" s="0" t="n">
        <v>391</v>
      </c>
      <c r="O85" s="0" t="n">
        <v>740</v>
      </c>
    </row>
    <row r="86" customFormat="false" ht="15" hidden="false" customHeight="false" outlineLevel="0" collapsed="false">
      <c r="A86" s="0" t="s">
        <v>651</v>
      </c>
      <c r="B86" s="0" t="n">
        <v>10</v>
      </c>
      <c r="C86" s="0" t="s">
        <v>648</v>
      </c>
      <c r="D86" s="0" t="n">
        <v>962.5</v>
      </c>
      <c r="E86" s="0" t="n">
        <v>711.3</v>
      </c>
      <c r="F86" s="0" t="n">
        <v>1289</v>
      </c>
      <c r="G86" s="0" t="n">
        <v>-0.951</v>
      </c>
      <c r="H86" s="0" t="n">
        <v>-1.041</v>
      </c>
      <c r="I86" s="0" t="n">
        <v>-0.865</v>
      </c>
      <c r="J86" s="0" t="s">
        <v>645</v>
      </c>
      <c r="K86" s="0" t="n">
        <v>0</v>
      </c>
      <c r="L86" s="0" t="n">
        <v>1</v>
      </c>
      <c r="M86" s="0" t="n">
        <v>540</v>
      </c>
      <c r="N86" s="0" t="n">
        <v>391</v>
      </c>
      <c r="O86" s="0" t="n">
        <v>740</v>
      </c>
    </row>
    <row r="87" customFormat="false" ht="15" hidden="false" customHeight="false" outlineLevel="0" collapsed="false">
      <c r="A87" s="0" t="s">
        <v>651</v>
      </c>
      <c r="B87" s="0" t="n">
        <v>20</v>
      </c>
      <c r="C87" s="0" t="s">
        <v>129</v>
      </c>
      <c r="D87" s="0" t="n">
        <v>2674.7</v>
      </c>
      <c r="E87" s="0" t="n">
        <v>2401.5</v>
      </c>
      <c r="F87" s="0" t="n">
        <v>2999.3</v>
      </c>
      <c r="G87" s="0" t="n">
        <v>-0.957</v>
      </c>
      <c r="H87" s="0" t="n">
        <v>-0.998</v>
      </c>
      <c r="I87" s="0" t="n">
        <v>-0.908</v>
      </c>
      <c r="J87" s="0" t="s">
        <v>645</v>
      </c>
      <c r="K87" s="0" t="n">
        <v>0</v>
      </c>
      <c r="L87" s="0" t="n">
        <v>1</v>
      </c>
      <c r="M87" s="0" t="n">
        <v>2770</v>
      </c>
      <c r="N87" s="0" t="n">
        <v>2055</v>
      </c>
      <c r="O87" s="0" t="n">
        <v>3689</v>
      </c>
    </row>
    <row r="88" customFormat="false" ht="15" hidden="false" customHeight="false" outlineLevel="0" collapsed="false">
      <c r="A88" s="0" t="s">
        <v>651</v>
      </c>
      <c r="B88" s="0" t="n">
        <v>20</v>
      </c>
      <c r="C88" s="0" t="s">
        <v>590</v>
      </c>
      <c r="D88" s="0" t="n">
        <v>2445.9</v>
      </c>
      <c r="E88" s="0" t="n">
        <v>2117.3</v>
      </c>
      <c r="F88" s="0" t="n">
        <v>2773.9</v>
      </c>
      <c r="G88" s="0" t="n">
        <v>-0.869</v>
      </c>
      <c r="H88" s="0" t="n">
        <v>-0.938</v>
      </c>
      <c r="I88" s="0" t="n">
        <v>-0.767</v>
      </c>
      <c r="J88" s="0" t="s">
        <v>645</v>
      </c>
      <c r="K88" s="0" t="n">
        <v>0</v>
      </c>
      <c r="L88" s="0" t="n">
        <v>1</v>
      </c>
      <c r="M88" s="0" t="n">
        <v>2770</v>
      </c>
      <c r="N88" s="0" t="n">
        <v>2055</v>
      </c>
      <c r="O88" s="0" t="n">
        <v>3689</v>
      </c>
    </row>
    <row r="89" customFormat="false" ht="15" hidden="false" customHeight="false" outlineLevel="0" collapsed="false">
      <c r="A89" s="0" t="s">
        <v>651</v>
      </c>
      <c r="B89" s="0" t="n">
        <v>20</v>
      </c>
      <c r="C89" s="0" t="s">
        <v>591</v>
      </c>
      <c r="D89" s="0" t="n">
        <v>2234.7</v>
      </c>
      <c r="E89" s="0" t="n">
        <v>1798.9</v>
      </c>
      <c r="F89" s="0" t="n">
        <v>2603.8</v>
      </c>
      <c r="G89" s="0" t="n">
        <v>-0.795</v>
      </c>
      <c r="H89" s="0" t="n">
        <v>-0.89</v>
      </c>
      <c r="I89" s="0" t="n">
        <v>-0.646</v>
      </c>
      <c r="J89" s="0" t="s">
        <v>645</v>
      </c>
      <c r="K89" s="0" t="n">
        <v>0</v>
      </c>
      <c r="L89" s="0" t="n">
        <v>1</v>
      </c>
      <c r="M89" s="0" t="n">
        <v>2770</v>
      </c>
      <c r="N89" s="0" t="n">
        <v>2055</v>
      </c>
      <c r="O89" s="0" t="n">
        <v>3689</v>
      </c>
    </row>
    <row r="90" customFormat="false" ht="15" hidden="false" customHeight="false" outlineLevel="0" collapsed="false">
      <c r="A90" s="0" t="s">
        <v>651</v>
      </c>
      <c r="B90" s="0" t="n">
        <v>20</v>
      </c>
      <c r="C90" s="0" t="s">
        <v>646</v>
      </c>
      <c r="D90" s="0" t="n">
        <v>893.8</v>
      </c>
      <c r="E90" s="0" t="n">
        <v>620.6</v>
      </c>
      <c r="F90" s="0" t="n">
        <v>1218.3</v>
      </c>
      <c r="G90" s="0" t="n">
        <v>-0.881</v>
      </c>
      <c r="H90" s="0" t="n">
        <v>-0.993</v>
      </c>
      <c r="I90" s="0" t="n">
        <v>-0.743</v>
      </c>
      <c r="J90" s="0" t="s">
        <v>645</v>
      </c>
      <c r="K90" s="0" t="n">
        <v>0</v>
      </c>
      <c r="L90" s="0" t="n">
        <v>1</v>
      </c>
      <c r="M90" s="0" t="n">
        <v>2770</v>
      </c>
      <c r="N90" s="0" t="n">
        <v>2055</v>
      </c>
      <c r="O90" s="0" t="n">
        <v>3689</v>
      </c>
    </row>
    <row r="91" customFormat="false" ht="15" hidden="false" customHeight="false" outlineLevel="0" collapsed="false">
      <c r="A91" s="0" t="s">
        <v>651</v>
      </c>
      <c r="B91" s="0" t="n">
        <v>20</v>
      </c>
      <c r="C91" s="0" t="s">
        <v>647</v>
      </c>
      <c r="D91" s="0" t="n">
        <v>640.8</v>
      </c>
      <c r="E91" s="0" t="n">
        <v>312.2</v>
      </c>
      <c r="F91" s="0" t="n">
        <v>968.8</v>
      </c>
      <c r="G91" s="0" t="n">
        <v>-0.634</v>
      </c>
      <c r="H91" s="0" t="n">
        <v>-0.825</v>
      </c>
      <c r="I91" s="0" t="n">
        <v>-0.339</v>
      </c>
      <c r="J91" s="0" t="s">
        <v>645</v>
      </c>
      <c r="K91" s="0" t="n">
        <v>0</v>
      </c>
      <c r="L91" s="0" t="n">
        <v>1</v>
      </c>
      <c r="M91" s="0" t="n">
        <v>2770</v>
      </c>
      <c r="N91" s="0" t="n">
        <v>2055</v>
      </c>
      <c r="O91" s="0" t="n">
        <v>3689</v>
      </c>
    </row>
    <row r="92" customFormat="false" ht="15" hidden="false" customHeight="false" outlineLevel="0" collapsed="false">
      <c r="A92" s="0" t="s">
        <v>651</v>
      </c>
      <c r="B92" s="0" t="n">
        <v>20</v>
      </c>
      <c r="C92" s="0" t="s">
        <v>648</v>
      </c>
      <c r="D92" s="0" t="n">
        <v>429.6</v>
      </c>
      <c r="E92" s="0" t="n">
        <v>-6.2</v>
      </c>
      <c r="F92" s="0" t="n">
        <v>798.8</v>
      </c>
      <c r="G92" s="0" t="n">
        <v>-0.431</v>
      </c>
      <c r="H92" s="0" t="n">
        <v>-0.693</v>
      </c>
      <c r="I92" s="0" t="n">
        <v>0.006</v>
      </c>
      <c r="J92" s="0" t="s">
        <v>645</v>
      </c>
      <c r="K92" s="0" t="n">
        <v>0.026</v>
      </c>
      <c r="L92" s="0" t="n">
        <v>1</v>
      </c>
      <c r="M92" s="0" t="n">
        <v>2770</v>
      </c>
      <c r="N92" s="0" t="n">
        <v>2055</v>
      </c>
      <c r="O92" s="0" t="n">
        <v>3689</v>
      </c>
    </row>
    <row r="93" customFormat="false" ht="15" hidden="false" customHeight="false" outlineLevel="0" collapsed="false">
      <c r="A93" s="0" t="s">
        <v>651</v>
      </c>
      <c r="B93" s="0" t="n">
        <v>50</v>
      </c>
      <c r="C93" s="0" t="s">
        <v>129</v>
      </c>
      <c r="D93" s="0" t="n">
        <v>2376.1</v>
      </c>
      <c r="E93" s="0" t="n">
        <v>2070</v>
      </c>
      <c r="F93" s="0" t="n">
        <v>2702</v>
      </c>
      <c r="G93" s="0" t="n">
        <v>-0.85</v>
      </c>
      <c r="H93" s="0" t="n">
        <v>-0.919</v>
      </c>
      <c r="I93" s="0" t="n">
        <v>-0.766</v>
      </c>
      <c r="J93" s="0" t="s">
        <v>645</v>
      </c>
      <c r="K93" s="0" t="n">
        <v>0</v>
      </c>
      <c r="L93" s="0" t="n">
        <v>1</v>
      </c>
      <c r="M93" s="0" t="n">
        <v>8898</v>
      </c>
      <c r="N93" s="0" t="n">
        <v>6571</v>
      </c>
      <c r="O93" s="0" t="n">
        <v>11806</v>
      </c>
    </row>
    <row r="94" customFormat="false" ht="15" hidden="false" customHeight="false" outlineLevel="0" collapsed="false">
      <c r="A94" s="0" t="s">
        <v>651</v>
      </c>
      <c r="B94" s="0" t="n">
        <v>50</v>
      </c>
      <c r="C94" s="0" t="s">
        <v>590</v>
      </c>
      <c r="D94" s="0" t="n">
        <v>1751.6</v>
      </c>
      <c r="E94" s="0" t="n">
        <v>1245.7</v>
      </c>
      <c r="F94" s="0" t="n">
        <v>2170.1</v>
      </c>
      <c r="G94" s="0" t="n">
        <v>-0.62</v>
      </c>
      <c r="H94" s="0" t="n">
        <v>-0.76</v>
      </c>
      <c r="I94" s="0" t="n">
        <v>-0.445</v>
      </c>
      <c r="J94" s="0" t="s">
        <v>645</v>
      </c>
      <c r="K94" s="0" t="n">
        <v>0</v>
      </c>
      <c r="L94" s="0" t="n">
        <v>1</v>
      </c>
      <c r="M94" s="0" t="n">
        <v>8898</v>
      </c>
      <c r="N94" s="0" t="n">
        <v>6571</v>
      </c>
      <c r="O94" s="0" t="n">
        <v>11806</v>
      </c>
    </row>
    <row r="95" customFormat="false" ht="15" hidden="false" customHeight="false" outlineLevel="0" collapsed="false">
      <c r="A95" s="0" t="s">
        <v>651</v>
      </c>
      <c r="B95" s="0" t="n">
        <v>50</v>
      </c>
      <c r="C95" s="0" t="s">
        <v>591</v>
      </c>
      <c r="D95" s="0" t="n">
        <v>1196.5</v>
      </c>
      <c r="E95" s="0" t="n">
        <v>431.2</v>
      </c>
      <c r="F95" s="0" t="n">
        <v>1770.4</v>
      </c>
      <c r="G95" s="0" t="n">
        <v>-0.421</v>
      </c>
      <c r="H95" s="0" t="n">
        <v>-0.623</v>
      </c>
      <c r="I95" s="0" t="n">
        <v>-0.153</v>
      </c>
      <c r="J95" s="0" t="s">
        <v>645</v>
      </c>
      <c r="K95" s="0" t="n">
        <v>0.003</v>
      </c>
      <c r="L95" s="0" t="n">
        <v>1</v>
      </c>
      <c r="M95" s="0" t="n">
        <v>8898</v>
      </c>
      <c r="N95" s="0" t="n">
        <v>6571</v>
      </c>
      <c r="O95" s="0" t="n">
        <v>11806</v>
      </c>
    </row>
    <row r="96" customFormat="false" ht="15" hidden="false" customHeight="false" outlineLevel="0" collapsed="false">
      <c r="A96" s="0" t="s">
        <v>651</v>
      </c>
      <c r="B96" s="0" t="n">
        <v>50</v>
      </c>
      <c r="C96" s="0" t="s">
        <v>646</v>
      </c>
      <c r="D96" s="0" t="n">
        <v>595.2</v>
      </c>
      <c r="E96" s="0" t="n">
        <v>289.1</v>
      </c>
      <c r="F96" s="0" t="n">
        <v>921.1</v>
      </c>
      <c r="G96" s="0" t="n">
        <v>-0.588</v>
      </c>
      <c r="H96" s="0" t="n">
        <v>-0.783</v>
      </c>
      <c r="I96" s="0" t="n">
        <v>-0.327</v>
      </c>
      <c r="J96" s="0" t="s">
        <v>645</v>
      </c>
      <c r="K96" s="0" t="n">
        <v>0</v>
      </c>
      <c r="L96" s="0" t="n">
        <v>1</v>
      </c>
      <c r="M96" s="0" t="n">
        <v>8898</v>
      </c>
      <c r="N96" s="0" t="n">
        <v>6571</v>
      </c>
      <c r="O96" s="0" t="n">
        <v>11806</v>
      </c>
    </row>
    <row r="97" customFormat="false" ht="15" hidden="false" customHeight="false" outlineLevel="0" collapsed="false">
      <c r="A97" s="0" t="s">
        <v>651</v>
      </c>
      <c r="B97" s="0" t="n">
        <v>50</v>
      </c>
      <c r="C97" s="0" t="s">
        <v>647</v>
      </c>
      <c r="D97" s="0" t="n">
        <v>-53.5</v>
      </c>
      <c r="E97" s="0" t="n">
        <v>-559.4</v>
      </c>
      <c r="F97" s="0" t="n">
        <v>365</v>
      </c>
      <c r="G97" s="0" t="n">
        <v>0.055</v>
      </c>
      <c r="H97" s="0" t="n">
        <v>-0.329</v>
      </c>
      <c r="I97" s="0" t="n">
        <v>0.598</v>
      </c>
      <c r="J97" s="0" t="n">
        <v>2067.5</v>
      </c>
      <c r="K97" s="0" t="n">
        <v>0.597</v>
      </c>
      <c r="L97" s="0" t="n">
        <v>1</v>
      </c>
      <c r="M97" s="0" t="n">
        <v>8898</v>
      </c>
      <c r="N97" s="0" t="n">
        <v>6571</v>
      </c>
      <c r="O97" s="0" t="n">
        <v>11806</v>
      </c>
    </row>
    <row r="98" customFormat="false" ht="15" hidden="false" customHeight="false" outlineLevel="0" collapsed="false">
      <c r="A98" s="0" t="s">
        <v>651</v>
      </c>
      <c r="B98" s="0" t="n">
        <v>50</v>
      </c>
      <c r="C98" s="0" t="s">
        <v>648</v>
      </c>
      <c r="D98" s="0" t="n">
        <v>-608.6</v>
      </c>
      <c r="E98" s="0" t="n">
        <v>-1373.9</v>
      </c>
      <c r="F98" s="0" t="n">
        <v>-34.7</v>
      </c>
      <c r="G98" s="0" t="n">
        <v>0.601</v>
      </c>
      <c r="H98" s="0" t="n">
        <v>0.036</v>
      </c>
      <c r="I98" s="0" t="n">
        <v>1.422</v>
      </c>
      <c r="J98" s="0" t="n">
        <v>2053</v>
      </c>
      <c r="K98" s="0" t="n">
        <v>0.981</v>
      </c>
      <c r="L98" s="0" t="n">
        <v>1</v>
      </c>
      <c r="M98" s="0" t="n">
        <v>8898</v>
      </c>
      <c r="N98" s="0" t="n">
        <v>6571</v>
      </c>
      <c r="O98" s="0" t="n">
        <v>11806</v>
      </c>
    </row>
    <row r="99" customFormat="false" ht="15" hidden="false" customHeight="false" outlineLevel="0" collapsed="false">
      <c r="A99" s="0" t="s">
        <v>652</v>
      </c>
      <c r="B99" s="0" t="n">
        <v>5</v>
      </c>
      <c r="C99" s="0" t="s">
        <v>129</v>
      </c>
      <c r="D99" s="0" t="n">
        <v>-180.4</v>
      </c>
      <c r="E99" s="0" t="n">
        <v>-227.2</v>
      </c>
      <c r="F99" s="0" t="n">
        <v>-143</v>
      </c>
      <c r="G99" s="0" t="n">
        <v>0.964</v>
      </c>
      <c r="H99" s="0" t="n">
        <v>0.927</v>
      </c>
      <c r="I99" s="0" t="n">
        <v>0.996</v>
      </c>
      <c r="J99" s="0" t="s">
        <v>645</v>
      </c>
      <c r="K99" s="0" t="n">
        <v>0</v>
      </c>
      <c r="L99" s="0" t="n">
        <v>0</v>
      </c>
      <c r="M99" s="0" t="n">
        <v>-27</v>
      </c>
      <c r="N99" s="0" t="n">
        <v>-36</v>
      </c>
      <c r="O99" s="0" t="n">
        <v>-20</v>
      </c>
    </row>
    <row r="100" customFormat="false" ht="15" hidden="false" customHeight="false" outlineLevel="0" collapsed="false">
      <c r="A100" s="0" t="s">
        <v>652</v>
      </c>
      <c r="B100" s="0" t="n">
        <v>5</v>
      </c>
      <c r="C100" s="0" t="s">
        <v>590</v>
      </c>
      <c r="D100" s="0" t="n">
        <v>-165.4</v>
      </c>
      <c r="E100" s="0" t="n">
        <v>-212.6</v>
      </c>
      <c r="F100" s="0" t="n">
        <v>-127.5</v>
      </c>
      <c r="G100" s="0" t="n">
        <v>0.884</v>
      </c>
      <c r="H100" s="0" t="n">
        <v>0.822</v>
      </c>
      <c r="I100" s="0" t="n">
        <v>0.934</v>
      </c>
      <c r="J100" s="0" t="s">
        <v>645</v>
      </c>
      <c r="K100" s="0" t="n">
        <v>0</v>
      </c>
      <c r="L100" s="0" t="n">
        <v>0</v>
      </c>
      <c r="M100" s="0" t="n">
        <v>-27</v>
      </c>
      <c r="N100" s="0" t="n">
        <v>-36</v>
      </c>
      <c r="O100" s="0" t="n">
        <v>-20</v>
      </c>
    </row>
    <row r="101" customFormat="false" ht="15" hidden="false" customHeight="false" outlineLevel="0" collapsed="false">
      <c r="A101" s="0" t="s">
        <v>652</v>
      </c>
      <c r="B101" s="0" t="n">
        <v>5</v>
      </c>
      <c r="C101" s="0" t="s">
        <v>591</v>
      </c>
      <c r="D101" s="0" t="n">
        <v>-164.4</v>
      </c>
      <c r="E101" s="0" t="n">
        <v>-211.5</v>
      </c>
      <c r="F101" s="0" t="n">
        <v>-126.3</v>
      </c>
      <c r="G101" s="0" t="n">
        <v>0.878</v>
      </c>
      <c r="H101" s="0" t="n">
        <v>0.816</v>
      </c>
      <c r="I101" s="0" t="n">
        <v>0.927</v>
      </c>
      <c r="J101" s="0" t="s">
        <v>645</v>
      </c>
      <c r="K101" s="0" t="n">
        <v>0</v>
      </c>
      <c r="L101" s="0" t="n">
        <v>0</v>
      </c>
      <c r="M101" s="0" t="n">
        <v>-27</v>
      </c>
      <c r="N101" s="0" t="n">
        <v>-36</v>
      </c>
      <c r="O101" s="0" t="n">
        <v>-20</v>
      </c>
    </row>
    <row r="102" customFormat="false" ht="15" hidden="false" customHeight="false" outlineLevel="0" collapsed="false">
      <c r="A102" s="0" t="s">
        <v>652</v>
      </c>
      <c r="B102" s="0" t="n">
        <v>5</v>
      </c>
      <c r="C102" s="0" t="s">
        <v>646</v>
      </c>
      <c r="D102" s="0" t="n">
        <v>-180.4</v>
      </c>
      <c r="E102" s="0" t="n">
        <v>-227.2</v>
      </c>
      <c r="F102" s="0" t="n">
        <v>-143</v>
      </c>
      <c r="G102" s="0" t="n">
        <v>0.964</v>
      </c>
      <c r="H102" s="0" t="n">
        <v>0.927</v>
      </c>
      <c r="I102" s="0" t="n">
        <v>0.996</v>
      </c>
      <c r="J102" s="0" t="s">
        <v>645</v>
      </c>
      <c r="K102" s="0" t="n">
        <v>0</v>
      </c>
      <c r="L102" s="0" t="n">
        <v>0</v>
      </c>
      <c r="M102" s="0" t="n">
        <v>-27</v>
      </c>
      <c r="N102" s="0" t="n">
        <v>-36</v>
      </c>
      <c r="O102" s="0" t="n">
        <v>-20</v>
      </c>
    </row>
    <row r="103" customFormat="false" ht="15" hidden="false" customHeight="false" outlineLevel="0" collapsed="false">
      <c r="A103" s="0" t="s">
        <v>652</v>
      </c>
      <c r="B103" s="0" t="n">
        <v>5</v>
      </c>
      <c r="C103" s="0" t="s">
        <v>647</v>
      </c>
      <c r="D103" s="0" t="n">
        <v>-165.4</v>
      </c>
      <c r="E103" s="0" t="n">
        <v>-212.6</v>
      </c>
      <c r="F103" s="0" t="n">
        <v>-127.5</v>
      </c>
      <c r="G103" s="0" t="n">
        <v>0.884</v>
      </c>
      <c r="H103" s="0" t="n">
        <v>0.822</v>
      </c>
      <c r="I103" s="0" t="n">
        <v>0.934</v>
      </c>
      <c r="J103" s="0" t="s">
        <v>645</v>
      </c>
      <c r="K103" s="0" t="n">
        <v>0</v>
      </c>
      <c r="L103" s="0" t="n">
        <v>0</v>
      </c>
      <c r="M103" s="0" t="n">
        <v>-27</v>
      </c>
      <c r="N103" s="0" t="n">
        <v>-36</v>
      </c>
      <c r="O103" s="0" t="n">
        <v>-20</v>
      </c>
    </row>
    <row r="104" customFormat="false" ht="15" hidden="false" customHeight="false" outlineLevel="0" collapsed="false">
      <c r="A104" s="0" t="s">
        <v>652</v>
      </c>
      <c r="B104" s="0" t="n">
        <v>5</v>
      </c>
      <c r="C104" s="0" t="s">
        <v>648</v>
      </c>
      <c r="D104" s="0" t="n">
        <v>-164.4</v>
      </c>
      <c r="E104" s="0" t="n">
        <v>-211.5</v>
      </c>
      <c r="F104" s="0" t="n">
        <v>-126.3</v>
      </c>
      <c r="G104" s="0" t="n">
        <v>0.878</v>
      </c>
      <c r="H104" s="0" t="n">
        <v>0.816</v>
      </c>
      <c r="I104" s="0" t="n">
        <v>0.927</v>
      </c>
      <c r="J104" s="0" t="s">
        <v>645</v>
      </c>
      <c r="K104" s="0" t="n">
        <v>0</v>
      </c>
      <c r="L104" s="0" t="n">
        <v>0</v>
      </c>
      <c r="M104" s="0" t="n">
        <v>-27</v>
      </c>
      <c r="N104" s="0" t="n">
        <v>-36</v>
      </c>
      <c r="O104" s="0" t="n">
        <v>-20</v>
      </c>
    </row>
    <row r="105" customFormat="false" ht="15" hidden="false" customHeight="false" outlineLevel="0" collapsed="false">
      <c r="A105" s="0" t="s">
        <v>652</v>
      </c>
      <c r="B105" s="0" t="n">
        <v>10</v>
      </c>
      <c r="C105" s="0" t="s">
        <v>129</v>
      </c>
      <c r="D105" s="0" t="n">
        <v>-290.4</v>
      </c>
      <c r="E105" s="0" t="n">
        <v>-374.9</v>
      </c>
      <c r="F105" s="0" t="n">
        <v>-218.6</v>
      </c>
      <c r="G105" s="0" t="n">
        <v>0.87</v>
      </c>
      <c r="H105" s="0" t="n">
        <v>0.78</v>
      </c>
      <c r="I105" s="0" t="n">
        <v>0.945</v>
      </c>
      <c r="J105" s="0" t="s">
        <v>645</v>
      </c>
      <c r="K105" s="0" t="n">
        <v>0</v>
      </c>
      <c r="L105" s="0" t="n">
        <v>0</v>
      </c>
      <c r="M105" s="0" t="n">
        <v>-211</v>
      </c>
      <c r="N105" s="0" t="n">
        <v>-269</v>
      </c>
      <c r="O105" s="0" t="n">
        <v>-164</v>
      </c>
    </row>
    <row r="106" customFormat="false" ht="15" hidden="false" customHeight="false" outlineLevel="0" collapsed="false">
      <c r="A106" s="0" t="s">
        <v>652</v>
      </c>
      <c r="B106" s="0" t="n">
        <v>10</v>
      </c>
      <c r="C106" s="0" t="s">
        <v>590</v>
      </c>
      <c r="D106" s="0" t="n">
        <v>-224.6</v>
      </c>
      <c r="E106" s="0" t="n">
        <v>-321.6</v>
      </c>
      <c r="F106" s="0" t="n">
        <v>-146.6</v>
      </c>
      <c r="G106" s="0" t="n">
        <v>0.674</v>
      </c>
      <c r="H106" s="0" t="n">
        <v>0.516</v>
      </c>
      <c r="I106" s="0" t="n">
        <v>0.838</v>
      </c>
      <c r="J106" s="0" t="s">
        <v>645</v>
      </c>
      <c r="K106" s="0" t="n">
        <v>0</v>
      </c>
      <c r="L106" s="0" t="n">
        <v>0</v>
      </c>
      <c r="M106" s="0" t="n">
        <v>-211</v>
      </c>
      <c r="N106" s="0" t="n">
        <v>-269</v>
      </c>
      <c r="O106" s="0" t="n">
        <v>-164</v>
      </c>
    </row>
    <row r="107" customFormat="false" ht="15" hidden="false" customHeight="false" outlineLevel="0" collapsed="false">
      <c r="A107" s="0" t="s">
        <v>652</v>
      </c>
      <c r="B107" s="0" t="n">
        <v>10</v>
      </c>
      <c r="C107" s="0" t="s">
        <v>591</v>
      </c>
      <c r="D107" s="0" t="n">
        <v>-209.2</v>
      </c>
      <c r="E107" s="0" t="n">
        <v>-309.4</v>
      </c>
      <c r="F107" s="0" t="n">
        <v>-130.4</v>
      </c>
      <c r="G107" s="0" t="n">
        <v>0.624</v>
      </c>
      <c r="H107" s="0" t="n">
        <v>0.459</v>
      </c>
      <c r="I107" s="0" t="n">
        <v>0.812</v>
      </c>
      <c r="J107" s="0" t="s">
        <v>645</v>
      </c>
      <c r="K107" s="0" t="n">
        <v>0</v>
      </c>
      <c r="L107" s="0" t="n">
        <v>0</v>
      </c>
      <c r="M107" s="0" t="n">
        <v>-211</v>
      </c>
      <c r="N107" s="0" t="n">
        <v>-269</v>
      </c>
      <c r="O107" s="0" t="n">
        <v>-164</v>
      </c>
    </row>
    <row r="108" customFormat="false" ht="15" hidden="false" customHeight="false" outlineLevel="0" collapsed="false">
      <c r="A108" s="0" t="s">
        <v>652</v>
      </c>
      <c r="B108" s="0" t="n">
        <v>10</v>
      </c>
      <c r="C108" s="0" t="s">
        <v>646</v>
      </c>
      <c r="D108" s="0" t="n">
        <v>-290.4</v>
      </c>
      <c r="E108" s="0" t="n">
        <v>-374.9</v>
      </c>
      <c r="F108" s="0" t="n">
        <v>-218.6</v>
      </c>
      <c r="G108" s="0" t="n">
        <v>0.87</v>
      </c>
      <c r="H108" s="0" t="n">
        <v>0.78</v>
      </c>
      <c r="I108" s="0" t="n">
        <v>0.945</v>
      </c>
      <c r="J108" s="0" t="s">
        <v>645</v>
      </c>
      <c r="K108" s="0" t="n">
        <v>0</v>
      </c>
      <c r="L108" s="0" t="n">
        <v>0</v>
      </c>
      <c r="M108" s="0" t="n">
        <v>-211</v>
      </c>
      <c r="N108" s="0" t="n">
        <v>-269</v>
      </c>
      <c r="O108" s="0" t="n">
        <v>-164</v>
      </c>
    </row>
    <row r="109" customFormat="false" ht="15" hidden="false" customHeight="false" outlineLevel="0" collapsed="false">
      <c r="A109" s="0" t="s">
        <v>652</v>
      </c>
      <c r="B109" s="0" t="n">
        <v>10</v>
      </c>
      <c r="C109" s="0" t="s">
        <v>647</v>
      </c>
      <c r="D109" s="0" t="n">
        <v>-224.6</v>
      </c>
      <c r="E109" s="0" t="n">
        <v>-321.6</v>
      </c>
      <c r="F109" s="0" t="n">
        <v>-146.6</v>
      </c>
      <c r="G109" s="0" t="n">
        <v>0.674</v>
      </c>
      <c r="H109" s="0" t="n">
        <v>0.516</v>
      </c>
      <c r="I109" s="0" t="n">
        <v>0.838</v>
      </c>
      <c r="J109" s="0" t="s">
        <v>645</v>
      </c>
      <c r="K109" s="0" t="n">
        <v>0</v>
      </c>
      <c r="L109" s="0" t="n">
        <v>0</v>
      </c>
      <c r="M109" s="0" t="n">
        <v>-211</v>
      </c>
      <c r="N109" s="0" t="n">
        <v>-269</v>
      </c>
      <c r="O109" s="0" t="n">
        <v>-164</v>
      </c>
    </row>
    <row r="110" customFormat="false" ht="15" hidden="false" customHeight="false" outlineLevel="0" collapsed="false">
      <c r="A110" s="0" t="s">
        <v>652</v>
      </c>
      <c r="B110" s="0" t="n">
        <v>10</v>
      </c>
      <c r="C110" s="0" t="s">
        <v>648</v>
      </c>
      <c r="D110" s="0" t="n">
        <v>-209.2</v>
      </c>
      <c r="E110" s="0" t="n">
        <v>-309.4</v>
      </c>
      <c r="F110" s="0" t="n">
        <v>-130.4</v>
      </c>
      <c r="G110" s="0" t="n">
        <v>0.624</v>
      </c>
      <c r="H110" s="0" t="n">
        <v>0.459</v>
      </c>
      <c r="I110" s="0" t="n">
        <v>0.812</v>
      </c>
      <c r="J110" s="0" t="s">
        <v>645</v>
      </c>
      <c r="K110" s="0" t="n">
        <v>0</v>
      </c>
      <c r="L110" s="0" t="n">
        <v>0</v>
      </c>
      <c r="M110" s="0" t="n">
        <v>-211</v>
      </c>
      <c r="N110" s="0" t="n">
        <v>-269</v>
      </c>
      <c r="O110" s="0" t="n">
        <v>-164</v>
      </c>
    </row>
    <row r="111" customFormat="false" ht="15" hidden="false" customHeight="false" outlineLevel="0" collapsed="false">
      <c r="A111" s="0" t="s">
        <v>652</v>
      </c>
      <c r="B111" s="0" t="n">
        <v>20</v>
      </c>
      <c r="C111" s="0" t="s">
        <v>129</v>
      </c>
      <c r="D111" s="0" t="n">
        <v>-359.9</v>
      </c>
      <c r="E111" s="0" t="n">
        <v>-523.2</v>
      </c>
      <c r="F111" s="0" t="n">
        <v>-210.9</v>
      </c>
      <c r="G111" s="0" t="n">
        <v>0.668</v>
      </c>
      <c r="H111" s="0" t="n">
        <v>0.452</v>
      </c>
      <c r="I111" s="0" t="n">
        <v>0.848</v>
      </c>
      <c r="J111" s="0" t="s">
        <v>645</v>
      </c>
      <c r="K111" s="0" t="n">
        <v>0</v>
      </c>
      <c r="L111" s="0" t="n">
        <v>0</v>
      </c>
      <c r="M111" s="0" t="n">
        <v>-1400</v>
      </c>
      <c r="N111" s="0" t="n">
        <v>-1730</v>
      </c>
      <c r="O111" s="0" t="n">
        <v>-1113</v>
      </c>
    </row>
    <row r="112" customFormat="false" ht="15" hidden="false" customHeight="false" outlineLevel="0" collapsed="false">
      <c r="A112" s="0" t="s">
        <v>652</v>
      </c>
      <c r="B112" s="0" t="n">
        <v>20</v>
      </c>
      <c r="C112" s="0" t="s">
        <v>590</v>
      </c>
      <c r="D112" s="0" t="n">
        <v>-176.4</v>
      </c>
      <c r="E112" s="0" t="n">
        <v>-388.9</v>
      </c>
      <c r="F112" s="0" t="n">
        <v>54.6</v>
      </c>
      <c r="G112" s="0" t="n">
        <v>0.325</v>
      </c>
      <c r="H112" s="0" t="n">
        <v>-0.111</v>
      </c>
      <c r="I112" s="0" t="n">
        <v>0.655</v>
      </c>
      <c r="J112" s="0" t="s">
        <v>645</v>
      </c>
      <c r="K112" s="0" t="n">
        <v>0</v>
      </c>
      <c r="L112" s="0" t="n">
        <v>0</v>
      </c>
      <c r="M112" s="0" t="n">
        <v>-1400</v>
      </c>
      <c r="N112" s="0" t="n">
        <v>-1730</v>
      </c>
      <c r="O112" s="0" t="n">
        <v>-1113</v>
      </c>
    </row>
    <row r="113" customFormat="false" ht="15" hidden="false" customHeight="false" outlineLevel="0" collapsed="false">
      <c r="A113" s="0" t="s">
        <v>652</v>
      </c>
      <c r="B113" s="0" t="n">
        <v>20</v>
      </c>
      <c r="C113" s="0" t="s">
        <v>591</v>
      </c>
      <c r="D113" s="0" t="n">
        <v>-98.3</v>
      </c>
      <c r="E113" s="0" t="n">
        <v>-325.8</v>
      </c>
      <c r="F113" s="0" t="n">
        <v>173.1</v>
      </c>
      <c r="G113" s="0" t="n">
        <v>0.184</v>
      </c>
      <c r="H113" s="0" t="n">
        <v>-0.348</v>
      </c>
      <c r="I113" s="0" t="n">
        <v>0.549</v>
      </c>
      <c r="J113" s="0" t="s">
        <v>645</v>
      </c>
      <c r="K113" s="0" t="n">
        <v>0</v>
      </c>
      <c r="L113" s="0" t="n">
        <v>0</v>
      </c>
      <c r="M113" s="0" t="n">
        <v>-1400</v>
      </c>
      <c r="N113" s="0" t="n">
        <v>-1730</v>
      </c>
      <c r="O113" s="0" t="n">
        <v>-1113</v>
      </c>
    </row>
    <row r="114" customFormat="false" ht="15" hidden="false" customHeight="false" outlineLevel="0" collapsed="false">
      <c r="A114" s="0" t="s">
        <v>652</v>
      </c>
      <c r="B114" s="0" t="n">
        <v>20</v>
      </c>
      <c r="C114" s="0" t="s">
        <v>646</v>
      </c>
      <c r="D114" s="0" t="n">
        <v>-359.9</v>
      </c>
      <c r="E114" s="0" t="n">
        <v>-523.2</v>
      </c>
      <c r="F114" s="0" t="n">
        <v>-210.9</v>
      </c>
      <c r="G114" s="0" t="n">
        <v>0.668</v>
      </c>
      <c r="H114" s="0" t="n">
        <v>0.452</v>
      </c>
      <c r="I114" s="0" t="n">
        <v>0.848</v>
      </c>
      <c r="J114" s="0" t="s">
        <v>645</v>
      </c>
      <c r="K114" s="0" t="n">
        <v>0</v>
      </c>
      <c r="L114" s="0" t="n">
        <v>0</v>
      </c>
      <c r="M114" s="0" t="n">
        <v>-1400</v>
      </c>
      <c r="N114" s="0" t="n">
        <v>-1730</v>
      </c>
      <c r="O114" s="0" t="n">
        <v>-1113</v>
      </c>
    </row>
    <row r="115" customFormat="false" ht="15" hidden="false" customHeight="false" outlineLevel="0" collapsed="false">
      <c r="A115" s="0" t="s">
        <v>652</v>
      </c>
      <c r="B115" s="0" t="n">
        <v>20</v>
      </c>
      <c r="C115" s="0" t="s">
        <v>647</v>
      </c>
      <c r="D115" s="0" t="n">
        <v>-176.4</v>
      </c>
      <c r="E115" s="0" t="n">
        <v>-388.9</v>
      </c>
      <c r="F115" s="0" t="n">
        <v>54.6</v>
      </c>
      <c r="G115" s="0" t="n">
        <v>0.325</v>
      </c>
      <c r="H115" s="0" t="n">
        <v>-0.111</v>
      </c>
      <c r="I115" s="0" t="n">
        <v>0.655</v>
      </c>
      <c r="J115" s="0" t="s">
        <v>645</v>
      </c>
      <c r="K115" s="0" t="n">
        <v>0</v>
      </c>
      <c r="L115" s="0" t="n">
        <v>0</v>
      </c>
      <c r="M115" s="0" t="n">
        <v>-1400</v>
      </c>
      <c r="N115" s="0" t="n">
        <v>-1730</v>
      </c>
      <c r="O115" s="0" t="n">
        <v>-1113</v>
      </c>
    </row>
    <row r="116" customFormat="false" ht="15" hidden="false" customHeight="false" outlineLevel="0" collapsed="false">
      <c r="A116" s="0" t="s">
        <v>652</v>
      </c>
      <c r="B116" s="0" t="n">
        <v>20</v>
      </c>
      <c r="C116" s="0" t="s">
        <v>648</v>
      </c>
      <c r="D116" s="0" t="n">
        <v>-98.3</v>
      </c>
      <c r="E116" s="0" t="n">
        <v>-325.8</v>
      </c>
      <c r="F116" s="0" t="n">
        <v>173.1</v>
      </c>
      <c r="G116" s="0" t="n">
        <v>0.184</v>
      </c>
      <c r="H116" s="0" t="n">
        <v>-0.348</v>
      </c>
      <c r="I116" s="0" t="n">
        <v>0.549</v>
      </c>
      <c r="J116" s="0" t="s">
        <v>645</v>
      </c>
      <c r="K116" s="0" t="n">
        <v>0</v>
      </c>
      <c r="L116" s="0" t="n">
        <v>0</v>
      </c>
      <c r="M116" s="0" t="n">
        <v>-1400</v>
      </c>
      <c r="N116" s="0" t="n">
        <v>-1730</v>
      </c>
      <c r="O116" s="0" t="n">
        <v>-1113</v>
      </c>
    </row>
    <row r="117" customFormat="false" ht="15" hidden="false" customHeight="false" outlineLevel="0" collapsed="false">
      <c r="A117" s="0" t="s">
        <v>652</v>
      </c>
      <c r="B117" s="0" t="n">
        <v>50</v>
      </c>
      <c r="C117" s="0" t="s">
        <v>129</v>
      </c>
      <c r="D117" s="0" t="n">
        <v>-235</v>
      </c>
      <c r="E117" s="0" t="n">
        <v>-554.4</v>
      </c>
      <c r="F117" s="0" t="n">
        <v>159.8</v>
      </c>
      <c r="G117" s="0" t="n">
        <v>0.302</v>
      </c>
      <c r="H117" s="0" t="n">
        <v>-0.228</v>
      </c>
      <c r="I117" s="0" t="n">
        <v>0.639</v>
      </c>
      <c r="J117" s="0" t="s">
        <v>645</v>
      </c>
      <c r="K117" s="0" t="n">
        <v>0</v>
      </c>
      <c r="L117" s="0" t="n">
        <v>0</v>
      </c>
      <c r="M117" s="0" t="n">
        <v>-10653</v>
      </c>
      <c r="N117" s="0" t="n">
        <v>-12566</v>
      </c>
      <c r="O117" s="0" t="n">
        <v>-8847</v>
      </c>
    </row>
    <row r="118" customFormat="false" ht="15" hidden="false" customHeight="false" outlineLevel="0" collapsed="false">
      <c r="A118" s="0" t="s">
        <v>652</v>
      </c>
      <c r="B118" s="0" t="n">
        <v>50</v>
      </c>
      <c r="C118" s="0" t="s">
        <v>590</v>
      </c>
      <c r="D118" s="0" t="n">
        <v>405.7</v>
      </c>
      <c r="E118" s="0" t="n">
        <v>-76.6</v>
      </c>
      <c r="F118" s="0" t="n">
        <v>1104.9</v>
      </c>
      <c r="G118" s="0" t="n">
        <v>-0.519</v>
      </c>
      <c r="H118" s="0" t="n">
        <v>-1.512</v>
      </c>
      <c r="I118" s="0" t="n">
        <v>0.09</v>
      </c>
      <c r="J118" s="0" t="s">
        <v>645</v>
      </c>
      <c r="K118" s="0" t="n">
        <v>0</v>
      </c>
      <c r="L118" s="0" t="n">
        <v>0</v>
      </c>
      <c r="M118" s="0" t="n">
        <v>-10653</v>
      </c>
      <c r="N118" s="0" t="n">
        <v>-12566</v>
      </c>
      <c r="O118" s="0" t="n">
        <v>-8847</v>
      </c>
    </row>
    <row r="119" customFormat="false" ht="15" hidden="false" customHeight="false" outlineLevel="0" collapsed="false">
      <c r="A119" s="0" t="s">
        <v>652</v>
      </c>
      <c r="B119" s="0" t="n">
        <v>50</v>
      </c>
      <c r="C119" s="0" t="s">
        <v>591</v>
      </c>
      <c r="D119" s="0" t="n">
        <v>834</v>
      </c>
      <c r="E119" s="0" t="n">
        <v>256</v>
      </c>
      <c r="F119" s="0" t="n">
        <v>1592.3</v>
      </c>
      <c r="G119" s="0" t="n">
        <v>-1.053</v>
      </c>
      <c r="H119" s="0" t="n">
        <v>-2.122</v>
      </c>
      <c r="I119" s="0" t="n">
        <v>-0.302</v>
      </c>
      <c r="J119" s="0" t="s">
        <v>645</v>
      </c>
      <c r="K119" s="0" t="n">
        <v>0</v>
      </c>
      <c r="L119" s="0" t="n">
        <v>0</v>
      </c>
      <c r="M119" s="0" t="n">
        <v>-10653</v>
      </c>
      <c r="N119" s="0" t="n">
        <v>-12566</v>
      </c>
      <c r="O119" s="0" t="n">
        <v>-8847</v>
      </c>
    </row>
    <row r="120" customFormat="false" ht="15" hidden="false" customHeight="false" outlineLevel="0" collapsed="false">
      <c r="A120" s="0" t="s">
        <v>652</v>
      </c>
      <c r="B120" s="0" t="n">
        <v>50</v>
      </c>
      <c r="C120" s="0" t="s">
        <v>646</v>
      </c>
      <c r="D120" s="0" t="n">
        <v>-235</v>
      </c>
      <c r="E120" s="0" t="n">
        <v>-554.4</v>
      </c>
      <c r="F120" s="0" t="n">
        <v>159.8</v>
      </c>
      <c r="G120" s="0" t="n">
        <v>0.302</v>
      </c>
      <c r="H120" s="0" t="n">
        <v>-0.228</v>
      </c>
      <c r="I120" s="0" t="n">
        <v>0.639</v>
      </c>
      <c r="J120" s="0" t="s">
        <v>645</v>
      </c>
      <c r="K120" s="0" t="n">
        <v>0</v>
      </c>
      <c r="L120" s="0" t="n">
        <v>0</v>
      </c>
      <c r="M120" s="0" t="n">
        <v>-10653</v>
      </c>
      <c r="N120" s="0" t="n">
        <v>-12566</v>
      </c>
      <c r="O120" s="0" t="n">
        <v>-8847</v>
      </c>
    </row>
    <row r="121" customFormat="false" ht="15" hidden="false" customHeight="false" outlineLevel="0" collapsed="false">
      <c r="A121" s="0" t="s">
        <v>652</v>
      </c>
      <c r="B121" s="0" t="n">
        <v>50</v>
      </c>
      <c r="C121" s="0" t="s">
        <v>647</v>
      </c>
      <c r="D121" s="0" t="n">
        <v>405.7</v>
      </c>
      <c r="E121" s="0" t="n">
        <v>-76.6</v>
      </c>
      <c r="F121" s="0" t="n">
        <v>1104.9</v>
      </c>
      <c r="G121" s="0" t="n">
        <v>-0.519</v>
      </c>
      <c r="H121" s="0" t="n">
        <v>-1.512</v>
      </c>
      <c r="I121" s="0" t="n">
        <v>0.09</v>
      </c>
      <c r="J121" s="0" t="s">
        <v>645</v>
      </c>
      <c r="K121" s="0" t="n">
        <v>0</v>
      </c>
      <c r="L121" s="0" t="n">
        <v>0</v>
      </c>
      <c r="M121" s="0" t="n">
        <v>-10653</v>
      </c>
      <c r="N121" s="0" t="n">
        <v>-12566</v>
      </c>
      <c r="O121" s="0" t="n">
        <v>-8847</v>
      </c>
    </row>
    <row r="122" customFormat="false" ht="15" hidden="false" customHeight="false" outlineLevel="0" collapsed="false">
      <c r="A122" s="0" t="s">
        <v>652</v>
      </c>
      <c r="B122" s="0" t="n">
        <v>50</v>
      </c>
      <c r="C122" s="0" t="s">
        <v>648</v>
      </c>
      <c r="D122" s="0" t="n">
        <v>834</v>
      </c>
      <c r="E122" s="0" t="n">
        <v>256</v>
      </c>
      <c r="F122" s="0" t="n">
        <v>1592.3</v>
      </c>
      <c r="G122" s="0" t="n">
        <v>-1.053</v>
      </c>
      <c r="H122" s="0" t="n">
        <v>-2.122</v>
      </c>
      <c r="I122" s="0" t="n">
        <v>-0.302</v>
      </c>
      <c r="J122" s="0" t="s">
        <v>645</v>
      </c>
      <c r="K122" s="0" t="n">
        <v>0</v>
      </c>
      <c r="L122" s="0" t="n">
        <v>0</v>
      </c>
      <c r="M122" s="0" t="n">
        <v>-10653</v>
      </c>
      <c r="N122" s="0" t="n">
        <v>-12566</v>
      </c>
      <c r="O122" s="0" t="n">
        <v>-8847</v>
      </c>
    </row>
    <row r="123" customFormat="false" ht="15" hidden="false" customHeight="false" outlineLevel="0" collapsed="false">
      <c r="A123" s="0" t="s">
        <v>653</v>
      </c>
      <c r="B123" s="0" t="n">
        <v>5</v>
      </c>
      <c r="C123" s="0" t="s">
        <v>129</v>
      </c>
      <c r="D123" s="0" t="n">
        <v>-496.8</v>
      </c>
      <c r="E123" s="0" t="n">
        <v>-653.8</v>
      </c>
      <c r="F123" s="0" t="n">
        <v>-368.6</v>
      </c>
      <c r="G123" s="0" t="n">
        <v>0.796</v>
      </c>
      <c r="H123" s="0" t="n">
        <v>0.715</v>
      </c>
      <c r="I123" s="0" t="n">
        <v>0.863</v>
      </c>
      <c r="J123" s="0" t="s">
        <v>645</v>
      </c>
      <c r="K123" s="0" t="n">
        <v>0</v>
      </c>
      <c r="L123" s="0" t="n">
        <v>0</v>
      </c>
      <c r="M123" s="0" t="n">
        <v>-91</v>
      </c>
      <c r="N123" s="0" t="n">
        <v>-121</v>
      </c>
      <c r="O123" s="0" t="n">
        <v>-67</v>
      </c>
    </row>
    <row r="124" customFormat="false" ht="15" hidden="false" customHeight="false" outlineLevel="0" collapsed="false">
      <c r="A124" s="0" t="s">
        <v>653</v>
      </c>
      <c r="B124" s="0" t="n">
        <v>5</v>
      </c>
      <c r="C124" s="0" t="s">
        <v>590</v>
      </c>
      <c r="D124" s="0" t="n">
        <v>-378.4</v>
      </c>
      <c r="E124" s="0" t="n">
        <v>-541.7</v>
      </c>
      <c r="F124" s="0" t="n">
        <v>-241</v>
      </c>
      <c r="G124" s="0" t="n">
        <v>0.609</v>
      </c>
      <c r="H124" s="0" t="n">
        <v>0.465</v>
      </c>
      <c r="I124" s="0" t="n">
        <v>0.717</v>
      </c>
      <c r="J124" s="0" t="s">
        <v>645</v>
      </c>
      <c r="K124" s="0" t="n">
        <v>0</v>
      </c>
      <c r="L124" s="0" t="n">
        <v>0</v>
      </c>
      <c r="M124" s="0" t="n">
        <v>-91</v>
      </c>
      <c r="N124" s="0" t="n">
        <v>-121</v>
      </c>
      <c r="O124" s="0" t="n">
        <v>-67</v>
      </c>
    </row>
    <row r="125" customFormat="false" ht="15" hidden="false" customHeight="false" outlineLevel="0" collapsed="false">
      <c r="A125" s="0" t="s">
        <v>653</v>
      </c>
      <c r="B125" s="0" t="n">
        <v>5</v>
      </c>
      <c r="C125" s="0" t="s">
        <v>591</v>
      </c>
      <c r="D125" s="0" t="n">
        <v>-385.8</v>
      </c>
      <c r="E125" s="0" t="n">
        <v>-552.6</v>
      </c>
      <c r="F125" s="0" t="n">
        <v>-251</v>
      </c>
      <c r="G125" s="0" t="n">
        <v>0.619</v>
      </c>
      <c r="H125" s="0" t="n">
        <v>0.484</v>
      </c>
      <c r="I125" s="0" t="n">
        <v>0.725</v>
      </c>
      <c r="J125" s="0" t="s">
        <v>645</v>
      </c>
      <c r="K125" s="0" t="n">
        <v>0</v>
      </c>
      <c r="L125" s="0" t="n">
        <v>0</v>
      </c>
      <c r="M125" s="0" t="n">
        <v>-91</v>
      </c>
      <c r="N125" s="0" t="n">
        <v>-121</v>
      </c>
      <c r="O125" s="0" t="n">
        <v>-67</v>
      </c>
    </row>
    <row r="126" customFormat="false" ht="15" hidden="false" customHeight="false" outlineLevel="0" collapsed="false">
      <c r="A126" s="0" t="s">
        <v>653</v>
      </c>
      <c r="B126" s="0" t="n">
        <v>5</v>
      </c>
      <c r="C126" s="0" t="s">
        <v>646</v>
      </c>
      <c r="D126" s="0" t="n">
        <v>-496.8</v>
      </c>
      <c r="E126" s="0" t="n">
        <v>-653.8</v>
      </c>
      <c r="F126" s="0" t="n">
        <v>-368.6</v>
      </c>
      <c r="G126" s="0" t="n">
        <v>0.796</v>
      </c>
      <c r="H126" s="0" t="n">
        <v>0.715</v>
      </c>
      <c r="I126" s="0" t="n">
        <v>0.863</v>
      </c>
      <c r="J126" s="0" t="s">
        <v>645</v>
      </c>
      <c r="K126" s="0" t="n">
        <v>0</v>
      </c>
      <c r="L126" s="0" t="n">
        <v>0</v>
      </c>
      <c r="M126" s="0" t="n">
        <v>-91</v>
      </c>
      <c r="N126" s="0" t="n">
        <v>-121</v>
      </c>
      <c r="O126" s="0" t="n">
        <v>-67</v>
      </c>
    </row>
    <row r="127" customFormat="false" ht="15" hidden="false" customHeight="false" outlineLevel="0" collapsed="false">
      <c r="A127" s="0" t="s">
        <v>653</v>
      </c>
      <c r="B127" s="0" t="n">
        <v>5</v>
      </c>
      <c r="C127" s="0" t="s">
        <v>647</v>
      </c>
      <c r="D127" s="0" t="n">
        <v>-378.4</v>
      </c>
      <c r="E127" s="0" t="n">
        <v>-541.7</v>
      </c>
      <c r="F127" s="0" t="n">
        <v>-241</v>
      </c>
      <c r="G127" s="0" t="n">
        <v>0.609</v>
      </c>
      <c r="H127" s="0" t="n">
        <v>0.465</v>
      </c>
      <c r="I127" s="0" t="n">
        <v>0.717</v>
      </c>
      <c r="J127" s="0" t="s">
        <v>645</v>
      </c>
      <c r="K127" s="0" t="n">
        <v>0</v>
      </c>
      <c r="L127" s="0" t="n">
        <v>0</v>
      </c>
      <c r="M127" s="0" t="n">
        <v>-91</v>
      </c>
      <c r="N127" s="0" t="n">
        <v>-121</v>
      </c>
      <c r="O127" s="0" t="n">
        <v>-67</v>
      </c>
    </row>
    <row r="128" customFormat="false" ht="15" hidden="false" customHeight="false" outlineLevel="0" collapsed="false">
      <c r="A128" s="0" t="s">
        <v>653</v>
      </c>
      <c r="B128" s="0" t="n">
        <v>5</v>
      </c>
      <c r="C128" s="0" t="s">
        <v>648</v>
      </c>
      <c r="D128" s="0" t="n">
        <v>-385.8</v>
      </c>
      <c r="E128" s="0" t="n">
        <v>-552.6</v>
      </c>
      <c r="F128" s="0" t="n">
        <v>-251</v>
      </c>
      <c r="G128" s="0" t="n">
        <v>0.619</v>
      </c>
      <c r="H128" s="0" t="n">
        <v>0.484</v>
      </c>
      <c r="I128" s="0" t="n">
        <v>0.725</v>
      </c>
      <c r="J128" s="0" t="s">
        <v>645</v>
      </c>
      <c r="K128" s="0" t="n">
        <v>0</v>
      </c>
      <c r="L128" s="0" t="n">
        <v>0</v>
      </c>
      <c r="M128" s="0" t="n">
        <v>-91</v>
      </c>
      <c r="N128" s="0" t="n">
        <v>-121</v>
      </c>
      <c r="O128" s="0" t="n">
        <v>-67</v>
      </c>
    </row>
    <row r="129" customFormat="false" ht="15" hidden="false" customHeight="false" outlineLevel="0" collapsed="false">
      <c r="A129" s="0" t="s">
        <v>653</v>
      </c>
      <c r="B129" s="0" t="n">
        <v>10</v>
      </c>
      <c r="C129" s="0" t="s">
        <v>129</v>
      </c>
      <c r="D129" s="0" t="n">
        <v>-627.5</v>
      </c>
      <c r="E129" s="0" t="n">
        <v>-915.9</v>
      </c>
      <c r="F129" s="0" t="n">
        <v>-375.2</v>
      </c>
      <c r="G129" s="0" t="n">
        <v>0.566</v>
      </c>
      <c r="H129" s="0" t="n">
        <v>0.401</v>
      </c>
      <c r="I129" s="0" t="n">
        <v>0.696</v>
      </c>
      <c r="J129" s="0" t="s">
        <v>645</v>
      </c>
      <c r="K129" s="0" t="n">
        <v>0</v>
      </c>
      <c r="L129" s="0" t="n">
        <v>0</v>
      </c>
      <c r="M129" s="0" t="n">
        <v>-707</v>
      </c>
      <c r="N129" s="0" t="n">
        <v>-901</v>
      </c>
      <c r="O129" s="0" t="n">
        <v>-549</v>
      </c>
    </row>
    <row r="130" customFormat="false" ht="15" hidden="false" customHeight="false" outlineLevel="0" collapsed="false">
      <c r="A130" s="0" t="s">
        <v>653</v>
      </c>
      <c r="B130" s="0" t="n">
        <v>10</v>
      </c>
      <c r="C130" s="0" t="s">
        <v>590</v>
      </c>
      <c r="D130" s="0" t="n">
        <v>-191.6</v>
      </c>
      <c r="E130" s="0" t="n">
        <v>-537</v>
      </c>
      <c r="F130" s="0" t="n">
        <v>115</v>
      </c>
      <c r="G130" s="0" t="n">
        <v>0.171</v>
      </c>
      <c r="H130" s="0" t="n">
        <v>-0.121</v>
      </c>
      <c r="I130" s="0" t="n">
        <v>0.416</v>
      </c>
      <c r="J130" s="0" t="s">
        <v>645</v>
      </c>
      <c r="K130" s="0" t="n">
        <v>0</v>
      </c>
      <c r="L130" s="0" t="n">
        <v>0</v>
      </c>
      <c r="M130" s="0" t="n">
        <v>-707</v>
      </c>
      <c r="N130" s="0" t="n">
        <v>-901</v>
      </c>
      <c r="O130" s="0" t="n">
        <v>-549</v>
      </c>
    </row>
    <row r="131" customFormat="false" ht="15" hidden="false" customHeight="false" outlineLevel="0" collapsed="false">
      <c r="A131" s="0" t="s">
        <v>653</v>
      </c>
      <c r="B131" s="0" t="n">
        <v>10</v>
      </c>
      <c r="C131" s="0" t="s">
        <v>591</v>
      </c>
      <c r="D131" s="0" t="n">
        <v>-172.7</v>
      </c>
      <c r="E131" s="0" t="n">
        <v>-530</v>
      </c>
      <c r="F131" s="0" t="n">
        <v>127</v>
      </c>
      <c r="G131" s="0" t="n">
        <v>0.154</v>
      </c>
      <c r="H131" s="0" t="n">
        <v>-0.135</v>
      </c>
      <c r="I131" s="0" t="n">
        <v>0.406</v>
      </c>
      <c r="J131" s="0" t="s">
        <v>645</v>
      </c>
      <c r="K131" s="0" t="n">
        <v>0</v>
      </c>
      <c r="L131" s="0" t="n">
        <v>0</v>
      </c>
      <c r="M131" s="0" t="n">
        <v>-707</v>
      </c>
      <c r="N131" s="0" t="n">
        <v>-901</v>
      </c>
      <c r="O131" s="0" t="n">
        <v>-549</v>
      </c>
    </row>
    <row r="132" customFormat="false" ht="15" hidden="false" customHeight="false" outlineLevel="0" collapsed="false">
      <c r="A132" s="0" t="s">
        <v>653</v>
      </c>
      <c r="B132" s="0" t="n">
        <v>10</v>
      </c>
      <c r="C132" s="0" t="s">
        <v>646</v>
      </c>
      <c r="D132" s="0" t="n">
        <v>-627.5</v>
      </c>
      <c r="E132" s="0" t="n">
        <v>-915.9</v>
      </c>
      <c r="F132" s="0" t="n">
        <v>-375.2</v>
      </c>
      <c r="G132" s="0" t="n">
        <v>0.566</v>
      </c>
      <c r="H132" s="0" t="n">
        <v>0.401</v>
      </c>
      <c r="I132" s="0" t="n">
        <v>0.696</v>
      </c>
      <c r="J132" s="0" t="s">
        <v>645</v>
      </c>
      <c r="K132" s="0" t="n">
        <v>0</v>
      </c>
      <c r="L132" s="0" t="n">
        <v>0</v>
      </c>
      <c r="M132" s="0" t="n">
        <v>-707</v>
      </c>
      <c r="N132" s="0" t="n">
        <v>-901</v>
      </c>
      <c r="O132" s="0" t="n">
        <v>-549</v>
      </c>
    </row>
    <row r="133" customFormat="false" ht="15" hidden="false" customHeight="false" outlineLevel="0" collapsed="false">
      <c r="A133" s="0" t="s">
        <v>653</v>
      </c>
      <c r="B133" s="0" t="n">
        <v>10</v>
      </c>
      <c r="C133" s="0" t="s">
        <v>647</v>
      </c>
      <c r="D133" s="0" t="n">
        <v>-191.6</v>
      </c>
      <c r="E133" s="0" t="n">
        <v>-537</v>
      </c>
      <c r="F133" s="0" t="n">
        <v>115</v>
      </c>
      <c r="G133" s="0" t="n">
        <v>0.171</v>
      </c>
      <c r="H133" s="0" t="n">
        <v>-0.121</v>
      </c>
      <c r="I133" s="0" t="n">
        <v>0.416</v>
      </c>
      <c r="J133" s="0" t="s">
        <v>645</v>
      </c>
      <c r="K133" s="0" t="n">
        <v>0</v>
      </c>
      <c r="L133" s="0" t="n">
        <v>0</v>
      </c>
      <c r="M133" s="0" t="n">
        <v>-707</v>
      </c>
      <c r="N133" s="0" t="n">
        <v>-901</v>
      </c>
      <c r="O133" s="0" t="n">
        <v>-549</v>
      </c>
    </row>
    <row r="134" customFormat="false" ht="15" hidden="false" customHeight="false" outlineLevel="0" collapsed="false">
      <c r="A134" s="0" t="s">
        <v>653</v>
      </c>
      <c r="B134" s="0" t="n">
        <v>10</v>
      </c>
      <c r="C134" s="0" t="s">
        <v>648</v>
      </c>
      <c r="D134" s="0" t="n">
        <v>-172.7</v>
      </c>
      <c r="E134" s="0" t="n">
        <v>-530</v>
      </c>
      <c r="F134" s="0" t="n">
        <v>127</v>
      </c>
      <c r="G134" s="0" t="n">
        <v>0.154</v>
      </c>
      <c r="H134" s="0" t="n">
        <v>-0.135</v>
      </c>
      <c r="I134" s="0" t="n">
        <v>0.406</v>
      </c>
      <c r="J134" s="0" t="s">
        <v>645</v>
      </c>
      <c r="K134" s="0" t="n">
        <v>0</v>
      </c>
      <c r="L134" s="0" t="n">
        <v>0</v>
      </c>
      <c r="M134" s="0" t="n">
        <v>-707</v>
      </c>
      <c r="N134" s="0" t="n">
        <v>-901</v>
      </c>
      <c r="O134" s="0" t="n">
        <v>-549</v>
      </c>
    </row>
    <row r="135" customFormat="false" ht="15" hidden="false" customHeight="false" outlineLevel="0" collapsed="false">
      <c r="A135" s="0" t="s">
        <v>653</v>
      </c>
      <c r="B135" s="0" t="n">
        <v>20</v>
      </c>
      <c r="C135" s="0" t="s">
        <v>129</v>
      </c>
      <c r="D135" s="0" t="n">
        <v>-163.1</v>
      </c>
      <c r="E135" s="0" t="n">
        <v>-715.8</v>
      </c>
      <c r="F135" s="0" t="n">
        <v>360.7</v>
      </c>
      <c r="G135" s="0" t="n">
        <v>0.091</v>
      </c>
      <c r="H135" s="0" t="n">
        <v>-0.239</v>
      </c>
      <c r="I135" s="0" t="n">
        <v>0.34</v>
      </c>
      <c r="J135" s="0" t="s">
        <v>645</v>
      </c>
      <c r="K135" s="0" t="n">
        <v>0</v>
      </c>
      <c r="L135" s="0" t="n">
        <v>0</v>
      </c>
      <c r="M135" s="0" t="n">
        <v>-4772</v>
      </c>
      <c r="N135" s="0" t="n">
        <v>-5885</v>
      </c>
      <c r="O135" s="0" t="n">
        <v>-3798</v>
      </c>
    </row>
    <row r="136" customFormat="false" ht="15" hidden="false" customHeight="false" outlineLevel="0" collapsed="false">
      <c r="A136" s="0" t="s">
        <v>653</v>
      </c>
      <c r="B136" s="0" t="n">
        <v>20</v>
      </c>
      <c r="C136" s="0" t="s">
        <v>590</v>
      </c>
      <c r="D136" s="0" t="n">
        <v>1066.3</v>
      </c>
      <c r="E136" s="0" t="n">
        <v>316.3</v>
      </c>
      <c r="F136" s="0" t="n">
        <v>1905.4</v>
      </c>
      <c r="G136" s="0" t="n">
        <v>-0.603</v>
      </c>
      <c r="H136" s="0" t="n">
        <v>-1.217</v>
      </c>
      <c r="I136" s="0" t="n">
        <v>-0.152</v>
      </c>
      <c r="J136" s="0" t="s">
        <v>645</v>
      </c>
      <c r="K136" s="0" t="n">
        <v>0</v>
      </c>
      <c r="L136" s="0" t="n">
        <v>0</v>
      </c>
      <c r="M136" s="0" t="n">
        <v>-4772</v>
      </c>
      <c r="N136" s="0" t="n">
        <v>-5885</v>
      </c>
      <c r="O136" s="0" t="n">
        <v>-3798</v>
      </c>
    </row>
    <row r="137" customFormat="false" ht="15" hidden="false" customHeight="false" outlineLevel="0" collapsed="false">
      <c r="A137" s="0" t="s">
        <v>653</v>
      </c>
      <c r="B137" s="0" t="n">
        <v>20</v>
      </c>
      <c r="C137" s="0" t="s">
        <v>591</v>
      </c>
      <c r="D137" s="0" t="n">
        <v>1226.1</v>
      </c>
      <c r="E137" s="0" t="n">
        <v>444.6</v>
      </c>
      <c r="F137" s="0" t="n">
        <v>2190.8</v>
      </c>
      <c r="G137" s="0" t="n">
        <v>-0.692</v>
      </c>
      <c r="H137" s="0" t="n">
        <v>-1.349</v>
      </c>
      <c r="I137" s="0" t="n">
        <v>-0.217</v>
      </c>
      <c r="J137" s="0" t="s">
        <v>645</v>
      </c>
      <c r="K137" s="0" t="n">
        <v>0</v>
      </c>
      <c r="L137" s="0" t="n">
        <v>0</v>
      </c>
      <c r="M137" s="0" t="n">
        <v>-4772</v>
      </c>
      <c r="N137" s="0" t="n">
        <v>-5885</v>
      </c>
      <c r="O137" s="0" t="n">
        <v>-3798</v>
      </c>
    </row>
    <row r="138" customFormat="false" ht="15" hidden="false" customHeight="false" outlineLevel="0" collapsed="false">
      <c r="A138" s="0" t="s">
        <v>653</v>
      </c>
      <c r="B138" s="0" t="n">
        <v>20</v>
      </c>
      <c r="C138" s="0" t="s">
        <v>646</v>
      </c>
      <c r="D138" s="0" t="n">
        <v>-163.1</v>
      </c>
      <c r="E138" s="0" t="n">
        <v>-715.8</v>
      </c>
      <c r="F138" s="0" t="n">
        <v>360.7</v>
      </c>
      <c r="G138" s="0" t="n">
        <v>0.091</v>
      </c>
      <c r="H138" s="0" t="n">
        <v>-0.239</v>
      </c>
      <c r="I138" s="0" t="n">
        <v>0.34</v>
      </c>
      <c r="J138" s="0" t="s">
        <v>645</v>
      </c>
      <c r="K138" s="0" t="n">
        <v>0</v>
      </c>
      <c r="L138" s="0" t="n">
        <v>0</v>
      </c>
      <c r="M138" s="0" t="n">
        <v>-4772</v>
      </c>
      <c r="N138" s="0" t="n">
        <v>-5885</v>
      </c>
      <c r="O138" s="0" t="n">
        <v>-3798</v>
      </c>
    </row>
    <row r="139" customFormat="false" ht="15" hidden="false" customHeight="false" outlineLevel="0" collapsed="false">
      <c r="A139" s="0" t="s">
        <v>653</v>
      </c>
      <c r="B139" s="0" t="n">
        <v>20</v>
      </c>
      <c r="C139" s="0" t="s">
        <v>647</v>
      </c>
      <c r="D139" s="0" t="n">
        <v>1066.3</v>
      </c>
      <c r="E139" s="0" t="n">
        <v>316.3</v>
      </c>
      <c r="F139" s="0" t="n">
        <v>1905.4</v>
      </c>
      <c r="G139" s="0" t="n">
        <v>-0.603</v>
      </c>
      <c r="H139" s="0" t="n">
        <v>-1.217</v>
      </c>
      <c r="I139" s="0" t="n">
        <v>-0.152</v>
      </c>
      <c r="J139" s="0" t="s">
        <v>645</v>
      </c>
      <c r="K139" s="0" t="n">
        <v>0</v>
      </c>
      <c r="L139" s="0" t="n">
        <v>0</v>
      </c>
      <c r="M139" s="0" t="n">
        <v>-4772</v>
      </c>
      <c r="N139" s="0" t="n">
        <v>-5885</v>
      </c>
      <c r="O139" s="0" t="n">
        <v>-3798</v>
      </c>
    </row>
    <row r="140" customFormat="false" ht="15" hidden="false" customHeight="false" outlineLevel="0" collapsed="false">
      <c r="A140" s="0" t="s">
        <v>653</v>
      </c>
      <c r="B140" s="0" t="n">
        <v>20</v>
      </c>
      <c r="C140" s="0" t="s">
        <v>648</v>
      </c>
      <c r="D140" s="0" t="n">
        <v>1226.1</v>
      </c>
      <c r="E140" s="0" t="n">
        <v>444.6</v>
      </c>
      <c r="F140" s="0" t="n">
        <v>2190.8</v>
      </c>
      <c r="G140" s="0" t="n">
        <v>-0.692</v>
      </c>
      <c r="H140" s="0" t="n">
        <v>-1.349</v>
      </c>
      <c r="I140" s="0" t="n">
        <v>-0.217</v>
      </c>
      <c r="J140" s="0" t="s">
        <v>645</v>
      </c>
      <c r="K140" s="0" t="n">
        <v>0</v>
      </c>
      <c r="L140" s="0" t="n">
        <v>0</v>
      </c>
      <c r="M140" s="0" t="n">
        <v>-4772</v>
      </c>
      <c r="N140" s="0" t="n">
        <v>-5885</v>
      </c>
      <c r="O140" s="0" t="n">
        <v>-3798</v>
      </c>
    </row>
    <row r="141" customFormat="false" ht="15" hidden="false" customHeight="false" outlineLevel="0" collapsed="false">
      <c r="A141" s="0" t="s">
        <v>653</v>
      </c>
      <c r="B141" s="0" t="n">
        <v>50</v>
      </c>
      <c r="C141" s="0" t="s">
        <v>129</v>
      </c>
      <c r="D141" s="0" t="n">
        <v>2176.2</v>
      </c>
      <c r="E141" s="0" t="n">
        <v>1064.7</v>
      </c>
      <c r="F141" s="0" t="n">
        <v>3369.2</v>
      </c>
      <c r="G141" s="0" t="n">
        <v>-0.833</v>
      </c>
      <c r="H141" s="0" t="n">
        <v>-1.475</v>
      </c>
      <c r="I141" s="0" t="n">
        <v>-0.341</v>
      </c>
      <c r="J141" s="0" t="s">
        <v>645</v>
      </c>
      <c r="K141" s="0" t="n">
        <v>0</v>
      </c>
      <c r="L141" s="0" t="n">
        <v>0</v>
      </c>
      <c r="M141" s="0" t="n">
        <v>-37909</v>
      </c>
      <c r="N141" s="0" t="n">
        <v>-44738</v>
      </c>
      <c r="O141" s="0" t="n">
        <v>-31629</v>
      </c>
    </row>
    <row r="142" customFormat="false" ht="15" hidden="false" customHeight="false" outlineLevel="0" collapsed="false">
      <c r="A142" s="0" t="s">
        <v>653</v>
      </c>
      <c r="B142" s="0" t="n">
        <v>50</v>
      </c>
      <c r="C142" s="0" t="s">
        <v>590</v>
      </c>
      <c r="D142" s="0" t="n">
        <v>6239.4</v>
      </c>
      <c r="E142" s="0" t="n">
        <v>4462.8</v>
      </c>
      <c r="F142" s="0" t="n">
        <v>8292.6</v>
      </c>
      <c r="G142" s="0" t="n">
        <v>-2.377</v>
      </c>
      <c r="H142" s="0" t="n">
        <v>-3.57</v>
      </c>
      <c r="I142" s="0" t="n">
        <v>-1.488</v>
      </c>
      <c r="J142" s="0" t="s">
        <v>645</v>
      </c>
      <c r="K142" s="0" t="n">
        <v>0</v>
      </c>
      <c r="L142" s="0" t="n">
        <v>0</v>
      </c>
      <c r="M142" s="0" t="n">
        <v>-37909</v>
      </c>
      <c r="N142" s="0" t="n">
        <v>-44738</v>
      </c>
      <c r="O142" s="0" t="n">
        <v>-31629</v>
      </c>
    </row>
    <row r="143" customFormat="false" ht="15" hidden="false" customHeight="false" outlineLevel="0" collapsed="false">
      <c r="A143" s="0" t="s">
        <v>653</v>
      </c>
      <c r="B143" s="0" t="n">
        <v>50</v>
      </c>
      <c r="C143" s="0" t="s">
        <v>591</v>
      </c>
      <c r="D143" s="0" t="n">
        <v>7301.3</v>
      </c>
      <c r="E143" s="0" t="n">
        <v>5384.4</v>
      </c>
      <c r="F143" s="0" t="n">
        <v>9500.4</v>
      </c>
      <c r="G143" s="0" t="n">
        <v>-2.774</v>
      </c>
      <c r="H143" s="0" t="n">
        <v>-4.096</v>
      </c>
      <c r="I143" s="0" t="n">
        <v>-1.791</v>
      </c>
      <c r="J143" s="0" t="s">
        <v>645</v>
      </c>
      <c r="K143" s="0" t="n">
        <v>0</v>
      </c>
      <c r="L143" s="0" t="n">
        <v>0</v>
      </c>
      <c r="M143" s="0" t="n">
        <v>-37909</v>
      </c>
      <c r="N143" s="0" t="n">
        <v>-44738</v>
      </c>
      <c r="O143" s="0" t="n">
        <v>-31629</v>
      </c>
    </row>
    <row r="144" customFormat="false" ht="15" hidden="false" customHeight="false" outlineLevel="0" collapsed="false">
      <c r="A144" s="0" t="s">
        <v>653</v>
      </c>
      <c r="B144" s="0" t="n">
        <v>50</v>
      </c>
      <c r="C144" s="0" t="s">
        <v>646</v>
      </c>
      <c r="D144" s="0" t="n">
        <v>2176.2</v>
      </c>
      <c r="E144" s="0" t="n">
        <v>1064.7</v>
      </c>
      <c r="F144" s="0" t="n">
        <v>3369.2</v>
      </c>
      <c r="G144" s="0" t="n">
        <v>-0.833</v>
      </c>
      <c r="H144" s="0" t="n">
        <v>-1.475</v>
      </c>
      <c r="I144" s="0" t="n">
        <v>-0.341</v>
      </c>
      <c r="J144" s="0" t="s">
        <v>645</v>
      </c>
      <c r="K144" s="0" t="n">
        <v>0</v>
      </c>
      <c r="L144" s="0" t="n">
        <v>0</v>
      </c>
      <c r="M144" s="0" t="n">
        <v>-37909</v>
      </c>
      <c r="N144" s="0" t="n">
        <v>-44738</v>
      </c>
      <c r="O144" s="0" t="n">
        <v>-31629</v>
      </c>
    </row>
    <row r="145" customFormat="false" ht="15" hidden="false" customHeight="false" outlineLevel="0" collapsed="false">
      <c r="A145" s="0" t="s">
        <v>653</v>
      </c>
      <c r="B145" s="0" t="n">
        <v>50</v>
      </c>
      <c r="C145" s="0" t="s">
        <v>647</v>
      </c>
      <c r="D145" s="0" t="n">
        <v>6239.4</v>
      </c>
      <c r="E145" s="0" t="n">
        <v>4462.8</v>
      </c>
      <c r="F145" s="0" t="n">
        <v>8292.6</v>
      </c>
      <c r="G145" s="0" t="n">
        <v>-2.377</v>
      </c>
      <c r="H145" s="0" t="n">
        <v>-3.57</v>
      </c>
      <c r="I145" s="0" t="n">
        <v>-1.488</v>
      </c>
      <c r="J145" s="0" t="s">
        <v>645</v>
      </c>
      <c r="K145" s="0" t="n">
        <v>0</v>
      </c>
      <c r="L145" s="0" t="n">
        <v>0</v>
      </c>
      <c r="M145" s="0" t="n">
        <v>-37909</v>
      </c>
      <c r="N145" s="0" t="n">
        <v>-44738</v>
      </c>
      <c r="O145" s="0" t="n">
        <v>-31629</v>
      </c>
    </row>
    <row r="146" customFormat="false" ht="15" hidden="false" customHeight="false" outlineLevel="0" collapsed="false">
      <c r="A146" s="0" t="s">
        <v>653</v>
      </c>
      <c r="B146" s="0" t="n">
        <v>50</v>
      </c>
      <c r="C146" s="0" t="s">
        <v>648</v>
      </c>
      <c r="D146" s="0" t="n">
        <v>7301.3</v>
      </c>
      <c r="E146" s="0" t="n">
        <v>5384.4</v>
      </c>
      <c r="F146" s="0" t="n">
        <v>9500.4</v>
      </c>
      <c r="G146" s="0" t="n">
        <v>-2.774</v>
      </c>
      <c r="H146" s="0" t="n">
        <v>-4.096</v>
      </c>
      <c r="I146" s="0" t="n">
        <v>-1.791</v>
      </c>
      <c r="J146" s="0" t="s">
        <v>645</v>
      </c>
      <c r="K146" s="0" t="n">
        <v>0</v>
      </c>
      <c r="L146" s="0" t="n">
        <v>0</v>
      </c>
      <c r="M146" s="0" t="n">
        <v>-37909</v>
      </c>
      <c r="N146" s="0" t="n">
        <v>-44738</v>
      </c>
      <c r="O146" s="0" t="n">
        <v>-31629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0" t="s">
        <v>654</v>
      </c>
    </row>
    <row r="2" customFormat="false" ht="15" hidden="false" customHeight="false" outlineLevel="0" collapsed="false">
      <c r="A2" s="0" t="s">
        <v>655</v>
      </c>
    </row>
    <row r="3" customFormat="false" ht="15" hidden="false" customHeight="false" outlineLevel="0" collapsed="false">
      <c r="A3" s="0" t="s">
        <v>656</v>
      </c>
    </row>
    <row r="4" customFormat="false" ht="15" hidden="false" customHeight="false" outlineLevel="0" collapsed="false">
      <c r="A4" s="0" t="s">
        <v>657</v>
      </c>
    </row>
    <row r="5" customFormat="false" ht="15" hidden="false" customHeight="false" outlineLevel="0" collapsed="false">
      <c r="A5" s="0" t="s">
        <v>658</v>
      </c>
    </row>
    <row r="6" customFormat="false" ht="15" hidden="false" customHeight="false" outlineLevel="0" collapsed="false">
      <c r="A6" s="0" t="s">
        <v>659</v>
      </c>
    </row>
    <row r="7" customFormat="false" ht="15" hidden="false" customHeight="false" outlineLevel="0" collapsed="false">
      <c r="A7" s="0" t="s">
        <v>660</v>
      </c>
    </row>
    <row r="8" customFormat="false" ht="15" hidden="false" customHeight="false" outlineLevel="0" collapsed="false">
      <c r="A8" s="0" t="s">
        <v>661</v>
      </c>
    </row>
    <row r="9" customFormat="false" ht="15" hidden="false" customHeight="false" outlineLevel="0" collapsed="false">
      <c r="A9" s="0" t="s">
        <v>662</v>
      </c>
    </row>
    <row r="10" customFormat="false" ht="15" hidden="false" customHeight="false" outlineLevel="0" collapsed="false">
      <c r="A10" s="0" t="s">
        <v>663</v>
      </c>
    </row>
    <row r="11" customFormat="false" ht="15" hidden="false" customHeight="false" outlineLevel="0" collapsed="false">
      <c r="A11" s="0" t="s">
        <v>664</v>
      </c>
    </row>
    <row r="12" customFormat="false" ht="15" hidden="false" customHeight="false" outlineLevel="0" collapsed="false">
      <c r="A12" s="0" t="s">
        <v>665</v>
      </c>
    </row>
    <row r="13" customFormat="false" ht="15" hidden="false" customHeight="false" outlineLevel="0" collapsed="false">
      <c r="A13" s="0" t="s">
        <v>666</v>
      </c>
    </row>
    <row r="14" customFormat="false" ht="15" hidden="false" customHeight="false" outlineLevel="0" collapsed="false">
      <c r="A14" s="0" t="s">
        <v>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0"/>
  </cols>
  <sheetData>
    <row r="1" customFormat="false" ht="15" hidden="false" customHeight="false" outlineLevel="0" collapsed="false">
      <c r="A1" s="1" t="s">
        <v>668</v>
      </c>
    </row>
    <row r="2" customFormat="false" ht="15" hidden="false" customHeight="false" outlineLevel="0" collapsed="false">
      <c r="A2" s="0" t="s">
        <v>669</v>
      </c>
    </row>
    <row r="4" customFormat="false" ht="15" hidden="false" customHeight="false" outlineLevel="0" collapsed="false">
      <c r="A4" s="0" t="s">
        <v>670</v>
      </c>
      <c r="B4" s="0" t="n">
        <f aca="false">x_c_DAA+x_c_MON</f>
        <v>28525.1298861805</v>
      </c>
    </row>
    <row r="5" customFormat="false" ht="15" hidden="false" customHeight="false" outlineLevel="0" collapsed="false">
      <c r="A5" s="0" t="s">
        <v>671</v>
      </c>
      <c r="B5" s="0" t="n">
        <f aca="false">B4+x_NAV</f>
        <v>30532.0638440483</v>
      </c>
    </row>
    <row r="7" customFormat="false" ht="68.65" hidden="false" customHeight="false" outlineLevel="0" collapsed="false">
      <c r="A7" s="3" t="s">
        <v>634</v>
      </c>
      <c r="B7" s="3" t="s">
        <v>635</v>
      </c>
      <c r="C7" s="3" t="s">
        <v>672</v>
      </c>
      <c r="D7" s="3" t="s">
        <v>673</v>
      </c>
      <c r="E7" s="3" t="s">
        <v>674</v>
      </c>
      <c r="F7" s="3" t="s">
        <v>675</v>
      </c>
      <c r="G7" s="3" t="s">
        <v>676</v>
      </c>
      <c r="H7" s="3" t="s">
        <v>677</v>
      </c>
      <c r="I7" s="3" t="s">
        <v>678</v>
      </c>
      <c r="J7" s="3" t="s">
        <v>625</v>
      </c>
    </row>
    <row r="8" customFormat="false" ht="15" hidden="false" customHeight="false" outlineLevel="0" collapsed="false">
      <c r="A8" s="0" t="n">
        <v>10</v>
      </c>
      <c r="B8" s="0" t="s">
        <v>129</v>
      </c>
      <c r="C8" s="0" t="s">
        <v>679</v>
      </c>
      <c r="D8" s="0" t="n">
        <v>28525</v>
      </c>
      <c r="E8" s="0" t="n">
        <v>24577</v>
      </c>
      <c r="F8" s="0" t="n">
        <v>3949</v>
      </c>
      <c r="G8" s="0" t="s">
        <v>645</v>
      </c>
      <c r="H8" s="0" t="n">
        <v>-0.14</v>
      </c>
      <c r="I8" s="0" t="n">
        <v>5661</v>
      </c>
      <c r="J8" s="0" t="n">
        <v>0.697</v>
      </c>
    </row>
    <row r="9" customFormat="false" ht="15" hidden="false" customHeight="false" outlineLevel="0" collapsed="false">
      <c r="A9" s="0" t="n">
        <v>10</v>
      </c>
      <c r="B9" s="0" t="s">
        <v>129</v>
      </c>
      <c r="C9" s="0" t="s">
        <v>680</v>
      </c>
      <c r="D9" s="0" t="n">
        <v>30532</v>
      </c>
      <c r="E9" s="0" t="n">
        <v>24577</v>
      </c>
      <c r="F9" s="0" t="n">
        <v>5956</v>
      </c>
      <c r="G9" s="0" t="s">
        <v>645</v>
      </c>
      <c r="H9" s="0" t="n">
        <v>-0.2</v>
      </c>
      <c r="I9" s="0" t="n">
        <v>8539</v>
      </c>
      <c r="J9" s="0" t="n">
        <v>0.697</v>
      </c>
    </row>
    <row r="10" customFormat="false" ht="15" hidden="false" customHeight="false" outlineLevel="0" collapsed="false">
      <c r="A10" s="0" t="n">
        <v>10</v>
      </c>
      <c r="B10" s="0" t="s">
        <v>590</v>
      </c>
      <c r="C10" s="0" t="s">
        <v>679</v>
      </c>
      <c r="D10" s="0" t="n">
        <v>28525</v>
      </c>
      <c r="E10" s="0" t="n">
        <v>44699</v>
      </c>
      <c r="F10" s="0" t="n">
        <v>-16174</v>
      </c>
      <c r="G10" s="0" t="n">
        <v>2032</v>
      </c>
      <c r="H10" s="0" t="n">
        <v>0.57</v>
      </c>
      <c r="I10" s="0" t="n">
        <v>-23189</v>
      </c>
      <c r="J10" s="0" t="n">
        <v>0.697</v>
      </c>
    </row>
    <row r="11" customFormat="false" ht="15" hidden="false" customHeight="false" outlineLevel="0" collapsed="false">
      <c r="A11" s="0" t="n">
        <v>10</v>
      </c>
      <c r="B11" s="0" t="s">
        <v>590</v>
      </c>
      <c r="C11" s="0" t="s">
        <v>680</v>
      </c>
      <c r="D11" s="0" t="n">
        <v>30532</v>
      </c>
      <c r="E11" s="0" t="n">
        <v>44699</v>
      </c>
      <c r="F11" s="0" t="n">
        <v>-14167</v>
      </c>
      <c r="G11" s="0" t="n">
        <v>2032</v>
      </c>
      <c r="H11" s="0" t="n">
        <v>0.46</v>
      </c>
      <c r="I11" s="0" t="n">
        <v>-20312</v>
      </c>
      <c r="J11" s="0" t="n">
        <v>0.697</v>
      </c>
    </row>
    <row r="12" customFormat="false" ht="15" hidden="false" customHeight="false" outlineLevel="0" collapsed="false">
      <c r="A12" s="0" t="n">
        <v>10</v>
      </c>
      <c r="B12" s="0" t="s">
        <v>591</v>
      </c>
      <c r="C12" s="0" t="s">
        <v>679</v>
      </c>
      <c r="D12" s="0" t="n">
        <v>28525</v>
      </c>
      <c r="E12" s="0" t="n">
        <v>46844</v>
      </c>
      <c r="F12" s="0" t="n">
        <v>-18319</v>
      </c>
      <c r="G12" s="0" t="n">
        <v>2032</v>
      </c>
      <c r="H12" s="0" t="n">
        <v>0.64</v>
      </c>
      <c r="I12" s="0" t="n">
        <v>-26264</v>
      </c>
      <c r="J12" s="0" t="n">
        <v>0.697</v>
      </c>
    </row>
    <row r="13" customFormat="false" ht="15" hidden="false" customHeight="false" outlineLevel="0" collapsed="false">
      <c r="A13" s="0" t="n">
        <v>10</v>
      </c>
      <c r="B13" s="0" t="s">
        <v>591</v>
      </c>
      <c r="C13" s="0" t="s">
        <v>680</v>
      </c>
      <c r="D13" s="0" t="n">
        <v>30532</v>
      </c>
      <c r="E13" s="0" t="n">
        <v>46844</v>
      </c>
      <c r="F13" s="0" t="n">
        <v>-16312</v>
      </c>
      <c r="G13" s="0" t="n">
        <v>2032</v>
      </c>
      <c r="H13" s="0" t="n">
        <v>0.53</v>
      </c>
      <c r="I13" s="0" t="n">
        <v>-23386</v>
      </c>
      <c r="J13" s="0" t="n">
        <v>0.697</v>
      </c>
    </row>
    <row r="14" customFormat="false" ht="15" hidden="false" customHeight="false" outlineLevel="0" collapsed="false">
      <c r="A14" s="0" t="n">
        <v>20</v>
      </c>
      <c r="B14" s="0" t="s">
        <v>129</v>
      </c>
      <c r="C14" s="0" t="s">
        <v>679</v>
      </c>
      <c r="D14" s="0" t="n">
        <v>28525</v>
      </c>
      <c r="E14" s="0" t="n">
        <v>43668</v>
      </c>
      <c r="F14" s="0" t="n">
        <v>-15143</v>
      </c>
      <c r="G14" s="0" t="n">
        <v>2037</v>
      </c>
      <c r="H14" s="0" t="n">
        <v>0.53</v>
      </c>
      <c r="I14" s="0" t="n">
        <v>-10350</v>
      </c>
      <c r="J14" s="0" t="n">
        <v>1.463</v>
      </c>
    </row>
    <row r="15" customFormat="false" ht="15" hidden="false" customHeight="false" outlineLevel="0" collapsed="false">
      <c r="A15" s="0" t="n">
        <v>20</v>
      </c>
      <c r="B15" s="0" t="s">
        <v>129</v>
      </c>
      <c r="C15" s="0" t="s">
        <v>680</v>
      </c>
      <c r="D15" s="0" t="n">
        <v>30532</v>
      </c>
      <c r="E15" s="0" t="n">
        <v>43668</v>
      </c>
      <c r="F15" s="0" t="n">
        <v>-13136</v>
      </c>
      <c r="G15" s="0" t="n">
        <v>2038</v>
      </c>
      <c r="H15" s="0" t="n">
        <v>0.43</v>
      </c>
      <c r="I15" s="0" t="n">
        <v>-8978</v>
      </c>
      <c r="J15" s="0" t="n">
        <v>1.463</v>
      </c>
    </row>
    <row r="16" customFormat="false" ht="15" hidden="false" customHeight="false" outlineLevel="0" collapsed="false">
      <c r="A16" s="0" t="n">
        <v>20</v>
      </c>
      <c r="B16" s="0" t="s">
        <v>590</v>
      </c>
      <c r="C16" s="0" t="s">
        <v>679</v>
      </c>
      <c r="D16" s="0" t="n">
        <v>28525</v>
      </c>
      <c r="E16" s="0" t="n">
        <v>75179</v>
      </c>
      <c r="F16" s="0" t="n">
        <v>-46654</v>
      </c>
      <c r="G16" s="0" t="n">
        <v>2032</v>
      </c>
      <c r="H16" s="0" t="n">
        <v>1.64</v>
      </c>
      <c r="I16" s="0" t="n">
        <v>-31886</v>
      </c>
      <c r="J16" s="0" t="n">
        <v>1.463</v>
      </c>
    </row>
    <row r="17" customFormat="false" ht="15" hidden="false" customHeight="false" outlineLevel="0" collapsed="false">
      <c r="A17" s="0" t="n">
        <v>20</v>
      </c>
      <c r="B17" s="0" t="s">
        <v>590</v>
      </c>
      <c r="C17" s="0" t="s">
        <v>680</v>
      </c>
      <c r="D17" s="0" t="n">
        <v>30532</v>
      </c>
      <c r="E17" s="0" t="n">
        <v>75179</v>
      </c>
      <c r="F17" s="0" t="n">
        <v>-44647</v>
      </c>
      <c r="G17" s="0" t="n">
        <v>2032</v>
      </c>
      <c r="H17" s="0" t="n">
        <v>1.46</v>
      </c>
      <c r="I17" s="0" t="n">
        <v>-30514</v>
      </c>
      <c r="J17" s="0" t="n">
        <v>1.463</v>
      </c>
    </row>
    <row r="18" customFormat="false" ht="15" hidden="false" customHeight="false" outlineLevel="0" collapsed="false">
      <c r="A18" s="0" t="n">
        <v>20</v>
      </c>
      <c r="B18" s="0" t="s">
        <v>591</v>
      </c>
      <c r="C18" s="0" t="s">
        <v>679</v>
      </c>
      <c r="D18" s="0" t="n">
        <v>28525</v>
      </c>
      <c r="E18" s="0" t="n">
        <v>83030</v>
      </c>
      <c r="F18" s="0" t="n">
        <v>-54505</v>
      </c>
      <c r="G18" s="0" t="n">
        <v>2032</v>
      </c>
      <c r="H18" s="0" t="n">
        <v>1.91</v>
      </c>
      <c r="I18" s="0" t="n">
        <v>-37251</v>
      </c>
      <c r="J18" s="0" t="n">
        <v>1.463</v>
      </c>
    </row>
    <row r="19" customFormat="false" ht="15" hidden="false" customHeight="false" outlineLevel="0" collapsed="false">
      <c r="A19" s="0" t="n">
        <v>20</v>
      </c>
      <c r="B19" s="0" t="s">
        <v>591</v>
      </c>
      <c r="C19" s="0" t="s">
        <v>680</v>
      </c>
      <c r="D19" s="0" t="n">
        <v>30532</v>
      </c>
      <c r="E19" s="0" t="n">
        <v>83030</v>
      </c>
      <c r="F19" s="0" t="n">
        <v>-52498</v>
      </c>
      <c r="G19" s="0" t="n">
        <v>2032</v>
      </c>
      <c r="H19" s="0" t="n">
        <v>1.72</v>
      </c>
      <c r="I19" s="0" t="n">
        <v>-35880</v>
      </c>
      <c r="J19" s="0" t="n">
        <v>1.463</v>
      </c>
    </row>
    <row r="20" customFormat="false" ht="15" hidden="false" customHeight="false" outlineLevel="0" collapsed="false">
      <c r="A20" s="0" t="n">
        <v>50</v>
      </c>
      <c r="B20" s="0" t="s">
        <v>129</v>
      </c>
      <c r="C20" s="0" t="s">
        <v>679</v>
      </c>
      <c r="D20" s="0" t="n">
        <v>28525</v>
      </c>
      <c r="E20" s="0" t="n">
        <v>59068</v>
      </c>
      <c r="F20" s="0" t="n">
        <v>-30543</v>
      </c>
      <c r="G20" s="0" t="n">
        <v>2037</v>
      </c>
      <c r="H20" s="0" t="n">
        <v>1.07</v>
      </c>
      <c r="I20" s="0" t="n">
        <v>-11566</v>
      </c>
      <c r="J20" s="0" t="n">
        <v>2.641</v>
      </c>
    </row>
    <row r="21" customFormat="false" ht="15" hidden="false" customHeight="false" outlineLevel="0" collapsed="false">
      <c r="A21" s="0" t="n">
        <v>50</v>
      </c>
      <c r="B21" s="0" t="s">
        <v>129</v>
      </c>
      <c r="C21" s="0" t="s">
        <v>680</v>
      </c>
      <c r="D21" s="0" t="n">
        <v>30532</v>
      </c>
      <c r="E21" s="0" t="n">
        <v>59068</v>
      </c>
      <c r="F21" s="0" t="n">
        <v>-28536</v>
      </c>
      <c r="G21" s="0" t="n">
        <v>2038</v>
      </c>
      <c r="H21" s="0" t="n">
        <v>0.93</v>
      </c>
      <c r="I21" s="0" t="n">
        <v>-10806</v>
      </c>
      <c r="J21" s="0" t="n">
        <v>2.641</v>
      </c>
    </row>
    <row r="22" customFormat="false" ht="15" hidden="false" customHeight="false" outlineLevel="0" collapsed="false">
      <c r="A22" s="0" t="n">
        <v>50</v>
      </c>
      <c r="B22" s="0" t="s">
        <v>590</v>
      </c>
      <c r="C22" s="0" t="s">
        <v>679</v>
      </c>
      <c r="D22" s="0" t="n">
        <v>28525</v>
      </c>
      <c r="E22" s="0" t="n">
        <v>100842</v>
      </c>
      <c r="F22" s="0" t="n">
        <v>-72317</v>
      </c>
      <c r="G22" s="0" t="n">
        <v>2032</v>
      </c>
      <c r="H22" s="0" t="n">
        <v>2.54</v>
      </c>
      <c r="I22" s="0" t="n">
        <v>-27385</v>
      </c>
      <c r="J22" s="0" t="n">
        <v>2.641</v>
      </c>
    </row>
    <row r="23" customFormat="false" ht="15" hidden="false" customHeight="false" outlineLevel="0" collapsed="false">
      <c r="A23" s="0" t="n">
        <v>50</v>
      </c>
      <c r="B23" s="0" t="s">
        <v>590</v>
      </c>
      <c r="C23" s="0" t="s">
        <v>680</v>
      </c>
      <c r="D23" s="0" t="n">
        <v>30532</v>
      </c>
      <c r="E23" s="0" t="n">
        <v>100842</v>
      </c>
      <c r="F23" s="0" t="n">
        <v>-70310</v>
      </c>
      <c r="G23" s="0" t="n">
        <v>2032</v>
      </c>
      <c r="H23" s="0" t="n">
        <v>2.3</v>
      </c>
      <c r="I23" s="0" t="n">
        <v>-26625</v>
      </c>
      <c r="J23" s="0" t="n">
        <v>2.641</v>
      </c>
    </row>
    <row r="24" customFormat="false" ht="15" hidden="false" customHeight="false" outlineLevel="0" collapsed="false">
      <c r="A24" s="0" t="n">
        <v>50</v>
      </c>
      <c r="B24" s="0" t="s">
        <v>591</v>
      </c>
      <c r="C24" s="0" t="s">
        <v>679</v>
      </c>
      <c r="D24" s="0" t="n">
        <v>28525</v>
      </c>
      <c r="E24" s="0" t="n">
        <v>116778</v>
      </c>
      <c r="F24" s="0" t="n">
        <v>-88253</v>
      </c>
      <c r="G24" s="0" t="n">
        <v>2032</v>
      </c>
      <c r="H24" s="0" t="n">
        <v>3.09</v>
      </c>
      <c r="I24" s="0" t="n">
        <v>-33420</v>
      </c>
      <c r="J24" s="0" t="n">
        <v>2.641</v>
      </c>
    </row>
    <row r="25" customFormat="false" ht="15" hidden="false" customHeight="false" outlineLevel="0" collapsed="false">
      <c r="A25" s="0" t="n">
        <v>50</v>
      </c>
      <c r="B25" s="0" t="s">
        <v>591</v>
      </c>
      <c r="C25" s="0" t="s">
        <v>680</v>
      </c>
      <c r="D25" s="0" t="n">
        <v>30532</v>
      </c>
      <c r="E25" s="0" t="n">
        <v>116778</v>
      </c>
      <c r="F25" s="0" t="n">
        <v>-86246</v>
      </c>
      <c r="G25" s="0" t="n">
        <v>2032</v>
      </c>
      <c r="H25" s="0" t="n">
        <v>2.82</v>
      </c>
      <c r="I25" s="0" t="n">
        <v>-32660</v>
      </c>
      <c r="J25" s="0" t="n">
        <v>2.641</v>
      </c>
    </row>
    <row r="27" customFormat="false" ht="15" hidden="false" customHeight="false" outlineLevel="0" collapsed="false">
      <c r="A27" s="0" t="s">
        <v>681</v>
      </c>
    </row>
    <row r="28" customFormat="false" ht="55.2" hidden="false" customHeight="false" outlineLevel="0" collapsed="false">
      <c r="A28" s="3" t="s">
        <v>634</v>
      </c>
      <c r="B28" s="3" t="s">
        <v>635</v>
      </c>
      <c r="C28" s="3" t="s">
        <v>682</v>
      </c>
      <c r="D28" s="3" t="s">
        <v>637</v>
      </c>
      <c r="E28" s="3" t="s">
        <v>638</v>
      </c>
      <c r="F28" s="3" t="s">
        <v>683</v>
      </c>
      <c r="G28" s="3" t="s">
        <v>684</v>
      </c>
      <c r="H28" s="3" t="s">
        <v>640</v>
      </c>
    </row>
    <row r="29" customFormat="false" ht="15" hidden="false" customHeight="false" outlineLevel="0" collapsed="false">
      <c r="A29" s="0" t="n">
        <v>20</v>
      </c>
      <c r="B29" s="0" t="s">
        <v>129</v>
      </c>
      <c r="C29" s="0" t="n">
        <v>-14692</v>
      </c>
      <c r="D29" s="0" t="n">
        <v>-25209</v>
      </c>
      <c r="E29" s="0" t="n">
        <v>-4259</v>
      </c>
      <c r="F29" s="0" t="n">
        <v>42899</v>
      </c>
      <c r="G29" s="0" t="n">
        <v>0.995</v>
      </c>
      <c r="H29" s="0" t="n">
        <v>2037</v>
      </c>
    </row>
    <row r="30" customFormat="false" ht="15" hidden="false" customHeight="false" outlineLevel="0" collapsed="false">
      <c r="A30" s="0" t="n">
        <v>20</v>
      </c>
      <c r="B30" s="0" t="s">
        <v>590</v>
      </c>
      <c r="C30" s="0" t="n">
        <v>-44871</v>
      </c>
      <c r="D30" s="0" t="n">
        <v>-64060</v>
      </c>
      <c r="E30" s="0" t="n">
        <v>-27593</v>
      </c>
      <c r="F30" s="0" t="n">
        <v>73325</v>
      </c>
      <c r="G30" s="0" t="n">
        <v>1</v>
      </c>
      <c r="H30" s="0" t="n">
        <v>2032</v>
      </c>
    </row>
    <row r="31" customFormat="false" ht="15" hidden="false" customHeight="false" outlineLevel="0" collapsed="false">
      <c r="A31" s="0" t="n">
        <v>20</v>
      </c>
      <c r="B31" s="0" t="s">
        <v>591</v>
      </c>
      <c r="C31" s="0" t="n">
        <v>-52284</v>
      </c>
      <c r="D31" s="0" t="n">
        <v>-76748</v>
      </c>
      <c r="E31" s="0" t="n">
        <v>-32520</v>
      </c>
      <c r="F31" s="0" t="n">
        <v>80876</v>
      </c>
      <c r="G31" s="0" t="n">
        <v>1</v>
      </c>
      <c r="H31" s="0" t="n">
        <v>2032</v>
      </c>
    </row>
    <row r="32" customFormat="false" ht="15" hidden="false" customHeight="false" outlineLevel="0" collapsed="false">
      <c r="A32" s="0" t="n">
        <v>50</v>
      </c>
      <c r="B32" s="0" t="s">
        <v>129</v>
      </c>
      <c r="C32" s="0" t="n">
        <v>-29439</v>
      </c>
      <c r="D32" s="0" t="n">
        <v>-43038</v>
      </c>
      <c r="E32" s="0" t="n">
        <v>-16719</v>
      </c>
      <c r="F32" s="0" t="n">
        <v>57725</v>
      </c>
      <c r="G32" s="0" t="n">
        <v>1</v>
      </c>
      <c r="H32" s="0" t="n">
        <v>2037</v>
      </c>
    </row>
    <row r="33" customFormat="false" ht="15" hidden="false" customHeight="false" outlineLevel="0" collapsed="false">
      <c r="A33" s="0" t="n">
        <v>50</v>
      </c>
      <c r="B33" s="0" t="s">
        <v>590</v>
      </c>
      <c r="C33" s="0" t="n">
        <v>-70064</v>
      </c>
      <c r="D33" s="0" t="n">
        <v>-96638</v>
      </c>
      <c r="E33" s="0" t="n">
        <v>-45665</v>
      </c>
      <c r="F33" s="0" t="n">
        <v>98383</v>
      </c>
      <c r="G33" s="0" t="n">
        <v>1</v>
      </c>
      <c r="H33" s="0" t="n">
        <v>2032</v>
      </c>
    </row>
    <row r="34" customFormat="false" ht="15" hidden="false" customHeight="false" outlineLevel="0" collapsed="false">
      <c r="A34" s="0" t="n">
        <v>50</v>
      </c>
      <c r="B34" s="0" t="s">
        <v>591</v>
      </c>
      <c r="C34" s="0" t="n">
        <v>-85424</v>
      </c>
      <c r="D34" s="0" t="n">
        <v>-121449</v>
      </c>
      <c r="E34" s="0" t="n">
        <v>-55254</v>
      </c>
      <c r="F34" s="0" t="n">
        <v>114004</v>
      </c>
      <c r="G34" s="0" t="n">
        <v>1</v>
      </c>
      <c r="H34" s="0" t="n">
        <v>2032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2"/>
  </cols>
  <sheetData>
    <row r="1" customFormat="false" ht="15" hidden="false" customHeight="false" outlineLevel="0" collapsed="false">
      <c r="A1" s="1" t="s">
        <v>685</v>
      </c>
    </row>
    <row r="2" customFormat="false" ht="55.2" hidden="false" customHeight="false" outlineLevel="0" collapsed="false">
      <c r="A2" s="3" t="s">
        <v>686</v>
      </c>
      <c r="B2" s="3" t="s">
        <v>687</v>
      </c>
      <c r="C2" s="3" t="s">
        <v>688</v>
      </c>
      <c r="D2" s="3" t="s">
        <v>689</v>
      </c>
      <c r="E2" s="3" t="s">
        <v>690</v>
      </c>
      <c r="F2" s="3" t="s">
        <v>691</v>
      </c>
      <c r="G2" s="3" t="s">
        <v>692</v>
      </c>
      <c r="H2" s="3" t="s">
        <v>693</v>
      </c>
      <c r="I2" s="3" t="s">
        <v>694</v>
      </c>
      <c r="J2" s="3" t="s">
        <v>695</v>
      </c>
      <c r="K2" s="3" t="s">
        <v>696</v>
      </c>
      <c r="L2" s="3" t="s">
        <v>697</v>
      </c>
      <c r="M2" s="3" t="s">
        <v>698</v>
      </c>
      <c r="N2" s="3" t="s">
        <v>699</v>
      </c>
      <c r="O2" s="3" t="s">
        <v>700</v>
      </c>
      <c r="P2" s="3" t="s">
        <v>701</v>
      </c>
      <c r="Q2" s="3" t="s">
        <v>702</v>
      </c>
      <c r="R2" s="3" t="s">
        <v>703</v>
      </c>
      <c r="S2" s="3" t="s">
        <v>704</v>
      </c>
    </row>
    <row r="3" customFormat="false" ht="15" hidden="false" customHeight="false" outlineLevel="0" collapsed="false">
      <c r="A3" s="0" t="s">
        <v>705</v>
      </c>
      <c r="B3" s="0" t="n">
        <v>1128.9</v>
      </c>
      <c r="C3" s="0" t="n">
        <v>6353</v>
      </c>
      <c r="D3" s="0" t="n">
        <v>295.9</v>
      </c>
      <c r="E3" s="0" t="n">
        <v>-70.2</v>
      </c>
      <c r="F3" s="0" t="n">
        <v>96.3</v>
      </c>
      <c r="G3" s="0" t="n">
        <v>2438.9</v>
      </c>
      <c r="H3" s="0" t="n">
        <v>1716</v>
      </c>
      <c r="I3" s="0" t="n">
        <v>-89.1</v>
      </c>
      <c r="J3" s="0" t="n">
        <v>66049</v>
      </c>
      <c r="K3" s="0" t="n">
        <v>72483</v>
      </c>
      <c r="L3" s="0" t="n">
        <v>67446</v>
      </c>
      <c r="M3" s="0" t="n">
        <v>165038</v>
      </c>
      <c r="N3" s="0" t="n">
        <v>20463</v>
      </c>
      <c r="O3" s="0" t="s">
        <v>645</v>
      </c>
      <c r="P3" s="0" t="n">
        <v>43.8</v>
      </c>
      <c r="Q3" s="0" t="n">
        <v>922</v>
      </c>
      <c r="R3" s="0" t="n">
        <v>712</v>
      </c>
      <c r="S3" s="0" t="n">
        <v>1590</v>
      </c>
    </row>
    <row r="4" customFormat="false" ht="15" hidden="false" customHeight="false" outlineLevel="0" collapsed="false">
      <c r="A4" s="0" t="s">
        <v>706</v>
      </c>
      <c r="B4" s="0" t="n">
        <v>1267.9</v>
      </c>
      <c r="C4" s="0" t="n">
        <v>6854.4</v>
      </c>
      <c r="D4" s="0" t="n">
        <v>229.3</v>
      </c>
      <c r="E4" s="0" t="n">
        <v>-136.8</v>
      </c>
      <c r="F4" s="0" t="n">
        <v>81.5</v>
      </c>
      <c r="G4" s="0" t="n">
        <v>2292</v>
      </c>
      <c r="H4" s="0" t="n">
        <v>1440.1</v>
      </c>
      <c r="I4" s="0" t="n">
        <v>-365</v>
      </c>
      <c r="J4" s="0" t="n">
        <v>61286</v>
      </c>
      <c r="K4" s="0" t="n">
        <v>69495</v>
      </c>
      <c r="L4" s="0" t="n">
        <v>64055</v>
      </c>
      <c r="M4" s="0" t="n">
        <v>160139</v>
      </c>
      <c r="N4" s="0" t="n">
        <v>19400</v>
      </c>
      <c r="O4" s="0" t="s">
        <v>645</v>
      </c>
      <c r="P4" s="0" t="n">
        <v>34.1</v>
      </c>
      <c r="Q4" s="0" t="n">
        <v>481</v>
      </c>
      <c r="R4" s="0" t="n">
        <v>613</v>
      </c>
      <c r="S4" s="0" t="n">
        <v>3092</v>
      </c>
    </row>
    <row r="5" customFormat="false" ht="15" hidden="false" customHeight="false" outlineLevel="0" collapsed="false">
      <c r="A5" s="0" t="s">
        <v>707</v>
      </c>
      <c r="B5" s="0" t="n">
        <v>426.3</v>
      </c>
      <c r="C5" s="0" t="n">
        <v>5323.8</v>
      </c>
      <c r="D5" s="0" t="n">
        <v>376.6</v>
      </c>
      <c r="E5" s="0" t="n">
        <v>10.4</v>
      </c>
      <c r="F5" s="0" t="n">
        <v>140.6</v>
      </c>
      <c r="G5" s="0" t="n">
        <v>2802</v>
      </c>
      <c r="H5" s="0" t="n">
        <v>2079.2</v>
      </c>
      <c r="I5" s="0" t="n">
        <v>274.1</v>
      </c>
      <c r="J5" s="0" t="n">
        <v>75884</v>
      </c>
      <c r="K5" s="0" t="n">
        <v>82318</v>
      </c>
      <c r="L5" s="0" t="n">
        <v>77745</v>
      </c>
      <c r="M5" s="0" t="n">
        <v>175355</v>
      </c>
      <c r="N5" s="0" t="n">
        <v>28508</v>
      </c>
      <c r="O5" s="0" t="s">
        <v>645</v>
      </c>
      <c r="P5" s="0" t="n">
        <v>43.8</v>
      </c>
      <c r="Q5" s="0" t="n">
        <v>922</v>
      </c>
      <c r="R5" s="0" t="n">
        <v>712</v>
      </c>
      <c r="S5" s="0" t="n">
        <v>1590</v>
      </c>
    </row>
    <row r="6" customFormat="false" ht="15" hidden="false" customHeight="false" outlineLevel="0" collapsed="false">
      <c r="A6" s="0" t="s">
        <v>708</v>
      </c>
      <c r="B6" s="0" t="n">
        <v>-3610.5</v>
      </c>
      <c r="C6" s="0" t="n">
        <v>-589.6</v>
      </c>
      <c r="D6" s="0" t="n">
        <v>840.1</v>
      </c>
      <c r="E6" s="0" t="n">
        <v>474</v>
      </c>
      <c r="F6" s="0" t="n">
        <v>395.4</v>
      </c>
      <c r="G6" s="0" t="n">
        <v>4888.5</v>
      </c>
      <c r="H6" s="0" t="n">
        <v>4165.7</v>
      </c>
      <c r="I6" s="0" t="n">
        <v>2360.6</v>
      </c>
      <c r="J6" s="0" t="n">
        <v>132390</v>
      </c>
      <c r="K6" s="0" t="n">
        <v>138824</v>
      </c>
      <c r="L6" s="0" t="n">
        <v>136920</v>
      </c>
      <c r="M6" s="0" t="n">
        <v>234630</v>
      </c>
      <c r="N6" s="0" t="n">
        <v>74726</v>
      </c>
      <c r="O6" s="0" t="s">
        <v>645</v>
      </c>
      <c r="P6" s="0" t="n">
        <v>43.8</v>
      </c>
      <c r="Q6" s="0" t="n">
        <v>922</v>
      </c>
      <c r="R6" s="0" t="n">
        <v>712</v>
      </c>
      <c r="S6" s="0" t="n">
        <v>1590</v>
      </c>
    </row>
    <row r="7" customFormat="false" ht="15" hidden="false" customHeight="false" outlineLevel="0" collapsed="false">
      <c r="A7" s="0" t="s">
        <v>709</v>
      </c>
      <c r="B7" s="0" t="n">
        <v>1004.8</v>
      </c>
      <c r="C7" s="0" t="n">
        <v>5234.4</v>
      </c>
      <c r="D7" s="0" t="n">
        <v>287.5</v>
      </c>
      <c r="E7" s="0" t="n">
        <v>-78.6</v>
      </c>
      <c r="F7" s="0" t="n">
        <v>96.2</v>
      </c>
      <c r="G7" s="0" t="n">
        <v>2405.2</v>
      </c>
      <c r="H7" s="0" t="n">
        <v>1690.5</v>
      </c>
      <c r="I7" s="0" t="n">
        <v>-114.6</v>
      </c>
      <c r="J7" s="0" t="n">
        <v>66109</v>
      </c>
      <c r="K7" s="0" t="n">
        <v>72674</v>
      </c>
      <c r="L7" s="0" t="n">
        <v>68093</v>
      </c>
      <c r="M7" s="0" t="n">
        <v>168053</v>
      </c>
      <c r="N7" s="0" t="n">
        <v>20024</v>
      </c>
      <c r="O7" s="0" t="s">
        <v>645</v>
      </c>
      <c r="P7" s="0" t="n">
        <v>43.8</v>
      </c>
      <c r="Q7" s="0" t="n">
        <v>922</v>
      </c>
      <c r="R7" s="0" t="n">
        <v>712</v>
      </c>
      <c r="S7" s="0" t="n">
        <v>1590</v>
      </c>
    </row>
    <row r="8" customFormat="false" ht="15" hidden="false" customHeight="false" outlineLevel="0" collapsed="false">
      <c r="A8" s="0" t="s">
        <v>710</v>
      </c>
      <c r="B8" s="0" t="n">
        <v>1494.9</v>
      </c>
      <c r="C8" s="0" t="n">
        <v>6512.3</v>
      </c>
      <c r="D8" s="0" t="n">
        <v>-223.4</v>
      </c>
      <c r="E8" s="0" t="n">
        <v>-589.5</v>
      </c>
      <c r="F8" s="0" t="n">
        <v>-9.1</v>
      </c>
      <c r="G8" s="0" t="n">
        <v>844.5</v>
      </c>
      <c r="H8" s="0" t="n">
        <v>-389</v>
      </c>
      <c r="I8" s="0" t="n">
        <v>-2194.1</v>
      </c>
      <c r="J8" s="0" t="n">
        <v>22872</v>
      </c>
      <c r="K8" s="0" t="n">
        <v>45707</v>
      </c>
      <c r="L8" s="0" t="n">
        <v>36420</v>
      </c>
      <c r="M8" s="0" t="n">
        <v>133974</v>
      </c>
      <c r="N8" s="0" t="n">
        <v>10109</v>
      </c>
      <c r="O8" s="0" t="n">
        <v>2058</v>
      </c>
      <c r="P8" s="0" t="n">
        <v>211.6</v>
      </c>
      <c r="Q8" s="0" t="n">
        <v>922</v>
      </c>
      <c r="R8" s="0" t="n">
        <v>712</v>
      </c>
      <c r="S8" s="0" t="n">
        <v>1590</v>
      </c>
    </row>
    <row r="9" customFormat="false" ht="15" hidden="false" customHeight="false" outlineLevel="0" collapsed="false">
      <c r="A9" s="0" t="s">
        <v>711</v>
      </c>
      <c r="B9" s="0" t="n">
        <v>953.8</v>
      </c>
      <c r="C9" s="0" t="n">
        <v>6082.3</v>
      </c>
      <c r="D9" s="0" t="n">
        <v>303.3</v>
      </c>
      <c r="E9" s="0" t="n">
        <v>-62.8</v>
      </c>
      <c r="F9" s="0" t="n">
        <v>99.1</v>
      </c>
      <c r="G9" s="0" t="n">
        <v>2469.9</v>
      </c>
      <c r="H9" s="0" t="n">
        <v>1746.9</v>
      </c>
      <c r="I9" s="0" t="n">
        <v>-58.2</v>
      </c>
      <c r="J9" s="0" t="n">
        <v>69964</v>
      </c>
      <c r="K9" s="0" t="n">
        <v>76195</v>
      </c>
      <c r="L9" s="0" t="n">
        <v>71427</v>
      </c>
      <c r="M9" s="0" t="n">
        <v>174154</v>
      </c>
      <c r="N9" s="0" t="n">
        <v>21109</v>
      </c>
      <c r="O9" s="0" t="s">
        <v>645</v>
      </c>
      <c r="P9" s="0" t="n">
        <v>43.7</v>
      </c>
      <c r="Q9" s="0" t="n">
        <v>922</v>
      </c>
      <c r="R9" s="0" t="n">
        <v>712</v>
      </c>
      <c r="S9" s="0" t="n">
        <v>1579</v>
      </c>
    </row>
    <row r="10" customFormat="false" ht="15" hidden="false" customHeight="false" outlineLevel="0" collapsed="false">
      <c r="A10" s="0" t="s">
        <v>712</v>
      </c>
      <c r="B10" s="0" t="n">
        <v>1258.9</v>
      </c>
      <c r="C10" s="0" t="n">
        <v>6797.4</v>
      </c>
      <c r="D10" s="0" t="n">
        <v>257.6</v>
      </c>
      <c r="E10" s="0" t="n">
        <v>-108.5</v>
      </c>
      <c r="F10" s="0" t="n">
        <v>86.5</v>
      </c>
      <c r="G10" s="0" t="n">
        <v>2349.9</v>
      </c>
      <c r="H10" s="0" t="n">
        <v>1556.6</v>
      </c>
      <c r="I10" s="0" t="n">
        <v>-248.5</v>
      </c>
      <c r="J10" s="0" t="n">
        <v>63639</v>
      </c>
      <c r="K10" s="0" t="n">
        <v>72483</v>
      </c>
      <c r="L10" s="0" t="n">
        <v>67446</v>
      </c>
      <c r="M10" s="0" t="n">
        <v>165038</v>
      </c>
      <c r="N10" s="0" t="n">
        <v>20463</v>
      </c>
      <c r="O10" s="0" t="s">
        <v>645</v>
      </c>
      <c r="P10" s="0" t="n">
        <v>66.7</v>
      </c>
      <c r="Q10" s="0" t="n">
        <v>922</v>
      </c>
      <c r="R10" s="0" t="n">
        <v>712</v>
      </c>
      <c r="S10" s="0" t="n">
        <v>1590</v>
      </c>
    </row>
    <row r="11" customFormat="false" ht="15" hidden="false" customHeight="false" outlineLevel="0" collapsed="false">
      <c r="A11" s="0" t="s">
        <v>713</v>
      </c>
      <c r="B11" s="0" t="n">
        <v>1128.9</v>
      </c>
      <c r="C11" s="0" t="n">
        <v>6353</v>
      </c>
      <c r="D11" s="0" t="n">
        <v>295.9</v>
      </c>
      <c r="E11" s="0" t="n">
        <v>-70.2</v>
      </c>
      <c r="F11" s="0" t="n">
        <v>98.4</v>
      </c>
      <c r="G11" s="0" t="n">
        <v>2440.6</v>
      </c>
      <c r="H11" s="0" t="n">
        <v>1713.6</v>
      </c>
      <c r="I11" s="0" t="n">
        <v>-91.5</v>
      </c>
      <c r="J11" s="0" t="n">
        <v>65608</v>
      </c>
      <c r="K11" s="0" t="n">
        <v>72008</v>
      </c>
      <c r="L11" s="0" t="n">
        <v>67446</v>
      </c>
      <c r="M11" s="0" t="n">
        <v>165038</v>
      </c>
      <c r="N11" s="0" t="n">
        <v>20043</v>
      </c>
      <c r="O11" s="0" t="s">
        <v>645</v>
      </c>
      <c r="P11" s="0" t="n">
        <v>43.8</v>
      </c>
      <c r="Q11" s="0" t="n">
        <v>922</v>
      </c>
      <c r="R11" s="0" t="n">
        <v>712</v>
      </c>
      <c r="S11" s="0" t="n">
        <v>1590</v>
      </c>
    </row>
    <row r="12" customFormat="false" ht="15" hidden="false" customHeight="false" outlineLevel="0" collapsed="false">
      <c r="A12" s="0" t="s">
        <v>714</v>
      </c>
      <c r="B12" s="0" t="n">
        <v>1142.8</v>
      </c>
      <c r="C12" s="0" t="n">
        <v>6416.9</v>
      </c>
      <c r="D12" s="0" t="n">
        <v>290.6</v>
      </c>
      <c r="E12" s="0" t="n">
        <v>-75.5</v>
      </c>
      <c r="F12" s="0" t="n">
        <v>95.5</v>
      </c>
      <c r="G12" s="0" t="n">
        <v>2426.9</v>
      </c>
      <c r="H12" s="0" t="n">
        <v>1696.2</v>
      </c>
      <c r="I12" s="0" t="n">
        <v>-108.8</v>
      </c>
      <c r="J12" s="0" t="n">
        <v>64672</v>
      </c>
      <c r="K12" s="0" t="n">
        <v>71132</v>
      </c>
      <c r="L12" s="0" t="n">
        <v>66109</v>
      </c>
      <c r="M12" s="0" t="n">
        <v>161989</v>
      </c>
      <c r="N12" s="0" t="n">
        <v>20048</v>
      </c>
      <c r="O12" s="0" t="s">
        <v>645</v>
      </c>
      <c r="P12" s="0" t="n">
        <v>43.8</v>
      </c>
      <c r="Q12" s="0" t="n">
        <v>922</v>
      </c>
      <c r="R12" s="0" t="n">
        <v>712</v>
      </c>
      <c r="S12" s="0" t="n">
        <v>1588</v>
      </c>
    </row>
    <row r="13" customFormat="false" ht="15" hidden="false" customHeight="false" outlineLevel="0" collapsed="false">
      <c r="A13" s="0" t="s">
        <v>715</v>
      </c>
      <c r="B13" s="0" t="n">
        <v>1700.5</v>
      </c>
      <c r="C13" s="0" t="n">
        <v>7485.7</v>
      </c>
      <c r="D13" s="0" t="n">
        <v>204.1</v>
      </c>
      <c r="E13" s="0" t="n">
        <v>-162</v>
      </c>
      <c r="F13" s="0" t="n">
        <v>69</v>
      </c>
      <c r="G13" s="0" t="n">
        <v>2220.5</v>
      </c>
      <c r="H13" s="0" t="n">
        <v>1332.9</v>
      </c>
      <c r="I13" s="0" t="n">
        <v>-472.2</v>
      </c>
      <c r="J13" s="0" t="n">
        <v>56631</v>
      </c>
      <c r="K13" s="0" t="n">
        <v>68014</v>
      </c>
      <c r="L13" s="0" t="n">
        <v>62186</v>
      </c>
      <c r="M13" s="0" t="n">
        <v>152210</v>
      </c>
      <c r="N13" s="0" t="n">
        <v>19535</v>
      </c>
      <c r="O13" s="0" t="s">
        <v>645</v>
      </c>
      <c r="P13" s="0" t="n">
        <v>43.8</v>
      </c>
      <c r="Q13" s="0" t="n">
        <v>926</v>
      </c>
      <c r="R13" s="0" t="n">
        <v>715</v>
      </c>
      <c r="S13" s="0" t="n">
        <v>1632</v>
      </c>
    </row>
    <row r="14" customFormat="false" ht="15" hidden="false" customHeight="false" outlineLevel="0" collapsed="false">
      <c r="A14" s="0" t="s">
        <v>716</v>
      </c>
      <c r="B14" s="0" t="n">
        <v>698.9</v>
      </c>
      <c r="C14" s="0" t="n">
        <v>5370.1</v>
      </c>
      <c r="D14" s="0" t="n">
        <v>362.1</v>
      </c>
      <c r="E14" s="0" t="n">
        <v>-4</v>
      </c>
      <c r="F14" s="0" t="n">
        <v>112.4</v>
      </c>
      <c r="G14" s="0" t="n">
        <v>2545.6</v>
      </c>
      <c r="H14" s="0" t="n">
        <v>1993.8</v>
      </c>
      <c r="I14" s="0" t="n">
        <v>188.7</v>
      </c>
      <c r="J14" s="0" t="n">
        <v>76586</v>
      </c>
      <c r="K14" s="0" t="n">
        <v>80630</v>
      </c>
      <c r="L14" s="0" t="n">
        <v>75376</v>
      </c>
      <c r="M14" s="0" t="n">
        <v>184557</v>
      </c>
      <c r="N14" s="0" t="n">
        <v>23276</v>
      </c>
      <c r="O14" s="0" t="s">
        <v>645</v>
      </c>
      <c r="P14" s="0" t="n">
        <v>43.8</v>
      </c>
      <c r="Q14" s="0" t="n">
        <v>915</v>
      </c>
      <c r="R14" s="0" t="n">
        <v>706</v>
      </c>
      <c r="S14" s="0" t="n">
        <v>1525</v>
      </c>
    </row>
    <row r="15" customFormat="false" ht="15" hidden="false" customHeight="false" outlineLevel="0" collapsed="false">
      <c r="A15" s="0" t="s">
        <v>717</v>
      </c>
      <c r="B15" s="0" t="n">
        <v>273.4</v>
      </c>
      <c r="C15" s="0" t="n">
        <v>4080.4</v>
      </c>
      <c r="D15" s="0" t="n">
        <v>287.6</v>
      </c>
      <c r="E15" s="0" t="n">
        <v>-78.5</v>
      </c>
      <c r="F15" s="0" t="n">
        <v>92.5</v>
      </c>
      <c r="G15" s="0" t="n">
        <v>2405.1</v>
      </c>
      <c r="H15" s="0" t="n">
        <v>1681.5</v>
      </c>
      <c r="I15" s="0" t="n">
        <v>-123.6</v>
      </c>
      <c r="J15" s="0" t="n">
        <v>65134</v>
      </c>
      <c r="K15" s="0" t="n">
        <v>72483</v>
      </c>
      <c r="L15" s="0" t="n">
        <v>67446</v>
      </c>
      <c r="M15" s="0" t="n">
        <v>165038</v>
      </c>
      <c r="N15" s="0" t="n">
        <v>20463</v>
      </c>
      <c r="O15" s="0" t="s">
        <v>645</v>
      </c>
      <c r="P15" s="0" t="n">
        <v>40.9</v>
      </c>
      <c r="Q15" s="0" t="n">
        <v>922</v>
      </c>
      <c r="R15" s="0" t="n">
        <v>712</v>
      </c>
      <c r="S15" s="0" t="n">
        <v>1590</v>
      </c>
    </row>
    <row r="16" customFormat="false" ht="15" hidden="false" customHeight="false" outlineLevel="0" collapsed="false">
      <c r="A16" s="0" t="s">
        <v>718</v>
      </c>
      <c r="B16" s="0" t="n">
        <v>1035.5</v>
      </c>
      <c r="C16" s="0" t="n">
        <v>6034</v>
      </c>
      <c r="D16" s="0" t="n">
        <v>323.3</v>
      </c>
      <c r="E16" s="0" t="n">
        <v>-42.8</v>
      </c>
      <c r="F16" s="0" t="n">
        <v>103.3</v>
      </c>
      <c r="G16" s="0" t="n">
        <v>2502.8</v>
      </c>
      <c r="H16" s="0" t="n">
        <v>1830.5</v>
      </c>
      <c r="I16" s="0" t="n">
        <v>25.4</v>
      </c>
      <c r="J16" s="0" t="n">
        <v>67779</v>
      </c>
      <c r="K16" s="0" t="n">
        <v>72483</v>
      </c>
      <c r="L16" s="0" t="n">
        <v>67446</v>
      </c>
      <c r="M16" s="0" t="n">
        <v>165038</v>
      </c>
      <c r="N16" s="0" t="n">
        <v>20463</v>
      </c>
      <c r="O16" s="0" t="s">
        <v>645</v>
      </c>
      <c r="P16" s="0" t="n">
        <v>27.4</v>
      </c>
      <c r="Q16" s="0" t="n">
        <v>922</v>
      </c>
      <c r="R16" s="0" t="n">
        <v>712</v>
      </c>
      <c r="S16" s="0" t="n">
        <v>1590</v>
      </c>
    </row>
    <row r="17" customFormat="false" ht="15" hidden="false" customHeight="false" outlineLevel="0" collapsed="false">
      <c r="A17" s="0" t="s">
        <v>719</v>
      </c>
      <c r="B17" s="0" t="n">
        <v>1161.4</v>
      </c>
      <c r="C17" s="0" t="n">
        <v>6464.1</v>
      </c>
      <c r="D17" s="0" t="n">
        <v>286.3</v>
      </c>
      <c r="E17" s="0" t="n">
        <v>-79.8</v>
      </c>
      <c r="F17" s="0" t="n">
        <v>93.9</v>
      </c>
      <c r="G17" s="0" t="n">
        <v>2416.6</v>
      </c>
      <c r="H17" s="0" t="n">
        <v>1676.2</v>
      </c>
      <c r="I17" s="0" t="n">
        <v>-128.9</v>
      </c>
      <c r="J17" s="0" t="n">
        <v>65446</v>
      </c>
      <c r="K17" s="0" t="n">
        <v>72483</v>
      </c>
      <c r="L17" s="0" t="n">
        <v>67446</v>
      </c>
      <c r="M17" s="0" t="n">
        <v>165038</v>
      </c>
      <c r="N17" s="0" t="n">
        <v>20463</v>
      </c>
      <c r="O17" s="0" t="s">
        <v>645</v>
      </c>
      <c r="P17" s="0" t="n">
        <v>49.5</v>
      </c>
      <c r="Q17" s="0" t="n">
        <v>922</v>
      </c>
      <c r="R17" s="0" t="n">
        <v>712</v>
      </c>
      <c r="S17" s="0" t="n">
        <v>1590</v>
      </c>
    </row>
    <row r="18" customFormat="false" ht="15" hidden="false" customHeight="false" outlineLevel="0" collapsed="false">
      <c r="A18" s="0" t="s">
        <v>720</v>
      </c>
      <c r="B18" s="0" t="n">
        <v>1128.9</v>
      </c>
      <c r="C18" s="0" t="n">
        <v>6353</v>
      </c>
      <c r="D18" s="0" t="n">
        <v>295.9</v>
      </c>
      <c r="E18" s="0" t="n">
        <v>-70.2</v>
      </c>
      <c r="F18" s="0" t="n">
        <v>96.3</v>
      </c>
      <c r="G18" s="0" t="n">
        <v>3008.9</v>
      </c>
      <c r="H18" s="0" t="n">
        <v>1565.5</v>
      </c>
      <c r="I18" s="0" t="n">
        <v>-239.6</v>
      </c>
      <c r="J18" s="0" t="n">
        <v>42074</v>
      </c>
      <c r="K18" s="0" t="n">
        <v>49088</v>
      </c>
      <c r="L18" s="0" t="n">
        <v>67446</v>
      </c>
      <c r="M18" s="0" t="n">
        <v>48036</v>
      </c>
      <c r="N18" s="0" t="n">
        <v>20463</v>
      </c>
      <c r="O18" s="0" t="s">
        <v>645</v>
      </c>
      <c r="P18" s="0" t="n">
        <v>43.8</v>
      </c>
      <c r="Q18" s="0" t="n">
        <v>922</v>
      </c>
      <c r="R18" s="0" t="n">
        <v>712</v>
      </c>
      <c r="S18" s="0" t="n">
        <v>1590</v>
      </c>
    </row>
    <row r="19" customFormat="false" ht="15" hidden="false" customHeight="false" outlineLevel="0" collapsed="false">
      <c r="A19" s="0" t="s">
        <v>721</v>
      </c>
      <c r="B19" s="0" t="n">
        <v>1128.9</v>
      </c>
      <c r="C19" s="0" t="n">
        <v>6353</v>
      </c>
      <c r="D19" s="0" t="n">
        <v>242.5</v>
      </c>
      <c r="E19" s="0" t="n">
        <v>-123.6</v>
      </c>
      <c r="F19" s="0" t="n">
        <v>96.3</v>
      </c>
      <c r="G19" s="0" t="n">
        <v>2671.7</v>
      </c>
      <c r="H19" s="0" t="n">
        <v>1647.8</v>
      </c>
      <c r="I19" s="0" t="n">
        <v>-157.3</v>
      </c>
      <c r="J19" s="0" t="n">
        <v>52567</v>
      </c>
      <c r="K19" s="0" t="n">
        <v>59317</v>
      </c>
      <c r="L19" s="0" t="n">
        <v>47535</v>
      </c>
      <c r="M19" s="0" t="n">
        <v>165038</v>
      </c>
      <c r="N19" s="0" t="n">
        <v>20463</v>
      </c>
      <c r="O19" s="0" t="s">
        <v>645</v>
      </c>
      <c r="P19" s="0" t="n">
        <v>43.8</v>
      </c>
      <c r="Q19" s="0" t="n">
        <v>922</v>
      </c>
      <c r="R19" s="0" t="n">
        <v>712</v>
      </c>
      <c r="S19" s="0" t="n">
        <v>1590</v>
      </c>
    </row>
    <row r="20" customFormat="false" ht="15" hidden="false" customHeight="false" outlineLevel="0" collapsed="false">
      <c r="A20" s="0" t="s">
        <v>722</v>
      </c>
      <c r="B20" s="0" t="n">
        <v>1128.9</v>
      </c>
      <c r="C20" s="0" t="n">
        <v>6353</v>
      </c>
      <c r="D20" s="0" t="n">
        <v>295.9</v>
      </c>
      <c r="E20" s="0" t="n">
        <v>-70.2</v>
      </c>
      <c r="F20" s="0" t="n">
        <v>99.6</v>
      </c>
      <c r="G20" s="0" t="n">
        <v>2444.5</v>
      </c>
      <c r="H20" s="0" t="n">
        <v>1721</v>
      </c>
      <c r="I20" s="0" t="n">
        <v>-84.1</v>
      </c>
      <c r="J20" s="0" t="n">
        <v>65441</v>
      </c>
      <c r="K20" s="0" t="n">
        <v>71908</v>
      </c>
      <c r="L20" s="0" t="n">
        <v>67446</v>
      </c>
      <c r="M20" s="0" t="n">
        <v>165038</v>
      </c>
      <c r="N20" s="0" t="n">
        <v>20401</v>
      </c>
      <c r="O20" s="0" t="s">
        <v>645</v>
      </c>
      <c r="P20" s="0" t="n">
        <v>43.8</v>
      </c>
      <c r="Q20" s="0" t="n">
        <v>922</v>
      </c>
      <c r="R20" s="0" t="n">
        <v>712</v>
      </c>
      <c r="S20" s="0" t="n">
        <v>1590</v>
      </c>
    </row>
    <row r="21" customFormat="false" ht="15" hidden="false" customHeight="false" outlineLevel="0" collapsed="false">
      <c r="A21" s="0" t="s">
        <v>723</v>
      </c>
      <c r="B21" s="0" t="n">
        <v>1128.9</v>
      </c>
      <c r="C21" s="0" t="n">
        <v>6353</v>
      </c>
      <c r="D21" s="0" t="n">
        <v>295.9</v>
      </c>
      <c r="E21" s="0" t="n">
        <v>-70.2</v>
      </c>
      <c r="F21" s="0" t="n">
        <v>96.3</v>
      </c>
      <c r="G21" s="0" t="n">
        <v>2521.3</v>
      </c>
      <c r="H21" s="0" t="n">
        <v>1692.7</v>
      </c>
      <c r="I21" s="0" t="n">
        <v>-112.4</v>
      </c>
      <c r="J21" s="0" t="n">
        <v>59057</v>
      </c>
      <c r="K21" s="0" t="n">
        <v>65577</v>
      </c>
      <c r="L21" s="0" t="n">
        <v>67446</v>
      </c>
      <c r="M21" s="0" t="n">
        <v>165038</v>
      </c>
      <c r="N21" s="0" t="n">
        <v>20463</v>
      </c>
      <c r="O21" s="0" t="s">
        <v>645</v>
      </c>
      <c r="P21" s="0" t="n">
        <v>43.8</v>
      </c>
      <c r="Q21" s="0" t="n">
        <v>922</v>
      </c>
      <c r="R21" s="0" t="n">
        <v>712</v>
      </c>
      <c r="S21" s="0" t="n">
        <v>1590</v>
      </c>
    </row>
    <row r="22" customFormat="false" ht="15" hidden="false" customHeight="false" outlineLevel="0" collapsed="false">
      <c r="A22" s="0" t="s">
        <v>724</v>
      </c>
      <c r="B22" s="0" t="n">
        <v>1128.9</v>
      </c>
      <c r="C22" s="0" t="n">
        <v>6353</v>
      </c>
      <c r="D22" s="0" t="n">
        <v>295.9</v>
      </c>
      <c r="E22" s="0" t="n">
        <v>-70.2</v>
      </c>
      <c r="F22" s="0" t="n">
        <v>96.3</v>
      </c>
      <c r="G22" s="0" t="n">
        <v>2353.8</v>
      </c>
      <c r="H22" s="0" t="n">
        <v>1742.3</v>
      </c>
      <c r="I22" s="0" t="n">
        <v>-62.8</v>
      </c>
      <c r="J22" s="0" t="n">
        <v>75982</v>
      </c>
      <c r="K22" s="0" t="n">
        <v>82294</v>
      </c>
      <c r="L22" s="0" t="n">
        <v>67446</v>
      </c>
      <c r="M22" s="0" t="n">
        <v>165038</v>
      </c>
      <c r="N22" s="0" t="n">
        <v>20463</v>
      </c>
      <c r="O22" s="0" t="s">
        <v>645</v>
      </c>
      <c r="P22" s="0" t="n">
        <v>43.8</v>
      </c>
      <c r="Q22" s="0" t="n">
        <v>922</v>
      </c>
      <c r="R22" s="0" t="n">
        <v>712</v>
      </c>
      <c r="S22" s="0" t="n">
        <v>1590</v>
      </c>
    </row>
    <row r="23" customFormat="false" ht="15" hidden="false" customHeight="false" outlineLevel="0" collapsed="false">
      <c r="A23" s="0" t="s">
        <v>725</v>
      </c>
      <c r="B23" s="0" t="n">
        <v>1128.9</v>
      </c>
      <c r="C23" s="0" t="n">
        <v>6353</v>
      </c>
      <c r="D23" s="0" t="n">
        <v>323.4</v>
      </c>
      <c r="E23" s="0" t="n">
        <v>-42.7</v>
      </c>
      <c r="F23" s="0" t="n">
        <v>63.4</v>
      </c>
      <c r="G23" s="0" t="n">
        <v>2438.9</v>
      </c>
      <c r="H23" s="0" t="n">
        <v>1716</v>
      </c>
      <c r="I23" s="0" t="n">
        <v>-89.1</v>
      </c>
      <c r="J23" s="0" t="n">
        <v>66049</v>
      </c>
      <c r="K23" s="0" t="n">
        <v>72483</v>
      </c>
      <c r="L23" s="0" t="n">
        <v>97104</v>
      </c>
      <c r="M23" s="0" t="n">
        <v>259722</v>
      </c>
      <c r="N23" s="0" t="n">
        <v>20523</v>
      </c>
      <c r="O23" s="0" t="s">
        <v>645</v>
      </c>
      <c r="P23" s="0" t="n">
        <v>43.8</v>
      </c>
      <c r="Q23" s="0" t="n">
        <v>922</v>
      </c>
      <c r="R23" s="0" t="n">
        <v>712</v>
      </c>
      <c r="S23" s="0" t="n">
        <v>1590</v>
      </c>
    </row>
    <row r="24" customFormat="false" ht="15" hidden="false" customHeight="false" outlineLevel="0" collapsed="false">
      <c r="A24" s="0" t="s">
        <v>726</v>
      </c>
      <c r="B24" s="0" t="n">
        <v>1128.9</v>
      </c>
      <c r="C24" s="0" t="n">
        <v>6353</v>
      </c>
      <c r="D24" s="0" t="n">
        <v>295.9</v>
      </c>
      <c r="E24" s="0" t="n">
        <v>-70.2</v>
      </c>
      <c r="F24" s="0" t="n">
        <v>96.3</v>
      </c>
      <c r="G24" s="0" t="n">
        <v>2730.8</v>
      </c>
      <c r="H24" s="0" t="n">
        <v>1631.7</v>
      </c>
      <c r="I24" s="0" t="n">
        <v>-173.4</v>
      </c>
      <c r="J24" s="0" t="n">
        <v>50199</v>
      </c>
      <c r="K24" s="0" t="n">
        <v>57006</v>
      </c>
      <c r="L24" s="0" t="n">
        <v>67446</v>
      </c>
      <c r="M24" s="0" t="n">
        <v>67446</v>
      </c>
      <c r="N24" s="0" t="n">
        <v>20463</v>
      </c>
      <c r="O24" s="0" t="s">
        <v>645</v>
      </c>
      <c r="P24" s="0" t="n">
        <v>43.8</v>
      </c>
      <c r="Q24" s="0" t="n">
        <v>922</v>
      </c>
      <c r="R24" s="0" t="n">
        <v>712</v>
      </c>
      <c r="S24" s="0" t="n">
        <v>1590</v>
      </c>
    </row>
    <row r="25" customFormat="false" ht="15" hidden="false" customHeight="false" outlineLevel="0" collapsed="false">
      <c r="A25" s="0" t="s">
        <v>727</v>
      </c>
      <c r="B25" s="0" t="n">
        <v>869.5</v>
      </c>
      <c r="C25" s="0" t="n">
        <v>5061.2</v>
      </c>
      <c r="D25" s="0" t="n">
        <v>407.6</v>
      </c>
      <c r="E25" s="0" t="n">
        <v>41.5</v>
      </c>
      <c r="F25" s="0" t="n">
        <v>108.2</v>
      </c>
      <c r="G25" s="0" t="n">
        <v>2603</v>
      </c>
      <c r="H25" s="0" t="n">
        <v>2162</v>
      </c>
      <c r="I25" s="0" t="n">
        <v>356.9</v>
      </c>
      <c r="J25" s="0" t="n">
        <v>78572</v>
      </c>
      <c r="K25" s="0" t="n">
        <v>83732</v>
      </c>
      <c r="L25" s="0" t="n">
        <v>79666</v>
      </c>
      <c r="M25" s="0" t="n">
        <v>189896</v>
      </c>
      <c r="N25" s="0" t="n">
        <v>22730</v>
      </c>
      <c r="O25" s="0" t="s">
        <v>645</v>
      </c>
      <c r="P25" s="0" t="n">
        <v>43.8</v>
      </c>
      <c r="Q25" s="0" t="n">
        <v>922</v>
      </c>
      <c r="R25" s="0" t="n">
        <v>712</v>
      </c>
      <c r="S25" s="0" t="n">
        <v>1512</v>
      </c>
    </row>
    <row r="26" customFormat="false" ht="15" hidden="false" customHeight="false" outlineLevel="0" collapsed="false">
      <c r="A26" s="0" t="s">
        <v>728</v>
      </c>
      <c r="B26" s="0" t="n">
        <v>878</v>
      </c>
      <c r="C26" s="0" t="n">
        <v>5085.9</v>
      </c>
      <c r="D26" s="0" t="n">
        <v>403.8</v>
      </c>
      <c r="E26" s="0" t="n">
        <v>37.7</v>
      </c>
      <c r="F26" s="0" t="n">
        <v>107.3</v>
      </c>
      <c r="G26" s="0" t="n">
        <v>2593.9</v>
      </c>
      <c r="H26" s="0" t="n">
        <v>2146.4</v>
      </c>
      <c r="I26" s="0" t="n">
        <v>341.3</v>
      </c>
      <c r="J26" s="0" t="n">
        <v>78223</v>
      </c>
      <c r="K26" s="0" t="n">
        <v>83493</v>
      </c>
      <c r="L26" s="0" t="n">
        <v>79380</v>
      </c>
      <c r="M26" s="0" t="n">
        <v>189462</v>
      </c>
      <c r="N26" s="0" t="n">
        <v>22662</v>
      </c>
      <c r="O26" s="0" t="s">
        <v>645</v>
      </c>
      <c r="P26" s="0" t="n">
        <v>43.8</v>
      </c>
      <c r="Q26" s="0" t="n">
        <v>922</v>
      </c>
      <c r="R26" s="0" t="n">
        <v>712</v>
      </c>
      <c r="S26" s="0" t="n">
        <v>1590</v>
      </c>
    </row>
    <row r="27" customFormat="false" ht="15" hidden="false" customHeight="false" outlineLevel="0" collapsed="false">
      <c r="A27" s="0" t="s">
        <v>729</v>
      </c>
      <c r="B27" s="0" t="n">
        <v>1085</v>
      </c>
      <c r="C27" s="0" t="n">
        <v>6257.9</v>
      </c>
      <c r="D27" s="0" t="n">
        <v>304.2</v>
      </c>
      <c r="E27" s="0" t="n">
        <v>-61.9</v>
      </c>
      <c r="F27" s="0" t="n">
        <v>99.4</v>
      </c>
      <c r="G27" s="0" t="n">
        <v>2468.1</v>
      </c>
      <c r="H27" s="0" t="n">
        <v>1752</v>
      </c>
      <c r="I27" s="0" t="n">
        <v>-53.1</v>
      </c>
      <c r="J27" s="0" t="n">
        <v>67916</v>
      </c>
      <c r="K27" s="0" t="n">
        <v>74029</v>
      </c>
      <c r="L27" s="0" t="n">
        <v>68974</v>
      </c>
      <c r="M27" s="0" t="n">
        <v>168182</v>
      </c>
      <c r="N27" s="0" t="n">
        <v>20992</v>
      </c>
      <c r="O27" s="0" t="s">
        <v>645</v>
      </c>
      <c r="P27" s="0" t="n">
        <v>43.8</v>
      </c>
      <c r="Q27" s="0" t="n">
        <v>922</v>
      </c>
      <c r="R27" s="0" t="n">
        <v>712</v>
      </c>
      <c r="S27" s="0" t="n">
        <v>1590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730</v>
      </c>
    </row>
    <row r="3" customFormat="false" ht="15" hidden="false" customHeight="false" outlineLevel="0" collapsed="false">
      <c r="A3" s="0" t="s">
        <v>731</v>
      </c>
      <c r="B3" s="0" t="s">
        <v>732</v>
      </c>
      <c r="C3" s="0" t="s">
        <v>733</v>
      </c>
      <c r="D3" s="0" t="s">
        <v>734</v>
      </c>
    </row>
    <row r="4" customFormat="false" ht="15" hidden="false" customHeight="false" outlineLevel="0" collapsed="false">
      <c r="A4" s="0" t="s">
        <v>735</v>
      </c>
      <c r="B4" s="0" t="n">
        <v>2398</v>
      </c>
      <c r="C4" s="0" t="n">
        <v>55.46</v>
      </c>
      <c r="D4" s="0" t="s">
        <v>736</v>
      </c>
    </row>
    <row r="5" customFormat="false" ht="15" hidden="false" customHeight="false" outlineLevel="0" collapsed="false">
      <c r="A5" s="0" t="s">
        <v>737</v>
      </c>
      <c r="B5" s="0" t="n">
        <v>2396</v>
      </c>
      <c r="C5" s="0" t="n">
        <v>52.53</v>
      </c>
      <c r="D5" s="0" t="s">
        <v>738</v>
      </c>
    </row>
    <row r="6" customFormat="false" ht="15" hidden="false" customHeight="false" outlineLevel="0" collapsed="false">
      <c r="A6" s="0" t="s">
        <v>739</v>
      </c>
      <c r="B6" s="0" t="n">
        <v>61</v>
      </c>
      <c r="C6" s="0" t="n">
        <v>1.95</v>
      </c>
      <c r="D6" s="0" t="s">
        <v>740</v>
      </c>
    </row>
    <row r="7" customFormat="false" ht="15" hidden="false" customHeight="false" outlineLevel="0" collapsed="false">
      <c r="A7" s="0" t="s">
        <v>741</v>
      </c>
      <c r="B7" s="0" t="n">
        <v>4832</v>
      </c>
      <c r="C7" s="0" t="n">
        <v>109.98</v>
      </c>
      <c r="D7" s="0" t="s">
        <v>736</v>
      </c>
    </row>
    <row r="9" customFormat="false" ht="15" hidden="false" customHeight="false" outlineLevel="0" collapsed="false">
      <c r="A9" s="0" t="s">
        <v>742</v>
      </c>
      <c r="B9" s="0" t="s">
        <v>743</v>
      </c>
      <c r="C9" s="0" t="s">
        <v>744</v>
      </c>
      <c r="D9" s="0" t="s">
        <v>745</v>
      </c>
      <c r="E9" s="0" t="s">
        <v>273</v>
      </c>
      <c r="F9" s="0" t="s">
        <v>40</v>
      </c>
      <c r="G9" s="0" t="s">
        <v>157</v>
      </c>
    </row>
    <row r="10" customFormat="false" ht="15" hidden="false" customHeight="false" outlineLevel="0" collapsed="false">
      <c r="A10" s="0" t="s">
        <v>746</v>
      </c>
      <c r="B10" s="0" t="n">
        <v>229</v>
      </c>
      <c r="C10" s="0" t="n">
        <v>61</v>
      </c>
      <c r="D10" s="0" t="n">
        <v>88.53</v>
      </c>
      <c r="E10" s="0" t="n">
        <v>28.8</v>
      </c>
      <c r="F10" s="0" t="n">
        <v>37.6</v>
      </c>
      <c r="G10" s="0" t="n">
        <v>22.1</v>
      </c>
    </row>
    <row r="11" customFormat="false" ht="15" hidden="false" customHeight="false" outlineLevel="0" collapsed="false">
      <c r="A11" s="0" t="s">
        <v>747</v>
      </c>
      <c r="B11" s="0" t="n">
        <v>289</v>
      </c>
      <c r="C11" s="0" t="n">
        <v>66</v>
      </c>
      <c r="D11" s="0" t="n">
        <v>81.36</v>
      </c>
      <c r="E11" s="0" t="n">
        <v>29</v>
      </c>
      <c r="F11" s="0" t="n">
        <v>28.8</v>
      </c>
      <c r="G11" s="0" t="n">
        <v>23.5</v>
      </c>
    </row>
    <row r="12" customFormat="false" ht="15" hidden="false" customHeight="false" outlineLevel="0" collapsed="false">
      <c r="A12" s="0" t="s">
        <v>748</v>
      </c>
      <c r="B12" s="0" t="n">
        <v>177</v>
      </c>
      <c r="C12" s="0" t="n">
        <v>43</v>
      </c>
      <c r="D12" s="0" t="n">
        <v>13.83</v>
      </c>
      <c r="E12" s="0" t="n">
        <v>2.1</v>
      </c>
      <c r="F12" s="0" t="n">
        <v>8.2</v>
      </c>
      <c r="G12" s="0" t="n">
        <v>3.5</v>
      </c>
    </row>
    <row r="13" customFormat="false" ht="15" hidden="false" customHeight="false" outlineLevel="0" collapsed="false">
      <c r="A13" s="0" t="s">
        <v>749</v>
      </c>
      <c r="D13" s="0" t="n">
        <v>177</v>
      </c>
    </row>
    <row r="15" customFormat="false" ht="15" hidden="false" customHeight="false" outlineLevel="0" collapsed="false">
      <c r="A15" s="0" t="s">
        <v>750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1" t="s">
        <v>751</v>
      </c>
    </row>
    <row r="2" customFormat="false" ht="15" hidden="false" customHeight="false" outlineLevel="0" collapsed="false">
      <c r="A2" s="0" t="s">
        <v>752</v>
      </c>
    </row>
    <row r="3" customFormat="false" ht="15" hidden="false" customHeight="false" outlineLevel="0" collapsed="false">
      <c r="A3" s="0" t="s">
        <v>753</v>
      </c>
    </row>
    <row r="4" customFormat="false" ht="15" hidden="false" customHeight="false" outlineLevel="0" collapsed="false">
      <c r="A4" s="0" t="s">
        <v>754</v>
      </c>
    </row>
    <row r="5" customFormat="false" ht="15" hidden="false" customHeight="false" outlineLevel="0" collapsed="false">
      <c r="A5" s="0" t="s">
        <v>755</v>
      </c>
    </row>
    <row r="6" customFormat="false" ht="15" hidden="false" customHeight="false" outlineLevel="0" collapsed="false">
      <c r="A6" s="0" t="s">
        <v>756</v>
      </c>
    </row>
    <row r="7" customFormat="false" ht="15" hidden="false" customHeight="false" outlineLevel="0" collapsed="false">
      <c r="A7" s="0" t="s">
        <v>757</v>
      </c>
    </row>
    <row r="8" customFormat="false" ht="15" hidden="false" customHeight="false" outlineLevel="0" collapsed="false">
      <c r="A8" s="0" t="s">
        <v>758</v>
      </c>
    </row>
    <row r="9" customFormat="false" ht="15" hidden="false" customHeight="false" outlineLevel="0" collapsed="false">
      <c r="A9" s="0" t="s">
        <v>759</v>
      </c>
    </row>
    <row r="10" customFormat="false" ht="15" hidden="false" customHeight="false" outlineLevel="0" collapsed="false">
      <c r="A10" s="0" t="s">
        <v>760</v>
      </c>
    </row>
    <row r="11" customFormat="false" ht="15" hidden="false" customHeight="false" outlineLevel="0" collapsed="false">
      <c r="A11" s="0" t="s">
        <v>761</v>
      </c>
    </row>
    <row r="12" customFormat="false" ht="15" hidden="false" customHeight="false" outlineLevel="0" collapsed="false">
      <c r="A12" s="0" t="s">
        <v>762</v>
      </c>
    </row>
    <row r="13" customFormat="false" ht="15" hidden="false" customHeight="false" outlineLevel="0" collapsed="false">
      <c r="A13" s="0" t="s">
        <v>763</v>
      </c>
    </row>
    <row r="14" customFormat="false" ht="15" hidden="false" customHeight="false" outlineLevel="0" collapsed="false">
      <c r="A14" s="0" t="s">
        <v>764</v>
      </c>
    </row>
    <row r="15" customFormat="false" ht="15" hidden="false" customHeight="false" outlineLevel="0" collapsed="false">
      <c r="A15" s="0" t="s">
        <v>765</v>
      </c>
    </row>
    <row r="16" customFormat="false" ht="15" hidden="false" customHeight="false" outlineLevel="0" collapsed="false">
      <c r="A16" s="0" t="s">
        <v>766</v>
      </c>
    </row>
    <row r="17" customFormat="false" ht="15" hidden="false" customHeight="false" outlineLevel="0" collapsed="false">
      <c r="A17" s="0" t="s">
        <v>767</v>
      </c>
    </row>
    <row r="18" customFormat="false" ht="15" hidden="false" customHeight="false" outlineLevel="0" collapsed="false">
      <c r="A18" s="0" t="s">
        <v>768</v>
      </c>
    </row>
    <row r="19" customFormat="false" ht="15" hidden="false" customHeight="false" outlineLevel="0" collapsed="false">
      <c r="A19" s="0" t="s">
        <v>769</v>
      </c>
    </row>
    <row r="20" customFormat="false" ht="15" hidden="false" customHeight="false" outlineLevel="0" collapsed="false">
      <c r="A20" s="0" t="s">
        <v>770</v>
      </c>
    </row>
    <row r="21" customFormat="false" ht="15" hidden="false" customHeight="false" outlineLevel="0" collapsed="false">
      <c r="A21" s="0" t="s">
        <v>771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/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2026-10-28T00:00:00Z</dcterms:created>
  <dc:creator/>
  <dc:description/>
  <dc:language>en-US</dc:language>
  <dcterms:modified xsi:type="dcterms:W3CDTF">2026-10-28T00:00:00Z</dcterms:modified>
  <cp:revision>0</cp:revision>
  <dc:subject/>
  <dc:title>HCV – model inwestycji (szacunek)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