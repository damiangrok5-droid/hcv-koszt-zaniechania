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zytaj_mnie" sheetId="1" state="visible" r:id="rId1"/>
    <sheet xmlns:r="http://schemas.openxmlformats.org/officeDocument/2006/relationships" name="Parametry" sheetId="2" state="visible" r:id="rId2"/>
    <sheet xmlns:r="http://schemas.openxmlformats.org/officeDocument/2006/relationships" name="Ustawienia" sheetId="3" state="visible" r:id="rId3"/>
    <sheet xmlns:r="http://schemas.openxmlformats.org/officeDocument/2006/relationships" name="L_S1" sheetId="4" state="visible" r:id="rId4"/>
    <sheet xmlns:r="http://schemas.openxmlformats.org/officeDocument/2006/relationships" name="L_I1" sheetId="5" state="visible" r:id="rId5"/>
    <sheet xmlns:r="http://schemas.openxmlformats.org/officeDocument/2006/relationships" name="L_I3" sheetId="6" state="visible" r:id="rId6"/>
    <sheet xmlns:r="http://schemas.openxmlformats.org/officeDocument/2006/relationships" name="L_I4" sheetId="7" state="visible" r:id="rId7"/>
    <sheet xmlns:r="http://schemas.openxmlformats.org/officeDocument/2006/relationships" name="Inw_I1" sheetId="8" state="visible" r:id="rId8"/>
    <sheet xmlns:r="http://schemas.openxmlformats.org/officeDocument/2006/relationships" name="Inw_I3" sheetId="9" state="visible" r:id="rId9"/>
    <sheet xmlns:r="http://schemas.openxmlformats.org/officeDocument/2006/relationships" name="Inw_I4" sheetId="10" state="visible" r:id="rId10"/>
    <sheet xmlns:r="http://schemas.openxmlformats.org/officeDocument/2006/relationships" name="PSA_wyniki" sheetId="11" state="visible" r:id="rId11"/>
    <sheet xmlns:r="http://schemas.openxmlformats.org/officeDocument/2006/relationships" name="Metodologia" sheetId="12" state="visible" r:id="rId12"/>
    <sheet xmlns:r="http://schemas.openxmlformats.org/officeDocument/2006/relationships" name="Na_pacjenta" sheetId="13" state="visible" r:id="rId13"/>
    <sheet xmlns:r="http://schemas.openxmlformats.org/officeDocument/2006/relationships" name="Analizy_scen" sheetId="14" state="visible" r:id="rId14"/>
    <sheet xmlns:r="http://schemas.openxmlformats.org/officeDocument/2006/relationships" name="Leki_zamowienia" sheetId="15" state="visible" r:id="rId15"/>
    <sheet xmlns:r="http://schemas.openxmlformats.org/officeDocument/2006/relationships" name="Zmiany" sheetId="16" state="visible" r:id="rId16"/>
  </sheets>
  <definedNames>
    <definedName name="x_N0">Parametry!$C$2</definedName>
    <definedName name="x_AGE0">Parametry!$C$3</definedName>
    <definedName name="x_RET">Parametry!$C$4</definedName>
    <definedName name="x_D_F0">Parametry!$C$5</definedName>
    <definedName name="x_D_F1">Parametry!$C$6</definedName>
    <definedName name="x_D_F2">Parametry!$C$7</definedName>
    <definedName name="x_D_F3">Parametry!$C$8</definedName>
    <definedName name="x_D_F4">Parametry!$C$9</definedName>
    <definedName name="x_p_F0F1">Parametry!$C$10</definedName>
    <definedName name="x_p_F1F2">Parametry!$C$11</definedName>
    <definedName name="x_p_F2F3">Parametry!$C$12</definedName>
    <definedName name="x_p_F3F4">Parametry!$C$13</definedName>
    <definedName name="x_p_CCDC">Parametry!$C$14</definedName>
    <definedName name="x_p_CCHCC">Parametry!$C$15</definedName>
    <definedName name="x_p_DCHCC">Parametry!$C$16</definedName>
    <definedName name="x_p_DCLT">Parametry!$C$17</definedName>
    <definedName name="x_p_DCD">Parametry!$C$18</definedName>
    <definedName name="x_p_HCCD">Parametry!$C$19</definedName>
    <definedName name="x_p_HCCLT">Parametry!$C$20</definedName>
    <definedName name="x_p_LTD">Parametry!$C$21</definedName>
    <definedName name="x_p_PLTD">Parametry!$C$22</definedName>
    <definedName name="x_p_SCCDC">Parametry!$C$23</definedName>
    <definedName name="x_p_SCCHCC">Parametry!$C$24</definedName>
    <definedName name="x_SVR">Parametry!$C$25</definedName>
    <definedName name="x_u_F">Parametry!$C$26</definedName>
    <definedName name="x_u_CC">Parametry!$C$27</definedName>
    <definedName name="x_u_DC">Parametry!$C$28</definedName>
    <definedName name="x_u_HCC">Parametry!$C$29</definedName>
    <definedName name="x_u_LT">Parametry!$C$30</definedName>
    <definedName name="x_u_PLT">Parametry!$C$31</definedName>
    <definedName name="x_u_SVR">Parametry!$C$32</definedName>
    <definedName name="x_CPI">Parametry!$C$33</definedName>
    <definedName name="x_c_F">Parametry!$C$34</definedName>
    <definedName name="x_c_SVRn">Parametry!$C$35</definedName>
    <definedName name="x_c_CC">Parametry!$C$36</definedName>
    <definedName name="x_c_SVRcc">Parametry!$C$37</definedName>
    <definedName name="x_c_DC">Parametry!$C$38</definedName>
    <definedName name="x_c_HCC">Parametry!$C$39</definedName>
    <definedName name="x_c_LT">Parametry!$C$40</definedName>
    <definedName name="x_c_PLT">Parametry!$C$41</definedName>
    <definedName name="x_c_DAA">Parametry!$C$42</definedName>
    <definedName name="x_c_MON">Parametry!$C$43</definedName>
    <definedName name="x_c_AHCV">Parametry!$C$44</definedName>
    <definedName name="x_c_RNA">Parametry!$C$45</definedName>
    <definedName name="x_PREV_G">Parametry!$C$46</definedName>
    <definedName name="x_VIR">Parametry!$C$47</definedName>
    <definedName name="x_PREV_K">Parametry!$C$48</definedName>
    <definedName name="x_VIR_K">Parametry!$C$49</definedName>
    <definedName name="x_T_SQ">Parametry!$C$50</definedName>
    <definedName name="x_T_WHO">Parametry!$C$51</definedName>
    <definedName name="x_ZUS12_B18">Parametry!$C$52</definedName>
    <definedName name="x_ZUS12_K74">Parametry!$C$53</definedName>
    <definedName name="x_ZUS12_C22">Parametry!$C$54</definedName>
    <definedName name="x_DAYS_RATIO_B18">Parametry!$C$55</definedName>
    <definedName name="x_W_RATIO">Parametry!$C$56</definedName>
    <definedName name="x_AF_B18">Parametry!$C$57</definedName>
    <definedName name="x_AF_LIVER">Parametry!$C$58</definedName>
    <definedName name="x_z_F">Parametry!$C$59</definedName>
    <definedName name="x_PEN_K74">Parametry!$C$60</definedName>
    <definedName name="x_PEN_C22">Parametry!$C$61</definedName>
    <definedName name="x_EMP">Parametry!$C$62</definedName>
    <definedName name="x_AGRI">Parametry!$C$63</definedName>
    <definedName name="x_WAGE">Parametry!$C$64</definedName>
    <definedName name="x_WLOSS">Parametry!$C$65</definedName>
    <definedName name="x_FRIC">Parametry!$C$66</definedName>
    <definedName name="x_R_FUS">Parametry!$C$67</definedName>
    <definedName name="x_R_FP">Parametry!$C$68</definedName>
    <definedName name="x_R_NFZ">Parametry!$C$69</definedName>
    <definedName name="x_R_PIT">Parametry!$C$70</definedName>
    <definedName name="x_D_C">Parametry!$C$71</definedName>
    <definedName name="x_D_E">Parametry!$C$72</definedName>
    <definedName name="x_THR">Parametry!$C$73</definedName>
    <definedName name="x_INC">Parametry!$C$74</definedName>
    <definedName name="x_AGE_INC">Parametry!$C$75</definedName>
    <definedName name="x_RE">Parametry!$C$76</definedName>
    <definedName name="x_PWID_SH">Parametry!$C$77</definedName>
    <definedName name="x_DC0">Parametry!$C$78</definedName>
    <definedName name="x_HCC0">Parametry!$C$79</definedName>
    <definedName name="x_PLT0">Parametry!$C$80</definedName>
    <definedName name="x_LINK">Parametry!$C$81</definedName>
    <definedName name="x_LINK_UP">Parametry!$C$82</definedName>
    <definedName name="x_Y_MZ">Parametry!$C$83</definedName>
    <definedName name="x_Y_POZ">Parametry!$C$84</definedName>
    <definedName name="x_Y_LAB">Parametry!$C$85</definedName>
    <definedName name="x_Y_KEY">Parametry!$C$86</definedName>
    <definedName name="x_KEY_POOL">Parametry!$C$87</definedName>
    <definedName name="x_OH">Parametry!$C$88</definedName>
    <definedName name="x_PROG_Y">Parametry!$C$89</definedName>
    <definedName name="x_THR_INFO">Parametry!$C$90</definedName>
    <definedName name="x_K_DC">Parametry!$C$91</definedName>
    <definedName name="x_K_HCC">Parametry!$C$92</definedName>
    <definedName name="x_RAMP">Parametry!$C$93</definedName>
    <definedName name="x_CAP_OBS">Parametry!$C$94</definedName>
    <definedName name="x_AGEW_1">Parametry!$C$95</definedName>
    <definedName name="x_AGEW_2">Parametry!$C$96</definedName>
    <definedName name="x_AGEW_3">Parametry!$C$97</definedName>
    <definedName name="x_AGEW_4">Parametry!$C$98</definedName>
    <definedName name="x_RE_KEY">Parametry!$C$99</definedName>
    <definedName name="x_SMR_PWID">Parametry!$C$100</definedName>
    <definedName name="x_c_LT1">Parametry!$C$101</definedName>
    <definedName name="x_VALP">Parametry!$C$102</definedName>
    <definedName name="x_DX_IN">Parametry!$C$103</definedName>
    <definedName name="x_T_PRE">Parametry!$C$104</definedName>
    <definedName name="x_W0">Parametry!$C$105</definedName>
    <definedName name="x_CARE_ALL">Parametry!$C$106</definedName>
    <definedName name="x_HALF_CYCLE">Parametry!$C$107</definedName>
    <definedName name="x_ABS_D">Parametry!$C$108</definedName>
    <definedName name="x_NAV">Parametry!$C$109</definedName>
    <definedName name="x_FIX">Parametry!$C$110</definedName>
    <definedName name="x_INC_TREND">Parametry!$C$111</definedName>
    <definedName name="x_dk">Ustawienia!$B$2</definedName>
    <definedName name="x_de">Ustawienia!$B$3</definedName>
    <definedName name="x_H">Ustawienia!$B$4</definedName>
    <definedName name="x_testy">Ustawienia!$B$5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DDE7F3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HCV w Polsce – model inwestycji w testowanie i leczenie (arkusz z formułami)</t>
        </is>
      </c>
    </row>
    <row r="2">
      <c r="A2" s="2" t="inlineStr">
        <is>
          <t>Wszystkie wyniki są SZACUNKAMI MODELU, nie danymi. Stan danych: 28.10.2026 (wersja po audycie).</t>
        </is>
      </c>
    </row>
    <row r="3">
      <c r="A3" s="2" t="inlineStr">
        <is>
          <t>Przełącznik Ustawienia!B5 (x_testy): 0 = wariant pełny (testy w porównaniu); 1 = testy finansuje inny płatnik – porównujemy tylko koszt wyleczenia (leki, monitorowanie, nawigacja) z kosztami nieleczenia. To przesunięcie kosztu testów do innego płatnika, nie jego zniknięcie z finansów publicznych.</t>
        </is>
      </c>
    </row>
    <row r="4">
      <c r="A4" s="2" t="inlineStr">
        <is>
          <t>Arkusz Na_pacjenta: koszt wyleczenia vs koszt nieleczenia na jednego zdiagnozowanego pacjenta. Arkusz Analizy_scen: warianty założeń (K=1, cena 2017, malejąca zapadalność, opieka u wszystkich itd.). Arkusz Zmiany: lista zmian 28.10.2026.</t>
        </is>
      </c>
    </row>
    <row r="5">
      <c r="A5" s="2" t="inlineStr">
        <is>
          <t>Żółte komórki = dane wejściowe (nazwy x_…). Zmiana parametru kosztowego przelicza koszty, salda, ROI i rok zwrotu.</t>
        </is>
      </c>
    </row>
    <row r="6">
      <c r="A6" s="2" t="inlineStr">
        <is>
          <t>Liczebności stanów (arkusze L_*) pochodzą z silnika Markowa (JavaScript, ten sam co w aplikacji) i są wklejone jako wartości;</t>
        </is>
      </c>
    </row>
    <row r="7">
      <c r="A7" s="2" t="inlineStr">
        <is>
          <t>zmiana parametrów przejść/epidemiologii wymaga ponownego uruchomienia silnika (kalkulator w aplikacji robi to na żywo).</t>
        </is>
      </c>
    </row>
    <row r="8">
      <c r="A8" s="2" t="inlineStr">
        <is>
          <t>Perspektywy (AOTMiT): NFZ; sektor publiczny = NFZ + budżet (MZ/SW) + ZUS + KRUS + utracone składki i PIT; społeczna = NFZ + budżet + produktywność (ZUS to transfery).</t>
        </is>
      </c>
    </row>
    <row r="9">
      <c r="A9" s="2" t="inlineStr">
        <is>
          <t>Dyskonto: koszty 5%, efekty 3,5% (AOTMiT). Saldo &gt; 0 = koszt netto dla państwa; saldo &lt; 0 = oszczędność netto.</t>
        </is>
      </c>
    </row>
    <row r="10">
      <c r="A10" s="2" t="inlineStr">
        <is>
          <t>Liczby leczonych są roczne – nie sumuj osób między latami (suma kursów leczenia ≠ liczba unikalnych osób).</t>
        </is>
      </c>
    </row>
    <row r="11">
      <c r="A11" s="2" t="inlineStr">
        <is>
          <t>Materiał edukacyjny, neutralny; bez nazw leków i firm. Recenzja panelu ról w aplikacji jest symulowana.</t>
        </is>
      </c>
    </row>
    <row r="12">
      <c r="A12" s="2" t="inlineStr">
        <is>
          <t>Deklaracja finansowania i konfliktu interesów: Autor pracuje w sektorze farmaceutycznym. Analiza powstała prywatnie, bez zlecenia i finansowania jakiejkolwiek firmy. Nie wymienia ani nie promuje żadnych produktów leczniczych. Część wykorzystanych źródeł była finansowana przez przemysł — oznaczono to w Źródłach.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8" customWidth="1" min="2" max="2"/>
    <col width="12" customWidth="1" min="3" max="3"/>
    <col width="10" customWidth="1" min="4" max="4"/>
    <col width="10" customWidth="1" min="5" max="5"/>
    <col width="14" customWidth="1" min="6" max="6"/>
    <col width="22" customWidth="1" min="7" max="7"/>
    <col width="60" customWidth="1" min="8" max="8"/>
    <col width="12" customWidth="1" min="9" max="9"/>
    <col width="18" customWidth="1" min="10" max="10"/>
    <col width="40" customWidth="1" min="11" max="11"/>
    <col width="10" customWidth="1" min="12" max="12"/>
    <col width="10" customWidth="1" min="13" max="13"/>
  </cols>
  <sheetData>
    <row r="1">
      <c r="A1" s="3" t="inlineStr">
        <is>
          <t>id</t>
        </is>
      </c>
      <c r="B1" s="3" t="inlineStr">
        <is>
          <t>nazwa</t>
        </is>
      </c>
      <c r="C1" s="3" t="inlineStr">
        <is>
          <t>wartosc</t>
        </is>
      </c>
      <c r="D1" s="3" t="inlineStr">
        <is>
          <t>min</t>
        </is>
      </c>
      <c r="E1" s="3" t="inlineStr">
        <is>
          <t>max</t>
        </is>
      </c>
      <c r="F1" s="3" t="inlineStr">
        <is>
          <t>rozklad</t>
        </is>
      </c>
      <c r="G1" s="3" t="inlineStr">
        <is>
          <t>param_rozkladu</t>
        </is>
      </c>
      <c r="H1" s="3" t="inlineStr">
        <is>
          <t>zrodlo</t>
        </is>
      </c>
      <c r="I1" s="3" t="inlineStr">
        <is>
          <t>data_zrodla</t>
        </is>
      </c>
      <c r="J1" s="3" t="inlineStr">
        <is>
          <t>typ</t>
        </is>
      </c>
      <c r="K1" s="3" t="inlineStr">
        <is>
          <t>metoda</t>
        </is>
      </c>
      <c r="L1" s="3" t="inlineStr">
        <is>
          <t>platnik</t>
        </is>
      </c>
      <c r="M1" s="3" t="inlineStr">
        <is>
          <t>jednostka</t>
        </is>
      </c>
    </row>
    <row r="2">
      <c r="A2" t="inlineStr">
        <is>
          <t>N0</t>
        </is>
      </c>
      <c r="B2" t="inlineStr">
        <is>
          <t>Osoby z wiremią HCV w PL na start (2026)</t>
        </is>
      </c>
      <c r="C2" s="4" t="n">
        <v>155000</v>
      </c>
      <c r="D2" t="n">
        <v>145000</v>
      </c>
      <c r="E2" t="n">
        <v>165000</v>
      </c>
      <c r="F2" t="inlineStr">
        <is>
          <t>trójkątny</t>
        </is>
      </c>
      <c r="G2" t="inlineStr">
        <is>
          <t>min=145000; moda=155000; max=165000</t>
        </is>
      </c>
      <c r="H2" t="inlineStr">
        <is>
          <t>Szacunki ekspertów i Polaris Observatory (przegląd w raporcie HCV); Flisiak i in. Eur J Gastroenterol Hepatol 2015;27:70–76</t>
        </is>
      </c>
      <c r="I2" t="inlineStr">
        <is>
          <t>2020–2024</t>
        </is>
      </c>
      <c r="J2" t="inlineStr">
        <is>
          <t>dane źródłowe</t>
        </is>
      </c>
      <c r="K2" t="inlineStr">
        <is>
          <t>punkt środkowy przedziału publikowanych szacunków</t>
        </is>
      </c>
      <c r="L2" t="inlineStr">
        <is>
          <t>—</t>
        </is>
      </c>
      <c r="M2" t="inlineStr">
        <is>
          <t>osoby</t>
        </is>
      </c>
    </row>
    <row r="3">
      <c r="A3" t="inlineStr">
        <is>
          <t>AGE0</t>
        </is>
      </c>
      <c r="B3" t="inlineStr">
        <is>
          <t>Wiek startowy kohorty</t>
        </is>
      </c>
      <c r="C3" s="4" t="n">
        <v>53.33</v>
      </c>
      <c r="D3" t="n">
        <v>47.33</v>
      </c>
      <c r="E3" t="n">
        <v>59.33</v>
      </c>
      <c r="F3" t="inlineStr">
        <is>
          <t>normalny</t>
        </is>
      </c>
      <c r="G3" t="inlineStr">
        <is>
          <t>sd=3</t>
        </is>
      </c>
      <c r="H3" t="inlineStr">
        <is>
          <t>NFZ app-stat B.71 2025 wg grup wieku (n=4 839)</t>
        </is>
      </c>
      <c r="I3" t="inlineStr">
        <is>
          <t>2025</t>
        </is>
      </c>
      <c r="J3" t="inlineStr">
        <is>
          <t>prognoza/szacunek</t>
        </is>
      </c>
      <c r="K3" t="inlineStr">
        <is>
          <t>średnia ważona środków grup wieku B.71 2025 (18–40 z 7–17: 29; 41–60: 50,5; 61–80: 70,5; 81+: 85 – założenie); przesuwa cały rozkład wieku kohorty; SD 3 lata w PSA = założenie (niepewność, czy leczeni odzwierciedlają niewykrytych)</t>
        </is>
      </c>
      <c r="L3" t="inlineStr">
        <is>
          <t>—</t>
        </is>
      </c>
      <c r="M3" t="inlineStr">
        <is>
          <t>lata</t>
        </is>
      </c>
    </row>
    <row r="4">
      <c r="A4" t="inlineStr">
        <is>
          <t>RET</t>
        </is>
      </c>
      <c r="B4" t="inlineStr">
        <is>
          <t>Wiek emerytalny ważony płcią</t>
        </is>
      </c>
      <c r="C4" s="4" t="n">
        <v>63</v>
      </c>
      <c r="D4" t="n">
        <v>60</v>
      </c>
      <c r="E4" t="n">
        <v>65</v>
      </c>
      <c r="F4" t="inlineStr">
        <is>
          <t>stały (tornado)</t>
        </is>
      </c>
      <c r="G4" t="inlineStr">
        <is>
          <t>—</t>
        </is>
      </c>
      <c r="H4" t="inlineStr">
        <is>
          <t>NFZ B.71 2025 wg płci (M 55,5%); ustawa o emeryturach (60/65)</t>
        </is>
      </c>
      <c r="I4" t="inlineStr">
        <is>
          <t>2025</t>
        </is>
      </c>
      <c r="J4" t="inlineStr">
        <is>
          <t>prognoza/szacunek</t>
        </is>
      </c>
      <c r="K4" t="inlineStr">
        <is>
          <t>średnia ważona udziałem płci</t>
        </is>
      </c>
      <c r="L4" t="inlineStr">
        <is>
          <t>—</t>
        </is>
      </c>
      <c r="M4" t="inlineStr">
        <is>
          <t>lata</t>
        </is>
      </c>
    </row>
    <row r="5">
      <c r="A5" t="inlineStr">
        <is>
          <t>D_F0</t>
        </is>
      </c>
      <c r="B5" t="inlineStr">
        <is>
          <t>Rozkład włóknienia na starcie F0</t>
        </is>
      </c>
      <c r="C5" s="4" t="n">
        <v>0.213</v>
      </c>
      <c r="D5" t="inlineStr"/>
      <c r="E5" t="inlineStr"/>
      <c r="F5" t="inlineStr">
        <is>
          <t>Dirichlet</t>
        </is>
      </c>
      <c r="G5" t="inlineStr">
        <is>
          <t>alfa=180 (n=845)</t>
        </is>
      </c>
      <c r="H5" t="inlineStr">
        <is>
          <t>Pierucka 2016 (nowo rozpoznani, n=845)</t>
        </is>
      </c>
      <c r="I5" t="inlineStr">
        <is>
          <t>2016</t>
        </is>
      </c>
      <c r="J5" t="inlineStr">
        <is>
          <t>dane źródłowe</t>
        </is>
      </c>
      <c r="K5" t="inlineStr">
        <is>
          <t>udział obserwowany</t>
        </is>
      </c>
      <c r="L5" t="inlineStr">
        <is>
          <t>—</t>
        </is>
      </c>
      <c r="M5" t="inlineStr">
        <is>
          <t>odsetek</t>
        </is>
      </c>
    </row>
    <row r="6">
      <c r="A6" t="inlineStr">
        <is>
          <t>D_F1</t>
        </is>
      </c>
      <c r="B6" t="inlineStr">
        <is>
          <t>Rozkład włóknienia na starcie F1</t>
        </is>
      </c>
      <c r="C6" s="4" t="n">
        <v>0.361</v>
      </c>
      <c r="D6" t="inlineStr"/>
      <c r="E6" t="inlineStr"/>
      <c r="F6" t="inlineStr">
        <is>
          <t>Dirichlet</t>
        </is>
      </c>
      <c r="G6" t="inlineStr">
        <is>
          <t>alfa=305 (n=845)</t>
        </is>
      </c>
      <c r="H6" t="inlineStr">
        <is>
          <t>Pierucka 2016 (nowo rozpoznani, n=845)</t>
        </is>
      </c>
      <c r="I6" t="inlineStr">
        <is>
          <t>2016</t>
        </is>
      </c>
      <c r="J6" t="inlineStr">
        <is>
          <t>dane źródłowe</t>
        </is>
      </c>
      <c r="K6" t="inlineStr">
        <is>
          <t>udział obserwowany</t>
        </is>
      </c>
      <c r="L6" t="inlineStr">
        <is>
          <t>—</t>
        </is>
      </c>
      <c r="M6" t="inlineStr">
        <is>
          <t>odsetek</t>
        </is>
      </c>
    </row>
    <row r="7">
      <c r="A7" t="inlineStr">
        <is>
          <t>D_F2</t>
        </is>
      </c>
      <c r="B7" t="inlineStr">
        <is>
          <t>Rozkład włóknienia na starcie F2</t>
        </is>
      </c>
      <c r="C7" s="4" t="n">
        <v>0.233</v>
      </c>
      <c r="D7" t="inlineStr"/>
      <c r="E7" t="inlineStr"/>
      <c r="F7" t="inlineStr">
        <is>
          <t>Dirichlet</t>
        </is>
      </c>
      <c r="G7" t="inlineStr">
        <is>
          <t>alfa=197 (n=845)</t>
        </is>
      </c>
      <c r="H7" t="inlineStr">
        <is>
          <t>Pierucka 2016 (nowo rozpoznani, n=845)</t>
        </is>
      </c>
      <c r="I7" t="inlineStr">
        <is>
          <t>2016</t>
        </is>
      </c>
      <c r="J7" t="inlineStr">
        <is>
          <t>dane źródłowe</t>
        </is>
      </c>
      <c r="K7" t="inlineStr">
        <is>
          <t>udział obserwowany</t>
        </is>
      </c>
      <c r="L7" t="inlineStr">
        <is>
          <t>—</t>
        </is>
      </c>
      <c r="M7" t="inlineStr">
        <is>
          <t>odsetek</t>
        </is>
      </c>
    </row>
    <row r="8">
      <c r="A8" t="inlineStr">
        <is>
          <t>D_F3</t>
        </is>
      </c>
      <c r="B8" t="inlineStr">
        <is>
          <t>Rozkład włóknienia na starcie F3</t>
        </is>
      </c>
      <c r="C8" s="4" t="n">
        <v>0.11</v>
      </c>
      <c r="D8" t="inlineStr"/>
      <c r="E8" t="inlineStr"/>
      <c r="F8" t="inlineStr">
        <is>
          <t>Dirichlet</t>
        </is>
      </c>
      <c r="G8" t="inlineStr">
        <is>
          <t>alfa=93 (n=845)</t>
        </is>
      </c>
      <c r="H8" t="inlineStr">
        <is>
          <t>Pierucka 2016 (nowo rozpoznani, n=845)</t>
        </is>
      </c>
      <c r="I8" t="inlineStr">
        <is>
          <t>2016</t>
        </is>
      </c>
      <c r="J8" t="inlineStr">
        <is>
          <t>dane źródłowe</t>
        </is>
      </c>
      <c r="K8" t="inlineStr">
        <is>
          <t>udział obserwowany</t>
        </is>
      </c>
      <c r="L8" t="inlineStr">
        <is>
          <t>—</t>
        </is>
      </c>
      <c r="M8" t="inlineStr">
        <is>
          <t>odsetek</t>
        </is>
      </c>
    </row>
    <row r="9">
      <c r="A9" t="inlineStr">
        <is>
          <t>D_F4</t>
        </is>
      </c>
      <c r="B9" t="inlineStr">
        <is>
          <t>Rozkład włóknienia na starcie F4</t>
        </is>
      </c>
      <c r="C9" s="4" t="n">
        <v>0.083</v>
      </c>
      <c r="D9" t="inlineStr"/>
      <c r="E9" t="inlineStr"/>
      <c r="F9" t="inlineStr">
        <is>
          <t>Dirichlet</t>
        </is>
      </c>
      <c r="G9" t="inlineStr">
        <is>
          <t>alfa=70 (n=845)</t>
        </is>
      </c>
      <c r="H9" t="inlineStr">
        <is>
          <t>Pierucka 2016 (nowo rozpoznani, n=845)</t>
        </is>
      </c>
      <c r="I9" t="inlineStr">
        <is>
          <t>2016</t>
        </is>
      </c>
      <c r="J9" t="inlineStr">
        <is>
          <t>dane źródłowe</t>
        </is>
      </c>
      <c r="K9" t="inlineStr">
        <is>
          <t>udział obserwowany</t>
        </is>
      </c>
      <c r="L9" t="inlineStr">
        <is>
          <t>—</t>
        </is>
      </c>
      <c r="M9" t="inlineStr">
        <is>
          <t>odsetek</t>
        </is>
      </c>
    </row>
    <row r="10">
      <c r="A10" t="inlineStr">
        <is>
          <t>p_F0F1</t>
        </is>
      </c>
      <c r="B10" t="inlineStr">
        <is>
          <t>Prawdopodobieństwo roczne F0→F1</t>
        </is>
      </c>
      <c r="C10" s="4" t="n">
        <v>0.117</v>
      </c>
      <c r="D10" t="n">
        <v>0.104</v>
      </c>
      <c r="E10" t="n">
        <v>0.13</v>
      </c>
      <c r="F10" t="inlineStr">
        <is>
          <t>beta</t>
        </is>
      </c>
      <c r="G10" t="inlineStr">
        <is>
          <t>alfa=274.65; beta=2072.75</t>
        </is>
      </c>
      <c r="H10" t="inlineStr">
        <is>
          <t>Thein 2008 Hepatology 48:418 (metaanaliza), doi 10.1002/hep.22375</t>
        </is>
      </c>
      <c r="I10" t="inlineStr">
        <is>
          <t>2008</t>
        </is>
      </c>
      <c r="J10" t="inlineStr">
        <is>
          <t>dane zagraniczne/literatura międzynarodowa</t>
        </is>
      </c>
      <c r="K10" t="inlineStr">
        <is>
          <t>metaanaliza; SE=(górny−dolny 95% CI)/3,92</t>
        </is>
      </c>
      <c r="L10" t="inlineStr">
        <is>
          <t>—</t>
        </is>
      </c>
      <c r="M10" t="inlineStr">
        <is>
          <t>/rok</t>
        </is>
      </c>
    </row>
    <row r="11">
      <c r="A11" t="inlineStr">
        <is>
          <t>p_F1F2</t>
        </is>
      </c>
      <c r="B11" t="inlineStr">
        <is>
          <t>Prawdopodobieństwo roczne F1→F2</t>
        </is>
      </c>
      <c r="C11" s="4" t="n">
        <v>0.08500000000000001</v>
      </c>
      <c r="D11" t="n">
        <v>0.075</v>
      </c>
      <c r="E11" t="n">
        <v>0.096</v>
      </c>
      <c r="F11" t="inlineStr">
        <is>
          <t>beta</t>
        </is>
      </c>
      <c r="G11" t="inlineStr">
        <is>
          <t>alfa=230.27; beta=2478.76</t>
        </is>
      </c>
      <c r="H11" t="inlineStr">
        <is>
          <t>Thein 2008 Hepatology 48:418 (metaanaliza), doi 10.1002/hep.22375</t>
        </is>
      </c>
      <c r="I11" t="inlineStr">
        <is>
          <t>2008</t>
        </is>
      </c>
      <c r="J11" t="inlineStr">
        <is>
          <t>dane zagraniczne/literatura międzynarodowa</t>
        </is>
      </c>
      <c r="K11" t="inlineStr">
        <is>
          <t>metaanaliza; SE=(górny−dolny 95% CI)/3,92</t>
        </is>
      </c>
      <c r="L11" t="inlineStr">
        <is>
          <t>—</t>
        </is>
      </c>
      <c r="M11" t="inlineStr">
        <is>
          <t>/rok</t>
        </is>
      </c>
    </row>
    <row r="12">
      <c r="A12" t="inlineStr">
        <is>
          <t>p_F2F3</t>
        </is>
      </c>
      <c r="B12" t="inlineStr">
        <is>
          <t>Prawdopodobieństwo roczne F2→F3</t>
        </is>
      </c>
      <c r="C12" s="4" t="n">
        <v>0.12</v>
      </c>
      <c r="D12" t="n">
        <v>0.109</v>
      </c>
      <c r="E12" t="n">
        <v>0.133</v>
      </c>
      <c r="F12" t="inlineStr">
        <is>
          <t>beta</t>
        </is>
      </c>
      <c r="G12" t="inlineStr">
        <is>
          <t>alfa=337.94; beta=2478.23</t>
        </is>
      </c>
      <c r="H12" t="inlineStr">
        <is>
          <t>Thein 2008 Hepatology 48:418 (metaanaliza), doi 10.1002/hep.22375</t>
        </is>
      </c>
      <c r="I12" t="inlineStr">
        <is>
          <t>2008</t>
        </is>
      </c>
      <c r="J12" t="inlineStr">
        <is>
          <t>dane zagraniczne/literatura międzynarodowa</t>
        </is>
      </c>
      <c r="K12" t="inlineStr">
        <is>
          <t>metaanaliza; SE=(górny−dolny 95% CI)/3,92</t>
        </is>
      </c>
      <c r="L12" t="inlineStr">
        <is>
          <t>—</t>
        </is>
      </c>
      <c r="M12" t="inlineStr">
        <is>
          <t>/rok</t>
        </is>
      </c>
    </row>
    <row r="13">
      <c r="A13" t="inlineStr">
        <is>
          <t>p_F3F4</t>
        </is>
      </c>
      <c r="B13" t="inlineStr">
        <is>
          <t>Prawdopodobieństwo roczne F3→F4</t>
        </is>
      </c>
      <c r="C13" s="4" t="n">
        <v>0.116</v>
      </c>
      <c r="D13" t="n">
        <v>0.104</v>
      </c>
      <c r="E13" t="n">
        <v>0.129</v>
      </c>
      <c r="F13" t="inlineStr">
        <is>
          <t>beta</t>
        </is>
      </c>
      <c r="G13" t="inlineStr">
        <is>
          <t>alfa=292.34; beta=2227.83</t>
        </is>
      </c>
      <c r="H13" t="inlineStr">
        <is>
          <t>Thein 2008 Hepatology 48:418 (metaanaliza), doi 10.1002/hep.22375</t>
        </is>
      </c>
      <c r="I13" t="inlineStr">
        <is>
          <t>2008</t>
        </is>
      </c>
      <c r="J13" t="inlineStr">
        <is>
          <t>dane zagraniczne/literatura międzynarodowa</t>
        </is>
      </c>
      <c r="K13" t="inlineStr">
        <is>
          <t>metaanaliza; SE=(górny−dolny 95% CI)/3,92</t>
        </is>
      </c>
      <c r="L13" t="inlineStr">
        <is>
          <t>—</t>
        </is>
      </c>
      <c r="M13" t="inlineStr">
        <is>
          <t>/rok</t>
        </is>
      </c>
    </row>
    <row r="14">
      <c r="A14" t="inlineStr">
        <is>
          <t>p_CCDC</t>
        </is>
      </c>
      <c r="B14" t="inlineStr">
        <is>
          <t>Prawdopodobieństwo roczne CC→DC</t>
        </is>
      </c>
      <c r="C14" s="4" t="n">
        <v>0.0592</v>
      </c>
      <c r="D14" t="n">
        <v>0.0272</v>
      </c>
      <c r="E14" t="n">
        <v>0.08</v>
      </c>
      <c r="F14" t="inlineStr">
        <is>
          <t>beta</t>
        </is>
      </c>
      <c r="G14" t="inlineStr">
        <is>
          <t>alfa=186.85; beta=2969.48</t>
        </is>
      </c>
      <c r="H14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4" t="inlineStr">
        <is>
          <t>2017</t>
        </is>
      </c>
      <c r="J14" t="inlineStr">
        <is>
          <t>dane źródłowe (PL HTA; pierwotnie lit. międzynar.)</t>
        </is>
      </c>
      <c r="K14" t="inlineStr">
        <is>
          <t>—</t>
        </is>
      </c>
      <c r="L14" t="inlineStr">
        <is>
          <t>—</t>
        </is>
      </c>
      <c r="M14" t="inlineStr">
        <is>
          <t>/rok</t>
        </is>
      </c>
    </row>
    <row r="15">
      <c r="A15" t="inlineStr">
        <is>
          <t>p_CCHCC</t>
        </is>
      </c>
      <c r="B15" t="inlineStr">
        <is>
          <t>Prawdopodobieństwo roczne CC→HCC</t>
        </is>
      </c>
      <c r="C15" s="4" t="n">
        <v>0.0367</v>
      </c>
      <c r="D15" t="n">
        <v>0.02</v>
      </c>
      <c r="E15" t="n">
        <v>0.048</v>
      </c>
      <c r="F15" t="inlineStr">
        <is>
          <t>beta</t>
        </is>
      </c>
      <c r="G15" t="inlineStr">
        <is>
          <t>alfa=112.20; beta=2945.03</t>
        </is>
      </c>
      <c r="H15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5" t="inlineStr">
        <is>
          <t>2017</t>
        </is>
      </c>
      <c r="J15" t="inlineStr">
        <is>
          <t>dane źródłowe (PL HTA; pierwotnie lit. międzynar.)</t>
        </is>
      </c>
      <c r="K15" t="inlineStr">
        <is>
          <t>—</t>
        </is>
      </c>
      <c r="L15" t="inlineStr">
        <is>
          <t>—</t>
        </is>
      </c>
      <c r="M15" t="inlineStr">
        <is>
          <t>/rok</t>
        </is>
      </c>
    </row>
    <row r="16">
      <c r="A16" t="inlineStr">
        <is>
          <t>p_DCHCC</t>
        </is>
      </c>
      <c r="B16" t="inlineStr">
        <is>
          <t>Prawdopodobieństwo roczne DC→HCC</t>
        </is>
      </c>
      <c r="C16" s="4" t="n">
        <v>0.0215</v>
      </c>
      <c r="D16" t="n">
        <v>0.0131</v>
      </c>
      <c r="E16" t="n">
        <v>0.06809999999999999</v>
      </c>
      <c r="F16" t="inlineStr">
        <is>
          <t>beta</t>
        </is>
      </c>
      <c r="G16" t="inlineStr">
        <is>
          <t>alfa=28.25; beta=1285.61</t>
        </is>
      </c>
      <c r="H16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6" t="inlineStr">
        <is>
          <t>2017</t>
        </is>
      </c>
      <c r="J16" t="inlineStr">
        <is>
          <t>dane źródłowe (PL HTA; pierwotnie lit. międzynar.)</t>
        </is>
      </c>
      <c r="K16" t="inlineStr">
        <is>
          <t>—</t>
        </is>
      </c>
      <c r="L16" t="inlineStr">
        <is>
          <t>—</t>
        </is>
      </c>
      <c r="M16" t="inlineStr">
        <is>
          <t>/rok</t>
        </is>
      </c>
    </row>
    <row r="17">
      <c r="A17" t="inlineStr">
        <is>
          <t>p_DCLT</t>
        </is>
      </c>
      <c r="B17" t="inlineStr">
        <is>
          <t>Prawdopodobieństwo roczne DC→LT</t>
        </is>
      </c>
      <c r="C17" s="4" t="n">
        <v>0.0418</v>
      </c>
      <c r="D17" t="n">
        <v>0.0376</v>
      </c>
      <c r="E17" t="n">
        <v>0.046</v>
      </c>
      <c r="F17" t="inlineStr">
        <is>
          <t>beta</t>
        </is>
      </c>
      <c r="G17" t="inlineStr">
        <is>
          <t>alfa=3.02; beta=69.13</t>
        </is>
      </c>
      <c r="H17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7" t="inlineStr">
        <is>
          <t>2017</t>
        </is>
      </c>
      <c r="J17" t="inlineStr">
        <is>
          <t>dane źródłowe (PL HTA; pierwotnie lit. międzynar.)</t>
        </is>
      </c>
      <c r="K17" t="inlineStr">
        <is>
          <t>—</t>
        </is>
      </c>
      <c r="L17" t="inlineStr">
        <is>
          <t>—</t>
        </is>
      </c>
      <c r="M17" t="inlineStr">
        <is>
          <t>/rok</t>
        </is>
      </c>
    </row>
    <row r="18">
      <c r="A18" t="inlineStr">
        <is>
          <t>p_DCD</t>
        </is>
      </c>
      <c r="B18" t="inlineStr">
        <is>
          <t>Prawdopodobieństwo roczne DC→zgon wątrobowy</t>
        </is>
      </c>
      <c r="C18" s="4" t="n">
        <v>0.1081</v>
      </c>
      <c r="D18" t="n">
        <v>0.0934</v>
      </c>
      <c r="E18" t="n">
        <v>0.1228</v>
      </c>
      <c r="F18" t="inlineStr">
        <is>
          <t>beta</t>
        </is>
      </c>
      <c r="G18" t="inlineStr">
        <is>
          <t>alfa=185.18; beta=1527.85</t>
        </is>
      </c>
      <c r="H18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8" t="inlineStr">
        <is>
          <t>2017</t>
        </is>
      </c>
      <c r="J18" t="inlineStr">
        <is>
          <t>dane źródłowe (PL HTA; pierwotnie lit. międzynar.)</t>
        </is>
      </c>
      <c r="K18" t="inlineStr">
        <is>
          <t>—</t>
        </is>
      </c>
      <c r="L18" t="inlineStr">
        <is>
          <t>—</t>
        </is>
      </c>
      <c r="M18" t="inlineStr">
        <is>
          <t>/rok</t>
        </is>
      </c>
    </row>
    <row r="19">
      <c r="A19" t="inlineStr">
        <is>
          <t>p_HCCD</t>
        </is>
      </c>
      <c r="B19" t="inlineStr">
        <is>
          <t>Prawdopodobieństwo roczne HCC→zgon wątrobowy</t>
        </is>
      </c>
      <c r="C19" s="4" t="n">
        <v>0.2715</v>
      </c>
      <c r="D19" t="n">
        <v>0.257</v>
      </c>
      <c r="E19" t="n">
        <v>0.286</v>
      </c>
      <c r="F19" t="inlineStr">
        <is>
          <t>beta</t>
        </is>
      </c>
      <c r="G19" t="inlineStr">
        <is>
          <t>alfa=980.36; beta=2630.54</t>
        </is>
      </c>
      <c r="H19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9" t="inlineStr">
        <is>
          <t>2017</t>
        </is>
      </c>
      <c r="J19" t="inlineStr">
        <is>
          <t>dane źródłowe (PL HTA; pierwotnie lit. międzynar.)</t>
        </is>
      </c>
      <c r="K19" t="inlineStr">
        <is>
          <t>—</t>
        </is>
      </c>
      <c r="L19" t="inlineStr">
        <is>
          <t>—</t>
        </is>
      </c>
      <c r="M19" t="inlineStr">
        <is>
          <t>/rok</t>
        </is>
      </c>
    </row>
    <row r="20">
      <c r="A20" t="inlineStr">
        <is>
          <t>p_HCCLT</t>
        </is>
      </c>
      <c r="B20" t="inlineStr">
        <is>
          <t>Prawdopodobieństwo roczne HCC→LT</t>
        </is>
      </c>
      <c r="C20" s="4" t="n">
        <v>0.009299999999999999</v>
      </c>
      <c r="D20" t="n">
        <v>0.008399999999999999</v>
      </c>
      <c r="E20" t="n">
        <v>0.0103</v>
      </c>
      <c r="F20" t="inlineStr">
        <is>
          <t>beta</t>
        </is>
      </c>
      <c r="G20" t="inlineStr">
        <is>
          <t>alfa=342.73; beta=36510.31</t>
        </is>
      </c>
      <c r="H20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0" t="inlineStr">
        <is>
          <t>2017</t>
        </is>
      </c>
      <c r="J20" t="inlineStr">
        <is>
          <t>dane źródłowe (PL HTA; pierwotnie lit. międzynar.)</t>
        </is>
      </c>
      <c r="K20" t="inlineStr">
        <is>
          <t>—</t>
        </is>
      </c>
      <c r="L20" t="inlineStr">
        <is>
          <t>—</t>
        </is>
      </c>
      <c r="M20" t="inlineStr">
        <is>
          <t>/rok</t>
        </is>
      </c>
    </row>
    <row r="21">
      <c r="A21" t="inlineStr">
        <is>
          <t>p_LTD</t>
        </is>
      </c>
      <c r="B21" t="inlineStr">
        <is>
          <t>Prawdopodobieństwo roczne LT (rok 1)→zgon</t>
        </is>
      </c>
      <c r="C21" s="4" t="n">
        <v>0.18</v>
      </c>
      <c r="D21" t="n">
        <v>0.175</v>
      </c>
      <c r="E21" t="n">
        <v>0.185</v>
      </c>
      <c r="F21" t="inlineStr">
        <is>
          <t>beta</t>
        </is>
      </c>
      <c r="G21" t="inlineStr">
        <is>
          <t>alfa=4250.70; beta=19364.30</t>
        </is>
      </c>
      <c r="H21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1" t="inlineStr">
        <is>
          <t>2017</t>
        </is>
      </c>
      <c r="J21" t="inlineStr">
        <is>
          <t>dane źródłowe (PL HTA; pierwotnie lit. międzynar.)</t>
        </is>
      </c>
      <c r="K21" t="inlineStr">
        <is>
          <t>—</t>
        </is>
      </c>
      <c r="L21" t="inlineStr">
        <is>
          <t>—</t>
        </is>
      </c>
      <c r="M21" t="inlineStr">
        <is>
          <t>/rok</t>
        </is>
      </c>
    </row>
    <row r="22">
      <c r="A22" t="inlineStr">
        <is>
          <t>p_PLTD</t>
        </is>
      </c>
      <c r="B22" t="inlineStr">
        <is>
          <t>Prawdopodobieństwo roczne po LT→zgon</t>
        </is>
      </c>
      <c r="C22" s="4" t="n">
        <v>0.04572</v>
      </c>
      <c r="D22" t="n">
        <v>0.0432</v>
      </c>
      <c r="E22" t="n">
        <v>0.0483</v>
      </c>
      <c r="F22" t="inlineStr">
        <is>
          <t>beta</t>
        </is>
      </c>
      <c r="G22" t="inlineStr">
        <is>
          <t>alfa=1180.28; beta=24635.10</t>
        </is>
      </c>
      <c r="H22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2" t="inlineStr">
        <is>
          <t>2017</t>
        </is>
      </c>
      <c r="J22" t="inlineStr">
        <is>
          <t>dane źródłowe (PL HTA; pierwotnie lit. międzynar.)</t>
        </is>
      </c>
      <c r="K22" t="inlineStr">
        <is>
          <t>—</t>
        </is>
      </c>
      <c r="L22" t="inlineStr">
        <is>
          <t>—</t>
        </is>
      </c>
      <c r="M22" t="inlineStr">
        <is>
          <t>/rok</t>
        </is>
      </c>
    </row>
    <row r="23">
      <c r="A23" t="inlineStr">
        <is>
          <t>p_SCCDC</t>
        </is>
      </c>
      <c r="B23" t="inlineStr">
        <is>
          <t>Prawdopodobieństwo roczne CC po SVR→DC</t>
        </is>
      </c>
      <c r="C23" s="4" t="n">
        <v>0.0125</v>
      </c>
      <c r="D23" t="n">
        <v>0.003</v>
      </c>
      <c r="E23" t="n">
        <v>0.026</v>
      </c>
      <c r="F23" t="inlineStr">
        <is>
          <t>beta</t>
        </is>
      </c>
      <c r="G23" t="inlineStr">
        <is>
          <t>alfa=38.56; beta=3046.38</t>
        </is>
      </c>
      <c r="H23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3" t="inlineStr">
        <is>
          <t>2017</t>
        </is>
      </c>
      <c r="J23" t="inlineStr">
        <is>
          <t>dane źródłowe (PL HTA; pierwotnie lit. międzynar.)</t>
        </is>
      </c>
      <c r="K23" t="inlineStr">
        <is>
          <t>—</t>
        </is>
      </c>
      <c r="L23" t="inlineStr">
        <is>
          <t>—</t>
        </is>
      </c>
      <c r="M23" t="inlineStr">
        <is>
          <t>/rok</t>
        </is>
      </c>
    </row>
    <row r="24">
      <c r="A24" t="inlineStr">
        <is>
          <t>p_SCCHCC</t>
        </is>
      </c>
      <c r="B24" t="inlineStr">
        <is>
          <t>Prawdopodobieństwo roczne CC po SVR→HCC</t>
        </is>
      </c>
      <c r="C24" s="4" t="n">
        <v>0.0115</v>
      </c>
      <c r="D24" t="n">
        <v>0.0048</v>
      </c>
      <c r="E24" t="n">
        <v>0.0201</v>
      </c>
      <c r="F24" t="inlineStr">
        <is>
          <t>beta</t>
        </is>
      </c>
      <c r="G24" t="inlineStr">
        <is>
          <t>alfa=90.77; beta=7802.50</t>
        </is>
      </c>
      <c r="H24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4" t="inlineStr">
        <is>
          <t>2017</t>
        </is>
      </c>
      <c r="J24" t="inlineStr">
        <is>
          <t>dane źródłowe (PL HTA; pierwotnie lit. międzynar.)</t>
        </is>
      </c>
      <c r="K24" t="inlineStr">
        <is>
          <t>wartość z Tab. 198 (1,15%); Tab. 28 tego samego źródła podaje 1,28% – niespójność w źródle, przyjęto wartość z tabeli PSA</t>
        </is>
      </c>
      <c r="L24" t="inlineStr">
        <is>
          <t>—</t>
        </is>
      </c>
      <c r="M24" t="inlineStr">
        <is>
          <t>/rok</t>
        </is>
      </c>
    </row>
    <row r="25">
      <c r="A25" t="inlineStr">
        <is>
          <t>SVR</t>
        </is>
      </c>
      <c r="B25" t="inlineStr">
        <is>
          <t>Odsetek SVR po DAA (F0–F4)</t>
        </is>
      </c>
      <c r="C25" s="4" t="n">
        <v>0.97</v>
      </c>
      <c r="D25" t="n">
        <v>0.95</v>
      </c>
      <c r="E25" t="n">
        <v>0.99</v>
      </c>
      <c r="F25" t="inlineStr">
        <is>
          <t>beta</t>
        </is>
      </c>
      <c r="G25" t="inlineStr">
        <is>
          <t>alfa=388; beta=12</t>
        </is>
      </c>
      <c r="H25" t="inlineStr">
        <is>
          <t>Rejestr EpiTer-2 (PL, praktyka kliniczna 97–99%); badania rejestracyjne pangenotypowych schematów DAA (ok. 99%)</t>
        </is>
      </c>
      <c r="I25" t="inlineStr">
        <is>
          <t>2017</t>
        </is>
      </c>
      <c r="J25" t="inlineStr">
        <is>
          <t>dane źródłowe</t>
        </is>
      </c>
      <c r="K25" t="inlineStr">
        <is>
          <t>wartość praktyki klinicznej (konserwatywnie 97%); precyzja rozkładu beta (n=400) – założenie</t>
        </is>
      </c>
      <c r="L25" t="inlineStr">
        <is>
          <t>NFZ</t>
        </is>
      </c>
      <c r="M25" t="inlineStr">
        <is>
          <t>odsetek</t>
        </is>
      </c>
    </row>
    <row r="26">
      <c r="A26" t="inlineStr">
        <is>
          <t>u_F</t>
        </is>
      </c>
      <c r="B26" t="inlineStr">
        <is>
          <t>Użyteczność F0–F3</t>
        </is>
      </c>
      <c r="C26" s="4" t="n">
        <v>0.715</v>
      </c>
      <c r="D26" t="n">
        <v>0.67</v>
      </c>
      <c r="E26" t="n">
        <v>0.76</v>
      </c>
      <c r="F26" t="inlineStr">
        <is>
          <t>beta</t>
        </is>
      </c>
      <c r="G26" t="inlineStr">
        <is>
          <t>alfa=277.12; beta=110.46</t>
        </is>
      </c>
      <c r="H26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26" t="inlineStr">
        <is>
          <t>2017</t>
        </is>
      </c>
      <c r="J26" t="inlineStr">
        <is>
          <t>dane źródłowe</t>
        </is>
      </c>
      <c r="K26" t="inlineStr">
        <is>
          <t>—</t>
        </is>
      </c>
      <c r="L26" t="inlineStr">
        <is>
          <t>—</t>
        </is>
      </c>
      <c r="M26" t="inlineStr">
        <is>
          <t>QALY/rok</t>
        </is>
      </c>
    </row>
    <row r="27">
      <c r="A27" t="inlineStr">
        <is>
          <t>u_CC</t>
        </is>
      </c>
      <c r="B27" t="inlineStr">
        <is>
          <t>Użyteczność CC (F4)</t>
        </is>
      </c>
      <c r="C27" s="4" t="n">
        <v>0.55</v>
      </c>
      <c r="D27" t="n">
        <v>0.445</v>
      </c>
      <c r="E27" t="n">
        <v>0.655</v>
      </c>
      <c r="F27" t="inlineStr">
        <is>
          <t>beta</t>
        </is>
      </c>
      <c r="G27" t="inlineStr">
        <is>
          <t>alfa=46.48; beta=38.03</t>
        </is>
      </c>
      <c r="H27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27" t="inlineStr">
        <is>
          <t>2017</t>
        </is>
      </c>
      <c r="J27" t="inlineStr">
        <is>
          <t>dane źródłowe</t>
        </is>
      </c>
      <c r="K27" t="inlineStr">
        <is>
          <t>—</t>
        </is>
      </c>
      <c r="L27" t="inlineStr">
        <is>
          <t>—</t>
        </is>
      </c>
      <c r="M27" t="inlineStr">
        <is>
          <t>QALY/rok</t>
        </is>
      </c>
    </row>
    <row r="28">
      <c r="A28" t="inlineStr">
        <is>
          <t>u_DC</t>
        </is>
      </c>
      <c r="B28" t="inlineStr">
        <is>
          <t>Użyteczność DC</t>
        </is>
      </c>
      <c r="C28" s="4" t="n">
        <v>0.45</v>
      </c>
      <c r="D28" t="n">
        <v>0.391</v>
      </c>
      <c r="E28" t="n">
        <v>0.509</v>
      </c>
      <c r="F28" t="inlineStr">
        <is>
          <t>beta</t>
        </is>
      </c>
      <c r="G28" t="inlineStr">
        <is>
          <t>alfa=124.13; beta=151.71</t>
        </is>
      </c>
      <c r="H28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28" t="inlineStr">
        <is>
          <t>2017</t>
        </is>
      </c>
      <c r="J28" t="inlineStr">
        <is>
          <t>dane źródłowe</t>
        </is>
      </c>
      <c r="K28" t="inlineStr">
        <is>
          <t>DC = HCC = LT = 0,45 jak w źródle (uproszczenie – w praktyce użyteczności różnią się)</t>
        </is>
      </c>
      <c r="L28" t="inlineStr">
        <is>
          <t>—</t>
        </is>
      </c>
      <c r="M28" t="inlineStr">
        <is>
          <t>QALY/rok</t>
        </is>
      </c>
    </row>
    <row r="29">
      <c r="A29" t="inlineStr">
        <is>
          <t>u_HCC</t>
        </is>
      </c>
      <c r="B29" t="inlineStr">
        <is>
          <t>Użyteczność HCC</t>
        </is>
      </c>
      <c r="C29" s="4" t="n">
        <v>0.45</v>
      </c>
      <c r="D29" t="n">
        <v>0.391</v>
      </c>
      <c r="E29" t="n">
        <v>0.509</v>
      </c>
      <c r="F29" t="inlineStr">
        <is>
          <t>beta</t>
        </is>
      </c>
      <c r="G29" t="inlineStr">
        <is>
          <t>alfa=124.13; beta=151.71</t>
        </is>
      </c>
      <c r="H29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29" t="inlineStr">
        <is>
          <t>2017</t>
        </is>
      </c>
      <c r="J29" t="inlineStr">
        <is>
          <t>dane źródłowe</t>
        </is>
      </c>
      <c r="K29" t="inlineStr">
        <is>
          <t>DC = HCC = LT = 0,45 jak w źródle (uproszczenie – w praktyce użyteczności różnią się)</t>
        </is>
      </c>
      <c r="L29" t="inlineStr">
        <is>
          <t>—</t>
        </is>
      </c>
      <c r="M29" t="inlineStr">
        <is>
          <t>QALY/rok</t>
        </is>
      </c>
    </row>
    <row r="30">
      <c r="A30" t="inlineStr">
        <is>
          <t>u_LT</t>
        </is>
      </c>
      <c r="B30" t="inlineStr">
        <is>
          <t>Użyteczność LT</t>
        </is>
      </c>
      <c r="C30" s="4" t="n">
        <v>0.45</v>
      </c>
      <c r="D30" t="n">
        <v>0.391</v>
      </c>
      <c r="E30" t="n">
        <v>0.509</v>
      </c>
      <c r="F30" t="inlineStr">
        <is>
          <t>beta</t>
        </is>
      </c>
      <c r="G30" t="inlineStr">
        <is>
          <t>alfa=124.13; beta=151.71</t>
        </is>
      </c>
      <c r="H30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30" t="inlineStr">
        <is>
          <t>2017</t>
        </is>
      </c>
      <c r="J30" t="inlineStr">
        <is>
          <t>dane źródłowe</t>
        </is>
      </c>
      <c r="K30" t="inlineStr">
        <is>
          <t>DC = HCC = LT = 0,45 jak w źródle (uproszczenie – w praktyce użyteczności różnią się)</t>
        </is>
      </c>
      <c r="L30" t="inlineStr">
        <is>
          <t>—</t>
        </is>
      </c>
      <c r="M30" t="inlineStr">
        <is>
          <t>QALY/rok</t>
        </is>
      </c>
    </row>
    <row r="31">
      <c r="A31" t="inlineStr">
        <is>
          <t>u_PLT</t>
        </is>
      </c>
      <c r="B31" t="inlineStr">
        <is>
          <t>Użyteczność po LT</t>
        </is>
      </c>
      <c r="C31" s="4" t="n">
        <v>0.67</v>
      </c>
      <c r="D31" t="n">
        <v>0.541</v>
      </c>
      <c r="E31" t="n">
        <v>0.799</v>
      </c>
      <c r="F31" t="inlineStr">
        <is>
          <t>beta</t>
        </is>
      </c>
      <c r="G31" t="inlineStr">
        <is>
          <t>alfa=33.34; beta=16.42</t>
        </is>
      </c>
      <c r="H31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31" t="inlineStr">
        <is>
          <t>2017</t>
        </is>
      </c>
      <c r="J31" t="inlineStr">
        <is>
          <t>dane źródłowe</t>
        </is>
      </c>
      <c r="K31" t="inlineStr">
        <is>
          <t>—</t>
        </is>
      </c>
      <c r="L31" t="inlineStr">
        <is>
          <t>—</t>
        </is>
      </c>
      <c r="M31" t="inlineStr">
        <is>
          <t>QALY/rok</t>
        </is>
      </c>
    </row>
    <row r="32">
      <c r="A32" t="inlineStr">
        <is>
          <t>u_SVR</t>
        </is>
      </c>
      <c r="B32" t="inlineStr">
        <is>
          <t>Przyrost użyteczności po SVR</t>
        </is>
      </c>
      <c r="C32" s="4" t="n">
        <v>0.055</v>
      </c>
      <c r="D32" t="n">
        <v>0.044</v>
      </c>
      <c r="E32" t="n">
        <v>0.066</v>
      </c>
      <c r="F32" t="inlineStr">
        <is>
          <t>gamma</t>
        </is>
      </c>
      <c r="G32" t="inlineStr">
        <is>
          <t>k=100.00; theta=0.0005</t>
        </is>
      </c>
      <c r="H32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32" t="inlineStr">
        <is>
          <t>2017</t>
        </is>
      </c>
      <c r="J32" t="inlineStr">
        <is>
          <t>dane źródłowe</t>
        </is>
      </c>
      <c r="K32" t="inlineStr">
        <is>
          <t>—</t>
        </is>
      </c>
      <c r="L32" t="inlineStr">
        <is>
          <t>—</t>
        </is>
      </c>
      <c r="M32" t="inlineStr">
        <is>
          <t>QALY/rok</t>
        </is>
      </c>
    </row>
    <row r="33">
      <c r="A33" t="inlineStr">
        <is>
          <t>CPI</t>
        </is>
      </c>
      <c r="B33" t="inlineStr">
        <is>
          <t>Indeks CPI GUS 2016→2025</t>
        </is>
      </c>
      <c r="C33" s="4" t="n">
        <v>1.575881271949273</v>
      </c>
      <c r="D33" t="inlineStr"/>
      <c r="E33" t="inlineStr"/>
      <c r="F33" t="inlineStr">
        <is>
          <t>stały</t>
        </is>
      </c>
      <c r="G33" t="inlineStr">
        <is>
          <t>—</t>
        </is>
      </c>
      <c r="H33" t="inlineStr">
        <is>
          <t>GUS: wskaźniki cen towarów i usług konsumpcyjnych 1950–2025 (rok poprzedni=100)</t>
        </is>
      </c>
      <c r="I33" t="inlineStr">
        <is>
          <t>2026</t>
        </is>
      </c>
      <c r="J33" t="inlineStr">
        <is>
          <t>prognoza/szacunek</t>
        </is>
      </c>
      <c r="K33" t="inlineStr">
        <is>
          <t>inflacja kosztu: iloczyn rocznych CPI 2017–2025 (102,0;101,6;102,3;103,4;105,1;114,4;111,4;103,6;103,6)</t>
        </is>
      </c>
      <c r="L33" t="inlineStr">
        <is>
          <t>—</t>
        </is>
      </c>
      <c r="M33" t="inlineStr">
        <is>
          <t>indeks</t>
        </is>
      </c>
    </row>
    <row r="34">
      <c r="A34" t="inlineStr">
        <is>
          <t>c_F</t>
        </is>
      </c>
      <c r="B34" t="inlineStr">
        <is>
          <t>Koszt NFZ/rok: F0–F3 bez leczenia (ceny 2025)</t>
        </is>
      </c>
      <c r="C34" s="4" t="n">
        <v>2960.245692918552</v>
      </c>
      <c r="D34" t="n">
        <v>2368.2</v>
      </c>
      <c r="E34" t="n">
        <v>3552.29</v>
      </c>
      <c r="F34" t="inlineStr">
        <is>
          <t>gamma</t>
        </is>
      </c>
      <c r="G34" t="inlineStr">
        <is>
          <t>k=61.47; theta=48.1607</t>
        </is>
      </c>
      <c r="H34" t="inlineStr">
        <is>
          <t>Kaczor 2012 (koszty stanów, ceny 2016) via analiza ekonomiczna wnioskodawcy (firma konsultingowa) opublikowana w BIP AOTMiT, zlecenie 153/2017, Tab. 73/198 × CPI GUS</t>
        </is>
      </c>
      <c r="I34" t="inlineStr">
        <is>
          <t>2016→2025</t>
        </is>
      </c>
      <c r="J34" t="inlineStr">
        <is>
          <t>prognoza/szacunek</t>
        </is>
      </c>
      <c r="K34" t="inlineStr">
        <is>
          <t>wartość źródłowa 1878.47 zł (2016) × CPI 1.5759; SE źródłowe przeskalowane</t>
        </is>
      </c>
      <c r="L34" t="inlineStr">
        <is>
          <t>NFZ</t>
        </is>
      </c>
      <c r="M34" t="inlineStr">
        <is>
          <t>zł/os./rok</t>
        </is>
      </c>
    </row>
    <row r="35">
      <c r="A35" t="inlineStr">
        <is>
          <t>c_SVRn</t>
        </is>
      </c>
      <c r="B35" t="inlineStr">
        <is>
          <t>Koszt NFZ/rok: F0–F3 po SVR (ceny 2025)</t>
        </is>
      </c>
      <c r="C35" s="4" t="n">
        <v>612.5923268448411</v>
      </c>
      <c r="D35" t="n">
        <v>490.07</v>
      </c>
      <c r="E35" t="n">
        <v>735.11</v>
      </c>
      <c r="F35" t="inlineStr">
        <is>
          <t>gamma</t>
        </is>
      </c>
      <c r="G35" t="inlineStr">
        <is>
          <t>k=61.47; theta=9.9653</t>
        </is>
      </c>
      <c r="H35" t="inlineStr">
        <is>
          <t>Kaczor 2012 (koszty stanów, ceny 2016) via analiza ekonomiczna wnioskodawcy (firma konsultingowa) opublikowana w BIP AOTMiT, zlecenie 153/2017, Tab. 73/198 × CPI GUS</t>
        </is>
      </c>
      <c r="I35" t="inlineStr">
        <is>
          <t>2016→2025</t>
        </is>
      </c>
      <c r="J35" t="inlineStr">
        <is>
          <t>prognoza/szacunek</t>
        </is>
      </c>
      <c r="K35" t="inlineStr">
        <is>
          <t>wartość źródłowa 388.73 zł (2016) × CPI 1.5759; SE źródłowe przeskalowane</t>
        </is>
      </c>
      <c r="L35" t="inlineStr">
        <is>
          <t>NFZ</t>
        </is>
      </c>
      <c r="M35" t="inlineStr">
        <is>
          <t>zł/os./rok</t>
        </is>
      </c>
    </row>
    <row r="36">
      <c r="A36" t="inlineStr">
        <is>
          <t>c_CC</t>
        </is>
      </c>
      <c r="B36" t="inlineStr">
        <is>
          <t>Koszt NFZ/rok: CC (ceny 2025)</t>
        </is>
      </c>
      <c r="C36" s="4" t="n">
        <v>5415.468714615519</v>
      </c>
      <c r="D36" t="n">
        <v>4332.37</v>
      </c>
      <c r="E36" t="n">
        <v>6498.56</v>
      </c>
      <c r="F36" t="inlineStr">
        <is>
          <t>gamma</t>
        </is>
      </c>
      <c r="G36" t="inlineStr">
        <is>
          <t>k=100.00; theta=54.1556</t>
        </is>
      </c>
      <c r="H36" t="inlineStr">
        <is>
          <t>Kaczor 2012 (koszty stanów, ceny 2016) via analiza ekonomiczna wnioskodawcy (firma konsultingowa) opublikowana w BIP AOTMiT, zlecenie 153/2017, Tab. 73/198 × CPI GUS</t>
        </is>
      </c>
      <c r="I36" t="inlineStr">
        <is>
          <t>2016→2025</t>
        </is>
      </c>
      <c r="J36" t="inlineStr">
        <is>
          <t>prognoza/szacunek</t>
        </is>
      </c>
      <c r="K36" t="inlineStr">
        <is>
          <t>wartość źródłowa 3436.47 zł (2016) × CPI 1.5759; SE źródłowe przeskalowane</t>
        </is>
      </c>
      <c r="L36" t="inlineStr">
        <is>
          <t>NFZ</t>
        </is>
      </c>
      <c r="M36" t="inlineStr">
        <is>
          <t>zł/os./rok</t>
        </is>
      </c>
    </row>
    <row r="37">
      <c r="A37" t="inlineStr">
        <is>
          <t>c_SVRcc</t>
        </is>
      </c>
      <c r="B37" t="inlineStr">
        <is>
          <t>Koszt NFZ/rok: CC po SVR (ceny 2025)</t>
        </is>
      </c>
      <c r="C37" s="4" t="n">
        <v>2738.062192386424</v>
      </c>
      <c r="D37" t="n">
        <v>2190.45</v>
      </c>
      <c r="E37" t="n">
        <v>3285.67</v>
      </c>
      <c r="F37" t="inlineStr">
        <is>
          <t>gamma</t>
        </is>
      </c>
      <c r="G37" t="inlineStr">
        <is>
          <t>k=100.00; theta=27.3813</t>
        </is>
      </c>
      <c r="H37" t="inlineStr">
        <is>
          <t>Kaczor 2012 (koszty stanów, ceny 2016) via analiza ekonomiczna wnioskodawcy (firma konsultingowa) opublikowana w BIP AOTMiT, zlecenie 153/2017, Tab. 73/198 × CPI GUS</t>
        </is>
      </c>
      <c r="I37" t="inlineStr">
        <is>
          <t>2016→2025</t>
        </is>
      </c>
      <c r="J37" t="inlineStr">
        <is>
          <t>prognoza/szacunek</t>
        </is>
      </c>
      <c r="K37" t="inlineStr">
        <is>
          <t>wartość źródłowa 1737.48 zł (2016) × CPI 1.5759; SE źródłowe przeskalowane</t>
        </is>
      </c>
      <c r="L37" t="inlineStr">
        <is>
          <t>NFZ</t>
        </is>
      </c>
      <c r="M37" t="inlineStr">
        <is>
          <t>zł/os./rok</t>
        </is>
      </c>
    </row>
    <row r="38">
      <c r="A38" t="inlineStr">
        <is>
          <t>c_DC</t>
        </is>
      </c>
      <c r="B38" t="inlineStr">
        <is>
          <t>Koszt NFZ/rok: DC (ceny 2025)</t>
        </is>
      </c>
      <c r="C38" s="4" t="n">
        <v>18064.83130236154</v>
      </c>
      <c r="D38" t="n">
        <v>14451.87</v>
      </c>
      <c r="E38" t="n">
        <v>21677.8</v>
      </c>
      <c r="F38" t="inlineStr">
        <is>
          <t>gamma</t>
        </is>
      </c>
      <c r="G38" t="inlineStr">
        <is>
          <t>k=100.00; theta=180.6477</t>
        </is>
      </c>
      <c r="H38" t="inlineStr">
        <is>
          <t>Kaczor 2012 (koszty stanów, ceny 2016) via analiza ekonomiczna wnioskodawcy (firma konsultingowa) opublikowana w BIP AOTMiT, zlecenie 153/2017, Tab. 73/198 × CPI GUS</t>
        </is>
      </c>
      <c r="I38" t="inlineStr">
        <is>
          <t>2016→2025</t>
        </is>
      </c>
      <c r="J38" t="inlineStr">
        <is>
          <t>prognoza/szacunek</t>
        </is>
      </c>
      <c r="K38" t="inlineStr">
        <is>
          <t>wartość źródłowa 11463.32 zł (2016) × CPI 1.5759; SE źródłowe przeskalowane</t>
        </is>
      </c>
      <c r="L38" t="inlineStr">
        <is>
          <t>NFZ</t>
        </is>
      </c>
      <c r="M38" t="inlineStr">
        <is>
          <t>zł/os./rok</t>
        </is>
      </c>
    </row>
    <row r="39">
      <c r="A39" t="inlineStr">
        <is>
          <t>c_HCC</t>
        </is>
      </c>
      <c r="B39" t="inlineStr">
        <is>
          <t>Koszt NFZ/rok: HCC (ceny 2025)</t>
        </is>
      </c>
      <c r="C39" s="4" t="n">
        <v>62879.88474336946</v>
      </c>
      <c r="D39" t="n">
        <v>50303.91</v>
      </c>
      <c r="E39" t="n">
        <v>75455.86</v>
      </c>
      <c r="F39" t="inlineStr">
        <is>
          <t>gamma</t>
        </is>
      </c>
      <c r="G39" t="inlineStr">
        <is>
          <t>k=100.00; theta=628.7985</t>
        </is>
      </c>
      <c r="H39" t="inlineStr">
        <is>
          <t>Kaczor 2012 (koszty stanów, ceny 2016) via analiza ekonomiczna wnioskodawcy (firma konsultingowa) opublikowana w BIP AOTMiT, zlecenie 153/2017, Tab. 73/198 × CPI GUS</t>
        </is>
      </c>
      <c r="I39" t="inlineStr">
        <is>
          <t>2016→2025</t>
        </is>
      </c>
      <c r="J39" t="inlineStr">
        <is>
          <t>prognoza/szacunek</t>
        </is>
      </c>
      <c r="K39" t="inlineStr">
        <is>
          <t>wartość źródłowa 39901.41 zł (2016) × CPI 1.5759; SE źródłowe przeskalowane</t>
        </is>
      </c>
      <c r="L39" t="inlineStr">
        <is>
          <t>NFZ</t>
        </is>
      </c>
      <c r="M39" t="inlineStr">
        <is>
          <t>zł/os./rok</t>
        </is>
      </c>
    </row>
    <row r="40">
      <c r="A40" t="inlineStr">
        <is>
          <t>c_LT</t>
        </is>
      </c>
      <c r="B40" t="inlineStr">
        <is>
          <t>Koszt NFZ/rok: LT (rok przeszczepienia) (ceny 2025)</t>
        </is>
      </c>
      <c r="C40" s="4" t="n">
        <v>342818.3465343607</v>
      </c>
      <c r="D40" t="n">
        <v>274254.68</v>
      </c>
      <c r="E40" t="n">
        <v>411382.02</v>
      </c>
      <c r="F40" t="inlineStr">
        <is>
          <t>gamma</t>
        </is>
      </c>
      <c r="G40" t="inlineStr">
        <is>
          <t>k=100.00; theta=3428.1828</t>
        </is>
      </c>
      <c r="H40" t="inlineStr">
        <is>
          <t>Kaczor 2012 (koszty stanów, ceny 2016) via analiza ekonomiczna wnioskodawcy (firma konsultingowa) opublikowana w BIP AOTMiT, zlecenie 153/2017, Tab. 73/198 × CPI GUS</t>
        </is>
      </c>
      <c r="I40" t="inlineStr">
        <is>
          <t>2016→2025</t>
        </is>
      </c>
      <c r="J40" t="inlineStr">
        <is>
          <t>prognoza/szacunek</t>
        </is>
      </c>
      <c r="K40" t="inlineStr">
        <is>
          <t>wartość źródłowa 217540.72 zł (2016) × CPI 1.5759; SE źródłowe przeskalowane</t>
        </is>
      </c>
      <c r="L40" t="inlineStr">
        <is>
          <t>NFZ</t>
        </is>
      </c>
      <c r="M40" t="inlineStr">
        <is>
          <t>zł/os./rok</t>
        </is>
      </c>
    </row>
    <row r="41">
      <c r="A41" t="inlineStr">
        <is>
          <t>c_PLT</t>
        </is>
      </c>
      <c r="B41" t="inlineStr">
        <is>
          <t>Koszt NFZ/rok: po LT (rok 2+) (ceny 2025)</t>
        </is>
      </c>
      <c r="C41" s="4" t="n">
        <v>31787.81028306117</v>
      </c>
      <c r="D41" t="n">
        <v>25430.25</v>
      </c>
      <c r="E41" t="n">
        <v>38145.37</v>
      </c>
      <c r="F41" t="inlineStr">
        <is>
          <t>gamma</t>
        </is>
      </c>
      <c r="G41" t="inlineStr">
        <is>
          <t>k=100.00; theta=317.8797</t>
        </is>
      </c>
      <c r="H41" t="inlineStr">
        <is>
          <t>Kaczor 2012 (koszty stanów, ceny 2016) via analiza ekonomiczna wnioskodawcy (firma konsultingowa) opublikowana w BIP AOTMiT, zlecenie 153/2017, Tab. 73/198 × CPI GUS</t>
        </is>
      </c>
      <c r="I41" t="inlineStr">
        <is>
          <t>2016→2025</t>
        </is>
      </c>
      <c r="J41" t="inlineStr">
        <is>
          <t>prognoza/szacunek</t>
        </is>
      </c>
      <c r="K41" t="inlineStr">
        <is>
          <t>wartość źródłowa 20171.45 zł (2016) × CPI 1.5759; SE źródłowe przeskalowane</t>
        </is>
      </c>
      <c r="L41" t="inlineStr">
        <is>
          <t>NFZ</t>
        </is>
      </c>
      <c r="M41" t="inlineStr">
        <is>
          <t>zł/os./rok</t>
        </is>
      </c>
    </row>
    <row r="42">
      <c r="A42" t="inlineStr">
        <is>
          <t>c_DAA</t>
        </is>
      </c>
      <c r="B42" t="inlineStr">
        <is>
          <t>Koszt DAA na pacjenta (refundacja B.71)</t>
        </is>
      </c>
      <c r="C42" s="4" t="n">
        <v>22760</v>
      </c>
      <c r="D42" t="n">
        <v>21425</v>
      </c>
      <c r="E42" t="n">
        <v>97716</v>
      </c>
      <c r="F42" t="inlineStr">
        <is>
          <t>lognormalny</t>
        </is>
      </c>
      <c r="G42" t="inlineStr">
        <is>
          <t>mu=ln(22760); sigma=0.138 (SD logarytmu ilorazu 2017–2025, n=9)</t>
        </is>
      </c>
      <c r="H42" t="inlineStr">
        <is>
          <t>NFZ app-stat B.71: 109,98 mln zł / 4 832 pacjentów (2025); szereg 2017–2025 (33 872 zł w 2017 → 22 760 zł w 2025)</t>
        </is>
      </c>
      <c r="I42" t="inlineStr">
        <is>
          <t>2017–2025</t>
        </is>
      </c>
      <c r="J42" t="inlineStr">
        <is>
          <t>dane źródłowe</t>
        </is>
      </c>
      <c r="K42" t="inlineStr">
        <is>
          <t>iloraz wartość/pacjenci; zmienność = SD logarytmu ilorazu 2017–2025 (n=9); scenariusz cenowy: 33 872 zł (2017); max tornado = najwyższa cena urzędowa terapii 8 tyg. w wykazie MZ 2025 (97 716 zł)</t>
        </is>
      </c>
      <c r="L42" t="inlineStr">
        <is>
          <t>NFZ</t>
        </is>
      </c>
      <c r="M42" t="inlineStr">
        <is>
          <t>zł/pacjent</t>
        </is>
      </c>
    </row>
    <row r="43">
      <c r="A43" t="inlineStr">
        <is>
          <t>c_MON</t>
        </is>
      </c>
      <c r="B43" t="inlineStr">
        <is>
          <t>Ryczałt diagnostyczny/monitorowanie B.71 (ceny 2025)</t>
        </is>
      </c>
      <c r="C43" s="4" t="n">
        <v>5765.129886180542</v>
      </c>
      <c r="D43" t="n">
        <v>3731.52</v>
      </c>
      <c r="E43" t="n">
        <v>6918.16</v>
      </c>
      <c r="F43" t="inlineStr">
        <is>
          <t>gamma</t>
        </is>
      </c>
      <c r="G43" t="inlineStr">
        <is>
          <t>SE 10%</t>
        </is>
      </c>
      <c r="H43" t="inlineStr">
        <is>
          <t>Zarządzenie 53/2017/DGL (5.08.08.0000002) 3 731,52 zł × CPI 2017→2025</t>
        </is>
      </c>
      <c r="I43" t="inlineStr">
        <is>
          <t>2017→2025</t>
        </is>
      </c>
      <c r="J43" t="inlineStr">
        <is>
          <t>prognoza/szacunek</t>
        </is>
      </c>
      <c r="K43" t="inlineStr">
        <is>
          <t>inflacja kosztu CPI GUS 2018–2025</t>
        </is>
      </c>
      <c r="L43" t="inlineStr">
        <is>
          <t>NFZ</t>
        </is>
      </c>
      <c r="M43" t="inlineStr">
        <is>
          <t>zł/pacjent</t>
        </is>
      </c>
    </row>
    <row r="44">
      <c r="A44" t="inlineStr">
        <is>
          <t>c_AHCV</t>
        </is>
      </c>
      <c r="B44" t="inlineStr">
        <is>
          <t>Badanie anty-HCV (POZ)</t>
        </is>
      </c>
      <c r="C44" s="4" t="n">
        <v>46.2</v>
      </c>
      <c r="D44" t="n">
        <v>40</v>
      </c>
      <c r="E44" t="n">
        <v>57</v>
      </c>
      <c r="F44" t="inlineStr">
        <is>
          <t>stały</t>
        </is>
      </c>
      <c r="G44" t="inlineStr">
        <is>
          <t>—</t>
        </is>
      </c>
      <c r="H44" t="inlineStr">
        <is>
          <t>Zarządzenie Prezesa NFZ 22/2025/DSOZ (tekst ujedn. 23.09.2026) via psoz.pl</t>
        </is>
      </c>
      <c r="I44" t="inlineStr">
        <is>
          <t>2026</t>
        </is>
      </c>
      <c r="J44" t="inlineStr">
        <is>
          <t>dane źródłowe</t>
        </is>
      </c>
      <c r="K44" t="inlineStr">
        <is>
          <t>—</t>
        </is>
      </c>
      <c r="L44" t="inlineStr">
        <is>
          <t>NFZ</t>
        </is>
      </c>
      <c r="M44" t="inlineStr">
        <is>
          <t>zł/test</t>
        </is>
      </c>
    </row>
    <row r="45">
      <c r="A45" t="inlineStr">
        <is>
          <t>c_RNA</t>
        </is>
      </c>
      <c r="B45" t="inlineStr">
        <is>
          <t>Badanie HCV RNA jakościowe</t>
        </is>
      </c>
      <c r="C45" s="4" t="n">
        <v>180</v>
      </c>
      <c r="D45" t="n">
        <v>150</v>
      </c>
      <c r="E45" t="n">
        <v>235</v>
      </c>
      <c r="F45" t="inlineStr">
        <is>
          <t>stały</t>
        </is>
      </c>
      <c r="G45" t="inlineStr">
        <is>
          <t>—</t>
        </is>
      </c>
      <c r="H45" t="inlineStr">
        <is>
          <t>Cennik laboratorium komercyjnego od 01.02.2025 (brak taryfy NFZ dla POZ – proxy rynkowe)</t>
        </is>
      </c>
      <c r="I45" t="inlineStr">
        <is>
          <t>2025</t>
        </is>
      </c>
      <c r="J45" t="inlineStr">
        <is>
          <t>dane źródłowe (proxy)</t>
        </is>
      </c>
      <c r="K45" t="inlineStr">
        <is>
          <t>cena rynkowa jako proxy</t>
        </is>
      </c>
      <c r="L45" t="inlineStr">
        <is>
          <t>NFZ</t>
        </is>
      </c>
      <c r="M45" t="inlineStr">
        <is>
          <t>zł/test</t>
        </is>
      </c>
    </row>
    <row r="46">
      <c r="A46" t="inlineStr">
        <is>
          <t>PREV_G</t>
        </is>
      </c>
      <c r="B46" t="inlineStr">
        <is>
          <t>Odsetek anty-HCV+ w populacji ogólnej</t>
        </is>
      </c>
      <c r="C46" s="4" t="n">
        <v>0.005</v>
      </c>
      <c r="D46" t="n">
        <v>0.004</v>
      </c>
      <c r="E46" t="n">
        <v>0.007</v>
      </c>
      <c r="F46" t="inlineStr">
        <is>
          <t>beta</t>
        </is>
      </c>
      <c r="G46" t="inlineStr">
        <is>
          <t>alfa=50; beta=9950</t>
        </is>
      </c>
      <c r="H46" t="inlineStr">
        <is>
          <t>Flisiak i in. (badanie 723 654 testów 2018–19, Clin Exp Hepatol 2020)</t>
        </is>
      </c>
      <c r="I46" t="inlineStr">
        <is>
          <t>2020</t>
        </is>
      </c>
      <c r="J46" t="inlineStr">
        <is>
          <t>dane źródłowe</t>
        </is>
      </c>
      <c r="K46" t="inlineStr">
        <is>
          <t>—</t>
        </is>
      </c>
      <c r="L46" t="inlineStr">
        <is>
          <t>—</t>
        </is>
      </c>
      <c r="M46" t="inlineStr">
        <is>
          <t>odsetek</t>
        </is>
      </c>
    </row>
    <row r="47">
      <c r="A47" t="inlineStr">
        <is>
          <t>VIR</t>
        </is>
      </c>
      <c r="B47" t="inlineStr">
        <is>
          <t>Odsetek wiremicznych wśród anty-HCV+</t>
        </is>
      </c>
      <c r="C47" s="4" t="n">
        <v>0.4</v>
      </c>
      <c r="D47" t="n">
        <v>0.35</v>
      </c>
      <c r="E47" t="n">
        <v>0.5</v>
      </c>
      <c r="F47" t="inlineStr">
        <is>
          <t>beta</t>
        </is>
      </c>
      <c r="G47" t="inlineStr">
        <is>
          <t>alfa=40; beta=60</t>
        </is>
      </c>
      <c r="H47" t="inlineStr">
        <is>
          <t>Flisiak i in. (Clin Exp Hepatol 2020)</t>
        </is>
      </c>
      <c r="I47" t="inlineStr">
        <is>
          <t>2020</t>
        </is>
      </c>
      <c r="J47" t="inlineStr">
        <is>
          <t>dane źródłowe</t>
        </is>
      </c>
      <c r="K47" t="inlineStr">
        <is>
          <t>—</t>
        </is>
      </c>
      <c r="L47" t="inlineStr">
        <is>
          <t>—</t>
        </is>
      </c>
      <c r="M47" t="inlineStr">
        <is>
          <t>odsetek</t>
        </is>
      </c>
    </row>
    <row r="48">
      <c r="A48" t="inlineStr">
        <is>
          <t>PREV_K</t>
        </is>
      </c>
      <c r="B48" t="inlineStr">
        <is>
          <t>Odsetek anty-HCV+ wśród PWID</t>
        </is>
      </c>
      <c r="C48" s="4" t="n">
        <v>0.59</v>
      </c>
      <c r="D48" t="n">
        <v>0.312</v>
      </c>
      <c r="E48" t="n">
        <v>0.6899999999999999</v>
      </c>
      <c r="F48" t="inlineStr">
        <is>
          <t>beta</t>
        </is>
      </c>
      <c r="G48" t="inlineStr">
        <is>
          <t>alfa=59; beta=41</t>
        </is>
      </c>
      <c r="H48" t="inlineStr">
        <is>
          <t>Rosińska i in. BMC Infect Dis 2015 (dane 2004–05), doi 10.1186/s12879-015-0828-9; min: KCPU 2021 (31,2%)</t>
        </is>
      </c>
      <c r="I48" t="inlineStr">
        <is>
          <t>2004–05/2021</t>
        </is>
      </c>
      <c r="J48" t="inlineStr">
        <is>
          <t>dane źródłowe</t>
        </is>
      </c>
      <c r="K48" t="inlineStr">
        <is>
          <t>badanie bio-behawioralne 6 regionów (stare dane); dolna granica tornado = nowsze dane KCPU</t>
        </is>
      </c>
      <c r="L48" t="inlineStr">
        <is>
          <t>MZ/SW</t>
        </is>
      </c>
      <c r="M48" t="inlineStr">
        <is>
          <t>odsetek</t>
        </is>
      </c>
    </row>
    <row r="49">
      <c r="A49" t="inlineStr">
        <is>
          <t>VIR_K</t>
        </is>
      </c>
      <c r="B49" t="inlineStr">
        <is>
          <t>Odsetek wiremicznych wśród anty-HCV+ PWID</t>
        </is>
      </c>
      <c r="C49" s="4" t="n">
        <v>0.5</v>
      </c>
      <c r="D49" t="n">
        <v>0.4</v>
      </c>
      <c r="E49" t="n">
        <v>0.7</v>
      </c>
      <c r="F49" t="inlineStr">
        <is>
          <t>beta</t>
        </is>
      </c>
      <c r="G49" t="inlineStr">
        <is>
          <t>alfa=50; beta=50</t>
        </is>
      </c>
      <c r="H49" t="inlineStr">
        <is>
          <t>KBPN 'Serwis Informacyjny Uzależnienia' 79 (≥ połowa wiremiczna)</t>
        </is>
      </c>
      <c r="I49" t="inlineStr">
        <is>
          <t>2017</t>
        </is>
      </c>
      <c r="J49" t="inlineStr">
        <is>
          <t>dane źródłowe</t>
        </is>
      </c>
      <c r="K49" t="inlineStr">
        <is>
          <t>dolna granica 'co najmniej połowa'</t>
        </is>
      </c>
      <c r="L49" t="inlineStr">
        <is>
          <t>MZ/SW</t>
        </is>
      </c>
      <c r="M49" t="inlineStr">
        <is>
          <t>odsetek</t>
        </is>
      </c>
    </row>
    <row r="50">
      <c r="A50" t="inlineStr">
        <is>
          <t>T_SQ</t>
        </is>
      </c>
      <c r="B50" t="inlineStr">
        <is>
          <t>Leczeni/rok – status quo</t>
        </is>
      </c>
      <c r="C50" s="4" t="n">
        <v>4832</v>
      </c>
      <c r="D50" t="n">
        <v>4407</v>
      </c>
      <c r="E50" t="n">
        <v>5200</v>
      </c>
      <c r="F50" t="inlineStr">
        <is>
          <t>stały</t>
        </is>
      </c>
      <c r="G50" t="inlineStr">
        <is>
          <t>—</t>
        </is>
      </c>
      <c r="H50" t="inlineStr">
        <is>
          <t>NFZ app-stat B.71 2025</t>
        </is>
      </c>
      <c r="I50" t="inlineStr">
        <is>
          <t>2025</t>
        </is>
      </c>
      <c r="J50" t="inlineStr">
        <is>
          <t>dane źródłowe</t>
        </is>
      </c>
      <c r="K50" t="inlineStr">
        <is>
          <t>ostatnia obserwacja; wariant: trend liniowy 2020–2025 (n=6; +138/rok; R²=0,57) i log-liniowy (R²=0,55)</t>
        </is>
      </c>
      <c r="L50" t="inlineStr">
        <is>
          <t>NFZ</t>
        </is>
      </c>
      <c r="M50" t="inlineStr">
        <is>
          <t>osoby/rok</t>
        </is>
      </c>
    </row>
    <row r="51">
      <c r="A51" t="inlineStr">
        <is>
          <t>T_WHO</t>
        </is>
      </c>
      <c r="B51" t="inlineStr">
        <is>
          <t>Leczeni/rok – eliminacja WHO 2030</t>
        </is>
      </c>
      <c r="C51" s="4" t="n">
        <v>17500</v>
      </c>
      <c r="D51" t="n">
        <v>15000</v>
      </c>
      <c r="E51" t="n">
        <v>20000</v>
      </c>
      <c r="F51" t="inlineStr">
        <is>
          <t>stały</t>
        </is>
      </c>
      <c r="G51" t="inlineStr">
        <is>
          <t>—</t>
        </is>
      </c>
      <c r="H51" t="inlineStr">
        <is>
          <t>Flisiak i in. 2015 (scenariusz eliminacji: 15 000/rok); eksperci 2026 (ok. 20 000/rok)</t>
        </is>
      </c>
      <c r="I51" t="inlineStr">
        <is>
          <t>2023</t>
        </is>
      </c>
      <c r="J51" t="inlineStr">
        <is>
          <t>dane źródłowe</t>
        </is>
      </c>
      <c r="K51" t="inlineStr">
        <is>
          <t>środek przedziału</t>
        </is>
      </c>
      <c r="L51" t="inlineStr">
        <is>
          <t>NFZ</t>
        </is>
      </c>
      <c r="M51" t="inlineStr">
        <is>
          <t>osoby/rok</t>
        </is>
      </c>
    </row>
    <row r="52">
      <c r="A52" t="inlineStr">
        <is>
          <t>ZUS12_B18</t>
        </is>
      </c>
      <c r="B52" t="inlineStr">
        <is>
          <t>Wydatki ZUS 2012 B18 (renty+socjalne+rehab.+absencja)</t>
        </is>
      </c>
      <c r="C52" s="4" t="n">
        <v>49555600</v>
      </c>
      <c r="D52" t="inlineStr"/>
      <c r="E52" t="inlineStr"/>
      <c r="F52" t="inlineStr">
        <is>
          <t>stały</t>
        </is>
      </c>
      <c r="G52" t="inlineStr">
        <is>
          <t>—</t>
        </is>
      </c>
      <c r="H52" t="inlineStr">
        <is>
          <t>Łazarski/IZwOZ 2015, Tab. 57 (dane ZUS)</t>
        </is>
      </c>
      <c r="I52" t="inlineStr">
        <is>
          <t>2012</t>
        </is>
      </c>
      <c r="J52" t="inlineStr">
        <is>
          <t>dane źródłowe</t>
        </is>
      </c>
      <c r="K52" t="inlineStr">
        <is>
          <t>—</t>
        </is>
      </c>
      <c r="L52" t="inlineStr">
        <is>
          <t>ZUS</t>
        </is>
      </c>
      <c r="M52" t="inlineStr">
        <is>
          <t>zł</t>
        </is>
      </c>
    </row>
    <row r="53">
      <c r="A53" t="inlineStr">
        <is>
          <t>ZUS12_K74</t>
        </is>
      </c>
      <c r="B53" t="inlineStr">
        <is>
          <t>Wydatki ZUS 2012 K74</t>
        </is>
      </c>
      <c r="C53" s="4" t="n">
        <v>55049600</v>
      </c>
      <c r="D53" t="inlineStr"/>
      <c r="E53" t="inlineStr"/>
      <c r="F53" t="inlineStr">
        <is>
          <t>stały</t>
        </is>
      </c>
      <c r="G53" t="inlineStr">
        <is>
          <t>—</t>
        </is>
      </c>
      <c r="H53" t="inlineStr">
        <is>
          <t>Łazarski/IZwOZ 2015, Tab. 57</t>
        </is>
      </c>
      <c r="I53" t="inlineStr">
        <is>
          <t>2012</t>
        </is>
      </c>
      <c r="J53" t="inlineStr">
        <is>
          <t>dane źródłowe</t>
        </is>
      </c>
      <c r="K53" t="inlineStr">
        <is>
          <t>—</t>
        </is>
      </c>
      <c r="L53" t="inlineStr">
        <is>
          <t>ZUS</t>
        </is>
      </c>
      <c r="M53" t="inlineStr">
        <is>
          <t>zł</t>
        </is>
      </c>
    </row>
    <row r="54">
      <c r="A54" t="inlineStr">
        <is>
          <t>ZUS12_C22</t>
        </is>
      </c>
      <c r="B54" t="inlineStr">
        <is>
          <t>Wydatki ZUS 2012 C22</t>
        </is>
      </c>
      <c r="C54" s="4" t="n">
        <v>6026300</v>
      </c>
      <c r="D54" t="inlineStr"/>
      <c r="E54" t="inlineStr"/>
      <c r="F54" t="inlineStr">
        <is>
          <t>stały</t>
        </is>
      </c>
      <c r="G54" t="inlineStr">
        <is>
          <t>—</t>
        </is>
      </c>
      <c r="H54" t="inlineStr">
        <is>
          <t>Łazarski/IZwOZ 2015, Tab. 57</t>
        </is>
      </c>
      <c r="I54" t="inlineStr">
        <is>
          <t>2012</t>
        </is>
      </c>
      <c r="J54" t="inlineStr">
        <is>
          <t>dane źródłowe</t>
        </is>
      </c>
      <c r="K54" t="inlineStr">
        <is>
          <t>—</t>
        </is>
      </c>
      <c r="L54" t="inlineStr">
        <is>
          <t>ZUS</t>
        </is>
      </c>
      <c r="M54" t="inlineStr">
        <is>
          <t>zł</t>
        </is>
      </c>
    </row>
    <row r="55">
      <c r="A55" t="inlineStr">
        <is>
          <t>DAYS_RATIO_B18</t>
        </is>
      </c>
      <c r="B55" t="inlineStr">
        <is>
          <t>Wolumen absencji B18 2025/2013</t>
        </is>
      </c>
      <c r="C55" s="4" t="n">
        <v>0.1386215415019763</v>
      </c>
      <c r="D55" t="inlineStr"/>
      <c r="E55" t="inlineStr"/>
      <c r="F55" t="inlineStr">
        <is>
          <t>stały</t>
        </is>
      </c>
      <c r="G55" t="inlineStr">
        <is>
          <t>—</t>
        </is>
      </c>
      <c r="H55" t="inlineStr">
        <is>
          <t>ZUS PSZ 2025 (28 057 dni) / Łazarski 2013 (202,4 tys.)</t>
        </is>
      </c>
      <c r="I55" t="inlineStr">
        <is>
          <t>2013/2025</t>
        </is>
      </c>
      <c r="J55" t="inlineStr">
        <is>
          <t>dane źródłowe</t>
        </is>
      </c>
      <c r="K55" t="inlineStr">
        <is>
          <t>iloraz wolumenów</t>
        </is>
      </c>
      <c r="L55" t="inlineStr">
        <is>
          <t>ZUS</t>
        </is>
      </c>
      <c r="M55" t="inlineStr">
        <is>
          <t>×</t>
        </is>
      </c>
    </row>
    <row r="56">
      <c r="A56" t="inlineStr">
        <is>
          <t>W_RATIO</t>
        </is>
      </c>
      <c r="B56" t="inlineStr">
        <is>
          <t>Wzrost przeciętnego wynagrodzenia 2012→2025</t>
        </is>
      </c>
      <c r="C56" s="4" t="n">
        <v>2.52822098606627</v>
      </c>
      <c r="D56" t="inlineStr"/>
      <c r="E56" t="inlineStr"/>
      <c r="F56" t="inlineStr">
        <is>
          <t>stały</t>
        </is>
      </c>
      <c r="G56" t="inlineStr">
        <is>
          <t>—</t>
        </is>
      </c>
      <c r="H56" t="inlineStr">
        <is>
          <t>GUS: 3 521,67 zł (2012), 8 903,56 zł (2025, MP 2026 poz. 192)</t>
        </is>
      </c>
      <c r="I56" t="inlineStr">
        <is>
          <t>2026</t>
        </is>
      </c>
      <c r="J56" t="inlineStr">
        <is>
          <t>dane źródłowe</t>
        </is>
      </c>
      <c r="K56" t="inlineStr">
        <is>
          <t>iloraz</t>
        </is>
      </c>
      <c r="L56" t="inlineStr">
        <is>
          <t>—</t>
        </is>
      </c>
      <c r="M56" t="inlineStr">
        <is>
          <t>×</t>
        </is>
      </c>
    </row>
    <row r="57">
      <c r="A57" t="inlineStr">
        <is>
          <t>AF_B18</t>
        </is>
      </c>
      <c r="B57" t="inlineStr">
        <is>
          <t>Udział HCV w B18</t>
        </is>
      </c>
      <c r="C57" s="4" t="n">
        <v>0.5008525149190111</v>
      </c>
      <c r="D57" t="n">
        <v>0.45</v>
      </c>
      <c r="E57" t="n">
        <v>0.55</v>
      </c>
      <c r="F57" t="inlineStr">
        <is>
          <t>beta</t>
        </is>
      </c>
      <c r="G57" t="inlineStr">
        <is>
          <t>alfa=3525; beta=3513</t>
        </is>
      </c>
      <c r="H57" t="inlineStr">
        <is>
          <t>PZH: Choroby zakaźne i zatrucia w Polsce 2024 (B18.2 vs B18.0–1)</t>
        </is>
      </c>
      <c r="I57" t="inlineStr">
        <is>
          <t>2024</t>
        </is>
      </c>
      <c r="J57" t="inlineStr">
        <is>
          <t>prognoza/szacunek</t>
        </is>
      </c>
      <c r="K57" t="inlineStr">
        <is>
          <t>udział rejestracji jako proxy frakcji atrybutywnej</t>
        </is>
      </c>
      <c r="L57" t="inlineStr">
        <is>
          <t>ZUS</t>
        </is>
      </c>
      <c r="M57" t="inlineStr">
        <is>
          <t>odsetek</t>
        </is>
      </c>
    </row>
    <row r="58">
      <c r="A58" t="inlineStr">
        <is>
          <t>AF_LIVER</t>
        </is>
      </c>
      <c r="B58" t="inlineStr">
        <is>
          <t>Udział HCV w C22/K74 (frakcja atrybutywna)</t>
        </is>
      </c>
      <c r="C58" s="4" t="n">
        <v>0.42</v>
      </c>
      <c r="D58" t="n">
        <v>0.33</v>
      </c>
      <c r="E58" t="n">
        <v>0.42</v>
      </c>
      <c r="F58" t="inlineStr">
        <is>
          <t>beta</t>
        </is>
      </c>
      <c r="G58" t="inlineStr">
        <is>
          <t>alfa=201; beta=277 (n=478)</t>
        </is>
      </c>
      <c r="H58" t="inlineStr">
        <is>
          <t>Rejestr LIVER (JCO 2012, n=478); CEH 2021 (33–35%) – K74: proxy z HCC</t>
        </is>
      </c>
      <c r="I58" t="inlineStr">
        <is>
          <t>2012/2021</t>
        </is>
      </c>
      <c r="J58" t="inlineStr">
        <is>
          <t>prognoza/szacunek</t>
        </is>
      </c>
      <c r="K58" t="inlineStr">
        <is>
          <t>proxy: udział HCV w HCC przeniesiony na K74</t>
        </is>
      </c>
      <c r="L58" t="inlineStr">
        <is>
          <t>ZUS</t>
        </is>
      </c>
      <c r="M58" t="inlineStr">
        <is>
          <t>odsetek</t>
        </is>
      </c>
    </row>
    <row r="59">
      <c r="A59" t="inlineStr">
        <is>
          <t>z_F</t>
        </is>
      </c>
      <c r="B59" t="inlineStr">
        <is>
          <t>Roczny koszt ZUS (absencja chorobowa) na osobę z HCV pod opieką</t>
        </is>
      </c>
      <c r="C59" s="4" t="n">
        <v>3335.401089153117</v>
      </c>
      <c r="D59" t="n">
        <v>2001.24</v>
      </c>
      <c r="E59" t="n">
        <v>4669.56</v>
      </c>
      <c r="F59" t="inlineStr">
        <is>
          <t>gamma</t>
        </is>
      </c>
      <c r="G59" t="inlineStr">
        <is>
          <t>SE 20% (założenie)</t>
        </is>
      </c>
      <c r="H59" t="inlineStr">
        <is>
          <t>pochodna: ZUS12_B18 × DAYS_RATIO_B18 × W_RATIO × AF_B18 / (T_SQ × T_PRE)</t>
        </is>
      </c>
      <c r="I59" t="inlineStr">
        <is>
          <t>2025</t>
        </is>
      </c>
      <c r="J59" t="inlineStr">
        <is>
          <t>prognoza/szacunek</t>
        </is>
      </c>
      <c r="K59" t="inlineStr">
        <is>
          <t>kalibracja top-down: zasiłki chorobowe B18 przypisane HCV rozłożone na osoby pod opieką w status quo (nie na wszystkich z wiremią)</t>
        </is>
      </c>
      <c r="L59" t="inlineStr">
        <is>
          <t>ZUS</t>
        </is>
      </c>
      <c r="M59" t="inlineStr">
        <is>
          <t>zł/os./rok</t>
        </is>
      </c>
    </row>
    <row r="60">
      <c r="A60" t="inlineStr">
        <is>
          <t>PEN_K74</t>
        </is>
      </c>
      <c r="B60" t="inlineStr">
        <is>
          <t>Średnia renta ZUS/świadczeniobiorcę K74 (2025)</t>
        </is>
      </c>
      <c r="C60" s="4" t="n">
        <v>20932.19094784298</v>
      </c>
      <c r="D60" t="n">
        <v>16745.75</v>
      </c>
      <c r="E60" t="n">
        <v>25118.63</v>
      </c>
      <c r="F60" t="inlineStr">
        <is>
          <t>gamma</t>
        </is>
      </c>
      <c r="G60" t="inlineStr">
        <is>
          <t>SE 10%</t>
        </is>
      </c>
      <c r="H60" t="inlineStr">
        <is>
          <t>Łazarski 2015 (11 762.77 zł w 2012) × wskaźniki waloryzacji rent i emerytur ZUS 2013–2025 (iloczyn 1,7795)</t>
        </is>
      </c>
      <c r="I60" t="inlineStr">
        <is>
          <t>2012/2025</t>
        </is>
      </c>
      <c r="J60" t="inlineStr">
        <is>
          <t>prognoza/szacunek</t>
        </is>
      </c>
      <c r="K60" t="inlineStr">
        <is>
          <t>indeksacja wskaźnikiem waloryzacji świadczeń (ZUS/MRPiPS), nie wzrostem płac</t>
        </is>
      </c>
      <c r="L60" t="inlineStr">
        <is>
          <t>ZUS</t>
        </is>
      </c>
      <c r="M60" t="inlineStr">
        <is>
          <t>zł/rok</t>
        </is>
      </c>
    </row>
    <row r="61">
      <c r="A61" t="inlineStr">
        <is>
          <t>PEN_C22</t>
        </is>
      </c>
      <c r="B61" t="inlineStr">
        <is>
          <t>Średnia renta ZUS/świadczeniobiorcę C22 (2025)</t>
        </is>
      </c>
      <c r="C61" s="4" t="n">
        <v>23788.72657281027</v>
      </c>
      <c r="D61" t="n">
        <v>19030.98</v>
      </c>
      <c r="E61" t="n">
        <v>28546.47</v>
      </c>
      <c r="F61" t="inlineStr">
        <is>
          <t>gamma</t>
        </is>
      </c>
      <c r="G61" t="inlineStr">
        <is>
          <t>SE 10%</t>
        </is>
      </c>
      <c r="H61" t="inlineStr">
        <is>
          <t>Łazarski 2015 (13 367.99 zł w 2012) × wskaźniki waloryzacji rent i emerytur ZUS 2013–2025 (iloczyn 1,7795)</t>
        </is>
      </c>
      <c r="I61" t="inlineStr">
        <is>
          <t>2012/2025</t>
        </is>
      </c>
      <c r="J61" t="inlineStr">
        <is>
          <t>prognoza/szacunek</t>
        </is>
      </c>
      <c r="K61" t="inlineStr">
        <is>
          <t>indeksacja wskaźnikiem waloryzacji świadczeń (ZUS/MRPiPS), nie wzrostem płac</t>
        </is>
      </c>
      <c r="L61" t="inlineStr">
        <is>
          <t>ZUS</t>
        </is>
      </c>
      <c r="M61" t="inlineStr">
        <is>
          <t>zł/rok</t>
        </is>
      </c>
    </row>
    <row r="62">
      <c r="A62" t="inlineStr">
        <is>
          <t>EMP</t>
        </is>
      </c>
      <c r="B62" t="inlineStr">
        <is>
          <t>Wskaźnik zatrudnienia w wieku produkcyjnym</t>
        </is>
      </c>
      <c r="C62" s="4" t="n">
        <v>0.798</v>
      </c>
      <c r="D62" t="n">
        <v>0.75</v>
      </c>
      <c r="E62" t="n">
        <v>0.85</v>
      </c>
      <c r="F62" t="inlineStr">
        <is>
          <t>beta</t>
        </is>
      </c>
      <c r="G62" t="inlineStr">
        <is>
          <t>alfa=798; beta=202</t>
        </is>
      </c>
      <c r="H62" t="inlineStr">
        <is>
          <t>GUS BAEL IV kw. 2025 (18–59/64 lata)</t>
        </is>
      </c>
      <c r="I62" t="inlineStr">
        <is>
          <t>2026</t>
        </is>
      </c>
      <c r="J62" t="inlineStr">
        <is>
          <t>dane źródłowe</t>
        </is>
      </c>
      <c r="K62" t="inlineStr">
        <is>
          <t>—</t>
        </is>
      </c>
      <c r="L62" t="inlineStr">
        <is>
          <t>—</t>
        </is>
      </c>
      <c r="M62" t="inlineStr">
        <is>
          <t>odsetek</t>
        </is>
      </c>
    </row>
    <row r="63">
      <c r="A63" t="inlineStr">
        <is>
          <t>AGRI</t>
        </is>
      </c>
      <c r="B63" t="inlineStr">
        <is>
          <t>Udział pracujących w rolnictwie (KRUS)</t>
        </is>
      </c>
      <c r="C63" s="4" t="n">
        <v>0.062</v>
      </c>
      <c r="D63" t="n">
        <v>0.05</v>
      </c>
      <c r="E63" t="n">
        <v>0.08</v>
      </c>
      <c r="F63" t="inlineStr">
        <is>
          <t>stały</t>
        </is>
      </c>
      <c r="G63" t="inlineStr">
        <is>
          <t>—</t>
        </is>
      </c>
      <c r="H63" t="inlineStr">
        <is>
          <t>GUS BAEL IV kw. 2025</t>
        </is>
      </c>
      <c r="I63" t="inlineStr">
        <is>
          <t>2026</t>
        </is>
      </c>
      <c r="J63" t="inlineStr">
        <is>
          <t>dane źródłowe</t>
        </is>
      </c>
      <c r="K63" t="inlineStr">
        <is>
          <t>podział świadczeń ZUS/KRUS proporcjonalnie do struktury zatrudnienia (założenie: ta sama kwota świadczenia)</t>
        </is>
      </c>
      <c r="L63" t="inlineStr">
        <is>
          <t>KRUS</t>
        </is>
      </c>
      <c r="M63" t="inlineStr">
        <is>
          <t>odsetek</t>
        </is>
      </c>
    </row>
    <row r="64">
      <c r="A64" t="inlineStr">
        <is>
          <t>WAGE</t>
        </is>
      </c>
      <c r="B64" t="inlineStr">
        <is>
          <t>Przeciętne roczne wynagrodzenie brutto</t>
        </is>
      </c>
      <c r="C64" s="4" t="n">
        <v>106842.72</v>
      </c>
      <c r="D64" t="inlineStr"/>
      <c r="E64" t="inlineStr"/>
      <c r="F64" t="inlineStr">
        <is>
          <t>stały</t>
        </is>
      </c>
      <c r="G64" t="inlineStr">
        <is>
          <t>—</t>
        </is>
      </c>
      <c r="H64" t="inlineStr">
        <is>
          <t>GUS 2025: 8 903,56 zł/mies. (MP 2026 poz. 192)</t>
        </is>
      </c>
      <c r="I64" t="inlineStr">
        <is>
          <t>2026</t>
        </is>
      </c>
      <c r="J64" t="inlineStr">
        <is>
          <t>dane źródłowe</t>
        </is>
      </c>
      <c r="K64" t="inlineStr">
        <is>
          <t>×12</t>
        </is>
      </c>
      <c r="L64" t="inlineStr">
        <is>
          <t>—</t>
        </is>
      </c>
      <c r="M64" t="inlineStr">
        <is>
          <t>zł/rok</t>
        </is>
      </c>
    </row>
    <row r="65">
      <c r="A65" t="inlineStr">
        <is>
          <t>WLOSS</t>
        </is>
      </c>
      <c r="B65" t="inlineStr">
        <is>
          <t>Utrata zdolności do pracy w DC/HCC/LT/po LT</t>
        </is>
      </c>
      <c r="C65" s="4" t="n">
        <v>0.7155</v>
      </c>
      <c r="D65" t="n">
        <v>0.3578</v>
      </c>
      <c r="E65" t="n">
        <v>1</v>
      </c>
      <c r="F65" t="inlineStr">
        <is>
          <t>stały</t>
        </is>
      </c>
      <c r="G65" t="inlineStr">
        <is>
          <t>—</t>
        </is>
      </c>
      <c r="H65" t="inlineStr">
        <is>
          <t>kalibracja: renty ZUS w modelu (status quo 2026) = przeliczenie top-down wydatków ZUS 2012 (K74+C22) × waloryzacja × AF_LIVER</t>
        </is>
      </c>
      <c r="I65" t="inlineStr">
        <is>
          <t>2012/2025</t>
        </is>
      </c>
      <c r="J65" t="inlineStr">
        <is>
          <t>założenie scenariuszowe</t>
        </is>
      </c>
      <c r="K65" t="inlineStr">
        <is>
          <t>odsetek osób z DC/HCC/po przeszczepieniu, które tracą pracę i pobierają rentę; brak danych bezpośrednich (EMP dla populacji ogólnej – nie korygowane dla PWID)</t>
        </is>
      </c>
      <c r="L65" t="inlineStr">
        <is>
          <t>—</t>
        </is>
      </c>
      <c r="M65" t="inlineStr">
        <is>
          <t>odsetek</t>
        </is>
      </c>
    </row>
    <row r="66">
      <c r="A66" t="inlineStr">
        <is>
          <t>FRIC</t>
        </is>
      </c>
      <c r="B66" t="inlineStr">
        <is>
          <t>Okres frykcyjny</t>
        </is>
      </c>
      <c r="C66" s="4" t="n">
        <v>0.25</v>
      </c>
      <c r="D66" t="n">
        <v>0.17</v>
      </c>
      <c r="E66" t="n">
        <v>0.5</v>
      </c>
      <c r="F66" t="inlineStr">
        <is>
          <t>stały</t>
        </is>
      </c>
      <c r="G66" t="inlineStr">
        <is>
          <t>—</t>
        </is>
      </c>
      <c r="H66" t="inlineStr">
        <is>
          <t>Koopmanschap 1995 (metoda frykcyjna; NL) – transfer</t>
        </is>
      </c>
      <c r="I66" t="inlineStr">
        <is>
          <t>1995</t>
        </is>
      </c>
      <c r="J66" t="inlineStr">
        <is>
          <t>dane zagraniczne/literatura międzynarodowa</t>
        </is>
      </c>
      <c r="K66" t="inlineStr">
        <is>
          <t>metoda frykcyjna: strata tylko w okresie zastąpienia pracownika</t>
        </is>
      </c>
      <c r="L66" t="inlineStr">
        <is>
          <t>—</t>
        </is>
      </c>
      <c r="M66" t="inlineStr">
        <is>
          <t>rok</t>
        </is>
      </c>
    </row>
    <row r="67">
      <c r="A67" t="inlineStr">
        <is>
          <t>R_FUS</t>
        </is>
      </c>
      <c r="B67" t="inlineStr">
        <is>
          <t>Składki FUS (emer.19,52+rent.8,0+chor.2,45+wyp.1,67)</t>
        </is>
      </c>
      <c r="C67" s="4" t="n">
        <v>0.3164</v>
      </c>
      <c r="D67" t="inlineStr"/>
      <c r="E67" t="inlineStr"/>
      <c r="F67" t="inlineStr">
        <is>
          <t>stały</t>
        </is>
      </c>
      <c r="G67" t="inlineStr">
        <is>
          <t>—</t>
        </is>
      </c>
      <c r="H67" t="inlineStr">
        <is>
          <t>ustawa o systemie ubezpieczeń społecznych (stawki 2025)</t>
        </is>
      </c>
      <c r="I67" t="inlineStr">
        <is>
          <t>2025</t>
        </is>
      </c>
      <c r="J67" t="inlineStr">
        <is>
          <t>dane źródłowe</t>
        </is>
      </c>
      <c r="K67" t="inlineStr">
        <is>
          <t>suma stawek ustawowych</t>
        </is>
      </c>
      <c r="L67" t="inlineStr">
        <is>
          <t>ZUS</t>
        </is>
      </c>
      <c r="M67" t="inlineStr">
        <is>
          <t>% brutto</t>
        </is>
      </c>
    </row>
    <row r="68">
      <c r="A68" t="inlineStr">
        <is>
          <t>R_FP</t>
        </is>
      </c>
      <c r="B68" t="inlineStr">
        <is>
          <t>Fundusz Pracy + FGŚP</t>
        </is>
      </c>
      <c r="C68" s="4" t="n">
        <v>0.0255</v>
      </c>
      <c r="D68" t="inlineStr"/>
      <c r="E68" t="inlineStr"/>
      <c r="F68" t="inlineStr">
        <is>
          <t>stały</t>
        </is>
      </c>
      <c r="G68" t="inlineStr">
        <is>
          <t>—</t>
        </is>
      </c>
      <c r="H68" t="inlineStr">
        <is>
          <t>ustawa o promocji zatrudnienia; ustawa o FGŚP</t>
        </is>
      </c>
      <c r="I68" t="inlineStr">
        <is>
          <t>2025</t>
        </is>
      </c>
      <c r="J68" t="inlineStr">
        <is>
          <t>dane źródłowe</t>
        </is>
      </c>
      <c r="K68" t="inlineStr">
        <is>
          <t>—</t>
        </is>
      </c>
      <c r="L68" t="inlineStr">
        <is>
          <t>Budżet/fundusze celowe</t>
        </is>
      </c>
      <c r="M68" t="inlineStr">
        <is>
          <t>% brutto</t>
        </is>
      </c>
    </row>
    <row r="69">
      <c r="A69" t="inlineStr">
        <is>
          <t>R_NFZ</t>
        </is>
      </c>
      <c r="B69" t="inlineStr">
        <is>
          <t>Składka zdrowotna 9% (od podstawy po składkach)</t>
        </is>
      </c>
      <c r="C69" s="4" t="n">
        <v>0.07766099999999999</v>
      </c>
      <c r="D69" t="inlineStr"/>
      <c r="E69" t="inlineStr"/>
      <c r="F69" t="inlineStr">
        <is>
          <t>stały</t>
        </is>
      </c>
      <c r="G69" t="inlineStr">
        <is>
          <t>—</t>
        </is>
      </c>
      <c r="H69" t="inlineStr">
        <is>
          <t>ustawa o świadczeniach opieki zdrowotnej</t>
        </is>
      </c>
      <c r="I69" t="inlineStr">
        <is>
          <t>2025</t>
        </is>
      </c>
      <c r="J69" t="inlineStr">
        <is>
          <t>dane źródłowe</t>
        </is>
      </c>
      <c r="K69" t="inlineStr">
        <is>
          <t>9% × (1−13,71%)</t>
        </is>
      </c>
      <c r="L69" t="inlineStr">
        <is>
          <t>NFZ</t>
        </is>
      </c>
      <c r="M69" t="inlineStr">
        <is>
          <t>% brutto</t>
        </is>
      </c>
    </row>
    <row r="70">
      <c r="A70" t="inlineStr">
        <is>
          <t>R_PIT</t>
        </is>
      </c>
      <c r="B70" t="inlineStr">
        <is>
          <t>Efektywny PIT przy przeciętnym wynagrodzeniu</t>
        </is>
      </c>
      <c r="C70" s="4" t="n">
        <v>0.0664841738450687</v>
      </c>
      <c r="D70" t="inlineStr"/>
      <c r="E70" t="inlineStr"/>
      <c r="F70" t="inlineStr">
        <is>
          <t>stały</t>
        </is>
      </c>
      <c r="G70" t="inlineStr">
        <is>
          <t>—</t>
        </is>
      </c>
      <c r="H70" t="inlineStr">
        <is>
          <t>ustawa o PIT (12%, KUP 250 zł, kwota zmniejszająca 300 zł/mies.)</t>
        </is>
      </c>
      <c r="I70" t="inlineStr">
        <is>
          <t>2025</t>
        </is>
      </c>
      <c r="J70" t="inlineStr">
        <is>
          <t>prognoza/szacunek</t>
        </is>
      </c>
      <c r="K70" t="inlineStr">
        <is>
          <t>obliczenie dla przeciętnego wynagrodzenia</t>
        </is>
      </c>
      <c r="L70" t="inlineStr">
        <is>
          <t>Budżet/JST</t>
        </is>
      </c>
      <c r="M70" t="inlineStr">
        <is>
          <t>% brutto</t>
        </is>
      </c>
    </row>
    <row r="71">
      <c r="A71" t="inlineStr">
        <is>
          <t>D_C</t>
        </is>
      </c>
      <c r="B71" t="inlineStr">
        <is>
          <t>Stopa dyskontowa – koszty</t>
        </is>
      </c>
      <c r="C71" s="4" t="n">
        <v>0.05</v>
      </c>
      <c r="D71" t="n">
        <v>0</v>
      </c>
      <c r="E71" t="n">
        <v>0.05</v>
      </c>
      <c r="F71" t="inlineStr">
        <is>
          <t>stały</t>
        </is>
      </c>
      <c r="G71" t="inlineStr">
        <is>
          <t>—</t>
        </is>
      </c>
      <c r="H71" t="inlineStr">
        <is>
          <t>Wytyczne HTA AOTMiT 2016</t>
        </is>
      </c>
      <c r="I71" t="inlineStr">
        <is>
          <t>2016</t>
        </is>
      </c>
      <c r="J71" t="inlineStr">
        <is>
          <t>dane źródłowe</t>
        </is>
      </c>
      <c r="K71" t="inlineStr">
        <is>
          <t>—</t>
        </is>
      </c>
      <c r="L71" t="inlineStr">
        <is>
          <t>—</t>
        </is>
      </c>
      <c r="M71" t="inlineStr">
        <is>
          <t>/rok</t>
        </is>
      </c>
    </row>
    <row r="72">
      <c r="A72" t="inlineStr">
        <is>
          <t>D_E</t>
        </is>
      </c>
      <c r="B72" t="inlineStr">
        <is>
          <t>Stopa dyskontowa – efekty</t>
        </is>
      </c>
      <c r="C72" s="4" t="n">
        <v>0.035</v>
      </c>
      <c r="D72" t="n">
        <v>0</v>
      </c>
      <c r="E72" t="n">
        <v>0.035</v>
      </c>
      <c r="F72" t="inlineStr">
        <is>
          <t>stały</t>
        </is>
      </c>
      <c r="G72" t="inlineStr">
        <is>
          <t>—</t>
        </is>
      </c>
      <c r="H72" t="inlineStr">
        <is>
          <t>Wytyczne HTA AOTMiT 2016</t>
        </is>
      </c>
      <c r="I72" t="inlineStr">
        <is>
          <t>2016</t>
        </is>
      </c>
      <c r="J72" t="inlineStr">
        <is>
          <t>dane źródłowe</t>
        </is>
      </c>
      <c r="K72" t="inlineStr">
        <is>
          <t>—</t>
        </is>
      </c>
      <c r="L72" t="inlineStr">
        <is>
          <t>—</t>
        </is>
      </c>
      <c r="M72" t="inlineStr">
        <is>
          <t>/rok</t>
        </is>
      </c>
    </row>
    <row r="73">
      <c r="A73" t="inlineStr">
        <is>
          <t>THR</t>
        </is>
      </c>
      <c r="B73" t="inlineStr">
        <is>
          <t>Próg opłacalności</t>
        </is>
      </c>
      <c r="C73" s="4" t="n">
        <v>244821</v>
      </c>
      <c r="D73" t="inlineStr"/>
      <c r="E73" t="inlineStr"/>
      <c r="F73" t="inlineStr">
        <is>
          <t>stały</t>
        </is>
      </c>
      <c r="G73" t="inlineStr">
        <is>
          <t>—</t>
        </is>
      </c>
      <c r="H73" t="inlineStr">
        <is>
          <t>Obwieszczenie Prezesa GUS / MP 2025 poz. 1133 (3×PKB per capita)</t>
        </is>
      </c>
      <c r="I73" t="inlineStr">
        <is>
          <t>2025</t>
        </is>
      </c>
      <c r="J73" t="inlineStr">
        <is>
          <t>dane źródłowe</t>
        </is>
      </c>
      <c r="K73" t="inlineStr">
        <is>
          <t>—</t>
        </is>
      </c>
      <c r="L73" t="inlineStr">
        <is>
          <t>—</t>
        </is>
      </c>
      <c r="M73" t="inlineStr">
        <is>
          <t>zł/QALY</t>
        </is>
      </c>
    </row>
    <row r="74">
      <c r="A74" t="inlineStr">
        <is>
          <t>INC</t>
        </is>
      </c>
      <c r="B74" t="inlineStr">
        <is>
          <t>Nowe przewlekłe zakażenia HCV/rok (kohorta otwarta)</t>
        </is>
      </c>
      <c r="C74" s="4" t="n">
        <v>5420</v>
      </c>
      <c r="D74" t="n">
        <v>3800</v>
      </c>
      <c r="E74" t="n">
        <v>7000</v>
      </c>
      <c r="F74" t="inlineStr">
        <is>
          <t>trójkątny</t>
        </is>
      </c>
      <c r="G74" t="inlineStr">
        <is>
          <t>min=3800; moda=5420; max=7000</t>
        </is>
      </c>
      <c r="H74" t="inlineStr">
        <is>
          <t>Flisiak i in. Eur J Gastroenterol Hepatol 2015;27:70–76 (model choroby HCV dla Polski; badanie wspierane finansowo przez producenta leków, jeden ze współautorów z firmy HTA) – 5 420 nowych zakażeń w 2013 r. (rekonstrukcja wsteczna), założone stałe w czasie</t>
        </is>
      </c>
      <c r="I74" t="inlineStr">
        <is>
          <t>2013</t>
        </is>
      </c>
      <c r="J74" t="inlineStr">
        <is>
          <t>prognoza/szacunek</t>
        </is>
      </c>
      <c r="K74" t="inlineStr">
        <is>
          <t>stała roczna liczba jak w źródle; zakres ±30% (założenie – brak pomiaru zapadalności w PL; zgłoszenia EPIMELD 3 525–4 029/rok mierzą rozpoznania, nie zakażenia)</t>
        </is>
      </c>
      <c r="L74" t="inlineStr">
        <is>
          <t>—</t>
        </is>
      </c>
      <c r="M74" t="inlineStr">
        <is>
          <t>osoby/rok</t>
        </is>
      </c>
    </row>
    <row r="75">
      <c r="A75" t="inlineStr">
        <is>
          <t>AGE_INC</t>
        </is>
      </c>
      <c r="B75" t="inlineStr">
        <is>
          <t>Wiek w chwili zakażenia (nowe kohorty)</t>
        </is>
      </c>
      <c r="C75" s="4" t="n">
        <v>29</v>
      </c>
      <c r="D75" t="n">
        <v>25</v>
      </c>
      <c r="E75" t="n">
        <v>40</v>
      </c>
      <c r="F75" t="inlineStr">
        <is>
          <t>stały (tornado)</t>
        </is>
      </c>
      <c r="G75" t="inlineStr">
        <is>
          <t>—</t>
        </is>
      </c>
      <c r="H75" t="inlineStr">
        <is>
          <t>NFZ B.71 2025: środek grupy 18–40 lat (proxy – najmłodsza grupa leczonych)</t>
        </is>
      </c>
      <c r="I75" t="inlineStr">
        <is>
          <t>2025</t>
        </is>
      </c>
      <c r="J75" t="inlineStr">
        <is>
          <t>prognoza/szacunek</t>
        </is>
      </c>
      <c r="K75" t="inlineStr">
        <is>
          <t>proxy; brak danych o wieku zakażenia</t>
        </is>
      </c>
      <c r="L75" t="inlineStr">
        <is>
          <t>—</t>
        </is>
      </c>
      <c r="M75" t="inlineStr">
        <is>
          <t>lata</t>
        </is>
      </c>
    </row>
    <row r="76">
      <c r="A76" t="inlineStr">
        <is>
          <t>RE</t>
        </is>
      </c>
      <c r="B76" t="inlineStr">
        <is>
          <t>Reinfekcja po SVR – osoby w terapii substytucyjnej (OST) wśród leczonych w status quo</t>
        </is>
      </c>
      <c r="C76" s="4" t="n">
        <v>0.038</v>
      </c>
      <c r="D76" t="n">
        <v>0.025</v>
      </c>
      <c r="E76" t="n">
        <v>0.058</v>
      </c>
      <c r="F76" t="inlineStr">
        <is>
          <t>lognormalny</t>
        </is>
      </c>
      <c r="G76" t="inlineStr">
        <is>
          <t>mu=ln(0.038); sigma=0.21</t>
        </is>
      </c>
      <c r="H76" t="inlineStr">
        <is>
          <t>Hajarizadeh i in. J Hepatol 2020;72:643–657 (metaanaliza, 36 badań)</t>
        </is>
      </c>
      <c r="I76" t="inlineStr">
        <is>
          <t>2020</t>
        </is>
      </c>
      <c r="J76" t="inlineStr">
        <is>
          <t>dane zagraniczne/literatura międzynarodowa</t>
        </is>
      </c>
      <c r="K76" t="inlineStr">
        <is>
          <t>3,8/100 osobolat dla osób na OST (95% CI 2,5–5,8); stosowane do udziału PWID wśród leczonych w status quo</t>
        </is>
      </c>
      <c r="L76" t="inlineStr">
        <is>
          <t>—</t>
        </is>
      </c>
      <c r="M76" t="inlineStr">
        <is>
          <t>/rok</t>
        </is>
      </c>
    </row>
    <row r="77">
      <c r="A77" t="inlineStr">
        <is>
          <t>PWID_SH</t>
        </is>
      </c>
      <c r="B77" t="inlineStr">
        <is>
          <t>Udział osób przyjmujących narkotyki wśród leczonych (status quo)</t>
        </is>
      </c>
      <c r="C77" s="4" t="n">
        <v>0.032</v>
      </c>
      <c r="D77" t="n">
        <v>0.02</v>
      </c>
      <c r="E77" t="n">
        <v>0.1</v>
      </c>
      <c r="F77" t="inlineStr">
        <is>
          <t>stały (tornado)</t>
        </is>
      </c>
      <c r="G77" t="inlineStr">
        <is>
          <t>—</t>
        </is>
      </c>
      <c r="H77" t="inlineStr">
        <is>
          <t>PZH: PWID = 3,2% rozpoznań HCV w 2023 r. (Przegl Epidemiol 2025;79(4))</t>
        </is>
      </c>
      <c r="I77" t="inlineStr">
        <is>
          <t>2023</t>
        </is>
      </c>
      <c r="J77" t="inlineStr">
        <is>
          <t>dane źródłowe</t>
        </is>
      </c>
      <c r="K77" t="inlineStr">
        <is>
          <t>udział w rozpoznaniach jako proxy udziału w leczonych; max = założenie</t>
        </is>
      </c>
      <c r="L77" t="inlineStr">
        <is>
          <t>—</t>
        </is>
      </c>
      <c r="M77" t="inlineStr">
        <is>
          <t>odsetek</t>
        </is>
      </c>
    </row>
    <row r="78">
      <c r="A78" t="inlineStr">
        <is>
          <t>DC0</t>
        </is>
      </c>
      <c r="B78" t="inlineStr">
        <is>
          <t>Osoby z marskością zdekompensowaną (DC) na starcie</t>
        </is>
      </c>
      <c r="C78" s="4" t="n">
        <v>1590</v>
      </c>
      <c r="D78" t="n">
        <v>1028</v>
      </c>
      <c r="E78" t="n">
        <v>2460</v>
      </c>
      <c r="F78" t="inlineStr">
        <is>
          <t>lognormalny</t>
        </is>
      </c>
      <c r="G78" t="inlineStr">
        <is>
          <t>sigma=0.223</t>
        </is>
      </c>
      <c r="H78" t="inlineStr">
        <is>
          <t>Flisiak i in. Eur J Gastroenterol Hepatol 2015;27:70–76 (model choroby HCV dla Polski; badanie wspierane finansowo przez producenta leków, jeden ze współautorów z firmy HTA): 1 590 (2013); przy ~5 000 leczonych/rok liczba stała do 2030; bez leczenia 2 460 w 2030</t>
        </is>
      </c>
      <c r="I78" t="inlineStr">
        <is>
          <t>2013/2030</t>
        </is>
      </c>
      <c r="J78" t="inlineStr">
        <is>
          <t>prognoza/szacunek</t>
        </is>
      </c>
      <c r="K78" t="inlineStr">
        <is>
          <t>1 590 (2013) – źródło przewiduje stałą liczbę do 2030 przy ~5 000 leczonych/rok; sigma = ln(2460/1590)/1,96 (symetrycznie w skali log)</t>
        </is>
      </c>
      <c r="L78" t="inlineStr">
        <is>
          <t>NFZ</t>
        </is>
      </c>
      <c r="M78" t="inlineStr">
        <is>
          <t>osoby</t>
        </is>
      </c>
    </row>
    <row r="79">
      <c r="A79" t="inlineStr">
        <is>
          <t>HCC0</t>
        </is>
      </c>
      <c r="B79" t="inlineStr">
        <is>
          <t>Osoby z rakiem wątrobowokomórkowym (HCC) związanym z HCV na starcie</t>
        </is>
      </c>
      <c r="C79" s="4" t="n">
        <v>2535</v>
      </c>
      <c r="D79" t="n">
        <v>1992</v>
      </c>
      <c r="E79" t="n">
        <v>3227</v>
      </c>
      <c r="F79" t="inlineStr">
        <is>
          <t>pochodny (∝ K_HCC)</t>
        </is>
      </c>
      <c r="G79" t="inlineStr">
        <is>
          <t>HCC0 × K_HCC/K_HCC_bazowe</t>
        </is>
      </c>
      <c r="H79" t="inlineStr">
        <is>
          <t>stan ustalony: 712 nowych HCC/rok (KRN 2023 × 0,42) / (p_HCCD + p_HCCLT)</t>
        </is>
      </c>
      <c r="I79" t="inlineStr">
        <is>
          <t>2023</t>
        </is>
      </c>
      <c r="J79" t="inlineStr">
        <is>
          <t>prognoza/szacunek</t>
        </is>
      </c>
      <c r="K79" t="inlineStr">
        <is>
          <t>liczba chorych z HCC spójna z zapadalnością z KRN; w PSA skalowana razem z K_HCC (wspólny cel kalibracji)</t>
        </is>
      </c>
      <c r="L79" t="inlineStr">
        <is>
          <t>NFZ</t>
        </is>
      </c>
      <c r="M79" t="inlineStr">
        <is>
          <t>osoby</t>
        </is>
      </c>
    </row>
    <row r="80">
      <c r="A80" t="inlineStr">
        <is>
          <t>PLT0</t>
        </is>
      </c>
      <c r="B80" t="inlineStr">
        <is>
          <t>Osoby po przeszczepieniu wątroby z powodu HCV (rok 2+)</t>
        </is>
      </c>
      <c r="C80" s="4" t="n">
        <v>1585</v>
      </c>
      <c r="D80" t="n">
        <v>792</v>
      </c>
      <c r="E80" t="n">
        <v>3170</v>
      </c>
      <c r="F80" t="inlineStr">
        <is>
          <t>lognormalny</t>
        </is>
      </c>
      <c r="G80" t="inlineStr">
        <is>
          <t>sigma=0.354</t>
        </is>
      </c>
      <c r="H80" t="inlineStr">
        <is>
          <t>Poltransplant 2013: 318 przeszczepień wątroby, 27,8% z powodu HCV (via Flisiak i in. Eur J Gastroenterol Hepatol 2015;27:70–76 (model choroby HCV dla Polski; badanie wspierane finansowo przez producenta leków, jeden ze współautorów z firmy HTA))</t>
        </is>
      </c>
      <c r="I80" t="inlineStr">
        <is>
          <t>2013</t>
        </is>
      </c>
      <c r="J80" t="inlineStr">
        <is>
          <t>prognoza/szacunek</t>
        </is>
      </c>
      <c r="K80" t="inlineStr">
        <is>
          <t>stan ustalony: 318×0,278×(1−p_LTD)/p_PLTD; sigma = ln(2)/1,96 (możliwy spadek wskazań HCV w erze DAA)</t>
        </is>
      </c>
      <c r="L80" t="inlineStr">
        <is>
          <t>NFZ</t>
        </is>
      </c>
      <c r="M80" t="inlineStr">
        <is>
          <t>osoby</t>
        </is>
      </c>
    </row>
    <row r="81">
      <c r="A81" t="inlineStr">
        <is>
          <t>LINK</t>
        </is>
      </c>
      <c r="B81" t="inlineStr">
        <is>
          <t>Odsetek wykrytych (RNA+), którzy rozpoczynają leczenie</t>
        </is>
      </c>
      <c r="C81" s="4" t="n">
        <v>0.5</v>
      </c>
      <c r="D81" t="n">
        <v>0.3</v>
      </c>
      <c r="E81" t="n">
        <v>0.8149999999999999</v>
      </c>
      <c r="F81" t="inlineStr">
        <is>
          <t>trójkątny</t>
        </is>
      </c>
      <c r="G81" t="inlineStr">
        <is>
          <t>min=0.3; moda=0.5; max=0.815</t>
        </is>
      </c>
      <c r="H81" t="inlineStr">
        <is>
          <t>Brak danych PL (luka). Moda: założenie modelu kaskady; max: Anglia 81,5% rozpoznanych 2015–24 rozpoczęło leczenie (UKHSA 2025)</t>
        </is>
      </c>
      <c r="I81" t="inlineStr">
        <is>
          <t>2025</t>
        </is>
      </c>
      <c r="J81" t="inlineStr">
        <is>
          <t>założenie scenariuszowe / dane zagraniczne/literatura międzynarodowa</t>
        </is>
      </c>
      <c r="K81" t="inlineStr">
        <is>
          <t>bez testu refleksyjnego i nawigacji</t>
        </is>
      </c>
      <c r="L81" t="inlineStr">
        <is>
          <t>NFZ</t>
        </is>
      </c>
      <c r="M81" t="inlineStr">
        <is>
          <t>odsetek</t>
        </is>
      </c>
    </row>
    <row r="82">
      <c r="A82" t="inlineStr">
        <is>
          <t>LINK_UP</t>
        </is>
      </c>
      <c r="B82" t="inlineStr">
        <is>
          <t>Odsetek rozpoczynających leczenie przy teście refleksyjnym + nawigacji</t>
        </is>
      </c>
      <c r="C82" s="4" t="n">
        <v>0.8149999999999999</v>
      </c>
      <c r="D82" t="n">
        <v>0.6</v>
      </c>
      <c r="E82" t="n">
        <v>0.918</v>
      </c>
      <c r="F82" t="inlineStr">
        <is>
          <t>trójkątny</t>
        </is>
      </c>
      <c r="G82" t="inlineStr">
        <is>
          <t>min=0.6; moda=0.815; max=0.918</t>
        </is>
      </c>
      <c r="H82" t="inlineStr">
        <is>
          <t>UKHSA 2025 (Anglia 81,5%); Egipt 91,8% (PMC11332630)</t>
        </is>
      </c>
      <c r="I82" t="inlineStr">
        <is>
          <t>2024–2025</t>
        </is>
      </c>
      <c r="J82" t="inlineStr">
        <is>
          <t>dane zagraniczne/literatura międzynarodowa</t>
        </is>
      </c>
      <c r="K82" t="inlineStr">
        <is>
          <t>wariant pakietu eliminacyjnego; min = założenie</t>
        </is>
      </c>
      <c r="L82" t="inlineStr">
        <is>
          <t>NFZ</t>
        </is>
      </c>
      <c r="M82" t="inlineStr">
        <is>
          <t>odsetek</t>
        </is>
      </c>
    </row>
    <row r="83">
      <c r="A83" t="inlineStr">
        <is>
          <t>Y_MZ</t>
        </is>
      </c>
      <c r="B83" t="inlineStr">
        <is>
          <t>Wykryci RNA+ na 1 test anty-HCV – program populacyjny w POZ (kalibracja)</t>
        </is>
      </c>
      <c r="C83" s="4" t="n">
        <v>0.000625</v>
      </c>
      <c r="D83" t="inlineStr"/>
      <c r="E83" t="inlineStr"/>
      <c r="F83" t="inlineStr">
        <is>
          <t>stały</t>
        </is>
      </c>
      <c r="G83" t="inlineStr">
        <is>
          <t>—</t>
        </is>
      </c>
      <c r="H83" t="inlineStr">
        <is>
          <t>~700 dodatkowych rozpoznań (EPIMELD V 2025–III 2026) / 1,12 mln testów (MZ, I 2026)</t>
        </is>
      </c>
      <c r="I83" t="inlineStr">
        <is>
          <t>2026</t>
        </is>
      </c>
      <c r="J83" t="inlineStr">
        <is>
          <t>prognoza/szacunek</t>
        </is>
      </c>
      <c r="K83" t="inlineStr">
        <is>
          <t>iloraz; okresy nie pokrywają się – szacunek zgrubny</t>
        </is>
      </c>
      <c r="L83" t="inlineStr">
        <is>
          <t>NFZ</t>
        </is>
      </c>
      <c r="M83" t="inlineStr">
        <is>
          <t>/test</t>
        </is>
      </c>
    </row>
    <row r="84">
      <c r="A84" t="inlineStr">
        <is>
          <t>Y_POZ</t>
        </is>
      </c>
      <c r="B84" t="inlineStr">
        <is>
          <t>Wykryci RNA+ na 1 test – POZ (0,2% × 40%)</t>
        </is>
      </c>
      <c r="C84" s="4" t="n">
        <v>0.0008</v>
      </c>
      <c r="D84" t="inlineStr"/>
      <c r="E84" t="inlineStr"/>
      <c r="F84" t="inlineStr">
        <is>
          <t>stały</t>
        </is>
      </c>
      <c r="G84" t="inlineStr">
        <is>
          <t>—</t>
        </is>
      </c>
      <c r="H84" t="inlineStr">
        <is>
          <t>Clin Exp Hepatol 2020 (723 654 testów 2018–19)</t>
        </is>
      </c>
      <c r="I84" t="inlineStr">
        <is>
          <t>2020</t>
        </is>
      </c>
      <c r="J84" t="inlineStr">
        <is>
          <t>dane źródłowe</t>
        </is>
      </c>
      <c r="K84" t="inlineStr">
        <is>
          <t>iloczyn odsetków</t>
        </is>
      </c>
      <c r="L84" t="inlineStr">
        <is>
          <t>NFZ</t>
        </is>
      </c>
      <c r="M84" t="inlineStr">
        <is>
          <t>/test</t>
        </is>
      </c>
    </row>
    <row r="85">
      <c r="A85" t="inlineStr">
        <is>
          <t>Y_LAB</t>
        </is>
      </c>
      <c r="B85" t="inlineStr">
        <is>
          <t>Wykryci RNA+ na 1 test – laboratoria/szpitale (1,2% × 40%)</t>
        </is>
      </c>
      <c r="C85" s="4" t="n">
        <v>0.0048</v>
      </c>
      <c r="D85" t="inlineStr"/>
      <c r="E85" t="inlineStr"/>
      <c r="F85" t="inlineStr">
        <is>
          <t>stały</t>
        </is>
      </c>
      <c r="G85" t="inlineStr">
        <is>
          <t>—</t>
        </is>
      </c>
      <c r="H85" t="inlineStr">
        <is>
          <t>Clin Exp Hepatol 2020 (laboratoria w czasie kampanii; szpitale 0,6–0,7%)</t>
        </is>
      </c>
      <c r="I85" t="inlineStr">
        <is>
          <t>2020</t>
        </is>
      </c>
      <c r="J85" t="inlineStr">
        <is>
          <t>dane źródłowe</t>
        </is>
      </c>
      <c r="K85" t="inlineStr">
        <is>
          <t>iloczyn odsetków</t>
        </is>
      </c>
      <c r="L85" t="inlineStr">
        <is>
          <t>NFZ</t>
        </is>
      </c>
      <c r="M85" t="inlineStr">
        <is>
          <t>/test</t>
        </is>
      </c>
    </row>
    <row r="86">
      <c r="A86" t="inlineStr">
        <is>
          <t>Y_KEY</t>
        </is>
      </c>
      <c r="B86" t="inlineStr">
        <is>
          <t>Wykryci RNA+ na 1 test – osoby przyjmujące narkotyki (59% × 50%)</t>
        </is>
      </c>
      <c r="C86" s="4" t="n">
        <v>0.295</v>
      </c>
      <c r="D86" t="inlineStr"/>
      <c r="E86" t="inlineStr"/>
      <c r="F86" t="inlineStr">
        <is>
          <t>stały</t>
        </is>
      </c>
      <c r="G86" t="inlineStr">
        <is>
          <t>—</t>
        </is>
      </c>
      <c r="H86" t="inlineStr">
        <is>
          <t>Rosińska i in. BMC Infect Dis 2015 (dane 2004–05); KBPN Serwis Informacyjny 79</t>
        </is>
      </c>
      <c r="I86" t="inlineStr">
        <is>
          <t>2004–05/2017</t>
        </is>
      </c>
      <c r="J86" t="inlineStr">
        <is>
          <t>dane źródłowe</t>
        </is>
      </c>
      <c r="K86" t="inlineStr">
        <is>
          <t>iloczyn odsetków</t>
        </is>
      </c>
      <c r="L86" t="inlineStr">
        <is>
          <t>MZ/SW</t>
        </is>
      </c>
      <c r="M86" t="inlineStr">
        <is>
          <t>/test</t>
        </is>
      </c>
    </row>
    <row r="87">
      <c r="A87" t="inlineStr">
        <is>
          <t>KEY_POOL</t>
        </is>
      </c>
      <c r="B87" t="inlineStr">
        <is>
          <t>Osoby z HCV wśród aktywnie wstrzykujących narkotyki (górny limit wykryć)</t>
        </is>
      </c>
      <c r="C87" s="4" t="n">
        <v>10000</v>
      </c>
      <c r="D87" t="n">
        <v>7000</v>
      </c>
      <c r="E87" t="n">
        <v>13000</v>
      </c>
      <c r="F87" t="inlineStr">
        <is>
          <t>stały (tornado)</t>
        </is>
      </c>
      <c r="G87" t="inlineStr">
        <is>
          <t>—</t>
        </is>
      </c>
      <c r="H87" t="inlineStr">
        <is>
          <t>Flisiak i in. Eur J Gastroenterol Hepatol 2015;27:70–76 (model choroby HCV dla Polski; badanie wspierane finansowo przez producenta leków, jeden ze współautorów z firmy HTA), Tab. 2 (10 000; 5% zakażonych)</t>
        </is>
      </c>
      <c r="I87" t="inlineStr">
        <is>
          <t>2013</t>
        </is>
      </c>
      <c r="J87" t="inlineStr">
        <is>
          <t>prognoza/szacunek</t>
        </is>
      </c>
      <c r="K87" t="inlineStr">
        <is>
          <t>limit skumulowanych wykryć w kanale populacji kluczowych; zakres ±30% (założenie)</t>
        </is>
      </c>
      <c r="L87" t="inlineStr">
        <is>
          <t>MZ/SW</t>
        </is>
      </c>
      <c r="M87" t="inlineStr">
        <is>
          <t>osoby</t>
        </is>
      </c>
    </row>
    <row r="88">
      <c r="A88" t="inlineStr">
        <is>
          <t>OH</t>
        </is>
      </c>
      <c r="B88" t="inlineStr">
        <is>
          <t>Narzut logistyczny na koszt testów (pobranie, transport próbek, outreach)</t>
        </is>
      </c>
      <c r="C88" s="4" t="n">
        <v>0.2</v>
      </c>
      <c r="D88" t="n">
        <v>0</v>
      </c>
      <c r="E88" t="n">
        <v>0.5</v>
      </c>
      <c r="F88" t="inlineStr">
        <is>
          <t>stały (tornado)</t>
        </is>
      </c>
      <c r="G88" t="inlineStr">
        <is>
          <t>—</t>
        </is>
      </c>
      <c r="H88" t="inlineStr">
        <is>
          <t>brak danych PL – założenie scenariuszowe (do weryfikacji w pilotażu)</t>
        </is>
      </c>
      <c r="I88" t="inlineStr">
        <is>
          <t>2026</t>
        </is>
      </c>
      <c r="J88" t="inlineStr">
        <is>
          <t>założenie scenariuszowe</t>
        </is>
      </c>
      <c r="K88" t="inlineStr">
        <is>
          <t>mnożnik (1+OH) na koszt testów; nawigacja i koszty stałe liczone osobno (NAV, FIX)</t>
        </is>
      </c>
      <c r="L88" t="inlineStr">
        <is>
          <t>NFZ / MZ</t>
        </is>
      </c>
      <c r="M88" t="inlineStr">
        <is>
          <t>odsetek</t>
        </is>
      </c>
    </row>
    <row r="89">
      <c r="A89" t="inlineStr">
        <is>
          <t>PROG_Y</t>
        </is>
      </c>
      <c r="B89" t="inlineStr">
        <is>
          <t>Długość programu inwestycyjnego</t>
        </is>
      </c>
      <c r="C89" s="4" t="n">
        <v>10</v>
      </c>
      <c r="D89" t="n">
        <v>5</v>
      </c>
      <c r="E89" t="n">
        <v>15</v>
      </c>
      <c r="F89" t="inlineStr">
        <is>
          <t>stały</t>
        </is>
      </c>
      <c r="G89" t="inlineStr">
        <is>
          <t>—</t>
        </is>
      </c>
      <c r="H89" t="inlineStr">
        <is>
          <t>założenie scenariuszowe (horyzont do 2035 – zbieżny z celem WHO 2030 + 5 lat)</t>
        </is>
      </c>
      <c r="I89" t="inlineStr">
        <is>
          <t>2026</t>
        </is>
      </c>
      <c r="J89" t="inlineStr">
        <is>
          <t>założenie scenariuszowe</t>
        </is>
      </c>
      <c r="K89" t="inlineStr">
        <is>
          <t>—</t>
        </is>
      </c>
      <c r="L89" t="inlineStr">
        <is>
          <t>—</t>
        </is>
      </c>
      <c r="M89" t="inlineStr">
        <is>
          <t>lata</t>
        </is>
      </c>
    </row>
    <row r="90">
      <c r="A90" t="inlineStr">
        <is>
          <t>THR_INFO</t>
        </is>
      </c>
      <c r="B90" t="inlineStr">
        <is>
          <t>Liczba lat horyzontu domyślnego</t>
        </is>
      </c>
      <c r="C90" s="4" t="n">
        <v>20</v>
      </c>
      <c r="D90" t="inlineStr"/>
      <c r="E90" t="inlineStr"/>
      <c r="F90" t="inlineStr">
        <is>
          <t>stały</t>
        </is>
      </c>
      <c r="G90" t="inlineStr">
        <is>
          <t>—</t>
        </is>
      </c>
      <c r="H90" t="inlineStr">
        <is>
          <t>Wytyczne AOTMiT 2016: horyzont adekwatny do przebiegu choroby; 20 lat dla decyzji budżetowych</t>
        </is>
      </c>
      <c r="I90" t="inlineStr">
        <is>
          <t>2016</t>
        </is>
      </c>
      <c r="J90" t="inlineStr">
        <is>
          <t>założenie scenariuszowe</t>
        </is>
      </c>
      <c r="K90" t="inlineStr">
        <is>
          <t>—</t>
        </is>
      </c>
      <c r="L90" t="inlineStr">
        <is>
          <t>—</t>
        </is>
      </c>
      <c r="M90" t="inlineStr">
        <is>
          <t>lata</t>
        </is>
      </c>
    </row>
    <row r="91">
      <c r="A91" t="inlineStr">
        <is>
          <t>K_DC</t>
        </is>
      </c>
      <c r="B91" t="inlineStr">
        <is>
          <t>Mnożnik kalibracyjny przejść do DC (CC→DC, CC po SVR→DC)</t>
        </is>
      </c>
      <c r="C91" s="4" t="n">
        <v>0.3752</v>
      </c>
      <c r="D91" t="n">
        <v>0.2426</v>
      </c>
      <c r="E91" t="n">
        <v>0.5805</v>
      </c>
      <c r="F91" t="inlineStr">
        <is>
          <t>lognormalny</t>
        </is>
      </c>
      <c r="G91" t="inlineStr">
        <is>
          <t>sigma=0.223</t>
        </is>
      </c>
      <c r="H91" t="inlineStr">
        <is>
          <t>Kalibracja do Flisiak i in. Eur J Gastroenterol Hepatol 2015;27:70–76 (model choroby HCV dla Polski; badanie wspierane finansowo przez producenta leków, jeden ze współautorów z firmy HTA): DC ≈ 1 590 w 2030 przy ~5 000 leczonych/rok</t>
        </is>
      </c>
      <c r="I91" t="inlineStr">
        <is>
          <t>2026</t>
        </is>
      </c>
      <c r="J91" t="inlineStr">
        <is>
          <t>prognoza/szacunek</t>
        </is>
      </c>
      <c r="K91" t="inlineStr">
        <is>
          <t>dopasowanie iteracyjne: status quo odtwarza DC ≈ 1 590 w 2030 (model źródłowy – brak polskich danych o DC); sigma = ln(2460/1590)/1,96; K=1 (bez kalibracji) = scenariusz</t>
        </is>
      </c>
      <c r="L91" t="inlineStr">
        <is>
          <t>—</t>
        </is>
      </c>
      <c r="M91" t="inlineStr">
        <is>
          <t>×</t>
        </is>
      </c>
    </row>
    <row r="92">
      <c r="A92" t="inlineStr">
        <is>
          <t>K_HCC</t>
        </is>
      </c>
      <c r="B92" t="inlineStr">
        <is>
          <t>Mnożnik kalibracyjny przejść do HCC (CC→HCC, CC po SVR→HCC)</t>
        </is>
      </c>
      <c r="C92" s="4" t="n">
        <v>1.5233</v>
      </c>
      <c r="D92" t="n">
        <v>1.1968</v>
      </c>
      <c r="E92" t="n">
        <v>1.9387</v>
      </c>
      <c r="F92" t="inlineStr">
        <is>
          <t>lognormalny</t>
        </is>
      </c>
      <c r="G92" t="inlineStr">
        <is>
          <t>sigma=0.123</t>
        </is>
      </c>
      <c r="H92" t="inlineStr">
        <is>
          <t>Kalibracja do Krajowego Rejestru Nowotworów: 1 695 nowych zachorowań C22 (2023) × udział HCV 0,42 (rejestr LIVER) ≈ 712 nowych HCC/rok</t>
        </is>
      </c>
      <c r="I92" t="inlineStr">
        <is>
          <t>2023</t>
        </is>
      </c>
      <c r="J92" t="inlineStr">
        <is>
          <t>prognoza/szacunek</t>
        </is>
      </c>
      <c r="K92" t="inlineStr">
        <is>
          <t>dopasowanie: nowe HCC w status quo w 2026 ≈ 712; sigma = ln(0,42/0,33)/1,96 (zakres udziału HCV); C22 obejmuje też raka dróg żółciowych – cel raczej zawyżony; K=1 = scenariusz</t>
        </is>
      </c>
      <c r="L92" t="inlineStr">
        <is>
          <t>—</t>
        </is>
      </c>
      <c r="M92" t="inlineStr">
        <is>
          <t>×</t>
        </is>
      </c>
    </row>
    <row r="93">
      <c r="A93" t="inlineStr">
        <is>
          <t>RAMP</t>
        </is>
      </c>
      <c r="B93" t="inlineStr">
        <is>
          <t>Okres dochodzenia programu do pełnej skali (kadry, ośrodki)</t>
        </is>
      </c>
      <c r="C93" s="4" t="n">
        <v>3</v>
      </c>
      <c r="D93" t="n">
        <v>1</v>
      </c>
      <c r="E93" t="n">
        <v>5</v>
      </c>
      <c r="F93" t="inlineStr">
        <is>
          <t>stały (tornado)</t>
        </is>
      </c>
      <c r="G93" t="inlineStr">
        <is>
          <t>—</t>
        </is>
      </c>
      <c r="H93" t="inlineStr">
        <is>
          <t>założenie scenariuszowe (panel: wykonalność kadrowa; maks. obserwowane B.71 = 12 171 leczonych w 2017 r., NFZ)</t>
        </is>
      </c>
      <c r="I93" t="inlineStr">
        <is>
          <t>2026</t>
        </is>
      </c>
      <c r="J93" t="inlineStr">
        <is>
          <t>założenie scenariuszowe</t>
        </is>
      </c>
      <c r="K93" t="inlineStr">
        <is>
          <t>budżet roku t × min(1, t/RAMP)</t>
        </is>
      </c>
      <c r="L93" t="inlineStr">
        <is>
          <t>—</t>
        </is>
      </c>
      <c r="M93" t="inlineStr">
        <is>
          <t>lata</t>
        </is>
      </c>
    </row>
    <row r="94">
      <c r="A94" t="inlineStr">
        <is>
          <t>CAP_OBS</t>
        </is>
      </c>
      <c r="B94" t="inlineStr">
        <is>
          <t>Największa obserwowana liczba leczonych w B.71 w roku (punkt odniesienia wykonalności)</t>
        </is>
      </c>
      <c r="C94" s="4" t="n">
        <v>12171</v>
      </c>
      <c r="D94" t="inlineStr"/>
      <c r="E94" t="inlineStr"/>
      <c r="F94" t="inlineStr">
        <is>
          <t>stały</t>
        </is>
      </c>
      <c r="G94" t="inlineStr">
        <is>
          <t>—</t>
        </is>
      </c>
      <c r="H94" t="inlineStr">
        <is>
          <t>NFZ app-stat B.71: 12 171 leczonych w 2017 (2018: 9 436; 2019: 8 521)</t>
        </is>
      </c>
      <c r="I94" t="inlineStr">
        <is>
          <t>2017</t>
        </is>
      </c>
      <c r="J94" t="inlineStr">
        <is>
          <t>dane źródłowe</t>
        </is>
      </c>
      <c r="K94" t="inlineStr">
        <is>
          <t>—</t>
        </is>
      </c>
      <c r="L94" t="inlineStr">
        <is>
          <t>NFZ</t>
        </is>
      </c>
      <c r="M94" t="inlineStr">
        <is>
          <t>osoby/rok</t>
        </is>
      </c>
    </row>
    <row r="95">
      <c r="A95" t="inlineStr">
        <is>
          <t>AGEW_1</t>
        </is>
      </c>
      <c r="B95" t="inlineStr">
        <is>
          <t>Struktura wieku kohorty startowej – liczba leczonych B.71 w grupie 18–40 (z 7–17)</t>
        </is>
      </c>
      <c r="C95" s="4" t="n">
        <v>915</v>
      </c>
      <c r="D95" t="inlineStr"/>
      <c r="E95" t="inlineStr"/>
      <c r="F95" t="inlineStr">
        <is>
          <t>stały</t>
        </is>
      </c>
      <c r="G95" t="inlineStr">
        <is>
          <t>—</t>
        </is>
      </c>
      <c r="H95" t="inlineStr">
        <is>
          <t>NFZ app-stat B.71 2025 wg grup wieku</t>
        </is>
      </c>
      <c r="I95" t="inlineStr">
        <is>
          <t>2025</t>
        </is>
      </c>
      <c r="J95" t="inlineStr">
        <is>
          <t>dane źródłowe</t>
        </is>
      </c>
      <c r="K95" t="inlineStr">
        <is>
          <t>wagi kohorty wielowiekowej (ten sam rozkład stanów w każdej grupie – uproszczenie)</t>
        </is>
      </c>
      <c r="L95" t="inlineStr">
        <is>
          <t>—</t>
        </is>
      </c>
      <c r="M95" t="inlineStr">
        <is>
          <t>osoby</t>
        </is>
      </c>
    </row>
    <row r="96">
      <c r="A96" t="inlineStr">
        <is>
          <t>AGEW_2</t>
        </is>
      </c>
      <c r="B96" t="inlineStr">
        <is>
          <t>Struktura wieku kohorty startowej – liczba leczonych B.71 w grupie 41–60</t>
        </is>
      </c>
      <c r="C96" s="4" t="n">
        <v>2339</v>
      </c>
      <c r="D96" t="inlineStr"/>
      <c r="E96" t="inlineStr"/>
      <c r="F96" t="inlineStr">
        <is>
          <t>stały</t>
        </is>
      </c>
      <c r="G96" t="inlineStr">
        <is>
          <t>—</t>
        </is>
      </c>
      <c r="H96" t="inlineStr">
        <is>
          <t>NFZ app-stat B.71 2025 wg grup wieku</t>
        </is>
      </c>
      <c r="I96" t="inlineStr">
        <is>
          <t>2025</t>
        </is>
      </c>
      <c r="J96" t="inlineStr">
        <is>
          <t>dane źródłowe</t>
        </is>
      </c>
      <c r="K96" t="inlineStr">
        <is>
          <t>wagi kohorty wielowiekowej (ten sam rozkład stanów w każdej grupie – uproszczenie)</t>
        </is>
      </c>
      <c r="L96" t="inlineStr">
        <is>
          <t>—</t>
        </is>
      </c>
      <c r="M96" t="inlineStr">
        <is>
          <t>osoby</t>
        </is>
      </c>
    </row>
    <row r="97">
      <c r="A97" t="inlineStr">
        <is>
          <t>AGEW_3</t>
        </is>
      </c>
      <c r="B97" t="inlineStr">
        <is>
          <t>Struktura wieku kohorty startowej – liczba leczonych B.71 w grupie 61–80</t>
        </is>
      </c>
      <c r="C97" s="4" t="n">
        <v>1478</v>
      </c>
      <c r="D97" t="inlineStr"/>
      <c r="E97" t="inlineStr"/>
      <c r="F97" t="inlineStr">
        <is>
          <t>stały</t>
        </is>
      </c>
      <c r="G97" t="inlineStr">
        <is>
          <t>—</t>
        </is>
      </c>
      <c r="H97" t="inlineStr">
        <is>
          <t>NFZ app-stat B.71 2025 wg grup wieku</t>
        </is>
      </c>
      <c r="I97" t="inlineStr">
        <is>
          <t>2025</t>
        </is>
      </c>
      <c r="J97" t="inlineStr">
        <is>
          <t>dane źródłowe</t>
        </is>
      </c>
      <c r="K97" t="inlineStr">
        <is>
          <t>wagi kohorty wielowiekowej (ten sam rozkład stanów w każdej grupie – uproszczenie)</t>
        </is>
      </c>
      <c r="L97" t="inlineStr">
        <is>
          <t>—</t>
        </is>
      </c>
      <c r="M97" t="inlineStr">
        <is>
          <t>osoby</t>
        </is>
      </c>
    </row>
    <row r="98">
      <c r="A98" t="inlineStr">
        <is>
          <t>AGEW_4</t>
        </is>
      </c>
      <c r="B98" t="inlineStr">
        <is>
          <t>Struktura wieku kohorty startowej – liczba leczonych B.71 w grupie 81+</t>
        </is>
      </c>
      <c r="C98" s="4" t="n">
        <v>111</v>
      </c>
      <c r="D98" t="inlineStr"/>
      <c r="E98" t="inlineStr"/>
      <c r="F98" t="inlineStr">
        <is>
          <t>stały</t>
        </is>
      </c>
      <c r="G98" t="inlineStr">
        <is>
          <t>—</t>
        </is>
      </c>
      <c r="H98" t="inlineStr">
        <is>
          <t>NFZ app-stat B.71 2025 wg grup wieku</t>
        </is>
      </c>
      <c r="I98" t="inlineStr">
        <is>
          <t>2025</t>
        </is>
      </c>
      <c r="J98" t="inlineStr">
        <is>
          <t>dane źródłowe</t>
        </is>
      </c>
      <c r="K98" t="inlineStr">
        <is>
          <t>wagi kohorty wielowiekowej (ten sam rozkład stanów w każdej grupie – uproszczenie)</t>
        </is>
      </c>
      <c r="L98" t="inlineStr">
        <is>
          <t>—</t>
        </is>
      </c>
      <c r="M98" t="inlineStr">
        <is>
          <t>osoby</t>
        </is>
      </c>
    </row>
    <row r="99">
      <c r="A99" t="inlineStr">
        <is>
          <t>RE_KEY</t>
        </is>
      </c>
      <c r="B99" t="inlineStr">
        <is>
          <t>Reinfekcja po SVR – osoby aktywnie wstrzykujące narkotyki (kanał populacji kluczowych)</t>
        </is>
      </c>
      <c r="C99" s="4" t="n">
        <v>0.062</v>
      </c>
      <c r="D99" t="n">
        <v>0.043</v>
      </c>
      <c r="E99" t="n">
        <v>0.09</v>
      </c>
      <c r="F99" t="inlineStr">
        <is>
          <t>lognormalny</t>
        </is>
      </c>
      <c r="G99" t="inlineStr">
        <is>
          <t>mu=ln(0.062); sigma=0.188</t>
        </is>
      </c>
      <c r="H99" t="inlineStr">
        <is>
          <t>Hajarizadeh i in. J Hepatol 2020;72:643–657 (metaanaliza): 6,2/100 osobolat u aktywnie wstrzykujących (95% CI 4,3–9,0)</t>
        </is>
      </c>
      <c r="I99" t="inlineStr">
        <is>
          <t>2020</t>
        </is>
      </c>
      <c r="J99" t="inlineStr">
        <is>
          <t>dane zagraniczne/literatura międzynarodowa</t>
        </is>
      </c>
      <c r="K99" t="inlineStr">
        <is>
          <t>sigma=(ln 9,0−ln 4,3)/3,92; reinfekcja trafia do F1 (uproszczenie)</t>
        </is>
      </c>
      <c r="L99" t="inlineStr">
        <is>
          <t>—</t>
        </is>
      </c>
      <c r="M99" t="inlineStr">
        <is>
          <t>/rok</t>
        </is>
      </c>
    </row>
    <row r="100">
      <c r="A100" t="inlineStr">
        <is>
          <t>SMR_PWID</t>
        </is>
      </c>
      <c r="B100" t="inlineStr">
        <is>
          <t>Nadwyżka umieralności osób przyjmujących narkotyki (mnożnik umieralności ogólnej)</t>
        </is>
      </c>
      <c r="C100" s="4" t="n">
        <v>10</v>
      </c>
      <c r="D100" t="n">
        <v>5</v>
      </c>
      <c r="E100" t="n">
        <v>15</v>
      </c>
      <c r="F100" t="inlineStr">
        <is>
          <t>stały (tornado)</t>
        </is>
      </c>
      <c r="G100" t="inlineStr">
        <is>
          <t>—</t>
        </is>
      </c>
      <c r="H100" t="inlineStr">
        <is>
          <t>Flisiak i in. Eur J Gastroenterol Hepatol 2015;27:70–76 (model choroby HCV dla Polski; badanie wspierane finansowo przez producenta leków, jeden ze współautorów z firmy HTA) (SMR 10 dla zakażeń drogą iniekcji)</t>
        </is>
      </c>
      <c r="I100" t="inlineStr">
        <is>
          <t>2015</t>
        </is>
      </c>
      <c r="J100" t="inlineStr">
        <is>
          <t>prognoza/szacunek</t>
        </is>
      </c>
      <c r="K100" t="inlineStr">
        <is>
          <t>mnożnik tablic trwania życia GUS u wyleczonych w kanale populacji kluczowych; zakres ±50% – założenie</t>
        </is>
      </c>
      <c r="L100" t="inlineStr">
        <is>
          <t>—</t>
        </is>
      </c>
      <c r="M100" t="inlineStr">
        <is>
          <t>×</t>
        </is>
      </c>
    </row>
    <row r="101">
      <c r="A101" t="inlineStr">
        <is>
          <t>c_LT1</t>
        </is>
      </c>
      <c r="B101" t="inlineStr">
        <is>
          <t>Koszt NFZ 1. roku po przeszczepieniu wątroby (stan LT)</t>
        </is>
      </c>
      <c r="C101" s="4" t="n">
        <v>47540.57161846962</v>
      </c>
      <c r="D101" t="n">
        <v>38032.457295</v>
      </c>
      <c r="E101" t="n">
        <v>57048.685942</v>
      </c>
      <c r="F101" t="inlineStr">
        <is>
          <t>gamma</t>
        </is>
      </c>
      <c r="G101" t="inlineStr">
        <is>
          <t>SE 10%</t>
        </is>
      </c>
      <c r="H101" t="inlineStr">
        <is>
          <t>Kaczor 2012 (koszty stanów, ceny 2016) via analiza ekonomiczna wnioskodawcy (firma konsultingowa) opublikowana w BIP AOTMiT, zlecenie 153/2017, Tab. 73/198 × CPI GUS (30 167,61 zł w cenach 2016)</t>
        </is>
      </c>
      <c r="I101" t="inlineStr">
        <is>
          <t>2016</t>
        </is>
      </c>
      <c r="J101" t="inlineStr">
        <is>
          <t>dane źródłowe</t>
        </is>
      </c>
      <c r="K101" t="inlineStr">
        <is>
          <t>koszt stanu LT (rok po zabiegu); zabieg = c_LT (zdarzenie)</t>
        </is>
      </c>
      <c r="L101" t="inlineStr">
        <is>
          <t>NFZ</t>
        </is>
      </c>
      <c r="M101" t="inlineStr">
        <is>
          <t>zł/rok</t>
        </is>
      </c>
    </row>
    <row r="102">
      <c r="A102" t="inlineStr">
        <is>
          <t>VALP</t>
        </is>
      </c>
      <c r="B102" t="inlineStr">
        <is>
          <t>Iloczyn wskaźników waloryzacji rent ZUS 2013–2025</t>
        </is>
      </c>
      <c r="C102" s="4" t="n">
        <v>1.779529052072172</v>
      </c>
      <c r="D102" t="inlineStr"/>
      <c r="E102" t="inlineStr"/>
      <c r="F102" t="inlineStr">
        <is>
          <t>stały</t>
        </is>
      </c>
      <c r="G102" t="inlineStr">
        <is>
          <t>—</t>
        </is>
      </c>
      <c r="H102" t="inlineStr">
        <is>
          <t>ZUS/MRPiPS: wskaźniki waloryzacji 2013–2025 (104,0; 101,6; 100,68; 100,24; 100,44; 102,98; 102,86; 103,56; 104,24; 107,0; 114,8; 112,12; 105,5)</t>
        </is>
      </c>
      <c r="I102" t="inlineStr">
        <is>
          <t>2025</t>
        </is>
      </c>
      <c r="J102" t="inlineStr">
        <is>
          <t>dane źródłowe</t>
        </is>
      </c>
      <c r="K102" t="inlineStr">
        <is>
          <t>iloczyn</t>
        </is>
      </c>
      <c r="L102" t="inlineStr">
        <is>
          <t>—</t>
        </is>
      </c>
      <c r="M102" t="inlineStr">
        <is>
          <t>×</t>
        </is>
      </c>
    </row>
    <row r="103">
      <c r="A103" t="inlineStr">
        <is>
          <t>DX_IN</t>
        </is>
      </c>
      <c r="B103" t="inlineStr">
        <is>
          <t>Nowe rozpoznania przewlekłego HCV rocznie (wejście do opieki)</t>
        </is>
      </c>
      <c r="C103" s="4" t="n">
        <v>4029</v>
      </c>
      <c r="D103" t="n">
        <v>3525</v>
      </c>
      <c r="E103" t="n">
        <v>4944</v>
      </c>
      <c r="F103" t="inlineStr">
        <is>
          <t>stały (tornado)</t>
        </is>
      </c>
      <c r="G103" t="inlineStr">
        <is>
          <t>—</t>
        </is>
      </c>
      <c r="H103" t="inlineStr">
        <is>
          <t>NIZP PZH-PIB EPIMELD (meldunek 12B/2025): 4 029 rozpoznań w 2025; min 3 525 (2024); max = 2025 × 1,227 (wzrost r/r w 2026, EPIMELD 10A/2026)</t>
        </is>
      </c>
      <c r="I103" t="inlineStr">
        <is>
          <t>2024–2026</t>
        </is>
      </c>
      <c r="J103" t="inlineStr">
        <is>
          <t>dane źródłowe</t>
        </is>
      </c>
      <c r="K103" t="inlineStr">
        <is>
          <t>skalowane wielkością puli wiremicznych</t>
        </is>
      </c>
      <c r="L103" t="inlineStr">
        <is>
          <t>NFZ</t>
        </is>
      </c>
      <c r="M103" t="inlineStr">
        <is>
          <t>osoby/rok</t>
        </is>
      </c>
    </row>
    <row r="104">
      <c r="A104" t="inlineStr">
        <is>
          <t>T_PRE</t>
        </is>
      </c>
      <c r="B104" t="inlineStr">
        <is>
          <t>Czas w opiece przed leczeniem (kwalifikacja, kolejka) na osobę leczoną</t>
        </is>
      </c>
      <c r="C104" s="4" t="n">
        <v>0.5397260273972603</v>
      </c>
      <c r="D104" t="n">
        <v>0.147945</v>
      </c>
      <c r="E104" t="n">
        <v>1.60274</v>
      </c>
      <c r="F104" t="inlineStr">
        <is>
          <t>stały (tornado)</t>
        </is>
      </c>
      <c r="G104" t="inlineStr">
        <is>
          <t>—</t>
        </is>
      </c>
      <c r="H104" t="inlineStr">
        <is>
          <t>NFZ Informator o terminach leczenia (X 2026): mediana oczekiwania – poradnia hepatologiczna 197 dni; min: poradnia chorób zakaźnych 54 dni; max: p90 hepatologia 585 dni</t>
        </is>
      </c>
      <c r="I104" t="inlineStr">
        <is>
          <t>2026</t>
        </is>
      </c>
      <c r="J104" t="inlineStr">
        <is>
          <t>dane źródłowe</t>
        </is>
      </c>
      <c r="K104" t="inlineStr">
        <is>
          <t>lata opieki przed rozpoczęciem leczenia</t>
        </is>
      </c>
      <c r="L104" t="inlineStr">
        <is>
          <t>NFZ</t>
        </is>
      </c>
      <c r="M104" t="inlineStr">
        <is>
          <t>lata</t>
        </is>
      </c>
    </row>
    <row r="105">
      <c r="A105" t="inlineStr">
        <is>
          <t>W0</t>
        </is>
      </c>
      <c r="B105" t="inlineStr">
        <is>
          <t>Zdiagnozowani pod opieką czekający na leczenie (na start)</t>
        </is>
      </c>
      <c r="C105" s="4" t="n">
        <v>0</v>
      </c>
      <c r="D105" t="n">
        <v>0</v>
      </c>
      <c r="E105" t="n">
        <v>10000</v>
      </c>
      <c r="F105" t="inlineStr">
        <is>
          <t>stały (tornado)</t>
        </is>
      </c>
      <c r="G105" t="inlineStr">
        <is>
          <t>—</t>
        </is>
      </c>
      <c r="H105" t="inlineStr">
        <is>
          <t>NFZ B.71 i EPIMELD 2019–2025: leczonych było co roku więcej niż nowych rozpoznań (stosunek 1,20 w 2025) – brak dowodu zaległości; max = założenie</t>
        </is>
      </c>
      <c r="I105" t="inlineStr">
        <is>
          <t>2025</t>
        </is>
      </c>
      <c r="J105" t="inlineStr">
        <is>
          <t>prognoza/szacunek</t>
        </is>
      </c>
      <c r="K105" t="inlineStr">
        <is>
          <t>stan zaległości; 0 = brak kolejki osób zdiagnozowanych</t>
        </is>
      </c>
      <c r="L105" t="inlineStr">
        <is>
          <t>NFZ</t>
        </is>
      </c>
      <c r="M105" t="inlineStr">
        <is>
          <t>osoby</t>
        </is>
      </c>
    </row>
    <row r="106">
      <c r="A106" t="inlineStr">
        <is>
          <t>CARE_ALL</t>
        </is>
      </c>
      <c r="B106" t="inlineStr">
        <is>
          <t>Przełącznik: koszt opieki u wszystkich z wiremią (wariant sprzed audytu)</t>
        </is>
      </c>
      <c r="C106" s="4" t="n">
        <v>0</v>
      </c>
      <c r="D106" t="inlineStr"/>
      <c r="E106" t="inlineStr"/>
      <c r="F106" t="inlineStr">
        <is>
          <t>stały</t>
        </is>
      </c>
      <c r="G106" t="inlineStr">
        <is>
          <t>—</t>
        </is>
      </c>
      <c r="H106" t="inlineStr">
        <is>
          <t>przełącznik metody (0 = tylko zdiagnozowani pod opieką)</t>
        </is>
      </c>
      <c r="I106" t="inlineStr">
        <is>
          <t>2026</t>
        </is>
      </c>
      <c r="J106" t="inlineStr">
        <is>
          <t>założenie scenariuszowe</t>
        </is>
      </c>
      <c r="K106" t="inlineStr">
        <is>
          <t>używany tylko w analizie scenariuszowej</t>
        </is>
      </c>
      <c r="L106" t="inlineStr">
        <is>
          <t>—</t>
        </is>
      </c>
      <c r="M106" t="inlineStr">
        <is>
          <t>0/1</t>
        </is>
      </c>
    </row>
    <row r="107">
      <c r="A107" t="inlineStr">
        <is>
          <t>HALF_CYCLE</t>
        </is>
      </c>
      <c r="B107" t="inlineStr">
        <is>
          <t>Przełącznik: korekta połowy cyklu (trapez)</t>
        </is>
      </c>
      <c r="C107" s="4" t="n">
        <v>1</v>
      </c>
      <c r="D107" t="inlineStr"/>
      <c r="E107" t="inlineStr"/>
      <c r="F107" t="inlineStr">
        <is>
          <t>stały</t>
        </is>
      </c>
      <c r="G107" t="inlineStr">
        <is>
          <t>—</t>
        </is>
      </c>
      <c r="H107" t="inlineStr">
        <is>
          <t>CHEERS 2022 / ISPOR – dobra praktyka modelowania</t>
        </is>
      </c>
      <c r="I107" t="inlineStr">
        <is>
          <t>2022</t>
        </is>
      </c>
      <c r="J107" t="inlineStr">
        <is>
          <t>założenie scenariuszowe</t>
        </is>
      </c>
      <c r="K107" t="inlineStr">
        <is>
          <t>1 = włączona</t>
        </is>
      </c>
      <c r="L107" t="inlineStr">
        <is>
          <t>—</t>
        </is>
      </c>
      <c r="M107" t="inlineStr">
        <is>
          <t>0/1</t>
        </is>
      </c>
    </row>
    <row r="108">
      <c r="A108" t="inlineStr">
        <is>
          <t>ABS_D</t>
        </is>
      </c>
      <c r="B108" t="inlineStr">
        <is>
          <t>Dni absencji chorobowej na osobę z HCV pod opieką rocznie</t>
        </is>
      </c>
      <c r="C108" s="4" t="n">
        <v>5.388288040648199</v>
      </c>
      <c r="D108" t="inlineStr"/>
      <c r="E108" t="inlineStr"/>
      <c r="F108" t="inlineStr">
        <is>
          <t>stały</t>
        </is>
      </c>
      <c r="G108" t="inlineStr">
        <is>
          <t>—</t>
        </is>
      </c>
      <c r="H108" t="inlineStr">
        <is>
          <t>ZUS PSZ 2025: 28 057 dni absencji B18 × AF_B18 / osoby pod opieką w status quo (T_SQ × T_PRE)</t>
        </is>
      </c>
      <c r="I108" t="inlineStr">
        <is>
          <t>2025</t>
        </is>
      </c>
      <c r="J108" t="inlineStr">
        <is>
          <t>prognoza/szacunek</t>
        </is>
      </c>
      <c r="K108" t="inlineStr">
        <is>
          <t>pochodna</t>
        </is>
      </c>
      <c r="L108" t="inlineStr">
        <is>
          <t>ZUS</t>
        </is>
      </c>
      <c r="M108" t="inlineStr">
        <is>
          <t>dni/rok</t>
        </is>
      </c>
    </row>
    <row r="109">
      <c r="A109" t="inlineStr">
        <is>
          <t>NAV</t>
        </is>
      </c>
      <c r="B109" t="inlineStr">
        <is>
          <t>Koszt nawigacji/łączenia z opieką na osobę wykrytą (pakiet z testem refleksyjnym)</t>
        </is>
      </c>
      <c r="C109" s="4" t="n">
        <v>4264.132756289051</v>
      </c>
      <c r="D109" t="n">
        <v>2132.066378</v>
      </c>
      <c r="E109" t="n">
        <v>4651.243907</v>
      </c>
      <c r="F109" t="inlineStr">
        <is>
          <t>gamma</t>
        </is>
      </c>
      <c r="G109" t="inlineStr">
        <is>
          <t>SE 20% (założenie)</t>
        </is>
      </c>
      <c r="H109" t="inlineStr">
        <is>
          <t>Project INSPIRE, Nowy Jork (J Public Health Manag Pract 2019; PMC6314903): 656–787 USD na uczestnika na epizod (ceny 2015) × kurs NBP 2015 (3,7730) × CPI GUS 2016–2025 – dane zagraniczne</t>
        </is>
      </c>
      <c r="I109" t="inlineStr">
        <is>
          <t>2015</t>
        </is>
      </c>
      <c r="J109" t="inlineStr">
        <is>
          <t>dane zagraniczne/literatura międzynarodowa</t>
        </is>
      </c>
      <c r="K109" t="inlineStr">
        <is>
          <t>średnia dwóch ośrodków; min = 50% (niższe koszty pracy w PL – założenie); stosowane w I4 i w kalkulatorze przy odsetku rozpoczynających leczenie &gt; LINK</t>
        </is>
      </c>
      <c r="L109" t="inlineStr">
        <is>
          <t>NFZ / MZ</t>
        </is>
      </c>
      <c r="M109" t="inlineStr">
        <is>
          <t>zł/osobę</t>
        </is>
      </c>
    </row>
    <row r="110">
      <c r="A110" t="inlineStr">
        <is>
          <t>FIX</t>
        </is>
      </c>
      <c r="B110" t="inlineStr">
        <is>
          <t>Koszty stałe programu wykrywania (koordynacja, IT, działania informacyjne) rocznie</t>
        </is>
      </c>
      <c r="C110" s="4" t="n">
        <v>1223620.54528</v>
      </c>
      <c r="D110" t="n">
        <v>611810.27264</v>
      </c>
      <c r="E110" t="n">
        <v>2447241.09056</v>
      </c>
      <c r="F110" t="inlineStr">
        <is>
          <t>stały (tornado)</t>
        </is>
      </c>
      <c r="G110" t="inlineStr">
        <is>
          <t>—</t>
        </is>
      </c>
      <c r="H110" t="inlineStr">
        <is>
          <t>założenie: 5 etatów koordynacji × przeciętne wynagrodzenie GUS 2025 × 1,2048 (składki pracodawcy) + 0,58 mln zł (rząd wielkości: konkurs Krajowego Centrum ds. AIDS na akcyjne testowanie HIV/kiła/HCV 2025 – proxy działań terenowych/informacyjnych)</t>
        </is>
      </c>
      <c r="I110" t="inlineStr">
        <is>
          <t>2025</t>
        </is>
      </c>
      <c r="J110" t="inlineStr">
        <is>
          <t>założenie scenariuszowe</t>
        </is>
      </c>
      <c r="K110" t="inlineStr">
        <is>
          <t>w I1, I2, I4 przez PROG_Y lat; I3 działa w istniejącej sieci (bez kosztu stałego – założenie); zakres ×0,5–2</t>
        </is>
      </c>
      <c r="L110" t="inlineStr">
        <is>
          <t>MZ</t>
        </is>
      </c>
      <c r="M110" t="inlineStr">
        <is>
          <t>zł/rok</t>
        </is>
      </c>
    </row>
    <row r="111">
      <c r="A111" t="inlineStr">
        <is>
          <t>INC_TREND</t>
        </is>
      </c>
      <c r="B111" t="inlineStr">
        <is>
          <t>Roczna zmiana liczby nowych zakażeń</t>
        </is>
      </c>
      <c r="C111" s="4" t="n">
        <v>0</v>
      </c>
      <c r="D111" t="n">
        <v>-0.05</v>
      </c>
      <c r="E111" t="n">
        <v>0</v>
      </c>
      <c r="F111" t="inlineStr">
        <is>
          <t>stały (tornado)</t>
        </is>
      </c>
      <c r="G111" t="inlineStr">
        <is>
          <t>—</t>
        </is>
      </c>
      <c r="H111" t="inlineStr">
        <is>
          <t>założenie: stała zapadalność jak w źródle; scenariusz −5%/rok (spadek zakażeń przy redukcji szkód – założenie)</t>
        </is>
      </c>
      <c r="I111" t="inlineStr">
        <is>
          <t>2026</t>
        </is>
      </c>
      <c r="J111" t="inlineStr">
        <is>
          <t>założenie scenariuszowe</t>
        </is>
      </c>
      <c r="K111" t="inlineStr">
        <is>
          <t>INC × (1+INC_TREND)^t</t>
        </is>
      </c>
      <c r="L111" t="inlineStr">
        <is>
          <t>—</t>
        </is>
      </c>
      <c r="M111" t="inlineStr">
        <is>
          <t>/rok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50" customWidth="1" min="3" max="3"/>
  </cols>
  <sheetData>
    <row r="1">
      <c r="A1" s="3" t="inlineStr">
        <is>
          <t>nazwa</t>
        </is>
      </c>
      <c r="B1" s="3" t="inlineStr">
        <is>
          <t>wartość</t>
        </is>
      </c>
      <c r="C1" s="3" t="inlineStr">
        <is>
          <t>opis</t>
        </is>
      </c>
    </row>
    <row r="2">
      <c r="A2" t="inlineStr">
        <is>
          <t>x_dk</t>
        </is>
      </c>
      <c r="B2" s="4" t="n">
        <v>0.05</v>
      </c>
      <c r="C2" t="inlineStr">
        <is>
          <t>stopa dyskontowa kosztów (AOTMiT 5%)</t>
        </is>
      </c>
    </row>
    <row r="3">
      <c r="A3" t="inlineStr">
        <is>
          <t>x_de</t>
        </is>
      </c>
      <c r="B3" s="4" t="n">
        <v>0.035</v>
      </c>
      <c r="C3" t="inlineStr">
        <is>
          <t>stopa dyskontowa efektów (AOTMiT 3,5%)</t>
        </is>
      </c>
    </row>
    <row r="4">
      <c r="A4" t="inlineStr">
        <is>
          <t>x_H</t>
        </is>
      </c>
      <c r="B4" s="4" t="n">
        <v>20</v>
      </c>
      <c r="C4" t="inlineStr">
        <is>
          <t>horyzont analizy w latach (1–50)</t>
        </is>
      </c>
    </row>
    <row r="5">
      <c r="A5" t="inlineStr">
        <is>
          <t>x_testy</t>
        </is>
      </c>
      <c r="B5" s="4" t="n">
        <v>0</v>
      </c>
      <c r="C5" t="inlineStr">
        <is>
          <t>1 = testy i koszty stałe programu finansuje inny płatnik (wyłączone z porównania); 0 = wariant pełny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S1: Status quo (4 832 leczonych/rok) – liczebności (silnik, wartości) i koszty (formuły), zł/rok, niezdyskontowane. Szacunek modelu.</t>
        </is>
      </c>
    </row>
    <row r="2">
      <c r="A2" s="3" t="inlineStr">
        <is>
          <t>rok</t>
        </is>
      </c>
      <c r="B2" s="3" t="inlineStr">
        <is>
          <t>t</t>
        </is>
      </c>
      <c r="C2" s="3" t="inlineStr">
        <is>
          <t>treated</t>
        </is>
      </c>
      <c r="D2" s="3" t="inlineStr">
        <is>
          <t>NFZ_diag</t>
        </is>
      </c>
      <c r="E2" s="3" t="inlineStr">
        <is>
          <t>MZ_SW</t>
        </is>
      </c>
      <c r="F2" s="3" t="inlineStr">
        <is>
          <t>nNAV</t>
        </is>
      </c>
      <c r="G2" s="3" t="inlineStr">
        <is>
          <t>FIXon</t>
        </is>
      </c>
      <c r="H2" s="3" t="inlineStr">
        <is>
          <t>cF03</t>
        </is>
      </c>
      <c r="I2" s="3" t="inlineStr">
        <is>
          <t>cF4</t>
        </is>
      </c>
      <c r="J2" s="3" t="inlineStr">
        <is>
          <t>cDC</t>
        </is>
      </c>
      <c r="K2" s="3" t="inlineStr">
        <is>
          <t>cHCC</t>
        </is>
      </c>
      <c r="L2" s="3" t="inlineStr">
        <is>
          <t>cPLT</t>
        </is>
      </c>
      <c r="M2" s="3" t="inlineStr">
        <is>
          <t>cSVn</t>
        </is>
      </c>
      <c r="N2" s="3" t="inlineStr">
        <is>
          <t>cSVc</t>
        </is>
      </c>
      <c r="O2" s="3" t="inlineStr">
        <is>
          <t>cLTn</t>
        </is>
      </c>
      <c r="P2" s="3" t="inlineStr">
        <is>
          <t>cLT1</t>
        </is>
      </c>
      <c r="Q2" s="3" t="inlineStr">
        <is>
          <t>wAdv</t>
        </is>
      </c>
      <c r="R2" s="3" t="inlineStr">
        <is>
          <t>wHCC</t>
        </is>
      </c>
      <c r="S2" s="3" t="inlineStr">
        <is>
          <t>wGH</t>
        </is>
      </c>
      <c r="T2" s="3" t="inlineStr">
        <is>
          <t>cAbs</t>
        </is>
      </c>
      <c r="U2" s="3" t="inlineStr">
        <is>
          <t>QALY</t>
        </is>
      </c>
      <c r="V2" s="3" t="inlineStr">
        <is>
          <t>newDC</t>
        </is>
      </c>
      <c r="W2" s="3" t="inlineStr">
        <is>
          <t>newHCC</t>
        </is>
      </c>
      <c r="X2" s="3" t="inlineStr">
        <is>
          <t>LT</t>
        </is>
      </c>
      <c r="Y2" s="3" t="inlineStr">
        <is>
          <t>liverD</t>
        </is>
      </c>
      <c r="Z2" s="3" t="inlineStr">
        <is>
          <t>NFZ_med</t>
        </is>
      </c>
      <c r="AA2" s="3" t="inlineStr">
        <is>
          <t>NFZ_DAA</t>
        </is>
      </c>
      <c r="AB2" s="3" t="inlineStr">
        <is>
          <t>NFZ_mon</t>
        </is>
      </c>
      <c r="AC2" s="3" t="inlineStr">
        <is>
          <t>NFZ_diag_k</t>
        </is>
      </c>
      <c r="AD2" s="3" t="inlineStr">
        <is>
          <t>MZ_SW_k</t>
        </is>
      </c>
      <c r="AE2" s="3" t="inlineStr">
        <is>
          <t>NAV_k</t>
        </is>
      </c>
      <c r="AF2" s="3" t="inlineStr">
        <is>
          <t>FIX_k</t>
        </is>
      </c>
      <c r="AG2" s="3" t="inlineStr">
        <is>
          <t>ZUS</t>
        </is>
      </c>
      <c r="AH2" s="3" t="inlineStr">
        <is>
          <t>KRUS</t>
        </is>
      </c>
      <c r="AI2" s="3" t="inlineStr">
        <is>
          <t>lostw</t>
        </is>
      </c>
      <c r="AJ2" s="3" t="inlineStr">
        <is>
          <t>lost_FUS</t>
        </is>
      </c>
      <c r="AK2" s="3" t="inlineStr">
        <is>
          <t>lost_NFZ</t>
        </is>
      </c>
      <c r="AL2" s="3" t="inlineStr">
        <is>
          <t>lost_PIT</t>
        </is>
      </c>
      <c r="AM2" s="3" t="inlineStr">
        <is>
          <t>lost_FP</t>
        </is>
      </c>
      <c r="AN2" s="3" t="inlineStr">
        <is>
          <t>NFZ</t>
        </is>
      </c>
      <c r="AO2" s="3" t="inlineStr">
        <is>
          <t>PUBLIC</t>
        </is>
      </c>
      <c r="AP2" s="3" t="inlineStr">
        <is>
          <t>SOCIETAL</t>
        </is>
      </c>
      <c r="AQ2" s="3" t="inlineStr">
        <is>
          <t>INV_NFZ</t>
        </is>
      </c>
      <c r="AR2" s="3" t="inlineStr">
        <is>
          <t>INV_PUB</t>
        </is>
      </c>
    </row>
    <row r="3">
      <c r="A3" t="n">
        <v>2026</v>
      </c>
      <c r="B3" t="n">
        <v>0</v>
      </c>
      <c r="C3" t="n">
        <v>4832</v>
      </c>
      <c r="D3" t="n">
        <v>0</v>
      </c>
      <c r="E3" t="n">
        <v>0</v>
      </c>
      <c r="F3" t="n">
        <v>0</v>
      </c>
      <c r="G3" t="n">
        <v>0</v>
      </c>
      <c r="H3" t="n">
        <v>2322.001</v>
      </c>
      <c r="I3" t="n">
        <v>207.041</v>
      </c>
      <c r="J3" t="n">
        <v>1580.773</v>
      </c>
      <c r="K3" t="n">
        <v>2525.007</v>
      </c>
      <c r="L3" t="n">
        <v>1540.438</v>
      </c>
      <c r="M3" t="n">
        <v>6433.585</v>
      </c>
      <c r="N3" t="n">
        <v>565.284</v>
      </c>
      <c r="O3" t="n">
        <v>89.04600000000001</v>
      </c>
      <c r="P3" t="n">
        <v>44.523</v>
      </c>
      <c r="Q3" t="n">
        <v>2135.682</v>
      </c>
      <c r="R3" t="n">
        <v>1703.425</v>
      </c>
      <c r="S3" t="n">
        <v>312.377</v>
      </c>
      <c r="T3" t="n">
        <v>2529.042</v>
      </c>
      <c r="U3" t="n">
        <v>113576.638</v>
      </c>
      <c r="V3" t="n">
        <v>268.58</v>
      </c>
      <c r="W3" t="n">
        <v>711.921</v>
      </c>
      <c r="X3" t="n">
        <v>89.04600000000001</v>
      </c>
      <c r="Y3" t="n">
        <v>922.327</v>
      </c>
      <c r="Z3">
        <f>H3*x_c_F+I3*x_c_CC+J3*x_c_DC+K3*x_c_HCC+L3*x_c_PLT+M3*x_c_SVRn+N3*x_c_SVRcc+O3*x_c_LT+P3*x_c_LT1</f>
        <v/>
      </c>
      <c r="AA3">
        <f>C3*x_c_DAA</f>
        <v/>
      </c>
      <c r="AB3">
        <f>C3*x_c_MON</f>
        <v/>
      </c>
      <c r="AC3">
        <f>D3*(1-x_testy)</f>
        <v/>
      </c>
      <c r="AD3">
        <f>E3*(1-x_testy)</f>
        <v/>
      </c>
      <c r="AE3">
        <f>F3*x_NAV</f>
        <v/>
      </c>
      <c r="AF3">
        <f>G3*x_FIX*(1-x_testy)</f>
        <v/>
      </c>
      <c r="AG3">
        <f>x_z_F*T3+(1-x_AGRI)*x_EMP*x_WLOSS*(x_PEN_K74*Q3+x_PEN_C22*R3)</f>
        <v/>
      </c>
      <c r="AH3">
        <f>x_AGRI*x_EMP*x_WLOSS*(x_PEN_K74*Q3+x_PEN_C22*R3)</f>
        <v/>
      </c>
      <c r="AI3">
        <f>x_EMP*x_WAGE*(x_WLOSS*(Q3+R3)+S3)+T3*x_ABS_D*x_WAGE/365</f>
        <v/>
      </c>
      <c r="AJ3">
        <f>AI3*x_R_FUS</f>
        <v/>
      </c>
      <c r="AK3">
        <f>AI3*x_R_NFZ</f>
        <v/>
      </c>
      <c r="AL3">
        <f>AI3*x_R_PIT</f>
        <v/>
      </c>
      <c r="AM3">
        <f>AI3*x_R_FP</f>
        <v/>
      </c>
      <c r="AN3">
        <f>Z3+AA3+AB3+AC3+AE3</f>
        <v/>
      </c>
      <c r="AO3">
        <f>AN3+AD3+AF3+AG3+AH3+AJ3+AK3+AL3+AM3</f>
        <v/>
      </c>
      <c r="AP3">
        <f>AN3+AD3+AF3+AI3</f>
        <v/>
      </c>
      <c r="AQ3">
        <f>AA3+AB3+AC3+AE3</f>
        <v/>
      </c>
      <c r="AR3">
        <f>AQ3+AD3+AF3</f>
        <v/>
      </c>
    </row>
    <row r="4">
      <c r="A4" t="n">
        <v>2027</v>
      </c>
      <c r="B4" t="n">
        <v>1</v>
      </c>
      <c r="C4" t="n">
        <v>4832</v>
      </c>
      <c r="D4" t="n">
        <v>0</v>
      </c>
      <c r="E4" t="n">
        <v>0</v>
      </c>
      <c r="F4" t="n">
        <v>0</v>
      </c>
      <c r="G4" t="n">
        <v>0</v>
      </c>
      <c r="H4" t="n">
        <v>2310.886</v>
      </c>
      <c r="I4" t="n">
        <v>216.736</v>
      </c>
      <c r="J4" t="n">
        <v>1567.583</v>
      </c>
      <c r="K4" t="n">
        <v>2518.358</v>
      </c>
      <c r="L4" t="n">
        <v>1489.389</v>
      </c>
      <c r="M4" t="n">
        <v>10640.881</v>
      </c>
      <c r="N4" t="n">
        <v>948.309</v>
      </c>
      <c r="O4" t="n">
        <v>88.035</v>
      </c>
      <c r="P4" t="n">
        <v>88.541</v>
      </c>
      <c r="Q4" t="n">
        <v>2140.239</v>
      </c>
      <c r="R4" t="n">
        <v>1714.316</v>
      </c>
      <c r="S4" t="n">
        <v>940.1079999999999</v>
      </c>
      <c r="T4" t="n">
        <v>2527.622</v>
      </c>
      <c r="U4" t="n">
        <v>115008.566</v>
      </c>
      <c r="V4" t="n">
        <v>276.714</v>
      </c>
      <c r="W4" t="n">
        <v>734.12</v>
      </c>
      <c r="X4" t="n">
        <v>88.035</v>
      </c>
      <c r="Y4" t="n">
        <v>926.1369999999999</v>
      </c>
      <c r="Z4">
        <f>H4*x_c_F+I4*x_c_CC+J4*x_c_DC+K4*x_c_HCC+L4*x_c_PLT+M4*x_c_SVRn+N4*x_c_SVRcc+O4*x_c_LT+P4*x_c_LT1</f>
        <v/>
      </c>
      <c r="AA4">
        <f>C4*x_c_DAA</f>
        <v/>
      </c>
      <c r="AB4">
        <f>C4*x_c_MON</f>
        <v/>
      </c>
      <c r="AC4">
        <f>D4*(1-x_testy)</f>
        <v/>
      </c>
      <c r="AD4">
        <f>E4*(1-x_testy)</f>
        <v/>
      </c>
      <c r="AE4">
        <f>F4*x_NAV</f>
        <v/>
      </c>
      <c r="AF4">
        <f>G4*x_FIX*(1-x_testy)</f>
        <v/>
      </c>
      <c r="AG4">
        <f>x_z_F*T4+(1-x_AGRI)*x_EMP*x_WLOSS*(x_PEN_K74*Q4+x_PEN_C22*R4)</f>
        <v/>
      </c>
      <c r="AH4">
        <f>x_AGRI*x_EMP*x_WLOSS*(x_PEN_K74*Q4+x_PEN_C22*R4)</f>
        <v/>
      </c>
      <c r="AI4">
        <f>x_EMP*x_WAGE*(x_WLOSS*(Q4+R4)+S4)+T4*x_ABS_D*x_WAGE/365</f>
        <v/>
      </c>
      <c r="AJ4">
        <f>AI4*x_R_FUS</f>
        <v/>
      </c>
      <c r="AK4">
        <f>AI4*x_R_NFZ</f>
        <v/>
      </c>
      <c r="AL4">
        <f>AI4*x_R_PIT</f>
        <v/>
      </c>
      <c r="AM4">
        <f>AI4*x_R_FP</f>
        <v/>
      </c>
      <c r="AN4">
        <f>Z4+AA4+AB4+AC4+AE4</f>
        <v/>
      </c>
      <c r="AO4">
        <f>AN4+AD4+AF4+AG4+AH4+AJ4+AK4+AL4+AM4</f>
        <v/>
      </c>
      <c r="AP4">
        <f>AN4+AD4+AF4+AI4</f>
        <v/>
      </c>
      <c r="AQ4">
        <f>AA4+AB4+AC4+AE4</f>
        <v/>
      </c>
      <c r="AR4">
        <f>AQ4+AD4+AF4</f>
        <v/>
      </c>
    </row>
    <row r="5">
      <c r="A5" t="n">
        <v>2028</v>
      </c>
      <c r="B5" t="n">
        <v>2</v>
      </c>
      <c r="C5" t="n">
        <v>4832</v>
      </c>
      <c r="D5" t="n">
        <v>0</v>
      </c>
      <c r="E5" t="n">
        <v>0</v>
      </c>
      <c r="F5" t="n">
        <v>0</v>
      </c>
      <c r="G5" t="n">
        <v>0</v>
      </c>
      <c r="H5" t="n">
        <v>2298.201</v>
      </c>
      <c r="I5" t="n">
        <v>227.977</v>
      </c>
      <c r="J5" t="n">
        <v>1565.09</v>
      </c>
      <c r="K5" t="n">
        <v>2537.469</v>
      </c>
      <c r="L5" t="n">
        <v>1475.815</v>
      </c>
      <c r="M5" t="n">
        <v>14772.142</v>
      </c>
      <c r="N5" t="n">
        <v>1339.068</v>
      </c>
      <c r="O5" t="n">
        <v>87.706</v>
      </c>
      <c r="P5" t="n">
        <v>87.87</v>
      </c>
      <c r="Q5" t="n">
        <v>2148.922</v>
      </c>
      <c r="R5" t="n">
        <v>1745.631</v>
      </c>
      <c r="S5" t="n">
        <v>1572.634</v>
      </c>
      <c r="T5" t="n">
        <v>2526.179</v>
      </c>
      <c r="U5" t="n">
        <v>116434.622</v>
      </c>
      <c r="V5" t="n">
        <v>287.076</v>
      </c>
      <c r="W5" t="n">
        <v>762.1849999999999</v>
      </c>
      <c r="X5" t="n">
        <v>87.706</v>
      </c>
      <c r="Y5" t="n">
        <v>925.65</v>
      </c>
      <c r="Z5">
        <f>H5*x_c_F+I5*x_c_CC+J5*x_c_DC+K5*x_c_HCC+L5*x_c_PLT+M5*x_c_SVRn+N5*x_c_SVRcc+O5*x_c_LT+P5*x_c_LT1</f>
        <v/>
      </c>
      <c r="AA5">
        <f>C5*x_c_DAA</f>
        <v/>
      </c>
      <c r="AB5">
        <f>C5*x_c_MON</f>
        <v/>
      </c>
      <c r="AC5">
        <f>D5*(1-x_testy)</f>
        <v/>
      </c>
      <c r="AD5">
        <f>E5*(1-x_testy)</f>
        <v/>
      </c>
      <c r="AE5">
        <f>F5*x_NAV</f>
        <v/>
      </c>
      <c r="AF5">
        <f>G5*x_FIX*(1-x_testy)</f>
        <v/>
      </c>
      <c r="AG5">
        <f>x_z_F*T5+(1-x_AGRI)*x_EMP*x_WLOSS*(x_PEN_K74*Q5+x_PEN_C22*R5)</f>
        <v/>
      </c>
      <c r="AH5">
        <f>x_AGRI*x_EMP*x_WLOSS*(x_PEN_K74*Q5+x_PEN_C22*R5)</f>
        <v/>
      </c>
      <c r="AI5">
        <f>x_EMP*x_WAGE*(x_WLOSS*(Q5+R5)+S5)+T5*x_ABS_D*x_WAGE/365</f>
        <v/>
      </c>
      <c r="AJ5">
        <f>AI5*x_R_FUS</f>
        <v/>
      </c>
      <c r="AK5">
        <f>AI5*x_R_NFZ</f>
        <v/>
      </c>
      <c r="AL5">
        <f>AI5*x_R_PIT</f>
        <v/>
      </c>
      <c r="AM5">
        <f>AI5*x_R_FP</f>
        <v/>
      </c>
      <c r="AN5">
        <f>Z5+AA5+AB5+AC5+AE5</f>
        <v/>
      </c>
      <c r="AO5">
        <f>AN5+AD5+AF5+AG5+AH5+AJ5+AK5+AL5+AM5</f>
        <v/>
      </c>
      <c r="AP5">
        <f>AN5+AD5+AF5+AI5</f>
        <v/>
      </c>
      <c r="AQ5">
        <f>AA5+AB5+AC5+AE5</f>
        <v/>
      </c>
      <c r="AR5">
        <f>AQ5+AD5+AF5</f>
        <v/>
      </c>
    </row>
    <row r="6">
      <c r="A6" t="n">
        <v>2029</v>
      </c>
      <c r="B6" t="n">
        <v>3</v>
      </c>
      <c r="C6" t="n">
        <v>4832</v>
      </c>
      <c r="D6" t="n">
        <v>0</v>
      </c>
      <c r="E6" t="n">
        <v>0</v>
      </c>
      <c r="F6" t="n">
        <v>0</v>
      </c>
      <c r="G6" t="n">
        <v>0</v>
      </c>
      <c r="H6" t="n">
        <v>2284.725</v>
      </c>
      <c r="I6" t="n">
        <v>239.984</v>
      </c>
      <c r="J6" t="n">
        <v>1572.976</v>
      </c>
      <c r="K6" t="n">
        <v>2579.242</v>
      </c>
      <c r="L6" t="n">
        <v>1461.338</v>
      </c>
      <c r="M6" t="n">
        <v>18823.452</v>
      </c>
      <c r="N6" t="n">
        <v>1738.216</v>
      </c>
      <c r="O6" t="n">
        <v>88.05200000000001</v>
      </c>
      <c r="P6" t="n">
        <v>87.879</v>
      </c>
      <c r="Q6" t="n">
        <v>2166.295</v>
      </c>
      <c r="R6" t="n">
        <v>1795.184</v>
      </c>
      <c r="S6" t="n">
        <v>2211.717</v>
      </c>
      <c r="T6" t="n">
        <v>2524.709</v>
      </c>
      <c r="U6" t="n">
        <v>117847.407</v>
      </c>
      <c r="V6" t="n">
        <v>298.459</v>
      </c>
      <c r="W6" t="n">
        <v>793.0940000000001</v>
      </c>
      <c r="X6" t="n">
        <v>88.05200000000001</v>
      </c>
      <c r="Y6" t="n">
        <v>933.042</v>
      </c>
      <c r="Z6">
        <f>H6*x_c_F+I6*x_c_CC+J6*x_c_DC+K6*x_c_HCC+L6*x_c_PLT+M6*x_c_SVRn+N6*x_c_SVRcc+O6*x_c_LT+P6*x_c_LT1</f>
        <v/>
      </c>
      <c r="AA6">
        <f>C6*x_c_DAA</f>
        <v/>
      </c>
      <c r="AB6">
        <f>C6*x_c_MON</f>
        <v/>
      </c>
      <c r="AC6">
        <f>D6*(1-x_testy)</f>
        <v/>
      </c>
      <c r="AD6">
        <f>E6*(1-x_testy)</f>
        <v/>
      </c>
      <c r="AE6">
        <f>F6*x_NAV</f>
        <v/>
      </c>
      <c r="AF6">
        <f>G6*x_FIX*(1-x_testy)</f>
        <v/>
      </c>
      <c r="AG6">
        <f>x_z_F*T6+(1-x_AGRI)*x_EMP*x_WLOSS*(x_PEN_K74*Q6+x_PEN_C22*R6)</f>
        <v/>
      </c>
      <c r="AH6">
        <f>x_AGRI*x_EMP*x_WLOSS*(x_PEN_K74*Q6+x_PEN_C22*R6)</f>
        <v/>
      </c>
      <c r="AI6">
        <f>x_EMP*x_WAGE*(x_WLOSS*(Q6+R6)+S6)+T6*x_ABS_D*x_WAGE/365</f>
        <v/>
      </c>
      <c r="AJ6">
        <f>AI6*x_R_FUS</f>
        <v/>
      </c>
      <c r="AK6">
        <f>AI6*x_R_NFZ</f>
        <v/>
      </c>
      <c r="AL6">
        <f>AI6*x_R_PIT</f>
        <v/>
      </c>
      <c r="AM6">
        <f>AI6*x_R_FP</f>
        <v/>
      </c>
      <c r="AN6">
        <f>Z6+AA6+AB6+AC6+AE6</f>
        <v/>
      </c>
      <c r="AO6">
        <f>AN6+AD6+AF6+AG6+AH6+AJ6+AK6+AL6+AM6</f>
        <v/>
      </c>
      <c r="AP6">
        <f>AN6+AD6+AF6+AI6</f>
        <v/>
      </c>
      <c r="AQ6">
        <f>AA6+AB6+AC6+AE6</f>
        <v/>
      </c>
      <c r="AR6">
        <f>AQ6+AD6+AF6</f>
        <v/>
      </c>
    </row>
    <row r="7">
      <c r="A7" t="n">
        <v>2030</v>
      </c>
      <c r="B7" t="n">
        <v>4</v>
      </c>
      <c r="C7" t="n">
        <v>4832</v>
      </c>
      <c r="D7" t="n">
        <v>0</v>
      </c>
      <c r="E7" t="n">
        <v>0</v>
      </c>
      <c r="F7" t="n">
        <v>0</v>
      </c>
      <c r="G7" t="n">
        <v>0</v>
      </c>
      <c r="H7" t="n">
        <v>2271.094</v>
      </c>
      <c r="I7" t="n">
        <v>252.114</v>
      </c>
      <c r="J7" t="n">
        <v>1589.887</v>
      </c>
      <c r="K7" t="n">
        <v>2638.717</v>
      </c>
      <c r="L7" t="n">
        <v>1446.533</v>
      </c>
      <c r="M7" t="n">
        <v>22792.273</v>
      </c>
      <c r="N7" t="n">
        <v>2145.156</v>
      </c>
      <c r="O7" t="n">
        <v>88.99299999999999</v>
      </c>
      <c r="P7" t="n">
        <v>88.52200000000001</v>
      </c>
      <c r="Q7" t="n">
        <v>2191.883</v>
      </c>
      <c r="R7" t="n">
        <v>1859.608</v>
      </c>
      <c r="S7" t="n">
        <v>2862.713</v>
      </c>
      <c r="T7" t="n">
        <v>2523.209</v>
      </c>
      <c r="U7" t="n">
        <v>119244.683</v>
      </c>
      <c r="V7" t="n">
        <v>309.918</v>
      </c>
      <c r="W7" t="n">
        <v>824.449</v>
      </c>
      <c r="X7" t="n">
        <v>88.99299999999999</v>
      </c>
      <c r="Y7" t="n">
        <v>947.047</v>
      </c>
      <c r="Z7">
        <f>H7*x_c_F+I7*x_c_CC+J7*x_c_DC+K7*x_c_HCC+L7*x_c_PLT+M7*x_c_SVRn+N7*x_c_SVRcc+O7*x_c_LT+P7*x_c_LT1</f>
        <v/>
      </c>
      <c r="AA7">
        <f>C7*x_c_DAA</f>
        <v/>
      </c>
      <c r="AB7">
        <f>C7*x_c_MON</f>
        <v/>
      </c>
      <c r="AC7">
        <f>D7*(1-x_testy)</f>
        <v/>
      </c>
      <c r="AD7">
        <f>E7*(1-x_testy)</f>
        <v/>
      </c>
      <c r="AE7">
        <f>F7*x_NAV</f>
        <v/>
      </c>
      <c r="AF7">
        <f>G7*x_FIX*(1-x_testy)</f>
        <v/>
      </c>
      <c r="AG7">
        <f>x_z_F*T7+(1-x_AGRI)*x_EMP*x_WLOSS*(x_PEN_K74*Q7+x_PEN_C22*R7)</f>
        <v/>
      </c>
      <c r="AH7">
        <f>x_AGRI*x_EMP*x_WLOSS*(x_PEN_K74*Q7+x_PEN_C22*R7)</f>
        <v/>
      </c>
      <c r="AI7">
        <f>x_EMP*x_WAGE*(x_WLOSS*(Q7+R7)+S7)+T7*x_ABS_D*x_WAGE/365</f>
        <v/>
      </c>
      <c r="AJ7">
        <f>AI7*x_R_FUS</f>
        <v/>
      </c>
      <c r="AK7">
        <f>AI7*x_R_NFZ</f>
        <v/>
      </c>
      <c r="AL7">
        <f>AI7*x_R_PIT</f>
        <v/>
      </c>
      <c r="AM7">
        <f>AI7*x_R_FP</f>
        <v/>
      </c>
      <c r="AN7">
        <f>Z7+AA7+AB7+AC7+AE7</f>
        <v/>
      </c>
      <c r="AO7">
        <f>AN7+AD7+AF7+AG7+AH7+AJ7+AK7+AL7+AM7</f>
        <v/>
      </c>
      <c r="AP7">
        <f>AN7+AD7+AF7+AI7</f>
        <v/>
      </c>
      <c r="AQ7">
        <f>AA7+AB7+AC7+AE7</f>
        <v/>
      </c>
      <c r="AR7">
        <f>AQ7+AD7+AF7</f>
        <v/>
      </c>
    </row>
    <row r="8">
      <c r="A8" t="n">
        <v>2031</v>
      </c>
      <c r="B8" t="n">
        <v>5</v>
      </c>
      <c r="C8" t="n">
        <v>4832</v>
      </c>
      <c r="D8" t="n">
        <v>0</v>
      </c>
      <c r="E8" t="n">
        <v>0</v>
      </c>
      <c r="F8" t="n">
        <v>0</v>
      </c>
      <c r="G8" t="n">
        <v>0</v>
      </c>
      <c r="H8" t="n">
        <v>2257.824</v>
      </c>
      <c r="I8" t="n">
        <v>263.855</v>
      </c>
      <c r="J8" t="n">
        <v>1613.882</v>
      </c>
      <c r="K8" t="n">
        <v>2710.234</v>
      </c>
      <c r="L8" t="n">
        <v>1431.93</v>
      </c>
      <c r="M8" t="n">
        <v>26677.417</v>
      </c>
      <c r="N8" t="n">
        <v>2558.326</v>
      </c>
      <c r="O8" t="n">
        <v>90.405</v>
      </c>
      <c r="P8" t="n">
        <v>89.699</v>
      </c>
      <c r="Q8" t="n">
        <v>2224.735</v>
      </c>
      <c r="R8" t="n">
        <v>1935.053</v>
      </c>
      <c r="S8" t="n">
        <v>3529.927</v>
      </c>
      <c r="T8" t="n">
        <v>2521.678</v>
      </c>
      <c r="U8" t="n">
        <v>120626.049</v>
      </c>
      <c r="V8" t="n">
        <v>320.742</v>
      </c>
      <c r="W8" t="n">
        <v>854.4160000000001</v>
      </c>
      <c r="X8" t="n">
        <v>90.405</v>
      </c>
      <c r="Y8" t="n">
        <v>966.003</v>
      </c>
      <c r="Z8">
        <f>H8*x_c_F+I8*x_c_CC+J8*x_c_DC+K8*x_c_HCC+L8*x_c_PLT+M8*x_c_SVRn+N8*x_c_SVRcc+O8*x_c_LT+P8*x_c_LT1</f>
        <v/>
      </c>
      <c r="AA8">
        <f>C8*x_c_DAA</f>
        <v/>
      </c>
      <c r="AB8">
        <f>C8*x_c_MON</f>
        <v/>
      </c>
      <c r="AC8">
        <f>D8*(1-x_testy)</f>
        <v/>
      </c>
      <c r="AD8">
        <f>E8*(1-x_testy)</f>
        <v/>
      </c>
      <c r="AE8">
        <f>F8*x_NAV</f>
        <v/>
      </c>
      <c r="AF8">
        <f>G8*x_FIX*(1-x_testy)</f>
        <v/>
      </c>
      <c r="AG8">
        <f>x_z_F*T8+(1-x_AGRI)*x_EMP*x_WLOSS*(x_PEN_K74*Q8+x_PEN_C22*R8)</f>
        <v/>
      </c>
      <c r="AH8">
        <f>x_AGRI*x_EMP*x_WLOSS*(x_PEN_K74*Q8+x_PEN_C22*R8)</f>
        <v/>
      </c>
      <c r="AI8">
        <f>x_EMP*x_WAGE*(x_WLOSS*(Q8+R8)+S8)+T8*x_ABS_D*x_WAGE/365</f>
        <v/>
      </c>
      <c r="AJ8">
        <f>AI8*x_R_FUS</f>
        <v/>
      </c>
      <c r="AK8">
        <f>AI8*x_R_NFZ</f>
        <v/>
      </c>
      <c r="AL8">
        <f>AI8*x_R_PIT</f>
        <v/>
      </c>
      <c r="AM8">
        <f>AI8*x_R_FP</f>
        <v/>
      </c>
      <c r="AN8">
        <f>Z8+AA8+AB8+AC8+AE8</f>
        <v/>
      </c>
      <c r="AO8">
        <f>AN8+AD8+AF8+AG8+AH8+AJ8+AK8+AL8+AM8</f>
        <v/>
      </c>
      <c r="AP8">
        <f>AN8+AD8+AF8+AI8</f>
        <v/>
      </c>
      <c r="AQ8">
        <f>AA8+AB8+AC8+AE8</f>
        <v/>
      </c>
      <c r="AR8">
        <f>AQ8+AD8+AF8</f>
        <v/>
      </c>
    </row>
    <row r="9">
      <c r="A9" t="n">
        <v>2032</v>
      </c>
      <c r="B9" t="n">
        <v>6</v>
      </c>
      <c r="C9" t="n">
        <v>4832</v>
      </c>
      <c r="D9" t="n">
        <v>0</v>
      </c>
      <c r="E9" t="n">
        <v>0</v>
      </c>
      <c r="F9" t="n">
        <v>0</v>
      </c>
      <c r="G9" t="n">
        <v>0</v>
      </c>
      <c r="H9" t="n">
        <v>2245.314</v>
      </c>
      <c r="I9" t="n">
        <v>274.803</v>
      </c>
      <c r="J9" t="n">
        <v>1642.711</v>
      </c>
      <c r="K9" t="n">
        <v>2788.096</v>
      </c>
      <c r="L9" t="n">
        <v>1417.922</v>
      </c>
      <c r="M9" t="n">
        <v>30478.343</v>
      </c>
      <c r="N9" t="n">
        <v>2975.387</v>
      </c>
      <c r="O9" t="n">
        <v>92.142</v>
      </c>
      <c r="P9" t="n">
        <v>91.274</v>
      </c>
      <c r="Q9" t="n">
        <v>2263.57</v>
      </c>
      <c r="R9" t="n">
        <v>2017.617</v>
      </c>
      <c r="S9" t="n">
        <v>4216.363</v>
      </c>
      <c r="T9" t="n">
        <v>2520.117</v>
      </c>
      <c r="U9" t="n">
        <v>121989.651</v>
      </c>
      <c r="V9" t="n">
        <v>330.402</v>
      </c>
      <c r="W9" t="n">
        <v>881.605</v>
      </c>
      <c r="X9" t="n">
        <v>92.142</v>
      </c>
      <c r="Y9" t="n">
        <v>988.072</v>
      </c>
      <c r="Z9">
        <f>H9*x_c_F+I9*x_c_CC+J9*x_c_DC+K9*x_c_HCC+L9*x_c_PLT+M9*x_c_SVRn+N9*x_c_SVRcc+O9*x_c_LT+P9*x_c_LT1</f>
        <v/>
      </c>
      <c r="AA9">
        <f>C9*x_c_DAA</f>
        <v/>
      </c>
      <c r="AB9">
        <f>C9*x_c_MON</f>
        <v/>
      </c>
      <c r="AC9">
        <f>D9*(1-x_testy)</f>
        <v/>
      </c>
      <c r="AD9">
        <f>E9*(1-x_testy)</f>
        <v/>
      </c>
      <c r="AE9">
        <f>F9*x_NAV</f>
        <v/>
      </c>
      <c r="AF9">
        <f>G9*x_FIX*(1-x_testy)</f>
        <v/>
      </c>
      <c r="AG9">
        <f>x_z_F*T9+(1-x_AGRI)*x_EMP*x_WLOSS*(x_PEN_K74*Q9+x_PEN_C22*R9)</f>
        <v/>
      </c>
      <c r="AH9">
        <f>x_AGRI*x_EMP*x_WLOSS*(x_PEN_K74*Q9+x_PEN_C22*R9)</f>
        <v/>
      </c>
      <c r="AI9">
        <f>x_EMP*x_WAGE*(x_WLOSS*(Q9+R9)+S9)+T9*x_ABS_D*x_WAGE/365</f>
        <v/>
      </c>
      <c r="AJ9">
        <f>AI9*x_R_FUS</f>
        <v/>
      </c>
      <c r="AK9">
        <f>AI9*x_R_NFZ</f>
        <v/>
      </c>
      <c r="AL9">
        <f>AI9*x_R_PIT</f>
        <v/>
      </c>
      <c r="AM9">
        <f>AI9*x_R_FP</f>
        <v/>
      </c>
      <c r="AN9">
        <f>Z9+AA9+AB9+AC9+AE9</f>
        <v/>
      </c>
      <c r="AO9">
        <f>AN9+AD9+AF9+AG9+AH9+AJ9+AK9+AL9+AM9</f>
        <v/>
      </c>
      <c r="AP9">
        <f>AN9+AD9+AF9+AI9</f>
        <v/>
      </c>
      <c r="AQ9">
        <f>AA9+AB9+AC9+AE9</f>
        <v/>
      </c>
      <c r="AR9">
        <f>AQ9+AD9+AF9</f>
        <v/>
      </c>
    </row>
    <row r="10">
      <c r="A10" t="n">
        <v>2033</v>
      </c>
      <c r="B10" t="n">
        <v>7</v>
      </c>
      <c r="C10" t="n">
        <v>4832</v>
      </c>
      <c r="D10" t="n">
        <v>0</v>
      </c>
      <c r="E10" t="n">
        <v>0</v>
      </c>
      <c r="F10" t="n">
        <v>0</v>
      </c>
      <c r="G10" t="n">
        <v>0</v>
      </c>
      <c r="H10" t="n">
        <v>2233.872</v>
      </c>
      <c r="I10" t="n">
        <v>284.654</v>
      </c>
      <c r="J10" t="n">
        <v>1674.068</v>
      </c>
      <c r="K10" t="n">
        <v>2867.043</v>
      </c>
      <c r="L10" t="n">
        <v>1404.764</v>
      </c>
      <c r="M10" t="n">
        <v>34195.185</v>
      </c>
      <c r="N10" t="n">
        <v>3393.451</v>
      </c>
      <c r="O10" t="n">
        <v>94.05800000000001</v>
      </c>
      <c r="P10" t="n">
        <v>93.09999999999999</v>
      </c>
      <c r="Q10" t="n">
        <v>2306.932</v>
      </c>
      <c r="R10" t="n">
        <v>2103.63</v>
      </c>
      <c r="S10" t="n">
        <v>4923.705</v>
      </c>
      <c r="T10" t="n">
        <v>2518.526</v>
      </c>
      <c r="U10" t="n">
        <v>123333.783</v>
      </c>
      <c r="V10" t="n">
        <v>338.538</v>
      </c>
      <c r="W10" t="n">
        <v>905.042</v>
      </c>
      <c r="X10" t="n">
        <v>94.05800000000001</v>
      </c>
      <c r="Y10" t="n">
        <v>1011.512</v>
      </c>
      <c r="Z10">
        <f>H10*x_c_F+I10*x_c_CC+J10*x_c_DC+K10*x_c_HCC+L10*x_c_PLT+M10*x_c_SVRn+N10*x_c_SVRcc+O10*x_c_LT+P10*x_c_LT1</f>
        <v/>
      </c>
      <c r="AA10">
        <f>C10*x_c_DAA</f>
        <v/>
      </c>
      <c r="AB10">
        <f>C10*x_c_MON</f>
        <v/>
      </c>
      <c r="AC10">
        <f>D10*(1-x_testy)</f>
        <v/>
      </c>
      <c r="AD10">
        <f>E10*(1-x_testy)</f>
        <v/>
      </c>
      <c r="AE10">
        <f>F10*x_NAV</f>
        <v/>
      </c>
      <c r="AF10">
        <f>G10*x_FIX*(1-x_testy)</f>
        <v/>
      </c>
      <c r="AG10">
        <f>x_z_F*T10+(1-x_AGRI)*x_EMP*x_WLOSS*(x_PEN_K74*Q10+x_PEN_C22*R10)</f>
        <v/>
      </c>
      <c r="AH10">
        <f>x_AGRI*x_EMP*x_WLOSS*(x_PEN_K74*Q10+x_PEN_C22*R10)</f>
        <v/>
      </c>
      <c r="AI10">
        <f>x_EMP*x_WAGE*(x_WLOSS*(Q10+R10)+S10)+T10*x_ABS_D*x_WAGE/365</f>
        <v/>
      </c>
      <c r="AJ10">
        <f>AI10*x_R_FUS</f>
        <v/>
      </c>
      <c r="AK10">
        <f>AI10*x_R_NFZ</f>
        <v/>
      </c>
      <c r="AL10">
        <f>AI10*x_R_PIT</f>
        <v/>
      </c>
      <c r="AM10">
        <f>AI10*x_R_FP</f>
        <v/>
      </c>
      <c r="AN10">
        <f>Z10+AA10+AB10+AC10+AE10</f>
        <v/>
      </c>
      <c r="AO10">
        <f>AN10+AD10+AF10+AG10+AH10+AJ10+AK10+AL10+AM10</f>
        <v/>
      </c>
      <c r="AP10">
        <f>AN10+AD10+AF10+AI10</f>
        <v/>
      </c>
      <c r="AQ10">
        <f>AA10+AB10+AC10+AE10</f>
        <v/>
      </c>
      <c r="AR10">
        <f>AQ10+AD10+AF10</f>
        <v/>
      </c>
    </row>
    <row r="11">
      <c r="A11" t="n">
        <v>2034</v>
      </c>
      <c r="B11" t="n">
        <v>8</v>
      </c>
      <c r="C11" t="n">
        <v>4832</v>
      </c>
      <c r="D11" t="n">
        <v>0</v>
      </c>
      <c r="E11" t="n">
        <v>0</v>
      </c>
      <c r="F11" t="n">
        <v>0</v>
      </c>
      <c r="G11" t="n">
        <v>0</v>
      </c>
      <c r="H11" t="n">
        <v>2223.72</v>
      </c>
      <c r="I11" t="n">
        <v>293.187</v>
      </c>
      <c r="J11" t="n">
        <v>1705.744</v>
      </c>
      <c r="K11" t="n">
        <v>2942.489</v>
      </c>
      <c r="L11" t="n">
        <v>1392.559</v>
      </c>
      <c r="M11" t="n">
        <v>37828.314</v>
      </c>
      <c r="N11" t="n">
        <v>3809.221</v>
      </c>
      <c r="O11" t="n">
        <v>96.008</v>
      </c>
      <c r="P11" t="n">
        <v>95.033</v>
      </c>
      <c r="Q11" t="n">
        <v>2353.299</v>
      </c>
      <c r="R11" t="n">
        <v>2189.825</v>
      </c>
      <c r="S11" t="n">
        <v>5652.325</v>
      </c>
      <c r="T11" t="n">
        <v>2516.907</v>
      </c>
      <c r="U11" t="n">
        <v>124656.662</v>
      </c>
      <c r="V11" t="n">
        <v>344.913</v>
      </c>
      <c r="W11" t="n">
        <v>924.063</v>
      </c>
      <c r="X11" t="n">
        <v>96.008</v>
      </c>
      <c r="Y11" t="n">
        <v>1034.692</v>
      </c>
      <c r="Z11">
        <f>H11*x_c_F+I11*x_c_CC+J11*x_c_DC+K11*x_c_HCC+L11*x_c_PLT+M11*x_c_SVRn+N11*x_c_SVRcc+O11*x_c_LT+P11*x_c_LT1</f>
        <v/>
      </c>
      <c r="AA11">
        <f>C11*x_c_DAA</f>
        <v/>
      </c>
      <c r="AB11">
        <f>C11*x_c_MON</f>
        <v/>
      </c>
      <c r="AC11">
        <f>D11*(1-x_testy)</f>
        <v/>
      </c>
      <c r="AD11">
        <f>E11*(1-x_testy)</f>
        <v/>
      </c>
      <c r="AE11">
        <f>F11*x_NAV</f>
        <v/>
      </c>
      <c r="AF11">
        <f>G11*x_FIX*(1-x_testy)</f>
        <v/>
      </c>
      <c r="AG11">
        <f>x_z_F*T11+(1-x_AGRI)*x_EMP*x_WLOSS*(x_PEN_K74*Q11+x_PEN_C22*R11)</f>
        <v/>
      </c>
      <c r="AH11">
        <f>x_AGRI*x_EMP*x_WLOSS*(x_PEN_K74*Q11+x_PEN_C22*R11)</f>
        <v/>
      </c>
      <c r="AI11">
        <f>x_EMP*x_WAGE*(x_WLOSS*(Q11+R11)+S11)+T11*x_ABS_D*x_WAGE/365</f>
        <v/>
      </c>
      <c r="AJ11">
        <f>AI11*x_R_FUS</f>
        <v/>
      </c>
      <c r="AK11">
        <f>AI11*x_R_NFZ</f>
        <v/>
      </c>
      <c r="AL11">
        <f>AI11*x_R_PIT</f>
        <v/>
      </c>
      <c r="AM11">
        <f>AI11*x_R_FP</f>
        <v/>
      </c>
      <c r="AN11">
        <f>Z11+AA11+AB11+AC11+AE11</f>
        <v/>
      </c>
      <c r="AO11">
        <f>AN11+AD11+AF11+AG11+AH11+AJ11+AK11+AL11+AM11</f>
        <v/>
      </c>
      <c r="AP11">
        <f>AN11+AD11+AF11+AI11</f>
        <v/>
      </c>
      <c r="AQ11">
        <f>AA11+AB11+AC11+AE11</f>
        <v/>
      </c>
      <c r="AR11">
        <f>AQ11+AD11+AF11</f>
        <v/>
      </c>
    </row>
    <row r="12">
      <c r="A12" t="n">
        <v>2035</v>
      </c>
      <c r="B12" t="n">
        <v>9</v>
      </c>
      <c r="C12" t="n">
        <v>4832</v>
      </c>
      <c r="D12" t="n">
        <v>0</v>
      </c>
      <c r="E12" t="n">
        <v>0</v>
      </c>
      <c r="F12" t="n">
        <v>0</v>
      </c>
      <c r="G12" t="n">
        <v>0</v>
      </c>
      <c r="H12" t="n">
        <v>2215.007</v>
      </c>
      <c r="I12" t="n">
        <v>300.254</v>
      </c>
      <c r="J12" t="n">
        <v>1735.742</v>
      </c>
      <c r="K12" t="n">
        <v>3010.658</v>
      </c>
      <c r="L12" t="n">
        <v>1381.278</v>
      </c>
      <c r="M12" t="n">
        <v>41378.425</v>
      </c>
      <c r="N12" t="n">
        <v>4219.175</v>
      </c>
      <c r="O12" t="n">
        <v>97.869</v>
      </c>
      <c r="P12" t="n">
        <v>96.93899999999999</v>
      </c>
      <c r="Q12" t="n">
        <v>2401.163</v>
      </c>
      <c r="R12" t="n">
        <v>2273.414</v>
      </c>
      <c r="S12" t="n">
        <v>6401.393</v>
      </c>
      <c r="T12" t="n">
        <v>2515.261</v>
      </c>
      <c r="U12" t="n">
        <v>125956.875</v>
      </c>
      <c r="V12" t="n">
        <v>349.409</v>
      </c>
      <c r="W12" t="n">
        <v>938.3099999999999</v>
      </c>
      <c r="X12" t="n">
        <v>97.869</v>
      </c>
      <c r="Y12" t="n">
        <v>1056.26</v>
      </c>
      <c r="Z12">
        <f>H12*x_c_F+I12*x_c_CC+J12*x_c_DC+K12*x_c_HCC+L12*x_c_PLT+M12*x_c_SVRn+N12*x_c_SVRcc+O12*x_c_LT+P12*x_c_LT1</f>
        <v/>
      </c>
      <c r="AA12">
        <f>C12*x_c_DAA</f>
        <v/>
      </c>
      <c r="AB12">
        <f>C12*x_c_MON</f>
        <v/>
      </c>
      <c r="AC12">
        <f>D12*(1-x_testy)</f>
        <v/>
      </c>
      <c r="AD12">
        <f>E12*(1-x_testy)</f>
        <v/>
      </c>
      <c r="AE12">
        <f>F12*x_NAV</f>
        <v/>
      </c>
      <c r="AF12">
        <f>G12*x_FIX*(1-x_testy)</f>
        <v/>
      </c>
      <c r="AG12">
        <f>x_z_F*T12+(1-x_AGRI)*x_EMP*x_WLOSS*(x_PEN_K74*Q12+x_PEN_C22*R12)</f>
        <v/>
      </c>
      <c r="AH12">
        <f>x_AGRI*x_EMP*x_WLOSS*(x_PEN_K74*Q12+x_PEN_C22*R12)</f>
        <v/>
      </c>
      <c r="AI12">
        <f>x_EMP*x_WAGE*(x_WLOSS*(Q12+R12)+S12)+T12*x_ABS_D*x_WAGE/365</f>
        <v/>
      </c>
      <c r="AJ12">
        <f>AI12*x_R_FUS</f>
        <v/>
      </c>
      <c r="AK12">
        <f>AI12*x_R_NFZ</f>
        <v/>
      </c>
      <c r="AL12">
        <f>AI12*x_R_PIT</f>
        <v/>
      </c>
      <c r="AM12">
        <f>AI12*x_R_FP</f>
        <v/>
      </c>
      <c r="AN12">
        <f>Z12+AA12+AB12+AC12+AE12</f>
        <v/>
      </c>
      <c r="AO12">
        <f>AN12+AD12+AF12+AG12+AH12+AJ12+AK12+AL12+AM12</f>
        <v/>
      </c>
      <c r="AP12">
        <f>AN12+AD12+AF12+AI12</f>
        <v/>
      </c>
      <c r="AQ12">
        <f>AA12+AB12+AC12+AE12</f>
        <v/>
      </c>
      <c r="AR12">
        <f>AQ12+AD12+AF12</f>
        <v/>
      </c>
    </row>
    <row r="13">
      <c r="A13" t="n">
        <v>2036</v>
      </c>
      <c r="B13" t="n">
        <v>10</v>
      </c>
      <c r="C13" t="n">
        <v>4832</v>
      </c>
      <c r="D13" t="n">
        <v>0</v>
      </c>
      <c r="E13" t="n">
        <v>0</v>
      </c>
      <c r="F13" t="n">
        <v>0</v>
      </c>
      <c r="G13" t="n">
        <v>0</v>
      </c>
      <c r="H13" t="n">
        <v>2207.823</v>
      </c>
      <c r="I13" t="n">
        <v>305.77</v>
      </c>
      <c r="J13" t="n">
        <v>1762.321</v>
      </c>
      <c r="K13" t="n">
        <v>3068.567</v>
      </c>
      <c r="L13" t="n">
        <v>1370.751</v>
      </c>
      <c r="M13" t="n">
        <v>44845.862</v>
      </c>
      <c r="N13" t="n">
        <v>4619.605</v>
      </c>
      <c r="O13" t="n">
        <v>99.527</v>
      </c>
      <c r="P13" t="n">
        <v>98.69799999999999</v>
      </c>
      <c r="Q13" t="n">
        <v>2449.093</v>
      </c>
      <c r="R13" t="n">
        <v>2352.122</v>
      </c>
      <c r="S13" t="n">
        <v>7168.992</v>
      </c>
      <c r="T13" t="n">
        <v>2513.593</v>
      </c>
      <c r="U13" t="n">
        <v>127232.304</v>
      </c>
      <c r="V13" t="n">
        <v>351.98</v>
      </c>
      <c r="W13" t="n">
        <v>947.601</v>
      </c>
      <c r="X13" t="n">
        <v>99.527</v>
      </c>
      <c r="Y13" t="n">
        <v>1075.033</v>
      </c>
      <c r="Z13">
        <f>H13*x_c_F+I13*x_c_CC+J13*x_c_DC+K13*x_c_HCC+L13*x_c_PLT+M13*x_c_SVRn+N13*x_c_SVRcc+O13*x_c_LT+P13*x_c_LT1</f>
        <v/>
      </c>
      <c r="AA13">
        <f>C13*x_c_DAA</f>
        <v/>
      </c>
      <c r="AB13">
        <f>C13*x_c_MON</f>
        <v/>
      </c>
      <c r="AC13">
        <f>D13*(1-x_testy)</f>
        <v/>
      </c>
      <c r="AD13">
        <f>E13*(1-x_testy)</f>
        <v/>
      </c>
      <c r="AE13">
        <f>F13*x_NAV</f>
        <v/>
      </c>
      <c r="AF13">
        <f>G13*x_FIX*(1-x_testy)</f>
        <v/>
      </c>
      <c r="AG13">
        <f>x_z_F*T13+(1-x_AGRI)*x_EMP*x_WLOSS*(x_PEN_K74*Q13+x_PEN_C22*R13)</f>
        <v/>
      </c>
      <c r="AH13">
        <f>x_AGRI*x_EMP*x_WLOSS*(x_PEN_K74*Q13+x_PEN_C22*R13)</f>
        <v/>
      </c>
      <c r="AI13">
        <f>x_EMP*x_WAGE*(x_WLOSS*(Q13+R13)+S13)+T13*x_ABS_D*x_WAGE/365</f>
        <v/>
      </c>
      <c r="AJ13">
        <f>AI13*x_R_FUS</f>
        <v/>
      </c>
      <c r="AK13">
        <f>AI13*x_R_NFZ</f>
        <v/>
      </c>
      <c r="AL13">
        <f>AI13*x_R_PIT</f>
        <v/>
      </c>
      <c r="AM13">
        <f>AI13*x_R_FP</f>
        <v/>
      </c>
      <c r="AN13">
        <f>Z13+AA13+AB13+AC13+AE13</f>
        <v/>
      </c>
      <c r="AO13">
        <f>AN13+AD13+AF13+AG13+AH13+AJ13+AK13+AL13+AM13</f>
        <v/>
      </c>
      <c r="AP13">
        <f>AN13+AD13+AF13+AI13</f>
        <v/>
      </c>
      <c r="AQ13">
        <f>AA13+AB13+AC13+AE13</f>
        <v/>
      </c>
      <c r="AR13">
        <f>AQ13+AD13+AF13</f>
        <v/>
      </c>
    </row>
    <row r="14">
      <c r="A14" t="n">
        <v>2037</v>
      </c>
      <c r="B14" t="n">
        <v>11</v>
      </c>
      <c r="C14" t="n">
        <v>4832</v>
      </c>
      <c r="D14" t="n">
        <v>0</v>
      </c>
      <c r="E14" t="n">
        <v>0</v>
      </c>
      <c r="F14" t="n">
        <v>0</v>
      </c>
      <c r="G14" t="n">
        <v>0</v>
      </c>
      <c r="H14" t="n">
        <v>2202.208</v>
      </c>
      <c r="I14" t="n">
        <v>309.695</v>
      </c>
      <c r="J14" t="n">
        <v>1784.018</v>
      </c>
      <c r="K14" t="n">
        <v>3113.98</v>
      </c>
      <c r="L14" t="n">
        <v>1360.681</v>
      </c>
      <c r="M14" t="n">
        <v>48230.294</v>
      </c>
      <c r="N14" t="n">
        <v>5006.699</v>
      </c>
      <c r="O14" t="n">
        <v>100.893</v>
      </c>
      <c r="P14" t="n">
        <v>100.21</v>
      </c>
      <c r="Q14" t="n">
        <v>2495.754</v>
      </c>
      <c r="R14" t="n">
        <v>2424.157</v>
      </c>
      <c r="S14" t="n">
        <v>7952.216</v>
      </c>
      <c r="T14" t="n">
        <v>2511.903</v>
      </c>
      <c r="U14" t="n">
        <v>128479.258</v>
      </c>
      <c r="V14" t="n">
        <v>352.653</v>
      </c>
      <c r="W14" t="n">
        <v>951.951</v>
      </c>
      <c r="X14" t="n">
        <v>100.893</v>
      </c>
      <c r="Y14" t="n">
        <v>1090.127</v>
      </c>
      <c r="Z14">
        <f>H14*x_c_F+I14*x_c_CC+J14*x_c_DC+K14*x_c_HCC+L14*x_c_PLT+M14*x_c_SVRn+N14*x_c_SVRcc+O14*x_c_LT+P14*x_c_LT1</f>
        <v/>
      </c>
      <c r="AA14">
        <f>C14*x_c_DAA</f>
        <v/>
      </c>
      <c r="AB14">
        <f>C14*x_c_MON</f>
        <v/>
      </c>
      <c r="AC14">
        <f>D14*(1-x_testy)</f>
        <v/>
      </c>
      <c r="AD14">
        <f>E14*(1-x_testy)</f>
        <v/>
      </c>
      <c r="AE14">
        <f>F14*x_NAV</f>
        <v/>
      </c>
      <c r="AF14">
        <f>G14*x_FIX*(1-x_testy)</f>
        <v/>
      </c>
      <c r="AG14">
        <f>x_z_F*T14+(1-x_AGRI)*x_EMP*x_WLOSS*(x_PEN_K74*Q14+x_PEN_C22*R14)</f>
        <v/>
      </c>
      <c r="AH14">
        <f>x_AGRI*x_EMP*x_WLOSS*(x_PEN_K74*Q14+x_PEN_C22*R14)</f>
        <v/>
      </c>
      <c r="AI14">
        <f>x_EMP*x_WAGE*(x_WLOSS*(Q14+R14)+S14)+T14*x_ABS_D*x_WAGE/365</f>
        <v/>
      </c>
      <c r="AJ14">
        <f>AI14*x_R_FUS</f>
        <v/>
      </c>
      <c r="AK14">
        <f>AI14*x_R_NFZ</f>
        <v/>
      </c>
      <c r="AL14">
        <f>AI14*x_R_PIT</f>
        <v/>
      </c>
      <c r="AM14">
        <f>AI14*x_R_FP</f>
        <v/>
      </c>
      <c r="AN14">
        <f>Z14+AA14+AB14+AC14+AE14</f>
        <v/>
      </c>
      <c r="AO14">
        <f>AN14+AD14+AF14+AG14+AH14+AJ14+AK14+AL14+AM14</f>
        <v/>
      </c>
      <c r="AP14">
        <f>AN14+AD14+AF14+AI14</f>
        <v/>
      </c>
      <c r="AQ14">
        <f>AA14+AB14+AC14+AE14</f>
        <v/>
      </c>
      <c r="AR14">
        <f>AQ14+AD14+AF14</f>
        <v/>
      </c>
    </row>
    <row r="15">
      <c r="A15" t="n">
        <v>2038</v>
      </c>
      <c r="B15" t="n">
        <v>12</v>
      </c>
      <c r="C15" t="n">
        <v>4832</v>
      </c>
      <c r="D15" t="n">
        <v>0</v>
      </c>
      <c r="E15" t="n">
        <v>0</v>
      </c>
      <c r="F15" t="n">
        <v>0</v>
      </c>
      <c r="G15" t="n">
        <v>0</v>
      </c>
      <c r="H15" t="n">
        <v>2198.156</v>
      </c>
      <c r="I15" t="n">
        <v>312.039</v>
      </c>
      <c r="J15" t="n">
        <v>1799.698</v>
      </c>
      <c r="K15" t="n">
        <v>3145.414</v>
      </c>
      <c r="L15" t="n">
        <v>1350.701</v>
      </c>
      <c r="M15" t="n">
        <v>51531.297</v>
      </c>
      <c r="N15" t="n">
        <v>5376.709</v>
      </c>
      <c r="O15" t="n">
        <v>101.895</v>
      </c>
      <c r="P15" t="n">
        <v>101.394</v>
      </c>
      <c r="Q15" t="n">
        <v>1648.514</v>
      </c>
      <c r="R15" t="n">
        <v>1620.459</v>
      </c>
      <c r="S15" t="n">
        <v>5544.518</v>
      </c>
      <c r="T15" t="n">
        <v>2510.195</v>
      </c>
      <c r="U15" t="n">
        <v>129695.256</v>
      </c>
      <c r="V15" t="n">
        <v>351.507</v>
      </c>
      <c r="W15" t="n">
        <v>951.505</v>
      </c>
      <c r="X15" t="n">
        <v>101.895</v>
      </c>
      <c r="Y15" t="n">
        <v>1100.873</v>
      </c>
      <c r="Z15">
        <f>H15*x_c_F+I15*x_c_CC+J15*x_c_DC+K15*x_c_HCC+L15*x_c_PLT+M15*x_c_SVRn+N15*x_c_SVRcc+O15*x_c_LT+P15*x_c_LT1</f>
        <v/>
      </c>
      <c r="AA15">
        <f>C15*x_c_DAA</f>
        <v/>
      </c>
      <c r="AB15">
        <f>C15*x_c_MON</f>
        <v/>
      </c>
      <c r="AC15">
        <f>D15*(1-x_testy)</f>
        <v/>
      </c>
      <c r="AD15">
        <f>E15*(1-x_testy)</f>
        <v/>
      </c>
      <c r="AE15">
        <f>F15*x_NAV</f>
        <v/>
      </c>
      <c r="AF15">
        <f>G15*x_FIX*(1-x_testy)</f>
        <v/>
      </c>
      <c r="AG15">
        <f>x_z_F*T15+(1-x_AGRI)*x_EMP*x_WLOSS*(x_PEN_K74*Q15+x_PEN_C22*R15)</f>
        <v/>
      </c>
      <c r="AH15">
        <f>x_AGRI*x_EMP*x_WLOSS*(x_PEN_K74*Q15+x_PEN_C22*R15)</f>
        <v/>
      </c>
      <c r="AI15">
        <f>x_EMP*x_WAGE*(x_WLOSS*(Q15+R15)+S15)+T15*x_ABS_D*x_WAGE/365</f>
        <v/>
      </c>
      <c r="AJ15">
        <f>AI15*x_R_FUS</f>
        <v/>
      </c>
      <c r="AK15">
        <f>AI15*x_R_NFZ</f>
        <v/>
      </c>
      <c r="AL15">
        <f>AI15*x_R_PIT</f>
        <v/>
      </c>
      <c r="AM15">
        <f>AI15*x_R_FP</f>
        <v/>
      </c>
      <c r="AN15">
        <f>Z15+AA15+AB15+AC15+AE15</f>
        <v/>
      </c>
      <c r="AO15">
        <f>AN15+AD15+AF15+AG15+AH15+AJ15+AK15+AL15+AM15</f>
        <v/>
      </c>
      <c r="AP15">
        <f>AN15+AD15+AF15+AI15</f>
        <v/>
      </c>
      <c r="AQ15">
        <f>AA15+AB15+AC15+AE15</f>
        <v/>
      </c>
      <c r="AR15">
        <f>AQ15+AD15+AF15</f>
        <v/>
      </c>
    </row>
    <row r="16">
      <c r="A16" t="n">
        <v>2039</v>
      </c>
      <c r="B16" t="n">
        <v>13</v>
      </c>
      <c r="C16" t="n">
        <v>4832</v>
      </c>
      <c r="D16" t="n">
        <v>0</v>
      </c>
      <c r="E16" t="n">
        <v>0</v>
      </c>
      <c r="F16" t="n">
        <v>0</v>
      </c>
      <c r="G16" t="n">
        <v>0</v>
      </c>
      <c r="H16" t="n">
        <v>2195.628</v>
      </c>
      <c r="I16" t="n">
        <v>312.846</v>
      </c>
      <c r="J16" t="n">
        <v>1808.535</v>
      </c>
      <c r="K16" t="n">
        <v>3162.036</v>
      </c>
      <c r="L16" t="n">
        <v>1340.375</v>
      </c>
      <c r="M16" t="n">
        <v>54747.993</v>
      </c>
      <c r="N16" t="n">
        <v>5725.99</v>
      </c>
      <c r="O16" t="n">
        <v>102.485</v>
      </c>
      <c r="P16" t="n">
        <v>102.19</v>
      </c>
      <c r="Q16" t="n">
        <v>790.433</v>
      </c>
      <c r="R16" t="n">
        <v>799.207</v>
      </c>
      <c r="S16" t="n">
        <v>2878.257</v>
      </c>
      <c r="T16" t="n">
        <v>2508.474</v>
      </c>
      <c r="U16" t="n">
        <v>130877.724</v>
      </c>
      <c r="V16" t="n">
        <v>348.664</v>
      </c>
      <c r="W16" t="n">
        <v>946.533</v>
      </c>
      <c r="X16" t="n">
        <v>102.485</v>
      </c>
      <c r="Y16" t="n">
        <v>1106.849</v>
      </c>
      <c r="Z16">
        <f>H16*x_c_F+I16*x_c_CC+J16*x_c_DC+K16*x_c_HCC+L16*x_c_PLT+M16*x_c_SVRn+N16*x_c_SVRcc+O16*x_c_LT+P16*x_c_LT1</f>
        <v/>
      </c>
      <c r="AA16">
        <f>C16*x_c_DAA</f>
        <v/>
      </c>
      <c r="AB16">
        <f>C16*x_c_MON</f>
        <v/>
      </c>
      <c r="AC16">
        <f>D16*(1-x_testy)</f>
        <v/>
      </c>
      <c r="AD16">
        <f>E16*(1-x_testy)</f>
        <v/>
      </c>
      <c r="AE16">
        <f>F16*x_NAV</f>
        <v/>
      </c>
      <c r="AF16">
        <f>G16*x_FIX*(1-x_testy)</f>
        <v/>
      </c>
      <c r="AG16">
        <f>x_z_F*T16+(1-x_AGRI)*x_EMP*x_WLOSS*(x_PEN_K74*Q16+x_PEN_C22*R16)</f>
        <v/>
      </c>
      <c r="AH16">
        <f>x_AGRI*x_EMP*x_WLOSS*(x_PEN_K74*Q16+x_PEN_C22*R16)</f>
        <v/>
      </c>
      <c r="AI16">
        <f>x_EMP*x_WAGE*(x_WLOSS*(Q16+R16)+S16)+T16*x_ABS_D*x_WAGE/365</f>
        <v/>
      </c>
      <c r="AJ16">
        <f>AI16*x_R_FUS</f>
        <v/>
      </c>
      <c r="AK16">
        <f>AI16*x_R_NFZ</f>
        <v/>
      </c>
      <c r="AL16">
        <f>AI16*x_R_PIT</f>
        <v/>
      </c>
      <c r="AM16">
        <f>AI16*x_R_FP</f>
        <v/>
      </c>
      <c r="AN16">
        <f>Z16+AA16+AB16+AC16+AE16</f>
        <v/>
      </c>
      <c r="AO16">
        <f>AN16+AD16+AF16+AG16+AH16+AJ16+AK16+AL16+AM16</f>
        <v/>
      </c>
      <c r="AP16">
        <f>AN16+AD16+AF16+AI16</f>
        <v/>
      </c>
      <c r="AQ16">
        <f>AA16+AB16+AC16+AE16</f>
        <v/>
      </c>
      <c r="AR16">
        <f>AQ16+AD16+AF16</f>
        <v/>
      </c>
    </row>
    <row r="17">
      <c r="A17" t="n">
        <v>2040</v>
      </c>
      <c r="B17" t="n">
        <v>14</v>
      </c>
      <c r="C17" t="n">
        <v>4832</v>
      </c>
      <c r="D17" t="n">
        <v>0</v>
      </c>
      <c r="E17" t="n">
        <v>0</v>
      </c>
      <c r="F17" t="n">
        <v>0</v>
      </c>
      <c r="G17" t="n">
        <v>0</v>
      </c>
      <c r="H17" t="n">
        <v>2194.548</v>
      </c>
      <c r="I17" t="n">
        <v>312.198</v>
      </c>
      <c r="J17" t="n">
        <v>1810.065</v>
      </c>
      <c r="K17" t="n">
        <v>3163.701</v>
      </c>
      <c r="L17" t="n">
        <v>1329.281</v>
      </c>
      <c r="M17" t="n">
        <v>57880.422</v>
      </c>
      <c r="N17" t="n">
        <v>6051.287</v>
      </c>
      <c r="O17" t="n">
        <v>102.638</v>
      </c>
      <c r="P17" t="n">
        <v>102.562</v>
      </c>
      <c r="Q17" t="n">
        <v>815.009</v>
      </c>
      <c r="R17" t="n">
        <v>832.827</v>
      </c>
      <c r="S17" t="n">
        <v>3156.515</v>
      </c>
      <c r="T17" t="n">
        <v>2506.746</v>
      </c>
      <c r="U17" t="n">
        <v>132027.251</v>
      </c>
      <c r="V17" t="n">
        <v>344.299</v>
      </c>
      <c r="W17" t="n">
        <v>937.442</v>
      </c>
      <c r="X17" t="n">
        <v>102.638</v>
      </c>
      <c r="Y17" t="n">
        <v>1107.895</v>
      </c>
      <c r="Z17">
        <f>H17*x_c_F+I17*x_c_CC+J17*x_c_DC+K17*x_c_HCC+L17*x_c_PLT+M17*x_c_SVRn+N17*x_c_SVRcc+O17*x_c_LT+P17*x_c_LT1</f>
        <v/>
      </c>
      <c r="AA17">
        <f>C17*x_c_DAA</f>
        <v/>
      </c>
      <c r="AB17">
        <f>C17*x_c_MON</f>
        <v/>
      </c>
      <c r="AC17">
        <f>D17*(1-x_testy)</f>
        <v/>
      </c>
      <c r="AD17">
        <f>E17*(1-x_testy)</f>
        <v/>
      </c>
      <c r="AE17">
        <f>F17*x_NAV</f>
        <v/>
      </c>
      <c r="AF17">
        <f>G17*x_FIX*(1-x_testy)</f>
        <v/>
      </c>
      <c r="AG17">
        <f>x_z_F*T17+(1-x_AGRI)*x_EMP*x_WLOSS*(x_PEN_K74*Q17+x_PEN_C22*R17)</f>
        <v/>
      </c>
      <c r="AH17">
        <f>x_AGRI*x_EMP*x_WLOSS*(x_PEN_K74*Q17+x_PEN_C22*R17)</f>
        <v/>
      </c>
      <c r="AI17">
        <f>x_EMP*x_WAGE*(x_WLOSS*(Q17+R17)+S17)+T17*x_ABS_D*x_WAGE/365</f>
        <v/>
      </c>
      <c r="AJ17">
        <f>AI17*x_R_FUS</f>
        <v/>
      </c>
      <c r="AK17">
        <f>AI17*x_R_NFZ</f>
        <v/>
      </c>
      <c r="AL17">
        <f>AI17*x_R_PIT</f>
        <v/>
      </c>
      <c r="AM17">
        <f>AI17*x_R_FP</f>
        <v/>
      </c>
      <c r="AN17">
        <f>Z17+AA17+AB17+AC17+AE17</f>
        <v/>
      </c>
      <c r="AO17">
        <f>AN17+AD17+AF17+AG17+AH17+AJ17+AK17+AL17+AM17</f>
        <v/>
      </c>
      <c r="AP17">
        <f>AN17+AD17+AF17+AI17</f>
        <v/>
      </c>
      <c r="AQ17">
        <f>AA17+AB17+AC17+AE17</f>
        <v/>
      </c>
      <c r="AR17">
        <f>AQ17+AD17+AF17</f>
        <v/>
      </c>
    </row>
    <row r="18">
      <c r="A18" t="n">
        <v>2041</v>
      </c>
      <c r="B18" t="n">
        <v>15</v>
      </c>
      <c r="C18" t="n">
        <v>4832</v>
      </c>
      <c r="D18" t="n">
        <v>0</v>
      </c>
      <c r="E18" t="n">
        <v>0</v>
      </c>
      <c r="F18" t="n">
        <v>0</v>
      </c>
      <c r="G18" t="n">
        <v>0</v>
      </c>
      <c r="H18" t="n">
        <v>2194.804</v>
      </c>
      <c r="I18" t="n">
        <v>310.22</v>
      </c>
      <c r="J18" t="n">
        <v>1804.238</v>
      </c>
      <c r="K18" t="n">
        <v>3150.983</v>
      </c>
      <c r="L18" t="n">
        <v>1317.084</v>
      </c>
      <c r="M18" t="n">
        <v>60931.084</v>
      </c>
      <c r="N18" t="n">
        <v>6350.092</v>
      </c>
      <c r="O18" t="n">
        <v>102.356</v>
      </c>
      <c r="P18" t="n">
        <v>102.497</v>
      </c>
      <c r="Q18" t="n">
        <v>840.681</v>
      </c>
      <c r="R18" t="n">
        <v>867.347</v>
      </c>
      <c r="S18" t="n">
        <v>3445.148</v>
      </c>
      <c r="T18" t="n">
        <v>2505.024</v>
      </c>
      <c r="U18" t="n">
        <v>133149.843</v>
      </c>
      <c r="V18" t="n">
        <v>338.638</v>
      </c>
      <c r="W18" t="n">
        <v>924.7859999999999</v>
      </c>
      <c r="X18" t="n">
        <v>102.356</v>
      </c>
      <c r="Y18" t="n">
        <v>1104.137</v>
      </c>
      <c r="Z18">
        <f>H18*x_c_F+I18*x_c_CC+J18*x_c_DC+K18*x_c_HCC+L18*x_c_PLT+M18*x_c_SVRn+N18*x_c_SVRcc+O18*x_c_LT+P18*x_c_LT1</f>
        <v/>
      </c>
      <c r="AA18">
        <f>C18*x_c_DAA</f>
        <v/>
      </c>
      <c r="AB18">
        <f>C18*x_c_MON</f>
        <v/>
      </c>
      <c r="AC18">
        <f>D18*(1-x_testy)</f>
        <v/>
      </c>
      <c r="AD18">
        <f>E18*(1-x_testy)</f>
        <v/>
      </c>
      <c r="AE18">
        <f>F18*x_NAV</f>
        <v/>
      </c>
      <c r="AF18">
        <f>G18*x_FIX*(1-x_testy)</f>
        <v/>
      </c>
      <c r="AG18">
        <f>x_z_F*T18+(1-x_AGRI)*x_EMP*x_WLOSS*(x_PEN_K74*Q18+x_PEN_C22*R18)</f>
        <v/>
      </c>
      <c r="AH18">
        <f>x_AGRI*x_EMP*x_WLOSS*(x_PEN_K74*Q18+x_PEN_C22*R18)</f>
        <v/>
      </c>
      <c r="AI18">
        <f>x_EMP*x_WAGE*(x_WLOSS*(Q18+R18)+S18)+T18*x_ABS_D*x_WAGE/365</f>
        <v/>
      </c>
      <c r="AJ18">
        <f>AI18*x_R_FUS</f>
        <v/>
      </c>
      <c r="AK18">
        <f>AI18*x_R_NFZ</f>
        <v/>
      </c>
      <c r="AL18">
        <f>AI18*x_R_PIT</f>
        <v/>
      </c>
      <c r="AM18">
        <f>AI18*x_R_FP</f>
        <v/>
      </c>
      <c r="AN18">
        <f>Z18+AA18+AB18+AC18+AE18</f>
        <v/>
      </c>
      <c r="AO18">
        <f>AN18+AD18+AF18+AG18+AH18+AJ18+AK18+AL18+AM18</f>
        <v/>
      </c>
      <c r="AP18">
        <f>AN18+AD18+AF18+AI18</f>
        <v/>
      </c>
      <c r="AQ18">
        <f>AA18+AB18+AC18+AE18</f>
        <v/>
      </c>
      <c r="AR18">
        <f>AQ18+AD18+AF18</f>
        <v/>
      </c>
    </row>
    <row r="19">
      <c r="A19" t="n">
        <v>2042</v>
      </c>
      <c r="B19" t="n">
        <v>16</v>
      </c>
      <c r="C19" t="n">
        <v>4832</v>
      </c>
      <c r="D19" t="n">
        <v>0</v>
      </c>
      <c r="E19" t="n">
        <v>0</v>
      </c>
      <c r="F19" t="n">
        <v>0</v>
      </c>
      <c r="G19" t="n">
        <v>0</v>
      </c>
      <c r="H19" t="n">
        <v>2196.253</v>
      </c>
      <c r="I19" t="n">
        <v>307.067</v>
      </c>
      <c r="J19" t="n">
        <v>1791.193</v>
      </c>
      <c r="K19" t="n">
        <v>3124.807</v>
      </c>
      <c r="L19" t="n">
        <v>1303.259</v>
      </c>
      <c r="M19" t="n">
        <v>63898.626</v>
      </c>
      <c r="N19" t="n">
        <v>6619.939</v>
      </c>
      <c r="O19" t="n">
        <v>101.637</v>
      </c>
      <c r="P19" t="n">
        <v>101.996</v>
      </c>
      <c r="Q19" t="n">
        <v>867.485</v>
      </c>
      <c r="R19" t="n">
        <v>902.921</v>
      </c>
      <c r="S19" t="n">
        <v>3744.283</v>
      </c>
      <c r="T19" t="n">
        <v>2503.32</v>
      </c>
      <c r="U19" t="n">
        <v>134248.751</v>
      </c>
      <c r="V19" t="n">
        <v>331.898</v>
      </c>
      <c r="W19" t="n">
        <v>909.092</v>
      </c>
      <c r="X19" t="n">
        <v>101.637</v>
      </c>
      <c r="Y19" t="n">
        <v>1095.663</v>
      </c>
      <c r="Z19">
        <f>H19*x_c_F+I19*x_c_CC+J19*x_c_DC+K19*x_c_HCC+L19*x_c_PLT+M19*x_c_SVRn+N19*x_c_SVRcc+O19*x_c_LT+P19*x_c_LT1</f>
        <v/>
      </c>
      <c r="AA19">
        <f>C19*x_c_DAA</f>
        <v/>
      </c>
      <c r="AB19">
        <f>C19*x_c_MON</f>
        <v/>
      </c>
      <c r="AC19">
        <f>D19*(1-x_testy)</f>
        <v/>
      </c>
      <c r="AD19">
        <f>E19*(1-x_testy)</f>
        <v/>
      </c>
      <c r="AE19">
        <f>F19*x_NAV</f>
        <v/>
      </c>
      <c r="AF19">
        <f>G19*x_FIX*(1-x_testy)</f>
        <v/>
      </c>
      <c r="AG19">
        <f>x_z_F*T19+(1-x_AGRI)*x_EMP*x_WLOSS*(x_PEN_K74*Q19+x_PEN_C22*R19)</f>
        <v/>
      </c>
      <c r="AH19">
        <f>x_AGRI*x_EMP*x_WLOSS*(x_PEN_K74*Q19+x_PEN_C22*R19)</f>
        <v/>
      </c>
      <c r="AI19">
        <f>x_EMP*x_WAGE*(x_WLOSS*(Q19+R19)+S19)+T19*x_ABS_D*x_WAGE/365</f>
        <v/>
      </c>
      <c r="AJ19">
        <f>AI19*x_R_FUS</f>
        <v/>
      </c>
      <c r="AK19">
        <f>AI19*x_R_NFZ</f>
        <v/>
      </c>
      <c r="AL19">
        <f>AI19*x_R_PIT</f>
        <v/>
      </c>
      <c r="AM19">
        <f>AI19*x_R_FP</f>
        <v/>
      </c>
      <c r="AN19">
        <f>Z19+AA19+AB19+AC19+AE19</f>
        <v/>
      </c>
      <c r="AO19">
        <f>AN19+AD19+AF19+AG19+AH19+AJ19+AK19+AL19+AM19</f>
        <v/>
      </c>
      <c r="AP19">
        <f>AN19+AD19+AF19+AI19</f>
        <v/>
      </c>
      <c r="AQ19">
        <f>AA19+AB19+AC19+AE19</f>
        <v/>
      </c>
      <c r="AR19">
        <f>AQ19+AD19+AF19</f>
        <v/>
      </c>
    </row>
    <row r="20">
      <c r="A20" t="n">
        <v>2043</v>
      </c>
      <c r="B20" t="n">
        <v>17</v>
      </c>
      <c r="C20" t="n">
        <v>4832</v>
      </c>
      <c r="D20" t="n">
        <v>0</v>
      </c>
      <c r="E20" t="n">
        <v>0</v>
      </c>
      <c r="F20" t="n">
        <v>0</v>
      </c>
      <c r="G20" t="n">
        <v>0</v>
      </c>
      <c r="H20" t="n">
        <v>2198.703</v>
      </c>
      <c r="I20" t="n">
        <v>302.953</v>
      </c>
      <c r="J20" t="n">
        <v>1772.002</v>
      </c>
      <c r="K20" t="n">
        <v>3087.533</v>
      </c>
      <c r="L20" t="n">
        <v>1288.227</v>
      </c>
      <c r="M20" t="n">
        <v>66802.792</v>
      </c>
      <c r="N20" t="n">
        <v>6861.932</v>
      </c>
      <c r="O20" t="n">
        <v>100.599</v>
      </c>
      <c r="P20" t="n">
        <v>101.118</v>
      </c>
      <c r="Q20" t="n">
        <v>895.452</v>
      </c>
      <c r="R20" t="n">
        <v>939.671</v>
      </c>
      <c r="S20" t="n">
        <v>4054.043</v>
      </c>
      <c r="T20" t="n">
        <v>2501.656</v>
      </c>
      <c r="U20" t="n">
        <v>135352.884</v>
      </c>
      <c r="V20" t="n">
        <v>324.503</v>
      </c>
      <c r="W20" t="n">
        <v>891.495</v>
      </c>
      <c r="X20" t="n">
        <v>100.599</v>
      </c>
      <c r="Y20" t="n">
        <v>1083.79</v>
      </c>
      <c r="Z20">
        <f>H20*x_c_F+I20*x_c_CC+J20*x_c_DC+K20*x_c_HCC+L20*x_c_PLT+M20*x_c_SVRn+N20*x_c_SVRcc+O20*x_c_LT+P20*x_c_LT1</f>
        <v/>
      </c>
      <c r="AA20">
        <f>C20*x_c_DAA</f>
        <v/>
      </c>
      <c r="AB20">
        <f>C20*x_c_MON</f>
        <v/>
      </c>
      <c r="AC20">
        <f>D20*(1-x_testy)</f>
        <v/>
      </c>
      <c r="AD20">
        <f>E20*(1-x_testy)</f>
        <v/>
      </c>
      <c r="AE20">
        <f>F20*x_NAV</f>
        <v/>
      </c>
      <c r="AF20">
        <f>G20*x_FIX*(1-x_testy)</f>
        <v/>
      </c>
      <c r="AG20">
        <f>x_z_F*T20+(1-x_AGRI)*x_EMP*x_WLOSS*(x_PEN_K74*Q20+x_PEN_C22*R20)</f>
        <v/>
      </c>
      <c r="AH20">
        <f>x_AGRI*x_EMP*x_WLOSS*(x_PEN_K74*Q20+x_PEN_C22*R20)</f>
        <v/>
      </c>
      <c r="AI20">
        <f>x_EMP*x_WAGE*(x_WLOSS*(Q20+R20)+S20)+T20*x_ABS_D*x_WAGE/365</f>
        <v/>
      </c>
      <c r="AJ20">
        <f>AI20*x_R_FUS</f>
        <v/>
      </c>
      <c r="AK20">
        <f>AI20*x_R_NFZ</f>
        <v/>
      </c>
      <c r="AL20">
        <f>AI20*x_R_PIT</f>
        <v/>
      </c>
      <c r="AM20">
        <f>AI20*x_R_FP</f>
        <v/>
      </c>
      <c r="AN20">
        <f>Z20+AA20+AB20+AC20+AE20</f>
        <v/>
      </c>
      <c r="AO20">
        <f>AN20+AD20+AF20+AG20+AH20+AJ20+AK20+AL20+AM20</f>
        <v/>
      </c>
      <c r="AP20">
        <f>AN20+AD20+AF20+AI20</f>
        <v/>
      </c>
      <c r="AQ20">
        <f>AA20+AB20+AC20+AE20</f>
        <v/>
      </c>
      <c r="AR20">
        <f>AQ20+AD20+AF20</f>
        <v/>
      </c>
    </row>
    <row r="21">
      <c r="A21" t="n">
        <v>2044</v>
      </c>
      <c r="B21" t="n">
        <v>18</v>
      </c>
      <c r="C21" t="n">
        <v>4832</v>
      </c>
      <c r="D21" t="n">
        <v>0</v>
      </c>
      <c r="E21" t="n">
        <v>0</v>
      </c>
      <c r="F21" t="n">
        <v>0</v>
      </c>
      <c r="G21" t="n">
        <v>0</v>
      </c>
      <c r="H21" t="n">
        <v>2201.946</v>
      </c>
      <c r="I21" t="n">
        <v>298.106</v>
      </c>
      <c r="J21" t="n">
        <v>1747.886</v>
      </c>
      <c r="K21" t="n">
        <v>3041.704</v>
      </c>
      <c r="L21" t="n">
        <v>1272.392</v>
      </c>
      <c r="M21" t="n">
        <v>69662.644</v>
      </c>
      <c r="N21" t="n">
        <v>7077.819</v>
      </c>
      <c r="O21" t="n">
        <v>99.26000000000001</v>
      </c>
      <c r="P21" t="n">
        <v>99.93000000000001</v>
      </c>
      <c r="Q21" t="n">
        <v>924.619</v>
      </c>
      <c r="R21" t="n">
        <v>977.692</v>
      </c>
      <c r="S21" t="n">
        <v>4374.628</v>
      </c>
      <c r="T21" t="n">
        <v>2500.052</v>
      </c>
      <c r="U21" t="n">
        <v>136488.108</v>
      </c>
      <c r="V21" t="n">
        <v>316.66</v>
      </c>
      <c r="W21" t="n">
        <v>872.508</v>
      </c>
      <c r="X21" t="n">
        <v>99.26000000000001</v>
      </c>
      <c r="Y21" t="n">
        <v>1068.789</v>
      </c>
      <c r="Z21">
        <f>H21*x_c_F+I21*x_c_CC+J21*x_c_DC+K21*x_c_HCC+L21*x_c_PLT+M21*x_c_SVRn+N21*x_c_SVRcc+O21*x_c_LT+P21*x_c_LT1</f>
        <v/>
      </c>
      <c r="AA21">
        <f>C21*x_c_DAA</f>
        <v/>
      </c>
      <c r="AB21">
        <f>C21*x_c_MON</f>
        <v/>
      </c>
      <c r="AC21">
        <f>D21*(1-x_testy)</f>
        <v/>
      </c>
      <c r="AD21">
        <f>E21*(1-x_testy)</f>
        <v/>
      </c>
      <c r="AE21">
        <f>F21*x_NAV</f>
        <v/>
      </c>
      <c r="AF21">
        <f>G21*x_FIX*(1-x_testy)</f>
        <v/>
      </c>
      <c r="AG21">
        <f>x_z_F*T21+(1-x_AGRI)*x_EMP*x_WLOSS*(x_PEN_K74*Q21+x_PEN_C22*R21)</f>
        <v/>
      </c>
      <c r="AH21">
        <f>x_AGRI*x_EMP*x_WLOSS*(x_PEN_K74*Q21+x_PEN_C22*R21)</f>
        <v/>
      </c>
      <c r="AI21">
        <f>x_EMP*x_WAGE*(x_WLOSS*(Q21+R21)+S21)+T21*x_ABS_D*x_WAGE/365</f>
        <v/>
      </c>
      <c r="AJ21">
        <f>AI21*x_R_FUS</f>
        <v/>
      </c>
      <c r="AK21">
        <f>AI21*x_R_NFZ</f>
        <v/>
      </c>
      <c r="AL21">
        <f>AI21*x_R_PIT</f>
        <v/>
      </c>
      <c r="AM21">
        <f>AI21*x_R_FP</f>
        <v/>
      </c>
      <c r="AN21">
        <f>Z21+AA21+AB21+AC21+AE21</f>
        <v/>
      </c>
      <c r="AO21">
        <f>AN21+AD21+AF21+AG21+AH21+AJ21+AK21+AL21+AM21</f>
        <v/>
      </c>
      <c r="AP21">
        <f>AN21+AD21+AF21+AI21</f>
        <v/>
      </c>
      <c r="AQ21">
        <f>AA21+AB21+AC21+AE21</f>
        <v/>
      </c>
      <c r="AR21">
        <f>AQ21+AD21+AF21</f>
        <v/>
      </c>
    </row>
    <row r="22">
      <c r="A22" t="n">
        <v>2045</v>
      </c>
      <c r="B22" t="n">
        <v>19</v>
      </c>
      <c r="C22" t="n">
        <v>4832</v>
      </c>
      <c r="D22" t="n">
        <v>0</v>
      </c>
      <c r="E22" t="n">
        <v>0</v>
      </c>
      <c r="F22" t="n">
        <v>0</v>
      </c>
      <c r="G22" t="n">
        <v>0</v>
      </c>
      <c r="H22" t="n">
        <v>2205.789</v>
      </c>
      <c r="I22" t="n">
        <v>292.732</v>
      </c>
      <c r="J22" t="n">
        <v>1719.666</v>
      </c>
      <c r="K22" t="n">
        <v>2989.194</v>
      </c>
      <c r="L22" t="n">
        <v>1255.491</v>
      </c>
      <c r="M22" t="n">
        <v>72481.77</v>
      </c>
      <c r="N22" t="n">
        <v>7267.968</v>
      </c>
      <c r="O22" t="n">
        <v>97.694</v>
      </c>
      <c r="P22" t="n">
        <v>98.477</v>
      </c>
      <c r="Q22" t="n">
        <v>955</v>
      </c>
      <c r="R22" t="n">
        <v>1017.024</v>
      </c>
      <c r="S22" t="n">
        <v>4706.216</v>
      </c>
      <c r="T22" t="n">
        <v>2498.521</v>
      </c>
      <c r="U22" t="n">
        <v>137659.425</v>
      </c>
      <c r="V22" t="n">
        <v>308.636</v>
      </c>
      <c r="W22" t="n">
        <v>852.841</v>
      </c>
      <c r="X22" t="n">
        <v>97.694</v>
      </c>
      <c r="Y22" t="n">
        <v>1051.481</v>
      </c>
      <c r="Z22">
        <f>H22*x_c_F+I22*x_c_CC+J22*x_c_DC+K22*x_c_HCC+L22*x_c_PLT+M22*x_c_SVRn+N22*x_c_SVRcc+O22*x_c_LT+P22*x_c_LT1</f>
        <v/>
      </c>
      <c r="AA22">
        <f>C22*x_c_DAA</f>
        <v/>
      </c>
      <c r="AB22">
        <f>C22*x_c_MON</f>
        <v/>
      </c>
      <c r="AC22">
        <f>D22*(1-x_testy)</f>
        <v/>
      </c>
      <c r="AD22">
        <f>E22*(1-x_testy)</f>
        <v/>
      </c>
      <c r="AE22">
        <f>F22*x_NAV</f>
        <v/>
      </c>
      <c r="AF22">
        <f>G22*x_FIX*(1-x_testy)</f>
        <v/>
      </c>
      <c r="AG22">
        <f>x_z_F*T22+(1-x_AGRI)*x_EMP*x_WLOSS*(x_PEN_K74*Q22+x_PEN_C22*R22)</f>
        <v/>
      </c>
      <c r="AH22">
        <f>x_AGRI*x_EMP*x_WLOSS*(x_PEN_K74*Q22+x_PEN_C22*R22)</f>
        <v/>
      </c>
      <c r="AI22">
        <f>x_EMP*x_WAGE*(x_WLOSS*(Q22+R22)+S22)+T22*x_ABS_D*x_WAGE/365</f>
        <v/>
      </c>
      <c r="AJ22">
        <f>AI22*x_R_FUS</f>
        <v/>
      </c>
      <c r="AK22">
        <f>AI22*x_R_NFZ</f>
        <v/>
      </c>
      <c r="AL22">
        <f>AI22*x_R_PIT</f>
        <v/>
      </c>
      <c r="AM22">
        <f>AI22*x_R_FP</f>
        <v/>
      </c>
      <c r="AN22">
        <f>Z22+AA22+AB22+AC22+AE22</f>
        <v/>
      </c>
      <c r="AO22">
        <f>AN22+AD22+AF22+AG22+AH22+AJ22+AK22+AL22+AM22</f>
        <v/>
      </c>
      <c r="AP22">
        <f>AN22+AD22+AF22+AI22</f>
        <v/>
      </c>
      <c r="AQ22">
        <f>AA22+AB22+AC22+AE22</f>
        <v/>
      </c>
      <c r="AR22">
        <f>AQ22+AD22+AF22</f>
        <v/>
      </c>
    </row>
    <row r="23">
      <c r="A23" t="n">
        <v>2046</v>
      </c>
      <c r="B23" t="n">
        <v>20</v>
      </c>
      <c r="C23" t="n">
        <v>4832</v>
      </c>
      <c r="D23" t="n">
        <v>0</v>
      </c>
      <c r="E23" t="n">
        <v>0</v>
      </c>
      <c r="F23" t="n">
        <v>0</v>
      </c>
      <c r="G23" t="n">
        <v>0</v>
      </c>
      <c r="H23" t="n">
        <v>2210.035</v>
      </c>
      <c r="I23" t="n">
        <v>287.038</v>
      </c>
      <c r="J23" t="n">
        <v>1688.505</v>
      </c>
      <c r="K23" t="n">
        <v>2932.273</v>
      </c>
      <c r="L23" t="n">
        <v>1237.777</v>
      </c>
      <c r="M23" t="n">
        <v>75273.54700000001</v>
      </c>
      <c r="N23" t="n">
        <v>7434.644</v>
      </c>
      <c r="O23" t="n">
        <v>95.96299999999999</v>
      </c>
      <c r="P23" t="n">
        <v>96.82899999999999</v>
      </c>
      <c r="Q23" t="n">
        <v>986.582</v>
      </c>
      <c r="R23" t="n">
        <v>1057.643</v>
      </c>
      <c r="S23" t="n">
        <v>5048.909</v>
      </c>
      <c r="T23" t="n">
        <v>2497.073</v>
      </c>
      <c r="U23" t="n">
        <v>138881.215</v>
      </c>
      <c r="V23" t="n">
        <v>300.638</v>
      </c>
      <c r="W23" t="n">
        <v>833.051</v>
      </c>
      <c r="X23" t="n">
        <v>95.96299999999999</v>
      </c>
      <c r="Y23" t="n">
        <v>1032.565</v>
      </c>
      <c r="Z23">
        <f>H23*x_c_F+I23*x_c_CC+J23*x_c_DC+K23*x_c_HCC+L23*x_c_PLT+M23*x_c_SVRn+N23*x_c_SVRcc+O23*x_c_LT+P23*x_c_LT1</f>
        <v/>
      </c>
      <c r="AA23">
        <f>C23*x_c_DAA</f>
        <v/>
      </c>
      <c r="AB23">
        <f>C23*x_c_MON</f>
        <v/>
      </c>
      <c r="AC23">
        <f>D23*(1-x_testy)</f>
        <v/>
      </c>
      <c r="AD23">
        <f>E23*(1-x_testy)</f>
        <v/>
      </c>
      <c r="AE23">
        <f>F23*x_NAV</f>
        <v/>
      </c>
      <c r="AF23">
        <f>G23*x_FIX*(1-x_testy)</f>
        <v/>
      </c>
      <c r="AG23">
        <f>x_z_F*T23+(1-x_AGRI)*x_EMP*x_WLOSS*(x_PEN_K74*Q23+x_PEN_C22*R23)</f>
        <v/>
      </c>
      <c r="AH23">
        <f>x_AGRI*x_EMP*x_WLOSS*(x_PEN_K74*Q23+x_PEN_C22*R23)</f>
        <v/>
      </c>
      <c r="AI23">
        <f>x_EMP*x_WAGE*(x_WLOSS*(Q23+R23)+S23)+T23*x_ABS_D*x_WAGE/365</f>
        <v/>
      </c>
      <c r="AJ23">
        <f>AI23*x_R_FUS</f>
        <v/>
      </c>
      <c r="AK23">
        <f>AI23*x_R_NFZ</f>
        <v/>
      </c>
      <c r="AL23">
        <f>AI23*x_R_PIT</f>
        <v/>
      </c>
      <c r="AM23">
        <f>AI23*x_R_FP</f>
        <v/>
      </c>
      <c r="AN23">
        <f>Z23+AA23+AB23+AC23+AE23</f>
        <v/>
      </c>
      <c r="AO23">
        <f>AN23+AD23+AF23+AG23+AH23+AJ23+AK23+AL23+AM23</f>
        <v/>
      </c>
      <c r="AP23">
        <f>AN23+AD23+AF23+AI23</f>
        <v/>
      </c>
      <c r="AQ23">
        <f>AA23+AB23+AC23+AE23</f>
        <v/>
      </c>
      <c r="AR23">
        <f>AQ23+AD23+AF23</f>
        <v/>
      </c>
    </row>
    <row r="24">
      <c r="A24" t="n">
        <v>2047</v>
      </c>
      <c r="B24" t="n">
        <v>21</v>
      </c>
      <c r="C24" t="n">
        <v>4832</v>
      </c>
      <c r="D24" t="n">
        <v>0</v>
      </c>
      <c r="E24" t="n">
        <v>0</v>
      </c>
      <c r="F24" t="n">
        <v>0</v>
      </c>
      <c r="G24" t="n">
        <v>0</v>
      </c>
      <c r="H24" t="n">
        <v>2214.51</v>
      </c>
      <c r="I24" t="n">
        <v>281.206</v>
      </c>
      <c r="J24" t="n">
        <v>1655.437</v>
      </c>
      <c r="K24" t="n">
        <v>2872.896</v>
      </c>
      <c r="L24" t="n">
        <v>1219.479</v>
      </c>
      <c r="M24" t="n">
        <v>78048.78599999999</v>
      </c>
      <c r="N24" t="n">
        <v>7580.185</v>
      </c>
      <c r="O24" t="n">
        <v>94.127</v>
      </c>
      <c r="P24" t="n">
        <v>95.045</v>
      </c>
      <c r="Q24" t="n">
        <v>1019.322</v>
      </c>
      <c r="R24" t="n">
        <v>1099.47</v>
      </c>
      <c r="S24" t="n">
        <v>5402.758</v>
      </c>
      <c r="T24" t="n">
        <v>2495.716</v>
      </c>
      <c r="U24" t="n">
        <v>140162.249</v>
      </c>
      <c r="V24" t="n">
        <v>292.836</v>
      </c>
      <c r="W24" t="n">
        <v>813.5940000000001</v>
      </c>
      <c r="X24" t="n">
        <v>94.127</v>
      </c>
      <c r="Y24" t="n">
        <v>1012.693</v>
      </c>
      <c r="Z24">
        <f>H24*x_c_F+I24*x_c_CC+J24*x_c_DC+K24*x_c_HCC+L24*x_c_PLT+M24*x_c_SVRn+N24*x_c_SVRcc+O24*x_c_LT+P24*x_c_LT1</f>
        <v/>
      </c>
      <c r="AA24">
        <f>C24*x_c_DAA</f>
        <v/>
      </c>
      <c r="AB24">
        <f>C24*x_c_MON</f>
        <v/>
      </c>
      <c r="AC24">
        <f>D24*(1-x_testy)</f>
        <v/>
      </c>
      <c r="AD24">
        <f>E24*(1-x_testy)</f>
        <v/>
      </c>
      <c r="AE24">
        <f>F24*x_NAV</f>
        <v/>
      </c>
      <c r="AF24">
        <f>G24*x_FIX*(1-x_testy)</f>
        <v/>
      </c>
      <c r="AG24">
        <f>x_z_F*T24+(1-x_AGRI)*x_EMP*x_WLOSS*(x_PEN_K74*Q24+x_PEN_C22*R24)</f>
        <v/>
      </c>
      <c r="AH24">
        <f>x_AGRI*x_EMP*x_WLOSS*(x_PEN_K74*Q24+x_PEN_C22*R24)</f>
        <v/>
      </c>
      <c r="AI24">
        <f>x_EMP*x_WAGE*(x_WLOSS*(Q24+R24)+S24)+T24*x_ABS_D*x_WAGE/365</f>
        <v/>
      </c>
      <c r="AJ24">
        <f>AI24*x_R_FUS</f>
        <v/>
      </c>
      <c r="AK24">
        <f>AI24*x_R_NFZ</f>
        <v/>
      </c>
      <c r="AL24">
        <f>AI24*x_R_PIT</f>
        <v/>
      </c>
      <c r="AM24">
        <f>AI24*x_R_FP</f>
        <v/>
      </c>
      <c r="AN24">
        <f>Z24+AA24+AB24+AC24+AE24</f>
        <v/>
      </c>
      <c r="AO24">
        <f>AN24+AD24+AF24+AG24+AH24+AJ24+AK24+AL24+AM24</f>
        <v/>
      </c>
      <c r="AP24">
        <f>AN24+AD24+AF24+AI24</f>
        <v/>
      </c>
      <c r="AQ24">
        <f>AA24+AB24+AC24+AE24</f>
        <v/>
      </c>
      <c r="AR24">
        <f>AQ24+AD24+AF24</f>
        <v/>
      </c>
    </row>
    <row r="25">
      <c r="A25" t="n">
        <v>2048</v>
      </c>
      <c r="B25" t="n">
        <v>22</v>
      </c>
      <c r="C25" t="n">
        <v>4832</v>
      </c>
      <c r="D25" t="n">
        <v>0</v>
      </c>
      <c r="E25" t="n">
        <v>0</v>
      </c>
      <c r="F25" t="n">
        <v>0</v>
      </c>
      <c r="G25" t="n">
        <v>0</v>
      </c>
      <c r="H25" t="n">
        <v>2219.061</v>
      </c>
      <c r="I25" t="n">
        <v>275.39</v>
      </c>
      <c r="J25" t="n">
        <v>1621.388</v>
      </c>
      <c r="K25" t="n">
        <v>2812.739</v>
      </c>
      <c r="L25" t="n">
        <v>1200.82</v>
      </c>
      <c r="M25" t="n">
        <v>80816.643</v>
      </c>
      <c r="N25" t="n">
        <v>7707.05</v>
      </c>
      <c r="O25" t="n">
        <v>92.23699999999999</v>
      </c>
      <c r="P25" t="n">
        <v>93.182</v>
      </c>
      <c r="Q25" t="n">
        <v>1053.155</v>
      </c>
      <c r="R25" t="n">
        <v>1142.372</v>
      </c>
      <c r="S25" t="n">
        <v>5767.755</v>
      </c>
      <c r="T25" t="n">
        <v>2494.452</v>
      </c>
      <c r="U25" t="n">
        <v>141508.077</v>
      </c>
      <c r="V25" t="n">
        <v>285.353</v>
      </c>
      <c r="W25" t="n">
        <v>794.816</v>
      </c>
      <c r="X25" t="n">
        <v>92.23699999999999</v>
      </c>
      <c r="Y25" t="n">
        <v>992.417</v>
      </c>
      <c r="Z25">
        <f>H25*x_c_F+I25*x_c_CC+J25*x_c_DC+K25*x_c_HCC+L25*x_c_PLT+M25*x_c_SVRn+N25*x_c_SVRcc+O25*x_c_LT+P25*x_c_LT1</f>
        <v/>
      </c>
      <c r="AA25">
        <f>C25*x_c_DAA</f>
        <v/>
      </c>
      <c r="AB25">
        <f>C25*x_c_MON</f>
        <v/>
      </c>
      <c r="AC25">
        <f>D25*(1-x_testy)</f>
        <v/>
      </c>
      <c r="AD25">
        <f>E25*(1-x_testy)</f>
        <v/>
      </c>
      <c r="AE25">
        <f>F25*x_NAV</f>
        <v/>
      </c>
      <c r="AF25">
        <f>G25*x_FIX*(1-x_testy)</f>
        <v/>
      </c>
      <c r="AG25">
        <f>x_z_F*T25+(1-x_AGRI)*x_EMP*x_WLOSS*(x_PEN_K74*Q25+x_PEN_C22*R25)</f>
        <v/>
      </c>
      <c r="AH25">
        <f>x_AGRI*x_EMP*x_WLOSS*(x_PEN_K74*Q25+x_PEN_C22*R25)</f>
        <v/>
      </c>
      <c r="AI25">
        <f>x_EMP*x_WAGE*(x_WLOSS*(Q25+R25)+S25)+T25*x_ABS_D*x_WAGE/365</f>
        <v/>
      </c>
      <c r="AJ25">
        <f>AI25*x_R_FUS</f>
        <v/>
      </c>
      <c r="AK25">
        <f>AI25*x_R_NFZ</f>
        <v/>
      </c>
      <c r="AL25">
        <f>AI25*x_R_PIT</f>
        <v/>
      </c>
      <c r="AM25">
        <f>AI25*x_R_FP</f>
        <v/>
      </c>
      <c r="AN25">
        <f>Z25+AA25+AB25+AC25+AE25</f>
        <v/>
      </c>
      <c r="AO25">
        <f>AN25+AD25+AF25+AG25+AH25+AJ25+AK25+AL25+AM25</f>
        <v/>
      </c>
      <c r="AP25">
        <f>AN25+AD25+AF25+AI25</f>
        <v/>
      </c>
      <c r="AQ25">
        <f>AA25+AB25+AC25+AE25</f>
        <v/>
      </c>
      <c r="AR25">
        <f>AQ25+AD25+AF25</f>
        <v/>
      </c>
    </row>
    <row r="26">
      <c r="A26" t="n">
        <v>2049</v>
      </c>
      <c r="B26" t="n">
        <v>23</v>
      </c>
      <c r="C26" t="n">
        <v>4832</v>
      </c>
      <c r="D26" t="n">
        <v>0</v>
      </c>
      <c r="E26" t="n">
        <v>0</v>
      </c>
      <c r="F26" t="n">
        <v>0</v>
      </c>
      <c r="G26" t="n">
        <v>0</v>
      </c>
      <c r="H26" t="n">
        <v>2223.573</v>
      </c>
      <c r="I26" t="n">
        <v>269.706</v>
      </c>
      <c r="J26" t="n">
        <v>1587.086</v>
      </c>
      <c r="K26" t="n">
        <v>2753.071</v>
      </c>
      <c r="L26" t="n">
        <v>1181.959</v>
      </c>
      <c r="M26" t="n">
        <v>83582.83900000001</v>
      </c>
      <c r="N26" t="n">
        <v>7817.357</v>
      </c>
      <c r="O26" t="n">
        <v>90.33199999999999</v>
      </c>
      <c r="P26" t="n">
        <v>91.285</v>
      </c>
      <c r="Q26" t="n">
        <v>1087.994</v>
      </c>
      <c r="R26" t="n">
        <v>1186.179</v>
      </c>
      <c r="S26" t="n">
        <v>6143.834</v>
      </c>
      <c r="T26" t="n">
        <v>2493.279</v>
      </c>
      <c r="U26" t="n">
        <v>142918.888</v>
      </c>
      <c r="V26" t="n">
        <v>278.26</v>
      </c>
      <c r="W26" t="n">
        <v>776.918</v>
      </c>
      <c r="X26" t="n">
        <v>90.33199999999999</v>
      </c>
      <c r="Y26" t="n">
        <v>972.13</v>
      </c>
      <c r="Z26">
        <f>H26*x_c_F+I26*x_c_CC+J26*x_c_DC+K26*x_c_HCC+L26*x_c_PLT+M26*x_c_SVRn+N26*x_c_SVRcc+O26*x_c_LT+P26*x_c_LT1</f>
        <v/>
      </c>
      <c r="AA26">
        <f>C26*x_c_DAA</f>
        <v/>
      </c>
      <c r="AB26">
        <f>C26*x_c_MON</f>
        <v/>
      </c>
      <c r="AC26">
        <f>D26*(1-x_testy)</f>
        <v/>
      </c>
      <c r="AD26">
        <f>E26*(1-x_testy)</f>
        <v/>
      </c>
      <c r="AE26">
        <f>F26*x_NAV</f>
        <v/>
      </c>
      <c r="AF26">
        <f>G26*x_FIX*(1-x_testy)</f>
        <v/>
      </c>
      <c r="AG26">
        <f>x_z_F*T26+(1-x_AGRI)*x_EMP*x_WLOSS*(x_PEN_K74*Q26+x_PEN_C22*R26)</f>
        <v/>
      </c>
      <c r="AH26">
        <f>x_AGRI*x_EMP*x_WLOSS*(x_PEN_K74*Q26+x_PEN_C22*R26)</f>
        <v/>
      </c>
      <c r="AI26">
        <f>x_EMP*x_WAGE*(x_WLOSS*(Q26+R26)+S26)+T26*x_ABS_D*x_WAGE/365</f>
        <v/>
      </c>
      <c r="AJ26">
        <f>AI26*x_R_FUS</f>
        <v/>
      </c>
      <c r="AK26">
        <f>AI26*x_R_NFZ</f>
        <v/>
      </c>
      <c r="AL26">
        <f>AI26*x_R_PIT</f>
        <v/>
      </c>
      <c r="AM26">
        <f>AI26*x_R_FP</f>
        <v/>
      </c>
      <c r="AN26">
        <f>Z26+AA26+AB26+AC26+AE26</f>
        <v/>
      </c>
      <c r="AO26">
        <f>AN26+AD26+AF26+AG26+AH26+AJ26+AK26+AL26+AM26</f>
        <v/>
      </c>
      <c r="AP26">
        <f>AN26+AD26+AF26+AI26</f>
        <v/>
      </c>
      <c r="AQ26">
        <f>AA26+AB26+AC26+AE26</f>
        <v/>
      </c>
      <c r="AR26">
        <f>AQ26+AD26+AF26</f>
        <v/>
      </c>
    </row>
    <row r="27">
      <c r="A27" t="n">
        <v>2050</v>
      </c>
      <c r="B27" t="n">
        <v>24</v>
      </c>
      <c r="C27" t="n">
        <v>4832</v>
      </c>
      <c r="D27" t="n">
        <v>0</v>
      </c>
      <c r="E27" t="n">
        <v>0</v>
      </c>
      <c r="F27" t="n">
        <v>0</v>
      </c>
      <c r="G27" t="n">
        <v>0</v>
      </c>
      <c r="H27" t="n">
        <v>2227.96</v>
      </c>
      <c r="I27" t="n">
        <v>264.234</v>
      </c>
      <c r="J27" t="n">
        <v>1553.08</v>
      </c>
      <c r="K27" t="n">
        <v>2694.8</v>
      </c>
      <c r="L27" t="n">
        <v>1163.004</v>
      </c>
      <c r="M27" t="n">
        <v>86350.257</v>
      </c>
      <c r="N27" t="n">
        <v>7912.892</v>
      </c>
      <c r="O27" t="n">
        <v>88.443</v>
      </c>
      <c r="P27" t="n">
        <v>89.38800000000001</v>
      </c>
      <c r="Q27" t="n">
        <v>1123.708</v>
      </c>
      <c r="R27" t="n">
        <v>1230.664</v>
      </c>
      <c r="S27" t="n">
        <v>6530.721</v>
      </c>
      <c r="T27" t="n">
        <v>2492.193</v>
      </c>
      <c r="U27" t="n">
        <v>144391.05</v>
      </c>
      <c r="V27" t="n">
        <v>271.597</v>
      </c>
      <c r="W27" t="n">
        <v>760.021</v>
      </c>
      <c r="X27" t="n">
        <v>88.443</v>
      </c>
      <c r="Y27" t="n">
        <v>952.153</v>
      </c>
      <c r="Z27">
        <f>H27*x_c_F+I27*x_c_CC+J27*x_c_DC+K27*x_c_HCC+L27*x_c_PLT+M27*x_c_SVRn+N27*x_c_SVRcc+O27*x_c_LT+P27*x_c_LT1</f>
        <v/>
      </c>
      <c r="AA27">
        <f>C27*x_c_DAA</f>
        <v/>
      </c>
      <c r="AB27">
        <f>C27*x_c_MON</f>
        <v/>
      </c>
      <c r="AC27">
        <f>D27*(1-x_testy)</f>
        <v/>
      </c>
      <c r="AD27">
        <f>E27*(1-x_testy)</f>
        <v/>
      </c>
      <c r="AE27">
        <f>F27*x_NAV</f>
        <v/>
      </c>
      <c r="AF27">
        <f>G27*x_FIX*(1-x_testy)</f>
        <v/>
      </c>
      <c r="AG27">
        <f>x_z_F*T27+(1-x_AGRI)*x_EMP*x_WLOSS*(x_PEN_K74*Q27+x_PEN_C22*R27)</f>
        <v/>
      </c>
      <c r="AH27">
        <f>x_AGRI*x_EMP*x_WLOSS*(x_PEN_K74*Q27+x_PEN_C22*R27)</f>
        <v/>
      </c>
      <c r="AI27">
        <f>x_EMP*x_WAGE*(x_WLOSS*(Q27+R27)+S27)+T27*x_ABS_D*x_WAGE/365</f>
        <v/>
      </c>
      <c r="AJ27">
        <f>AI27*x_R_FUS</f>
        <v/>
      </c>
      <c r="AK27">
        <f>AI27*x_R_NFZ</f>
        <v/>
      </c>
      <c r="AL27">
        <f>AI27*x_R_PIT</f>
        <v/>
      </c>
      <c r="AM27">
        <f>AI27*x_R_FP</f>
        <v/>
      </c>
      <c r="AN27">
        <f>Z27+AA27+AB27+AC27+AE27</f>
        <v/>
      </c>
      <c r="AO27">
        <f>AN27+AD27+AF27+AG27+AH27+AJ27+AK27+AL27+AM27</f>
        <v/>
      </c>
      <c r="AP27">
        <f>AN27+AD27+AF27+AI27</f>
        <v/>
      </c>
      <c r="AQ27">
        <f>AA27+AB27+AC27+AE27</f>
        <v/>
      </c>
      <c r="AR27">
        <f>AQ27+AD27+AF27</f>
        <v/>
      </c>
    </row>
    <row r="28">
      <c r="A28" t="n">
        <v>2051</v>
      </c>
      <c r="B28" t="n">
        <v>25</v>
      </c>
      <c r="C28" t="n">
        <v>4832</v>
      </c>
      <c r="D28" t="n">
        <v>0</v>
      </c>
      <c r="E28" t="n">
        <v>0</v>
      </c>
      <c r="F28" t="n">
        <v>0</v>
      </c>
      <c r="G28" t="n">
        <v>0</v>
      </c>
      <c r="H28" t="n">
        <v>2232.164</v>
      </c>
      <c r="I28" t="n">
        <v>259.023</v>
      </c>
      <c r="J28" t="n">
        <v>1519.75</v>
      </c>
      <c r="K28" t="n">
        <v>2638.506</v>
      </c>
      <c r="L28" t="n">
        <v>1144.001</v>
      </c>
      <c r="M28" t="n">
        <v>89118.876</v>
      </c>
      <c r="N28" t="n">
        <v>7994.998</v>
      </c>
      <c r="O28" t="n">
        <v>86.58799999999999</v>
      </c>
      <c r="P28" t="n">
        <v>87.51600000000001</v>
      </c>
      <c r="Q28" t="n">
        <v>1160.14</v>
      </c>
      <c r="R28" t="n">
        <v>1275.567</v>
      </c>
      <c r="S28" t="n">
        <v>6927.988</v>
      </c>
      <c r="T28" t="n">
        <v>2491.187</v>
      </c>
      <c r="U28" t="n">
        <v>145917.699</v>
      </c>
      <c r="V28" t="n">
        <v>265.366</v>
      </c>
      <c r="W28" t="n">
        <v>744.1420000000001</v>
      </c>
      <c r="X28" t="n">
        <v>86.58799999999999</v>
      </c>
      <c r="Y28" t="n">
        <v>932.657</v>
      </c>
      <c r="Z28">
        <f>H28*x_c_F+I28*x_c_CC+J28*x_c_DC+K28*x_c_HCC+L28*x_c_PLT+M28*x_c_SVRn+N28*x_c_SVRcc+O28*x_c_LT+P28*x_c_LT1</f>
        <v/>
      </c>
      <c r="AA28">
        <f>C28*x_c_DAA</f>
        <v/>
      </c>
      <c r="AB28">
        <f>C28*x_c_MON</f>
        <v/>
      </c>
      <c r="AC28">
        <f>D28*(1-x_testy)</f>
        <v/>
      </c>
      <c r="AD28">
        <f>E28*(1-x_testy)</f>
        <v/>
      </c>
      <c r="AE28">
        <f>F28*x_NAV</f>
        <v/>
      </c>
      <c r="AF28">
        <f>G28*x_FIX*(1-x_testy)</f>
        <v/>
      </c>
      <c r="AG28">
        <f>x_z_F*T28+(1-x_AGRI)*x_EMP*x_WLOSS*(x_PEN_K74*Q28+x_PEN_C22*R28)</f>
        <v/>
      </c>
      <c r="AH28">
        <f>x_AGRI*x_EMP*x_WLOSS*(x_PEN_K74*Q28+x_PEN_C22*R28)</f>
        <v/>
      </c>
      <c r="AI28">
        <f>x_EMP*x_WAGE*(x_WLOSS*(Q28+R28)+S28)+T28*x_ABS_D*x_WAGE/365</f>
        <v/>
      </c>
      <c r="AJ28">
        <f>AI28*x_R_FUS</f>
        <v/>
      </c>
      <c r="AK28">
        <f>AI28*x_R_NFZ</f>
        <v/>
      </c>
      <c r="AL28">
        <f>AI28*x_R_PIT</f>
        <v/>
      </c>
      <c r="AM28">
        <f>AI28*x_R_FP</f>
        <v/>
      </c>
      <c r="AN28">
        <f>Z28+AA28+AB28+AC28+AE28</f>
        <v/>
      </c>
      <c r="AO28">
        <f>AN28+AD28+AF28+AG28+AH28+AJ28+AK28+AL28+AM28</f>
        <v/>
      </c>
      <c r="AP28">
        <f>AN28+AD28+AF28+AI28</f>
        <v/>
      </c>
      <c r="AQ28">
        <f>AA28+AB28+AC28+AE28</f>
        <v/>
      </c>
      <c r="AR28">
        <f>AQ28+AD28+AF28</f>
        <v/>
      </c>
    </row>
    <row r="29">
      <c r="A29" t="n">
        <v>2052</v>
      </c>
      <c r="B29" t="n">
        <v>26</v>
      </c>
      <c r="C29" t="n">
        <v>4832</v>
      </c>
      <c r="D29" t="n">
        <v>0</v>
      </c>
      <c r="E29" t="n">
        <v>0</v>
      </c>
      <c r="F29" t="n">
        <v>0</v>
      </c>
      <c r="G29" t="n">
        <v>0</v>
      </c>
      <c r="H29" t="n">
        <v>2236.156</v>
      </c>
      <c r="I29" t="n">
        <v>254.096</v>
      </c>
      <c r="J29" t="n">
        <v>1487.314</v>
      </c>
      <c r="K29" t="n">
        <v>2584.471</v>
      </c>
      <c r="L29" t="n">
        <v>1124.925</v>
      </c>
      <c r="M29" t="n">
        <v>91885.799</v>
      </c>
      <c r="N29" t="n">
        <v>8064.499</v>
      </c>
      <c r="O29" t="n">
        <v>84.779</v>
      </c>
      <c r="P29" t="n">
        <v>85.68300000000001</v>
      </c>
      <c r="Q29" t="n">
        <v>1197.131</v>
      </c>
      <c r="R29" t="n">
        <v>1320.619</v>
      </c>
      <c r="S29" t="n">
        <v>7335.195</v>
      </c>
      <c r="T29" t="n">
        <v>2490.252</v>
      </c>
      <c r="U29" t="n">
        <v>147489.045</v>
      </c>
      <c r="V29" t="n">
        <v>259.55</v>
      </c>
      <c r="W29" t="n">
        <v>729.247</v>
      </c>
      <c r="X29" t="n">
        <v>84.779</v>
      </c>
      <c r="Y29" t="n">
        <v>913.75</v>
      </c>
      <c r="Z29">
        <f>H29*x_c_F+I29*x_c_CC+J29*x_c_DC+K29*x_c_HCC+L29*x_c_PLT+M29*x_c_SVRn+N29*x_c_SVRcc+O29*x_c_LT+P29*x_c_LT1</f>
        <v/>
      </c>
      <c r="AA29">
        <f>C29*x_c_DAA</f>
        <v/>
      </c>
      <c r="AB29">
        <f>C29*x_c_MON</f>
        <v/>
      </c>
      <c r="AC29">
        <f>D29*(1-x_testy)</f>
        <v/>
      </c>
      <c r="AD29">
        <f>E29*(1-x_testy)</f>
        <v/>
      </c>
      <c r="AE29">
        <f>F29*x_NAV</f>
        <v/>
      </c>
      <c r="AF29">
        <f>G29*x_FIX*(1-x_testy)</f>
        <v/>
      </c>
      <c r="AG29">
        <f>x_z_F*T29+(1-x_AGRI)*x_EMP*x_WLOSS*(x_PEN_K74*Q29+x_PEN_C22*R29)</f>
        <v/>
      </c>
      <c r="AH29">
        <f>x_AGRI*x_EMP*x_WLOSS*(x_PEN_K74*Q29+x_PEN_C22*R29)</f>
        <v/>
      </c>
      <c r="AI29">
        <f>x_EMP*x_WAGE*(x_WLOSS*(Q29+R29)+S29)+T29*x_ABS_D*x_WAGE/365</f>
        <v/>
      </c>
      <c r="AJ29">
        <f>AI29*x_R_FUS</f>
        <v/>
      </c>
      <c r="AK29">
        <f>AI29*x_R_NFZ</f>
        <v/>
      </c>
      <c r="AL29">
        <f>AI29*x_R_PIT</f>
        <v/>
      </c>
      <c r="AM29">
        <f>AI29*x_R_FP</f>
        <v/>
      </c>
      <c r="AN29">
        <f>Z29+AA29+AB29+AC29+AE29</f>
        <v/>
      </c>
      <c r="AO29">
        <f>AN29+AD29+AF29+AG29+AH29+AJ29+AK29+AL29+AM29</f>
        <v/>
      </c>
      <c r="AP29">
        <f>AN29+AD29+AF29+AI29</f>
        <v/>
      </c>
      <c r="AQ29">
        <f>AA29+AB29+AC29+AE29</f>
        <v/>
      </c>
      <c r="AR29">
        <f>AQ29+AD29+AF29</f>
        <v/>
      </c>
    </row>
    <row r="30">
      <c r="A30" t="n">
        <v>2053</v>
      </c>
      <c r="B30" t="n">
        <v>27</v>
      </c>
      <c r="C30" t="n">
        <v>4832</v>
      </c>
      <c r="D30" t="n">
        <v>0</v>
      </c>
      <c r="E30" t="n">
        <v>0</v>
      </c>
      <c r="F30" t="n">
        <v>0</v>
      </c>
      <c r="G30" t="n">
        <v>0</v>
      </c>
      <c r="H30" t="n">
        <v>2239.925</v>
      </c>
      <c r="I30" t="n">
        <v>249.454</v>
      </c>
      <c r="J30" t="n">
        <v>1455.858</v>
      </c>
      <c r="K30" t="n">
        <v>2532.737</v>
      </c>
      <c r="L30" t="n">
        <v>1105.689</v>
      </c>
      <c r="M30" t="n">
        <v>94645.439</v>
      </c>
      <c r="N30" t="n">
        <v>8121.692</v>
      </c>
      <c r="O30" t="n">
        <v>83.018</v>
      </c>
      <c r="P30" t="n">
        <v>83.898</v>
      </c>
      <c r="Q30" t="n">
        <v>1234.491</v>
      </c>
      <c r="R30" t="n">
        <v>1365.53</v>
      </c>
      <c r="S30" t="n">
        <v>7751.672</v>
      </c>
      <c r="T30" t="n">
        <v>2489.379</v>
      </c>
      <c r="U30" t="n">
        <v>149093.106</v>
      </c>
      <c r="V30" t="n">
        <v>254.11</v>
      </c>
      <c r="W30" t="n">
        <v>715.239</v>
      </c>
      <c r="X30" t="n">
        <v>83.018</v>
      </c>
      <c r="Y30" t="n">
        <v>895.4299999999999</v>
      </c>
      <c r="Z30">
        <f>H30*x_c_F+I30*x_c_CC+J30*x_c_DC+K30*x_c_HCC+L30*x_c_PLT+M30*x_c_SVRn+N30*x_c_SVRcc+O30*x_c_LT+P30*x_c_LT1</f>
        <v/>
      </c>
      <c r="AA30">
        <f>C30*x_c_DAA</f>
        <v/>
      </c>
      <c r="AB30">
        <f>C30*x_c_MON</f>
        <v/>
      </c>
      <c r="AC30">
        <f>D30*(1-x_testy)</f>
        <v/>
      </c>
      <c r="AD30">
        <f>E30*(1-x_testy)</f>
        <v/>
      </c>
      <c r="AE30">
        <f>F30*x_NAV</f>
        <v/>
      </c>
      <c r="AF30">
        <f>G30*x_FIX*(1-x_testy)</f>
        <v/>
      </c>
      <c r="AG30">
        <f>x_z_F*T30+(1-x_AGRI)*x_EMP*x_WLOSS*(x_PEN_K74*Q30+x_PEN_C22*R30)</f>
        <v/>
      </c>
      <c r="AH30">
        <f>x_AGRI*x_EMP*x_WLOSS*(x_PEN_K74*Q30+x_PEN_C22*R30)</f>
        <v/>
      </c>
      <c r="AI30">
        <f>x_EMP*x_WAGE*(x_WLOSS*(Q30+R30)+S30)+T30*x_ABS_D*x_WAGE/365</f>
        <v/>
      </c>
      <c r="AJ30">
        <f>AI30*x_R_FUS</f>
        <v/>
      </c>
      <c r="AK30">
        <f>AI30*x_R_NFZ</f>
        <v/>
      </c>
      <c r="AL30">
        <f>AI30*x_R_PIT</f>
        <v/>
      </c>
      <c r="AM30">
        <f>AI30*x_R_FP</f>
        <v/>
      </c>
      <c r="AN30">
        <f>Z30+AA30+AB30+AC30+AE30</f>
        <v/>
      </c>
      <c r="AO30">
        <f>AN30+AD30+AF30+AG30+AH30+AJ30+AK30+AL30+AM30</f>
        <v/>
      </c>
      <c r="AP30">
        <f>AN30+AD30+AF30+AI30</f>
        <v/>
      </c>
      <c r="AQ30">
        <f>AA30+AB30+AC30+AE30</f>
        <v/>
      </c>
      <c r="AR30">
        <f>AQ30+AD30+AF30</f>
        <v/>
      </c>
    </row>
    <row r="31">
      <c r="A31" t="n">
        <v>2054</v>
      </c>
      <c r="B31" t="n">
        <v>28</v>
      </c>
      <c r="C31" t="n">
        <v>4832</v>
      </c>
      <c r="D31" t="n">
        <v>0</v>
      </c>
      <c r="E31" t="n">
        <v>0</v>
      </c>
      <c r="F31" t="n">
        <v>0</v>
      </c>
      <c r="G31" t="n">
        <v>0</v>
      </c>
      <c r="H31" t="n">
        <v>2243.475</v>
      </c>
      <c r="I31" t="n">
        <v>245.084</v>
      </c>
      <c r="J31" t="n">
        <v>1425.362</v>
      </c>
      <c r="K31" t="n">
        <v>2483.164</v>
      </c>
      <c r="L31" t="n">
        <v>1086.135</v>
      </c>
      <c r="M31" t="n">
        <v>97389.625</v>
      </c>
      <c r="N31" t="n">
        <v>8166.354</v>
      </c>
      <c r="O31" t="n">
        <v>81.304</v>
      </c>
      <c r="P31" t="n">
        <v>82.161</v>
      </c>
      <c r="Q31" t="n">
        <v>1272.018</v>
      </c>
      <c r="R31" t="n">
        <v>1410.002</v>
      </c>
      <c r="S31" t="n">
        <v>8176.612</v>
      </c>
      <c r="T31" t="n">
        <v>2488.559</v>
      </c>
      <c r="U31" t="n">
        <v>150716.078</v>
      </c>
      <c r="V31" t="n">
        <v>249.003</v>
      </c>
      <c r="W31" t="n">
        <v>702.008</v>
      </c>
      <c r="X31" t="n">
        <v>81.304</v>
      </c>
      <c r="Y31" t="n">
        <v>877.664</v>
      </c>
      <c r="Z31">
        <f>H31*x_c_F+I31*x_c_CC+J31*x_c_DC+K31*x_c_HCC+L31*x_c_PLT+M31*x_c_SVRn+N31*x_c_SVRcc+O31*x_c_LT+P31*x_c_LT1</f>
        <v/>
      </c>
      <c r="AA31">
        <f>C31*x_c_DAA</f>
        <v/>
      </c>
      <c r="AB31">
        <f>C31*x_c_MON</f>
        <v/>
      </c>
      <c r="AC31">
        <f>D31*(1-x_testy)</f>
        <v/>
      </c>
      <c r="AD31">
        <f>E31*(1-x_testy)</f>
        <v/>
      </c>
      <c r="AE31">
        <f>F31*x_NAV</f>
        <v/>
      </c>
      <c r="AF31">
        <f>G31*x_FIX*(1-x_testy)</f>
        <v/>
      </c>
      <c r="AG31">
        <f>x_z_F*T31+(1-x_AGRI)*x_EMP*x_WLOSS*(x_PEN_K74*Q31+x_PEN_C22*R31)</f>
        <v/>
      </c>
      <c r="AH31">
        <f>x_AGRI*x_EMP*x_WLOSS*(x_PEN_K74*Q31+x_PEN_C22*R31)</f>
        <v/>
      </c>
      <c r="AI31">
        <f>x_EMP*x_WAGE*(x_WLOSS*(Q31+R31)+S31)+T31*x_ABS_D*x_WAGE/365</f>
        <v/>
      </c>
      <c r="AJ31">
        <f>AI31*x_R_FUS</f>
        <v/>
      </c>
      <c r="AK31">
        <f>AI31*x_R_NFZ</f>
        <v/>
      </c>
      <c r="AL31">
        <f>AI31*x_R_PIT</f>
        <v/>
      </c>
      <c r="AM31">
        <f>AI31*x_R_FP</f>
        <v/>
      </c>
      <c r="AN31">
        <f>Z31+AA31+AB31+AC31+AE31</f>
        <v/>
      </c>
      <c r="AO31">
        <f>AN31+AD31+AF31+AG31+AH31+AJ31+AK31+AL31+AM31</f>
        <v/>
      </c>
      <c r="AP31">
        <f>AN31+AD31+AF31+AI31</f>
        <v/>
      </c>
      <c r="AQ31">
        <f>AA31+AB31+AC31+AE31</f>
        <v/>
      </c>
      <c r="AR31">
        <f>AQ31+AD31+AF31</f>
        <v/>
      </c>
    </row>
    <row r="32">
      <c r="A32" t="n">
        <v>2055</v>
      </c>
      <c r="B32" t="n">
        <v>29</v>
      </c>
      <c r="C32" t="n">
        <v>4832</v>
      </c>
      <c r="D32" t="n">
        <v>0</v>
      </c>
      <c r="E32" t="n">
        <v>0</v>
      </c>
      <c r="F32" t="n">
        <v>0</v>
      </c>
      <c r="G32" t="n">
        <v>0</v>
      </c>
      <c r="H32" t="n">
        <v>2246.815</v>
      </c>
      <c r="I32" t="n">
        <v>240.968</v>
      </c>
      <c r="J32" t="n">
        <v>1395.761</v>
      </c>
      <c r="K32" t="n">
        <v>2435.543</v>
      </c>
      <c r="L32" t="n">
        <v>1066.083</v>
      </c>
      <c r="M32" t="n">
        <v>100108.888</v>
      </c>
      <c r="N32" t="n">
        <v>8198.003000000001</v>
      </c>
      <c r="O32" t="n">
        <v>79.634</v>
      </c>
      <c r="P32" t="n">
        <v>80.46899999999999</v>
      </c>
      <c r="Q32" t="n">
        <v>1309.507</v>
      </c>
      <c r="R32" t="n">
        <v>1453.746</v>
      </c>
      <c r="S32" t="n">
        <v>8609.094999999999</v>
      </c>
      <c r="T32" t="n">
        <v>2487.783</v>
      </c>
      <c r="U32" t="n">
        <v>152344.158</v>
      </c>
      <c r="V32" t="n">
        <v>244.187</v>
      </c>
      <c r="W32" t="n">
        <v>689.443</v>
      </c>
      <c r="X32" t="n">
        <v>79.634</v>
      </c>
      <c r="Y32" t="n">
        <v>860.388</v>
      </c>
      <c r="Z32">
        <f>H32*x_c_F+I32*x_c_CC+J32*x_c_DC+K32*x_c_HCC+L32*x_c_PLT+M32*x_c_SVRn+N32*x_c_SVRcc+O32*x_c_LT+P32*x_c_LT1</f>
        <v/>
      </c>
      <c r="AA32">
        <f>C32*x_c_DAA</f>
        <v/>
      </c>
      <c r="AB32">
        <f>C32*x_c_MON</f>
        <v/>
      </c>
      <c r="AC32">
        <f>D32*(1-x_testy)</f>
        <v/>
      </c>
      <c r="AD32">
        <f>E32*(1-x_testy)</f>
        <v/>
      </c>
      <c r="AE32">
        <f>F32*x_NAV</f>
        <v/>
      </c>
      <c r="AF32">
        <f>G32*x_FIX*(1-x_testy)</f>
        <v/>
      </c>
      <c r="AG32">
        <f>x_z_F*T32+(1-x_AGRI)*x_EMP*x_WLOSS*(x_PEN_K74*Q32+x_PEN_C22*R32)</f>
        <v/>
      </c>
      <c r="AH32">
        <f>x_AGRI*x_EMP*x_WLOSS*(x_PEN_K74*Q32+x_PEN_C22*R32)</f>
        <v/>
      </c>
      <c r="AI32">
        <f>x_EMP*x_WAGE*(x_WLOSS*(Q32+R32)+S32)+T32*x_ABS_D*x_WAGE/365</f>
        <v/>
      </c>
      <c r="AJ32">
        <f>AI32*x_R_FUS</f>
        <v/>
      </c>
      <c r="AK32">
        <f>AI32*x_R_NFZ</f>
        <v/>
      </c>
      <c r="AL32">
        <f>AI32*x_R_PIT</f>
        <v/>
      </c>
      <c r="AM32">
        <f>AI32*x_R_FP</f>
        <v/>
      </c>
      <c r="AN32">
        <f>Z32+AA32+AB32+AC32+AE32</f>
        <v/>
      </c>
      <c r="AO32">
        <f>AN32+AD32+AF32+AG32+AH32+AJ32+AK32+AL32+AM32</f>
        <v/>
      </c>
      <c r="AP32">
        <f>AN32+AD32+AF32+AI32</f>
        <v/>
      </c>
      <c r="AQ32">
        <f>AA32+AB32+AC32+AE32</f>
        <v/>
      </c>
      <c r="AR32">
        <f>AQ32+AD32+AF32</f>
        <v/>
      </c>
    </row>
    <row r="33">
      <c r="A33" t="n">
        <v>2056</v>
      </c>
      <c r="B33" t="n">
        <v>30</v>
      </c>
      <c r="C33" t="n">
        <v>4832</v>
      </c>
      <c r="D33" t="n">
        <v>0</v>
      </c>
      <c r="E33" t="n">
        <v>0</v>
      </c>
      <c r="F33" t="n">
        <v>0</v>
      </c>
      <c r="G33" t="n">
        <v>0</v>
      </c>
      <c r="H33" t="n">
        <v>2249.96</v>
      </c>
      <c r="I33" t="n">
        <v>237.085</v>
      </c>
      <c r="J33" t="n">
        <v>1366.94</v>
      </c>
      <c r="K33" t="n">
        <v>2389.585</v>
      </c>
      <c r="L33" t="n">
        <v>1045.303</v>
      </c>
      <c r="M33" t="n">
        <v>102791.664</v>
      </c>
      <c r="N33" t="n">
        <v>8215.744000000001</v>
      </c>
      <c r="O33" t="n">
        <v>77.999</v>
      </c>
      <c r="P33" t="n">
        <v>78.81699999999999</v>
      </c>
      <c r="Q33" t="n">
        <v>1346.729</v>
      </c>
      <c r="R33" t="n">
        <v>1496.465</v>
      </c>
      <c r="S33" t="n">
        <v>9047.924000000001</v>
      </c>
      <c r="T33" t="n">
        <v>2487.045</v>
      </c>
      <c r="U33" t="n">
        <v>153962.417</v>
      </c>
      <c r="V33" t="n">
        <v>239.615</v>
      </c>
      <c r="W33" t="n">
        <v>677.417</v>
      </c>
      <c r="X33" t="n">
        <v>77.999</v>
      </c>
      <c r="Y33" t="n">
        <v>843.4930000000001</v>
      </c>
      <c r="Z33">
        <f>H33*x_c_F+I33*x_c_CC+J33*x_c_DC+K33*x_c_HCC+L33*x_c_PLT+M33*x_c_SVRn+N33*x_c_SVRcc+O33*x_c_LT+P33*x_c_LT1</f>
        <v/>
      </c>
      <c r="AA33">
        <f>C33*x_c_DAA</f>
        <v/>
      </c>
      <c r="AB33">
        <f>C33*x_c_MON</f>
        <v/>
      </c>
      <c r="AC33">
        <f>D33*(1-x_testy)</f>
        <v/>
      </c>
      <c r="AD33">
        <f>E33*(1-x_testy)</f>
        <v/>
      </c>
      <c r="AE33">
        <f>F33*x_NAV</f>
        <v/>
      </c>
      <c r="AF33">
        <f>G33*x_FIX*(1-x_testy)</f>
        <v/>
      </c>
      <c r="AG33">
        <f>x_z_F*T33+(1-x_AGRI)*x_EMP*x_WLOSS*(x_PEN_K74*Q33+x_PEN_C22*R33)</f>
        <v/>
      </c>
      <c r="AH33">
        <f>x_AGRI*x_EMP*x_WLOSS*(x_PEN_K74*Q33+x_PEN_C22*R33)</f>
        <v/>
      </c>
      <c r="AI33">
        <f>x_EMP*x_WAGE*(x_WLOSS*(Q33+R33)+S33)+T33*x_ABS_D*x_WAGE/365</f>
        <v/>
      </c>
      <c r="AJ33">
        <f>AI33*x_R_FUS</f>
        <v/>
      </c>
      <c r="AK33">
        <f>AI33*x_R_NFZ</f>
        <v/>
      </c>
      <c r="AL33">
        <f>AI33*x_R_PIT</f>
        <v/>
      </c>
      <c r="AM33">
        <f>AI33*x_R_FP</f>
        <v/>
      </c>
      <c r="AN33">
        <f>Z33+AA33+AB33+AC33+AE33</f>
        <v/>
      </c>
      <c r="AO33">
        <f>AN33+AD33+AF33+AG33+AH33+AJ33+AK33+AL33+AM33</f>
        <v/>
      </c>
      <c r="AP33">
        <f>AN33+AD33+AF33+AI33</f>
        <v/>
      </c>
      <c r="AQ33">
        <f>AA33+AB33+AC33+AE33</f>
        <v/>
      </c>
      <c r="AR33">
        <f>AQ33+AD33+AF33</f>
        <v/>
      </c>
    </row>
    <row r="34">
      <c r="A34" t="n">
        <v>2057</v>
      </c>
      <c r="B34" t="n">
        <v>31</v>
      </c>
      <c r="C34" t="n">
        <v>4832</v>
      </c>
      <c r="D34" t="n">
        <v>0</v>
      </c>
      <c r="E34" t="n">
        <v>0</v>
      </c>
      <c r="F34" t="n">
        <v>0</v>
      </c>
      <c r="G34" t="n">
        <v>0</v>
      </c>
      <c r="H34" t="n">
        <v>2252.975</v>
      </c>
      <c r="I34" t="n">
        <v>233.355</v>
      </c>
      <c r="J34" t="n">
        <v>1337.2</v>
      </c>
      <c r="K34" t="n">
        <v>2342.592</v>
      </c>
      <c r="L34" t="n">
        <v>1020.908</v>
      </c>
      <c r="M34" t="n">
        <v>105340.004</v>
      </c>
      <c r="N34" t="n">
        <v>8203.656999999999</v>
      </c>
      <c r="O34" t="n">
        <v>76.203</v>
      </c>
      <c r="P34" t="n">
        <v>77.101</v>
      </c>
      <c r="Q34" t="n">
        <v>1383.449</v>
      </c>
      <c r="R34" t="n">
        <v>1537.875</v>
      </c>
      <c r="S34" t="n">
        <v>9491.674000000001</v>
      </c>
      <c r="T34" t="n">
        <v>2486.33</v>
      </c>
      <c r="U34" t="n">
        <v>155473.391</v>
      </c>
      <c r="V34" t="n">
        <v>234.948</v>
      </c>
      <c r="W34" t="n">
        <v>664.825</v>
      </c>
      <c r="X34" t="n">
        <v>76.203</v>
      </c>
      <c r="Y34" t="n">
        <v>824.817</v>
      </c>
      <c r="Z34">
        <f>H34*x_c_F+I34*x_c_CC+J34*x_c_DC+K34*x_c_HCC+L34*x_c_PLT+M34*x_c_SVRn+N34*x_c_SVRcc+O34*x_c_LT+P34*x_c_LT1</f>
        <v/>
      </c>
      <c r="AA34">
        <f>C34*x_c_DAA</f>
        <v/>
      </c>
      <c r="AB34">
        <f>C34*x_c_MON</f>
        <v/>
      </c>
      <c r="AC34">
        <f>D34*(1-x_testy)</f>
        <v/>
      </c>
      <c r="AD34">
        <f>E34*(1-x_testy)</f>
        <v/>
      </c>
      <c r="AE34">
        <f>F34*x_NAV</f>
        <v/>
      </c>
      <c r="AF34">
        <f>G34*x_FIX*(1-x_testy)</f>
        <v/>
      </c>
      <c r="AG34">
        <f>x_z_F*T34+(1-x_AGRI)*x_EMP*x_WLOSS*(x_PEN_K74*Q34+x_PEN_C22*R34)</f>
        <v/>
      </c>
      <c r="AH34">
        <f>x_AGRI*x_EMP*x_WLOSS*(x_PEN_K74*Q34+x_PEN_C22*R34)</f>
        <v/>
      </c>
      <c r="AI34">
        <f>x_EMP*x_WAGE*(x_WLOSS*(Q34+R34)+S34)+T34*x_ABS_D*x_WAGE/365</f>
        <v/>
      </c>
      <c r="AJ34">
        <f>AI34*x_R_FUS</f>
        <v/>
      </c>
      <c r="AK34">
        <f>AI34*x_R_NFZ</f>
        <v/>
      </c>
      <c r="AL34">
        <f>AI34*x_R_PIT</f>
        <v/>
      </c>
      <c r="AM34">
        <f>AI34*x_R_FP</f>
        <v/>
      </c>
      <c r="AN34">
        <f>Z34+AA34+AB34+AC34+AE34</f>
        <v/>
      </c>
      <c r="AO34">
        <f>AN34+AD34+AF34+AG34+AH34+AJ34+AK34+AL34+AM34</f>
        <v/>
      </c>
      <c r="AP34">
        <f>AN34+AD34+AF34+AI34</f>
        <v/>
      </c>
      <c r="AQ34">
        <f>AA34+AB34+AC34+AE34</f>
        <v/>
      </c>
      <c r="AR34">
        <f>AQ34+AD34+AF34</f>
        <v/>
      </c>
    </row>
    <row r="35">
      <c r="A35" t="n">
        <v>2058</v>
      </c>
      <c r="B35" t="n">
        <v>32</v>
      </c>
      <c r="C35" t="n">
        <v>4832</v>
      </c>
      <c r="D35" t="n">
        <v>0</v>
      </c>
      <c r="E35" t="n">
        <v>0</v>
      </c>
      <c r="F35" t="n">
        <v>0</v>
      </c>
      <c r="G35" t="n">
        <v>0</v>
      </c>
      <c r="H35" t="n">
        <v>2255.791</v>
      </c>
      <c r="I35" t="n">
        <v>229.855</v>
      </c>
      <c r="J35" t="n">
        <v>1308.675</v>
      </c>
      <c r="K35" t="n">
        <v>2297.735</v>
      </c>
      <c r="L35" t="n">
        <v>996.296</v>
      </c>
      <c r="M35" t="n">
        <v>107857.537</v>
      </c>
      <c r="N35" t="n">
        <v>8181.09</v>
      </c>
      <c r="O35" t="n">
        <v>74.703</v>
      </c>
      <c r="P35" t="n">
        <v>75.453</v>
      </c>
      <c r="Q35" t="n">
        <v>1419.427</v>
      </c>
      <c r="R35" t="n">
        <v>1577.7</v>
      </c>
      <c r="S35" t="n">
        <v>9938.701999999999</v>
      </c>
      <c r="T35" t="n">
        <v>2485.646</v>
      </c>
      <c r="U35" t="n">
        <v>156976.664</v>
      </c>
      <c r="V35" t="n">
        <v>230.897</v>
      </c>
      <c r="W35" t="n">
        <v>654.034</v>
      </c>
      <c r="X35" t="n">
        <v>74.703</v>
      </c>
      <c r="Y35" t="n">
        <v>809.316</v>
      </c>
      <c r="Z35">
        <f>H35*x_c_F+I35*x_c_CC+J35*x_c_DC+K35*x_c_HCC+L35*x_c_PLT+M35*x_c_SVRn+N35*x_c_SVRcc+O35*x_c_LT+P35*x_c_LT1</f>
        <v/>
      </c>
      <c r="AA35">
        <f>C35*x_c_DAA</f>
        <v/>
      </c>
      <c r="AB35">
        <f>C35*x_c_MON</f>
        <v/>
      </c>
      <c r="AC35">
        <f>D35*(1-x_testy)</f>
        <v/>
      </c>
      <c r="AD35">
        <f>E35*(1-x_testy)</f>
        <v/>
      </c>
      <c r="AE35">
        <f>F35*x_NAV</f>
        <v/>
      </c>
      <c r="AF35">
        <f>G35*x_FIX*(1-x_testy)</f>
        <v/>
      </c>
      <c r="AG35">
        <f>x_z_F*T35+(1-x_AGRI)*x_EMP*x_WLOSS*(x_PEN_K74*Q35+x_PEN_C22*R35)</f>
        <v/>
      </c>
      <c r="AH35">
        <f>x_AGRI*x_EMP*x_WLOSS*(x_PEN_K74*Q35+x_PEN_C22*R35)</f>
        <v/>
      </c>
      <c r="AI35">
        <f>x_EMP*x_WAGE*(x_WLOSS*(Q35+R35)+S35)+T35*x_ABS_D*x_WAGE/365</f>
        <v/>
      </c>
      <c r="AJ35">
        <f>AI35*x_R_FUS</f>
        <v/>
      </c>
      <c r="AK35">
        <f>AI35*x_R_NFZ</f>
        <v/>
      </c>
      <c r="AL35">
        <f>AI35*x_R_PIT</f>
        <v/>
      </c>
      <c r="AM35">
        <f>AI35*x_R_FP</f>
        <v/>
      </c>
      <c r="AN35">
        <f>Z35+AA35+AB35+AC35+AE35</f>
        <v/>
      </c>
      <c r="AO35">
        <f>AN35+AD35+AF35+AG35+AH35+AJ35+AK35+AL35+AM35</f>
        <v/>
      </c>
      <c r="AP35">
        <f>AN35+AD35+AF35+AI35</f>
        <v/>
      </c>
      <c r="AQ35">
        <f>AA35+AB35+AC35+AE35</f>
        <v/>
      </c>
      <c r="AR35">
        <f>AQ35+AD35+AF35</f>
        <v/>
      </c>
    </row>
    <row r="36">
      <c r="A36" t="n">
        <v>2059</v>
      </c>
      <c r="B36" t="n">
        <v>33</v>
      </c>
      <c r="C36" t="n">
        <v>4832</v>
      </c>
      <c r="D36" t="n">
        <v>0</v>
      </c>
      <c r="E36" t="n">
        <v>0</v>
      </c>
      <c r="F36" t="n">
        <v>0</v>
      </c>
      <c r="G36" t="n">
        <v>0</v>
      </c>
      <c r="H36" t="n">
        <v>2258.375</v>
      </c>
      <c r="I36" t="n">
        <v>226.622</v>
      </c>
      <c r="J36" t="n">
        <v>1282.649</v>
      </c>
      <c r="K36" t="n">
        <v>2256.885</v>
      </c>
      <c r="L36" t="n">
        <v>973.627</v>
      </c>
      <c r="M36" t="n">
        <v>110408.35</v>
      </c>
      <c r="N36" t="n">
        <v>8160.383</v>
      </c>
      <c r="O36" t="n">
        <v>73.2</v>
      </c>
      <c r="P36" t="n">
        <v>73.952</v>
      </c>
      <c r="Q36" t="n">
        <v>1077.436</v>
      </c>
      <c r="R36" t="n">
        <v>1316.356</v>
      </c>
      <c r="S36" t="n">
        <v>6439.537</v>
      </c>
      <c r="T36" t="n">
        <v>2484.997</v>
      </c>
      <c r="U36" t="n">
        <v>158533.233</v>
      </c>
      <c r="V36" t="n">
        <v>226.959</v>
      </c>
      <c r="W36" t="n">
        <v>643.403</v>
      </c>
      <c r="X36" t="n">
        <v>73.2</v>
      </c>
      <c r="Y36" t="n">
        <v>793.71</v>
      </c>
      <c r="Z36">
        <f>H36*x_c_F+I36*x_c_CC+J36*x_c_DC+K36*x_c_HCC+L36*x_c_PLT+M36*x_c_SVRn+N36*x_c_SVRcc+O36*x_c_LT+P36*x_c_LT1</f>
        <v/>
      </c>
      <c r="AA36">
        <f>C36*x_c_DAA</f>
        <v/>
      </c>
      <c r="AB36">
        <f>C36*x_c_MON</f>
        <v/>
      </c>
      <c r="AC36">
        <f>D36*(1-x_testy)</f>
        <v/>
      </c>
      <c r="AD36">
        <f>E36*(1-x_testy)</f>
        <v/>
      </c>
      <c r="AE36">
        <f>F36*x_NAV</f>
        <v/>
      </c>
      <c r="AF36">
        <f>G36*x_FIX*(1-x_testy)</f>
        <v/>
      </c>
      <c r="AG36">
        <f>x_z_F*T36+(1-x_AGRI)*x_EMP*x_WLOSS*(x_PEN_K74*Q36+x_PEN_C22*R36)</f>
        <v/>
      </c>
      <c r="AH36">
        <f>x_AGRI*x_EMP*x_WLOSS*(x_PEN_K74*Q36+x_PEN_C22*R36)</f>
        <v/>
      </c>
      <c r="AI36">
        <f>x_EMP*x_WAGE*(x_WLOSS*(Q36+R36)+S36)+T36*x_ABS_D*x_WAGE/365</f>
        <v/>
      </c>
      <c r="AJ36">
        <f>AI36*x_R_FUS</f>
        <v/>
      </c>
      <c r="AK36">
        <f>AI36*x_R_NFZ</f>
        <v/>
      </c>
      <c r="AL36">
        <f>AI36*x_R_PIT</f>
        <v/>
      </c>
      <c r="AM36">
        <f>AI36*x_R_FP</f>
        <v/>
      </c>
      <c r="AN36">
        <f>Z36+AA36+AB36+AC36+AE36</f>
        <v/>
      </c>
      <c r="AO36">
        <f>AN36+AD36+AF36+AG36+AH36+AJ36+AK36+AL36+AM36</f>
        <v/>
      </c>
      <c r="AP36">
        <f>AN36+AD36+AF36+AI36</f>
        <v/>
      </c>
      <c r="AQ36">
        <f>AA36+AB36+AC36+AE36</f>
        <v/>
      </c>
      <c r="AR36">
        <f>AQ36+AD36+AF36</f>
        <v/>
      </c>
    </row>
    <row r="37">
      <c r="A37" t="n">
        <v>2060</v>
      </c>
      <c r="B37" t="n">
        <v>34</v>
      </c>
      <c r="C37" t="n">
        <v>4832</v>
      </c>
      <c r="D37" t="n">
        <v>0</v>
      </c>
      <c r="E37" t="n">
        <v>0</v>
      </c>
      <c r="F37" t="n">
        <v>0</v>
      </c>
      <c r="G37" t="n">
        <v>0</v>
      </c>
      <c r="H37" t="n">
        <v>2260.806</v>
      </c>
      <c r="I37" t="n">
        <v>223.563</v>
      </c>
      <c r="J37" t="n">
        <v>1256.773</v>
      </c>
      <c r="K37" t="n">
        <v>2216.384</v>
      </c>
      <c r="L37" t="n">
        <v>949.003</v>
      </c>
      <c r="M37" t="n">
        <v>112860.397</v>
      </c>
      <c r="N37" t="n">
        <v>8119.839</v>
      </c>
      <c r="O37" t="n">
        <v>71.708</v>
      </c>
      <c r="P37" t="n">
        <v>72.45399999999999</v>
      </c>
      <c r="Q37" t="n">
        <v>713.7140000000001</v>
      </c>
      <c r="R37" t="n">
        <v>1029.836</v>
      </c>
      <c r="S37" t="n">
        <v>2702.391</v>
      </c>
      <c r="T37" t="n">
        <v>2484.369</v>
      </c>
      <c r="U37" t="n">
        <v>160014.959</v>
      </c>
      <c r="V37" t="n">
        <v>223.154</v>
      </c>
      <c r="W37" t="n">
        <v>632.997</v>
      </c>
      <c r="X37" t="n">
        <v>71.708</v>
      </c>
      <c r="Y37" t="n">
        <v>778.146</v>
      </c>
      <c r="Z37">
        <f>H37*x_c_F+I37*x_c_CC+J37*x_c_DC+K37*x_c_HCC+L37*x_c_PLT+M37*x_c_SVRn+N37*x_c_SVRcc+O37*x_c_LT+P37*x_c_LT1</f>
        <v/>
      </c>
      <c r="AA37">
        <f>C37*x_c_DAA</f>
        <v/>
      </c>
      <c r="AB37">
        <f>C37*x_c_MON</f>
        <v/>
      </c>
      <c r="AC37">
        <f>D37*(1-x_testy)</f>
        <v/>
      </c>
      <c r="AD37">
        <f>E37*(1-x_testy)</f>
        <v/>
      </c>
      <c r="AE37">
        <f>F37*x_NAV</f>
        <v/>
      </c>
      <c r="AF37">
        <f>G37*x_FIX*(1-x_testy)</f>
        <v/>
      </c>
      <c r="AG37">
        <f>x_z_F*T37+(1-x_AGRI)*x_EMP*x_WLOSS*(x_PEN_K74*Q37+x_PEN_C22*R37)</f>
        <v/>
      </c>
      <c r="AH37">
        <f>x_AGRI*x_EMP*x_WLOSS*(x_PEN_K74*Q37+x_PEN_C22*R37)</f>
        <v/>
      </c>
      <c r="AI37">
        <f>x_EMP*x_WAGE*(x_WLOSS*(Q37+R37)+S37)+T37*x_ABS_D*x_WAGE/365</f>
        <v/>
      </c>
      <c r="AJ37">
        <f>AI37*x_R_FUS</f>
        <v/>
      </c>
      <c r="AK37">
        <f>AI37*x_R_NFZ</f>
        <v/>
      </c>
      <c r="AL37">
        <f>AI37*x_R_PIT</f>
        <v/>
      </c>
      <c r="AM37">
        <f>AI37*x_R_FP</f>
        <v/>
      </c>
      <c r="AN37">
        <f>Z37+AA37+AB37+AC37+AE37</f>
        <v/>
      </c>
      <c r="AO37">
        <f>AN37+AD37+AF37+AG37+AH37+AJ37+AK37+AL37+AM37</f>
        <v/>
      </c>
      <c r="AP37">
        <f>AN37+AD37+AF37+AI37</f>
        <v/>
      </c>
      <c r="AQ37">
        <f>AA37+AB37+AC37+AE37</f>
        <v/>
      </c>
      <c r="AR37">
        <f>AQ37+AD37+AF37</f>
        <v/>
      </c>
    </row>
    <row r="38">
      <c r="A38" t="n">
        <v>2061</v>
      </c>
      <c r="B38" t="n">
        <v>35</v>
      </c>
      <c r="C38" t="n">
        <v>4832</v>
      </c>
      <c r="D38" t="n">
        <v>0</v>
      </c>
      <c r="E38" t="n">
        <v>0</v>
      </c>
      <c r="F38" t="n">
        <v>0</v>
      </c>
      <c r="G38" t="n">
        <v>0</v>
      </c>
      <c r="H38" t="n">
        <v>2263.061</v>
      </c>
      <c r="I38" t="n">
        <v>220.704</v>
      </c>
      <c r="J38" t="n">
        <v>1231.366</v>
      </c>
      <c r="K38" t="n">
        <v>2176.677</v>
      </c>
      <c r="L38" t="n">
        <v>922.712</v>
      </c>
      <c r="M38" t="n">
        <v>115215.016</v>
      </c>
      <c r="N38" t="n">
        <v>8061.481</v>
      </c>
      <c r="O38" t="n">
        <v>70.25</v>
      </c>
      <c r="P38" t="n">
        <v>70.979</v>
      </c>
      <c r="Q38" t="n">
        <v>705.929</v>
      </c>
      <c r="R38" t="n">
        <v>1018.65</v>
      </c>
      <c r="S38" t="n">
        <v>2675.021</v>
      </c>
      <c r="T38" t="n">
        <v>2483.764</v>
      </c>
      <c r="U38" t="n">
        <v>161425.333</v>
      </c>
      <c r="V38" t="n">
        <v>219.521</v>
      </c>
      <c r="W38" t="n">
        <v>622.937</v>
      </c>
      <c r="X38" t="n">
        <v>70.25</v>
      </c>
      <c r="Y38" t="n">
        <v>762.851</v>
      </c>
      <c r="Z38">
        <f>H38*x_c_F+I38*x_c_CC+J38*x_c_DC+K38*x_c_HCC+L38*x_c_PLT+M38*x_c_SVRn+N38*x_c_SVRcc+O38*x_c_LT+P38*x_c_LT1</f>
        <v/>
      </c>
      <c r="AA38">
        <f>C38*x_c_DAA</f>
        <v/>
      </c>
      <c r="AB38">
        <f>C38*x_c_MON</f>
        <v/>
      </c>
      <c r="AC38">
        <f>D38*(1-x_testy)</f>
        <v/>
      </c>
      <c r="AD38">
        <f>E38*(1-x_testy)</f>
        <v/>
      </c>
      <c r="AE38">
        <f>F38*x_NAV</f>
        <v/>
      </c>
      <c r="AF38">
        <f>G38*x_FIX*(1-x_testy)</f>
        <v/>
      </c>
      <c r="AG38">
        <f>x_z_F*T38+(1-x_AGRI)*x_EMP*x_WLOSS*(x_PEN_K74*Q38+x_PEN_C22*R38)</f>
        <v/>
      </c>
      <c r="AH38">
        <f>x_AGRI*x_EMP*x_WLOSS*(x_PEN_K74*Q38+x_PEN_C22*R38)</f>
        <v/>
      </c>
      <c r="AI38">
        <f>x_EMP*x_WAGE*(x_WLOSS*(Q38+R38)+S38)+T38*x_ABS_D*x_WAGE/365</f>
        <v/>
      </c>
      <c r="AJ38">
        <f>AI38*x_R_FUS</f>
        <v/>
      </c>
      <c r="AK38">
        <f>AI38*x_R_NFZ</f>
        <v/>
      </c>
      <c r="AL38">
        <f>AI38*x_R_PIT</f>
        <v/>
      </c>
      <c r="AM38">
        <f>AI38*x_R_FP</f>
        <v/>
      </c>
      <c r="AN38">
        <f>Z38+AA38+AB38+AC38+AE38</f>
        <v/>
      </c>
      <c r="AO38">
        <f>AN38+AD38+AF38+AG38+AH38+AJ38+AK38+AL38+AM38</f>
        <v/>
      </c>
      <c r="AP38">
        <f>AN38+AD38+AF38+AI38</f>
        <v/>
      </c>
      <c r="AQ38">
        <f>AA38+AB38+AC38+AE38</f>
        <v/>
      </c>
      <c r="AR38">
        <f>AQ38+AD38+AF38</f>
        <v/>
      </c>
    </row>
    <row r="39">
      <c r="A39" t="n">
        <v>2062</v>
      </c>
      <c r="B39" t="n">
        <v>36</v>
      </c>
      <c r="C39" t="n">
        <v>4832</v>
      </c>
      <c r="D39" t="n">
        <v>0</v>
      </c>
      <c r="E39" t="n">
        <v>0</v>
      </c>
      <c r="F39" t="n">
        <v>0</v>
      </c>
      <c r="G39" t="n">
        <v>0</v>
      </c>
      <c r="H39" t="n">
        <v>2265.11</v>
      </c>
      <c r="I39" t="n">
        <v>218.076</v>
      </c>
      <c r="J39" t="n">
        <v>1206.817</v>
      </c>
      <c r="K39" t="n">
        <v>2138.343</v>
      </c>
      <c r="L39" t="n">
        <v>895.208</v>
      </c>
      <c r="M39" t="n">
        <v>117478.882</v>
      </c>
      <c r="N39" t="n">
        <v>7988.48</v>
      </c>
      <c r="O39" t="n">
        <v>68.849</v>
      </c>
      <c r="P39" t="n">
        <v>69.54900000000001</v>
      </c>
      <c r="Q39" t="n">
        <v>698.407</v>
      </c>
      <c r="R39" t="n">
        <v>1007.866</v>
      </c>
      <c r="S39" t="n">
        <v>2648.344</v>
      </c>
      <c r="T39" t="n">
        <v>2483.186</v>
      </c>
      <c r="U39" t="n">
        <v>162773.329</v>
      </c>
      <c r="V39" t="n">
        <v>216.104</v>
      </c>
      <c r="W39" t="n">
        <v>613.365</v>
      </c>
      <c r="X39" t="n">
        <v>68.849</v>
      </c>
      <c r="Y39" t="n">
        <v>748.077</v>
      </c>
      <c r="Z39">
        <f>H39*x_c_F+I39*x_c_CC+J39*x_c_DC+K39*x_c_HCC+L39*x_c_PLT+M39*x_c_SVRn+N39*x_c_SVRcc+O39*x_c_LT+P39*x_c_LT1</f>
        <v/>
      </c>
      <c r="AA39">
        <f>C39*x_c_DAA</f>
        <v/>
      </c>
      <c r="AB39">
        <f>C39*x_c_MON</f>
        <v/>
      </c>
      <c r="AC39">
        <f>D39*(1-x_testy)</f>
        <v/>
      </c>
      <c r="AD39">
        <f>E39*(1-x_testy)</f>
        <v/>
      </c>
      <c r="AE39">
        <f>F39*x_NAV</f>
        <v/>
      </c>
      <c r="AF39">
        <f>G39*x_FIX*(1-x_testy)</f>
        <v/>
      </c>
      <c r="AG39">
        <f>x_z_F*T39+(1-x_AGRI)*x_EMP*x_WLOSS*(x_PEN_K74*Q39+x_PEN_C22*R39)</f>
        <v/>
      </c>
      <c r="AH39">
        <f>x_AGRI*x_EMP*x_WLOSS*(x_PEN_K74*Q39+x_PEN_C22*R39)</f>
        <v/>
      </c>
      <c r="AI39">
        <f>x_EMP*x_WAGE*(x_WLOSS*(Q39+R39)+S39)+T39*x_ABS_D*x_WAGE/365</f>
        <v/>
      </c>
      <c r="AJ39">
        <f>AI39*x_R_FUS</f>
        <v/>
      </c>
      <c r="AK39">
        <f>AI39*x_R_NFZ</f>
        <v/>
      </c>
      <c r="AL39">
        <f>AI39*x_R_PIT</f>
        <v/>
      </c>
      <c r="AM39">
        <f>AI39*x_R_FP</f>
        <v/>
      </c>
      <c r="AN39">
        <f>Z39+AA39+AB39+AC39+AE39</f>
        <v/>
      </c>
      <c r="AO39">
        <f>AN39+AD39+AF39+AG39+AH39+AJ39+AK39+AL39+AM39</f>
        <v/>
      </c>
      <c r="AP39">
        <f>AN39+AD39+AF39+AI39</f>
        <v/>
      </c>
      <c r="AQ39">
        <f>AA39+AB39+AC39+AE39</f>
        <v/>
      </c>
      <c r="AR39">
        <f>AQ39+AD39+AF39</f>
        <v/>
      </c>
    </row>
    <row r="40">
      <c r="A40" t="n">
        <v>2063</v>
      </c>
      <c r="B40" t="n">
        <v>37</v>
      </c>
      <c r="C40" t="n">
        <v>4832</v>
      </c>
      <c r="D40" t="n">
        <v>0</v>
      </c>
      <c r="E40" t="n">
        <v>0</v>
      </c>
      <c r="F40" t="n">
        <v>0</v>
      </c>
      <c r="G40" t="n">
        <v>0</v>
      </c>
      <c r="H40" t="n">
        <v>2266.925</v>
      </c>
      <c r="I40" t="n">
        <v>215.712</v>
      </c>
      <c r="J40" t="n">
        <v>1183.562</v>
      </c>
      <c r="K40" t="n">
        <v>2102.04</v>
      </c>
      <c r="L40" t="n">
        <v>867.101</v>
      </c>
      <c r="M40" t="n">
        <v>119664.027</v>
      </c>
      <c r="N40" t="n">
        <v>7905.08</v>
      </c>
      <c r="O40" t="n">
        <v>67.535</v>
      </c>
      <c r="P40" t="n">
        <v>68.19199999999999</v>
      </c>
      <c r="Q40" t="n">
        <v>691.159</v>
      </c>
      <c r="R40" t="n">
        <v>997.495</v>
      </c>
      <c r="S40" t="n">
        <v>2622.431</v>
      </c>
      <c r="T40" t="n">
        <v>2482.637</v>
      </c>
      <c r="U40" t="n">
        <v>164072.952</v>
      </c>
      <c r="V40" t="n">
        <v>212.954</v>
      </c>
      <c r="W40" t="n">
        <v>604.448</v>
      </c>
      <c r="X40" t="n">
        <v>67.535</v>
      </c>
      <c r="Y40" t="n">
        <v>734.122</v>
      </c>
      <c r="Z40">
        <f>H40*x_c_F+I40*x_c_CC+J40*x_c_DC+K40*x_c_HCC+L40*x_c_PLT+M40*x_c_SVRn+N40*x_c_SVRcc+O40*x_c_LT+P40*x_c_LT1</f>
        <v/>
      </c>
      <c r="AA40">
        <f>C40*x_c_DAA</f>
        <v/>
      </c>
      <c r="AB40">
        <f>C40*x_c_MON</f>
        <v/>
      </c>
      <c r="AC40">
        <f>D40*(1-x_testy)</f>
        <v/>
      </c>
      <c r="AD40">
        <f>E40*(1-x_testy)</f>
        <v/>
      </c>
      <c r="AE40">
        <f>F40*x_NAV</f>
        <v/>
      </c>
      <c r="AF40">
        <f>G40*x_FIX*(1-x_testy)</f>
        <v/>
      </c>
      <c r="AG40">
        <f>x_z_F*T40+(1-x_AGRI)*x_EMP*x_WLOSS*(x_PEN_K74*Q40+x_PEN_C22*R40)</f>
        <v/>
      </c>
      <c r="AH40">
        <f>x_AGRI*x_EMP*x_WLOSS*(x_PEN_K74*Q40+x_PEN_C22*R40)</f>
        <v/>
      </c>
      <c r="AI40">
        <f>x_EMP*x_WAGE*(x_WLOSS*(Q40+R40)+S40)+T40*x_ABS_D*x_WAGE/365</f>
        <v/>
      </c>
      <c r="AJ40">
        <f>AI40*x_R_FUS</f>
        <v/>
      </c>
      <c r="AK40">
        <f>AI40*x_R_NFZ</f>
        <v/>
      </c>
      <c r="AL40">
        <f>AI40*x_R_PIT</f>
        <v/>
      </c>
      <c r="AM40">
        <f>AI40*x_R_FP</f>
        <v/>
      </c>
      <c r="AN40">
        <f>Z40+AA40+AB40+AC40+AE40</f>
        <v/>
      </c>
      <c r="AO40">
        <f>AN40+AD40+AF40+AG40+AH40+AJ40+AK40+AL40+AM40</f>
        <v/>
      </c>
      <c r="AP40">
        <f>AN40+AD40+AF40+AI40</f>
        <v/>
      </c>
      <c r="AQ40">
        <f>AA40+AB40+AC40+AE40</f>
        <v/>
      </c>
      <c r="AR40">
        <f>AQ40+AD40+AF40</f>
        <v/>
      </c>
    </row>
    <row r="41">
      <c r="A41" t="n">
        <v>2064</v>
      </c>
      <c r="B41" t="n">
        <v>38</v>
      </c>
      <c r="C41" t="n">
        <v>4832</v>
      </c>
      <c r="D41" t="n">
        <v>0</v>
      </c>
      <c r="E41" t="n">
        <v>0</v>
      </c>
      <c r="F41" t="n">
        <v>0</v>
      </c>
      <c r="G41" t="n">
        <v>0</v>
      </c>
      <c r="H41" t="n">
        <v>2268.485</v>
      </c>
      <c r="I41" t="n">
        <v>213.636</v>
      </c>
      <c r="J41" t="n">
        <v>1162.045</v>
      </c>
      <c r="K41" t="n">
        <v>2068.453</v>
      </c>
      <c r="L41" t="n">
        <v>839.116</v>
      </c>
      <c r="M41" t="n">
        <v>121787.366</v>
      </c>
      <c r="N41" t="n">
        <v>7816.4</v>
      </c>
      <c r="O41" t="n">
        <v>66.33199999999999</v>
      </c>
      <c r="P41" t="n">
        <v>66.934</v>
      </c>
      <c r="Q41" t="n">
        <v>684.192</v>
      </c>
      <c r="R41" t="n">
        <v>987.545</v>
      </c>
      <c r="S41" t="n">
        <v>2597.341</v>
      </c>
      <c r="T41" t="n">
        <v>2482.121</v>
      </c>
      <c r="U41" t="n">
        <v>165342.273</v>
      </c>
      <c r="V41" t="n">
        <v>210.115</v>
      </c>
      <c r="W41" t="n">
        <v>596.337</v>
      </c>
      <c r="X41" t="n">
        <v>66.33199999999999</v>
      </c>
      <c r="Y41" t="n">
        <v>721.265</v>
      </c>
      <c r="Z41">
        <f>H41*x_c_F+I41*x_c_CC+J41*x_c_DC+K41*x_c_HCC+L41*x_c_PLT+M41*x_c_SVRn+N41*x_c_SVRcc+O41*x_c_LT+P41*x_c_LT1</f>
        <v/>
      </c>
      <c r="AA41">
        <f>C41*x_c_DAA</f>
        <v/>
      </c>
      <c r="AB41">
        <f>C41*x_c_MON</f>
        <v/>
      </c>
      <c r="AC41">
        <f>D41*(1-x_testy)</f>
        <v/>
      </c>
      <c r="AD41">
        <f>E41*(1-x_testy)</f>
        <v/>
      </c>
      <c r="AE41">
        <f>F41*x_NAV</f>
        <v/>
      </c>
      <c r="AF41">
        <f>G41*x_FIX*(1-x_testy)</f>
        <v/>
      </c>
      <c r="AG41">
        <f>x_z_F*T41+(1-x_AGRI)*x_EMP*x_WLOSS*(x_PEN_K74*Q41+x_PEN_C22*R41)</f>
        <v/>
      </c>
      <c r="AH41">
        <f>x_AGRI*x_EMP*x_WLOSS*(x_PEN_K74*Q41+x_PEN_C22*R41)</f>
        <v/>
      </c>
      <c r="AI41">
        <f>x_EMP*x_WAGE*(x_WLOSS*(Q41+R41)+S41)+T41*x_ABS_D*x_WAGE/365</f>
        <v/>
      </c>
      <c r="AJ41">
        <f>AI41*x_R_FUS</f>
        <v/>
      </c>
      <c r="AK41">
        <f>AI41*x_R_NFZ</f>
        <v/>
      </c>
      <c r="AL41">
        <f>AI41*x_R_PIT</f>
        <v/>
      </c>
      <c r="AM41">
        <f>AI41*x_R_FP</f>
        <v/>
      </c>
      <c r="AN41">
        <f>Z41+AA41+AB41+AC41+AE41</f>
        <v/>
      </c>
      <c r="AO41">
        <f>AN41+AD41+AF41+AG41+AH41+AJ41+AK41+AL41+AM41</f>
        <v/>
      </c>
      <c r="AP41">
        <f>AN41+AD41+AF41+AI41</f>
        <v/>
      </c>
      <c r="AQ41">
        <f>AA41+AB41+AC41+AE41</f>
        <v/>
      </c>
      <c r="AR41">
        <f>AQ41+AD41+AF41</f>
        <v/>
      </c>
    </row>
    <row r="42">
      <c r="A42" t="n">
        <v>2065</v>
      </c>
      <c r="B42" t="n">
        <v>39</v>
      </c>
      <c r="C42" t="n">
        <v>4832</v>
      </c>
      <c r="D42" t="n">
        <v>0</v>
      </c>
      <c r="E42" t="n">
        <v>0</v>
      </c>
      <c r="F42" t="n">
        <v>0</v>
      </c>
      <c r="G42" t="n">
        <v>0</v>
      </c>
      <c r="H42" t="n">
        <v>2269.781</v>
      </c>
      <c r="I42" t="n">
        <v>211.857</v>
      </c>
      <c r="J42" t="n">
        <v>1142.633</v>
      </c>
      <c r="K42" t="n">
        <v>2038.149</v>
      </c>
      <c r="L42" t="n">
        <v>812</v>
      </c>
      <c r="M42" t="n">
        <v>123867.59</v>
      </c>
      <c r="N42" t="n">
        <v>7727.701</v>
      </c>
      <c r="O42" t="n">
        <v>65.26000000000001</v>
      </c>
      <c r="P42" t="n">
        <v>65.79600000000001</v>
      </c>
      <c r="Q42" t="n">
        <v>677.5119999999999</v>
      </c>
      <c r="R42" t="n">
        <v>978.02</v>
      </c>
      <c r="S42" t="n">
        <v>2573.128</v>
      </c>
      <c r="T42" t="n">
        <v>2481.639</v>
      </c>
      <c r="U42" t="n">
        <v>166599.968</v>
      </c>
      <c r="V42" t="n">
        <v>207.61</v>
      </c>
      <c r="W42" t="n">
        <v>589.1319999999999</v>
      </c>
      <c r="X42" t="n">
        <v>65.26000000000001</v>
      </c>
      <c r="Y42" t="n">
        <v>709.725</v>
      </c>
      <c r="Z42">
        <f>H42*x_c_F+I42*x_c_CC+J42*x_c_DC+K42*x_c_HCC+L42*x_c_PLT+M42*x_c_SVRn+N42*x_c_SVRcc+O42*x_c_LT+P42*x_c_LT1</f>
        <v/>
      </c>
      <c r="AA42">
        <f>C42*x_c_DAA</f>
        <v/>
      </c>
      <c r="AB42">
        <f>C42*x_c_MON</f>
        <v/>
      </c>
      <c r="AC42">
        <f>D42*(1-x_testy)</f>
        <v/>
      </c>
      <c r="AD42">
        <f>E42*(1-x_testy)</f>
        <v/>
      </c>
      <c r="AE42">
        <f>F42*x_NAV</f>
        <v/>
      </c>
      <c r="AF42">
        <f>G42*x_FIX*(1-x_testy)</f>
        <v/>
      </c>
      <c r="AG42">
        <f>x_z_F*T42+(1-x_AGRI)*x_EMP*x_WLOSS*(x_PEN_K74*Q42+x_PEN_C22*R42)</f>
        <v/>
      </c>
      <c r="AH42">
        <f>x_AGRI*x_EMP*x_WLOSS*(x_PEN_K74*Q42+x_PEN_C22*R42)</f>
        <v/>
      </c>
      <c r="AI42">
        <f>x_EMP*x_WAGE*(x_WLOSS*(Q42+R42)+S42)+T42*x_ABS_D*x_WAGE/365</f>
        <v/>
      </c>
      <c r="AJ42">
        <f>AI42*x_R_FUS</f>
        <v/>
      </c>
      <c r="AK42">
        <f>AI42*x_R_NFZ</f>
        <v/>
      </c>
      <c r="AL42">
        <f>AI42*x_R_PIT</f>
        <v/>
      </c>
      <c r="AM42">
        <f>AI42*x_R_FP</f>
        <v/>
      </c>
      <c r="AN42">
        <f>Z42+AA42+AB42+AC42+AE42</f>
        <v/>
      </c>
      <c r="AO42">
        <f>AN42+AD42+AF42+AG42+AH42+AJ42+AK42+AL42+AM42</f>
        <v/>
      </c>
      <c r="AP42">
        <f>AN42+AD42+AF42+AI42</f>
        <v/>
      </c>
      <c r="AQ42">
        <f>AA42+AB42+AC42+AE42</f>
        <v/>
      </c>
      <c r="AR42">
        <f>AQ42+AD42+AF42</f>
        <v/>
      </c>
    </row>
    <row r="43">
      <c r="A43" t="n">
        <v>2066</v>
      </c>
      <c r="B43" t="n">
        <v>40</v>
      </c>
      <c r="C43" t="n">
        <v>4832</v>
      </c>
      <c r="D43" t="n">
        <v>0</v>
      </c>
      <c r="E43" t="n">
        <v>0</v>
      </c>
      <c r="F43" t="n">
        <v>0</v>
      </c>
      <c r="G43" t="n">
        <v>0</v>
      </c>
      <c r="H43" t="n">
        <v>2270.822</v>
      </c>
      <c r="I43" t="n">
        <v>210.368</v>
      </c>
      <c r="J43" t="n">
        <v>1125.565</v>
      </c>
      <c r="K43" t="n">
        <v>2011.497</v>
      </c>
      <c r="L43" t="n">
        <v>786.428</v>
      </c>
      <c r="M43" t="n">
        <v>125922.697</v>
      </c>
      <c r="N43" t="n">
        <v>7643.81</v>
      </c>
      <c r="O43" t="n">
        <v>64.33</v>
      </c>
      <c r="P43" t="n">
        <v>64.795</v>
      </c>
      <c r="Q43" t="n">
        <v>671.122</v>
      </c>
      <c r="R43" t="n">
        <v>968.921</v>
      </c>
      <c r="S43" t="n">
        <v>2549.836</v>
      </c>
      <c r="T43" t="n">
        <v>2481.19</v>
      </c>
      <c r="U43" t="n">
        <v>167862.953</v>
      </c>
      <c r="V43" t="n">
        <v>205.446</v>
      </c>
      <c r="W43" t="n">
        <v>582.873</v>
      </c>
      <c r="X43" t="n">
        <v>64.33</v>
      </c>
      <c r="Y43" t="n">
        <v>699.638</v>
      </c>
      <c r="Z43">
        <f>H43*x_c_F+I43*x_c_CC+J43*x_c_DC+K43*x_c_HCC+L43*x_c_PLT+M43*x_c_SVRn+N43*x_c_SVRcc+O43*x_c_LT+P43*x_c_LT1</f>
        <v/>
      </c>
      <c r="AA43">
        <f>C43*x_c_DAA</f>
        <v/>
      </c>
      <c r="AB43">
        <f>C43*x_c_MON</f>
        <v/>
      </c>
      <c r="AC43">
        <f>D43*(1-x_testy)</f>
        <v/>
      </c>
      <c r="AD43">
        <f>E43*(1-x_testy)</f>
        <v/>
      </c>
      <c r="AE43">
        <f>F43*x_NAV</f>
        <v/>
      </c>
      <c r="AF43">
        <f>G43*x_FIX*(1-x_testy)</f>
        <v/>
      </c>
      <c r="AG43">
        <f>x_z_F*T43+(1-x_AGRI)*x_EMP*x_WLOSS*(x_PEN_K74*Q43+x_PEN_C22*R43)</f>
        <v/>
      </c>
      <c r="AH43">
        <f>x_AGRI*x_EMP*x_WLOSS*(x_PEN_K74*Q43+x_PEN_C22*R43)</f>
        <v/>
      </c>
      <c r="AI43">
        <f>x_EMP*x_WAGE*(x_WLOSS*(Q43+R43)+S43)+T43*x_ABS_D*x_WAGE/365</f>
        <v/>
      </c>
      <c r="AJ43">
        <f>AI43*x_R_FUS</f>
        <v/>
      </c>
      <c r="AK43">
        <f>AI43*x_R_NFZ</f>
        <v/>
      </c>
      <c r="AL43">
        <f>AI43*x_R_PIT</f>
        <v/>
      </c>
      <c r="AM43">
        <f>AI43*x_R_FP</f>
        <v/>
      </c>
      <c r="AN43">
        <f>Z43+AA43+AB43+AC43+AE43</f>
        <v/>
      </c>
      <c r="AO43">
        <f>AN43+AD43+AF43+AG43+AH43+AJ43+AK43+AL43+AM43</f>
        <v/>
      </c>
      <c r="AP43">
        <f>AN43+AD43+AF43+AI43</f>
        <v/>
      </c>
      <c r="AQ43">
        <f>AA43+AB43+AC43+AE43</f>
        <v/>
      </c>
      <c r="AR43">
        <f>AQ43+AD43+AF43</f>
        <v/>
      </c>
    </row>
    <row r="44">
      <c r="A44" t="n">
        <v>2067</v>
      </c>
      <c r="B44" t="n">
        <v>41</v>
      </c>
      <c r="C44" t="n">
        <v>4832</v>
      </c>
      <c r="D44" t="n">
        <v>0</v>
      </c>
      <c r="E44" t="n">
        <v>0</v>
      </c>
      <c r="F44" t="n">
        <v>0</v>
      </c>
      <c r="G44" t="n">
        <v>0</v>
      </c>
      <c r="H44" t="n">
        <v>2271.631</v>
      </c>
      <c r="I44" t="n">
        <v>209.141</v>
      </c>
      <c r="J44" t="n">
        <v>1110.919</v>
      </c>
      <c r="K44" t="n">
        <v>1988.605</v>
      </c>
      <c r="L44" t="n">
        <v>762.929</v>
      </c>
      <c r="M44" t="n">
        <v>127967.165</v>
      </c>
      <c r="N44" t="n">
        <v>7568.524</v>
      </c>
      <c r="O44" t="n">
        <v>63.543</v>
      </c>
      <c r="P44" t="n">
        <v>63.937</v>
      </c>
      <c r="Q44" t="n">
        <v>665.023</v>
      </c>
      <c r="R44" t="n">
        <v>960.246</v>
      </c>
      <c r="S44" t="n">
        <v>2527.497</v>
      </c>
      <c r="T44" t="n">
        <v>2480.772</v>
      </c>
      <c r="U44" t="n">
        <v>169143.667</v>
      </c>
      <c r="V44" t="n">
        <v>203.601</v>
      </c>
      <c r="W44" t="n">
        <v>577.529</v>
      </c>
      <c r="X44" t="n">
        <v>63.543</v>
      </c>
      <c r="Y44" t="n">
        <v>691.02</v>
      </c>
      <c r="Z44">
        <f>H44*x_c_F+I44*x_c_CC+J44*x_c_DC+K44*x_c_HCC+L44*x_c_PLT+M44*x_c_SVRn+N44*x_c_SVRcc+O44*x_c_LT+P44*x_c_LT1</f>
        <v/>
      </c>
      <c r="AA44">
        <f>C44*x_c_DAA</f>
        <v/>
      </c>
      <c r="AB44">
        <f>C44*x_c_MON</f>
        <v/>
      </c>
      <c r="AC44">
        <f>D44*(1-x_testy)</f>
        <v/>
      </c>
      <c r="AD44">
        <f>E44*(1-x_testy)</f>
        <v/>
      </c>
      <c r="AE44">
        <f>F44*x_NAV</f>
        <v/>
      </c>
      <c r="AF44">
        <f>G44*x_FIX*(1-x_testy)</f>
        <v/>
      </c>
      <c r="AG44">
        <f>x_z_F*T44+(1-x_AGRI)*x_EMP*x_WLOSS*(x_PEN_K74*Q44+x_PEN_C22*R44)</f>
        <v/>
      </c>
      <c r="AH44">
        <f>x_AGRI*x_EMP*x_WLOSS*(x_PEN_K74*Q44+x_PEN_C22*R44)</f>
        <v/>
      </c>
      <c r="AI44">
        <f>x_EMP*x_WAGE*(x_WLOSS*(Q44+R44)+S44)+T44*x_ABS_D*x_WAGE/365</f>
        <v/>
      </c>
      <c r="AJ44">
        <f>AI44*x_R_FUS</f>
        <v/>
      </c>
      <c r="AK44">
        <f>AI44*x_R_NFZ</f>
        <v/>
      </c>
      <c r="AL44">
        <f>AI44*x_R_PIT</f>
        <v/>
      </c>
      <c r="AM44">
        <f>AI44*x_R_FP</f>
        <v/>
      </c>
      <c r="AN44">
        <f>Z44+AA44+AB44+AC44+AE44</f>
        <v/>
      </c>
      <c r="AO44">
        <f>AN44+AD44+AF44+AG44+AH44+AJ44+AK44+AL44+AM44</f>
        <v/>
      </c>
      <c r="AP44">
        <f>AN44+AD44+AF44+AI44</f>
        <v/>
      </c>
      <c r="AQ44">
        <f>AA44+AB44+AC44+AE44</f>
        <v/>
      </c>
      <c r="AR44">
        <f>AQ44+AD44+AF44</f>
        <v/>
      </c>
    </row>
    <row r="45">
      <c r="A45" t="n">
        <v>2068</v>
      </c>
      <c r="B45" t="n">
        <v>42</v>
      </c>
      <c r="C45" t="n">
        <v>4832</v>
      </c>
      <c r="D45" t="n">
        <v>0</v>
      </c>
      <c r="E45" t="n">
        <v>0</v>
      </c>
      <c r="F45" t="n">
        <v>0</v>
      </c>
      <c r="G45" t="n">
        <v>0</v>
      </c>
      <c r="H45" t="n">
        <v>2272.246</v>
      </c>
      <c r="I45" t="n">
        <v>208.135</v>
      </c>
      <c r="J45" t="n">
        <v>1098.629</v>
      </c>
      <c r="K45" t="n">
        <v>1969.359</v>
      </c>
      <c r="L45" t="n">
        <v>741.877</v>
      </c>
      <c r="M45" t="n">
        <v>130011.792</v>
      </c>
      <c r="N45" t="n">
        <v>7504.591</v>
      </c>
      <c r="O45" t="n">
        <v>62.892</v>
      </c>
      <c r="P45" t="n">
        <v>63.217</v>
      </c>
      <c r="Q45" t="n">
        <v>659.2140000000001</v>
      </c>
      <c r="R45" t="n">
        <v>951.991</v>
      </c>
      <c r="S45" t="n">
        <v>2506.136</v>
      </c>
      <c r="T45" t="n">
        <v>2480.381</v>
      </c>
      <c r="U45" t="n">
        <v>170450.217</v>
      </c>
      <c r="V45" t="n">
        <v>202.042</v>
      </c>
      <c r="W45" t="n">
        <v>573.03</v>
      </c>
      <c r="X45" t="n">
        <v>62.892</v>
      </c>
      <c r="Y45" t="n">
        <v>683.832</v>
      </c>
      <c r="Z45">
        <f>H45*x_c_F+I45*x_c_CC+J45*x_c_DC+K45*x_c_HCC+L45*x_c_PLT+M45*x_c_SVRn+N45*x_c_SVRcc+O45*x_c_LT+P45*x_c_LT1</f>
        <v/>
      </c>
      <c r="AA45">
        <f>C45*x_c_DAA</f>
        <v/>
      </c>
      <c r="AB45">
        <f>C45*x_c_MON</f>
        <v/>
      </c>
      <c r="AC45">
        <f>D45*(1-x_testy)</f>
        <v/>
      </c>
      <c r="AD45">
        <f>E45*(1-x_testy)</f>
        <v/>
      </c>
      <c r="AE45">
        <f>F45*x_NAV</f>
        <v/>
      </c>
      <c r="AF45">
        <f>G45*x_FIX*(1-x_testy)</f>
        <v/>
      </c>
      <c r="AG45">
        <f>x_z_F*T45+(1-x_AGRI)*x_EMP*x_WLOSS*(x_PEN_K74*Q45+x_PEN_C22*R45)</f>
        <v/>
      </c>
      <c r="AH45">
        <f>x_AGRI*x_EMP*x_WLOSS*(x_PEN_K74*Q45+x_PEN_C22*R45)</f>
        <v/>
      </c>
      <c r="AI45">
        <f>x_EMP*x_WAGE*(x_WLOSS*(Q45+R45)+S45)+T45*x_ABS_D*x_WAGE/365</f>
        <v/>
      </c>
      <c r="AJ45">
        <f>AI45*x_R_FUS</f>
        <v/>
      </c>
      <c r="AK45">
        <f>AI45*x_R_NFZ</f>
        <v/>
      </c>
      <c r="AL45">
        <f>AI45*x_R_PIT</f>
        <v/>
      </c>
      <c r="AM45">
        <f>AI45*x_R_FP</f>
        <v/>
      </c>
      <c r="AN45">
        <f>Z45+AA45+AB45+AC45+AE45</f>
        <v/>
      </c>
      <c r="AO45">
        <f>AN45+AD45+AF45+AG45+AH45+AJ45+AK45+AL45+AM45</f>
        <v/>
      </c>
      <c r="AP45">
        <f>AN45+AD45+AF45+AI45</f>
        <v/>
      </c>
      <c r="AQ45">
        <f>AA45+AB45+AC45+AE45</f>
        <v/>
      </c>
      <c r="AR45">
        <f>AQ45+AD45+AF45</f>
        <v/>
      </c>
    </row>
    <row r="46">
      <c r="A46" t="n">
        <v>2069</v>
      </c>
      <c r="B46" t="n">
        <v>43</v>
      </c>
      <c r="C46" t="n">
        <v>4832</v>
      </c>
      <c r="D46" t="n">
        <v>0</v>
      </c>
      <c r="E46" t="n">
        <v>0</v>
      </c>
      <c r="F46" t="n">
        <v>0</v>
      </c>
      <c r="G46" t="n">
        <v>0</v>
      </c>
      <c r="H46" t="n">
        <v>2272.711</v>
      </c>
      <c r="I46" t="n">
        <v>207.302</v>
      </c>
      <c r="J46" t="n">
        <v>1088.52</v>
      </c>
      <c r="K46" t="n">
        <v>1953.469</v>
      </c>
      <c r="L46" t="n">
        <v>723.503</v>
      </c>
      <c r="M46" t="n">
        <v>132063.656</v>
      </c>
      <c r="N46" t="n">
        <v>7453.73</v>
      </c>
      <c r="O46" t="n">
        <v>62.364</v>
      </c>
      <c r="P46" t="n">
        <v>62.628</v>
      </c>
      <c r="Q46" t="n">
        <v>653.693</v>
      </c>
      <c r="R46" t="n">
        <v>944.148</v>
      </c>
      <c r="S46" t="n">
        <v>2485.767</v>
      </c>
      <c r="T46" t="n">
        <v>2480.013</v>
      </c>
      <c r="U46" t="n">
        <v>171786.709</v>
      </c>
      <c r="V46" t="n">
        <v>200.723</v>
      </c>
      <c r="W46" t="n">
        <v>569.26</v>
      </c>
      <c r="X46" t="n">
        <v>62.364</v>
      </c>
      <c r="Y46" t="n">
        <v>677.95</v>
      </c>
      <c r="Z46">
        <f>H46*x_c_F+I46*x_c_CC+J46*x_c_DC+K46*x_c_HCC+L46*x_c_PLT+M46*x_c_SVRn+N46*x_c_SVRcc+O46*x_c_LT+P46*x_c_LT1</f>
        <v/>
      </c>
      <c r="AA46">
        <f>C46*x_c_DAA</f>
        <v/>
      </c>
      <c r="AB46">
        <f>C46*x_c_MON</f>
        <v/>
      </c>
      <c r="AC46">
        <f>D46*(1-x_testy)</f>
        <v/>
      </c>
      <c r="AD46">
        <f>E46*(1-x_testy)</f>
        <v/>
      </c>
      <c r="AE46">
        <f>F46*x_NAV</f>
        <v/>
      </c>
      <c r="AF46">
        <f>G46*x_FIX*(1-x_testy)</f>
        <v/>
      </c>
      <c r="AG46">
        <f>x_z_F*T46+(1-x_AGRI)*x_EMP*x_WLOSS*(x_PEN_K74*Q46+x_PEN_C22*R46)</f>
        <v/>
      </c>
      <c r="AH46">
        <f>x_AGRI*x_EMP*x_WLOSS*(x_PEN_K74*Q46+x_PEN_C22*R46)</f>
        <v/>
      </c>
      <c r="AI46">
        <f>x_EMP*x_WAGE*(x_WLOSS*(Q46+R46)+S46)+T46*x_ABS_D*x_WAGE/365</f>
        <v/>
      </c>
      <c r="AJ46">
        <f>AI46*x_R_FUS</f>
        <v/>
      </c>
      <c r="AK46">
        <f>AI46*x_R_NFZ</f>
        <v/>
      </c>
      <c r="AL46">
        <f>AI46*x_R_PIT</f>
        <v/>
      </c>
      <c r="AM46">
        <f>AI46*x_R_FP</f>
        <v/>
      </c>
      <c r="AN46">
        <f>Z46+AA46+AB46+AC46+AE46</f>
        <v/>
      </c>
      <c r="AO46">
        <f>AN46+AD46+AF46+AG46+AH46+AJ46+AK46+AL46+AM46</f>
        <v/>
      </c>
      <c r="AP46">
        <f>AN46+AD46+AF46+AI46</f>
        <v/>
      </c>
      <c r="AQ46">
        <f>AA46+AB46+AC46+AE46</f>
        <v/>
      </c>
      <c r="AR46">
        <f>AQ46+AD46+AF46</f>
        <v/>
      </c>
    </row>
    <row r="47">
      <c r="A47" t="n">
        <v>2070</v>
      </c>
      <c r="B47" t="n">
        <v>44</v>
      </c>
      <c r="C47" t="n">
        <v>4832</v>
      </c>
      <c r="D47" t="n">
        <v>0</v>
      </c>
      <c r="E47" t="n">
        <v>0</v>
      </c>
      <c r="F47" t="n">
        <v>0</v>
      </c>
      <c r="G47" t="n">
        <v>0</v>
      </c>
      <c r="H47" t="n">
        <v>2273.073</v>
      </c>
      <c r="I47" t="n">
        <v>206.59</v>
      </c>
      <c r="J47" t="n">
        <v>1080.319</v>
      </c>
      <c r="K47" t="n">
        <v>1940.494</v>
      </c>
      <c r="L47" t="n">
        <v>707.87</v>
      </c>
      <c r="M47" t="n">
        <v>134125.252</v>
      </c>
      <c r="N47" t="n">
        <v>7416.523</v>
      </c>
      <c r="O47" t="n">
        <v>61.942</v>
      </c>
      <c r="P47" t="n">
        <v>62.153</v>
      </c>
      <c r="Q47" t="n">
        <v>648.454</v>
      </c>
      <c r="R47" t="n">
        <v>936.71</v>
      </c>
      <c r="S47" t="n">
        <v>2466.395</v>
      </c>
      <c r="T47" t="n">
        <v>2479.663</v>
      </c>
      <c r="U47" t="n">
        <v>173152.644</v>
      </c>
      <c r="V47" t="n">
        <v>199.593</v>
      </c>
      <c r="W47" t="n">
        <v>566.085</v>
      </c>
      <c r="X47" t="n">
        <v>61.942</v>
      </c>
      <c r="Y47" t="n">
        <v>673.202</v>
      </c>
      <c r="Z47">
        <f>H47*x_c_F+I47*x_c_CC+J47*x_c_DC+K47*x_c_HCC+L47*x_c_PLT+M47*x_c_SVRn+N47*x_c_SVRcc+O47*x_c_LT+P47*x_c_LT1</f>
        <v/>
      </c>
      <c r="AA47">
        <f>C47*x_c_DAA</f>
        <v/>
      </c>
      <c r="AB47">
        <f>C47*x_c_MON</f>
        <v/>
      </c>
      <c r="AC47">
        <f>D47*(1-x_testy)</f>
        <v/>
      </c>
      <c r="AD47">
        <f>E47*(1-x_testy)</f>
        <v/>
      </c>
      <c r="AE47">
        <f>F47*x_NAV</f>
        <v/>
      </c>
      <c r="AF47">
        <f>G47*x_FIX*(1-x_testy)</f>
        <v/>
      </c>
      <c r="AG47">
        <f>x_z_F*T47+(1-x_AGRI)*x_EMP*x_WLOSS*(x_PEN_K74*Q47+x_PEN_C22*R47)</f>
        <v/>
      </c>
      <c r="AH47">
        <f>x_AGRI*x_EMP*x_WLOSS*(x_PEN_K74*Q47+x_PEN_C22*R47)</f>
        <v/>
      </c>
      <c r="AI47">
        <f>x_EMP*x_WAGE*(x_WLOSS*(Q47+R47)+S47)+T47*x_ABS_D*x_WAGE/365</f>
        <v/>
      </c>
      <c r="AJ47">
        <f>AI47*x_R_FUS</f>
        <v/>
      </c>
      <c r="AK47">
        <f>AI47*x_R_NFZ</f>
        <v/>
      </c>
      <c r="AL47">
        <f>AI47*x_R_PIT</f>
        <v/>
      </c>
      <c r="AM47">
        <f>AI47*x_R_FP</f>
        <v/>
      </c>
      <c r="AN47">
        <f>Z47+AA47+AB47+AC47+AE47</f>
        <v/>
      </c>
      <c r="AO47">
        <f>AN47+AD47+AF47+AG47+AH47+AJ47+AK47+AL47+AM47</f>
        <v/>
      </c>
      <c r="AP47">
        <f>AN47+AD47+AF47+AI47</f>
        <v/>
      </c>
      <c r="AQ47">
        <f>AA47+AB47+AC47+AE47</f>
        <v/>
      </c>
      <c r="AR47">
        <f>AQ47+AD47+AF47</f>
        <v/>
      </c>
    </row>
    <row r="48">
      <c r="A48" t="n">
        <v>2071</v>
      </c>
      <c r="B48" t="n">
        <v>45</v>
      </c>
      <c r="C48" t="n">
        <v>4832</v>
      </c>
      <c r="D48" t="n">
        <v>0</v>
      </c>
      <c r="E48" t="n">
        <v>0</v>
      </c>
      <c r="F48" t="n">
        <v>0</v>
      </c>
      <c r="G48" t="n">
        <v>0</v>
      </c>
      <c r="H48" t="n">
        <v>2273.377</v>
      </c>
      <c r="I48" t="n">
        <v>205.949</v>
      </c>
      <c r="J48" t="n">
        <v>1073.688</v>
      </c>
      <c r="K48" t="n">
        <v>1929.892</v>
      </c>
      <c r="L48" t="n">
        <v>694.896</v>
      </c>
      <c r="M48" t="n">
        <v>136194.48</v>
      </c>
      <c r="N48" t="n">
        <v>7392.499</v>
      </c>
      <c r="O48" t="n">
        <v>61.605</v>
      </c>
      <c r="P48" t="n">
        <v>61.773</v>
      </c>
      <c r="Q48" t="n">
        <v>643.492</v>
      </c>
      <c r="R48" t="n">
        <v>929.664</v>
      </c>
      <c r="S48" t="n">
        <v>2448.016</v>
      </c>
      <c r="T48" t="n">
        <v>2479.325</v>
      </c>
      <c r="U48" t="n">
        <v>174543.245</v>
      </c>
      <c r="V48" t="n">
        <v>198.596</v>
      </c>
      <c r="W48" t="n">
        <v>563.352</v>
      </c>
      <c r="X48" t="n">
        <v>61.605</v>
      </c>
      <c r="Y48" t="n">
        <v>669.372</v>
      </c>
      <c r="Z48">
        <f>H48*x_c_F+I48*x_c_CC+J48*x_c_DC+K48*x_c_HCC+L48*x_c_PLT+M48*x_c_SVRn+N48*x_c_SVRcc+O48*x_c_LT+P48*x_c_LT1</f>
        <v/>
      </c>
      <c r="AA48">
        <f>C48*x_c_DAA</f>
        <v/>
      </c>
      <c r="AB48">
        <f>C48*x_c_MON</f>
        <v/>
      </c>
      <c r="AC48">
        <f>D48*(1-x_testy)</f>
        <v/>
      </c>
      <c r="AD48">
        <f>E48*(1-x_testy)</f>
        <v/>
      </c>
      <c r="AE48">
        <f>F48*x_NAV</f>
        <v/>
      </c>
      <c r="AF48">
        <f>G48*x_FIX*(1-x_testy)</f>
        <v/>
      </c>
      <c r="AG48">
        <f>x_z_F*T48+(1-x_AGRI)*x_EMP*x_WLOSS*(x_PEN_K74*Q48+x_PEN_C22*R48)</f>
        <v/>
      </c>
      <c r="AH48">
        <f>x_AGRI*x_EMP*x_WLOSS*(x_PEN_K74*Q48+x_PEN_C22*R48)</f>
        <v/>
      </c>
      <c r="AI48">
        <f>x_EMP*x_WAGE*(x_WLOSS*(Q48+R48)+S48)+T48*x_ABS_D*x_WAGE/365</f>
        <v/>
      </c>
      <c r="AJ48">
        <f>AI48*x_R_FUS</f>
        <v/>
      </c>
      <c r="AK48">
        <f>AI48*x_R_NFZ</f>
        <v/>
      </c>
      <c r="AL48">
        <f>AI48*x_R_PIT</f>
        <v/>
      </c>
      <c r="AM48">
        <f>AI48*x_R_FP</f>
        <v/>
      </c>
      <c r="AN48">
        <f>Z48+AA48+AB48+AC48+AE48</f>
        <v/>
      </c>
      <c r="AO48">
        <f>AN48+AD48+AF48+AG48+AH48+AJ48+AK48+AL48+AM48</f>
        <v/>
      </c>
      <c r="AP48">
        <f>AN48+AD48+AF48+AI48</f>
        <v/>
      </c>
      <c r="AQ48">
        <f>AA48+AB48+AC48+AE48</f>
        <v/>
      </c>
      <c r="AR48">
        <f>AQ48+AD48+AF48</f>
        <v/>
      </c>
    </row>
    <row r="49">
      <c r="A49" t="n">
        <v>2072</v>
      </c>
      <c r="B49" t="n">
        <v>46</v>
      </c>
      <c r="C49" t="n">
        <v>4832</v>
      </c>
      <c r="D49" t="n">
        <v>0</v>
      </c>
      <c r="E49" t="n">
        <v>0</v>
      </c>
      <c r="F49" t="n">
        <v>0</v>
      </c>
      <c r="G49" t="n">
        <v>0</v>
      </c>
      <c r="H49" t="n">
        <v>2273.664</v>
      </c>
      <c r="I49" t="n">
        <v>205.333</v>
      </c>
      <c r="J49" t="n">
        <v>1068.266</v>
      </c>
      <c r="K49" t="n">
        <v>1921.087</v>
      </c>
      <c r="L49" t="n">
        <v>684.3819999999999</v>
      </c>
      <c r="M49" t="n">
        <v>138265.687</v>
      </c>
      <c r="N49" t="n">
        <v>7380.411</v>
      </c>
      <c r="O49" t="n">
        <v>61.33</v>
      </c>
      <c r="P49" t="n">
        <v>61.467</v>
      </c>
      <c r="Q49" t="n">
        <v>638.797</v>
      </c>
      <c r="R49" t="n">
        <v>922.998</v>
      </c>
      <c r="S49" t="n">
        <v>2430.615</v>
      </c>
      <c r="T49" t="n">
        <v>2478.996</v>
      </c>
      <c r="U49" t="n">
        <v>175950.694</v>
      </c>
      <c r="V49" t="n">
        <v>197.684</v>
      </c>
      <c r="W49" t="n">
        <v>560.92</v>
      </c>
      <c r="X49" t="n">
        <v>61.33</v>
      </c>
      <c r="Y49" t="n">
        <v>666.245</v>
      </c>
      <c r="Z49">
        <f>H49*x_c_F+I49*x_c_CC+J49*x_c_DC+K49*x_c_HCC+L49*x_c_PLT+M49*x_c_SVRn+N49*x_c_SVRcc+O49*x_c_LT+P49*x_c_LT1</f>
        <v/>
      </c>
      <c r="AA49">
        <f>C49*x_c_DAA</f>
        <v/>
      </c>
      <c r="AB49">
        <f>C49*x_c_MON</f>
        <v/>
      </c>
      <c r="AC49">
        <f>D49*(1-x_testy)</f>
        <v/>
      </c>
      <c r="AD49">
        <f>E49*(1-x_testy)</f>
        <v/>
      </c>
      <c r="AE49">
        <f>F49*x_NAV</f>
        <v/>
      </c>
      <c r="AF49">
        <f>G49*x_FIX*(1-x_testy)</f>
        <v/>
      </c>
      <c r="AG49">
        <f>x_z_F*T49+(1-x_AGRI)*x_EMP*x_WLOSS*(x_PEN_K74*Q49+x_PEN_C22*R49)</f>
        <v/>
      </c>
      <c r="AH49">
        <f>x_AGRI*x_EMP*x_WLOSS*(x_PEN_K74*Q49+x_PEN_C22*R49)</f>
        <v/>
      </c>
      <c r="AI49">
        <f>x_EMP*x_WAGE*(x_WLOSS*(Q49+R49)+S49)+T49*x_ABS_D*x_WAGE/365</f>
        <v/>
      </c>
      <c r="AJ49">
        <f>AI49*x_R_FUS</f>
        <v/>
      </c>
      <c r="AK49">
        <f>AI49*x_R_NFZ</f>
        <v/>
      </c>
      <c r="AL49">
        <f>AI49*x_R_PIT</f>
        <v/>
      </c>
      <c r="AM49">
        <f>AI49*x_R_FP</f>
        <v/>
      </c>
      <c r="AN49">
        <f>Z49+AA49+AB49+AC49+AE49</f>
        <v/>
      </c>
      <c r="AO49">
        <f>AN49+AD49+AF49+AG49+AH49+AJ49+AK49+AL49+AM49</f>
        <v/>
      </c>
      <c r="AP49">
        <f>AN49+AD49+AF49+AI49</f>
        <v/>
      </c>
      <c r="AQ49">
        <f>AA49+AB49+AC49+AE49</f>
        <v/>
      </c>
      <c r="AR49">
        <f>AQ49+AD49+AF49</f>
        <v/>
      </c>
    </row>
    <row r="50">
      <c r="A50" t="n">
        <v>2073</v>
      </c>
      <c r="B50" t="n">
        <v>47</v>
      </c>
      <c r="C50" t="n">
        <v>4832</v>
      </c>
      <c r="D50" t="n">
        <v>0</v>
      </c>
      <c r="E50" t="n">
        <v>0</v>
      </c>
      <c r="F50" t="n">
        <v>0</v>
      </c>
      <c r="G50" t="n">
        <v>0</v>
      </c>
      <c r="H50" t="n">
        <v>2273.966</v>
      </c>
      <c r="I50" t="n">
        <v>204.705</v>
      </c>
      <c r="J50" t="n">
        <v>1063.68</v>
      </c>
      <c r="K50" t="n">
        <v>1913.489</v>
      </c>
      <c r="L50" t="n">
        <v>676.018</v>
      </c>
      <c r="M50" t="n">
        <v>140329.109</v>
      </c>
      <c r="N50" t="n">
        <v>7378.229</v>
      </c>
      <c r="O50" t="n">
        <v>61.096</v>
      </c>
      <c r="P50" t="n">
        <v>61.213</v>
      </c>
      <c r="Q50" t="n">
        <v>634.361</v>
      </c>
      <c r="R50" t="n">
        <v>916.6950000000001</v>
      </c>
      <c r="S50" t="n">
        <v>2414.17</v>
      </c>
      <c r="T50" t="n">
        <v>2478.672</v>
      </c>
      <c r="U50" t="n">
        <v>177363.764</v>
      </c>
      <c r="V50" t="n">
        <v>196.808</v>
      </c>
      <c r="W50" t="n">
        <v>558.646</v>
      </c>
      <c r="X50" t="n">
        <v>61.096</v>
      </c>
      <c r="Y50" t="n">
        <v>663.578</v>
      </c>
      <c r="Z50">
        <f>H50*x_c_F+I50*x_c_CC+J50*x_c_DC+K50*x_c_HCC+L50*x_c_PLT+M50*x_c_SVRn+N50*x_c_SVRcc+O50*x_c_LT+P50*x_c_LT1</f>
        <v/>
      </c>
      <c r="AA50">
        <f>C50*x_c_DAA</f>
        <v/>
      </c>
      <c r="AB50">
        <f>C50*x_c_MON</f>
        <v/>
      </c>
      <c r="AC50">
        <f>D50*(1-x_testy)</f>
        <v/>
      </c>
      <c r="AD50">
        <f>E50*(1-x_testy)</f>
        <v/>
      </c>
      <c r="AE50">
        <f>F50*x_NAV</f>
        <v/>
      </c>
      <c r="AF50">
        <f>G50*x_FIX*(1-x_testy)</f>
        <v/>
      </c>
      <c r="AG50">
        <f>x_z_F*T50+(1-x_AGRI)*x_EMP*x_WLOSS*(x_PEN_K74*Q50+x_PEN_C22*R50)</f>
        <v/>
      </c>
      <c r="AH50">
        <f>x_AGRI*x_EMP*x_WLOSS*(x_PEN_K74*Q50+x_PEN_C22*R50)</f>
        <v/>
      </c>
      <c r="AI50">
        <f>x_EMP*x_WAGE*(x_WLOSS*(Q50+R50)+S50)+T50*x_ABS_D*x_WAGE/365</f>
        <v/>
      </c>
      <c r="AJ50">
        <f>AI50*x_R_FUS</f>
        <v/>
      </c>
      <c r="AK50">
        <f>AI50*x_R_NFZ</f>
        <v/>
      </c>
      <c r="AL50">
        <f>AI50*x_R_PIT</f>
        <v/>
      </c>
      <c r="AM50">
        <f>AI50*x_R_FP</f>
        <v/>
      </c>
      <c r="AN50">
        <f>Z50+AA50+AB50+AC50+AE50</f>
        <v/>
      </c>
      <c r="AO50">
        <f>AN50+AD50+AF50+AG50+AH50+AJ50+AK50+AL50+AM50</f>
        <v/>
      </c>
      <c r="AP50">
        <f>AN50+AD50+AF50+AI50</f>
        <v/>
      </c>
      <c r="AQ50">
        <f>AA50+AB50+AC50+AE50</f>
        <v/>
      </c>
      <c r="AR50">
        <f>AQ50+AD50+AF50</f>
        <v/>
      </c>
    </row>
    <row r="51">
      <c r="A51" t="n">
        <v>2074</v>
      </c>
      <c r="B51" t="n">
        <v>48</v>
      </c>
      <c r="C51" t="n">
        <v>4832</v>
      </c>
      <c r="D51" t="n">
        <v>0</v>
      </c>
      <c r="E51" t="n">
        <v>0</v>
      </c>
      <c r="F51" t="n">
        <v>0</v>
      </c>
      <c r="G51" t="n">
        <v>0</v>
      </c>
      <c r="H51" t="n">
        <v>2274.31</v>
      </c>
      <c r="I51" t="n">
        <v>204.039</v>
      </c>
      <c r="J51" t="n">
        <v>1059.573</v>
      </c>
      <c r="K51" t="n">
        <v>1906.536</v>
      </c>
      <c r="L51" t="n">
        <v>669.409</v>
      </c>
      <c r="M51" t="n">
        <v>142371.362</v>
      </c>
      <c r="N51" t="n">
        <v>7383.326</v>
      </c>
      <c r="O51" t="n">
        <v>60.883</v>
      </c>
      <c r="P51" t="n">
        <v>60.99</v>
      </c>
      <c r="Q51" t="n">
        <v>630.171</v>
      </c>
      <c r="R51" t="n">
        <v>910.7380000000001</v>
      </c>
      <c r="S51" t="n">
        <v>2398.65</v>
      </c>
      <c r="T51" t="n">
        <v>2478.349</v>
      </c>
      <c r="U51" t="n">
        <v>178768.419</v>
      </c>
      <c r="V51" t="n">
        <v>195.93</v>
      </c>
      <c r="W51" t="n">
        <v>556.412</v>
      </c>
      <c r="X51" t="n">
        <v>60.883</v>
      </c>
      <c r="Y51" t="n">
        <v>661.1609999999999</v>
      </c>
      <c r="Z51">
        <f>H51*x_c_F+I51*x_c_CC+J51*x_c_DC+K51*x_c_HCC+L51*x_c_PLT+M51*x_c_SVRn+N51*x_c_SVRcc+O51*x_c_LT+P51*x_c_LT1</f>
        <v/>
      </c>
      <c r="AA51">
        <f>C51*x_c_DAA</f>
        <v/>
      </c>
      <c r="AB51">
        <f>C51*x_c_MON</f>
        <v/>
      </c>
      <c r="AC51">
        <f>D51*(1-x_testy)</f>
        <v/>
      </c>
      <c r="AD51">
        <f>E51*(1-x_testy)</f>
        <v/>
      </c>
      <c r="AE51">
        <f>F51*x_NAV</f>
        <v/>
      </c>
      <c r="AF51">
        <f>G51*x_FIX*(1-x_testy)</f>
        <v/>
      </c>
      <c r="AG51">
        <f>x_z_F*T51+(1-x_AGRI)*x_EMP*x_WLOSS*(x_PEN_K74*Q51+x_PEN_C22*R51)</f>
        <v/>
      </c>
      <c r="AH51">
        <f>x_AGRI*x_EMP*x_WLOSS*(x_PEN_K74*Q51+x_PEN_C22*R51)</f>
        <v/>
      </c>
      <c r="AI51">
        <f>x_EMP*x_WAGE*(x_WLOSS*(Q51+R51)+S51)+T51*x_ABS_D*x_WAGE/365</f>
        <v/>
      </c>
      <c r="AJ51">
        <f>AI51*x_R_FUS</f>
        <v/>
      </c>
      <c r="AK51">
        <f>AI51*x_R_NFZ</f>
        <v/>
      </c>
      <c r="AL51">
        <f>AI51*x_R_PIT</f>
        <v/>
      </c>
      <c r="AM51">
        <f>AI51*x_R_FP</f>
        <v/>
      </c>
      <c r="AN51">
        <f>Z51+AA51+AB51+AC51+AE51</f>
        <v/>
      </c>
      <c r="AO51">
        <f>AN51+AD51+AF51+AG51+AH51+AJ51+AK51+AL51+AM51</f>
        <v/>
      </c>
      <c r="AP51">
        <f>AN51+AD51+AF51+AI51</f>
        <v/>
      </c>
      <c r="AQ51">
        <f>AA51+AB51+AC51+AE51</f>
        <v/>
      </c>
      <c r="AR51">
        <f>AQ51+AD51+AF51</f>
        <v/>
      </c>
    </row>
    <row r="52">
      <c r="A52" t="n">
        <v>2075</v>
      </c>
      <c r="B52" t="n">
        <v>49</v>
      </c>
      <c r="C52" t="n">
        <v>4832</v>
      </c>
      <c r="D52" t="n">
        <v>0</v>
      </c>
      <c r="E52" t="n">
        <v>0</v>
      </c>
      <c r="F52" t="n">
        <v>0</v>
      </c>
      <c r="G52" t="n">
        <v>0</v>
      </c>
      <c r="H52" t="n">
        <v>2274.709</v>
      </c>
      <c r="I52" t="n">
        <v>203.316</v>
      </c>
      <c r="J52" t="n">
        <v>1055.624</v>
      </c>
      <c r="K52" t="n">
        <v>1899.726</v>
      </c>
      <c r="L52" t="n">
        <v>664.11</v>
      </c>
      <c r="M52" t="n">
        <v>144376.436</v>
      </c>
      <c r="N52" t="n">
        <v>7392.74</v>
      </c>
      <c r="O52" t="n">
        <v>60.671</v>
      </c>
      <c r="P52" t="n">
        <v>60.777</v>
      </c>
      <c r="Q52" t="n">
        <v>626.2140000000001</v>
      </c>
      <c r="R52" t="n">
        <v>905.107</v>
      </c>
      <c r="S52" t="n">
        <v>2384.016</v>
      </c>
      <c r="T52" t="n">
        <v>2478.025</v>
      </c>
      <c r="U52" t="n">
        <v>180148.832</v>
      </c>
      <c r="V52" t="n">
        <v>195.019</v>
      </c>
      <c r="W52" t="n">
        <v>554.112</v>
      </c>
      <c r="X52" t="n">
        <v>60.671</v>
      </c>
      <c r="Y52" t="n">
        <v>658.788</v>
      </c>
      <c r="Z52">
        <f>H52*x_c_F+I52*x_c_CC+J52*x_c_DC+K52*x_c_HCC+L52*x_c_PLT+M52*x_c_SVRn+N52*x_c_SVRcc+O52*x_c_LT+P52*x_c_LT1</f>
        <v/>
      </c>
      <c r="AA52">
        <f>C52*x_c_DAA</f>
        <v/>
      </c>
      <c r="AB52">
        <f>C52*x_c_MON</f>
        <v/>
      </c>
      <c r="AC52">
        <f>D52*(1-x_testy)</f>
        <v/>
      </c>
      <c r="AD52">
        <f>E52*(1-x_testy)</f>
        <v/>
      </c>
      <c r="AE52">
        <f>F52*x_NAV</f>
        <v/>
      </c>
      <c r="AF52">
        <f>G52*x_FIX*(1-x_testy)</f>
        <v/>
      </c>
      <c r="AG52">
        <f>x_z_F*T52+(1-x_AGRI)*x_EMP*x_WLOSS*(x_PEN_K74*Q52+x_PEN_C22*R52)</f>
        <v/>
      </c>
      <c r="AH52">
        <f>x_AGRI*x_EMP*x_WLOSS*(x_PEN_K74*Q52+x_PEN_C22*R52)</f>
        <v/>
      </c>
      <c r="AI52">
        <f>x_EMP*x_WAGE*(x_WLOSS*(Q52+R52)+S52)+T52*x_ABS_D*x_WAGE/365</f>
        <v/>
      </c>
      <c r="AJ52">
        <f>AI52*x_R_FUS</f>
        <v/>
      </c>
      <c r="AK52">
        <f>AI52*x_R_NFZ</f>
        <v/>
      </c>
      <c r="AL52">
        <f>AI52*x_R_PIT</f>
        <v/>
      </c>
      <c r="AM52">
        <f>AI52*x_R_FP</f>
        <v/>
      </c>
      <c r="AN52">
        <f>Z52+AA52+AB52+AC52+AE52</f>
        <v/>
      </c>
      <c r="AO52">
        <f>AN52+AD52+AF52+AG52+AH52+AJ52+AK52+AL52+AM52</f>
        <v/>
      </c>
      <c r="AP52">
        <f>AN52+AD52+AF52+AI52</f>
        <v/>
      </c>
      <c r="AQ52">
        <f>AA52+AB52+AC52+AE52</f>
        <v/>
      </c>
      <c r="AR52">
        <f>AQ52+AD52+AF52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I1: Celowane testowanie w szpitalach i laboratoriach (+50 mln zł/rok) – liczebności (silnik, wartości) i koszty (formuły), zł/rok, niezdyskontowane. Szacunek modelu.</t>
        </is>
      </c>
    </row>
    <row r="2">
      <c r="A2" s="3" t="inlineStr">
        <is>
          <t>rok</t>
        </is>
      </c>
      <c r="B2" s="3" t="inlineStr">
        <is>
          <t>t</t>
        </is>
      </c>
      <c r="C2" s="3" t="inlineStr">
        <is>
          <t>treated</t>
        </is>
      </c>
      <c r="D2" s="3" t="inlineStr">
        <is>
          <t>NFZ_diag</t>
        </is>
      </c>
      <c r="E2" s="3" t="inlineStr">
        <is>
          <t>MZ_SW</t>
        </is>
      </c>
      <c r="F2" s="3" t="inlineStr">
        <is>
          <t>nNAV</t>
        </is>
      </c>
      <c r="G2" s="3" t="inlineStr">
        <is>
          <t>FIXon</t>
        </is>
      </c>
      <c r="H2" s="3" t="inlineStr">
        <is>
          <t>cF03</t>
        </is>
      </c>
      <c r="I2" s="3" t="inlineStr">
        <is>
          <t>cF4</t>
        </is>
      </c>
      <c r="J2" s="3" t="inlineStr">
        <is>
          <t>cDC</t>
        </is>
      </c>
      <c r="K2" s="3" t="inlineStr">
        <is>
          <t>cHCC</t>
        </is>
      </c>
      <c r="L2" s="3" t="inlineStr">
        <is>
          <t>cPLT</t>
        </is>
      </c>
      <c r="M2" s="3" t="inlineStr">
        <is>
          <t>cSVn</t>
        </is>
      </c>
      <c r="N2" s="3" t="inlineStr">
        <is>
          <t>cSVc</t>
        </is>
      </c>
      <c r="O2" s="3" t="inlineStr">
        <is>
          <t>cLTn</t>
        </is>
      </c>
      <c r="P2" s="3" t="inlineStr">
        <is>
          <t>cLT1</t>
        </is>
      </c>
      <c r="Q2" s="3" t="inlineStr">
        <is>
          <t>wAdv</t>
        </is>
      </c>
      <c r="R2" s="3" t="inlineStr">
        <is>
          <t>wHCC</t>
        </is>
      </c>
      <c r="S2" s="3" t="inlineStr">
        <is>
          <t>wGH</t>
        </is>
      </c>
      <c r="T2" s="3" t="inlineStr">
        <is>
          <t>cAbs</t>
        </is>
      </c>
      <c r="U2" s="3" t="inlineStr">
        <is>
          <t>QALY</t>
        </is>
      </c>
      <c r="V2" s="3" t="inlineStr">
        <is>
          <t>newDC</t>
        </is>
      </c>
      <c r="W2" s="3" t="inlineStr">
        <is>
          <t>newHCC</t>
        </is>
      </c>
      <c r="X2" s="3" t="inlineStr">
        <is>
          <t>LT</t>
        </is>
      </c>
      <c r="Y2" s="3" t="inlineStr">
        <is>
          <t>liverD</t>
        </is>
      </c>
      <c r="Z2" s="3" t="inlineStr">
        <is>
          <t>NFZ_med</t>
        </is>
      </c>
      <c r="AA2" s="3" t="inlineStr">
        <is>
          <t>NFZ_DAA</t>
        </is>
      </c>
      <c r="AB2" s="3" t="inlineStr">
        <is>
          <t>NFZ_mon</t>
        </is>
      </c>
      <c r="AC2" s="3" t="inlineStr">
        <is>
          <t>NFZ_diag_k</t>
        </is>
      </c>
      <c r="AD2" s="3" t="inlineStr">
        <is>
          <t>MZ_SW_k</t>
        </is>
      </c>
      <c r="AE2" s="3" t="inlineStr">
        <is>
          <t>NAV_k</t>
        </is>
      </c>
      <c r="AF2" s="3" t="inlineStr">
        <is>
          <t>FIX_k</t>
        </is>
      </c>
      <c r="AG2" s="3" t="inlineStr">
        <is>
          <t>ZUS</t>
        </is>
      </c>
      <c r="AH2" s="3" t="inlineStr">
        <is>
          <t>KRUS</t>
        </is>
      </c>
      <c r="AI2" s="3" t="inlineStr">
        <is>
          <t>lostw</t>
        </is>
      </c>
      <c r="AJ2" s="3" t="inlineStr">
        <is>
          <t>lost_FUS</t>
        </is>
      </c>
      <c r="AK2" s="3" t="inlineStr">
        <is>
          <t>lost_NFZ</t>
        </is>
      </c>
      <c r="AL2" s="3" t="inlineStr">
        <is>
          <t>lost_PIT</t>
        </is>
      </c>
      <c r="AM2" s="3" t="inlineStr">
        <is>
          <t>lost_FP</t>
        </is>
      </c>
      <c r="AN2" s="3" t="inlineStr">
        <is>
          <t>NFZ</t>
        </is>
      </c>
      <c r="AO2" s="3" t="inlineStr">
        <is>
          <t>PUBLIC</t>
        </is>
      </c>
      <c r="AP2" s="3" t="inlineStr">
        <is>
          <t>SOCIETAL</t>
        </is>
      </c>
      <c r="AQ2" s="3" t="inlineStr">
        <is>
          <t>INV_NFZ</t>
        </is>
      </c>
      <c r="AR2" s="3" t="inlineStr">
        <is>
          <t>INV_PUB</t>
        </is>
      </c>
    </row>
    <row r="3">
      <c r="A3" t="n">
        <v>2026</v>
      </c>
      <c r="B3" t="n">
        <v>0</v>
      </c>
      <c r="C3" t="n">
        <v>5521.275</v>
      </c>
      <c r="D3" t="n">
        <v>16666666.667</v>
      </c>
      <c r="E3" t="n">
        <v>0</v>
      </c>
      <c r="F3" t="n">
        <v>0</v>
      </c>
      <c r="G3" t="n">
        <v>1</v>
      </c>
      <c r="H3" t="n">
        <v>2792.122</v>
      </c>
      <c r="I3" t="n">
        <v>249.248</v>
      </c>
      <c r="J3" t="n">
        <v>1580.308</v>
      </c>
      <c r="K3" t="n">
        <v>2523.991</v>
      </c>
      <c r="L3" t="n">
        <v>1540.438</v>
      </c>
      <c r="M3" t="n">
        <v>7644.284</v>
      </c>
      <c r="N3" t="n">
        <v>672.605</v>
      </c>
      <c r="O3" t="n">
        <v>89.04600000000001</v>
      </c>
      <c r="P3" t="n">
        <v>44.523</v>
      </c>
      <c r="Q3" t="n">
        <v>2135.368</v>
      </c>
      <c r="R3" t="n">
        <v>1702.736</v>
      </c>
      <c r="S3" t="n">
        <v>312.377</v>
      </c>
      <c r="T3" t="n">
        <v>3041.37</v>
      </c>
      <c r="U3" t="n">
        <v>113649.947</v>
      </c>
      <c r="V3" t="n">
        <v>267.652</v>
      </c>
      <c r="W3" t="n">
        <v>709.8869999999999</v>
      </c>
      <c r="X3" t="n">
        <v>89.04600000000001</v>
      </c>
      <c r="Y3" t="n">
        <v>922.327</v>
      </c>
      <c r="Z3">
        <f>H3*x_c_F+I3*x_c_CC+J3*x_c_DC+K3*x_c_HCC+L3*x_c_PLT+M3*x_c_SVRn+N3*x_c_SVRcc+O3*x_c_LT+P3*x_c_LT1</f>
        <v/>
      </c>
      <c r="AA3">
        <f>C3*x_c_DAA</f>
        <v/>
      </c>
      <c r="AB3">
        <f>C3*x_c_MON</f>
        <v/>
      </c>
      <c r="AC3">
        <f>D3*(1-x_testy)</f>
        <v/>
      </c>
      <c r="AD3">
        <f>E3*(1-x_testy)</f>
        <v/>
      </c>
      <c r="AE3">
        <f>F3*x_NAV</f>
        <v/>
      </c>
      <c r="AF3">
        <f>G3*x_FIX*(1-x_testy)</f>
        <v/>
      </c>
      <c r="AG3">
        <f>x_z_F*T3+(1-x_AGRI)*x_EMP*x_WLOSS*(x_PEN_K74*Q3+x_PEN_C22*R3)</f>
        <v/>
      </c>
      <c r="AH3">
        <f>x_AGRI*x_EMP*x_WLOSS*(x_PEN_K74*Q3+x_PEN_C22*R3)</f>
        <v/>
      </c>
      <c r="AI3">
        <f>x_EMP*x_WAGE*(x_WLOSS*(Q3+R3)+S3)+T3*x_ABS_D*x_WAGE/365</f>
        <v/>
      </c>
      <c r="AJ3">
        <f>AI3*x_R_FUS</f>
        <v/>
      </c>
      <c r="AK3">
        <f>AI3*x_R_NFZ</f>
        <v/>
      </c>
      <c r="AL3">
        <f>AI3*x_R_PIT</f>
        <v/>
      </c>
      <c r="AM3">
        <f>AI3*x_R_FP</f>
        <v/>
      </c>
      <c r="AN3">
        <f>Z3+AA3+AB3+AC3+AE3</f>
        <v/>
      </c>
      <c r="AO3">
        <f>AN3+AD3+AF3+AG3+AH3+AJ3+AK3+AL3+AM3</f>
        <v/>
      </c>
      <c r="AP3">
        <f>AN3+AD3+AF3+AI3</f>
        <v/>
      </c>
      <c r="AQ3">
        <f>AA3+AB3+AC3+AE3</f>
        <v/>
      </c>
      <c r="AR3">
        <f>AQ3+AD3+AF3</f>
        <v/>
      </c>
    </row>
    <row r="4">
      <c r="A4" t="n">
        <v>2027</v>
      </c>
      <c r="B4" t="n">
        <v>1</v>
      </c>
      <c r="C4" t="n">
        <v>6180.337</v>
      </c>
      <c r="D4" t="n">
        <v>33333333.333</v>
      </c>
      <c r="E4" t="n">
        <v>0</v>
      </c>
      <c r="F4" t="n">
        <v>0</v>
      </c>
      <c r="G4" t="n">
        <v>1</v>
      </c>
      <c r="H4" t="n">
        <v>3068.637</v>
      </c>
      <c r="I4" t="n">
        <v>288.024</v>
      </c>
      <c r="J4" t="n">
        <v>1565.287</v>
      </c>
      <c r="K4" t="n">
        <v>2513.41</v>
      </c>
      <c r="L4" t="n">
        <v>1489.389</v>
      </c>
      <c r="M4" t="n">
        <v>13307.887</v>
      </c>
      <c r="N4" t="n">
        <v>1190.447</v>
      </c>
      <c r="O4" t="n">
        <v>87.97799999999999</v>
      </c>
      <c r="P4" t="n">
        <v>88.512</v>
      </c>
      <c r="Q4" t="n">
        <v>2138.65</v>
      </c>
      <c r="R4" t="n">
        <v>1710.935</v>
      </c>
      <c r="S4" t="n">
        <v>939.888</v>
      </c>
      <c r="T4" t="n">
        <v>3356.661</v>
      </c>
      <c r="U4" t="n">
        <v>115173.045</v>
      </c>
      <c r="V4" t="n">
        <v>273.811</v>
      </c>
      <c r="W4" t="n">
        <v>727.703</v>
      </c>
      <c r="X4" t="n">
        <v>87.97799999999999</v>
      </c>
      <c r="Y4" t="n">
        <v>925.4930000000001</v>
      </c>
      <c r="Z4">
        <f>H4*x_c_F+I4*x_c_CC+J4*x_c_DC+K4*x_c_HCC+L4*x_c_PLT+M4*x_c_SVRn+N4*x_c_SVRcc+O4*x_c_LT+P4*x_c_LT1</f>
        <v/>
      </c>
      <c r="AA4">
        <f>C4*x_c_DAA</f>
        <v/>
      </c>
      <c r="AB4">
        <f>C4*x_c_MON</f>
        <v/>
      </c>
      <c r="AC4">
        <f>D4*(1-x_testy)</f>
        <v/>
      </c>
      <c r="AD4">
        <f>E4*(1-x_testy)</f>
        <v/>
      </c>
      <c r="AE4">
        <f>F4*x_NAV</f>
        <v/>
      </c>
      <c r="AF4">
        <f>G4*x_FIX*(1-x_testy)</f>
        <v/>
      </c>
      <c r="AG4">
        <f>x_z_F*T4+(1-x_AGRI)*x_EMP*x_WLOSS*(x_PEN_K74*Q4+x_PEN_C22*R4)</f>
        <v/>
      </c>
      <c r="AH4">
        <f>x_AGRI*x_EMP*x_WLOSS*(x_PEN_K74*Q4+x_PEN_C22*R4)</f>
        <v/>
      </c>
      <c r="AI4">
        <f>x_EMP*x_WAGE*(x_WLOSS*(Q4+R4)+S4)+T4*x_ABS_D*x_WAGE/365</f>
        <v/>
      </c>
      <c r="AJ4">
        <f>AI4*x_R_FUS</f>
        <v/>
      </c>
      <c r="AK4">
        <f>AI4*x_R_NFZ</f>
        <v/>
      </c>
      <c r="AL4">
        <f>AI4*x_R_PIT</f>
        <v/>
      </c>
      <c r="AM4">
        <f>AI4*x_R_FP</f>
        <v/>
      </c>
      <c r="AN4">
        <f>Z4+AA4+AB4+AC4+AE4</f>
        <v/>
      </c>
      <c r="AO4">
        <f>AN4+AD4+AF4+AG4+AH4+AJ4+AK4+AL4+AM4</f>
        <v/>
      </c>
      <c r="AP4">
        <f>AN4+AD4+AF4+AI4</f>
        <v/>
      </c>
      <c r="AQ4">
        <f>AA4+AB4+AC4+AE4</f>
        <v/>
      </c>
      <c r="AR4">
        <f>AQ4+AD4+AF4</f>
        <v/>
      </c>
    </row>
    <row r="5">
      <c r="A5" t="n">
        <v>2028</v>
      </c>
      <c r="B5" t="n">
        <v>2</v>
      </c>
      <c r="C5" t="n">
        <v>6801.832</v>
      </c>
      <c r="D5" t="n">
        <v>50000000</v>
      </c>
      <c r="E5" t="n">
        <v>0</v>
      </c>
      <c r="F5" t="n">
        <v>0</v>
      </c>
      <c r="G5" t="n">
        <v>1</v>
      </c>
      <c r="H5" t="n">
        <v>3176.66</v>
      </c>
      <c r="I5" t="n">
        <v>314.658</v>
      </c>
      <c r="J5" t="n">
        <v>1558.716</v>
      </c>
      <c r="K5" t="n">
        <v>2523.957</v>
      </c>
      <c r="L5" t="n">
        <v>1475.792</v>
      </c>
      <c r="M5" t="n">
        <v>19119.087</v>
      </c>
      <c r="N5" t="n">
        <v>1742.025</v>
      </c>
      <c r="O5" t="n">
        <v>87.482</v>
      </c>
      <c r="P5" t="n">
        <v>87.73</v>
      </c>
      <c r="Q5" t="n">
        <v>2144.408</v>
      </c>
      <c r="R5" t="n">
        <v>1736.301</v>
      </c>
      <c r="S5" t="n">
        <v>1571.327</v>
      </c>
      <c r="T5" t="n">
        <v>3491.318</v>
      </c>
      <c r="U5" t="n">
        <v>116709.487</v>
      </c>
      <c r="V5" t="n">
        <v>280.988</v>
      </c>
      <c r="W5" t="n">
        <v>748.6079999999999</v>
      </c>
      <c r="X5" t="n">
        <v>87.482</v>
      </c>
      <c r="Y5" t="n">
        <v>923.141</v>
      </c>
      <c r="Z5">
        <f>H5*x_c_F+I5*x_c_CC+J5*x_c_DC+K5*x_c_HCC+L5*x_c_PLT+M5*x_c_SVRn+N5*x_c_SVRcc+O5*x_c_LT+P5*x_c_LT1</f>
        <v/>
      </c>
      <c r="AA5">
        <f>C5*x_c_DAA</f>
        <v/>
      </c>
      <c r="AB5">
        <f>C5*x_c_MON</f>
        <v/>
      </c>
      <c r="AC5">
        <f>D5*(1-x_testy)</f>
        <v/>
      </c>
      <c r="AD5">
        <f>E5*(1-x_testy)</f>
        <v/>
      </c>
      <c r="AE5">
        <f>F5*x_NAV</f>
        <v/>
      </c>
      <c r="AF5">
        <f>G5*x_FIX*(1-x_testy)</f>
        <v/>
      </c>
      <c r="AG5">
        <f>x_z_F*T5+(1-x_AGRI)*x_EMP*x_WLOSS*(x_PEN_K74*Q5+x_PEN_C22*R5)</f>
        <v/>
      </c>
      <c r="AH5">
        <f>x_AGRI*x_EMP*x_WLOSS*(x_PEN_K74*Q5+x_PEN_C22*R5)</f>
        <v/>
      </c>
      <c r="AI5">
        <f>x_EMP*x_WAGE*(x_WLOSS*(Q5+R5)+S5)+T5*x_ABS_D*x_WAGE/365</f>
        <v/>
      </c>
      <c r="AJ5">
        <f>AI5*x_R_FUS</f>
        <v/>
      </c>
      <c r="AK5">
        <f>AI5*x_R_NFZ</f>
        <v/>
      </c>
      <c r="AL5">
        <f>AI5*x_R_PIT</f>
        <v/>
      </c>
      <c r="AM5">
        <f>AI5*x_R_FP</f>
        <v/>
      </c>
      <c r="AN5">
        <f>Z5+AA5+AB5+AC5+AE5</f>
        <v/>
      </c>
      <c r="AO5">
        <f>AN5+AD5+AF5+AG5+AH5+AJ5+AK5+AL5+AM5</f>
        <v/>
      </c>
      <c r="AP5">
        <f>AN5+AD5+AF5+AI5</f>
        <v/>
      </c>
      <c r="AQ5">
        <f>AA5+AB5+AC5+AE5</f>
        <v/>
      </c>
      <c r="AR5">
        <f>AQ5+AD5+AF5</f>
        <v/>
      </c>
    </row>
    <row r="6">
      <c r="A6" t="n">
        <v>2029</v>
      </c>
      <c r="B6" t="n">
        <v>3</v>
      </c>
      <c r="C6" t="n">
        <v>6742.34</v>
      </c>
      <c r="D6" t="n">
        <v>50000000</v>
      </c>
      <c r="E6" t="n">
        <v>0</v>
      </c>
      <c r="F6" t="n">
        <v>0</v>
      </c>
      <c r="G6" t="n">
        <v>1</v>
      </c>
      <c r="H6" t="n">
        <v>3129.745</v>
      </c>
      <c r="I6" t="n">
        <v>327.771</v>
      </c>
      <c r="J6" t="n">
        <v>1559.892</v>
      </c>
      <c r="K6" t="n">
        <v>2551.978</v>
      </c>
      <c r="L6" t="n">
        <v>1461.202</v>
      </c>
      <c r="M6" t="n">
        <v>24768.679</v>
      </c>
      <c r="N6" t="n">
        <v>2299.062</v>
      </c>
      <c r="O6" t="n">
        <v>87.501</v>
      </c>
      <c r="P6" t="n">
        <v>87.492</v>
      </c>
      <c r="Q6" t="n">
        <v>2156.799</v>
      </c>
      <c r="R6" t="n">
        <v>1776.155</v>
      </c>
      <c r="S6" t="n">
        <v>2207.399</v>
      </c>
      <c r="T6" t="n">
        <v>3457.516</v>
      </c>
      <c r="U6" t="n">
        <v>118235.584</v>
      </c>
      <c r="V6" t="n">
        <v>288.806</v>
      </c>
      <c r="W6" t="n">
        <v>771.329</v>
      </c>
      <c r="X6" t="n">
        <v>87.501</v>
      </c>
      <c r="Y6" t="n">
        <v>926.896</v>
      </c>
      <c r="Z6">
        <f>H6*x_c_F+I6*x_c_CC+J6*x_c_DC+K6*x_c_HCC+L6*x_c_PLT+M6*x_c_SVRn+N6*x_c_SVRcc+O6*x_c_LT+P6*x_c_LT1</f>
        <v/>
      </c>
      <c r="AA6">
        <f>C6*x_c_DAA</f>
        <v/>
      </c>
      <c r="AB6">
        <f>C6*x_c_MON</f>
        <v/>
      </c>
      <c r="AC6">
        <f>D6*(1-x_testy)</f>
        <v/>
      </c>
      <c r="AD6">
        <f>E6*(1-x_testy)</f>
        <v/>
      </c>
      <c r="AE6">
        <f>F6*x_NAV</f>
        <v/>
      </c>
      <c r="AF6">
        <f>G6*x_FIX*(1-x_testy)</f>
        <v/>
      </c>
      <c r="AG6">
        <f>x_z_F*T6+(1-x_AGRI)*x_EMP*x_WLOSS*(x_PEN_K74*Q6+x_PEN_C22*R6)</f>
        <v/>
      </c>
      <c r="AH6">
        <f>x_AGRI*x_EMP*x_WLOSS*(x_PEN_K74*Q6+x_PEN_C22*R6)</f>
        <v/>
      </c>
      <c r="AI6">
        <f>x_EMP*x_WAGE*(x_WLOSS*(Q6+R6)+S6)+T6*x_ABS_D*x_WAGE/365</f>
        <v/>
      </c>
      <c r="AJ6">
        <f>AI6*x_R_FUS</f>
        <v/>
      </c>
      <c r="AK6">
        <f>AI6*x_R_NFZ</f>
        <v/>
      </c>
      <c r="AL6">
        <f>AI6*x_R_PIT</f>
        <v/>
      </c>
      <c r="AM6">
        <f>AI6*x_R_FP</f>
        <v/>
      </c>
      <c r="AN6">
        <f>Z6+AA6+AB6+AC6+AE6</f>
        <v/>
      </c>
      <c r="AO6">
        <f>AN6+AD6+AF6+AG6+AH6+AJ6+AK6+AL6+AM6</f>
        <v/>
      </c>
      <c r="AP6">
        <f>AN6+AD6+AF6+AI6</f>
        <v/>
      </c>
      <c r="AQ6">
        <f>AA6+AB6+AC6+AE6</f>
        <v/>
      </c>
      <c r="AR6">
        <f>AQ6+AD6+AF6</f>
        <v/>
      </c>
    </row>
    <row r="7">
      <c r="A7" t="n">
        <v>2030</v>
      </c>
      <c r="B7" t="n">
        <v>4</v>
      </c>
      <c r="C7" t="n">
        <v>6684.69</v>
      </c>
      <c r="D7" t="n">
        <v>50000000</v>
      </c>
      <c r="E7" t="n">
        <v>0</v>
      </c>
      <c r="F7" t="n">
        <v>0</v>
      </c>
      <c r="G7" t="n">
        <v>1</v>
      </c>
      <c r="H7" t="n">
        <v>3084.011</v>
      </c>
      <c r="I7" t="n">
        <v>340.596</v>
      </c>
      <c r="J7" t="n">
        <v>1567.568</v>
      </c>
      <c r="K7" t="n">
        <v>2593.001</v>
      </c>
      <c r="L7" t="n">
        <v>1446.092</v>
      </c>
      <c r="M7" t="n">
        <v>30256.445</v>
      </c>
      <c r="N7" t="n">
        <v>2860.109</v>
      </c>
      <c r="O7" t="n">
        <v>87.964</v>
      </c>
      <c r="P7" t="n">
        <v>87.733</v>
      </c>
      <c r="Q7" t="n">
        <v>2175.267</v>
      </c>
      <c r="R7" t="n">
        <v>1827.341</v>
      </c>
      <c r="S7" t="n">
        <v>2852.233</v>
      </c>
      <c r="T7" t="n">
        <v>3424.607</v>
      </c>
      <c r="U7" t="n">
        <v>119750.274</v>
      </c>
      <c r="V7" t="n">
        <v>296.321</v>
      </c>
      <c r="W7" t="n">
        <v>793.466</v>
      </c>
      <c r="X7" t="n">
        <v>87.964</v>
      </c>
      <c r="Y7" t="n">
        <v>935.649</v>
      </c>
      <c r="Z7">
        <f>H7*x_c_F+I7*x_c_CC+J7*x_c_DC+K7*x_c_HCC+L7*x_c_PLT+M7*x_c_SVRn+N7*x_c_SVRcc+O7*x_c_LT+P7*x_c_LT1</f>
        <v/>
      </c>
      <c r="AA7">
        <f>C7*x_c_DAA</f>
        <v/>
      </c>
      <c r="AB7">
        <f>C7*x_c_MON</f>
        <v/>
      </c>
      <c r="AC7">
        <f>D7*(1-x_testy)</f>
        <v/>
      </c>
      <c r="AD7">
        <f>E7*(1-x_testy)</f>
        <v/>
      </c>
      <c r="AE7">
        <f>F7*x_NAV</f>
        <v/>
      </c>
      <c r="AF7">
        <f>G7*x_FIX*(1-x_testy)</f>
        <v/>
      </c>
      <c r="AG7">
        <f>x_z_F*T7+(1-x_AGRI)*x_EMP*x_WLOSS*(x_PEN_K74*Q7+x_PEN_C22*R7)</f>
        <v/>
      </c>
      <c r="AH7">
        <f>x_AGRI*x_EMP*x_WLOSS*(x_PEN_K74*Q7+x_PEN_C22*R7)</f>
        <v/>
      </c>
      <c r="AI7">
        <f>x_EMP*x_WAGE*(x_WLOSS*(Q7+R7)+S7)+T7*x_ABS_D*x_WAGE/365</f>
        <v/>
      </c>
      <c r="AJ7">
        <f>AI7*x_R_FUS</f>
        <v/>
      </c>
      <c r="AK7">
        <f>AI7*x_R_NFZ</f>
        <v/>
      </c>
      <c r="AL7">
        <f>AI7*x_R_PIT</f>
        <v/>
      </c>
      <c r="AM7">
        <f>AI7*x_R_FP</f>
        <v/>
      </c>
      <c r="AN7">
        <f>Z7+AA7+AB7+AC7+AE7</f>
        <v/>
      </c>
      <c r="AO7">
        <f>AN7+AD7+AF7+AG7+AH7+AJ7+AK7+AL7+AM7</f>
        <v/>
      </c>
      <c r="AP7">
        <f>AN7+AD7+AF7+AI7</f>
        <v/>
      </c>
      <c r="AQ7">
        <f>AA7+AB7+AC7+AE7</f>
        <v/>
      </c>
      <c r="AR7">
        <f>AQ7+AD7+AF7</f>
        <v/>
      </c>
    </row>
    <row r="8">
      <c r="A8" t="n">
        <v>2031</v>
      </c>
      <c r="B8" t="n">
        <v>5</v>
      </c>
      <c r="C8" t="n">
        <v>6628.845</v>
      </c>
      <c r="D8" t="n">
        <v>50000000</v>
      </c>
      <c r="E8" t="n">
        <v>0</v>
      </c>
      <c r="F8" t="n">
        <v>0</v>
      </c>
      <c r="G8" t="n">
        <v>1</v>
      </c>
      <c r="H8" t="n">
        <v>3040.169</v>
      </c>
      <c r="I8" t="n">
        <v>352.42</v>
      </c>
      <c r="J8" t="n">
        <v>1579.911</v>
      </c>
      <c r="K8" t="n">
        <v>2641.759</v>
      </c>
      <c r="L8" t="n">
        <v>1430.877</v>
      </c>
      <c r="M8" t="n">
        <v>35584.086</v>
      </c>
      <c r="N8" t="n">
        <v>3422.385</v>
      </c>
      <c r="O8" t="n">
        <v>88.756</v>
      </c>
      <c r="P8" t="n">
        <v>88.36</v>
      </c>
      <c r="Q8" t="n">
        <v>2198.783</v>
      </c>
      <c r="R8" t="n">
        <v>1886.161</v>
      </c>
      <c r="S8" t="n">
        <v>3508.965</v>
      </c>
      <c r="T8" t="n">
        <v>3392.589</v>
      </c>
      <c r="U8" t="n">
        <v>121253.992</v>
      </c>
      <c r="V8" t="n">
        <v>302.855</v>
      </c>
      <c r="W8" t="n">
        <v>813.268</v>
      </c>
      <c r="X8" t="n">
        <v>88.756</v>
      </c>
      <c r="Y8" t="n">
        <v>947.855</v>
      </c>
      <c r="Z8">
        <f>H8*x_c_F+I8*x_c_CC+J8*x_c_DC+K8*x_c_HCC+L8*x_c_PLT+M8*x_c_SVRn+N8*x_c_SVRcc+O8*x_c_LT+P8*x_c_LT1</f>
        <v/>
      </c>
      <c r="AA8">
        <f>C8*x_c_DAA</f>
        <v/>
      </c>
      <c r="AB8">
        <f>C8*x_c_MON</f>
        <v/>
      </c>
      <c r="AC8">
        <f>D8*(1-x_testy)</f>
        <v/>
      </c>
      <c r="AD8">
        <f>E8*(1-x_testy)</f>
        <v/>
      </c>
      <c r="AE8">
        <f>F8*x_NAV</f>
        <v/>
      </c>
      <c r="AF8">
        <f>G8*x_FIX*(1-x_testy)</f>
        <v/>
      </c>
      <c r="AG8">
        <f>x_z_F*T8+(1-x_AGRI)*x_EMP*x_WLOSS*(x_PEN_K74*Q8+x_PEN_C22*R8)</f>
        <v/>
      </c>
      <c r="AH8">
        <f>x_AGRI*x_EMP*x_WLOSS*(x_PEN_K74*Q8+x_PEN_C22*R8)</f>
        <v/>
      </c>
      <c r="AI8">
        <f>x_EMP*x_WAGE*(x_WLOSS*(Q8+R8)+S8)+T8*x_ABS_D*x_WAGE/365</f>
        <v/>
      </c>
      <c r="AJ8">
        <f>AI8*x_R_FUS</f>
        <v/>
      </c>
      <c r="AK8">
        <f>AI8*x_R_NFZ</f>
        <v/>
      </c>
      <c r="AL8">
        <f>AI8*x_R_PIT</f>
        <v/>
      </c>
      <c r="AM8">
        <f>AI8*x_R_FP</f>
        <v/>
      </c>
      <c r="AN8">
        <f>Z8+AA8+AB8+AC8+AE8</f>
        <v/>
      </c>
      <c r="AO8">
        <f>AN8+AD8+AF8+AG8+AH8+AJ8+AK8+AL8+AM8</f>
        <v/>
      </c>
      <c r="AP8">
        <f>AN8+AD8+AF8+AI8</f>
        <v/>
      </c>
      <c r="AQ8">
        <f>AA8+AB8+AC8+AE8</f>
        <v/>
      </c>
      <c r="AR8">
        <f>AQ8+AD8+AF8</f>
        <v/>
      </c>
    </row>
    <row r="9">
      <c r="A9" t="n">
        <v>2032</v>
      </c>
      <c r="B9" t="n">
        <v>6</v>
      </c>
      <c r="C9" t="n">
        <v>6574.827</v>
      </c>
      <c r="D9" t="n">
        <v>50000000</v>
      </c>
      <c r="E9" t="n">
        <v>0</v>
      </c>
      <c r="F9" t="n">
        <v>0</v>
      </c>
      <c r="G9" t="n">
        <v>1</v>
      </c>
      <c r="H9" t="n">
        <v>2998.753</v>
      </c>
      <c r="I9" t="n">
        <v>362.701</v>
      </c>
      <c r="J9" t="n">
        <v>1594.812</v>
      </c>
      <c r="K9" t="n">
        <v>2692.957</v>
      </c>
      <c r="L9" t="n">
        <v>1415.852</v>
      </c>
      <c r="M9" t="n">
        <v>40754.231</v>
      </c>
      <c r="N9" t="n">
        <v>3982.088</v>
      </c>
      <c r="O9" t="n">
        <v>89.73999999999999</v>
      </c>
      <c r="P9" t="n">
        <v>89.248</v>
      </c>
      <c r="Q9" t="n">
        <v>2226.019</v>
      </c>
      <c r="R9" t="n">
        <v>1948.867</v>
      </c>
      <c r="S9" t="n">
        <v>4179.483</v>
      </c>
      <c r="T9" t="n">
        <v>3361.454</v>
      </c>
      <c r="U9" t="n">
        <v>122745.429</v>
      </c>
      <c r="V9" t="n">
        <v>307.94</v>
      </c>
      <c r="W9" t="n">
        <v>829.489</v>
      </c>
      <c r="X9" t="n">
        <v>89.73999999999999</v>
      </c>
      <c r="Y9" t="n">
        <v>961.793</v>
      </c>
      <c r="Z9">
        <f>H9*x_c_F+I9*x_c_CC+J9*x_c_DC+K9*x_c_HCC+L9*x_c_PLT+M9*x_c_SVRn+N9*x_c_SVRcc+O9*x_c_LT+P9*x_c_LT1</f>
        <v/>
      </c>
      <c r="AA9">
        <f>C9*x_c_DAA</f>
        <v/>
      </c>
      <c r="AB9">
        <f>C9*x_c_MON</f>
        <v/>
      </c>
      <c r="AC9">
        <f>D9*(1-x_testy)</f>
        <v/>
      </c>
      <c r="AD9">
        <f>E9*(1-x_testy)</f>
        <v/>
      </c>
      <c r="AE9">
        <f>F9*x_NAV</f>
        <v/>
      </c>
      <c r="AF9">
        <f>G9*x_FIX*(1-x_testy)</f>
        <v/>
      </c>
      <c r="AG9">
        <f>x_z_F*T9+(1-x_AGRI)*x_EMP*x_WLOSS*(x_PEN_K74*Q9+x_PEN_C22*R9)</f>
        <v/>
      </c>
      <c r="AH9">
        <f>x_AGRI*x_EMP*x_WLOSS*(x_PEN_K74*Q9+x_PEN_C22*R9)</f>
        <v/>
      </c>
      <c r="AI9">
        <f>x_EMP*x_WAGE*(x_WLOSS*(Q9+R9)+S9)+T9*x_ABS_D*x_WAGE/365</f>
        <v/>
      </c>
      <c r="AJ9">
        <f>AI9*x_R_FUS</f>
        <v/>
      </c>
      <c r="AK9">
        <f>AI9*x_R_NFZ</f>
        <v/>
      </c>
      <c r="AL9">
        <f>AI9*x_R_PIT</f>
        <v/>
      </c>
      <c r="AM9">
        <f>AI9*x_R_FP</f>
        <v/>
      </c>
      <c r="AN9">
        <f>Z9+AA9+AB9+AC9+AE9</f>
        <v/>
      </c>
      <c r="AO9">
        <f>AN9+AD9+AF9+AG9+AH9+AJ9+AK9+AL9+AM9</f>
        <v/>
      </c>
      <c r="AP9">
        <f>AN9+AD9+AF9+AI9</f>
        <v/>
      </c>
      <c r="AQ9">
        <f>AA9+AB9+AC9+AE9</f>
        <v/>
      </c>
      <c r="AR9">
        <f>AQ9+AD9+AF9</f>
        <v/>
      </c>
    </row>
    <row r="10">
      <c r="A10" t="n">
        <v>2033</v>
      </c>
      <c r="B10" t="n">
        <v>7</v>
      </c>
      <c r="C10" t="n">
        <v>6522.592</v>
      </c>
      <c r="D10" t="n">
        <v>50000000</v>
      </c>
      <c r="E10" t="n">
        <v>0</v>
      </c>
      <c r="F10" t="n">
        <v>0</v>
      </c>
      <c r="G10" t="n">
        <v>1</v>
      </c>
      <c r="H10" t="n">
        <v>2960.149</v>
      </c>
      <c r="I10" t="n">
        <v>371.058</v>
      </c>
      <c r="J10" t="n">
        <v>1610.154</v>
      </c>
      <c r="K10" t="n">
        <v>2741.794</v>
      </c>
      <c r="L10" t="n">
        <v>1401.186</v>
      </c>
      <c r="M10" t="n">
        <v>45770.427</v>
      </c>
      <c r="N10" t="n">
        <v>4534.75</v>
      </c>
      <c r="O10" t="n">
        <v>90.779</v>
      </c>
      <c r="P10" t="n">
        <v>90.259</v>
      </c>
      <c r="Q10" t="n">
        <v>2255.507</v>
      </c>
      <c r="R10" t="n">
        <v>2011.987</v>
      </c>
      <c r="S10" t="n">
        <v>4864.411</v>
      </c>
      <c r="T10" t="n">
        <v>3331.208</v>
      </c>
      <c r="U10" t="n">
        <v>124223.178</v>
      </c>
      <c r="V10" t="n">
        <v>311.29</v>
      </c>
      <c r="W10" t="n">
        <v>841.3390000000001</v>
      </c>
      <c r="X10" t="n">
        <v>90.779</v>
      </c>
      <c r="Y10" t="n">
        <v>975.853</v>
      </c>
      <c r="Z10">
        <f>H10*x_c_F+I10*x_c_CC+J10*x_c_DC+K10*x_c_HCC+L10*x_c_PLT+M10*x_c_SVRn+N10*x_c_SVRcc+O10*x_c_LT+P10*x_c_LT1</f>
        <v/>
      </c>
      <c r="AA10">
        <f>C10*x_c_DAA</f>
        <v/>
      </c>
      <c r="AB10">
        <f>C10*x_c_MON</f>
        <v/>
      </c>
      <c r="AC10">
        <f>D10*(1-x_testy)</f>
        <v/>
      </c>
      <c r="AD10">
        <f>E10*(1-x_testy)</f>
        <v/>
      </c>
      <c r="AE10">
        <f>F10*x_NAV</f>
        <v/>
      </c>
      <c r="AF10">
        <f>G10*x_FIX*(1-x_testy)</f>
        <v/>
      </c>
      <c r="AG10">
        <f>x_z_F*T10+(1-x_AGRI)*x_EMP*x_WLOSS*(x_PEN_K74*Q10+x_PEN_C22*R10)</f>
        <v/>
      </c>
      <c r="AH10">
        <f>x_AGRI*x_EMP*x_WLOSS*(x_PEN_K74*Q10+x_PEN_C22*R10)</f>
        <v/>
      </c>
      <c r="AI10">
        <f>x_EMP*x_WAGE*(x_WLOSS*(Q10+R10)+S10)+T10*x_ABS_D*x_WAGE/365</f>
        <v/>
      </c>
      <c r="AJ10">
        <f>AI10*x_R_FUS</f>
        <v/>
      </c>
      <c r="AK10">
        <f>AI10*x_R_NFZ</f>
        <v/>
      </c>
      <c r="AL10">
        <f>AI10*x_R_PIT</f>
        <v/>
      </c>
      <c r="AM10">
        <f>AI10*x_R_FP</f>
        <v/>
      </c>
      <c r="AN10">
        <f>Z10+AA10+AB10+AC10+AE10</f>
        <v/>
      </c>
      <c r="AO10">
        <f>AN10+AD10+AF10+AG10+AH10+AJ10+AK10+AL10+AM10</f>
        <v/>
      </c>
      <c r="AP10">
        <f>AN10+AD10+AF10+AI10</f>
        <v/>
      </c>
      <c r="AQ10">
        <f>AA10+AB10+AC10+AE10</f>
        <v/>
      </c>
      <c r="AR10">
        <f>AQ10+AD10+AF10</f>
        <v/>
      </c>
    </row>
    <row r="11">
      <c r="A11" t="n">
        <v>2034</v>
      </c>
      <c r="B11" t="n">
        <v>8</v>
      </c>
      <c r="C11" t="n">
        <v>6472.187</v>
      </c>
      <c r="D11" t="n">
        <v>50000000</v>
      </c>
      <c r="E11" t="n">
        <v>0</v>
      </c>
      <c r="F11" t="n">
        <v>0</v>
      </c>
      <c r="G11" t="n">
        <v>1</v>
      </c>
      <c r="H11" t="n">
        <v>2924.617</v>
      </c>
      <c r="I11" t="n">
        <v>377.24</v>
      </c>
      <c r="J11" t="n">
        <v>1623.965</v>
      </c>
      <c r="K11" t="n">
        <v>2784.213</v>
      </c>
      <c r="L11" t="n">
        <v>1386.912</v>
      </c>
      <c r="M11" t="n">
        <v>50636.513</v>
      </c>
      <c r="N11" t="n">
        <v>5075.468</v>
      </c>
      <c r="O11" t="n">
        <v>91.74299999999999</v>
      </c>
      <c r="P11" t="n">
        <v>91.261</v>
      </c>
      <c r="Q11" t="n">
        <v>2285.764</v>
      </c>
      <c r="R11" t="n">
        <v>2072.506</v>
      </c>
      <c r="S11" t="n">
        <v>5563.135</v>
      </c>
      <c r="T11" t="n">
        <v>3301.857</v>
      </c>
      <c r="U11" t="n">
        <v>125685.538</v>
      </c>
      <c r="V11" t="n">
        <v>312.752</v>
      </c>
      <c r="W11" t="n">
        <v>848.3630000000001</v>
      </c>
      <c r="X11" t="n">
        <v>91.74299999999999</v>
      </c>
      <c r="Y11" t="n">
        <v>988.562</v>
      </c>
      <c r="Z11">
        <f>H11*x_c_F+I11*x_c_CC+J11*x_c_DC+K11*x_c_HCC+L11*x_c_PLT+M11*x_c_SVRn+N11*x_c_SVRcc+O11*x_c_LT+P11*x_c_LT1</f>
        <v/>
      </c>
      <c r="AA11">
        <f>C11*x_c_DAA</f>
        <v/>
      </c>
      <c r="AB11">
        <f>C11*x_c_MON</f>
        <v/>
      </c>
      <c r="AC11">
        <f>D11*(1-x_testy)</f>
        <v/>
      </c>
      <c r="AD11">
        <f>E11*(1-x_testy)</f>
        <v/>
      </c>
      <c r="AE11">
        <f>F11*x_NAV</f>
        <v/>
      </c>
      <c r="AF11">
        <f>G11*x_FIX*(1-x_testy)</f>
        <v/>
      </c>
      <c r="AG11">
        <f>x_z_F*T11+(1-x_AGRI)*x_EMP*x_WLOSS*(x_PEN_K74*Q11+x_PEN_C22*R11)</f>
        <v/>
      </c>
      <c r="AH11">
        <f>x_AGRI*x_EMP*x_WLOSS*(x_PEN_K74*Q11+x_PEN_C22*R11)</f>
        <v/>
      </c>
      <c r="AI11">
        <f>x_EMP*x_WAGE*(x_WLOSS*(Q11+R11)+S11)+T11*x_ABS_D*x_WAGE/365</f>
        <v/>
      </c>
      <c r="AJ11">
        <f>AI11*x_R_FUS</f>
        <v/>
      </c>
      <c r="AK11">
        <f>AI11*x_R_NFZ</f>
        <v/>
      </c>
      <c r="AL11">
        <f>AI11*x_R_PIT</f>
        <v/>
      </c>
      <c r="AM11">
        <f>AI11*x_R_FP</f>
        <v/>
      </c>
      <c r="AN11">
        <f>Z11+AA11+AB11+AC11+AE11</f>
        <v/>
      </c>
      <c r="AO11">
        <f>AN11+AD11+AF11+AG11+AH11+AJ11+AK11+AL11+AM11</f>
        <v/>
      </c>
      <c r="AP11">
        <f>AN11+AD11+AF11+AI11</f>
        <v/>
      </c>
      <c r="AQ11">
        <f>AA11+AB11+AC11+AE11</f>
        <v/>
      </c>
      <c r="AR11">
        <f>AQ11+AD11+AF11</f>
        <v/>
      </c>
    </row>
    <row r="12">
      <c r="A12" t="n">
        <v>2035</v>
      </c>
      <c r="B12" t="n">
        <v>9</v>
      </c>
      <c r="C12" t="n">
        <v>6423.586</v>
      </c>
      <c r="D12" t="n">
        <v>50000000</v>
      </c>
      <c r="E12" t="n">
        <v>0</v>
      </c>
      <c r="F12" t="n">
        <v>0</v>
      </c>
      <c r="G12" t="n">
        <v>1</v>
      </c>
      <c r="H12" t="n">
        <v>2558.592</v>
      </c>
      <c r="I12" t="n">
        <v>336.747</v>
      </c>
      <c r="J12" t="n">
        <v>1634.54</v>
      </c>
      <c r="K12" t="n">
        <v>2817.038</v>
      </c>
      <c r="L12" t="n">
        <v>1372.947</v>
      </c>
      <c r="M12" t="n">
        <v>54695.377</v>
      </c>
      <c r="N12" t="n">
        <v>5511.261</v>
      </c>
      <c r="O12" t="n">
        <v>92.526</v>
      </c>
      <c r="P12" t="n">
        <v>92.13500000000001</v>
      </c>
      <c r="Q12" t="n">
        <v>2315.362</v>
      </c>
      <c r="R12" t="n">
        <v>2127.945</v>
      </c>
      <c r="S12" t="n">
        <v>6273.937</v>
      </c>
      <c r="T12" t="n">
        <v>2895.338</v>
      </c>
      <c r="U12" t="n">
        <v>127089.771</v>
      </c>
      <c r="V12" t="n">
        <v>312.297</v>
      </c>
      <c r="W12" t="n">
        <v>850.421</v>
      </c>
      <c r="X12" t="n">
        <v>92.526</v>
      </c>
      <c r="Y12" t="n">
        <v>998.751</v>
      </c>
      <c r="Z12">
        <f>H12*x_c_F+I12*x_c_CC+J12*x_c_DC+K12*x_c_HCC+L12*x_c_PLT+M12*x_c_SVRn+N12*x_c_SVRcc+O12*x_c_LT+P12*x_c_LT1</f>
        <v/>
      </c>
      <c r="AA12">
        <f>C12*x_c_DAA</f>
        <v/>
      </c>
      <c r="AB12">
        <f>C12*x_c_MON</f>
        <v/>
      </c>
      <c r="AC12">
        <f>D12*(1-x_testy)</f>
        <v/>
      </c>
      <c r="AD12">
        <f>E12*(1-x_testy)</f>
        <v/>
      </c>
      <c r="AE12">
        <f>F12*x_NAV</f>
        <v/>
      </c>
      <c r="AF12">
        <f>G12*x_FIX*(1-x_testy)</f>
        <v/>
      </c>
      <c r="AG12">
        <f>x_z_F*T12+(1-x_AGRI)*x_EMP*x_WLOSS*(x_PEN_K74*Q12+x_PEN_C22*R12)</f>
        <v/>
      </c>
      <c r="AH12">
        <f>x_AGRI*x_EMP*x_WLOSS*(x_PEN_K74*Q12+x_PEN_C22*R12)</f>
        <v/>
      </c>
      <c r="AI12">
        <f>x_EMP*x_WAGE*(x_WLOSS*(Q12+R12)+S12)+T12*x_ABS_D*x_WAGE/365</f>
        <v/>
      </c>
      <c r="AJ12">
        <f>AI12*x_R_FUS</f>
        <v/>
      </c>
      <c r="AK12">
        <f>AI12*x_R_NFZ</f>
        <v/>
      </c>
      <c r="AL12">
        <f>AI12*x_R_PIT</f>
        <v/>
      </c>
      <c r="AM12">
        <f>AI12*x_R_FP</f>
        <v/>
      </c>
      <c r="AN12">
        <f>Z12+AA12+AB12+AC12+AE12</f>
        <v/>
      </c>
      <c r="AO12">
        <f>AN12+AD12+AF12+AG12+AH12+AJ12+AK12+AL12+AM12</f>
        <v/>
      </c>
      <c r="AP12">
        <f>AN12+AD12+AF12+AI12</f>
        <v/>
      </c>
      <c r="AQ12">
        <f>AA12+AB12+AC12+AE12</f>
        <v/>
      </c>
      <c r="AR12">
        <f>AQ12+AD12+AF12</f>
        <v/>
      </c>
    </row>
    <row r="13">
      <c r="A13" t="n">
        <v>2036</v>
      </c>
      <c r="B13" t="n">
        <v>10</v>
      </c>
      <c r="C13" t="n">
        <v>4832</v>
      </c>
      <c r="D13" t="n">
        <v>0</v>
      </c>
      <c r="E13" t="n">
        <v>0</v>
      </c>
      <c r="F13" t="n">
        <v>0</v>
      </c>
      <c r="G13" t="n">
        <v>0</v>
      </c>
      <c r="H13" t="n">
        <v>2207.305</v>
      </c>
      <c r="I13" t="n">
        <v>295.088</v>
      </c>
      <c r="J13" t="n">
        <v>1641.98</v>
      </c>
      <c r="K13" t="n">
        <v>2841.252</v>
      </c>
      <c r="L13" t="n">
        <v>1359.087</v>
      </c>
      <c r="M13" t="n">
        <v>57978.203</v>
      </c>
      <c r="N13" t="n">
        <v>5842.444</v>
      </c>
      <c r="O13" t="n">
        <v>93.033</v>
      </c>
      <c r="P13" t="n">
        <v>92.78</v>
      </c>
      <c r="Q13" t="n">
        <v>2344.183</v>
      </c>
      <c r="R13" t="n">
        <v>2178.978</v>
      </c>
      <c r="S13" t="n">
        <v>6994.134</v>
      </c>
      <c r="T13" t="n">
        <v>2502.393</v>
      </c>
      <c r="U13" t="n">
        <v>128432.812</v>
      </c>
      <c r="V13" t="n">
        <v>312.992</v>
      </c>
      <c r="W13" t="n">
        <v>854.1799999999999</v>
      </c>
      <c r="X13" t="n">
        <v>93.033</v>
      </c>
      <c r="Y13" t="n">
        <v>1005.447</v>
      </c>
      <c r="Z13">
        <f>H13*x_c_F+I13*x_c_CC+J13*x_c_DC+K13*x_c_HCC+L13*x_c_PLT+M13*x_c_SVRn+N13*x_c_SVRcc+O13*x_c_LT+P13*x_c_LT1</f>
        <v/>
      </c>
      <c r="AA13">
        <f>C13*x_c_DAA</f>
        <v/>
      </c>
      <c r="AB13">
        <f>C13*x_c_MON</f>
        <v/>
      </c>
      <c r="AC13">
        <f>D13*(1-x_testy)</f>
        <v/>
      </c>
      <c r="AD13">
        <f>E13*(1-x_testy)</f>
        <v/>
      </c>
      <c r="AE13">
        <f>F13*x_NAV</f>
        <v/>
      </c>
      <c r="AF13">
        <f>G13*x_FIX*(1-x_testy)</f>
        <v/>
      </c>
      <c r="AG13">
        <f>x_z_F*T13+(1-x_AGRI)*x_EMP*x_WLOSS*(x_PEN_K74*Q13+x_PEN_C22*R13)</f>
        <v/>
      </c>
      <c r="AH13">
        <f>x_AGRI*x_EMP*x_WLOSS*(x_PEN_K74*Q13+x_PEN_C22*R13)</f>
        <v/>
      </c>
      <c r="AI13">
        <f>x_EMP*x_WAGE*(x_WLOSS*(Q13+R13)+S13)+T13*x_ABS_D*x_WAGE/365</f>
        <v/>
      </c>
      <c r="AJ13">
        <f>AI13*x_R_FUS</f>
        <v/>
      </c>
      <c r="AK13">
        <f>AI13*x_R_NFZ</f>
        <v/>
      </c>
      <c r="AL13">
        <f>AI13*x_R_PIT</f>
        <v/>
      </c>
      <c r="AM13">
        <f>AI13*x_R_FP</f>
        <v/>
      </c>
      <c r="AN13">
        <f>Z13+AA13+AB13+AC13+AE13</f>
        <v/>
      </c>
      <c r="AO13">
        <f>AN13+AD13+AF13+AG13+AH13+AJ13+AK13+AL13+AM13</f>
        <v/>
      </c>
      <c r="AP13">
        <f>AN13+AD13+AF13+AI13</f>
        <v/>
      </c>
      <c r="AQ13">
        <f>AA13+AB13+AC13+AE13</f>
        <v/>
      </c>
      <c r="AR13">
        <f>AQ13+AD13+AF13</f>
        <v/>
      </c>
    </row>
    <row r="14">
      <c r="A14" t="n">
        <v>2037</v>
      </c>
      <c r="B14" t="n">
        <v>11</v>
      </c>
      <c r="C14" t="n">
        <v>4832</v>
      </c>
      <c r="D14" t="n">
        <v>0</v>
      </c>
      <c r="E14" t="n">
        <v>0</v>
      </c>
      <c r="F14" t="n">
        <v>0</v>
      </c>
      <c r="G14" t="n">
        <v>0</v>
      </c>
      <c r="H14" t="n">
        <v>2203.635</v>
      </c>
      <c r="I14" t="n">
        <v>296.999</v>
      </c>
      <c r="J14" t="n">
        <v>1646.473</v>
      </c>
      <c r="K14" t="n">
        <v>2857.858</v>
      </c>
      <c r="L14" t="n">
        <v>1345.019</v>
      </c>
      <c r="M14" t="n">
        <v>61174.934</v>
      </c>
      <c r="N14" t="n">
        <v>6157.924</v>
      </c>
      <c r="O14" t="n">
        <v>93.38</v>
      </c>
      <c r="P14" t="n">
        <v>93.20699999999999</v>
      </c>
      <c r="Q14" t="n">
        <v>2372.188</v>
      </c>
      <c r="R14" t="n">
        <v>2226.302</v>
      </c>
      <c r="S14" t="n">
        <v>7721.022</v>
      </c>
      <c r="T14" t="n">
        <v>2500.635</v>
      </c>
      <c r="U14" t="n">
        <v>129750.561</v>
      </c>
      <c r="V14" t="n">
        <v>312.041</v>
      </c>
      <c r="W14" t="n">
        <v>853.657</v>
      </c>
      <c r="X14" t="n">
        <v>93.38</v>
      </c>
      <c r="Y14" t="n">
        <v>1010.076</v>
      </c>
      <c r="Z14">
        <f>H14*x_c_F+I14*x_c_CC+J14*x_c_DC+K14*x_c_HCC+L14*x_c_PLT+M14*x_c_SVRn+N14*x_c_SVRcc+O14*x_c_LT+P14*x_c_LT1</f>
        <v/>
      </c>
      <c r="AA14">
        <f>C14*x_c_DAA</f>
        <v/>
      </c>
      <c r="AB14">
        <f>C14*x_c_MON</f>
        <v/>
      </c>
      <c r="AC14">
        <f>D14*(1-x_testy)</f>
        <v/>
      </c>
      <c r="AD14">
        <f>E14*(1-x_testy)</f>
        <v/>
      </c>
      <c r="AE14">
        <f>F14*x_NAV</f>
        <v/>
      </c>
      <c r="AF14">
        <f>G14*x_FIX*(1-x_testy)</f>
        <v/>
      </c>
      <c r="AG14">
        <f>x_z_F*T14+(1-x_AGRI)*x_EMP*x_WLOSS*(x_PEN_K74*Q14+x_PEN_C22*R14)</f>
        <v/>
      </c>
      <c r="AH14">
        <f>x_AGRI*x_EMP*x_WLOSS*(x_PEN_K74*Q14+x_PEN_C22*R14)</f>
        <v/>
      </c>
      <c r="AI14">
        <f>x_EMP*x_WAGE*(x_WLOSS*(Q14+R14)+S14)+T14*x_ABS_D*x_WAGE/365</f>
        <v/>
      </c>
      <c r="AJ14">
        <f>AI14*x_R_FUS</f>
        <v/>
      </c>
      <c r="AK14">
        <f>AI14*x_R_NFZ</f>
        <v/>
      </c>
      <c r="AL14">
        <f>AI14*x_R_PIT</f>
        <v/>
      </c>
      <c r="AM14">
        <f>AI14*x_R_FP</f>
        <v/>
      </c>
      <c r="AN14">
        <f>Z14+AA14+AB14+AC14+AE14</f>
        <v/>
      </c>
      <c r="AO14">
        <f>AN14+AD14+AF14+AG14+AH14+AJ14+AK14+AL14+AM14</f>
        <v/>
      </c>
      <c r="AP14">
        <f>AN14+AD14+AF14+AI14</f>
        <v/>
      </c>
      <c r="AQ14">
        <f>AA14+AB14+AC14+AE14</f>
        <v/>
      </c>
      <c r="AR14">
        <f>AQ14+AD14+AF14</f>
        <v/>
      </c>
    </row>
    <row r="15">
      <c r="A15" t="n">
        <v>2038</v>
      </c>
      <c r="B15" t="n">
        <v>12</v>
      </c>
      <c r="C15" t="n">
        <v>4832</v>
      </c>
      <c r="D15" t="n">
        <v>0</v>
      </c>
      <c r="E15" t="n">
        <v>0</v>
      </c>
      <c r="F15" t="n">
        <v>0</v>
      </c>
      <c r="G15" t="n">
        <v>0</v>
      </c>
      <c r="H15" t="n">
        <v>2201.544</v>
      </c>
      <c r="I15" t="n">
        <v>297.336</v>
      </c>
      <c r="J15" t="n">
        <v>1646.83</v>
      </c>
      <c r="K15" t="n">
        <v>2864.686</v>
      </c>
      <c r="L15" t="n">
        <v>1330.452</v>
      </c>
      <c r="M15" t="n">
        <v>64284.931</v>
      </c>
      <c r="N15" t="n">
        <v>6454.079</v>
      </c>
      <c r="O15" t="n">
        <v>93.486</v>
      </c>
      <c r="P15" t="n">
        <v>93.43300000000001</v>
      </c>
      <c r="Q15" t="n">
        <v>1558.909</v>
      </c>
      <c r="R15" t="n">
        <v>1479.736</v>
      </c>
      <c r="S15" t="n">
        <v>5363.964</v>
      </c>
      <c r="T15" t="n">
        <v>2498.879</v>
      </c>
      <c r="U15" t="n">
        <v>131039.088</v>
      </c>
      <c r="V15" t="n">
        <v>309.539</v>
      </c>
      <c r="W15" t="n">
        <v>849.044</v>
      </c>
      <c r="X15" t="n">
        <v>93.486</v>
      </c>
      <c r="Y15" t="n">
        <v>1011.776</v>
      </c>
      <c r="Z15">
        <f>H15*x_c_F+I15*x_c_CC+J15*x_c_DC+K15*x_c_HCC+L15*x_c_PLT+M15*x_c_SVRn+N15*x_c_SVRcc+O15*x_c_LT+P15*x_c_LT1</f>
        <v/>
      </c>
      <c r="AA15">
        <f>C15*x_c_DAA</f>
        <v/>
      </c>
      <c r="AB15">
        <f>C15*x_c_MON</f>
        <v/>
      </c>
      <c r="AC15">
        <f>D15*(1-x_testy)</f>
        <v/>
      </c>
      <c r="AD15">
        <f>E15*(1-x_testy)</f>
        <v/>
      </c>
      <c r="AE15">
        <f>F15*x_NAV</f>
        <v/>
      </c>
      <c r="AF15">
        <f>G15*x_FIX*(1-x_testy)</f>
        <v/>
      </c>
      <c r="AG15">
        <f>x_z_F*T15+(1-x_AGRI)*x_EMP*x_WLOSS*(x_PEN_K74*Q15+x_PEN_C22*R15)</f>
        <v/>
      </c>
      <c r="AH15">
        <f>x_AGRI*x_EMP*x_WLOSS*(x_PEN_K74*Q15+x_PEN_C22*R15)</f>
        <v/>
      </c>
      <c r="AI15">
        <f>x_EMP*x_WAGE*(x_WLOSS*(Q15+R15)+S15)+T15*x_ABS_D*x_WAGE/365</f>
        <v/>
      </c>
      <c r="AJ15">
        <f>AI15*x_R_FUS</f>
        <v/>
      </c>
      <c r="AK15">
        <f>AI15*x_R_NFZ</f>
        <v/>
      </c>
      <c r="AL15">
        <f>AI15*x_R_PIT</f>
        <v/>
      </c>
      <c r="AM15">
        <f>AI15*x_R_FP</f>
        <v/>
      </c>
      <c r="AN15">
        <f>Z15+AA15+AB15+AC15+AE15</f>
        <v/>
      </c>
      <c r="AO15">
        <f>AN15+AD15+AF15+AG15+AH15+AJ15+AK15+AL15+AM15</f>
        <v/>
      </c>
      <c r="AP15">
        <f>AN15+AD15+AF15+AI15</f>
        <v/>
      </c>
      <c r="AQ15">
        <f>AA15+AB15+AC15+AE15</f>
        <v/>
      </c>
      <c r="AR15">
        <f>AQ15+AD15+AF15</f>
        <v/>
      </c>
    </row>
    <row r="16">
      <c r="A16" t="n">
        <v>2039</v>
      </c>
      <c r="B16" t="n">
        <v>13</v>
      </c>
      <c r="C16" t="n">
        <v>4832</v>
      </c>
      <c r="D16" t="n">
        <v>0</v>
      </c>
      <c r="E16" t="n">
        <v>0</v>
      </c>
      <c r="F16" t="n">
        <v>0</v>
      </c>
      <c r="G16" t="n">
        <v>0</v>
      </c>
      <c r="H16" t="n">
        <v>2200.951</v>
      </c>
      <c r="I16" t="n">
        <v>296.18</v>
      </c>
      <c r="J16" t="n">
        <v>1642.192</v>
      </c>
      <c r="K16" t="n">
        <v>2860.452</v>
      </c>
      <c r="L16" t="n">
        <v>1315.112</v>
      </c>
      <c r="M16" t="n">
        <v>67306.96400000001</v>
      </c>
      <c r="N16" t="n">
        <v>6727.469</v>
      </c>
      <c r="O16" t="n">
        <v>93.295</v>
      </c>
      <c r="P16" t="n">
        <v>93.39</v>
      </c>
      <c r="Q16" t="n">
        <v>740.87</v>
      </c>
      <c r="R16" t="n">
        <v>723.479</v>
      </c>
      <c r="S16" t="n">
        <v>2766.548</v>
      </c>
      <c r="T16" t="n">
        <v>2497.131</v>
      </c>
      <c r="U16" t="n">
        <v>132294.515</v>
      </c>
      <c r="V16" t="n">
        <v>305.621</v>
      </c>
      <c r="W16" t="n">
        <v>840.64</v>
      </c>
      <c r="X16" t="n">
        <v>93.295</v>
      </c>
      <c r="Y16" t="n">
        <v>1009.979</v>
      </c>
      <c r="Z16">
        <f>H16*x_c_F+I16*x_c_CC+J16*x_c_DC+K16*x_c_HCC+L16*x_c_PLT+M16*x_c_SVRn+N16*x_c_SVRcc+O16*x_c_LT+P16*x_c_LT1</f>
        <v/>
      </c>
      <c r="AA16">
        <f>C16*x_c_DAA</f>
        <v/>
      </c>
      <c r="AB16">
        <f>C16*x_c_MON</f>
        <v/>
      </c>
      <c r="AC16">
        <f>D16*(1-x_testy)</f>
        <v/>
      </c>
      <c r="AD16">
        <f>E16*(1-x_testy)</f>
        <v/>
      </c>
      <c r="AE16">
        <f>F16*x_NAV</f>
        <v/>
      </c>
      <c r="AF16">
        <f>G16*x_FIX*(1-x_testy)</f>
        <v/>
      </c>
      <c r="AG16">
        <f>x_z_F*T16+(1-x_AGRI)*x_EMP*x_WLOSS*(x_PEN_K74*Q16+x_PEN_C22*R16)</f>
        <v/>
      </c>
      <c r="AH16">
        <f>x_AGRI*x_EMP*x_WLOSS*(x_PEN_K74*Q16+x_PEN_C22*R16)</f>
        <v/>
      </c>
      <c r="AI16">
        <f>x_EMP*x_WAGE*(x_WLOSS*(Q16+R16)+S16)+T16*x_ABS_D*x_WAGE/365</f>
        <v/>
      </c>
      <c r="AJ16">
        <f>AI16*x_R_FUS</f>
        <v/>
      </c>
      <c r="AK16">
        <f>AI16*x_R_NFZ</f>
        <v/>
      </c>
      <c r="AL16">
        <f>AI16*x_R_PIT</f>
        <v/>
      </c>
      <c r="AM16">
        <f>AI16*x_R_FP</f>
        <v/>
      </c>
      <c r="AN16">
        <f>Z16+AA16+AB16+AC16+AE16</f>
        <v/>
      </c>
      <c r="AO16">
        <f>AN16+AD16+AF16+AG16+AH16+AJ16+AK16+AL16+AM16</f>
        <v/>
      </c>
      <c r="AP16">
        <f>AN16+AD16+AF16+AI16</f>
        <v/>
      </c>
      <c r="AQ16">
        <f>AA16+AB16+AC16+AE16</f>
        <v/>
      </c>
      <c r="AR16">
        <f>AQ16+AD16+AF16</f>
        <v/>
      </c>
    </row>
    <row r="17">
      <c r="A17" t="n">
        <v>2040</v>
      </c>
      <c r="B17" t="n">
        <v>14</v>
      </c>
      <c r="C17" t="n">
        <v>4832</v>
      </c>
      <c r="D17" t="n">
        <v>0</v>
      </c>
      <c r="E17" t="n">
        <v>0</v>
      </c>
      <c r="F17" t="n">
        <v>0</v>
      </c>
      <c r="G17" t="n">
        <v>0</v>
      </c>
      <c r="H17" t="n">
        <v>2201.745</v>
      </c>
      <c r="I17" t="n">
        <v>293.654</v>
      </c>
      <c r="J17" t="n">
        <v>1632.073</v>
      </c>
      <c r="K17" t="n">
        <v>2844.701</v>
      </c>
      <c r="L17" t="n">
        <v>1298.717</v>
      </c>
      <c r="M17" t="n">
        <v>70240.932</v>
      </c>
      <c r="N17" t="n">
        <v>6975.165</v>
      </c>
      <c r="O17" t="n">
        <v>92.777</v>
      </c>
      <c r="P17" t="n">
        <v>93.036</v>
      </c>
      <c r="Q17" t="n">
        <v>759.143</v>
      </c>
      <c r="R17" t="n">
        <v>749.4829999999999</v>
      </c>
      <c r="S17" t="n">
        <v>3019.386</v>
      </c>
      <c r="T17" t="n">
        <v>2495.4</v>
      </c>
      <c r="U17" t="n">
        <v>133516.252</v>
      </c>
      <c r="V17" t="n">
        <v>300.465</v>
      </c>
      <c r="W17" t="n">
        <v>828.8630000000001</v>
      </c>
      <c r="X17" t="n">
        <v>92.777</v>
      </c>
      <c r="Y17" t="n">
        <v>1004.427</v>
      </c>
      <c r="Z17">
        <f>H17*x_c_F+I17*x_c_CC+J17*x_c_DC+K17*x_c_HCC+L17*x_c_PLT+M17*x_c_SVRn+N17*x_c_SVRcc+O17*x_c_LT+P17*x_c_LT1</f>
        <v/>
      </c>
      <c r="AA17">
        <f>C17*x_c_DAA</f>
        <v/>
      </c>
      <c r="AB17">
        <f>C17*x_c_MON</f>
        <v/>
      </c>
      <c r="AC17">
        <f>D17*(1-x_testy)</f>
        <v/>
      </c>
      <c r="AD17">
        <f>E17*(1-x_testy)</f>
        <v/>
      </c>
      <c r="AE17">
        <f>F17*x_NAV</f>
        <v/>
      </c>
      <c r="AF17">
        <f>G17*x_FIX*(1-x_testy)</f>
        <v/>
      </c>
      <c r="AG17">
        <f>x_z_F*T17+(1-x_AGRI)*x_EMP*x_WLOSS*(x_PEN_K74*Q17+x_PEN_C22*R17)</f>
        <v/>
      </c>
      <c r="AH17">
        <f>x_AGRI*x_EMP*x_WLOSS*(x_PEN_K74*Q17+x_PEN_C22*R17)</f>
        <v/>
      </c>
      <c r="AI17">
        <f>x_EMP*x_WAGE*(x_WLOSS*(Q17+R17)+S17)+T17*x_ABS_D*x_WAGE/365</f>
        <v/>
      </c>
      <c r="AJ17">
        <f>AI17*x_R_FUS</f>
        <v/>
      </c>
      <c r="AK17">
        <f>AI17*x_R_NFZ</f>
        <v/>
      </c>
      <c r="AL17">
        <f>AI17*x_R_PIT</f>
        <v/>
      </c>
      <c r="AM17">
        <f>AI17*x_R_FP</f>
        <v/>
      </c>
      <c r="AN17">
        <f>Z17+AA17+AB17+AC17+AE17</f>
        <v/>
      </c>
      <c r="AO17">
        <f>AN17+AD17+AF17+AG17+AH17+AJ17+AK17+AL17+AM17</f>
        <v/>
      </c>
      <c r="AP17">
        <f>AN17+AD17+AF17+AI17</f>
        <v/>
      </c>
      <c r="AQ17">
        <f>AA17+AB17+AC17+AE17</f>
        <v/>
      </c>
      <c r="AR17">
        <f>AQ17+AD17+AF17</f>
        <v/>
      </c>
    </row>
    <row r="18">
      <c r="A18" t="n">
        <v>2041</v>
      </c>
      <c r="B18" t="n">
        <v>15</v>
      </c>
      <c r="C18" t="n">
        <v>4832</v>
      </c>
      <c r="D18" t="n">
        <v>0</v>
      </c>
      <c r="E18" t="n">
        <v>0</v>
      </c>
      <c r="F18" t="n">
        <v>0</v>
      </c>
      <c r="G18" t="n">
        <v>0</v>
      </c>
      <c r="H18" t="n">
        <v>2203.777</v>
      </c>
      <c r="I18" t="n">
        <v>289.92</v>
      </c>
      <c r="J18" t="n">
        <v>1616.391</v>
      </c>
      <c r="K18" t="n">
        <v>2817.766</v>
      </c>
      <c r="L18" t="n">
        <v>1281.061</v>
      </c>
      <c r="M18" t="n">
        <v>73089.713</v>
      </c>
      <c r="N18" t="n">
        <v>7195.121</v>
      </c>
      <c r="O18" t="n">
        <v>91.929</v>
      </c>
      <c r="P18" t="n">
        <v>92.35299999999999</v>
      </c>
      <c r="Q18" t="n">
        <v>778.395</v>
      </c>
      <c r="R18" t="n">
        <v>776.428</v>
      </c>
      <c r="S18" t="n">
        <v>3280.007</v>
      </c>
      <c r="T18" t="n">
        <v>2493.697</v>
      </c>
      <c r="U18" t="n">
        <v>134709.288</v>
      </c>
      <c r="V18" t="n">
        <v>294.291</v>
      </c>
      <c r="W18" t="n">
        <v>814.253</v>
      </c>
      <c r="X18" t="n">
        <v>91.929</v>
      </c>
      <c r="Y18" t="n">
        <v>995.165</v>
      </c>
      <c r="Z18">
        <f>H18*x_c_F+I18*x_c_CC+J18*x_c_DC+K18*x_c_HCC+L18*x_c_PLT+M18*x_c_SVRn+N18*x_c_SVRcc+O18*x_c_LT+P18*x_c_LT1</f>
        <v/>
      </c>
      <c r="AA18">
        <f>C18*x_c_DAA</f>
        <v/>
      </c>
      <c r="AB18">
        <f>C18*x_c_MON</f>
        <v/>
      </c>
      <c r="AC18">
        <f>D18*(1-x_testy)</f>
        <v/>
      </c>
      <c r="AD18">
        <f>E18*(1-x_testy)</f>
        <v/>
      </c>
      <c r="AE18">
        <f>F18*x_NAV</f>
        <v/>
      </c>
      <c r="AF18">
        <f>G18*x_FIX*(1-x_testy)</f>
        <v/>
      </c>
      <c r="AG18">
        <f>x_z_F*T18+(1-x_AGRI)*x_EMP*x_WLOSS*(x_PEN_K74*Q18+x_PEN_C22*R18)</f>
        <v/>
      </c>
      <c r="AH18">
        <f>x_AGRI*x_EMP*x_WLOSS*(x_PEN_K74*Q18+x_PEN_C22*R18)</f>
        <v/>
      </c>
      <c r="AI18">
        <f>x_EMP*x_WAGE*(x_WLOSS*(Q18+R18)+S18)+T18*x_ABS_D*x_WAGE/365</f>
        <v/>
      </c>
      <c r="AJ18">
        <f>AI18*x_R_FUS</f>
        <v/>
      </c>
      <c r="AK18">
        <f>AI18*x_R_NFZ</f>
        <v/>
      </c>
      <c r="AL18">
        <f>AI18*x_R_PIT</f>
        <v/>
      </c>
      <c r="AM18">
        <f>AI18*x_R_FP</f>
        <v/>
      </c>
      <c r="AN18">
        <f>Z18+AA18+AB18+AC18+AE18</f>
        <v/>
      </c>
      <c r="AO18">
        <f>AN18+AD18+AF18+AG18+AH18+AJ18+AK18+AL18+AM18</f>
        <v/>
      </c>
      <c r="AP18">
        <f>AN18+AD18+AF18+AI18</f>
        <v/>
      </c>
      <c r="AQ18">
        <f>AA18+AB18+AC18+AE18</f>
        <v/>
      </c>
      <c r="AR18">
        <f>AQ18+AD18+AF18</f>
        <v/>
      </c>
    </row>
    <row r="19">
      <c r="A19" t="n">
        <v>2042</v>
      </c>
      <c r="B19" t="n">
        <v>16</v>
      </c>
      <c r="C19" t="n">
        <v>4832</v>
      </c>
      <c r="D19" t="n">
        <v>0</v>
      </c>
      <c r="E19" t="n">
        <v>0</v>
      </c>
      <c r="F19" t="n">
        <v>0</v>
      </c>
      <c r="G19" t="n">
        <v>0</v>
      </c>
      <c r="H19" t="n">
        <v>2206.871</v>
      </c>
      <c r="I19" t="n">
        <v>285.166</v>
      </c>
      <c r="J19" t="n">
        <v>1595.259</v>
      </c>
      <c r="K19" t="n">
        <v>2780.399</v>
      </c>
      <c r="L19" t="n">
        <v>1261.742</v>
      </c>
      <c r="M19" t="n">
        <v>75851.289</v>
      </c>
      <c r="N19" t="n">
        <v>7385.328</v>
      </c>
      <c r="O19" t="n">
        <v>90.749</v>
      </c>
      <c r="P19" t="n">
        <v>91.339</v>
      </c>
      <c r="Q19" t="n">
        <v>798.659</v>
      </c>
      <c r="R19" t="n">
        <v>804.429</v>
      </c>
      <c r="S19" t="n">
        <v>3548.564</v>
      </c>
      <c r="T19" t="n">
        <v>2492.037</v>
      </c>
      <c r="U19" t="n">
        <v>135875.36</v>
      </c>
      <c r="V19" t="n">
        <v>287.313</v>
      </c>
      <c r="W19" t="n">
        <v>797.327</v>
      </c>
      <c r="X19" t="n">
        <v>90.749</v>
      </c>
      <c r="Y19" t="n">
        <v>982.245</v>
      </c>
      <c r="Z19">
        <f>H19*x_c_F+I19*x_c_CC+J19*x_c_DC+K19*x_c_HCC+L19*x_c_PLT+M19*x_c_SVRn+N19*x_c_SVRcc+O19*x_c_LT+P19*x_c_LT1</f>
        <v/>
      </c>
      <c r="AA19">
        <f>C19*x_c_DAA</f>
        <v/>
      </c>
      <c r="AB19">
        <f>C19*x_c_MON</f>
        <v/>
      </c>
      <c r="AC19">
        <f>D19*(1-x_testy)</f>
        <v/>
      </c>
      <c r="AD19">
        <f>E19*(1-x_testy)</f>
        <v/>
      </c>
      <c r="AE19">
        <f>F19*x_NAV</f>
        <v/>
      </c>
      <c r="AF19">
        <f>G19*x_FIX*(1-x_testy)</f>
        <v/>
      </c>
      <c r="AG19">
        <f>x_z_F*T19+(1-x_AGRI)*x_EMP*x_WLOSS*(x_PEN_K74*Q19+x_PEN_C22*R19)</f>
        <v/>
      </c>
      <c r="AH19">
        <f>x_AGRI*x_EMP*x_WLOSS*(x_PEN_K74*Q19+x_PEN_C22*R19)</f>
        <v/>
      </c>
      <c r="AI19">
        <f>x_EMP*x_WAGE*(x_WLOSS*(Q19+R19)+S19)+T19*x_ABS_D*x_WAGE/365</f>
        <v/>
      </c>
      <c r="AJ19">
        <f>AI19*x_R_FUS</f>
        <v/>
      </c>
      <c r="AK19">
        <f>AI19*x_R_NFZ</f>
        <v/>
      </c>
      <c r="AL19">
        <f>AI19*x_R_PIT</f>
        <v/>
      </c>
      <c r="AM19">
        <f>AI19*x_R_FP</f>
        <v/>
      </c>
      <c r="AN19">
        <f>Z19+AA19+AB19+AC19+AE19</f>
        <v/>
      </c>
      <c r="AO19">
        <f>AN19+AD19+AF19+AG19+AH19+AJ19+AK19+AL19+AM19</f>
        <v/>
      </c>
      <c r="AP19">
        <f>AN19+AD19+AF19+AI19</f>
        <v/>
      </c>
      <c r="AQ19">
        <f>AA19+AB19+AC19+AE19</f>
        <v/>
      </c>
      <c r="AR19">
        <f>AQ19+AD19+AF19</f>
        <v/>
      </c>
    </row>
    <row r="20">
      <c r="A20" t="n">
        <v>2043</v>
      </c>
      <c r="B20" t="n">
        <v>17</v>
      </c>
      <c r="C20" t="n">
        <v>4832</v>
      </c>
      <c r="D20" t="n">
        <v>0</v>
      </c>
      <c r="E20" t="n">
        <v>0</v>
      </c>
      <c r="F20" t="n">
        <v>0</v>
      </c>
      <c r="G20" t="n">
        <v>0</v>
      </c>
      <c r="H20" t="n">
        <v>2210.809</v>
      </c>
      <c r="I20" t="n">
        <v>279.634</v>
      </c>
      <c r="J20" t="n">
        <v>1569.615</v>
      </c>
      <c r="K20" t="n">
        <v>2734.643</v>
      </c>
      <c r="L20" t="n">
        <v>1241.266</v>
      </c>
      <c r="M20" t="n">
        <v>78549.307</v>
      </c>
      <c r="N20" t="n">
        <v>7547.764</v>
      </c>
      <c r="O20" t="n">
        <v>89.339</v>
      </c>
      <c r="P20" t="n">
        <v>90.044</v>
      </c>
      <c r="Q20" t="n">
        <v>819.968</v>
      </c>
      <c r="R20" t="n">
        <v>833.5940000000001</v>
      </c>
      <c r="S20" t="n">
        <v>3825.2</v>
      </c>
      <c r="T20" t="n">
        <v>2490.443</v>
      </c>
      <c r="U20" t="n">
        <v>137043.739</v>
      </c>
      <c r="V20" t="n">
        <v>279.902</v>
      </c>
      <c r="W20" t="n">
        <v>779.095</v>
      </c>
      <c r="X20" t="n">
        <v>89.339</v>
      </c>
      <c r="Y20" t="n">
        <v>966.8099999999999</v>
      </c>
      <c r="Z20">
        <f>H20*x_c_F+I20*x_c_CC+J20*x_c_DC+K20*x_c_HCC+L20*x_c_PLT+M20*x_c_SVRn+N20*x_c_SVRcc+O20*x_c_LT+P20*x_c_LT1</f>
        <v/>
      </c>
      <c r="AA20">
        <f>C20*x_c_DAA</f>
        <v/>
      </c>
      <c r="AB20">
        <f>C20*x_c_MON</f>
        <v/>
      </c>
      <c r="AC20">
        <f>D20*(1-x_testy)</f>
        <v/>
      </c>
      <c r="AD20">
        <f>E20*(1-x_testy)</f>
        <v/>
      </c>
      <c r="AE20">
        <f>F20*x_NAV</f>
        <v/>
      </c>
      <c r="AF20">
        <f>G20*x_FIX*(1-x_testy)</f>
        <v/>
      </c>
      <c r="AG20">
        <f>x_z_F*T20+(1-x_AGRI)*x_EMP*x_WLOSS*(x_PEN_K74*Q20+x_PEN_C22*R20)</f>
        <v/>
      </c>
      <c r="AH20">
        <f>x_AGRI*x_EMP*x_WLOSS*(x_PEN_K74*Q20+x_PEN_C22*R20)</f>
        <v/>
      </c>
      <c r="AI20">
        <f>x_EMP*x_WAGE*(x_WLOSS*(Q20+R20)+S20)+T20*x_ABS_D*x_WAGE/365</f>
        <v/>
      </c>
      <c r="AJ20">
        <f>AI20*x_R_FUS</f>
        <v/>
      </c>
      <c r="AK20">
        <f>AI20*x_R_NFZ</f>
        <v/>
      </c>
      <c r="AL20">
        <f>AI20*x_R_PIT</f>
        <v/>
      </c>
      <c r="AM20">
        <f>AI20*x_R_FP</f>
        <v/>
      </c>
      <c r="AN20">
        <f>Z20+AA20+AB20+AC20+AE20</f>
        <v/>
      </c>
      <c r="AO20">
        <f>AN20+AD20+AF20+AG20+AH20+AJ20+AK20+AL20+AM20</f>
        <v/>
      </c>
      <c r="AP20">
        <f>AN20+AD20+AF20+AI20</f>
        <v/>
      </c>
      <c r="AQ20">
        <f>AA20+AB20+AC20+AE20</f>
        <v/>
      </c>
      <c r="AR20">
        <f>AQ20+AD20+AF20</f>
        <v/>
      </c>
    </row>
    <row r="21">
      <c r="A21" t="n">
        <v>2044</v>
      </c>
      <c r="B21" t="n">
        <v>18</v>
      </c>
      <c r="C21" t="n">
        <v>4832</v>
      </c>
      <c r="D21" t="n">
        <v>0</v>
      </c>
      <c r="E21" t="n">
        <v>0</v>
      </c>
      <c r="F21" t="n">
        <v>0</v>
      </c>
      <c r="G21" t="n">
        <v>0</v>
      </c>
      <c r="H21" t="n">
        <v>2215.367</v>
      </c>
      <c r="I21" t="n">
        <v>273.567</v>
      </c>
      <c r="J21" t="n">
        <v>1540.529</v>
      </c>
      <c r="K21" t="n">
        <v>2682.726</v>
      </c>
      <c r="L21" t="n">
        <v>1220.106</v>
      </c>
      <c r="M21" t="n">
        <v>81206.28599999999</v>
      </c>
      <c r="N21" t="n">
        <v>7685.004</v>
      </c>
      <c r="O21" t="n">
        <v>87.714</v>
      </c>
      <c r="P21" t="n">
        <v>88.526</v>
      </c>
      <c r="Q21" t="n">
        <v>842.365</v>
      </c>
      <c r="R21" t="n">
        <v>864.015</v>
      </c>
      <c r="S21" t="n">
        <v>4110.131</v>
      </c>
      <c r="T21" t="n">
        <v>2488.934</v>
      </c>
      <c r="U21" t="n">
        <v>138240.695</v>
      </c>
      <c r="V21" t="n">
        <v>272.253</v>
      </c>
      <c r="W21" t="n">
        <v>760.038</v>
      </c>
      <c r="X21" t="n">
        <v>87.714</v>
      </c>
      <c r="Y21" t="n">
        <v>949.1</v>
      </c>
      <c r="Z21">
        <f>H21*x_c_F+I21*x_c_CC+J21*x_c_DC+K21*x_c_HCC+L21*x_c_PLT+M21*x_c_SVRn+N21*x_c_SVRcc+O21*x_c_LT+P21*x_c_LT1</f>
        <v/>
      </c>
      <c r="AA21">
        <f>C21*x_c_DAA</f>
        <v/>
      </c>
      <c r="AB21">
        <f>C21*x_c_MON</f>
        <v/>
      </c>
      <c r="AC21">
        <f>D21*(1-x_testy)</f>
        <v/>
      </c>
      <c r="AD21">
        <f>E21*(1-x_testy)</f>
        <v/>
      </c>
      <c r="AE21">
        <f>F21*x_NAV</f>
        <v/>
      </c>
      <c r="AF21">
        <f>G21*x_FIX*(1-x_testy)</f>
        <v/>
      </c>
      <c r="AG21">
        <f>x_z_F*T21+(1-x_AGRI)*x_EMP*x_WLOSS*(x_PEN_K74*Q21+x_PEN_C22*R21)</f>
        <v/>
      </c>
      <c r="AH21">
        <f>x_AGRI*x_EMP*x_WLOSS*(x_PEN_K74*Q21+x_PEN_C22*R21)</f>
        <v/>
      </c>
      <c r="AI21">
        <f>x_EMP*x_WAGE*(x_WLOSS*(Q21+R21)+S21)+T21*x_ABS_D*x_WAGE/365</f>
        <v/>
      </c>
      <c r="AJ21">
        <f>AI21*x_R_FUS</f>
        <v/>
      </c>
      <c r="AK21">
        <f>AI21*x_R_NFZ</f>
        <v/>
      </c>
      <c r="AL21">
        <f>AI21*x_R_PIT</f>
        <v/>
      </c>
      <c r="AM21">
        <f>AI21*x_R_FP</f>
        <v/>
      </c>
      <c r="AN21">
        <f>Z21+AA21+AB21+AC21+AE21</f>
        <v/>
      </c>
      <c r="AO21">
        <f>AN21+AD21+AF21+AG21+AH21+AJ21+AK21+AL21+AM21</f>
        <v/>
      </c>
      <c r="AP21">
        <f>AN21+AD21+AF21+AI21</f>
        <v/>
      </c>
      <c r="AQ21">
        <f>AA21+AB21+AC21+AE21</f>
        <v/>
      </c>
      <c r="AR21">
        <f>AQ21+AD21+AF21</f>
        <v/>
      </c>
    </row>
    <row r="22">
      <c r="A22" t="n">
        <v>2045</v>
      </c>
      <c r="B22" t="n">
        <v>19</v>
      </c>
      <c r="C22" t="n">
        <v>4832</v>
      </c>
      <c r="D22" t="n">
        <v>0</v>
      </c>
      <c r="E22" t="n">
        <v>0</v>
      </c>
      <c r="F22" t="n">
        <v>0</v>
      </c>
      <c r="G22" t="n">
        <v>0</v>
      </c>
      <c r="H22" t="n">
        <v>2220.337</v>
      </c>
      <c r="I22" t="n">
        <v>267.184</v>
      </c>
      <c r="J22" t="n">
        <v>1508.726</v>
      </c>
      <c r="K22" t="n">
        <v>2626.314</v>
      </c>
      <c r="L22" t="n">
        <v>1198.071</v>
      </c>
      <c r="M22" t="n">
        <v>83825.461</v>
      </c>
      <c r="N22" t="n">
        <v>7797.888</v>
      </c>
      <c r="O22" t="n">
        <v>85.938</v>
      </c>
      <c r="P22" t="n">
        <v>86.82599999999999</v>
      </c>
      <c r="Q22" t="n">
        <v>865.881</v>
      </c>
      <c r="R22" t="n">
        <v>895.749</v>
      </c>
      <c r="S22" t="n">
        <v>4403.556</v>
      </c>
      <c r="T22" t="n">
        <v>2487.521</v>
      </c>
      <c r="U22" t="n">
        <v>139470.254</v>
      </c>
      <c r="V22" t="n">
        <v>264.6</v>
      </c>
      <c r="W22" t="n">
        <v>740.784</v>
      </c>
      <c r="X22" t="n">
        <v>85.938</v>
      </c>
      <c r="Y22" t="n">
        <v>929.837</v>
      </c>
      <c r="Z22">
        <f>H22*x_c_F+I22*x_c_CC+J22*x_c_DC+K22*x_c_HCC+L22*x_c_PLT+M22*x_c_SVRn+N22*x_c_SVRcc+O22*x_c_LT+P22*x_c_LT1</f>
        <v/>
      </c>
      <c r="AA22">
        <f>C22*x_c_DAA</f>
        <v/>
      </c>
      <c r="AB22">
        <f>C22*x_c_MON</f>
        <v/>
      </c>
      <c r="AC22">
        <f>D22*(1-x_testy)</f>
        <v/>
      </c>
      <c r="AD22">
        <f>E22*(1-x_testy)</f>
        <v/>
      </c>
      <c r="AE22">
        <f>F22*x_NAV</f>
        <v/>
      </c>
      <c r="AF22">
        <f>G22*x_FIX*(1-x_testy)</f>
        <v/>
      </c>
      <c r="AG22">
        <f>x_z_F*T22+(1-x_AGRI)*x_EMP*x_WLOSS*(x_PEN_K74*Q22+x_PEN_C22*R22)</f>
        <v/>
      </c>
      <c r="AH22">
        <f>x_AGRI*x_EMP*x_WLOSS*(x_PEN_K74*Q22+x_PEN_C22*R22)</f>
        <v/>
      </c>
      <c r="AI22">
        <f>x_EMP*x_WAGE*(x_WLOSS*(Q22+R22)+S22)+T22*x_ABS_D*x_WAGE/365</f>
        <v/>
      </c>
      <c r="AJ22">
        <f>AI22*x_R_FUS</f>
        <v/>
      </c>
      <c r="AK22">
        <f>AI22*x_R_NFZ</f>
        <v/>
      </c>
      <c r="AL22">
        <f>AI22*x_R_PIT</f>
        <v/>
      </c>
      <c r="AM22">
        <f>AI22*x_R_FP</f>
        <v/>
      </c>
      <c r="AN22">
        <f>Z22+AA22+AB22+AC22+AE22</f>
        <v/>
      </c>
      <c r="AO22">
        <f>AN22+AD22+AF22+AG22+AH22+AJ22+AK22+AL22+AM22</f>
        <v/>
      </c>
      <c r="AP22">
        <f>AN22+AD22+AF22+AI22</f>
        <v/>
      </c>
      <c r="AQ22">
        <f>AA22+AB22+AC22+AE22</f>
        <v/>
      </c>
      <c r="AR22">
        <f>AQ22+AD22+AF22</f>
        <v/>
      </c>
    </row>
    <row r="23">
      <c r="A23" t="n">
        <v>2046</v>
      </c>
      <c r="B23" t="n">
        <v>20</v>
      </c>
      <c r="C23" t="n">
        <v>4832</v>
      </c>
      <c r="D23" t="n">
        <v>0</v>
      </c>
      <c r="E23" t="n">
        <v>0</v>
      </c>
      <c r="F23" t="n">
        <v>0</v>
      </c>
      <c r="G23" t="n">
        <v>0</v>
      </c>
      <c r="H23" t="n">
        <v>2225.519</v>
      </c>
      <c r="I23" t="n">
        <v>260.694</v>
      </c>
      <c r="J23" t="n">
        <v>1475.21</v>
      </c>
      <c r="K23" t="n">
        <v>2567.388</v>
      </c>
      <c r="L23" t="n">
        <v>1175.458</v>
      </c>
      <c r="M23" t="n">
        <v>86421.944</v>
      </c>
      <c r="N23" t="n">
        <v>7889.268</v>
      </c>
      <c r="O23" t="n">
        <v>84.066</v>
      </c>
      <c r="P23" t="n">
        <v>85.002</v>
      </c>
      <c r="Q23" t="n">
        <v>890.519</v>
      </c>
      <c r="R23" t="n">
        <v>928.796</v>
      </c>
      <c r="S23" t="n">
        <v>4705.611</v>
      </c>
      <c r="T23" t="n">
        <v>2486.213</v>
      </c>
      <c r="U23" t="n">
        <v>140746.852</v>
      </c>
      <c r="V23" t="n">
        <v>257.121</v>
      </c>
      <c r="W23" t="n">
        <v>721.814</v>
      </c>
      <c r="X23" t="n">
        <v>84.066</v>
      </c>
      <c r="Y23" t="n">
        <v>909.63</v>
      </c>
      <c r="Z23">
        <f>H23*x_c_F+I23*x_c_CC+J23*x_c_DC+K23*x_c_HCC+L23*x_c_PLT+M23*x_c_SVRn+N23*x_c_SVRcc+O23*x_c_LT+P23*x_c_LT1</f>
        <v/>
      </c>
      <c r="AA23">
        <f>C23*x_c_DAA</f>
        <v/>
      </c>
      <c r="AB23">
        <f>C23*x_c_MON</f>
        <v/>
      </c>
      <c r="AC23">
        <f>D23*(1-x_testy)</f>
        <v/>
      </c>
      <c r="AD23">
        <f>E23*(1-x_testy)</f>
        <v/>
      </c>
      <c r="AE23">
        <f>F23*x_NAV</f>
        <v/>
      </c>
      <c r="AF23">
        <f>G23*x_FIX*(1-x_testy)</f>
        <v/>
      </c>
      <c r="AG23">
        <f>x_z_F*T23+(1-x_AGRI)*x_EMP*x_WLOSS*(x_PEN_K74*Q23+x_PEN_C22*R23)</f>
        <v/>
      </c>
      <c r="AH23">
        <f>x_AGRI*x_EMP*x_WLOSS*(x_PEN_K74*Q23+x_PEN_C22*R23)</f>
        <v/>
      </c>
      <c r="AI23">
        <f>x_EMP*x_WAGE*(x_WLOSS*(Q23+R23)+S23)+T23*x_ABS_D*x_WAGE/365</f>
        <v/>
      </c>
      <c r="AJ23">
        <f>AI23*x_R_FUS</f>
        <v/>
      </c>
      <c r="AK23">
        <f>AI23*x_R_NFZ</f>
        <v/>
      </c>
      <c r="AL23">
        <f>AI23*x_R_PIT</f>
        <v/>
      </c>
      <c r="AM23">
        <f>AI23*x_R_FP</f>
        <v/>
      </c>
      <c r="AN23">
        <f>Z23+AA23+AB23+AC23+AE23</f>
        <v/>
      </c>
      <c r="AO23">
        <f>AN23+AD23+AF23+AG23+AH23+AJ23+AK23+AL23+AM23</f>
        <v/>
      </c>
      <c r="AP23">
        <f>AN23+AD23+AF23+AI23</f>
        <v/>
      </c>
      <c r="AQ23">
        <f>AA23+AB23+AC23+AE23</f>
        <v/>
      </c>
      <c r="AR23">
        <f>AQ23+AD23+AF23</f>
        <v/>
      </c>
    </row>
    <row r="24">
      <c r="A24" t="n">
        <v>2047</v>
      </c>
      <c r="B24" t="n">
        <v>21</v>
      </c>
      <c r="C24" t="n">
        <v>4832</v>
      </c>
      <c r="D24" t="n">
        <v>0</v>
      </c>
      <c r="E24" t="n">
        <v>0</v>
      </c>
      <c r="F24" t="n">
        <v>0</v>
      </c>
      <c r="G24" t="n">
        <v>0</v>
      </c>
      <c r="H24" t="n">
        <v>2230.742</v>
      </c>
      <c r="I24" t="n">
        <v>254.272</v>
      </c>
      <c r="J24" t="n">
        <v>1440.867</v>
      </c>
      <c r="K24" t="n">
        <v>2507.633</v>
      </c>
      <c r="L24" t="n">
        <v>1152.525</v>
      </c>
      <c r="M24" t="n">
        <v>89007.69100000001</v>
      </c>
      <c r="N24" t="n">
        <v>7961.941</v>
      </c>
      <c r="O24" t="n">
        <v>82.149</v>
      </c>
      <c r="P24" t="n">
        <v>83.107</v>
      </c>
      <c r="Q24" t="n">
        <v>916.263</v>
      </c>
      <c r="R24" t="n">
        <v>963.112</v>
      </c>
      <c r="S24" t="n">
        <v>5016.394</v>
      </c>
      <c r="T24" t="n">
        <v>2485.014</v>
      </c>
      <c r="U24" t="n">
        <v>142079.315</v>
      </c>
      <c r="V24" t="n">
        <v>249.954</v>
      </c>
      <c r="W24" t="n">
        <v>703.509</v>
      </c>
      <c r="X24" t="n">
        <v>82.149</v>
      </c>
      <c r="Y24" t="n">
        <v>889.045</v>
      </c>
      <c r="Z24">
        <f>H24*x_c_F+I24*x_c_CC+J24*x_c_DC+K24*x_c_HCC+L24*x_c_PLT+M24*x_c_SVRn+N24*x_c_SVRcc+O24*x_c_LT+P24*x_c_LT1</f>
        <v/>
      </c>
      <c r="AA24">
        <f>C24*x_c_DAA</f>
        <v/>
      </c>
      <c r="AB24">
        <f>C24*x_c_MON</f>
        <v/>
      </c>
      <c r="AC24">
        <f>D24*(1-x_testy)</f>
        <v/>
      </c>
      <c r="AD24">
        <f>E24*(1-x_testy)</f>
        <v/>
      </c>
      <c r="AE24">
        <f>F24*x_NAV</f>
        <v/>
      </c>
      <c r="AF24">
        <f>G24*x_FIX*(1-x_testy)</f>
        <v/>
      </c>
      <c r="AG24">
        <f>x_z_F*T24+(1-x_AGRI)*x_EMP*x_WLOSS*(x_PEN_K74*Q24+x_PEN_C22*R24)</f>
        <v/>
      </c>
      <c r="AH24">
        <f>x_AGRI*x_EMP*x_WLOSS*(x_PEN_K74*Q24+x_PEN_C22*R24)</f>
        <v/>
      </c>
      <c r="AI24">
        <f>x_EMP*x_WAGE*(x_WLOSS*(Q24+R24)+S24)+T24*x_ABS_D*x_WAGE/365</f>
        <v/>
      </c>
      <c r="AJ24">
        <f>AI24*x_R_FUS</f>
        <v/>
      </c>
      <c r="AK24">
        <f>AI24*x_R_NFZ</f>
        <v/>
      </c>
      <c r="AL24">
        <f>AI24*x_R_PIT</f>
        <v/>
      </c>
      <c r="AM24">
        <f>AI24*x_R_FP</f>
        <v/>
      </c>
      <c r="AN24">
        <f>Z24+AA24+AB24+AC24+AE24</f>
        <v/>
      </c>
      <c r="AO24">
        <f>AN24+AD24+AF24+AG24+AH24+AJ24+AK24+AL24+AM24</f>
        <v/>
      </c>
      <c r="AP24">
        <f>AN24+AD24+AF24+AI24</f>
        <v/>
      </c>
      <c r="AQ24">
        <f>AA24+AB24+AC24+AE24</f>
        <v/>
      </c>
      <c r="AR24">
        <f>AQ24+AD24+AF24</f>
        <v/>
      </c>
    </row>
    <row r="25">
      <c r="A25" t="n">
        <v>2048</v>
      </c>
      <c r="B25" t="n">
        <v>22</v>
      </c>
      <c r="C25" t="n">
        <v>4832</v>
      </c>
      <c r="D25" t="n">
        <v>0</v>
      </c>
      <c r="E25" t="n">
        <v>0</v>
      </c>
      <c r="F25" t="n">
        <v>0</v>
      </c>
      <c r="G25" t="n">
        <v>0</v>
      </c>
      <c r="H25" t="n">
        <v>2235.867</v>
      </c>
      <c r="I25" t="n">
        <v>248.056</v>
      </c>
      <c r="J25" t="n">
        <v>1406.473</v>
      </c>
      <c r="K25" t="n">
        <v>2448.47</v>
      </c>
      <c r="L25" t="n">
        <v>1129.516</v>
      </c>
      <c r="M25" t="n">
        <v>91592.662</v>
      </c>
      <c r="N25" t="n">
        <v>8018.723</v>
      </c>
      <c r="O25" t="n">
        <v>80.23</v>
      </c>
      <c r="P25" t="n">
        <v>81.18899999999999</v>
      </c>
      <c r="Q25" t="n">
        <v>943.074</v>
      </c>
      <c r="R25" t="n">
        <v>998.6079999999999</v>
      </c>
      <c r="S25" t="n">
        <v>5335.964</v>
      </c>
      <c r="T25" t="n">
        <v>2483.924</v>
      </c>
      <c r="U25" t="n">
        <v>143473.287</v>
      </c>
      <c r="V25" t="n">
        <v>243.197</v>
      </c>
      <c r="W25" t="n">
        <v>686.1420000000001</v>
      </c>
      <c r="X25" t="n">
        <v>80.23</v>
      </c>
      <c r="Y25" t="n">
        <v>868.551</v>
      </c>
      <c r="Z25">
        <f>H25*x_c_F+I25*x_c_CC+J25*x_c_DC+K25*x_c_HCC+L25*x_c_PLT+M25*x_c_SVRn+N25*x_c_SVRcc+O25*x_c_LT+P25*x_c_LT1</f>
        <v/>
      </c>
      <c r="AA25">
        <f>C25*x_c_DAA</f>
        <v/>
      </c>
      <c r="AB25">
        <f>C25*x_c_MON</f>
        <v/>
      </c>
      <c r="AC25">
        <f>D25*(1-x_testy)</f>
        <v/>
      </c>
      <c r="AD25">
        <f>E25*(1-x_testy)</f>
        <v/>
      </c>
      <c r="AE25">
        <f>F25*x_NAV</f>
        <v/>
      </c>
      <c r="AF25">
        <f>G25*x_FIX*(1-x_testy)</f>
        <v/>
      </c>
      <c r="AG25">
        <f>x_z_F*T25+(1-x_AGRI)*x_EMP*x_WLOSS*(x_PEN_K74*Q25+x_PEN_C22*R25)</f>
        <v/>
      </c>
      <c r="AH25">
        <f>x_AGRI*x_EMP*x_WLOSS*(x_PEN_K74*Q25+x_PEN_C22*R25)</f>
        <v/>
      </c>
      <c r="AI25">
        <f>x_EMP*x_WAGE*(x_WLOSS*(Q25+R25)+S25)+T25*x_ABS_D*x_WAGE/365</f>
        <v/>
      </c>
      <c r="AJ25">
        <f>AI25*x_R_FUS</f>
        <v/>
      </c>
      <c r="AK25">
        <f>AI25*x_R_NFZ</f>
        <v/>
      </c>
      <c r="AL25">
        <f>AI25*x_R_PIT</f>
        <v/>
      </c>
      <c r="AM25">
        <f>AI25*x_R_FP</f>
        <v/>
      </c>
      <c r="AN25">
        <f>Z25+AA25+AB25+AC25+AE25</f>
        <v/>
      </c>
      <c r="AO25">
        <f>AN25+AD25+AF25+AG25+AH25+AJ25+AK25+AL25+AM25</f>
        <v/>
      </c>
      <c r="AP25">
        <f>AN25+AD25+AF25+AI25</f>
        <v/>
      </c>
      <c r="AQ25">
        <f>AA25+AB25+AC25+AE25</f>
        <v/>
      </c>
      <c r="AR25">
        <f>AQ25+AD25+AF25</f>
        <v/>
      </c>
    </row>
    <row r="26">
      <c r="A26" t="n">
        <v>2049</v>
      </c>
      <c r="B26" t="n">
        <v>23</v>
      </c>
      <c r="C26" t="n">
        <v>4832</v>
      </c>
      <c r="D26" t="n">
        <v>0</v>
      </c>
      <c r="E26" t="n">
        <v>0</v>
      </c>
      <c r="F26" t="n">
        <v>0</v>
      </c>
      <c r="G26" t="n">
        <v>0</v>
      </c>
      <c r="H26" t="n">
        <v>2240.791</v>
      </c>
      <c r="I26" t="n">
        <v>242.146</v>
      </c>
      <c r="J26" t="n">
        <v>1372.621</v>
      </c>
      <c r="K26" t="n">
        <v>2390.94</v>
      </c>
      <c r="L26" t="n">
        <v>1106.604</v>
      </c>
      <c r="M26" t="n">
        <v>94182.81200000001</v>
      </c>
      <c r="N26" t="n">
        <v>8061.971</v>
      </c>
      <c r="O26" t="n">
        <v>78.339</v>
      </c>
      <c r="P26" t="n">
        <v>79.285</v>
      </c>
      <c r="Q26" t="n">
        <v>970.898</v>
      </c>
      <c r="R26" t="n">
        <v>1035.153</v>
      </c>
      <c r="S26" t="n">
        <v>5664.337</v>
      </c>
      <c r="T26" t="n">
        <v>2482.937</v>
      </c>
      <c r="U26" t="n">
        <v>144929.013</v>
      </c>
      <c r="V26" t="n">
        <v>236.897</v>
      </c>
      <c r="W26" t="n">
        <v>669.86</v>
      </c>
      <c r="X26" t="n">
        <v>78.339</v>
      </c>
      <c r="Y26" t="n">
        <v>848.47</v>
      </c>
      <c r="Z26">
        <f>H26*x_c_F+I26*x_c_CC+J26*x_c_DC+K26*x_c_HCC+L26*x_c_PLT+M26*x_c_SVRn+N26*x_c_SVRcc+O26*x_c_LT+P26*x_c_LT1</f>
        <v/>
      </c>
      <c r="AA26">
        <f>C26*x_c_DAA</f>
        <v/>
      </c>
      <c r="AB26">
        <f>C26*x_c_MON</f>
        <v/>
      </c>
      <c r="AC26">
        <f>D26*(1-x_testy)</f>
        <v/>
      </c>
      <c r="AD26">
        <f>E26*(1-x_testy)</f>
        <v/>
      </c>
      <c r="AE26">
        <f>F26*x_NAV</f>
        <v/>
      </c>
      <c r="AF26">
        <f>G26*x_FIX*(1-x_testy)</f>
        <v/>
      </c>
      <c r="AG26">
        <f>x_z_F*T26+(1-x_AGRI)*x_EMP*x_WLOSS*(x_PEN_K74*Q26+x_PEN_C22*R26)</f>
        <v/>
      </c>
      <c r="AH26">
        <f>x_AGRI*x_EMP*x_WLOSS*(x_PEN_K74*Q26+x_PEN_C22*R26)</f>
        <v/>
      </c>
      <c r="AI26">
        <f>x_EMP*x_WAGE*(x_WLOSS*(Q26+R26)+S26)+T26*x_ABS_D*x_WAGE/365</f>
        <v/>
      </c>
      <c r="AJ26">
        <f>AI26*x_R_FUS</f>
        <v/>
      </c>
      <c r="AK26">
        <f>AI26*x_R_NFZ</f>
        <v/>
      </c>
      <c r="AL26">
        <f>AI26*x_R_PIT</f>
        <v/>
      </c>
      <c r="AM26">
        <f>AI26*x_R_FP</f>
        <v/>
      </c>
      <c r="AN26">
        <f>Z26+AA26+AB26+AC26+AE26</f>
        <v/>
      </c>
      <c r="AO26">
        <f>AN26+AD26+AF26+AG26+AH26+AJ26+AK26+AL26+AM26</f>
        <v/>
      </c>
      <c r="AP26">
        <f>AN26+AD26+AF26+AI26</f>
        <v/>
      </c>
      <c r="AQ26">
        <f>AA26+AB26+AC26+AE26</f>
        <v/>
      </c>
      <c r="AR26">
        <f>AQ26+AD26+AF26</f>
        <v/>
      </c>
    </row>
    <row r="27">
      <c r="A27" t="n">
        <v>2050</v>
      </c>
      <c r="B27" t="n">
        <v>24</v>
      </c>
      <c r="C27" t="n">
        <v>4832</v>
      </c>
      <c r="D27" t="n">
        <v>0</v>
      </c>
      <c r="E27" t="n">
        <v>0</v>
      </c>
      <c r="F27" t="n">
        <v>0</v>
      </c>
      <c r="G27" t="n">
        <v>0</v>
      </c>
      <c r="H27" t="n">
        <v>2245.445</v>
      </c>
      <c r="I27" t="n">
        <v>236.602</v>
      </c>
      <c r="J27" t="n">
        <v>1339.746</v>
      </c>
      <c r="K27" t="n">
        <v>2335.76</v>
      </c>
      <c r="L27" t="n">
        <v>1083.903</v>
      </c>
      <c r="M27" t="n">
        <v>96780.84</v>
      </c>
      <c r="N27" t="n">
        <v>8093.618</v>
      </c>
      <c r="O27" t="n">
        <v>76.503</v>
      </c>
      <c r="P27" t="n">
        <v>77.42100000000001</v>
      </c>
      <c r="Q27" t="n">
        <v>999.638</v>
      </c>
      <c r="R27" t="n">
        <v>1072.57</v>
      </c>
      <c r="S27" t="n">
        <v>6001.353</v>
      </c>
      <c r="T27" t="n">
        <v>2482.046</v>
      </c>
      <c r="U27" t="n">
        <v>146442.899</v>
      </c>
      <c r="V27" t="n">
        <v>231.076</v>
      </c>
      <c r="W27" t="n">
        <v>654.734</v>
      </c>
      <c r="X27" t="n">
        <v>76.503</v>
      </c>
      <c r="Y27" t="n">
        <v>829.061</v>
      </c>
      <c r="Z27">
        <f>H27*x_c_F+I27*x_c_CC+J27*x_c_DC+K27*x_c_HCC+L27*x_c_PLT+M27*x_c_SVRn+N27*x_c_SVRcc+O27*x_c_LT+P27*x_c_LT1</f>
        <v/>
      </c>
      <c r="AA27">
        <f>C27*x_c_DAA</f>
        <v/>
      </c>
      <c r="AB27">
        <f>C27*x_c_MON</f>
        <v/>
      </c>
      <c r="AC27">
        <f>D27*(1-x_testy)</f>
        <v/>
      </c>
      <c r="AD27">
        <f>E27*(1-x_testy)</f>
        <v/>
      </c>
      <c r="AE27">
        <f>F27*x_NAV</f>
        <v/>
      </c>
      <c r="AF27">
        <f>G27*x_FIX*(1-x_testy)</f>
        <v/>
      </c>
      <c r="AG27">
        <f>x_z_F*T27+(1-x_AGRI)*x_EMP*x_WLOSS*(x_PEN_K74*Q27+x_PEN_C22*R27)</f>
        <v/>
      </c>
      <c r="AH27">
        <f>x_AGRI*x_EMP*x_WLOSS*(x_PEN_K74*Q27+x_PEN_C22*R27)</f>
        <v/>
      </c>
      <c r="AI27">
        <f>x_EMP*x_WAGE*(x_WLOSS*(Q27+R27)+S27)+T27*x_ABS_D*x_WAGE/365</f>
        <v/>
      </c>
      <c r="AJ27">
        <f>AI27*x_R_FUS</f>
        <v/>
      </c>
      <c r="AK27">
        <f>AI27*x_R_NFZ</f>
        <v/>
      </c>
      <c r="AL27">
        <f>AI27*x_R_PIT</f>
        <v/>
      </c>
      <c r="AM27">
        <f>AI27*x_R_FP</f>
        <v/>
      </c>
      <c r="AN27">
        <f>Z27+AA27+AB27+AC27+AE27</f>
        <v/>
      </c>
      <c r="AO27">
        <f>AN27+AD27+AF27+AG27+AH27+AJ27+AK27+AL27+AM27</f>
        <v/>
      </c>
      <c r="AP27">
        <f>AN27+AD27+AF27+AI27</f>
        <v/>
      </c>
      <c r="AQ27">
        <f>AA27+AB27+AC27+AE27</f>
        <v/>
      </c>
      <c r="AR27">
        <f>AQ27+AD27+AF27</f>
        <v/>
      </c>
    </row>
    <row r="28">
      <c r="A28" t="n">
        <v>2051</v>
      </c>
      <c r="B28" t="n">
        <v>25</v>
      </c>
      <c r="C28" t="n">
        <v>4832</v>
      </c>
      <c r="D28" t="n">
        <v>0</v>
      </c>
      <c r="E28" t="n">
        <v>0</v>
      </c>
      <c r="F28" t="n">
        <v>0</v>
      </c>
      <c r="G28" t="n">
        <v>0</v>
      </c>
      <c r="H28" t="n">
        <v>2249.788</v>
      </c>
      <c r="I28" t="n">
        <v>231.453</v>
      </c>
      <c r="J28" t="n">
        <v>1308.127</v>
      </c>
      <c r="K28" t="n">
        <v>2283.35</v>
      </c>
      <c r="L28" t="n">
        <v>1061.466</v>
      </c>
      <c r="M28" t="n">
        <v>99386.17</v>
      </c>
      <c r="N28" t="n">
        <v>8115.088</v>
      </c>
      <c r="O28" t="n">
        <v>74.73399999999999</v>
      </c>
      <c r="P28" t="n">
        <v>75.619</v>
      </c>
      <c r="Q28" t="n">
        <v>1029.176</v>
      </c>
      <c r="R28" t="n">
        <v>1110.644</v>
      </c>
      <c r="S28" t="n">
        <v>6346.721</v>
      </c>
      <c r="T28" t="n">
        <v>2481.242</v>
      </c>
      <c r="U28" t="n">
        <v>148008.083</v>
      </c>
      <c r="V28" t="n">
        <v>225.723</v>
      </c>
      <c r="W28" t="n">
        <v>640.748</v>
      </c>
      <c r="X28" t="n">
        <v>74.73399999999999</v>
      </c>
      <c r="Y28" t="n">
        <v>810.447</v>
      </c>
      <c r="Z28">
        <f>H28*x_c_F+I28*x_c_CC+J28*x_c_DC+K28*x_c_HCC+L28*x_c_PLT+M28*x_c_SVRn+N28*x_c_SVRcc+O28*x_c_LT+P28*x_c_LT1</f>
        <v/>
      </c>
      <c r="AA28">
        <f>C28*x_c_DAA</f>
        <v/>
      </c>
      <c r="AB28">
        <f>C28*x_c_MON</f>
        <v/>
      </c>
      <c r="AC28">
        <f>D28*(1-x_testy)</f>
        <v/>
      </c>
      <c r="AD28">
        <f>E28*(1-x_testy)</f>
        <v/>
      </c>
      <c r="AE28">
        <f>F28*x_NAV</f>
        <v/>
      </c>
      <c r="AF28">
        <f>G28*x_FIX*(1-x_testy)</f>
        <v/>
      </c>
      <c r="AG28">
        <f>x_z_F*T28+(1-x_AGRI)*x_EMP*x_WLOSS*(x_PEN_K74*Q28+x_PEN_C22*R28)</f>
        <v/>
      </c>
      <c r="AH28">
        <f>x_AGRI*x_EMP*x_WLOSS*(x_PEN_K74*Q28+x_PEN_C22*R28)</f>
        <v/>
      </c>
      <c r="AI28">
        <f>x_EMP*x_WAGE*(x_WLOSS*(Q28+R28)+S28)+T28*x_ABS_D*x_WAGE/365</f>
        <v/>
      </c>
      <c r="AJ28">
        <f>AI28*x_R_FUS</f>
        <v/>
      </c>
      <c r="AK28">
        <f>AI28*x_R_NFZ</f>
        <v/>
      </c>
      <c r="AL28">
        <f>AI28*x_R_PIT</f>
        <v/>
      </c>
      <c r="AM28">
        <f>AI28*x_R_FP</f>
        <v/>
      </c>
      <c r="AN28">
        <f>Z28+AA28+AB28+AC28+AE28</f>
        <v/>
      </c>
      <c r="AO28">
        <f>AN28+AD28+AF28+AG28+AH28+AJ28+AK28+AL28+AM28</f>
        <v/>
      </c>
      <c r="AP28">
        <f>AN28+AD28+AF28+AI28</f>
        <v/>
      </c>
      <c r="AQ28">
        <f>AA28+AB28+AC28+AE28</f>
        <v/>
      </c>
      <c r="AR28">
        <f>AQ28+AD28+AF28</f>
        <v/>
      </c>
    </row>
    <row r="29">
      <c r="A29" t="n">
        <v>2052</v>
      </c>
      <c r="B29" t="n">
        <v>26</v>
      </c>
      <c r="C29" t="n">
        <v>4832</v>
      </c>
      <c r="D29" t="n">
        <v>0</v>
      </c>
      <c r="E29" t="n">
        <v>0</v>
      </c>
      <c r="F29" t="n">
        <v>0</v>
      </c>
      <c r="G29" t="n">
        <v>0</v>
      </c>
      <c r="H29" t="n">
        <v>2253.809</v>
      </c>
      <c r="I29" t="n">
        <v>226.704</v>
      </c>
      <c r="J29" t="n">
        <v>1277.905</v>
      </c>
      <c r="K29" t="n">
        <v>2233.868</v>
      </c>
      <c r="L29" t="n">
        <v>1039.278</v>
      </c>
      <c r="M29" t="n">
        <v>101995.005</v>
      </c>
      <c r="N29" t="n">
        <v>8127.231</v>
      </c>
      <c r="O29" t="n">
        <v>73.04000000000001</v>
      </c>
      <c r="P29" t="n">
        <v>73.887</v>
      </c>
      <c r="Q29" t="n">
        <v>1059.389</v>
      </c>
      <c r="R29" t="n">
        <v>1149.154</v>
      </c>
      <c r="S29" t="n">
        <v>6700.155</v>
      </c>
      <c r="T29" t="n">
        <v>2480.512</v>
      </c>
      <c r="U29" t="n">
        <v>149614.725</v>
      </c>
      <c r="V29" t="n">
        <v>220.81</v>
      </c>
      <c r="W29" t="n">
        <v>627.8390000000001</v>
      </c>
      <c r="X29" t="n">
        <v>73.04000000000001</v>
      </c>
      <c r="Y29" t="n">
        <v>792.697</v>
      </c>
      <c r="Z29">
        <f>H29*x_c_F+I29*x_c_CC+J29*x_c_DC+K29*x_c_HCC+L29*x_c_PLT+M29*x_c_SVRn+N29*x_c_SVRcc+O29*x_c_LT+P29*x_c_LT1</f>
        <v/>
      </c>
      <c r="AA29">
        <f>C29*x_c_DAA</f>
        <v/>
      </c>
      <c r="AB29">
        <f>C29*x_c_MON</f>
        <v/>
      </c>
      <c r="AC29">
        <f>D29*(1-x_testy)</f>
        <v/>
      </c>
      <c r="AD29">
        <f>E29*(1-x_testy)</f>
        <v/>
      </c>
      <c r="AE29">
        <f>F29*x_NAV</f>
        <v/>
      </c>
      <c r="AF29">
        <f>G29*x_FIX*(1-x_testy)</f>
        <v/>
      </c>
      <c r="AG29">
        <f>x_z_F*T29+(1-x_AGRI)*x_EMP*x_WLOSS*(x_PEN_K74*Q29+x_PEN_C22*R29)</f>
        <v/>
      </c>
      <c r="AH29">
        <f>x_AGRI*x_EMP*x_WLOSS*(x_PEN_K74*Q29+x_PEN_C22*R29)</f>
        <v/>
      </c>
      <c r="AI29">
        <f>x_EMP*x_WAGE*(x_WLOSS*(Q29+R29)+S29)+T29*x_ABS_D*x_WAGE/365</f>
        <v/>
      </c>
      <c r="AJ29">
        <f>AI29*x_R_FUS</f>
        <v/>
      </c>
      <c r="AK29">
        <f>AI29*x_R_NFZ</f>
        <v/>
      </c>
      <c r="AL29">
        <f>AI29*x_R_PIT</f>
        <v/>
      </c>
      <c r="AM29">
        <f>AI29*x_R_FP</f>
        <v/>
      </c>
      <c r="AN29">
        <f>Z29+AA29+AB29+AC29+AE29</f>
        <v/>
      </c>
      <c r="AO29">
        <f>AN29+AD29+AF29+AG29+AH29+AJ29+AK29+AL29+AM29</f>
        <v/>
      </c>
      <c r="AP29">
        <f>AN29+AD29+AF29+AI29</f>
        <v/>
      </c>
      <c r="AQ29">
        <f>AA29+AB29+AC29+AE29</f>
        <v/>
      </c>
      <c r="AR29">
        <f>AQ29+AD29+AF29</f>
        <v/>
      </c>
    </row>
    <row r="30">
      <c r="A30" t="n">
        <v>2053</v>
      </c>
      <c r="B30" t="n">
        <v>27</v>
      </c>
      <c r="C30" t="n">
        <v>4832</v>
      </c>
      <c r="D30" t="n">
        <v>0</v>
      </c>
      <c r="E30" t="n">
        <v>0</v>
      </c>
      <c r="F30" t="n">
        <v>0</v>
      </c>
      <c r="G30" t="n">
        <v>0</v>
      </c>
      <c r="H30" t="n">
        <v>2257.509</v>
      </c>
      <c r="I30" t="n">
        <v>222.338</v>
      </c>
      <c r="J30" t="n">
        <v>1249.107</v>
      </c>
      <c r="K30" t="n">
        <v>2187.267</v>
      </c>
      <c r="L30" t="n">
        <v>1017.257</v>
      </c>
      <c r="M30" t="n">
        <v>104600.574</v>
      </c>
      <c r="N30" t="n">
        <v>8130.351</v>
      </c>
      <c r="O30" t="n">
        <v>71.42</v>
      </c>
      <c r="P30" t="n">
        <v>72.23</v>
      </c>
      <c r="Q30" t="n">
        <v>1090.126</v>
      </c>
      <c r="R30" t="n">
        <v>1187.851</v>
      </c>
      <c r="S30" t="n">
        <v>7061.168</v>
      </c>
      <c r="T30" t="n">
        <v>2479.847</v>
      </c>
      <c r="U30" t="n">
        <v>151250.719</v>
      </c>
      <c r="V30" t="n">
        <v>216.294</v>
      </c>
      <c r="W30" t="n">
        <v>615.899</v>
      </c>
      <c r="X30" t="n">
        <v>71.42</v>
      </c>
      <c r="Y30" t="n">
        <v>775.782</v>
      </c>
      <c r="Z30">
        <f>H30*x_c_F+I30*x_c_CC+J30*x_c_DC+K30*x_c_HCC+L30*x_c_PLT+M30*x_c_SVRn+N30*x_c_SVRcc+O30*x_c_LT+P30*x_c_LT1</f>
        <v/>
      </c>
      <c r="AA30">
        <f>C30*x_c_DAA</f>
        <v/>
      </c>
      <c r="AB30">
        <f>C30*x_c_MON</f>
        <v/>
      </c>
      <c r="AC30">
        <f>D30*(1-x_testy)</f>
        <v/>
      </c>
      <c r="AD30">
        <f>E30*(1-x_testy)</f>
        <v/>
      </c>
      <c r="AE30">
        <f>F30*x_NAV</f>
        <v/>
      </c>
      <c r="AF30">
        <f>G30*x_FIX*(1-x_testy)</f>
        <v/>
      </c>
      <c r="AG30">
        <f>x_z_F*T30+(1-x_AGRI)*x_EMP*x_WLOSS*(x_PEN_K74*Q30+x_PEN_C22*R30)</f>
        <v/>
      </c>
      <c r="AH30">
        <f>x_AGRI*x_EMP*x_WLOSS*(x_PEN_K74*Q30+x_PEN_C22*R30)</f>
        <v/>
      </c>
      <c r="AI30">
        <f>x_EMP*x_WAGE*(x_WLOSS*(Q30+R30)+S30)+T30*x_ABS_D*x_WAGE/365</f>
        <v/>
      </c>
      <c r="AJ30">
        <f>AI30*x_R_FUS</f>
        <v/>
      </c>
      <c r="AK30">
        <f>AI30*x_R_NFZ</f>
        <v/>
      </c>
      <c r="AL30">
        <f>AI30*x_R_PIT</f>
        <v/>
      </c>
      <c r="AM30">
        <f>AI30*x_R_FP</f>
        <v/>
      </c>
      <c r="AN30">
        <f>Z30+AA30+AB30+AC30+AE30</f>
        <v/>
      </c>
      <c r="AO30">
        <f>AN30+AD30+AF30+AG30+AH30+AJ30+AK30+AL30+AM30</f>
        <v/>
      </c>
      <c r="AP30">
        <f>AN30+AD30+AF30+AI30</f>
        <v/>
      </c>
      <c r="AQ30">
        <f>AA30+AB30+AC30+AE30</f>
        <v/>
      </c>
      <c r="AR30">
        <f>AQ30+AD30+AF30</f>
        <v/>
      </c>
    </row>
    <row r="31">
      <c r="A31" t="n">
        <v>2054</v>
      </c>
      <c r="B31" t="n">
        <v>28</v>
      </c>
      <c r="C31" t="n">
        <v>4832</v>
      </c>
      <c r="D31" t="n">
        <v>0</v>
      </c>
      <c r="E31" t="n">
        <v>0</v>
      </c>
      <c r="F31" t="n">
        <v>0</v>
      </c>
      <c r="G31" t="n">
        <v>0</v>
      </c>
      <c r="H31" t="n">
        <v>2260.906</v>
      </c>
      <c r="I31" t="n">
        <v>218.329</v>
      </c>
      <c r="J31" t="n">
        <v>1221.672</v>
      </c>
      <c r="K31" t="n">
        <v>2143.352</v>
      </c>
      <c r="L31" t="n">
        <v>995.264</v>
      </c>
      <c r="M31" t="n">
        <v>107193.246</v>
      </c>
      <c r="N31" t="n">
        <v>8124.221</v>
      </c>
      <c r="O31" t="n">
        <v>69.872</v>
      </c>
      <c r="P31" t="n">
        <v>70.646</v>
      </c>
      <c r="Q31" t="n">
        <v>1121.223</v>
      </c>
      <c r="R31" t="n">
        <v>1226.477</v>
      </c>
      <c r="S31" t="n">
        <v>7429.158</v>
      </c>
      <c r="T31" t="n">
        <v>2479.235</v>
      </c>
      <c r="U31" t="n">
        <v>152902.029</v>
      </c>
      <c r="V31" t="n">
        <v>212.129</v>
      </c>
      <c r="W31" t="n">
        <v>604.808</v>
      </c>
      <c r="X31" t="n">
        <v>69.872</v>
      </c>
      <c r="Y31" t="n">
        <v>759.65</v>
      </c>
      <c r="Z31">
        <f>H31*x_c_F+I31*x_c_CC+J31*x_c_DC+K31*x_c_HCC+L31*x_c_PLT+M31*x_c_SVRn+N31*x_c_SVRcc+O31*x_c_LT+P31*x_c_LT1</f>
        <v/>
      </c>
      <c r="AA31">
        <f>C31*x_c_DAA</f>
        <v/>
      </c>
      <c r="AB31">
        <f>C31*x_c_MON</f>
        <v/>
      </c>
      <c r="AC31">
        <f>D31*(1-x_testy)</f>
        <v/>
      </c>
      <c r="AD31">
        <f>E31*(1-x_testy)</f>
        <v/>
      </c>
      <c r="AE31">
        <f>F31*x_NAV</f>
        <v/>
      </c>
      <c r="AF31">
        <f>G31*x_FIX*(1-x_testy)</f>
        <v/>
      </c>
      <c r="AG31">
        <f>x_z_F*T31+(1-x_AGRI)*x_EMP*x_WLOSS*(x_PEN_K74*Q31+x_PEN_C22*R31)</f>
        <v/>
      </c>
      <c r="AH31">
        <f>x_AGRI*x_EMP*x_WLOSS*(x_PEN_K74*Q31+x_PEN_C22*R31)</f>
        <v/>
      </c>
      <c r="AI31">
        <f>x_EMP*x_WAGE*(x_WLOSS*(Q31+R31)+S31)+T31*x_ABS_D*x_WAGE/365</f>
        <v/>
      </c>
      <c r="AJ31">
        <f>AI31*x_R_FUS</f>
        <v/>
      </c>
      <c r="AK31">
        <f>AI31*x_R_NFZ</f>
        <v/>
      </c>
      <c r="AL31">
        <f>AI31*x_R_PIT</f>
        <v/>
      </c>
      <c r="AM31">
        <f>AI31*x_R_FP</f>
        <v/>
      </c>
      <c r="AN31">
        <f>Z31+AA31+AB31+AC31+AE31</f>
        <v/>
      </c>
      <c r="AO31">
        <f>AN31+AD31+AF31+AG31+AH31+AJ31+AK31+AL31+AM31</f>
        <v/>
      </c>
      <c r="AP31">
        <f>AN31+AD31+AF31+AI31</f>
        <v/>
      </c>
      <c r="AQ31">
        <f>AA31+AB31+AC31+AE31</f>
        <v/>
      </c>
      <c r="AR31">
        <f>AQ31+AD31+AF31</f>
        <v/>
      </c>
    </row>
    <row r="32">
      <c r="A32" t="n">
        <v>2055</v>
      </c>
      <c r="B32" t="n">
        <v>29</v>
      </c>
      <c r="C32" t="n">
        <v>4832</v>
      </c>
      <c r="D32" t="n">
        <v>0</v>
      </c>
      <c r="E32" t="n">
        <v>0</v>
      </c>
      <c r="F32" t="n">
        <v>0</v>
      </c>
      <c r="G32" t="n">
        <v>0</v>
      </c>
      <c r="H32" t="n">
        <v>2264.019</v>
      </c>
      <c r="I32" t="n">
        <v>214.65</v>
      </c>
      <c r="J32" t="n">
        <v>1195.507</v>
      </c>
      <c r="K32" t="n">
        <v>2101.871</v>
      </c>
      <c r="L32" t="n">
        <v>973.1319999999999</v>
      </c>
      <c r="M32" t="n">
        <v>109762.022</v>
      </c>
      <c r="N32" t="n">
        <v>8108.368</v>
      </c>
      <c r="O32" t="n">
        <v>68.39</v>
      </c>
      <c r="P32" t="n">
        <v>69.131</v>
      </c>
      <c r="Q32" t="n">
        <v>1152.51</v>
      </c>
      <c r="R32" t="n">
        <v>1264.778</v>
      </c>
      <c r="S32" t="n">
        <v>7803.429</v>
      </c>
      <c r="T32" t="n">
        <v>2478.669</v>
      </c>
      <c r="U32" t="n">
        <v>154554.532</v>
      </c>
      <c r="V32" t="n">
        <v>208.272</v>
      </c>
      <c r="W32" t="n">
        <v>594.452</v>
      </c>
      <c r="X32" t="n">
        <v>68.39</v>
      </c>
      <c r="Y32" t="n">
        <v>744.225</v>
      </c>
      <c r="Z32">
        <f>H32*x_c_F+I32*x_c_CC+J32*x_c_DC+K32*x_c_HCC+L32*x_c_PLT+M32*x_c_SVRn+N32*x_c_SVRcc+O32*x_c_LT+P32*x_c_LT1</f>
        <v/>
      </c>
      <c r="AA32">
        <f>C32*x_c_DAA</f>
        <v/>
      </c>
      <c r="AB32">
        <f>C32*x_c_MON</f>
        <v/>
      </c>
      <c r="AC32">
        <f>D32*(1-x_testy)</f>
        <v/>
      </c>
      <c r="AD32">
        <f>E32*(1-x_testy)</f>
        <v/>
      </c>
      <c r="AE32">
        <f>F32*x_NAV</f>
        <v/>
      </c>
      <c r="AF32">
        <f>G32*x_FIX*(1-x_testy)</f>
        <v/>
      </c>
      <c r="AG32">
        <f>x_z_F*T32+(1-x_AGRI)*x_EMP*x_WLOSS*(x_PEN_K74*Q32+x_PEN_C22*R32)</f>
        <v/>
      </c>
      <c r="AH32">
        <f>x_AGRI*x_EMP*x_WLOSS*(x_PEN_K74*Q32+x_PEN_C22*R32)</f>
        <v/>
      </c>
      <c r="AI32">
        <f>x_EMP*x_WAGE*(x_WLOSS*(Q32+R32)+S32)+T32*x_ABS_D*x_WAGE/365</f>
        <v/>
      </c>
      <c r="AJ32">
        <f>AI32*x_R_FUS</f>
        <v/>
      </c>
      <c r="AK32">
        <f>AI32*x_R_NFZ</f>
        <v/>
      </c>
      <c r="AL32">
        <f>AI32*x_R_PIT</f>
        <v/>
      </c>
      <c r="AM32">
        <f>AI32*x_R_FP</f>
        <v/>
      </c>
      <c r="AN32">
        <f>Z32+AA32+AB32+AC32+AE32</f>
        <v/>
      </c>
      <c r="AO32">
        <f>AN32+AD32+AF32+AG32+AH32+AJ32+AK32+AL32+AM32</f>
        <v/>
      </c>
      <c r="AP32">
        <f>AN32+AD32+AF32+AI32</f>
        <v/>
      </c>
      <c r="AQ32">
        <f>AA32+AB32+AC32+AE32</f>
        <v/>
      </c>
      <c r="AR32">
        <f>AQ32+AD32+AF32</f>
        <v/>
      </c>
    </row>
    <row r="33">
      <c r="A33" t="n">
        <v>2056</v>
      </c>
      <c r="B33" t="n">
        <v>30</v>
      </c>
      <c r="C33" t="n">
        <v>4832</v>
      </c>
      <c r="D33" t="n">
        <v>0</v>
      </c>
      <c r="E33" t="n">
        <v>0</v>
      </c>
      <c r="F33" t="n">
        <v>0</v>
      </c>
      <c r="G33" t="n">
        <v>0</v>
      </c>
      <c r="H33" t="n">
        <v>2266.868</v>
      </c>
      <c r="I33" t="n">
        <v>211.271</v>
      </c>
      <c r="J33" t="n">
        <v>1170.478</v>
      </c>
      <c r="K33" t="n">
        <v>2062.517</v>
      </c>
      <c r="L33" t="n">
        <v>950.655</v>
      </c>
      <c r="M33" t="n">
        <v>112293.613</v>
      </c>
      <c r="N33" t="n">
        <v>8081.92</v>
      </c>
      <c r="O33" t="n">
        <v>66.965</v>
      </c>
      <c r="P33" t="n">
        <v>67.67700000000001</v>
      </c>
      <c r="Q33" t="n">
        <v>1183.798</v>
      </c>
      <c r="R33" t="n">
        <v>1302.492</v>
      </c>
      <c r="S33" t="n">
        <v>8183.04</v>
      </c>
      <c r="T33" t="n">
        <v>2478.139</v>
      </c>
      <c r="U33" t="n">
        <v>156192.821</v>
      </c>
      <c r="V33" t="n">
        <v>204.675</v>
      </c>
      <c r="W33" t="n">
        <v>584.706</v>
      </c>
      <c r="X33" t="n">
        <v>66.965</v>
      </c>
      <c r="Y33" t="n">
        <v>729.394</v>
      </c>
      <c r="Z33">
        <f>H33*x_c_F+I33*x_c_CC+J33*x_c_DC+K33*x_c_HCC+L33*x_c_PLT+M33*x_c_SVRn+N33*x_c_SVRcc+O33*x_c_LT+P33*x_c_LT1</f>
        <v/>
      </c>
      <c r="AA33">
        <f>C33*x_c_DAA</f>
        <v/>
      </c>
      <c r="AB33">
        <f>C33*x_c_MON</f>
        <v/>
      </c>
      <c r="AC33">
        <f>D33*(1-x_testy)</f>
        <v/>
      </c>
      <c r="AD33">
        <f>E33*(1-x_testy)</f>
        <v/>
      </c>
      <c r="AE33">
        <f>F33*x_NAV</f>
        <v/>
      </c>
      <c r="AF33">
        <f>G33*x_FIX*(1-x_testy)</f>
        <v/>
      </c>
      <c r="AG33">
        <f>x_z_F*T33+(1-x_AGRI)*x_EMP*x_WLOSS*(x_PEN_K74*Q33+x_PEN_C22*R33)</f>
        <v/>
      </c>
      <c r="AH33">
        <f>x_AGRI*x_EMP*x_WLOSS*(x_PEN_K74*Q33+x_PEN_C22*R33)</f>
        <v/>
      </c>
      <c r="AI33">
        <f>x_EMP*x_WAGE*(x_WLOSS*(Q33+R33)+S33)+T33*x_ABS_D*x_WAGE/365</f>
        <v/>
      </c>
      <c r="AJ33">
        <f>AI33*x_R_FUS</f>
        <v/>
      </c>
      <c r="AK33">
        <f>AI33*x_R_NFZ</f>
        <v/>
      </c>
      <c r="AL33">
        <f>AI33*x_R_PIT</f>
        <v/>
      </c>
      <c r="AM33">
        <f>AI33*x_R_FP</f>
        <v/>
      </c>
      <c r="AN33">
        <f>Z33+AA33+AB33+AC33+AE33</f>
        <v/>
      </c>
      <c r="AO33">
        <f>AN33+AD33+AF33+AG33+AH33+AJ33+AK33+AL33+AM33</f>
        <v/>
      </c>
      <c r="AP33">
        <f>AN33+AD33+AF33+AI33</f>
        <v/>
      </c>
      <c r="AQ33">
        <f>AA33+AB33+AC33+AE33</f>
        <v/>
      </c>
      <c r="AR33">
        <f>AQ33+AD33+AF33</f>
        <v/>
      </c>
    </row>
    <row r="34">
      <c r="A34" t="n">
        <v>2057</v>
      </c>
      <c r="B34" t="n">
        <v>31</v>
      </c>
      <c r="C34" t="n">
        <v>4832</v>
      </c>
      <c r="D34" t="n">
        <v>0</v>
      </c>
      <c r="E34" t="n">
        <v>0</v>
      </c>
      <c r="F34" t="n">
        <v>0</v>
      </c>
      <c r="G34" t="n">
        <v>0</v>
      </c>
      <c r="H34" t="n">
        <v>2269.507</v>
      </c>
      <c r="I34" t="n">
        <v>208.128</v>
      </c>
      <c r="J34" t="n">
        <v>1145.186</v>
      </c>
      <c r="K34" t="n">
        <v>2023.02</v>
      </c>
      <c r="L34" t="n">
        <v>925.222</v>
      </c>
      <c r="M34" t="n">
        <v>114675.683</v>
      </c>
      <c r="N34" t="n">
        <v>8029.21</v>
      </c>
      <c r="O34" t="n">
        <v>65.43600000000001</v>
      </c>
      <c r="P34" t="n">
        <v>66.2</v>
      </c>
      <c r="Q34" t="n">
        <v>1214.886</v>
      </c>
      <c r="R34" t="n">
        <v>1339.36</v>
      </c>
      <c r="S34" t="n">
        <v>8566.849</v>
      </c>
      <c r="T34" t="n">
        <v>2477.635</v>
      </c>
      <c r="U34" t="n">
        <v>157711.45</v>
      </c>
      <c r="V34" t="n">
        <v>201.068</v>
      </c>
      <c r="W34" t="n">
        <v>574.648</v>
      </c>
      <c r="X34" t="n">
        <v>65.43600000000001</v>
      </c>
      <c r="Y34" t="n">
        <v>713.354</v>
      </c>
      <c r="Z34">
        <f>H34*x_c_F+I34*x_c_CC+J34*x_c_DC+K34*x_c_HCC+L34*x_c_PLT+M34*x_c_SVRn+N34*x_c_SVRcc+O34*x_c_LT+P34*x_c_LT1</f>
        <v/>
      </c>
      <c r="AA34">
        <f>C34*x_c_DAA</f>
        <v/>
      </c>
      <c r="AB34">
        <f>C34*x_c_MON</f>
        <v/>
      </c>
      <c r="AC34">
        <f>D34*(1-x_testy)</f>
        <v/>
      </c>
      <c r="AD34">
        <f>E34*(1-x_testy)</f>
        <v/>
      </c>
      <c r="AE34">
        <f>F34*x_NAV</f>
        <v/>
      </c>
      <c r="AF34">
        <f>G34*x_FIX*(1-x_testy)</f>
        <v/>
      </c>
      <c r="AG34">
        <f>x_z_F*T34+(1-x_AGRI)*x_EMP*x_WLOSS*(x_PEN_K74*Q34+x_PEN_C22*R34)</f>
        <v/>
      </c>
      <c r="AH34">
        <f>x_AGRI*x_EMP*x_WLOSS*(x_PEN_K74*Q34+x_PEN_C22*R34)</f>
        <v/>
      </c>
      <c r="AI34">
        <f>x_EMP*x_WAGE*(x_WLOSS*(Q34+R34)+S34)+T34*x_ABS_D*x_WAGE/365</f>
        <v/>
      </c>
      <c r="AJ34">
        <f>AI34*x_R_FUS</f>
        <v/>
      </c>
      <c r="AK34">
        <f>AI34*x_R_NFZ</f>
        <v/>
      </c>
      <c r="AL34">
        <f>AI34*x_R_PIT</f>
        <v/>
      </c>
      <c r="AM34">
        <f>AI34*x_R_FP</f>
        <v/>
      </c>
      <c r="AN34">
        <f>Z34+AA34+AB34+AC34+AE34</f>
        <v/>
      </c>
      <c r="AO34">
        <f>AN34+AD34+AF34+AG34+AH34+AJ34+AK34+AL34+AM34</f>
        <v/>
      </c>
      <c r="AP34">
        <f>AN34+AD34+AF34+AI34</f>
        <v/>
      </c>
      <c r="AQ34">
        <f>AA34+AB34+AC34+AE34</f>
        <v/>
      </c>
      <c r="AR34">
        <f>AQ34+AD34+AF34</f>
        <v/>
      </c>
    </row>
    <row r="35">
      <c r="A35" t="n">
        <v>2058</v>
      </c>
      <c r="B35" t="n">
        <v>32</v>
      </c>
      <c r="C35" t="n">
        <v>4832</v>
      </c>
      <c r="D35" t="n">
        <v>0</v>
      </c>
      <c r="E35" t="n">
        <v>0</v>
      </c>
      <c r="F35" t="n">
        <v>0</v>
      </c>
      <c r="G35" t="n">
        <v>0</v>
      </c>
      <c r="H35" t="n">
        <v>2271.904</v>
      </c>
      <c r="I35" t="n">
        <v>205.257</v>
      </c>
      <c r="J35" t="n">
        <v>1121.309</v>
      </c>
      <c r="K35" t="n">
        <v>1985.9</v>
      </c>
      <c r="L35" t="n">
        <v>899.9160000000001</v>
      </c>
      <c r="M35" t="n">
        <v>117027.289</v>
      </c>
      <c r="N35" t="n">
        <v>7969.372</v>
      </c>
      <c r="O35" t="n">
        <v>64.172</v>
      </c>
      <c r="P35" t="n">
        <v>64.804</v>
      </c>
      <c r="Q35" t="n">
        <v>1245.57</v>
      </c>
      <c r="R35" t="n">
        <v>1375.136</v>
      </c>
      <c r="S35" t="n">
        <v>8953.52</v>
      </c>
      <c r="T35" t="n">
        <v>2477.161</v>
      </c>
      <c r="U35" t="n">
        <v>159219.12</v>
      </c>
      <c r="V35" t="n">
        <v>197.995</v>
      </c>
      <c r="W35" t="n">
        <v>566.1900000000001</v>
      </c>
      <c r="X35" t="n">
        <v>64.172</v>
      </c>
      <c r="Y35" t="n">
        <v>700.167</v>
      </c>
      <c r="Z35">
        <f>H35*x_c_F+I35*x_c_CC+J35*x_c_DC+K35*x_c_HCC+L35*x_c_PLT+M35*x_c_SVRn+N35*x_c_SVRcc+O35*x_c_LT+P35*x_c_LT1</f>
        <v/>
      </c>
      <c r="AA35">
        <f>C35*x_c_DAA</f>
        <v/>
      </c>
      <c r="AB35">
        <f>C35*x_c_MON</f>
        <v/>
      </c>
      <c r="AC35">
        <f>D35*(1-x_testy)</f>
        <v/>
      </c>
      <c r="AD35">
        <f>E35*(1-x_testy)</f>
        <v/>
      </c>
      <c r="AE35">
        <f>F35*x_NAV</f>
        <v/>
      </c>
      <c r="AF35">
        <f>G35*x_FIX*(1-x_testy)</f>
        <v/>
      </c>
      <c r="AG35">
        <f>x_z_F*T35+(1-x_AGRI)*x_EMP*x_WLOSS*(x_PEN_K74*Q35+x_PEN_C22*R35)</f>
        <v/>
      </c>
      <c r="AH35">
        <f>x_AGRI*x_EMP*x_WLOSS*(x_PEN_K74*Q35+x_PEN_C22*R35)</f>
        <v/>
      </c>
      <c r="AI35">
        <f>x_EMP*x_WAGE*(x_WLOSS*(Q35+R35)+S35)+T35*x_ABS_D*x_WAGE/365</f>
        <v/>
      </c>
      <c r="AJ35">
        <f>AI35*x_R_FUS</f>
        <v/>
      </c>
      <c r="AK35">
        <f>AI35*x_R_NFZ</f>
        <v/>
      </c>
      <c r="AL35">
        <f>AI35*x_R_PIT</f>
        <v/>
      </c>
      <c r="AM35">
        <f>AI35*x_R_FP</f>
        <v/>
      </c>
      <c r="AN35">
        <f>Z35+AA35+AB35+AC35+AE35</f>
        <v/>
      </c>
      <c r="AO35">
        <f>AN35+AD35+AF35+AG35+AH35+AJ35+AK35+AL35+AM35</f>
        <v/>
      </c>
      <c r="AP35">
        <f>AN35+AD35+AF35+AI35</f>
        <v/>
      </c>
      <c r="AQ35">
        <f>AA35+AB35+AC35+AE35</f>
        <v/>
      </c>
      <c r="AR35">
        <f>AQ35+AD35+AF35</f>
        <v/>
      </c>
    </row>
    <row r="36">
      <c r="A36" t="n">
        <v>2059</v>
      </c>
      <c r="B36" t="n">
        <v>33</v>
      </c>
      <c r="C36" t="n">
        <v>4832</v>
      </c>
      <c r="D36" t="n">
        <v>0</v>
      </c>
      <c r="E36" t="n">
        <v>0</v>
      </c>
      <c r="F36" t="n">
        <v>0</v>
      </c>
      <c r="G36" t="n">
        <v>0</v>
      </c>
      <c r="H36" t="n">
        <v>2274.045</v>
      </c>
      <c r="I36" t="n">
        <v>202.672</v>
      </c>
      <c r="J36" t="n">
        <v>1099.843</v>
      </c>
      <c r="K36" t="n">
        <v>1952.624</v>
      </c>
      <c r="L36" t="n">
        <v>876.693</v>
      </c>
      <c r="M36" t="n">
        <v>119422.27</v>
      </c>
      <c r="N36" t="n">
        <v>7914.598</v>
      </c>
      <c r="O36" t="n">
        <v>62.928</v>
      </c>
      <c r="P36" t="n">
        <v>63.55</v>
      </c>
      <c r="Q36" t="n">
        <v>947.026</v>
      </c>
      <c r="R36" t="n">
        <v>1154.779</v>
      </c>
      <c r="S36" t="n">
        <v>5772.362</v>
      </c>
      <c r="T36" t="n">
        <v>2476.717</v>
      </c>
      <c r="U36" t="n">
        <v>160782.816</v>
      </c>
      <c r="V36" t="n">
        <v>195.06</v>
      </c>
      <c r="W36" t="n">
        <v>557.984</v>
      </c>
      <c r="X36" t="n">
        <v>62.928</v>
      </c>
      <c r="Y36" t="n">
        <v>687.1130000000001</v>
      </c>
      <c r="Z36">
        <f>H36*x_c_F+I36*x_c_CC+J36*x_c_DC+K36*x_c_HCC+L36*x_c_PLT+M36*x_c_SVRn+N36*x_c_SVRcc+O36*x_c_LT+P36*x_c_LT1</f>
        <v/>
      </c>
      <c r="AA36">
        <f>C36*x_c_DAA</f>
        <v/>
      </c>
      <c r="AB36">
        <f>C36*x_c_MON</f>
        <v/>
      </c>
      <c r="AC36">
        <f>D36*(1-x_testy)</f>
        <v/>
      </c>
      <c r="AD36">
        <f>E36*(1-x_testy)</f>
        <v/>
      </c>
      <c r="AE36">
        <f>F36*x_NAV</f>
        <v/>
      </c>
      <c r="AF36">
        <f>G36*x_FIX*(1-x_testy)</f>
        <v/>
      </c>
      <c r="AG36">
        <f>x_z_F*T36+(1-x_AGRI)*x_EMP*x_WLOSS*(x_PEN_K74*Q36+x_PEN_C22*R36)</f>
        <v/>
      </c>
      <c r="AH36">
        <f>x_AGRI*x_EMP*x_WLOSS*(x_PEN_K74*Q36+x_PEN_C22*R36)</f>
        <v/>
      </c>
      <c r="AI36">
        <f>x_EMP*x_WAGE*(x_WLOSS*(Q36+R36)+S36)+T36*x_ABS_D*x_WAGE/365</f>
        <v/>
      </c>
      <c r="AJ36">
        <f>AI36*x_R_FUS</f>
        <v/>
      </c>
      <c r="AK36">
        <f>AI36*x_R_NFZ</f>
        <v/>
      </c>
      <c r="AL36">
        <f>AI36*x_R_PIT</f>
        <v/>
      </c>
      <c r="AM36">
        <f>AI36*x_R_FP</f>
        <v/>
      </c>
      <c r="AN36">
        <f>Z36+AA36+AB36+AC36+AE36</f>
        <v/>
      </c>
      <c r="AO36">
        <f>AN36+AD36+AF36+AG36+AH36+AJ36+AK36+AL36+AM36</f>
        <v/>
      </c>
      <c r="AP36">
        <f>AN36+AD36+AF36+AI36</f>
        <v/>
      </c>
      <c r="AQ36">
        <f>AA36+AB36+AC36+AE36</f>
        <v/>
      </c>
      <c r="AR36">
        <f>AQ36+AD36+AF36</f>
        <v/>
      </c>
    </row>
    <row r="37">
      <c r="A37" t="n">
        <v>2060</v>
      </c>
      <c r="B37" t="n">
        <v>34</v>
      </c>
      <c r="C37" t="n">
        <v>4832</v>
      </c>
      <c r="D37" t="n">
        <v>0</v>
      </c>
      <c r="E37" t="n">
        <v>0</v>
      </c>
      <c r="F37" t="n">
        <v>0</v>
      </c>
      <c r="G37" t="n">
        <v>0</v>
      </c>
      <c r="H37" t="n">
        <v>2275.989</v>
      </c>
      <c r="I37" t="n">
        <v>200.305</v>
      </c>
      <c r="J37" t="n">
        <v>1078.876</v>
      </c>
      <c r="K37" t="n">
        <v>1920.162</v>
      </c>
      <c r="L37" t="n">
        <v>852.023</v>
      </c>
      <c r="M37" t="n">
        <v>121709.45</v>
      </c>
      <c r="N37" t="n">
        <v>7843.521</v>
      </c>
      <c r="O37" t="n">
        <v>61.714</v>
      </c>
      <c r="P37" t="n">
        <v>62.321</v>
      </c>
      <c r="Q37" t="n">
        <v>632.013</v>
      </c>
      <c r="R37" t="n">
        <v>914.851</v>
      </c>
      <c r="S37" t="n">
        <v>2394.365</v>
      </c>
      <c r="T37" t="n">
        <v>2476.294</v>
      </c>
      <c r="U37" t="n">
        <v>162263.44</v>
      </c>
      <c r="V37" t="n">
        <v>192.272</v>
      </c>
      <c r="W37" t="n">
        <v>550.067</v>
      </c>
      <c r="X37" t="n">
        <v>61.714</v>
      </c>
      <c r="Y37" t="n">
        <v>674.296</v>
      </c>
      <c r="Z37">
        <f>H37*x_c_F+I37*x_c_CC+J37*x_c_DC+K37*x_c_HCC+L37*x_c_PLT+M37*x_c_SVRn+N37*x_c_SVRcc+O37*x_c_LT+P37*x_c_LT1</f>
        <v/>
      </c>
      <c r="AA37">
        <f>C37*x_c_DAA</f>
        <v/>
      </c>
      <c r="AB37">
        <f>C37*x_c_MON</f>
        <v/>
      </c>
      <c r="AC37">
        <f>D37*(1-x_testy)</f>
        <v/>
      </c>
      <c r="AD37">
        <f>E37*(1-x_testy)</f>
        <v/>
      </c>
      <c r="AE37">
        <f>F37*x_NAV</f>
        <v/>
      </c>
      <c r="AF37">
        <f>G37*x_FIX*(1-x_testy)</f>
        <v/>
      </c>
      <c r="AG37">
        <f>x_z_F*T37+(1-x_AGRI)*x_EMP*x_WLOSS*(x_PEN_K74*Q37+x_PEN_C22*R37)</f>
        <v/>
      </c>
      <c r="AH37">
        <f>x_AGRI*x_EMP*x_WLOSS*(x_PEN_K74*Q37+x_PEN_C22*R37)</f>
        <v/>
      </c>
      <c r="AI37">
        <f>x_EMP*x_WAGE*(x_WLOSS*(Q37+R37)+S37)+T37*x_ABS_D*x_WAGE/365</f>
        <v/>
      </c>
      <c r="AJ37">
        <f>AI37*x_R_FUS</f>
        <v/>
      </c>
      <c r="AK37">
        <f>AI37*x_R_NFZ</f>
        <v/>
      </c>
      <c r="AL37">
        <f>AI37*x_R_PIT</f>
        <v/>
      </c>
      <c r="AM37">
        <f>AI37*x_R_FP</f>
        <v/>
      </c>
      <c r="AN37">
        <f>Z37+AA37+AB37+AC37+AE37</f>
        <v/>
      </c>
      <c r="AO37">
        <f>AN37+AD37+AF37+AG37+AH37+AJ37+AK37+AL37+AM37</f>
        <v/>
      </c>
      <c r="AP37">
        <f>AN37+AD37+AF37+AI37</f>
        <v/>
      </c>
      <c r="AQ37">
        <f>AA37+AB37+AC37+AE37</f>
        <v/>
      </c>
      <c r="AR37">
        <f>AQ37+AD37+AF37</f>
        <v/>
      </c>
    </row>
    <row r="38">
      <c r="A38" t="n">
        <v>2061</v>
      </c>
      <c r="B38" t="n">
        <v>35</v>
      </c>
      <c r="C38" t="n">
        <v>4832</v>
      </c>
      <c r="D38" t="n">
        <v>0</v>
      </c>
      <c r="E38" t="n">
        <v>0</v>
      </c>
      <c r="F38" t="n">
        <v>0</v>
      </c>
      <c r="G38" t="n">
        <v>0</v>
      </c>
      <c r="H38" t="n">
        <v>2277.724</v>
      </c>
      <c r="I38" t="n">
        <v>198.168</v>
      </c>
      <c r="J38" t="n">
        <v>1058.635</v>
      </c>
      <c r="K38" t="n">
        <v>1888.826</v>
      </c>
      <c r="L38" t="n">
        <v>826.172</v>
      </c>
      <c r="M38" t="n">
        <v>123890.625</v>
      </c>
      <c r="N38" t="n">
        <v>7758.165</v>
      </c>
      <c r="O38" t="n">
        <v>60.548</v>
      </c>
      <c r="P38" t="n">
        <v>61.131</v>
      </c>
      <c r="Q38" t="n">
        <v>629.578</v>
      </c>
      <c r="R38" t="n">
        <v>910.946</v>
      </c>
      <c r="S38" t="n">
        <v>2388.944</v>
      </c>
      <c r="T38" t="n">
        <v>2475.892</v>
      </c>
      <c r="U38" t="n">
        <v>163664.44</v>
      </c>
      <c r="V38" t="n">
        <v>189.657</v>
      </c>
      <c r="W38" t="n">
        <v>542.523</v>
      </c>
      <c r="X38" t="n">
        <v>60.548</v>
      </c>
      <c r="Y38" t="n">
        <v>661.8869999999999</v>
      </c>
      <c r="Z38">
        <f>H38*x_c_F+I38*x_c_CC+J38*x_c_DC+K38*x_c_HCC+L38*x_c_PLT+M38*x_c_SVRn+N38*x_c_SVRcc+O38*x_c_LT+P38*x_c_LT1</f>
        <v/>
      </c>
      <c r="AA38">
        <f>C38*x_c_DAA</f>
        <v/>
      </c>
      <c r="AB38">
        <f>C38*x_c_MON</f>
        <v/>
      </c>
      <c r="AC38">
        <f>D38*(1-x_testy)</f>
        <v/>
      </c>
      <c r="AD38">
        <f>E38*(1-x_testy)</f>
        <v/>
      </c>
      <c r="AE38">
        <f>F38*x_NAV</f>
        <v/>
      </c>
      <c r="AF38">
        <f>G38*x_FIX*(1-x_testy)</f>
        <v/>
      </c>
      <c r="AG38">
        <f>x_z_F*T38+(1-x_AGRI)*x_EMP*x_WLOSS*(x_PEN_K74*Q38+x_PEN_C22*R38)</f>
        <v/>
      </c>
      <c r="AH38">
        <f>x_AGRI*x_EMP*x_WLOSS*(x_PEN_K74*Q38+x_PEN_C22*R38)</f>
        <v/>
      </c>
      <c r="AI38">
        <f>x_EMP*x_WAGE*(x_WLOSS*(Q38+R38)+S38)+T38*x_ABS_D*x_WAGE/365</f>
        <v/>
      </c>
      <c r="AJ38">
        <f>AI38*x_R_FUS</f>
        <v/>
      </c>
      <c r="AK38">
        <f>AI38*x_R_NFZ</f>
        <v/>
      </c>
      <c r="AL38">
        <f>AI38*x_R_PIT</f>
        <v/>
      </c>
      <c r="AM38">
        <f>AI38*x_R_FP</f>
        <v/>
      </c>
      <c r="AN38">
        <f>Z38+AA38+AB38+AC38+AE38</f>
        <v/>
      </c>
      <c r="AO38">
        <f>AN38+AD38+AF38+AG38+AH38+AJ38+AK38+AL38+AM38</f>
        <v/>
      </c>
      <c r="AP38">
        <f>AN38+AD38+AF38+AI38</f>
        <v/>
      </c>
      <c r="AQ38">
        <f>AA38+AB38+AC38+AE38</f>
        <v/>
      </c>
      <c r="AR38">
        <f>AQ38+AD38+AF38</f>
        <v/>
      </c>
    </row>
    <row r="39">
      <c r="A39" t="n">
        <v>2062</v>
      </c>
      <c r="B39" t="n">
        <v>36</v>
      </c>
      <c r="C39" t="n">
        <v>4832</v>
      </c>
      <c r="D39" t="n">
        <v>0</v>
      </c>
      <c r="E39" t="n">
        <v>0</v>
      </c>
      <c r="F39" t="n">
        <v>0</v>
      </c>
      <c r="G39" t="n">
        <v>0</v>
      </c>
      <c r="H39" t="n">
        <v>2279.234</v>
      </c>
      <c r="I39" t="n">
        <v>196.281</v>
      </c>
      <c r="J39" t="n">
        <v>1039.408</v>
      </c>
      <c r="K39" t="n">
        <v>1859.041</v>
      </c>
      <c r="L39" t="n">
        <v>799.552</v>
      </c>
      <c r="M39" t="n">
        <v>125973.64</v>
      </c>
      <c r="N39" t="n">
        <v>7661.625</v>
      </c>
      <c r="O39" t="n">
        <v>59.447</v>
      </c>
      <c r="P39" t="n">
        <v>59.998</v>
      </c>
      <c r="Q39" t="n">
        <v>627.1559999999999</v>
      </c>
      <c r="R39" t="n">
        <v>907.033</v>
      </c>
      <c r="S39" t="n">
        <v>2383.773</v>
      </c>
      <c r="T39" t="n">
        <v>2475.515</v>
      </c>
      <c r="U39" t="n">
        <v>164995.131</v>
      </c>
      <c r="V39" t="n">
        <v>187.244</v>
      </c>
      <c r="W39" t="n">
        <v>535.456</v>
      </c>
      <c r="X39" t="n">
        <v>59.447</v>
      </c>
      <c r="Y39" t="n">
        <v>650.078</v>
      </c>
      <c r="Z39">
        <f>H39*x_c_F+I39*x_c_CC+J39*x_c_DC+K39*x_c_HCC+L39*x_c_PLT+M39*x_c_SVRn+N39*x_c_SVRcc+O39*x_c_LT+P39*x_c_LT1</f>
        <v/>
      </c>
      <c r="AA39">
        <f>C39*x_c_DAA</f>
        <v/>
      </c>
      <c r="AB39">
        <f>C39*x_c_MON</f>
        <v/>
      </c>
      <c r="AC39">
        <f>D39*(1-x_testy)</f>
        <v/>
      </c>
      <c r="AD39">
        <f>E39*(1-x_testy)</f>
        <v/>
      </c>
      <c r="AE39">
        <f>F39*x_NAV</f>
        <v/>
      </c>
      <c r="AF39">
        <f>G39*x_FIX*(1-x_testy)</f>
        <v/>
      </c>
      <c r="AG39">
        <f>x_z_F*T39+(1-x_AGRI)*x_EMP*x_WLOSS*(x_PEN_K74*Q39+x_PEN_C22*R39)</f>
        <v/>
      </c>
      <c r="AH39">
        <f>x_AGRI*x_EMP*x_WLOSS*(x_PEN_K74*Q39+x_PEN_C22*R39)</f>
        <v/>
      </c>
      <c r="AI39">
        <f>x_EMP*x_WAGE*(x_WLOSS*(Q39+R39)+S39)+T39*x_ABS_D*x_WAGE/365</f>
        <v/>
      </c>
      <c r="AJ39">
        <f>AI39*x_R_FUS</f>
        <v/>
      </c>
      <c r="AK39">
        <f>AI39*x_R_NFZ</f>
        <v/>
      </c>
      <c r="AL39">
        <f>AI39*x_R_PIT</f>
        <v/>
      </c>
      <c r="AM39">
        <f>AI39*x_R_FP</f>
        <v/>
      </c>
      <c r="AN39">
        <f>Z39+AA39+AB39+AC39+AE39</f>
        <v/>
      </c>
      <c r="AO39">
        <f>AN39+AD39+AF39+AG39+AH39+AJ39+AK39+AL39+AM39</f>
        <v/>
      </c>
      <c r="AP39">
        <f>AN39+AD39+AF39+AI39</f>
        <v/>
      </c>
      <c r="AQ39">
        <f>AA39+AB39+AC39+AE39</f>
        <v/>
      </c>
      <c r="AR39">
        <f>AQ39+AD39+AF39</f>
        <v/>
      </c>
    </row>
    <row r="40">
      <c r="A40" t="n">
        <v>2063</v>
      </c>
      <c r="B40" t="n">
        <v>37</v>
      </c>
      <c r="C40" t="n">
        <v>4832</v>
      </c>
      <c r="D40" t="n">
        <v>0</v>
      </c>
      <c r="E40" t="n">
        <v>0</v>
      </c>
      <c r="F40" t="n">
        <v>0</v>
      </c>
      <c r="G40" t="n">
        <v>0</v>
      </c>
      <c r="H40" t="n">
        <v>2280.506</v>
      </c>
      <c r="I40" t="n">
        <v>194.657</v>
      </c>
      <c r="J40" t="n">
        <v>1021.521</v>
      </c>
      <c r="K40" t="n">
        <v>1831.3</v>
      </c>
      <c r="L40" t="n">
        <v>772.704</v>
      </c>
      <c r="M40" t="n">
        <v>127972.375</v>
      </c>
      <c r="N40" t="n">
        <v>7557.973</v>
      </c>
      <c r="O40" t="n">
        <v>58.432</v>
      </c>
      <c r="P40" t="n">
        <v>58.94</v>
      </c>
      <c r="Q40" t="n">
        <v>624.6079999999999</v>
      </c>
      <c r="R40" t="n">
        <v>902.952</v>
      </c>
      <c r="S40" t="n">
        <v>2378.026</v>
      </c>
      <c r="T40" t="n">
        <v>2475.163</v>
      </c>
      <c r="U40" t="n">
        <v>166270.282</v>
      </c>
      <c r="V40" t="n">
        <v>185.068</v>
      </c>
      <c r="W40" t="n">
        <v>528.99</v>
      </c>
      <c r="X40" t="n">
        <v>58.432</v>
      </c>
      <c r="Y40" t="n">
        <v>639.097</v>
      </c>
      <c r="Z40">
        <f>H40*x_c_F+I40*x_c_CC+J40*x_c_DC+K40*x_c_HCC+L40*x_c_PLT+M40*x_c_SVRn+N40*x_c_SVRcc+O40*x_c_LT+P40*x_c_LT1</f>
        <v/>
      </c>
      <c r="AA40">
        <f>C40*x_c_DAA</f>
        <v/>
      </c>
      <c r="AB40">
        <f>C40*x_c_MON</f>
        <v/>
      </c>
      <c r="AC40">
        <f>D40*(1-x_testy)</f>
        <v/>
      </c>
      <c r="AD40">
        <f>E40*(1-x_testy)</f>
        <v/>
      </c>
      <c r="AE40">
        <f>F40*x_NAV</f>
        <v/>
      </c>
      <c r="AF40">
        <f>G40*x_FIX*(1-x_testy)</f>
        <v/>
      </c>
      <c r="AG40">
        <f>x_z_F*T40+(1-x_AGRI)*x_EMP*x_WLOSS*(x_PEN_K74*Q40+x_PEN_C22*R40)</f>
        <v/>
      </c>
      <c r="AH40">
        <f>x_AGRI*x_EMP*x_WLOSS*(x_PEN_K74*Q40+x_PEN_C22*R40)</f>
        <v/>
      </c>
      <c r="AI40">
        <f>x_EMP*x_WAGE*(x_WLOSS*(Q40+R40)+S40)+T40*x_ABS_D*x_WAGE/365</f>
        <v/>
      </c>
      <c r="AJ40">
        <f>AI40*x_R_FUS</f>
        <v/>
      </c>
      <c r="AK40">
        <f>AI40*x_R_NFZ</f>
        <v/>
      </c>
      <c r="AL40">
        <f>AI40*x_R_PIT</f>
        <v/>
      </c>
      <c r="AM40">
        <f>AI40*x_R_FP</f>
        <v/>
      </c>
      <c r="AN40">
        <f>Z40+AA40+AB40+AC40+AE40</f>
        <v/>
      </c>
      <c r="AO40">
        <f>AN40+AD40+AF40+AG40+AH40+AJ40+AK40+AL40+AM40</f>
        <v/>
      </c>
      <c r="AP40">
        <f>AN40+AD40+AF40+AI40</f>
        <v/>
      </c>
      <c r="AQ40">
        <f>AA40+AB40+AC40+AE40</f>
        <v/>
      </c>
      <c r="AR40">
        <f>AQ40+AD40+AF40</f>
        <v/>
      </c>
    </row>
    <row r="41">
      <c r="A41" t="n">
        <v>2064</v>
      </c>
      <c r="B41" t="n">
        <v>38</v>
      </c>
      <c r="C41" t="n">
        <v>4832</v>
      </c>
      <c r="D41" t="n">
        <v>0</v>
      </c>
      <c r="E41" t="n">
        <v>0</v>
      </c>
      <c r="F41" t="n">
        <v>0</v>
      </c>
      <c r="G41" t="n">
        <v>0</v>
      </c>
      <c r="H41" t="n">
        <v>2281.533</v>
      </c>
      <c r="I41" t="n">
        <v>193.307</v>
      </c>
      <c r="J41" t="n">
        <v>1005.301</v>
      </c>
      <c r="K41" t="n">
        <v>1806.115</v>
      </c>
      <c r="L41" t="n">
        <v>746.272</v>
      </c>
      <c r="M41" t="n">
        <v>129906.207</v>
      </c>
      <c r="N41" t="n">
        <v>7452.06</v>
      </c>
      <c r="O41" t="n">
        <v>57.523</v>
      </c>
      <c r="P41" t="n">
        <v>57.978</v>
      </c>
      <c r="Q41" t="n">
        <v>621.901</v>
      </c>
      <c r="R41" t="n">
        <v>898.672</v>
      </c>
      <c r="S41" t="n">
        <v>2371.458</v>
      </c>
      <c r="T41" t="n">
        <v>2474.84</v>
      </c>
      <c r="U41" t="n">
        <v>167509.178</v>
      </c>
      <c r="V41" t="n">
        <v>183.161</v>
      </c>
      <c r="W41" t="n">
        <v>523.236</v>
      </c>
      <c r="X41" t="n">
        <v>57.523</v>
      </c>
      <c r="Y41" t="n">
        <v>629.159</v>
      </c>
      <c r="Z41">
        <f>H41*x_c_F+I41*x_c_CC+J41*x_c_DC+K41*x_c_HCC+L41*x_c_PLT+M41*x_c_SVRn+N41*x_c_SVRcc+O41*x_c_LT+P41*x_c_LT1</f>
        <v/>
      </c>
      <c r="AA41">
        <f>C41*x_c_DAA</f>
        <v/>
      </c>
      <c r="AB41">
        <f>C41*x_c_MON</f>
        <v/>
      </c>
      <c r="AC41">
        <f>D41*(1-x_testy)</f>
        <v/>
      </c>
      <c r="AD41">
        <f>E41*(1-x_testy)</f>
        <v/>
      </c>
      <c r="AE41">
        <f>F41*x_NAV</f>
        <v/>
      </c>
      <c r="AF41">
        <f>G41*x_FIX*(1-x_testy)</f>
        <v/>
      </c>
      <c r="AG41">
        <f>x_z_F*T41+(1-x_AGRI)*x_EMP*x_WLOSS*(x_PEN_K74*Q41+x_PEN_C22*R41)</f>
        <v/>
      </c>
      <c r="AH41">
        <f>x_AGRI*x_EMP*x_WLOSS*(x_PEN_K74*Q41+x_PEN_C22*R41)</f>
        <v/>
      </c>
      <c r="AI41">
        <f>x_EMP*x_WAGE*(x_WLOSS*(Q41+R41)+S41)+T41*x_ABS_D*x_WAGE/365</f>
        <v/>
      </c>
      <c r="AJ41">
        <f>AI41*x_R_FUS</f>
        <v/>
      </c>
      <c r="AK41">
        <f>AI41*x_R_NFZ</f>
        <v/>
      </c>
      <c r="AL41">
        <f>AI41*x_R_PIT</f>
        <v/>
      </c>
      <c r="AM41">
        <f>AI41*x_R_FP</f>
        <v/>
      </c>
      <c r="AN41">
        <f>Z41+AA41+AB41+AC41+AE41</f>
        <v/>
      </c>
      <c r="AO41">
        <f>AN41+AD41+AF41+AG41+AH41+AJ41+AK41+AL41+AM41</f>
        <v/>
      </c>
      <c r="AP41">
        <f>AN41+AD41+AF41+AI41</f>
        <v/>
      </c>
      <c r="AQ41">
        <f>AA41+AB41+AC41+AE41</f>
        <v/>
      </c>
      <c r="AR41">
        <f>AQ41+AD41+AF41</f>
        <v/>
      </c>
    </row>
    <row r="42">
      <c r="A42" t="n">
        <v>2065</v>
      </c>
      <c r="B42" t="n">
        <v>39</v>
      </c>
      <c r="C42" t="n">
        <v>4832</v>
      </c>
      <c r="D42" t="n">
        <v>0</v>
      </c>
      <c r="E42" t="n">
        <v>0</v>
      </c>
      <c r="F42" t="n">
        <v>0</v>
      </c>
      <c r="G42" t="n">
        <v>0</v>
      </c>
      <c r="H42" t="n">
        <v>2282.318</v>
      </c>
      <c r="I42" t="n">
        <v>192.227</v>
      </c>
      <c r="J42" t="n">
        <v>991.011</v>
      </c>
      <c r="K42" t="n">
        <v>1783.905</v>
      </c>
      <c r="L42" t="n">
        <v>720.905</v>
      </c>
      <c r="M42" t="n">
        <v>131796.492</v>
      </c>
      <c r="N42" t="n">
        <v>7348.808</v>
      </c>
      <c r="O42" t="n">
        <v>56.733</v>
      </c>
      <c r="P42" t="n">
        <v>57.128</v>
      </c>
      <c r="Q42" t="n">
        <v>619</v>
      </c>
      <c r="R42" t="n">
        <v>894.163</v>
      </c>
      <c r="S42" t="n">
        <v>2363.81</v>
      </c>
      <c r="T42" t="n">
        <v>2474.545</v>
      </c>
      <c r="U42" t="n">
        <v>168731.969</v>
      </c>
      <c r="V42" t="n">
        <v>181.535</v>
      </c>
      <c r="W42" t="n">
        <v>518.264</v>
      </c>
      <c r="X42" t="n">
        <v>56.733</v>
      </c>
      <c r="Y42" t="n">
        <v>620.427</v>
      </c>
      <c r="Z42">
        <f>H42*x_c_F+I42*x_c_CC+J42*x_c_DC+K42*x_c_HCC+L42*x_c_PLT+M42*x_c_SVRn+N42*x_c_SVRcc+O42*x_c_LT+P42*x_c_LT1</f>
        <v/>
      </c>
      <c r="AA42">
        <f>C42*x_c_DAA</f>
        <v/>
      </c>
      <c r="AB42">
        <f>C42*x_c_MON</f>
        <v/>
      </c>
      <c r="AC42">
        <f>D42*(1-x_testy)</f>
        <v/>
      </c>
      <c r="AD42">
        <f>E42*(1-x_testy)</f>
        <v/>
      </c>
      <c r="AE42">
        <f>F42*x_NAV</f>
        <v/>
      </c>
      <c r="AF42">
        <f>G42*x_FIX*(1-x_testy)</f>
        <v/>
      </c>
      <c r="AG42">
        <f>x_z_F*T42+(1-x_AGRI)*x_EMP*x_WLOSS*(x_PEN_K74*Q42+x_PEN_C22*R42)</f>
        <v/>
      </c>
      <c r="AH42">
        <f>x_AGRI*x_EMP*x_WLOSS*(x_PEN_K74*Q42+x_PEN_C22*R42)</f>
        <v/>
      </c>
      <c r="AI42">
        <f>x_EMP*x_WAGE*(x_WLOSS*(Q42+R42)+S42)+T42*x_ABS_D*x_WAGE/365</f>
        <v/>
      </c>
      <c r="AJ42">
        <f>AI42*x_R_FUS</f>
        <v/>
      </c>
      <c r="AK42">
        <f>AI42*x_R_NFZ</f>
        <v/>
      </c>
      <c r="AL42">
        <f>AI42*x_R_PIT</f>
        <v/>
      </c>
      <c r="AM42">
        <f>AI42*x_R_FP</f>
        <v/>
      </c>
      <c r="AN42">
        <f>Z42+AA42+AB42+AC42+AE42</f>
        <v/>
      </c>
      <c r="AO42">
        <f>AN42+AD42+AF42+AG42+AH42+AJ42+AK42+AL42+AM42</f>
        <v/>
      </c>
      <c r="AP42">
        <f>AN42+AD42+AF42+AI42</f>
        <v/>
      </c>
      <c r="AQ42">
        <f>AA42+AB42+AC42+AE42</f>
        <v/>
      </c>
      <c r="AR42">
        <f>AQ42+AD42+AF42</f>
        <v/>
      </c>
    </row>
    <row r="43">
      <c r="A43" t="n">
        <v>2066</v>
      </c>
      <c r="B43" t="n">
        <v>40</v>
      </c>
      <c r="C43" t="n">
        <v>4832</v>
      </c>
      <c r="D43" t="n">
        <v>0</v>
      </c>
      <c r="E43" t="n">
        <v>0</v>
      </c>
      <c r="F43" t="n">
        <v>0</v>
      </c>
      <c r="G43" t="n">
        <v>0</v>
      </c>
      <c r="H43" t="n">
        <v>2282.88</v>
      </c>
      <c r="I43" t="n">
        <v>191.397</v>
      </c>
      <c r="J43" t="n">
        <v>978.809</v>
      </c>
      <c r="K43" t="n">
        <v>1764.923</v>
      </c>
      <c r="L43" t="n">
        <v>697.188</v>
      </c>
      <c r="M43" t="n">
        <v>133663.79</v>
      </c>
      <c r="N43" t="n">
        <v>7252.664</v>
      </c>
      <c r="O43" t="n">
        <v>56.069</v>
      </c>
      <c r="P43" t="n">
        <v>56.401</v>
      </c>
      <c r="Q43" t="n">
        <v>615.872</v>
      </c>
      <c r="R43" t="n">
        <v>889.398</v>
      </c>
      <c r="S43" t="n">
        <v>2354.809</v>
      </c>
      <c r="T43" t="n">
        <v>2474.277</v>
      </c>
      <c r="U43" t="n">
        <v>169957.122</v>
      </c>
      <c r="V43" t="n">
        <v>180.189</v>
      </c>
      <c r="W43" t="n">
        <v>514.095</v>
      </c>
      <c r="X43" t="n">
        <v>56.069</v>
      </c>
      <c r="Y43" t="n">
        <v>612.9930000000001</v>
      </c>
      <c r="Z43">
        <f>H43*x_c_F+I43*x_c_CC+J43*x_c_DC+K43*x_c_HCC+L43*x_c_PLT+M43*x_c_SVRn+N43*x_c_SVRcc+O43*x_c_LT+P43*x_c_LT1</f>
        <v/>
      </c>
      <c r="AA43">
        <f>C43*x_c_DAA</f>
        <v/>
      </c>
      <c r="AB43">
        <f>C43*x_c_MON</f>
        <v/>
      </c>
      <c r="AC43">
        <f>D43*(1-x_testy)</f>
        <v/>
      </c>
      <c r="AD43">
        <f>E43*(1-x_testy)</f>
        <v/>
      </c>
      <c r="AE43">
        <f>F43*x_NAV</f>
        <v/>
      </c>
      <c r="AF43">
        <f>G43*x_FIX*(1-x_testy)</f>
        <v/>
      </c>
      <c r="AG43">
        <f>x_z_F*T43+(1-x_AGRI)*x_EMP*x_WLOSS*(x_PEN_K74*Q43+x_PEN_C22*R43)</f>
        <v/>
      </c>
      <c r="AH43">
        <f>x_AGRI*x_EMP*x_WLOSS*(x_PEN_K74*Q43+x_PEN_C22*R43)</f>
        <v/>
      </c>
      <c r="AI43">
        <f>x_EMP*x_WAGE*(x_WLOSS*(Q43+R43)+S43)+T43*x_ABS_D*x_WAGE/365</f>
        <v/>
      </c>
      <c r="AJ43">
        <f>AI43*x_R_FUS</f>
        <v/>
      </c>
      <c r="AK43">
        <f>AI43*x_R_NFZ</f>
        <v/>
      </c>
      <c r="AL43">
        <f>AI43*x_R_PIT</f>
        <v/>
      </c>
      <c r="AM43">
        <f>AI43*x_R_FP</f>
        <v/>
      </c>
      <c r="AN43">
        <f>Z43+AA43+AB43+AC43+AE43</f>
        <v/>
      </c>
      <c r="AO43">
        <f>AN43+AD43+AF43+AG43+AH43+AJ43+AK43+AL43+AM43</f>
        <v/>
      </c>
      <c r="AP43">
        <f>AN43+AD43+AF43+AI43</f>
        <v/>
      </c>
      <c r="AQ43">
        <f>AA43+AB43+AC43+AE43</f>
        <v/>
      </c>
      <c r="AR43">
        <f>AQ43+AD43+AF43</f>
        <v/>
      </c>
    </row>
    <row r="44">
      <c r="A44" t="n">
        <v>2067</v>
      </c>
      <c r="B44" t="n">
        <v>41</v>
      </c>
      <c r="C44" t="n">
        <v>4832</v>
      </c>
      <c r="D44" t="n">
        <v>0</v>
      </c>
      <c r="E44" t="n">
        <v>0</v>
      </c>
      <c r="F44" t="n">
        <v>0</v>
      </c>
      <c r="G44" t="n">
        <v>0</v>
      </c>
      <c r="H44" t="n">
        <v>2283.249</v>
      </c>
      <c r="I44" t="n">
        <v>190.784</v>
      </c>
      <c r="J44" t="n">
        <v>968.721</v>
      </c>
      <c r="K44" t="n">
        <v>1749.207</v>
      </c>
      <c r="L44" t="n">
        <v>675.567</v>
      </c>
      <c r="M44" t="n">
        <v>135524.702</v>
      </c>
      <c r="N44" t="n">
        <v>7167.052</v>
      </c>
      <c r="O44" t="n">
        <v>55.529</v>
      </c>
      <c r="P44" t="n">
        <v>55.799</v>
      </c>
      <c r="Q44" t="n">
        <v>612.485</v>
      </c>
      <c r="R44" t="n">
        <v>884.35</v>
      </c>
      <c r="S44" t="n">
        <v>2344.163</v>
      </c>
      <c r="T44" t="n">
        <v>2474.033</v>
      </c>
      <c r="U44" t="n">
        <v>171198.51</v>
      </c>
      <c r="V44" t="n">
        <v>179.102</v>
      </c>
      <c r="W44" t="n">
        <v>510.692</v>
      </c>
      <c r="X44" t="n">
        <v>55.529</v>
      </c>
      <c r="Y44" t="n">
        <v>606.854</v>
      </c>
      <c r="Z44">
        <f>H44*x_c_F+I44*x_c_CC+J44*x_c_DC+K44*x_c_HCC+L44*x_c_PLT+M44*x_c_SVRn+N44*x_c_SVRcc+O44*x_c_LT+P44*x_c_LT1</f>
        <v/>
      </c>
      <c r="AA44">
        <f>C44*x_c_DAA</f>
        <v/>
      </c>
      <c r="AB44">
        <f>C44*x_c_MON</f>
        <v/>
      </c>
      <c r="AC44">
        <f>D44*(1-x_testy)</f>
        <v/>
      </c>
      <c r="AD44">
        <f>E44*(1-x_testy)</f>
        <v/>
      </c>
      <c r="AE44">
        <f>F44*x_NAV</f>
        <v/>
      </c>
      <c r="AF44">
        <f>G44*x_FIX*(1-x_testy)</f>
        <v/>
      </c>
      <c r="AG44">
        <f>x_z_F*T44+(1-x_AGRI)*x_EMP*x_WLOSS*(x_PEN_K74*Q44+x_PEN_C22*R44)</f>
        <v/>
      </c>
      <c r="AH44">
        <f>x_AGRI*x_EMP*x_WLOSS*(x_PEN_K74*Q44+x_PEN_C22*R44)</f>
        <v/>
      </c>
      <c r="AI44">
        <f>x_EMP*x_WAGE*(x_WLOSS*(Q44+R44)+S44)+T44*x_ABS_D*x_WAGE/365</f>
        <v/>
      </c>
      <c r="AJ44">
        <f>AI44*x_R_FUS</f>
        <v/>
      </c>
      <c r="AK44">
        <f>AI44*x_R_NFZ</f>
        <v/>
      </c>
      <c r="AL44">
        <f>AI44*x_R_PIT</f>
        <v/>
      </c>
      <c r="AM44">
        <f>AI44*x_R_FP</f>
        <v/>
      </c>
      <c r="AN44">
        <f>Z44+AA44+AB44+AC44+AE44</f>
        <v/>
      </c>
      <c r="AO44">
        <f>AN44+AD44+AF44+AG44+AH44+AJ44+AK44+AL44+AM44</f>
        <v/>
      </c>
      <c r="AP44">
        <f>AN44+AD44+AF44+AI44</f>
        <v/>
      </c>
      <c r="AQ44">
        <f>AA44+AB44+AC44+AE44</f>
        <v/>
      </c>
      <c r="AR44">
        <f>AQ44+AD44+AF44</f>
        <v/>
      </c>
    </row>
    <row r="45">
      <c r="A45" t="n">
        <v>2068</v>
      </c>
      <c r="B45" t="n">
        <v>42</v>
      </c>
      <c r="C45" t="n">
        <v>4832</v>
      </c>
      <c r="D45" t="n">
        <v>0</v>
      </c>
      <c r="E45" t="n">
        <v>0</v>
      </c>
      <c r="F45" t="n">
        <v>0</v>
      </c>
      <c r="G45" t="n">
        <v>0</v>
      </c>
      <c r="H45" t="n">
        <v>2283.465</v>
      </c>
      <c r="I45" t="n">
        <v>190.345</v>
      </c>
      <c r="J45" t="n">
        <v>960.655</v>
      </c>
      <c r="K45" t="n">
        <v>1736.614</v>
      </c>
      <c r="L45" t="n">
        <v>656.351</v>
      </c>
      <c r="M45" t="n">
        <v>137391.695</v>
      </c>
      <c r="N45" t="n">
        <v>7094.367</v>
      </c>
      <c r="O45" t="n">
        <v>55.107</v>
      </c>
      <c r="P45" t="n">
        <v>55.318</v>
      </c>
      <c r="Q45" t="n">
        <v>608.806</v>
      </c>
      <c r="R45" t="n">
        <v>878.9930000000001</v>
      </c>
      <c r="S45" t="n">
        <v>2331.563</v>
      </c>
      <c r="T45" t="n">
        <v>2473.81</v>
      </c>
      <c r="U45" t="n">
        <v>172465.53</v>
      </c>
      <c r="V45" t="n">
        <v>178.241</v>
      </c>
      <c r="W45" t="n">
        <v>507.983</v>
      </c>
      <c r="X45" t="n">
        <v>55.107</v>
      </c>
      <c r="Y45" t="n">
        <v>601.957</v>
      </c>
      <c r="Z45">
        <f>H45*x_c_F+I45*x_c_CC+J45*x_c_DC+K45*x_c_HCC+L45*x_c_PLT+M45*x_c_SVRn+N45*x_c_SVRcc+O45*x_c_LT+P45*x_c_LT1</f>
        <v/>
      </c>
      <c r="AA45">
        <f>C45*x_c_DAA</f>
        <v/>
      </c>
      <c r="AB45">
        <f>C45*x_c_MON</f>
        <v/>
      </c>
      <c r="AC45">
        <f>D45*(1-x_testy)</f>
        <v/>
      </c>
      <c r="AD45">
        <f>E45*(1-x_testy)</f>
        <v/>
      </c>
      <c r="AE45">
        <f>F45*x_NAV</f>
        <v/>
      </c>
      <c r="AF45">
        <f>G45*x_FIX*(1-x_testy)</f>
        <v/>
      </c>
      <c r="AG45">
        <f>x_z_F*T45+(1-x_AGRI)*x_EMP*x_WLOSS*(x_PEN_K74*Q45+x_PEN_C22*R45)</f>
        <v/>
      </c>
      <c r="AH45">
        <f>x_AGRI*x_EMP*x_WLOSS*(x_PEN_K74*Q45+x_PEN_C22*R45)</f>
        <v/>
      </c>
      <c r="AI45">
        <f>x_EMP*x_WAGE*(x_WLOSS*(Q45+R45)+S45)+T45*x_ABS_D*x_WAGE/365</f>
        <v/>
      </c>
      <c r="AJ45">
        <f>AI45*x_R_FUS</f>
        <v/>
      </c>
      <c r="AK45">
        <f>AI45*x_R_NFZ</f>
        <v/>
      </c>
      <c r="AL45">
        <f>AI45*x_R_PIT</f>
        <v/>
      </c>
      <c r="AM45">
        <f>AI45*x_R_FP</f>
        <v/>
      </c>
      <c r="AN45">
        <f>Z45+AA45+AB45+AC45+AE45</f>
        <v/>
      </c>
      <c r="AO45">
        <f>AN45+AD45+AF45+AG45+AH45+AJ45+AK45+AL45+AM45</f>
        <v/>
      </c>
      <c r="AP45">
        <f>AN45+AD45+AF45+AI45</f>
        <v/>
      </c>
      <c r="AQ45">
        <f>AA45+AB45+AC45+AE45</f>
        <v/>
      </c>
      <c r="AR45">
        <f>AQ45+AD45+AF45</f>
        <v/>
      </c>
    </row>
    <row r="46">
      <c r="A46" t="n">
        <v>2069</v>
      </c>
      <c r="B46" t="n">
        <v>43</v>
      </c>
      <c r="C46" t="n">
        <v>4832</v>
      </c>
      <c r="D46" t="n">
        <v>0</v>
      </c>
      <c r="E46" t="n">
        <v>0</v>
      </c>
      <c r="F46" t="n">
        <v>0</v>
      </c>
      <c r="G46" t="n">
        <v>0</v>
      </c>
      <c r="H46" t="n">
        <v>2283.571</v>
      </c>
      <c r="I46" t="n">
        <v>190.032</v>
      </c>
      <c r="J46" t="n">
        <v>954.4349999999999</v>
      </c>
      <c r="K46" t="n">
        <v>1726.861</v>
      </c>
      <c r="L46" t="n">
        <v>639.718</v>
      </c>
      <c r="M46" t="n">
        <v>139273.065</v>
      </c>
      <c r="N46" t="n">
        <v>7036.023</v>
      </c>
      <c r="O46" t="n">
        <v>54.79</v>
      </c>
      <c r="P46" t="n">
        <v>54.948</v>
      </c>
      <c r="Q46" t="n">
        <v>604.8</v>
      </c>
      <c r="R46" t="n">
        <v>873.302</v>
      </c>
      <c r="S46" t="n">
        <v>2316.679</v>
      </c>
      <c r="T46" t="n">
        <v>2473.603</v>
      </c>
      <c r="U46" t="n">
        <v>173763.393</v>
      </c>
      <c r="V46" t="n">
        <v>177.566</v>
      </c>
      <c r="W46" t="n">
        <v>505.867</v>
      </c>
      <c r="X46" t="n">
        <v>54.79</v>
      </c>
      <c r="Y46" t="n">
        <v>598.184</v>
      </c>
      <c r="Z46">
        <f>H46*x_c_F+I46*x_c_CC+J46*x_c_DC+K46*x_c_HCC+L46*x_c_PLT+M46*x_c_SVRn+N46*x_c_SVRcc+O46*x_c_LT+P46*x_c_LT1</f>
        <v/>
      </c>
      <c r="AA46">
        <f>C46*x_c_DAA</f>
        <v/>
      </c>
      <c r="AB46">
        <f>C46*x_c_MON</f>
        <v/>
      </c>
      <c r="AC46">
        <f>D46*(1-x_testy)</f>
        <v/>
      </c>
      <c r="AD46">
        <f>E46*(1-x_testy)</f>
        <v/>
      </c>
      <c r="AE46">
        <f>F46*x_NAV</f>
        <v/>
      </c>
      <c r="AF46">
        <f>G46*x_FIX*(1-x_testy)</f>
        <v/>
      </c>
      <c r="AG46">
        <f>x_z_F*T46+(1-x_AGRI)*x_EMP*x_WLOSS*(x_PEN_K74*Q46+x_PEN_C22*R46)</f>
        <v/>
      </c>
      <c r="AH46">
        <f>x_AGRI*x_EMP*x_WLOSS*(x_PEN_K74*Q46+x_PEN_C22*R46)</f>
        <v/>
      </c>
      <c r="AI46">
        <f>x_EMP*x_WAGE*(x_WLOSS*(Q46+R46)+S46)+T46*x_ABS_D*x_WAGE/365</f>
        <v/>
      </c>
      <c r="AJ46">
        <f>AI46*x_R_FUS</f>
        <v/>
      </c>
      <c r="AK46">
        <f>AI46*x_R_NFZ</f>
        <v/>
      </c>
      <c r="AL46">
        <f>AI46*x_R_PIT</f>
        <v/>
      </c>
      <c r="AM46">
        <f>AI46*x_R_FP</f>
        <v/>
      </c>
      <c r="AN46">
        <f>Z46+AA46+AB46+AC46+AE46</f>
        <v/>
      </c>
      <c r="AO46">
        <f>AN46+AD46+AF46+AG46+AH46+AJ46+AK46+AL46+AM46</f>
        <v/>
      </c>
      <c r="AP46">
        <f>AN46+AD46+AF46+AI46</f>
        <v/>
      </c>
      <c r="AQ46">
        <f>AA46+AB46+AC46+AE46</f>
        <v/>
      </c>
      <c r="AR46">
        <f>AQ46+AD46+AF46</f>
        <v/>
      </c>
    </row>
    <row r="47">
      <c r="A47" t="n">
        <v>2070</v>
      </c>
      <c r="B47" t="n">
        <v>44</v>
      </c>
      <c r="C47" t="n">
        <v>4832</v>
      </c>
      <c r="D47" t="n">
        <v>0</v>
      </c>
      <c r="E47" t="n">
        <v>0</v>
      </c>
      <c r="F47" t="n">
        <v>0</v>
      </c>
      <c r="G47" t="n">
        <v>0</v>
      </c>
      <c r="H47" t="n">
        <v>2283.609</v>
      </c>
      <c r="I47" t="n">
        <v>189.798</v>
      </c>
      <c r="J47" t="n">
        <v>949.807</v>
      </c>
      <c r="K47" t="n">
        <v>1719.544</v>
      </c>
      <c r="L47" t="n">
        <v>625.7</v>
      </c>
      <c r="M47" t="n">
        <v>141171.974</v>
      </c>
      <c r="N47" t="n">
        <v>6992.363</v>
      </c>
      <c r="O47" t="n">
        <v>54.561</v>
      </c>
      <c r="P47" t="n">
        <v>54.675</v>
      </c>
      <c r="Q47" t="n">
        <v>600.759</v>
      </c>
      <c r="R47" t="n">
        <v>867.6319999999999</v>
      </c>
      <c r="S47" t="n">
        <v>2301.086</v>
      </c>
      <c r="T47" t="n">
        <v>2473.407</v>
      </c>
      <c r="U47" t="n">
        <v>175092.438</v>
      </c>
      <c r="V47" t="n">
        <v>177.032</v>
      </c>
      <c r="W47" t="n">
        <v>504.225</v>
      </c>
      <c r="X47" t="n">
        <v>54.561</v>
      </c>
      <c r="Y47" t="n">
        <v>595.378</v>
      </c>
      <c r="Z47">
        <f>H47*x_c_F+I47*x_c_CC+J47*x_c_DC+K47*x_c_HCC+L47*x_c_PLT+M47*x_c_SVRn+N47*x_c_SVRcc+O47*x_c_LT+P47*x_c_LT1</f>
        <v/>
      </c>
      <c r="AA47">
        <f>C47*x_c_DAA</f>
        <v/>
      </c>
      <c r="AB47">
        <f>C47*x_c_MON</f>
        <v/>
      </c>
      <c r="AC47">
        <f>D47*(1-x_testy)</f>
        <v/>
      </c>
      <c r="AD47">
        <f>E47*(1-x_testy)</f>
        <v/>
      </c>
      <c r="AE47">
        <f>F47*x_NAV</f>
        <v/>
      </c>
      <c r="AF47">
        <f>G47*x_FIX*(1-x_testy)</f>
        <v/>
      </c>
      <c r="AG47">
        <f>x_z_F*T47+(1-x_AGRI)*x_EMP*x_WLOSS*(x_PEN_K74*Q47+x_PEN_C22*R47)</f>
        <v/>
      </c>
      <c r="AH47">
        <f>x_AGRI*x_EMP*x_WLOSS*(x_PEN_K74*Q47+x_PEN_C22*R47)</f>
        <v/>
      </c>
      <c r="AI47">
        <f>x_EMP*x_WAGE*(x_WLOSS*(Q47+R47)+S47)+T47*x_ABS_D*x_WAGE/365</f>
        <v/>
      </c>
      <c r="AJ47">
        <f>AI47*x_R_FUS</f>
        <v/>
      </c>
      <c r="AK47">
        <f>AI47*x_R_NFZ</f>
        <v/>
      </c>
      <c r="AL47">
        <f>AI47*x_R_PIT</f>
        <v/>
      </c>
      <c r="AM47">
        <f>AI47*x_R_FP</f>
        <v/>
      </c>
      <c r="AN47">
        <f>Z47+AA47+AB47+AC47+AE47</f>
        <v/>
      </c>
      <c r="AO47">
        <f>AN47+AD47+AF47+AG47+AH47+AJ47+AK47+AL47+AM47</f>
        <v/>
      </c>
      <c r="AP47">
        <f>AN47+AD47+AF47+AI47</f>
        <v/>
      </c>
      <c r="AQ47">
        <f>AA47+AB47+AC47+AE47</f>
        <v/>
      </c>
      <c r="AR47">
        <f>AQ47+AD47+AF47</f>
        <v/>
      </c>
    </row>
    <row r="48">
      <c r="A48" t="n">
        <v>2071</v>
      </c>
      <c r="B48" t="n">
        <v>45</v>
      </c>
      <c r="C48" t="n">
        <v>4832</v>
      </c>
      <c r="D48" t="n">
        <v>0</v>
      </c>
      <c r="E48" t="n">
        <v>0</v>
      </c>
      <c r="F48" t="n">
        <v>0</v>
      </c>
      <c r="G48" t="n">
        <v>0</v>
      </c>
      <c r="H48" t="n">
        <v>2283.622</v>
      </c>
      <c r="I48" t="n">
        <v>189.596</v>
      </c>
      <c r="J48" t="n">
        <v>946.471</v>
      </c>
      <c r="K48" t="n">
        <v>1714.185</v>
      </c>
      <c r="L48" t="n">
        <v>614.2</v>
      </c>
      <c r="M48" t="n">
        <v>143086.439</v>
      </c>
      <c r="N48" t="n">
        <v>6962.749</v>
      </c>
      <c r="O48" t="n">
        <v>54.401</v>
      </c>
      <c r="P48" t="n">
        <v>54.481</v>
      </c>
      <c r="Q48" t="n">
        <v>596.9880000000001</v>
      </c>
      <c r="R48" t="n">
        <v>862.337</v>
      </c>
      <c r="S48" t="n">
        <v>2286.517</v>
      </c>
      <c r="T48" t="n">
        <v>2473.218</v>
      </c>
      <c r="U48" t="n">
        <v>176448.418</v>
      </c>
      <c r="V48" t="n">
        <v>176.592</v>
      </c>
      <c r="W48" t="n">
        <v>502.928</v>
      </c>
      <c r="X48" t="n">
        <v>54.401</v>
      </c>
      <c r="Y48" t="n">
        <v>593.346</v>
      </c>
      <c r="Z48">
        <f>H48*x_c_F+I48*x_c_CC+J48*x_c_DC+K48*x_c_HCC+L48*x_c_PLT+M48*x_c_SVRn+N48*x_c_SVRcc+O48*x_c_LT+P48*x_c_LT1</f>
        <v/>
      </c>
      <c r="AA48">
        <f>C48*x_c_DAA</f>
        <v/>
      </c>
      <c r="AB48">
        <f>C48*x_c_MON</f>
        <v/>
      </c>
      <c r="AC48">
        <f>D48*(1-x_testy)</f>
        <v/>
      </c>
      <c r="AD48">
        <f>E48*(1-x_testy)</f>
        <v/>
      </c>
      <c r="AE48">
        <f>F48*x_NAV</f>
        <v/>
      </c>
      <c r="AF48">
        <f>G48*x_FIX*(1-x_testy)</f>
        <v/>
      </c>
      <c r="AG48">
        <f>x_z_F*T48+(1-x_AGRI)*x_EMP*x_WLOSS*(x_PEN_K74*Q48+x_PEN_C22*R48)</f>
        <v/>
      </c>
      <c r="AH48">
        <f>x_AGRI*x_EMP*x_WLOSS*(x_PEN_K74*Q48+x_PEN_C22*R48)</f>
        <v/>
      </c>
      <c r="AI48">
        <f>x_EMP*x_WAGE*(x_WLOSS*(Q48+R48)+S48)+T48*x_ABS_D*x_WAGE/365</f>
        <v/>
      </c>
      <c r="AJ48">
        <f>AI48*x_R_FUS</f>
        <v/>
      </c>
      <c r="AK48">
        <f>AI48*x_R_NFZ</f>
        <v/>
      </c>
      <c r="AL48">
        <f>AI48*x_R_PIT</f>
        <v/>
      </c>
      <c r="AM48">
        <f>AI48*x_R_FP</f>
        <v/>
      </c>
      <c r="AN48">
        <f>Z48+AA48+AB48+AC48+AE48</f>
        <v/>
      </c>
      <c r="AO48">
        <f>AN48+AD48+AF48+AG48+AH48+AJ48+AK48+AL48+AM48</f>
        <v/>
      </c>
      <c r="AP48">
        <f>AN48+AD48+AF48+AI48</f>
        <v/>
      </c>
      <c r="AQ48">
        <f>AA48+AB48+AC48+AE48</f>
        <v/>
      </c>
      <c r="AR48">
        <f>AQ48+AD48+AF48</f>
        <v/>
      </c>
    </row>
    <row r="49">
      <c r="A49" t="n">
        <v>2072</v>
      </c>
      <c r="B49" t="n">
        <v>46</v>
      </c>
      <c r="C49" t="n">
        <v>4832</v>
      </c>
      <c r="D49" t="n">
        <v>0</v>
      </c>
      <c r="E49" t="n">
        <v>0</v>
      </c>
      <c r="F49" t="n">
        <v>0</v>
      </c>
      <c r="G49" t="n">
        <v>0</v>
      </c>
      <c r="H49" t="n">
        <v>2283.641</v>
      </c>
      <c r="I49" t="n">
        <v>189.391</v>
      </c>
      <c r="J49" t="n">
        <v>944.109</v>
      </c>
      <c r="K49" t="n">
        <v>1710.284</v>
      </c>
      <c r="L49" t="n">
        <v>605.022</v>
      </c>
      <c r="M49" t="n">
        <v>145010.506</v>
      </c>
      <c r="N49" t="n">
        <v>6945.838</v>
      </c>
      <c r="O49" t="n">
        <v>54.294</v>
      </c>
      <c r="P49" t="n">
        <v>54.348</v>
      </c>
      <c r="Q49" t="n">
        <v>593.474</v>
      </c>
      <c r="R49" t="n">
        <v>857.4</v>
      </c>
      <c r="S49" t="n">
        <v>2272.939</v>
      </c>
      <c r="T49" t="n">
        <v>2473.031</v>
      </c>
      <c r="U49" t="n">
        <v>177823.769</v>
      </c>
      <c r="V49" t="n">
        <v>176.208</v>
      </c>
      <c r="W49" t="n">
        <v>501.858</v>
      </c>
      <c r="X49" t="n">
        <v>54.294</v>
      </c>
      <c r="Y49" t="n">
        <v>591.901</v>
      </c>
      <c r="Z49">
        <f>H49*x_c_F+I49*x_c_CC+J49*x_c_DC+K49*x_c_HCC+L49*x_c_PLT+M49*x_c_SVRn+N49*x_c_SVRcc+O49*x_c_LT+P49*x_c_LT1</f>
        <v/>
      </c>
      <c r="AA49">
        <f>C49*x_c_DAA</f>
        <v/>
      </c>
      <c r="AB49">
        <f>C49*x_c_MON</f>
        <v/>
      </c>
      <c r="AC49">
        <f>D49*(1-x_testy)</f>
        <v/>
      </c>
      <c r="AD49">
        <f>E49*(1-x_testy)</f>
        <v/>
      </c>
      <c r="AE49">
        <f>F49*x_NAV</f>
        <v/>
      </c>
      <c r="AF49">
        <f>G49*x_FIX*(1-x_testy)</f>
        <v/>
      </c>
      <c r="AG49">
        <f>x_z_F*T49+(1-x_AGRI)*x_EMP*x_WLOSS*(x_PEN_K74*Q49+x_PEN_C22*R49)</f>
        <v/>
      </c>
      <c r="AH49">
        <f>x_AGRI*x_EMP*x_WLOSS*(x_PEN_K74*Q49+x_PEN_C22*R49)</f>
        <v/>
      </c>
      <c r="AI49">
        <f>x_EMP*x_WAGE*(x_WLOSS*(Q49+R49)+S49)+T49*x_ABS_D*x_WAGE/365</f>
        <v/>
      </c>
      <c r="AJ49">
        <f>AI49*x_R_FUS</f>
        <v/>
      </c>
      <c r="AK49">
        <f>AI49*x_R_NFZ</f>
        <v/>
      </c>
      <c r="AL49">
        <f>AI49*x_R_PIT</f>
        <v/>
      </c>
      <c r="AM49">
        <f>AI49*x_R_FP</f>
        <v/>
      </c>
      <c r="AN49">
        <f>Z49+AA49+AB49+AC49+AE49</f>
        <v/>
      </c>
      <c r="AO49">
        <f>AN49+AD49+AF49+AG49+AH49+AJ49+AK49+AL49+AM49</f>
        <v/>
      </c>
      <c r="AP49">
        <f>AN49+AD49+AF49+AI49</f>
        <v/>
      </c>
      <c r="AQ49">
        <f>AA49+AB49+AC49+AE49</f>
        <v/>
      </c>
      <c r="AR49">
        <f>AQ49+AD49+AF49</f>
        <v/>
      </c>
    </row>
    <row r="50">
      <c r="A50" t="n">
        <v>2073</v>
      </c>
      <c r="B50" t="n">
        <v>47</v>
      </c>
      <c r="C50" t="n">
        <v>4832</v>
      </c>
      <c r="D50" t="n">
        <v>0</v>
      </c>
      <c r="E50" t="n">
        <v>0</v>
      </c>
      <c r="F50" t="n">
        <v>0</v>
      </c>
      <c r="G50" t="n">
        <v>0</v>
      </c>
      <c r="H50" t="n">
        <v>2283.693</v>
      </c>
      <c r="I50" t="n">
        <v>189.152</v>
      </c>
      <c r="J50" t="n">
        <v>942.405</v>
      </c>
      <c r="K50" t="n">
        <v>1707.339</v>
      </c>
      <c r="L50" t="n">
        <v>597.874</v>
      </c>
      <c r="M50" t="n">
        <v>146933.622</v>
      </c>
      <c r="N50" t="n">
        <v>6939.579</v>
      </c>
      <c r="O50" t="n">
        <v>54.218</v>
      </c>
      <c r="P50" t="n">
        <v>54.256</v>
      </c>
      <c r="Q50" t="n">
        <v>590.202</v>
      </c>
      <c r="R50" t="n">
        <v>852.799</v>
      </c>
      <c r="S50" t="n">
        <v>2260.312</v>
      </c>
      <c r="T50" t="n">
        <v>2472.845</v>
      </c>
      <c r="U50" t="n">
        <v>179207.182</v>
      </c>
      <c r="V50" t="n">
        <v>175.84</v>
      </c>
      <c r="W50" t="n">
        <v>500.896</v>
      </c>
      <c r="X50" t="n">
        <v>54.218</v>
      </c>
      <c r="Y50" t="n">
        <v>590.8339999999999</v>
      </c>
      <c r="Z50">
        <f>H50*x_c_F+I50*x_c_CC+J50*x_c_DC+K50*x_c_HCC+L50*x_c_PLT+M50*x_c_SVRn+N50*x_c_SVRcc+O50*x_c_LT+P50*x_c_LT1</f>
        <v/>
      </c>
      <c r="AA50">
        <f>C50*x_c_DAA</f>
        <v/>
      </c>
      <c r="AB50">
        <f>C50*x_c_MON</f>
        <v/>
      </c>
      <c r="AC50">
        <f>D50*(1-x_testy)</f>
        <v/>
      </c>
      <c r="AD50">
        <f>E50*(1-x_testy)</f>
        <v/>
      </c>
      <c r="AE50">
        <f>F50*x_NAV</f>
        <v/>
      </c>
      <c r="AF50">
        <f>G50*x_FIX*(1-x_testy)</f>
        <v/>
      </c>
      <c r="AG50">
        <f>x_z_F*T50+(1-x_AGRI)*x_EMP*x_WLOSS*(x_PEN_K74*Q50+x_PEN_C22*R50)</f>
        <v/>
      </c>
      <c r="AH50">
        <f>x_AGRI*x_EMP*x_WLOSS*(x_PEN_K74*Q50+x_PEN_C22*R50)</f>
        <v/>
      </c>
      <c r="AI50">
        <f>x_EMP*x_WAGE*(x_WLOSS*(Q50+R50)+S50)+T50*x_ABS_D*x_WAGE/365</f>
        <v/>
      </c>
      <c r="AJ50">
        <f>AI50*x_R_FUS</f>
        <v/>
      </c>
      <c r="AK50">
        <f>AI50*x_R_NFZ</f>
        <v/>
      </c>
      <c r="AL50">
        <f>AI50*x_R_PIT</f>
        <v/>
      </c>
      <c r="AM50">
        <f>AI50*x_R_FP</f>
        <v/>
      </c>
      <c r="AN50">
        <f>Z50+AA50+AB50+AC50+AE50</f>
        <v/>
      </c>
      <c r="AO50">
        <f>AN50+AD50+AF50+AG50+AH50+AJ50+AK50+AL50+AM50</f>
        <v/>
      </c>
      <c r="AP50">
        <f>AN50+AD50+AF50+AI50</f>
        <v/>
      </c>
      <c r="AQ50">
        <f>AA50+AB50+AC50+AE50</f>
        <v/>
      </c>
      <c r="AR50">
        <f>AQ50+AD50+AF50</f>
        <v/>
      </c>
    </row>
    <row r="51">
      <c r="A51" t="n">
        <v>2074</v>
      </c>
      <c r="B51" t="n">
        <v>48</v>
      </c>
      <c r="C51" t="n">
        <v>4832</v>
      </c>
      <c r="D51" t="n">
        <v>0</v>
      </c>
      <c r="E51" t="n">
        <v>0</v>
      </c>
      <c r="F51" t="n">
        <v>0</v>
      </c>
      <c r="G51" t="n">
        <v>0</v>
      </c>
      <c r="H51" t="n">
        <v>2283.795</v>
      </c>
      <c r="I51" t="n">
        <v>188.86</v>
      </c>
      <c r="J51" t="n">
        <v>941.0549999999999</v>
      </c>
      <c r="K51" t="n">
        <v>1704.872</v>
      </c>
      <c r="L51" t="n">
        <v>592.3920000000001</v>
      </c>
      <c r="M51" t="n">
        <v>148841.187</v>
      </c>
      <c r="N51" t="n">
        <v>6941.382</v>
      </c>
      <c r="O51" t="n">
        <v>54.156</v>
      </c>
      <c r="P51" t="n">
        <v>54.187</v>
      </c>
      <c r="Q51" t="n">
        <v>587.158</v>
      </c>
      <c r="R51" t="n">
        <v>848.513</v>
      </c>
      <c r="S51" t="n">
        <v>2248.591</v>
      </c>
      <c r="T51" t="n">
        <v>2472.655</v>
      </c>
      <c r="U51" t="n">
        <v>180584.199</v>
      </c>
      <c r="V51" t="n">
        <v>175.457</v>
      </c>
      <c r="W51" t="n">
        <v>499.945</v>
      </c>
      <c r="X51" t="n">
        <v>54.156</v>
      </c>
      <c r="Y51" t="n">
        <v>589.9640000000001</v>
      </c>
      <c r="Z51">
        <f>H51*x_c_F+I51*x_c_CC+J51*x_c_DC+K51*x_c_HCC+L51*x_c_PLT+M51*x_c_SVRn+N51*x_c_SVRcc+O51*x_c_LT+P51*x_c_LT1</f>
        <v/>
      </c>
      <c r="AA51">
        <f>C51*x_c_DAA</f>
        <v/>
      </c>
      <c r="AB51">
        <f>C51*x_c_MON</f>
        <v/>
      </c>
      <c r="AC51">
        <f>D51*(1-x_testy)</f>
        <v/>
      </c>
      <c r="AD51">
        <f>E51*(1-x_testy)</f>
        <v/>
      </c>
      <c r="AE51">
        <f>F51*x_NAV</f>
        <v/>
      </c>
      <c r="AF51">
        <f>G51*x_FIX*(1-x_testy)</f>
        <v/>
      </c>
      <c r="AG51">
        <f>x_z_F*T51+(1-x_AGRI)*x_EMP*x_WLOSS*(x_PEN_K74*Q51+x_PEN_C22*R51)</f>
        <v/>
      </c>
      <c r="AH51">
        <f>x_AGRI*x_EMP*x_WLOSS*(x_PEN_K74*Q51+x_PEN_C22*R51)</f>
        <v/>
      </c>
      <c r="AI51">
        <f>x_EMP*x_WAGE*(x_WLOSS*(Q51+R51)+S51)+T51*x_ABS_D*x_WAGE/365</f>
        <v/>
      </c>
      <c r="AJ51">
        <f>AI51*x_R_FUS</f>
        <v/>
      </c>
      <c r="AK51">
        <f>AI51*x_R_NFZ</f>
        <v/>
      </c>
      <c r="AL51">
        <f>AI51*x_R_PIT</f>
        <v/>
      </c>
      <c r="AM51">
        <f>AI51*x_R_FP</f>
        <v/>
      </c>
      <c r="AN51">
        <f>Z51+AA51+AB51+AC51+AE51</f>
        <v/>
      </c>
      <c r="AO51">
        <f>AN51+AD51+AF51+AG51+AH51+AJ51+AK51+AL51+AM51</f>
        <v/>
      </c>
      <c r="AP51">
        <f>AN51+AD51+AF51+AI51</f>
        <v/>
      </c>
      <c r="AQ51">
        <f>AA51+AB51+AC51+AE51</f>
        <v/>
      </c>
      <c r="AR51">
        <f>AQ51+AD51+AF51</f>
        <v/>
      </c>
    </row>
    <row r="52">
      <c r="A52" t="n">
        <v>2075</v>
      </c>
      <c r="B52" t="n">
        <v>49</v>
      </c>
      <c r="C52" t="n">
        <v>4832</v>
      </c>
      <c r="D52" t="n">
        <v>0</v>
      </c>
      <c r="E52" t="n">
        <v>0</v>
      </c>
      <c r="F52" t="n">
        <v>0</v>
      </c>
      <c r="G52" t="n">
        <v>0</v>
      </c>
      <c r="H52" t="n">
        <v>2283.958</v>
      </c>
      <c r="I52" t="n">
        <v>188.503</v>
      </c>
      <c r="J52" t="n">
        <v>939.79</v>
      </c>
      <c r="K52" t="n">
        <v>1702.46</v>
      </c>
      <c r="L52" t="n">
        <v>588.171</v>
      </c>
      <c r="M52" t="n">
        <v>150715.677</v>
      </c>
      <c r="N52" t="n">
        <v>6948.375</v>
      </c>
      <c r="O52" t="n">
        <v>54.094</v>
      </c>
      <c r="P52" t="n">
        <v>54.125</v>
      </c>
      <c r="Q52" t="n">
        <v>584.327</v>
      </c>
      <c r="R52" t="n">
        <v>844.52</v>
      </c>
      <c r="S52" t="n">
        <v>2237.72</v>
      </c>
      <c r="T52" t="n">
        <v>2472.461</v>
      </c>
      <c r="U52" t="n">
        <v>181938.288</v>
      </c>
      <c r="V52" t="n">
        <v>175.036</v>
      </c>
      <c r="W52" t="n">
        <v>498.917</v>
      </c>
      <c r="X52" t="n">
        <v>54.094</v>
      </c>
      <c r="Y52" t="n">
        <v>589.116</v>
      </c>
      <c r="Z52">
        <f>H52*x_c_F+I52*x_c_CC+J52*x_c_DC+K52*x_c_HCC+L52*x_c_PLT+M52*x_c_SVRn+N52*x_c_SVRcc+O52*x_c_LT+P52*x_c_LT1</f>
        <v/>
      </c>
      <c r="AA52">
        <f>C52*x_c_DAA</f>
        <v/>
      </c>
      <c r="AB52">
        <f>C52*x_c_MON</f>
        <v/>
      </c>
      <c r="AC52">
        <f>D52*(1-x_testy)</f>
        <v/>
      </c>
      <c r="AD52">
        <f>E52*(1-x_testy)</f>
        <v/>
      </c>
      <c r="AE52">
        <f>F52*x_NAV</f>
        <v/>
      </c>
      <c r="AF52">
        <f>G52*x_FIX*(1-x_testy)</f>
        <v/>
      </c>
      <c r="AG52">
        <f>x_z_F*T52+(1-x_AGRI)*x_EMP*x_WLOSS*(x_PEN_K74*Q52+x_PEN_C22*R52)</f>
        <v/>
      </c>
      <c r="AH52">
        <f>x_AGRI*x_EMP*x_WLOSS*(x_PEN_K74*Q52+x_PEN_C22*R52)</f>
        <v/>
      </c>
      <c r="AI52">
        <f>x_EMP*x_WAGE*(x_WLOSS*(Q52+R52)+S52)+T52*x_ABS_D*x_WAGE/365</f>
        <v/>
      </c>
      <c r="AJ52">
        <f>AI52*x_R_FUS</f>
        <v/>
      </c>
      <c r="AK52">
        <f>AI52*x_R_NFZ</f>
        <v/>
      </c>
      <c r="AL52">
        <f>AI52*x_R_PIT</f>
        <v/>
      </c>
      <c r="AM52">
        <f>AI52*x_R_FP</f>
        <v/>
      </c>
      <c r="AN52">
        <f>Z52+AA52+AB52+AC52+AE52</f>
        <v/>
      </c>
      <c r="AO52">
        <f>AN52+AD52+AF52+AG52+AH52+AJ52+AK52+AL52+AM52</f>
        <v/>
      </c>
      <c r="AP52">
        <f>AN52+AD52+AF52+AI52</f>
        <v/>
      </c>
      <c r="AQ52">
        <f>AA52+AB52+AC52+AE52</f>
        <v/>
      </c>
      <c r="AR52">
        <f>AQ52+AD52+AF52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I3: Populacje kluczowe: OST, redukcja szkód, więzienia (+2 mln zł/rok) – liczebności (silnik, wartości) i koszty (formuły), zł/rok, niezdyskontowane. Szacunek modelu.</t>
        </is>
      </c>
    </row>
    <row r="2">
      <c r="A2" s="3" t="inlineStr">
        <is>
          <t>rok</t>
        </is>
      </c>
      <c r="B2" s="3" t="inlineStr">
        <is>
          <t>t</t>
        </is>
      </c>
      <c r="C2" s="3" t="inlineStr">
        <is>
          <t>treated</t>
        </is>
      </c>
      <c r="D2" s="3" t="inlineStr">
        <is>
          <t>NFZ_diag</t>
        </is>
      </c>
      <c r="E2" s="3" t="inlineStr">
        <is>
          <t>MZ_SW</t>
        </is>
      </c>
      <c r="F2" s="3" t="inlineStr">
        <is>
          <t>nNAV</t>
        </is>
      </c>
      <c r="G2" s="3" t="inlineStr">
        <is>
          <t>FIXon</t>
        </is>
      </c>
      <c r="H2" s="3" t="inlineStr">
        <is>
          <t>cF03</t>
        </is>
      </c>
      <c r="I2" s="3" t="inlineStr">
        <is>
          <t>cF4</t>
        </is>
      </c>
      <c r="J2" s="3" t="inlineStr">
        <is>
          <t>cDC</t>
        </is>
      </c>
      <c r="K2" s="3" t="inlineStr">
        <is>
          <t>cHCC</t>
        </is>
      </c>
      <c r="L2" s="3" t="inlineStr">
        <is>
          <t>cPLT</t>
        </is>
      </c>
      <c r="M2" s="3" t="inlineStr">
        <is>
          <t>cSVn</t>
        </is>
      </c>
      <c r="N2" s="3" t="inlineStr">
        <is>
          <t>cSVc</t>
        </is>
      </c>
      <c r="O2" s="3" t="inlineStr">
        <is>
          <t>cLTn</t>
        </is>
      </c>
      <c r="P2" s="3" t="inlineStr">
        <is>
          <t>cLT1</t>
        </is>
      </c>
      <c r="Q2" s="3" t="inlineStr">
        <is>
          <t>wAdv</t>
        </is>
      </c>
      <c r="R2" s="3" t="inlineStr">
        <is>
          <t>wHCC</t>
        </is>
      </c>
      <c r="S2" s="3" t="inlineStr">
        <is>
          <t>wGH</t>
        </is>
      </c>
      <c r="T2" s="3" t="inlineStr">
        <is>
          <t>cAbs</t>
        </is>
      </c>
      <c r="U2" s="3" t="inlineStr">
        <is>
          <t>QALY</t>
        </is>
      </c>
      <c r="V2" s="3" t="inlineStr">
        <is>
          <t>newDC</t>
        </is>
      </c>
      <c r="W2" s="3" t="inlineStr">
        <is>
          <t>newHCC</t>
        </is>
      </c>
      <c r="X2" s="3" t="inlineStr">
        <is>
          <t>LT</t>
        </is>
      </c>
      <c r="Y2" s="3" t="inlineStr">
        <is>
          <t>liverD</t>
        </is>
      </c>
      <c r="Z2" s="3" t="inlineStr">
        <is>
          <t>NFZ_med</t>
        </is>
      </c>
      <c r="AA2" s="3" t="inlineStr">
        <is>
          <t>NFZ_DAA</t>
        </is>
      </c>
      <c r="AB2" s="3" t="inlineStr">
        <is>
          <t>NFZ_mon</t>
        </is>
      </c>
      <c r="AC2" s="3" t="inlineStr">
        <is>
          <t>NFZ_diag_k</t>
        </is>
      </c>
      <c r="AD2" s="3" t="inlineStr">
        <is>
          <t>MZ_SW_k</t>
        </is>
      </c>
      <c r="AE2" s="3" t="inlineStr">
        <is>
          <t>NAV_k</t>
        </is>
      </c>
      <c r="AF2" s="3" t="inlineStr">
        <is>
          <t>FIX_k</t>
        </is>
      </c>
      <c r="AG2" s="3" t="inlineStr">
        <is>
          <t>ZUS</t>
        </is>
      </c>
      <c r="AH2" s="3" t="inlineStr">
        <is>
          <t>KRUS</t>
        </is>
      </c>
      <c r="AI2" s="3" t="inlineStr">
        <is>
          <t>lostw</t>
        </is>
      </c>
      <c r="AJ2" s="3" t="inlineStr">
        <is>
          <t>lost_FUS</t>
        </is>
      </c>
      <c r="AK2" s="3" t="inlineStr">
        <is>
          <t>lost_NFZ</t>
        </is>
      </c>
      <c r="AL2" s="3" t="inlineStr">
        <is>
          <t>lost_PIT</t>
        </is>
      </c>
      <c r="AM2" s="3" t="inlineStr">
        <is>
          <t>lost_FP</t>
        </is>
      </c>
      <c r="AN2" s="3" t="inlineStr">
        <is>
          <t>NFZ</t>
        </is>
      </c>
      <c r="AO2" s="3" t="inlineStr">
        <is>
          <t>PUBLIC</t>
        </is>
      </c>
      <c r="AP2" s="3" t="inlineStr">
        <is>
          <t>SOCIETAL</t>
        </is>
      </c>
      <c r="AQ2" s="3" t="inlineStr">
        <is>
          <t>INV_NFZ</t>
        </is>
      </c>
      <c r="AR2" s="3" t="inlineStr">
        <is>
          <t>INV_PUB</t>
        </is>
      </c>
    </row>
    <row r="3">
      <c r="A3" t="n">
        <v>2026</v>
      </c>
      <c r="B3" t="n">
        <v>0</v>
      </c>
      <c r="C3" t="n">
        <v>5369.693</v>
      </c>
      <c r="D3" t="n">
        <v>0</v>
      </c>
      <c r="E3" t="n">
        <v>666666.667</v>
      </c>
      <c r="F3" t="n">
        <v>0</v>
      </c>
      <c r="G3" t="n">
        <v>0</v>
      </c>
      <c r="H3" t="n">
        <v>2668.329</v>
      </c>
      <c r="I3" t="n">
        <v>238.082</v>
      </c>
      <c r="J3" t="n">
        <v>1580.41</v>
      </c>
      <c r="K3" t="n">
        <v>2524.214</v>
      </c>
      <c r="L3" t="n">
        <v>1540.438</v>
      </c>
      <c r="M3" t="n">
        <v>7301.202</v>
      </c>
      <c r="N3" t="n">
        <v>645.2329999999999</v>
      </c>
      <c r="O3" t="n">
        <v>89.04600000000001</v>
      </c>
      <c r="P3" t="n">
        <v>44.523</v>
      </c>
      <c r="Q3" t="n">
        <v>2135.437</v>
      </c>
      <c r="R3" t="n">
        <v>1702.888</v>
      </c>
      <c r="S3" t="n">
        <v>312.377</v>
      </c>
      <c r="T3" t="n">
        <v>2906.411</v>
      </c>
      <c r="U3" t="n">
        <v>113631.345</v>
      </c>
      <c r="V3" t="n">
        <v>267.856</v>
      </c>
      <c r="W3" t="n">
        <v>710.3339999999999</v>
      </c>
      <c r="X3" t="n">
        <v>89.04600000000001</v>
      </c>
      <c r="Y3" t="n">
        <v>922.327</v>
      </c>
      <c r="Z3">
        <f>H3*x_c_F+I3*x_c_CC+J3*x_c_DC+K3*x_c_HCC+L3*x_c_PLT+M3*x_c_SVRn+N3*x_c_SVRcc+O3*x_c_LT+P3*x_c_LT1</f>
        <v/>
      </c>
      <c r="AA3">
        <f>C3*x_c_DAA</f>
        <v/>
      </c>
      <c r="AB3">
        <f>C3*x_c_MON</f>
        <v/>
      </c>
      <c r="AC3">
        <f>D3*(1-x_testy)</f>
        <v/>
      </c>
      <c r="AD3">
        <f>E3*(1-x_testy)</f>
        <v/>
      </c>
      <c r="AE3">
        <f>F3*x_NAV</f>
        <v/>
      </c>
      <c r="AF3">
        <f>G3*x_FIX*(1-x_testy)</f>
        <v/>
      </c>
      <c r="AG3">
        <f>x_z_F*T3+(1-x_AGRI)*x_EMP*x_WLOSS*(x_PEN_K74*Q3+x_PEN_C22*R3)</f>
        <v/>
      </c>
      <c r="AH3">
        <f>x_AGRI*x_EMP*x_WLOSS*(x_PEN_K74*Q3+x_PEN_C22*R3)</f>
        <v/>
      </c>
      <c r="AI3">
        <f>x_EMP*x_WAGE*(x_WLOSS*(Q3+R3)+S3)+T3*x_ABS_D*x_WAGE/365</f>
        <v/>
      </c>
      <c r="AJ3">
        <f>AI3*x_R_FUS</f>
        <v/>
      </c>
      <c r="AK3">
        <f>AI3*x_R_NFZ</f>
        <v/>
      </c>
      <c r="AL3">
        <f>AI3*x_R_PIT</f>
        <v/>
      </c>
      <c r="AM3">
        <f>AI3*x_R_FP</f>
        <v/>
      </c>
      <c r="AN3">
        <f>Z3+AA3+AB3+AC3+AE3</f>
        <v/>
      </c>
      <c r="AO3">
        <f>AN3+AD3+AF3+AG3+AH3+AJ3+AK3+AL3+AM3</f>
        <v/>
      </c>
      <c r="AP3">
        <f>AN3+AD3+AF3+AI3</f>
        <v/>
      </c>
      <c r="AQ3">
        <f>AA3+AB3+AC3+AE3</f>
        <v/>
      </c>
      <c r="AR3">
        <f>AQ3+AD3+AF3</f>
        <v/>
      </c>
    </row>
    <row r="4">
      <c r="A4" t="n">
        <v>2027</v>
      </c>
      <c r="B4" t="n">
        <v>1</v>
      </c>
      <c r="C4" t="n">
        <v>5791.741</v>
      </c>
      <c r="D4" t="n">
        <v>0</v>
      </c>
      <c r="E4" t="n">
        <v>1333333.333</v>
      </c>
      <c r="F4" t="n">
        <v>0</v>
      </c>
      <c r="G4" t="n">
        <v>0</v>
      </c>
      <c r="H4" t="n">
        <v>2790.735</v>
      </c>
      <c r="I4" t="n">
        <v>261.642</v>
      </c>
      <c r="J4" t="n">
        <v>1565.905</v>
      </c>
      <c r="K4" t="n">
        <v>2514.761</v>
      </c>
      <c r="L4" t="n">
        <v>1489.389</v>
      </c>
      <c r="M4" t="n">
        <v>12298.004</v>
      </c>
      <c r="N4" t="n">
        <v>1112.333</v>
      </c>
      <c r="O4" t="n">
        <v>87.991</v>
      </c>
      <c r="P4" t="n">
        <v>88.518</v>
      </c>
      <c r="Q4" t="n">
        <v>2139.054</v>
      </c>
      <c r="R4" t="n">
        <v>1711.8</v>
      </c>
      <c r="S4" t="n">
        <v>939.937</v>
      </c>
      <c r="T4" t="n">
        <v>3052.377</v>
      </c>
      <c r="U4" t="n">
        <v>115123.451</v>
      </c>
      <c r="V4" t="n">
        <v>274.676</v>
      </c>
      <c r="W4" t="n">
        <v>729.64</v>
      </c>
      <c r="X4" t="n">
        <v>87.991</v>
      </c>
      <c r="Y4" t="n">
        <v>925.634</v>
      </c>
      <c r="Z4">
        <f>H4*x_c_F+I4*x_c_CC+J4*x_c_DC+K4*x_c_HCC+L4*x_c_PLT+M4*x_c_SVRn+N4*x_c_SVRcc+O4*x_c_LT+P4*x_c_LT1</f>
        <v/>
      </c>
      <c r="AA4">
        <f>C4*x_c_DAA</f>
        <v/>
      </c>
      <c r="AB4">
        <f>C4*x_c_MON</f>
        <v/>
      </c>
      <c r="AC4">
        <f>D4*(1-x_testy)</f>
        <v/>
      </c>
      <c r="AD4">
        <f>E4*(1-x_testy)</f>
        <v/>
      </c>
      <c r="AE4">
        <f>F4*x_NAV</f>
        <v/>
      </c>
      <c r="AF4">
        <f>G4*x_FIX*(1-x_testy)</f>
        <v/>
      </c>
      <c r="AG4">
        <f>x_z_F*T4+(1-x_AGRI)*x_EMP*x_WLOSS*(x_PEN_K74*Q4+x_PEN_C22*R4)</f>
        <v/>
      </c>
      <c r="AH4">
        <f>x_AGRI*x_EMP*x_WLOSS*(x_PEN_K74*Q4+x_PEN_C22*R4)</f>
        <v/>
      </c>
      <c r="AI4">
        <f>x_EMP*x_WAGE*(x_WLOSS*(Q4+R4)+S4)+T4*x_ABS_D*x_WAGE/365</f>
        <v/>
      </c>
      <c r="AJ4">
        <f>AI4*x_R_FUS</f>
        <v/>
      </c>
      <c r="AK4">
        <f>AI4*x_R_NFZ</f>
        <v/>
      </c>
      <c r="AL4">
        <f>AI4*x_R_PIT</f>
        <v/>
      </c>
      <c r="AM4">
        <f>AI4*x_R_FP</f>
        <v/>
      </c>
      <c r="AN4">
        <f>Z4+AA4+AB4+AC4+AE4</f>
        <v/>
      </c>
      <c r="AO4">
        <f>AN4+AD4+AF4+AG4+AH4+AJ4+AK4+AL4+AM4</f>
        <v/>
      </c>
      <c r="AP4">
        <f>AN4+AD4+AF4+AI4</f>
        <v/>
      </c>
      <c r="AQ4">
        <f>AA4+AB4+AC4+AE4</f>
        <v/>
      </c>
      <c r="AR4">
        <f>AQ4+AD4+AF4</f>
        <v/>
      </c>
    </row>
    <row r="5">
      <c r="A5" t="n">
        <v>2028</v>
      </c>
      <c r="B5" t="n">
        <v>2</v>
      </c>
      <c r="C5" t="n">
        <v>5961.984</v>
      </c>
      <c r="D5" t="n">
        <v>0</v>
      </c>
      <c r="E5" t="n">
        <v>2000000</v>
      </c>
      <c r="F5" t="n">
        <v>0</v>
      </c>
      <c r="G5" t="n">
        <v>0</v>
      </c>
      <c r="H5" t="n">
        <v>2731.055</v>
      </c>
      <c r="I5" t="n">
        <v>270.185</v>
      </c>
      <c r="J5" t="n">
        <v>1560.884</v>
      </c>
      <c r="K5" t="n">
        <v>2528.673</v>
      </c>
      <c r="L5" t="n">
        <v>1475.797</v>
      </c>
      <c r="M5" t="n">
        <v>17012.002</v>
      </c>
      <c r="N5" t="n">
        <v>1579.212</v>
      </c>
      <c r="O5" t="n">
        <v>87.545</v>
      </c>
      <c r="P5" t="n">
        <v>87.768</v>
      </c>
      <c r="Q5" t="n">
        <v>2145.804</v>
      </c>
      <c r="R5" t="n">
        <v>1739.236</v>
      </c>
      <c r="S5" t="n">
        <v>1571.653</v>
      </c>
      <c r="T5" t="n">
        <v>3001.24</v>
      </c>
      <c r="U5" t="n">
        <v>116614.988</v>
      </c>
      <c r="V5" t="n">
        <v>283.45</v>
      </c>
      <c r="W5" t="n">
        <v>754.187</v>
      </c>
      <c r="X5" t="n">
        <v>87.545</v>
      </c>
      <c r="Y5" t="n">
        <v>923.856</v>
      </c>
      <c r="Z5">
        <f>H5*x_c_F+I5*x_c_CC+J5*x_c_DC+K5*x_c_HCC+L5*x_c_PLT+M5*x_c_SVRn+N5*x_c_SVRcc+O5*x_c_LT+P5*x_c_LT1</f>
        <v/>
      </c>
      <c r="AA5">
        <f>C5*x_c_DAA</f>
        <v/>
      </c>
      <c r="AB5">
        <f>C5*x_c_MON</f>
        <v/>
      </c>
      <c r="AC5">
        <f>D5*(1-x_testy)</f>
        <v/>
      </c>
      <c r="AD5">
        <f>E5*(1-x_testy)</f>
        <v/>
      </c>
      <c r="AE5">
        <f>F5*x_NAV</f>
        <v/>
      </c>
      <c r="AF5">
        <f>G5*x_FIX*(1-x_testy)</f>
        <v/>
      </c>
      <c r="AG5">
        <f>x_z_F*T5+(1-x_AGRI)*x_EMP*x_WLOSS*(x_PEN_K74*Q5+x_PEN_C22*R5)</f>
        <v/>
      </c>
      <c r="AH5">
        <f>x_AGRI*x_EMP*x_WLOSS*(x_PEN_K74*Q5+x_PEN_C22*R5)</f>
        <v/>
      </c>
      <c r="AI5">
        <f>x_EMP*x_WAGE*(x_WLOSS*(Q5+R5)+S5)+T5*x_ABS_D*x_WAGE/365</f>
        <v/>
      </c>
      <c r="AJ5">
        <f>AI5*x_R_FUS</f>
        <v/>
      </c>
      <c r="AK5">
        <f>AI5*x_R_NFZ</f>
        <v/>
      </c>
      <c r="AL5">
        <f>AI5*x_R_PIT</f>
        <v/>
      </c>
      <c r="AM5">
        <f>AI5*x_R_FP</f>
        <v/>
      </c>
      <c r="AN5">
        <f>Z5+AA5+AB5+AC5+AE5</f>
        <v/>
      </c>
      <c r="AO5">
        <f>AN5+AD5+AF5+AG5+AH5+AJ5+AK5+AL5+AM5</f>
        <v/>
      </c>
      <c r="AP5">
        <f>AN5+AD5+AF5+AI5</f>
        <v/>
      </c>
      <c r="AQ5">
        <f>AA5+AB5+AC5+AE5</f>
        <v/>
      </c>
      <c r="AR5">
        <f>AQ5+AD5+AF5</f>
        <v/>
      </c>
    </row>
    <row r="6">
      <c r="A6" t="n">
        <v>2029</v>
      </c>
      <c r="B6" t="n">
        <v>3</v>
      </c>
      <c r="C6" t="n">
        <v>5597.433</v>
      </c>
      <c r="D6" t="n">
        <v>0</v>
      </c>
      <c r="E6" t="n">
        <v>2000000</v>
      </c>
      <c r="F6" t="n">
        <v>0</v>
      </c>
      <c r="G6" t="n">
        <v>0</v>
      </c>
      <c r="H6" t="n">
        <v>2576.546</v>
      </c>
      <c r="I6" t="n">
        <v>269.576</v>
      </c>
      <c r="J6" t="n">
        <v>1565.376</v>
      </c>
      <c r="K6" t="n">
        <v>2563.794</v>
      </c>
      <c r="L6" t="n">
        <v>1461.238</v>
      </c>
      <c r="M6" t="n">
        <v>21294.127</v>
      </c>
      <c r="N6" t="n">
        <v>2027.406</v>
      </c>
      <c r="O6" t="n">
        <v>87.702</v>
      </c>
      <c r="P6" t="n">
        <v>87.624</v>
      </c>
      <c r="Q6" t="n">
        <v>2160.336</v>
      </c>
      <c r="R6" t="n">
        <v>1783.431</v>
      </c>
      <c r="S6" t="n">
        <v>2208.67</v>
      </c>
      <c r="T6" t="n">
        <v>2846.123</v>
      </c>
      <c r="U6" t="n">
        <v>118089.357</v>
      </c>
      <c r="V6" t="n">
        <v>293.776</v>
      </c>
      <c r="W6" t="n">
        <v>782.711</v>
      </c>
      <c r="X6" t="n">
        <v>87.702</v>
      </c>
      <c r="Y6" t="n">
        <v>929.175</v>
      </c>
      <c r="Z6">
        <f>H6*x_c_F+I6*x_c_CC+J6*x_c_DC+K6*x_c_HCC+L6*x_c_PLT+M6*x_c_SVRn+N6*x_c_SVRcc+O6*x_c_LT+P6*x_c_LT1</f>
        <v/>
      </c>
      <c r="AA6">
        <f>C6*x_c_DAA</f>
        <v/>
      </c>
      <c r="AB6">
        <f>C6*x_c_MON</f>
        <v/>
      </c>
      <c r="AC6">
        <f>D6*(1-x_testy)</f>
        <v/>
      </c>
      <c r="AD6">
        <f>E6*(1-x_testy)</f>
        <v/>
      </c>
      <c r="AE6">
        <f>F6*x_NAV</f>
        <v/>
      </c>
      <c r="AF6">
        <f>G6*x_FIX*(1-x_testy)</f>
        <v/>
      </c>
      <c r="AG6">
        <f>x_z_F*T6+(1-x_AGRI)*x_EMP*x_WLOSS*(x_PEN_K74*Q6+x_PEN_C22*R6)</f>
        <v/>
      </c>
      <c r="AH6">
        <f>x_AGRI*x_EMP*x_WLOSS*(x_PEN_K74*Q6+x_PEN_C22*R6)</f>
        <v/>
      </c>
      <c r="AI6">
        <f>x_EMP*x_WAGE*(x_WLOSS*(Q6+R6)+S6)+T6*x_ABS_D*x_WAGE/365</f>
        <v/>
      </c>
      <c r="AJ6">
        <f>AI6*x_R_FUS</f>
        <v/>
      </c>
      <c r="AK6">
        <f>AI6*x_R_NFZ</f>
        <v/>
      </c>
      <c r="AL6">
        <f>AI6*x_R_PIT</f>
        <v/>
      </c>
      <c r="AM6">
        <f>AI6*x_R_FP</f>
        <v/>
      </c>
      <c r="AN6">
        <f>Z6+AA6+AB6+AC6+AE6</f>
        <v/>
      </c>
      <c r="AO6">
        <f>AN6+AD6+AF6+AG6+AH6+AJ6+AK6+AL6+AM6</f>
        <v/>
      </c>
      <c r="AP6">
        <f>AN6+AD6+AF6+AI6</f>
        <v/>
      </c>
      <c r="AQ6">
        <f>AA6+AB6+AC6+AE6</f>
        <v/>
      </c>
      <c r="AR6">
        <f>AQ6+AD6+AF6</f>
        <v/>
      </c>
    </row>
    <row r="7">
      <c r="A7" t="n">
        <v>2030</v>
      </c>
      <c r="B7" t="n">
        <v>4</v>
      </c>
      <c r="C7" t="n">
        <v>5350.492</v>
      </c>
      <c r="D7" t="n">
        <v>0</v>
      </c>
      <c r="E7" t="n">
        <v>2000000</v>
      </c>
      <c r="F7" t="n">
        <v>0</v>
      </c>
      <c r="G7" t="n">
        <v>0</v>
      </c>
      <c r="H7" t="n">
        <v>2467.932</v>
      </c>
      <c r="I7" t="n">
        <v>272.509</v>
      </c>
      <c r="J7" t="n">
        <v>1578.636</v>
      </c>
      <c r="K7" t="n">
        <v>2616.549</v>
      </c>
      <c r="L7" t="n">
        <v>1446.232</v>
      </c>
      <c r="M7" t="n">
        <v>25286.089</v>
      </c>
      <c r="N7" t="n">
        <v>2463.747</v>
      </c>
      <c r="O7" t="n">
        <v>88.429</v>
      </c>
      <c r="P7" t="n">
        <v>88.066</v>
      </c>
      <c r="Q7" t="n">
        <v>2182.499</v>
      </c>
      <c r="R7" t="n">
        <v>1841.852</v>
      </c>
      <c r="S7" t="n">
        <v>2855.851</v>
      </c>
      <c r="T7" t="n">
        <v>2740.44</v>
      </c>
      <c r="U7" t="n">
        <v>119544.987</v>
      </c>
      <c r="V7" t="n">
        <v>304.557</v>
      </c>
      <c r="W7" t="n">
        <v>812.492</v>
      </c>
      <c r="X7" t="n">
        <v>88.429</v>
      </c>
      <c r="Y7" t="n">
        <v>940.886</v>
      </c>
      <c r="Z7">
        <f>H7*x_c_F+I7*x_c_CC+J7*x_c_DC+K7*x_c_HCC+L7*x_c_PLT+M7*x_c_SVRn+N7*x_c_SVRcc+O7*x_c_LT+P7*x_c_LT1</f>
        <v/>
      </c>
      <c r="AA7">
        <f>C7*x_c_DAA</f>
        <v/>
      </c>
      <c r="AB7">
        <f>C7*x_c_MON</f>
        <v/>
      </c>
      <c r="AC7">
        <f>D7*(1-x_testy)</f>
        <v/>
      </c>
      <c r="AD7">
        <f>E7*(1-x_testy)</f>
        <v/>
      </c>
      <c r="AE7">
        <f>F7*x_NAV</f>
        <v/>
      </c>
      <c r="AF7">
        <f>G7*x_FIX*(1-x_testy)</f>
        <v/>
      </c>
      <c r="AG7">
        <f>x_z_F*T7+(1-x_AGRI)*x_EMP*x_WLOSS*(x_PEN_K74*Q7+x_PEN_C22*R7)</f>
        <v/>
      </c>
      <c r="AH7">
        <f>x_AGRI*x_EMP*x_WLOSS*(x_PEN_K74*Q7+x_PEN_C22*R7)</f>
        <v/>
      </c>
      <c r="AI7">
        <f>x_EMP*x_WAGE*(x_WLOSS*(Q7+R7)+S7)+T7*x_ABS_D*x_WAGE/365</f>
        <v/>
      </c>
      <c r="AJ7">
        <f>AI7*x_R_FUS</f>
        <v/>
      </c>
      <c r="AK7">
        <f>AI7*x_R_NFZ</f>
        <v/>
      </c>
      <c r="AL7">
        <f>AI7*x_R_PIT</f>
        <v/>
      </c>
      <c r="AM7">
        <f>AI7*x_R_FP</f>
        <v/>
      </c>
      <c r="AN7">
        <f>Z7+AA7+AB7+AC7+AE7</f>
        <v/>
      </c>
      <c r="AO7">
        <f>AN7+AD7+AF7+AG7+AH7+AJ7+AK7+AL7+AM7</f>
        <v/>
      </c>
      <c r="AP7">
        <f>AN7+AD7+AF7+AI7</f>
        <v/>
      </c>
      <c r="AQ7">
        <f>AA7+AB7+AC7+AE7</f>
        <v/>
      </c>
      <c r="AR7">
        <f>AQ7+AD7+AF7</f>
        <v/>
      </c>
    </row>
    <row r="8">
      <c r="A8" t="n">
        <v>2031</v>
      </c>
      <c r="B8" t="n">
        <v>5</v>
      </c>
      <c r="C8" t="n">
        <v>5183.218</v>
      </c>
      <c r="D8" t="n">
        <v>0</v>
      </c>
      <c r="E8" t="n">
        <v>2000000</v>
      </c>
      <c r="F8" t="n">
        <v>0</v>
      </c>
      <c r="G8" t="n">
        <v>0</v>
      </c>
      <c r="H8" t="n">
        <v>2390.832</v>
      </c>
      <c r="I8" t="n">
        <v>277.511</v>
      </c>
      <c r="J8" t="n">
        <v>1599.089</v>
      </c>
      <c r="K8" t="n">
        <v>2681.989</v>
      </c>
      <c r="L8" t="n">
        <v>1431.277</v>
      </c>
      <c r="M8" t="n">
        <v>29077.051</v>
      </c>
      <c r="N8" t="n">
        <v>2892.017</v>
      </c>
      <c r="O8" t="n">
        <v>89.629</v>
      </c>
      <c r="P8" t="n">
        <v>89.029</v>
      </c>
      <c r="Q8" t="n">
        <v>2211.575</v>
      </c>
      <c r="R8" t="n">
        <v>1911.173</v>
      </c>
      <c r="S8" t="n">
        <v>3517.275</v>
      </c>
      <c r="T8" t="n">
        <v>2668.344</v>
      </c>
      <c r="U8" t="n">
        <v>120979.743</v>
      </c>
      <c r="V8" t="n">
        <v>314.979</v>
      </c>
      <c r="W8" t="n">
        <v>841.485</v>
      </c>
      <c r="X8" t="n">
        <v>89.629</v>
      </c>
      <c r="Y8" t="n">
        <v>957.636</v>
      </c>
      <c r="Z8">
        <f>H8*x_c_F+I8*x_c_CC+J8*x_c_DC+K8*x_c_HCC+L8*x_c_PLT+M8*x_c_SVRn+N8*x_c_SVRcc+O8*x_c_LT+P8*x_c_LT1</f>
        <v/>
      </c>
      <c r="AA8">
        <f>C8*x_c_DAA</f>
        <v/>
      </c>
      <c r="AB8">
        <f>C8*x_c_MON</f>
        <v/>
      </c>
      <c r="AC8">
        <f>D8*(1-x_testy)</f>
        <v/>
      </c>
      <c r="AD8">
        <f>E8*(1-x_testy)</f>
        <v/>
      </c>
      <c r="AE8">
        <f>F8*x_NAV</f>
        <v/>
      </c>
      <c r="AF8">
        <f>G8*x_FIX*(1-x_testy)</f>
        <v/>
      </c>
      <c r="AG8">
        <f>x_z_F*T8+(1-x_AGRI)*x_EMP*x_WLOSS*(x_PEN_K74*Q8+x_PEN_C22*R8)</f>
        <v/>
      </c>
      <c r="AH8">
        <f>x_AGRI*x_EMP*x_WLOSS*(x_PEN_K74*Q8+x_PEN_C22*R8)</f>
        <v/>
      </c>
      <c r="AI8">
        <f>x_EMP*x_WAGE*(x_WLOSS*(Q8+R8)+S8)+T8*x_ABS_D*x_WAGE/365</f>
        <v/>
      </c>
      <c r="AJ8">
        <f>AI8*x_R_FUS</f>
        <v/>
      </c>
      <c r="AK8">
        <f>AI8*x_R_NFZ</f>
        <v/>
      </c>
      <c r="AL8">
        <f>AI8*x_R_PIT</f>
        <v/>
      </c>
      <c r="AM8">
        <f>AI8*x_R_FP</f>
        <v/>
      </c>
      <c r="AN8">
        <f>Z8+AA8+AB8+AC8+AE8</f>
        <v/>
      </c>
      <c r="AO8">
        <f>AN8+AD8+AF8+AG8+AH8+AJ8+AK8+AL8+AM8</f>
        <v/>
      </c>
      <c r="AP8">
        <f>AN8+AD8+AF8+AI8</f>
        <v/>
      </c>
      <c r="AQ8">
        <f>AA8+AB8+AC8+AE8</f>
        <v/>
      </c>
      <c r="AR8">
        <f>AQ8+AD8+AF8</f>
        <v/>
      </c>
    </row>
    <row r="9">
      <c r="A9" t="n">
        <v>2032</v>
      </c>
      <c r="B9" t="n">
        <v>6</v>
      </c>
      <c r="C9" t="n">
        <v>5069.91</v>
      </c>
      <c r="D9" t="n">
        <v>0</v>
      </c>
      <c r="E9" t="n">
        <v>2000000</v>
      </c>
      <c r="F9" t="n">
        <v>0</v>
      </c>
      <c r="G9" t="n">
        <v>0</v>
      </c>
      <c r="H9" t="n">
        <v>2335.513</v>
      </c>
      <c r="I9" t="n">
        <v>283.516</v>
      </c>
      <c r="J9" t="n">
        <v>1624.699</v>
      </c>
      <c r="K9" t="n">
        <v>2754.736</v>
      </c>
      <c r="L9" t="n">
        <v>1416.763</v>
      </c>
      <c r="M9" t="n">
        <v>32723.439</v>
      </c>
      <c r="N9" t="n">
        <v>3313.758</v>
      </c>
      <c r="O9" t="n">
        <v>91.17100000000001</v>
      </c>
      <c r="P9" t="n">
        <v>90.40000000000001</v>
      </c>
      <c r="Q9" t="n">
        <v>2246.463</v>
      </c>
      <c r="R9" t="n">
        <v>1987.817</v>
      </c>
      <c r="S9" t="n">
        <v>4195.898</v>
      </c>
      <c r="T9" t="n">
        <v>2619.029</v>
      </c>
      <c r="U9" t="n">
        <v>122390.669</v>
      </c>
      <c r="V9" t="n">
        <v>324.439</v>
      </c>
      <c r="W9" t="n">
        <v>868.145</v>
      </c>
      <c r="X9" t="n">
        <v>91.17100000000001</v>
      </c>
      <c r="Y9" t="n">
        <v>977.747</v>
      </c>
      <c r="Z9">
        <f>H9*x_c_F+I9*x_c_CC+J9*x_c_DC+K9*x_c_HCC+L9*x_c_PLT+M9*x_c_SVRn+N9*x_c_SVRcc+O9*x_c_LT+P9*x_c_LT1</f>
        <v/>
      </c>
      <c r="AA9">
        <f>C9*x_c_DAA</f>
        <v/>
      </c>
      <c r="AB9">
        <f>C9*x_c_MON</f>
        <v/>
      </c>
      <c r="AC9">
        <f>D9*(1-x_testy)</f>
        <v/>
      </c>
      <c r="AD9">
        <f>E9*(1-x_testy)</f>
        <v/>
      </c>
      <c r="AE9">
        <f>F9*x_NAV</f>
        <v/>
      </c>
      <c r="AF9">
        <f>G9*x_FIX*(1-x_testy)</f>
        <v/>
      </c>
      <c r="AG9">
        <f>x_z_F*T9+(1-x_AGRI)*x_EMP*x_WLOSS*(x_PEN_K74*Q9+x_PEN_C22*R9)</f>
        <v/>
      </c>
      <c r="AH9">
        <f>x_AGRI*x_EMP*x_WLOSS*(x_PEN_K74*Q9+x_PEN_C22*R9)</f>
        <v/>
      </c>
      <c r="AI9">
        <f>x_EMP*x_WAGE*(x_WLOSS*(Q9+R9)+S9)+T9*x_ABS_D*x_WAGE/365</f>
        <v/>
      </c>
      <c r="AJ9">
        <f>AI9*x_R_FUS</f>
        <v/>
      </c>
      <c r="AK9">
        <f>AI9*x_R_NFZ</f>
        <v/>
      </c>
      <c r="AL9">
        <f>AI9*x_R_PIT</f>
        <v/>
      </c>
      <c r="AM9">
        <f>AI9*x_R_FP</f>
        <v/>
      </c>
      <c r="AN9">
        <f>Z9+AA9+AB9+AC9+AE9</f>
        <v/>
      </c>
      <c r="AO9">
        <f>AN9+AD9+AF9+AG9+AH9+AJ9+AK9+AL9+AM9</f>
        <v/>
      </c>
      <c r="AP9">
        <f>AN9+AD9+AF9+AI9</f>
        <v/>
      </c>
      <c r="AQ9">
        <f>AA9+AB9+AC9+AE9</f>
        <v/>
      </c>
      <c r="AR9">
        <f>AQ9+AD9+AF9</f>
        <v/>
      </c>
    </row>
    <row r="10">
      <c r="A10" t="n">
        <v>2033</v>
      </c>
      <c r="B10" t="n">
        <v>7</v>
      </c>
      <c r="C10" t="n">
        <v>4993.156</v>
      </c>
      <c r="D10" t="n">
        <v>0</v>
      </c>
      <c r="E10" t="n">
        <v>2000000</v>
      </c>
      <c r="F10" t="n">
        <v>0</v>
      </c>
      <c r="G10" t="n">
        <v>0</v>
      </c>
      <c r="H10" t="n">
        <v>2295.406</v>
      </c>
      <c r="I10" t="n">
        <v>289.743</v>
      </c>
      <c r="J10" t="n">
        <v>1653.27</v>
      </c>
      <c r="K10" t="n">
        <v>2829.631</v>
      </c>
      <c r="L10" t="n">
        <v>1402.962</v>
      </c>
      <c r="M10" t="n">
        <v>36260.08</v>
      </c>
      <c r="N10" t="n">
        <v>3728.934</v>
      </c>
      <c r="O10" t="n">
        <v>92.91800000000001</v>
      </c>
      <c r="P10" t="n">
        <v>92.045</v>
      </c>
      <c r="Q10" t="n">
        <v>2285.847</v>
      </c>
      <c r="R10" t="n">
        <v>2068.328</v>
      </c>
      <c r="S10" t="n">
        <v>4893.466</v>
      </c>
      <c r="T10" t="n">
        <v>2585.15</v>
      </c>
      <c r="U10" t="n">
        <v>123775.165</v>
      </c>
      <c r="V10" t="n">
        <v>332.525</v>
      </c>
      <c r="W10" t="n">
        <v>891.39</v>
      </c>
      <c r="X10" t="n">
        <v>92.91800000000001</v>
      </c>
      <c r="Y10" t="n">
        <v>999.545</v>
      </c>
      <c r="Z10">
        <f>H10*x_c_F+I10*x_c_CC+J10*x_c_DC+K10*x_c_HCC+L10*x_c_PLT+M10*x_c_SVRn+N10*x_c_SVRcc+O10*x_c_LT+P10*x_c_LT1</f>
        <v/>
      </c>
      <c r="AA10">
        <f>C10*x_c_DAA</f>
        <v/>
      </c>
      <c r="AB10">
        <f>C10*x_c_MON</f>
        <v/>
      </c>
      <c r="AC10">
        <f>D10*(1-x_testy)</f>
        <v/>
      </c>
      <c r="AD10">
        <f>E10*(1-x_testy)</f>
        <v/>
      </c>
      <c r="AE10">
        <f>F10*x_NAV</f>
        <v/>
      </c>
      <c r="AF10">
        <f>G10*x_FIX*(1-x_testy)</f>
        <v/>
      </c>
      <c r="AG10">
        <f>x_z_F*T10+(1-x_AGRI)*x_EMP*x_WLOSS*(x_PEN_K74*Q10+x_PEN_C22*R10)</f>
        <v/>
      </c>
      <c r="AH10">
        <f>x_AGRI*x_EMP*x_WLOSS*(x_PEN_K74*Q10+x_PEN_C22*R10)</f>
        <v/>
      </c>
      <c r="AI10">
        <f>x_EMP*x_WAGE*(x_WLOSS*(Q10+R10)+S10)+T10*x_ABS_D*x_WAGE/365</f>
        <v/>
      </c>
      <c r="AJ10">
        <f>AI10*x_R_FUS</f>
        <v/>
      </c>
      <c r="AK10">
        <f>AI10*x_R_NFZ</f>
        <v/>
      </c>
      <c r="AL10">
        <f>AI10*x_R_PIT</f>
        <v/>
      </c>
      <c r="AM10">
        <f>AI10*x_R_FP</f>
        <v/>
      </c>
      <c r="AN10">
        <f>Z10+AA10+AB10+AC10+AE10</f>
        <v/>
      </c>
      <c r="AO10">
        <f>AN10+AD10+AF10+AG10+AH10+AJ10+AK10+AL10+AM10</f>
        <v/>
      </c>
      <c r="AP10">
        <f>AN10+AD10+AF10+AI10</f>
        <v/>
      </c>
      <c r="AQ10">
        <f>AA10+AB10+AC10+AE10</f>
        <v/>
      </c>
      <c r="AR10">
        <f>AQ10+AD10+AF10</f>
        <v/>
      </c>
    </row>
    <row r="11">
      <c r="A11" t="n">
        <v>2034</v>
      </c>
      <c r="B11" t="n">
        <v>8</v>
      </c>
      <c r="C11" t="n">
        <v>4941.165</v>
      </c>
      <c r="D11" t="n">
        <v>0</v>
      </c>
      <c r="E11" t="n">
        <v>2000000</v>
      </c>
      <c r="F11" t="n">
        <v>0</v>
      </c>
      <c r="G11" t="n">
        <v>0</v>
      </c>
      <c r="H11" t="n">
        <v>2266.091</v>
      </c>
      <c r="I11" t="n">
        <v>295.626</v>
      </c>
      <c r="J11" t="n">
        <v>1682.636</v>
      </c>
      <c r="K11" t="n">
        <v>2902.059</v>
      </c>
      <c r="L11" t="n">
        <v>1390.002</v>
      </c>
      <c r="M11" t="n">
        <v>39707.389</v>
      </c>
      <c r="N11" t="n">
        <v>4136.348</v>
      </c>
      <c r="O11" t="n">
        <v>94.72799999999999</v>
      </c>
      <c r="P11" t="n">
        <v>93.82299999999999</v>
      </c>
      <c r="Q11" t="n">
        <v>2328.317</v>
      </c>
      <c r="R11" t="n">
        <v>2149.573</v>
      </c>
      <c r="S11" t="n">
        <v>5610.49</v>
      </c>
      <c r="T11" t="n">
        <v>2561.717</v>
      </c>
      <c r="U11" t="n">
        <v>125130.585</v>
      </c>
      <c r="V11" t="n">
        <v>338.957</v>
      </c>
      <c r="W11" t="n">
        <v>910.463</v>
      </c>
      <c r="X11" t="n">
        <v>94.72799999999999</v>
      </c>
      <c r="Y11" t="n">
        <v>1021.415</v>
      </c>
      <c r="Z11">
        <f>H11*x_c_F+I11*x_c_CC+J11*x_c_DC+K11*x_c_HCC+L11*x_c_PLT+M11*x_c_SVRn+N11*x_c_SVRcc+O11*x_c_LT+P11*x_c_LT1</f>
        <v/>
      </c>
      <c r="AA11">
        <f>C11*x_c_DAA</f>
        <v/>
      </c>
      <c r="AB11">
        <f>C11*x_c_MON</f>
        <v/>
      </c>
      <c r="AC11">
        <f>D11*(1-x_testy)</f>
        <v/>
      </c>
      <c r="AD11">
        <f>E11*(1-x_testy)</f>
        <v/>
      </c>
      <c r="AE11">
        <f>F11*x_NAV</f>
        <v/>
      </c>
      <c r="AF11">
        <f>G11*x_FIX*(1-x_testy)</f>
        <v/>
      </c>
      <c r="AG11">
        <f>x_z_F*T11+(1-x_AGRI)*x_EMP*x_WLOSS*(x_PEN_K74*Q11+x_PEN_C22*R11)</f>
        <v/>
      </c>
      <c r="AH11">
        <f>x_AGRI*x_EMP*x_WLOSS*(x_PEN_K74*Q11+x_PEN_C22*R11)</f>
        <v/>
      </c>
      <c r="AI11">
        <f>x_EMP*x_WAGE*(x_WLOSS*(Q11+R11)+S11)+T11*x_ABS_D*x_WAGE/365</f>
        <v/>
      </c>
      <c r="AJ11">
        <f>AI11*x_R_FUS</f>
        <v/>
      </c>
      <c r="AK11">
        <f>AI11*x_R_NFZ</f>
        <v/>
      </c>
      <c r="AL11">
        <f>AI11*x_R_PIT</f>
        <v/>
      </c>
      <c r="AM11">
        <f>AI11*x_R_FP</f>
        <v/>
      </c>
      <c r="AN11">
        <f>Z11+AA11+AB11+AC11+AE11</f>
        <v/>
      </c>
      <c r="AO11">
        <f>AN11+AD11+AF11+AG11+AH11+AJ11+AK11+AL11+AM11</f>
        <v/>
      </c>
      <c r="AP11">
        <f>AN11+AD11+AF11+AI11</f>
        <v/>
      </c>
      <c r="AQ11">
        <f>AA11+AB11+AC11+AE11</f>
        <v/>
      </c>
      <c r="AR11">
        <f>AQ11+AD11+AF11</f>
        <v/>
      </c>
    </row>
    <row r="12">
      <c r="A12" t="n">
        <v>2035</v>
      </c>
      <c r="B12" t="n">
        <v>9</v>
      </c>
      <c r="C12" t="n">
        <v>4905.946</v>
      </c>
      <c r="D12" t="n">
        <v>0</v>
      </c>
      <c r="E12" t="n">
        <v>2000000</v>
      </c>
      <c r="F12" t="n">
        <v>0</v>
      </c>
      <c r="G12" t="n">
        <v>0</v>
      </c>
      <c r="H12" t="n">
        <v>2233.548</v>
      </c>
      <c r="I12" t="n">
        <v>299.267</v>
      </c>
      <c r="J12" t="n">
        <v>1710.805</v>
      </c>
      <c r="K12" t="n">
        <v>2968.149</v>
      </c>
      <c r="L12" t="n">
        <v>1377.882</v>
      </c>
      <c r="M12" t="n">
        <v>43055.369</v>
      </c>
      <c r="N12" t="n">
        <v>4531.129</v>
      </c>
      <c r="O12" t="n">
        <v>96.477</v>
      </c>
      <c r="P12" t="n">
        <v>95.60299999999999</v>
      </c>
      <c r="Q12" t="n">
        <v>2372.455</v>
      </c>
      <c r="R12" t="n">
        <v>2228.85</v>
      </c>
      <c r="S12" t="n">
        <v>6346.331</v>
      </c>
      <c r="T12" t="n">
        <v>2532.815</v>
      </c>
      <c r="U12" t="n">
        <v>126453.381</v>
      </c>
      <c r="V12" t="n">
        <v>343.587</v>
      </c>
      <c r="W12" t="n">
        <v>924.939</v>
      </c>
      <c r="X12" t="n">
        <v>96.477</v>
      </c>
      <c r="Y12" t="n">
        <v>1041.991</v>
      </c>
      <c r="Z12">
        <f>H12*x_c_F+I12*x_c_CC+J12*x_c_DC+K12*x_c_HCC+L12*x_c_PLT+M12*x_c_SVRn+N12*x_c_SVRcc+O12*x_c_LT+P12*x_c_LT1</f>
        <v/>
      </c>
      <c r="AA12">
        <f>C12*x_c_DAA</f>
        <v/>
      </c>
      <c r="AB12">
        <f>C12*x_c_MON</f>
        <v/>
      </c>
      <c r="AC12">
        <f>D12*(1-x_testy)</f>
        <v/>
      </c>
      <c r="AD12">
        <f>E12*(1-x_testy)</f>
        <v/>
      </c>
      <c r="AE12">
        <f>F12*x_NAV</f>
        <v/>
      </c>
      <c r="AF12">
        <f>G12*x_FIX*(1-x_testy)</f>
        <v/>
      </c>
      <c r="AG12">
        <f>x_z_F*T12+(1-x_AGRI)*x_EMP*x_WLOSS*(x_PEN_K74*Q12+x_PEN_C22*R12)</f>
        <v/>
      </c>
      <c r="AH12">
        <f>x_AGRI*x_EMP*x_WLOSS*(x_PEN_K74*Q12+x_PEN_C22*R12)</f>
        <v/>
      </c>
      <c r="AI12">
        <f>x_EMP*x_WAGE*(x_WLOSS*(Q12+R12)+S12)+T12*x_ABS_D*x_WAGE/365</f>
        <v/>
      </c>
      <c r="AJ12">
        <f>AI12*x_R_FUS</f>
        <v/>
      </c>
      <c r="AK12">
        <f>AI12*x_R_NFZ</f>
        <v/>
      </c>
      <c r="AL12">
        <f>AI12*x_R_PIT</f>
        <v/>
      </c>
      <c r="AM12">
        <f>AI12*x_R_FP</f>
        <v/>
      </c>
      <c r="AN12">
        <f>Z12+AA12+AB12+AC12+AE12</f>
        <v/>
      </c>
      <c r="AO12">
        <f>AN12+AD12+AF12+AG12+AH12+AJ12+AK12+AL12+AM12</f>
        <v/>
      </c>
      <c r="AP12">
        <f>AN12+AD12+AF12+AI12</f>
        <v/>
      </c>
      <c r="AQ12">
        <f>AA12+AB12+AC12+AE12</f>
        <v/>
      </c>
      <c r="AR12">
        <f>AQ12+AD12+AF12</f>
        <v/>
      </c>
    </row>
    <row r="13">
      <c r="A13" t="n">
        <v>2036</v>
      </c>
      <c r="B13" t="n">
        <v>10</v>
      </c>
      <c r="C13" t="n">
        <v>4832</v>
      </c>
      <c r="D13" t="n">
        <v>0</v>
      </c>
      <c r="E13" t="n">
        <v>0</v>
      </c>
      <c r="F13" t="n">
        <v>0</v>
      </c>
      <c r="G13" t="n">
        <v>0</v>
      </c>
      <c r="H13" t="n">
        <v>2210.394</v>
      </c>
      <c r="I13" t="n">
        <v>302.36</v>
      </c>
      <c r="J13" t="n">
        <v>1736.058</v>
      </c>
      <c r="K13" t="n">
        <v>3024.899</v>
      </c>
      <c r="L13" t="n">
        <v>1366.459</v>
      </c>
      <c r="M13" t="n">
        <v>46319.893</v>
      </c>
      <c r="N13" t="n">
        <v>4911.737</v>
      </c>
      <c r="O13" t="n">
        <v>98.051</v>
      </c>
      <c r="P13" t="n">
        <v>97.264</v>
      </c>
      <c r="Q13" t="n">
        <v>2416.939</v>
      </c>
      <c r="R13" t="n">
        <v>2304.016</v>
      </c>
      <c r="S13" t="n">
        <v>7099.298</v>
      </c>
      <c r="T13" t="n">
        <v>2512.754</v>
      </c>
      <c r="U13" t="n">
        <v>127741.037</v>
      </c>
      <c r="V13" t="n">
        <v>346.441</v>
      </c>
      <c r="W13" t="n">
        <v>934.794</v>
      </c>
      <c r="X13" t="n">
        <v>98.051</v>
      </c>
      <c r="Y13" t="n">
        <v>1060.059</v>
      </c>
      <c r="Z13">
        <f>H13*x_c_F+I13*x_c_CC+J13*x_c_DC+K13*x_c_HCC+L13*x_c_PLT+M13*x_c_SVRn+N13*x_c_SVRcc+O13*x_c_LT+P13*x_c_LT1</f>
        <v/>
      </c>
      <c r="AA13">
        <f>C13*x_c_DAA</f>
        <v/>
      </c>
      <c r="AB13">
        <f>C13*x_c_MON</f>
        <v/>
      </c>
      <c r="AC13">
        <f>D13*(1-x_testy)</f>
        <v/>
      </c>
      <c r="AD13">
        <f>E13*(1-x_testy)</f>
        <v/>
      </c>
      <c r="AE13">
        <f>F13*x_NAV</f>
        <v/>
      </c>
      <c r="AF13">
        <f>G13*x_FIX*(1-x_testy)</f>
        <v/>
      </c>
      <c r="AG13">
        <f>x_z_F*T13+(1-x_AGRI)*x_EMP*x_WLOSS*(x_PEN_K74*Q13+x_PEN_C22*R13)</f>
        <v/>
      </c>
      <c r="AH13">
        <f>x_AGRI*x_EMP*x_WLOSS*(x_PEN_K74*Q13+x_PEN_C22*R13)</f>
        <v/>
      </c>
      <c r="AI13">
        <f>x_EMP*x_WAGE*(x_WLOSS*(Q13+R13)+S13)+T13*x_ABS_D*x_WAGE/365</f>
        <v/>
      </c>
      <c r="AJ13">
        <f>AI13*x_R_FUS</f>
        <v/>
      </c>
      <c r="AK13">
        <f>AI13*x_R_NFZ</f>
        <v/>
      </c>
      <c r="AL13">
        <f>AI13*x_R_PIT</f>
        <v/>
      </c>
      <c r="AM13">
        <f>AI13*x_R_FP</f>
        <v/>
      </c>
      <c r="AN13">
        <f>Z13+AA13+AB13+AC13+AE13</f>
        <v/>
      </c>
      <c r="AO13">
        <f>AN13+AD13+AF13+AG13+AH13+AJ13+AK13+AL13+AM13</f>
        <v/>
      </c>
      <c r="AP13">
        <f>AN13+AD13+AF13+AI13</f>
        <v/>
      </c>
      <c r="AQ13">
        <f>AA13+AB13+AC13+AE13</f>
        <v/>
      </c>
      <c r="AR13">
        <f>AQ13+AD13+AF13</f>
        <v/>
      </c>
    </row>
    <row r="14">
      <c r="A14" t="n">
        <v>2037</v>
      </c>
      <c r="B14" t="n">
        <v>11</v>
      </c>
      <c r="C14" t="n">
        <v>4832</v>
      </c>
      <c r="D14" t="n">
        <v>0</v>
      </c>
      <c r="E14" t="n">
        <v>0</v>
      </c>
      <c r="F14" t="n">
        <v>0</v>
      </c>
      <c r="G14" t="n">
        <v>0</v>
      </c>
      <c r="H14" t="n">
        <v>2205.114</v>
      </c>
      <c r="I14" t="n">
        <v>306.083</v>
      </c>
      <c r="J14" t="n">
        <v>1756.904</v>
      </c>
      <c r="K14" t="n">
        <v>3069.955</v>
      </c>
      <c r="L14" t="n">
        <v>1355.462</v>
      </c>
      <c r="M14" t="n">
        <v>49529.831</v>
      </c>
      <c r="N14" t="n">
        <v>5278.814</v>
      </c>
      <c r="O14" t="n">
        <v>99.364</v>
      </c>
      <c r="P14" t="n">
        <v>98.708</v>
      </c>
      <c r="Q14" t="n">
        <v>2460.512</v>
      </c>
      <c r="R14" t="n">
        <v>2373.333</v>
      </c>
      <c r="S14" t="n">
        <v>7866.759</v>
      </c>
      <c r="T14" t="n">
        <v>2511.197</v>
      </c>
      <c r="U14" t="n">
        <v>128990.78</v>
      </c>
      <c r="V14" t="n">
        <v>347.381</v>
      </c>
      <c r="W14" t="n">
        <v>939.678</v>
      </c>
      <c r="X14" t="n">
        <v>99.364</v>
      </c>
      <c r="Y14" t="n">
        <v>1074.764</v>
      </c>
      <c r="Z14">
        <f>H14*x_c_F+I14*x_c_CC+J14*x_c_DC+K14*x_c_HCC+L14*x_c_PLT+M14*x_c_SVRn+N14*x_c_SVRcc+O14*x_c_LT+P14*x_c_LT1</f>
        <v/>
      </c>
      <c r="AA14">
        <f>C14*x_c_DAA</f>
        <v/>
      </c>
      <c r="AB14">
        <f>C14*x_c_MON</f>
        <v/>
      </c>
      <c r="AC14">
        <f>D14*(1-x_testy)</f>
        <v/>
      </c>
      <c r="AD14">
        <f>E14*(1-x_testy)</f>
        <v/>
      </c>
      <c r="AE14">
        <f>F14*x_NAV</f>
        <v/>
      </c>
      <c r="AF14">
        <f>G14*x_FIX*(1-x_testy)</f>
        <v/>
      </c>
      <c r="AG14">
        <f>x_z_F*T14+(1-x_AGRI)*x_EMP*x_WLOSS*(x_PEN_K74*Q14+x_PEN_C22*R14)</f>
        <v/>
      </c>
      <c r="AH14">
        <f>x_AGRI*x_EMP*x_WLOSS*(x_PEN_K74*Q14+x_PEN_C22*R14)</f>
        <v/>
      </c>
      <c r="AI14">
        <f>x_EMP*x_WAGE*(x_WLOSS*(Q14+R14)+S14)+T14*x_ABS_D*x_WAGE/365</f>
        <v/>
      </c>
      <c r="AJ14">
        <f>AI14*x_R_FUS</f>
        <v/>
      </c>
      <c r="AK14">
        <f>AI14*x_R_NFZ</f>
        <v/>
      </c>
      <c r="AL14">
        <f>AI14*x_R_PIT</f>
        <v/>
      </c>
      <c r="AM14">
        <f>AI14*x_R_FP</f>
        <v/>
      </c>
      <c r="AN14">
        <f>Z14+AA14+AB14+AC14+AE14</f>
        <v/>
      </c>
      <c r="AO14">
        <f>AN14+AD14+AF14+AG14+AH14+AJ14+AK14+AL14+AM14</f>
        <v/>
      </c>
      <c r="AP14">
        <f>AN14+AD14+AF14+AI14</f>
        <v/>
      </c>
      <c r="AQ14">
        <f>AA14+AB14+AC14+AE14</f>
        <v/>
      </c>
      <c r="AR14">
        <f>AQ14+AD14+AF14</f>
        <v/>
      </c>
    </row>
    <row r="15">
      <c r="A15" t="n">
        <v>2038</v>
      </c>
      <c r="B15" t="n">
        <v>12</v>
      </c>
      <c r="C15" t="n">
        <v>4832</v>
      </c>
      <c r="D15" t="n">
        <v>0</v>
      </c>
      <c r="E15" t="n">
        <v>0</v>
      </c>
      <c r="F15" t="n">
        <v>0</v>
      </c>
      <c r="G15" t="n">
        <v>0</v>
      </c>
      <c r="H15" t="n">
        <v>2201.331</v>
      </c>
      <c r="I15" t="n">
        <v>308.272</v>
      </c>
      <c r="J15" t="n">
        <v>1772.104</v>
      </c>
      <c r="K15" t="n">
        <v>3101.568</v>
      </c>
      <c r="L15" t="n">
        <v>1344.548</v>
      </c>
      <c r="M15" t="n">
        <v>52678.044</v>
      </c>
      <c r="N15" t="n">
        <v>5628.699</v>
      </c>
      <c r="O15" t="n">
        <v>100.336</v>
      </c>
      <c r="P15" t="n">
        <v>99.84999999999999</v>
      </c>
      <c r="Q15" t="n">
        <v>1623.294</v>
      </c>
      <c r="R15" t="n">
        <v>1584.627</v>
      </c>
      <c r="S15" t="n">
        <v>5479.34</v>
      </c>
      <c r="T15" t="n">
        <v>2509.604</v>
      </c>
      <c r="U15" t="n">
        <v>130199.837</v>
      </c>
      <c r="V15" t="n">
        <v>346.485</v>
      </c>
      <c r="W15" t="n">
        <v>939.731</v>
      </c>
      <c r="X15" t="n">
        <v>100.336</v>
      </c>
      <c r="Y15" t="n">
        <v>1085.342</v>
      </c>
      <c r="Z15">
        <f>H15*x_c_F+I15*x_c_CC+J15*x_c_DC+K15*x_c_HCC+L15*x_c_PLT+M15*x_c_SVRn+N15*x_c_SVRcc+O15*x_c_LT+P15*x_c_LT1</f>
        <v/>
      </c>
      <c r="AA15">
        <f>C15*x_c_DAA</f>
        <v/>
      </c>
      <c r="AB15">
        <f>C15*x_c_MON</f>
        <v/>
      </c>
      <c r="AC15">
        <f>D15*(1-x_testy)</f>
        <v/>
      </c>
      <c r="AD15">
        <f>E15*(1-x_testy)</f>
        <v/>
      </c>
      <c r="AE15">
        <f>F15*x_NAV</f>
        <v/>
      </c>
      <c r="AF15">
        <f>G15*x_FIX*(1-x_testy)</f>
        <v/>
      </c>
      <c r="AG15">
        <f>x_z_F*T15+(1-x_AGRI)*x_EMP*x_WLOSS*(x_PEN_K74*Q15+x_PEN_C22*R15)</f>
        <v/>
      </c>
      <c r="AH15">
        <f>x_AGRI*x_EMP*x_WLOSS*(x_PEN_K74*Q15+x_PEN_C22*R15)</f>
        <v/>
      </c>
      <c r="AI15">
        <f>x_EMP*x_WAGE*(x_WLOSS*(Q15+R15)+S15)+T15*x_ABS_D*x_WAGE/365</f>
        <v/>
      </c>
      <c r="AJ15">
        <f>AI15*x_R_FUS</f>
        <v/>
      </c>
      <c r="AK15">
        <f>AI15*x_R_NFZ</f>
        <v/>
      </c>
      <c r="AL15">
        <f>AI15*x_R_PIT</f>
        <v/>
      </c>
      <c r="AM15">
        <f>AI15*x_R_FP</f>
        <v/>
      </c>
      <c r="AN15">
        <f>Z15+AA15+AB15+AC15+AE15</f>
        <v/>
      </c>
      <c r="AO15">
        <f>AN15+AD15+AF15+AG15+AH15+AJ15+AK15+AL15+AM15</f>
        <v/>
      </c>
      <c r="AP15">
        <f>AN15+AD15+AF15+AI15</f>
        <v/>
      </c>
      <c r="AQ15">
        <f>AA15+AB15+AC15+AE15</f>
        <v/>
      </c>
      <c r="AR15">
        <f>AQ15+AD15+AF15</f>
        <v/>
      </c>
    </row>
    <row r="16">
      <c r="A16" t="n">
        <v>2039</v>
      </c>
      <c r="B16" t="n">
        <v>13</v>
      </c>
      <c r="C16" t="n">
        <v>4832</v>
      </c>
      <c r="D16" t="n">
        <v>0</v>
      </c>
      <c r="E16" t="n">
        <v>0</v>
      </c>
      <c r="F16" t="n">
        <v>0</v>
      </c>
      <c r="G16" t="n">
        <v>0</v>
      </c>
      <c r="H16" t="n">
        <v>2199.011</v>
      </c>
      <c r="I16" t="n">
        <v>308.969</v>
      </c>
      <c r="J16" t="n">
        <v>1780.745</v>
      </c>
      <c r="K16" t="n">
        <v>3118.71</v>
      </c>
      <c r="L16" t="n">
        <v>1333.303</v>
      </c>
      <c r="M16" t="n">
        <v>55759.151</v>
      </c>
      <c r="N16" t="n">
        <v>5957.819</v>
      </c>
      <c r="O16" t="n">
        <v>100.914</v>
      </c>
      <c r="P16" t="n">
        <v>100.625</v>
      </c>
      <c r="Q16" t="n">
        <v>776.122</v>
      </c>
      <c r="R16" t="n">
        <v>779.023</v>
      </c>
      <c r="S16" t="n">
        <v>2838.154</v>
      </c>
      <c r="T16" t="n">
        <v>2507.98</v>
      </c>
      <c r="U16" t="n">
        <v>131366.135</v>
      </c>
      <c r="V16" t="n">
        <v>343.875</v>
      </c>
      <c r="W16" t="n">
        <v>935.218</v>
      </c>
      <c r="X16" t="n">
        <v>100.914</v>
      </c>
      <c r="Y16" t="n">
        <v>1091.301</v>
      </c>
      <c r="Z16">
        <f>H16*x_c_F+I16*x_c_CC+J16*x_c_DC+K16*x_c_HCC+L16*x_c_PLT+M16*x_c_SVRn+N16*x_c_SVRcc+O16*x_c_LT+P16*x_c_LT1</f>
        <v/>
      </c>
      <c r="AA16">
        <f>C16*x_c_DAA</f>
        <v/>
      </c>
      <c r="AB16">
        <f>C16*x_c_MON</f>
        <v/>
      </c>
      <c r="AC16">
        <f>D16*(1-x_testy)</f>
        <v/>
      </c>
      <c r="AD16">
        <f>E16*(1-x_testy)</f>
        <v/>
      </c>
      <c r="AE16">
        <f>F16*x_NAV</f>
        <v/>
      </c>
      <c r="AF16">
        <f>G16*x_FIX*(1-x_testy)</f>
        <v/>
      </c>
      <c r="AG16">
        <f>x_z_F*T16+(1-x_AGRI)*x_EMP*x_WLOSS*(x_PEN_K74*Q16+x_PEN_C22*R16)</f>
        <v/>
      </c>
      <c r="AH16">
        <f>x_AGRI*x_EMP*x_WLOSS*(x_PEN_K74*Q16+x_PEN_C22*R16)</f>
        <v/>
      </c>
      <c r="AI16">
        <f>x_EMP*x_WAGE*(x_WLOSS*(Q16+R16)+S16)+T16*x_ABS_D*x_WAGE/365</f>
        <v/>
      </c>
      <c r="AJ16">
        <f>AI16*x_R_FUS</f>
        <v/>
      </c>
      <c r="AK16">
        <f>AI16*x_R_NFZ</f>
        <v/>
      </c>
      <c r="AL16">
        <f>AI16*x_R_PIT</f>
        <v/>
      </c>
      <c r="AM16">
        <f>AI16*x_R_FP</f>
        <v/>
      </c>
      <c r="AN16">
        <f>Z16+AA16+AB16+AC16+AE16</f>
        <v/>
      </c>
      <c r="AO16">
        <f>AN16+AD16+AF16+AG16+AH16+AJ16+AK16+AL16+AM16</f>
        <v/>
      </c>
      <c r="AP16">
        <f>AN16+AD16+AF16+AI16</f>
        <v/>
      </c>
      <c r="AQ16">
        <f>AA16+AB16+AC16+AE16</f>
        <v/>
      </c>
      <c r="AR16">
        <f>AQ16+AD16+AF16</f>
        <v/>
      </c>
    </row>
    <row r="17">
      <c r="A17" t="n">
        <v>2040</v>
      </c>
      <c r="B17" t="n">
        <v>14</v>
      </c>
      <c r="C17" t="n">
        <v>4832</v>
      </c>
      <c r="D17" t="n">
        <v>0</v>
      </c>
      <c r="E17" t="n">
        <v>0</v>
      </c>
      <c r="F17" t="n">
        <v>0</v>
      </c>
      <c r="G17" t="n">
        <v>0</v>
      </c>
      <c r="H17" t="n">
        <v>2198.083</v>
      </c>
      <c r="I17" t="n">
        <v>308.251</v>
      </c>
      <c r="J17" t="n">
        <v>1782.289</v>
      </c>
      <c r="K17" t="n">
        <v>3121.089</v>
      </c>
      <c r="L17" t="n">
        <v>1321.319</v>
      </c>
      <c r="M17" t="n">
        <v>58770.373</v>
      </c>
      <c r="N17" t="n">
        <v>6262.989</v>
      </c>
      <c r="O17" t="n">
        <v>101.065</v>
      </c>
      <c r="P17" t="n">
        <v>100.989</v>
      </c>
      <c r="Q17" t="n">
        <v>799.604</v>
      </c>
      <c r="R17" t="n">
        <v>811.711</v>
      </c>
      <c r="S17" t="n">
        <v>3109.576</v>
      </c>
      <c r="T17" t="n">
        <v>2506.334</v>
      </c>
      <c r="U17" t="n">
        <v>132491.336</v>
      </c>
      <c r="V17" t="n">
        <v>339.721</v>
      </c>
      <c r="W17" t="n">
        <v>926.539</v>
      </c>
      <c r="X17" t="n">
        <v>101.065</v>
      </c>
      <c r="Y17" t="n">
        <v>1092.428</v>
      </c>
      <c r="Z17">
        <f>H17*x_c_F+I17*x_c_CC+J17*x_c_DC+K17*x_c_HCC+L17*x_c_PLT+M17*x_c_SVRn+N17*x_c_SVRcc+O17*x_c_LT+P17*x_c_LT1</f>
        <v/>
      </c>
      <c r="AA17">
        <f>C17*x_c_DAA</f>
        <v/>
      </c>
      <c r="AB17">
        <f>C17*x_c_MON</f>
        <v/>
      </c>
      <c r="AC17">
        <f>D17*(1-x_testy)</f>
        <v/>
      </c>
      <c r="AD17">
        <f>E17*(1-x_testy)</f>
        <v/>
      </c>
      <c r="AE17">
        <f>F17*x_NAV</f>
        <v/>
      </c>
      <c r="AF17">
        <f>G17*x_FIX*(1-x_testy)</f>
        <v/>
      </c>
      <c r="AG17">
        <f>x_z_F*T17+(1-x_AGRI)*x_EMP*x_WLOSS*(x_PEN_K74*Q17+x_PEN_C22*R17)</f>
        <v/>
      </c>
      <c r="AH17">
        <f>x_AGRI*x_EMP*x_WLOSS*(x_PEN_K74*Q17+x_PEN_C22*R17)</f>
        <v/>
      </c>
      <c r="AI17">
        <f>x_EMP*x_WAGE*(x_WLOSS*(Q17+R17)+S17)+T17*x_ABS_D*x_WAGE/365</f>
        <v/>
      </c>
      <c r="AJ17">
        <f>AI17*x_R_FUS</f>
        <v/>
      </c>
      <c r="AK17">
        <f>AI17*x_R_NFZ</f>
        <v/>
      </c>
      <c r="AL17">
        <f>AI17*x_R_PIT</f>
        <v/>
      </c>
      <c r="AM17">
        <f>AI17*x_R_FP</f>
        <v/>
      </c>
      <c r="AN17">
        <f>Z17+AA17+AB17+AC17+AE17</f>
        <v/>
      </c>
      <c r="AO17">
        <f>AN17+AD17+AF17+AG17+AH17+AJ17+AK17+AL17+AM17</f>
        <v/>
      </c>
      <c r="AP17">
        <f>AN17+AD17+AF17+AI17</f>
        <v/>
      </c>
      <c r="AQ17">
        <f>AA17+AB17+AC17+AE17</f>
        <v/>
      </c>
      <c r="AR17">
        <f>AQ17+AD17+AF17</f>
        <v/>
      </c>
    </row>
    <row r="18">
      <c r="A18" t="n">
        <v>2041</v>
      </c>
      <c r="B18" t="n">
        <v>15</v>
      </c>
      <c r="C18" t="n">
        <v>4832</v>
      </c>
      <c r="D18" t="n">
        <v>0</v>
      </c>
      <c r="E18" t="n">
        <v>0</v>
      </c>
      <c r="F18" t="n">
        <v>0</v>
      </c>
      <c r="G18" t="n">
        <v>0</v>
      </c>
      <c r="H18" t="n">
        <v>2198.444</v>
      </c>
      <c r="I18" t="n">
        <v>306.235</v>
      </c>
      <c r="J18" t="n">
        <v>1776.623</v>
      </c>
      <c r="K18" t="n">
        <v>3109.172</v>
      </c>
      <c r="L18" t="n">
        <v>1308.271</v>
      </c>
      <c r="M18" t="n">
        <v>61712.415</v>
      </c>
      <c r="N18" t="n">
        <v>6541.776</v>
      </c>
      <c r="O18" t="n">
        <v>100.79</v>
      </c>
      <c r="P18" t="n">
        <v>100.928</v>
      </c>
      <c r="Q18" t="n">
        <v>824.268</v>
      </c>
      <c r="R18" t="n">
        <v>845.471</v>
      </c>
      <c r="S18" t="n">
        <v>3391.047</v>
      </c>
      <c r="T18" t="n">
        <v>2504.679</v>
      </c>
      <c r="U18" t="n">
        <v>133582.889</v>
      </c>
      <c r="V18" t="n">
        <v>334.248</v>
      </c>
      <c r="W18" t="n">
        <v>914.2430000000001</v>
      </c>
      <c r="X18" t="n">
        <v>100.79</v>
      </c>
      <c r="Y18" t="n">
        <v>1088.808</v>
      </c>
      <c r="Z18">
        <f>H18*x_c_F+I18*x_c_CC+J18*x_c_DC+K18*x_c_HCC+L18*x_c_PLT+M18*x_c_SVRn+N18*x_c_SVRcc+O18*x_c_LT+P18*x_c_LT1</f>
        <v/>
      </c>
      <c r="AA18">
        <f>C18*x_c_DAA</f>
        <v/>
      </c>
      <c r="AB18">
        <f>C18*x_c_MON</f>
        <v/>
      </c>
      <c r="AC18">
        <f>D18*(1-x_testy)</f>
        <v/>
      </c>
      <c r="AD18">
        <f>E18*(1-x_testy)</f>
        <v/>
      </c>
      <c r="AE18">
        <f>F18*x_NAV</f>
        <v/>
      </c>
      <c r="AF18">
        <f>G18*x_FIX*(1-x_testy)</f>
        <v/>
      </c>
      <c r="AG18">
        <f>x_z_F*T18+(1-x_AGRI)*x_EMP*x_WLOSS*(x_PEN_K74*Q18+x_PEN_C22*R18)</f>
        <v/>
      </c>
      <c r="AH18">
        <f>x_AGRI*x_EMP*x_WLOSS*(x_PEN_K74*Q18+x_PEN_C22*R18)</f>
        <v/>
      </c>
      <c r="AI18">
        <f>x_EMP*x_WAGE*(x_WLOSS*(Q18+R18)+S18)+T18*x_ABS_D*x_WAGE/365</f>
        <v/>
      </c>
      <c r="AJ18">
        <f>AI18*x_R_FUS</f>
        <v/>
      </c>
      <c r="AK18">
        <f>AI18*x_R_NFZ</f>
        <v/>
      </c>
      <c r="AL18">
        <f>AI18*x_R_PIT</f>
        <v/>
      </c>
      <c r="AM18">
        <f>AI18*x_R_FP</f>
        <v/>
      </c>
      <c r="AN18">
        <f>Z18+AA18+AB18+AC18+AE18</f>
        <v/>
      </c>
      <c r="AO18">
        <f>AN18+AD18+AF18+AG18+AH18+AJ18+AK18+AL18+AM18</f>
        <v/>
      </c>
      <c r="AP18">
        <f>AN18+AD18+AF18+AI18</f>
        <v/>
      </c>
      <c r="AQ18">
        <f>AA18+AB18+AC18+AE18</f>
        <v/>
      </c>
      <c r="AR18">
        <f>AQ18+AD18+AF18</f>
        <v/>
      </c>
    </row>
    <row r="19">
      <c r="A19" t="n">
        <v>2042</v>
      </c>
      <c r="B19" t="n">
        <v>16</v>
      </c>
      <c r="C19" t="n">
        <v>4832</v>
      </c>
      <c r="D19" t="n">
        <v>0</v>
      </c>
      <c r="E19" t="n">
        <v>0</v>
      </c>
      <c r="F19" t="n">
        <v>0</v>
      </c>
      <c r="G19" t="n">
        <v>0</v>
      </c>
      <c r="H19" t="n">
        <v>2199.962</v>
      </c>
      <c r="I19" t="n">
        <v>303.066</v>
      </c>
      <c r="J19" t="n">
        <v>1763.779</v>
      </c>
      <c r="K19" t="n">
        <v>3083.705</v>
      </c>
      <c r="L19" t="n">
        <v>1293.622</v>
      </c>
      <c r="M19" t="n">
        <v>64581.965</v>
      </c>
      <c r="N19" t="n">
        <v>6791.56</v>
      </c>
      <c r="O19" t="n">
        <v>100.078</v>
      </c>
      <c r="P19" t="n">
        <v>100.434</v>
      </c>
      <c r="Q19" t="n">
        <v>850.159</v>
      </c>
      <c r="R19" t="n">
        <v>880.458</v>
      </c>
      <c r="S19" t="n">
        <v>3682.756</v>
      </c>
      <c r="T19" t="n">
        <v>2503.028</v>
      </c>
      <c r="U19" t="n">
        <v>134644.012</v>
      </c>
      <c r="V19" t="n">
        <v>327.653</v>
      </c>
      <c r="W19" t="n">
        <v>898.797</v>
      </c>
      <c r="X19" t="n">
        <v>100.078</v>
      </c>
      <c r="Y19" t="n">
        <v>1080.431</v>
      </c>
      <c r="Z19">
        <f>H19*x_c_F+I19*x_c_CC+J19*x_c_DC+K19*x_c_HCC+L19*x_c_PLT+M19*x_c_SVRn+N19*x_c_SVRcc+O19*x_c_LT+P19*x_c_LT1</f>
        <v/>
      </c>
      <c r="AA19">
        <f>C19*x_c_DAA</f>
        <v/>
      </c>
      <c r="AB19">
        <f>C19*x_c_MON</f>
        <v/>
      </c>
      <c r="AC19">
        <f>D19*(1-x_testy)</f>
        <v/>
      </c>
      <c r="AD19">
        <f>E19*(1-x_testy)</f>
        <v/>
      </c>
      <c r="AE19">
        <f>F19*x_NAV</f>
        <v/>
      </c>
      <c r="AF19">
        <f>G19*x_FIX*(1-x_testy)</f>
        <v/>
      </c>
      <c r="AG19">
        <f>x_z_F*T19+(1-x_AGRI)*x_EMP*x_WLOSS*(x_PEN_K74*Q19+x_PEN_C22*R19)</f>
        <v/>
      </c>
      <c r="AH19">
        <f>x_AGRI*x_EMP*x_WLOSS*(x_PEN_K74*Q19+x_PEN_C22*R19)</f>
        <v/>
      </c>
      <c r="AI19">
        <f>x_EMP*x_WAGE*(x_WLOSS*(Q19+R19)+S19)+T19*x_ABS_D*x_WAGE/365</f>
        <v/>
      </c>
      <c r="AJ19">
        <f>AI19*x_R_FUS</f>
        <v/>
      </c>
      <c r="AK19">
        <f>AI19*x_R_NFZ</f>
        <v/>
      </c>
      <c r="AL19">
        <f>AI19*x_R_PIT</f>
        <v/>
      </c>
      <c r="AM19">
        <f>AI19*x_R_FP</f>
        <v/>
      </c>
      <c r="AN19">
        <f>Z19+AA19+AB19+AC19+AE19</f>
        <v/>
      </c>
      <c r="AO19">
        <f>AN19+AD19+AF19+AG19+AH19+AJ19+AK19+AL19+AM19</f>
        <v/>
      </c>
      <c r="AP19">
        <f>AN19+AD19+AF19+AI19</f>
        <v/>
      </c>
      <c r="AQ19">
        <f>AA19+AB19+AC19+AE19</f>
        <v/>
      </c>
      <c r="AR19">
        <f>AQ19+AD19+AF19</f>
        <v/>
      </c>
    </row>
    <row r="20">
      <c r="A20" t="n">
        <v>2043</v>
      </c>
      <c r="B20" t="n">
        <v>17</v>
      </c>
      <c r="C20" t="n">
        <v>4832</v>
      </c>
      <c r="D20" t="n">
        <v>0</v>
      </c>
      <c r="E20" t="n">
        <v>0</v>
      </c>
      <c r="F20" t="n">
        <v>0</v>
      </c>
      <c r="G20" t="n">
        <v>0</v>
      </c>
      <c r="H20" t="n">
        <v>2202.445</v>
      </c>
      <c r="I20" t="n">
        <v>298.963</v>
      </c>
      <c r="J20" t="n">
        <v>1744.87</v>
      </c>
      <c r="K20" t="n">
        <v>3047.145</v>
      </c>
      <c r="L20" t="n">
        <v>1277.812</v>
      </c>
      <c r="M20" t="n">
        <v>67398.939</v>
      </c>
      <c r="N20" t="n">
        <v>7013.892</v>
      </c>
      <c r="O20" t="n">
        <v>99.059</v>
      </c>
      <c r="P20" t="n">
        <v>99.569</v>
      </c>
      <c r="Q20" t="n">
        <v>877.3150000000001</v>
      </c>
      <c r="R20" t="n">
        <v>916.794</v>
      </c>
      <c r="S20" t="n">
        <v>3984.888</v>
      </c>
      <c r="T20" t="n">
        <v>2501.407</v>
      </c>
      <c r="U20" t="n">
        <v>135707.909</v>
      </c>
      <c r="V20" t="n">
        <v>320.414</v>
      </c>
      <c r="W20" t="n">
        <v>881.484</v>
      </c>
      <c r="X20" t="n">
        <v>99.059</v>
      </c>
      <c r="Y20" t="n">
        <v>1068.76</v>
      </c>
      <c r="Z20">
        <f>H20*x_c_F+I20*x_c_CC+J20*x_c_DC+K20*x_c_HCC+L20*x_c_PLT+M20*x_c_SVRn+N20*x_c_SVRcc+O20*x_c_LT+P20*x_c_LT1</f>
        <v/>
      </c>
      <c r="AA20">
        <f>C20*x_c_DAA</f>
        <v/>
      </c>
      <c r="AB20">
        <f>C20*x_c_MON</f>
        <v/>
      </c>
      <c r="AC20">
        <f>D20*(1-x_testy)</f>
        <v/>
      </c>
      <c r="AD20">
        <f>E20*(1-x_testy)</f>
        <v/>
      </c>
      <c r="AE20">
        <f>F20*x_NAV</f>
        <v/>
      </c>
      <c r="AF20">
        <f>G20*x_FIX*(1-x_testy)</f>
        <v/>
      </c>
      <c r="AG20">
        <f>x_z_F*T20+(1-x_AGRI)*x_EMP*x_WLOSS*(x_PEN_K74*Q20+x_PEN_C22*R20)</f>
        <v/>
      </c>
      <c r="AH20">
        <f>x_AGRI*x_EMP*x_WLOSS*(x_PEN_K74*Q20+x_PEN_C22*R20)</f>
        <v/>
      </c>
      <c r="AI20">
        <f>x_EMP*x_WAGE*(x_WLOSS*(Q20+R20)+S20)+T20*x_ABS_D*x_WAGE/365</f>
        <v/>
      </c>
      <c r="AJ20">
        <f>AI20*x_R_FUS</f>
        <v/>
      </c>
      <c r="AK20">
        <f>AI20*x_R_NFZ</f>
        <v/>
      </c>
      <c r="AL20">
        <f>AI20*x_R_PIT</f>
        <v/>
      </c>
      <c r="AM20">
        <f>AI20*x_R_FP</f>
        <v/>
      </c>
      <c r="AN20">
        <f>Z20+AA20+AB20+AC20+AE20</f>
        <v/>
      </c>
      <c r="AO20">
        <f>AN20+AD20+AF20+AG20+AH20+AJ20+AK20+AL20+AM20</f>
        <v/>
      </c>
      <c r="AP20">
        <f>AN20+AD20+AF20+AI20</f>
        <v/>
      </c>
      <c r="AQ20">
        <f>AA20+AB20+AC20+AE20</f>
        <v/>
      </c>
      <c r="AR20">
        <f>AQ20+AD20+AF20</f>
        <v/>
      </c>
    </row>
    <row r="21">
      <c r="A21" t="n">
        <v>2044</v>
      </c>
      <c r="B21" t="n">
        <v>18</v>
      </c>
      <c r="C21" t="n">
        <v>4832</v>
      </c>
      <c r="D21" t="n">
        <v>0</v>
      </c>
      <c r="E21" t="n">
        <v>0</v>
      </c>
      <c r="F21" t="n">
        <v>0</v>
      </c>
      <c r="G21" t="n">
        <v>0</v>
      </c>
      <c r="H21" t="n">
        <v>2205.685</v>
      </c>
      <c r="I21" t="n">
        <v>294.155</v>
      </c>
      <c r="J21" t="n">
        <v>1721.145</v>
      </c>
      <c r="K21" t="n">
        <v>3002.119</v>
      </c>
      <c r="L21" t="n">
        <v>1261.257</v>
      </c>
      <c r="M21" t="n">
        <v>70182.255</v>
      </c>
      <c r="N21" t="n">
        <v>7210.876</v>
      </c>
      <c r="O21" t="n">
        <v>97.73999999999999</v>
      </c>
      <c r="P21" t="n">
        <v>98.40000000000001</v>
      </c>
      <c r="Q21" t="n">
        <v>905.776</v>
      </c>
      <c r="R21" t="n">
        <v>954.571</v>
      </c>
      <c r="S21" t="n">
        <v>4297.708</v>
      </c>
      <c r="T21" t="n">
        <v>2499.84</v>
      </c>
      <c r="U21" t="n">
        <v>136803.812</v>
      </c>
      <c r="V21" t="n">
        <v>312.708</v>
      </c>
      <c r="W21" t="n">
        <v>862.742</v>
      </c>
      <c r="X21" t="n">
        <v>97.73999999999999</v>
      </c>
      <c r="Y21" t="n">
        <v>1053.962</v>
      </c>
      <c r="Z21">
        <f>H21*x_c_F+I21*x_c_CC+J21*x_c_DC+K21*x_c_HCC+L21*x_c_PLT+M21*x_c_SVRn+N21*x_c_SVRcc+O21*x_c_LT+P21*x_c_LT1</f>
        <v/>
      </c>
      <c r="AA21">
        <f>C21*x_c_DAA</f>
        <v/>
      </c>
      <c r="AB21">
        <f>C21*x_c_MON</f>
        <v/>
      </c>
      <c r="AC21">
        <f>D21*(1-x_testy)</f>
        <v/>
      </c>
      <c r="AD21">
        <f>E21*(1-x_testy)</f>
        <v/>
      </c>
      <c r="AE21">
        <f>F21*x_NAV</f>
        <v/>
      </c>
      <c r="AF21">
        <f>G21*x_FIX*(1-x_testy)</f>
        <v/>
      </c>
      <c r="AG21">
        <f>x_z_F*T21+(1-x_AGRI)*x_EMP*x_WLOSS*(x_PEN_K74*Q21+x_PEN_C22*R21)</f>
        <v/>
      </c>
      <c r="AH21">
        <f>x_AGRI*x_EMP*x_WLOSS*(x_PEN_K74*Q21+x_PEN_C22*R21)</f>
        <v/>
      </c>
      <c r="AI21">
        <f>x_EMP*x_WAGE*(x_WLOSS*(Q21+R21)+S21)+T21*x_ABS_D*x_WAGE/365</f>
        <v/>
      </c>
      <c r="AJ21">
        <f>AI21*x_R_FUS</f>
        <v/>
      </c>
      <c r="AK21">
        <f>AI21*x_R_NFZ</f>
        <v/>
      </c>
      <c r="AL21">
        <f>AI21*x_R_PIT</f>
        <v/>
      </c>
      <c r="AM21">
        <f>AI21*x_R_FP</f>
        <v/>
      </c>
      <c r="AN21">
        <f>Z21+AA21+AB21+AC21+AE21</f>
        <v/>
      </c>
      <c r="AO21">
        <f>AN21+AD21+AF21+AG21+AH21+AJ21+AK21+AL21+AM21</f>
        <v/>
      </c>
      <c r="AP21">
        <f>AN21+AD21+AF21+AI21</f>
        <v/>
      </c>
      <c r="AQ21">
        <f>AA21+AB21+AC21+AE21</f>
        <v/>
      </c>
      <c r="AR21">
        <f>AQ21+AD21+AF21</f>
        <v/>
      </c>
    </row>
    <row r="22">
      <c r="A22" t="n">
        <v>2045</v>
      </c>
      <c r="B22" t="n">
        <v>19</v>
      </c>
      <c r="C22" t="n">
        <v>4832</v>
      </c>
      <c r="D22" t="n">
        <v>0</v>
      </c>
      <c r="E22" t="n">
        <v>0</v>
      </c>
      <c r="F22" t="n">
        <v>0</v>
      </c>
      <c r="G22" t="n">
        <v>0</v>
      </c>
      <c r="H22" t="n">
        <v>2209.496</v>
      </c>
      <c r="I22" t="n">
        <v>288.841</v>
      </c>
      <c r="J22" t="n">
        <v>1693.344</v>
      </c>
      <c r="K22" t="n">
        <v>2950.369</v>
      </c>
      <c r="L22" t="n">
        <v>1243.677</v>
      </c>
      <c r="M22" t="n">
        <v>72933.564</v>
      </c>
      <c r="N22" t="n">
        <v>7382.69</v>
      </c>
      <c r="O22" t="n">
        <v>96.196</v>
      </c>
      <c r="P22" t="n">
        <v>96.968</v>
      </c>
      <c r="Q22" t="n">
        <v>935.5650000000001</v>
      </c>
      <c r="R22" t="n">
        <v>993.827</v>
      </c>
      <c r="S22" t="n">
        <v>4621.456</v>
      </c>
      <c r="T22" t="n">
        <v>2498.337</v>
      </c>
      <c r="U22" t="n">
        <v>137935.81</v>
      </c>
      <c r="V22" t="n">
        <v>304.813</v>
      </c>
      <c r="W22" t="n">
        <v>843.303</v>
      </c>
      <c r="X22" t="n">
        <v>96.196</v>
      </c>
      <c r="Y22" t="n">
        <v>1036.861</v>
      </c>
      <c r="Z22">
        <f>H22*x_c_F+I22*x_c_CC+J22*x_c_DC+K22*x_c_HCC+L22*x_c_PLT+M22*x_c_SVRn+N22*x_c_SVRcc+O22*x_c_LT+P22*x_c_LT1</f>
        <v/>
      </c>
      <c r="AA22">
        <f>C22*x_c_DAA</f>
        <v/>
      </c>
      <c r="AB22">
        <f>C22*x_c_MON</f>
        <v/>
      </c>
      <c r="AC22">
        <f>D22*(1-x_testy)</f>
        <v/>
      </c>
      <c r="AD22">
        <f>E22*(1-x_testy)</f>
        <v/>
      </c>
      <c r="AE22">
        <f>F22*x_NAV</f>
        <v/>
      </c>
      <c r="AF22">
        <f>G22*x_FIX*(1-x_testy)</f>
        <v/>
      </c>
      <c r="AG22">
        <f>x_z_F*T22+(1-x_AGRI)*x_EMP*x_WLOSS*(x_PEN_K74*Q22+x_PEN_C22*R22)</f>
        <v/>
      </c>
      <c r="AH22">
        <f>x_AGRI*x_EMP*x_WLOSS*(x_PEN_K74*Q22+x_PEN_C22*R22)</f>
        <v/>
      </c>
      <c r="AI22">
        <f>x_EMP*x_WAGE*(x_WLOSS*(Q22+R22)+S22)+T22*x_ABS_D*x_WAGE/365</f>
        <v/>
      </c>
      <c r="AJ22">
        <f>AI22*x_R_FUS</f>
        <v/>
      </c>
      <c r="AK22">
        <f>AI22*x_R_NFZ</f>
        <v/>
      </c>
      <c r="AL22">
        <f>AI22*x_R_PIT</f>
        <v/>
      </c>
      <c r="AM22">
        <f>AI22*x_R_FP</f>
        <v/>
      </c>
      <c r="AN22">
        <f>Z22+AA22+AB22+AC22+AE22</f>
        <v/>
      </c>
      <c r="AO22">
        <f>AN22+AD22+AF22+AG22+AH22+AJ22+AK22+AL22+AM22</f>
        <v/>
      </c>
      <c r="AP22">
        <f>AN22+AD22+AF22+AI22</f>
        <v/>
      </c>
      <c r="AQ22">
        <f>AA22+AB22+AC22+AE22</f>
        <v/>
      </c>
      <c r="AR22">
        <f>AQ22+AD22+AF22</f>
        <v/>
      </c>
    </row>
    <row r="23">
      <c r="A23" t="n">
        <v>2046</v>
      </c>
      <c r="B23" t="n">
        <v>20</v>
      </c>
      <c r="C23" t="n">
        <v>4832</v>
      </c>
      <c r="D23" t="n">
        <v>0</v>
      </c>
      <c r="E23" t="n">
        <v>0</v>
      </c>
      <c r="F23" t="n">
        <v>0</v>
      </c>
      <c r="G23" t="n">
        <v>0</v>
      </c>
      <c r="H23" t="n">
        <v>2213.684</v>
      </c>
      <c r="I23" t="n">
        <v>283.229</v>
      </c>
      <c r="J23" t="n">
        <v>1662.642</v>
      </c>
      <c r="K23" t="n">
        <v>2894.214</v>
      </c>
      <c r="L23" t="n">
        <v>1225.329</v>
      </c>
      <c r="M23" t="n">
        <v>75665.435</v>
      </c>
      <c r="N23" t="n">
        <v>7531.771</v>
      </c>
      <c r="O23" t="n">
        <v>94.48999999999999</v>
      </c>
      <c r="P23" t="n">
        <v>95.343</v>
      </c>
      <c r="Q23" t="n">
        <v>966.668</v>
      </c>
      <c r="R23" t="n">
        <v>1034.531</v>
      </c>
      <c r="S23" t="n">
        <v>4956.301</v>
      </c>
      <c r="T23" t="n">
        <v>2496.913</v>
      </c>
      <c r="U23" t="n">
        <v>139119.781</v>
      </c>
      <c r="V23" t="n">
        <v>296.946</v>
      </c>
      <c r="W23" t="n">
        <v>823.747</v>
      </c>
      <c r="X23" t="n">
        <v>94.48999999999999</v>
      </c>
      <c r="Y23" t="n">
        <v>1018.171</v>
      </c>
      <c r="Z23">
        <f>H23*x_c_F+I23*x_c_CC+J23*x_c_DC+K23*x_c_HCC+L23*x_c_PLT+M23*x_c_SVRn+N23*x_c_SVRcc+O23*x_c_LT+P23*x_c_LT1</f>
        <v/>
      </c>
      <c r="AA23">
        <f>C23*x_c_DAA</f>
        <v/>
      </c>
      <c r="AB23">
        <f>C23*x_c_MON</f>
        <v/>
      </c>
      <c r="AC23">
        <f>D23*(1-x_testy)</f>
        <v/>
      </c>
      <c r="AD23">
        <f>E23*(1-x_testy)</f>
        <v/>
      </c>
      <c r="AE23">
        <f>F23*x_NAV</f>
        <v/>
      </c>
      <c r="AF23">
        <f>G23*x_FIX*(1-x_testy)</f>
        <v/>
      </c>
      <c r="AG23">
        <f>x_z_F*T23+(1-x_AGRI)*x_EMP*x_WLOSS*(x_PEN_K74*Q23+x_PEN_C22*R23)</f>
        <v/>
      </c>
      <c r="AH23">
        <f>x_AGRI*x_EMP*x_WLOSS*(x_PEN_K74*Q23+x_PEN_C22*R23)</f>
        <v/>
      </c>
      <c r="AI23">
        <f>x_EMP*x_WAGE*(x_WLOSS*(Q23+R23)+S23)+T23*x_ABS_D*x_WAGE/365</f>
        <v/>
      </c>
      <c r="AJ23">
        <f>AI23*x_R_FUS</f>
        <v/>
      </c>
      <c r="AK23">
        <f>AI23*x_R_NFZ</f>
        <v/>
      </c>
      <c r="AL23">
        <f>AI23*x_R_PIT</f>
        <v/>
      </c>
      <c r="AM23">
        <f>AI23*x_R_FP</f>
        <v/>
      </c>
      <c r="AN23">
        <f>Z23+AA23+AB23+AC23+AE23</f>
        <v/>
      </c>
      <c r="AO23">
        <f>AN23+AD23+AF23+AG23+AH23+AJ23+AK23+AL23+AM23</f>
        <v/>
      </c>
      <c r="AP23">
        <f>AN23+AD23+AF23+AI23</f>
        <v/>
      </c>
      <c r="AQ23">
        <f>AA23+AB23+AC23+AE23</f>
        <v/>
      </c>
      <c r="AR23">
        <f>AQ23+AD23+AF23</f>
        <v/>
      </c>
    </row>
    <row r="24">
      <c r="A24" t="n">
        <v>2047</v>
      </c>
      <c r="B24" t="n">
        <v>21</v>
      </c>
      <c r="C24" t="n">
        <v>4832</v>
      </c>
      <c r="D24" t="n">
        <v>0</v>
      </c>
      <c r="E24" t="n">
        <v>0</v>
      </c>
      <c r="F24" t="n">
        <v>0</v>
      </c>
      <c r="G24" t="n">
        <v>0</v>
      </c>
      <c r="H24" t="n">
        <v>2218.073</v>
      </c>
      <c r="I24" t="n">
        <v>277.503</v>
      </c>
      <c r="J24" t="n">
        <v>1630.094</v>
      </c>
      <c r="K24" t="n">
        <v>2835.663</v>
      </c>
      <c r="L24" t="n">
        <v>1206.444</v>
      </c>
      <c r="M24" t="n">
        <v>78387.89999999999</v>
      </c>
      <c r="N24" t="n">
        <v>7660.626</v>
      </c>
      <c r="O24" t="n">
        <v>92.68300000000001</v>
      </c>
      <c r="P24" t="n">
        <v>93.586</v>
      </c>
      <c r="Q24" t="n">
        <v>999.044</v>
      </c>
      <c r="R24" t="n">
        <v>1076.593</v>
      </c>
      <c r="S24" t="n">
        <v>5302.355</v>
      </c>
      <c r="T24" t="n">
        <v>2495.576</v>
      </c>
      <c r="U24" t="n">
        <v>140365.606</v>
      </c>
      <c r="V24" t="n">
        <v>289.281</v>
      </c>
      <c r="W24" t="n">
        <v>804.551</v>
      </c>
      <c r="X24" t="n">
        <v>92.68300000000001</v>
      </c>
      <c r="Y24" t="n">
        <v>998.561</v>
      </c>
      <c r="Z24">
        <f>H24*x_c_F+I24*x_c_CC+J24*x_c_DC+K24*x_c_HCC+L24*x_c_PLT+M24*x_c_SVRn+N24*x_c_SVRcc+O24*x_c_LT+P24*x_c_LT1</f>
        <v/>
      </c>
      <c r="AA24">
        <f>C24*x_c_DAA</f>
        <v/>
      </c>
      <c r="AB24">
        <f>C24*x_c_MON</f>
        <v/>
      </c>
      <c r="AC24">
        <f>D24*(1-x_testy)</f>
        <v/>
      </c>
      <c r="AD24">
        <f>E24*(1-x_testy)</f>
        <v/>
      </c>
      <c r="AE24">
        <f>F24*x_NAV</f>
        <v/>
      </c>
      <c r="AF24">
        <f>G24*x_FIX*(1-x_testy)</f>
        <v/>
      </c>
      <c r="AG24">
        <f>x_z_F*T24+(1-x_AGRI)*x_EMP*x_WLOSS*(x_PEN_K74*Q24+x_PEN_C22*R24)</f>
        <v/>
      </c>
      <c r="AH24">
        <f>x_AGRI*x_EMP*x_WLOSS*(x_PEN_K74*Q24+x_PEN_C22*R24)</f>
        <v/>
      </c>
      <c r="AI24">
        <f>x_EMP*x_WAGE*(x_WLOSS*(Q24+R24)+S24)+T24*x_ABS_D*x_WAGE/365</f>
        <v/>
      </c>
      <c r="AJ24">
        <f>AI24*x_R_FUS</f>
        <v/>
      </c>
      <c r="AK24">
        <f>AI24*x_R_NFZ</f>
        <v/>
      </c>
      <c r="AL24">
        <f>AI24*x_R_PIT</f>
        <v/>
      </c>
      <c r="AM24">
        <f>AI24*x_R_FP</f>
        <v/>
      </c>
      <c r="AN24">
        <f>Z24+AA24+AB24+AC24+AE24</f>
        <v/>
      </c>
      <c r="AO24">
        <f>AN24+AD24+AF24+AG24+AH24+AJ24+AK24+AL24+AM24</f>
        <v/>
      </c>
      <c r="AP24">
        <f>AN24+AD24+AF24+AI24</f>
        <v/>
      </c>
      <c r="AQ24">
        <f>AA24+AB24+AC24+AE24</f>
        <v/>
      </c>
      <c r="AR24">
        <f>AQ24+AD24+AF24</f>
        <v/>
      </c>
    </row>
    <row r="25">
      <c r="A25" t="n">
        <v>2048</v>
      </c>
      <c r="B25" t="n">
        <v>22</v>
      </c>
      <c r="C25" t="n">
        <v>4832</v>
      </c>
      <c r="D25" t="n">
        <v>0</v>
      </c>
      <c r="E25" t="n">
        <v>0</v>
      </c>
      <c r="F25" t="n">
        <v>0</v>
      </c>
      <c r="G25" t="n">
        <v>0</v>
      </c>
      <c r="H25" t="n">
        <v>2222.513</v>
      </c>
      <c r="I25" t="n">
        <v>271.818</v>
      </c>
      <c r="J25" t="n">
        <v>1596.648</v>
      </c>
      <c r="K25" t="n">
        <v>2776.446</v>
      </c>
      <c r="L25" t="n">
        <v>1187.255</v>
      </c>
      <c r="M25" t="n">
        <v>81109.425</v>
      </c>
      <c r="N25" t="n">
        <v>7771.869</v>
      </c>
      <c r="O25" t="n">
        <v>90.828</v>
      </c>
      <c r="P25" t="n">
        <v>91.755</v>
      </c>
      <c r="Q25" t="n">
        <v>1032.628</v>
      </c>
      <c r="R25" t="n">
        <v>1119.874</v>
      </c>
      <c r="S25" t="n">
        <v>5659.672</v>
      </c>
      <c r="T25" t="n">
        <v>2494.33</v>
      </c>
      <c r="U25" t="n">
        <v>141679.607</v>
      </c>
      <c r="V25" t="n">
        <v>281.949</v>
      </c>
      <c r="W25" t="n">
        <v>786.075</v>
      </c>
      <c r="X25" t="n">
        <v>90.828</v>
      </c>
      <c r="Y25" t="n">
        <v>978.598</v>
      </c>
      <c r="Z25">
        <f>H25*x_c_F+I25*x_c_CC+J25*x_c_DC+K25*x_c_HCC+L25*x_c_PLT+M25*x_c_SVRn+N25*x_c_SVRcc+O25*x_c_LT+P25*x_c_LT1</f>
        <v/>
      </c>
      <c r="AA25">
        <f>C25*x_c_DAA</f>
        <v/>
      </c>
      <c r="AB25">
        <f>C25*x_c_MON</f>
        <v/>
      </c>
      <c r="AC25">
        <f>D25*(1-x_testy)</f>
        <v/>
      </c>
      <c r="AD25">
        <f>E25*(1-x_testy)</f>
        <v/>
      </c>
      <c r="AE25">
        <f>F25*x_NAV</f>
        <v/>
      </c>
      <c r="AF25">
        <f>G25*x_FIX*(1-x_testy)</f>
        <v/>
      </c>
      <c r="AG25">
        <f>x_z_F*T25+(1-x_AGRI)*x_EMP*x_WLOSS*(x_PEN_K74*Q25+x_PEN_C22*R25)</f>
        <v/>
      </c>
      <c r="AH25">
        <f>x_AGRI*x_EMP*x_WLOSS*(x_PEN_K74*Q25+x_PEN_C22*R25)</f>
        <v/>
      </c>
      <c r="AI25">
        <f>x_EMP*x_WAGE*(x_WLOSS*(Q25+R25)+S25)+T25*x_ABS_D*x_WAGE/365</f>
        <v/>
      </c>
      <c r="AJ25">
        <f>AI25*x_R_FUS</f>
        <v/>
      </c>
      <c r="AK25">
        <f>AI25*x_R_NFZ</f>
        <v/>
      </c>
      <c r="AL25">
        <f>AI25*x_R_PIT</f>
        <v/>
      </c>
      <c r="AM25">
        <f>AI25*x_R_FP</f>
        <v/>
      </c>
      <c r="AN25">
        <f>Z25+AA25+AB25+AC25+AE25</f>
        <v/>
      </c>
      <c r="AO25">
        <f>AN25+AD25+AF25+AG25+AH25+AJ25+AK25+AL25+AM25</f>
        <v/>
      </c>
      <c r="AP25">
        <f>AN25+AD25+AF25+AI25</f>
        <v/>
      </c>
      <c r="AQ25">
        <f>AA25+AB25+AC25+AE25</f>
        <v/>
      </c>
      <c r="AR25">
        <f>AQ25+AD25+AF25</f>
        <v/>
      </c>
    </row>
    <row r="26">
      <c r="A26" t="n">
        <v>2049</v>
      </c>
      <c r="B26" t="n">
        <v>23</v>
      </c>
      <c r="C26" t="n">
        <v>4832</v>
      </c>
      <c r="D26" t="n">
        <v>0</v>
      </c>
      <c r="E26" t="n">
        <v>0</v>
      </c>
      <c r="F26" t="n">
        <v>0</v>
      </c>
      <c r="G26" t="n">
        <v>0</v>
      </c>
      <c r="H26" t="n">
        <v>2226.887</v>
      </c>
      <c r="I26" t="n">
        <v>266.288</v>
      </c>
      <c r="J26" t="n">
        <v>1563.052</v>
      </c>
      <c r="K26" t="n">
        <v>2717.875</v>
      </c>
      <c r="L26" t="n">
        <v>1167.929</v>
      </c>
      <c r="M26" t="n">
        <v>83835.102</v>
      </c>
      <c r="N26" t="n">
        <v>7867.753</v>
      </c>
      <c r="O26" t="n">
        <v>88.96299999999999</v>
      </c>
      <c r="P26" t="n">
        <v>89.896</v>
      </c>
      <c r="Q26" t="n">
        <v>1067.329</v>
      </c>
      <c r="R26" t="n">
        <v>1164.188</v>
      </c>
      <c r="S26" t="n">
        <v>6028.244</v>
      </c>
      <c r="T26" t="n">
        <v>2493.175</v>
      </c>
      <c r="U26" t="n">
        <v>143062.415</v>
      </c>
      <c r="V26" t="n">
        <v>275.022</v>
      </c>
      <c r="W26" t="n">
        <v>768.528</v>
      </c>
      <c r="X26" t="n">
        <v>88.96299999999999</v>
      </c>
      <c r="Y26" t="n">
        <v>958.689</v>
      </c>
      <c r="Z26">
        <f>H26*x_c_F+I26*x_c_CC+J26*x_c_DC+K26*x_c_HCC+L26*x_c_PLT+M26*x_c_SVRn+N26*x_c_SVRcc+O26*x_c_LT+P26*x_c_LT1</f>
        <v/>
      </c>
      <c r="AA26">
        <f>C26*x_c_DAA</f>
        <v/>
      </c>
      <c r="AB26">
        <f>C26*x_c_MON</f>
        <v/>
      </c>
      <c r="AC26">
        <f>D26*(1-x_testy)</f>
        <v/>
      </c>
      <c r="AD26">
        <f>E26*(1-x_testy)</f>
        <v/>
      </c>
      <c r="AE26">
        <f>F26*x_NAV</f>
        <v/>
      </c>
      <c r="AF26">
        <f>G26*x_FIX*(1-x_testy)</f>
        <v/>
      </c>
      <c r="AG26">
        <f>x_z_F*T26+(1-x_AGRI)*x_EMP*x_WLOSS*(x_PEN_K74*Q26+x_PEN_C22*R26)</f>
        <v/>
      </c>
      <c r="AH26">
        <f>x_AGRI*x_EMP*x_WLOSS*(x_PEN_K74*Q26+x_PEN_C22*R26)</f>
        <v/>
      </c>
      <c r="AI26">
        <f>x_EMP*x_WAGE*(x_WLOSS*(Q26+R26)+S26)+T26*x_ABS_D*x_WAGE/365</f>
        <v/>
      </c>
      <c r="AJ26">
        <f>AI26*x_R_FUS</f>
        <v/>
      </c>
      <c r="AK26">
        <f>AI26*x_R_NFZ</f>
        <v/>
      </c>
      <c r="AL26">
        <f>AI26*x_R_PIT</f>
        <v/>
      </c>
      <c r="AM26">
        <f>AI26*x_R_FP</f>
        <v/>
      </c>
      <c r="AN26">
        <f>Z26+AA26+AB26+AC26+AE26</f>
        <v/>
      </c>
      <c r="AO26">
        <f>AN26+AD26+AF26+AG26+AH26+AJ26+AK26+AL26+AM26</f>
        <v/>
      </c>
      <c r="AP26">
        <f>AN26+AD26+AF26+AI26</f>
        <v/>
      </c>
      <c r="AQ26">
        <f>AA26+AB26+AC26+AE26</f>
        <v/>
      </c>
      <c r="AR26">
        <f>AQ26+AD26+AF26</f>
        <v/>
      </c>
    </row>
    <row r="27">
      <c r="A27" t="n">
        <v>2050</v>
      </c>
      <c r="B27" t="n">
        <v>24</v>
      </c>
      <c r="C27" t="n">
        <v>4832</v>
      </c>
      <c r="D27" t="n">
        <v>0</v>
      </c>
      <c r="E27" t="n">
        <v>0</v>
      </c>
      <c r="F27" t="n">
        <v>0</v>
      </c>
      <c r="G27" t="n">
        <v>0</v>
      </c>
      <c r="H27" t="n">
        <v>2231.112</v>
      </c>
      <c r="I27" t="n">
        <v>260.994</v>
      </c>
      <c r="J27" t="n">
        <v>1529.867</v>
      </c>
      <c r="K27" t="n">
        <v>2660.887</v>
      </c>
      <c r="L27" t="n">
        <v>1148.583</v>
      </c>
      <c r="M27" t="n">
        <v>86567.211</v>
      </c>
      <c r="N27" t="n">
        <v>7950.168</v>
      </c>
      <c r="O27" t="n">
        <v>87.122</v>
      </c>
      <c r="P27" t="n">
        <v>88.04300000000001</v>
      </c>
      <c r="Q27" t="n">
        <v>1103.015</v>
      </c>
      <c r="R27" t="n">
        <v>1209.296</v>
      </c>
      <c r="S27" t="n">
        <v>6407.855</v>
      </c>
      <c r="T27" t="n">
        <v>2492.106</v>
      </c>
      <c r="U27" t="n">
        <v>144510.535</v>
      </c>
      <c r="V27" t="n">
        <v>268.542</v>
      </c>
      <c r="W27" t="n">
        <v>752.034</v>
      </c>
      <c r="X27" t="n">
        <v>87.122</v>
      </c>
      <c r="Y27" t="n">
        <v>939.162</v>
      </c>
      <c r="Z27">
        <f>H27*x_c_F+I27*x_c_CC+J27*x_c_DC+K27*x_c_HCC+L27*x_c_PLT+M27*x_c_SVRn+N27*x_c_SVRcc+O27*x_c_LT+P27*x_c_LT1</f>
        <v/>
      </c>
      <c r="AA27">
        <f>C27*x_c_DAA</f>
        <v/>
      </c>
      <c r="AB27">
        <f>C27*x_c_MON</f>
        <v/>
      </c>
      <c r="AC27">
        <f>D27*(1-x_testy)</f>
        <v/>
      </c>
      <c r="AD27">
        <f>E27*(1-x_testy)</f>
        <v/>
      </c>
      <c r="AE27">
        <f>F27*x_NAV</f>
        <v/>
      </c>
      <c r="AF27">
        <f>G27*x_FIX*(1-x_testy)</f>
        <v/>
      </c>
      <c r="AG27">
        <f>x_z_F*T27+(1-x_AGRI)*x_EMP*x_WLOSS*(x_PEN_K74*Q27+x_PEN_C22*R27)</f>
        <v/>
      </c>
      <c r="AH27">
        <f>x_AGRI*x_EMP*x_WLOSS*(x_PEN_K74*Q27+x_PEN_C22*R27)</f>
        <v/>
      </c>
      <c r="AI27">
        <f>x_EMP*x_WAGE*(x_WLOSS*(Q27+R27)+S27)+T27*x_ABS_D*x_WAGE/365</f>
        <v/>
      </c>
      <c r="AJ27">
        <f>AI27*x_R_FUS</f>
        <v/>
      </c>
      <c r="AK27">
        <f>AI27*x_R_NFZ</f>
        <v/>
      </c>
      <c r="AL27">
        <f>AI27*x_R_PIT</f>
        <v/>
      </c>
      <c r="AM27">
        <f>AI27*x_R_FP</f>
        <v/>
      </c>
      <c r="AN27">
        <f>Z27+AA27+AB27+AC27+AE27</f>
        <v/>
      </c>
      <c r="AO27">
        <f>AN27+AD27+AF27+AG27+AH27+AJ27+AK27+AL27+AM27</f>
        <v/>
      </c>
      <c r="AP27">
        <f>AN27+AD27+AF27+AI27</f>
        <v/>
      </c>
      <c r="AQ27">
        <f>AA27+AB27+AC27+AE27</f>
        <v/>
      </c>
      <c r="AR27">
        <f>AQ27+AD27+AF27</f>
        <v/>
      </c>
    </row>
    <row r="28">
      <c r="A28" t="n">
        <v>2051</v>
      </c>
      <c r="B28" t="n">
        <v>25</v>
      </c>
      <c r="C28" t="n">
        <v>4832</v>
      </c>
      <c r="D28" t="n">
        <v>0</v>
      </c>
      <c r="E28" t="n">
        <v>0</v>
      </c>
      <c r="F28" t="n">
        <v>0</v>
      </c>
      <c r="G28" t="n">
        <v>0</v>
      </c>
      <c r="H28" t="n">
        <v>2235.135</v>
      </c>
      <c r="I28" t="n">
        <v>255.981</v>
      </c>
      <c r="J28" t="n">
        <v>1497.481</v>
      </c>
      <c r="K28" t="n">
        <v>2606.072</v>
      </c>
      <c r="L28" t="n">
        <v>1129.274</v>
      </c>
      <c r="M28" t="n">
        <v>89305.17200000001</v>
      </c>
      <c r="N28" t="n">
        <v>8020.525</v>
      </c>
      <c r="O28" t="n">
        <v>85.322</v>
      </c>
      <c r="P28" t="n">
        <v>86.22199999999999</v>
      </c>
      <c r="Q28" t="n">
        <v>1139.525</v>
      </c>
      <c r="R28" t="n">
        <v>1254.924</v>
      </c>
      <c r="S28" t="n">
        <v>6798.128</v>
      </c>
      <c r="T28" t="n">
        <v>2491.116</v>
      </c>
      <c r="U28" t="n">
        <v>146016.983</v>
      </c>
      <c r="V28" t="n">
        <v>262.508</v>
      </c>
      <c r="W28" t="n">
        <v>736.606</v>
      </c>
      <c r="X28" t="n">
        <v>85.322</v>
      </c>
      <c r="Y28" t="n">
        <v>920.189</v>
      </c>
      <c r="Z28">
        <f>H28*x_c_F+I28*x_c_CC+J28*x_c_DC+K28*x_c_HCC+L28*x_c_PLT+M28*x_c_SVRn+N28*x_c_SVRcc+O28*x_c_LT+P28*x_c_LT1</f>
        <v/>
      </c>
      <c r="AA28">
        <f>C28*x_c_DAA</f>
        <v/>
      </c>
      <c r="AB28">
        <f>C28*x_c_MON</f>
        <v/>
      </c>
      <c r="AC28">
        <f>D28*(1-x_testy)</f>
        <v/>
      </c>
      <c r="AD28">
        <f>E28*(1-x_testy)</f>
        <v/>
      </c>
      <c r="AE28">
        <f>F28*x_NAV</f>
        <v/>
      </c>
      <c r="AF28">
        <f>G28*x_FIX*(1-x_testy)</f>
        <v/>
      </c>
      <c r="AG28">
        <f>x_z_F*T28+(1-x_AGRI)*x_EMP*x_WLOSS*(x_PEN_K74*Q28+x_PEN_C22*R28)</f>
        <v/>
      </c>
      <c r="AH28">
        <f>x_AGRI*x_EMP*x_WLOSS*(x_PEN_K74*Q28+x_PEN_C22*R28)</f>
        <v/>
      </c>
      <c r="AI28">
        <f>x_EMP*x_WAGE*(x_WLOSS*(Q28+R28)+S28)+T28*x_ABS_D*x_WAGE/365</f>
        <v/>
      </c>
      <c r="AJ28">
        <f>AI28*x_R_FUS</f>
        <v/>
      </c>
      <c r="AK28">
        <f>AI28*x_R_NFZ</f>
        <v/>
      </c>
      <c r="AL28">
        <f>AI28*x_R_PIT</f>
        <v/>
      </c>
      <c r="AM28">
        <f>AI28*x_R_FP</f>
        <v/>
      </c>
      <c r="AN28">
        <f>Z28+AA28+AB28+AC28+AE28</f>
        <v/>
      </c>
      <c r="AO28">
        <f>AN28+AD28+AF28+AG28+AH28+AJ28+AK28+AL28+AM28</f>
        <v/>
      </c>
      <c r="AP28">
        <f>AN28+AD28+AF28+AI28</f>
        <v/>
      </c>
      <c r="AQ28">
        <f>AA28+AB28+AC28+AE28</f>
        <v/>
      </c>
      <c r="AR28">
        <f>AQ28+AD28+AF28</f>
        <v/>
      </c>
    </row>
    <row r="29">
      <c r="A29" t="n">
        <v>2052</v>
      </c>
      <c r="B29" t="n">
        <v>26</v>
      </c>
      <c r="C29" t="n">
        <v>4832</v>
      </c>
      <c r="D29" t="n">
        <v>0</v>
      </c>
      <c r="E29" t="n">
        <v>0</v>
      </c>
      <c r="F29" t="n">
        <v>0</v>
      </c>
      <c r="G29" t="n">
        <v>0</v>
      </c>
      <c r="H29" t="n">
        <v>2238.929</v>
      </c>
      <c r="I29" t="n">
        <v>251.268</v>
      </c>
      <c r="J29" t="n">
        <v>1466.105</v>
      </c>
      <c r="K29" t="n">
        <v>2553.698</v>
      </c>
      <c r="L29" t="n">
        <v>1109.988</v>
      </c>
      <c r="M29" t="n">
        <v>92045.586</v>
      </c>
      <c r="N29" t="n">
        <v>8079.673</v>
      </c>
      <c r="O29" t="n">
        <v>83.575</v>
      </c>
      <c r="P29" t="n">
        <v>84.449</v>
      </c>
      <c r="Q29" t="n">
        <v>1176.691</v>
      </c>
      <c r="R29" t="n">
        <v>1300.789</v>
      </c>
      <c r="S29" t="n">
        <v>7198.672</v>
      </c>
      <c r="T29" t="n">
        <v>2490.197</v>
      </c>
      <c r="U29" t="n">
        <v>147571.684</v>
      </c>
      <c r="V29" t="n">
        <v>256.901</v>
      </c>
      <c r="W29" t="n">
        <v>722.203</v>
      </c>
      <c r="X29" t="n">
        <v>83.575</v>
      </c>
      <c r="Y29" t="n">
        <v>901.877</v>
      </c>
      <c r="Z29">
        <f>H29*x_c_F+I29*x_c_CC+J29*x_c_DC+K29*x_c_HCC+L29*x_c_PLT+M29*x_c_SVRn+N29*x_c_SVRcc+O29*x_c_LT+P29*x_c_LT1</f>
        <v/>
      </c>
      <c r="AA29">
        <f>C29*x_c_DAA</f>
        <v/>
      </c>
      <c r="AB29">
        <f>C29*x_c_MON</f>
        <v/>
      </c>
      <c r="AC29">
        <f>D29*(1-x_testy)</f>
        <v/>
      </c>
      <c r="AD29">
        <f>E29*(1-x_testy)</f>
        <v/>
      </c>
      <c r="AE29">
        <f>F29*x_NAV</f>
        <v/>
      </c>
      <c r="AF29">
        <f>G29*x_FIX*(1-x_testy)</f>
        <v/>
      </c>
      <c r="AG29">
        <f>x_z_F*T29+(1-x_AGRI)*x_EMP*x_WLOSS*(x_PEN_K74*Q29+x_PEN_C22*R29)</f>
        <v/>
      </c>
      <c r="AH29">
        <f>x_AGRI*x_EMP*x_WLOSS*(x_PEN_K74*Q29+x_PEN_C22*R29)</f>
        <v/>
      </c>
      <c r="AI29">
        <f>x_EMP*x_WAGE*(x_WLOSS*(Q29+R29)+S29)+T29*x_ABS_D*x_WAGE/365</f>
        <v/>
      </c>
      <c r="AJ29">
        <f>AI29*x_R_FUS</f>
        <v/>
      </c>
      <c r="AK29">
        <f>AI29*x_R_NFZ</f>
        <v/>
      </c>
      <c r="AL29">
        <f>AI29*x_R_PIT</f>
        <v/>
      </c>
      <c r="AM29">
        <f>AI29*x_R_FP</f>
        <v/>
      </c>
      <c r="AN29">
        <f>Z29+AA29+AB29+AC29+AE29</f>
        <v/>
      </c>
      <c r="AO29">
        <f>AN29+AD29+AF29+AG29+AH29+AJ29+AK29+AL29+AM29</f>
        <v/>
      </c>
      <c r="AP29">
        <f>AN29+AD29+AF29+AI29</f>
        <v/>
      </c>
      <c r="AQ29">
        <f>AA29+AB29+AC29+AE29</f>
        <v/>
      </c>
      <c r="AR29">
        <f>AQ29+AD29+AF29</f>
        <v/>
      </c>
    </row>
    <row r="30">
      <c r="A30" t="n">
        <v>2053</v>
      </c>
      <c r="B30" t="n">
        <v>27</v>
      </c>
      <c r="C30" t="n">
        <v>4832</v>
      </c>
      <c r="D30" t="n">
        <v>0</v>
      </c>
      <c r="E30" t="n">
        <v>0</v>
      </c>
      <c r="F30" t="n">
        <v>0</v>
      </c>
      <c r="G30" t="n">
        <v>0</v>
      </c>
      <c r="H30" t="n">
        <v>2242.489</v>
      </c>
      <c r="I30" t="n">
        <v>246.85</v>
      </c>
      <c r="J30" t="n">
        <v>1435.814</v>
      </c>
      <c r="K30" t="n">
        <v>2503.785</v>
      </c>
      <c r="L30" t="n">
        <v>1090.641</v>
      </c>
      <c r="M30" t="n">
        <v>94782.386</v>
      </c>
      <c r="N30" t="n">
        <v>8127.895</v>
      </c>
      <c r="O30" t="n">
        <v>81.88200000000001</v>
      </c>
      <c r="P30" t="n">
        <v>82.729</v>
      </c>
      <c r="Q30" t="n">
        <v>1214.319</v>
      </c>
      <c r="R30" t="n">
        <v>1346.585</v>
      </c>
      <c r="S30" t="n">
        <v>7608.86</v>
      </c>
      <c r="T30" t="n">
        <v>2489.339</v>
      </c>
      <c r="U30" t="n">
        <v>149162.237</v>
      </c>
      <c r="V30" t="n">
        <v>251.677</v>
      </c>
      <c r="W30" t="n">
        <v>708.7140000000001</v>
      </c>
      <c r="X30" t="n">
        <v>81.88200000000001</v>
      </c>
      <c r="Y30" t="n">
        <v>884.212</v>
      </c>
      <c r="Z30">
        <f>H30*x_c_F+I30*x_c_CC+J30*x_c_DC+K30*x_c_HCC+L30*x_c_PLT+M30*x_c_SVRn+N30*x_c_SVRcc+O30*x_c_LT+P30*x_c_LT1</f>
        <v/>
      </c>
      <c r="AA30">
        <f>C30*x_c_DAA</f>
        <v/>
      </c>
      <c r="AB30">
        <f>C30*x_c_MON</f>
        <v/>
      </c>
      <c r="AC30">
        <f>D30*(1-x_testy)</f>
        <v/>
      </c>
      <c r="AD30">
        <f>E30*(1-x_testy)</f>
        <v/>
      </c>
      <c r="AE30">
        <f>F30*x_NAV</f>
        <v/>
      </c>
      <c r="AF30">
        <f>G30*x_FIX*(1-x_testy)</f>
        <v/>
      </c>
      <c r="AG30">
        <f>x_z_F*T30+(1-x_AGRI)*x_EMP*x_WLOSS*(x_PEN_K74*Q30+x_PEN_C22*R30)</f>
        <v/>
      </c>
      <c r="AH30">
        <f>x_AGRI*x_EMP*x_WLOSS*(x_PEN_K74*Q30+x_PEN_C22*R30)</f>
        <v/>
      </c>
      <c r="AI30">
        <f>x_EMP*x_WAGE*(x_WLOSS*(Q30+R30)+S30)+T30*x_ABS_D*x_WAGE/365</f>
        <v/>
      </c>
      <c r="AJ30">
        <f>AI30*x_R_FUS</f>
        <v/>
      </c>
      <c r="AK30">
        <f>AI30*x_R_NFZ</f>
        <v/>
      </c>
      <c r="AL30">
        <f>AI30*x_R_PIT</f>
        <v/>
      </c>
      <c r="AM30">
        <f>AI30*x_R_FP</f>
        <v/>
      </c>
      <c r="AN30">
        <f>Z30+AA30+AB30+AC30+AE30</f>
        <v/>
      </c>
      <c r="AO30">
        <f>AN30+AD30+AF30+AG30+AH30+AJ30+AK30+AL30+AM30</f>
        <v/>
      </c>
      <c r="AP30">
        <f>AN30+AD30+AF30+AI30</f>
        <v/>
      </c>
      <c r="AQ30">
        <f>AA30+AB30+AC30+AE30</f>
        <v/>
      </c>
      <c r="AR30">
        <f>AQ30+AD30+AF30</f>
        <v/>
      </c>
    </row>
    <row r="31">
      <c r="A31" t="n">
        <v>2054</v>
      </c>
      <c r="B31" t="n">
        <v>28</v>
      </c>
      <c r="C31" t="n">
        <v>4832</v>
      </c>
      <c r="D31" t="n">
        <v>0</v>
      </c>
      <c r="E31" t="n">
        <v>0</v>
      </c>
      <c r="F31" t="n">
        <v>0</v>
      </c>
      <c r="G31" t="n">
        <v>0</v>
      </c>
      <c r="H31" t="n">
        <v>2245.825</v>
      </c>
      <c r="I31" t="n">
        <v>242.708</v>
      </c>
      <c r="J31" t="n">
        <v>1406.565</v>
      </c>
      <c r="K31" t="n">
        <v>2456.153</v>
      </c>
      <c r="L31" t="n">
        <v>1071.082</v>
      </c>
      <c r="M31" t="n">
        <v>97506.94</v>
      </c>
      <c r="N31" t="n">
        <v>8164.906</v>
      </c>
      <c r="O31" t="n">
        <v>80.241</v>
      </c>
      <c r="P31" t="n">
        <v>81.062</v>
      </c>
      <c r="Q31" t="n">
        <v>1252.199</v>
      </c>
      <c r="R31" t="n">
        <v>1392</v>
      </c>
      <c r="S31" t="n">
        <v>8027.925</v>
      </c>
      <c r="T31" t="n">
        <v>2488.533</v>
      </c>
      <c r="U31" t="n">
        <v>150774.333</v>
      </c>
      <c r="V31" t="n">
        <v>246.788</v>
      </c>
      <c r="W31" t="n">
        <v>696.015</v>
      </c>
      <c r="X31" t="n">
        <v>80.241</v>
      </c>
      <c r="Y31" t="n">
        <v>867.147</v>
      </c>
      <c r="Z31">
        <f>H31*x_c_F+I31*x_c_CC+J31*x_c_DC+K31*x_c_HCC+L31*x_c_PLT+M31*x_c_SVRn+N31*x_c_SVRcc+O31*x_c_LT+P31*x_c_LT1</f>
        <v/>
      </c>
      <c r="AA31">
        <f>C31*x_c_DAA</f>
        <v/>
      </c>
      <c r="AB31">
        <f>C31*x_c_MON</f>
        <v/>
      </c>
      <c r="AC31">
        <f>D31*(1-x_testy)</f>
        <v/>
      </c>
      <c r="AD31">
        <f>E31*(1-x_testy)</f>
        <v/>
      </c>
      <c r="AE31">
        <f>F31*x_NAV</f>
        <v/>
      </c>
      <c r="AF31">
        <f>G31*x_FIX*(1-x_testy)</f>
        <v/>
      </c>
      <c r="AG31">
        <f>x_z_F*T31+(1-x_AGRI)*x_EMP*x_WLOSS*(x_PEN_K74*Q31+x_PEN_C22*R31)</f>
        <v/>
      </c>
      <c r="AH31">
        <f>x_AGRI*x_EMP*x_WLOSS*(x_PEN_K74*Q31+x_PEN_C22*R31)</f>
        <v/>
      </c>
      <c r="AI31">
        <f>x_EMP*x_WAGE*(x_WLOSS*(Q31+R31)+S31)+T31*x_ABS_D*x_WAGE/365</f>
        <v/>
      </c>
      <c r="AJ31">
        <f>AI31*x_R_FUS</f>
        <v/>
      </c>
      <c r="AK31">
        <f>AI31*x_R_NFZ</f>
        <v/>
      </c>
      <c r="AL31">
        <f>AI31*x_R_PIT</f>
        <v/>
      </c>
      <c r="AM31">
        <f>AI31*x_R_FP</f>
        <v/>
      </c>
      <c r="AN31">
        <f>Z31+AA31+AB31+AC31+AE31</f>
        <v/>
      </c>
      <c r="AO31">
        <f>AN31+AD31+AF31+AG31+AH31+AJ31+AK31+AL31+AM31</f>
        <v/>
      </c>
      <c r="AP31">
        <f>AN31+AD31+AF31+AI31</f>
        <v/>
      </c>
      <c r="AQ31">
        <f>AA31+AB31+AC31+AE31</f>
        <v/>
      </c>
      <c r="AR31">
        <f>AQ31+AD31+AF31</f>
        <v/>
      </c>
    </row>
    <row r="32">
      <c r="A32" t="n">
        <v>2055</v>
      </c>
      <c r="B32" t="n">
        <v>29</v>
      </c>
      <c r="C32" t="n">
        <v>4832</v>
      </c>
      <c r="D32" t="n">
        <v>0</v>
      </c>
      <c r="E32" t="n">
        <v>0</v>
      </c>
      <c r="F32" t="n">
        <v>0</v>
      </c>
      <c r="G32" t="n">
        <v>0</v>
      </c>
      <c r="H32" t="n">
        <v>2248.95</v>
      </c>
      <c r="I32" t="n">
        <v>238.82</v>
      </c>
      <c r="J32" t="n">
        <v>1378.269</v>
      </c>
      <c r="K32" t="n">
        <v>2410.547</v>
      </c>
      <c r="L32" t="n">
        <v>1051.129</v>
      </c>
      <c r="M32" t="n">
        <v>100209.364</v>
      </c>
      <c r="N32" t="n">
        <v>8190.136</v>
      </c>
      <c r="O32" t="n">
        <v>78.64700000000001</v>
      </c>
      <c r="P32" t="n">
        <v>79.444</v>
      </c>
      <c r="Q32" t="n">
        <v>1290.117</v>
      </c>
      <c r="R32" t="n">
        <v>1436.729</v>
      </c>
      <c r="S32" t="n">
        <v>8454.98</v>
      </c>
      <c r="T32" t="n">
        <v>2487.771</v>
      </c>
      <c r="U32" t="n">
        <v>152393.661</v>
      </c>
      <c r="V32" t="n">
        <v>242.186</v>
      </c>
      <c r="W32" t="n">
        <v>683.9829999999999</v>
      </c>
      <c r="X32" t="n">
        <v>78.64700000000001</v>
      </c>
      <c r="Y32" t="n">
        <v>850.603</v>
      </c>
      <c r="Z32">
        <f>H32*x_c_F+I32*x_c_CC+J32*x_c_DC+K32*x_c_HCC+L32*x_c_PLT+M32*x_c_SVRn+N32*x_c_SVRcc+O32*x_c_LT+P32*x_c_LT1</f>
        <v/>
      </c>
      <c r="AA32">
        <f>C32*x_c_DAA</f>
        <v/>
      </c>
      <c r="AB32">
        <f>C32*x_c_MON</f>
        <v/>
      </c>
      <c r="AC32">
        <f>D32*(1-x_testy)</f>
        <v/>
      </c>
      <c r="AD32">
        <f>E32*(1-x_testy)</f>
        <v/>
      </c>
      <c r="AE32">
        <f>F32*x_NAV</f>
        <v/>
      </c>
      <c r="AF32">
        <f>G32*x_FIX*(1-x_testy)</f>
        <v/>
      </c>
      <c r="AG32">
        <f>x_z_F*T32+(1-x_AGRI)*x_EMP*x_WLOSS*(x_PEN_K74*Q32+x_PEN_C22*R32)</f>
        <v/>
      </c>
      <c r="AH32">
        <f>x_AGRI*x_EMP*x_WLOSS*(x_PEN_K74*Q32+x_PEN_C22*R32)</f>
        <v/>
      </c>
      <c r="AI32">
        <f>x_EMP*x_WAGE*(x_WLOSS*(Q32+R32)+S32)+T32*x_ABS_D*x_WAGE/365</f>
        <v/>
      </c>
      <c r="AJ32">
        <f>AI32*x_R_FUS</f>
        <v/>
      </c>
      <c r="AK32">
        <f>AI32*x_R_NFZ</f>
        <v/>
      </c>
      <c r="AL32">
        <f>AI32*x_R_PIT</f>
        <v/>
      </c>
      <c r="AM32">
        <f>AI32*x_R_FP</f>
        <v/>
      </c>
      <c r="AN32">
        <f>Z32+AA32+AB32+AC32+AE32</f>
        <v/>
      </c>
      <c r="AO32">
        <f>AN32+AD32+AF32+AG32+AH32+AJ32+AK32+AL32+AM32</f>
        <v/>
      </c>
      <c r="AP32">
        <f>AN32+AD32+AF32+AI32</f>
        <v/>
      </c>
      <c r="AQ32">
        <f>AA32+AB32+AC32+AE32</f>
        <v/>
      </c>
      <c r="AR32">
        <f>AQ32+AD32+AF32</f>
        <v/>
      </c>
    </row>
    <row r="33">
      <c r="A33" t="n">
        <v>2056</v>
      </c>
      <c r="B33" t="n">
        <v>30</v>
      </c>
      <c r="C33" t="n">
        <v>4832</v>
      </c>
      <c r="D33" t="n">
        <v>0</v>
      </c>
      <c r="E33" t="n">
        <v>0</v>
      </c>
      <c r="F33" t="n">
        <v>0</v>
      </c>
      <c r="G33" t="n">
        <v>0</v>
      </c>
      <c r="H33" t="n">
        <v>2251.885</v>
      </c>
      <c r="I33" t="n">
        <v>235.159</v>
      </c>
      <c r="J33" t="n">
        <v>1350.783</v>
      </c>
      <c r="K33" t="n">
        <v>2366.629</v>
      </c>
      <c r="L33" t="n">
        <v>1030.548</v>
      </c>
      <c r="M33" t="n">
        <v>102877.698</v>
      </c>
      <c r="N33" t="n">
        <v>8202.57</v>
      </c>
      <c r="O33" t="n">
        <v>77.089</v>
      </c>
      <c r="P33" t="n">
        <v>77.86799999999999</v>
      </c>
      <c r="Q33" t="n">
        <v>1327.837</v>
      </c>
      <c r="R33" t="n">
        <v>1480.462</v>
      </c>
      <c r="S33" t="n">
        <v>8888.858</v>
      </c>
      <c r="T33" t="n">
        <v>2487.044</v>
      </c>
      <c r="U33" t="n">
        <v>154004.808</v>
      </c>
      <c r="V33" t="n">
        <v>237.821</v>
      </c>
      <c r="W33" t="n">
        <v>672.478</v>
      </c>
      <c r="X33" t="n">
        <v>77.089</v>
      </c>
      <c r="Y33" t="n">
        <v>834.453</v>
      </c>
      <c r="Z33">
        <f>H33*x_c_F+I33*x_c_CC+J33*x_c_DC+K33*x_c_HCC+L33*x_c_PLT+M33*x_c_SVRn+N33*x_c_SVRcc+O33*x_c_LT+P33*x_c_LT1</f>
        <v/>
      </c>
      <c r="AA33">
        <f>C33*x_c_DAA</f>
        <v/>
      </c>
      <c r="AB33">
        <f>C33*x_c_MON</f>
        <v/>
      </c>
      <c r="AC33">
        <f>D33*(1-x_testy)</f>
        <v/>
      </c>
      <c r="AD33">
        <f>E33*(1-x_testy)</f>
        <v/>
      </c>
      <c r="AE33">
        <f>F33*x_NAV</f>
        <v/>
      </c>
      <c r="AF33">
        <f>G33*x_FIX*(1-x_testy)</f>
        <v/>
      </c>
      <c r="AG33">
        <f>x_z_F*T33+(1-x_AGRI)*x_EMP*x_WLOSS*(x_PEN_K74*Q33+x_PEN_C22*R33)</f>
        <v/>
      </c>
      <c r="AH33">
        <f>x_AGRI*x_EMP*x_WLOSS*(x_PEN_K74*Q33+x_PEN_C22*R33)</f>
        <v/>
      </c>
      <c r="AI33">
        <f>x_EMP*x_WAGE*(x_WLOSS*(Q33+R33)+S33)+T33*x_ABS_D*x_WAGE/365</f>
        <v/>
      </c>
      <c r="AJ33">
        <f>AI33*x_R_FUS</f>
        <v/>
      </c>
      <c r="AK33">
        <f>AI33*x_R_NFZ</f>
        <v/>
      </c>
      <c r="AL33">
        <f>AI33*x_R_PIT</f>
        <v/>
      </c>
      <c r="AM33">
        <f>AI33*x_R_FP</f>
        <v/>
      </c>
      <c r="AN33">
        <f>Z33+AA33+AB33+AC33+AE33</f>
        <v/>
      </c>
      <c r="AO33">
        <f>AN33+AD33+AF33+AG33+AH33+AJ33+AK33+AL33+AM33</f>
        <v/>
      </c>
      <c r="AP33">
        <f>AN33+AD33+AF33+AI33</f>
        <v/>
      </c>
      <c r="AQ33">
        <f>AA33+AB33+AC33+AE33</f>
        <v/>
      </c>
      <c r="AR33">
        <f>AQ33+AD33+AF33</f>
        <v/>
      </c>
    </row>
    <row r="34">
      <c r="A34" t="n">
        <v>2057</v>
      </c>
      <c r="B34" t="n">
        <v>31</v>
      </c>
      <c r="C34" t="n">
        <v>4832</v>
      </c>
      <c r="D34" t="n">
        <v>0</v>
      </c>
      <c r="E34" t="n">
        <v>0</v>
      </c>
      <c r="F34" t="n">
        <v>0</v>
      </c>
      <c r="G34" t="n">
        <v>0</v>
      </c>
      <c r="H34" t="n">
        <v>2254.7</v>
      </c>
      <c r="I34" t="n">
        <v>231.639</v>
      </c>
      <c r="J34" t="n">
        <v>1322.3</v>
      </c>
      <c r="K34" t="n">
        <v>2321.526</v>
      </c>
      <c r="L34" t="n">
        <v>1006.394</v>
      </c>
      <c r="M34" t="n">
        <v>105411.698</v>
      </c>
      <c r="N34" t="n">
        <v>8185.313</v>
      </c>
      <c r="O34" t="n">
        <v>75.35899999999999</v>
      </c>
      <c r="P34" t="n">
        <v>76.224</v>
      </c>
      <c r="Q34" t="n">
        <v>1365.117</v>
      </c>
      <c r="R34" t="n">
        <v>1522.9</v>
      </c>
      <c r="S34" t="n">
        <v>9328.162</v>
      </c>
      <c r="T34" t="n">
        <v>2486.339</v>
      </c>
      <c r="U34" t="n">
        <v>155507.536</v>
      </c>
      <c r="V34" t="n">
        <v>233.334</v>
      </c>
      <c r="W34" t="n">
        <v>660.329</v>
      </c>
      <c r="X34" t="n">
        <v>75.35899999999999</v>
      </c>
      <c r="Y34" t="n">
        <v>816.4160000000001</v>
      </c>
      <c r="Z34">
        <f>H34*x_c_F+I34*x_c_CC+J34*x_c_DC+K34*x_c_HCC+L34*x_c_PLT+M34*x_c_SVRn+N34*x_c_SVRcc+O34*x_c_LT+P34*x_c_LT1</f>
        <v/>
      </c>
      <c r="AA34">
        <f>C34*x_c_DAA</f>
        <v/>
      </c>
      <c r="AB34">
        <f>C34*x_c_MON</f>
        <v/>
      </c>
      <c r="AC34">
        <f>D34*(1-x_testy)</f>
        <v/>
      </c>
      <c r="AD34">
        <f>E34*(1-x_testy)</f>
        <v/>
      </c>
      <c r="AE34">
        <f>F34*x_NAV</f>
        <v/>
      </c>
      <c r="AF34">
        <f>G34*x_FIX*(1-x_testy)</f>
        <v/>
      </c>
      <c r="AG34">
        <f>x_z_F*T34+(1-x_AGRI)*x_EMP*x_WLOSS*(x_PEN_K74*Q34+x_PEN_C22*R34)</f>
        <v/>
      </c>
      <c r="AH34">
        <f>x_AGRI*x_EMP*x_WLOSS*(x_PEN_K74*Q34+x_PEN_C22*R34)</f>
        <v/>
      </c>
      <c r="AI34">
        <f>x_EMP*x_WAGE*(x_WLOSS*(Q34+R34)+S34)+T34*x_ABS_D*x_WAGE/365</f>
        <v/>
      </c>
      <c r="AJ34">
        <f>AI34*x_R_FUS</f>
        <v/>
      </c>
      <c r="AK34">
        <f>AI34*x_R_NFZ</f>
        <v/>
      </c>
      <c r="AL34">
        <f>AI34*x_R_PIT</f>
        <v/>
      </c>
      <c r="AM34">
        <f>AI34*x_R_FP</f>
        <v/>
      </c>
      <c r="AN34">
        <f>Z34+AA34+AB34+AC34+AE34</f>
        <v/>
      </c>
      <c r="AO34">
        <f>AN34+AD34+AF34+AG34+AH34+AJ34+AK34+AL34+AM34</f>
        <v/>
      </c>
      <c r="AP34">
        <f>AN34+AD34+AF34+AI34</f>
        <v/>
      </c>
      <c r="AQ34">
        <f>AA34+AB34+AC34+AE34</f>
        <v/>
      </c>
      <c r="AR34">
        <f>AQ34+AD34+AF34</f>
        <v/>
      </c>
    </row>
    <row r="35">
      <c r="A35" t="n">
        <v>2058</v>
      </c>
      <c r="B35" t="n">
        <v>32</v>
      </c>
      <c r="C35" t="n">
        <v>4832</v>
      </c>
      <c r="D35" t="n">
        <v>0</v>
      </c>
      <c r="E35" t="n">
        <v>0</v>
      </c>
      <c r="F35" t="n">
        <v>0</v>
      </c>
      <c r="G35" t="n">
        <v>0</v>
      </c>
      <c r="H35" t="n">
        <v>2257.325</v>
      </c>
      <c r="I35" t="n">
        <v>228.338</v>
      </c>
      <c r="J35" t="n">
        <v>1295.043</v>
      </c>
      <c r="K35" t="n">
        <v>2278.557</v>
      </c>
      <c r="L35" t="n">
        <v>982.13</v>
      </c>
      <c r="M35" t="n">
        <v>107917.344</v>
      </c>
      <c r="N35" t="n">
        <v>8158.744</v>
      </c>
      <c r="O35" t="n">
        <v>73.93899999999999</v>
      </c>
      <c r="P35" t="n">
        <v>74.649</v>
      </c>
      <c r="Q35" t="n">
        <v>1401.705</v>
      </c>
      <c r="R35" t="n">
        <v>1563.757</v>
      </c>
      <c r="S35" t="n">
        <v>9771.272000000001</v>
      </c>
      <c r="T35" t="n">
        <v>2485.664</v>
      </c>
      <c r="U35" t="n">
        <v>157004.349</v>
      </c>
      <c r="V35" t="n">
        <v>229.474</v>
      </c>
      <c r="W35" t="n">
        <v>650.032</v>
      </c>
      <c r="X35" t="n">
        <v>73.93899999999999</v>
      </c>
      <c r="Y35" t="n">
        <v>801.684</v>
      </c>
      <c r="Z35">
        <f>H35*x_c_F+I35*x_c_CC+J35*x_c_DC+K35*x_c_HCC+L35*x_c_PLT+M35*x_c_SVRn+N35*x_c_SVRcc+O35*x_c_LT+P35*x_c_LT1</f>
        <v/>
      </c>
      <c r="AA35">
        <f>C35*x_c_DAA</f>
        <v/>
      </c>
      <c r="AB35">
        <f>C35*x_c_MON</f>
        <v/>
      </c>
      <c r="AC35">
        <f>D35*(1-x_testy)</f>
        <v/>
      </c>
      <c r="AD35">
        <f>E35*(1-x_testy)</f>
        <v/>
      </c>
      <c r="AE35">
        <f>F35*x_NAV</f>
        <v/>
      </c>
      <c r="AF35">
        <f>G35*x_FIX*(1-x_testy)</f>
        <v/>
      </c>
      <c r="AG35">
        <f>x_z_F*T35+(1-x_AGRI)*x_EMP*x_WLOSS*(x_PEN_K74*Q35+x_PEN_C22*R35)</f>
        <v/>
      </c>
      <c r="AH35">
        <f>x_AGRI*x_EMP*x_WLOSS*(x_PEN_K74*Q35+x_PEN_C22*R35)</f>
        <v/>
      </c>
      <c r="AI35">
        <f>x_EMP*x_WAGE*(x_WLOSS*(Q35+R35)+S35)+T35*x_ABS_D*x_WAGE/365</f>
        <v/>
      </c>
      <c r="AJ35">
        <f>AI35*x_R_FUS</f>
        <v/>
      </c>
      <c r="AK35">
        <f>AI35*x_R_NFZ</f>
        <v/>
      </c>
      <c r="AL35">
        <f>AI35*x_R_PIT</f>
        <v/>
      </c>
      <c r="AM35">
        <f>AI35*x_R_FP</f>
        <v/>
      </c>
      <c r="AN35">
        <f>Z35+AA35+AB35+AC35+AE35</f>
        <v/>
      </c>
      <c r="AO35">
        <f>AN35+AD35+AF35+AG35+AH35+AJ35+AK35+AL35+AM35</f>
        <v/>
      </c>
      <c r="AP35">
        <f>AN35+AD35+AF35+AI35</f>
        <v/>
      </c>
      <c r="AQ35">
        <f>AA35+AB35+AC35+AE35</f>
        <v/>
      </c>
      <c r="AR35">
        <f>AQ35+AD35+AF35</f>
        <v/>
      </c>
    </row>
    <row r="36">
      <c r="A36" t="n">
        <v>2059</v>
      </c>
      <c r="B36" t="n">
        <v>33</v>
      </c>
      <c r="C36" t="n">
        <v>4832</v>
      </c>
      <c r="D36" t="n">
        <v>0</v>
      </c>
      <c r="E36" t="n">
        <v>0</v>
      </c>
      <c r="F36" t="n">
        <v>0</v>
      </c>
      <c r="G36" t="n">
        <v>0</v>
      </c>
      <c r="H36" t="n">
        <v>2259.728</v>
      </c>
      <c r="I36" t="n">
        <v>225.294</v>
      </c>
      <c r="J36" t="n">
        <v>1270.343</v>
      </c>
      <c r="K36" t="n">
        <v>2239.672</v>
      </c>
      <c r="L36" t="n">
        <v>959.954</v>
      </c>
      <c r="M36" t="n">
        <v>110460.203</v>
      </c>
      <c r="N36" t="n">
        <v>8135.826</v>
      </c>
      <c r="O36" t="n">
        <v>72.511</v>
      </c>
      <c r="P36" t="n">
        <v>73.22499999999999</v>
      </c>
      <c r="Q36" t="n">
        <v>1066.973</v>
      </c>
      <c r="R36" t="n">
        <v>1307.526</v>
      </c>
      <c r="S36" t="n">
        <v>6345.601</v>
      </c>
      <c r="T36" t="n">
        <v>2485.022</v>
      </c>
      <c r="U36" t="n">
        <v>158558.062</v>
      </c>
      <c r="V36" t="n">
        <v>225.709</v>
      </c>
      <c r="W36" t="n">
        <v>639.851</v>
      </c>
      <c r="X36" t="n">
        <v>72.511</v>
      </c>
      <c r="Y36" t="n">
        <v>786.8049999999999</v>
      </c>
      <c r="Z36">
        <f>H36*x_c_F+I36*x_c_CC+J36*x_c_DC+K36*x_c_HCC+L36*x_c_PLT+M36*x_c_SVRn+N36*x_c_SVRcc+O36*x_c_LT+P36*x_c_LT1</f>
        <v/>
      </c>
      <c r="AA36">
        <f>C36*x_c_DAA</f>
        <v/>
      </c>
      <c r="AB36">
        <f>C36*x_c_MON</f>
        <v/>
      </c>
      <c r="AC36">
        <f>D36*(1-x_testy)</f>
        <v/>
      </c>
      <c r="AD36">
        <f>E36*(1-x_testy)</f>
        <v/>
      </c>
      <c r="AE36">
        <f>F36*x_NAV</f>
        <v/>
      </c>
      <c r="AF36">
        <f>G36*x_FIX*(1-x_testy)</f>
        <v/>
      </c>
      <c r="AG36">
        <f>x_z_F*T36+(1-x_AGRI)*x_EMP*x_WLOSS*(x_PEN_K74*Q36+x_PEN_C22*R36)</f>
        <v/>
      </c>
      <c r="AH36">
        <f>x_AGRI*x_EMP*x_WLOSS*(x_PEN_K74*Q36+x_PEN_C22*R36)</f>
        <v/>
      </c>
      <c r="AI36">
        <f>x_EMP*x_WAGE*(x_WLOSS*(Q36+R36)+S36)+T36*x_ABS_D*x_WAGE/365</f>
        <v/>
      </c>
      <c r="AJ36">
        <f>AI36*x_R_FUS</f>
        <v/>
      </c>
      <c r="AK36">
        <f>AI36*x_R_NFZ</f>
        <v/>
      </c>
      <c r="AL36">
        <f>AI36*x_R_PIT</f>
        <v/>
      </c>
      <c r="AM36">
        <f>AI36*x_R_FP</f>
        <v/>
      </c>
      <c r="AN36">
        <f>Z36+AA36+AB36+AC36+AE36</f>
        <v/>
      </c>
      <c r="AO36">
        <f>AN36+AD36+AF36+AG36+AH36+AJ36+AK36+AL36+AM36</f>
        <v/>
      </c>
      <c r="AP36">
        <f>AN36+AD36+AF36+AI36</f>
        <v/>
      </c>
      <c r="AQ36">
        <f>AA36+AB36+AC36+AE36</f>
        <v/>
      </c>
      <c r="AR36">
        <f>AQ36+AD36+AF36</f>
        <v/>
      </c>
    </row>
    <row r="37">
      <c r="A37" t="n">
        <v>2060</v>
      </c>
      <c r="B37" t="n">
        <v>34</v>
      </c>
      <c r="C37" t="n">
        <v>4832</v>
      </c>
      <c r="D37" t="n">
        <v>0</v>
      </c>
      <c r="E37" t="n">
        <v>0</v>
      </c>
      <c r="F37" t="n">
        <v>0</v>
      </c>
      <c r="G37" t="n">
        <v>0</v>
      </c>
      <c r="H37" t="n">
        <v>2261.992</v>
      </c>
      <c r="I37" t="n">
        <v>222.408</v>
      </c>
      <c r="J37" t="n">
        <v>1245.718</v>
      </c>
      <c r="K37" t="n">
        <v>2200.993</v>
      </c>
      <c r="L37" t="n">
        <v>935.883</v>
      </c>
      <c r="M37" t="n">
        <v>112905.212</v>
      </c>
      <c r="N37" t="n">
        <v>8093.522</v>
      </c>
      <c r="O37" t="n">
        <v>71.089</v>
      </c>
      <c r="P37" t="n">
        <v>71.8</v>
      </c>
      <c r="Q37" t="n">
        <v>710.579</v>
      </c>
      <c r="R37" t="n">
        <v>1026.046</v>
      </c>
      <c r="S37" t="n">
        <v>2685.965</v>
      </c>
      <c r="T37" t="n">
        <v>2484.4</v>
      </c>
      <c r="U37" t="n">
        <v>160036.913</v>
      </c>
      <c r="V37" t="n">
        <v>222.06</v>
      </c>
      <c r="W37" t="n">
        <v>629.854</v>
      </c>
      <c r="X37" t="n">
        <v>71.089</v>
      </c>
      <c r="Y37" t="n">
        <v>771.923</v>
      </c>
      <c r="Z37">
        <f>H37*x_c_F+I37*x_c_CC+J37*x_c_DC+K37*x_c_HCC+L37*x_c_PLT+M37*x_c_SVRn+N37*x_c_SVRcc+O37*x_c_LT+P37*x_c_LT1</f>
        <v/>
      </c>
      <c r="AA37">
        <f>C37*x_c_DAA</f>
        <v/>
      </c>
      <c r="AB37">
        <f>C37*x_c_MON</f>
        <v/>
      </c>
      <c r="AC37">
        <f>D37*(1-x_testy)</f>
        <v/>
      </c>
      <c r="AD37">
        <f>E37*(1-x_testy)</f>
        <v/>
      </c>
      <c r="AE37">
        <f>F37*x_NAV</f>
        <v/>
      </c>
      <c r="AF37">
        <f>G37*x_FIX*(1-x_testy)</f>
        <v/>
      </c>
      <c r="AG37">
        <f>x_z_F*T37+(1-x_AGRI)*x_EMP*x_WLOSS*(x_PEN_K74*Q37+x_PEN_C22*R37)</f>
        <v/>
      </c>
      <c r="AH37">
        <f>x_AGRI*x_EMP*x_WLOSS*(x_PEN_K74*Q37+x_PEN_C22*R37)</f>
        <v/>
      </c>
      <c r="AI37">
        <f>x_EMP*x_WAGE*(x_WLOSS*(Q37+R37)+S37)+T37*x_ABS_D*x_WAGE/365</f>
        <v/>
      </c>
      <c r="AJ37">
        <f>AI37*x_R_FUS</f>
        <v/>
      </c>
      <c r="AK37">
        <f>AI37*x_R_NFZ</f>
        <v/>
      </c>
      <c r="AL37">
        <f>AI37*x_R_PIT</f>
        <v/>
      </c>
      <c r="AM37">
        <f>AI37*x_R_FP</f>
        <v/>
      </c>
      <c r="AN37">
        <f>Z37+AA37+AB37+AC37+AE37</f>
        <v/>
      </c>
      <c r="AO37">
        <f>AN37+AD37+AF37+AG37+AH37+AJ37+AK37+AL37+AM37</f>
        <v/>
      </c>
      <c r="AP37">
        <f>AN37+AD37+AF37+AI37</f>
        <v/>
      </c>
      <c r="AQ37">
        <f>AA37+AB37+AC37+AE37</f>
        <v/>
      </c>
      <c r="AR37">
        <f>AQ37+AD37+AF37</f>
        <v/>
      </c>
    </row>
    <row r="38">
      <c r="A38" t="n">
        <v>2061</v>
      </c>
      <c r="B38" t="n">
        <v>35</v>
      </c>
      <c r="C38" t="n">
        <v>4832</v>
      </c>
      <c r="D38" t="n">
        <v>0</v>
      </c>
      <c r="E38" t="n">
        <v>0</v>
      </c>
      <c r="F38" t="n">
        <v>0</v>
      </c>
      <c r="G38" t="n">
        <v>0</v>
      </c>
      <c r="H38" t="n">
        <v>2264.094</v>
      </c>
      <c r="I38" t="n">
        <v>219.705</v>
      </c>
      <c r="J38" t="n">
        <v>1221.477</v>
      </c>
      <c r="K38" t="n">
        <v>2162.964</v>
      </c>
      <c r="L38" t="n">
        <v>910.194</v>
      </c>
      <c r="M38" t="n">
        <v>115253.663</v>
      </c>
      <c r="N38" t="n">
        <v>8033.812</v>
      </c>
      <c r="O38" t="n">
        <v>69.696</v>
      </c>
      <c r="P38" t="n">
        <v>70.393</v>
      </c>
      <c r="Q38" t="n">
        <v>703.487</v>
      </c>
      <c r="R38" t="n">
        <v>1015.651</v>
      </c>
      <c r="S38" t="n">
        <v>2662.514</v>
      </c>
      <c r="T38" t="n">
        <v>2483.799</v>
      </c>
      <c r="U38" t="n">
        <v>161444.475</v>
      </c>
      <c r="V38" t="n">
        <v>218.567</v>
      </c>
      <c r="W38" t="n">
        <v>620.162</v>
      </c>
      <c r="X38" t="n">
        <v>69.696</v>
      </c>
      <c r="Y38" t="n">
        <v>757.264</v>
      </c>
      <c r="Z38">
        <f>H38*x_c_F+I38*x_c_CC+J38*x_c_DC+K38*x_c_HCC+L38*x_c_PLT+M38*x_c_SVRn+N38*x_c_SVRcc+O38*x_c_LT+P38*x_c_LT1</f>
        <v/>
      </c>
      <c r="AA38">
        <f>C38*x_c_DAA</f>
        <v/>
      </c>
      <c r="AB38">
        <f>C38*x_c_MON</f>
        <v/>
      </c>
      <c r="AC38">
        <f>D38*(1-x_testy)</f>
        <v/>
      </c>
      <c r="AD38">
        <f>E38*(1-x_testy)</f>
        <v/>
      </c>
      <c r="AE38">
        <f>F38*x_NAV</f>
        <v/>
      </c>
      <c r="AF38">
        <f>G38*x_FIX*(1-x_testy)</f>
        <v/>
      </c>
      <c r="AG38">
        <f>x_z_F*T38+(1-x_AGRI)*x_EMP*x_WLOSS*(x_PEN_K74*Q38+x_PEN_C22*R38)</f>
        <v/>
      </c>
      <c r="AH38">
        <f>x_AGRI*x_EMP*x_WLOSS*(x_PEN_K74*Q38+x_PEN_C22*R38)</f>
        <v/>
      </c>
      <c r="AI38">
        <f>x_EMP*x_WAGE*(x_WLOSS*(Q38+R38)+S38)+T38*x_ABS_D*x_WAGE/365</f>
        <v/>
      </c>
      <c r="AJ38">
        <f>AI38*x_R_FUS</f>
        <v/>
      </c>
      <c r="AK38">
        <f>AI38*x_R_NFZ</f>
        <v/>
      </c>
      <c r="AL38">
        <f>AI38*x_R_PIT</f>
        <v/>
      </c>
      <c r="AM38">
        <f>AI38*x_R_FP</f>
        <v/>
      </c>
      <c r="AN38">
        <f>Z38+AA38+AB38+AC38+AE38</f>
        <v/>
      </c>
      <c r="AO38">
        <f>AN38+AD38+AF38+AG38+AH38+AJ38+AK38+AL38+AM38</f>
        <v/>
      </c>
      <c r="AP38">
        <f>AN38+AD38+AF38+AI38</f>
        <v/>
      </c>
      <c r="AQ38">
        <f>AA38+AB38+AC38+AE38</f>
        <v/>
      </c>
      <c r="AR38">
        <f>AQ38+AD38+AF38</f>
        <v/>
      </c>
    </row>
    <row r="39">
      <c r="A39" t="n">
        <v>2062</v>
      </c>
      <c r="B39" t="n">
        <v>36</v>
      </c>
      <c r="C39" t="n">
        <v>4832</v>
      </c>
      <c r="D39" t="n">
        <v>0</v>
      </c>
      <c r="E39" t="n">
        <v>0</v>
      </c>
      <c r="F39" t="n">
        <v>0</v>
      </c>
      <c r="G39" t="n">
        <v>0</v>
      </c>
      <c r="H39" t="n">
        <v>2266.005</v>
      </c>
      <c r="I39" t="n">
        <v>217.218</v>
      </c>
      <c r="J39" t="n">
        <v>1198.008</v>
      </c>
      <c r="K39" t="n">
        <v>2126.162</v>
      </c>
      <c r="L39" t="n">
        <v>883.331</v>
      </c>
      <c r="M39" t="n">
        <v>117512.198</v>
      </c>
      <c r="N39" t="n">
        <v>7959.83</v>
      </c>
      <c r="O39" t="n">
        <v>68.357</v>
      </c>
      <c r="P39" t="n">
        <v>69.026</v>
      </c>
      <c r="Q39" t="n">
        <v>696.497</v>
      </c>
      <c r="R39" t="n">
        <v>1005.481</v>
      </c>
      <c r="S39" t="n">
        <v>2638.832</v>
      </c>
      <c r="T39" t="n">
        <v>2483.223</v>
      </c>
      <c r="U39" t="n">
        <v>162789.804</v>
      </c>
      <c r="V39" t="n">
        <v>215.274</v>
      </c>
      <c r="W39" t="n">
        <v>610.921</v>
      </c>
      <c r="X39" t="n">
        <v>68.357</v>
      </c>
      <c r="Y39" t="n">
        <v>743.076</v>
      </c>
      <c r="Z39">
        <f>H39*x_c_F+I39*x_c_CC+J39*x_c_DC+K39*x_c_HCC+L39*x_c_PLT+M39*x_c_SVRn+N39*x_c_SVRcc+O39*x_c_LT+P39*x_c_LT1</f>
        <v/>
      </c>
      <c r="AA39">
        <f>C39*x_c_DAA</f>
        <v/>
      </c>
      <c r="AB39">
        <f>C39*x_c_MON</f>
        <v/>
      </c>
      <c r="AC39">
        <f>D39*(1-x_testy)</f>
        <v/>
      </c>
      <c r="AD39">
        <f>E39*(1-x_testy)</f>
        <v/>
      </c>
      <c r="AE39">
        <f>F39*x_NAV</f>
        <v/>
      </c>
      <c r="AF39">
        <f>G39*x_FIX*(1-x_testy)</f>
        <v/>
      </c>
      <c r="AG39">
        <f>x_z_F*T39+(1-x_AGRI)*x_EMP*x_WLOSS*(x_PEN_K74*Q39+x_PEN_C22*R39)</f>
        <v/>
      </c>
      <c r="AH39">
        <f>x_AGRI*x_EMP*x_WLOSS*(x_PEN_K74*Q39+x_PEN_C22*R39)</f>
        <v/>
      </c>
      <c r="AI39">
        <f>x_EMP*x_WAGE*(x_WLOSS*(Q39+R39)+S39)+T39*x_ABS_D*x_WAGE/365</f>
        <v/>
      </c>
      <c r="AJ39">
        <f>AI39*x_R_FUS</f>
        <v/>
      </c>
      <c r="AK39">
        <f>AI39*x_R_NFZ</f>
        <v/>
      </c>
      <c r="AL39">
        <f>AI39*x_R_PIT</f>
        <v/>
      </c>
      <c r="AM39">
        <f>AI39*x_R_FP</f>
        <v/>
      </c>
      <c r="AN39">
        <f>Z39+AA39+AB39+AC39+AE39</f>
        <v/>
      </c>
      <c r="AO39">
        <f>AN39+AD39+AF39+AG39+AH39+AJ39+AK39+AL39+AM39</f>
        <v/>
      </c>
      <c r="AP39">
        <f>AN39+AD39+AF39+AI39</f>
        <v/>
      </c>
      <c r="AQ39">
        <f>AA39+AB39+AC39+AE39</f>
        <v/>
      </c>
      <c r="AR39">
        <f>AQ39+AD39+AF39</f>
        <v/>
      </c>
    </row>
    <row r="40">
      <c r="A40" t="n">
        <v>2063</v>
      </c>
      <c r="B40" t="n">
        <v>37</v>
      </c>
      <c r="C40" t="n">
        <v>4832</v>
      </c>
      <c r="D40" t="n">
        <v>0</v>
      </c>
      <c r="E40" t="n">
        <v>0</v>
      </c>
      <c r="F40" t="n">
        <v>0</v>
      </c>
      <c r="G40" t="n">
        <v>0</v>
      </c>
      <c r="H40" t="n">
        <v>2267.696</v>
      </c>
      <c r="I40" t="n">
        <v>214.98</v>
      </c>
      <c r="J40" t="n">
        <v>1175.745</v>
      </c>
      <c r="K40" t="n">
        <v>2091.25</v>
      </c>
      <c r="L40" t="n">
        <v>855.8869999999999</v>
      </c>
      <c r="M40" t="n">
        <v>119692.811</v>
      </c>
      <c r="N40" t="n">
        <v>7875.783</v>
      </c>
      <c r="O40" t="n">
        <v>67.098</v>
      </c>
      <c r="P40" t="n">
        <v>67.727</v>
      </c>
      <c r="Q40" t="n">
        <v>689.648</v>
      </c>
      <c r="R40" t="n">
        <v>995.577</v>
      </c>
      <c r="S40" t="n">
        <v>2615.114</v>
      </c>
      <c r="T40" t="n">
        <v>2482.676</v>
      </c>
      <c r="U40" t="n">
        <v>164086.978</v>
      </c>
      <c r="V40" t="n">
        <v>212.234</v>
      </c>
      <c r="W40" t="n">
        <v>602.299</v>
      </c>
      <c r="X40" t="n">
        <v>67.098</v>
      </c>
      <c r="Y40" t="n">
        <v>729.657</v>
      </c>
      <c r="Z40">
        <f>H40*x_c_F+I40*x_c_CC+J40*x_c_DC+K40*x_c_HCC+L40*x_c_PLT+M40*x_c_SVRn+N40*x_c_SVRcc+O40*x_c_LT+P40*x_c_LT1</f>
        <v/>
      </c>
      <c r="AA40">
        <f>C40*x_c_DAA</f>
        <v/>
      </c>
      <c r="AB40">
        <f>C40*x_c_MON</f>
        <v/>
      </c>
      <c r="AC40">
        <f>D40*(1-x_testy)</f>
        <v/>
      </c>
      <c r="AD40">
        <f>E40*(1-x_testy)</f>
        <v/>
      </c>
      <c r="AE40">
        <f>F40*x_NAV</f>
        <v/>
      </c>
      <c r="AF40">
        <f>G40*x_FIX*(1-x_testy)</f>
        <v/>
      </c>
      <c r="AG40">
        <f>x_z_F*T40+(1-x_AGRI)*x_EMP*x_WLOSS*(x_PEN_K74*Q40+x_PEN_C22*R40)</f>
        <v/>
      </c>
      <c r="AH40">
        <f>x_AGRI*x_EMP*x_WLOSS*(x_PEN_K74*Q40+x_PEN_C22*R40)</f>
        <v/>
      </c>
      <c r="AI40">
        <f>x_EMP*x_WAGE*(x_WLOSS*(Q40+R40)+S40)+T40*x_ABS_D*x_WAGE/365</f>
        <v/>
      </c>
      <c r="AJ40">
        <f>AI40*x_R_FUS</f>
        <v/>
      </c>
      <c r="AK40">
        <f>AI40*x_R_NFZ</f>
        <v/>
      </c>
      <c r="AL40">
        <f>AI40*x_R_PIT</f>
        <v/>
      </c>
      <c r="AM40">
        <f>AI40*x_R_FP</f>
        <v/>
      </c>
      <c r="AN40">
        <f>Z40+AA40+AB40+AC40+AE40</f>
        <v/>
      </c>
      <c r="AO40">
        <f>AN40+AD40+AF40+AG40+AH40+AJ40+AK40+AL40+AM40</f>
        <v/>
      </c>
      <c r="AP40">
        <f>AN40+AD40+AF40+AI40</f>
        <v/>
      </c>
      <c r="AQ40">
        <f>AA40+AB40+AC40+AE40</f>
        <v/>
      </c>
      <c r="AR40">
        <f>AQ40+AD40+AF40</f>
        <v/>
      </c>
    </row>
    <row r="41">
      <c r="A41" t="n">
        <v>2064</v>
      </c>
      <c r="B41" t="n">
        <v>38</v>
      </c>
      <c r="C41" t="n">
        <v>4832</v>
      </c>
      <c r="D41" t="n">
        <v>0</v>
      </c>
      <c r="E41" t="n">
        <v>0</v>
      </c>
      <c r="F41" t="n">
        <v>0</v>
      </c>
      <c r="G41" t="n">
        <v>0</v>
      </c>
      <c r="H41" t="n">
        <v>2269.145</v>
      </c>
      <c r="I41" t="n">
        <v>213.015</v>
      </c>
      <c r="J41" t="n">
        <v>1155.132</v>
      </c>
      <c r="K41" t="n">
        <v>2058.916</v>
      </c>
      <c r="L41" t="n">
        <v>828.578</v>
      </c>
      <c r="M41" t="n">
        <v>121812.371</v>
      </c>
      <c r="N41" t="n">
        <v>7786.755</v>
      </c>
      <c r="O41" t="n">
        <v>65.94499999999999</v>
      </c>
      <c r="P41" t="n">
        <v>66.521</v>
      </c>
      <c r="Q41" t="n">
        <v>682.9829999999999</v>
      </c>
      <c r="R41" t="n">
        <v>985.987</v>
      </c>
      <c r="S41" t="n">
        <v>2591.642</v>
      </c>
      <c r="T41" t="n">
        <v>2482.161</v>
      </c>
      <c r="U41" t="n">
        <v>165354.117</v>
      </c>
      <c r="V41" t="n">
        <v>209.492</v>
      </c>
      <c r="W41" t="n">
        <v>594.45</v>
      </c>
      <c r="X41" t="n">
        <v>65.94499999999999</v>
      </c>
      <c r="Y41" t="n">
        <v>717.289</v>
      </c>
      <c r="Z41">
        <f>H41*x_c_F+I41*x_c_CC+J41*x_c_DC+K41*x_c_HCC+L41*x_c_PLT+M41*x_c_SVRn+N41*x_c_SVRcc+O41*x_c_LT+P41*x_c_LT1</f>
        <v/>
      </c>
      <c r="AA41">
        <f>C41*x_c_DAA</f>
        <v/>
      </c>
      <c r="AB41">
        <f>C41*x_c_MON</f>
        <v/>
      </c>
      <c r="AC41">
        <f>D41*(1-x_testy)</f>
        <v/>
      </c>
      <c r="AD41">
        <f>E41*(1-x_testy)</f>
        <v/>
      </c>
      <c r="AE41">
        <f>F41*x_NAV</f>
        <v/>
      </c>
      <c r="AF41">
        <f>G41*x_FIX*(1-x_testy)</f>
        <v/>
      </c>
      <c r="AG41">
        <f>x_z_F*T41+(1-x_AGRI)*x_EMP*x_WLOSS*(x_PEN_K74*Q41+x_PEN_C22*R41)</f>
        <v/>
      </c>
      <c r="AH41">
        <f>x_AGRI*x_EMP*x_WLOSS*(x_PEN_K74*Q41+x_PEN_C22*R41)</f>
        <v/>
      </c>
      <c r="AI41">
        <f>x_EMP*x_WAGE*(x_WLOSS*(Q41+R41)+S41)+T41*x_ABS_D*x_WAGE/365</f>
        <v/>
      </c>
      <c r="AJ41">
        <f>AI41*x_R_FUS</f>
        <v/>
      </c>
      <c r="AK41">
        <f>AI41*x_R_NFZ</f>
        <v/>
      </c>
      <c r="AL41">
        <f>AI41*x_R_PIT</f>
        <v/>
      </c>
      <c r="AM41">
        <f>AI41*x_R_FP</f>
        <v/>
      </c>
      <c r="AN41">
        <f>Z41+AA41+AB41+AC41+AE41</f>
        <v/>
      </c>
      <c r="AO41">
        <f>AN41+AD41+AF41+AG41+AH41+AJ41+AK41+AL41+AM41</f>
        <v/>
      </c>
      <c r="AP41">
        <f>AN41+AD41+AF41+AI41</f>
        <v/>
      </c>
      <c r="AQ41">
        <f>AA41+AB41+AC41+AE41</f>
        <v/>
      </c>
      <c r="AR41">
        <f>AQ41+AD41+AF41</f>
        <v/>
      </c>
    </row>
    <row r="42">
      <c r="A42" t="n">
        <v>2065</v>
      </c>
      <c r="B42" t="n">
        <v>39</v>
      </c>
      <c r="C42" t="n">
        <v>4832</v>
      </c>
      <c r="D42" t="n">
        <v>0</v>
      </c>
      <c r="E42" t="n">
        <v>0</v>
      </c>
      <c r="F42" t="n">
        <v>0</v>
      </c>
      <c r="G42" t="n">
        <v>0</v>
      </c>
      <c r="H42" t="n">
        <v>2270.343</v>
      </c>
      <c r="I42" t="n">
        <v>211.335</v>
      </c>
      <c r="J42" t="n">
        <v>1136.537</v>
      </c>
      <c r="K42" t="n">
        <v>2029.735</v>
      </c>
      <c r="L42" t="n">
        <v>802.135</v>
      </c>
      <c r="M42" t="n">
        <v>123889.503</v>
      </c>
      <c r="N42" t="n">
        <v>7697.974</v>
      </c>
      <c r="O42" t="n">
        <v>64.919</v>
      </c>
      <c r="P42" t="n">
        <v>65.432</v>
      </c>
      <c r="Q42" t="n">
        <v>676.534</v>
      </c>
      <c r="R42" t="n">
        <v>976.7430000000001</v>
      </c>
      <c r="S42" t="n">
        <v>2568.626</v>
      </c>
      <c r="T42" t="n">
        <v>2481.678</v>
      </c>
      <c r="U42" t="n">
        <v>166609.915</v>
      </c>
      <c r="V42" t="n">
        <v>207.072</v>
      </c>
      <c r="W42" t="n">
        <v>587.475</v>
      </c>
      <c r="X42" t="n">
        <v>64.919</v>
      </c>
      <c r="Y42" t="n">
        <v>706.1900000000001</v>
      </c>
      <c r="Z42">
        <f>H42*x_c_F+I42*x_c_CC+J42*x_c_DC+K42*x_c_HCC+L42*x_c_PLT+M42*x_c_SVRn+N42*x_c_SVRcc+O42*x_c_LT+P42*x_c_LT1</f>
        <v/>
      </c>
      <c r="AA42">
        <f>C42*x_c_DAA</f>
        <v/>
      </c>
      <c r="AB42">
        <f>C42*x_c_MON</f>
        <v/>
      </c>
      <c r="AC42">
        <f>D42*(1-x_testy)</f>
        <v/>
      </c>
      <c r="AD42">
        <f>E42*(1-x_testy)</f>
        <v/>
      </c>
      <c r="AE42">
        <f>F42*x_NAV</f>
        <v/>
      </c>
      <c r="AF42">
        <f>G42*x_FIX*(1-x_testy)</f>
        <v/>
      </c>
      <c r="AG42">
        <f>x_z_F*T42+(1-x_AGRI)*x_EMP*x_WLOSS*(x_PEN_K74*Q42+x_PEN_C22*R42)</f>
        <v/>
      </c>
      <c r="AH42">
        <f>x_AGRI*x_EMP*x_WLOSS*(x_PEN_K74*Q42+x_PEN_C22*R42)</f>
        <v/>
      </c>
      <c r="AI42">
        <f>x_EMP*x_WAGE*(x_WLOSS*(Q42+R42)+S42)+T42*x_ABS_D*x_WAGE/365</f>
        <v/>
      </c>
      <c r="AJ42">
        <f>AI42*x_R_FUS</f>
        <v/>
      </c>
      <c r="AK42">
        <f>AI42*x_R_NFZ</f>
        <v/>
      </c>
      <c r="AL42">
        <f>AI42*x_R_PIT</f>
        <v/>
      </c>
      <c r="AM42">
        <f>AI42*x_R_FP</f>
        <v/>
      </c>
      <c r="AN42">
        <f>Z42+AA42+AB42+AC42+AE42</f>
        <v/>
      </c>
      <c r="AO42">
        <f>AN42+AD42+AF42+AG42+AH42+AJ42+AK42+AL42+AM42</f>
        <v/>
      </c>
      <c r="AP42">
        <f>AN42+AD42+AF42+AI42</f>
        <v/>
      </c>
      <c r="AQ42">
        <f>AA42+AB42+AC42+AE42</f>
        <v/>
      </c>
      <c r="AR42">
        <f>AQ42+AD42+AF42</f>
        <v/>
      </c>
    </row>
    <row r="43">
      <c r="A43" t="n">
        <v>2066</v>
      </c>
      <c r="B43" t="n">
        <v>40</v>
      </c>
      <c r="C43" t="n">
        <v>4832</v>
      </c>
      <c r="D43" t="n">
        <v>0</v>
      </c>
      <c r="E43" t="n">
        <v>0</v>
      </c>
      <c r="F43" t="n">
        <v>0</v>
      </c>
      <c r="G43" t="n">
        <v>0</v>
      </c>
      <c r="H43" t="n">
        <v>2271.296</v>
      </c>
      <c r="I43" t="n">
        <v>209.932</v>
      </c>
      <c r="J43" t="n">
        <v>1120.202</v>
      </c>
      <c r="K43" t="n">
        <v>2004.082</v>
      </c>
      <c r="L43" t="n">
        <v>777.223</v>
      </c>
      <c r="M43" t="n">
        <v>125942.13</v>
      </c>
      <c r="N43" t="n">
        <v>7614.234</v>
      </c>
      <c r="O43" t="n">
        <v>64.03</v>
      </c>
      <c r="P43" t="n">
        <v>64.474</v>
      </c>
      <c r="Q43" t="n">
        <v>670.322</v>
      </c>
      <c r="R43" t="n">
        <v>967.865</v>
      </c>
      <c r="S43" t="n">
        <v>2546.223</v>
      </c>
      <c r="T43" t="n">
        <v>2481.228</v>
      </c>
      <c r="U43" t="n">
        <v>167871.286</v>
      </c>
      <c r="V43" t="n">
        <v>204.982</v>
      </c>
      <c r="W43" t="n">
        <v>581.42</v>
      </c>
      <c r="X43" t="n">
        <v>64.03</v>
      </c>
      <c r="Y43" t="n">
        <v>696.499</v>
      </c>
      <c r="Z43">
        <f>H43*x_c_F+I43*x_c_CC+J43*x_c_DC+K43*x_c_HCC+L43*x_c_PLT+M43*x_c_SVRn+N43*x_c_SVRcc+O43*x_c_LT+P43*x_c_LT1</f>
        <v/>
      </c>
      <c r="AA43">
        <f>C43*x_c_DAA</f>
        <v/>
      </c>
      <c r="AB43">
        <f>C43*x_c_MON</f>
        <v/>
      </c>
      <c r="AC43">
        <f>D43*(1-x_testy)</f>
        <v/>
      </c>
      <c r="AD43">
        <f>E43*(1-x_testy)</f>
        <v/>
      </c>
      <c r="AE43">
        <f>F43*x_NAV</f>
        <v/>
      </c>
      <c r="AF43">
        <f>G43*x_FIX*(1-x_testy)</f>
        <v/>
      </c>
      <c r="AG43">
        <f>x_z_F*T43+(1-x_AGRI)*x_EMP*x_WLOSS*(x_PEN_K74*Q43+x_PEN_C22*R43)</f>
        <v/>
      </c>
      <c r="AH43">
        <f>x_AGRI*x_EMP*x_WLOSS*(x_PEN_K74*Q43+x_PEN_C22*R43)</f>
        <v/>
      </c>
      <c r="AI43">
        <f>x_EMP*x_WAGE*(x_WLOSS*(Q43+R43)+S43)+T43*x_ABS_D*x_WAGE/365</f>
        <v/>
      </c>
      <c r="AJ43">
        <f>AI43*x_R_FUS</f>
        <v/>
      </c>
      <c r="AK43">
        <f>AI43*x_R_NFZ</f>
        <v/>
      </c>
      <c r="AL43">
        <f>AI43*x_R_PIT</f>
        <v/>
      </c>
      <c r="AM43">
        <f>AI43*x_R_FP</f>
        <v/>
      </c>
      <c r="AN43">
        <f>Z43+AA43+AB43+AC43+AE43</f>
        <v/>
      </c>
      <c r="AO43">
        <f>AN43+AD43+AF43+AG43+AH43+AJ43+AK43+AL43+AM43</f>
        <v/>
      </c>
      <c r="AP43">
        <f>AN43+AD43+AF43+AI43</f>
        <v/>
      </c>
      <c r="AQ43">
        <f>AA43+AB43+AC43+AE43</f>
        <v/>
      </c>
      <c r="AR43">
        <f>AQ43+AD43+AF43</f>
        <v/>
      </c>
    </row>
    <row r="44">
      <c r="A44" t="n">
        <v>2067</v>
      </c>
      <c r="B44" t="n">
        <v>41</v>
      </c>
      <c r="C44" t="n">
        <v>4832</v>
      </c>
      <c r="D44" t="n">
        <v>0</v>
      </c>
      <c r="E44" t="n">
        <v>0</v>
      </c>
      <c r="F44" t="n">
        <v>0</v>
      </c>
      <c r="G44" t="n">
        <v>0</v>
      </c>
      <c r="H44" t="n">
        <v>2272.03</v>
      </c>
      <c r="I44" t="n">
        <v>208.779</v>
      </c>
      <c r="J44" t="n">
        <v>1106.21</v>
      </c>
      <c r="K44" t="n">
        <v>1982.077</v>
      </c>
      <c r="L44" t="n">
        <v>754.361</v>
      </c>
      <c r="M44" t="n">
        <v>127984.647</v>
      </c>
      <c r="N44" t="n">
        <v>7539.302</v>
      </c>
      <c r="O44" t="n">
        <v>63.278</v>
      </c>
      <c r="P44" t="n">
        <v>63.654</v>
      </c>
      <c r="Q44" t="n">
        <v>664.3630000000001</v>
      </c>
      <c r="R44" t="n">
        <v>959.367</v>
      </c>
      <c r="S44" t="n">
        <v>2524.551</v>
      </c>
      <c r="T44" t="n">
        <v>2480.809</v>
      </c>
      <c r="U44" t="n">
        <v>169150.643</v>
      </c>
      <c r="V44" t="n">
        <v>203.201</v>
      </c>
      <c r="W44" t="n">
        <v>576.254</v>
      </c>
      <c r="X44" t="n">
        <v>63.278</v>
      </c>
      <c r="Y44" t="n">
        <v>688.236</v>
      </c>
      <c r="Z44">
        <f>H44*x_c_F+I44*x_c_CC+J44*x_c_DC+K44*x_c_HCC+L44*x_c_PLT+M44*x_c_SVRn+N44*x_c_SVRcc+O44*x_c_LT+P44*x_c_LT1</f>
        <v/>
      </c>
      <c r="AA44">
        <f>C44*x_c_DAA</f>
        <v/>
      </c>
      <c r="AB44">
        <f>C44*x_c_MON</f>
        <v/>
      </c>
      <c r="AC44">
        <f>D44*(1-x_testy)</f>
        <v/>
      </c>
      <c r="AD44">
        <f>E44*(1-x_testy)</f>
        <v/>
      </c>
      <c r="AE44">
        <f>F44*x_NAV</f>
        <v/>
      </c>
      <c r="AF44">
        <f>G44*x_FIX*(1-x_testy)</f>
        <v/>
      </c>
      <c r="AG44">
        <f>x_z_F*T44+(1-x_AGRI)*x_EMP*x_WLOSS*(x_PEN_K74*Q44+x_PEN_C22*R44)</f>
        <v/>
      </c>
      <c r="AH44">
        <f>x_AGRI*x_EMP*x_WLOSS*(x_PEN_K74*Q44+x_PEN_C22*R44)</f>
        <v/>
      </c>
      <c r="AI44">
        <f>x_EMP*x_WAGE*(x_WLOSS*(Q44+R44)+S44)+T44*x_ABS_D*x_WAGE/365</f>
        <v/>
      </c>
      <c r="AJ44">
        <f>AI44*x_R_FUS</f>
        <v/>
      </c>
      <c r="AK44">
        <f>AI44*x_R_NFZ</f>
        <v/>
      </c>
      <c r="AL44">
        <f>AI44*x_R_PIT</f>
        <v/>
      </c>
      <c r="AM44">
        <f>AI44*x_R_FP</f>
        <v/>
      </c>
      <c r="AN44">
        <f>Z44+AA44+AB44+AC44+AE44</f>
        <v/>
      </c>
      <c r="AO44">
        <f>AN44+AD44+AF44+AG44+AH44+AJ44+AK44+AL44+AM44</f>
        <v/>
      </c>
      <c r="AP44">
        <f>AN44+AD44+AF44+AI44</f>
        <v/>
      </c>
      <c r="AQ44">
        <f>AA44+AB44+AC44+AE44</f>
        <v/>
      </c>
      <c r="AR44">
        <f>AQ44+AD44+AF44</f>
        <v/>
      </c>
    </row>
    <row r="45">
      <c r="A45" t="n">
        <v>2068</v>
      </c>
      <c r="B45" t="n">
        <v>42</v>
      </c>
      <c r="C45" t="n">
        <v>4832</v>
      </c>
      <c r="D45" t="n">
        <v>0</v>
      </c>
      <c r="E45" t="n">
        <v>0</v>
      </c>
      <c r="F45" t="n">
        <v>0</v>
      </c>
      <c r="G45" t="n">
        <v>0</v>
      </c>
      <c r="H45" t="n">
        <v>2272.579</v>
      </c>
      <c r="I45" t="n">
        <v>207.837</v>
      </c>
      <c r="J45" t="n">
        <v>1094.501</v>
      </c>
      <c r="K45" t="n">
        <v>1963.615</v>
      </c>
      <c r="L45" t="n">
        <v>733.918</v>
      </c>
      <c r="M45" t="n">
        <v>130027.765</v>
      </c>
      <c r="N45" t="n">
        <v>7475.896</v>
      </c>
      <c r="O45" t="n">
        <v>62.66</v>
      </c>
      <c r="P45" t="n">
        <v>62.969</v>
      </c>
      <c r="Q45" t="n">
        <v>658.665</v>
      </c>
      <c r="R45" t="n">
        <v>951.256</v>
      </c>
      <c r="S45" t="n">
        <v>2503.695</v>
      </c>
      <c r="T45" t="n">
        <v>2480.417</v>
      </c>
      <c r="U45" t="n">
        <v>170456.056</v>
      </c>
      <c r="V45" t="n">
        <v>201.698</v>
      </c>
      <c r="W45" t="n">
        <v>571.91</v>
      </c>
      <c r="X45" t="n">
        <v>62.66</v>
      </c>
      <c r="Y45" t="n">
        <v>681.364</v>
      </c>
      <c r="Z45">
        <f>H45*x_c_F+I45*x_c_CC+J45*x_c_DC+K45*x_c_HCC+L45*x_c_PLT+M45*x_c_SVRn+N45*x_c_SVRcc+O45*x_c_LT+P45*x_c_LT1</f>
        <v/>
      </c>
      <c r="AA45">
        <f>C45*x_c_DAA</f>
        <v/>
      </c>
      <c r="AB45">
        <f>C45*x_c_MON</f>
        <v/>
      </c>
      <c r="AC45">
        <f>D45*(1-x_testy)</f>
        <v/>
      </c>
      <c r="AD45">
        <f>E45*(1-x_testy)</f>
        <v/>
      </c>
      <c r="AE45">
        <f>F45*x_NAV</f>
        <v/>
      </c>
      <c r="AF45">
        <f>G45*x_FIX*(1-x_testy)</f>
        <v/>
      </c>
      <c r="AG45">
        <f>x_z_F*T45+(1-x_AGRI)*x_EMP*x_WLOSS*(x_PEN_K74*Q45+x_PEN_C22*R45)</f>
        <v/>
      </c>
      <c r="AH45">
        <f>x_AGRI*x_EMP*x_WLOSS*(x_PEN_K74*Q45+x_PEN_C22*R45)</f>
        <v/>
      </c>
      <c r="AI45">
        <f>x_EMP*x_WAGE*(x_WLOSS*(Q45+R45)+S45)+T45*x_ABS_D*x_WAGE/365</f>
        <v/>
      </c>
      <c r="AJ45">
        <f>AI45*x_R_FUS</f>
        <v/>
      </c>
      <c r="AK45">
        <f>AI45*x_R_NFZ</f>
        <v/>
      </c>
      <c r="AL45">
        <f>AI45*x_R_PIT</f>
        <v/>
      </c>
      <c r="AM45">
        <f>AI45*x_R_FP</f>
        <v/>
      </c>
      <c r="AN45">
        <f>Z45+AA45+AB45+AC45+AE45</f>
        <v/>
      </c>
      <c r="AO45">
        <f>AN45+AD45+AF45+AG45+AH45+AJ45+AK45+AL45+AM45</f>
        <v/>
      </c>
      <c r="AP45">
        <f>AN45+AD45+AF45+AI45</f>
        <v/>
      </c>
      <c r="AQ45">
        <f>AA45+AB45+AC45+AE45</f>
        <v/>
      </c>
      <c r="AR45">
        <f>AQ45+AD45+AF45</f>
        <v/>
      </c>
    </row>
    <row r="46">
      <c r="A46" t="n">
        <v>2069</v>
      </c>
      <c r="B46" t="n">
        <v>43</v>
      </c>
      <c r="C46" t="n">
        <v>4832</v>
      </c>
      <c r="D46" t="n">
        <v>0</v>
      </c>
      <c r="E46" t="n">
        <v>0</v>
      </c>
      <c r="F46" t="n">
        <v>0</v>
      </c>
      <c r="G46" t="n">
        <v>0</v>
      </c>
      <c r="H46" t="n">
        <v>2272.988</v>
      </c>
      <c r="I46" t="n">
        <v>207.059</v>
      </c>
      <c r="J46" t="n">
        <v>1084.906</v>
      </c>
      <c r="K46" t="n">
        <v>1948.415</v>
      </c>
      <c r="L46" t="n">
        <v>716.119</v>
      </c>
      <c r="M46" t="n">
        <v>132078.478</v>
      </c>
      <c r="N46" t="n">
        <v>7425.709</v>
      </c>
      <c r="O46" t="n">
        <v>62.16</v>
      </c>
      <c r="P46" t="n">
        <v>62.41</v>
      </c>
      <c r="Q46" t="n">
        <v>653.2329999999999</v>
      </c>
      <c r="R46" t="n">
        <v>943.533</v>
      </c>
      <c r="S46" t="n">
        <v>2483.715</v>
      </c>
      <c r="T46" t="n">
        <v>2480.047</v>
      </c>
      <c r="U46" t="n">
        <v>171791.586</v>
      </c>
      <c r="V46" t="n">
        <v>200.427</v>
      </c>
      <c r="W46" t="n">
        <v>568.275</v>
      </c>
      <c r="X46" t="n">
        <v>62.16</v>
      </c>
      <c r="Y46" t="n">
        <v>675.763</v>
      </c>
      <c r="Z46">
        <f>H46*x_c_F+I46*x_c_CC+J46*x_c_DC+K46*x_c_HCC+L46*x_c_PLT+M46*x_c_SVRn+N46*x_c_SVRcc+O46*x_c_LT+P46*x_c_LT1</f>
        <v/>
      </c>
      <c r="AA46">
        <f>C46*x_c_DAA</f>
        <v/>
      </c>
      <c r="AB46">
        <f>C46*x_c_MON</f>
        <v/>
      </c>
      <c r="AC46">
        <f>D46*(1-x_testy)</f>
        <v/>
      </c>
      <c r="AD46">
        <f>E46*(1-x_testy)</f>
        <v/>
      </c>
      <c r="AE46">
        <f>F46*x_NAV</f>
        <v/>
      </c>
      <c r="AF46">
        <f>G46*x_FIX*(1-x_testy)</f>
        <v/>
      </c>
      <c r="AG46">
        <f>x_z_F*T46+(1-x_AGRI)*x_EMP*x_WLOSS*(x_PEN_K74*Q46+x_PEN_C22*R46)</f>
        <v/>
      </c>
      <c r="AH46">
        <f>x_AGRI*x_EMP*x_WLOSS*(x_PEN_K74*Q46+x_PEN_C22*R46)</f>
        <v/>
      </c>
      <c r="AI46">
        <f>x_EMP*x_WAGE*(x_WLOSS*(Q46+R46)+S46)+T46*x_ABS_D*x_WAGE/365</f>
        <v/>
      </c>
      <c r="AJ46">
        <f>AI46*x_R_FUS</f>
        <v/>
      </c>
      <c r="AK46">
        <f>AI46*x_R_NFZ</f>
        <v/>
      </c>
      <c r="AL46">
        <f>AI46*x_R_PIT</f>
        <v/>
      </c>
      <c r="AM46">
        <f>AI46*x_R_FP</f>
        <v/>
      </c>
      <c r="AN46">
        <f>Z46+AA46+AB46+AC46+AE46</f>
        <v/>
      </c>
      <c r="AO46">
        <f>AN46+AD46+AF46+AG46+AH46+AJ46+AK46+AL46+AM46</f>
        <v/>
      </c>
      <c r="AP46">
        <f>AN46+AD46+AF46+AI46</f>
        <v/>
      </c>
      <c r="AQ46">
        <f>AA46+AB46+AC46+AE46</f>
        <v/>
      </c>
      <c r="AR46">
        <f>AQ46+AD46+AF46</f>
        <v/>
      </c>
    </row>
    <row r="47">
      <c r="A47" t="n">
        <v>2070</v>
      </c>
      <c r="B47" t="n">
        <v>44</v>
      </c>
      <c r="C47" t="n">
        <v>4832</v>
      </c>
      <c r="D47" t="n">
        <v>0</v>
      </c>
      <c r="E47" t="n">
        <v>0</v>
      </c>
      <c r="F47" t="n">
        <v>0</v>
      </c>
      <c r="G47" t="n">
        <v>0</v>
      </c>
      <c r="H47" t="n">
        <v>2273.301</v>
      </c>
      <c r="I47" t="n">
        <v>206.394</v>
      </c>
      <c r="J47" t="n">
        <v>1077.158</v>
      </c>
      <c r="K47" t="n">
        <v>1936.045</v>
      </c>
      <c r="L47" t="n">
        <v>701.027</v>
      </c>
      <c r="M47" t="n">
        <v>134139.203</v>
      </c>
      <c r="N47" t="n">
        <v>7389.301</v>
      </c>
      <c r="O47" t="n">
        <v>61.764</v>
      </c>
      <c r="P47" t="n">
        <v>61.962</v>
      </c>
      <c r="Q47" t="n">
        <v>648.069</v>
      </c>
      <c r="R47" t="n">
        <v>936.1950000000001</v>
      </c>
      <c r="S47" t="n">
        <v>2464.66</v>
      </c>
      <c r="T47" t="n">
        <v>2479.695</v>
      </c>
      <c r="U47" t="n">
        <v>173156.691</v>
      </c>
      <c r="V47" t="n">
        <v>199.337</v>
      </c>
      <c r="W47" t="n">
        <v>565.216</v>
      </c>
      <c r="X47" t="n">
        <v>61.764</v>
      </c>
      <c r="Y47" t="n">
        <v>671.263</v>
      </c>
      <c r="Z47">
        <f>H47*x_c_F+I47*x_c_CC+J47*x_c_DC+K47*x_c_HCC+L47*x_c_PLT+M47*x_c_SVRn+N47*x_c_SVRcc+O47*x_c_LT+P47*x_c_LT1</f>
        <v/>
      </c>
      <c r="AA47">
        <f>C47*x_c_DAA</f>
        <v/>
      </c>
      <c r="AB47">
        <f>C47*x_c_MON</f>
        <v/>
      </c>
      <c r="AC47">
        <f>D47*(1-x_testy)</f>
        <v/>
      </c>
      <c r="AD47">
        <f>E47*(1-x_testy)</f>
        <v/>
      </c>
      <c r="AE47">
        <f>F47*x_NAV</f>
        <v/>
      </c>
      <c r="AF47">
        <f>G47*x_FIX*(1-x_testy)</f>
        <v/>
      </c>
      <c r="AG47">
        <f>x_z_F*T47+(1-x_AGRI)*x_EMP*x_WLOSS*(x_PEN_K74*Q47+x_PEN_C22*R47)</f>
        <v/>
      </c>
      <c r="AH47">
        <f>x_AGRI*x_EMP*x_WLOSS*(x_PEN_K74*Q47+x_PEN_C22*R47)</f>
        <v/>
      </c>
      <c r="AI47">
        <f>x_EMP*x_WAGE*(x_WLOSS*(Q47+R47)+S47)+T47*x_ABS_D*x_WAGE/365</f>
        <v/>
      </c>
      <c r="AJ47">
        <f>AI47*x_R_FUS</f>
        <v/>
      </c>
      <c r="AK47">
        <f>AI47*x_R_NFZ</f>
        <v/>
      </c>
      <c r="AL47">
        <f>AI47*x_R_PIT</f>
        <v/>
      </c>
      <c r="AM47">
        <f>AI47*x_R_FP</f>
        <v/>
      </c>
      <c r="AN47">
        <f>Z47+AA47+AB47+AC47+AE47</f>
        <v/>
      </c>
      <c r="AO47">
        <f>AN47+AD47+AF47+AG47+AH47+AJ47+AK47+AL47+AM47</f>
        <v/>
      </c>
      <c r="AP47">
        <f>AN47+AD47+AF47+AI47</f>
        <v/>
      </c>
      <c r="AQ47">
        <f>AA47+AB47+AC47+AE47</f>
        <v/>
      </c>
      <c r="AR47">
        <f>AQ47+AD47+AF47</f>
        <v/>
      </c>
    </row>
    <row r="48">
      <c r="A48" t="n">
        <v>2071</v>
      </c>
      <c r="B48" t="n">
        <v>45</v>
      </c>
      <c r="C48" t="n">
        <v>4832</v>
      </c>
      <c r="D48" t="n">
        <v>0</v>
      </c>
      <c r="E48" t="n">
        <v>0</v>
      </c>
      <c r="F48" t="n">
        <v>0</v>
      </c>
      <c r="G48" t="n">
        <v>0</v>
      </c>
      <c r="H48" t="n">
        <v>2273.565</v>
      </c>
      <c r="I48" t="n">
        <v>205.79</v>
      </c>
      <c r="J48" t="n">
        <v>1070.925</v>
      </c>
      <c r="K48" t="n">
        <v>1925.972</v>
      </c>
      <c r="L48" t="n">
        <v>688.558</v>
      </c>
      <c r="M48" t="n">
        <v>136207.77</v>
      </c>
      <c r="N48" t="n">
        <v>7366.177</v>
      </c>
      <c r="O48" t="n">
        <v>61.448</v>
      </c>
      <c r="P48" t="n">
        <v>61.606</v>
      </c>
      <c r="Q48" t="n">
        <v>643.171</v>
      </c>
      <c r="R48" t="n">
        <v>929.236</v>
      </c>
      <c r="S48" t="n">
        <v>2446.553</v>
      </c>
      <c r="T48" t="n">
        <v>2479.355</v>
      </c>
      <c r="U48" t="n">
        <v>174546.556</v>
      </c>
      <c r="V48" t="n">
        <v>198.374</v>
      </c>
      <c r="W48" t="n">
        <v>562.582</v>
      </c>
      <c r="X48" t="n">
        <v>61.448</v>
      </c>
      <c r="Y48" t="n">
        <v>667.652</v>
      </c>
      <c r="Z48">
        <f>H48*x_c_F+I48*x_c_CC+J48*x_c_DC+K48*x_c_HCC+L48*x_c_PLT+M48*x_c_SVRn+N48*x_c_SVRcc+O48*x_c_LT+P48*x_c_LT1</f>
        <v/>
      </c>
      <c r="AA48">
        <f>C48*x_c_DAA</f>
        <v/>
      </c>
      <c r="AB48">
        <f>C48*x_c_MON</f>
        <v/>
      </c>
      <c r="AC48">
        <f>D48*(1-x_testy)</f>
        <v/>
      </c>
      <c r="AD48">
        <f>E48*(1-x_testy)</f>
        <v/>
      </c>
      <c r="AE48">
        <f>F48*x_NAV</f>
        <v/>
      </c>
      <c r="AF48">
        <f>G48*x_FIX*(1-x_testy)</f>
        <v/>
      </c>
      <c r="AG48">
        <f>x_z_F*T48+(1-x_AGRI)*x_EMP*x_WLOSS*(x_PEN_K74*Q48+x_PEN_C22*R48)</f>
        <v/>
      </c>
      <c r="AH48">
        <f>x_AGRI*x_EMP*x_WLOSS*(x_PEN_K74*Q48+x_PEN_C22*R48)</f>
        <v/>
      </c>
      <c r="AI48">
        <f>x_EMP*x_WAGE*(x_WLOSS*(Q48+R48)+S48)+T48*x_ABS_D*x_WAGE/365</f>
        <v/>
      </c>
      <c r="AJ48">
        <f>AI48*x_R_FUS</f>
        <v/>
      </c>
      <c r="AK48">
        <f>AI48*x_R_NFZ</f>
        <v/>
      </c>
      <c r="AL48">
        <f>AI48*x_R_PIT</f>
        <v/>
      </c>
      <c r="AM48">
        <f>AI48*x_R_FP</f>
        <v/>
      </c>
      <c r="AN48">
        <f>Z48+AA48+AB48+AC48+AE48</f>
        <v/>
      </c>
      <c r="AO48">
        <f>AN48+AD48+AF48+AG48+AH48+AJ48+AK48+AL48+AM48</f>
        <v/>
      </c>
      <c r="AP48">
        <f>AN48+AD48+AF48+AI48</f>
        <v/>
      </c>
      <c r="AQ48">
        <f>AA48+AB48+AC48+AE48</f>
        <v/>
      </c>
      <c r="AR48">
        <f>AQ48+AD48+AF48</f>
        <v/>
      </c>
    </row>
    <row r="49">
      <c r="A49" t="n">
        <v>2072</v>
      </c>
      <c r="B49" t="n">
        <v>46</v>
      </c>
      <c r="C49" t="n">
        <v>4832</v>
      </c>
      <c r="D49" t="n">
        <v>0</v>
      </c>
      <c r="E49" t="n">
        <v>0</v>
      </c>
      <c r="F49" t="n">
        <v>0</v>
      </c>
      <c r="G49" t="n">
        <v>0</v>
      </c>
      <c r="H49" t="n">
        <v>2273.818</v>
      </c>
      <c r="I49" t="n">
        <v>205.206</v>
      </c>
      <c r="J49" t="n">
        <v>1065.85</v>
      </c>
      <c r="K49" t="n">
        <v>1917.626</v>
      </c>
      <c r="L49" t="n">
        <v>678.515</v>
      </c>
      <c r="M49" t="n">
        <v>138278.466</v>
      </c>
      <c r="N49" t="n">
        <v>7355.07</v>
      </c>
      <c r="O49" t="n">
        <v>61.193</v>
      </c>
      <c r="P49" t="n">
        <v>61.321</v>
      </c>
      <c r="Q49" t="n">
        <v>638.533</v>
      </c>
      <c r="R49" t="n">
        <v>922.645</v>
      </c>
      <c r="S49" t="n">
        <v>2429.388</v>
      </c>
      <c r="T49" t="n">
        <v>2479.024</v>
      </c>
      <c r="U49" t="n">
        <v>175953.332</v>
      </c>
      <c r="V49" t="n">
        <v>197.49</v>
      </c>
      <c r="W49" t="n">
        <v>560.235</v>
      </c>
      <c r="X49" t="n">
        <v>61.193</v>
      </c>
      <c r="Y49" t="n">
        <v>664.717</v>
      </c>
      <c r="Z49">
        <f>H49*x_c_F+I49*x_c_CC+J49*x_c_DC+K49*x_c_HCC+L49*x_c_PLT+M49*x_c_SVRn+N49*x_c_SVRcc+O49*x_c_LT+P49*x_c_LT1</f>
        <v/>
      </c>
      <c r="AA49">
        <f>C49*x_c_DAA</f>
        <v/>
      </c>
      <c r="AB49">
        <f>C49*x_c_MON</f>
        <v/>
      </c>
      <c r="AC49">
        <f>D49*(1-x_testy)</f>
        <v/>
      </c>
      <c r="AD49">
        <f>E49*(1-x_testy)</f>
        <v/>
      </c>
      <c r="AE49">
        <f>F49*x_NAV</f>
        <v/>
      </c>
      <c r="AF49">
        <f>G49*x_FIX*(1-x_testy)</f>
        <v/>
      </c>
      <c r="AG49">
        <f>x_z_F*T49+(1-x_AGRI)*x_EMP*x_WLOSS*(x_PEN_K74*Q49+x_PEN_C22*R49)</f>
        <v/>
      </c>
      <c r="AH49">
        <f>x_AGRI*x_EMP*x_WLOSS*(x_PEN_K74*Q49+x_PEN_C22*R49)</f>
        <v/>
      </c>
      <c r="AI49">
        <f>x_EMP*x_WAGE*(x_WLOSS*(Q49+R49)+S49)+T49*x_ABS_D*x_WAGE/365</f>
        <v/>
      </c>
      <c r="AJ49">
        <f>AI49*x_R_FUS</f>
        <v/>
      </c>
      <c r="AK49">
        <f>AI49*x_R_NFZ</f>
        <v/>
      </c>
      <c r="AL49">
        <f>AI49*x_R_PIT</f>
        <v/>
      </c>
      <c r="AM49">
        <f>AI49*x_R_FP</f>
        <v/>
      </c>
      <c r="AN49">
        <f>Z49+AA49+AB49+AC49+AE49</f>
        <v/>
      </c>
      <c r="AO49">
        <f>AN49+AD49+AF49+AG49+AH49+AJ49+AK49+AL49+AM49</f>
        <v/>
      </c>
      <c r="AP49">
        <f>AN49+AD49+AF49+AI49</f>
        <v/>
      </c>
      <c r="AQ49">
        <f>AA49+AB49+AC49+AE49</f>
        <v/>
      </c>
      <c r="AR49">
        <f>AQ49+AD49+AF49</f>
        <v/>
      </c>
    </row>
    <row r="50">
      <c r="A50" t="n">
        <v>2073</v>
      </c>
      <c r="B50" t="n">
        <v>47</v>
      </c>
      <c r="C50" t="n">
        <v>4832</v>
      </c>
      <c r="D50" t="n">
        <v>0</v>
      </c>
      <c r="E50" t="n">
        <v>0</v>
      </c>
      <c r="F50" t="n">
        <v>0</v>
      </c>
      <c r="G50" t="n">
        <v>0</v>
      </c>
      <c r="H50" t="n">
        <v>2274.093</v>
      </c>
      <c r="I50" t="n">
        <v>204.604</v>
      </c>
      <c r="J50" t="n">
        <v>1061.566</v>
      </c>
      <c r="K50" t="n">
        <v>1910.427</v>
      </c>
      <c r="L50" t="n">
        <v>670.59</v>
      </c>
      <c r="M50" t="n">
        <v>140341.474</v>
      </c>
      <c r="N50" t="n">
        <v>7353.934</v>
      </c>
      <c r="O50" t="n">
        <v>60.976</v>
      </c>
      <c r="P50" t="n">
        <v>61.085</v>
      </c>
      <c r="Q50" t="n">
        <v>634.145</v>
      </c>
      <c r="R50" t="n">
        <v>916.407</v>
      </c>
      <c r="S50" t="n">
        <v>2413.148</v>
      </c>
      <c r="T50" t="n">
        <v>2478.696</v>
      </c>
      <c r="U50" t="n">
        <v>177365.767</v>
      </c>
      <c r="V50" t="n">
        <v>196.637</v>
      </c>
      <c r="W50" t="n">
        <v>558.033</v>
      </c>
      <c r="X50" t="n">
        <v>60.976</v>
      </c>
      <c r="Y50" t="n">
        <v>662.22</v>
      </c>
      <c r="Z50">
        <f>H50*x_c_F+I50*x_c_CC+J50*x_c_DC+K50*x_c_HCC+L50*x_c_PLT+M50*x_c_SVRn+N50*x_c_SVRcc+O50*x_c_LT+P50*x_c_LT1</f>
        <v/>
      </c>
      <c r="AA50">
        <f>C50*x_c_DAA</f>
        <v/>
      </c>
      <c r="AB50">
        <f>C50*x_c_MON</f>
        <v/>
      </c>
      <c r="AC50">
        <f>D50*(1-x_testy)</f>
        <v/>
      </c>
      <c r="AD50">
        <f>E50*(1-x_testy)</f>
        <v/>
      </c>
      <c r="AE50">
        <f>F50*x_NAV</f>
        <v/>
      </c>
      <c r="AF50">
        <f>G50*x_FIX*(1-x_testy)</f>
        <v/>
      </c>
      <c r="AG50">
        <f>x_z_F*T50+(1-x_AGRI)*x_EMP*x_WLOSS*(x_PEN_K74*Q50+x_PEN_C22*R50)</f>
        <v/>
      </c>
      <c r="AH50">
        <f>x_AGRI*x_EMP*x_WLOSS*(x_PEN_K74*Q50+x_PEN_C22*R50)</f>
        <v/>
      </c>
      <c r="AI50">
        <f>x_EMP*x_WAGE*(x_WLOSS*(Q50+R50)+S50)+T50*x_ABS_D*x_WAGE/365</f>
        <v/>
      </c>
      <c r="AJ50">
        <f>AI50*x_R_FUS</f>
        <v/>
      </c>
      <c r="AK50">
        <f>AI50*x_R_NFZ</f>
        <v/>
      </c>
      <c r="AL50">
        <f>AI50*x_R_PIT</f>
        <v/>
      </c>
      <c r="AM50">
        <f>AI50*x_R_FP</f>
        <v/>
      </c>
      <c r="AN50">
        <f>Z50+AA50+AB50+AC50+AE50</f>
        <v/>
      </c>
      <c r="AO50">
        <f>AN50+AD50+AF50+AG50+AH50+AJ50+AK50+AL50+AM50</f>
        <v/>
      </c>
      <c r="AP50">
        <f>AN50+AD50+AF50+AI50</f>
        <v/>
      </c>
      <c r="AQ50">
        <f>AA50+AB50+AC50+AE50</f>
        <v/>
      </c>
      <c r="AR50">
        <f>AQ50+AD50+AF50</f>
        <v/>
      </c>
    </row>
    <row r="51">
      <c r="A51" t="n">
        <v>2074</v>
      </c>
      <c r="B51" t="n">
        <v>48</v>
      </c>
      <c r="C51" t="n">
        <v>4832</v>
      </c>
      <c r="D51" t="n">
        <v>0</v>
      </c>
      <c r="E51" t="n">
        <v>0</v>
      </c>
      <c r="F51" t="n">
        <v>0</v>
      </c>
      <c r="G51" t="n">
        <v>0</v>
      </c>
      <c r="H51" t="n">
        <v>2274.413</v>
      </c>
      <c r="I51" t="n">
        <v>203.957</v>
      </c>
      <c r="J51" t="n">
        <v>1057.721</v>
      </c>
      <c r="K51" t="n">
        <v>1903.817</v>
      </c>
      <c r="L51" t="n">
        <v>664.39</v>
      </c>
      <c r="M51" t="n">
        <v>142383.368</v>
      </c>
      <c r="N51" t="n">
        <v>7360.124</v>
      </c>
      <c r="O51" t="n">
        <v>60.777</v>
      </c>
      <c r="P51" t="n">
        <v>60.877</v>
      </c>
      <c r="Q51" t="n">
        <v>629.997</v>
      </c>
      <c r="R51" t="n">
        <v>910.5069999999999</v>
      </c>
      <c r="S51" t="n">
        <v>2397.808</v>
      </c>
      <c r="T51" t="n">
        <v>2478.371</v>
      </c>
      <c r="U51" t="n">
        <v>178769.811</v>
      </c>
      <c r="V51" t="n">
        <v>195.779</v>
      </c>
      <c r="W51" t="n">
        <v>555.859</v>
      </c>
      <c r="X51" t="n">
        <v>60.777</v>
      </c>
      <c r="Y51" t="n">
        <v>659.95</v>
      </c>
      <c r="Z51">
        <f>H51*x_c_F+I51*x_c_CC+J51*x_c_DC+K51*x_c_HCC+L51*x_c_PLT+M51*x_c_SVRn+N51*x_c_SVRcc+O51*x_c_LT+P51*x_c_LT1</f>
        <v/>
      </c>
      <c r="AA51">
        <f>C51*x_c_DAA</f>
        <v/>
      </c>
      <c r="AB51">
        <f>C51*x_c_MON</f>
        <v/>
      </c>
      <c r="AC51">
        <f>D51*(1-x_testy)</f>
        <v/>
      </c>
      <c r="AD51">
        <f>E51*(1-x_testy)</f>
        <v/>
      </c>
      <c r="AE51">
        <f>F51*x_NAV</f>
        <v/>
      </c>
      <c r="AF51">
        <f>G51*x_FIX*(1-x_testy)</f>
        <v/>
      </c>
      <c r="AG51">
        <f>x_z_F*T51+(1-x_AGRI)*x_EMP*x_WLOSS*(x_PEN_K74*Q51+x_PEN_C22*R51)</f>
        <v/>
      </c>
      <c r="AH51">
        <f>x_AGRI*x_EMP*x_WLOSS*(x_PEN_K74*Q51+x_PEN_C22*R51)</f>
        <v/>
      </c>
      <c r="AI51">
        <f>x_EMP*x_WAGE*(x_WLOSS*(Q51+R51)+S51)+T51*x_ABS_D*x_WAGE/365</f>
        <v/>
      </c>
      <c r="AJ51">
        <f>AI51*x_R_FUS</f>
        <v/>
      </c>
      <c r="AK51">
        <f>AI51*x_R_NFZ</f>
        <v/>
      </c>
      <c r="AL51">
        <f>AI51*x_R_PIT</f>
        <v/>
      </c>
      <c r="AM51">
        <f>AI51*x_R_FP</f>
        <v/>
      </c>
      <c r="AN51">
        <f>Z51+AA51+AB51+AC51+AE51</f>
        <v/>
      </c>
      <c r="AO51">
        <f>AN51+AD51+AF51+AG51+AH51+AJ51+AK51+AL51+AM51</f>
        <v/>
      </c>
      <c r="AP51">
        <f>AN51+AD51+AF51+AI51</f>
        <v/>
      </c>
      <c r="AQ51">
        <f>AA51+AB51+AC51+AE51</f>
        <v/>
      </c>
      <c r="AR51">
        <f>AQ51+AD51+AF51</f>
        <v/>
      </c>
    </row>
    <row r="52">
      <c r="A52" t="n">
        <v>2075</v>
      </c>
      <c r="B52" t="n">
        <v>49</v>
      </c>
      <c r="C52" t="n">
        <v>4832</v>
      </c>
      <c r="D52" t="n">
        <v>0</v>
      </c>
      <c r="E52" t="n">
        <v>0</v>
      </c>
      <c r="F52" t="n">
        <v>0</v>
      </c>
      <c r="G52" t="n">
        <v>0</v>
      </c>
      <c r="H52" t="n">
        <v>2274.794</v>
      </c>
      <c r="I52" t="n">
        <v>203.25</v>
      </c>
      <c r="J52" t="n">
        <v>1053.999</v>
      </c>
      <c r="K52" t="n">
        <v>1897.301</v>
      </c>
      <c r="L52" t="n">
        <v>659.475</v>
      </c>
      <c r="M52" t="n">
        <v>144388.106</v>
      </c>
      <c r="N52" t="n">
        <v>7370.667</v>
      </c>
      <c r="O52" t="n">
        <v>60.578</v>
      </c>
      <c r="P52" t="n">
        <v>60.678</v>
      </c>
      <c r="Q52" t="n">
        <v>626.077</v>
      </c>
      <c r="R52" t="n">
        <v>904.926</v>
      </c>
      <c r="S52" t="n">
        <v>2383.333</v>
      </c>
      <c r="T52" t="n">
        <v>2478.044</v>
      </c>
      <c r="U52" t="n">
        <v>180149.628</v>
      </c>
      <c r="V52" t="n">
        <v>194.883</v>
      </c>
      <c r="W52" t="n">
        <v>553.6079999999999</v>
      </c>
      <c r="X52" t="n">
        <v>60.578</v>
      </c>
      <c r="Y52" t="n">
        <v>657.706</v>
      </c>
      <c r="Z52">
        <f>H52*x_c_F+I52*x_c_CC+J52*x_c_DC+K52*x_c_HCC+L52*x_c_PLT+M52*x_c_SVRn+N52*x_c_SVRcc+O52*x_c_LT+P52*x_c_LT1</f>
        <v/>
      </c>
      <c r="AA52">
        <f>C52*x_c_DAA</f>
        <v/>
      </c>
      <c r="AB52">
        <f>C52*x_c_MON</f>
        <v/>
      </c>
      <c r="AC52">
        <f>D52*(1-x_testy)</f>
        <v/>
      </c>
      <c r="AD52">
        <f>E52*(1-x_testy)</f>
        <v/>
      </c>
      <c r="AE52">
        <f>F52*x_NAV</f>
        <v/>
      </c>
      <c r="AF52">
        <f>G52*x_FIX*(1-x_testy)</f>
        <v/>
      </c>
      <c r="AG52">
        <f>x_z_F*T52+(1-x_AGRI)*x_EMP*x_WLOSS*(x_PEN_K74*Q52+x_PEN_C22*R52)</f>
        <v/>
      </c>
      <c r="AH52">
        <f>x_AGRI*x_EMP*x_WLOSS*(x_PEN_K74*Q52+x_PEN_C22*R52)</f>
        <v/>
      </c>
      <c r="AI52">
        <f>x_EMP*x_WAGE*(x_WLOSS*(Q52+R52)+S52)+T52*x_ABS_D*x_WAGE/365</f>
        <v/>
      </c>
      <c r="AJ52">
        <f>AI52*x_R_FUS</f>
        <v/>
      </c>
      <c r="AK52">
        <f>AI52*x_R_NFZ</f>
        <v/>
      </c>
      <c r="AL52">
        <f>AI52*x_R_PIT</f>
        <v/>
      </c>
      <c r="AM52">
        <f>AI52*x_R_FP</f>
        <v/>
      </c>
      <c r="AN52">
        <f>Z52+AA52+AB52+AC52+AE52</f>
        <v/>
      </c>
      <c r="AO52">
        <f>AN52+AD52+AF52+AG52+AH52+AJ52+AK52+AL52+AM52</f>
        <v/>
      </c>
      <c r="AP52">
        <f>AN52+AD52+AF52+AI52</f>
        <v/>
      </c>
      <c r="AQ52">
        <f>AA52+AB52+AC52+AE52</f>
        <v/>
      </c>
      <c r="AR52">
        <f>AQ52+AD52+AF52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I4: Pakiet eliminacyjny WHO (test refleksyjny + 3 kanały) – liczebności (silnik, wartości) i koszty (formuły), zł/rok, niezdyskontowane. Szacunek modelu.</t>
        </is>
      </c>
    </row>
    <row r="2">
      <c r="A2" s="3" t="inlineStr">
        <is>
          <t>rok</t>
        </is>
      </c>
      <c r="B2" s="3" t="inlineStr">
        <is>
          <t>t</t>
        </is>
      </c>
      <c r="C2" s="3" t="inlineStr">
        <is>
          <t>treated</t>
        </is>
      </c>
      <c r="D2" s="3" t="inlineStr">
        <is>
          <t>NFZ_diag</t>
        </is>
      </c>
      <c r="E2" s="3" t="inlineStr">
        <is>
          <t>MZ_SW</t>
        </is>
      </c>
      <c r="F2" s="3" t="inlineStr">
        <is>
          <t>nNAV</t>
        </is>
      </c>
      <c r="G2" s="3" t="inlineStr">
        <is>
          <t>FIXon</t>
        </is>
      </c>
      <c r="H2" s="3" t="inlineStr">
        <is>
          <t>cF03</t>
        </is>
      </c>
      <c r="I2" s="3" t="inlineStr">
        <is>
          <t>cF4</t>
        </is>
      </c>
      <c r="J2" s="3" t="inlineStr">
        <is>
          <t>cDC</t>
        </is>
      </c>
      <c r="K2" s="3" t="inlineStr">
        <is>
          <t>cHCC</t>
        </is>
      </c>
      <c r="L2" s="3" t="inlineStr">
        <is>
          <t>cPLT</t>
        </is>
      </c>
      <c r="M2" s="3" t="inlineStr">
        <is>
          <t>cSVn</t>
        </is>
      </c>
      <c r="N2" s="3" t="inlineStr">
        <is>
          <t>cSVc</t>
        </is>
      </c>
      <c r="O2" s="3" t="inlineStr">
        <is>
          <t>cLTn</t>
        </is>
      </c>
      <c r="P2" s="3" t="inlineStr">
        <is>
          <t>cLT1</t>
        </is>
      </c>
      <c r="Q2" s="3" t="inlineStr">
        <is>
          <t>wAdv</t>
        </is>
      </c>
      <c r="R2" s="3" t="inlineStr">
        <is>
          <t>wHCC</t>
        </is>
      </c>
      <c r="S2" s="3" t="inlineStr">
        <is>
          <t>wGH</t>
        </is>
      </c>
      <c r="T2" s="3" t="inlineStr">
        <is>
          <t>cAbs</t>
        </is>
      </c>
      <c r="U2" s="3" t="inlineStr">
        <is>
          <t>QALY</t>
        </is>
      </c>
      <c r="V2" s="3" t="inlineStr">
        <is>
          <t>newDC</t>
        </is>
      </c>
      <c r="W2" s="3" t="inlineStr">
        <is>
          <t>newHCC</t>
        </is>
      </c>
      <c r="X2" s="3" t="inlineStr">
        <is>
          <t>LT</t>
        </is>
      </c>
      <c r="Y2" s="3" t="inlineStr">
        <is>
          <t>liverD</t>
        </is>
      </c>
      <c r="Z2" s="3" t="inlineStr">
        <is>
          <t>NFZ_med</t>
        </is>
      </c>
      <c r="AA2" s="3" t="inlineStr">
        <is>
          <t>NFZ_DAA</t>
        </is>
      </c>
      <c r="AB2" s="3" t="inlineStr">
        <is>
          <t>NFZ_mon</t>
        </is>
      </c>
      <c r="AC2" s="3" t="inlineStr">
        <is>
          <t>NFZ_diag_k</t>
        </is>
      </c>
      <c r="AD2" s="3" t="inlineStr">
        <is>
          <t>MZ_SW_k</t>
        </is>
      </c>
      <c r="AE2" s="3" t="inlineStr">
        <is>
          <t>NAV_k</t>
        </is>
      </c>
      <c r="AF2" s="3" t="inlineStr">
        <is>
          <t>FIX_k</t>
        </is>
      </c>
      <c r="AG2" s="3" t="inlineStr">
        <is>
          <t>ZUS</t>
        </is>
      </c>
      <c r="AH2" s="3" t="inlineStr">
        <is>
          <t>KRUS</t>
        </is>
      </c>
      <c r="AI2" s="3" t="inlineStr">
        <is>
          <t>lostw</t>
        </is>
      </c>
      <c r="AJ2" s="3" t="inlineStr">
        <is>
          <t>lost_FUS</t>
        </is>
      </c>
      <c r="AK2" s="3" t="inlineStr">
        <is>
          <t>lost_NFZ</t>
        </is>
      </c>
      <c r="AL2" s="3" t="inlineStr">
        <is>
          <t>lost_PIT</t>
        </is>
      </c>
      <c r="AM2" s="3" t="inlineStr">
        <is>
          <t>lost_FP</t>
        </is>
      </c>
      <c r="AN2" s="3" t="inlineStr">
        <is>
          <t>NFZ</t>
        </is>
      </c>
      <c r="AO2" s="3" t="inlineStr">
        <is>
          <t>PUBLIC</t>
        </is>
      </c>
      <c r="AP2" s="3" t="inlineStr">
        <is>
          <t>SOCIETAL</t>
        </is>
      </c>
      <c r="AQ2" s="3" t="inlineStr">
        <is>
          <t>INV_NFZ</t>
        </is>
      </c>
      <c r="AR2" s="3" t="inlineStr">
        <is>
          <t>INV_PUB</t>
        </is>
      </c>
    </row>
    <row r="3">
      <c r="A3" t="n">
        <v>2026</v>
      </c>
      <c r="B3" t="n">
        <v>0</v>
      </c>
      <c r="C3" t="n">
        <v>8538.953</v>
      </c>
      <c r="D3" t="n">
        <v>83333333.333</v>
      </c>
      <c r="E3" t="n">
        <v>666666.667</v>
      </c>
      <c r="F3" t="n">
        <v>4548.408</v>
      </c>
      <c r="G3" t="n">
        <v>1</v>
      </c>
      <c r="H3" t="n">
        <v>4710.411</v>
      </c>
      <c r="I3" t="n">
        <v>421.15</v>
      </c>
      <c r="J3" t="n">
        <v>1578.276</v>
      </c>
      <c r="K3" t="n">
        <v>2519.539</v>
      </c>
      <c r="L3" t="n">
        <v>1540.438</v>
      </c>
      <c r="M3" t="n">
        <v>12775.605</v>
      </c>
      <c r="N3" t="n">
        <v>1132.002</v>
      </c>
      <c r="O3" t="n">
        <v>89.04600000000001</v>
      </c>
      <c r="P3" t="n">
        <v>44.523</v>
      </c>
      <c r="Q3" t="n">
        <v>2133.991</v>
      </c>
      <c r="R3" t="n">
        <v>1699.721</v>
      </c>
      <c r="S3" t="n">
        <v>312.377</v>
      </c>
      <c r="T3" t="n">
        <v>5131.561</v>
      </c>
      <c r="U3" t="n">
        <v>113964.204</v>
      </c>
      <c r="V3" t="n">
        <v>263.587</v>
      </c>
      <c r="W3" t="n">
        <v>700.9829999999999</v>
      </c>
      <c r="X3" t="n">
        <v>89.04600000000001</v>
      </c>
      <c r="Y3" t="n">
        <v>922.327</v>
      </c>
      <c r="Z3">
        <f>H3*x_c_F+I3*x_c_CC+J3*x_c_DC+K3*x_c_HCC+L3*x_c_PLT+M3*x_c_SVRn+N3*x_c_SVRcc+O3*x_c_LT+P3*x_c_LT1</f>
        <v/>
      </c>
      <c r="AA3">
        <f>C3*x_c_DAA</f>
        <v/>
      </c>
      <c r="AB3">
        <f>C3*x_c_MON</f>
        <v/>
      </c>
      <c r="AC3">
        <f>D3*(1-x_testy)</f>
        <v/>
      </c>
      <c r="AD3">
        <f>E3*(1-x_testy)</f>
        <v/>
      </c>
      <c r="AE3">
        <f>F3*x_NAV</f>
        <v/>
      </c>
      <c r="AF3">
        <f>G3*x_FIX*(1-x_testy)</f>
        <v/>
      </c>
      <c r="AG3">
        <f>x_z_F*T3+(1-x_AGRI)*x_EMP*x_WLOSS*(x_PEN_K74*Q3+x_PEN_C22*R3)</f>
        <v/>
      </c>
      <c r="AH3">
        <f>x_AGRI*x_EMP*x_WLOSS*(x_PEN_K74*Q3+x_PEN_C22*R3)</f>
        <v/>
      </c>
      <c r="AI3">
        <f>x_EMP*x_WAGE*(x_WLOSS*(Q3+R3)+S3)+T3*x_ABS_D*x_WAGE/365</f>
        <v/>
      </c>
      <c r="AJ3">
        <f>AI3*x_R_FUS</f>
        <v/>
      </c>
      <c r="AK3">
        <f>AI3*x_R_NFZ</f>
        <v/>
      </c>
      <c r="AL3">
        <f>AI3*x_R_PIT</f>
        <v/>
      </c>
      <c r="AM3">
        <f>AI3*x_R_FP</f>
        <v/>
      </c>
      <c r="AN3">
        <f>Z3+AA3+AB3+AC3+AE3</f>
        <v/>
      </c>
      <c r="AO3">
        <f>AN3+AD3+AF3+AG3+AH3+AJ3+AK3+AL3+AM3</f>
        <v/>
      </c>
      <c r="AP3">
        <f>AN3+AD3+AF3+AI3</f>
        <v/>
      </c>
      <c r="AQ3">
        <f>AA3+AB3+AC3+AE3</f>
        <v/>
      </c>
      <c r="AR3">
        <f>AQ3+AD3+AF3</f>
        <v/>
      </c>
    </row>
    <row r="4">
      <c r="A4" t="n">
        <v>2027</v>
      </c>
      <c r="B4" t="n">
        <v>1</v>
      </c>
      <c r="C4" t="n">
        <v>11833.844</v>
      </c>
      <c r="D4" t="n">
        <v>166666666.667</v>
      </c>
      <c r="E4" t="n">
        <v>1333333.333</v>
      </c>
      <c r="F4" t="n">
        <v>8591.2191</v>
      </c>
      <c r="G4" t="n">
        <v>1</v>
      </c>
      <c r="H4" t="n">
        <v>5886.812</v>
      </c>
      <c r="I4" t="n">
        <v>551.511</v>
      </c>
      <c r="J4" t="n">
        <v>1555.495</v>
      </c>
      <c r="K4" t="n">
        <v>2492.339</v>
      </c>
      <c r="L4" t="n">
        <v>1489.389</v>
      </c>
      <c r="M4" t="n">
        <v>24022.294</v>
      </c>
      <c r="N4" t="n">
        <v>2181.986</v>
      </c>
      <c r="O4" t="n">
        <v>87.729</v>
      </c>
      <c r="P4" t="n">
        <v>88.387</v>
      </c>
      <c r="Q4" t="n">
        <v>2131.837</v>
      </c>
      <c r="R4" t="n">
        <v>1696.444</v>
      </c>
      <c r="S4" t="n">
        <v>938.924</v>
      </c>
      <c r="T4" t="n">
        <v>6438.323</v>
      </c>
      <c r="U4" t="n">
        <v>115854.639</v>
      </c>
      <c r="V4" t="n">
        <v>261.619</v>
      </c>
      <c r="W4" t="n">
        <v>700.793</v>
      </c>
      <c r="X4" t="n">
        <v>87.729</v>
      </c>
      <c r="Y4" t="n">
        <v>922.669</v>
      </c>
      <c r="Z4">
        <f>H4*x_c_F+I4*x_c_CC+J4*x_c_DC+K4*x_c_HCC+L4*x_c_PLT+M4*x_c_SVRn+N4*x_c_SVRcc+O4*x_c_LT+P4*x_c_LT1</f>
        <v/>
      </c>
      <c r="AA4">
        <f>C4*x_c_DAA</f>
        <v/>
      </c>
      <c r="AB4">
        <f>C4*x_c_MON</f>
        <v/>
      </c>
      <c r="AC4">
        <f>D4*(1-x_testy)</f>
        <v/>
      </c>
      <c r="AD4">
        <f>E4*(1-x_testy)</f>
        <v/>
      </c>
      <c r="AE4">
        <f>F4*x_NAV</f>
        <v/>
      </c>
      <c r="AF4">
        <f>G4*x_FIX*(1-x_testy)</f>
        <v/>
      </c>
      <c r="AG4">
        <f>x_z_F*T4+(1-x_AGRI)*x_EMP*x_WLOSS*(x_PEN_K74*Q4+x_PEN_C22*R4)</f>
        <v/>
      </c>
      <c r="AH4">
        <f>x_AGRI*x_EMP*x_WLOSS*(x_PEN_K74*Q4+x_PEN_C22*R4)</f>
        <v/>
      </c>
      <c r="AI4">
        <f>x_EMP*x_WAGE*(x_WLOSS*(Q4+R4)+S4)+T4*x_ABS_D*x_WAGE/365</f>
        <v/>
      </c>
      <c r="AJ4">
        <f>AI4*x_R_FUS</f>
        <v/>
      </c>
      <c r="AK4">
        <f>AI4*x_R_NFZ</f>
        <v/>
      </c>
      <c r="AL4">
        <f>AI4*x_R_PIT</f>
        <v/>
      </c>
      <c r="AM4">
        <f>AI4*x_R_FP</f>
        <v/>
      </c>
      <c r="AN4">
        <f>Z4+AA4+AB4+AC4+AE4</f>
        <v/>
      </c>
      <c r="AO4">
        <f>AN4+AD4+AF4+AG4+AH4+AJ4+AK4+AL4+AM4</f>
        <v/>
      </c>
      <c r="AP4">
        <f>AN4+AD4+AF4+AI4</f>
        <v/>
      </c>
      <c r="AQ4">
        <f>AA4+AB4+AC4+AE4</f>
        <v/>
      </c>
      <c r="AR4">
        <f>AQ4+AD4+AF4</f>
        <v/>
      </c>
    </row>
    <row r="5">
      <c r="A5" t="n">
        <v>2028</v>
      </c>
      <c r="B5" t="n">
        <v>2</v>
      </c>
      <c r="C5" t="n">
        <v>14342.412</v>
      </c>
      <c r="D5" t="n">
        <v>250000000</v>
      </c>
      <c r="E5" t="n">
        <v>2000000</v>
      </c>
      <c r="F5" t="n">
        <v>11669.2177</v>
      </c>
      <c r="G5" t="n">
        <v>1</v>
      </c>
      <c r="H5" t="n">
        <v>6092.194</v>
      </c>
      <c r="I5" t="n">
        <v>598.278</v>
      </c>
      <c r="J5" t="n">
        <v>1532.612</v>
      </c>
      <c r="K5" t="n">
        <v>2468.849</v>
      </c>
      <c r="L5" t="n">
        <v>1475.691</v>
      </c>
      <c r="M5" t="n">
        <v>35484.992</v>
      </c>
      <c r="N5" t="n">
        <v>3300.226</v>
      </c>
      <c r="O5" t="n">
        <v>86.536</v>
      </c>
      <c r="P5" t="n">
        <v>87.13200000000001</v>
      </c>
      <c r="Q5" t="n">
        <v>2125.698</v>
      </c>
      <c r="R5" t="n">
        <v>1697.744</v>
      </c>
      <c r="S5" t="n">
        <v>1565.705</v>
      </c>
      <c r="T5" t="n">
        <v>6690.473</v>
      </c>
      <c r="U5" t="n">
        <v>117808.12</v>
      </c>
      <c r="V5" t="n">
        <v>257.006</v>
      </c>
      <c r="W5" t="n">
        <v>695.246</v>
      </c>
      <c r="X5" t="n">
        <v>86.536</v>
      </c>
      <c r="Y5" t="n">
        <v>912.524</v>
      </c>
      <c r="Z5">
        <f>H5*x_c_F+I5*x_c_CC+J5*x_c_DC+K5*x_c_HCC+L5*x_c_PLT+M5*x_c_SVRn+N5*x_c_SVRcc+O5*x_c_LT+P5*x_c_LT1</f>
        <v/>
      </c>
      <c r="AA5">
        <f>C5*x_c_DAA</f>
        <v/>
      </c>
      <c r="AB5">
        <f>C5*x_c_MON</f>
        <v/>
      </c>
      <c r="AC5">
        <f>D5*(1-x_testy)</f>
        <v/>
      </c>
      <c r="AD5">
        <f>E5*(1-x_testy)</f>
        <v/>
      </c>
      <c r="AE5">
        <f>F5*x_NAV</f>
        <v/>
      </c>
      <c r="AF5">
        <f>G5*x_FIX*(1-x_testy)</f>
        <v/>
      </c>
      <c r="AG5">
        <f>x_z_F*T5+(1-x_AGRI)*x_EMP*x_WLOSS*(x_PEN_K74*Q5+x_PEN_C22*R5)</f>
        <v/>
      </c>
      <c r="AH5">
        <f>x_AGRI*x_EMP*x_WLOSS*(x_PEN_K74*Q5+x_PEN_C22*R5)</f>
        <v/>
      </c>
      <c r="AI5">
        <f>x_EMP*x_WAGE*(x_WLOSS*(Q5+R5)+S5)+T5*x_ABS_D*x_WAGE/365</f>
        <v/>
      </c>
      <c r="AJ5">
        <f>AI5*x_R_FUS</f>
        <v/>
      </c>
      <c r="AK5">
        <f>AI5*x_R_NFZ</f>
        <v/>
      </c>
      <c r="AL5">
        <f>AI5*x_R_PIT</f>
        <v/>
      </c>
      <c r="AM5">
        <f>AI5*x_R_FP</f>
        <v/>
      </c>
      <c r="AN5">
        <f>Z5+AA5+AB5+AC5+AE5</f>
        <v/>
      </c>
      <c r="AO5">
        <f>AN5+AD5+AF5+AG5+AH5+AJ5+AK5+AL5+AM5</f>
        <v/>
      </c>
      <c r="AP5">
        <f>AN5+AD5+AF5+AI5</f>
        <v/>
      </c>
      <c r="AQ5">
        <f>AA5+AB5+AC5+AE5</f>
        <v/>
      </c>
      <c r="AR5">
        <f>AQ5+AD5+AF5</f>
        <v/>
      </c>
    </row>
    <row r="6">
      <c r="A6" t="n">
        <v>2029</v>
      </c>
      <c r="B6" t="n">
        <v>3</v>
      </c>
      <c r="C6" t="n">
        <v>13152.299</v>
      </c>
      <c r="D6" t="n">
        <v>250000000</v>
      </c>
      <c r="E6" t="n">
        <v>2000000</v>
      </c>
      <c r="F6" t="n">
        <v>10208.9561</v>
      </c>
      <c r="G6" t="n">
        <v>1</v>
      </c>
      <c r="H6" t="n">
        <v>5600.944</v>
      </c>
      <c r="I6" t="n">
        <v>577.04</v>
      </c>
      <c r="J6" t="n">
        <v>1508.86</v>
      </c>
      <c r="K6" t="n">
        <v>2446.389</v>
      </c>
      <c r="L6" t="n">
        <v>1460.623</v>
      </c>
      <c r="M6" t="n">
        <v>45695.794</v>
      </c>
      <c r="N6" t="n">
        <v>4335.827</v>
      </c>
      <c r="O6" t="n">
        <v>85.28</v>
      </c>
      <c r="P6" t="n">
        <v>85.908</v>
      </c>
      <c r="Q6" t="n">
        <v>2119.053</v>
      </c>
      <c r="R6" t="n">
        <v>1700.953</v>
      </c>
      <c r="S6" t="n">
        <v>2189.331</v>
      </c>
      <c r="T6" t="n">
        <v>6177.984</v>
      </c>
      <c r="U6" t="n">
        <v>119735.083</v>
      </c>
      <c r="V6" t="n">
        <v>253.444</v>
      </c>
      <c r="W6" t="n">
        <v>691.797</v>
      </c>
      <c r="X6" t="n">
        <v>85.28</v>
      </c>
      <c r="Y6" t="n">
        <v>902.1660000000001</v>
      </c>
      <c r="Z6">
        <f>H6*x_c_F+I6*x_c_CC+J6*x_c_DC+K6*x_c_HCC+L6*x_c_PLT+M6*x_c_SVRn+N6*x_c_SVRcc+O6*x_c_LT+P6*x_c_LT1</f>
        <v/>
      </c>
      <c r="AA6">
        <f>C6*x_c_DAA</f>
        <v/>
      </c>
      <c r="AB6">
        <f>C6*x_c_MON</f>
        <v/>
      </c>
      <c r="AC6">
        <f>D6*(1-x_testy)</f>
        <v/>
      </c>
      <c r="AD6">
        <f>E6*(1-x_testy)</f>
        <v/>
      </c>
      <c r="AE6">
        <f>F6*x_NAV</f>
        <v/>
      </c>
      <c r="AF6">
        <f>G6*x_FIX*(1-x_testy)</f>
        <v/>
      </c>
      <c r="AG6">
        <f>x_z_F*T6+(1-x_AGRI)*x_EMP*x_WLOSS*(x_PEN_K74*Q6+x_PEN_C22*R6)</f>
        <v/>
      </c>
      <c r="AH6">
        <f>x_AGRI*x_EMP*x_WLOSS*(x_PEN_K74*Q6+x_PEN_C22*R6)</f>
        <v/>
      </c>
      <c r="AI6">
        <f>x_EMP*x_WAGE*(x_WLOSS*(Q6+R6)+S6)+T6*x_ABS_D*x_WAGE/365</f>
        <v/>
      </c>
      <c r="AJ6">
        <f>AI6*x_R_FUS</f>
        <v/>
      </c>
      <c r="AK6">
        <f>AI6*x_R_NFZ</f>
        <v/>
      </c>
      <c r="AL6">
        <f>AI6*x_R_PIT</f>
        <v/>
      </c>
      <c r="AM6">
        <f>AI6*x_R_FP</f>
        <v/>
      </c>
      <c r="AN6">
        <f>Z6+AA6+AB6+AC6+AE6</f>
        <v/>
      </c>
      <c r="AO6">
        <f>AN6+AD6+AF6+AG6+AH6+AJ6+AK6+AL6+AM6</f>
        <v/>
      </c>
      <c r="AP6">
        <f>AN6+AD6+AF6+AI6</f>
        <v/>
      </c>
      <c r="AQ6">
        <f>AA6+AB6+AC6+AE6</f>
        <v/>
      </c>
      <c r="AR6">
        <f>AQ6+AD6+AF6</f>
        <v/>
      </c>
    </row>
    <row r="7">
      <c r="A7" t="n">
        <v>2030</v>
      </c>
      <c r="B7" t="n">
        <v>4</v>
      </c>
      <c r="C7" t="n">
        <v>12232.633</v>
      </c>
      <c r="D7" t="n">
        <v>250000000</v>
      </c>
      <c r="E7" t="n">
        <v>2000000</v>
      </c>
      <c r="F7" t="n">
        <v>9080.531199999999</v>
      </c>
      <c r="G7" t="n">
        <v>1</v>
      </c>
      <c r="H7" t="n">
        <v>5211.875</v>
      </c>
      <c r="I7" t="n">
        <v>560.158</v>
      </c>
      <c r="J7" t="n">
        <v>1484.874</v>
      </c>
      <c r="K7" t="n">
        <v>2425.349</v>
      </c>
      <c r="L7" t="n">
        <v>1444.266</v>
      </c>
      <c r="M7" t="n">
        <v>54958.741</v>
      </c>
      <c r="N7" t="n">
        <v>5299.709</v>
      </c>
      <c r="O7" t="n">
        <v>84.035</v>
      </c>
      <c r="P7" t="n">
        <v>84.658</v>
      </c>
      <c r="Q7" t="n">
        <v>2112.079</v>
      </c>
      <c r="R7" t="n">
        <v>1705.79</v>
      </c>
      <c r="S7" t="n">
        <v>2809.789</v>
      </c>
      <c r="T7" t="n">
        <v>5772.033</v>
      </c>
      <c r="U7" t="n">
        <v>121640.715</v>
      </c>
      <c r="V7" t="n">
        <v>249.773</v>
      </c>
      <c r="W7" t="n">
        <v>687.635</v>
      </c>
      <c r="X7" t="n">
        <v>84.035</v>
      </c>
      <c r="Y7" t="n">
        <v>892.272</v>
      </c>
      <c r="Z7">
        <f>H7*x_c_F+I7*x_c_CC+J7*x_c_DC+K7*x_c_HCC+L7*x_c_PLT+M7*x_c_SVRn+N7*x_c_SVRcc+O7*x_c_LT+P7*x_c_LT1</f>
        <v/>
      </c>
      <c r="AA7">
        <f>C7*x_c_DAA</f>
        <v/>
      </c>
      <c r="AB7">
        <f>C7*x_c_MON</f>
        <v/>
      </c>
      <c r="AC7">
        <f>D7*(1-x_testy)</f>
        <v/>
      </c>
      <c r="AD7">
        <f>E7*(1-x_testy)</f>
        <v/>
      </c>
      <c r="AE7">
        <f>F7*x_NAV</f>
        <v/>
      </c>
      <c r="AF7">
        <f>G7*x_FIX*(1-x_testy)</f>
        <v/>
      </c>
      <c r="AG7">
        <f>x_z_F*T7+(1-x_AGRI)*x_EMP*x_WLOSS*(x_PEN_K74*Q7+x_PEN_C22*R7)</f>
        <v/>
      </c>
      <c r="AH7">
        <f>x_AGRI*x_EMP*x_WLOSS*(x_PEN_K74*Q7+x_PEN_C22*R7)</f>
        <v/>
      </c>
      <c r="AI7">
        <f>x_EMP*x_WAGE*(x_WLOSS*(Q7+R7)+S7)+T7*x_ABS_D*x_WAGE/365</f>
        <v/>
      </c>
      <c r="AJ7">
        <f>AI7*x_R_FUS</f>
        <v/>
      </c>
      <c r="AK7">
        <f>AI7*x_R_NFZ</f>
        <v/>
      </c>
      <c r="AL7">
        <f>AI7*x_R_PIT</f>
        <v/>
      </c>
      <c r="AM7">
        <f>AI7*x_R_FP</f>
        <v/>
      </c>
      <c r="AN7">
        <f>Z7+AA7+AB7+AC7+AE7</f>
        <v/>
      </c>
      <c r="AO7">
        <f>AN7+AD7+AF7+AG7+AH7+AJ7+AK7+AL7+AM7</f>
        <v/>
      </c>
      <c r="AP7">
        <f>AN7+AD7+AF7+AI7</f>
        <v/>
      </c>
      <c r="AQ7">
        <f>AA7+AB7+AC7+AE7</f>
        <v/>
      </c>
      <c r="AR7">
        <f>AQ7+AD7+AF7</f>
        <v/>
      </c>
    </row>
    <row r="8">
      <c r="A8" t="n">
        <v>2031</v>
      </c>
      <c r="B8" t="n">
        <v>5</v>
      </c>
      <c r="C8" t="n">
        <v>11502.497</v>
      </c>
      <c r="D8" t="n">
        <v>250000000</v>
      </c>
      <c r="E8" t="n">
        <v>2000000</v>
      </c>
      <c r="F8" t="n">
        <v>8184.6593</v>
      </c>
      <c r="G8" t="n">
        <v>1</v>
      </c>
      <c r="H8" t="n">
        <v>4896.696</v>
      </c>
      <c r="I8" t="n">
        <v>544.8049999999999</v>
      </c>
      <c r="J8" t="n">
        <v>1460.249</v>
      </c>
      <c r="K8" t="n">
        <v>2403.733</v>
      </c>
      <c r="L8" t="n">
        <v>1426.672</v>
      </c>
      <c r="M8" t="n">
        <v>63478.006</v>
      </c>
      <c r="N8" t="n">
        <v>6196.62</v>
      </c>
      <c r="O8" t="n">
        <v>82.78700000000001</v>
      </c>
      <c r="P8" t="n">
        <v>83.411</v>
      </c>
      <c r="Q8" t="n">
        <v>2104.369</v>
      </c>
      <c r="R8" t="n">
        <v>1710.615</v>
      </c>
      <c r="S8" t="n">
        <v>3426.984</v>
      </c>
      <c r="T8" t="n">
        <v>5441.501</v>
      </c>
      <c r="U8" t="n">
        <v>123525.917</v>
      </c>
      <c r="V8" t="n">
        <v>245.287</v>
      </c>
      <c r="W8" t="n">
        <v>681.021</v>
      </c>
      <c r="X8" t="n">
        <v>82.78700000000001</v>
      </c>
      <c r="Y8" t="n">
        <v>882.501</v>
      </c>
      <c r="Z8">
        <f>H8*x_c_F+I8*x_c_CC+J8*x_c_DC+K8*x_c_HCC+L8*x_c_PLT+M8*x_c_SVRn+N8*x_c_SVRcc+O8*x_c_LT+P8*x_c_LT1</f>
        <v/>
      </c>
      <c r="AA8">
        <f>C8*x_c_DAA</f>
        <v/>
      </c>
      <c r="AB8">
        <f>C8*x_c_MON</f>
        <v/>
      </c>
      <c r="AC8">
        <f>D8*(1-x_testy)</f>
        <v/>
      </c>
      <c r="AD8">
        <f>E8*(1-x_testy)</f>
        <v/>
      </c>
      <c r="AE8">
        <f>F8*x_NAV</f>
        <v/>
      </c>
      <c r="AF8">
        <f>G8*x_FIX*(1-x_testy)</f>
        <v/>
      </c>
      <c r="AG8">
        <f>x_z_F*T8+(1-x_AGRI)*x_EMP*x_WLOSS*(x_PEN_K74*Q8+x_PEN_C22*R8)</f>
        <v/>
      </c>
      <c r="AH8">
        <f>x_AGRI*x_EMP*x_WLOSS*(x_PEN_K74*Q8+x_PEN_C22*R8)</f>
        <v/>
      </c>
      <c r="AI8">
        <f>x_EMP*x_WAGE*(x_WLOSS*(Q8+R8)+S8)+T8*x_ABS_D*x_WAGE/365</f>
        <v/>
      </c>
      <c r="AJ8">
        <f>AI8*x_R_FUS</f>
        <v/>
      </c>
      <c r="AK8">
        <f>AI8*x_R_NFZ</f>
        <v/>
      </c>
      <c r="AL8">
        <f>AI8*x_R_PIT</f>
        <v/>
      </c>
      <c r="AM8">
        <f>AI8*x_R_FP</f>
        <v/>
      </c>
      <c r="AN8">
        <f>Z8+AA8+AB8+AC8+AE8</f>
        <v/>
      </c>
      <c r="AO8">
        <f>AN8+AD8+AF8+AG8+AH8+AJ8+AK8+AL8+AM8</f>
        <v/>
      </c>
      <c r="AP8">
        <f>AN8+AD8+AF8+AI8</f>
        <v/>
      </c>
      <c r="AQ8">
        <f>AA8+AB8+AC8+AE8</f>
        <v/>
      </c>
      <c r="AR8">
        <f>AQ8+AD8+AF8</f>
        <v/>
      </c>
    </row>
    <row r="9">
      <c r="A9" t="n">
        <v>2032</v>
      </c>
      <c r="B9" t="n">
        <v>6</v>
      </c>
      <c r="C9" t="n">
        <v>10907.235</v>
      </c>
      <c r="D9" t="n">
        <v>250000000</v>
      </c>
      <c r="E9" t="n">
        <v>2000000</v>
      </c>
      <c r="F9" t="n">
        <v>7454.2756</v>
      </c>
      <c r="G9" t="n">
        <v>1</v>
      </c>
      <c r="H9" t="n">
        <v>4636.087</v>
      </c>
      <c r="I9" t="n">
        <v>529.11</v>
      </c>
      <c r="J9" t="n">
        <v>1434.08</v>
      </c>
      <c r="K9" t="n">
        <v>2378.722</v>
      </c>
      <c r="L9" t="n">
        <v>1407.898</v>
      </c>
      <c r="M9" t="n">
        <v>71394.307</v>
      </c>
      <c r="N9" t="n">
        <v>7027.18</v>
      </c>
      <c r="O9" t="n">
        <v>81.477</v>
      </c>
      <c r="P9" t="n">
        <v>82.13200000000001</v>
      </c>
      <c r="Q9" t="n">
        <v>2095.186</v>
      </c>
      <c r="R9" t="n">
        <v>1713.349</v>
      </c>
      <c r="S9" t="n">
        <v>4040.258</v>
      </c>
      <c r="T9" t="n">
        <v>5165.197</v>
      </c>
      <c r="U9" t="n">
        <v>125389.666</v>
      </c>
      <c r="V9" t="n">
        <v>239.593</v>
      </c>
      <c r="W9" t="n">
        <v>670.965</v>
      </c>
      <c r="X9" t="n">
        <v>81.477</v>
      </c>
      <c r="Y9" t="n">
        <v>872.018</v>
      </c>
      <c r="Z9">
        <f>H9*x_c_F+I9*x_c_CC+J9*x_c_DC+K9*x_c_HCC+L9*x_c_PLT+M9*x_c_SVRn+N9*x_c_SVRcc+O9*x_c_LT+P9*x_c_LT1</f>
        <v/>
      </c>
      <c r="AA9">
        <f>C9*x_c_DAA</f>
        <v/>
      </c>
      <c r="AB9">
        <f>C9*x_c_MON</f>
        <v/>
      </c>
      <c r="AC9">
        <f>D9*(1-x_testy)</f>
        <v/>
      </c>
      <c r="AD9">
        <f>E9*(1-x_testy)</f>
        <v/>
      </c>
      <c r="AE9">
        <f>F9*x_NAV</f>
        <v/>
      </c>
      <c r="AF9">
        <f>G9*x_FIX*(1-x_testy)</f>
        <v/>
      </c>
      <c r="AG9">
        <f>x_z_F*T9+(1-x_AGRI)*x_EMP*x_WLOSS*(x_PEN_K74*Q9+x_PEN_C22*R9)</f>
        <v/>
      </c>
      <c r="AH9">
        <f>x_AGRI*x_EMP*x_WLOSS*(x_PEN_K74*Q9+x_PEN_C22*R9)</f>
        <v/>
      </c>
      <c r="AI9">
        <f>x_EMP*x_WAGE*(x_WLOSS*(Q9+R9)+S9)+T9*x_ABS_D*x_WAGE/365</f>
        <v/>
      </c>
      <c r="AJ9">
        <f>AI9*x_R_FUS</f>
        <v/>
      </c>
      <c r="AK9">
        <f>AI9*x_R_NFZ</f>
        <v/>
      </c>
      <c r="AL9">
        <f>AI9*x_R_PIT</f>
        <v/>
      </c>
      <c r="AM9">
        <f>AI9*x_R_FP</f>
        <v/>
      </c>
      <c r="AN9">
        <f>Z9+AA9+AB9+AC9+AE9</f>
        <v/>
      </c>
      <c r="AO9">
        <f>AN9+AD9+AF9+AG9+AH9+AJ9+AK9+AL9+AM9</f>
        <v/>
      </c>
      <c r="AP9">
        <f>AN9+AD9+AF9+AI9</f>
        <v/>
      </c>
      <c r="AQ9">
        <f>AA9+AB9+AC9+AE9</f>
        <v/>
      </c>
      <c r="AR9">
        <f>AQ9+AD9+AF9</f>
        <v/>
      </c>
    </row>
    <row r="10">
      <c r="A10" t="n">
        <v>2033</v>
      </c>
      <c r="B10" t="n">
        <v>7</v>
      </c>
      <c r="C10" t="n">
        <v>10409.645</v>
      </c>
      <c r="D10" t="n">
        <v>250000000</v>
      </c>
      <c r="E10" t="n">
        <v>2000000</v>
      </c>
      <c r="F10" t="n">
        <v>6843.7366</v>
      </c>
      <c r="G10" t="n">
        <v>1</v>
      </c>
      <c r="H10" t="n">
        <v>4416.802</v>
      </c>
      <c r="I10" t="n">
        <v>511.901</v>
      </c>
      <c r="J10" t="n">
        <v>1405.358</v>
      </c>
      <c r="K10" t="n">
        <v>2347.617</v>
      </c>
      <c r="L10" t="n">
        <v>1387.963</v>
      </c>
      <c r="M10" t="n">
        <v>78806.128</v>
      </c>
      <c r="N10" t="n">
        <v>7789.525</v>
      </c>
      <c r="O10" t="n">
        <v>80.03700000000001</v>
      </c>
      <c r="P10" t="n">
        <v>80.75700000000001</v>
      </c>
      <c r="Q10" t="n">
        <v>2083.687</v>
      </c>
      <c r="R10" t="n">
        <v>1712.018</v>
      </c>
      <c r="S10" t="n">
        <v>4648.257</v>
      </c>
      <c r="T10" t="n">
        <v>4928.704</v>
      </c>
      <c r="U10" t="n">
        <v>127230.402</v>
      </c>
      <c r="V10" t="n">
        <v>232.545</v>
      </c>
      <c r="W10" t="n">
        <v>657.071</v>
      </c>
      <c r="X10" t="n">
        <v>80.03700000000001</v>
      </c>
      <c r="Y10" t="n">
        <v>859.942</v>
      </c>
      <c r="Z10">
        <f>H10*x_c_F+I10*x_c_CC+J10*x_c_DC+K10*x_c_HCC+L10*x_c_PLT+M10*x_c_SVRn+N10*x_c_SVRcc+O10*x_c_LT+P10*x_c_LT1</f>
        <v/>
      </c>
      <c r="AA10">
        <f>C10*x_c_DAA</f>
        <v/>
      </c>
      <c r="AB10">
        <f>C10*x_c_MON</f>
        <v/>
      </c>
      <c r="AC10">
        <f>D10*(1-x_testy)</f>
        <v/>
      </c>
      <c r="AD10">
        <f>E10*(1-x_testy)</f>
        <v/>
      </c>
      <c r="AE10">
        <f>F10*x_NAV</f>
        <v/>
      </c>
      <c r="AF10">
        <f>G10*x_FIX*(1-x_testy)</f>
        <v/>
      </c>
      <c r="AG10">
        <f>x_z_F*T10+(1-x_AGRI)*x_EMP*x_WLOSS*(x_PEN_K74*Q10+x_PEN_C22*R10)</f>
        <v/>
      </c>
      <c r="AH10">
        <f>x_AGRI*x_EMP*x_WLOSS*(x_PEN_K74*Q10+x_PEN_C22*R10)</f>
        <v/>
      </c>
      <c r="AI10">
        <f>x_EMP*x_WAGE*(x_WLOSS*(Q10+R10)+S10)+T10*x_ABS_D*x_WAGE/365</f>
        <v/>
      </c>
      <c r="AJ10">
        <f>AI10*x_R_FUS</f>
        <v/>
      </c>
      <c r="AK10">
        <f>AI10*x_R_NFZ</f>
        <v/>
      </c>
      <c r="AL10">
        <f>AI10*x_R_PIT</f>
        <v/>
      </c>
      <c r="AM10">
        <f>AI10*x_R_FP</f>
        <v/>
      </c>
      <c r="AN10">
        <f>Z10+AA10+AB10+AC10+AE10</f>
        <v/>
      </c>
      <c r="AO10">
        <f>AN10+AD10+AF10+AG10+AH10+AJ10+AK10+AL10+AM10</f>
        <v/>
      </c>
      <c r="AP10">
        <f>AN10+AD10+AF10+AI10</f>
        <v/>
      </c>
      <c r="AQ10">
        <f>AA10+AB10+AC10+AE10</f>
        <v/>
      </c>
      <c r="AR10">
        <f>AQ10+AD10+AF10</f>
        <v/>
      </c>
    </row>
    <row r="11">
      <c r="A11" t="n">
        <v>2034</v>
      </c>
      <c r="B11" t="n">
        <v>8</v>
      </c>
      <c r="C11" t="n">
        <v>9984.638999999999</v>
      </c>
      <c r="D11" t="n">
        <v>250000000</v>
      </c>
      <c r="E11" t="n">
        <v>2000000</v>
      </c>
      <c r="F11" t="n">
        <v>6322.2563</v>
      </c>
      <c r="G11" t="n">
        <v>1</v>
      </c>
      <c r="H11" t="n">
        <v>4229.669</v>
      </c>
      <c r="I11" t="n">
        <v>492.528</v>
      </c>
      <c r="J11" t="n">
        <v>1373.183</v>
      </c>
      <c r="K11" t="n">
        <v>2308.3</v>
      </c>
      <c r="L11" t="n">
        <v>1366.825</v>
      </c>
      <c r="M11" t="n">
        <v>85783.181</v>
      </c>
      <c r="N11" t="n">
        <v>8480.380999999999</v>
      </c>
      <c r="O11" t="n">
        <v>78.402</v>
      </c>
      <c r="P11" t="n">
        <v>79.22</v>
      </c>
      <c r="Q11" t="n">
        <v>2069.065</v>
      </c>
      <c r="R11" t="n">
        <v>1705.036</v>
      </c>
      <c r="S11" t="n">
        <v>5248.925</v>
      </c>
      <c r="T11" t="n">
        <v>4722.197</v>
      </c>
      <c r="U11" t="n">
        <v>129045.744</v>
      </c>
      <c r="V11" t="n">
        <v>224.154</v>
      </c>
      <c r="W11" t="n">
        <v>639.331</v>
      </c>
      <c r="X11" t="n">
        <v>78.402</v>
      </c>
      <c r="Y11" t="n">
        <v>845.468</v>
      </c>
      <c r="Z11">
        <f>H11*x_c_F+I11*x_c_CC+J11*x_c_DC+K11*x_c_HCC+L11*x_c_PLT+M11*x_c_SVRn+N11*x_c_SVRcc+O11*x_c_LT+P11*x_c_LT1</f>
        <v/>
      </c>
      <c r="AA11">
        <f>C11*x_c_DAA</f>
        <v/>
      </c>
      <c r="AB11">
        <f>C11*x_c_MON</f>
        <v/>
      </c>
      <c r="AC11">
        <f>D11*(1-x_testy)</f>
        <v/>
      </c>
      <c r="AD11">
        <f>E11*(1-x_testy)</f>
        <v/>
      </c>
      <c r="AE11">
        <f>F11*x_NAV</f>
        <v/>
      </c>
      <c r="AF11">
        <f>G11*x_FIX*(1-x_testy)</f>
        <v/>
      </c>
      <c r="AG11">
        <f>x_z_F*T11+(1-x_AGRI)*x_EMP*x_WLOSS*(x_PEN_K74*Q11+x_PEN_C22*R11)</f>
        <v/>
      </c>
      <c r="AH11">
        <f>x_AGRI*x_EMP*x_WLOSS*(x_PEN_K74*Q11+x_PEN_C22*R11)</f>
        <v/>
      </c>
      <c r="AI11">
        <f>x_EMP*x_WAGE*(x_WLOSS*(Q11+R11)+S11)+T11*x_ABS_D*x_WAGE/365</f>
        <v/>
      </c>
      <c r="AJ11">
        <f>AI11*x_R_FUS</f>
        <v/>
      </c>
      <c r="AK11">
        <f>AI11*x_R_NFZ</f>
        <v/>
      </c>
      <c r="AL11">
        <f>AI11*x_R_PIT</f>
        <v/>
      </c>
      <c r="AM11">
        <f>AI11*x_R_FP</f>
        <v/>
      </c>
      <c r="AN11">
        <f>Z11+AA11+AB11+AC11+AE11</f>
        <v/>
      </c>
      <c r="AO11">
        <f>AN11+AD11+AF11+AG11+AH11+AJ11+AK11+AL11+AM11</f>
        <v/>
      </c>
      <c r="AP11">
        <f>AN11+AD11+AF11+AI11</f>
        <v/>
      </c>
      <c r="AQ11">
        <f>AA11+AB11+AC11+AE11</f>
        <v/>
      </c>
      <c r="AR11">
        <f>AQ11+AD11+AF11</f>
        <v/>
      </c>
    </row>
    <row r="12">
      <c r="A12" t="n">
        <v>2035</v>
      </c>
      <c r="B12" t="n">
        <v>9</v>
      </c>
      <c r="C12" t="n">
        <v>9614.922</v>
      </c>
      <c r="D12" t="n">
        <v>250000000</v>
      </c>
      <c r="E12" t="n">
        <v>2000000</v>
      </c>
      <c r="F12" t="n">
        <v>5868.6161</v>
      </c>
      <c r="G12" t="n">
        <v>1</v>
      </c>
      <c r="H12" t="n">
        <v>3173.014</v>
      </c>
      <c r="I12" t="n">
        <v>367.786</v>
      </c>
      <c r="J12" t="n">
        <v>1336.903</v>
      </c>
      <c r="K12" t="n">
        <v>2259.433</v>
      </c>
      <c r="L12" t="n">
        <v>1344.387</v>
      </c>
      <c r="M12" t="n">
        <v>90437.89200000001</v>
      </c>
      <c r="N12" t="n">
        <v>8873.058000000001</v>
      </c>
      <c r="O12" t="n">
        <v>76.52500000000001</v>
      </c>
      <c r="P12" t="n">
        <v>77.464</v>
      </c>
      <c r="Q12" t="n">
        <v>2050.625</v>
      </c>
      <c r="R12" t="n">
        <v>1691.31</v>
      </c>
      <c r="S12" t="n">
        <v>5839.623</v>
      </c>
      <c r="T12" t="n">
        <v>3540.8</v>
      </c>
      <c r="U12" t="n">
        <v>130714.268</v>
      </c>
      <c r="V12" t="n">
        <v>214.559</v>
      </c>
      <c r="W12" t="n">
        <v>618.0549999999999</v>
      </c>
      <c r="X12" t="n">
        <v>76.52500000000001</v>
      </c>
      <c r="Y12" t="n">
        <v>828.059</v>
      </c>
      <c r="Z12">
        <f>H12*x_c_F+I12*x_c_CC+J12*x_c_DC+K12*x_c_HCC+L12*x_c_PLT+M12*x_c_SVRn+N12*x_c_SVRcc+O12*x_c_LT+P12*x_c_LT1</f>
        <v/>
      </c>
      <c r="AA12">
        <f>C12*x_c_DAA</f>
        <v/>
      </c>
      <c r="AB12">
        <f>C12*x_c_MON</f>
        <v/>
      </c>
      <c r="AC12">
        <f>D12*(1-x_testy)</f>
        <v/>
      </c>
      <c r="AD12">
        <f>E12*(1-x_testy)</f>
        <v/>
      </c>
      <c r="AE12">
        <f>F12*x_NAV</f>
        <v/>
      </c>
      <c r="AF12">
        <f>G12*x_FIX*(1-x_testy)</f>
        <v/>
      </c>
      <c r="AG12">
        <f>x_z_F*T12+(1-x_AGRI)*x_EMP*x_WLOSS*(x_PEN_K74*Q12+x_PEN_C22*R12)</f>
        <v/>
      </c>
      <c r="AH12">
        <f>x_AGRI*x_EMP*x_WLOSS*(x_PEN_K74*Q12+x_PEN_C22*R12)</f>
        <v/>
      </c>
      <c r="AI12">
        <f>x_EMP*x_WAGE*(x_WLOSS*(Q12+R12)+S12)+T12*x_ABS_D*x_WAGE/365</f>
        <v/>
      </c>
      <c r="AJ12">
        <f>AI12*x_R_FUS</f>
        <v/>
      </c>
      <c r="AK12">
        <f>AI12*x_R_NFZ</f>
        <v/>
      </c>
      <c r="AL12">
        <f>AI12*x_R_PIT</f>
        <v/>
      </c>
      <c r="AM12">
        <f>AI12*x_R_FP</f>
        <v/>
      </c>
      <c r="AN12">
        <f>Z12+AA12+AB12+AC12+AE12</f>
        <v/>
      </c>
      <c r="AO12">
        <f>AN12+AD12+AF12+AG12+AH12+AJ12+AK12+AL12+AM12</f>
        <v/>
      </c>
      <c r="AP12">
        <f>AN12+AD12+AF12+AI12</f>
        <v/>
      </c>
      <c r="AQ12">
        <f>AA12+AB12+AC12+AE12</f>
        <v/>
      </c>
      <c r="AR12">
        <f>AQ12+AD12+AF12</f>
        <v/>
      </c>
    </row>
    <row r="13">
      <c r="A13" t="n">
        <v>2036</v>
      </c>
      <c r="B13" t="n">
        <v>10</v>
      </c>
      <c r="C13" t="n">
        <v>4832</v>
      </c>
      <c r="D13" t="n">
        <v>0</v>
      </c>
      <c r="E13" t="n">
        <v>0</v>
      </c>
      <c r="F13" t="n">
        <v>0</v>
      </c>
      <c r="G13" t="n">
        <v>0</v>
      </c>
      <c r="H13" t="n">
        <v>2204.365</v>
      </c>
      <c r="I13" t="n">
        <v>251.187</v>
      </c>
      <c r="J13" t="n">
        <v>1299.98</v>
      </c>
      <c r="K13" t="n">
        <v>2208.853</v>
      </c>
      <c r="L13" t="n">
        <v>1320.491</v>
      </c>
      <c r="M13" t="n">
        <v>92955.22</v>
      </c>
      <c r="N13" t="n">
        <v>8992.745999999999</v>
      </c>
      <c r="O13" t="n">
        <v>74.374</v>
      </c>
      <c r="P13" t="n">
        <v>75.449</v>
      </c>
      <c r="Q13" t="n">
        <v>2030.804</v>
      </c>
      <c r="R13" t="n">
        <v>1676.752</v>
      </c>
      <c r="S13" t="n">
        <v>6417.265</v>
      </c>
      <c r="T13" t="n">
        <v>2455.552</v>
      </c>
      <c r="U13" t="n">
        <v>132235.337</v>
      </c>
      <c r="V13" t="n">
        <v>211.623</v>
      </c>
      <c r="W13" t="n">
        <v>610.502</v>
      </c>
      <c r="X13" t="n">
        <v>74.374</v>
      </c>
      <c r="Y13" t="n">
        <v>807.365</v>
      </c>
      <c r="Z13">
        <f>H13*x_c_F+I13*x_c_CC+J13*x_c_DC+K13*x_c_HCC+L13*x_c_PLT+M13*x_c_SVRn+N13*x_c_SVRcc+O13*x_c_LT+P13*x_c_LT1</f>
        <v/>
      </c>
      <c r="AA13">
        <f>C13*x_c_DAA</f>
        <v/>
      </c>
      <c r="AB13">
        <f>C13*x_c_MON</f>
        <v/>
      </c>
      <c r="AC13">
        <f>D13*(1-x_testy)</f>
        <v/>
      </c>
      <c r="AD13">
        <f>E13*(1-x_testy)</f>
        <v/>
      </c>
      <c r="AE13">
        <f>F13*x_NAV</f>
        <v/>
      </c>
      <c r="AF13">
        <f>G13*x_FIX*(1-x_testy)</f>
        <v/>
      </c>
      <c r="AG13">
        <f>x_z_F*T13+(1-x_AGRI)*x_EMP*x_WLOSS*(x_PEN_K74*Q13+x_PEN_C22*R13)</f>
        <v/>
      </c>
      <c r="AH13">
        <f>x_AGRI*x_EMP*x_WLOSS*(x_PEN_K74*Q13+x_PEN_C22*R13)</f>
        <v/>
      </c>
      <c r="AI13">
        <f>x_EMP*x_WAGE*(x_WLOSS*(Q13+R13)+S13)+T13*x_ABS_D*x_WAGE/365</f>
        <v/>
      </c>
      <c r="AJ13">
        <f>AI13*x_R_FUS</f>
        <v/>
      </c>
      <c r="AK13">
        <f>AI13*x_R_NFZ</f>
        <v/>
      </c>
      <c r="AL13">
        <f>AI13*x_R_PIT</f>
        <v/>
      </c>
      <c r="AM13">
        <f>AI13*x_R_FP</f>
        <v/>
      </c>
      <c r="AN13">
        <f>Z13+AA13+AB13+AC13+AE13</f>
        <v/>
      </c>
      <c r="AO13">
        <f>AN13+AD13+AF13+AG13+AH13+AJ13+AK13+AL13+AM13</f>
        <v/>
      </c>
      <c r="AP13">
        <f>AN13+AD13+AF13+AI13</f>
        <v/>
      </c>
      <c r="AQ13">
        <f>AA13+AB13+AC13+AE13</f>
        <v/>
      </c>
      <c r="AR13">
        <f>AQ13+AD13+AF13</f>
        <v/>
      </c>
    </row>
    <row r="14">
      <c r="A14" t="n">
        <v>2037</v>
      </c>
      <c r="B14" t="n">
        <v>11</v>
      </c>
      <c r="C14" t="n">
        <v>4832</v>
      </c>
      <c r="D14" t="n">
        <v>0</v>
      </c>
      <c r="E14" t="n">
        <v>0</v>
      </c>
      <c r="F14" t="n">
        <v>0</v>
      </c>
      <c r="G14" t="n">
        <v>0</v>
      </c>
      <c r="H14" t="n">
        <v>2208.051</v>
      </c>
      <c r="I14" t="n">
        <v>246.282</v>
      </c>
      <c r="J14" t="n">
        <v>1265.313</v>
      </c>
      <c r="K14" t="n">
        <v>2162.539</v>
      </c>
      <c r="L14" t="n">
        <v>1294.924</v>
      </c>
      <c r="M14" t="n">
        <v>95429.44500000001</v>
      </c>
      <c r="N14" t="n">
        <v>9088.126</v>
      </c>
      <c r="O14" t="n">
        <v>72.405</v>
      </c>
      <c r="P14" t="n">
        <v>73.389</v>
      </c>
      <c r="Q14" t="n">
        <v>2011.869</v>
      </c>
      <c r="R14" t="n">
        <v>1666.05</v>
      </c>
      <c r="S14" t="n">
        <v>6980.507</v>
      </c>
      <c r="T14" t="n">
        <v>2454.333</v>
      </c>
      <c r="U14" t="n">
        <v>133723.563</v>
      </c>
      <c r="V14" t="n">
        <v>207.683</v>
      </c>
      <c r="W14" t="n">
        <v>600.349</v>
      </c>
      <c r="X14" t="n">
        <v>72.405</v>
      </c>
      <c r="Y14" t="n">
        <v>788.598</v>
      </c>
      <c r="Z14">
        <f>H14*x_c_F+I14*x_c_CC+J14*x_c_DC+K14*x_c_HCC+L14*x_c_PLT+M14*x_c_SVRn+N14*x_c_SVRcc+O14*x_c_LT+P14*x_c_LT1</f>
        <v/>
      </c>
      <c r="AA14">
        <f>C14*x_c_DAA</f>
        <v/>
      </c>
      <c r="AB14">
        <f>C14*x_c_MON</f>
        <v/>
      </c>
      <c r="AC14">
        <f>D14*(1-x_testy)</f>
        <v/>
      </c>
      <c r="AD14">
        <f>E14*(1-x_testy)</f>
        <v/>
      </c>
      <c r="AE14">
        <f>F14*x_NAV</f>
        <v/>
      </c>
      <c r="AF14">
        <f>G14*x_FIX*(1-x_testy)</f>
        <v/>
      </c>
      <c r="AG14">
        <f>x_z_F*T14+(1-x_AGRI)*x_EMP*x_WLOSS*(x_PEN_K74*Q14+x_PEN_C22*R14)</f>
        <v/>
      </c>
      <c r="AH14">
        <f>x_AGRI*x_EMP*x_WLOSS*(x_PEN_K74*Q14+x_PEN_C22*R14)</f>
        <v/>
      </c>
      <c r="AI14">
        <f>x_EMP*x_WAGE*(x_WLOSS*(Q14+R14)+S14)+T14*x_ABS_D*x_WAGE/365</f>
        <v/>
      </c>
      <c r="AJ14">
        <f>AI14*x_R_FUS</f>
        <v/>
      </c>
      <c r="AK14">
        <f>AI14*x_R_NFZ</f>
        <v/>
      </c>
      <c r="AL14">
        <f>AI14*x_R_PIT</f>
        <v/>
      </c>
      <c r="AM14">
        <f>AI14*x_R_FP</f>
        <v/>
      </c>
      <c r="AN14">
        <f>Z14+AA14+AB14+AC14+AE14</f>
        <v/>
      </c>
      <c r="AO14">
        <f>AN14+AD14+AF14+AG14+AH14+AJ14+AK14+AL14+AM14</f>
        <v/>
      </c>
      <c r="AP14">
        <f>AN14+AD14+AF14+AI14</f>
        <v/>
      </c>
      <c r="AQ14">
        <f>AA14+AB14+AC14+AE14</f>
        <v/>
      </c>
      <c r="AR14">
        <f>AQ14+AD14+AF14</f>
        <v/>
      </c>
    </row>
    <row r="15">
      <c r="A15" t="n">
        <v>2038</v>
      </c>
      <c r="B15" t="n">
        <v>12</v>
      </c>
      <c r="C15" t="n">
        <v>4832</v>
      </c>
      <c r="D15" t="n">
        <v>0</v>
      </c>
      <c r="E15" t="n">
        <v>0</v>
      </c>
      <c r="F15" t="n">
        <v>0</v>
      </c>
      <c r="G15" t="n">
        <v>0</v>
      </c>
      <c r="H15" t="n">
        <v>2212.92</v>
      </c>
      <c r="I15" t="n">
        <v>240.214</v>
      </c>
      <c r="J15" t="n">
        <v>1231.501</v>
      </c>
      <c r="K15" t="n">
        <v>2116.703</v>
      </c>
      <c r="L15" t="n">
        <v>1267.661</v>
      </c>
      <c r="M15" t="n">
        <v>97848.45699999999</v>
      </c>
      <c r="N15" t="n">
        <v>9156.775</v>
      </c>
      <c r="O15" t="n">
        <v>70.511</v>
      </c>
      <c r="P15" t="n">
        <v>71.458</v>
      </c>
      <c r="Q15" t="n">
        <v>1300.226</v>
      </c>
      <c r="R15" t="n">
        <v>1084.722</v>
      </c>
      <c r="S15" t="n">
        <v>4794.092</v>
      </c>
      <c r="T15" t="n">
        <v>2453.134</v>
      </c>
      <c r="U15" t="n">
        <v>135171.854</v>
      </c>
      <c r="V15" t="n">
        <v>202.868</v>
      </c>
      <c r="W15" t="n">
        <v>587.873</v>
      </c>
      <c r="X15" t="n">
        <v>70.511</v>
      </c>
      <c r="Y15" t="n">
        <v>770.4160000000001</v>
      </c>
      <c r="Z15">
        <f>H15*x_c_F+I15*x_c_CC+J15*x_c_DC+K15*x_c_HCC+L15*x_c_PLT+M15*x_c_SVRn+N15*x_c_SVRcc+O15*x_c_LT+P15*x_c_LT1</f>
        <v/>
      </c>
      <c r="AA15">
        <f>C15*x_c_DAA</f>
        <v/>
      </c>
      <c r="AB15">
        <f>C15*x_c_MON</f>
        <v/>
      </c>
      <c r="AC15">
        <f>D15*(1-x_testy)</f>
        <v/>
      </c>
      <c r="AD15">
        <f>E15*(1-x_testy)</f>
        <v/>
      </c>
      <c r="AE15">
        <f>F15*x_NAV</f>
        <v/>
      </c>
      <c r="AF15">
        <f>G15*x_FIX*(1-x_testy)</f>
        <v/>
      </c>
      <c r="AG15">
        <f>x_z_F*T15+(1-x_AGRI)*x_EMP*x_WLOSS*(x_PEN_K74*Q15+x_PEN_C22*R15)</f>
        <v/>
      </c>
      <c r="AH15">
        <f>x_AGRI*x_EMP*x_WLOSS*(x_PEN_K74*Q15+x_PEN_C22*R15)</f>
        <v/>
      </c>
      <c r="AI15">
        <f>x_EMP*x_WAGE*(x_WLOSS*(Q15+R15)+S15)+T15*x_ABS_D*x_WAGE/365</f>
        <v/>
      </c>
      <c r="AJ15">
        <f>AI15*x_R_FUS</f>
        <v/>
      </c>
      <c r="AK15">
        <f>AI15*x_R_NFZ</f>
        <v/>
      </c>
      <c r="AL15">
        <f>AI15*x_R_PIT</f>
        <v/>
      </c>
      <c r="AM15">
        <f>AI15*x_R_FP</f>
        <v/>
      </c>
      <c r="AN15">
        <f>Z15+AA15+AB15+AC15+AE15</f>
        <v/>
      </c>
      <c r="AO15">
        <f>AN15+AD15+AF15+AG15+AH15+AJ15+AK15+AL15+AM15</f>
        <v/>
      </c>
      <c r="AP15">
        <f>AN15+AD15+AF15+AI15</f>
        <v/>
      </c>
      <c r="AQ15">
        <f>AA15+AB15+AC15+AE15</f>
        <v/>
      </c>
      <c r="AR15">
        <f>AQ15+AD15+AF15</f>
        <v/>
      </c>
    </row>
    <row r="16">
      <c r="A16" t="n">
        <v>2039</v>
      </c>
      <c r="B16" t="n">
        <v>13</v>
      </c>
      <c r="C16" t="n">
        <v>4832</v>
      </c>
      <c r="D16" t="n">
        <v>0</v>
      </c>
      <c r="E16" t="n">
        <v>0</v>
      </c>
      <c r="F16" t="n">
        <v>0</v>
      </c>
      <c r="G16" t="n">
        <v>0</v>
      </c>
      <c r="H16" t="n">
        <v>2218.796</v>
      </c>
      <c r="I16" t="n">
        <v>233.174</v>
      </c>
      <c r="J16" t="n">
        <v>1197.54</v>
      </c>
      <c r="K16" t="n">
        <v>2068.972</v>
      </c>
      <c r="L16" t="n">
        <v>1238.81</v>
      </c>
      <c r="M16" t="n">
        <v>100202.601</v>
      </c>
      <c r="N16" t="n">
        <v>9196.648999999999</v>
      </c>
      <c r="O16" t="n">
        <v>68.61499999999999</v>
      </c>
      <c r="P16" t="n">
        <v>69.563</v>
      </c>
      <c r="Q16" t="n">
        <v>598.901</v>
      </c>
      <c r="R16" t="n">
        <v>511.679</v>
      </c>
      <c r="S16" t="n">
        <v>2420.014</v>
      </c>
      <c r="T16" t="n">
        <v>2451.97</v>
      </c>
      <c r="U16" t="n">
        <v>136574.343</v>
      </c>
      <c r="V16" t="n">
        <v>197.326</v>
      </c>
      <c r="W16" t="n">
        <v>573.409</v>
      </c>
      <c r="X16" t="n">
        <v>68.61499999999999</v>
      </c>
      <c r="Y16" t="n">
        <v>751.896</v>
      </c>
      <c r="Z16">
        <f>H16*x_c_F+I16*x_c_CC+J16*x_c_DC+K16*x_c_HCC+L16*x_c_PLT+M16*x_c_SVRn+N16*x_c_SVRcc+O16*x_c_LT+P16*x_c_LT1</f>
        <v/>
      </c>
      <c r="AA16">
        <f>C16*x_c_DAA</f>
        <v/>
      </c>
      <c r="AB16">
        <f>C16*x_c_MON</f>
        <v/>
      </c>
      <c r="AC16">
        <f>D16*(1-x_testy)</f>
        <v/>
      </c>
      <c r="AD16">
        <f>E16*(1-x_testy)</f>
        <v/>
      </c>
      <c r="AE16">
        <f>F16*x_NAV</f>
        <v/>
      </c>
      <c r="AF16">
        <f>G16*x_FIX*(1-x_testy)</f>
        <v/>
      </c>
      <c r="AG16">
        <f>x_z_F*T16+(1-x_AGRI)*x_EMP*x_WLOSS*(x_PEN_K74*Q16+x_PEN_C22*R16)</f>
        <v/>
      </c>
      <c r="AH16">
        <f>x_AGRI*x_EMP*x_WLOSS*(x_PEN_K74*Q16+x_PEN_C22*R16)</f>
        <v/>
      </c>
      <c r="AI16">
        <f>x_EMP*x_WAGE*(x_WLOSS*(Q16+R16)+S16)+T16*x_ABS_D*x_WAGE/365</f>
        <v/>
      </c>
      <c r="AJ16">
        <f>AI16*x_R_FUS</f>
        <v/>
      </c>
      <c r="AK16">
        <f>AI16*x_R_NFZ</f>
        <v/>
      </c>
      <c r="AL16">
        <f>AI16*x_R_PIT</f>
        <v/>
      </c>
      <c r="AM16">
        <f>AI16*x_R_FP</f>
        <v/>
      </c>
      <c r="AN16">
        <f>Z16+AA16+AB16+AC16+AE16</f>
        <v/>
      </c>
      <c r="AO16">
        <f>AN16+AD16+AF16+AG16+AH16+AJ16+AK16+AL16+AM16</f>
        <v/>
      </c>
      <c r="AP16">
        <f>AN16+AD16+AF16+AI16</f>
        <v/>
      </c>
      <c r="AQ16">
        <f>AA16+AB16+AC16+AE16</f>
        <v/>
      </c>
      <c r="AR16">
        <f>AQ16+AD16+AF16</f>
        <v/>
      </c>
    </row>
    <row r="17">
      <c r="A17" t="n">
        <v>2040</v>
      </c>
      <c r="B17" t="n">
        <v>14</v>
      </c>
      <c r="C17" t="n">
        <v>4832</v>
      </c>
      <c r="D17" t="n">
        <v>0</v>
      </c>
      <c r="E17" t="n">
        <v>0</v>
      </c>
      <c r="F17" t="n">
        <v>0</v>
      </c>
      <c r="G17" t="n">
        <v>0</v>
      </c>
      <c r="H17" t="n">
        <v>2225.479</v>
      </c>
      <c r="I17" t="n">
        <v>225.38</v>
      </c>
      <c r="J17" t="n">
        <v>1162.807</v>
      </c>
      <c r="K17" t="n">
        <v>2018.097</v>
      </c>
      <c r="L17" t="n">
        <v>1208.432</v>
      </c>
      <c r="M17" t="n">
        <v>102486.451</v>
      </c>
      <c r="N17" t="n">
        <v>9206.494000000001</v>
      </c>
      <c r="O17" t="n">
        <v>66.673</v>
      </c>
      <c r="P17" t="n">
        <v>67.64400000000001</v>
      </c>
      <c r="Q17" t="n">
        <v>601.246</v>
      </c>
      <c r="R17" t="n">
        <v>519.298</v>
      </c>
      <c r="S17" t="n">
        <v>2601.588</v>
      </c>
      <c r="T17" t="n">
        <v>2450.859</v>
      </c>
      <c r="U17" t="n">
        <v>137929.375</v>
      </c>
      <c r="V17" t="n">
        <v>191.224</v>
      </c>
      <c r="W17" t="n">
        <v>557.354</v>
      </c>
      <c r="X17" t="n">
        <v>66.673</v>
      </c>
      <c r="Y17" t="n">
        <v>732.522</v>
      </c>
      <c r="Z17">
        <f>H17*x_c_F+I17*x_c_CC+J17*x_c_DC+K17*x_c_HCC+L17*x_c_PLT+M17*x_c_SVRn+N17*x_c_SVRcc+O17*x_c_LT+P17*x_c_LT1</f>
        <v/>
      </c>
      <c r="AA17">
        <f>C17*x_c_DAA</f>
        <v/>
      </c>
      <c r="AB17">
        <f>C17*x_c_MON</f>
        <v/>
      </c>
      <c r="AC17">
        <f>D17*(1-x_testy)</f>
        <v/>
      </c>
      <c r="AD17">
        <f>E17*(1-x_testy)</f>
        <v/>
      </c>
      <c r="AE17">
        <f>F17*x_NAV</f>
        <v/>
      </c>
      <c r="AF17">
        <f>G17*x_FIX*(1-x_testy)</f>
        <v/>
      </c>
      <c r="AG17">
        <f>x_z_F*T17+(1-x_AGRI)*x_EMP*x_WLOSS*(x_PEN_K74*Q17+x_PEN_C22*R17)</f>
        <v/>
      </c>
      <c r="AH17">
        <f>x_AGRI*x_EMP*x_WLOSS*(x_PEN_K74*Q17+x_PEN_C22*R17)</f>
        <v/>
      </c>
      <c r="AI17">
        <f>x_EMP*x_WAGE*(x_WLOSS*(Q17+R17)+S17)+T17*x_ABS_D*x_WAGE/365</f>
        <v/>
      </c>
      <c r="AJ17">
        <f>AI17*x_R_FUS</f>
        <v/>
      </c>
      <c r="AK17">
        <f>AI17*x_R_NFZ</f>
        <v/>
      </c>
      <c r="AL17">
        <f>AI17*x_R_PIT</f>
        <v/>
      </c>
      <c r="AM17">
        <f>AI17*x_R_FP</f>
        <v/>
      </c>
      <c r="AN17">
        <f>Z17+AA17+AB17+AC17+AE17</f>
        <v/>
      </c>
      <c r="AO17">
        <f>AN17+AD17+AF17+AG17+AH17+AJ17+AK17+AL17+AM17</f>
        <v/>
      </c>
      <c r="AP17">
        <f>AN17+AD17+AF17+AI17</f>
        <v/>
      </c>
      <c r="AQ17">
        <f>AA17+AB17+AC17+AE17</f>
        <v/>
      </c>
      <c r="AR17">
        <f>AQ17+AD17+AF17</f>
        <v/>
      </c>
    </row>
    <row r="18">
      <c r="A18" t="n">
        <v>2041</v>
      </c>
      <c r="B18" t="n">
        <v>15</v>
      </c>
      <c r="C18" t="n">
        <v>4832</v>
      </c>
      <c r="D18" t="n">
        <v>0</v>
      </c>
      <c r="E18" t="n">
        <v>0</v>
      </c>
      <c r="F18" t="n">
        <v>0</v>
      </c>
      <c r="G18" t="n">
        <v>0</v>
      </c>
      <c r="H18" t="n">
        <v>2232.749</v>
      </c>
      <c r="I18" t="n">
        <v>217.072</v>
      </c>
      <c r="J18" t="n">
        <v>1127.05</v>
      </c>
      <c r="K18" t="n">
        <v>1963.75</v>
      </c>
      <c r="L18" t="n">
        <v>1176.631</v>
      </c>
      <c r="M18" t="n">
        <v>104700.367</v>
      </c>
      <c r="N18" t="n">
        <v>9186.249</v>
      </c>
      <c r="O18" t="n">
        <v>64.667</v>
      </c>
      <c r="P18" t="n">
        <v>65.67</v>
      </c>
      <c r="Q18" t="n">
        <v>604.458</v>
      </c>
      <c r="R18" t="n">
        <v>528.177</v>
      </c>
      <c r="S18" t="n">
        <v>2784.679</v>
      </c>
      <c r="T18" t="n">
        <v>2449.821</v>
      </c>
      <c r="U18" t="n">
        <v>139241.639</v>
      </c>
      <c r="V18" t="n">
        <v>184.748</v>
      </c>
      <c r="W18" t="n">
        <v>540.17</v>
      </c>
      <c r="X18" t="n">
        <v>64.667</v>
      </c>
      <c r="Y18" t="n">
        <v>712.121</v>
      </c>
      <c r="Z18">
        <f>H18*x_c_F+I18*x_c_CC+J18*x_c_DC+K18*x_c_HCC+L18*x_c_PLT+M18*x_c_SVRn+N18*x_c_SVRcc+O18*x_c_LT+P18*x_c_LT1</f>
        <v/>
      </c>
      <c r="AA18">
        <f>C18*x_c_DAA</f>
        <v/>
      </c>
      <c r="AB18">
        <f>C18*x_c_MON</f>
        <v/>
      </c>
      <c r="AC18">
        <f>D18*(1-x_testy)</f>
        <v/>
      </c>
      <c r="AD18">
        <f>E18*(1-x_testy)</f>
        <v/>
      </c>
      <c r="AE18">
        <f>F18*x_NAV</f>
        <v/>
      </c>
      <c r="AF18">
        <f>G18*x_FIX*(1-x_testy)</f>
        <v/>
      </c>
      <c r="AG18">
        <f>x_z_F*T18+(1-x_AGRI)*x_EMP*x_WLOSS*(x_PEN_K74*Q18+x_PEN_C22*R18)</f>
        <v/>
      </c>
      <c r="AH18">
        <f>x_AGRI*x_EMP*x_WLOSS*(x_PEN_K74*Q18+x_PEN_C22*R18)</f>
        <v/>
      </c>
      <c r="AI18">
        <f>x_EMP*x_WAGE*(x_WLOSS*(Q18+R18)+S18)+T18*x_ABS_D*x_WAGE/365</f>
        <v/>
      </c>
      <c r="AJ18">
        <f>AI18*x_R_FUS</f>
        <v/>
      </c>
      <c r="AK18">
        <f>AI18*x_R_NFZ</f>
        <v/>
      </c>
      <c r="AL18">
        <f>AI18*x_R_PIT</f>
        <v/>
      </c>
      <c r="AM18">
        <f>AI18*x_R_FP</f>
        <v/>
      </c>
      <c r="AN18">
        <f>Z18+AA18+AB18+AC18+AE18</f>
        <v/>
      </c>
      <c r="AO18">
        <f>AN18+AD18+AF18+AG18+AH18+AJ18+AK18+AL18+AM18</f>
        <v/>
      </c>
      <c r="AP18">
        <f>AN18+AD18+AF18+AI18</f>
        <v/>
      </c>
      <c r="AQ18">
        <f>AA18+AB18+AC18+AE18</f>
        <v/>
      </c>
      <c r="AR18">
        <f>AQ18+AD18+AF18</f>
        <v/>
      </c>
    </row>
    <row r="19">
      <c r="A19" t="n">
        <v>2042</v>
      </c>
      <c r="B19" t="n">
        <v>16</v>
      </c>
      <c r="C19" t="n">
        <v>4832</v>
      </c>
      <c r="D19" t="n">
        <v>0</v>
      </c>
      <c r="E19" t="n">
        <v>0</v>
      </c>
      <c r="F19" t="n">
        <v>0</v>
      </c>
      <c r="G19" t="n">
        <v>0</v>
      </c>
      <c r="H19" t="n">
        <v>2240.378</v>
      </c>
      <c r="I19" t="n">
        <v>208.496</v>
      </c>
      <c r="J19" t="n">
        <v>1090.168</v>
      </c>
      <c r="K19" t="n">
        <v>1906.039</v>
      </c>
      <c r="L19" t="n">
        <v>1143.275</v>
      </c>
      <c r="M19" t="n">
        <v>106836.318</v>
      </c>
      <c r="N19" t="n">
        <v>9135.394</v>
      </c>
      <c r="O19" t="n">
        <v>62.578</v>
      </c>
      <c r="P19" t="n">
        <v>63.622</v>
      </c>
      <c r="Q19" t="n">
        <v>608.568</v>
      </c>
      <c r="R19" t="n">
        <v>538.341</v>
      </c>
      <c r="S19" t="n">
        <v>2969.587</v>
      </c>
      <c r="T19" t="n">
        <v>2448.874</v>
      </c>
      <c r="U19" t="n">
        <v>140508.783</v>
      </c>
      <c r="V19" t="n">
        <v>178.057</v>
      </c>
      <c r="W19" t="n">
        <v>522.236</v>
      </c>
      <c r="X19" t="n">
        <v>62.578</v>
      </c>
      <c r="Y19" t="n">
        <v>690.535</v>
      </c>
      <c r="Z19">
        <f>H19*x_c_F+I19*x_c_CC+J19*x_c_DC+K19*x_c_HCC+L19*x_c_PLT+M19*x_c_SVRn+N19*x_c_SVRcc+O19*x_c_LT+P19*x_c_LT1</f>
        <v/>
      </c>
      <c r="AA19">
        <f>C19*x_c_DAA</f>
        <v/>
      </c>
      <c r="AB19">
        <f>C19*x_c_MON</f>
        <v/>
      </c>
      <c r="AC19">
        <f>D19*(1-x_testy)</f>
        <v/>
      </c>
      <c r="AD19">
        <f>E19*(1-x_testy)</f>
        <v/>
      </c>
      <c r="AE19">
        <f>F19*x_NAV</f>
        <v/>
      </c>
      <c r="AF19">
        <f>G19*x_FIX*(1-x_testy)</f>
        <v/>
      </c>
      <c r="AG19">
        <f>x_z_F*T19+(1-x_AGRI)*x_EMP*x_WLOSS*(x_PEN_K74*Q19+x_PEN_C22*R19)</f>
        <v/>
      </c>
      <c r="AH19">
        <f>x_AGRI*x_EMP*x_WLOSS*(x_PEN_K74*Q19+x_PEN_C22*R19)</f>
        <v/>
      </c>
      <c r="AI19">
        <f>x_EMP*x_WAGE*(x_WLOSS*(Q19+R19)+S19)+T19*x_ABS_D*x_WAGE/365</f>
        <v/>
      </c>
      <c r="AJ19">
        <f>AI19*x_R_FUS</f>
        <v/>
      </c>
      <c r="AK19">
        <f>AI19*x_R_NFZ</f>
        <v/>
      </c>
      <c r="AL19">
        <f>AI19*x_R_PIT</f>
        <v/>
      </c>
      <c r="AM19">
        <f>AI19*x_R_FP</f>
        <v/>
      </c>
      <c r="AN19">
        <f>Z19+AA19+AB19+AC19+AE19</f>
        <v/>
      </c>
      <c r="AO19">
        <f>AN19+AD19+AF19+AG19+AH19+AJ19+AK19+AL19+AM19</f>
        <v/>
      </c>
      <c r="AP19">
        <f>AN19+AD19+AF19+AI19</f>
        <v/>
      </c>
      <c r="AQ19">
        <f>AA19+AB19+AC19+AE19</f>
        <v/>
      </c>
      <c r="AR19">
        <f>AQ19+AD19+AF19</f>
        <v/>
      </c>
    </row>
    <row r="20">
      <c r="A20" t="n">
        <v>2043</v>
      </c>
      <c r="B20" t="n">
        <v>17</v>
      </c>
      <c r="C20" t="n">
        <v>4832</v>
      </c>
      <c r="D20" t="n">
        <v>0</v>
      </c>
      <c r="E20" t="n">
        <v>0</v>
      </c>
      <c r="F20" t="n">
        <v>0</v>
      </c>
      <c r="G20" t="n">
        <v>0</v>
      </c>
      <c r="H20" t="n">
        <v>2248.124</v>
      </c>
      <c r="I20" t="n">
        <v>199.921</v>
      </c>
      <c r="J20" t="n">
        <v>1052.78</v>
      </c>
      <c r="K20" t="n">
        <v>1846.321</v>
      </c>
      <c r="L20" t="n">
        <v>1109.083</v>
      </c>
      <c r="M20" t="n">
        <v>108927.906</v>
      </c>
      <c r="N20" t="n">
        <v>9059.322</v>
      </c>
      <c r="O20" t="n">
        <v>60.484</v>
      </c>
      <c r="P20" t="n">
        <v>61.531</v>
      </c>
      <c r="Q20" t="n">
        <v>613.619</v>
      </c>
      <c r="R20" t="n">
        <v>549.848</v>
      </c>
      <c r="S20" t="n">
        <v>3156.592</v>
      </c>
      <c r="T20" t="n">
        <v>2448.045</v>
      </c>
      <c r="U20" t="n">
        <v>141767.477</v>
      </c>
      <c r="V20" t="n">
        <v>171.441</v>
      </c>
      <c r="W20" t="n">
        <v>504.385</v>
      </c>
      <c r="X20" t="n">
        <v>60.484</v>
      </c>
      <c r="Y20" t="n">
        <v>668.665</v>
      </c>
      <c r="Z20">
        <f>H20*x_c_F+I20*x_c_CC+J20*x_c_DC+K20*x_c_HCC+L20*x_c_PLT+M20*x_c_SVRn+N20*x_c_SVRcc+O20*x_c_LT+P20*x_c_LT1</f>
        <v/>
      </c>
      <c r="AA20">
        <f>C20*x_c_DAA</f>
        <v/>
      </c>
      <c r="AB20">
        <f>C20*x_c_MON</f>
        <v/>
      </c>
      <c r="AC20">
        <f>D20*(1-x_testy)</f>
        <v/>
      </c>
      <c r="AD20">
        <f>E20*(1-x_testy)</f>
        <v/>
      </c>
      <c r="AE20">
        <f>F20*x_NAV</f>
        <v/>
      </c>
      <c r="AF20">
        <f>G20*x_FIX*(1-x_testy)</f>
        <v/>
      </c>
      <c r="AG20">
        <f>x_z_F*T20+(1-x_AGRI)*x_EMP*x_WLOSS*(x_PEN_K74*Q20+x_PEN_C22*R20)</f>
        <v/>
      </c>
      <c r="AH20">
        <f>x_AGRI*x_EMP*x_WLOSS*(x_PEN_K74*Q20+x_PEN_C22*R20)</f>
        <v/>
      </c>
      <c r="AI20">
        <f>x_EMP*x_WAGE*(x_WLOSS*(Q20+R20)+S20)+T20*x_ABS_D*x_WAGE/365</f>
        <v/>
      </c>
      <c r="AJ20">
        <f>AI20*x_R_FUS</f>
        <v/>
      </c>
      <c r="AK20">
        <f>AI20*x_R_NFZ</f>
        <v/>
      </c>
      <c r="AL20">
        <f>AI20*x_R_PIT</f>
        <v/>
      </c>
      <c r="AM20">
        <f>AI20*x_R_FP</f>
        <v/>
      </c>
      <c r="AN20">
        <f>Z20+AA20+AB20+AC20+AE20</f>
        <v/>
      </c>
      <c r="AO20">
        <f>AN20+AD20+AF20+AG20+AH20+AJ20+AK20+AL20+AM20</f>
        <v/>
      </c>
      <c r="AP20">
        <f>AN20+AD20+AF20+AI20</f>
        <v/>
      </c>
      <c r="AQ20">
        <f>AA20+AB20+AC20+AE20</f>
        <v/>
      </c>
      <c r="AR20">
        <f>AQ20+AD20+AF20</f>
        <v/>
      </c>
    </row>
    <row r="21">
      <c r="A21" t="n">
        <v>2044</v>
      </c>
      <c r="B21" t="n">
        <v>18</v>
      </c>
      <c r="C21" t="n">
        <v>4832</v>
      </c>
      <c r="D21" t="n">
        <v>0</v>
      </c>
      <c r="E21" t="n">
        <v>0</v>
      </c>
      <c r="F21" t="n">
        <v>0</v>
      </c>
      <c r="G21" t="n">
        <v>0</v>
      </c>
      <c r="H21" t="n">
        <v>2255.761</v>
      </c>
      <c r="I21" t="n">
        <v>191.591</v>
      </c>
      <c r="J21" t="n">
        <v>1015.578</v>
      </c>
      <c r="K21" t="n">
        <v>1786.093</v>
      </c>
      <c r="L21" t="n">
        <v>1074.694</v>
      </c>
      <c r="M21" t="n">
        <v>111005.735</v>
      </c>
      <c r="N21" t="n">
        <v>8963.611000000001</v>
      </c>
      <c r="O21" t="n">
        <v>58.381</v>
      </c>
      <c r="P21" t="n">
        <v>59.433</v>
      </c>
      <c r="Q21" t="n">
        <v>619.668</v>
      </c>
      <c r="R21" t="n">
        <v>562.774</v>
      </c>
      <c r="S21" t="n">
        <v>3346.026</v>
      </c>
      <c r="T21" t="n">
        <v>2447.352</v>
      </c>
      <c r="U21" t="n">
        <v>143050.007</v>
      </c>
      <c r="V21" t="n">
        <v>165.019</v>
      </c>
      <c r="W21" t="n">
        <v>486.896</v>
      </c>
      <c r="X21" t="n">
        <v>58.381</v>
      </c>
      <c r="Y21" t="n">
        <v>646.519</v>
      </c>
      <c r="Z21">
        <f>H21*x_c_F+I21*x_c_CC+J21*x_c_DC+K21*x_c_HCC+L21*x_c_PLT+M21*x_c_SVRn+N21*x_c_SVRcc+O21*x_c_LT+P21*x_c_LT1</f>
        <v/>
      </c>
      <c r="AA21">
        <f>C21*x_c_DAA</f>
        <v/>
      </c>
      <c r="AB21">
        <f>C21*x_c_MON</f>
        <v/>
      </c>
      <c r="AC21">
        <f>D21*(1-x_testy)</f>
        <v/>
      </c>
      <c r="AD21">
        <f>E21*(1-x_testy)</f>
        <v/>
      </c>
      <c r="AE21">
        <f>F21*x_NAV</f>
        <v/>
      </c>
      <c r="AF21">
        <f>G21*x_FIX*(1-x_testy)</f>
        <v/>
      </c>
      <c r="AG21">
        <f>x_z_F*T21+(1-x_AGRI)*x_EMP*x_WLOSS*(x_PEN_K74*Q21+x_PEN_C22*R21)</f>
        <v/>
      </c>
      <c r="AH21">
        <f>x_AGRI*x_EMP*x_WLOSS*(x_PEN_K74*Q21+x_PEN_C22*R21)</f>
        <v/>
      </c>
      <c r="AI21">
        <f>x_EMP*x_WAGE*(x_WLOSS*(Q21+R21)+S21)+T21*x_ABS_D*x_WAGE/365</f>
        <v/>
      </c>
      <c r="AJ21">
        <f>AI21*x_R_FUS</f>
        <v/>
      </c>
      <c r="AK21">
        <f>AI21*x_R_NFZ</f>
        <v/>
      </c>
      <c r="AL21">
        <f>AI21*x_R_PIT</f>
        <v/>
      </c>
      <c r="AM21">
        <f>AI21*x_R_FP</f>
        <v/>
      </c>
      <c r="AN21">
        <f>Z21+AA21+AB21+AC21+AE21</f>
        <v/>
      </c>
      <c r="AO21">
        <f>AN21+AD21+AF21+AG21+AH21+AJ21+AK21+AL21+AM21</f>
        <v/>
      </c>
      <c r="AP21">
        <f>AN21+AD21+AF21+AI21</f>
        <v/>
      </c>
      <c r="AQ21">
        <f>AA21+AB21+AC21+AE21</f>
        <v/>
      </c>
      <c r="AR21">
        <f>AQ21+AD21+AF21</f>
        <v/>
      </c>
    </row>
    <row r="22">
      <c r="A22" t="n">
        <v>2045</v>
      </c>
      <c r="B22" t="n">
        <v>19</v>
      </c>
      <c r="C22" t="n">
        <v>4832</v>
      </c>
      <c r="D22" t="n">
        <v>0</v>
      </c>
      <c r="E22" t="n">
        <v>0</v>
      </c>
      <c r="F22" t="n">
        <v>0</v>
      </c>
      <c r="G22" t="n">
        <v>0</v>
      </c>
      <c r="H22" t="n">
        <v>2263.104</v>
      </c>
      <c r="I22" t="n">
        <v>183.697</v>
      </c>
      <c r="J22" t="n">
        <v>978.896</v>
      </c>
      <c r="K22" t="n">
        <v>1726.265</v>
      </c>
      <c r="L22" t="n">
        <v>1040.054</v>
      </c>
      <c r="M22" t="n">
        <v>113067.48</v>
      </c>
      <c r="N22" t="n">
        <v>8850.144</v>
      </c>
      <c r="O22" t="n">
        <v>56.308</v>
      </c>
      <c r="P22" t="n">
        <v>57.345</v>
      </c>
      <c r="Q22" t="n">
        <v>626.769</v>
      </c>
      <c r="R22" t="n">
        <v>577.1799999999999</v>
      </c>
      <c r="S22" t="n">
        <v>3538.216</v>
      </c>
      <c r="T22" t="n">
        <v>2446.801</v>
      </c>
      <c r="U22" t="n">
        <v>144356.155</v>
      </c>
      <c r="V22" t="n">
        <v>158.94</v>
      </c>
      <c r="W22" t="n">
        <v>470.19</v>
      </c>
      <c r="X22" t="n">
        <v>56.308</v>
      </c>
      <c r="Y22" t="n">
        <v>624.559</v>
      </c>
      <c r="Z22">
        <f>H22*x_c_F+I22*x_c_CC+J22*x_c_DC+K22*x_c_HCC+L22*x_c_PLT+M22*x_c_SVRn+N22*x_c_SVRcc+O22*x_c_LT+P22*x_c_LT1</f>
        <v/>
      </c>
      <c r="AA22">
        <f>C22*x_c_DAA</f>
        <v/>
      </c>
      <c r="AB22">
        <f>C22*x_c_MON</f>
        <v/>
      </c>
      <c r="AC22">
        <f>D22*(1-x_testy)</f>
        <v/>
      </c>
      <c r="AD22">
        <f>E22*(1-x_testy)</f>
        <v/>
      </c>
      <c r="AE22">
        <f>F22*x_NAV</f>
        <v/>
      </c>
      <c r="AF22">
        <f>G22*x_FIX*(1-x_testy)</f>
        <v/>
      </c>
      <c r="AG22">
        <f>x_z_F*T22+(1-x_AGRI)*x_EMP*x_WLOSS*(x_PEN_K74*Q22+x_PEN_C22*R22)</f>
        <v/>
      </c>
      <c r="AH22">
        <f>x_AGRI*x_EMP*x_WLOSS*(x_PEN_K74*Q22+x_PEN_C22*R22)</f>
        <v/>
      </c>
      <c r="AI22">
        <f>x_EMP*x_WAGE*(x_WLOSS*(Q22+R22)+S22)+T22*x_ABS_D*x_WAGE/365</f>
        <v/>
      </c>
      <c r="AJ22">
        <f>AI22*x_R_FUS</f>
        <v/>
      </c>
      <c r="AK22">
        <f>AI22*x_R_NFZ</f>
        <v/>
      </c>
      <c r="AL22">
        <f>AI22*x_R_PIT</f>
        <v/>
      </c>
      <c r="AM22">
        <f>AI22*x_R_FP</f>
        <v/>
      </c>
      <c r="AN22">
        <f>Z22+AA22+AB22+AC22+AE22</f>
        <v/>
      </c>
      <c r="AO22">
        <f>AN22+AD22+AF22+AG22+AH22+AJ22+AK22+AL22+AM22</f>
        <v/>
      </c>
      <c r="AP22">
        <f>AN22+AD22+AF22+AI22</f>
        <v/>
      </c>
      <c r="AQ22">
        <f>AA22+AB22+AC22+AE22</f>
        <v/>
      </c>
      <c r="AR22">
        <f>AQ22+AD22+AF22</f>
        <v/>
      </c>
    </row>
    <row r="23">
      <c r="A23" t="n">
        <v>2046</v>
      </c>
      <c r="B23" t="n">
        <v>20</v>
      </c>
      <c r="C23" t="n">
        <v>4832</v>
      </c>
      <c r="D23" t="n">
        <v>0</v>
      </c>
      <c r="E23" t="n">
        <v>0</v>
      </c>
      <c r="F23" t="n">
        <v>0</v>
      </c>
      <c r="G23" t="n">
        <v>0</v>
      </c>
      <c r="H23" t="n">
        <v>2269.998</v>
      </c>
      <c r="I23" t="n">
        <v>176.396</v>
      </c>
      <c r="J23" t="n">
        <v>943.328</v>
      </c>
      <c r="K23" t="n">
        <v>1668.098</v>
      </c>
      <c r="L23" t="n">
        <v>1005.553</v>
      </c>
      <c r="M23" t="n">
        <v>115130.629</v>
      </c>
      <c r="N23" t="n">
        <v>8723.6</v>
      </c>
      <c r="O23" t="n">
        <v>54.297</v>
      </c>
      <c r="P23" t="n">
        <v>55.303</v>
      </c>
      <c r="Q23" t="n">
        <v>634.96</v>
      </c>
      <c r="R23" t="n">
        <v>593.101</v>
      </c>
      <c r="S23" t="n">
        <v>3733.447</v>
      </c>
      <c r="T23" t="n">
        <v>2446.394</v>
      </c>
      <c r="U23" t="n">
        <v>145702.566</v>
      </c>
      <c r="V23" t="n">
        <v>153.309</v>
      </c>
      <c r="W23" t="n">
        <v>454.565</v>
      </c>
      <c r="X23" t="n">
        <v>54.297</v>
      </c>
      <c r="Y23" t="n">
        <v>603.173</v>
      </c>
      <c r="Z23">
        <f>H23*x_c_F+I23*x_c_CC+J23*x_c_DC+K23*x_c_HCC+L23*x_c_PLT+M23*x_c_SVRn+N23*x_c_SVRcc+O23*x_c_LT+P23*x_c_LT1</f>
        <v/>
      </c>
      <c r="AA23">
        <f>C23*x_c_DAA</f>
        <v/>
      </c>
      <c r="AB23">
        <f>C23*x_c_MON</f>
        <v/>
      </c>
      <c r="AC23">
        <f>D23*(1-x_testy)</f>
        <v/>
      </c>
      <c r="AD23">
        <f>E23*(1-x_testy)</f>
        <v/>
      </c>
      <c r="AE23">
        <f>F23*x_NAV</f>
        <v/>
      </c>
      <c r="AF23">
        <f>G23*x_FIX*(1-x_testy)</f>
        <v/>
      </c>
      <c r="AG23">
        <f>x_z_F*T23+(1-x_AGRI)*x_EMP*x_WLOSS*(x_PEN_K74*Q23+x_PEN_C22*R23)</f>
        <v/>
      </c>
      <c r="AH23">
        <f>x_AGRI*x_EMP*x_WLOSS*(x_PEN_K74*Q23+x_PEN_C22*R23)</f>
        <v/>
      </c>
      <c r="AI23">
        <f>x_EMP*x_WAGE*(x_WLOSS*(Q23+R23)+S23)+T23*x_ABS_D*x_WAGE/365</f>
        <v/>
      </c>
      <c r="AJ23">
        <f>AI23*x_R_FUS</f>
        <v/>
      </c>
      <c r="AK23">
        <f>AI23*x_R_NFZ</f>
        <v/>
      </c>
      <c r="AL23">
        <f>AI23*x_R_PIT</f>
        <v/>
      </c>
      <c r="AM23">
        <f>AI23*x_R_FP</f>
        <v/>
      </c>
      <c r="AN23">
        <f>Z23+AA23+AB23+AC23+AE23</f>
        <v/>
      </c>
      <c r="AO23">
        <f>AN23+AD23+AF23+AG23+AH23+AJ23+AK23+AL23+AM23</f>
        <v/>
      </c>
      <c r="AP23">
        <f>AN23+AD23+AF23+AI23</f>
        <v/>
      </c>
      <c r="AQ23">
        <f>AA23+AB23+AC23+AE23</f>
        <v/>
      </c>
      <c r="AR23">
        <f>AQ23+AD23+AF23</f>
        <v/>
      </c>
    </row>
    <row r="24">
      <c r="A24" t="n">
        <v>2047</v>
      </c>
      <c r="B24" t="n">
        <v>21</v>
      </c>
      <c r="C24" t="n">
        <v>4832</v>
      </c>
      <c r="D24" t="n">
        <v>0</v>
      </c>
      <c r="E24" t="n">
        <v>0</v>
      </c>
      <c r="F24" t="n">
        <v>0</v>
      </c>
      <c r="G24" t="n">
        <v>0</v>
      </c>
      <c r="H24" t="n">
        <v>2276.337</v>
      </c>
      <c r="I24" t="n">
        <v>169.789</v>
      </c>
      <c r="J24" t="n">
        <v>909.37</v>
      </c>
      <c r="K24" t="n">
        <v>1612.614</v>
      </c>
      <c r="L24" t="n">
        <v>971.513</v>
      </c>
      <c r="M24" t="n">
        <v>117208.199</v>
      </c>
      <c r="N24" t="n">
        <v>8588.174000000001</v>
      </c>
      <c r="O24" t="n">
        <v>52.377</v>
      </c>
      <c r="P24" t="n">
        <v>53.337</v>
      </c>
      <c r="Q24" t="n">
        <v>644.268</v>
      </c>
      <c r="R24" t="n">
        <v>610.54</v>
      </c>
      <c r="S24" t="n">
        <v>3931.994</v>
      </c>
      <c r="T24" t="n">
        <v>2446.126</v>
      </c>
      <c r="U24" t="n">
        <v>147099.774</v>
      </c>
      <c r="V24" t="n">
        <v>148.193</v>
      </c>
      <c r="W24" t="n">
        <v>440.221</v>
      </c>
      <c r="X24" t="n">
        <v>52.377</v>
      </c>
      <c r="Y24" t="n">
        <v>582.704</v>
      </c>
      <c r="Z24">
        <f>H24*x_c_F+I24*x_c_CC+J24*x_c_DC+K24*x_c_HCC+L24*x_c_PLT+M24*x_c_SVRn+N24*x_c_SVRcc+O24*x_c_LT+P24*x_c_LT1</f>
        <v/>
      </c>
      <c r="AA24">
        <f>C24*x_c_DAA</f>
        <v/>
      </c>
      <c r="AB24">
        <f>C24*x_c_MON</f>
        <v/>
      </c>
      <c r="AC24">
        <f>D24*(1-x_testy)</f>
        <v/>
      </c>
      <c r="AD24">
        <f>E24*(1-x_testy)</f>
        <v/>
      </c>
      <c r="AE24">
        <f>F24*x_NAV</f>
        <v/>
      </c>
      <c r="AF24">
        <f>G24*x_FIX*(1-x_testy)</f>
        <v/>
      </c>
      <c r="AG24">
        <f>x_z_F*T24+(1-x_AGRI)*x_EMP*x_WLOSS*(x_PEN_K74*Q24+x_PEN_C22*R24)</f>
        <v/>
      </c>
      <c r="AH24">
        <f>x_AGRI*x_EMP*x_WLOSS*(x_PEN_K74*Q24+x_PEN_C22*R24)</f>
        <v/>
      </c>
      <c r="AI24">
        <f>x_EMP*x_WAGE*(x_WLOSS*(Q24+R24)+S24)+T24*x_ABS_D*x_WAGE/365</f>
        <v/>
      </c>
      <c r="AJ24">
        <f>AI24*x_R_FUS</f>
        <v/>
      </c>
      <c r="AK24">
        <f>AI24*x_R_NFZ</f>
        <v/>
      </c>
      <c r="AL24">
        <f>AI24*x_R_PIT</f>
        <v/>
      </c>
      <c r="AM24">
        <f>AI24*x_R_FP</f>
        <v/>
      </c>
      <c r="AN24">
        <f>Z24+AA24+AB24+AC24+AE24</f>
        <v/>
      </c>
      <c r="AO24">
        <f>AN24+AD24+AF24+AG24+AH24+AJ24+AK24+AL24+AM24</f>
        <v/>
      </c>
      <c r="AP24">
        <f>AN24+AD24+AF24+AI24</f>
        <v/>
      </c>
      <c r="AQ24">
        <f>AA24+AB24+AC24+AE24</f>
        <v/>
      </c>
      <c r="AR24">
        <f>AQ24+AD24+AF24</f>
        <v/>
      </c>
    </row>
    <row r="25">
      <c r="A25" t="n">
        <v>2048</v>
      </c>
      <c r="B25" t="n">
        <v>22</v>
      </c>
      <c r="C25" t="n">
        <v>4832</v>
      </c>
      <c r="D25" t="n">
        <v>0</v>
      </c>
      <c r="E25" t="n">
        <v>0</v>
      </c>
      <c r="F25" t="n">
        <v>0</v>
      </c>
      <c r="G25" t="n">
        <v>0</v>
      </c>
      <c r="H25" t="n">
        <v>2282.053</v>
      </c>
      <c r="I25" t="n">
        <v>163.933</v>
      </c>
      <c r="J25" t="n">
        <v>877.422</v>
      </c>
      <c r="K25" t="n">
        <v>1560.609</v>
      </c>
      <c r="L25" t="n">
        <v>938.217</v>
      </c>
      <c r="M25" t="n">
        <v>119310.63</v>
      </c>
      <c r="N25" t="n">
        <v>8447.688</v>
      </c>
      <c r="O25" t="n">
        <v>50.57</v>
      </c>
      <c r="P25" t="n">
        <v>51.474</v>
      </c>
      <c r="Q25" t="n">
        <v>654.703</v>
      </c>
      <c r="R25" t="n">
        <v>629.465</v>
      </c>
      <c r="S25" t="n">
        <v>4134.119</v>
      </c>
      <c r="T25" t="n">
        <v>2445.986</v>
      </c>
      <c r="U25" t="n">
        <v>148554.805</v>
      </c>
      <c r="V25" t="n">
        <v>143.625</v>
      </c>
      <c r="W25" t="n">
        <v>427.274</v>
      </c>
      <c r="X25" t="n">
        <v>50.57</v>
      </c>
      <c r="Y25" t="n">
        <v>563.415</v>
      </c>
      <c r="Z25">
        <f>H25*x_c_F+I25*x_c_CC+J25*x_c_DC+K25*x_c_HCC+L25*x_c_PLT+M25*x_c_SVRn+N25*x_c_SVRcc+O25*x_c_LT+P25*x_c_LT1</f>
        <v/>
      </c>
      <c r="AA25">
        <f>C25*x_c_DAA</f>
        <v/>
      </c>
      <c r="AB25">
        <f>C25*x_c_MON</f>
        <v/>
      </c>
      <c r="AC25">
        <f>D25*(1-x_testy)</f>
        <v/>
      </c>
      <c r="AD25">
        <f>E25*(1-x_testy)</f>
        <v/>
      </c>
      <c r="AE25">
        <f>F25*x_NAV</f>
        <v/>
      </c>
      <c r="AF25">
        <f>G25*x_FIX*(1-x_testy)</f>
        <v/>
      </c>
      <c r="AG25">
        <f>x_z_F*T25+(1-x_AGRI)*x_EMP*x_WLOSS*(x_PEN_K74*Q25+x_PEN_C22*R25)</f>
        <v/>
      </c>
      <c r="AH25">
        <f>x_AGRI*x_EMP*x_WLOSS*(x_PEN_K74*Q25+x_PEN_C22*R25)</f>
        <v/>
      </c>
      <c r="AI25">
        <f>x_EMP*x_WAGE*(x_WLOSS*(Q25+R25)+S25)+T25*x_ABS_D*x_WAGE/365</f>
        <v/>
      </c>
      <c r="AJ25">
        <f>AI25*x_R_FUS</f>
        <v/>
      </c>
      <c r="AK25">
        <f>AI25*x_R_NFZ</f>
        <v/>
      </c>
      <c r="AL25">
        <f>AI25*x_R_PIT</f>
        <v/>
      </c>
      <c r="AM25">
        <f>AI25*x_R_FP</f>
        <v/>
      </c>
      <c r="AN25">
        <f>Z25+AA25+AB25+AC25+AE25</f>
        <v/>
      </c>
      <c r="AO25">
        <f>AN25+AD25+AF25+AG25+AH25+AJ25+AK25+AL25+AM25</f>
        <v/>
      </c>
      <c r="AP25">
        <f>AN25+AD25+AF25+AI25</f>
        <v/>
      </c>
      <c r="AQ25">
        <f>AA25+AB25+AC25+AE25</f>
        <v/>
      </c>
      <c r="AR25">
        <f>AQ25+AD25+AF25</f>
        <v/>
      </c>
    </row>
    <row r="26">
      <c r="A26" t="n">
        <v>2049</v>
      </c>
      <c r="B26" t="n">
        <v>23</v>
      </c>
      <c r="C26" t="n">
        <v>4832</v>
      </c>
      <c r="D26" t="n">
        <v>0</v>
      </c>
      <c r="E26" t="n">
        <v>0</v>
      </c>
      <c r="F26" t="n">
        <v>0</v>
      </c>
      <c r="G26" t="n">
        <v>0</v>
      </c>
      <c r="H26" t="n">
        <v>2287.125</v>
      </c>
      <c r="I26" t="n">
        <v>158.835</v>
      </c>
      <c r="J26" t="n">
        <v>847.745</v>
      </c>
      <c r="K26" t="n">
        <v>1512.584</v>
      </c>
      <c r="L26" t="n">
        <v>905.8630000000001</v>
      </c>
      <c r="M26" t="n">
        <v>121443.174</v>
      </c>
      <c r="N26" t="n">
        <v>8305.126</v>
      </c>
      <c r="O26" t="n">
        <v>48.891</v>
      </c>
      <c r="P26" t="n">
        <v>49.731</v>
      </c>
      <c r="Q26" t="n">
        <v>666.263</v>
      </c>
      <c r="R26" t="n">
        <v>649.814</v>
      </c>
      <c r="S26" t="n">
        <v>4340.074</v>
      </c>
      <c r="T26" t="n">
        <v>2445.96</v>
      </c>
      <c r="U26" t="n">
        <v>150068.819</v>
      </c>
      <c r="V26" t="n">
        <v>139.605</v>
      </c>
      <c r="W26" t="n">
        <v>415.738</v>
      </c>
      <c r="X26" t="n">
        <v>48.891</v>
      </c>
      <c r="Y26" t="n">
        <v>545.461</v>
      </c>
      <c r="Z26">
        <f>H26*x_c_F+I26*x_c_CC+J26*x_c_DC+K26*x_c_HCC+L26*x_c_PLT+M26*x_c_SVRn+N26*x_c_SVRcc+O26*x_c_LT+P26*x_c_LT1</f>
        <v/>
      </c>
      <c r="AA26">
        <f>C26*x_c_DAA</f>
        <v/>
      </c>
      <c r="AB26">
        <f>C26*x_c_MON</f>
        <v/>
      </c>
      <c r="AC26">
        <f>D26*(1-x_testy)</f>
        <v/>
      </c>
      <c r="AD26">
        <f>E26*(1-x_testy)</f>
        <v/>
      </c>
      <c r="AE26">
        <f>F26*x_NAV</f>
        <v/>
      </c>
      <c r="AF26">
        <f>G26*x_FIX*(1-x_testy)</f>
        <v/>
      </c>
      <c r="AG26">
        <f>x_z_F*T26+(1-x_AGRI)*x_EMP*x_WLOSS*(x_PEN_K74*Q26+x_PEN_C22*R26)</f>
        <v/>
      </c>
      <c r="AH26">
        <f>x_AGRI*x_EMP*x_WLOSS*(x_PEN_K74*Q26+x_PEN_C22*R26)</f>
        <v/>
      </c>
      <c r="AI26">
        <f>x_EMP*x_WAGE*(x_WLOSS*(Q26+R26)+S26)+T26*x_ABS_D*x_WAGE/365</f>
        <v/>
      </c>
      <c r="AJ26">
        <f>AI26*x_R_FUS</f>
        <v/>
      </c>
      <c r="AK26">
        <f>AI26*x_R_NFZ</f>
        <v/>
      </c>
      <c r="AL26">
        <f>AI26*x_R_PIT</f>
        <v/>
      </c>
      <c r="AM26">
        <f>AI26*x_R_FP</f>
        <v/>
      </c>
      <c r="AN26">
        <f>Z26+AA26+AB26+AC26+AE26</f>
        <v/>
      </c>
      <c r="AO26">
        <f>AN26+AD26+AF26+AG26+AH26+AJ26+AK26+AL26+AM26</f>
        <v/>
      </c>
      <c r="AP26">
        <f>AN26+AD26+AF26+AI26</f>
        <v/>
      </c>
      <c r="AQ26">
        <f>AA26+AB26+AC26+AE26</f>
        <v/>
      </c>
      <c r="AR26">
        <f>AQ26+AD26+AF26</f>
        <v/>
      </c>
    </row>
    <row r="27">
      <c r="A27" t="n">
        <v>2050</v>
      </c>
      <c r="B27" t="n">
        <v>24</v>
      </c>
      <c r="C27" t="n">
        <v>4832</v>
      </c>
      <c r="D27" t="n">
        <v>0</v>
      </c>
      <c r="E27" t="n">
        <v>0</v>
      </c>
      <c r="F27" t="n">
        <v>0</v>
      </c>
      <c r="G27" t="n">
        <v>0</v>
      </c>
      <c r="H27" t="n">
        <v>2291.56</v>
      </c>
      <c r="I27" t="n">
        <v>154.469</v>
      </c>
      <c r="J27" t="n">
        <v>820.477</v>
      </c>
      <c r="K27" t="n">
        <v>1468.788</v>
      </c>
      <c r="L27" t="n">
        <v>874.582</v>
      </c>
      <c r="M27" t="n">
        <v>123606.989</v>
      </c>
      <c r="N27" t="n">
        <v>8162.728</v>
      </c>
      <c r="O27" t="n">
        <v>47.346</v>
      </c>
      <c r="P27" t="n">
        <v>48.119</v>
      </c>
      <c r="Q27" t="n">
        <v>678.9160000000001</v>
      </c>
      <c r="R27" t="n">
        <v>671.484</v>
      </c>
      <c r="S27" t="n">
        <v>4549.992</v>
      </c>
      <c r="T27" t="n">
        <v>2446.029</v>
      </c>
      <c r="U27" t="n">
        <v>151638.75</v>
      </c>
      <c r="V27" t="n">
        <v>136.11</v>
      </c>
      <c r="W27" t="n">
        <v>405.574</v>
      </c>
      <c r="X27" t="n">
        <v>47.346</v>
      </c>
      <c r="Y27" t="n">
        <v>528.9400000000001</v>
      </c>
      <c r="Z27">
        <f>H27*x_c_F+I27*x_c_CC+J27*x_c_DC+K27*x_c_HCC+L27*x_c_PLT+M27*x_c_SVRn+N27*x_c_SVRcc+O27*x_c_LT+P27*x_c_LT1</f>
        <v/>
      </c>
      <c r="AA27">
        <f>C27*x_c_DAA</f>
        <v/>
      </c>
      <c r="AB27">
        <f>C27*x_c_MON</f>
        <v/>
      </c>
      <c r="AC27">
        <f>D27*(1-x_testy)</f>
        <v/>
      </c>
      <c r="AD27">
        <f>E27*(1-x_testy)</f>
        <v/>
      </c>
      <c r="AE27">
        <f>F27*x_NAV</f>
        <v/>
      </c>
      <c r="AF27">
        <f>G27*x_FIX*(1-x_testy)</f>
        <v/>
      </c>
      <c r="AG27">
        <f>x_z_F*T27+(1-x_AGRI)*x_EMP*x_WLOSS*(x_PEN_K74*Q27+x_PEN_C22*R27)</f>
        <v/>
      </c>
      <c r="AH27">
        <f>x_AGRI*x_EMP*x_WLOSS*(x_PEN_K74*Q27+x_PEN_C22*R27)</f>
        <v/>
      </c>
      <c r="AI27">
        <f>x_EMP*x_WAGE*(x_WLOSS*(Q27+R27)+S27)+T27*x_ABS_D*x_WAGE/365</f>
        <v/>
      </c>
      <c r="AJ27">
        <f>AI27*x_R_FUS</f>
        <v/>
      </c>
      <c r="AK27">
        <f>AI27*x_R_NFZ</f>
        <v/>
      </c>
      <c r="AL27">
        <f>AI27*x_R_PIT</f>
        <v/>
      </c>
      <c r="AM27">
        <f>AI27*x_R_FP</f>
        <v/>
      </c>
      <c r="AN27">
        <f>Z27+AA27+AB27+AC27+AE27</f>
        <v/>
      </c>
      <c r="AO27">
        <f>AN27+AD27+AF27+AG27+AH27+AJ27+AK27+AL27+AM27</f>
        <v/>
      </c>
      <c r="AP27">
        <f>AN27+AD27+AF27+AI27</f>
        <v/>
      </c>
      <c r="AQ27">
        <f>AA27+AB27+AC27+AE27</f>
        <v/>
      </c>
      <c r="AR27">
        <f>AQ27+AD27+AF27</f>
        <v/>
      </c>
    </row>
    <row r="28">
      <c r="A28" t="n">
        <v>2051</v>
      </c>
      <c r="B28" t="n">
        <v>25</v>
      </c>
      <c r="C28" t="n">
        <v>4832</v>
      </c>
      <c r="D28" t="n">
        <v>0</v>
      </c>
      <c r="E28" t="n">
        <v>0</v>
      </c>
      <c r="F28" t="n">
        <v>0</v>
      </c>
      <c r="G28" t="n">
        <v>0</v>
      </c>
      <c r="H28" t="n">
        <v>2295.393</v>
      </c>
      <c r="I28" t="n">
        <v>150.783</v>
      </c>
      <c r="J28" t="n">
        <v>795.651</v>
      </c>
      <c r="K28" t="n">
        <v>1429.251</v>
      </c>
      <c r="L28" t="n">
        <v>844.437</v>
      </c>
      <c r="M28" t="n">
        <v>125799.222</v>
      </c>
      <c r="N28" t="n">
        <v>8021.98</v>
      </c>
      <c r="O28" t="n">
        <v>45.938</v>
      </c>
      <c r="P28" t="n">
        <v>46.642</v>
      </c>
      <c r="Q28" t="n">
        <v>692.609</v>
      </c>
      <c r="R28" t="n">
        <v>694.342</v>
      </c>
      <c r="S28" t="n">
        <v>4763.925</v>
      </c>
      <c r="T28" t="n">
        <v>2446.176</v>
      </c>
      <c r="U28" t="n">
        <v>153257.885</v>
      </c>
      <c r="V28" t="n">
        <v>133.101</v>
      </c>
      <c r="W28" t="n">
        <v>396.686</v>
      </c>
      <c r="X28" t="n">
        <v>45.938</v>
      </c>
      <c r="Y28" t="n">
        <v>513.851</v>
      </c>
      <c r="Z28">
        <f>H28*x_c_F+I28*x_c_CC+J28*x_c_DC+K28*x_c_HCC+L28*x_c_PLT+M28*x_c_SVRn+N28*x_c_SVRcc+O28*x_c_LT+P28*x_c_LT1</f>
        <v/>
      </c>
      <c r="AA28">
        <f>C28*x_c_DAA</f>
        <v/>
      </c>
      <c r="AB28">
        <f>C28*x_c_MON</f>
        <v/>
      </c>
      <c r="AC28">
        <f>D28*(1-x_testy)</f>
        <v/>
      </c>
      <c r="AD28">
        <f>E28*(1-x_testy)</f>
        <v/>
      </c>
      <c r="AE28">
        <f>F28*x_NAV</f>
        <v/>
      </c>
      <c r="AF28">
        <f>G28*x_FIX*(1-x_testy)</f>
        <v/>
      </c>
      <c r="AG28">
        <f>x_z_F*T28+(1-x_AGRI)*x_EMP*x_WLOSS*(x_PEN_K74*Q28+x_PEN_C22*R28)</f>
        <v/>
      </c>
      <c r="AH28">
        <f>x_AGRI*x_EMP*x_WLOSS*(x_PEN_K74*Q28+x_PEN_C22*R28)</f>
        <v/>
      </c>
      <c r="AI28">
        <f>x_EMP*x_WAGE*(x_WLOSS*(Q28+R28)+S28)+T28*x_ABS_D*x_WAGE/365</f>
        <v/>
      </c>
      <c r="AJ28">
        <f>AI28*x_R_FUS</f>
        <v/>
      </c>
      <c r="AK28">
        <f>AI28*x_R_NFZ</f>
        <v/>
      </c>
      <c r="AL28">
        <f>AI28*x_R_PIT</f>
        <v/>
      </c>
      <c r="AM28">
        <f>AI28*x_R_FP</f>
        <v/>
      </c>
      <c r="AN28">
        <f>Z28+AA28+AB28+AC28+AE28</f>
        <v/>
      </c>
      <c r="AO28">
        <f>AN28+AD28+AF28+AG28+AH28+AJ28+AK28+AL28+AM28</f>
        <v/>
      </c>
      <c r="AP28">
        <f>AN28+AD28+AF28+AI28</f>
        <v/>
      </c>
      <c r="AQ28">
        <f>AA28+AB28+AC28+AE28</f>
        <v/>
      </c>
      <c r="AR28">
        <f>AQ28+AD28+AF28</f>
        <v/>
      </c>
    </row>
    <row r="29">
      <c r="A29" t="n">
        <v>2052</v>
      </c>
      <c r="B29" t="n">
        <v>26</v>
      </c>
      <c r="C29" t="n">
        <v>4832</v>
      </c>
      <c r="D29" t="n">
        <v>0</v>
      </c>
      <c r="E29" t="n">
        <v>0</v>
      </c>
      <c r="F29" t="n">
        <v>0</v>
      </c>
      <c r="G29" t="n">
        <v>0</v>
      </c>
      <c r="H29" t="n">
        <v>2298.671</v>
      </c>
      <c r="I29" t="n">
        <v>147.713</v>
      </c>
      <c r="J29" t="n">
        <v>773.2</v>
      </c>
      <c r="K29" t="n">
        <v>1393.82</v>
      </c>
      <c r="L29" t="n">
        <v>815.424</v>
      </c>
      <c r="M29" t="n">
        <v>128013.157</v>
      </c>
      <c r="N29" t="n">
        <v>7883.614</v>
      </c>
      <c r="O29" t="n">
        <v>44.662</v>
      </c>
      <c r="P29" t="n">
        <v>45.3</v>
      </c>
      <c r="Q29" t="n">
        <v>707.284</v>
      </c>
      <c r="R29" t="n">
        <v>718.2380000000001</v>
      </c>
      <c r="S29" t="n">
        <v>4981.952</v>
      </c>
      <c r="T29" t="n">
        <v>2446.385</v>
      </c>
      <c r="U29" t="n">
        <v>154916.243</v>
      </c>
      <c r="V29" t="n">
        <v>130.528</v>
      </c>
      <c r="W29" t="n">
        <v>388.955</v>
      </c>
      <c r="X29" t="n">
        <v>44.662</v>
      </c>
      <c r="Y29" t="n">
        <v>500.156</v>
      </c>
      <c r="Z29">
        <f>H29*x_c_F+I29*x_c_CC+J29*x_c_DC+K29*x_c_HCC+L29*x_c_PLT+M29*x_c_SVRn+N29*x_c_SVRcc+O29*x_c_LT+P29*x_c_LT1</f>
        <v/>
      </c>
      <c r="AA29">
        <f>C29*x_c_DAA</f>
        <v/>
      </c>
      <c r="AB29">
        <f>C29*x_c_MON</f>
        <v/>
      </c>
      <c r="AC29">
        <f>D29*(1-x_testy)</f>
        <v/>
      </c>
      <c r="AD29">
        <f>E29*(1-x_testy)</f>
        <v/>
      </c>
      <c r="AE29">
        <f>F29*x_NAV</f>
        <v/>
      </c>
      <c r="AF29">
        <f>G29*x_FIX*(1-x_testy)</f>
        <v/>
      </c>
      <c r="AG29">
        <f>x_z_F*T29+(1-x_AGRI)*x_EMP*x_WLOSS*(x_PEN_K74*Q29+x_PEN_C22*R29)</f>
        <v/>
      </c>
      <c r="AH29">
        <f>x_AGRI*x_EMP*x_WLOSS*(x_PEN_K74*Q29+x_PEN_C22*R29)</f>
        <v/>
      </c>
      <c r="AI29">
        <f>x_EMP*x_WAGE*(x_WLOSS*(Q29+R29)+S29)+T29*x_ABS_D*x_WAGE/365</f>
        <v/>
      </c>
      <c r="AJ29">
        <f>AI29*x_R_FUS</f>
        <v/>
      </c>
      <c r="AK29">
        <f>AI29*x_R_NFZ</f>
        <v/>
      </c>
      <c r="AL29">
        <f>AI29*x_R_PIT</f>
        <v/>
      </c>
      <c r="AM29">
        <f>AI29*x_R_FP</f>
        <v/>
      </c>
      <c r="AN29">
        <f>Z29+AA29+AB29+AC29+AE29</f>
        <v/>
      </c>
      <c r="AO29">
        <f>AN29+AD29+AF29+AG29+AH29+AJ29+AK29+AL29+AM29</f>
        <v/>
      </c>
      <c r="AP29">
        <f>AN29+AD29+AF29+AI29</f>
        <v/>
      </c>
      <c r="AQ29">
        <f>AA29+AB29+AC29+AE29</f>
        <v/>
      </c>
      <c r="AR29">
        <f>AQ29+AD29+AF29</f>
        <v/>
      </c>
    </row>
    <row r="30">
      <c r="A30" t="n">
        <v>2053</v>
      </c>
      <c r="B30" t="n">
        <v>27</v>
      </c>
      <c r="C30" t="n">
        <v>4832</v>
      </c>
      <c r="D30" t="n">
        <v>0</v>
      </c>
      <c r="E30" t="n">
        <v>0</v>
      </c>
      <c r="F30" t="n">
        <v>0</v>
      </c>
      <c r="G30" t="n">
        <v>0</v>
      </c>
      <c r="H30" t="n">
        <v>2301.451</v>
      </c>
      <c r="I30" t="n">
        <v>145.188</v>
      </c>
      <c r="J30" t="n">
        <v>752.994</v>
      </c>
      <c r="K30" t="n">
        <v>1362.218</v>
      </c>
      <c r="L30" t="n">
        <v>787.477</v>
      </c>
      <c r="M30" t="n">
        <v>130238.507</v>
      </c>
      <c r="N30" t="n">
        <v>7747.706</v>
      </c>
      <c r="O30" t="n">
        <v>43.509</v>
      </c>
      <c r="P30" t="n">
        <v>44.085</v>
      </c>
      <c r="Q30" t="n">
        <v>722.862</v>
      </c>
      <c r="R30" t="n">
        <v>743.001</v>
      </c>
      <c r="S30" t="n">
        <v>5204.011</v>
      </c>
      <c r="T30" t="n">
        <v>2446.639</v>
      </c>
      <c r="U30" t="n">
        <v>156601.203</v>
      </c>
      <c r="V30" t="n">
        <v>128.337</v>
      </c>
      <c r="W30" t="n">
        <v>382.24</v>
      </c>
      <c r="X30" t="n">
        <v>43.509</v>
      </c>
      <c r="Y30" t="n">
        <v>487.754</v>
      </c>
      <c r="Z30">
        <f>H30*x_c_F+I30*x_c_CC+J30*x_c_DC+K30*x_c_HCC+L30*x_c_PLT+M30*x_c_SVRn+N30*x_c_SVRcc+O30*x_c_LT+P30*x_c_LT1</f>
        <v/>
      </c>
      <c r="AA30">
        <f>C30*x_c_DAA</f>
        <v/>
      </c>
      <c r="AB30">
        <f>C30*x_c_MON</f>
        <v/>
      </c>
      <c r="AC30">
        <f>D30*(1-x_testy)</f>
        <v/>
      </c>
      <c r="AD30">
        <f>E30*(1-x_testy)</f>
        <v/>
      </c>
      <c r="AE30">
        <f>F30*x_NAV</f>
        <v/>
      </c>
      <c r="AF30">
        <f>G30*x_FIX*(1-x_testy)</f>
        <v/>
      </c>
      <c r="AG30">
        <f>x_z_F*T30+(1-x_AGRI)*x_EMP*x_WLOSS*(x_PEN_K74*Q30+x_PEN_C22*R30)</f>
        <v/>
      </c>
      <c r="AH30">
        <f>x_AGRI*x_EMP*x_WLOSS*(x_PEN_K74*Q30+x_PEN_C22*R30)</f>
        <v/>
      </c>
      <c r="AI30">
        <f>x_EMP*x_WAGE*(x_WLOSS*(Q30+R30)+S30)+T30*x_ABS_D*x_WAGE/365</f>
        <v/>
      </c>
      <c r="AJ30">
        <f>AI30*x_R_FUS</f>
        <v/>
      </c>
      <c r="AK30">
        <f>AI30*x_R_NFZ</f>
        <v/>
      </c>
      <c r="AL30">
        <f>AI30*x_R_PIT</f>
        <v/>
      </c>
      <c r="AM30">
        <f>AI30*x_R_FP</f>
        <v/>
      </c>
      <c r="AN30">
        <f>Z30+AA30+AB30+AC30+AE30</f>
        <v/>
      </c>
      <c r="AO30">
        <f>AN30+AD30+AF30+AG30+AH30+AJ30+AK30+AL30+AM30</f>
        <v/>
      </c>
      <c r="AP30">
        <f>AN30+AD30+AF30+AI30</f>
        <v/>
      </c>
      <c r="AQ30">
        <f>AA30+AB30+AC30+AE30</f>
        <v/>
      </c>
      <c r="AR30">
        <f>AQ30+AD30+AF30</f>
        <v/>
      </c>
    </row>
    <row r="31">
      <c r="A31" t="n">
        <v>2054</v>
      </c>
      <c r="B31" t="n">
        <v>28</v>
      </c>
      <c r="C31" t="n">
        <v>4832</v>
      </c>
      <c r="D31" t="n">
        <v>0</v>
      </c>
      <c r="E31" t="n">
        <v>0</v>
      </c>
      <c r="F31" t="n">
        <v>0</v>
      </c>
      <c r="G31" t="n">
        <v>0</v>
      </c>
      <c r="H31" t="n">
        <v>2303.788</v>
      </c>
      <c r="I31" t="n">
        <v>143.138</v>
      </c>
      <c r="J31" t="n">
        <v>734.85</v>
      </c>
      <c r="K31" t="n">
        <v>1334.083</v>
      </c>
      <c r="L31" t="n">
        <v>760.478</v>
      </c>
      <c r="M31" t="n">
        <v>132461.56</v>
      </c>
      <c r="N31" t="n">
        <v>7613.75</v>
      </c>
      <c r="O31" t="n">
        <v>42.47</v>
      </c>
      <c r="P31" t="n">
        <v>42.989</v>
      </c>
      <c r="Q31" t="n">
        <v>739.248</v>
      </c>
      <c r="R31" t="n">
        <v>768.446</v>
      </c>
      <c r="S31" t="n">
        <v>5429.968</v>
      </c>
      <c r="T31" t="n">
        <v>2446.926</v>
      </c>
      <c r="U31" t="n">
        <v>158297.798</v>
      </c>
      <c r="V31" t="n">
        <v>126.478</v>
      </c>
      <c r="W31" t="n">
        <v>376.405</v>
      </c>
      <c r="X31" t="n">
        <v>42.47</v>
      </c>
      <c r="Y31" t="n">
        <v>476.529</v>
      </c>
      <c r="Z31">
        <f>H31*x_c_F+I31*x_c_CC+J31*x_c_DC+K31*x_c_HCC+L31*x_c_PLT+M31*x_c_SVRn+N31*x_c_SVRcc+O31*x_c_LT+P31*x_c_LT1</f>
        <v/>
      </c>
      <c r="AA31">
        <f>C31*x_c_DAA</f>
        <v/>
      </c>
      <c r="AB31">
        <f>C31*x_c_MON</f>
        <v/>
      </c>
      <c r="AC31">
        <f>D31*(1-x_testy)</f>
        <v/>
      </c>
      <c r="AD31">
        <f>E31*(1-x_testy)</f>
        <v/>
      </c>
      <c r="AE31">
        <f>F31*x_NAV</f>
        <v/>
      </c>
      <c r="AF31">
        <f>G31*x_FIX*(1-x_testy)</f>
        <v/>
      </c>
      <c r="AG31">
        <f>x_z_F*T31+(1-x_AGRI)*x_EMP*x_WLOSS*(x_PEN_K74*Q31+x_PEN_C22*R31)</f>
        <v/>
      </c>
      <c r="AH31">
        <f>x_AGRI*x_EMP*x_WLOSS*(x_PEN_K74*Q31+x_PEN_C22*R31)</f>
        <v/>
      </c>
      <c r="AI31">
        <f>x_EMP*x_WAGE*(x_WLOSS*(Q31+R31)+S31)+T31*x_ABS_D*x_WAGE/365</f>
        <v/>
      </c>
      <c r="AJ31">
        <f>AI31*x_R_FUS</f>
        <v/>
      </c>
      <c r="AK31">
        <f>AI31*x_R_NFZ</f>
        <v/>
      </c>
      <c r="AL31">
        <f>AI31*x_R_PIT</f>
        <v/>
      </c>
      <c r="AM31">
        <f>AI31*x_R_FP</f>
        <v/>
      </c>
      <c r="AN31">
        <f>Z31+AA31+AB31+AC31+AE31</f>
        <v/>
      </c>
      <c r="AO31">
        <f>AN31+AD31+AF31+AG31+AH31+AJ31+AK31+AL31+AM31</f>
        <v/>
      </c>
      <c r="AP31">
        <f>AN31+AD31+AF31+AI31</f>
        <v/>
      </c>
      <c r="AQ31">
        <f>AA31+AB31+AC31+AE31</f>
        <v/>
      </c>
      <c r="AR31">
        <f>AQ31+AD31+AF31</f>
        <v/>
      </c>
    </row>
    <row r="32">
      <c r="A32" t="n">
        <v>2055</v>
      </c>
      <c r="B32" t="n">
        <v>29</v>
      </c>
      <c r="C32" t="n">
        <v>4832</v>
      </c>
      <c r="D32" t="n">
        <v>0</v>
      </c>
      <c r="E32" t="n">
        <v>0</v>
      </c>
      <c r="F32" t="n">
        <v>0</v>
      </c>
      <c r="G32" t="n">
        <v>0</v>
      </c>
      <c r="H32" t="n">
        <v>2305.732</v>
      </c>
      <c r="I32" t="n">
        <v>141.505</v>
      </c>
      <c r="J32" t="n">
        <v>718.579</v>
      </c>
      <c r="K32" t="n">
        <v>1309.039</v>
      </c>
      <c r="L32" t="n">
        <v>734.284</v>
      </c>
      <c r="M32" t="n">
        <v>134667.135</v>
      </c>
      <c r="N32" t="n">
        <v>7480.979</v>
      </c>
      <c r="O32" t="n">
        <v>41.534</v>
      </c>
      <c r="P32" t="n">
        <v>42.002</v>
      </c>
      <c r="Q32" t="n">
        <v>756.34</v>
      </c>
      <c r="R32" t="n">
        <v>794.386</v>
      </c>
      <c r="S32" t="n">
        <v>5659.631</v>
      </c>
      <c r="T32" t="n">
        <v>2447.237</v>
      </c>
      <c r="U32" t="n">
        <v>159990.655</v>
      </c>
      <c r="V32" t="n">
        <v>124.903</v>
      </c>
      <c r="W32" t="n">
        <v>371.327</v>
      </c>
      <c r="X32" t="n">
        <v>41.534</v>
      </c>
      <c r="Y32" t="n">
        <v>466.36</v>
      </c>
      <c r="Z32">
        <f>H32*x_c_F+I32*x_c_CC+J32*x_c_DC+K32*x_c_HCC+L32*x_c_PLT+M32*x_c_SVRn+N32*x_c_SVRcc+O32*x_c_LT+P32*x_c_LT1</f>
        <v/>
      </c>
      <c r="AA32">
        <f>C32*x_c_DAA</f>
        <v/>
      </c>
      <c r="AB32">
        <f>C32*x_c_MON</f>
        <v/>
      </c>
      <c r="AC32">
        <f>D32*(1-x_testy)</f>
        <v/>
      </c>
      <c r="AD32">
        <f>E32*(1-x_testy)</f>
        <v/>
      </c>
      <c r="AE32">
        <f>F32*x_NAV</f>
        <v/>
      </c>
      <c r="AF32">
        <f>G32*x_FIX*(1-x_testy)</f>
        <v/>
      </c>
      <c r="AG32">
        <f>x_z_F*T32+(1-x_AGRI)*x_EMP*x_WLOSS*(x_PEN_K74*Q32+x_PEN_C22*R32)</f>
        <v/>
      </c>
      <c r="AH32">
        <f>x_AGRI*x_EMP*x_WLOSS*(x_PEN_K74*Q32+x_PEN_C22*R32)</f>
        <v/>
      </c>
      <c r="AI32">
        <f>x_EMP*x_WAGE*(x_WLOSS*(Q32+R32)+S32)+T32*x_ABS_D*x_WAGE/365</f>
        <v/>
      </c>
      <c r="AJ32">
        <f>AI32*x_R_FUS</f>
        <v/>
      </c>
      <c r="AK32">
        <f>AI32*x_R_NFZ</f>
        <v/>
      </c>
      <c r="AL32">
        <f>AI32*x_R_PIT</f>
        <v/>
      </c>
      <c r="AM32">
        <f>AI32*x_R_FP</f>
        <v/>
      </c>
      <c r="AN32">
        <f>Z32+AA32+AB32+AC32+AE32</f>
        <v/>
      </c>
      <c r="AO32">
        <f>AN32+AD32+AF32+AG32+AH32+AJ32+AK32+AL32+AM32</f>
        <v/>
      </c>
      <c r="AP32">
        <f>AN32+AD32+AF32+AI32</f>
        <v/>
      </c>
      <c r="AQ32">
        <f>AA32+AB32+AC32+AE32</f>
        <v/>
      </c>
      <c r="AR32">
        <f>AQ32+AD32+AF32</f>
        <v/>
      </c>
    </row>
    <row r="33">
      <c r="A33" t="n">
        <v>2056</v>
      </c>
      <c r="B33" t="n">
        <v>30</v>
      </c>
      <c r="C33" t="n">
        <v>4832</v>
      </c>
      <c r="D33" t="n">
        <v>0</v>
      </c>
      <c r="E33" t="n">
        <v>0</v>
      </c>
      <c r="F33" t="n">
        <v>0</v>
      </c>
      <c r="G33" t="n">
        <v>0</v>
      </c>
      <c r="H33" t="n">
        <v>2307.33</v>
      </c>
      <c r="I33" t="n">
        <v>140.233</v>
      </c>
      <c r="J33" t="n">
        <v>703.977</v>
      </c>
      <c r="K33" t="n">
        <v>1286.698</v>
      </c>
      <c r="L33" t="n">
        <v>708.72</v>
      </c>
      <c r="M33" t="n">
        <v>136837.356</v>
      </c>
      <c r="N33" t="n">
        <v>7348.253</v>
      </c>
      <c r="O33" t="n">
        <v>40.689</v>
      </c>
      <c r="P33" t="n">
        <v>41.111</v>
      </c>
      <c r="Q33" t="n">
        <v>774.02</v>
      </c>
      <c r="R33" t="n">
        <v>820.621</v>
      </c>
      <c r="S33" t="n">
        <v>5892.631</v>
      </c>
      <c r="T33" t="n">
        <v>2447.563</v>
      </c>
      <c r="U33" t="n">
        <v>161662.673</v>
      </c>
      <c r="V33" t="n">
        <v>123.57</v>
      </c>
      <c r="W33" t="n">
        <v>366.883</v>
      </c>
      <c r="X33" t="n">
        <v>40.689</v>
      </c>
      <c r="Y33" t="n">
        <v>457.105</v>
      </c>
      <c r="Z33">
        <f>H33*x_c_F+I33*x_c_CC+J33*x_c_DC+K33*x_c_HCC+L33*x_c_PLT+M33*x_c_SVRn+N33*x_c_SVRcc+O33*x_c_LT+P33*x_c_LT1</f>
        <v/>
      </c>
      <c r="AA33">
        <f>C33*x_c_DAA</f>
        <v/>
      </c>
      <c r="AB33">
        <f>C33*x_c_MON</f>
        <v/>
      </c>
      <c r="AC33">
        <f>D33*(1-x_testy)</f>
        <v/>
      </c>
      <c r="AD33">
        <f>E33*(1-x_testy)</f>
        <v/>
      </c>
      <c r="AE33">
        <f>F33*x_NAV</f>
        <v/>
      </c>
      <c r="AF33">
        <f>G33*x_FIX*(1-x_testy)</f>
        <v/>
      </c>
      <c r="AG33">
        <f>x_z_F*T33+(1-x_AGRI)*x_EMP*x_WLOSS*(x_PEN_K74*Q33+x_PEN_C22*R33)</f>
        <v/>
      </c>
      <c r="AH33">
        <f>x_AGRI*x_EMP*x_WLOSS*(x_PEN_K74*Q33+x_PEN_C22*R33)</f>
        <v/>
      </c>
      <c r="AI33">
        <f>x_EMP*x_WAGE*(x_WLOSS*(Q33+R33)+S33)+T33*x_ABS_D*x_WAGE/365</f>
        <v/>
      </c>
      <c r="AJ33">
        <f>AI33*x_R_FUS</f>
        <v/>
      </c>
      <c r="AK33">
        <f>AI33*x_R_NFZ</f>
        <v/>
      </c>
      <c r="AL33">
        <f>AI33*x_R_PIT</f>
        <v/>
      </c>
      <c r="AM33">
        <f>AI33*x_R_FP</f>
        <v/>
      </c>
      <c r="AN33">
        <f>Z33+AA33+AB33+AC33+AE33</f>
        <v/>
      </c>
      <c r="AO33">
        <f>AN33+AD33+AF33+AG33+AH33+AJ33+AK33+AL33+AM33</f>
        <v/>
      </c>
      <c r="AP33">
        <f>AN33+AD33+AF33+AI33</f>
        <v/>
      </c>
      <c r="AQ33">
        <f>AA33+AB33+AC33+AE33</f>
        <v/>
      </c>
      <c r="AR33">
        <f>AQ33+AD33+AF33</f>
        <v/>
      </c>
    </row>
    <row r="34">
      <c r="A34" t="n">
        <v>2057</v>
      </c>
      <c r="B34" t="n">
        <v>31</v>
      </c>
      <c r="C34" t="n">
        <v>4832</v>
      </c>
      <c r="D34" t="n">
        <v>0</v>
      </c>
      <c r="E34" t="n">
        <v>0</v>
      </c>
      <c r="F34" t="n">
        <v>0</v>
      </c>
      <c r="G34" t="n">
        <v>0</v>
      </c>
      <c r="H34" t="n">
        <v>2308.626</v>
      </c>
      <c r="I34" t="n">
        <v>139.272</v>
      </c>
      <c r="J34" t="n">
        <v>690.066</v>
      </c>
      <c r="K34" t="n">
        <v>1265.338</v>
      </c>
      <c r="L34" t="n">
        <v>681.7</v>
      </c>
      <c r="M34" t="n">
        <v>138822.083</v>
      </c>
      <c r="N34" t="n">
        <v>7199.17</v>
      </c>
      <c r="O34" t="n">
        <v>39.826</v>
      </c>
      <c r="P34" t="n">
        <v>40.257</v>
      </c>
      <c r="Q34" t="n">
        <v>792.158</v>
      </c>
      <c r="R34" t="n">
        <v>846.956</v>
      </c>
      <c r="S34" t="n">
        <v>6128.461</v>
      </c>
      <c r="T34" t="n">
        <v>2447.898</v>
      </c>
      <c r="U34" t="n">
        <v>163183.413</v>
      </c>
      <c r="V34" t="n">
        <v>122.282</v>
      </c>
      <c r="W34" t="n">
        <v>362.355</v>
      </c>
      <c r="X34" t="n">
        <v>39.826</v>
      </c>
      <c r="Y34" t="n">
        <v>447.481</v>
      </c>
      <c r="Z34">
        <f>H34*x_c_F+I34*x_c_CC+J34*x_c_DC+K34*x_c_HCC+L34*x_c_PLT+M34*x_c_SVRn+N34*x_c_SVRcc+O34*x_c_LT+P34*x_c_LT1</f>
        <v/>
      </c>
      <c r="AA34">
        <f>C34*x_c_DAA</f>
        <v/>
      </c>
      <c r="AB34">
        <f>C34*x_c_MON</f>
        <v/>
      </c>
      <c r="AC34">
        <f>D34*(1-x_testy)</f>
        <v/>
      </c>
      <c r="AD34">
        <f>E34*(1-x_testy)</f>
        <v/>
      </c>
      <c r="AE34">
        <f>F34*x_NAV</f>
        <v/>
      </c>
      <c r="AF34">
        <f>G34*x_FIX*(1-x_testy)</f>
        <v/>
      </c>
      <c r="AG34">
        <f>x_z_F*T34+(1-x_AGRI)*x_EMP*x_WLOSS*(x_PEN_K74*Q34+x_PEN_C22*R34)</f>
        <v/>
      </c>
      <c r="AH34">
        <f>x_AGRI*x_EMP*x_WLOSS*(x_PEN_K74*Q34+x_PEN_C22*R34)</f>
        <v/>
      </c>
      <c r="AI34">
        <f>x_EMP*x_WAGE*(x_WLOSS*(Q34+R34)+S34)+T34*x_ABS_D*x_WAGE/365</f>
        <v/>
      </c>
      <c r="AJ34">
        <f>AI34*x_R_FUS</f>
        <v/>
      </c>
      <c r="AK34">
        <f>AI34*x_R_NFZ</f>
        <v/>
      </c>
      <c r="AL34">
        <f>AI34*x_R_PIT</f>
        <v/>
      </c>
      <c r="AM34">
        <f>AI34*x_R_FP</f>
        <v/>
      </c>
      <c r="AN34">
        <f>Z34+AA34+AB34+AC34+AE34</f>
        <v/>
      </c>
      <c r="AO34">
        <f>AN34+AD34+AF34+AG34+AH34+AJ34+AK34+AL34+AM34</f>
        <v/>
      </c>
      <c r="AP34">
        <f>AN34+AD34+AF34+AI34</f>
        <v/>
      </c>
      <c r="AQ34">
        <f>AA34+AB34+AC34+AE34</f>
        <v/>
      </c>
      <c r="AR34">
        <f>AQ34+AD34+AF34</f>
        <v/>
      </c>
    </row>
    <row r="35">
      <c r="A35" t="n">
        <v>2058</v>
      </c>
      <c r="B35" t="n">
        <v>32</v>
      </c>
      <c r="C35" t="n">
        <v>4832</v>
      </c>
      <c r="D35" t="n">
        <v>0</v>
      </c>
      <c r="E35" t="n">
        <v>0</v>
      </c>
      <c r="F35" t="n">
        <v>0</v>
      </c>
      <c r="G35" t="n">
        <v>0</v>
      </c>
      <c r="H35" t="n">
        <v>2309.645</v>
      </c>
      <c r="I35" t="n">
        <v>138.594</v>
      </c>
      <c r="J35" t="n">
        <v>677.784</v>
      </c>
      <c r="K35" t="n">
        <v>1246.531</v>
      </c>
      <c r="L35" t="n">
        <v>655.675</v>
      </c>
      <c r="M35" t="n">
        <v>140781.103</v>
      </c>
      <c r="N35" t="n">
        <v>7053.362</v>
      </c>
      <c r="O35" t="n">
        <v>39.173</v>
      </c>
      <c r="P35" t="n">
        <v>39.5</v>
      </c>
      <c r="Q35" t="n">
        <v>810.619</v>
      </c>
      <c r="R35" t="n">
        <v>873.194</v>
      </c>
      <c r="S35" t="n">
        <v>6366.477</v>
      </c>
      <c r="T35" t="n">
        <v>2448.239</v>
      </c>
      <c r="U35" t="n">
        <v>164690.285</v>
      </c>
      <c r="V35" t="n">
        <v>121.393</v>
      </c>
      <c r="W35" t="n">
        <v>359.133</v>
      </c>
      <c r="X35" t="n">
        <v>39.173</v>
      </c>
      <c r="Y35" t="n">
        <v>440.184</v>
      </c>
      <c r="Z35">
        <f>H35*x_c_F+I35*x_c_CC+J35*x_c_DC+K35*x_c_HCC+L35*x_c_PLT+M35*x_c_SVRn+N35*x_c_SVRcc+O35*x_c_LT+P35*x_c_LT1</f>
        <v/>
      </c>
      <c r="AA35">
        <f>C35*x_c_DAA</f>
        <v/>
      </c>
      <c r="AB35">
        <f>C35*x_c_MON</f>
        <v/>
      </c>
      <c r="AC35">
        <f>D35*(1-x_testy)</f>
        <v/>
      </c>
      <c r="AD35">
        <f>E35*(1-x_testy)</f>
        <v/>
      </c>
      <c r="AE35">
        <f>F35*x_NAV</f>
        <v/>
      </c>
      <c r="AF35">
        <f>G35*x_FIX*(1-x_testy)</f>
        <v/>
      </c>
      <c r="AG35">
        <f>x_z_F*T35+(1-x_AGRI)*x_EMP*x_WLOSS*(x_PEN_K74*Q35+x_PEN_C22*R35)</f>
        <v/>
      </c>
      <c r="AH35">
        <f>x_AGRI*x_EMP*x_WLOSS*(x_PEN_K74*Q35+x_PEN_C22*R35)</f>
        <v/>
      </c>
      <c r="AI35">
        <f>x_EMP*x_WAGE*(x_WLOSS*(Q35+R35)+S35)+T35*x_ABS_D*x_WAGE/365</f>
        <v/>
      </c>
      <c r="AJ35">
        <f>AI35*x_R_FUS</f>
        <v/>
      </c>
      <c r="AK35">
        <f>AI35*x_R_NFZ</f>
        <v/>
      </c>
      <c r="AL35">
        <f>AI35*x_R_PIT</f>
        <v/>
      </c>
      <c r="AM35">
        <f>AI35*x_R_FP</f>
        <v/>
      </c>
      <c r="AN35">
        <f>Z35+AA35+AB35+AC35+AE35</f>
        <v/>
      </c>
      <c r="AO35">
        <f>AN35+AD35+AF35+AG35+AH35+AJ35+AK35+AL35+AM35</f>
        <v/>
      </c>
      <c r="AP35">
        <f>AN35+AD35+AF35+AI35</f>
        <v/>
      </c>
      <c r="AQ35">
        <f>AA35+AB35+AC35+AE35</f>
        <v/>
      </c>
      <c r="AR35">
        <f>AQ35+AD35+AF35</f>
        <v/>
      </c>
    </row>
    <row r="36">
      <c r="A36" t="n">
        <v>2059</v>
      </c>
      <c r="B36" t="n">
        <v>33</v>
      </c>
      <c r="C36" t="n">
        <v>4832</v>
      </c>
      <c r="D36" t="n">
        <v>0</v>
      </c>
      <c r="E36" t="n">
        <v>0</v>
      </c>
      <c r="F36" t="n">
        <v>0</v>
      </c>
      <c r="G36" t="n">
        <v>0</v>
      </c>
      <c r="H36" t="n">
        <v>2310.414</v>
      </c>
      <c r="I36" t="n">
        <v>138.171</v>
      </c>
      <c r="J36" t="n">
        <v>667.665</v>
      </c>
      <c r="K36" t="n">
        <v>1231.171</v>
      </c>
      <c r="L36" t="n">
        <v>632.186</v>
      </c>
      <c r="M36" t="n">
        <v>142813.988</v>
      </c>
      <c r="N36" t="n">
        <v>6923.23</v>
      </c>
      <c r="O36" t="n">
        <v>38.571</v>
      </c>
      <c r="P36" t="n">
        <v>38.872</v>
      </c>
      <c r="Q36" t="n">
        <v>616.056</v>
      </c>
      <c r="R36" t="n">
        <v>745.7329999999999</v>
      </c>
      <c r="S36" t="n">
        <v>4019.7</v>
      </c>
      <c r="T36" t="n">
        <v>2448.585</v>
      </c>
      <c r="U36" t="n">
        <v>166268.783</v>
      </c>
      <c r="V36" t="n">
        <v>120.633</v>
      </c>
      <c r="W36" t="n">
        <v>356.212</v>
      </c>
      <c r="X36" t="n">
        <v>38.571</v>
      </c>
      <c r="Y36" t="n">
        <v>433.332</v>
      </c>
      <c r="Z36">
        <f>H36*x_c_F+I36*x_c_CC+J36*x_c_DC+K36*x_c_HCC+L36*x_c_PLT+M36*x_c_SVRn+N36*x_c_SVRcc+O36*x_c_LT+P36*x_c_LT1</f>
        <v/>
      </c>
      <c r="AA36">
        <f>C36*x_c_DAA</f>
        <v/>
      </c>
      <c r="AB36">
        <f>C36*x_c_MON</f>
        <v/>
      </c>
      <c r="AC36">
        <f>D36*(1-x_testy)</f>
        <v/>
      </c>
      <c r="AD36">
        <f>E36*(1-x_testy)</f>
        <v/>
      </c>
      <c r="AE36">
        <f>F36*x_NAV</f>
        <v/>
      </c>
      <c r="AF36">
        <f>G36*x_FIX*(1-x_testy)</f>
        <v/>
      </c>
      <c r="AG36">
        <f>x_z_F*T36+(1-x_AGRI)*x_EMP*x_WLOSS*(x_PEN_K74*Q36+x_PEN_C22*R36)</f>
        <v/>
      </c>
      <c r="AH36">
        <f>x_AGRI*x_EMP*x_WLOSS*(x_PEN_K74*Q36+x_PEN_C22*R36)</f>
        <v/>
      </c>
      <c r="AI36">
        <f>x_EMP*x_WAGE*(x_WLOSS*(Q36+R36)+S36)+T36*x_ABS_D*x_WAGE/365</f>
        <v/>
      </c>
      <c r="AJ36">
        <f>AI36*x_R_FUS</f>
        <v/>
      </c>
      <c r="AK36">
        <f>AI36*x_R_NFZ</f>
        <v/>
      </c>
      <c r="AL36">
        <f>AI36*x_R_PIT</f>
        <v/>
      </c>
      <c r="AM36">
        <f>AI36*x_R_FP</f>
        <v/>
      </c>
      <c r="AN36">
        <f>Z36+AA36+AB36+AC36+AE36</f>
        <v/>
      </c>
      <c r="AO36">
        <f>AN36+AD36+AF36+AG36+AH36+AJ36+AK36+AL36+AM36</f>
        <v/>
      </c>
      <c r="AP36">
        <f>AN36+AD36+AF36+AI36</f>
        <v/>
      </c>
      <c r="AQ36">
        <f>AA36+AB36+AC36+AE36</f>
        <v/>
      </c>
      <c r="AR36">
        <f>AQ36+AD36+AF36</f>
        <v/>
      </c>
    </row>
    <row r="37">
      <c r="A37" t="n">
        <v>2060</v>
      </c>
      <c r="B37" t="n">
        <v>34</v>
      </c>
      <c r="C37" t="n">
        <v>4832</v>
      </c>
      <c r="D37" t="n">
        <v>0</v>
      </c>
      <c r="E37" t="n">
        <v>0</v>
      </c>
      <c r="F37" t="n">
        <v>0</v>
      </c>
      <c r="G37" t="n">
        <v>0</v>
      </c>
      <c r="H37" t="n">
        <v>2310.963</v>
      </c>
      <c r="I37" t="n">
        <v>137.968</v>
      </c>
      <c r="J37" t="n">
        <v>658.433</v>
      </c>
      <c r="K37" t="n">
        <v>1217.058</v>
      </c>
      <c r="L37" t="n">
        <v>608.4</v>
      </c>
      <c r="M37" t="n">
        <v>144719.164</v>
      </c>
      <c r="N37" t="n">
        <v>6786.399</v>
      </c>
      <c r="O37" t="n">
        <v>38.019</v>
      </c>
      <c r="P37" t="n">
        <v>38.295</v>
      </c>
      <c r="Q37" t="n">
        <v>416.034</v>
      </c>
      <c r="R37" t="n">
        <v>610.165</v>
      </c>
      <c r="S37" t="n">
        <v>1571.634</v>
      </c>
      <c r="T37" t="n">
        <v>2448.931</v>
      </c>
      <c r="U37" t="n">
        <v>167745.308</v>
      </c>
      <c r="V37" t="n">
        <v>119.995</v>
      </c>
      <c r="W37" t="n">
        <v>353.577</v>
      </c>
      <c r="X37" t="n">
        <v>38.019</v>
      </c>
      <c r="Y37" t="n">
        <v>426.94</v>
      </c>
      <c r="Z37">
        <f>H37*x_c_F+I37*x_c_CC+J37*x_c_DC+K37*x_c_HCC+L37*x_c_PLT+M37*x_c_SVRn+N37*x_c_SVRcc+O37*x_c_LT+P37*x_c_LT1</f>
        <v/>
      </c>
      <c r="AA37">
        <f>C37*x_c_DAA</f>
        <v/>
      </c>
      <c r="AB37">
        <f>C37*x_c_MON</f>
        <v/>
      </c>
      <c r="AC37">
        <f>D37*(1-x_testy)</f>
        <v/>
      </c>
      <c r="AD37">
        <f>E37*(1-x_testy)</f>
        <v/>
      </c>
      <c r="AE37">
        <f>F37*x_NAV</f>
        <v/>
      </c>
      <c r="AF37">
        <f>G37*x_FIX*(1-x_testy)</f>
        <v/>
      </c>
      <c r="AG37">
        <f>x_z_F*T37+(1-x_AGRI)*x_EMP*x_WLOSS*(x_PEN_K74*Q37+x_PEN_C22*R37)</f>
        <v/>
      </c>
      <c r="AH37">
        <f>x_AGRI*x_EMP*x_WLOSS*(x_PEN_K74*Q37+x_PEN_C22*R37)</f>
        <v/>
      </c>
      <c r="AI37">
        <f>x_EMP*x_WAGE*(x_WLOSS*(Q37+R37)+S37)+T37*x_ABS_D*x_WAGE/365</f>
        <v/>
      </c>
      <c r="AJ37">
        <f>AI37*x_R_FUS</f>
        <v/>
      </c>
      <c r="AK37">
        <f>AI37*x_R_NFZ</f>
        <v/>
      </c>
      <c r="AL37">
        <f>AI37*x_R_PIT</f>
        <v/>
      </c>
      <c r="AM37">
        <f>AI37*x_R_FP</f>
        <v/>
      </c>
      <c r="AN37">
        <f>Z37+AA37+AB37+AC37+AE37</f>
        <v/>
      </c>
      <c r="AO37">
        <f>AN37+AD37+AF37+AG37+AH37+AJ37+AK37+AL37+AM37</f>
        <v/>
      </c>
      <c r="AP37">
        <f>AN37+AD37+AF37+AI37</f>
        <v/>
      </c>
      <c r="AQ37">
        <f>AA37+AB37+AC37+AE37</f>
        <v/>
      </c>
      <c r="AR37">
        <f>AQ37+AD37+AF37</f>
        <v/>
      </c>
    </row>
    <row r="38">
      <c r="A38" t="n">
        <v>2061</v>
      </c>
      <c r="B38" t="n">
        <v>35</v>
      </c>
      <c r="C38" t="n">
        <v>4832</v>
      </c>
      <c r="D38" t="n">
        <v>0</v>
      </c>
      <c r="E38" t="n">
        <v>0</v>
      </c>
      <c r="F38" t="n">
        <v>0</v>
      </c>
      <c r="G38" t="n">
        <v>0</v>
      </c>
      <c r="H38" t="n">
        <v>2311.308</v>
      </c>
      <c r="I38" t="n">
        <v>137.97</v>
      </c>
      <c r="J38" t="n">
        <v>650.134</v>
      </c>
      <c r="K38" t="n">
        <v>1204.249</v>
      </c>
      <c r="L38" t="n">
        <v>584.509</v>
      </c>
      <c r="M38" t="n">
        <v>146499.471</v>
      </c>
      <c r="N38" t="n">
        <v>6644.578</v>
      </c>
      <c r="O38" t="n">
        <v>37.524</v>
      </c>
      <c r="P38" t="n">
        <v>37.772</v>
      </c>
      <c r="Q38" t="n">
        <v>423.715</v>
      </c>
      <c r="R38" t="n">
        <v>620.015</v>
      </c>
      <c r="S38" t="n">
        <v>1608.868</v>
      </c>
      <c r="T38" t="n">
        <v>2449.278</v>
      </c>
      <c r="U38" t="n">
        <v>169123.357</v>
      </c>
      <c r="V38" t="n">
        <v>119.479</v>
      </c>
      <c r="W38" t="n">
        <v>351.25</v>
      </c>
      <c r="X38" t="n">
        <v>37.524</v>
      </c>
      <c r="Y38" t="n">
        <v>421.065</v>
      </c>
      <c r="Z38">
        <f>H38*x_c_F+I38*x_c_CC+J38*x_c_DC+K38*x_c_HCC+L38*x_c_PLT+M38*x_c_SVRn+N38*x_c_SVRcc+O38*x_c_LT+P38*x_c_LT1</f>
        <v/>
      </c>
      <c r="AA38">
        <f>C38*x_c_DAA</f>
        <v/>
      </c>
      <c r="AB38">
        <f>C38*x_c_MON</f>
        <v/>
      </c>
      <c r="AC38">
        <f>D38*(1-x_testy)</f>
        <v/>
      </c>
      <c r="AD38">
        <f>E38*(1-x_testy)</f>
        <v/>
      </c>
      <c r="AE38">
        <f>F38*x_NAV</f>
        <v/>
      </c>
      <c r="AF38">
        <f>G38*x_FIX*(1-x_testy)</f>
        <v/>
      </c>
      <c r="AG38">
        <f>x_z_F*T38+(1-x_AGRI)*x_EMP*x_WLOSS*(x_PEN_K74*Q38+x_PEN_C22*R38)</f>
        <v/>
      </c>
      <c r="AH38">
        <f>x_AGRI*x_EMP*x_WLOSS*(x_PEN_K74*Q38+x_PEN_C22*R38)</f>
        <v/>
      </c>
      <c r="AI38">
        <f>x_EMP*x_WAGE*(x_WLOSS*(Q38+R38)+S38)+T38*x_ABS_D*x_WAGE/365</f>
        <v/>
      </c>
      <c r="AJ38">
        <f>AI38*x_R_FUS</f>
        <v/>
      </c>
      <c r="AK38">
        <f>AI38*x_R_NFZ</f>
        <v/>
      </c>
      <c r="AL38">
        <f>AI38*x_R_PIT</f>
        <v/>
      </c>
      <c r="AM38">
        <f>AI38*x_R_FP</f>
        <v/>
      </c>
      <c r="AN38">
        <f>Z38+AA38+AB38+AC38+AE38</f>
        <v/>
      </c>
      <c r="AO38">
        <f>AN38+AD38+AF38+AG38+AH38+AJ38+AK38+AL38+AM38</f>
        <v/>
      </c>
      <c r="AP38">
        <f>AN38+AD38+AF38+AI38</f>
        <v/>
      </c>
      <c r="AQ38">
        <f>AA38+AB38+AC38+AE38</f>
        <v/>
      </c>
      <c r="AR38">
        <f>AQ38+AD38+AF38</f>
        <v/>
      </c>
    </row>
    <row r="39">
      <c r="A39" t="n">
        <v>2062</v>
      </c>
      <c r="B39" t="n">
        <v>36</v>
      </c>
      <c r="C39" t="n">
        <v>4832</v>
      </c>
      <c r="D39" t="n">
        <v>0</v>
      </c>
      <c r="E39" t="n">
        <v>0</v>
      </c>
      <c r="F39" t="n">
        <v>0</v>
      </c>
      <c r="G39" t="n">
        <v>0</v>
      </c>
      <c r="H39" t="n">
        <v>2311.465</v>
      </c>
      <c r="I39" t="n">
        <v>138.162</v>
      </c>
      <c r="J39" t="n">
        <v>642.852</v>
      </c>
      <c r="K39" t="n">
        <v>1192.874</v>
      </c>
      <c r="L39" t="n">
        <v>560.797</v>
      </c>
      <c r="M39" t="n">
        <v>148165.401</v>
      </c>
      <c r="N39" t="n">
        <v>6500.34</v>
      </c>
      <c r="O39" t="n">
        <v>37.092</v>
      </c>
      <c r="P39" t="n">
        <v>37.308</v>
      </c>
      <c r="Q39" t="n">
        <v>431.149</v>
      </c>
      <c r="R39" t="n">
        <v>629.4</v>
      </c>
      <c r="S39" t="n">
        <v>1646.178</v>
      </c>
      <c r="T39" t="n">
        <v>2449.627</v>
      </c>
      <c r="U39" t="n">
        <v>170413.181</v>
      </c>
      <c r="V39" t="n">
        <v>119.093</v>
      </c>
      <c r="W39" t="n">
        <v>349.263</v>
      </c>
      <c r="X39" t="n">
        <v>37.092</v>
      </c>
      <c r="Y39" t="n">
        <v>415.779</v>
      </c>
      <c r="Z39">
        <f>H39*x_c_F+I39*x_c_CC+J39*x_c_DC+K39*x_c_HCC+L39*x_c_PLT+M39*x_c_SVRn+N39*x_c_SVRcc+O39*x_c_LT+P39*x_c_LT1</f>
        <v/>
      </c>
      <c r="AA39">
        <f>C39*x_c_DAA</f>
        <v/>
      </c>
      <c r="AB39">
        <f>C39*x_c_MON</f>
        <v/>
      </c>
      <c r="AC39">
        <f>D39*(1-x_testy)</f>
        <v/>
      </c>
      <c r="AD39">
        <f>E39*(1-x_testy)</f>
        <v/>
      </c>
      <c r="AE39">
        <f>F39*x_NAV</f>
        <v/>
      </c>
      <c r="AF39">
        <f>G39*x_FIX*(1-x_testy)</f>
        <v/>
      </c>
      <c r="AG39">
        <f>x_z_F*T39+(1-x_AGRI)*x_EMP*x_WLOSS*(x_PEN_K74*Q39+x_PEN_C22*R39)</f>
        <v/>
      </c>
      <c r="AH39">
        <f>x_AGRI*x_EMP*x_WLOSS*(x_PEN_K74*Q39+x_PEN_C22*R39)</f>
        <v/>
      </c>
      <c r="AI39">
        <f>x_EMP*x_WAGE*(x_WLOSS*(Q39+R39)+S39)+T39*x_ABS_D*x_WAGE/365</f>
        <v/>
      </c>
      <c r="AJ39">
        <f>AI39*x_R_FUS</f>
        <v/>
      </c>
      <c r="AK39">
        <f>AI39*x_R_NFZ</f>
        <v/>
      </c>
      <c r="AL39">
        <f>AI39*x_R_PIT</f>
        <v/>
      </c>
      <c r="AM39">
        <f>AI39*x_R_FP</f>
        <v/>
      </c>
      <c r="AN39">
        <f>Z39+AA39+AB39+AC39+AE39</f>
        <v/>
      </c>
      <c r="AO39">
        <f>AN39+AD39+AF39+AG39+AH39+AJ39+AK39+AL39+AM39</f>
        <v/>
      </c>
      <c r="AP39">
        <f>AN39+AD39+AF39+AI39</f>
        <v/>
      </c>
      <c r="AQ39">
        <f>AA39+AB39+AC39+AE39</f>
        <v/>
      </c>
      <c r="AR39">
        <f>AQ39+AD39+AF39</f>
        <v/>
      </c>
    </row>
    <row r="40">
      <c r="A40" t="n">
        <v>2063</v>
      </c>
      <c r="B40" t="n">
        <v>37</v>
      </c>
      <c r="C40" t="n">
        <v>4832</v>
      </c>
      <c r="D40" t="n">
        <v>0</v>
      </c>
      <c r="E40" t="n">
        <v>0</v>
      </c>
      <c r="F40" t="n">
        <v>0</v>
      </c>
      <c r="G40" t="n">
        <v>0</v>
      </c>
      <c r="H40" t="n">
        <v>2311.446</v>
      </c>
      <c r="I40" t="n">
        <v>138.531</v>
      </c>
      <c r="J40" t="n">
        <v>636.6900000000001</v>
      </c>
      <c r="K40" t="n">
        <v>1183.118</v>
      </c>
      <c r="L40" t="n">
        <v>537.634</v>
      </c>
      <c r="M40" t="n">
        <v>149735.03</v>
      </c>
      <c r="N40" t="n">
        <v>6357.007</v>
      </c>
      <c r="O40" t="n">
        <v>36.729</v>
      </c>
      <c r="P40" t="n">
        <v>36.91</v>
      </c>
      <c r="Q40" t="n">
        <v>438.01</v>
      </c>
      <c r="R40" t="n">
        <v>637.952</v>
      </c>
      <c r="S40" t="n">
        <v>1681.538</v>
      </c>
      <c r="T40" t="n">
        <v>2449.977</v>
      </c>
      <c r="U40" t="n">
        <v>171631.465</v>
      </c>
      <c r="V40" t="n">
        <v>118.846</v>
      </c>
      <c r="W40" t="n">
        <v>347.669</v>
      </c>
      <c r="X40" t="n">
        <v>36.729</v>
      </c>
      <c r="Y40" t="n">
        <v>411.179</v>
      </c>
      <c r="Z40">
        <f>H40*x_c_F+I40*x_c_CC+J40*x_c_DC+K40*x_c_HCC+L40*x_c_PLT+M40*x_c_SVRn+N40*x_c_SVRcc+O40*x_c_LT+P40*x_c_LT1</f>
        <v/>
      </c>
      <c r="AA40">
        <f>C40*x_c_DAA</f>
        <v/>
      </c>
      <c r="AB40">
        <f>C40*x_c_MON</f>
        <v/>
      </c>
      <c r="AC40">
        <f>D40*(1-x_testy)</f>
        <v/>
      </c>
      <c r="AD40">
        <f>E40*(1-x_testy)</f>
        <v/>
      </c>
      <c r="AE40">
        <f>F40*x_NAV</f>
        <v/>
      </c>
      <c r="AF40">
        <f>G40*x_FIX*(1-x_testy)</f>
        <v/>
      </c>
      <c r="AG40">
        <f>x_z_F*T40+(1-x_AGRI)*x_EMP*x_WLOSS*(x_PEN_K74*Q40+x_PEN_C22*R40)</f>
        <v/>
      </c>
      <c r="AH40">
        <f>x_AGRI*x_EMP*x_WLOSS*(x_PEN_K74*Q40+x_PEN_C22*R40)</f>
        <v/>
      </c>
      <c r="AI40">
        <f>x_EMP*x_WAGE*(x_WLOSS*(Q40+R40)+S40)+T40*x_ABS_D*x_WAGE/365</f>
        <v/>
      </c>
      <c r="AJ40">
        <f>AI40*x_R_FUS</f>
        <v/>
      </c>
      <c r="AK40">
        <f>AI40*x_R_NFZ</f>
        <v/>
      </c>
      <c r="AL40">
        <f>AI40*x_R_PIT</f>
        <v/>
      </c>
      <c r="AM40">
        <f>AI40*x_R_FP</f>
        <v/>
      </c>
      <c r="AN40">
        <f>Z40+AA40+AB40+AC40+AE40</f>
        <v/>
      </c>
      <c r="AO40">
        <f>AN40+AD40+AF40+AG40+AH40+AJ40+AK40+AL40+AM40</f>
        <v/>
      </c>
      <c r="AP40">
        <f>AN40+AD40+AF40+AI40</f>
        <v/>
      </c>
      <c r="AQ40">
        <f>AA40+AB40+AC40+AE40</f>
        <v/>
      </c>
      <c r="AR40">
        <f>AQ40+AD40+AF40</f>
        <v/>
      </c>
    </row>
    <row r="41">
      <c r="A41" t="n">
        <v>2064</v>
      </c>
      <c r="B41" t="n">
        <v>38</v>
      </c>
      <c r="C41" t="n">
        <v>4832</v>
      </c>
      <c r="D41" t="n">
        <v>0</v>
      </c>
      <c r="E41" t="n">
        <v>0</v>
      </c>
      <c r="F41" t="n">
        <v>0</v>
      </c>
      <c r="G41" t="n">
        <v>0</v>
      </c>
      <c r="H41" t="n">
        <v>2311.271</v>
      </c>
      <c r="I41" t="n">
        <v>139.06</v>
      </c>
      <c r="J41" t="n">
        <v>631.761</v>
      </c>
      <c r="K41" t="n">
        <v>1175.188</v>
      </c>
      <c r="L41" t="n">
        <v>515.448</v>
      </c>
      <c r="M41" t="n">
        <v>151233.276</v>
      </c>
      <c r="N41" t="n">
        <v>6218.47</v>
      </c>
      <c r="O41" t="n">
        <v>36.442</v>
      </c>
      <c r="P41" t="n">
        <v>36.585</v>
      </c>
      <c r="Q41" t="n">
        <v>444.174</v>
      </c>
      <c r="R41" t="n">
        <v>645.54</v>
      </c>
      <c r="S41" t="n">
        <v>1714.133</v>
      </c>
      <c r="T41" t="n">
        <v>2450.331</v>
      </c>
      <c r="U41" t="n">
        <v>172800.436</v>
      </c>
      <c r="V41" t="n">
        <v>118.746</v>
      </c>
      <c r="W41" t="n">
        <v>346.513</v>
      </c>
      <c r="X41" t="n">
        <v>36.442</v>
      </c>
      <c r="Y41" t="n">
        <v>407.359</v>
      </c>
      <c r="Z41">
        <f>H41*x_c_F+I41*x_c_CC+J41*x_c_DC+K41*x_c_HCC+L41*x_c_PLT+M41*x_c_SVRn+N41*x_c_SVRcc+O41*x_c_LT+P41*x_c_LT1</f>
        <v/>
      </c>
      <c r="AA41">
        <f>C41*x_c_DAA</f>
        <v/>
      </c>
      <c r="AB41">
        <f>C41*x_c_MON</f>
        <v/>
      </c>
      <c r="AC41">
        <f>D41*(1-x_testy)</f>
        <v/>
      </c>
      <c r="AD41">
        <f>E41*(1-x_testy)</f>
        <v/>
      </c>
      <c r="AE41">
        <f>F41*x_NAV</f>
        <v/>
      </c>
      <c r="AF41">
        <f>G41*x_FIX*(1-x_testy)</f>
        <v/>
      </c>
      <c r="AG41">
        <f>x_z_F*T41+(1-x_AGRI)*x_EMP*x_WLOSS*(x_PEN_K74*Q41+x_PEN_C22*R41)</f>
        <v/>
      </c>
      <c r="AH41">
        <f>x_AGRI*x_EMP*x_WLOSS*(x_PEN_K74*Q41+x_PEN_C22*R41)</f>
        <v/>
      </c>
      <c r="AI41">
        <f>x_EMP*x_WAGE*(x_WLOSS*(Q41+R41)+S41)+T41*x_ABS_D*x_WAGE/365</f>
        <v/>
      </c>
      <c r="AJ41">
        <f>AI41*x_R_FUS</f>
        <v/>
      </c>
      <c r="AK41">
        <f>AI41*x_R_NFZ</f>
        <v/>
      </c>
      <c r="AL41">
        <f>AI41*x_R_PIT</f>
        <v/>
      </c>
      <c r="AM41">
        <f>AI41*x_R_FP</f>
        <v/>
      </c>
      <c r="AN41">
        <f>Z41+AA41+AB41+AC41+AE41</f>
        <v/>
      </c>
      <c r="AO41">
        <f>AN41+AD41+AF41+AG41+AH41+AJ41+AK41+AL41+AM41</f>
        <v/>
      </c>
      <c r="AP41">
        <f>AN41+AD41+AF41+AI41</f>
        <v/>
      </c>
      <c r="AQ41">
        <f>AA41+AB41+AC41+AE41</f>
        <v/>
      </c>
      <c r="AR41">
        <f>AQ41+AD41+AF41</f>
        <v/>
      </c>
    </row>
    <row r="42">
      <c r="A42" t="n">
        <v>2065</v>
      </c>
      <c r="B42" t="n">
        <v>39</v>
      </c>
      <c r="C42" t="n">
        <v>4832</v>
      </c>
      <c r="D42" t="n">
        <v>0</v>
      </c>
      <c r="E42" t="n">
        <v>0</v>
      </c>
      <c r="F42" t="n">
        <v>0</v>
      </c>
      <c r="G42" t="n">
        <v>0</v>
      </c>
      <c r="H42" t="n">
        <v>2310.961</v>
      </c>
      <c r="I42" t="n">
        <v>139.725</v>
      </c>
      <c r="J42" t="n">
        <v>628.144</v>
      </c>
      <c r="K42" t="n">
        <v>1169.249</v>
      </c>
      <c r="L42" t="n">
        <v>494.659</v>
      </c>
      <c r="M42" t="n">
        <v>152687.476</v>
      </c>
      <c r="N42" t="n">
        <v>6088.569</v>
      </c>
      <c r="O42" t="n">
        <v>36.237</v>
      </c>
      <c r="P42" t="n">
        <v>36.339</v>
      </c>
      <c r="Q42" t="n">
        <v>449.509</v>
      </c>
      <c r="R42" t="n">
        <v>652.028</v>
      </c>
      <c r="S42" t="n">
        <v>1743.039</v>
      </c>
      <c r="T42" t="n">
        <v>2450.686</v>
      </c>
      <c r="U42" t="n">
        <v>173943.778</v>
      </c>
      <c r="V42" t="n">
        <v>118.795</v>
      </c>
      <c r="W42" t="n">
        <v>345.821</v>
      </c>
      <c r="X42" t="n">
        <v>36.237</v>
      </c>
      <c r="Y42" t="n">
        <v>404.383</v>
      </c>
      <c r="Z42">
        <f>H42*x_c_F+I42*x_c_CC+J42*x_c_DC+K42*x_c_HCC+L42*x_c_PLT+M42*x_c_SVRn+N42*x_c_SVRcc+O42*x_c_LT+P42*x_c_LT1</f>
        <v/>
      </c>
      <c r="AA42">
        <f>C42*x_c_DAA</f>
        <v/>
      </c>
      <c r="AB42">
        <f>C42*x_c_MON</f>
        <v/>
      </c>
      <c r="AC42">
        <f>D42*(1-x_testy)</f>
        <v/>
      </c>
      <c r="AD42">
        <f>E42*(1-x_testy)</f>
        <v/>
      </c>
      <c r="AE42">
        <f>F42*x_NAV</f>
        <v/>
      </c>
      <c r="AF42">
        <f>G42*x_FIX*(1-x_testy)</f>
        <v/>
      </c>
      <c r="AG42">
        <f>x_z_F*T42+(1-x_AGRI)*x_EMP*x_WLOSS*(x_PEN_K74*Q42+x_PEN_C22*R42)</f>
        <v/>
      </c>
      <c r="AH42">
        <f>x_AGRI*x_EMP*x_WLOSS*(x_PEN_K74*Q42+x_PEN_C22*R42)</f>
        <v/>
      </c>
      <c r="AI42">
        <f>x_EMP*x_WAGE*(x_WLOSS*(Q42+R42)+S42)+T42*x_ABS_D*x_WAGE/365</f>
        <v/>
      </c>
      <c r="AJ42">
        <f>AI42*x_R_FUS</f>
        <v/>
      </c>
      <c r="AK42">
        <f>AI42*x_R_NFZ</f>
        <v/>
      </c>
      <c r="AL42">
        <f>AI42*x_R_PIT</f>
        <v/>
      </c>
      <c r="AM42">
        <f>AI42*x_R_FP</f>
        <v/>
      </c>
      <c r="AN42">
        <f>Z42+AA42+AB42+AC42+AE42</f>
        <v/>
      </c>
      <c r="AO42">
        <f>AN42+AD42+AF42+AG42+AH42+AJ42+AK42+AL42+AM42</f>
        <v/>
      </c>
      <c r="AP42">
        <f>AN42+AD42+AF42+AI42</f>
        <v/>
      </c>
      <c r="AQ42">
        <f>AA42+AB42+AC42+AE42</f>
        <v/>
      </c>
      <c r="AR42">
        <f>AQ42+AD42+AF42</f>
        <v/>
      </c>
    </row>
    <row r="43">
      <c r="A43" t="n">
        <v>2066</v>
      </c>
      <c r="B43" t="n">
        <v>40</v>
      </c>
      <c r="C43" t="n">
        <v>4832</v>
      </c>
      <c r="D43" t="n">
        <v>0</v>
      </c>
      <c r="E43" t="n">
        <v>0</v>
      </c>
      <c r="F43" t="n">
        <v>0</v>
      </c>
      <c r="G43" t="n">
        <v>0</v>
      </c>
      <c r="H43" t="n">
        <v>2310.546</v>
      </c>
      <c r="I43" t="n">
        <v>140.496</v>
      </c>
      <c r="J43" t="n">
        <v>625.869</v>
      </c>
      <c r="K43" t="n">
        <v>1165.382</v>
      </c>
      <c r="L43" t="n">
        <v>475.634</v>
      </c>
      <c r="M43" t="n">
        <v>154123.906</v>
      </c>
      <c r="N43" t="n">
        <v>5970.65</v>
      </c>
      <c r="O43" t="n">
        <v>36.113</v>
      </c>
      <c r="P43" t="n">
        <v>36.175</v>
      </c>
      <c r="Q43" t="n">
        <v>453.874</v>
      </c>
      <c r="R43" t="n">
        <v>657.279</v>
      </c>
      <c r="S43" t="n">
        <v>1767.209</v>
      </c>
      <c r="T43" t="n">
        <v>2451.043</v>
      </c>
      <c r="U43" t="n">
        <v>175083.657</v>
      </c>
      <c r="V43" t="n">
        <v>118.985</v>
      </c>
      <c r="W43" t="n">
        <v>345.595</v>
      </c>
      <c r="X43" t="n">
        <v>36.113</v>
      </c>
      <c r="Y43" t="n">
        <v>402.281</v>
      </c>
      <c r="Z43">
        <f>H43*x_c_F+I43*x_c_CC+J43*x_c_DC+K43*x_c_HCC+L43*x_c_PLT+M43*x_c_SVRn+N43*x_c_SVRcc+O43*x_c_LT+P43*x_c_LT1</f>
        <v/>
      </c>
      <c r="AA43">
        <f>C43*x_c_DAA</f>
        <v/>
      </c>
      <c r="AB43">
        <f>C43*x_c_MON</f>
        <v/>
      </c>
      <c r="AC43">
        <f>D43*(1-x_testy)</f>
        <v/>
      </c>
      <c r="AD43">
        <f>E43*(1-x_testy)</f>
        <v/>
      </c>
      <c r="AE43">
        <f>F43*x_NAV</f>
        <v/>
      </c>
      <c r="AF43">
        <f>G43*x_FIX*(1-x_testy)</f>
        <v/>
      </c>
      <c r="AG43">
        <f>x_z_F*T43+(1-x_AGRI)*x_EMP*x_WLOSS*(x_PEN_K74*Q43+x_PEN_C22*R43)</f>
        <v/>
      </c>
      <c r="AH43">
        <f>x_AGRI*x_EMP*x_WLOSS*(x_PEN_K74*Q43+x_PEN_C22*R43)</f>
        <v/>
      </c>
      <c r="AI43">
        <f>x_EMP*x_WAGE*(x_WLOSS*(Q43+R43)+S43)+T43*x_ABS_D*x_WAGE/365</f>
        <v/>
      </c>
      <c r="AJ43">
        <f>AI43*x_R_FUS</f>
        <v/>
      </c>
      <c r="AK43">
        <f>AI43*x_R_NFZ</f>
        <v/>
      </c>
      <c r="AL43">
        <f>AI43*x_R_PIT</f>
        <v/>
      </c>
      <c r="AM43">
        <f>AI43*x_R_FP</f>
        <v/>
      </c>
      <c r="AN43">
        <f>Z43+AA43+AB43+AC43+AE43</f>
        <v/>
      </c>
      <c r="AO43">
        <f>AN43+AD43+AF43+AG43+AH43+AJ43+AK43+AL43+AM43</f>
        <v/>
      </c>
      <c r="AP43">
        <f>AN43+AD43+AF43+AI43</f>
        <v/>
      </c>
      <c r="AQ43">
        <f>AA43+AB43+AC43+AE43</f>
        <v/>
      </c>
      <c r="AR43">
        <f>AQ43+AD43+AF43</f>
        <v/>
      </c>
    </row>
    <row r="44">
      <c r="A44" t="n">
        <v>2067</v>
      </c>
      <c r="B44" t="n">
        <v>41</v>
      </c>
      <c r="C44" t="n">
        <v>4832</v>
      </c>
      <c r="D44" t="n">
        <v>0</v>
      </c>
      <c r="E44" t="n">
        <v>0</v>
      </c>
      <c r="F44" t="n">
        <v>0</v>
      </c>
      <c r="G44" t="n">
        <v>0</v>
      </c>
      <c r="H44" t="n">
        <v>2310.058</v>
      </c>
      <c r="I44" t="n">
        <v>141.339</v>
      </c>
      <c r="J44" t="n">
        <v>624.895</v>
      </c>
      <c r="K44" t="n">
        <v>1163.553</v>
      </c>
      <c r="L44" t="n">
        <v>458.633</v>
      </c>
      <c r="M44" t="n">
        <v>155563.851</v>
      </c>
      <c r="N44" t="n">
        <v>5867.125</v>
      </c>
      <c r="O44" t="n">
        <v>36.066</v>
      </c>
      <c r="P44" t="n">
        <v>36.089</v>
      </c>
      <c r="Q44" t="n">
        <v>457.119</v>
      </c>
      <c r="R44" t="n">
        <v>661.151</v>
      </c>
      <c r="S44" t="n">
        <v>1785.459</v>
      </c>
      <c r="T44" t="n">
        <v>2451.397</v>
      </c>
      <c r="U44" t="n">
        <v>176237.354</v>
      </c>
      <c r="V44" t="n">
        <v>119.301</v>
      </c>
      <c r="W44" t="n">
        <v>345.804</v>
      </c>
      <c r="X44" t="n">
        <v>36.066</v>
      </c>
      <c r="Y44" t="n">
        <v>401.026</v>
      </c>
      <c r="Z44">
        <f>H44*x_c_F+I44*x_c_CC+J44*x_c_DC+K44*x_c_HCC+L44*x_c_PLT+M44*x_c_SVRn+N44*x_c_SVRcc+O44*x_c_LT+P44*x_c_LT1</f>
        <v/>
      </c>
      <c r="AA44">
        <f>C44*x_c_DAA</f>
        <v/>
      </c>
      <c r="AB44">
        <f>C44*x_c_MON</f>
        <v/>
      </c>
      <c r="AC44">
        <f>D44*(1-x_testy)</f>
        <v/>
      </c>
      <c r="AD44">
        <f>E44*(1-x_testy)</f>
        <v/>
      </c>
      <c r="AE44">
        <f>F44*x_NAV</f>
        <v/>
      </c>
      <c r="AF44">
        <f>G44*x_FIX*(1-x_testy)</f>
        <v/>
      </c>
      <c r="AG44">
        <f>x_z_F*T44+(1-x_AGRI)*x_EMP*x_WLOSS*(x_PEN_K74*Q44+x_PEN_C22*R44)</f>
        <v/>
      </c>
      <c r="AH44">
        <f>x_AGRI*x_EMP*x_WLOSS*(x_PEN_K74*Q44+x_PEN_C22*R44)</f>
        <v/>
      </c>
      <c r="AI44">
        <f>x_EMP*x_WAGE*(x_WLOSS*(Q44+R44)+S44)+T44*x_ABS_D*x_WAGE/365</f>
        <v/>
      </c>
      <c r="AJ44">
        <f>AI44*x_R_FUS</f>
        <v/>
      </c>
      <c r="AK44">
        <f>AI44*x_R_NFZ</f>
        <v/>
      </c>
      <c r="AL44">
        <f>AI44*x_R_PIT</f>
        <v/>
      </c>
      <c r="AM44">
        <f>AI44*x_R_FP</f>
        <v/>
      </c>
      <c r="AN44">
        <f>Z44+AA44+AB44+AC44+AE44</f>
        <v/>
      </c>
      <c r="AO44">
        <f>AN44+AD44+AF44+AG44+AH44+AJ44+AK44+AL44+AM44</f>
        <v/>
      </c>
      <c r="AP44">
        <f>AN44+AD44+AF44+AI44</f>
        <v/>
      </c>
      <c r="AQ44">
        <f>AA44+AB44+AC44+AE44</f>
        <v/>
      </c>
      <c r="AR44">
        <f>AQ44+AD44+AF44</f>
        <v/>
      </c>
    </row>
    <row r="45">
      <c r="A45" t="n">
        <v>2068</v>
      </c>
      <c r="B45" t="n">
        <v>42</v>
      </c>
      <c r="C45" t="n">
        <v>4832</v>
      </c>
      <c r="D45" t="n">
        <v>0</v>
      </c>
      <c r="E45" t="n">
        <v>0</v>
      </c>
      <c r="F45" t="n">
        <v>0</v>
      </c>
      <c r="G45" t="n">
        <v>0</v>
      </c>
      <c r="H45" t="n">
        <v>2309.528</v>
      </c>
      <c r="I45" t="n">
        <v>142.218</v>
      </c>
      <c r="J45" t="n">
        <v>625.126</v>
      </c>
      <c r="K45" t="n">
        <v>1163.633</v>
      </c>
      <c r="L45" t="n">
        <v>443.819</v>
      </c>
      <c r="M45" t="n">
        <v>157023.422</v>
      </c>
      <c r="N45" t="n">
        <v>5779.522</v>
      </c>
      <c r="O45" t="n">
        <v>36.09</v>
      </c>
      <c r="P45" t="n">
        <v>36.078</v>
      </c>
      <c r="Q45" t="n">
        <v>459.077</v>
      </c>
      <c r="R45" t="n">
        <v>663.491</v>
      </c>
      <c r="S45" t="n">
        <v>1796.444</v>
      </c>
      <c r="T45" t="n">
        <v>2451.746</v>
      </c>
      <c r="U45" t="n">
        <v>177417.303</v>
      </c>
      <c r="V45" t="n">
        <v>119.723</v>
      </c>
      <c r="W45" t="n">
        <v>346.402</v>
      </c>
      <c r="X45" t="n">
        <v>36.09</v>
      </c>
      <c r="Y45" t="n">
        <v>400.571</v>
      </c>
      <c r="Z45">
        <f>H45*x_c_F+I45*x_c_CC+J45*x_c_DC+K45*x_c_HCC+L45*x_c_PLT+M45*x_c_SVRn+N45*x_c_SVRcc+O45*x_c_LT+P45*x_c_LT1</f>
        <v/>
      </c>
      <c r="AA45">
        <f>C45*x_c_DAA</f>
        <v/>
      </c>
      <c r="AB45">
        <f>C45*x_c_MON</f>
        <v/>
      </c>
      <c r="AC45">
        <f>D45*(1-x_testy)</f>
        <v/>
      </c>
      <c r="AD45">
        <f>E45*(1-x_testy)</f>
        <v/>
      </c>
      <c r="AE45">
        <f>F45*x_NAV</f>
        <v/>
      </c>
      <c r="AF45">
        <f>G45*x_FIX*(1-x_testy)</f>
        <v/>
      </c>
      <c r="AG45">
        <f>x_z_F*T45+(1-x_AGRI)*x_EMP*x_WLOSS*(x_PEN_K74*Q45+x_PEN_C22*R45)</f>
        <v/>
      </c>
      <c r="AH45">
        <f>x_AGRI*x_EMP*x_WLOSS*(x_PEN_K74*Q45+x_PEN_C22*R45)</f>
        <v/>
      </c>
      <c r="AI45">
        <f>x_EMP*x_WAGE*(x_WLOSS*(Q45+R45)+S45)+T45*x_ABS_D*x_WAGE/365</f>
        <v/>
      </c>
      <c r="AJ45">
        <f>AI45*x_R_FUS</f>
        <v/>
      </c>
      <c r="AK45">
        <f>AI45*x_R_NFZ</f>
        <v/>
      </c>
      <c r="AL45">
        <f>AI45*x_R_PIT</f>
        <v/>
      </c>
      <c r="AM45">
        <f>AI45*x_R_FP</f>
        <v/>
      </c>
      <c r="AN45">
        <f>Z45+AA45+AB45+AC45+AE45</f>
        <v/>
      </c>
      <c r="AO45">
        <f>AN45+AD45+AF45+AG45+AH45+AJ45+AK45+AL45+AM45</f>
        <v/>
      </c>
      <c r="AP45">
        <f>AN45+AD45+AF45+AI45</f>
        <v/>
      </c>
      <c r="AQ45">
        <f>AA45+AB45+AC45+AE45</f>
        <v/>
      </c>
      <c r="AR45">
        <f>AQ45+AD45+AF45</f>
        <v/>
      </c>
    </row>
    <row r="46">
      <c r="A46" t="n">
        <v>2069</v>
      </c>
      <c r="B46" t="n">
        <v>43</v>
      </c>
      <c r="C46" t="n">
        <v>4832</v>
      </c>
      <c r="D46" t="n">
        <v>0</v>
      </c>
      <c r="E46" t="n">
        <v>0</v>
      </c>
      <c r="F46" t="n">
        <v>0</v>
      </c>
      <c r="G46" t="n">
        <v>0</v>
      </c>
      <c r="H46" t="n">
        <v>2308.986</v>
      </c>
      <c r="I46" t="n">
        <v>143.101</v>
      </c>
      <c r="J46" t="n">
        <v>626.426</v>
      </c>
      <c r="K46" t="n">
        <v>1165.425</v>
      </c>
      <c r="L46" t="n">
        <v>431.263</v>
      </c>
      <c r="M46" t="n">
        <v>158513.52</v>
      </c>
      <c r="N46" t="n">
        <v>5708.552</v>
      </c>
      <c r="O46" t="n">
        <v>36.177</v>
      </c>
      <c r="P46" t="n">
        <v>36.134</v>
      </c>
      <c r="Q46" t="n">
        <v>459.569</v>
      </c>
      <c r="R46" t="n">
        <v>664.133</v>
      </c>
      <c r="S46" t="n">
        <v>1798.635</v>
      </c>
      <c r="T46" t="n">
        <v>2452.087</v>
      </c>
      <c r="U46" t="n">
        <v>178631.291</v>
      </c>
      <c r="V46" t="n">
        <v>120.227</v>
      </c>
      <c r="W46" t="n">
        <v>347.328</v>
      </c>
      <c r="X46" t="n">
        <v>36.177</v>
      </c>
      <c r="Y46" t="n">
        <v>400.83</v>
      </c>
      <c r="Z46">
        <f>H46*x_c_F+I46*x_c_CC+J46*x_c_DC+K46*x_c_HCC+L46*x_c_PLT+M46*x_c_SVRn+N46*x_c_SVRcc+O46*x_c_LT+P46*x_c_LT1</f>
        <v/>
      </c>
      <c r="AA46">
        <f>C46*x_c_DAA</f>
        <v/>
      </c>
      <c r="AB46">
        <f>C46*x_c_MON</f>
        <v/>
      </c>
      <c r="AC46">
        <f>D46*(1-x_testy)</f>
        <v/>
      </c>
      <c r="AD46">
        <f>E46*(1-x_testy)</f>
        <v/>
      </c>
      <c r="AE46">
        <f>F46*x_NAV</f>
        <v/>
      </c>
      <c r="AF46">
        <f>G46*x_FIX*(1-x_testy)</f>
        <v/>
      </c>
      <c r="AG46">
        <f>x_z_F*T46+(1-x_AGRI)*x_EMP*x_WLOSS*(x_PEN_K74*Q46+x_PEN_C22*R46)</f>
        <v/>
      </c>
      <c r="AH46">
        <f>x_AGRI*x_EMP*x_WLOSS*(x_PEN_K74*Q46+x_PEN_C22*R46)</f>
        <v/>
      </c>
      <c r="AI46">
        <f>x_EMP*x_WAGE*(x_WLOSS*(Q46+R46)+S46)+T46*x_ABS_D*x_WAGE/365</f>
        <v/>
      </c>
      <c r="AJ46">
        <f>AI46*x_R_FUS</f>
        <v/>
      </c>
      <c r="AK46">
        <f>AI46*x_R_NFZ</f>
        <v/>
      </c>
      <c r="AL46">
        <f>AI46*x_R_PIT</f>
        <v/>
      </c>
      <c r="AM46">
        <f>AI46*x_R_FP</f>
        <v/>
      </c>
      <c r="AN46">
        <f>Z46+AA46+AB46+AC46+AE46</f>
        <v/>
      </c>
      <c r="AO46">
        <f>AN46+AD46+AF46+AG46+AH46+AJ46+AK46+AL46+AM46</f>
        <v/>
      </c>
      <c r="AP46">
        <f>AN46+AD46+AF46+AI46</f>
        <v/>
      </c>
      <c r="AQ46">
        <f>AA46+AB46+AC46+AE46</f>
        <v/>
      </c>
      <c r="AR46">
        <f>AQ46+AD46+AF46</f>
        <v/>
      </c>
    </row>
    <row r="47">
      <c r="A47" t="n">
        <v>2070</v>
      </c>
      <c r="B47" t="n">
        <v>44</v>
      </c>
      <c r="C47" t="n">
        <v>4832</v>
      </c>
      <c r="D47" t="n">
        <v>0</v>
      </c>
      <c r="E47" t="n">
        <v>0</v>
      </c>
      <c r="F47" t="n">
        <v>0</v>
      </c>
      <c r="G47" t="n">
        <v>0</v>
      </c>
      <c r="H47" t="n">
        <v>2308.457</v>
      </c>
      <c r="I47" t="n">
        <v>143.96</v>
      </c>
      <c r="J47" t="n">
        <v>628.627</v>
      </c>
      <c r="K47" t="n">
        <v>1168.672</v>
      </c>
      <c r="L47" t="n">
        <v>420.938</v>
      </c>
      <c r="M47" t="n">
        <v>160038.666</v>
      </c>
      <c r="N47" t="n">
        <v>5654.066</v>
      </c>
      <c r="O47" t="n">
        <v>36.315</v>
      </c>
      <c r="P47" t="n">
        <v>36.246</v>
      </c>
      <c r="Q47" t="n">
        <v>459.371</v>
      </c>
      <c r="R47" t="n">
        <v>664.003</v>
      </c>
      <c r="S47" t="n">
        <v>1796.426</v>
      </c>
      <c r="T47" t="n">
        <v>2452.417</v>
      </c>
      <c r="U47" t="n">
        <v>179881.57</v>
      </c>
      <c r="V47" t="n">
        <v>120.789</v>
      </c>
      <c r="W47" t="n">
        <v>348.518</v>
      </c>
      <c r="X47" t="n">
        <v>36.315</v>
      </c>
      <c r="Y47" t="n">
        <v>401.698</v>
      </c>
      <c r="Z47">
        <f>H47*x_c_F+I47*x_c_CC+J47*x_c_DC+K47*x_c_HCC+L47*x_c_PLT+M47*x_c_SVRn+N47*x_c_SVRcc+O47*x_c_LT+P47*x_c_LT1</f>
        <v/>
      </c>
      <c r="AA47">
        <f>C47*x_c_DAA</f>
        <v/>
      </c>
      <c r="AB47">
        <f>C47*x_c_MON</f>
        <v/>
      </c>
      <c r="AC47">
        <f>D47*(1-x_testy)</f>
        <v/>
      </c>
      <c r="AD47">
        <f>E47*(1-x_testy)</f>
        <v/>
      </c>
      <c r="AE47">
        <f>F47*x_NAV</f>
        <v/>
      </c>
      <c r="AF47">
        <f>G47*x_FIX*(1-x_testy)</f>
        <v/>
      </c>
      <c r="AG47">
        <f>x_z_F*T47+(1-x_AGRI)*x_EMP*x_WLOSS*(x_PEN_K74*Q47+x_PEN_C22*R47)</f>
        <v/>
      </c>
      <c r="AH47">
        <f>x_AGRI*x_EMP*x_WLOSS*(x_PEN_K74*Q47+x_PEN_C22*R47)</f>
        <v/>
      </c>
      <c r="AI47">
        <f>x_EMP*x_WAGE*(x_WLOSS*(Q47+R47)+S47)+T47*x_ABS_D*x_WAGE/365</f>
        <v/>
      </c>
      <c r="AJ47">
        <f>AI47*x_R_FUS</f>
        <v/>
      </c>
      <c r="AK47">
        <f>AI47*x_R_NFZ</f>
        <v/>
      </c>
      <c r="AL47">
        <f>AI47*x_R_PIT</f>
        <v/>
      </c>
      <c r="AM47">
        <f>AI47*x_R_FP</f>
        <v/>
      </c>
      <c r="AN47">
        <f>Z47+AA47+AB47+AC47+AE47</f>
        <v/>
      </c>
      <c r="AO47">
        <f>AN47+AD47+AF47+AG47+AH47+AJ47+AK47+AL47+AM47</f>
        <v/>
      </c>
      <c r="AP47">
        <f>AN47+AD47+AF47+AI47</f>
        <v/>
      </c>
      <c r="AQ47">
        <f>AA47+AB47+AC47+AE47</f>
        <v/>
      </c>
      <c r="AR47">
        <f>AQ47+AD47+AF47</f>
        <v/>
      </c>
    </row>
    <row r="48">
      <c r="A48" t="n">
        <v>2071</v>
      </c>
      <c r="B48" t="n">
        <v>45</v>
      </c>
      <c r="C48" t="n">
        <v>4832</v>
      </c>
      <c r="D48" t="n">
        <v>0</v>
      </c>
      <c r="E48" t="n">
        <v>0</v>
      </c>
      <c r="F48" t="n">
        <v>0</v>
      </c>
      <c r="G48" t="n">
        <v>0</v>
      </c>
      <c r="H48" t="n">
        <v>2307.962</v>
      </c>
      <c r="I48" t="n">
        <v>144.772</v>
      </c>
      <c r="J48" t="n">
        <v>631.543</v>
      </c>
      <c r="K48" t="n">
        <v>1173.085</v>
      </c>
      <c r="L48" t="n">
        <v>412.73</v>
      </c>
      <c r="M48" t="n">
        <v>161596.983</v>
      </c>
      <c r="N48" t="n">
        <v>5615.148</v>
      </c>
      <c r="O48" t="n">
        <v>36.493</v>
      </c>
      <c r="P48" t="n">
        <v>36.404</v>
      </c>
      <c r="Q48" t="n">
        <v>459.347</v>
      </c>
      <c r="R48" t="n">
        <v>664.103</v>
      </c>
      <c r="S48" t="n">
        <v>1795.002</v>
      </c>
      <c r="T48" t="n">
        <v>2452.734</v>
      </c>
      <c r="U48" t="n">
        <v>181165.033</v>
      </c>
      <c r="V48" t="n">
        <v>121.387</v>
      </c>
      <c r="W48" t="n">
        <v>349.898</v>
      </c>
      <c r="X48" t="n">
        <v>36.493</v>
      </c>
      <c r="Y48" t="n">
        <v>403.056</v>
      </c>
      <c r="Z48">
        <f>H48*x_c_F+I48*x_c_CC+J48*x_c_DC+K48*x_c_HCC+L48*x_c_PLT+M48*x_c_SVRn+N48*x_c_SVRcc+O48*x_c_LT+P48*x_c_LT1</f>
        <v/>
      </c>
      <c r="AA48">
        <f>C48*x_c_DAA</f>
        <v/>
      </c>
      <c r="AB48">
        <f>C48*x_c_MON</f>
        <v/>
      </c>
      <c r="AC48">
        <f>D48*(1-x_testy)</f>
        <v/>
      </c>
      <c r="AD48">
        <f>E48*(1-x_testy)</f>
        <v/>
      </c>
      <c r="AE48">
        <f>F48*x_NAV</f>
        <v/>
      </c>
      <c r="AF48">
        <f>G48*x_FIX*(1-x_testy)</f>
        <v/>
      </c>
      <c r="AG48">
        <f>x_z_F*T48+(1-x_AGRI)*x_EMP*x_WLOSS*(x_PEN_K74*Q48+x_PEN_C22*R48)</f>
        <v/>
      </c>
      <c r="AH48">
        <f>x_AGRI*x_EMP*x_WLOSS*(x_PEN_K74*Q48+x_PEN_C22*R48)</f>
        <v/>
      </c>
      <c r="AI48">
        <f>x_EMP*x_WAGE*(x_WLOSS*(Q48+R48)+S48)+T48*x_ABS_D*x_WAGE/365</f>
        <v/>
      </c>
      <c r="AJ48">
        <f>AI48*x_R_FUS</f>
        <v/>
      </c>
      <c r="AK48">
        <f>AI48*x_R_NFZ</f>
        <v/>
      </c>
      <c r="AL48">
        <f>AI48*x_R_PIT</f>
        <v/>
      </c>
      <c r="AM48">
        <f>AI48*x_R_FP</f>
        <v/>
      </c>
      <c r="AN48">
        <f>Z48+AA48+AB48+AC48+AE48</f>
        <v/>
      </c>
      <c r="AO48">
        <f>AN48+AD48+AF48+AG48+AH48+AJ48+AK48+AL48+AM48</f>
        <v/>
      </c>
      <c r="AP48">
        <f>AN48+AD48+AF48+AI48</f>
        <v/>
      </c>
      <c r="AQ48">
        <f>AA48+AB48+AC48+AE48</f>
        <v/>
      </c>
      <c r="AR48">
        <f>AQ48+AD48+AF48</f>
        <v/>
      </c>
    </row>
    <row r="49">
      <c r="A49" t="n">
        <v>2072</v>
      </c>
      <c r="B49" t="n">
        <v>46</v>
      </c>
      <c r="C49" t="n">
        <v>4832</v>
      </c>
      <c r="D49" t="n">
        <v>0</v>
      </c>
      <c r="E49" t="n">
        <v>0</v>
      </c>
      <c r="F49" t="n">
        <v>0</v>
      </c>
      <c r="G49" t="n">
        <v>0</v>
      </c>
      <c r="H49" t="n">
        <v>2307.513</v>
      </c>
      <c r="I49" t="n">
        <v>145.523</v>
      </c>
      <c r="J49" t="n">
        <v>634.9829999999999</v>
      </c>
      <c r="K49" t="n">
        <v>1178.369</v>
      </c>
      <c r="L49" t="n">
        <v>406.464</v>
      </c>
      <c r="M49" t="n">
        <v>163181.673</v>
      </c>
      <c r="N49" t="n">
        <v>5590.352</v>
      </c>
      <c r="O49" t="n">
        <v>36.7</v>
      </c>
      <c r="P49" t="n">
        <v>36.597</v>
      </c>
      <c r="Q49" t="n">
        <v>459.481</v>
      </c>
      <c r="R49" t="n">
        <v>664.41</v>
      </c>
      <c r="S49" t="n">
        <v>1794.308</v>
      </c>
      <c r="T49" t="n">
        <v>2453.036</v>
      </c>
      <c r="U49" t="n">
        <v>182474.583</v>
      </c>
      <c r="V49" t="n">
        <v>122.001</v>
      </c>
      <c r="W49" t="n">
        <v>351.409</v>
      </c>
      <c r="X49" t="n">
        <v>36.7</v>
      </c>
      <c r="Y49" t="n">
        <v>404.789</v>
      </c>
      <c r="Z49">
        <f>H49*x_c_F+I49*x_c_CC+J49*x_c_DC+K49*x_c_HCC+L49*x_c_PLT+M49*x_c_SVRn+N49*x_c_SVRcc+O49*x_c_LT+P49*x_c_LT1</f>
        <v/>
      </c>
      <c r="AA49">
        <f>C49*x_c_DAA</f>
        <v/>
      </c>
      <c r="AB49">
        <f>C49*x_c_MON</f>
        <v/>
      </c>
      <c r="AC49">
        <f>D49*(1-x_testy)</f>
        <v/>
      </c>
      <c r="AD49">
        <f>E49*(1-x_testy)</f>
        <v/>
      </c>
      <c r="AE49">
        <f>F49*x_NAV</f>
        <v/>
      </c>
      <c r="AF49">
        <f>G49*x_FIX*(1-x_testy)</f>
        <v/>
      </c>
      <c r="AG49">
        <f>x_z_F*T49+(1-x_AGRI)*x_EMP*x_WLOSS*(x_PEN_K74*Q49+x_PEN_C22*R49)</f>
        <v/>
      </c>
      <c r="AH49">
        <f>x_AGRI*x_EMP*x_WLOSS*(x_PEN_K74*Q49+x_PEN_C22*R49)</f>
        <v/>
      </c>
      <c r="AI49">
        <f>x_EMP*x_WAGE*(x_WLOSS*(Q49+R49)+S49)+T49*x_ABS_D*x_WAGE/365</f>
        <v/>
      </c>
      <c r="AJ49">
        <f>AI49*x_R_FUS</f>
        <v/>
      </c>
      <c r="AK49">
        <f>AI49*x_R_NFZ</f>
        <v/>
      </c>
      <c r="AL49">
        <f>AI49*x_R_PIT</f>
        <v/>
      </c>
      <c r="AM49">
        <f>AI49*x_R_FP</f>
        <v/>
      </c>
      <c r="AN49">
        <f>Z49+AA49+AB49+AC49+AE49</f>
        <v/>
      </c>
      <c r="AO49">
        <f>AN49+AD49+AF49+AG49+AH49+AJ49+AK49+AL49+AM49</f>
        <v/>
      </c>
      <c r="AP49">
        <f>AN49+AD49+AF49+AI49</f>
        <v/>
      </c>
      <c r="AQ49">
        <f>AA49+AB49+AC49+AE49</f>
        <v/>
      </c>
      <c r="AR49">
        <f>AQ49+AD49+AF49</f>
        <v/>
      </c>
    </row>
    <row r="50">
      <c r="A50" t="n">
        <v>2073</v>
      </c>
      <c r="B50" t="n">
        <v>47</v>
      </c>
      <c r="C50" t="n">
        <v>4832</v>
      </c>
      <c r="D50" t="n">
        <v>0</v>
      </c>
      <c r="E50" t="n">
        <v>0</v>
      </c>
      <c r="F50" t="n">
        <v>0</v>
      </c>
      <c r="G50" t="n">
        <v>0</v>
      </c>
      <c r="H50" t="n">
        <v>2307.118</v>
      </c>
      <c r="I50" t="n">
        <v>146.204</v>
      </c>
      <c r="J50" t="n">
        <v>638.765</v>
      </c>
      <c r="K50" t="n">
        <v>1184.229</v>
      </c>
      <c r="L50" t="n">
        <v>401.906</v>
      </c>
      <c r="M50" t="n">
        <v>164780.241</v>
      </c>
      <c r="N50" t="n">
        <v>5577.704</v>
      </c>
      <c r="O50" t="n">
        <v>36.925</v>
      </c>
      <c r="P50" t="n">
        <v>36.813</v>
      </c>
      <c r="Q50" t="n">
        <v>459.757</v>
      </c>
      <c r="R50" t="n">
        <v>664.902</v>
      </c>
      <c r="S50" t="n">
        <v>1794.285</v>
      </c>
      <c r="T50" t="n">
        <v>2453.321</v>
      </c>
      <c r="U50" t="n">
        <v>183798.538</v>
      </c>
      <c r="V50" t="n">
        <v>122.612</v>
      </c>
      <c r="W50" t="n">
        <v>352.982</v>
      </c>
      <c r="X50" t="n">
        <v>36.925</v>
      </c>
      <c r="Y50" t="n">
        <v>406.768</v>
      </c>
      <c r="Z50">
        <f>H50*x_c_F+I50*x_c_CC+J50*x_c_DC+K50*x_c_HCC+L50*x_c_PLT+M50*x_c_SVRn+N50*x_c_SVRcc+O50*x_c_LT+P50*x_c_LT1</f>
        <v/>
      </c>
      <c r="AA50">
        <f>C50*x_c_DAA</f>
        <v/>
      </c>
      <c r="AB50">
        <f>C50*x_c_MON</f>
        <v/>
      </c>
      <c r="AC50">
        <f>D50*(1-x_testy)</f>
        <v/>
      </c>
      <c r="AD50">
        <f>E50*(1-x_testy)</f>
        <v/>
      </c>
      <c r="AE50">
        <f>F50*x_NAV</f>
        <v/>
      </c>
      <c r="AF50">
        <f>G50*x_FIX*(1-x_testy)</f>
        <v/>
      </c>
      <c r="AG50">
        <f>x_z_F*T50+(1-x_AGRI)*x_EMP*x_WLOSS*(x_PEN_K74*Q50+x_PEN_C22*R50)</f>
        <v/>
      </c>
      <c r="AH50">
        <f>x_AGRI*x_EMP*x_WLOSS*(x_PEN_K74*Q50+x_PEN_C22*R50)</f>
        <v/>
      </c>
      <c r="AI50">
        <f>x_EMP*x_WAGE*(x_WLOSS*(Q50+R50)+S50)+T50*x_ABS_D*x_WAGE/365</f>
        <v/>
      </c>
      <c r="AJ50">
        <f>AI50*x_R_FUS</f>
        <v/>
      </c>
      <c r="AK50">
        <f>AI50*x_R_NFZ</f>
        <v/>
      </c>
      <c r="AL50">
        <f>AI50*x_R_PIT</f>
        <v/>
      </c>
      <c r="AM50">
        <f>AI50*x_R_FP</f>
        <v/>
      </c>
      <c r="AN50">
        <f>Z50+AA50+AB50+AC50+AE50</f>
        <v/>
      </c>
      <c r="AO50">
        <f>AN50+AD50+AF50+AG50+AH50+AJ50+AK50+AL50+AM50</f>
        <v/>
      </c>
      <c r="AP50">
        <f>AN50+AD50+AF50+AI50</f>
        <v/>
      </c>
      <c r="AQ50">
        <f>AA50+AB50+AC50+AE50</f>
        <v/>
      </c>
      <c r="AR50">
        <f>AQ50+AD50+AF50</f>
        <v/>
      </c>
    </row>
    <row r="51">
      <c r="A51" t="n">
        <v>2074</v>
      </c>
      <c r="B51" t="n">
        <v>48</v>
      </c>
      <c r="C51" t="n">
        <v>4832</v>
      </c>
      <c r="D51" t="n">
        <v>0</v>
      </c>
      <c r="E51" t="n">
        <v>0</v>
      </c>
      <c r="F51" t="n">
        <v>0</v>
      </c>
      <c r="G51" t="n">
        <v>0</v>
      </c>
      <c r="H51" t="n">
        <v>2306.779</v>
      </c>
      <c r="I51" t="n">
        <v>146.81</v>
      </c>
      <c r="J51" t="n">
        <v>642.713</v>
      </c>
      <c r="K51" t="n">
        <v>1190.385</v>
      </c>
      <c r="L51" t="n">
        <v>398.775</v>
      </c>
      <c r="M51" t="n">
        <v>166375.19</v>
      </c>
      <c r="N51" t="n">
        <v>5574.838</v>
      </c>
      <c r="O51" t="n">
        <v>37.156</v>
      </c>
      <c r="P51" t="n">
        <v>37.041</v>
      </c>
      <c r="Q51" t="n">
        <v>460.158</v>
      </c>
      <c r="R51" t="n">
        <v>665.556</v>
      </c>
      <c r="S51" t="n">
        <v>1794.867</v>
      </c>
      <c r="T51" t="n">
        <v>2453.589</v>
      </c>
      <c r="U51" t="n">
        <v>185121.265</v>
      </c>
      <c r="V51" t="n">
        <v>123.204</v>
      </c>
      <c r="W51" t="n">
        <v>354.564</v>
      </c>
      <c r="X51" t="n">
        <v>37.156</v>
      </c>
      <c r="Y51" t="n">
        <v>408.884</v>
      </c>
      <c r="Z51">
        <f>H51*x_c_F+I51*x_c_CC+J51*x_c_DC+K51*x_c_HCC+L51*x_c_PLT+M51*x_c_SVRn+N51*x_c_SVRcc+O51*x_c_LT+P51*x_c_LT1</f>
        <v/>
      </c>
      <c r="AA51">
        <f>C51*x_c_DAA</f>
        <v/>
      </c>
      <c r="AB51">
        <f>C51*x_c_MON</f>
        <v/>
      </c>
      <c r="AC51">
        <f>D51*(1-x_testy)</f>
        <v/>
      </c>
      <c r="AD51">
        <f>E51*(1-x_testy)</f>
        <v/>
      </c>
      <c r="AE51">
        <f>F51*x_NAV</f>
        <v/>
      </c>
      <c r="AF51">
        <f>G51*x_FIX*(1-x_testy)</f>
        <v/>
      </c>
      <c r="AG51">
        <f>x_z_F*T51+(1-x_AGRI)*x_EMP*x_WLOSS*(x_PEN_K74*Q51+x_PEN_C22*R51)</f>
        <v/>
      </c>
      <c r="AH51">
        <f>x_AGRI*x_EMP*x_WLOSS*(x_PEN_K74*Q51+x_PEN_C22*R51)</f>
        <v/>
      </c>
      <c r="AI51">
        <f>x_EMP*x_WAGE*(x_WLOSS*(Q51+R51)+S51)+T51*x_ABS_D*x_WAGE/365</f>
        <v/>
      </c>
      <c r="AJ51">
        <f>AI51*x_R_FUS</f>
        <v/>
      </c>
      <c r="AK51">
        <f>AI51*x_R_NFZ</f>
        <v/>
      </c>
      <c r="AL51">
        <f>AI51*x_R_PIT</f>
        <v/>
      </c>
      <c r="AM51">
        <f>AI51*x_R_FP</f>
        <v/>
      </c>
      <c r="AN51">
        <f>Z51+AA51+AB51+AC51+AE51</f>
        <v/>
      </c>
      <c r="AO51">
        <f>AN51+AD51+AF51+AG51+AH51+AJ51+AK51+AL51+AM51</f>
        <v/>
      </c>
      <c r="AP51">
        <f>AN51+AD51+AF51+AI51</f>
        <v/>
      </c>
      <c r="AQ51">
        <f>AA51+AB51+AC51+AE51</f>
        <v/>
      </c>
      <c r="AR51">
        <f>AQ51+AD51+AF51</f>
        <v/>
      </c>
    </row>
    <row r="52">
      <c r="A52" t="n">
        <v>2075</v>
      </c>
      <c r="B52" t="n">
        <v>49</v>
      </c>
      <c r="C52" t="n">
        <v>4832</v>
      </c>
      <c r="D52" t="n">
        <v>0</v>
      </c>
      <c r="E52" t="n">
        <v>0</v>
      </c>
      <c r="F52" t="n">
        <v>0</v>
      </c>
      <c r="G52" t="n">
        <v>0</v>
      </c>
      <c r="H52" t="n">
        <v>2306.495</v>
      </c>
      <c r="I52" t="n">
        <v>147.344</v>
      </c>
      <c r="J52" t="n">
        <v>646.675</v>
      </c>
      <c r="K52" t="n">
        <v>1196.581</v>
      </c>
      <c r="L52" t="n">
        <v>396.772</v>
      </c>
      <c r="M52" t="n">
        <v>167945.424</v>
      </c>
      <c r="N52" t="n">
        <v>5579.195</v>
      </c>
      <c r="O52" t="n">
        <v>37.386</v>
      </c>
      <c r="P52" t="n">
        <v>37.271</v>
      </c>
      <c r="Q52" t="n">
        <v>460.667</v>
      </c>
      <c r="R52" t="n">
        <v>666.347</v>
      </c>
      <c r="S52" t="n">
        <v>1795.986</v>
      </c>
      <c r="T52" t="n">
        <v>2453.84</v>
      </c>
      <c r="U52" t="n">
        <v>186424.402</v>
      </c>
      <c r="V52" t="n">
        <v>123.766</v>
      </c>
      <c r="W52" t="n">
        <v>356.102</v>
      </c>
      <c r="X52" t="n">
        <v>37.386</v>
      </c>
      <c r="Y52" t="n">
        <v>411.027</v>
      </c>
      <c r="Z52">
        <f>H52*x_c_F+I52*x_c_CC+J52*x_c_DC+K52*x_c_HCC+L52*x_c_PLT+M52*x_c_SVRn+N52*x_c_SVRcc+O52*x_c_LT+P52*x_c_LT1</f>
        <v/>
      </c>
      <c r="AA52">
        <f>C52*x_c_DAA</f>
        <v/>
      </c>
      <c r="AB52">
        <f>C52*x_c_MON</f>
        <v/>
      </c>
      <c r="AC52">
        <f>D52*(1-x_testy)</f>
        <v/>
      </c>
      <c r="AD52">
        <f>E52*(1-x_testy)</f>
        <v/>
      </c>
      <c r="AE52">
        <f>F52*x_NAV</f>
        <v/>
      </c>
      <c r="AF52">
        <f>G52*x_FIX*(1-x_testy)</f>
        <v/>
      </c>
      <c r="AG52">
        <f>x_z_F*T52+(1-x_AGRI)*x_EMP*x_WLOSS*(x_PEN_K74*Q52+x_PEN_C22*R52)</f>
        <v/>
      </c>
      <c r="AH52">
        <f>x_AGRI*x_EMP*x_WLOSS*(x_PEN_K74*Q52+x_PEN_C22*R52)</f>
        <v/>
      </c>
      <c r="AI52">
        <f>x_EMP*x_WAGE*(x_WLOSS*(Q52+R52)+S52)+T52*x_ABS_D*x_WAGE/365</f>
        <v/>
      </c>
      <c r="AJ52">
        <f>AI52*x_R_FUS</f>
        <v/>
      </c>
      <c r="AK52">
        <f>AI52*x_R_NFZ</f>
        <v/>
      </c>
      <c r="AL52">
        <f>AI52*x_R_PIT</f>
        <v/>
      </c>
      <c r="AM52">
        <f>AI52*x_R_FP</f>
        <v/>
      </c>
      <c r="AN52">
        <f>Z52+AA52+AB52+AC52+AE52</f>
        <v/>
      </c>
      <c r="AO52">
        <f>AN52+AD52+AF52+AG52+AH52+AJ52+AK52+AL52+AM52</f>
        <v/>
      </c>
      <c r="AP52">
        <f>AN52+AD52+AF52+AI52</f>
        <v/>
      </c>
      <c r="AQ52">
        <f>AA52+AB52+AC52+AE52</f>
        <v/>
      </c>
      <c r="AR52">
        <f>AQ52+AD52+AF52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" t="inlineStr">
        <is>
          <t>I1 vs status quo (S1): Celowane testowanie w szpitalach i laboratoriach (+50 mln zł/rok) – SZACUNEK MODELU</t>
        </is>
      </c>
    </row>
    <row r="2">
      <c r="A2" s="1" t="inlineStr">
        <is>
          <t>Horyzont (lata) – zmień w Ustawienia!B4</t>
        </is>
      </c>
      <c r="B2">
        <f>x_H</f>
        <v/>
      </c>
    </row>
    <row r="3">
      <c r="A3" s="1" t="inlineStr">
        <is>
          <t>Inwestycja (sektor publiczny, zdysk., zł)</t>
        </is>
      </c>
      <c r="B3">
        <f>SUM(H13:H62)</f>
        <v/>
      </c>
    </row>
    <row r="4">
      <c r="A4" s="1" t="inlineStr">
        <is>
          <t>Saldo netto sektor publiczny (zdysk., zł; &lt;0 = oszczędność)</t>
        </is>
      </c>
      <c r="B4">
        <f>SUM(F13:F62)</f>
        <v/>
      </c>
    </row>
    <row r="5">
      <c r="A5" s="1" t="inlineStr">
        <is>
          <t>Zwroty = inwestycja − saldo (zł)</t>
        </is>
      </c>
      <c r="B5">
        <f>B3-B4</f>
        <v/>
      </c>
    </row>
    <row r="6">
      <c r="A6" s="1" t="inlineStr">
        <is>
          <t>ROI = (zwroty − inwestycja)/|inwestycja|</t>
        </is>
      </c>
      <c r="B6">
        <f>IF(B3=0,"—",(B5-B3)/ABS(B3))</f>
        <v/>
      </c>
    </row>
    <row r="7">
      <c r="A7" s="1" t="inlineStr">
        <is>
          <t>Rok zwrotu – sektor publiczny</t>
        </is>
      </c>
      <c r="B7">
        <f>IFERROR(INDEX(A13:A62,MATCH(1,M13:M62,0)),"brak w horyzoncie")</f>
        <v/>
      </c>
    </row>
    <row r="8">
      <c r="A8" s="1" t="inlineStr">
        <is>
          <t>Rok zwrotu – NFZ</t>
        </is>
      </c>
      <c r="B8">
        <f>IFERROR(INDEX(A13:A62,MATCH(1,N13:N62,0)),"brak w horyzoncie")</f>
        <v/>
      </c>
    </row>
    <row r="9">
      <c r="A9" s="1" t="inlineStr">
        <is>
          <t>Saldo netto NFZ (zdysk., zł)</t>
        </is>
      </c>
      <c r="B9">
        <f>SUM(E13:E62)</f>
        <v/>
      </c>
    </row>
    <row r="10">
      <c r="A10" s="1" t="inlineStr">
        <is>
          <t>ICER sektor publiczny (zł/QALY; &lt;0 = dominuje)</t>
        </is>
      </c>
      <c r="B10">
        <f>IFERROR(B4/SUM(P13:P62),"—")</f>
        <v/>
      </c>
    </row>
    <row r="12">
      <c r="A12" s="3" t="inlineStr">
        <is>
          <t>rok</t>
        </is>
      </c>
      <c r="B12" s="3" t="inlineStr">
        <is>
          <t>t</t>
        </is>
      </c>
      <c r="C12" s="3" t="inlineStr">
        <is>
          <t>DF koszty</t>
        </is>
      </c>
      <c r="D12" s="3" t="inlineStr">
        <is>
          <t>DF efekty</t>
        </is>
      </c>
      <c r="E12" s="3" t="inlineStr">
        <is>
          <t>Δ NFZ</t>
        </is>
      </c>
      <c r="F12" s="3" t="inlineStr">
        <is>
          <t>Δ publiczny</t>
        </is>
      </c>
      <c r="G12" s="3" t="inlineStr">
        <is>
          <t>Δ społeczny</t>
        </is>
      </c>
      <c r="H12" s="3" t="inlineStr">
        <is>
          <t>Δ inwestycja (publ.)</t>
        </is>
      </c>
      <c r="I12" s="3" t="inlineStr">
        <is>
          <t>skum. NFZ</t>
        </is>
      </c>
      <c r="J12" s="3" t="inlineStr">
        <is>
          <t>skum. publiczny</t>
        </is>
      </c>
      <c r="K12" s="3" t="inlineStr">
        <is>
          <t>skum. społeczny</t>
        </is>
      </c>
      <c r="L12" s="3" t="inlineStr">
        <is>
          <t>maks. dotąd (publ.)</t>
        </is>
      </c>
      <c r="M12" s="3" t="inlineStr">
        <is>
          <t>zwrot? (publ.)</t>
        </is>
      </c>
      <c r="N12" s="3" t="inlineStr">
        <is>
          <t>zwrot? (NFZ)</t>
        </is>
      </c>
      <c r="O12" s="3" t="inlineStr">
        <is>
          <t>maks. dotąd (NFZ)</t>
        </is>
      </c>
      <c r="P12" s="3" t="inlineStr">
        <is>
          <t>Δ QALY</t>
        </is>
      </c>
    </row>
    <row r="13">
      <c r="A13" t="n">
        <v>2026</v>
      </c>
      <c r="B13" t="n">
        <v>0</v>
      </c>
      <c r="C13">
        <f>IF(B13&lt;x_H,(1+x_dk)^(-B13),0)</f>
        <v/>
      </c>
      <c r="D13">
        <f>IF(B13&lt;x_H,(1+x_de)^(-B13),0)</f>
        <v/>
      </c>
      <c r="E13">
        <f>(L_I1!AN3-L_S1!AN3)*C13</f>
        <v/>
      </c>
      <c r="F13">
        <f>(L_I1!AO3-L_S1!AO3)*C13</f>
        <v/>
      </c>
      <c r="G13">
        <f>(L_I1!AP3-L_S1!AP3)*C13</f>
        <v/>
      </c>
      <c r="H13">
        <f>(L_I1!AR3-L_S1!AR3)*C13</f>
        <v/>
      </c>
      <c r="I13">
        <f>E13</f>
        <v/>
      </c>
      <c r="J13">
        <f>F13</f>
        <v/>
      </c>
      <c r="K13">
        <f>G13</f>
        <v/>
      </c>
      <c r="L13">
        <f>J13</f>
        <v/>
      </c>
      <c r="M13" t="n">
        <v>0</v>
      </c>
      <c r="N13" t="n">
        <v>0</v>
      </c>
      <c r="O13">
        <f>I13</f>
        <v/>
      </c>
      <c r="P13">
        <f>(L_I1!U3-L_S1!U3)*D13</f>
        <v/>
      </c>
    </row>
    <row r="14">
      <c r="A14" t="n">
        <v>2027</v>
      </c>
      <c r="B14" t="n">
        <v>1</v>
      </c>
      <c r="C14">
        <f>IF(B14&lt;x_H,(1+x_dk)^(-B14),0)</f>
        <v/>
      </c>
      <c r="D14">
        <f>IF(B14&lt;x_H,(1+x_de)^(-B14),0)</f>
        <v/>
      </c>
      <c r="E14">
        <f>(L_I1!AN4-L_S1!AN4)*C14</f>
        <v/>
      </c>
      <c r="F14">
        <f>(L_I1!AO4-L_S1!AO4)*C14</f>
        <v/>
      </c>
      <c r="G14">
        <f>(L_I1!AP4-L_S1!AP4)*C14</f>
        <v/>
      </c>
      <c r="H14">
        <f>(L_I1!AR4-L_S1!AR4)*C14</f>
        <v/>
      </c>
      <c r="I14">
        <f>I13+E14</f>
        <v/>
      </c>
      <c r="J14">
        <f>J13+F14</f>
        <v/>
      </c>
      <c r="K14">
        <f>K13+G14</f>
        <v/>
      </c>
      <c r="L14">
        <f>MAX(L13,J14)</f>
        <v/>
      </c>
      <c r="M14">
        <f>IF(AND(B14&lt;x_H,J14&lt;=0,L13&gt;0),1,0)</f>
        <v/>
      </c>
      <c r="N14">
        <f>IF(AND(B14&lt;x_H,I14&lt;=0,O13&gt;0),1,0)</f>
        <v/>
      </c>
      <c r="O14">
        <f>MAX(O13,I14)</f>
        <v/>
      </c>
      <c r="P14">
        <f>(L_I1!U4-L_S1!U4)*D14</f>
        <v/>
      </c>
    </row>
    <row r="15">
      <c r="A15" t="n">
        <v>2028</v>
      </c>
      <c r="B15" t="n">
        <v>2</v>
      </c>
      <c r="C15">
        <f>IF(B15&lt;x_H,(1+x_dk)^(-B15),0)</f>
        <v/>
      </c>
      <c r="D15">
        <f>IF(B15&lt;x_H,(1+x_de)^(-B15),0)</f>
        <v/>
      </c>
      <c r="E15">
        <f>(L_I1!AN5-L_S1!AN5)*C15</f>
        <v/>
      </c>
      <c r="F15">
        <f>(L_I1!AO5-L_S1!AO5)*C15</f>
        <v/>
      </c>
      <c r="G15">
        <f>(L_I1!AP5-L_S1!AP5)*C15</f>
        <v/>
      </c>
      <c r="H15">
        <f>(L_I1!AR5-L_S1!AR5)*C15</f>
        <v/>
      </c>
      <c r="I15">
        <f>I14+E15</f>
        <v/>
      </c>
      <c r="J15">
        <f>J14+F15</f>
        <v/>
      </c>
      <c r="K15">
        <f>K14+G15</f>
        <v/>
      </c>
      <c r="L15">
        <f>MAX(L14,J15)</f>
        <v/>
      </c>
      <c r="M15">
        <f>IF(AND(B15&lt;x_H,J15&lt;=0,L14&gt;0),1,0)</f>
        <v/>
      </c>
      <c r="N15">
        <f>IF(AND(B15&lt;x_H,I15&lt;=0,O14&gt;0),1,0)</f>
        <v/>
      </c>
      <c r="O15">
        <f>MAX(O14,I15)</f>
        <v/>
      </c>
      <c r="P15">
        <f>(L_I1!U5-L_S1!U5)*D15</f>
        <v/>
      </c>
    </row>
    <row r="16">
      <c r="A16" t="n">
        <v>2029</v>
      </c>
      <c r="B16" t="n">
        <v>3</v>
      </c>
      <c r="C16">
        <f>IF(B16&lt;x_H,(1+x_dk)^(-B16),0)</f>
        <v/>
      </c>
      <c r="D16">
        <f>IF(B16&lt;x_H,(1+x_de)^(-B16),0)</f>
        <v/>
      </c>
      <c r="E16">
        <f>(L_I1!AN6-L_S1!AN6)*C16</f>
        <v/>
      </c>
      <c r="F16">
        <f>(L_I1!AO6-L_S1!AO6)*C16</f>
        <v/>
      </c>
      <c r="G16">
        <f>(L_I1!AP6-L_S1!AP6)*C16</f>
        <v/>
      </c>
      <c r="H16">
        <f>(L_I1!AR6-L_S1!AR6)*C16</f>
        <v/>
      </c>
      <c r="I16">
        <f>I15+E16</f>
        <v/>
      </c>
      <c r="J16">
        <f>J15+F16</f>
        <v/>
      </c>
      <c r="K16">
        <f>K15+G16</f>
        <v/>
      </c>
      <c r="L16">
        <f>MAX(L15,J16)</f>
        <v/>
      </c>
      <c r="M16">
        <f>IF(AND(B16&lt;x_H,J16&lt;=0,L15&gt;0),1,0)</f>
        <v/>
      </c>
      <c r="N16">
        <f>IF(AND(B16&lt;x_H,I16&lt;=0,O15&gt;0),1,0)</f>
        <v/>
      </c>
      <c r="O16">
        <f>MAX(O15,I16)</f>
        <v/>
      </c>
      <c r="P16">
        <f>(L_I1!U6-L_S1!U6)*D16</f>
        <v/>
      </c>
    </row>
    <row r="17">
      <c r="A17" t="n">
        <v>2030</v>
      </c>
      <c r="B17" t="n">
        <v>4</v>
      </c>
      <c r="C17">
        <f>IF(B17&lt;x_H,(1+x_dk)^(-B17),0)</f>
        <v/>
      </c>
      <c r="D17">
        <f>IF(B17&lt;x_H,(1+x_de)^(-B17),0)</f>
        <v/>
      </c>
      <c r="E17">
        <f>(L_I1!AN7-L_S1!AN7)*C17</f>
        <v/>
      </c>
      <c r="F17">
        <f>(L_I1!AO7-L_S1!AO7)*C17</f>
        <v/>
      </c>
      <c r="G17">
        <f>(L_I1!AP7-L_S1!AP7)*C17</f>
        <v/>
      </c>
      <c r="H17">
        <f>(L_I1!AR7-L_S1!AR7)*C17</f>
        <v/>
      </c>
      <c r="I17">
        <f>I16+E17</f>
        <v/>
      </c>
      <c r="J17">
        <f>J16+F17</f>
        <v/>
      </c>
      <c r="K17">
        <f>K16+G17</f>
        <v/>
      </c>
      <c r="L17">
        <f>MAX(L16,J17)</f>
        <v/>
      </c>
      <c r="M17">
        <f>IF(AND(B17&lt;x_H,J17&lt;=0,L16&gt;0),1,0)</f>
        <v/>
      </c>
      <c r="N17">
        <f>IF(AND(B17&lt;x_H,I17&lt;=0,O16&gt;0),1,0)</f>
        <v/>
      </c>
      <c r="O17">
        <f>MAX(O16,I17)</f>
        <v/>
      </c>
      <c r="P17">
        <f>(L_I1!U7-L_S1!U7)*D17</f>
        <v/>
      </c>
    </row>
    <row r="18">
      <c r="A18" t="n">
        <v>2031</v>
      </c>
      <c r="B18" t="n">
        <v>5</v>
      </c>
      <c r="C18">
        <f>IF(B18&lt;x_H,(1+x_dk)^(-B18),0)</f>
        <v/>
      </c>
      <c r="D18">
        <f>IF(B18&lt;x_H,(1+x_de)^(-B18),0)</f>
        <v/>
      </c>
      <c r="E18">
        <f>(L_I1!AN8-L_S1!AN8)*C18</f>
        <v/>
      </c>
      <c r="F18">
        <f>(L_I1!AO8-L_S1!AO8)*C18</f>
        <v/>
      </c>
      <c r="G18">
        <f>(L_I1!AP8-L_S1!AP8)*C18</f>
        <v/>
      </c>
      <c r="H18">
        <f>(L_I1!AR8-L_S1!AR8)*C18</f>
        <v/>
      </c>
      <c r="I18">
        <f>I17+E18</f>
        <v/>
      </c>
      <c r="J18">
        <f>J17+F18</f>
        <v/>
      </c>
      <c r="K18">
        <f>K17+G18</f>
        <v/>
      </c>
      <c r="L18">
        <f>MAX(L17,J18)</f>
        <v/>
      </c>
      <c r="M18">
        <f>IF(AND(B18&lt;x_H,J18&lt;=0,L17&gt;0),1,0)</f>
        <v/>
      </c>
      <c r="N18">
        <f>IF(AND(B18&lt;x_H,I18&lt;=0,O17&gt;0),1,0)</f>
        <v/>
      </c>
      <c r="O18">
        <f>MAX(O17,I18)</f>
        <v/>
      </c>
      <c r="P18">
        <f>(L_I1!U8-L_S1!U8)*D18</f>
        <v/>
      </c>
    </row>
    <row r="19">
      <c r="A19" t="n">
        <v>2032</v>
      </c>
      <c r="B19" t="n">
        <v>6</v>
      </c>
      <c r="C19">
        <f>IF(B19&lt;x_H,(1+x_dk)^(-B19),0)</f>
        <v/>
      </c>
      <c r="D19">
        <f>IF(B19&lt;x_H,(1+x_de)^(-B19),0)</f>
        <v/>
      </c>
      <c r="E19">
        <f>(L_I1!AN9-L_S1!AN9)*C19</f>
        <v/>
      </c>
      <c r="F19">
        <f>(L_I1!AO9-L_S1!AO9)*C19</f>
        <v/>
      </c>
      <c r="G19">
        <f>(L_I1!AP9-L_S1!AP9)*C19</f>
        <v/>
      </c>
      <c r="H19">
        <f>(L_I1!AR9-L_S1!AR9)*C19</f>
        <v/>
      </c>
      <c r="I19">
        <f>I18+E19</f>
        <v/>
      </c>
      <c r="J19">
        <f>J18+F19</f>
        <v/>
      </c>
      <c r="K19">
        <f>K18+G19</f>
        <v/>
      </c>
      <c r="L19">
        <f>MAX(L18,J19)</f>
        <v/>
      </c>
      <c r="M19">
        <f>IF(AND(B19&lt;x_H,J19&lt;=0,L18&gt;0),1,0)</f>
        <v/>
      </c>
      <c r="N19">
        <f>IF(AND(B19&lt;x_H,I19&lt;=0,O18&gt;0),1,0)</f>
        <v/>
      </c>
      <c r="O19">
        <f>MAX(O18,I19)</f>
        <v/>
      </c>
      <c r="P19">
        <f>(L_I1!U9-L_S1!U9)*D19</f>
        <v/>
      </c>
    </row>
    <row r="20">
      <c r="A20" t="n">
        <v>2033</v>
      </c>
      <c r="B20" t="n">
        <v>7</v>
      </c>
      <c r="C20">
        <f>IF(B20&lt;x_H,(1+x_dk)^(-B20),0)</f>
        <v/>
      </c>
      <c r="D20">
        <f>IF(B20&lt;x_H,(1+x_de)^(-B20),0)</f>
        <v/>
      </c>
      <c r="E20">
        <f>(L_I1!AN10-L_S1!AN10)*C20</f>
        <v/>
      </c>
      <c r="F20">
        <f>(L_I1!AO10-L_S1!AO10)*C20</f>
        <v/>
      </c>
      <c r="G20">
        <f>(L_I1!AP10-L_S1!AP10)*C20</f>
        <v/>
      </c>
      <c r="H20">
        <f>(L_I1!AR10-L_S1!AR10)*C20</f>
        <v/>
      </c>
      <c r="I20">
        <f>I19+E20</f>
        <v/>
      </c>
      <c r="J20">
        <f>J19+F20</f>
        <v/>
      </c>
      <c r="K20">
        <f>K19+G20</f>
        <v/>
      </c>
      <c r="L20">
        <f>MAX(L19,J20)</f>
        <v/>
      </c>
      <c r="M20">
        <f>IF(AND(B20&lt;x_H,J20&lt;=0,L19&gt;0),1,0)</f>
        <v/>
      </c>
      <c r="N20">
        <f>IF(AND(B20&lt;x_H,I20&lt;=0,O19&gt;0),1,0)</f>
        <v/>
      </c>
      <c r="O20">
        <f>MAX(O19,I20)</f>
        <v/>
      </c>
      <c r="P20">
        <f>(L_I1!U10-L_S1!U10)*D20</f>
        <v/>
      </c>
    </row>
    <row r="21">
      <c r="A21" t="n">
        <v>2034</v>
      </c>
      <c r="B21" t="n">
        <v>8</v>
      </c>
      <c r="C21">
        <f>IF(B21&lt;x_H,(1+x_dk)^(-B21),0)</f>
        <v/>
      </c>
      <c r="D21">
        <f>IF(B21&lt;x_H,(1+x_de)^(-B21),0)</f>
        <v/>
      </c>
      <c r="E21">
        <f>(L_I1!AN11-L_S1!AN11)*C21</f>
        <v/>
      </c>
      <c r="F21">
        <f>(L_I1!AO11-L_S1!AO11)*C21</f>
        <v/>
      </c>
      <c r="G21">
        <f>(L_I1!AP11-L_S1!AP11)*C21</f>
        <v/>
      </c>
      <c r="H21">
        <f>(L_I1!AR11-L_S1!AR11)*C21</f>
        <v/>
      </c>
      <c r="I21">
        <f>I20+E21</f>
        <v/>
      </c>
      <c r="J21">
        <f>J20+F21</f>
        <v/>
      </c>
      <c r="K21">
        <f>K20+G21</f>
        <v/>
      </c>
      <c r="L21">
        <f>MAX(L20,J21)</f>
        <v/>
      </c>
      <c r="M21">
        <f>IF(AND(B21&lt;x_H,J21&lt;=0,L20&gt;0),1,0)</f>
        <v/>
      </c>
      <c r="N21">
        <f>IF(AND(B21&lt;x_H,I21&lt;=0,O20&gt;0),1,0)</f>
        <v/>
      </c>
      <c r="O21">
        <f>MAX(O20,I21)</f>
        <v/>
      </c>
      <c r="P21">
        <f>(L_I1!U11-L_S1!U11)*D21</f>
        <v/>
      </c>
    </row>
    <row r="22">
      <c r="A22" t="n">
        <v>2035</v>
      </c>
      <c r="B22" t="n">
        <v>9</v>
      </c>
      <c r="C22">
        <f>IF(B22&lt;x_H,(1+x_dk)^(-B22),0)</f>
        <v/>
      </c>
      <c r="D22">
        <f>IF(B22&lt;x_H,(1+x_de)^(-B22),0)</f>
        <v/>
      </c>
      <c r="E22">
        <f>(L_I1!AN12-L_S1!AN12)*C22</f>
        <v/>
      </c>
      <c r="F22">
        <f>(L_I1!AO12-L_S1!AO12)*C22</f>
        <v/>
      </c>
      <c r="G22">
        <f>(L_I1!AP12-L_S1!AP12)*C22</f>
        <v/>
      </c>
      <c r="H22">
        <f>(L_I1!AR12-L_S1!AR12)*C22</f>
        <v/>
      </c>
      <c r="I22">
        <f>I21+E22</f>
        <v/>
      </c>
      <c r="J22">
        <f>J21+F22</f>
        <v/>
      </c>
      <c r="K22">
        <f>K21+G22</f>
        <v/>
      </c>
      <c r="L22">
        <f>MAX(L21,J22)</f>
        <v/>
      </c>
      <c r="M22">
        <f>IF(AND(B22&lt;x_H,J22&lt;=0,L21&gt;0),1,0)</f>
        <v/>
      </c>
      <c r="N22">
        <f>IF(AND(B22&lt;x_H,I22&lt;=0,O21&gt;0),1,0)</f>
        <v/>
      </c>
      <c r="O22">
        <f>MAX(O21,I22)</f>
        <v/>
      </c>
      <c r="P22">
        <f>(L_I1!U12-L_S1!U12)*D22</f>
        <v/>
      </c>
    </row>
    <row r="23">
      <c r="A23" t="n">
        <v>2036</v>
      </c>
      <c r="B23" t="n">
        <v>10</v>
      </c>
      <c r="C23">
        <f>IF(B23&lt;x_H,(1+x_dk)^(-B23),0)</f>
        <v/>
      </c>
      <c r="D23">
        <f>IF(B23&lt;x_H,(1+x_de)^(-B23),0)</f>
        <v/>
      </c>
      <c r="E23">
        <f>(L_I1!AN13-L_S1!AN13)*C23</f>
        <v/>
      </c>
      <c r="F23">
        <f>(L_I1!AO13-L_S1!AO13)*C23</f>
        <v/>
      </c>
      <c r="G23">
        <f>(L_I1!AP13-L_S1!AP13)*C23</f>
        <v/>
      </c>
      <c r="H23">
        <f>(L_I1!AR13-L_S1!AR13)*C23</f>
        <v/>
      </c>
      <c r="I23">
        <f>I22+E23</f>
        <v/>
      </c>
      <c r="J23">
        <f>J22+F23</f>
        <v/>
      </c>
      <c r="K23">
        <f>K22+G23</f>
        <v/>
      </c>
      <c r="L23">
        <f>MAX(L22,J23)</f>
        <v/>
      </c>
      <c r="M23">
        <f>IF(AND(B23&lt;x_H,J23&lt;=0,L22&gt;0),1,0)</f>
        <v/>
      </c>
      <c r="N23">
        <f>IF(AND(B23&lt;x_H,I23&lt;=0,O22&gt;0),1,0)</f>
        <v/>
      </c>
      <c r="O23">
        <f>MAX(O22,I23)</f>
        <v/>
      </c>
      <c r="P23">
        <f>(L_I1!U13-L_S1!U13)*D23</f>
        <v/>
      </c>
    </row>
    <row r="24">
      <c r="A24" t="n">
        <v>2037</v>
      </c>
      <c r="B24" t="n">
        <v>11</v>
      </c>
      <c r="C24">
        <f>IF(B24&lt;x_H,(1+x_dk)^(-B24),0)</f>
        <v/>
      </c>
      <c r="D24">
        <f>IF(B24&lt;x_H,(1+x_de)^(-B24),0)</f>
        <v/>
      </c>
      <c r="E24">
        <f>(L_I1!AN14-L_S1!AN14)*C24</f>
        <v/>
      </c>
      <c r="F24">
        <f>(L_I1!AO14-L_S1!AO14)*C24</f>
        <v/>
      </c>
      <c r="G24">
        <f>(L_I1!AP14-L_S1!AP14)*C24</f>
        <v/>
      </c>
      <c r="H24">
        <f>(L_I1!AR14-L_S1!AR14)*C24</f>
        <v/>
      </c>
      <c r="I24">
        <f>I23+E24</f>
        <v/>
      </c>
      <c r="J24">
        <f>J23+F24</f>
        <v/>
      </c>
      <c r="K24">
        <f>K23+G24</f>
        <v/>
      </c>
      <c r="L24">
        <f>MAX(L23,J24)</f>
        <v/>
      </c>
      <c r="M24">
        <f>IF(AND(B24&lt;x_H,J24&lt;=0,L23&gt;0),1,0)</f>
        <v/>
      </c>
      <c r="N24">
        <f>IF(AND(B24&lt;x_H,I24&lt;=0,O23&gt;0),1,0)</f>
        <v/>
      </c>
      <c r="O24">
        <f>MAX(O23,I24)</f>
        <v/>
      </c>
      <c r="P24">
        <f>(L_I1!U14-L_S1!U14)*D24</f>
        <v/>
      </c>
    </row>
    <row r="25">
      <c r="A25" t="n">
        <v>2038</v>
      </c>
      <c r="B25" t="n">
        <v>12</v>
      </c>
      <c r="C25">
        <f>IF(B25&lt;x_H,(1+x_dk)^(-B25),0)</f>
        <v/>
      </c>
      <c r="D25">
        <f>IF(B25&lt;x_H,(1+x_de)^(-B25),0)</f>
        <v/>
      </c>
      <c r="E25">
        <f>(L_I1!AN15-L_S1!AN15)*C25</f>
        <v/>
      </c>
      <c r="F25">
        <f>(L_I1!AO15-L_S1!AO15)*C25</f>
        <v/>
      </c>
      <c r="G25">
        <f>(L_I1!AP15-L_S1!AP15)*C25</f>
        <v/>
      </c>
      <c r="H25">
        <f>(L_I1!AR15-L_S1!AR15)*C25</f>
        <v/>
      </c>
      <c r="I25">
        <f>I24+E25</f>
        <v/>
      </c>
      <c r="J25">
        <f>J24+F25</f>
        <v/>
      </c>
      <c r="K25">
        <f>K24+G25</f>
        <v/>
      </c>
      <c r="L25">
        <f>MAX(L24,J25)</f>
        <v/>
      </c>
      <c r="M25">
        <f>IF(AND(B25&lt;x_H,J25&lt;=0,L24&gt;0),1,0)</f>
        <v/>
      </c>
      <c r="N25">
        <f>IF(AND(B25&lt;x_H,I25&lt;=0,O24&gt;0),1,0)</f>
        <v/>
      </c>
      <c r="O25">
        <f>MAX(O24,I25)</f>
        <v/>
      </c>
      <c r="P25">
        <f>(L_I1!U15-L_S1!U15)*D25</f>
        <v/>
      </c>
    </row>
    <row r="26">
      <c r="A26" t="n">
        <v>2039</v>
      </c>
      <c r="B26" t="n">
        <v>13</v>
      </c>
      <c r="C26">
        <f>IF(B26&lt;x_H,(1+x_dk)^(-B26),0)</f>
        <v/>
      </c>
      <c r="D26">
        <f>IF(B26&lt;x_H,(1+x_de)^(-B26),0)</f>
        <v/>
      </c>
      <c r="E26">
        <f>(L_I1!AN16-L_S1!AN16)*C26</f>
        <v/>
      </c>
      <c r="F26">
        <f>(L_I1!AO16-L_S1!AO16)*C26</f>
        <v/>
      </c>
      <c r="G26">
        <f>(L_I1!AP16-L_S1!AP16)*C26</f>
        <v/>
      </c>
      <c r="H26">
        <f>(L_I1!AR16-L_S1!AR16)*C26</f>
        <v/>
      </c>
      <c r="I26">
        <f>I25+E26</f>
        <v/>
      </c>
      <c r="J26">
        <f>J25+F26</f>
        <v/>
      </c>
      <c r="K26">
        <f>K25+G26</f>
        <v/>
      </c>
      <c r="L26">
        <f>MAX(L25,J26)</f>
        <v/>
      </c>
      <c r="M26">
        <f>IF(AND(B26&lt;x_H,J26&lt;=0,L25&gt;0),1,0)</f>
        <v/>
      </c>
      <c r="N26">
        <f>IF(AND(B26&lt;x_H,I26&lt;=0,O25&gt;0),1,0)</f>
        <v/>
      </c>
      <c r="O26">
        <f>MAX(O25,I26)</f>
        <v/>
      </c>
      <c r="P26">
        <f>(L_I1!U16-L_S1!U16)*D26</f>
        <v/>
      </c>
    </row>
    <row r="27">
      <c r="A27" t="n">
        <v>2040</v>
      </c>
      <c r="B27" t="n">
        <v>14</v>
      </c>
      <c r="C27">
        <f>IF(B27&lt;x_H,(1+x_dk)^(-B27),0)</f>
        <v/>
      </c>
      <c r="D27">
        <f>IF(B27&lt;x_H,(1+x_de)^(-B27),0)</f>
        <v/>
      </c>
      <c r="E27">
        <f>(L_I1!AN17-L_S1!AN17)*C27</f>
        <v/>
      </c>
      <c r="F27">
        <f>(L_I1!AO17-L_S1!AO17)*C27</f>
        <v/>
      </c>
      <c r="G27">
        <f>(L_I1!AP17-L_S1!AP17)*C27</f>
        <v/>
      </c>
      <c r="H27">
        <f>(L_I1!AR17-L_S1!AR17)*C27</f>
        <v/>
      </c>
      <c r="I27">
        <f>I26+E27</f>
        <v/>
      </c>
      <c r="J27">
        <f>J26+F27</f>
        <v/>
      </c>
      <c r="K27">
        <f>K26+G27</f>
        <v/>
      </c>
      <c r="L27">
        <f>MAX(L26,J27)</f>
        <v/>
      </c>
      <c r="M27">
        <f>IF(AND(B27&lt;x_H,J27&lt;=0,L26&gt;0),1,0)</f>
        <v/>
      </c>
      <c r="N27">
        <f>IF(AND(B27&lt;x_H,I27&lt;=0,O26&gt;0),1,0)</f>
        <v/>
      </c>
      <c r="O27">
        <f>MAX(O26,I27)</f>
        <v/>
      </c>
      <c r="P27">
        <f>(L_I1!U17-L_S1!U17)*D27</f>
        <v/>
      </c>
    </row>
    <row r="28">
      <c r="A28" t="n">
        <v>2041</v>
      </c>
      <c r="B28" t="n">
        <v>15</v>
      </c>
      <c r="C28">
        <f>IF(B28&lt;x_H,(1+x_dk)^(-B28),0)</f>
        <v/>
      </c>
      <c r="D28">
        <f>IF(B28&lt;x_H,(1+x_de)^(-B28),0)</f>
        <v/>
      </c>
      <c r="E28">
        <f>(L_I1!AN18-L_S1!AN18)*C28</f>
        <v/>
      </c>
      <c r="F28">
        <f>(L_I1!AO18-L_S1!AO18)*C28</f>
        <v/>
      </c>
      <c r="G28">
        <f>(L_I1!AP18-L_S1!AP18)*C28</f>
        <v/>
      </c>
      <c r="H28">
        <f>(L_I1!AR18-L_S1!AR18)*C28</f>
        <v/>
      </c>
      <c r="I28">
        <f>I27+E28</f>
        <v/>
      </c>
      <c r="J28">
        <f>J27+F28</f>
        <v/>
      </c>
      <c r="K28">
        <f>K27+G28</f>
        <v/>
      </c>
      <c r="L28">
        <f>MAX(L27,J28)</f>
        <v/>
      </c>
      <c r="M28">
        <f>IF(AND(B28&lt;x_H,J28&lt;=0,L27&gt;0),1,0)</f>
        <v/>
      </c>
      <c r="N28">
        <f>IF(AND(B28&lt;x_H,I28&lt;=0,O27&gt;0),1,0)</f>
        <v/>
      </c>
      <c r="O28">
        <f>MAX(O27,I28)</f>
        <v/>
      </c>
      <c r="P28">
        <f>(L_I1!U18-L_S1!U18)*D28</f>
        <v/>
      </c>
    </row>
    <row r="29">
      <c r="A29" t="n">
        <v>2042</v>
      </c>
      <c r="B29" t="n">
        <v>16</v>
      </c>
      <c r="C29">
        <f>IF(B29&lt;x_H,(1+x_dk)^(-B29),0)</f>
        <v/>
      </c>
      <c r="D29">
        <f>IF(B29&lt;x_H,(1+x_de)^(-B29),0)</f>
        <v/>
      </c>
      <c r="E29">
        <f>(L_I1!AN19-L_S1!AN19)*C29</f>
        <v/>
      </c>
      <c r="F29">
        <f>(L_I1!AO19-L_S1!AO19)*C29</f>
        <v/>
      </c>
      <c r="G29">
        <f>(L_I1!AP19-L_S1!AP19)*C29</f>
        <v/>
      </c>
      <c r="H29">
        <f>(L_I1!AR19-L_S1!AR19)*C29</f>
        <v/>
      </c>
      <c r="I29">
        <f>I28+E29</f>
        <v/>
      </c>
      <c r="J29">
        <f>J28+F29</f>
        <v/>
      </c>
      <c r="K29">
        <f>K28+G29</f>
        <v/>
      </c>
      <c r="L29">
        <f>MAX(L28,J29)</f>
        <v/>
      </c>
      <c r="M29">
        <f>IF(AND(B29&lt;x_H,J29&lt;=0,L28&gt;0),1,0)</f>
        <v/>
      </c>
      <c r="N29">
        <f>IF(AND(B29&lt;x_H,I29&lt;=0,O28&gt;0),1,0)</f>
        <v/>
      </c>
      <c r="O29">
        <f>MAX(O28,I29)</f>
        <v/>
      </c>
      <c r="P29">
        <f>(L_I1!U19-L_S1!U19)*D29</f>
        <v/>
      </c>
    </row>
    <row r="30">
      <c r="A30" t="n">
        <v>2043</v>
      </c>
      <c r="B30" t="n">
        <v>17</v>
      </c>
      <c r="C30">
        <f>IF(B30&lt;x_H,(1+x_dk)^(-B30),0)</f>
        <v/>
      </c>
      <c r="D30">
        <f>IF(B30&lt;x_H,(1+x_de)^(-B30),0)</f>
        <v/>
      </c>
      <c r="E30">
        <f>(L_I1!AN20-L_S1!AN20)*C30</f>
        <v/>
      </c>
      <c r="F30">
        <f>(L_I1!AO20-L_S1!AO20)*C30</f>
        <v/>
      </c>
      <c r="G30">
        <f>(L_I1!AP20-L_S1!AP20)*C30</f>
        <v/>
      </c>
      <c r="H30">
        <f>(L_I1!AR20-L_S1!AR20)*C30</f>
        <v/>
      </c>
      <c r="I30">
        <f>I29+E30</f>
        <v/>
      </c>
      <c r="J30">
        <f>J29+F30</f>
        <v/>
      </c>
      <c r="K30">
        <f>K29+G30</f>
        <v/>
      </c>
      <c r="L30">
        <f>MAX(L29,J30)</f>
        <v/>
      </c>
      <c r="M30">
        <f>IF(AND(B30&lt;x_H,J30&lt;=0,L29&gt;0),1,0)</f>
        <v/>
      </c>
      <c r="N30">
        <f>IF(AND(B30&lt;x_H,I30&lt;=0,O29&gt;0),1,0)</f>
        <v/>
      </c>
      <c r="O30">
        <f>MAX(O29,I30)</f>
        <v/>
      </c>
      <c r="P30">
        <f>(L_I1!U20-L_S1!U20)*D30</f>
        <v/>
      </c>
    </row>
    <row r="31">
      <c r="A31" t="n">
        <v>2044</v>
      </c>
      <c r="B31" t="n">
        <v>18</v>
      </c>
      <c r="C31">
        <f>IF(B31&lt;x_H,(1+x_dk)^(-B31),0)</f>
        <v/>
      </c>
      <c r="D31">
        <f>IF(B31&lt;x_H,(1+x_de)^(-B31),0)</f>
        <v/>
      </c>
      <c r="E31">
        <f>(L_I1!AN21-L_S1!AN21)*C31</f>
        <v/>
      </c>
      <c r="F31">
        <f>(L_I1!AO21-L_S1!AO21)*C31</f>
        <v/>
      </c>
      <c r="G31">
        <f>(L_I1!AP21-L_S1!AP21)*C31</f>
        <v/>
      </c>
      <c r="H31">
        <f>(L_I1!AR21-L_S1!AR21)*C31</f>
        <v/>
      </c>
      <c r="I31">
        <f>I30+E31</f>
        <v/>
      </c>
      <c r="J31">
        <f>J30+F31</f>
        <v/>
      </c>
      <c r="K31">
        <f>K30+G31</f>
        <v/>
      </c>
      <c r="L31">
        <f>MAX(L30,J31)</f>
        <v/>
      </c>
      <c r="M31">
        <f>IF(AND(B31&lt;x_H,J31&lt;=0,L30&gt;0),1,0)</f>
        <v/>
      </c>
      <c r="N31">
        <f>IF(AND(B31&lt;x_H,I31&lt;=0,O30&gt;0),1,0)</f>
        <v/>
      </c>
      <c r="O31">
        <f>MAX(O30,I31)</f>
        <v/>
      </c>
      <c r="P31">
        <f>(L_I1!U21-L_S1!U21)*D31</f>
        <v/>
      </c>
    </row>
    <row r="32">
      <c r="A32" t="n">
        <v>2045</v>
      </c>
      <c r="B32" t="n">
        <v>19</v>
      </c>
      <c r="C32">
        <f>IF(B32&lt;x_H,(1+x_dk)^(-B32),0)</f>
        <v/>
      </c>
      <c r="D32">
        <f>IF(B32&lt;x_H,(1+x_de)^(-B32),0)</f>
        <v/>
      </c>
      <c r="E32">
        <f>(L_I1!AN22-L_S1!AN22)*C32</f>
        <v/>
      </c>
      <c r="F32">
        <f>(L_I1!AO22-L_S1!AO22)*C32</f>
        <v/>
      </c>
      <c r="G32">
        <f>(L_I1!AP22-L_S1!AP22)*C32</f>
        <v/>
      </c>
      <c r="H32">
        <f>(L_I1!AR22-L_S1!AR22)*C32</f>
        <v/>
      </c>
      <c r="I32">
        <f>I31+E32</f>
        <v/>
      </c>
      <c r="J32">
        <f>J31+F32</f>
        <v/>
      </c>
      <c r="K32">
        <f>K31+G32</f>
        <v/>
      </c>
      <c r="L32">
        <f>MAX(L31,J32)</f>
        <v/>
      </c>
      <c r="M32">
        <f>IF(AND(B32&lt;x_H,J32&lt;=0,L31&gt;0),1,0)</f>
        <v/>
      </c>
      <c r="N32">
        <f>IF(AND(B32&lt;x_H,I32&lt;=0,O31&gt;0),1,0)</f>
        <v/>
      </c>
      <c r="O32">
        <f>MAX(O31,I32)</f>
        <v/>
      </c>
      <c r="P32">
        <f>(L_I1!U22-L_S1!U22)*D32</f>
        <v/>
      </c>
    </row>
    <row r="33">
      <c r="A33" t="n">
        <v>2046</v>
      </c>
      <c r="B33" t="n">
        <v>20</v>
      </c>
      <c r="C33">
        <f>IF(B33&lt;x_H,(1+x_dk)^(-B33),0)</f>
        <v/>
      </c>
      <c r="D33">
        <f>IF(B33&lt;x_H,(1+x_de)^(-B33),0)</f>
        <v/>
      </c>
      <c r="E33">
        <f>(L_I1!AN23-L_S1!AN23)*C33</f>
        <v/>
      </c>
      <c r="F33">
        <f>(L_I1!AO23-L_S1!AO23)*C33</f>
        <v/>
      </c>
      <c r="G33">
        <f>(L_I1!AP23-L_S1!AP23)*C33</f>
        <v/>
      </c>
      <c r="H33">
        <f>(L_I1!AR23-L_S1!AR23)*C33</f>
        <v/>
      </c>
      <c r="I33">
        <f>I32+E33</f>
        <v/>
      </c>
      <c r="J33">
        <f>J32+F33</f>
        <v/>
      </c>
      <c r="K33">
        <f>K32+G33</f>
        <v/>
      </c>
      <c r="L33">
        <f>MAX(L32,J33)</f>
        <v/>
      </c>
      <c r="M33">
        <f>IF(AND(B33&lt;x_H,J33&lt;=0,L32&gt;0),1,0)</f>
        <v/>
      </c>
      <c r="N33">
        <f>IF(AND(B33&lt;x_H,I33&lt;=0,O32&gt;0),1,0)</f>
        <v/>
      </c>
      <c r="O33">
        <f>MAX(O32,I33)</f>
        <v/>
      </c>
      <c r="P33">
        <f>(L_I1!U23-L_S1!U23)*D33</f>
        <v/>
      </c>
    </row>
    <row r="34">
      <c r="A34" t="n">
        <v>2047</v>
      </c>
      <c r="B34" t="n">
        <v>21</v>
      </c>
      <c r="C34">
        <f>IF(B34&lt;x_H,(1+x_dk)^(-B34),0)</f>
        <v/>
      </c>
      <c r="D34">
        <f>IF(B34&lt;x_H,(1+x_de)^(-B34),0)</f>
        <v/>
      </c>
      <c r="E34">
        <f>(L_I1!AN24-L_S1!AN24)*C34</f>
        <v/>
      </c>
      <c r="F34">
        <f>(L_I1!AO24-L_S1!AO24)*C34</f>
        <v/>
      </c>
      <c r="G34">
        <f>(L_I1!AP24-L_S1!AP24)*C34</f>
        <v/>
      </c>
      <c r="H34">
        <f>(L_I1!AR24-L_S1!AR24)*C34</f>
        <v/>
      </c>
      <c r="I34">
        <f>I33+E34</f>
        <v/>
      </c>
      <c r="J34">
        <f>J33+F34</f>
        <v/>
      </c>
      <c r="K34">
        <f>K33+G34</f>
        <v/>
      </c>
      <c r="L34">
        <f>MAX(L33,J34)</f>
        <v/>
      </c>
      <c r="M34">
        <f>IF(AND(B34&lt;x_H,J34&lt;=0,L33&gt;0),1,0)</f>
        <v/>
      </c>
      <c r="N34">
        <f>IF(AND(B34&lt;x_H,I34&lt;=0,O33&gt;0),1,0)</f>
        <v/>
      </c>
      <c r="O34">
        <f>MAX(O33,I34)</f>
        <v/>
      </c>
      <c r="P34">
        <f>(L_I1!U24-L_S1!U24)*D34</f>
        <v/>
      </c>
    </row>
    <row r="35">
      <c r="A35" t="n">
        <v>2048</v>
      </c>
      <c r="B35" t="n">
        <v>22</v>
      </c>
      <c r="C35">
        <f>IF(B35&lt;x_H,(1+x_dk)^(-B35),0)</f>
        <v/>
      </c>
      <c r="D35">
        <f>IF(B35&lt;x_H,(1+x_de)^(-B35),0)</f>
        <v/>
      </c>
      <c r="E35">
        <f>(L_I1!AN25-L_S1!AN25)*C35</f>
        <v/>
      </c>
      <c r="F35">
        <f>(L_I1!AO25-L_S1!AO25)*C35</f>
        <v/>
      </c>
      <c r="G35">
        <f>(L_I1!AP25-L_S1!AP25)*C35</f>
        <v/>
      </c>
      <c r="H35">
        <f>(L_I1!AR25-L_S1!AR25)*C35</f>
        <v/>
      </c>
      <c r="I35">
        <f>I34+E35</f>
        <v/>
      </c>
      <c r="J35">
        <f>J34+F35</f>
        <v/>
      </c>
      <c r="K35">
        <f>K34+G35</f>
        <v/>
      </c>
      <c r="L35">
        <f>MAX(L34,J35)</f>
        <v/>
      </c>
      <c r="M35">
        <f>IF(AND(B35&lt;x_H,J35&lt;=0,L34&gt;0),1,0)</f>
        <v/>
      </c>
      <c r="N35">
        <f>IF(AND(B35&lt;x_H,I35&lt;=0,O34&gt;0),1,0)</f>
        <v/>
      </c>
      <c r="O35">
        <f>MAX(O34,I35)</f>
        <v/>
      </c>
      <c r="P35">
        <f>(L_I1!U25-L_S1!U25)*D35</f>
        <v/>
      </c>
    </row>
    <row r="36">
      <c r="A36" t="n">
        <v>2049</v>
      </c>
      <c r="B36" t="n">
        <v>23</v>
      </c>
      <c r="C36">
        <f>IF(B36&lt;x_H,(1+x_dk)^(-B36),0)</f>
        <v/>
      </c>
      <c r="D36">
        <f>IF(B36&lt;x_H,(1+x_de)^(-B36),0)</f>
        <v/>
      </c>
      <c r="E36">
        <f>(L_I1!AN26-L_S1!AN26)*C36</f>
        <v/>
      </c>
      <c r="F36">
        <f>(L_I1!AO26-L_S1!AO26)*C36</f>
        <v/>
      </c>
      <c r="G36">
        <f>(L_I1!AP26-L_S1!AP26)*C36</f>
        <v/>
      </c>
      <c r="H36">
        <f>(L_I1!AR26-L_S1!AR26)*C36</f>
        <v/>
      </c>
      <c r="I36">
        <f>I35+E36</f>
        <v/>
      </c>
      <c r="J36">
        <f>J35+F36</f>
        <v/>
      </c>
      <c r="K36">
        <f>K35+G36</f>
        <v/>
      </c>
      <c r="L36">
        <f>MAX(L35,J36)</f>
        <v/>
      </c>
      <c r="M36">
        <f>IF(AND(B36&lt;x_H,J36&lt;=0,L35&gt;0),1,0)</f>
        <v/>
      </c>
      <c r="N36">
        <f>IF(AND(B36&lt;x_H,I36&lt;=0,O35&gt;0),1,0)</f>
        <v/>
      </c>
      <c r="O36">
        <f>MAX(O35,I36)</f>
        <v/>
      </c>
      <c r="P36">
        <f>(L_I1!U26-L_S1!U26)*D36</f>
        <v/>
      </c>
    </row>
    <row r="37">
      <c r="A37" t="n">
        <v>2050</v>
      </c>
      <c r="B37" t="n">
        <v>24</v>
      </c>
      <c r="C37">
        <f>IF(B37&lt;x_H,(1+x_dk)^(-B37),0)</f>
        <v/>
      </c>
      <c r="D37">
        <f>IF(B37&lt;x_H,(1+x_de)^(-B37),0)</f>
        <v/>
      </c>
      <c r="E37">
        <f>(L_I1!AN27-L_S1!AN27)*C37</f>
        <v/>
      </c>
      <c r="F37">
        <f>(L_I1!AO27-L_S1!AO27)*C37</f>
        <v/>
      </c>
      <c r="G37">
        <f>(L_I1!AP27-L_S1!AP27)*C37</f>
        <v/>
      </c>
      <c r="H37">
        <f>(L_I1!AR27-L_S1!AR27)*C37</f>
        <v/>
      </c>
      <c r="I37">
        <f>I36+E37</f>
        <v/>
      </c>
      <c r="J37">
        <f>J36+F37</f>
        <v/>
      </c>
      <c r="K37">
        <f>K36+G37</f>
        <v/>
      </c>
      <c r="L37">
        <f>MAX(L36,J37)</f>
        <v/>
      </c>
      <c r="M37">
        <f>IF(AND(B37&lt;x_H,J37&lt;=0,L36&gt;0),1,0)</f>
        <v/>
      </c>
      <c r="N37">
        <f>IF(AND(B37&lt;x_H,I37&lt;=0,O36&gt;0),1,0)</f>
        <v/>
      </c>
      <c r="O37">
        <f>MAX(O36,I37)</f>
        <v/>
      </c>
      <c r="P37">
        <f>(L_I1!U27-L_S1!U27)*D37</f>
        <v/>
      </c>
    </row>
    <row r="38">
      <c r="A38" t="n">
        <v>2051</v>
      </c>
      <c r="B38" t="n">
        <v>25</v>
      </c>
      <c r="C38">
        <f>IF(B38&lt;x_H,(1+x_dk)^(-B38),0)</f>
        <v/>
      </c>
      <c r="D38">
        <f>IF(B38&lt;x_H,(1+x_de)^(-B38),0)</f>
        <v/>
      </c>
      <c r="E38">
        <f>(L_I1!AN28-L_S1!AN28)*C38</f>
        <v/>
      </c>
      <c r="F38">
        <f>(L_I1!AO28-L_S1!AO28)*C38</f>
        <v/>
      </c>
      <c r="G38">
        <f>(L_I1!AP28-L_S1!AP28)*C38</f>
        <v/>
      </c>
      <c r="H38">
        <f>(L_I1!AR28-L_S1!AR28)*C38</f>
        <v/>
      </c>
      <c r="I38">
        <f>I37+E38</f>
        <v/>
      </c>
      <c r="J38">
        <f>J37+F38</f>
        <v/>
      </c>
      <c r="K38">
        <f>K37+G38</f>
        <v/>
      </c>
      <c r="L38">
        <f>MAX(L37,J38)</f>
        <v/>
      </c>
      <c r="M38">
        <f>IF(AND(B38&lt;x_H,J38&lt;=0,L37&gt;0),1,0)</f>
        <v/>
      </c>
      <c r="N38">
        <f>IF(AND(B38&lt;x_H,I38&lt;=0,O37&gt;0),1,0)</f>
        <v/>
      </c>
      <c r="O38">
        <f>MAX(O37,I38)</f>
        <v/>
      </c>
      <c r="P38">
        <f>(L_I1!U28-L_S1!U28)*D38</f>
        <v/>
      </c>
    </row>
    <row r="39">
      <c r="A39" t="n">
        <v>2052</v>
      </c>
      <c r="B39" t="n">
        <v>26</v>
      </c>
      <c r="C39">
        <f>IF(B39&lt;x_H,(1+x_dk)^(-B39),0)</f>
        <v/>
      </c>
      <c r="D39">
        <f>IF(B39&lt;x_H,(1+x_de)^(-B39),0)</f>
        <v/>
      </c>
      <c r="E39">
        <f>(L_I1!AN29-L_S1!AN29)*C39</f>
        <v/>
      </c>
      <c r="F39">
        <f>(L_I1!AO29-L_S1!AO29)*C39</f>
        <v/>
      </c>
      <c r="G39">
        <f>(L_I1!AP29-L_S1!AP29)*C39</f>
        <v/>
      </c>
      <c r="H39">
        <f>(L_I1!AR29-L_S1!AR29)*C39</f>
        <v/>
      </c>
      <c r="I39">
        <f>I38+E39</f>
        <v/>
      </c>
      <c r="J39">
        <f>J38+F39</f>
        <v/>
      </c>
      <c r="K39">
        <f>K38+G39</f>
        <v/>
      </c>
      <c r="L39">
        <f>MAX(L38,J39)</f>
        <v/>
      </c>
      <c r="M39">
        <f>IF(AND(B39&lt;x_H,J39&lt;=0,L38&gt;0),1,0)</f>
        <v/>
      </c>
      <c r="N39">
        <f>IF(AND(B39&lt;x_H,I39&lt;=0,O38&gt;0),1,0)</f>
        <v/>
      </c>
      <c r="O39">
        <f>MAX(O38,I39)</f>
        <v/>
      </c>
      <c r="P39">
        <f>(L_I1!U29-L_S1!U29)*D39</f>
        <v/>
      </c>
    </row>
    <row r="40">
      <c r="A40" t="n">
        <v>2053</v>
      </c>
      <c r="B40" t="n">
        <v>27</v>
      </c>
      <c r="C40">
        <f>IF(B40&lt;x_H,(1+x_dk)^(-B40),0)</f>
        <v/>
      </c>
      <c r="D40">
        <f>IF(B40&lt;x_H,(1+x_de)^(-B40),0)</f>
        <v/>
      </c>
      <c r="E40">
        <f>(L_I1!AN30-L_S1!AN30)*C40</f>
        <v/>
      </c>
      <c r="F40">
        <f>(L_I1!AO30-L_S1!AO30)*C40</f>
        <v/>
      </c>
      <c r="G40">
        <f>(L_I1!AP30-L_S1!AP30)*C40</f>
        <v/>
      </c>
      <c r="H40">
        <f>(L_I1!AR30-L_S1!AR30)*C40</f>
        <v/>
      </c>
      <c r="I40">
        <f>I39+E40</f>
        <v/>
      </c>
      <c r="J40">
        <f>J39+F40</f>
        <v/>
      </c>
      <c r="K40">
        <f>K39+G40</f>
        <v/>
      </c>
      <c r="L40">
        <f>MAX(L39,J40)</f>
        <v/>
      </c>
      <c r="M40">
        <f>IF(AND(B40&lt;x_H,J40&lt;=0,L39&gt;0),1,0)</f>
        <v/>
      </c>
      <c r="N40">
        <f>IF(AND(B40&lt;x_H,I40&lt;=0,O39&gt;0),1,0)</f>
        <v/>
      </c>
      <c r="O40">
        <f>MAX(O39,I40)</f>
        <v/>
      </c>
      <c r="P40">
        <f>(L_I1!U30-L_S1!U30)*D40</f>
        <v/>
      </c>
    </row>
    <row r="41">
      <c r="A41" t="n">
        <v>2054</v>
      </c>
      <c r="B41" t="n">
        <v>28</v>
      </c>
      <c r="C41">
        <f>IF(B41&lt;x_H,(1+x_dk)^(-B41),0)</f>
        <v/>
      </c>
      <c r="D41">
        <f>IF(B41&lt;x_H,(1+x_de)^(-B41),0)</f>
        <v/>
      </c>
      <c r="E41">
        <f>(L_I1!AN31-L_S1!AN31)*C41</f>
        <v/>
      </c>
      <c r="F41">
        <f>(L_I1!AO31-L_S1!AO31)*C41</f>
        <v/>
      </c>
      <c r="G41">
        <f>(L_I1!AP31-L_S1!AP31)*C41</f>
        <v/>
      </c>
      <c r="H41">
        <f>(L_I1!AR31-L_S1!AR31)*C41</f>
        <v/>
      </c>
      <c r="I41">
        <f>I40+E41</f>
        <v/>
      </c>
      <c r="J41">
        <f>J40+F41</f>
        <v/>
      </c>
      <c r="K41">
        <f>K40+G41</f>
        <v/>
      </c>
      <c r="L41">
        <f>MAX(L40,J41)</f>
        <v/>
      </c>
      <c r="M41">
        <f>IF(AND(B41&lt;x_H,J41&lt;=0,L40&gt;0),1,0)</f>
        <v/>
      </c>
      <c r="N41">
        <f>IF(AND(B41&lt;x_H,I41&lt;=0,O40&gt;0),1,0)</f>
        <v/>
      </c>
      <c r="O41">
        <f>MAX(O40,I41)</f>
        <v/>
      </c>
      <c r="P41">
        <f>(L_I1!U31-L_S1!U31)*D41</f>
        <v/>
      </c>
    </row>
    <row r="42">
      <c r="A42" t="n">
        <v>2055</v>
      </c>
      <c r="B42" t="n">
        <v>29</v>
      </c>
      <c r="C42">
        <f>IF(B42&lt;x_H,(1+x_dk)^(-B42),0)</f>
        <v/>
      </c>
      <c r="D42">
        <f>IF(B42&lt;x_H,(1+x_de)^(-B42),0)</f>
        <v/>
      </c>
      <c r="E42">
        <f>(L_I1!AN32-L_S1!AN32)*C42</f>
        <v/>
      </c>
      <c r="F42">
        <f>(L_I1!AO32-L_S1!AO32)*C42</f>
        <v/>
      </c>
      <c r="G42">
        <f>(L_I1!AP32-L_S1!AP32)*C42</f>
        <v/>
      </c>
      <c r="H42">
        <f>(L_I1!AR32-L_S1!AR32)*C42</f>
        <v/>
      </c>
      <c r="I42">
        <f>I41+E42</f>
        <v/>
      </c>
      <c r="J42">
        <f>J41+F42</f>
        <v/>
      </c>
      <c r="K42">
        <f>K41+G42</f>
        <v/>
      </c>
      <c r="L42">
        <f>MAX(L41,J42)</f>
        <v/>
      </c>
      <c r="M42">
        <f>IF(AND(B42&lt;x_H,J42&lt;=0,L41&gt;0),1,0)</f>
        <v/>
      </c>
      <c r="N42">
        <f>IF(AND(B42&lt;x_H,I42&lt;=0,O41&gt;0),1,0)</f>
        <v/>
      </c>
      <c r="O42">
        <f>MAX(O41,I42)</f>
        <v/>
      </c>
      <c r="P42">
        <f>(L_I1!U32-L_S1!U32)*D42</f>
        <v/>
      </c>
    </row>
    <row r="43">
      <c r="A43" t="n">
        <v>2056</v>
      </c>
      <c r="B43" t="n">
        <v>30</v>
      </c>
      <c r="C43">
        <f>IF(B43&lt;x_H,(1+x_dk)^(-B43),0)</f>
        <v/>
      </c>
      <c r="D43">
        <f>IF(B43&lt;x_H,(1+x_de)^(-B43),0)</f>
        <v/>
      </c>
      <c r="E43">
        <f>(L_I1!AN33-L_S1!AN33)*C43</f>
        <v/>
      </c>
      <c r="F43">
        <f>(L_I1!AO33-L_S1!AO33)*C43</f>
        <v/>
      </c>
      <c r="G43">
        <f>(L_I1!AP33-L_S1!AP33)*C43</f>
        <v/>
      </c>
      <c r="H43">
        <f>(L_I1!AR33-L_S1!AR33)*C43</f>
        <v/>
      </c>
      <c r="I43">
        <f>I42+E43</f>
        <v/>
      </c>
      <c r="J43">
        <f>J42+F43</f>
        <v/>
      </c>
      <c r="K43">
        <f>K42+G43</f>
        <v/>
      </c>
      <c r="L43">
        <f>MAX(L42,J43)</f>
        <v/>
      </c>
      <c r="M43">
        <f>IF(AND(B43&lt;x_H,J43&lt;=0,L42&gt;0),1,0)</f>
        <v/>
      </c>
      <c r="N43">
        <f>IF(AND(B43&lt;x_H,I43&lt;=0,O42&gt;0),1,0)</f>
        <v/>
      </c>
      <c r="O43">
        <f>MAX(O42,I43)</f>
        <v/>
      </c>
      <c r="P43">
        <f>(L_I1!U33-L_S1!U33)*D43</f>
        <v/>
      </c>
    </row>
    <row r="44">
      <c r="A44" t="n">
        <v>2057</v>
      </c>
      <c r="B44" t="n">
        <v>31</v>
      </c>
      <c r="C44">
        <f>IF(B44&lt;x_H,(1+x_dk)^(-B44),0)</f>
        <v/>
      </c>
      <c r="D44">
        <f>IF(B44&lt;x_H,(1+x_de)^(-B44),0)</f>
        <v/>
      </c>
      <c r="E44">
        <f>(L_I1!AN34-L_S1!AN34)*C44</f>
        <v/>
      </c>
      <c r="F44">
        <f>(L_I1!AO34-L_S1!AO34)*C44</f>
        <v/>
      </c>
      <c r="G44">
        <f>(L_I1!AP34-L_S1!AP34)*C44</f>
        <v/>
      </c>
      <c r="H44">
        <f>(L_I1!AR34-L_S1!AR34)*C44</f>
        <v/>
      </c>
      <c r="I44">
        <f>I43+E44</f>
        <v/>
      </c>
      <c r="J44">
        <f>J43+F44</f>
        <v/>
      </c>
      <c r="K44">
        <f>K43+G44</f>
        <v/>
      </c>
      <c r="L44">
        <f>MAX(L43,J44)</f>
        <v/>
      </c>
      <c r="M44">
        <f>IF(AND(B44&lt;x_H,J44&lt;=0,L43&gt;0),1,0)</f>
        <v/>
      </c>
      <c r="N44">
        <f>IF(AND(B44&lt;x_H,I44&lt;=0,O43&gt;0),1,0)</f>
        <v/>
      </c>
      <c r="O44">
        <f>MAX(O43,I44)</f>
        <v/>
      </c>
      <c r="P44">
        <f>(L_I1!U34-L_S1!U34)*D44</f>
        <v/>
      </c>
    </row>
    <row r="45">
      <c r="A45" t="n">
        <v>2058</v>
      </c>
      <c r="B45" t="n">
        <v>32</v>
      </c>
      <c r="C45">
        <f>IF(B45&lt;x_H,(1+x_dk)^(-B45),0)</f>
        <v/>
      </c>
      <c r="D45">
        <f>IF(B45&lt;x_H,(1+x_de)^(-B45),0)</f>
        <v/>
      </c>
      <c r="E45">
        <f>(L_I1!AN35-L_S1!AN35)*C45</f>
        <v/>
      </c>
      <c r="F45">
        <f>(L_I1!AO35-L_S1!AO35)*C45</f>
        <v/>
      </c>
      <c r="G45">
        <f>(L_I1!AP35-L_S1!AP35)*C45</f>
        <v/>
      </c>
      <c r="H45">
        <f>(L_I1!AR35-L_S1!AR35)*C45</f>
        <v/>
      </c>
      <c r="I45">
        <f>I44+E45</f>
        <v/>
      </c>
      <c r="J45">
        <f>J44+F45</f>
        <v/>
      </c>
      <c r="K45">
        <f>K44+G45</f>
        <v/>
      </c>
      <c r="L45">
        <f>MAX(L44,J45)</f>
        <v/>
      </c>
      <c r="M45">
        <f>IF(AND(B45&lt;x_H,J45&lt;=0,L44&gt;0),1,0)</f>
        <v/>
      </c>
      <c r="N45">
        <f>IF(AND(B45&lt;x_H,I45&lt;=0,O44&gt;0),1,0)</f>
        <v/>
      </c>
      <c r="O45">
        <f>MAX(O44,I45)</f>
        <v/>
      </c>
      <c r="P45">
        <f>(L_I1!U35-L_S1!U35)*D45</f>
        <v/>
      </c>
    </row>
    <row r="46">
      <c r="A46" t="n">
        <v>2059</v>
      </c>
      <c r="B46" t="n">
        <v>33</v>
      </c>
      <c r="C46">
        <f>IF(B46&lt;x_H,(1+x_dk)^(-B46),0)</f>
        <v/>
      </c>
      <c r="D46">
        <f>IF(B46&lt;x_H,(1+x_de)^(-B46),0)</f>
        <v/>
      </c>
      <c r="E46">
        <f>(L_I1!AN36-L_S1!AN36)*C46</f>
        <v/>
      </c>
      <c r="F46">
        <f>(L_I1!AO36-L_S1!AO36)*C46</f>
        <v/>
      </c>
      <c r="G46">
        <f>(L_I1!AP36-L_S1!AP36)*C46</f>
        <v/>
      </c>
      <c r="H46">
        <f>(L_I1!AR36-L_S1!AR36)*C46</f>
        <v/>
      </c>
      <c r="I46">
        <f>I45+E46</f>
        <v/>
      </c>
      <c r="J46">
        <f>J45+F46</f>
        <v/>
      </c>
      <c r="K46">
        <f>K45+G46</f>
        <v/>
      </c>
      <c r="L46">
        <f>MAX(L45,J46)</f>
        <v/>
      </c>
      <c r="M46">
        <f>IF(AND(B46&lt;x_H,J46&lt;=0,L45&gt;0),1,0)</f>
        <v/>
      </c>
      <c r="N46">
        <f>IF(AND(B46&lt;x_H,I46&lt;=0,O45&gt;0),1,0)</f>
        <v/>
      </c>
      <c r="O46">
        <f>MAX(O45,I46)</f>
        <v/>
      </c>
      <c r="P46">
        <f>(L_I1!U36-L_S1!U36)*D46</f>
        <v/>
      </c>
    </row>
    <row r="47">
      <c r="A47" t="n">
        <v>2060</v>
      </c>
      <c r="B47" t="n">
        <v>34</v>
      </c>
      <c r="C47">
        <f>IF(B47&lt;x_H,(1+x_dk)^(-B47),0)</f>
        <v/>
      </c>
      <c r="D47">
        <f>IF(B47&lt;x_H,(1+x_de)^(-B47),0)</f>
        <v/>
      </c>
      <c r="E47">
        <f>(L_I1!AN37-L_S1!AN37)*C47</f>
        <v/>
      </c>
      <c r="F47">
        <f>(L_I1!AO37-L_S1!AO37)*C47</f>
        <v/>
      </c>
      <c r="G47">
        <f>(L_I1!AP37-L_S1!AP37)*C47</f>
        <v/>
      </c>
      <c r="H47">
        <f>(L_I1!AR37-L_S1!AR37)*C47</f>
        <v/>
      </c>
      <c r="I47">
        <f>I46+E47</f>
        <v/>
      </c>
      <c r="J47">
        <f>J46+F47</f>
        <v/>
      </c>
      <c r="K47">
        <f>K46+G47</f>
        <v/>
      </c>
      <c r="L47">
        <f>MAX(L46,J47)</f>
        <v/>
      </c>
      <c r="M47">
        <f>IF(AND(B47&lt;x_H,J47&lt;=0,L46&gt;0),1,0)</f>
        <v/>
      </c>
      <c r="N47">
        <f>IF(AND(B47&lt;x_H,I47&lt;=0,O46&gt;0),1,0)</f>
        <v/>
      </c>
      <c r="O47">
        <f>MAX(O46,I47)</f>
        <v/>
      </c>
      <c r="P47">
        <f>(L_I1!U37-L_S1!U37)*D47</f>
        <v/>
      </c>
    </row>
    <row r="48">
      <c r="A48" t="n">
        <v>2061</v>
      </c>
      <c r="B48" t="n">
        <v>35</v>
      </c>
      <c r="C48">
        <f>IF(B48&lt;x_H,(1+x_dk)^(-B48),0)</f>
        <v/>
      </c>
      <c r="D48">
        <f>IF(B48&lt;x_H,(1+x_de)^(-B48),0)</f>
        <v/>
      </c>
      <c r="E48">
        <f>(L_I1!AN38-L_S1!AN38)*C48</f>
        <v/>
      </c>
      <c r="F48">
        <f>(L_I1!AO38-L_S1!AO38)*C48</f>
        <v/>
      </c>
      <c r="G48">
        <f>(L_I1!AP38-L_S1!AP38)*C48</f>
        <v/>
      </c>
      <c r="H48">
        <f>(L_I1!AR38-L_S1!AR38)*C48</f>
        <v/>
      </c>
      <c r="I48">
        <f>I47+E48</f>
        <v/>
      </c>
      <c r="J48">
        <f>J47+F48</f>
        <v/>
      </c>
      <c r="K48">
        <f>K47+G48</f>
        <v/>
      </c>
      <c r="L48">
        <f>MAX(L47,J48)</f>
        <v/>
      </c>
      <c r="M48">
        <f>IF(AND(B48&lt;x_H,J48&lt;=0,L47&gt;0),1,0)</f>
        <v/>
      </c>
      <c r="N48">
        <f>IF(AND(B48&lt;x_H,I48&lt;=0,O47&gt;0),1,0)</f>
        <v/>
      </c>
      <c r="O48">
        <f>MAX(O47,I48)</f>
        <v/>
      </c>
      <c r="P48">
        <f>(L_I1!U38-L_S1!U38)*D48</f>
        <v/>
      </c>
    </row>
    <row r="49">
      <c r="A49" t="n">
        <v>2062</v>
      </c>
      <c r="B49" t="n">
        <v>36</v>
      </c>
      <c r="C49">
        <f>IF(B49&lt;x_H,(1+x_dk)^(-B49),0)</f>
        <v/>
      </c>
      <c r="D49">
        <f>IF(B49&lt;x_H,(1+x_de)^(-B49),0)</f>
        <v/>
      </c>
      <c r="E49">
        <f>(L_I1!AN39-L_S1!AN39)*C49</f>
        <v/>
      </c>
      <c r="F49">
        <f>(L_I1!AO39-L_S1!AO39)*C49</f>
        <v/>
      </c>
      <c r="G49">
        <f>(L_I1!AP39-L_S1!AP39)*C49</f>
        <v/>
      </c>
      <c r="H49">
        <f>(L_I1!AR39-L_S1!AR39)*C49</f>
        <v/>
      </c>
      <c r="I49">
        <f>I48+E49</f>
        <v/>
      </c>
      <c r="J49">
        <f>J48+F49</f>
        <v/>
      </c>
      <c r="K49">
        <f>K48+G49</f>
        <v/>
      </c>
      <c r="L49">
        <f>MAX(L48,J49)</f>
        <v/>
      </c>
      <c r="M49">
        <f>IF(AND(B49&lt;x_H,J49&lt;=0,L48&gt;0),1,0)</f>
        <v/>
      </c>
      <c r="N49">
        <f>IF(AND(B49&lt;x_H,I49&lt;=0,O48&gt;0),1,0)</f>
        <v/>
      </c>
      <c r="O49">
        <f>MAX(O48,I49)</f>
        <v/>
      </c>
      <c r="P49">
        <f>(L_I1!U39-L_S1!U39)*D49</f>
        <v/>
      </c>
    </row>
    <row r="50">
      <c r="A50" t="n">
        <v>2063</v>
      </c>
      <c r="B50" t="n">
        <v>37</v>
      </c>
      <c r="C50">
        <f>IF(B50&lt;x_H,(1+x_dk)^(-B50),0)</f>
        <v/>
      </c>
      <c r="D50">
        <f>IF(B50&lt;x_H,(1+x_de)^(-B50),0)</f>
        <v/>
      </c>
      <c r="E50">
        <f>(L_I1!AN40-L_S1!AN40)*C50</f>
        <v/>
      </c>
      <c r="F50">
        <f>(L_I1!AO40-L_S1!AO40)*C50</f>
        <v/>
      </c>
      <c r="G50">
        <f>(L_I1!AP40-L_S1!AP40)*C50</f>
        <v/>
      </c>
      <c r="H50">
        <f>(L_I1!AR40-L_S1!AR40)*C50</f>
        <v/>
      </c>
      <c r="I50">
        <f>I49+E50</f>
        <v/>
      </c>
      <c r="J50">
        <f>J49+F50</f>
        <v/>
      </c>
      <c r="K50">
        <f>K49+G50</f>
        <v/>
      </c>
      <c r="L50">
        <f>MAX(L49,J50)</f>
        <v/>
      </c>
      <c r="M50">
        <f>IF(AND(B50&lt;x_H,J50&lt;=0,L49&gt;0),1,0)</f>
        <v/>
      </c>
      <c r="N50">
        <f>IF(AND(B50&lt;x_H,I50&lt;=0,O49&gt;0),1,0)</f>
        <v/>
      </c>
      <c r="O50">
        <f>MAX(O49,I50)</f>
        <v/>
      </c>
      <c r="P50">
        <f>(L_I1!U40-L_S1!U40)*D50</f>
        <v/>
      </c>
    </row>
    <row r="51">
      <c r="A51" t="n">
        <v>2064</v>
      </c>
      <c r="B51" t="n">
        <v>38</v>
      </c>
      <c r="C51">
        <f>IF(B51&lt;x_H,(1+x_dk)^(-B51),0)</f>
        <v/>
      </c>
      <c r="D51">
        <f>IF(B51&lt;x_H,(1+x_de)^(-B51),0)</f>
        <v/>
      </c>
      <c r="E51">
        <f>(L_I1!AN41-L_S1!AN41)*C51</f>
        <v/>
      </c>
      <c r="F51">
        <f>(L_I1!AO41-L_S1!AO41)*C51</f>
        <v/>
      </c>
      <c r="G51">
        <f>(L_I1!AP41-L_S1!AP41)*C51</f>
        <v/>
      </c>
      <c r="H51">
        <f>(L_I1!AR41-L_S1!AR41)*C51</f>
        <v/>
      </c>
      <c r="I51">
        <f>I50+E51</f>
        <v/>
      </c>
      <c r="J51">
        <f>J50+F51</f>
        <v/>
      </c>
      <c r="K51">
        <f>K50+G51</f>
        <v/>
      </c>
      <c r="L51">
        <f>MAX(L50,J51)</f>
        <v/>
      </c>
      <c r="M51">
        <f>IF(AND(B51&lt;x_H,J51&lt;=0,L50&gt;0),1,0)</f>
        <v/>
      </c>
      <c r="N51">
        <f>IF(AND(B51&lt;x_H,I51&lt;=0,O50&gt;0),1,0)</f>
        <v/>
      </c>
      <c r="O51">
        <f>MAX(O50,I51)</f>
        <v/>
      </c>
      <c r="P51">
        <f>(L_I1!U41-L_S1!U41)*D51</f>
        <v/>
      </c>
    </row>
    <row r="52">
      <c r="A52" t="n">
        <v>2065</v>
      </c>
      <c r="B52" t="n">
        <v>39</v>
      </c>
      <c r="C52">
        <f>IF(B52&lt;x_H,(1+x_dk)^(-B52),0)</f>
        <v/>
      </c>
      <c r="D52">
        <f>IF(B52&lt;x_H,(1+x_de)^(-B52),0)</f>
        <v/>
      </c>
      <c r="E52">
        <f>(L_I1!AN42-L_S1!AN42)*C52</f>
        <v/>
      </c>
      <c r="F52">
        <f>(L_I1!AO42-L_S1!AO42)*C52</f>
        <v/>
      </c>
      <c r="G52">
        <f>(L_I1!AP42-L_S1!AP42)*C52</f>
        <v/>
      </c>
      <c r="H52">
        <f>(L_I1!AR42-L_S1!AR42)*C52</f>
        <v/>
      </c>
      <c r="I52">
        <f>I51+E52</f>
        <v/>
      </c>
      <c r="J52">
        <f>J51+F52</f>
        <v/>
      </c>
      <c r="K52">
        <f>K51+G52</f>
        <v/>
      </c>
      <c r="L52">
        <f>MAX(L51,J52)</f>
        <v/>
      </c>
      <c r="M52">
        <f>IF(AND(B52&lt;x_H,J52&lt;=0,L51&gt;0),1,0)</f>
        <v/>
      </c>
      <c r="N52">
        <f>IF(AND(B52&lt;x_H,I52&lt;=0,O51&gt;0),1,0)</f>
        <v/>
      </c>
      <c r="O52">
        <f>MAX(O51,I52)</f>
        <v/>
      </c>
      <c r="P52">
        <f>(L_I1!U42-L_S1!U42)*D52</f>
        <v/>
      </c>
    </row>
    <row r="53">
      <c r="A53" t="n">
        <v>2066</v>
      </c>
      <c r="B53" t="n">
        <v>40</v>
      </c>
      <c r="C53">
        <f>IF(B53&lt;x_H,(1+x_dk)^(-B53),0)</f>
        <v/>
      </c>
      <c r="D53">
        <f>IF(B53&lt;x_H,(1+x_de)^(-B53),0)</f>
        <v/>
      </c>
      <c r="E53">
        <f>(L_I1!AN43-L_S1!AN43)*C53</f>
        <v/>
      </c>
      <c r="F53">
        <f>(L_I1!AO43-L_S1!AO43)*C53</f>
        <v/>
      </c>
      <c r="G53">
        <f>(L_I1!AP43-L_S1!AP43)*C53</f>
        <v/>
      </c>
      <c r="H53">
        <f>(L_I1!AR43-L_S1!AR43)*C53</f>
        <v/>
      </c>
      <c r="I53">
        <f>I52+E53</f>
        <v/>
      </c>
      <c r="J53">
        <f>J52+F53</f>
        <v/>
      </c>
      <c r="K53">
        <f>K52+G53</f>
        <v/>
      </c>
      <c r="L53">
        <f>MAX(L52,J53)</f>
        <v/>
      </c>
      <c r="M53">
        <f>IF(AND(B53&lt;x_H,J53&lt;=0,L52&gt;0),1,0)</f>
        <v/>
      </c>
      <c r="N53">
        <f>IF(AND(B53&lt;x_H,I53&lt;=0,O52&gt;0),1,0)</f>
        <v/>
      </c>
      <c r="O53">
        <f>MAX(O52,I53)</f>
        <v/>
      </c>
      <c r="P53">
        <f>(L_I1!U43-L_S1!U43)*D53</f>
        <v/>
      </c>
    </row>
    <row r="54">
      <c r="A54" t="n">
        <v>2067</v>
      </c>
      <c r="B54" t="n">
        <v>41</v>
      </c>
      <c r="C54">
        <f>IF(B54&lt;x_H,(1+x_dk)^(-B54),0)</f>
        <v/>
      </c>
      <c r="D54">
        <f>IF(B54&lt;x_H,(1+x_de)^(-B54),0)</f>
        <v/>
      </c>
      <c r="E54">
        <f>(L_I1!AN44-L_S1!AN44)*C54</f>
        <v/>
      </c>
      <c r="F54">
        <f>(L_I1!AO44-L_S1!AO44)*C54</f>
        <v/>
      </c>
      <c r="G54">
        <f>(L_I1!AP44-L_S1!AP44)*C54</f>
        <v/>
      </c>
      <c r="H54">
        <f>(L_I1!AR44-L_S1!AR44)*C54</f>
        <v/>
      </c>
      <c r="I54">
        <f>I53+E54</f>
        <v/>
      </c>
      <c r="J54">
        <f>J53+F54</f>
        <v/>
      </c>
      <c r="K54">
        <f>K53+G54</f>
        <v/>
      </c>
      <c r="L54">
        <f>MAX(L53,J54)</f>
        <v/>
      </c>
      <c r="M54">
        <f>IF(AND(B54&lt;x_H,J54&lt;=0,L53&gt;0),1,0)</f>
        <v/>
      </c>
      <c r="N54">
        <f>IF(AND(B54&lt;x_H,I54&lt;=0,O53&gt;0),1,0)</f>
        <v/>
      </c>
      <c r="O54">
        <f>MAX(O53,I54)</f>
        <v/>
      </c>
      <c r="P54">
        <f>(L_I1!U44-L_S1!U44)*D54</f>
        <v/>
      </c>
    </row>
    <row r="55">
      <c r="A55" t="n">
        <v>2068</v>
      </c>
      <c r="B55" t="n">
        <v>42</v>
      </c>
      <c r="C55">
        <f>IF(B55&lt;x_H,(1+x_dk)^(-B55),0)</f>
        <v/>
      </c>
      <c r="D55">
        <f>IF(B55&lt;x_H,(1+x_de)^(-B55),0)</f>
        <v/>
      </c>
      <c r="E55">
        <f>(L_I1!AN45-L_S1!AN45)*C55</f>
        <v/>
      </c>
      <c r="F55">
        <f>(L_I1!AO45-L_S1!AO45)*C55</f>
        <v/>
      </c>
      <c r="G55">
        <f>(L_I1!AP45-L_S1!AP45)*C55</f>
        <v/>
      </c>
      <c r="H55">
        <f>(L_I1!AR45-L_S1!AR45)*C55</f>
        <v/>
      </c>
      <c r="I55">
        <f>I54+E55</f>
        <v/>
      </c>
      <c r="J55">
        <f>J54+F55</f>
        <v/>
      </c>
      <c r="K55">
        <f>K54+G55</f>
        <v/>
      </c>
      <c r="L55">
        <f>MAX(L54,J55)</f>
        <v/>
      </c>
      <c r="M55">
        <f>IF(AND(B55&lt;x_H,J55&lt;=0,L54&gt;0),1,0)</f>
        <v/>
      </c>
      <c r="N55">
        <f>IF(AND(B55&lt;x_H,I55&lt;=0,O54&gt;0),1,0)</f>
        <v/>
      </c>
      <c r="O55">
        <f>MAX(O54,I55)</f>
        <v/>
      </c>
      <c r="P55">
        <f>(L_I1!U45-L_S1!U45)*D55</f>
        <v/>
      </c>
    </row>
    <row r="56">
      <c r="A56" t="n">
        <v>2069</v>
      </c>
      <c r="B56" t="n">
        <v>43</v>
      </c>
      <c r="C56">
        <f>IF(B56&lt;x_H,(1+x_dk)^(-B56),0)</f>
        <v/>
      </c>
      <c r="D56">
        <f>IF(B56&lt;x_H,(1+x_de)^(-B56),0)</f>
        <v/>
      </c>
      <c r="E56">
        <f>(L_I1!AN46-L_S1!AN46)*C56</f>
        <v/>
      </c>
      <c r="F56">
        <f>(L_I1!AO46-L_S1!AO46)*C56</f>
        <v/>
      </c>
      <c r="G56">
        <f>(L_I1!AP46-L_S1!AP46)*C56</f>
        <v/>
      </c>
      <c r="H56">
        <f>(L_I1!AR46-L_S1!AR46)*C56</f>
        <v/>
      </c>
      <c r="I56">
        <f>I55+E56</f>
        <v/>
      </c>
      <c r="J56">
        <f>J55+F56</f>
        <v/>
      </c>
      <c r="K56">
        <f>K55+G56</f>
        <v/>
      </c>
      <c r="L56">
        <f>MAX(L55,J56)</f>
        <v/>
      </c>
      <c r="M56">
        <f>IF(AND(B56&lt;x_H,J56&lt;=0,L55&gt;0),1,0)</f>
        <v/>
      </c>
      <c r="N56">
        <f>IF(AND(B56&lt;x_H,I56&lt;=0,O55&gt;0),1,0)</f>
        <v/>
      </c>
      <c r="O56">
        <f>MAX(O55,I56)</f>
        <v/>
      </c>
      <c r="P56">
        <f>(L_I1!U46-L_S1!U46)*D56</f>
        <v/>
      </c>
    </row>
    <row r="57">
      <c r="A57" t="n">
        <v>2070</v>
      </c>
      <c r="B57" t="n">
        <v>44</v>
      </c>
      <c r="C57">
        <f>IF(B57&lt;x_H,(1+x_dk)^(-B57),0)</f>
        <v/>
      </c>
      <c r="D57">
        <f>IF(B57&lt;x_H,(1+x_de)^(-B57),0)</f>
        <v/>
      </c>
      <c r="E57">
        <f>(L_I1!AN47-L_S1!AN47)*C57</f>
        <v/>
      </c>
      <c r="F57">
        <f>(L_I1!AO47-L_S1!AO47)*C57</f>
        <v/>
      </c>
      <c r="G57">
        <f>(L_I1!AP47-L_S1!AP47)*C57</f>
        <v/>
      </c>
      <c r="H57">
        <f>(L_I1!AR47-L_S1!AR47)*C57</f>
        <v/>
      </c>
      <c r="I57">
        <f>I56+E57</f>
        <v/>
      </c>
      <c r="J57">
        <f>J56+F57</f>
        <v/>
      </c>
      <c r="K57">
        <f>K56+G57</f>
        <v/>
      </c>
      <c r="L57">
        <f>MAX(L56,J57)</f>
        <v/>
      </c>
      <c r="M57">
        <f>IF(AND(B57&lt;x_H,J57&lt;=0,L56&gt;0),1,0)</f>
        <v/>
      </c>
      <c r="N57">
        <f>IF(AND(B57&lt;x_H,I57&lt;=0,O56&gt;0),1,0)</f>
        <v/>
      </c>
      <c r="O57">
        <f>MAX(O56,I57)</f>
        <v/>
      </c>
      <c r="P57">
        <f>(L_I1!U47-L_S1!U47)*D57</f>
        <v/>
      </c>
    </row>
    <row r="58">
      <c r="A58" t="n">
        <v>2071</v>
      </c>
      <c r="B58" t="n">
        <v>45</v>
      </c>
      <c r="C58">
        <f>IF(B58&lt;x_H,(1+x_dk)^(-B58),0)</f>
        <v/>
      </c>
      <c r="D58">
        <f>IF(B58&lt;x_H,(1+x_de)^(-B58),0)</f>
        <v/>
      </c>
      <c r="E58">
        <f>(L_I1!AN48-L_S1!AN48)*C58</f>
        <v/>
      </c>
      <c r="F58">
        <f>(L_I1!AO48-L_S1!AO48)*C58</f>
        <v/>
      </c>
      <c r="G58">
        <f>(L_I1!AP48-L_S1!AP48)*C58</f>
        <v/>
      </c>
      <c r="H58">
        <f>(L_I1!AR48-L_S1!AR48)*C58</f>
        <v/>
      </c>
      <c r="I58">
        <f>I57+E58</f>
        <v/>
      </c>
      <c r="J58">
        <f>J57+F58</f>
        <v/>
      </c>
      <c r="K58">
        <f>K57+G58</f>
        <v/>
      </c>
      <c r="L58">
        <f>MAX(L57,J58)</f>
        <v/>
      </c>
      <c r="M58">
        <f>IF(AND(B58&lt;x_H,J58&lt;=0,L57&gt;0),1,0)</f>
        <v/>
      </c>
      <c r="N58">
        <f>IF(AND(B58&lt;x_H,I58&lt;=0,O57&gt;0),1,0)</f>
        <v/>
      </c>
      <c r="O58">
        <f>MAX(O57,I58)</f>
        <v/>
      </c>
      <c r="P58">
        <f>(L_I1!U48-L_S1!U48)*D58</f>
        <v/>
      </c>
    </row>
    <row r="59">
      <c r="A59" t="n">
        <v>2072</v>
      </c>
      <c r="B59" t="n">
        <v>46</v>
      </c>
      <c r="C59">
        <f>IF(B59&lt;x_H,(1+x_dk)^(-B59),0)</f>
        <v/>
      </c>
      <c r="D59">
        <f>IF(B59&lt;x_H,(1+x_de)^(-B59),0)</f>
        <v/>
      </c>
      <c r="E59">
        <f>(L_I1!AN49-L_S1!AN49)*C59</f>
        <v/>
      </c>
      <c r="F59">
        <f>(L_I1!AO49-L_S1!AO49)*C59</f>
        <v/>
      </c>
      <c r="G59">
        <f>(L_I1!AP49-L_S1!AP49)*C59</f>
        <v/>
      </c>
      <c r="H59">
        <f>(L_I1!AR49-L_S1!AR49)*C59</f>
        <v/>
      </c>
      <c r="I59">
        <f>I58+E59</f>
        <v/>
      </c>
      <c r="J59">
        <f>J58+F59</f>
        <v/>
      </c>
      <c r="K59">
        <f>K58+G59</f>
        <v/>
      </c>
      <c r="L59">
        <f>MAX(L58,J59)</f>
        <v/>
      </c>
      <c r="M59">
        <f>IF(AND(B59&lt;x_H,J59&lt;=0,L58&gt;0),1,0)</f>
        <v/>
      </c>
      <c r="N59">
        <f>IF(AND(B59&lt;x_H,I59&lt;=0,O58&gt;0),1,0)</f>
        <v/>
      </c>
      <c r="O59">
        <f>MAX(O58,I59)</f>
        <v/>
      </c>
      <c r="P59">
        <f>(L_I1!U49-L_S1!U49)*D59</f>
        <v/>
      </c>
    </row>
    <row r="60">
      <c r="A60" t="n">
        <v>2073</v>
      </c>
      <c r="B60" t="n">
        <v>47</v>
      </c>
      <c r="C60">
        <f>IF(B60&lt;x_H,(1+x_dk)^(-B60),0)</f>
        <v/>
      </c>
      <c r="D60">
        <f>IF(B60&lt;x_H,(1+x_de)^(-B60),0)</f>
        <v/>
      </c>
      <c r="E60">
        <f>(L_I1!AN50-L_S1!AN50)*C60</f>
        <v/>
      </c>
      <c r="F60">
        <f>(L_I1!AO50-L_S1!AO50)*C60</f>
        <v/>
      </c>
      <c r="G60">
        <f>(L_I1!AP50-L_S1!AP50)*C60</f>
        <v/>
      </c>
      <c r="H60">
        <f>(L_I1!AR50-L_S1!AR50)*C60</f>
        <v/>
      </c>
      <c r="I60">
        <f>I59+E60</f>
        <v/>
      </c>
      <c r="J60">
        <f>J59+F60</f>
        <v/>
      </c>
      <c r="K60">
        <f>K59+G60</f>
        <v/>
      </c>
      <c r="L60">
        <f>MAX(L59,J60)</f>
        <v/>
      </c>
      <c r="M60">
        <f>IF(AND(B60&lt;x_H,J60&lt;=0,L59&gt;0),1,0)</f>
        <v/>
      </c>
      <c r="N60">
        <f>IF(AND(B60&lt;x_H,I60&lt;=0,O59&gt;0),1,0)</f>
        <v/>
      </c>
      <c r="O60">
        <f>MAX(O59,I60)</f>
        <v/>
      </c>
      <c r="P60">
        <f>(L_I1!U50-L_S1!U50)*D60</f>
        <v/>
      </c>
    </row>
    <row r="61">
      <c r="A61" t="n">
        <v>2074</v>
      </c>
      <c r="B61" t="n">
        <v>48</v>
      </c>
      <c r="C61">
        <f>IF(B61&lt;x_H,(1+x_dk)^(-B61),0)</f>
        <v/>
      </c>
      <c r="D61">
        <f>IF(B61&lt;x_H,(1+x_de)^(-B61),0)</f>
        <v/>
      </c>
      <c r="E61">
        <f>(L_I1!AN51-L_S1!AN51)*C61</f>
        <v/>
      </c>
      <c r="F61">
        <f>(L_I1!AO51-L_S1!AO51)*C61</f>
        <v/>
      </c>
      <c r="G61">
        <f>(L_I1!AP51-L_S1!AP51)*C61</f>
        <v/>
      </c>
      <c r="H61">
        <f>(L_I1!AR51-L_S1!AR51)*C61</f>
        <v/>
      </c>
      <c r="I61">
        <f>I60+E61</f>
        <v/>
      </c>
      <c r="J61">
        <f>J60+F61</f>
        <v/>
      </c>
      <c r="K61">
        <f>K60+G61</f>
        <v/>
      </c>
      <c r="L61">
        <f>MAX(L60,J61)</f>
        <v/>
      </c>
      <c r="M61">
        <f>IF(AND(B61&lt;x_H,J61&lt;=0,L60&gt;0),1,0)</f>
        <v/>
      </c>
      <c r="N61">
        <f>IF(AND(B61&lt;x_H,I61&lt;=0,O60&gt;0),1,0)</f>
        <v/>
      </c>
      <c r="O61">
        <f>MAX(O60,I61)</f>
        <v/>
      </c>
      <c r="P61">
        <f>(L_I1!U51-L_S1!U51)*D61</f>
        <v/>
      </c>
    </row>
    <row r="62">
      <c r="A62" t="n">
        <v>2075</v>
      </c>
      <c r="B62" t="n">
        <v>49</v>
      </c>
      <c r="C62">
        <f>IF(B62&lt;x_H,(1+x_dk)^(-B62),0)</f>
        <v/>
      </c>
      <c r="D62">
        <f>IF(B62&lt;x_H,(1+x_de)^(-B62),0)</f>
        <v/>
      </c>
      <c r="E62">
        <f>(L_I1!AN52-L_S1!AN52)*C62</f>
        <v/>
      </c>
      <c r="F62">
        <f>(L_I1!AO52-L_S1!AO52)*C62</f>
        <v/>
      </c>
      <c r="G62">
        <f>(L_I1!AP52-L_S1!AP52)*C62</f>
        <v/>
      </c>
      <c r="H62">
        <f>(L_I1!AR52-L_S1!AR52)*C62</f>
        <v/>
      </c>
      <c r="I62">
        <f>I61+E62</f>
        <v/>
      </c>
      <c r="J62">
        <f>J61+F62</f>
        <v/>
      </c>
      <c r="K62">
        <f>K61+G62</f>
        <v/>
      </c>
      <c r="L62">
        <f>MAX(L61,J62)</f>
        <v/>
      </c>
      <c r="M62">
        <f>IF(AND(B62&lt;x_H,J62&lt;=0,L61&gt;0),1,0)</f>
        <v/>
      </c>
      <c r="N62">
        <f>IF(AND(B62&lt;x_H,I62&lt;=0,O61&gt;0),1,0)</f>
        <v/>
      </c>
      <c r="O62">
        <f>MAX(O61,I62)</f>
        <v/>
      </c>
      <c r="P62">
        <f>(L_I1!U52-L_S1!U52)*D62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" t="inlineStr">
        <is>
          <t>I3 vs status quo (S1): Populacje kluczowe: OST, redukcja szkód, więzienia (+2 mln zł/rok) – SZACUNEK MODELU</t>
        </is>
      </c>
    </row>
    <row r="2">
      <c r="A2" s="1" t="inlineStr">
        <is>
          <t>Horyzont (lata) – zmień w Ustawienia!B4</t>
        </is>
      </c>
      <c r="B2">
        <f>x_H</f>
        <v/>
      </c>
    </row>
    <row r="3">
      <c r="A3" s="1" t="inlineStr">
        <is>
          <t>Inwestycja (sektor publiczny, zdysk., zł)</t>
        </is>
      </c>
      <c r="B3">
        <f>SUM(H13:H62)</f>
        <v/>
      </c>
    </row>
    <row r="4">
      <c r="A4" s="1" t="inlineStr">
        <is>
          <t>Saldo netto sektor publiczny (zdysk., zł; &lt;0 = oszczędność)</t>
        </is>
      </c>
      <c r="B4">
        <f>SUM(F13:F62)</f>
        <v/>
      </c>
    </row>
    <row r="5">
      <c r="A5" s="1" t="inlineStr">
        <is>
          <t>Zwroty = inwestycja − saldo (zł)</t>
        </is>
      </c>
      <c r="B5">
        <f>B3-B4</f>
        <v/>
      </c>
    </row>
    <row r="6">
      <c r="A6" s="1" t="inlineStr">
        <is>
          <t>ROI = (zwroty − inwestycja)/|inwestycja|</t>
        </is>
      </c>
      <c r="B6">
        <f>IF(B3=0,"—",(B5-B3)/ABS(B3))</f>
        <v/>
      </c>
    </row>
    <row r="7">
      <c r="A7" s="1" t="inlineStr">
        <is>
          <t>Rok zwrotu – sektor publiczny</t>
        </is>
      </c>
      <c r="B7">
        <f>IFERROR(INDEX(A13:A62,MATCH(1,M13:M62,0)),"brak w horyzoncie")</f>
        <v/>
      </c>
    </row>
    <row r="8">
      <c r="A8" s="1" t="inlineStr">
        <is>
          <t>Rok zwrotu – NFZ</t>
        </is>
      </c>
      <c r="B8">
        <f>IFERROR(INDEX(A13:A62,MATCH(1,N13:N62,0)),"brak w horyzoncie")</f>
        <v/>
      </c>
    </row>
    <row r="9">
      <c r="A9" s="1" t="inlineStr">
        <is>
          <t>Saldo netto NFZ (zdysk., zł)</t>
        </is>
      </c>
      <c r="B9">
        <f>SUM(E13:E62)</f>
        <v/>
      </c>
    </row>
    <row r="10">
      <c r="A10" s="1" t="inlineStr">
        <is>
          <t>ICER sektor publiczny (zł/QALY; &lt;0 = dominuje)</t>
        </is>
      </c>
      <c r="B10">
        <f>IFERROR(B4/SUM(P13:P62),"—")</f>
        <v/>
      </c>
    </row>
    <row r="12">
      <c r="A12" s="3" t="inlineStr">
        <is>
          <t>rok</t>
        </is>
      </c>
      <c r="B12" s="3" t="inlineStr">
        <is>
          <t>t</t>
        </is>
      </c>
      <c r="C12" s="3" t="inlineStr">
        <is>
          <t>DF koszty</t>
        </is>
      </c>
      <c r="D12" s="3" t="inlineStr">
        <is>
          <t>DF efekty</t>
        </is>
      </c>
      <c r="E12" s="3" t="inlineStr">
        <is>
          <t>Δ NFZ</t>
        </is>
      </c>
      <c r="F12" s="3" t="inlineStr">
        <is>
          <t>Δ publiczny</t>
        </is>
      </c>
      <c r="G12" s="3" t="inlineStr">
        <is>
          <t>Δ społeczny</t>
        </is>
      </c>
      <c r="H12" s="3" t="inlineStr">
        <is>
          <t>Δ inwestycja (publ.)</t>
        </is>
      </c>
      <c r="I12" s="3" t="inlineStr">
        <is>
          <t>skum. NFZ</t>
        </is>
      </c>
      <c r="J12" s="3" t="inlineStr">
        <is>
          <t>skum. publiczny</t>
        </is>
      </c>
      <c r="K12" s="3" t="inlineStr">
        <is>
          <t>skum. społeczny</t>
        </is>
      </c>
      <c r="L12" s="3" t="inlineStr">
        <is>
          <t>maks. dotąd (publ.)</t>
        </is>
      </c>
      <c r="M12" s="3" t="inlineStr">
        <is>
          <t>zwrot? (publ.)</t>
        </is>
      </c>
      <c r="N12" s="3" t="inlineStr">
        <is>
          <t>zwrot? (NFZ)</t>
        </is>
      </c>
      <c r="O12" s="3" t="inlineStr">
        <is>
          <t>maks. dotąd (NFZ)</t>
        </is>
      </c>
      <c r="P12" s="3" t="inlineStr">
        <is>
          <t>Δ QALY</t>
        </is>
      </c>
    </row>
    <row r="13">
      <c r="A13" t="n">
        <v>2026</v>
      </c>
      <c r="B13" t="n">
        <v>0</v>
      </c>
      <c r="C13">
        <f>IF(B13&lt;x_H,(1+x_dk)^(-B13),0)</f>
        <v/>
      </c>
      <c r="D13">
        <f>IF(B13&lt;x_H,(1+x_de)^(-B13),0)</f>
        <v/>
      </c>
      <c r="E13">
        <f>(L_I3!AN3-L_S1!AN3)*C13</f>
        <v/>
      </c>
      <c r="F13">
        <f>(L_I3!AO3-L_S1!AO3)*C13</f>
        <v/>
      </c>
      <c r="G13">
        <f>(L_I3!AP3-L_S1!AP3)*C13</f>
        <v/>
      </c>
      <c r="H13">
        <f>(L_I3!AR3-L_S1!AR3)*C13</f>
        <v/>
      </c>
      <c r="I13">
        <f>E13</f>
        <v/>
      </c>
      <c r="J13">
        <f>F13</f>
        <v/>
      </c>
      <c r="K13">
        <f>G13</f>
        <v/>
      </c>
      <c r="L13">
        <f>J13</f>
        <v/>
      </c>
      <c r="M13" t="n">
        <v>0</v>
      </c>
      <c r="N13" t="n">
        <v>0</v>
      </c>
      <c r="O13">
        <f>I13</f>
        <v/>
      </c>
      <c r="P13">
        <f>(L_I3!U3-L_S1!U3)*D13</f>
        <v/>
      </c>
    </row>
    <row r="14">
      <c r="A14" t="n">
        <v>2027</v>
      </c>
      <c r="B14" t="n">
        <v>1</v>
      </c>
      <c r="C14">
        <f>IF(B14&lt;x_H,(1+x_dk)^(-B14),0)</f>
        <v/>
      </c>
      <c r="D14">
        <f>IF(B14&lt;x_H,(1+x_de)^(-B14),0)</f>
        <v/>
      </c>
      <c r="E14">
        <f>(L_I3!AN4-L_S1!AN4)*C14</f>
        <v/>
      </c>
      <c r="F14">
        <f>(L_I3!AO4-L_S1!AO4)*C14</f>
        <v/>
      </c>
      <c r="G14">
        <f>(L_I3!AP4-L_S1!AP4)*C14</f>
        <v/>
      </c>
      <c r="H14">
        <f>(L_I3!AR4-L_S1!AR4)*C14</f>
        <v/>
      </c>
      <c r="I14">
        <f>I13+E14</f>
        <v/>
      </c>
      <c r="J14">
        <f>J13+F14</f>
        <v/>
      </c>
      <c r="K14">
        <f>K13+G14</f>
        <v/>
      </c>
      <c r="L14">
        <f>MAX(L13,J14)</f>
        <v/>
      </c>
      <c r="M14">
        <f>IF(AND(B14&lt;x_H,J14&lt;=0,L13&gt;0),1,0)</f>
        <v/>
      </c>
      <c r="N14">
        <f>IF(AND(B14&lt;x_H,I14&lt;=0,O13&gt;0),1,0)</f>
        <v/>
      </c>
      <c r="O14">
        <f>MAX(O13,I14)</f>
        <v/>
      </c>
      <c r="P14">
        <f>(L_I3!U4-L_S1!U4)*D14</f>
        <v/>
      </c>
    </row>
    <row r="15">
      <c r="A15" t="n">
        <v>2028</v>
      </c>
      <c r="B15" t="n">
        <v>2</v>
      </c>
      <c r="C15">
        <f>IF(B15&lt;x_H,(1+x_dk)^(-B15),0)</f>
        <v/>
      </c>
      <c r="D15">
        <f>IF(B15&lt;x_H,(1+x_de)^(-B15),0)</f>
        <v/>
      </c>
      <c r="E15">
        <f>(L_I3!AN5-L_S1!AN5)*C15</f>
        <v/>
      </c>
      <c r="F15">
        <f>(L_I3!AO5-L_S1!AO5)*C15</f>
        <v/>
      </c>
      <c r="G15">
        <f>(L_I3!AP5-L_S1!AP5)*C15</f>
        <v/>
      </c>
      <c r="H15">
        <f>(L_I3!AR5-L_S1!AR5)*C15</f>
        <v/>
      </c>
      <c r="I15">
        <f>I14+E15</f>
        <v/>
      </c>
      <c r="J15">
        <f>J14+F15</f>
        <v/>
      </c>
      <c r="K15">
        <f>K14+G15</f>
        <v/>
      </c>
      <c r="L15">
        <f>MAX(L14,J15)</f>
        <v/>
      </c>
      <c r="M15">
        <f>IF(AND(B15&lt;x_H,J15&lt;=0,L14&gt;0),1,0)</f>
        <v/>
      </c>
      <c r="N15">
        <f>IF(AND(B15&lt;x_H,I15&lt;=0,O14&gt;0),1,0)</f>
        <v/>
      </c>
      <c r="O15">
        <f>MAX(O14,I15)</f>
        <v/>
      </c>
      <c r="P15">
        <f>(L_I3!U5-L_S1!U5)*D15</f>
        <v/>
      </c>
    </row>
    <row r="16">
      <c r="A16" t="n">
        <v>2029</v>
      </c>
      <c r="B16" t="n">
        <v>3</v>
      </c>
      <c r="C16">
        <f>IF(B16&lt;x_H,(1+x_dk)^(-B16),0)</f>
        <v/>
      </c>
      <c r="D16">
        <f>IF(B16&lt;x_H,(1+x_de)^(-B16),0)</f>
        <v/>
      </c>
      <c r="E16">
        <f>(L_I3!AN6-L_S1!AN6)*C16</f>
        <v/>
      </c>
      <c r="F16">
        <f>(L_I3!AO6-L_S1!AO6)*C16</f>
        <v/>
      </c>
      <c r="G16">
        <f>(L_I3!AP6-L_S1!AP6)*C16</f>
        <v/>
      </c>
      <c r="H16">
        <f>(L_I3!AR6-L_S1!AR6)*C16</f>
        <v/>
      </c>
      <c r="I16">
        <f>I15+E16</f>
        <v/>
      </c>
      <c r="J16">
        <f>J15+F16</f>
        <v/>
      </c>
      <c r="K16">
        <f>K15+G16</f>
        <v/>
      </c>
      <c r="L16">
        <f>MAX(L15,J16)</f>
        <v/>
      </c>
      <c r="M16">
        <f>IF(AND(B16&lt;x_H,J16&lt;=0,L15&gt;0),1,0)</f>
        <v/>
      </c>
      <c r="N16">
        <f>IF(AND(B16&lt;x_H,I16&lt;=0,O15&gt;0),1,0)</f>
        <v/>
      </c>
      <c r="O16">
        <f>MAX(O15,I16)</f>
        <v/>
      </c>
      <c r="P16">
        <f>(L_I3!U6-L_S1!U6)*D16</f>
        <v/>
      </c>
    </row>
    <row r="17">
      <c r="A17" t="n">
        <v>2030</v>
      </c>
      <c r="B17" t="n">
        <v>4</v>
      </c>
      <c r="C17">
        <f>IF(B17&lt;x_H,(1+x_dk)^(-B17),0)</f>
        <v/>
      </c>
      <c r="D17">
        <f>IF(B17&lt;x_H,(1+x_de)^(-B17),0)</f>
        <v/>
      </c>
      <c r="E17">
        <f>(L_I3!AN7-L_S1!AN7)*C17</f>
        <v/>
      </c>
      <c r="F17">
        <f>(L_I3!AO7-L_S1!AO7)*C17</f>
        <v/>
      </c>
      <c r="G17">
        <f>(L_I3!AP7-L_S1!AP7)*C17</f>
        <v/>
      </c>
      <c r="H17">
        <f>(L_I3!AR7-L_S1!AR7)*C17</f>
        <v/>
      </c>
      <c r="I17">
        <f>I16+E17</f>
        <v/>
      </c>
      <c r="J17">
        <f>J16+F17</f>
        <v/>
      </c>
      <c r="K17">
        <f>K16+G17</f>
        <v/>
      </c>
      <c r="L17">
        <f>MAX(L16,J17)</f>
        <v/>
      </c>
      <c r="M17">
        <f>IF(AND(B17&lt;x_H,J17&lt;=0,L16&gt;0),1,0)</f>
        <v/>
      </c>
      <c r="N17">
        <f>IF(AND(B17&lt;x_H,I17&lt;=0,O16&gt;0),1,0)</f>
        <v/>
      </c>
      <c r="O17">
        <f>MAX(O16,I17)</f>
        <v/>
      </c>
      <c r="P17">
        <f>(L_I3!U7-L_S1!U7)*D17</f>
        <v/>
      </c>
    </row>
    <row r="18">
      <c r="A18" t="n">
        <v>2031</v>
      </c>
      <c r="B18" t="n">
        <v>5</v>
      </c>
      <c r="C18">
        <f>IF(B18&lt;x_H,(1+x_dk)^(-B18),0)</f>
        <v/>
      </c>
      <c r="D18">
        <f>IF(B18&lt;x_H,(1+x_de)^(-B18),0)</f>
        <v/>
      </c>
      <c r="E18">
        <f>(L_I3!AN8-L_S1!AN8)*C18</f>
        <v/>
      </c>
      <c r="F18">
        <f>(L_I3!AO8-L_S1!AO8)*C18</f>
        <v/>
      </c>
      <c r="G18">
        <f>(L_I3!AP8-L_S1!AP8)*C18</f>
        <v/>
      </c>
      <c r="H18">
        <f>(L_I3!AR8-L_S1!AR8)*C18</f>
        <v/>
      </c>
      <c r="I18">
        <f>I17+E18</f>
        <v/>
      </c>
      <c r="J18">
        <f>J17+F18</f>
        <v/>
      </c>
      <c r="K18">
        <f>K17+G18</f>
        <v/>
      </c>
      <c r="L18">
        <f>MAX(L17,J18)</f>
        <v/>
      </c>
      <c r="M18">
        <f>IF(AND(B18&lt;x_H,J18&lt;=0,L17&gt;0),1,0)</f>
        <v/>
      </c>
      <c r="N18">
        <f>IF(AND(B18&lt;x_H,I18&lt;=0,O17&gt;0),1,0)</f>
        <v/>
      </c>
      <c r="O18">
        <f>MAX(O17,I18)</f>
        <v/>
      </c>
      <c r="P18">
        <f>(L_I3!U8-L_S1!U8)*D18</f>
        <v/>
      </c>
    </row>
    <row r="19">
      <c r="A19" t="n">
        <v>2032</v>
      </c>
      <c r="B19" t="n">
        <v>6</v>
      </c>
      <c r="C19">
        <f>IF(B19&lt;x_H,(1+x_dk)^(-B19),0)</f>
        <v/>
      </c>
      <c r="D19">
        <f>IF(B19&lt;x_H,(1+x_de)^(-B19),0)</f>
        <v/>
      </c>
      <c r="E19">
        <f>(L_I3!AN9-L_S1!AN9)*C19</f>
        <v/>
      </c>
      <c r="F19">
        <f>(L_I3!AO9-L_S1!AO9)*C19</f>
        <v/>
      </c>
      <c r="G19">
        <f>(L_I3!AP9-L_S1!AP9)*C19</f>
        <v/>
      </c>
      <c r="H19">
        <f>(L_I3!AR9-L_S1!AR9)*C19</f>
        <v/>
      </c>
      <c r="I19">
        <f>I18+E19</f>
        <v/>
      </c>
      <c r="J19">
        <f>J18+F19</f>
        <v/>
      </c>
      <c r="K19">
        <f>K18+G19</f>
        <v/>
      </c>
      <c r="L19">
        <f>MAX(L18,J19)</f>
        <v/>
      </c>
      <c r="M19">
        <f>IF(AND(B19&lt;x_H,J19&lt;=0,L18&gt;0),1,0)</f>
        <v/>
      </c>
      <c r="N19">
        <f>IF(AND(B19&lt;x_H,I19&lt;=0,O18&gt;0),1,0)</f>
        <v/>
      </c>
      <c r="O19">
        <f>MAX(O18,I19)</f>
        <v/>
      </c>
      <c r="P19">
        <f>(L_I3!U9-L_S1!U9)*D19</f>
        <v/>
      </c>
    </row>
    <row r="20">
      <c r="A20" t="n">
        <v>2033</v>
      </c>
      <c r="B20" t="n">
        <v>7</v>
      </c>
      <c r="C20">
        <f>IF(B20&lt;x_H,(1+x_dk)^(-B20),0)</f>
        <v/>
      </c>
      <c r="D20">
        <f>IF(B20&lt;x_H,(1+x_de)^(-B20),0)</f>
        <v/>
      </c>
      <c r="E20">
        <f>(L_I3!AN10-L_S1!AN10)*C20</f>
        <v/>
      </c>
      <c r="F20">
        <f>(L_I3!AO10-L_S1!AO10)*C20</f>
        <v/>
      </c>
      <c r="G20">
        <f>(L_I3!AP10-L_S1!AP10)*C20</f>
        <v/>
      </c>
      <c r="H20">
        <f>(L_I3!AR10-L_S1!AR10)*C20</f>
        <v/>
      </c>
      <c r="I20">
        <f>I19+E20</f>
        <v/>
      </c>
      <c r="J20">
        <f>J19+F20</f>
        <v/>
      </c>
      <c r="K20">
        <f>K19+G20</f>
        <v/>
      </c>
      <c r="L20">
        <f>MAX(L19,J20)</f>
        <v/>
      </c>
      <c r="M20">
        <f>IF(AND(B20&lt;x_H,J20&lt;=0,L19&gt;0),1,0)</f>
        <v/>
      </c>
      <c r="N20">
        <f>IF(AND(B20&lt;x_H,I20&lt;=0,O19&gt;0),1,0)</f>
        <v/>
      </c>
      <c r="O20">
        <f>MAX(O19,I20)</f>
        <v/>
      </c>
      <c r="P20">
        <f>(L_I3!U10-L_S1!U10)*D20</f>
        <v/>
      </c>
    </row>
    <row r="21">
      <c r="A21" t="n">
        <v>2034</v>
      </c>
      <c r="B21" t="n">
        <v>8</v>
      </c>
      <c r="C21">
        <f>IF(B21&lt;x_H,(1+x_dk)^(-B21),0)</f>
        <v/>
      </c>
      <c r="D21">
        <f>IF(B21&lt;x_H,(1+x_de)^(-B21),0)</f>
        <v/>
      </c>
      <c r="E21">
        <f>(L_I3!AN11-L_S1!AN11)*C21</f>
        <v/>
      </c>
      <c r="F21">
        <f>(L_I3!AO11-L_S1!AO11)*C21</f>
        <v/>
      </c>
      <c r="G21">
        <f>(L_I3!AP11-L_S1!AP11)*C21</f>
        <v/>
      </c>
      <c r="H21">
        <f>(L_I3!AR11-L_S1!AR11)*C21</f>
        <v/>
      </c>
      <c r="I21">
        <f>I20+E21</f>
        <v/>
      </c>
      <c r="J21">
        <f>J20+F21</f>
        <v/>
      </c>
      <c r="K21">
        <f>K20+G21</f>
        <v/>
      </c>
      <c r="L21">
        <f>MAX(L20,J21)</f>
        <v/>
      </c>
      <c r="M21">
        <f>IF(AND(B21&lt;x_H,J21&lt;=0,L20&gt;0),1,0)</f>
        <v/>
      </c>
      <c r="N21">
        <f>IF(AND(B21&lt;x_H,I21&lt;=0,O20&gt;0),1,0)</f>
        <v/>
      </c>
      <c r="O21">
        <f>MAX(O20,I21)</f>
        <v/>
      </c>
      <c r="P21">
        <f>(L_I3!U11-L_S1!U11)*D21</f>
        <v/>
      </c>
    </row>
    <row r="22">
      <c r="A22" t="n">
        <v>2035</v>
      </c>
      <c r="B22" t="n">
        <v>9</v>
      </c>
      <c r="C22">
        <f>IF(B22&lt;x_H,(1+x_dk)^(-B22),0)</f>
        <v/>
      </c>
      <c r="D22">
        <f>IF(B22&lt;x_H,(1+x_de)^(-B22),0)</f>
        <v/>
      </c>
      <c r="E22">
        <f>(L_I3!AN12-L_S1!AN12)*C22</f>
        <v/>
      </c>
      <c r="F22">
        <f>(L_I3!AO12-L_S1!AO12)*C22</f>
        <v/>
      </c>
      <c r="G22">
        <f>(L_I3!AP12-L_S1!AP12)*C22</f>
        <v/>
      </c>
      <c r="H22">
        <f>(L_I3!AR12-L_S1!AR12)*C22</f>
        <v/>
      </c>
      <c r="I22">
        <f>I21+E22</f>
        <v/>
      </c>
      <c r="J22">
        <f>J21+F22</f>
        <v/>
      </c>
      <c r="K22">
        <f>K21+G22</f>
        <v/>
      </c>
      <c r="L22">
        <f>MAX(L21,J22)</f>
        <v/>
      </c>
      <c r="M22">
        <f>IF(AND(B22&lt;x_H,J22&lt;=0,L21&gt;0),1,0)</f>
        <v/>
      </c>
      <c r="N22">
        <f>IF(AND(B22&lt;x_H,I22&lt;=0,O21&gt;0),1,0)</f>
        <v/>
      </c>
      <c r="O22">
        <f>MAX(O21,I22)</f>
        <v/>
      </c>
      <c r="P22">
        <f>(L_I3!U12-L_S1!U12)*D22</f>
        <v/>
      </c>
    </row>
    <row r="23">
      <c r="A23" t="n">
        <v>2036</v>
      </c>
      <c r="B23" t="n">
        <v>10</v>
      </c>
      <c r="C23">
        <f>IF(B23&lt;x_H,(1+x_dk)^(-B23),0)</f>
        <v/>
      </c>
      <c r="D23">
        <f>IF(B23&lt;x_H,(1+x_de)^(-B23),0)</f>
        <v/>
      </c>
      <c r="E23">
        <f>(L_I3!AN13-L_S1!AN13)*C23</f>
        <v/>
      </c>
      <c r="F23">
        <f>(L_I3!AO13-L_S1!AO13)*C23</f>
        <v/>
      </c>
      <c r="G23">
        <f>(L_I3!AP13-L_S1!AP13)*C23</f>
        <v/>
      </c>
      <c r="H23">
        <f>(L_I3!AR13-L_S1!AR13)*C23</f>
        <v/>
      </c>
      <c r="I23">
        <f>I22+E23</f>
        <v/>
      </c>
      <c r="J23">
        <f>J22+F23</f>
        <v/>
      </c>
      <c r="K23">
        <f>K22+G23</f>
        <v/>
      </c>
      <c r="L23">
        <f>MAX(L22,J23)</f>
        <v/>
      </c>
      <c r="M23">
        <f>IF(AND(B23&lt;x_H,J23&lt;=0,L22&gt;0),1,0)</f>
        <v/>
      </c>
      <c r="N23">
        <f>IF(AND(B23&lt;x_H,I23&lt;=0,O22&gt;0),1,0)</f>
        <v/>
      </c>
      <c r="O23">
        <f>MAX(O22,I23)</f>
        <v/>
      </c>
      <c r="P23">
        <f>(L_I3!U13-L_S1!U13)*D23</f>
        <v/>
      </c>
    </row>
    <row r="24">
      <c r="A24" t="n">
        <v>2037</v>
      </c>
      <c r="B24" t="n">
        <v>11</v>
      </c>
      <c r="C24">
        <f>IF(B24&lt;x_H,(1+x_dk)^(-B24),0)</f>
        <v/>
      </c>
      <c r="D24">
        <f>IF(B24&lt;x_H,(1+x_de)^(-B24),0)</f>
        <v/>
      </c>
      <c r="E24">
        <f>(L_I3!AN14-L_S1!AN14)*C24</f>
        <v/>
      </c>
      <c r="F24">
        <f>(L_I3!AO14-L_S1!AO14)*C24</f>
        <v/>
      </c>
      <c r="G24">
        <f>(L_I3!AP14-L_S1!AP14)*C24</f>
        <v/>
      </c>
      <c r="H24">
        <f>(L_I3!AR14-L_S1!AR14)*C24</f>
        <v/>
      </c>
      <c r="I24">
        <f>I23+E24</f>
        <v/>
      </c>
      <c r="J24">
        <f>J23+F24</f>
        <v/>
      </c>
      <c r="K24">
        <f>K23+G24</f>
        <v/>
      </c>
      <c r="L24">
        <f>MAX(L23,J24)</f>
        <v/>
      </c>
      <c r="M24">
        <f>IF(AND(B24&lt;x_H,J24&lt;=0,L23&gt;0),1,0)</f>
        <v/>
      </c>
      <c r="N24">
        <f>IF(AND(B24&lt;x_H,I24&lt;=0,O23&gt;0),1,0)</f>
        <v/>
      </c>
      <c r="O24">
        <f>MAX(O23,I24)</f>
        <v/>
      </c>
      <c r="P24">
        <f>(L_I3!U14-L_S1!U14)*D24</f>
        <v/>
      </c>
    </row>
    <row r="25">
      <c r="A25" t="n">
        <v>2038</v>
      </c>
      <c r="B25" t="n">
        <v>12</v>
      </c>
      <c r="C25">
        <f>IF(B25&lt;x_H,(1+x_dk)^(-B25),0)</f>
        <v/>
      </c>
      <c r="D25">
        <f>IF(B25&lt;x_H,(1+x_de)^(-B25),0)</f>
        <v/>
      </c>
      <c r="E25">
        <f>(L_I3!AN15-L_S1!AN15)*C25</f>
        <v/>
      </c>
      <c r="F25">
        <f>(L_I3!AO15-L_S1!AO15)*C25</f>
        <v/>
      </c>
      <c r="G25">
        <f>(L_I3!AP15-L_S1!AP15)*C25</f>
        <v/>
      </c>
      <c r="H25">
        <f>(L_I3!AR15-L_S1!AR15)*C25</f>
        <v/>
      </c>
      <c r="I25">
        <f>I24+E25</f>
        <v/>
      </c>
      <c r="J25">
        <f>J24+F25</f>
        <v/>
      </c>
      <c r="K25">
        <f>K24+G25</f>
        <v/>
      </c>
      <c r="L25">
        <f>MAX(L24,J25)</f>
        <v/>
      </c>
      <c r="M25">
        <f>IF(AND(B25&lt;x_H,J25&lt;=0,L24&gt;0),1,0)</f>
        <v/>
      </c>
      <c r="N25">
        <f>IF(AND(B25&lt;x_H,I25&lt;=0,O24&gt;0),1,0)</f>
        <v/>
      </c>
      <c r="O25">
        <f>MAX(O24,I25)</f>
        <v/>
      </c>
      <c r="P25">
        <f>(L_I3!U15-L_S1!U15)*D25</f>
        <v/>
      </c>
    </row>
    <row r="26">
      <c r="A26" t="n">
        <v>2039</v>
      </c>
      <c r="B26" t="n">
        <v>13</v>
      </c>
      <c r="C26">
        <f>IF(B26&lt;x_H,(1+x_dk)^(-B26),0)</f>
        <v/>
      </c>
      <c r="D26">
        <f>IF(B26&lt;x_H,(1+x_de)^(-B26),0)</f>
        <v/>
      </c>
      <c r="E26">
        <f>(L_I3!AN16-L_S1!AN16)*C26</f>
        <v/>
      </c>
      <c r="F26">
        <f>(L_I3!AO16-L_S1!AO16)*C26</f>
        <v/>
      </c>
      <c r="G26">
        <f>(L_I3!AP16-L_S1!AP16)*C26</f>
        <v/>
      </c>
      <c r="H26">
        <f>(L_I3!AR16-L_S1!AR16)*C26</f>
        <v/>
      </c>
      <c r="I26">
        <f>I25+E26</f>
        <v/>
      </c>
      <c r="J26">
        <f>J25+F26</f>
        <v/>
      </c>
      <c r="K26">
        <f>K25+G26</f>
        <v/>
      </c>
      <c r="L26">
        <f>MAX(L25,J26)</f>
        <v/>
      </c>
      <c r="M26">
        <f>IF(AND(B26&lt;x_H,J26&lt;=0,L25&gt;0),1,0)</f>
        <v/>
      </c>
      <c r="N26">
        <f>IF(AND(B26&lt;x_H,I26&lt;=0,O25&gt;0),1,0)</f>
        <v/>
      </c>
      <c r="O26">
        <f>MAX(O25,I26)</f>
        <v/>
      </c>
      <c r="P26">
        <f>(L_I3!U16-L_S1!U16)*D26</f>
        <v/>
      </c>
    </row>
    <row r="27">
      <c r="A27" t="n">
        <v>2040</v>
      </c>
      <c r="B27" t="n">
        <v>14</v>
      </c>
      <c r="C27">
        <f>IF(B27&lt;x_H,(1+x_dk)^(-B27),0)</f>
        <v/>
      </c>
      <c r="D27">
        <f>IF(B27&lt;x_H,(1+x_de)^(-B27),0)</f>
        <v/>
      </c>
      <c r="E27">
        <f>(L_I3!AN17-L_S1!AN17)*C27</f>
        <v/>
      </c>
      <c r="F27">
        <f>(L_I3!AO17-L_S1!AO17)*C27</f>
        <v/>
      </c>
      <c r="G27">
        <f>(L_I3!AP17-L_S1!AP17)*C27</f>
        <v/>
      </c>
      <c r="H27">
        <f>(L_I3!AR17-L_S1!AR17)*C27</f>
        <v/>
      </c>
      <c r="I27">
        <f>I26+E27</f>
        <v/>
      </c>
      <c r="J27">
        <f>J26+F27</f>
        <v/>
      </c>
      <c r="K27">
        <f>K26+G27</f>
        <v/>
      </c>
      <c r="L27">
        <f>MAX(L26,J27)</f>
        <v/>
      </c>
      <c r="M27">
        <f>IF(AND(B27&lt;x_H,J27&lt;=0,L26&gt;0),1,0)</f>
        <v/>
      </c>
      <c r="N27">
        <f>IF(AND(B27&lt;x_H,I27&lt;=0,O26&gt;0),1,0)</f>
        <v/>
      </c>
      <c r="O27">
        <f>MAX(O26,I27)</f>
        <v/>
      </c>
      <c r="P27">
        <f>(L_I3!U17-L_S1!U17)*D27</f>
        <v/>
      </c>
    </row>
    <row r="28">
      <c r="A28" t="n">
        <v>2041</v>
      </c>
      <c r="B28" t="n">
        <v>15</v>
      </c>
      <c r="C28">
        <f>IF(B28&lt;x_H,(1+x_dk)^(-B28),0)</f>
        <v/>
      </c>
      <c r="D28">
        <f>IF(B28&lt;x_H,(1+x_de)^(-B28),0)</f>
        <v/>
      </c>
      <c r="E28">
        <f>(L_I3!AN18-L_S1!AN18)*C28</f>
        <v/>
      </c>
      <c r="F28">
        <f>(L_I3!AO18-L_S1!AO18)*C28</f>
        <v/>
      </c>
      <c r="G28">
        <f>(L_I3!AP18-L_S1!AP18)*C28</f>
        <v/>
      </c>
      <c r="H28">
        <f>(L_I3!AR18-L_S1!AR18)*C28</f>
        <v/>
      </c>
      <c r="I28">
        <f>I27+E28</f>
        <v/>
      </c>
      <c r="J28">
        <f>J27+F28</f>
        <v/>
      </c>
      <c r="K28">
        <f>K27+G28</f>
        <v/>
      </c>
      <c r="L28">
        <f>MAX(L27,J28)</f>
        <v/>
      </c>
      <c r="M28">
        <f>IF(AND(B28&lt;x_H,J28&lt;=0,L27&gt;0),1,0)</f>
        <v/>
      </c>
      <c r="N28">
        <f>IF(AND(B28&lt;x_H,I28&lt;=0,O27&gt;0),1,0)</f>
        <v/>
      </c>
      <c r="O28">
        <f>MAX(O27,I28)</f>
        <v/>
      </c>
      <c r="P28">
        <f>(L_I3!U18-L_S1!U18)*D28</f>
        <v/>
      </c>
    </row>
    <row r="29">
      <c r="A29" t="n">
        <v>2042</v>
      </c>
      <c r="B29" t="n">
        <v>16</v>
      </c>
      <c r="C29">
        <f>IF(B29&lt;x_H,(1+x_dk)^(-B29),0)</f>
        <v/>
      </c>
      <c r="D29">
        <f>IF(B29&lt;x_H,(1+x_de)^(-B29),0)</f>
        <v/>
      </c>
      <c r="E29">
        <f>(L_I3!AN19-L_S1!AN19)*C29</f>
        <v/>
      </c>
      <c r="F29">
        <f>(L_I3!AO19-L_S1!AO19)*C29</f>
        <v/>
      </c>
      <c r="G29">
        <f>(L_I3!AP19-L_S1!AP19)*C29</f>
        <v/>
      </c>
      <c r="H29">
        <f>(L_I3!AR19-L_S1!AR19)*C29</f>
        <v/>
      </c>
      <c r="I29">
        <f>I28+E29</f>
        <v/>
      </c>
      <c r="J29">
        <f>J28+F29</f>
        <v/>
      </c>
      <c r="K29">
        <f>K28+G29</f>
        <v/>
      </c>
      <c r="L29">
        <f>MAX(L28,J29)</f>
        <v/>
      </c>
      <c r="M29">
        <f>IF(AND(B29&lt;x_H,J29&lt;=0,L28&gt;0),1,0)</f>
        <v/>
      </c>
      <c r="N29">
        <f>IF(AND(B29&lt;x_H,I29&lt;=0,O28&gt;0),1,0)</f>
        <v/>
      </c>
      <c r="O29">
        <f>MAX(O28,I29)</f>
        <v/>
      </c>
      <c r="P29">
        <f>(L_I3!U19-L_S1!U19)*D29</f>
        <v/>
      </c>
    </row>
    <row r="30">
      <c r="A30" t="n">
        <v>2043</v>
      </c>
      <c r="B30" t="n">
        <v>17</v>
      </c>
      <c r="C30">
        <f>IF(B30&lt;x_H,(1+x_dk)^(-B30),0)</f>
        <v/>
      </c>
      <c r="D30">
        <f>IF(B30&lt;x_H,(1+x_de)^(-B30),0)</f>
        <v/>
      </c>
      <c r="E30">
        <f>(L_I3!AN20-L_S1!AN20)*C30</f>
        <v/>
      </c>
      <c r="F30">
        <f>(L_I3!AO20-L_S1!AO20)*C30</f>
        <v/>
      </c>
      <c r="G30">
        <f>(L_I3!AP20-L_S1!AP20)*C30</f>
        <v/>
      </c>
      <c r="H30">
        <f>(L_I3!AR20-L_S1!AR20)*C30</f>
        <v/>
      </c>
      <c r="I30">
        <f>I29+E30</f>
        <v/>
      </c>
      <c r="J30">
        <f>J29+F30</f>
        <v/>
      </c>
      <c r="K30">
        <f>K29+G30</f>
        <v/>
      </c>
      <c r="L30">
        <f>MAX(L29,J30)</f>
        <v/>
      </c>
      <c r="M30">
        <f>IF(AND(B30&lt;x_H,J30&lt;=0,L29&gt;0),1,0)</f>
        <v/>
      </c>
      <c r="N30">
        <f>IF(AND(B30&lt;x_H,I30&lt;=0,O29&gt;0),1,0)</f>
        <v/>
      </c>
      <c r="O30">
        <f>MAX(O29,I30)</f>
        <v/>
      </c>
      <c r="P30">
        <f>(L_I3!U20-L_S1!U20)*D30</f>
        <v/>
      </c>
    </row>
    <row r="31">
      <c r="A31" t="n">
        <v>2044</v>
      </c>
      <c r="B31" t="n">
        <v>18</v>
      </c>
      <c r="C31">
        <f>IF(B31&lt;x_H,(1+x_dk)^(-B31),0)</f>
        <v/>
      </c>
      <c r="D31">
        <f>IF(B31&lt;x_H,(1+x_de)^(-B31),0)</f>
        <v/>
      </c>
      <c r="E31">
        <f>(L_I3!AN21-L_S1!AN21)*C31</f>
        <v/>
      </c>
      <c r="F31">
        <f>(L_I3!AO21-L_S1!AO21)*C31</f>
        <v/>
      </c>
      <c r="G31">
        <f>(L_I3!AP21-L_S1!AP21)*C31</f>
        <v/>
      </c>
      <c r="H31">
        <f>(L_I3!AR21-L_S1!AR21)*C31</f>
        <v/>
      </c>
      <c r="I31">
        <f>I30+E31</f>
        <v/>
      </c>
      <c r="J31">
        <f>J30+F31</f>
        <v/>
      </c>
      <c r="K31">
        <f>K30+G31</f>
        <v/>
      </c>
      <c r="L31">
        <f>MAX(L30,J31)</f>
        <v/>
      </c>
      <c r="M31">
        <f>IF(AND(B31&lt;x_H,J31&lt;=0,L30&gt;0),1,0)</f>
        <v/>
      </c>
      <c r="N31">
        <f>IF(AND(B31&lt;x_H,I31&lt;=0,O30&gt;0),1,0)</f>
        <v/>
      </c>
      <c r="O31">
        <f>MAX(O30,I31)</f>
        <v/>
      </c>
      <c r="P31">
        <f>(L_I3!U21-L_S1!U21)*D31</f>
        <v/>
      </c>
    </row>
    <row r="32">
      <c r="A32" t="n">
        <v>2045</v>
      </c>
      <c r="B32" t="n">
        <v>19</v>
      </c>
      <c r="C32">
        <f>IF(B32&lt;x_H,(1+x_dk)^(-B32),0)</f>
        <v/>
      </c>
      <c r="D32">
        <f>IF(B32&lt;x_H,(1+x_de)^(-B32),0)</f>
        <v/>
      </c>
      <c r="E32">
        <f>(L_I3!AN22-L_S1!AN22)*C32</f>
        <v/>
      </c>
      <c r="F32">
        <f>(L_I3!AO22-L_S1!AO22)*C32</f>
        <v/>
      </c>
      <c r="G32">
        <f>(L_I3!AP22-L_S1!AP22)*C32</f>
        <v/>
      </c>
      <c r="H32">
        <f>(L_I3!AR22-L_S1!AR22)*C32</f>
        <v/>
      </c>
      <c r="I32">
        <f>I31+E32</f>
        <v/>
      </c>
      <c r="J32">
        <f>J31+F32</f>
        <v/>
      </c>
      <c r="K32">
        <f>K31+G32</f>
        <v/>
      </c>
      <c r="L32">
        <f>MAX(L31,J32)</f>
        <v/>
      </c>
      <c r="M32">
        <f>IF(AND(B32&lt;x_H,J32&lt;=0,L31&gt;0),1,0)</f>
        <v/>
      </c>
      <c r="N32">
        <f>IF(AND(B32&lt;x_H,I32&lt;=0,O31&gt;0),1,0)</f>
        <v/>
      </c>
      <c r="O32">
        <f>MAX(O31,I32)</f>
        <v/>
      </c>
      <c r="P32">
        <f>(L_I3!U22-L_S1!U22)*D32</f>
        <v/>
      </c>
    </row>
    <row r="33">
      <c r="A33" t="n">
        <v>2046</v>
      </c>
      <c r="B33" t="n">
        <v>20</v>
      </c>
      <c r="C33">
        <f>IF(B33&lt;x_H,(1+x_dk)^(-B33),0)</f>
        <v/>
      </c>
      <c r="D33">
        <f>IF(B33&lt;x_H,(1+x_de)^(-B33),0)</f>
        <v/>
      </c>
      <c r="E33">
        <f>(L_I3!AN23-L_S1!AN23)*C33</f>
        <v/>
      </c>
      <c r="F33">
        <f>(L_I3!AO23-L_S1!AO23)*C33</f>
        <v/>
      </c>
      <c r="G33">
        <f>(L_I3!AP23-L_S1!AP23)*C33</f>
        <v/>
      </c>
      <c r="H33">
        <f>(L_I3!AR23-L_S1!AR23)*C33</f>
        <v/>
      </c>
      <c r="I33">
        <f>I32+E33</f>
        <v/>
      </c>
      <c r="J33">
        <f>J32+F33</f>
        <v/>
      </c>
      <c r="K33">
        <f>K32+G33</f>
        <v/>
      </c>
      <c r="L33">
        <f>MAX(L32,J33)</f>
        <v/>
      </c>
      <c r="M33">
        <f>IF(AND(B33&lt;x_H,J33&lt;=0,L32&gt;0),1,0)</f>
        <v/>
      </c>
      <c r="N33">
        <f>IF(AND(B33&lt;x_H,I33&lt;=0,O32&gt;0),1,0)</f>
        <v/>
      </c>
      <c r="O33">
        <f>MAX(O32,I33)</f>
        <v/>
      </c>
      <c r="P33">
        <f>(L_I3!U23-L_S1!U23)*D33</f>
        <v/>
      </c>
    </row>
    <row r="34">
      <c r="A34" t="n">
        <v>2047</v>
      </c>
      <c r="B34" t="n">
        <v>21</v>
      </c>
      <c r="C34">
        <f>IF(B34&lt;x_H,(1+x_dk)^(-B34),0)</f>
        <v/>
      </c>
      <c r="D34">
        <f>IF(B34&lt;x_H,(1+x_de)^(-B34),0)</f>
        <v/>
      </c>
      <c r="E34">
        <f>(L_I3!AN24-L_S1!AN24)*C34</f>
        <v/>
      </c>
      <c r="F34">
        <f>(L_I3!AO24-L_S1!AO24)*C34</f>
        <v/>
      </c>
      <c r="G34">
        <f>(L_I3!AP24-L_S1!AP24)*C34</f>
        <v/>
      </c>
      <c r="H34">
        <f>(L_I3!AR24-L_S1!AR24)*C34</f>
        <v/>
      </c>
      <c r="I34">
        <f>I33+E34</f>
        <v/>
      </c>
      <c r="J34">
        <f>J33+F34</f>
        <v/>
      </c>
      <c r="K34">
        <f>K33+G34</f>
        <v/>
      </c>
      <c r="L34">
        <f>MAX(L33,J34)</f>
        <v/>
      </c>
      <c r="M34">
        <f>IF(AND(B34&lt;x_H,J34&lt;=0,L33&gt;0),1,0)</f>
        <v/>
      </c>
      <c r="N34">
        <f>IF(AND(B34&lt;x_H,I34&lt;=0,O33&gt;0),1,0)</f>
        <v/>
      </c>
      <c r="O34">
        <f>MAX(O33,I34)</f>
        <v/>
      </c>
      <c r="P34">
        <f>(L_I3!U24-L_S1!U24)*D34</f>
        <v/>
      </c>
    </row>
    <row r="35">
      <c r="A35" t="n">
        <v>2048</v>
      </c>
      <c r="B35" t="n">
        <v>22</v>
      </c>
      <c r="C35">
        <f>IF(B35&lt;x_H,(1+x_dk)^(-B35),0)</f>
        <v/>
      </c>
      <c r="D35">
        <f>IF(B35&lt;x_H,(1+x_de)^(-B35),0)</f>
        <v/>
      </c>
      <c r="E35">
        <f>(L_I3!AN25-L_S1!AN25)*C35</f>
        <v/>
      </c>
      <c r="F35">
        <f>(L_I3!AO25-L_S1!AO25)*C35</f>
        <v/>
      </c>
      <c r="G35">
        <f>(L_I3!AP25-L_S1!AP25)*C35</f>
        <v/>
      </c>
      <c r="H35">
        <f>(L_I3!AR25-L_S1!AR25)*C35</f>
        <v/>
      </c>
      <c r="I35">
        <f>I34+E35</f>
        <v/>
      </c>
      <c r="J35">
        <f>J34+F35</f>
        <v/>
      </c>
      <c r="K35">
        <f>K34+G35</f>
        <v/>
      </c>
      <c r="L35">
        <f>MAX(L34,J35)</f>
        <v/>
      </c>
      <c r="M35">
        <f>IF(AND(B35&lt;x_H,J35&lt;=0,L34&gt;0),1,0)</f>
        <v/>
      </c>
      <c r="N35">
        <f>IF(AND(B35&lt;x_H,I35&lt;=0,O34&gt;0),1,0)</f>
        <v/>
      </c>
      <c r="O35">
        <f>MAX(O34,I35)</f>
        <v/>
      </c>
      <c r="P35">
        <f>(L_I3!U25-L_S1!U25)*D35</f>
        <v/>
      </c>
    </row>
    <row r="36">
      <c r="A36" t="n">
        <v>2049</v>
      </c>
      <c r="B36" t="n">
        <v>23</v>
      </c>
      <c r="C36">
        <f>IF(B36&lt;x_H,(1+x_dk)^(-B36),0)</f>
        <v/>
      </c>
      <c r="D36">
        <f>IF(B36&lt;x_H,(1+x_de)^(-B36),0)</f>
        <v/>
      </c>
      <c r="E36">
        <f>(L_I3!AN26-L_S1!AN26)*C36</f>
        <v/>
      </c>
      <c r="F36">
        <f>(L_I3!AO26-L_S1!AO26)*C36</f>
        <v/>
      </c>
      <c r="G36">
        <f>(L_I3!AP26-L_S1!AP26)*C36</f>
        <v/>
      </c>
      <c r="H36">
        <f>(L_I3!AR26-L_S1!AR26)*C36</f>
        <v/>
      </c>
      <c r="I36">
        <f>I35+E36</f>
        <v/>
      </c>
      <c r="J36">
        <f>J35+F36</f>
        <v/>
      </c>
      <c r="K36">
        <f>K35+G36</f>
        <v/>
      </c>
      <c r="L36">
        <f>MAX(L35,J36)</f>
        <v/>
      </c>
      <c r="M36">
        <f>IF(AND(B36&lt;x_H,J36&lt;=0,L35&gt;0),1,0)</f>
        <v/>
      </c>
      <c r="N36">
        <f>IF(AND(B36&lt;x_H,I36&lt;=0,O35&gt;0),1,0)</f>
        <v/>
      </c>
      <c r="O36">
        <f>MAX(O35,I36)</f>
        <v/>
      </c>
      <c r="P36">
        <f>(L_I3!U26-L_S1!U26)*D36</f>
        <v/>
      </c>
    </row>
    <row r="37">
      <c r="A37" t="n">
        <v>2050</v>
      </c>
      <c r="B37" t="n">
        <v>24</v>
      </c>
      <c r="C37">
        <f>IF(B37&lt;x_H,(1+x_dk)^(-B37),0)</f>
        <v/>
      </c>
      <c r="D37">
        <f>IF(B37&lt;x_H,(1+x_de)^(-B37),0)</f>
        <v/>
      </c>
      <c r="E37">
        <f>(L_I3!AN27-L_S1!AN27)*C37</f>
        <v/>
      </c>
      <c r="F37">
        <f>(L_I3!AO27-L_S1!AO27)*C37</f>
        <v/>
      </c>
      <c r="G37">
        <f>(L_I3!AP27-L_S1!AP27)*C37</f>
        <v/>
      </c>
      <c r="H37">
        <f>(L_I3!AR27-L_S1!AR27)*C37</f>
        <v/>
      </c>
      <c r="I37">
        <f>I36+E37</f>
        <v/>
      </c>
      <c r="J37">
        <f>J36+F37</f>
        <v/>
      </c>
      <c r="K37">
        <f>K36+G37</f>
        <v/>
      </c>
      <c r="L37">
        <f>MAX(L36,J37)</f>
        <v/>
      </c>
      <c r="M37">
        <f>IF(AND(B37&lt;x_H,J37&lt;=0,L36&gt;0),1,0)</f>
        <v/>
      </c>
      <c r="N37">
        <f>IF(AND(B37&lt;x_H,I37&lt;=0,O36&gt;0),1,0)</f>
        <v/>
      </c>
      <c r="O37">
        <f>MAX(O36,I37)</f>
        <v/>
      </c>
      <c r="P37">
        <f>(L_I3!U27-L_S1!U27)*D37</f>
        <v/>
      </c>
    </row>
    <row r="38">
      <c r="A38" t="n">
        <v>2051</v>
      </c>
      <c r="B38" t="n">
        <v>25</v>
      </c>
      <c r="C38">
        <f>IF(B38&lt;x_H,(1+x_dk)^(-B38),0)</f>
        <v/>
      </c>
      <c r="D38">
        <f>IF(B38&lt;x_H,(1+x_de)^(-B38),0)</f>
        <v/>
      </c>
      <c r="E38">
        <f>(L_I3!AN28-L_S1!AN28)*C38</f>
        <v/>
      </c>
      <c r="F38">
        <f>(L_I3!AO28-L_S1!AO28)*C38</f>
        <v/>
      </c>
      <c r="G38">
        <f>(L_I3!AP28-L_S1!AP28)*C38</f>
        <v/>
      </c>
      <c r="H38">
        <f>(L_I3!AR28-L_S1!AR28)*C38</f>
        <v/>
      </c>
      <c r="I38">
        <f>I37+E38</f>
        <v/>
      </c>
      <c r="J38">
        <f>J37+F38</f>
        <v/>
      </c>
      <c r="K38">
        <f>K37+G38</f>
        <v/>
      </c>
      <c r="L38">
        <f>MAX(L37,J38)</f>
        <v/>
      </c>
      <c r="M38">
        <f>IF(AND(B38&lt;x_H,J38&lt;=0,L37&gt;0),1,0)</f>
        <v/>
      </c>
      <c r="N38">
        <f>IF(AND(B38&lt;x_H,I38&lt;=0,O37&gt;0),1,0)</f>
        <v/>
      </c>
      <c r="O38">
        <f>MAX(O37,I38)</f>
        <v/>
      </c>
      <c r="P38">
        <f>(L_I3!U28-L_S1!U28)*D38</f>
        <v/>
      </c>
    </row>
    <row r="39">
      <c r="A39" t="n">
        <v>2052</v>
      </c>
      <c r="B39" t="n">
        <v>26</v>
      </c>
      <c r="C39">
        <f>IF(B39&lt;x_H,(1+x_dk)^(-B39),0)</f>
        <v/>
      </c>
      <c r="D39">
        <f>IF(B39&lt;x_H,(1+x_de)^(-B39),0)</f>
        <v/>
      </c>
      <c r="E39">
        <f>(L_I3!AN29-L_S1!AN29)*C39</f>
        <v/>
      </c>
      <c r="F39">
        <f>(L_I3!AO29-L_S1!AO29)*C39</f>
        <v/>
      </c>
      <c r="G39">
        <f>(L_I3!AP29-L_S1!AP29)*C39</f>
        <v/>
      </c>
      <c r="H39">
        <f>(L_I3!AR29-L_S1!AR29)*C39</f>
        <v/>
      </c>
      <c r="I39">
        <f>I38+E39</f>
        <v/>
      </c>
      <c r="J39">
        <f>J38+F39</f>
        <v/>
      </c>
      <c r="K39">
        <f>K38+G39</f>
        <v/>
      </c>
      <c r="L39">
        <f>MAX(L38,J39)</f>
        <v/>
      </c>
      <c r="M39">
        <f>IF(AND(B39&lt;x_H,J39&lt;=0,L38&gt;0),1,0)</f>
        <v/>
      </c>
      <c r="N39">
        <f>IF(AND(B39&lt;x_H,I39&lt;=0,O38&gt;0),1,0)</f>
        <v/>
      </c>
      <c r="O39">
        <f>MAX(O38,I39)</f>
        <v/>
      </c>
      <c r="P39">
        <f>(L_I3!U29-L_S1!U29)*D39</f>
        <v/>
      </c>
    </row>
    <row r="40">
      <c r="A40" t="n">
        <v>2053</v>
      </c>
      <c r="B40" t="n">
        <v>27</v>
      </c>
      <c r="C40">
        <f>IF(B40&lt;x_H,(1+x_dk)^(-B40),0)</f>
        <v/>
      </c>
      <c r="D40">
        <f>IF(B40&lt;x_H,(1+x_de)^(-B40),0)</f>
        <v/>
      </c>
      <c r="E40">
        <f>(L_I3!AN30-L_S1!AN30)*C40</f>
        <v/>
      </c>
      <c r="F40">
        <f>(L_I3!AO30-L_S1!AO30)*C40</f>
        <v/>
      </c>
      <c r="G40">
        <f>(L_I3!AP30-L_S1!AP30)*C40</f>
        <v/>
      </c>
      <c r="H40">
        <f>(L_I3!AR30-L_S1!AR30)*C40</f>
        <v/>
      </c>
      <c r="I40">
        <f>I39+E40</f>
        <v/>
      </c>
      <c r="J40">
        <f>J39+F40</f>
        <v/>
      </c>
      <c r="K40">
        <f>K39+G40</f>
        <v/>
      </c>
      <c r="L40">
        <f>MAX(L39,J40)</f>
        <v/>
      </c>
      <c r="M40">
        <f>IF(AND(B40&lt;x_H,J40&lt;=0,L39&gt;0),1,0)</f>
        <v/>
      </c>
      <c r="N40">
        <f>IF(AND(B40&lt;x_H,I40&lt;=0,O39&gt;0),1,0)</f>
        <v/>
      </c>
      <c r="O40">
        <f>MAX(O39,I40)</f>
        <v/>
      </c>
      <c r="P40">
        <f>(L_I3!U30-L_S1!U30)*D40</f>
        <v/>
      </c>
    </row>
    <row r="41">
      <c r="A41" t="n">
        <v>2054</v>
      </c>
      <c r="B41" t="n">
        <v>28</v>
      </c>
      <c r="C41">
        <f>IF(B41&lt;x_H,(1+x_dk)^(-B41),0)</f>
        <v/>
      </c>
      <c r="D41">
        <f>IF(B41&lt;x_H,(1+x_de)^(-B41),0)</f>
        <v/>
      </c>
      <c r="E41">
        <f>(L_I3!AN31-L_S1!AN31)*C41</f>
        <v/>
      </c>
      <c r="F41">
        <f>(L_I3!AO31-L_S1!AO31)*C41</f>
        <v/>
      </c>
      <c r="G41">
        <f>(L_I3!AP31-L_S1!AP31)*C41</f>
        <v/>
      </c>
      <c r="H41">
        <f>(L_I3!AR31-L_S1!AR31)*C41</f>
        <v/>
      </c>
      <c r="I41">
        <f>I40+E41</f>
        <v/>
      </c>
      <c r="J41">
        <f>J40+F41</f>
        <v/>
      </c>
      <c r="K41">
        <f>K40+G41</f>
        <v/>
      </c>
      <c r="L41">
        <f>MAX(L40,J41)</f>
        <v/>
      </c>
      <c r="M41">
        <f>IF(AND(B41&lt;x_H,J41&lt;=0,L40&gt;0),1,0)</f>
        <v/>
      </c>
      <c r="N41">
        <f>IF(AND(B41&lt;x_H,I41&lt;=0,O40&gt;0),1,0)</f>
        <v/>
      </c>
      <c r="O41">
        <f>MAX(O40,I41)</f>
        <v/>
      </c>
      <c r="P41">
        <f>(L_I3!U31-L_S1!U31)*D41</f>
        <v/>
      </c>
    </row>
    <row r="42">
      <c r="A42" t="n">
        <v>2055</v>
      </c>
      <c r="B42" t="n">
        <v>29</v>
      </c>
      <c r="C42">
        <f>IF(B42&lt;x_H,(1+x_dk)^(-B42),0)</f>
        <v/>
      </c>
      <c r="D42">
        <f>IF(B42&lt;x_H,(1+x_de)^(-B42),0)</f>
        <v/>
      </c>
      <c r="E42">
        <f>(L_I3!AN32-L_S1!AN32)*C42</f>
        <v/>
      </c>
      <c r="F42">
        <f>(L_I3!AO32-L_S1!AO32)*C42</f>
        <v/>
      </c>
      <c r="G42">
        <f>(L_I3!AP32-L_S1!AP32)*C42</f>
        <v/>
      </c>
      <c r="H42">
        <f>(L_I3!AR32-L_S1!AR32)*C42</f>
        <v/>
      </c>
      <c r="I42">
        <f>I41+E42</f>
        <v/>
      </c>
      <c r="J42">
        <f>J41+F42</f>
        <v/>
      </c>
      <c r="K42">
        <f>K41+G42</f>
        <v/>
      </c>
      <c r="L42">
        <f>MAX(L41,J42)</f>
        <v/>
      </c>
      <c r="M42">
        <f>IF(AND(B42&lt;x_H,J42&lt;=0,L41&gt;0),1,0)</f>
        <v/>
      </c>
      <c r="N42">
        <f>IF(AND(B42&lt;x_H,I42&lt;=0,O41&gt;0),1,0)</f>
        <v/>
      </c>
      <c r="O42">
        <f>MAX(O41,I42)</f>
        <v/>
      </c>
      <c r="P42">
        <f>(L_I3!U32-L_S1!U32)*D42</f>
        <v/>
      </c>
    </row>
    <row r="43">
      <c r="A43" t="n">
        <v>2056</v>
      </c>
      <c r="B43" t="n">
        <v>30</v>
      </c>
      <c r="C43">
        <f>IF(B43&lt;x_H,(1+x_dk)^(-B43),0)</f>
        <v/>
      </c>
      <c r="D43">
        <f>IF(B43&lt;x_H,(1+x_de)^(-B43),0)</f>
        <v/>
      </c>
      <c r="E43">
        <f>(L_I3!AN33-L_S1!AN33)*C43</f>
        <v/>
      </c>
      <c r="F43">
        <f>(L_I3!AO33-L_S1!AO33)*C43</f>
        <v/>
      </c>
      <c r="G43">
        <f>(L_I3!AP33-L_S1!AP33)*C43</f>
        <v/>
      </c>
      <c r="H43">
        <f>(L_I3!AR33-L_S1!AR33)*C43</f>
        <v/>
      </c>
      <c r="I43">
        <f>I42+E43</f>
        <v/>
      </c>
      <c r="J43">
        <f>J42+F43</f>
        <v/>
      </c>
      <c r="K43">
        <f>K42+G43</f>
        <v/>
      </c>
      <c r="L43">
        <f>MAX(L42,J43)</f>
        <v/>
      </c>
      <c r="M43">
        <f>IF(AND(B43&lt;x_H,J43&lt;=0,L42&gt;0),1,0)</f>
        <v/>
      </c>
      <c r="N43">
        <f>IF(AND(B43&lt;x_H,I43&lt;=0,O42&gt;0),1,0)</f>
        <v/>
      </c>
      <c r="O43">
        <f>MAX(O42,I43)</f>
        <v/>
      </c>
      <c r="P43">
        <f>(L_I3!U33-L_S1!U33)*D43</f>
        <v/>
      </c>
    </row>
    <row r="44">
      <c r="A44" t="n">
        <v>2057</v>
      </c>
      <c r="B44" t="n">
        <v>31</v>
      </c>
      <c r="C44">
        <f>IF(B44&lt;x_H,(1+x_dk)^(-B44),0)</f>
        <v/>
      </c>
      <c r="D44">
        <f>IF(B44&lt;x_H,(1+x_de)^(-B44),0)</f>
        <v/>
      </c>
      <c r="E44">
        <f>(L_I3!AN34-L_S1!AN34)*C44</f>
        <v/>
      </c>
      <c r="F44">
        <f>(L_I3!AO34-L_S1!AO34)*C44</f>
        <v/>
      </c>
      <c r="G44">
        <f>(L_I3!AP34-L_S1!AP34)*C44</f>
        <v/>
      </c>
      <c r="H44">
        <f>(L_I3!AR34-L_S1!AR34)*C44</f>
        <v/>
      </c>
      <c r="I44">
        <f>I43+E44</f>
        <v/>
      </c>
      <c r="J44">
        <f>J43+F44</f>
        <v/>
      </c>
      <c r="K44">
        <f>K43+G44</f>
        <v/>
      </c>
      <c r="L44">
        <f>MAX(L43,J44)</f>
        <v/>
      </c>
      <c r="M44">
        <f>IF(AND(B44&lt;x_H,J44&lt;=0,L43&gt;0),1,0)</f>
        <v/>
      </c>
      <c r="N44">
        <f>IF(AND(B44&lt;x_H,I44&lt;=0,O43&gt;0),1,0)</f>
        <v/>
      </c>
      <c r="O44">
        <f>MAX(O43,I44)</f>
        <v/>
      </c>
      <c r="P44">
        <f>(L_I3!U34-L_S1!U34)*D44</f>
        <v/>
      </c>
    </row>
    <row r="45">
      <c r="A45" t="n">
        <v>2058</v>
      </c>
      <c r="B45" t="n">
        <v>32</v>
      </c>
      <c r="C45">
        <f>IF(B45&lt;x_H,(1+x_dk)^(-B45),0)</f>
        <v/>
      </c>
      <c r="D45">
        <f>IF(B45&lt;x_H,(1+x_de)^(-B45),0)</f>
        <v/>
      </c>
      <c r="E45">
        <f>(L_I3!AN35-L_S1!AN35)*C45</f>
        <v/>
      </c>
      <c r="F45">
        <f>(L_I3!AO35-L_S1!AO35)*C45</f>
        <v/>
      </c>
      <c r="G45">
        <f>(L_I3!AP35-L_S1!AP35)*C45</f>
        <v/>
      </c>
      <c r="H45">
        <f>(L_I3!AR35-L_S1!AR35)*C45</f>
        <v/>
      </c>
      <c r="I45">
        <f>I44+E45</f>
        <v/>
      </c>
      <c r="J45">
        <f>J44+F45</f>
        <v/>
      </c>
      <c r="K45">
        <f>K44+G45</f>
        <v/>
      </c>
      <c r="L45">
        <f>MAX(L44,J45)</f>
        <v/>
      </c>
      <c r="M45">
        <f>IF(AND(B45&lt;x_H,J45&lt;=0,L44&gt;0),1,0)</f>
        <v/>
      </c>
      <c r="N45">
        <f>IF(AND(B45&lt;x_H,I45&lt;=0,O44&gt;0),1,0)</f>
        <v/>
      </c>
      <c r="O45">
        <f>MAX(O44,I45)</f>
        <v/>
      </c>
      <c r="P45">
        <f>(L_I3!U35-L_S1!U35)*D45</f>
        <v/>
      </c>
    </row>
    <row r="46">
      <c r="A46" t="n">
        <v>2059</v>
      </c>
      <c r="B46" t="n">
        <v>33</v>
      </c>
      <c r="C46">
        <f>IF(B46&lt;x_H,(1+x_dk)^(-B46),0)</f>
        <v/>
      </c>
      <c r="D46">
        <f>IF(B46&lt;x_H,(1+x_de)^(-B46),0)</f>
        <v/>
      </c>
      <c r="E46">
        <f>(L_I3!AN36-L_S1!AN36)*C46</f>
        <v/>
      </c>
      <c r="F46">
        <f>(L_I3!AO36-L_S1!AO36)*C46</f>
        <v/>
      </c>
      <c r="G46">
        <f>(L_I3!AP36-L_S1!AP36)*C46</f>
        <v/>
      </c>
      <c r="H46">
        <f>(L_I3!AR36-L_S1!AR36)*C46</f>
        <v/>
      </c>
      <c r="I46">
        <f>I45+E46</f>
        <v/>
      </c>
      <c r="J46">
        <f>J45+F46</f>
        <v/>
      </c>
      <c r="K46">
        <f>K45+G46</f>
        <v/>
      </c>
      <c r="L46">
        <f>MAX(L45,J46)</f>
        <v/>
      </c>
      <c r="M46">
        <f>IF(AND(B46&lt;x_H,J46&lt;=0,L45&gt;0),1,0)</f>
        <v/>
      </c>
      <c r="N46">
        <f>IF(AND(B46&lt;x_H,I46&lt;=0,O45&gt;0),1,0)</f>
        <v/>
      </c>
      <c r="O46">
        <f>MAX(O45,I46)</f>
        <v/>
      </c>
      <c r="P46">
        <f>(L_I3!U36-L_S1!U36)*D46</f>
        <v/>
      </c>
    </row>
    <row r="47">
      <c r="A47" t="n">
        <v>2060</v>
      </c>
      <c r="B47" t="n">
        <v>34</v>
      </c>
      <c r="C47">
        <f>IF(B47&lt;x_H,(1+x_dk)^(-B47),0)</f>
        <v/>
      </c>
      <c r="D47">
        <f>IF(B47&lt;x_H,(1+x_de)^(-B47),0)</f>
        <v/>
      </c>
      <c r="E47">
        <f>(L_I3!AN37-L_S1!AN37)*C47</f>
        <v/>
      </c>
      <c r="F47">
        <f>(L_I3!AO37-L_S1!AO37)*C47</f>
        <v/>
      </c>
      <c r="G47">
        <f>(L_I3!AP37-L_S1!AP37)*C47</f>
        <v/>
      </c>
      <c r="H47">
        <f>(L_I3!AR37-L_S1!AR37)*C47</f>
        <v/>
      </c>
      <c r="I47">
        <f>I46+E47</f>
        <v/>
      </c>
      <c r="J47">
        <f>J46+F47</f>
        <v/>
      </c>
      <c r="K47">
        <f>K46+G47</f>
        <v/>
      </c>
      <c r="L47">
        <f>MAX(L46,J47)</f>
        <v/>
      </c>
      <c r="M47">
        <f>IF(AND(B47&lt;x_H,J47&lt;=0,L46&gt;0),1,0)</f>
        <v/>
      </c>
      <c r="N47">
        <f>IF(AND(B47&lt;x_H,I47&lt;=0,O46&gt;0),1,0)</f>
        <v/>
      </c>
      <c r="O47">
        <f>MAX(O46,I47)</f>
        <v/>
      </c>
      <c r="P47">
        <f>(L_I3!U37-L_S1!U37)*D47</f>
        <v/>
      </c>
    </row>
    <row r="48">
      <c r="A48" t="n">
        <v>2061</v>
      </c>
      <c r="B48" t="n">
        <v>35</v>
      </c>
      <c r="C48">
        <f>IF(B48&lt;x_H,(1+x_dk)^(-B48),0)</f>
        <v/>
      </c>
      <c r="D48">
        <f>IF(B48&lt;x_H,(1+x_de)^(-B48),0)</f>
        <v/>
      </c>
      <c r="E48">
        <f>(L_I3!AN38-L_S1!AN38)*C48</f>
        <v/>
      </c>
      <c r="F48">
        <f>(L_I3!AO38-L_S1!AO38)*C48</f>
        <v/>
      </c>
      <c r="G48">
        <f>(L_I3!AP38-L_S1!AP38)*C48</f>
        <v/>
      </c>
      <c r="H48">
        <f>(L_I3!AR38-L_S1!AR38)*C48</f>
        <v/>
      </c>
      <c r="I48">
        <f>I47+E48</f>
        <v/>
      </c>
      <c r="J48">
        <f>J47+F48</f>
        <v/>
      </c>
      <c r="K48">
        <f>K47+G48</f>
        <v/>
      </c>
      <c r="L48">
        <f>MAX(L47,J48)</f>
        <v/>
      </c>
      <c r="M48">
        <f>IF(AND(B48&lt;x_H,J48&lt;=0,L47&gt;0),1,0)</f>
        <v/>
      </c>
      <c r="N48">
        <f>IF(AND(B48&lt;x_H,I48&lt;=0,O47&gt;0),1,0)</f>
        <v/>
      </c>
      <c r="O48">
        <f>MAX(O47,I48)</f>
        <v/>
      </c>
      <c r="P48">
        <f>(L_I3!U38-L_S1!U38)*D48</f>
        <v/>
      </c>
    </row>
    <row r="49">
      <c r="A49" t="n">
        <v>2062</v>
      </c>
      <c r="B49" t="n">
        <v>36</v>
      </c>
      <c r="C49">
        <f>IF(B49&lt;x_H,(1+x_dk)^(-B49),0)</f>
        <v/>
      </c>
      <c r="D49">
        <f>IF(B49&lt;x_H,(1+x_de)^(-B49),0)</f>
        <v/>
      </c>
      <c r="E49">
        <f>(L_I3!AN39-L_S1!AN39)*C49</f>
        <v/>
      </c>
      <c r="F49">
        <f>(L_I3!AO39-L_S1!AO39)*C49</f>
        <v/>
      </c>
      <c r="G49">
        <f>(L_I3!AP39-L_S1!AP39)*C49</f>
        <v/>
      </c>
      <c r="H49">
        <f>(L_I3!AR39-L_S1!AR39)*C49</f>
        <v/>
      </c>
      <c r="I49">
        <f>I48+E49</f>
        <v/>
      </c>
      <c r="J49">
        <f>J48+F49</f>
        <v/>
      </c>
      <c r="K49">
        <f>K48+G49</f>
        <v/>
      </c>
      <c r="L49">
        <f>MAX(L48,J49)</f>
        <v/>
      </c>
      <c r="M49">
        <f>IF(AND(B49&lt;x_H,J49&lt;=0,L48&gt;0),1,0)</f>
        <v/>
      </c>
      <c r="N49">
        <f>IF(AND(B49&lt;x_H,I49&lt;=0,O48&gt;0),1,0)</f>
        <v/>
      </c>
      <c r="O49">
        <f>MAX(O48,I49)</f>
        <v/>
      </c>
      <c r="P49">
        <f>(L_I3!U39-L_S1!U39)*D49</f>
        <v/>
      </c>
    </row>
    <row r="50">
      <c r="A50" t="n">
        <v>2063</v>
      </c>
      <c r="B50" t="n">
        <v>37</v>
      </c>
      <c r="C50">
        <f>IF(B50&lt;x_H,(1+x_dk)^(-B50),0)</f>
        <v/>
      </c>
      <c r="D50">
        <f>IF(B50&lt;x_H,(1+x_de)^(-B50),0)</f>
        <v/>
      </c>
      <c r="E50">
        <f>(L_I3!AN40-L_S1!AN40)*C50</f>
        <v/>
      </c>
      <c r="F50">
        <f>(L_I3!AO40-L_S1!AO40)*C50</f>
        <v/>
      </c>
      <c r="G50">
        <f>(L_I3!AP40-L_S1!AP40)*C50</f>
        <v/>
      </c>
      <c r="H50">
        <f>(L_I3!AR40-L_S1!AR40)*C50</f>
        <v/>
      </c>
      <c r="I50">
        <f>I49+E50</f>
        <v/>
      </c>
      <c r="J50">
        <f>J49+F50</f>
        <v/>
      </c>
      <c r="K50">
        <f>K49+G50</f>
        <v/>
      </c>
      <c r="L50">
        <f>MAX(L49,J50)</f>
        <v/>
      </c>
      <c r="M50">
        <f>IF(AND(B50&lt;x_H,J50&lt;=0,L49&gt;0),1,0)</f>
        <v/>
      </c>
      <c r="N50">
        <f>IF(AND(B50&lt;x_H,I50&lt;=0,O49&gt;0),1,0)</f>
        <v/>
      </c>
      <c r="O50">
        <f>MAX(O49,I50)</f>
        <v/>
      </c>
      <c r="P50">
        <f>(L_I3!U40-L_S1!U40)*D50</f>
        <v/>
      </c>
    </row>
    <row r="51">
      <c r="A51" t="n">
        <v>2064</v>
      </c>
      <c r="B51" t="n">
        <v>38</v>
      </c>
      <c r="C51">
        <f>IF(B51&lt;x_H,(1+x_dk)^(-B51),0)</f>
        <v/>
      </c>
      <c r="D51">
        <f>IF(B51&lt;x_H,(1+x_de)^(-B51),0)</f>
        <v/>
      </c>
      <c r="E51">
        <f>(L_I3!AN41-L_S1!AN41)*C51</f>
        <v/>
      </c>
      <c r="F51">
        <f>(L_I3!AO41-L_S1!AO41)*C51</f>
        <v/>
      </c>
      <c r="G51">
        <f>(L_I3!AP41-L_S1!AP41)*C51</f>
        <v/>
      </c>
      <c r="H51">
        <f>(L_I3!AR41-L_S1!AR41)*C51</f>
        <v/>
      </c>
      <c r="I51">
        <f>I50+E51</f>
        <v/>
      </c>
      <c r="J51">
        <f>J50+F51</f>
        <v/>
      </c>
      <c r="K51">
        <f>K50+G51</f>
        <v/>
      </c>
      <c r="L51">
        <f>MAX(L50,J51)</f>
        <v/>
      </c>
      <c r="M51">
        <f>IF(AND(B51&lt;x_H,J51&lt;=0,L50&gt;0),1,0)</f>
        <v/>
      </c>
      <c r="N51">
        <f>IF(AND(B51&lt;x_H,I51&lt;=0,O50&gt;0),1,0)</f>
        <v/>
      </c>
      <c r="O51">
        <f>MAX(O50,I51)</f>
        <v/>
      </c>
      <c r="P51">
        <f>(L_I3!U41-L_S1!U41)*D51</f>
        <v/>
      </c>
    </row>
    <row r="52">
      <c r="A52" t="n">
        <v>2065</v>
      </c>
      <c r="B52" t="n">
        <v>39</v>
      </c>
      <c r="C52">
        <f>IF(B52&lt;x_H,(1+x_dk)^(-B52),0)</f>
        <v/>
      </c>
      <c r="D52">
        <f>IF(B52&lt;x_H,(1+x_de)^(-B52),0)</f>
        <v/>
      </c>
      <c r="E52">
        <f>(L_I3!AN42-L_S1!AN42)*C52</f>
        <v/>
      </c>
      <c r="F52">
        <f>(L_I3!AO42-L_S1!AO42)*C52</f>
        <v/>
      </c>
      <c r="G52">
        <f>(L_I3!AP42-L_S1!AP42)*C52</f>
        <v/>
      </c>
      <c r="H52">
        <f>(L_I3!AR42-L_S1!AR42)*C52</f>
        <v/>
      </c>
      <c r="I52">
        <f>I51+E52</f>
        <v/>
      </c>
      <c r="J52">
        <f>J51+F52</f>
        <v/>
      </c>
      <c r="K52">
        <f>K51+G52</f>
        <v/>
      </c>
      <c r="L52">
        <f>MAX(L51,J52)</f>
        <v/>
      </c>
      <c r="M52">
        <f>IF(AND(B52&lt;x_H,J52&lt;=0,L51&gt;0),1,0)</f>
        <v/>
      </c>
      <c r="N52">
        <f>IF(AND(B52&lt;x_H,I52&lt;=0,O51&gt;0),1,0)</f>
        <v/>
      </c>
      <c r="O52">
        <f>MAX(O51,I52)</f>
        <v/>
      </c>
      <c r="P52">
        <f>(L_I3!U42-L_S1!U42)*D52</f>
        <v/>
      </c>
    </row>
    <row r="53">
      <c r="A53" t="n">
        <v>2066</v>
      </c>
      <c r="B53" t="n">
        <v>40</v>
      </c>
      <c r="C53">
        <f>IF(B53&lt;x_H,(1+x_dk)^(-B53),0)</f>
        <v/>
      </c>
      <c r="D53">
        <f>IF(B53&lt;x_H,(1+x_de)^(-B53),0)</f>
        <v/>
      </c>
      <c r="E53">
        <f>(L_I3!AN43-L_S1!AN43)*C53</f>
        <v/>
      </c>
      <c r="F53">
        <f>(L_I3!AO43-L_S1!AO43)*C53</f>
        <v/>
      </c>
      <c r="G53">
        <f>(L_I3!AP43-L_S1!AP43)*C53</f>
        <v/>
      </c>
      <c r="H53">
        <f>(L_I3!AR43-L_S1!AR43)*C53</f>
        <v/>
      </c>
      <c r="I53">
        <f>I52+E53</f>
        <v/>
      </c>
      <c r="J53">
        <f>J52+F53</f>
        <v/>
      </c>
      <c r="K53">
        <f>K52+G53</f>
        <v/>
      </c>
      <c r="L53">
        <f>MAX(L52,J53)</f>
        <v/>
      </c>
      <c r="M53">
        <f>IF(AND(B53&lt;x_H,J53&lt;=0,L52&gt;0),1,0)</f>
        <v/>
      </c>
      <c r="N53">
        <f>IF(AND(B53&lt;x_H,I53&lt;=0,O52&gt;0),1,0)</f>
        <v/>
      </c>
      <c r="O53">
        <f>MAX(O52,I53)</f>
        <v/>
      </c>
      <c r="P53">
        <f>(L_I3!U43-L_S1!U43)*D53</f>
        <v/>
      </c>
    </row>
    <row r="54">
      <c r="A54" t="n">
        <v>2067</v>
      </c>
      <c r="B54" t="n">
        <v>41</v>
      </c>
      <c r="C54">
        <f>IF(B54&lt;x_H,(1+x_dk)^(-B54),0)</f>
        <v/>
      </c>
      <c r="D54">
        <f>IF(B54&lt;x_H,(1+x_de)^(-B54),0)</f>
        <v/>
      </c>
      <c r="E54">
        <f>(L_I3!AN44-L_S1!AN44)*C54</f>
        <v/>
      </c>
      <c r="F54">
        <f>(L_I3!AO44-L_S1!AO44)*C54</f>
        <v/>
      </c>
      <c r="G54">
        <f>(L_I3!AP44-L_S1!AP44)*C54</f>
        <v/>
      </c>
      <c r="H54">
        <f>(L_I3!AR44-L_S1!AR44)*C54</f>
        <v/>
      </c>
      <c r="I54">
        <f>I53+E54</f>
        <v/>
      </c>
      <c r="J54">
        <f>J53+F54</f>
        <v/>
      </c>
      <c r="K54">
        <f>K53+G54</f>
        <v/>
      </c>
      <c r="L54">
        <f>MAX(L53,J54)</f>
        <v/>
      </c>
      <c r="M54">
        <f>IF(AND(B54&lt;x_H,J54&lt;=0,L53&gt;0),1,0)</f>
        <v/>
      </c>
      <c r="N54">
        <f>IF(AND(B54&lt;x_H,I54&lt;=0,O53&gt;0),1,0)</f>
        <v/>
      </c>
      <c r="O54">
        <f>MAX(O53,I54)</f>
        <v/>
      </c>
      <c r="P54">
        <f>(L_I3!U44-L_S1!U44)*D54</f>
        <v/>
      </c>
    </row>
    <row r="55">
      <c r="A55" t="n">
        <v>2068</v>
      </c>
      <c r="B55" t="n">
        <v>42</v>
      </c>
      <c r="C55">
        <f>IF(B55&lt;x_H,(1+x_dk)^(-B55),0)</f>
        <v/>
      </c>
      <c r="D55">
        <f>IF(B55&lt;x_H,(1+x_de)^(-B55),0)</f>
        <v/>
      </c>
      <c r="E55">
        <f>(L_I3!AN45-L_S1!AN45)*C55</f>
        <v/>
      </c>
      <c r="F55">
        <f>(L_I3!AO45-L_S1!AO45)*C55</f>
        <v/>
      </c>
      <c r="G55">
        <f>(L_I3!AP45-L_S1!AP45)*C55</f>
        <v/>
      </c>
      <c r="H55">
        <f>(L_I3!AR45-L_S1!AR45)*C55</f>
        <v/>
      </c>
      <c r="I55">
        <f>I54+E55</f>
        <v/>
      </c>
      <c r="J55">
        <f>J54+F55</f>
        <v/>
      </c>
      <c r="K55">
        <f>K54+G55</f>
        <v/>
      </c>
      <c r="L55">
        <f>MAX(L54,J55)</f>
        <v/>
      </c>
      <c r="M55">
        <f>IF(AND(B55&lt;x_H,J55&lt;=0,L54&gt;0),1,0)</f>
        <v/>
      </c>
      <c r="N55">
        <f>IF(AND(B55&lt;x_H,I55&lt;=0,O54&gt;0),1,0)</f>
        <v/>
      </c>
      <c r="O55">
        <f>MAX(O54,I55)</f>
        <v/>
      </c>
      <c r="P55">
        <f>(L_I3!U45-L_S1!U45)*D55</f>
        <v/>
      </c>
    </row>
    <row r="56">
      <c r="A56" t="n">
        <v>2069</v>
      </c>
      <c r="B56" t="n">
        <v>43</v>
      </c>
      <c r="C56">
        <f>IF(B56&lt;x_H,(1+x_dk)^(-B56),0)</f>
        <v/>
      </c>
      <c r="D56">
        <f>IF(B56&lt;x_H,(1+x_de)^(-B56),0)</f>
        <v/>
      </c>
      <c r="E56">
        <f>(L_I3!AN46-L_S1!AN46)*C56</f>
        <v/>
      </c>
      <c r="F56">
        <f>(L_I3!AO46-L_S1!AO46)*C56</f>
        <v/>
      </c>
      <c r="G56">
        <f>(L_I3!AP46-L_S1!AP46)*C56</f>
        <v/>
      </c>
      <c r="H56">
        <f>(L_I3!AR46-L_S1!AR46)*C56</f>
        <v/>
      </c>
      <c r="I56">
        <f>I55+E56</f>
        <v/>
      </c>
      <c r="J56">
        <f>J55+F56</f>
        <v/>
      </c>
      <c r="K56">
        <f>K55+G56</f>
        <v/>
      </c>
      <c r="L56">
        <f>MAX(L55,J56)</f>
        <v/>
      </c>
      <c r="M56">
        <f>IF(AND(B56&lt;x_H,J56&lt;=0,L55&gt;0),1,0)</f>
        <v/>
      </c>
      <c r="N56">
        <f>IF(AND(B56&lt;x_H,I56&lt;=0,O55&gt;0),1,0)</f>
        <v/>
      </c>
      <c r="O56">
        <f>MAX(O55,I56)</f>
        <v/>
      </c>
      <c r="P56">
        <f>(L_I3!U46-L_S1!U46)*D56</f>
        <v/>
      </c>
    </row>
    <row r="57">
      <c r="A57" t="n">
        <v>2070</v>
      </c>
      <c r="B57" t="n">
        <v>44</v>
      </c>
      <c r="C57">
        <f>IF(B57&lt;x_H,(1+x_dk)^(-B57),0)</f>
        <v/>
      </c>
      <c r="D57">
        <f>IF(B57&lt;x_H,(1+x_de)^(-B57),0)</f>
        <v/>
      </c>
      <c r="E57">
        <f>(L_I3!AN47-L_S1!AN47)*C57</f>
        <v/>
      </c>
      <c r="F57">
        <f>(L_I3!AO47-L_S1!AO47)*C57</f>
        <v/>
      </c>
      <c r="G57">
        <f>(L_I3!AP47-L_S1!AP47)*C57</f>
        <v/>
      </c>
      <c r="H57">
        <f>(L_I3!AR47-L_S1!AR47)*C57</f>
        <v/>
      </c>
      <c r="I57">
        <f>I56+E57</f>
        <v/>
      </c>
      <c r="J57">
        <f>J56+F57</f>
        <v/>
      </c>
      <c r="K57">
        <f>K56+G57</f>
        <v/>
      </c>
      <c r="L57">
        <f>MAX(L56,J57)</f>
        <v/>
      </c>
      <c r="M57">
        <f>IF(AND(B57&lt;x_H,J57&lt;=0,L56&gt;0),1,0)</f>
        <v/>
      </c>
      <c r="N57">
        <f>IF(AND(B57&lt;x_H,I57&lt;=0,O56&gt;0),1,0)</f>
        <v/>
      </c>
      <c r="O57">
        <f>MAX(O56,I57)</f>
        <v/>
      </c>
      <c r="P57">
        <f>(L_I3!U47-L_S1!U47)*D57</f>
        <v/>
      </c>
    </row>
    <row r="58">
      <c r="A58" t="n">
        <v>2071</v>
      </c>
      <c r="B58" t="n">
        <v>45</v>
      </c>
      <c r="C58">
        <f>IF(B58&lt;x_H,(1+x_dk)^(-B58),0)</f>
        <v/>
      </c>
      <c r="D58">
        <f>IF(B58&lt;x_H,(1+x_de)^(-B58),0)</f>
        <v/>
      </c>
      <c r="E58">
        <f>(L_I3!AN48-L_S1!AN48)*C58</f>
        <v/>
      </c>
      <c r="F58">
        <f>(L_I3!AO48-L_S1!AO48)*C58</f>
        <v/>
      </c>
      <c r="G58">
        <f>(L_I3!AP48-L_S1!AP48)*C58</f>
        <v/>
      </c>
      <c r="H58">
        <f>(L_I3!AR48-L_S1!AR48)*C58</f>
        <v/>
      </c>
      <c r="I58">
        <f>I57+E58</f>
        <v/>
      </c>
      <c r="J58">
        <f>J57+F58</f>
        <v/>
      </c>
      <c r="K58">
        <f>K57+G58</f>
        <v/>
      </c>
      <c r="L58">
        <f>MAX(L57,J58)</f>
        <v/>
      </c>
      <c r="M58">
        <f>IF(AND(B58&lt;x_H,J58&lt;=0,L57&gt;0),1,0)</f>
        <v/>
      </c>
      <c r="N58">
        <f>IF(AND(B58&lt;x_H,I58&lt;=0,O57&gt;0),1,0)</f>
        <v/>
      </c>
      <c r="O58">
        <f>MAX(O57,I58)</f>
        <v/>
      </c>
      <c r="P58">
        <f>(L_I3!U48-L_S1!U48)*D58</f>
        <v/>
      </c>
    </row>
    <row r="59">
      <c r="A59" t="n">
        <v>2072</v>
      </c>
      <c r="B59" t="n">
        <v>46</v>
      </c>
      <c r="C59">
        <f>IF(B59&lt;x_H,(1+x_dk)^(-B59),0)</f>
        <v/>
      </c>
      <c r="D59">
        <f>IF(B59&lt;x_H,(1+x_de)^(-B59),0)</f>
        <v/>
      </c>
      <c r="E59">
        <f>(L_I3!AN49-L_S1!AN49)*C59</f>
        <v/>
      </c>
      <c r="F59">
        <f>(L_I3!AO49-L_S1!AO49)*C59</f>
        <v/>
      </c>
      <c r="G59">
        <f>(L_I3!AP49-L_S1!AP49)*C59</f>
        <v/>
      </c>
      <c r="H59">
        <f>(L_I3!AR49-L_S1!AR49)*C59</f>
        <v/>
      </c>
      <c r="I59">
        <f>I58+E59</f>
        <v/>
      </c>
      <c r="J59">
        <f>J58+F59</f>
        <v/>
      </c>
      <c r="K59">
        <f>K58+G59</f>
        <v/>
      </c>
      <c r="L59">
        <f>MAX(L58,J59)</f>
        <v/>
      </c>
      <c r="M59">
        <f>IF(AND(B59&lt;x_H,J59&lt;=0,L58&gt;0),1,0)</f>
        <v/>
      </c>
      <c r="N59">
        <f>IF(AND(B59&lt;x_H,I59&lt;=0,O58&gt;0),1,0)</f>
        <v/>
      </c>
      <c r="O59">
        <f>MAX(O58,I59)</f>
        <v/>
      </c>
      <c r="P59">
        <f>(L_I3!U49-L_S1!U49)*D59</f>
        <v/>
      </c>
    </row>
    <row r="60">
      <c r="A60" t="n">
        <v>2073</v>
      </c>
      <c r="B60" t="n">
        <v>47</v>
      </c>
      <c r="C60">
        <f>IF(B60&lt;x_H,(1+x_dk)^(-B60),0)</f>
        <v/>
      </c>
      <c r="D60">
        <f>IF(B60&lt;x_H,(1+x_de)^(-B60),0)</f>
        <v/>
      </c>
      <c r="E60">
        <f>(L_I3!AN50-L_S1!AN50)*C60</f>
        <v/>
      </c>
      <c r="F60">
        <f>(L_I3!AO50-L_S1!AO50)*C60</f>
        <v/>
      </c>
      <c r="G60">
        <f>(L_I3!AP50-L_S1!AP50)*C60</f>
        <v/>
      </c>
      <c r="H60">
        <f>(L_I3!AR50-L_S1!AR50)*C60</f>
        <v/>
      </c>
      <c r="I60">
        <f>I59+E60</f>
        <v/>
      </c>
      <c r="J60">
        <f>J59+F60</f>
        <v/>
      </c>
      <c r="K60">
        <f>K59+G60</f>
        <v/>
      </c>
      <c r="L60">
        <f>MAX(L59,J60)</f>
        <v/>
      </c>
      <c r="M60">
        <f>IF(AND(B60&lt;x_H,J60&lt;=0,L59&gt;0),1,0)</f>
        <v/>
      </c>
      <c r="N60">
        <f>IF(AND(B60&lt;x_H,I60&lt;=0,O59&gt;0),1,0)</f>
        <v/>
      </c>
      <c r="O60">
        <f>MAX(O59,I60)</f>
        <v/>
      </c>
      <c r="P60">
        <f>(L_I3!U50-L_S1!U50)*D60</f>
        <v/>
      </c>
    </row>
    <row r="61">
      <c r="A61" t="n">
        <v>2074</v>
      </c>
      <c r="B61" t="n">
        <v>48</v>
      </c>
      <c r="C61">
        <f>IF(B61&lt;x_H,(1+x_dk)^(-B61),0)</f>
        <v/>
      </c>
      <c r="D61">
        <f>IF(B61&lt;x_H,(1+x_de)^(-B61),0)</f>
        <v/>
      </c>
      <c r="E61">
        <f>(L_I3!AN51-L_S1!AN51)*C61</f>
        <v/>
      </c>
      <c r="F61">
        <f>(L_I3!AO51-L_S1!AO51)*C61</f>
        <v/>
      </c>
      <c r="G61">
        <f>(L_I3!AP51-L_S1!AP51)*C61</f>
        <v/>
      </c>
      <c r="H61">
        <f>(L_I3!AR51-L_S1!AR51)*C61</f>
        <v/>
      </c>
      <c r="I61">
        <f>I60+E61</f>
        <v/>
      </c>
      <c r="J61">
        <f>J60+F61</f>
        <v/>
      </c>
      <c r="K61">
        <f>K60+G61</f>
        <v/>
      </c>
      <c r="L61">
        <f>MAX(L60,J61)</f>
        <v/>
      </c>
      <c r="M61">
        <f>IF(AND(B61&lt;x_H,J61&lt;=0,L60&gt;0),1,0)</f>
        <v/>
      </c>
      <c r="N61">
        <f>IF(AND(B61&lt;x_H,I61&lt;=0,O60&gt;0),1,0)</f>
        <v/>
      </c>
      <c r="O61">
        <f>MAX(O60,I61)</f>
        <v/>
      </c>
      <c r="P61">
        <f>(L_I3!U51-L_S1!U51)*D61</f>
        <v/>
      </c>
    </row>
    <row r="62">
      <c r="A62" t="n">
        <v>2075</v>
      </c>
      <c r="B62" t="n">
        <v>49</v>
      </c>
      <c r="C62">
        <f>IF(B62&lt;x_H,(1+x_dk)^(-B62),0)</f>
        <v/>
      </c>
      <c r="D62">
        <f>IF(B62&lt;x_H,(1+x_de)^(-B62),0)</f>
        <v/>
      </c>
      <c r="E62">
        <f>(L_I3!AN52-L_S1!AN52)*C62</f>
        <v/>
      </c>
      <c r="F62">
        <f>(L_I3!AO52-L_S1!AO52)*C62</f>
        <v/>
      </c>
      <c r="G62">
        <f>(L_I3!AP52-L_S1!AP52)*C62</f>
        <v/>
      </c>
      <c r="H62">
        <f>(L_I3!AR52-L_S1!AR52)*C62</f>
        <v/>
      </c>
      <c r="I62">
        <f>I61+E62</f>
        <v/>
      </c>
      <c r="J62">
        <f>J61+F62</f>
        <v/>
      </c>
      <c r="K62">
        <f>K61+G62</f>
        <v/>
      </c>
      <c r="L62">
        <f>MAX(L61,J62)</f>
        <v/>
      </c>
      <c r="M62">
        <f>IF(AND(B62&lt;x_H,J62&lt;=0,L61&gt;0),1,0)</f>
        <v/>
      </c>
      <c r="N62">
        <f>IF(AND(B62&lt;x_H,I62&lt;=0,O61&gt;0),1,0)</f>
        <v/>
      </c>
      <c r="O62">
        <f>MAX(O61,I62)</f>
        <v/>
      </c>
      <c r="P62">
        <f>(L_I3!U52-L_S1!U52)*D62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" t="inlineStr">
        <is>
          <t>I4 vs status quo (S1): Pakiet eliminacyjny WHO (test refleksyjny + 3 kanały) – SZACUNEK MODELU</t>
        </is>
      </c>
    </row>
    <row r="2">
      <c r="A2" s="1" t="inlineStr">
        <is>
          <t>Horyzont (lata) – zmień w Ustawienia!B4</t>
        </is>
      </c>
      <c r="B2">
        <f>x_H</f>
        <v/>
      </c>
    </row>
    <row r="3">
      <c r="A3" s="1" t="inlineStr">
        <is>
          <t>Inwestycja (sektor publiczny, zdysk., zł)</t>
        </is>
      </c>
      <c r="B3">
        <f>SUM(H13:H62)</f>
        <v/>
      </c>
    </row>
    <row r="4">
      <c r="A4" s="1" t="inlineStr">
        <is>
          <t>Saldo netto sektor publiczny (zdysk., zł; &lt;0 = oszczędność)</t>
        </is>
      </c>
      <c r="B4">
        <f>SUM(F13:F62)</f>
        <v/>
      </c>
    </row>
    <row r="5">
      <c r="A5" s="1" t="inlineStr">
        <is>
          <t>Zwroty = inwestycja − saldo (zł)</t>
        </is>
      </c>
      <c r="B5">
        <f>B3-B4</f>
        <v/>
      </c>
    </row>
    <row r="6">
      <c r="A6" s="1" t="inlineStr">
        <is>
          <t>ROI = (zwroty − inwestycja)/|inwestycja|</t>
        </is>
      </c>
      <c r="B6">
        <f>IF(B3=0,"—",(B5-B3)/ABS(B3))</f>
        <v/>
      </c>
    </row>
    <row r="7">
      <c r="A7" s="1" t="inlineStr">
        <is>
          <t>Rok zwrotu – sektor publiczny</t>
        </is>
      </c>
      <c r="B7">
        <f>IFERROR(INDEX(A13:A62,MATCH(1,M13:M62,0)),"brak w horyzoncie")</f>
        <v/>
      </c>
    </row>
    <row r="8">
      <c r="A8" s="1" t="inlineStr">
        <is>
          <t>Rok zwrotu – NFZ</t>
        </is>
      </c>
      <c r="B8">
        <f>IFERROR(INDEX(A13:A62,MATCH(1,N13:N62,0)),"brak w horyzoncie")</f>
        <v/>
      </c>
    </row>
    <row r="9">
      <c r="A9" s="1" t="inlineStr">
        <is>
          <t>Saldo netto NFZ (zdysk., zł)</t>
        </is>
      </c>
      <c r="B9">
        <f>SUM(E13:E62)</f>
        <v/>
      </c>
    </row>
    <row r="10">
      <c r="A10" s="1" t="inlineStr">
        <is>
          <t>ICER sektor publiczny (zł/QALY; &lt;0 = dominuje)</t>
        </is>
      </c>
      <c r="B10">
        <f>IFERROR(B4/SUM(P13:P62),"—")</f>
        <v/>
      </c>
    </row>
    <row r="12">
      <c r="A12" s="3" t="inlineStr">
        <is>
          <t>rok</t>
        </is>
      </c>
      <c r="B12" s="3" t="inlineStr">
        <is>
          <t>t</t>
        </is>
      </c>
      <c r="C12" s="3" t="inlineStr">
        <is>
          <t>DF koszty</t>
        </is>
      </c>
      <c r="D12" s="3" t="inlineStr">
        <is>
          <t>DF efekty</t>
        </is>
      </c>
      <c r="E12" s="3" t="inlineStr">
        <is>
          <t>Δ NFZ</t>
        </is>
      </c>
      <c r="F12" s="3" t="inlineStr">
        <is>
          <t>Δ publiczny</t>
        </is>
      </c>
      <c r="G12" s="3" t="inlineStr">
        <is>
          <t>Δ społeczny</t>
        </is>
      </c>
      <c r="H12" s="3" t="inlineStr">
        <is>
          <t>Δ inwestycja (publ.)</t>
        </is>
      </c>
      <c r="I12" s="3" t="inlineStr">
        <is>
          <t>skum. NFZ</t>
        </is>
      </c>
      <c r="J12" s="3" t="inlineStr">
        <is>
          <t>skum. publiczny</t>
        </is>
      </c>
      <c r="K12" s="3" t="inlineStr">
        <is>
          <t>skum. społeczny</t>
        </is>
      </c>
      <c r="L12" s="3" t="inlineStr">
        <is>
          <t>maks. dotąd (publ.)</t>
        </is>
      </c>
      <c r="M12" s="3" t="inlineStr">
        <is>
          <t>zwrot? (publ.)</t>
        </is>
      </c>
      <c r="N12" s="3" t="inlineStr">
        <is>
          <t>zwrot? (NFZ)</t>
        </is>
      </c>
      <c r="O12" s="3" t="inlineStr">
        <is>
          <t>maks. dotąd (NFZ)</t>
        </is>
      </c>
      <c r="P12" s="3" t="inlineStr">
        <is>
          <t>Δ QALY</t>
        </is>
      </c>
    </row>
    <row r="13">
      <c r="A13" t="n">
        <v>2026</v>
      </c>
      <c r="B13" t="n">
        <v>0</v>
      </c>
      <c r="C13">
        <f>IF(B13&lt;x_H,(1+x_dk)^(-B13),0)</f>
        <v/>
      </c>
      <c r="D13">
        <f>IF(B13&lt;x_H,(1+x_de)^(-B13),0)</f>
        <v/>
      </c>
      <c r="E13">
        <f>(L_I4!AN3-L_S1!AN3)*C13</f>
        <v/>
      </c>
      <c r="F13">
        <f>(L_I4!AO3-L_S1!AO3)*C13</f>
        <v/>
      </c>
      <c r="G13">
        <f>(L_I4!AP3-L_S1!AP3)*C13</f>
        <v/>
      </c>
      <c r="H13">
        <f>(L_I4!AR3-L_S1!AR3)*C13</f>
        <v/>
      </c>
      <c r="I13">
        <f>E13</f>
        <v/>
      </c>
      <c r="J13">
        <f>F13</f>
        <v/>
      </c>
      <c r="K13">
        <f>G13</f>
        <v/>
      </c>
      <c r="L13">
        <f>J13</f>
        <v/>
      </c>
      <c r="M13" t="n">
        <v>0</v>
      </c>
      <c r="N13" t="n">
        <v>0</v>
      </c>
      <c r="O13">
        <f>I13</f>
        <v/>
      </c>
      <c r="P13">
        <f>(L_I4!U3-L_S1!U3)*D13</f>
        <v/>
      </c>
    </row>
    <row r="14">
      <c r="A14" t="n">
        <v>2027</v>
      </c>
      <c r="B14" t="n">
        <v>1</v>
      </c>
      <c r="C14">
        <f>IF(B14&lt;x_H,(1+x_dk)^(-B14),0)</f>
        <v/>
      </c>
      <c r="D14">
        <f>IF(B14&lt;x_H,(1+x_de)^(-B14),0)</f>
        <v/>
      </c>
      <c r="E14">
        <f>(L_I4!AN4-L_S1!AN4)*C14</f>
        <v/>
      </c>
      <c r="F14">
        <f>(L_I4!AO4-L_S1!AO4)*C14</f>
        <v/>
      </c>
      <c r="G14">
        <f>(L_I4!AP4-L_S1!AP4)*C14</f>
        <v/>
      </c>
      <c r="H14">
        <f>(L_I4!AR4-L_S1!AR4)*C14</f>
        <v/>
      </c>
      <c r="I14">
        <f>I13+E14</f>
        <v/>
      </c>
      <c r="J14">
        <f>J13+F14</f>
        <v/>
      </c>
      <c r="K14">
        <f>K13+G14</f>
        <v/>
      </c>
      <c r="L14">
        <f>MAX(L13,J14)</f>
        <v/>
      </c>
      <c r="M14">
        <f>IF(AND(B14&lt;x_H,J14&lt;=0,L13&gt;0),1,0)</f>
        <v/>
      </c>
      <c r="N14">
        <f>IF(AND(B14&lt;x_H,I14&lt;=0,O13&gt;0),1,0)</f>
        <v/>
      </c>
      <c r="O14">
        <f>MAX(O13,I14)</f>
        <v/>
      </c>
      <c r="P14">
        <f>(L_I4!U4-L_S1!U4)*D14</f>
        <v/>
      </c>
    </row>
    <row r="15">
      <c r="A15" t="n">
        <v>2028</v>
      </c>
      <c r="B15" t="n">
        <v>2</v>
      </c>
      <c r="C15">
        <f>IF(B15&lt;x_H,(1+x_dk)^(-B15),0)</f>
        <v/>
      </c>
      <c r="D15">
        <f>IF(B15&lt;x_H,(1+x_de)^(-B15),0)</f>
        <v/>
      </c>
      <c r="E15">
        <f>(L_I4!AN5-L_S1!AN5)*C15</f>
        <v/>
      </c>
      <c r="F15">
        <f>(L_I4!AO5-L_S1!AO5)*C15</f>
        <v/>
      </c>
      <c r="G15">
        <f>(L_I4!AP5-L_S1!AP5)*C15</f>
        <v/>
      </c>
      <c r="H15">
        <f>(L_I4!AR5-L_S1!AR5)*C15</f>
        <v/>
      </c>
      <c r="I15">
        <f>I14+E15</f>
        <v/>
      </c>
      <c r="J15">
        <f>J14+F15</f>
        <v/>
      </c>
      <c r="K15">
        <f>K14+G15</f>
        <v/>
      </c>
      <c r="L15">
        <f>MAX(L14,J15)</f>
        <v/>
      </c>
      <c r="M15">
        <f>IF(AND(B15&lt;x_H,J15&lt;=0,L14&gt;0),1,0)</f>
        <v/>
      </c>
      <c r="N15">
        <f>IF(AND(B15&lt;x_H,I15&lt;=0,O14&gt;0),1,0)</f>
        <v/>
      </c>
      <c r="O15">
        <f>MAX(O14,I15)</f>
        <v/>
      </c>
      <c r="P15">
        <f>(L_I4!U5-L_S1!U5)*D15</f>
        <v/>
      </c>
    </row>
    <row r="16">
      <c r="A16" t="n">
        <v>2029</v>
      </c>
      <c r="B16" t="n">
        <v>3</v>
      </c>
      <c r="C16">
        <f>IF(B16&lt;x_H,(1+x_dk)^(-B16),0)</f>
        <v/>
      </c>
      <c r="D16">
        <f>IF(B16&lt;x_H,(1+x_de)^(-B16),0)</f>
        <v/>
      </c>
      <c r="E16">
        <f>(L_I4!AN6-L_S1!AN6)*C16</f>
        <v/>
      </c>
      <c r="F16">
        <f>(L_I4!AO6-L_S1!AO6)*C16</f>
        <v/>
      </c>
      <c r="G16">
        <f>(L_I4!AP6-L_S1!AP6)*C16</f>
        <v/>
      </c>
      <c r="H16">
        <f>(L_I4!AR6-L_S1!AR6)*C16</f>
        <v/>
      </c>
      <c r="I16">
        <f>I15+E16</f>
        <v/>
      </c>
      <c r="J16">
        <f>J15+F16</f>
        <v/>
      </c>
      <c r="K16">
        <f>K15+G16</f>
        <v/>
      </c>
      <c r="L16">
        <f>MAX(L15,J16)</f>
        <v/>
      </c>
      <c r="M16">
        <f>IF(AND(B16&lt;x_H,J16&lt;=0,L15&gt;0),1,0)</f>
        <v/>
      </c>
      <c r="N16">
        <f>IF(AND(B16&lt;x_H,I16&lt;=0,O15&gt;0),1,0)</f>
        <v/>
      </c>
      <c r="O16">
        <f>MAX(O15,I16)</f>
        <v/>
      </c>
      <c r="P16">
        <f>(L_I4!U6-L_S1!U6)*D16</f>
        <v/>
      </c>
    </row>
    <row r="17">
      <c r="A17" t="n">
        <v>2030</v>
      </c>
      <c r="B17" t="n">
        <v>4</v>
      </c>
      <c r="C17">
        <f>IF(B17&lt;x_H,(1+x_dk)^(-B17),0)</f>
        <v/>
      </c>
      <c r="D17">
        <f>IF(B17&lt;x_H,(1+x_de)^(-B17),0)</f>
        <v/>
      </c>
      <c r="E17">
        <f>(L_I4!AN7-L_S1!AN7)*C17</f>
        <v/>
      </c>
      <c r="F17">
        <f>(L_I4!AO7-L_S1!AO7)*C17</f>
        <v/>
      </c>
      <c r="G17">
        <f>(L_I4!AP7-L_S1!AP7)*C17</f>
        <v/>
      </c>
      <c r="H17">
        <f>(L_I4!AR7-L_S1!AR7)*C17</f>
        <v/>
      </c>
      <c r="I17">
        <f>I16+E17</f>
        <v/>
      </c>
      <c r="J17">
        <f>J16+F17</f>
        <v/>
      </c>
      <c r="K17">
        <f>K16+G17</f>
        <v/>
      </c>
      <c r="L17">
        <f>MAX(L16,J17)</f>
        <v/>
      </c>
      <c r="M17">
        <f>IF(AND(B17&lt;x_H,J17&lt;=0,L16&gt;0),1,0)</f>
        <v/>
      </c>
      <c r="N17">
        <f>IF(AND(B17&lt;x_H,I17&lt;=0,O16&gt;0),1,0)</f>
        <v/>
      </c>
      <c r="O17">
        <f>MAX(O16,I17)</f>
        <v/>
      </c>
      <c r="P17">
        <f>(L_I4!U7-L_S1!U7)*D17</f>
        <v/>
      </c>
    </row>
    <row r="18">
      <c r="A18" t="n">
        <v>2031</v>
      </c>
      <c r="B18" t="n">
        <v>5</v>
      </c>
      <c r="C18">
        <f>IF(B18&lt;x_H,(1+x_dk)^(-B18),0)</f>
        <v/>
      </c>
      <c r="D18">
        <f>IF(B18&lt;x_H,(1+x_de)^(-B18),0)</f>
        <v/>
      </c>
      <c r="E18">
        <f>(L_I4!AN8-L_S1!AN8)*C18</f>
        <v/>
      </c>
      <c r="F18">
        <f>(L_I4!AO8-L_S1!AO8)*C18</f>
        <v/>
      </c>
      <c r="G18">
        <f>(L_I4!AP8-L_S1!AP8)*C18</f>
        <v/>
      </c>
      <c r="H18">
        <f>(L_I4!AR8-L_S1!AR8)*C18</f>
        <v/>
      </c>
      <c r="I18">
        <f>I17+E18</f>
        <v/>
      </c>
      <c r="J18">
        <f>J17+F18</f>
        <v/>
      </c>
      <c r="K18">
        <f>K17+G18</f>
        <v/>
      </c>
      <c r="L18">
        <f>MAX(L17,J18)</f>
        <v/>
      </c>
      <c r="M18">
        <f>IF(AND(B18&lt;x_H,J18&lt;=0,L17&gt;0),1,0)</f>
        <v/>
      </c>
      <c r="N18">
        <f>IF(AND(B18&lt;x_H,I18&lt;=0,O17&gt;0),1,0)</f>
        <v/>
      </c>
      <c r="O18">
        <f>MAX(O17,I18)</f>
        <v/>
      </c>
      <c r="P18">
        <f>(L_I4!U8-L_S1!U8)*D18</f>
        <v/>
      </c>
    </row>
    <row r="19">
      <c r="A19" t="n">
        <v>2032</v>
      </c>
      <c r="B19" t="n">
        <v>6</v>
      </c>
      <c r="C19">
        <f>IF(B19&lt;x_H,(1+x_dk)^(-B19),0)</f>
        <v/>
      </c>
      <c r="D19">
        <f>IF(B19&lt;x_H,(1+x_de)^(-B19),0)</f>
        <v/>
      </c>
      <c r="E19">
        <f>(L_I4!AN9-L_S1!AN9)*C19</f>
        <v/>
      </c>
      <c r="F19">
        <f>(L_I4!AO9-L_S1!AO9)*C19</f>
        <v/>
      </c>
      <c r="G19">
        <f>(L_I4!AP9-L_S1!AP9)*C19</f>
        <v/>
      </c>
      <c r="H19">
        <f>(L_I4!AR9-L_S1!AR9)*C19</f>
        <v/>
      </c>
      <c r="I19">
        <f>I18+E19</f>
        <v/>
      </c>
      <c r="J19">
        <f>J18+F19</f>
        <v/>
      </c>
      <c r="K19">
        <f>K18+G19</f>
        <v/>
      </c>
      <c r="L19">
        <f>MAX(L18,J19)</f>
        <v/>
      </c>
      <c r="M19">
        <f>IF(AND(B19&lt;x_H,J19&lt;=0,L18&gt;0),1,0)</f>
        <v/>
      </c>
      <c r="N19">
        <f>IF(AND(B19&lt;x_H,I19&lt;=0,O18&gt;0),1,0)</f>
        <v/>
      </c>
      <c r="O19">
        <f>MAX(O18,I19)</f>
        <v/>
      </c>
      <c r="P19">
        <f>(L_I4!U9-L_S1!U9)*D19</f>
        <v/>
      </c>
    </row>
    <row r="20">
      <c r="A20" t="n">
        <v>2033</v>
      </c>
      <c r="B20" t="n">
        <v>7</v>
      </c>
      <c r="C20">
        <f>IF(B20&lt;x_H,(1+x_dk)^(-B20),0)</f>
        <v/>
      </c>
      <c r="D20">
        <f>IF(B20&lt;x_H,(1+x_de)^(-B20),0)</f>
        <v/>
      </c>
      <c r="E20">
        <f>(L_I4!AN10-L_S1!AN10)*C20</f>
        <v/>
      </c>
      <c r="F20">
        <f>(L_I4!AO10-L_S1!AO10)*C20</f>
        <v/>
      </c>
      <c r="G20">
        <f>(L_I4!AP10-L_S1!AP10)*C20</f>
        <v/>
      </c>
      <c r="H20">
        <f>(L_I4!AR10-L_S1!AR10)*C20</f>
        <v/>
      </c>
      <c r="I20">
        <f>I19+E20</f>
        <v/>
      </c>
      <c r="J20">
        <f>J19+F20</f>
        <v/>
      </c>
      <c r="K20">
        <f>K19+G20</f>
        <v/>
      </c>
      <c r="L20">
        <f>MAX(L19,J20)</f>
        <v/>
      </c>
      <c r="M20">
        <f>IF(AND(B20&lt;x_H,J20&lt;=0,L19&gt;0),1,0)</f>
        <v/>
      </c>
      <c r="N20">
        <f>IF(AND(B20&lt;x_H,I20&lt;=0,O19&gt;0),1,0)</f>
        <v/>
      </c>
      <c r="O20">
        <f>MAX(O19,I20)</f>
        <v/>
      </c>
      <c r="P20">
        <f>(L_I4!U10-L_S1!U10)*D20</f>
        <v/>
      </c>
    </row>
    <row r="21">
      <c r="A21" t="n">
        <v>2034</v>
      </c>
      <c r="B21" t="n">
        <v>8</v>
      </c>
      <c r="C21">
        <f>IF(B21&lt;x_H,(1+x_dk)^(-B21),0)</f>
        <v/>
      </c>
      <c r="D21">
        <f>IF(B21&lt;x_H,(1+x_de)^(-B21),0)</f>
        <v/>
      </c>
      <c r="E21">
        <f>(L_I4!AN11-L_S1!AN11)*C21</f>
        <v/>
      </c>
      <c r="F21">
        <f>(L_I4!AO11-L_S1!AO11)*C21</f>
        <v/>
      </c>
      <c r="G21">
        <f>(L_I4!AP11-L_S1!AP11)*C21</f>
        <v/>
      </c>
      <c r="H21">
        <f>(L_I4!AR11-L_S1!AR11)*C21</f>
        <v/>
      </c>
      <c r="I21">
        <f>I20+E21</f>
        <v/>
      </c>
      <c r="J21">
        <f>J20+F21</f>
        <v/>
      </c>
      <c r="K21">
        <f>K20+G21</f>
        <v/>
      </c>
      <c r="L21">
        <f>MAX(L20,J21)</f>
        <v/>
      </c>
      <c r="M21">
        <f>IF(AND(B21&lt;x_H,J21&lt;=0,L20&gt;0),1,0)</f>
        <v/>
      </c>
      <c r="N21">
        <f>IF(AND(B21&lt;x_H,I21&lt;=0,O20&gt;0),1,0)</f>
        <v/>
      </c>
      <c r="O21">
        <f>MAX(O20,I21)</f>
        <v/>
      </c>
      <c r="P21">
        <f>(L_I4!U11-L_S1!U11)*D21</f>
        <v/>
      </c>
    </row>
    <row r="22">
      <c r="A22" t="n">
        <v>2035</v>
      </c>
      <c r="B22" t="n">
        <v>9</v>
      </c>
      <c r="C22">
        <f>IF(B22&lt;x_H,(1+x_dk)^(-B22),0)</f>
        <v/>
      </c>
      <c r="D22">
        <f>IF(B22&lt;x_H,(1+x_de)^(-B22),0)</f>
        <v/>
      </c>
      <c r="E22">
        <f>(L_I4!AN12-L_S1!AN12)*C22</f>
        <v/>
      </c>
      <c r="F22">
        <f>(L_I4!AO12-L_S1!AO12)*C22</f>
        <v/>
      </c>
      <c r="G22">
        <f>(L_I4!AP12-L_S1!AP12)*C22</f>
        <v/>
      </c>
      <c r="H22">
        <f>(L_I4!AR12-L_S1!AR12)*C22</f>
        <v/>
      </c>
      <c r="I22">
        <f>I21+E22</f>
        <v/>
      </c>
      <c r="J22">
        <f>J21+F22</f>
        <v/>
      </c>
      <c r="K22">
        <f>K21+G22</f>
        <v/>
      </c>
      <c r="L22">
        <f>MAX(L21,J22)</f>
        <v/>
      </c>
      <c r="M22">
        <f>IF(AND(B22&lt;x_H,J22&lt;=0,L21&gt;0),1,0)</f>
        <v/>
      </c>
      <c r="N22">
        <f>IF(AND(B22&lt;x_H,I22&lt;=0,O21&gt;0),1,0)</f>
        <v/>
      </c>
      <c r="O22">
        <f>MAX(O21,I22)</f>
        <v/>
      </c>
      <c r="P22">
        <f>(L_I4!U12-L_S1!U12)*D22</f>
        <v/>
      </c>
    </row>
    <row r="23">
      <c r="A23" t="n">
        <v>2036</v>
      </c>
      <c r="B23" t="n">
        <v>10</v>
      </c>
      <c r="C23">
        <f>IF(B23&lt;x_H,(1+x_dk)^(-B23),0)</f>
        <v/>
      </c>
      <c r="D23">
        <f>IF(B23&lt;x_H,(1+x_de)^(-B23),0)</f>
        <v/>
      </c>
      <c r="E23">
        <f>(L_I4!AN13-L_S1!AN13)*C23</f>
        <v/>
      </c>
      <c r="F23">
        <f>(L_I4!AO13-L_S1!AO13)*C23</f>
        <v/>
      </c>
      <c r="G23">
        <f>(L_I4!AP13-L_S1!AP13)*C23</f>
        <v/>
      </c>
      <c r="H23">
        <f>(L_I4!AR13-L_S1!AR13)*C23</f>
        <v/>
      </c>
      <c r="I23">
        <f>I22+E23</f>
        <v/>
      </c>
      <c r="J23">
        <f>J22+F23</f>
        <v/>
      </c>
      <c r="K23">
        <f>K22+G23</f>
        <v/>
      </c>
      <c r="L23">
        <f>MAX(L22,J23)</f>
        <v/>
      </c>
      <c r="M23">
        <f>IF(AND(B23&lt;x_H,J23&lt;=0,L22&gt;0),1,0)</f>
        <v/>
      </c>
      <c r="N23">
        <f>IF(AND(B23&lt;x_H,I23&lt;=0,O22&gt;0),1,0)</f>
        <v/>
      </c>
      <c r="O23">
        <f>MAX(O22,I23)</f>
        <v/>
      </c>
      <c r="P23">
        <f>(L_I4!U13-L_S1!U13)*D23</f>
        <v/>
      </c>
    </row>
    <row r="24">
      <c r="A24" t="n">
        <v>2037</v>
      </c>
      <c r="B24" t="n">
        <v>11</v>
      </c>
      <c r="C24">
        <f>IF(B24&lt;x_H,(1+x_dk)^(-B24),0)</f>
        <v/>
      </c>
      <c r="D24">
        <f>IF(B24&lt;x_H,(1+x_de)^(-B24),0)</f>
        <v/>
      </c>
      <c r="E24">
        <f>(L_I4!AN14-L_S1!AN14)*C24</f>
        <v/>
      </c>
      <c r="F24">
        <f>(L_I4!AO14-L_S1!AO14)*C24</f>
        <v/>
      </c>
      <c r="G24">
        <f>(L_I4!AP14-L_S1!AP14)*C24</f>
        <v/>
      </c>
      <c r="H24">
        <f>(L_I4!AR14-L_S1!AR14)*C24</f>
        <v/>
      </c>
      <c r="I24">
        <f>I23+E24</f>
        <v/>
      </c>
      <c r="J24">
        <f>J23+F24</f>
        <v/>
      </c>
      <c r="K24">
        <f>K23+G24</f>
        <v/>
      </c>
      <c r="L24">
        <f>MAX(L23,J24)</f>
        <v/>
      </c>
      <c r="M24">
        <f>IF(AND(B24&lt;x_H,J24&lt;=0,L23&gt;0),1,0)</f>
        <v/>
      </c>
      <c r="N24">
        <f>IF(AND(B24&lt;x_H,I24&lt;=0,O23&gt;0),1,0)</f>
        <v/>
      </c>
      <c r="O24">
        <f>MAX(O23,I24)</f>
        <v/>
      </c>
      <c r="P24">
        <f>(L_I4!U14-L_S1!U14)*D24</f>
        <v/>
      </c>
    </row>
    <row r="25">
      <c r="A25" t="n">
        <v>2038</v>
      </c>
      <c r="B25" t="n">
        <v>12</v>
      </c>
      <c r="C25">
        <f>IF(B25&lt;x_H,(1+x_dk)^(-B25),0)</f>
        <v/>
      </c>
      <c r="D25">
        <f>IF(B25&lt;x_H,(1+x_de)^(-B25),0)</f>
        <v/>
      </c>
      <c r="E25">
        <f>(L_I4!AN15-L_S1!AN15)*C25</f>
        <v/>
      </c>
      <c r="F25">
        <f>(L_I4!AO15-L_S1!AO15)*C25</f>
        <v/>
      </c>
      <c r="G25">
        <f>(L_I4!AP15-L_S1!AP15)*C25</f>
        <v/>
      </c>
      <c r="H25">
        <f>(L_I4!AR15-L_S1!AR15)*C25</f>
        <v/>
      </c>
      <c r="I25">
        <f>I24+E25</f>
        <v/>
      </c>
      <c r="J25">
        <f>J24+F25</f>
        <v/>
      </c>
      <c r="K25">
        <f>K24+G25</f>
        <v/>
      </c>
      <c r="L25">
        <f>MAX(L24,J25)</f>
        <v/>
      </c>
      <c r="M25">
        <f>IF(AND(B25&lt;x_H,J25&lt;=0,L24&gt;0),1,0)</f>
        <v/>
      </c>
      <c r="N25">
        <f>IF(AND(B25&lt;x_H,I25&lt;=0,O24&gt;0),1,0)</f>
        <v/>
      </c>
      <c r="O25">
        <f>MAX(O24,I25)</f>
        <v/>
      </c>
      <c r="P25">
        <f>(L_I4!U15-L_S1!U15)*D25</f>
        <v/>
      </c>
    </row>
    <row r="26">
      <c r="A26" t="n">
        <v>2039</v>
      </c>
      <c r="B26" t="n">
        <v>13</v>
      </c>
      <c r="C26">
        <f>IF(B26&lt;x_H,(1+x_dk)^(-B26),0)</f>
        <v/>
      </c>
      <c r="D26">
        <f>IF(B26&lt;x_H,(1+x_de)^(-B26),0)</f>
        <v/>
      </c>
      <c r="E26">
        <f>(L_I4!AN16-L_S1!AN16)*C26</f>
        <v/>
      </c>
      <c r="F26">
        <f>(L_I4!AO16-L_S1!AO16)*C26</f>
        <v/>
      </c>
      <c r="G26">
        <f>(L_I4!AP16-L_S1!AP16)*C26</f>
        <v/>
      </c>
      <c r="H26">
        <f>(L_I4!AR16-L_S1!AR16)*C26</f>
        <v/>
      </c>
      <c r="I26">
        <f>I25+E26</f>
        <v/>
      </c>
      <c r="J26">
        <f>J25+F26</f>
        <v/>
      </c>
      <c r="K26">
        <f>K25+G26</f>
        <v/>
      </c>
      <c r="L26">
        <f>MAX(L25,J26)</f>
        <v/>
      </c>
      <c r="M26">
        <f>IF(AND(B26&lt;x_H,J26&lt;=0,L25&gt;0),1,0)</f>
        <v/>
      </c>
      <c r="N26">
        <f>IF(AND(B26&lt;x_H,I26&lt;=0,O25&gt;0),1,0)</f>
        <v/>
      </c>
      <c r="O26">
        <f>MAX(O25,I26)</f>
        <v/>
      </c>
      <c r="P26">
        <f>(L_I4!U16-L_S1!U16)*D26</f>
        <v/>
      </c>
    </row>
    <row r="27">
      <c r="A27" t="n">
        <v>2040</v>
      </c>
      <c r="B27" t="n">
        <v>14</v>
      </c>
      <c r="C27">
        <f>IF(B27&lt;x_H,(1+x_dk)^(-B27),0)</f>
        <v/>
      </c>
      <c r="D27">
        <f>IF(B27&lt;x_H,(1+x_de)^(-B27),0)</f>
        <v/>
      </c>
      <c r="E27">
        <f>(L_I4!AN17-L_S1!AN17)*C27</f>
        <v/>
      </c>
      <c r="F27">
        <f>(L_I4!AO17-L_S1!AO17)*C27</f>
        <v/>
      </c>
      <c r="G27">
        <f>(L_I4!AP17-L_S1!AP17)*C27</f>
        <v/>
      </c>
      <c r="H27">
        <f>(L_I4!AR17-L_S1!AR17)*C27</f>
        <v/>
      </c>
      <c r="I27">
        <f>I26+E27</f>
        <v/>
      </c>
      <c r="J27">
        <f>J26+F27</f>
        <v/>
      </c>
      <c r="K27">
        <f>K26+G27</f>
        <v/>
      </c>
      <c r="L27">
        <f>MAX(L26,J27)</f>
        <v/>
      </c>
      <c r="M27">
        <f>IF(AND(B27&lt;x_H,J27&lt;=0,L26&gt;0),1,0)</f>
        <v/>
      </c>
      <c r="N27">
        <f>IF(AND(B27&lt;x_H,I27&lt;=0,O26&gt;0),1,0)</f>
        <v/>
      </c>
      <c r="O27">
        <f>MAX(O26,I27)</f>
        <v/>
      </c>
      <c r="P27">
        <f>(L_I4!U17-L_S1!U17)*D27</f>
        <v/>
      </c>
    </row>
    <row r="28">
      <c r="A28" t="n">
        <v>2041</v>
      </c>
      <c r="B28" t="n">
        <v>15</v>
      </c>
      <c r="C28">
        <f>IF(B28&lt;x_H,(1+x_dk)^(-B28),0)</f>
        <v/>
      </c>
      <c r="D28">
        <f>IF(B28&lt;x_H,(1+x_de)^(-B28),0)</f>
        <v/>
      </c>
      <c r="E28">
        <f>(L_I4!AN18-L_S1!AN18)*C28</f>
        <v/>
      </c>
      <c r="F28">
        <f>(L_I4!AO18-L_S1!AO18)*C28</f>
        <v/>
      </c>
      <c r="G28">
        <f>(L_I4!AP18-L_S1!AP18)*C28</f>
        <v/>
      </c>
      <c r="H28">
        <f>(L_I4!AR18-L_S1!AR18)*C28</f>
        <v/>
      </c>
      <c r="I28">
        <f>I27+E28</f>
        <v/>
      </c>
      <c r="J28">
        <f>J27+F28</f>
        <v/>
      </c>
      <c r="K28">
        <f>K27+G28</f>
        <v/>
      </c>
      <c r="L28">
        <f>MAX(L27,J28)</f>
        <v/>
      </c>
      <c r="M28">
        <f>IF(AND(B28&lt;x_H,J28&lt;=0,L27&gt;0),1,0)</f>
        <v/>
      </c>
      <c r="N28">
        <f>IF(AND(B28&lt;x_H,I28&lt;=0,O27&gt;0),1,0)</f>
        <v/>
      </c>
      <c r="O28">
        <f>MAX(O27,I28)</f>
        <v/>
      </c>
      <c r="P28">
        <f>(L_I4!U18-L_S1!U18)*D28</f>
        <v/>
      </c>
    </row>
    <row r="29">
      <c r="A29" t="n">
        <v>2042</v>
      </c>
      <c r="B29" t="n">
        <v>16</v>
      </c>
      <c r="C29">
        <f>IF(B29&lt;x_H,(1+x_dk)^(-B29),0)</f>
        <v/>
      </c>
      <c r="D29">
        <f>IF(B29&lt;x_H,(1+x_de)^(-B29),0)</f>
        <v/>
      </c>
      <c r="E29">
        <f>(L_I4!AN19-L_S1!AN19)*C29</f>
        <v/>
      </c>
      <c r="F29">
        <f>(L_I4!AO19-L_S1!AO19)*C29</f>
        <v/>
      </c>
      <c r="G29">
        <f>(L_I4!AP19-L_S1!AP19)*C29</f>
        <v/>
      </c>
      <c r="H29">
        <f>(L_I4!AR19-L_S1!AR19)*C29</f>
        <v/>
      </c>
      <c r="I29">
        <f>I28+E29</f>
        <v/>
      </c>
      <c r="J29">
        <f>J28+F29</f>
        <v/>
      </c>
      <c r="K29">
        <f>K28+G29</f>
        <v/>
      </c>
      <c r="L29">
        <f>MAX(L28,J29)</f>
        <v/>
      </c>
      <c r="M29">
        <f>IF(AND(B29&lt;x_H,J29&lt;=0,L28&gt;0),1,0)</f>
        <v/>
      </c>
      <c r="N29">
        <f>IF(AND(B29&lt;x_H,I29&lt;=0,O28&gt;0),1,0)</f>
        <v/>
      </c>
      <c r="O29">
        <f>MAX(O28,I29)</f>
        <v/>
      </c>
      <c r="P29">
        <f>(L_I4!U19-L_S1!U19)*D29</f>
        <v/>
      </c>
    </row>
    <row r="30">
      <c r="A30" t="n">
        <v>2043</v>
      </c>
      <c r="B30" t="n">
        <v>17</v>
      </c>
      <c r="C30">
        <f>IF(B30&lt;x_H,(1+x_dk)^(-B30),0)</f>
        <v/>
      </c>
      <c r="D30">
        <f>IF(B30&lt;x_H,(1+x_de)^(-B30),0)</f>
        <v/>
      </c>
      <c r="E30">
        <f>(L_I4!AN20-L_S1!AN20)*C30</f>
        <v/>
      </c>
      <c r="F30">
        <f>(L_I4!AO20-L_S1!AO20)*C30</f>
        <v/>
      </c>
      <c r="G30">
        <f>(L_I4!AP20-L_S1!AP20)*C30</f>
        <v/>
      </c>
      <c r="H30">
        <f>(L_I4!AR20-L_S1!AR20)*C30</f>
        <v/>
      </c>
      <c r="I30">
        <f>I29+E30</f>
        <v/>
      </c>
      <c r="J30">
        <f>J29+F30</f>
        <v/>
      </c>
      <c r="K30">
        <f>K29+G30</f>
        <v/>
      </c>
      <c r="L30">
        <f>MAX(L29,J30)</f>
        <v/>
      </c>
      <c r="M30">
        <f>IF(AND(B30&lt;x_H,J30&lt;=0,L29&gt;0),1,0)</f>
        <v/>
      </c>
      <c r="N30">
        <f>IF(AND(B30&lt;x_H,I30&lt;=0,O29&gt;0),1,0)</f>
        <v/>
      </c>
      <c r="O30">
        <f>MAX(O29,I30)</f>
        <v/>
      </c>
      <c r="P30">
        <f>(L_I4!U20-L_S1!U20)*D30</f>
        <v/>
      </c>
    </row>
    <row r="31">
      <c r="A31" t="n">
        <v>2044</v>
      </c>
      <c r="B31" t="n">
        <v>18</v>
      </c>
      <c r="C31">
        <f>IF(B31&lt;x_H,(1+x_dk)^(-B31),0)</f>
        <v/>
      </c>
      <c r="D31">
        <f>IF(B31&lt;x_H,(1+x_de)^(-B31),0)</f>
        <v/>
      </c>
      <c r="E31">
        <f>(L_I4!AN21-L_S1!AN21)*C31</f>
        <v/>
      </c>
      <c r="F31">
        <f>(L_I4!AO21-L_S1!AO21)*C31</f>
        <v/>
      </c>
      <c r="G31">
        <f>(L_I4!AP21-L_S1!AP21)*C31</f>
        <v/>
      </c>
      <c r="H31">
        <f>(L_I4!AR21-L_S1!AR21)*C31</f>
        <v/>
      </c>
      <c r="I31">
        <f>I30+E31</f>
        <v/>
      </c>
      <c r="J31">
        <f>J30+F31</f>
        <v/>
      </c>
      <c r="K31">
        <f>K30+G31</f>
        <v/>
      </c>
      <c r="L31">
        <f>MAX(L30,J31)</f>
        <v/>
      </c>
      <c r="M31">
        <f>IF(AND(B31&lt;x_H,J31&lt;=0,L30&gt;0),1,0)</f>
        <v/>
      </c>
      <c r="N31">
        <f>IF(AND(B31&lt;x_H,I31&lt;=0,O30&gt;0),1,0)</f>
        <v/>
      </c>
      <c r="O31">
        <f>MAX(O30,I31)</f>
        <v/>
      </c>
      <c r="P31">
        <f>(L_I4!U21-L_S1!U21)*D31</f>
        <v/>
      </c>
    </row>
    <row r="32">
      <c r="A32" t="n">
        <v>2045</v>
      </c>
      <c r="B32" t="n">
        <v>19</v>
      </c>
      <c r="C32">
        <f>IF(B32&lt;x_H,(1+x_dk)^(-B32),0)</f>
        <v/>
      </c>
      <c r="D32">
        <f>IF(B32&lt;x_H,(1+x_de)^(-B32),0)</f>
        <v/>
      </c>
      <c r="E32">
        <f>(L_I4!AN22-L_S1!AN22)*C32</f>
        <v/>
      </c>
      <c r="F32">
        <f>(L_I4!AO22-L_S1!AO22)*C32</f>
        <v/>
      </c>
      <c r="G32">
        <f>(L_I4!AP22-L_S1!AP22)*C32</f>
        <v/>
      </c>
      <c r="H32">
        <f>(L_I4!AR22-L_S1!AR22)*C32</f>
        <v/>
      </c>
      <c r="I32">
        <f>I31+E32</f>
        <v/>
      </c>
      <c r="J32">
        <f>J31+F32</f>
        <v/>
      </c>
      <c r="K32">
        <f>K31+G32</f>
        <v/>
      </c>
      <c r="L32">
        <f>MAX(L31,J32)</f>
        <v/>
      </c>
      <c r="M32">
        <f>IF(AND(B32&lt;x_H,J32&lt;=0,L31&gt;0),1,0)</f>
        <v/>
      </c>
      <c r="N32">
        <f>IF(AND(B32&lt;x_H,I32&lt;=0,O31&gt;0),1,0)</f>
        <v/>
      </c>
      <c r="O32">
        <f>MAX(O31,I32)</f>
        <v/>
      </c>
      <c r="P32">
        <f>(L_I4!U22-L_S1!U22)*D32</f>
        <v/>
      </c>
    </row>
    <row r="33">
      <c r="A33" t="n">
        <v>2046</v>
      </c>
      <c r="B33" t="n">
        <v>20</v>
      </c>
      <c r="C33">
        <f>IF(B33&lt;x_H,(1+x_dk)^(-B33),0)</f>
        <v/>
      </c>
      <c r="D33">
        <f>IF(B33&lt;x_H,(1+x_de)^(-B33),0)</f>
        <v/>
      </c>
      <c r="E33">
        <f>(L_I4!AN23-L_S1!AN23)*C33</f>
        <v/>
      </c>
      <c r="F33">
        <f>(L_I4!AO23-L_S1!AO23)*C33</f>
        <v/>
      </c>
      <c r="G33">
        <f>(L_I4!AP23-L_S1!AP23)*C33</f>
        <v/>
      </c>
      <c r="H33">
        <f>(L_I4!AR23-L_S1!AR23)*C33</f>
        <v/>
      </c>
      <c r="I33">
        <f>I32+E33</f>
        <v/>
      </c>
      <c r="J33">
        <f>J32+F33</f>
        <v/>
      </c>
      <c r="K33">
        <f>K32+G33</f>
        <v/>
      </c>
      <c r="L33">
        <f>MAX(L32,J33)</f>
        <v/>
      </c>
      <c r="M33">
        <f>IF(AND(B33&lt;x_H,J33&lt;=0,L32&gt;0),1,0)</f>
        <v/>
      </c>
      <c r="N33">
        <f>IF(AND(B33&lt;x_H,I33&lt;=0,O32&gt;0),1,0)</f>
        <v/>
      </c>
      <c r="O33">
        <f>MAX(O32,I33)</f>
        <v/>
      </c>
      <c r="P33">
        <f>(L_I4!U23-L_S1!U23)*D33</f>
        <v/>
      </c>
    </row>
    <row r="34">
      <c r="A34" t="n">
        <v>2047</v>
      </c>
      <c r="B34" t="n">
        <v>21</v>
      </c>
      <c r="C34">
        <f>IF(B34&lt;x_H,(1+x_dk)^(-B34),0)</f>
        <v/>
      </c>
      <c r="D34">
        <f>IF(B34&lt;x_H,(1+x_de)^(-B34),0)</f>
        <v/>
      </c>
      <c r="E34">
        <f>(L_I4!AN24-L_S1!AN24)*C34</f>
        <v/>
      </c>
      <c r="F34">
        <f>(L_I4!AO24-L_S1!AO24)*C34</f>
        <v/>
      </c>
      <c r="G34">
        <f>(L_I4!AP24-L_S1!AP24)*C34</f>
        <v/>
      </c>
      <c r="H34">
        <f>(L_I4!AR24-L_S1!AR24)*C34</f>
        <v/>
      </c>
      <c r="I34">
        <f>I33+E34</f>
        <v/>
      </c>
      <c r="J34">
        <f>J33+F34</f>
        <v/>
      </c>
      <c r="K34">
        <f>K33+G34</f>
        <v/>
      </c>
      <c r="L34">
        <f>MAX(L33,J34)</f>
        <v/>
      </c>
      <c r="M34">
        <f>IF(AND(B34&lt;x_H,J34&lt;=0,L33&gt;0),1,0)</f>
        <v/>
      </c>
      <c r="N34">
        <f>IF(AND(B34&lt;x_H,I34&lt;=0,O33&gt;0),1,0)</f>
        <v/>
      </c>
      <c r="O34">
        <f>MAX(O33,I34)</f>
        <v/>
      </c>
      <c r="P34">
        <f>(L_I4!U24-L_S1!U24)*D34</f>
        <v/>
      </c>
    </row>
    <row r="35">
      <c r="A35" t="n">
        <v>2048</v>
      </c>
      <c r="B35" t="n">
        <v>22</v>
      </c>
      <c r="C35">
        <f>IF(B35&lt;x_H,(1+x_dk)^(-B35),0)</f>
        <v/>
      </c>
      <c r="D35">
        <f>IF(B35&lt;x_H,(1+x_de)^(-B35),0)</f>
        <v/>
      </c>
      <c r="E35">
        <f>(L_I4!AN25-L_S1!AN25)*C35</f>
        <v/>
      </c>
      <c r="F35">
        <f>(L_I4!AO25-L_S1!AO25)*C35</f>
        <v/>
      </c>
      <c r="G35">
        <f>(L_I4!AP25-L_S1!AP25)*C35</f>
        <v/>
      </c>
      <c r="H35">
        <f>(L_I4!AR25-L_S1!AR25)*C35</f>
        <v/>
      </c>
      <c r="I35">
        <f>I34+E35</f>
        <v/>
      </c>
      <c r="J35">
        <f>J34+F35</f>
        <v/>
      </c>
      <c r="K35">
        <f>K34+G35</f>
        <v/>
      </c>
      <c r="L35">
        <f>MAX(L34,J35)</f>
        <v/>
      </c>
      <c r="M35">
        <f>IF(AND(B35&lt;x_H,J35&lt;=0,L34&gt;0),1,0)</f>
        <v/>
      </c>
      <c r="N35">
        <f>IF(AND(B35&lt;x_H,I35&lt;=0,O34&gt;0),1,0)</f>
        <v/>
      </c>
      <c r="O35">
        <f>MAX(O34,I35)</f>
        <v/>
      </c>
      <c r="P35">
        <f>(L_I4!U25-L_S1!U25)*D35</f>
        <v/>
      </c>
    </row>
    <row r="36">
      <c r="A36" t="n">
        <v>2049</v>
      </c>
      <c r="B36" t="n">
        <v>23</v>
      </c>
      <c r="C36">
        <f>IF(B36&lt;x_H,(1+x_dk)^(-B36),0)</f>
        <v/>
      </c>
      <c r="D36">
        <f>IF(B36&lt;x_H,(1+x_de)^(-B36),0)</f>
        <v/>
      </c>
      <c r="E36">
        <f>(L_I4!AN26-L_S1!AN26)*C36</f>
        <v/>
      </c>
      <c r="F36">
        <f>(L_I4!AO26-L_S1!AO26)*C36</f>
        <v/>
      </c>
      <c r="G36">
        <f>(L_I4!AP26-L_S1!AP26)*C36</f>
        <v/>
      </c>
      <c r="H36">
        <f>(L_I4!AR26-L_S1!AR26)*C36</f>
        <v/>
      </c>
      <c r="I36">
        <f>I35+E36</f>
        <v/>
      </c>
      <c r="J36">
        <f>J35+F36</f>
        <v/>
      </c>
      <c r="K36">
        <f>K35+G36</f>
        <v/>
      </c>
      <c r="L36">
        <f>MAX(L35,J36)</f>
        <v/>
      </c>
      <c r="M36">
        <f>IF(AND(B36&lt;x_H,J36&lt;=0,L35&gt;0),1,0)</f>
        <v/>
      </c>
      <c r="N36">
        <f>IF(AND(B36&lt;x_H,I36&lt;=0,O35&gt;0),1,0)</f>
        <v/>
      </c>
      <c r="O36">
        <f>MAX(O35,I36)</f>
        <v/>
      </c>
      <c r="P36">
        <f>(L_I4!U26-L_S1!U26)*D36</f>
        <v/>
      </c>
    </row>
    <row r="37">
      <c r="A37" t="n">
        <v>2050</v>
      </c>
      <c r="B37" t="n">
        <v>24</v>
      </c>
      <c r="C37">
        <f>IF(B37&lt;x_H,(1+x_dk)^(-B37),0)</f>
        <v/>
      </c>
      <c r="D37">
        <f>IF(B37&lt;x_H,(1+x_de)^(-B37),0)</f>
        <v/>
      </c>
      <c r="E37">
        <f>(L_I4!AN27-L_S1!AN27)*C37</f>
        <v/>
      </c>
      <c r="F37">
        <f>(L_I4!AO27-L_S1!AO27)*C37</f>
        <v/>
      </c>
      <c r="G37">
        <f>(L_I4!AP27-L_S1!AP27)*C37</f>
        <v/>
      </c>
      <c r="H37">
        <f>(L_I4!AR27-L_S1!AR27)*C37</f>
        <v/>
      </c>
      <c r="I37">
        <f>I36+E37</f>
        <v/>
      </c>
      <c r="J37">
        <f>J36+F37</f>
        <v/>
      </c>
      <c r="K37">
        <f>K36+G37</f>
        <v/>
      </c>
      <c r="L37">
        <f>MAX(L36,J37)</f>
        <v/>
      </c>
      <c r="M37">
        <f>IF(AND(B37&lt;x_H,J37&lt;=0,L36&gt;0),1,0)</f>
        <v/>
      </c>
      <c r="N37">
        <f>IF(AND(B37&lt;x_H,I37&lt;=0,O36&gt;0),1,0)</f>
        <v/>
      </c>
      <c r="O37">
        <f>MAX(O36,I37)</f>
        <v/>
      </c>
      <c r="P37">
        <f>(L_I4!U27-L_S1!U27)*D37</f>
        <v/>
      </c>
    </row>
    <row r="38">
      <c r="A38" t="n">
        <v>2051</v>
      </c>
      <c r="B38" t="n">
        <v>25</v>
      </c>
      <c r="C38">
        <f>IF(B38&lt;x_H,(1+x_dk)^(-B38),0)</f>
        <v/>
      </c>
      <c r="D38">
        <f>IF(B38&lt;x_H,(1+x_de)^(-B38),0)</f>
        <v/>
      </c>
      <c r="E38">
        <f>(L_I4!AN28-L_S1!AN28)*C38</f>
        <v/>
      </c>
      <c r="F38">
        <f>(L_I4!AO28-L_S1!AO28)*C38</f>
        <v/>
      </c>
      <c r="G38">
        <f>(L_I4!AP28-L_S1!AP28)*C38</f>
        <v/>
      </c>
      <c r="H38">
        <f>(L_I4!AR28-L_S1!AR28)*C38</f>
        <v/>
      </c>
      <c r="I38">
        <f>I37+E38</f>
        <v/>
      </c>
      <c r="J38">
        <f>J37+F38</f>
        <v/>
      </c>
      <c r="K38">
        <f>K37+G38</f>
        <v/>
      </c>
      <c r="L38">
        <f>MAX(L37,J38)</f>
        <v/>
      </c>
      <c r="M38">
        <f>IF(AND(B38&lt;x_H,J38&lt;=0,L37&gt;0),1,0)</f>
        <v/>
      </c>
      <c r="N38">
        <f>IF(AND(B38&lt;x_H,I38&lt;=0,O37&gt;0),1,0)</f>
        <v/>
      </c>
      <c r="O38">
        <f>MAX(O37,I38)</f>
        <v/>
      </c>
      <c r="P38">
        <f>(L_I4!U28-L_S1!U28)*D38</f>
        <v/>
      </c>
    </row>
    <row r="39">
      <c r="A39" t="n">
        <v>2052</v>
      </c>
      <c r="B39" t="n">
        <v>26</v>
      </c>
      <c r="C39">
        <f>IF(B39&lt;x_H,(1+x_dk)^(-B39),0)</f>
        <v/>
      </c>
      <c r="D39">
        <f>IF(B39&lt;x_H,(1+x_de)^(-B39),0)</f>
        <v/>
      </c>
      <c r="E39">
        <f>(L_I4!AN29-L_S1!AN29)*C39</f>
        <v/>
      </c>
      <c r="F39">
        <f>(L_I4!AO29-L_S1!AO29)*C39</f>
        <v/>
      </c>
      <c r="G39">
        <f>(L_I4!AP29-L_S1!AP29)*C39</f>
        <v/>
      </c>
      <c r="H39">
        <f>(L_I4!AR29-L_S1!AR29)*C39</f>
        <v/>
      </c>
      <c r="I39">
        <f>I38+E39</f>
        <v/>
      </c>
      <c r="J39">
        <f>J38+F39</f>
        <v/>
      </c>
      <c r="K39">
        <f>K38+G39</f>
        <v/>
      </c>
      <c r="L39">
        <f>MAX(L38,J39)</f>
        <v/>
      </c>
      <c r="M39">
        <f>IF(AND(B39&lt;x_H,J39&lt;=0,L38&gt;0),1,0)</f>
        <v/>
      </c>
      <c r="N39">
        <f>IF(AND(B39&lt;x_H,I39&lt;=0,O38&gt;0),1,0)</f>
        <v/>
      </c>
      <c r="O39">
        <f>MAX(O38,I39)</f>
        <v/>
      </c>
      <c r="P39">
        <f>(L_I4!U29-L_S1!U29)*D39</f>
        <v/>
      </c>
    </row>
    <row r="40">
      <c r="A40" t="n">
        <v>2053</v>
      </c>
      <c r="B40" t="n">
        <v>27</v>
      </c>
      <c r="C40">
        <f>IF(B40&lt;x_H,(1+x_dk)^(-B40),0)</f>
        <v/>
      </c>
      <c r="D40">
        <f>IF(B40&lt;x_H,(1+x_de)^(-B40),0)</f>
        <v/>
      </c>
      <c r="E40">
        <f>(L_I4!AN30-L_S1!AN30)*C40</f>
        <v/>
      </c>
      <c r="F40">
        <f>(L_I4!AO30-L_S1!AO30)*C40</f>
        <v/>
      </c>
      <c r="G40">
        <f>(L_I4!AP30-L_S1!AP30)*C40</f>
        <v/>
      </c>
      <c r="H40">
        <f>(L_I4!AR30-L_S1!AR30)*C40</f>
        <v/>
      </c>
      <c r="I40">
        <f>I39+E40</f>
        <v/>
      </c>
      <c r="J40">
        <f>J39+F40</f>
        <v/>
      </c>
      <c r="K40">
        <f>K39+G40</f>
        <v/>
      </c>
      <c r="L40">
        <f>MAX(L39,J40)</f>
        <v/>
      </c>
      <c r="M40">
        <f>IF(AND(B40&lt;x_H,J40&lt;=0,L39&gt;0),1,0)</f>
        <v/>
      </c>
      <c r="N40">
        <f>IF(AND(B40&lt;x_H,I40&lt;=0,O39&gt;0),1,0)</f>
        <v/>
      </c>
      <c r="O40">
        <f>MAX(O39,I40)</f>
        <v/>
      </c>
      <c r="P40">
        <f>(L_I4!U30-L_S1!U30)*D40</f>
        <v/>
      </c>
    </row>
    <row r="41">
      <c r="A41" t="n">
        <v>2054</v>
      </c>
      <c r="B41" t="n">
        <v>28</v>
      </c>
      <c r="C41">
        <f>IF(B41&lt;x_H,(1+x_dk)^(-B41),0)</f>
        <v/>
      </c>
      <c r="D41">
        <f>IF(B41&lt;x_H,(1+x_de)^(-B41),0)</f>
        <v/>
      </c>
      <c r="E41">
        <f>(L_I4!AN31-L_S1!AN31)*C41</f>
        <v/>
      </c>
      <c r="F41">
        <f>(L_I4!AO31-L_S1!AO31)*C41</f>
        <v/>
      </c>
      <c r="G41">
        <f>(L_I4!AP31-L_S1!AP31)*C41</f>
        <v/>
      </c>
      <c r="H41">
        <f>(L_I4!AR31-L_S1!AR31)*C41</f>
        <v/>
      </c>
      <c r="I41">
        <f>I40+E41</f>
        <v/>
      </c>
      <c r="J41">
        <f>J40+F41</f>
        <v/>
      </c>
      <c r="K41">
        <f>K40+G41</f>
        <v/>
      </c>
      <c r="L41">
        <f>MAX(L40,J41)</f>
        <v/>
      </c>
      <c r="M41">
        <f>IF(AND(B41&lt;x_H,J41&lt;=0,L40&gt;0),1,0)</f>
        <v/>
      </c>
      <c r="N41">
        <f>IF(AND(B41&lt;x_H,I41&lt;=0,O40&gt;0),1,0)</f>
        <v/>
      </c>
      <c r="O41">
        <f>MAX(O40,I41)</f>
        <v/>
      </c>
      <c r="P41">
        <f>(L_I4!U31-L_S1!U31)*D41</f>
        <v/>
      </c>
    </row>
    <row r="42">
      <c r="A42" t="n">
        <v>2055</v>
      </c>
      <c r="B42" t="n">
        <v>29</v>
      </c>
      <c r="C42">
        <f>IF(B42&lt;x_H,(1+x_dk)^(-B42),0)</f>
        <v/>
      </c>
      <c r="D42">
        <f>IF(B42&lt;x_H,(1+x_de)^(-B42),0)</f>
        <v/>
      </c>
      <c r="E42">
        <f>(L_I4!AN32-L_S1!AN32)*C42</f>
        <v/>
      </c>
      <c r="F42">
        <f>(L_I4!AO32-L_S1!AO32)*C42</f>
        <v/>
      </c>
      <c r="G42">
        <f>(L_I4!AP32-L_S1!AP32)*C42</f>
        <v/>
      </c>
      <c r="H42">
        <f>(L_I4!AR32-L_S1!AR32)*C42</f>
        <v/>
      </c>
      <c r="I42">
        <f>I41+E42</f>
        <v/>
      </c>
      <c r="J42">
        <f>J41+F42</f>
        <v/>
      </c>
      <c r="K42">
        <f>K41+G42</f>
        <v/>
      </c>
      <c r="L42">
        <f>MAX(L41,J42)</f>
        <v/>
      </c>
      <c r="M42">
        <f>IF(AND(B42&lt;x_H,J42&lt;=0,L41&gt;0),1,0)</f>
        <v/>
      </c>
      <c r="N42">
        <f>IF(AND(B42&lt;x_H,I42&lt;=0,O41&gt;0),1,0)</f>
        <v/>
      </c>
      <c r="O42">
        <f>MAX(O41,I42)</f>
        <v/>
      </c>
      <c r="P42">
        <f>(L_I4!U32-L_S1!U32)*D42</f>
        <v/>
      </c>
    </row>
    <row r="43">
      <c r="A43" t="n">
        <v>2056</v>
      </c>
      <c r="B43" t="n">
        <v>30</v>
      </c>
      <c r="C43">
        <f>IF(B43&lt;x_H,(1+x_dk)^(-B43),0)</f>
        <v/>
      </c>
      <c r="D43">
        <f>IF(B43&lt;x_H,(1+x_de)^(-B43),0)</f>
        <v/>
      </c>
      <c r="E43">
        <f>(L_I4!AN33-L_S1!AN33)*C43</f>
        <v/>
      </c>
      <c r="F43">
        <f>(L_I4!AO33-L_S1!AO33)*C43</f>
        <v/>
      </c>
      <c r="G43">
        <f>(L_I4!AP33-L_S1!AP33)*C43</f>
        <v/>
      </c>
      <c r="H43">
        <f>(L_I4!AR33-L_S1!AR33)*C43</f>
        <v/>
      </c>
      <c r="I43">
        <f>I42+E43</f>
        <v/>
      </c>
      <c r="J43">
        <f>J42+F43</f>
        <v/>
      </c>
      <c r="K43">
        <f>K42+G43</f>
        <v/>
      </c>
      <c r="L43">
        <f>MAX(L42,J43)</f>
        <v/>
      </c>
      <c r="M43">
        <f>IF(AND(B43&lt;x_H,J43&lt;=0,L42&gt;0),1,0)</f>
        <v/>
      </c>
      <c r="N43">
        <f>IF(AND(B43&lt;x_H,I43&lt;=0,O42&gt;0),1,0)</f>
        <v/>
      </c>
      <c r="O43">
        <f>MAX(O42,I43)</f>
        <v/>
      </c>
      <c r="P43">
        <f>(L_I4!U33-L_S1!U33)*D43</f>
        <v/>
      </c>
    </row>
    <row r="44">
      <c r="A44" t="n">
        <v>2057</v>
      </c>
      <c r="B44" t="n">
        <v>31</v>
      </c>
      <c r="C44">
        <f>IF(B44&lt;x_H,(1+x_dk)^(-B44),0)</f>
        <v/>
      </c>
      <c r="D44">
        <f>IF(B44&lt;x_H,(1+x_de)^(-B44),0)</f>
        <v/>
      </c>
      <c r="E44">
        <f>(L_I4!AN34-L_S1!AN34)*C44</f>
        <v/>
      </c>
      <c r="F44">
        <f>(L_I4!AO34-L_S1!AO34)*C44</f>
        <v/>
      </c>
      <c r="G44">
        <f>(L_I4!AP34-L_S1!AP34)*C44</f>
        <v/>
      </c>
      <c r="H44">
        <f>(L_I4!AR34-L_S1!AR34)*C44</f>
        <v/>
      </c>
      <c r="I44">
        <f>I43+E44</f>
        <v/>
      </c>
      <c r="J44">
        <f>J43+F44</f>
        <v/>
      </c>
      <c r="K44">
        <f>K43+G44</f>
        <v/>
      </c>
      <c r="L44">
        <f>MAX(L43,J44)</f>
        <v/>
      </c>
      <c r="M44">
        <f>IF(AND(B44&lt;x_H,J44&lt;=0,L43&gt;0),1,0)</f>
        <v/>
      </c>
      <c r="N44">
        <f>IF(AND(B44&lt;x_H,I44&lt;=0,O43&gt;0),1,0)</f>
        <v/>
      </c>
      <c r="O44">
        <f>MAX(O43,I44)</f>
        <v/>
      </c>
      <c r="P44">
        <f>(L_I4!U34-L_S1!U34)*D44</f>
        <v/>
      </c>
    </row>
    <row r="45">
      <c r="A45" t="n">
        <v>2058</v>
      </c>
      <c r="B45" t="n">
        <v>32</v>
      </c>
      <c r="C45">
        <f>IF(B45&lt;x_H,(1+x_dk)^(-B45),0)</f>
        <v/>
      </c>
      <c r="D45">
        <f>IF(B45&lt;x_H,(1+x_de)^(-B45),0)</f>
        <v/>
      </c>
      <c r="E45">
        <f>(L_I4!AN35-L_S1!AN35)*C45</f>
        <v/>
      </c>
      <c r="F45">
        <f>(L_I4!AO35-L_S1!AO35)*C45</f>
        <v/>
      </c>
      <c r="G45">
        <f>(L_I4!AP35-L_S1!AP35)*C45</f>
        <v/>
      </c>
      <c r="H45">
        <f>(L_I4!AR35-L_S1!AR35)*C45</f>
        <v/>
      </c>
      <c r="I45">
        <f>I44+E45</f>
        <v/>
      </c>
      <c r="J45">
        <f>J44+F45</f>
        <v/>
      </c>
      <c r="K45">
        <f>K44+G45</f>
        <v/>
      </c>
      <c r="L45">
        <f>MAX(L44,J45)</f>
        <v/>
      </c>
      <c r="M45">
        <f>IF(AND(B45&lt;x_H,J45&lt;=0,L44&gt;0),1,0)</f>
        <v/>
      </c>
      <c r="N45">
        <f>IF(AND(B45&lt;x_H,I45&lt;=0,O44&gt;0),1,0)</f>
        <v/>
      </c>
      <c r="O45">
        <f>MAX(O44,I45)</f>
        <v/>
      </c>
      <c r="P45">
        <f>(L_I4!U35-L_S1!U35)*D45</f>
        <v/>
      </c>
    </row>
    <row r="46">
      <c r="A46" t="n">
        <v>2059</v>
      </c>
      <c r="B46" t="n">
        <v>33</v>
      </c>
      <c r="C46">
        <f>IF(B46&lt;x_H,(1+x_dk)^(-B46),0)</f>
        <v/>
      </c>
      <c r="D46">
        <f>IF(B46&lt;x_H,(1+x_de)^(-B46),0)</f>
        <v/>
      </c>
      <c r="E46">
        <f>(L_I4!AN36-L_S1!AN36)*C46</f>
        <v/>
      </c>
      <c r="F46">
        <f>(L_I4!AO36-L_S1!AO36)*C46</f>
        <v/>
      </c>
      <c r="G46">
        <f>(L_I4!AP36-L_S1!AP36)*C46</f>
        <v/>
      </c>
      <c r="H46">
        <f>(L_I4!AR36-L_S1!AR36)*C46</f>
        <v/>
      </c>
      <c r="I46">
        <f>I45+E46</f>
        <v/>
      </c>
      <c r="J46">
        <f>J45+F46</f>
        <v/>
      </c>
      <c r="K46">
        <f>K45+G46</f>
        <v/>
      </c>
      <c r="L46">
        <f>MAX(L45,J46)</f>
        <v/>
      </c>
      <c r="M46">
        <f>IF(AND(B46&lt;x_H,J46&lt;=0,L45&gt;0),1,0)</f>
        <v/>
      </c>
      <c r="N46">
        <f>IF(AND(B46&lt;x_H,I46&lt;=0,O45&gt;0),1,0)</f>
        <v/>
      </c>
      <c r="O46">
        <f>MAX(O45,I46)</f>
        <v/>
      </c>
      <c r="P46">
        <f>(L_I4!U36-L_S1!U36)*D46</f>
        <v/>
      </c>
    </row>
    <row r="47">
      <c r="A47" t="n">
        <v>2060</v>
      </c>
      <c r="B47" t="n">
        <v>34</v>
      </c>
      <c r="C47">
        <f>IF(B47&lt;x_H,(1+x_dk)^(-B47),0)</f>
        <v/>
      </c>
      <c r="D47">
        <f>IF(B47&lt;x_H,(1+x_de)^(-B47),0)</f>
        <v/>
      </c>
      <c r="E47">
        <f>(L_I4!AN37-L_S1!AN37)*C47</f>
        <v/>
      </c>
      <c r="F47">
        <f>(L_I4!AO37-L_S1!AO37)*C47</f>
        <v/>
      </c>
      <c r="G47">
        <f>(L_I4!AP37-L_S1!AP37)*C47</f>
        <v/>
      </c>
      <c r="H47">
        <f>(L_I4!AR37-L_S1!AR37)*C47</f>
        <v/>
      </c>
      <c r="I47">
        <f>I46+E47</f>
        <v/>
      </c>
      <c r="J47">
        <f>J46+F47</f>
        <v/>
      </c>
      <c r="K47">
        <f>K46+G47</f>
        <v/>
      </c>
      <c r="L47">
        <f>MAX(L46,J47)</f>
        <v/>
      </c>
      <c r="M47">
        <f>IF(AND(B47&lt;x_H,J47&lt;=0,L46&gt;0),1,0)</f>
        <v/>
      </c>
      <c r="N47">
        <f>IF(AND(B47&lt;x_H,I47&lt;=0,O46&gt;0),1,0)</f>
        <v/>
      </c>
      <c r="O47">
        <f>MAX(O46,I47)</f>
        <v/>
      </c>
      <c r="P47">
        <f>(L_I4!U37-L_S1!U37)*D47</f>
        <v/>
      </c>
    </row>
    <row r="48">
      <c r="A48" t="n">
        <v>2061</v>
      </c>
      <c r="B48" t="n">
        <v>35</v>
      </c>
      <c r="C48">
        <f>IF(B48&lt;x_H,(1+x_dk)^(-B48),0)</f>
        <v/>
      </c>
      <c r="D48">
        <f>IF(B48&lt;x_H,(1+x_de)^(-B48),0)</f>
        <v/>
      </c>
      <c r="E48">
        <f>(L_I4!AN38-L_S1!AN38)*C48</f>
        <v/>
      </c>
      <c r="F48">
        <f>(L_I4!AO38-L_S1!AO38)*C48</f>
        <v/>
      </c>
      <c r="G48">
        <f>(L_I4!AP38-L_S1!AP38)*C48</f>
        <v/>
      </c>
      <c r="H48">
        <f>(L_I4!AR38-L_S1!AR38)*C48</f>
        <v/>
      </c>
      <c r="I48">
        <f>I47+E48</f>
        <v/>
      </c>
      <c r="J48">
        <f>J47+F48</f>
        <v/>
      </c>
      <c r="K48">
        <f>K47+G48</f>
        <v/>
      </c>
      <c r="L48">
        <f>MAX(L47,J48)</f>
        <v/>
      </c>
      <c r="M48">
        <f>IF(AND(B48&lt;x_H,J48&lt;=0,L47&gt;0),1,0)</f>
        <v/>
      </c>
      <c r="N48">
        <f>IF(AND(B48&lt;x_H,I48&lt;=0,O47&gt;0),1,0)</f>
        <v/>
      </c>
      <c r="O48">
        <f>MAX(O47,I48)</f>
        <v/>
      </c>
      <c r="P48">
        <f>(L_I4!U38-L_S1!U38)*D48</f>
        <v/>
      </c>
    </row>
    <row r="49">
      <c r="A49" t="n">
        <v>2062</v>
      </c>
      <c r="B49" t="n">
        <v>36</v>
      </c>
      <c r="C49">
        <f>IF(B49&lt;x_H,(1+x_dk)^(-B49),0)</f>
        <v/>
      </c>
      <c r="D49">
        <f>IF(B49&lt;x_H,(1+x_de)^(-B49),0)</f>
        <v/>
      </c>
      <c r="E49">
        <f>(L_I4!AN39-L_S1!AN39)*C49</f>
        <v/>
      </c>
      <c r="F49">
        <f>(L_I4!AO39-L_S1!AO39)*C49</f>
        <v/>
      </c>
      <c r="G49">
        <f>(L_I4!AP39-L_S1!AP39)*C49</f>
        <v/>
      </c>
      <c r="H49">
        <f>(L_I4!AR39-L_S1!AR39)*C49</f>
        <v/>
      </c>
      <c r="I49">
        <f>I48+E49</f>
        <v/>
      </c>
      <c r="J49">
        <f>J48+F49</f>
        <v/>
      </c>
      <c r="K49">
        <f>K48+G49</f>
        <v/>
      </c>
      <c r="L49">
        <f>MAX(L48,J49)</f>
        <v/>
      </c>
      <c r="M49">
        <f>IF(AND(B49&lt;x_H,J49&lt;=0,L48&gt;0),1,0)</f>
        <v/>
      </c>
      <c r="N49">
        <f>IF(AND(B49&lt;x_H,I49&lt;=0,O48&gt;0),1,0)</f>
        <v/>
      </c>
      <c r="O49">
        <f>MAX(O48,I49)</f>
        <v/>
      </c>
      <c r="P49">
        <f>(L_I4!U39-L_S1!U39)*D49</f>
        <v/>
      </c>
    </row>
    <row r="50">
      <c r="A50" t="n">
        <v>2063</v>
      </c>
      <c r="B50" t="n">
        <v>37</v>
      </c>
      <c r="C50">
        <f>IF(B50&lt;x_H,(1+x_dk)^(-B50),0)</f>
        <v/>
      </c>
      <c r="D50">
        <f>IF(B50&lt;x_H,(1+x_de)^(-B50),0)</f>
        <v/>
      </c>
      <c r="E50">
        <f>(L_I4!AN40-L_S1!AN40)*C50</f>
        <v/>
      </c>
      <c r="F50">
        <f>(L_I4!AO40-L_S1!AO40)*C50</f>
        <v/>
      </c>
      <c r="G50">
        <f>(L_I4!AP40-L_S1!AP40)*C50</f>
        <v/>
      </c>
      <c r="H50">
        <f>(L_I4!AR40-L_S1!AR40)*C50</f>
        <v/>
      </c>
      <c r="I50">
        <f>I49+E50</f>
        <v/>
      </c>
      <c r="J50">
        <f>J49+F50</f>
        <v/>
      </c>
      <c r="K50">
        <f>K49+G50</f>
        <v/>
      </c>
      <c r="L50">
        <f>MAX(L49,J50)</f>
        <v/>
      </c>
      <c r="M50">
        <f>IF(AND(B50&lt;x_H,J50&lt;=0,L49&gt;0),1,0)</f>
        <v/>
      </c>
      <c r="N50">
        <f>IF(AND(B50&lt;x_H,I50&lt;=0,O49&gt;0),1,0)</f>
        <v/>
      </c>
      <c r="O50">
        <f>MAX(O49,I50)</f>
        <v/>
      </c>
      <c r="P50">
        <f>(L_I4!U40-L_S1!U40)*D50</f>
        <v/>
      </c>
    </row>
    <row r="51">
      <c r="A51" t="n">
        <v>2064</v>
      </c>
      <c r="B51" t="n">
        <v>38</v>
      </c>
      <c r="C51">
        <f>IF(B51&lt;x_H,(1+x_dk)^(-B51),0)</f>
        <v/>
      </c>
      <c r="D51">
        <f>IF(B51&lt;x_H,(1+x_de)^(-B51),0)</f>
        <v/>
      </c>
      <c r="E51">
        <f>(L_I4!AN41-L_S1!AN41)*C51</f>
        <v/>
      </c>
      <c r="F51">
        <f>(L_I4!AO41-L_S1!AO41)*C51</f>
        <v/>
      </c>
      <c r="G51">
        <f>(L_I4!AP41-L_S1!AP41)*C51</f>
        <v/>
      </c>
      <c r="H51">
        <f>(L_I4!AR41-L_S1!AR41)*C51</f>
        <v/>
      </c>
      <c r="I51">
        <f>I50+E51</f>
        <v/>
      </c>
      <c r="J51">
        <f>J50+F51</f>
        <v/>
      </c>
      <c r="K51">
        <f>K50+G51</f>
        <v/>
      </c>
      <c r="L51">
        <f>MAX(L50,J51)</f>
        <v/>
      </c>
      <c r="M51">
        <f>IF(AND(B51&lt;x_H,J51&lt;=0,L50&gt;0),1,0)</f>
        <v/>
      </c>
      <c r="N51">
        <f>IF(AND(B51&lt;x_H,I51&lt;=0,O50&gt;0),1,0)</f>
        <v/>
      </c>
      <c r="O51">
        <f>MAX(O50,I51)</f>
        <v/>
      </c>
      <c r="P51">
        <f>(L_I4!U41-L_S1!U41)*D51</f>
        <v/>
      </c>
    </row>
    <row r="52">
      <c r="A52" t="n">
        <v>2065</v>
      </c>
      <c r="B52" t="n">
        <v>39</v>
      </c>
      <c r="C52">
        <f>IF(B52&lt;x_H,(1+x_dk)^(-B52),0)</f>
        <v/>
      </c>
      <c r="D52">
        <f>IF(B52&lt;x_H,(1+x_de)^(-B52),0)</f>
        <v/>
      </c>
      <c r="E52">
        <f>(L_I4!AN42-L_S1!AN42)*C52</f>
        <v/>
      </c>
      <c r="F52">
        <f>(L_I4!AO42-L_S1!AO42)*C52</f>
        <v/>
      </c>
      <c r="G52">
        <f>(L_I4!AP42-L_S1!AP42)*C52</f>
        <v/>
      </c>
      <c r="H52">
        <f>(L_I4!AR42-L_S1!AR42)*C52</f>
        <v/>
      </c>
      <c r="I52">
        <f>I51+E52</f>
        <v/>
      </c>
      <c r="J52">
        <f>J51+F52</f>
        <v/>
      </c>
      <c r="K52">
        <f>K51+G52</f>
        <v/>
      </c>
      <c r="L52">
        <f>MAX(L51,J52)</f>
        <v/>
      </c>
      <c r="M52">
        <f>IF(AND(B52&lt;x_H,J52&lt;=0,L51&gt;0),1,0)</f>
        <v/>
      </c>
      <c r="N52">
        <f>IF(AND(B52&lt;x_H,I52&lt;=0,O51&gt;0),1,0)</f>
        <v/>
      </c>
      <c r="O52">
        <f>MAX(O51,I52)</f>
        <v/>
      </c>
      <c r="P52">
        <f>(L_I4!U42-L_S1!U42)*D52</f>
        <v/>
      </c>
    </row>
    <row r="53">
      <c r="A53" t="n">
        <v>2066</v>
      </c>
      <c r="B53" t="n">
        <v>40</v>
      </c>
      <c r="C53">
        <f>IF(B53&lt;x_H,(1+x_dk)^(-B53),0)</f>
        <v/>
      </c>
      <c r="D53">
        <f>IF(B53&lt;x_H,(1+x_de)^(-B53),0)</f>
        <v/>
      </c>
      <c r="E53">
        <f>(L_I4!AN43-L_S1!AN43)*C53</f>
        <v/>
      </c>
      <c r="F53">
        <f>(L_I4!AO43-L_S1!AO43)*C53</f>
        <v/>
      </c>
      <c r="G53">
        <f>(L_I4!AP43-L_S1!AP43)*C53</f>
        <v/>
      </c>
      <c r="H53">
        <f>(L_I4!AR43-L_S1!AR43)*C53</f>
        <v/>
      </c>
      <c r="I53">
        <f>I52+E53</f>
        <v/>
      </c>
      <c r="J53">
        <f>J52+F53</f>
        <v/>
      </c>
      <c r="K53">
        <f>K52+G53</f>
        <v/>
      </c>
      <c r="L53">
        <f>MAX(L52,J53)</f>
        <v/>
      </c>
      <c r="M53">
        <f>IF(AND(B53&lt;x_H,J53&lt;=0,L52&gt;0),1,0)</f>
        <v/>
      </c>
      <c r="N53">
        <f>IF(AND(B53&lt;x_H,I53&lt;=0,O52&gt;0),1,0)</f>
        <v/>
      </c>
      <c r="O53">
        <f>MAX(O52,I53)</f>
        <v/>
      </c>
      <c r="P53">
        <f>(L_I4!U43-L_S1!U43)*D53</f>
        <v/>
      </c>
    </row>
    <row r="54">
      <c r="A54" t="n">
        <v>2067</v>
      </c>
      <c r="B54" t="n">
        <v>41</v>
      </c>
      <c r="C54">
        <f>IF(B54&lt;x_H,(1+x_dk)^(-B54),0)</f>
        <v/>
      </c>
      <c r="D54">
        <f>IF(B54&lt;x_H,(1+x_de)^(-B54),0)</f>
        <v/>
      </c>
      <c r="E54">
        <f>(L_I4!AN44-L_S1!AN44)*C54</f>
        <v/>
      </c>
      <c r="F54">
        <f>(L_I4!AO44-L_S1!AO44)*C54</f>
        <v/>
      </c>
      <c r="G54">
        <f>(L_I4!AP44-L_S1!AP44)*C54</f>
        <v/>
      </c>
      <c r="H54">
        <f>(L_I4!AR44-L_S1!AR44)*C54</f>
        <v/>
      </c>
      <c r="I54">
        <f>I53+E54</f>
        <v/>
      </c>
      <c r="J54">
        <f>J53+F54</f>
        <v/>
      </c>
      <c r="K54">
        <f>K53+G54</f>
        <v/>
      </c>
      <c r="L54">
        <f>MAX(L53,J54)</f>
        <v/>
      </c>
      <c r="M54">
        <f>IF(AND(B54&lt;x_H,J54&lt;=0,L53&gt;0),1,0)</f>
        <v/>
      </c>
      <c r="N54">
        <f>IF(AND(B54&lt;x_H,I54&lt;=0,O53&gt;0),1,0)</f>
        <v/>
      </c>
      <c r="O54">
        <f>MAX(O53,I54)</f>
        <v/>
      </c>
      <c r="P54">
        <f>(L_I4!U44-L_S1!U44)*D54</f>
        <v/>
      </c>
    </row>
    <row r="55">
      <c r="A55" t="n">
        <v>2068</v>
      </c>
      <c r="B55" t="n">
        <v>42</v>
      </c>
      <c r="C55">
        <f>IF(B55&lt;x_H,(1+x_dk)^(-B55),0)</f>
        <v/>
      </c>
      <c r="D55">
        <f>IF(B55&lt;x_H,(1+x_de)^(-B55),0)</f>
        <v/>
      </c>
      <c r="E55">
        <f>(L_I4!AN45-L_S1!AN45)*C55</f>
        <v/>
      </c>
      <c r="F55">
        <f>(L_I4!AO45-L_S1!AO45)*C55</f>
        <v/>
      </c>
      <c r="G55">
        <f>(L_I4!AP45-L_S1!AP45)*C55</f>
        <v/>
      </c>
      <c r="H55">
        <f>(L_I4!AR45-L_S1!AR45)*C55</f>
        <v/>
      </c>
      <c r="I55">
        <f>I54+E55</f>
        <v/>
      </c>
      <c r="J55">
        <f>J54+F55</f>
        <v/>
      </c>
      <c r="K55">
        <f>K54+G55</f>
        <v/>
      </c>
      <c r="L55">
        <f>MAX(L54,J55)</f>
        <v/>
      </c>
      <c r="M55">
        <f>IF(AND(B55&lt;x_H,J55&lt;=0,L54&gt;0),1,0)</f>
        <v/>
      </c>
      <c r="N55">
        <f>IF(AND(B55&lt;x_H,I55&lt;=0,O54&gt;0),1,0)</f>
        <v/>
      </c>
      <c r="O55">
        <f>MAX(O54,I55)</f>
        <v/>
      </c>
      <c r="P55">
        <f>(L_I4!U45-L_S1!U45)*D55</f>
        <v/>
      </c>
    </row>
    <row r="56">
      <c r="A56" t="n">
        <v>2069</v>
      </c>
      <c r="B56" t="n">
        <v>43</v>
      </c>
      <c r="C56">
        <f>IF(B56&lt;x_H,(1+x_dk)^(-B56),0)</f>
        <v/>
      </c>
      <c r="D56">
        <f>IF(B56&lt;x_H,(1+x_de)^(-B56),0)</f>
        <v/>
      </c>
      <c r="E56">
        <f>(L_I4!AN46-L_S1!AN46)*C56</f>
        <v/>
      </c>
      <c r="F56">
        <f>(L_I4!AO46-L_S1!AO46)*C56</f>
        <v/>
      </c>
      <c r="G56">
        <f>(L_I4!AP46-L_S1!AP46)*C56</f>
        <v/>
      </c>
      <c r="H56">
        <f>(L_I4!AR46-L_S1!AR46)*C56</f>
        <v/>
      </c>
      <c r="I56">
        <f>I55+E56</f>
        <v/>
      </c>
      <c r="J56">
        <f>J55+F56</f>
        <v/>
      </c>
      <c r="K56">
        <f>K55+G56</f>
        <v/>
      </c>
      <c r="L56">
        <f>MAX(L55,J56)</f>
        <v/>
      </c>
      <c r="M56">
        <f>IF(AND(B56&lt;x_H,J56&lt;=0,L55&gt;0),1,0)</f>
        <v/>
      </c>
      <c r="N56">
        <f>IF(AND(B56&lt;x_H,I56&lt;=0,O55&gt;0),1,0)</f>
        <v/>
      </c>
      <c r="O56">
        <f>MAX(O55,I56)</f>
        <v/>
      </c>
      <c r="P56">
        <f>(L_I4!U46-L_S1!U46)*D56</f>
        <v/>
      </c>
    </row>
    <row r="57">
      <c r="A57" t="n">
        <v>2070</v>
      </c>
      <c r="B57" t="n">
        <v>44</v>
      </c>
      <c r="C57">
        <f>IF(B57&lt;x_H,(1+x_dk)^(-B57),0)</f>
        <v/>
      </c>
      <c r="D57">
        <f>IF(B57&lt;x_H,(1+x_de)^(-B57),0)</f>
        <v/>
      </c>
      <c r="E57">
        <f>(L_I4!AN47-L_S1!AN47)*C57</f>
        <v/>
      </c>
      <c r="F57">
        <f>(L_I4!AO47-L_S1!AO47)*C57</f>
        <v/>
      </c>
      <c r="G57">
        <f>(L_I4!AP47-L_S1!AP47)*C57</f>
        <v/>
      </c>
      <c r="H57">
        <f>(L_I4!AR47-L_S1!AR47)*C57</f>
        <v/>
      </c>
      <c r="I57">
        <f>I56+E57</f>
        <v/>
      </c>
      <c r="J57">
        <f>J56+F57</f>
        <v/>
      </c>
      <c r="K57">
        <f>K56+G57</f>
        <v/>
      </c>
      <c r="L57">
        <f>MAX(L56,J57)</f>
        <v/>
      </c>
      <c r="M57">
        <f>IF(AND(B57&lt;x_H,J57&lt;=0,L56&gt;0),1,0)</f>
        <v/>
      </c>
      <c r="N57">
        <f>IF(AND(B57&lt;x_H,I57&lt;=0,O56&gt;0),1,0)</f>
        <v/>
      </c>
      <c r="O57">
        <f>MAX(O56,I57)</f>
        <v/>
      </c>
      <c r="P57">
        <f>(L_I4!U47-L_S1!U47)*D57</f>
        <v/>
      </c>
    </row>
    <row r="58">
      <c r="A58" t="n">
        <v>2071</v>
      </c>
      <c r="B58" t="n">
        <v>45</v>
      </c>
      <c r="C58">
        <f>IF(B58&lt;x_H,(1+x_dk)^(-B58),0)</f>
        <v/>
      </c>
      <c r="D58">
        <f>IF(B58&lt;x_H,(1+x_de)^(-B58),0)</f>
        <v/>
      </c>
      <c r="E58">
        <f>(L_I4!AN48-L_S1!AN48)*C58</f>
        <v/>
      </c>
      <c r="F58">
        <f>(L_I4!AO48-L_S1!AO48)*C58</f>
        <v/>
      </c>
      <c r="G58">
        <f>(L_I4!AP48-L_S1!AP48)*C58</f>
        <v/>
      </c>
      <c r="H58">
        <f>(L_I4!AR48-L_S1!AR48)*C58</f>
        <v/>
      </c>
      <c r="I58">
        <f>I57+E58</f>
        <v/>
      </c>
      <c r="J58">
        <f>J57+F58</f>
        <v/>
      </c>
      <c r="K58">
        <f>K57+G58</f>
        <v/>
      </c>
      <c r="L58">
        <f>MAX(L57,J58)</f>
        <v/>
      </c>
      <c r="M58">
        <f>IF(AND(B58&lt;x_H,J58&lt;=0,L57&gt;0),1,0)</f>
        <v/>
      </c>
      <c r="N58">
        <f>IF(AND(B58&lt;x_H,I58&lt;=0,O57&gt;0),1,0)</f>
        <v/>
      </c>
      <c r="O58">
        <f>MAX(O57,I58)</f>
        <v/>
      </c>
      <c r="P58">
        <f>(L_I4!U48-L_S1!U48)*D58</f>
        <v/>
      </c>
    </row>
    <row r="59">
      <c r="A59" t="n">
        <v>2072</v>
      </c>
      <c r="B59" t="n">
        <v>46</v>
      </c>
      <c r="C59">
        <f>IF(B59&lt;x_H,(1+x_dk)^(-B59),0)</f>
        <v/>
      </c>
      <c r="D59">
        <f>IF(B59&lt;x_H,(1+x_de)^(-B59),0)</f>
        <v/>
      </c>
      <c r="E59">
        <f>(L_I4!AN49-L_S1!AN49)*C59</f>
        <v/>
      </c>
      <c r="F59">
        <f>(L_I4!AO49-L_S1!AO49)*C59</f>
        <v/>
      </c>
      <c r="G59">
        <f>(L_I4!AP49-L_S1!AP49)*C59</f>
        <v/>
      </c>
      <c r="H59">
        <f>(L_I4!AR49-L_S1!AR49)*C59</f>
        <v/>
      </c>
      <c r="I59">
        <f>I58+E59</f>
        <v/>
      </c>
      <c r="J59">
        <f>J58+F59</f>
        <v/>
      </c>
      <c r="K59">
        <f>K58+G59</f>
        <v/>
      </c>
      <c r="L59">
        <f>MAX(L58,J59)</f>
        <v/>
      </c>
      <c r="M59">
        <f>IF(AND(B59&lt;x_H,J59&lt;=0,L58&gt;0),1,0)</f>
        <v/>
      </c>
      <c r="N59">
        <f>IF(AND(B59&lt;x_H,I59&lt;=0,O58&gt;0),1,0)</f>
        <v/>
      </c>
      <c r="O59">
        <f>MAX(O58,I59)</f>
        <v/>
      </c>
      <c r="P59">
        <f>(L_I4!U49-L_S1!U49)*D59</f>
        <v/>
      </c>
    </row>
    <row r="60">
      <c r="A60" t="n">
        <v>2073</v>
      </c>
      <c r="B60" t="n">
        <v>47</v>
      </c>
      <c r="C60">
        <f>IF(B60&lt;x_H,(1+x_dk)^(-B60),0)</f>
        <v/>
      </c>
      <c r="D60">
        <f>IF(B60&lt;x_H,(1+x_de)^(-B60),0)</f>
        <v/>
      </c>
      <c r="E60">
        <f>(L_I4!AN50-L_S1!AN50)*C60</f>
        <v/>
      </c>
      <c r="F60">
        <f>(L_I4!AO50-L_S1!AO50)*C60</f>
        <v/>
      </c>
      <c r="G60">
        <f>(L_I4!AP50-L_S1!AP50)*C60</f>
        <v/>
      </c>
      <c r="H60">
        <f>(L_I4!AR50-L_S1!AR50)*C60</f>
        <v/>
      </c>
      <c r="I60">
        <f>I59+E60</f>
        <v/>
      </c>
      <c r="J60">
        <f>J59+F60</f>
        <v/>
      </c>
      <c r="K60">
        <f>K59+G60</f>
        <v/>
      </c>
      <c r="L60">
        <f>MAX(L59,J60)</f>
        <v/>
      </c>
      <c r="M60">
        <f>IF(AND(B60&lt;x_H,J60&lt;=0,L59&gt;0),1,0)</f>
        <v/>
      </c>
      <c r="N60">
        <f>IF(AND(B60&lt;x_H,I60&lt;=0,O59&gt;0),1,0)</f>
        <v/>
      </c>
      <c r="O60">
        <f>MAX(O59,I60)</f>
        <v/>
      </c>
      <c r="P60">
        <f>(L_I4!U50-L_S1!U50)*D60</f>
        <v/>
      </c>
    </row>
    <row r="61">
      <c r="A61" t="n">
        <v>2074</v>
      </c>
      <c r="B61" t="n">
        <v>48</v>
      </c>
      <c r="C61">
        <f>IF(B61&lt;x_H,(1+x_dk)^(-B61),0)</f>
        <v/>
      </c>
      <c r="D61">
        <f>IF(B61&lt;x_H,(1+x_de)^(-B61),0)</f>
        <v/>
      </c>
      <c r="E61">
        <f>(L_I4!AN51-L_S1!AN51)*C61</f>
        <v/>
      </c>
      <c r="F61">
        <f>(L_I4!AO51-L_S1!AO51)*C61</f>
        <v/>
      </c>
      <c r="G61">
        <f>(L_I4!AP51-L_S1!AP51)*C61</f>
        <v/>
      </c>
      <c r="H61">
        <f>(L_I4!AR51-L_S1!AR51)*C61</f>
        <v/>
      </c>
      <c r="I61">
        <f>I60+E61</f>
        <v/>
      </c>
      <c r="J61">
        <f>J60+F61</f>
        <v/>
      </c>
      <c r="K61">
        <f>K60+G61</f>
        <v/>
      </c>
      <c r="L61">
        <f>MAX(L60,J61)</f>
        <v/>
      </c>
      <c r="M61">
        <f>IF(AND(B61&lt;x_H,J61&lt;=0,L60&gt;0),1,0)</f>
        <v/>
      </c>
      <c r="N61">
        <f>IF(AND(B61&lt;x_H,I61&lt;=0,O60&gt;0),1,0)</f>
        <v/>
      </c>
      <c r="O61">
        <f>MAX(O60,I61)</f>
        <v/>
      </c>
      <c r="P61">
        <f>(L_I4!U51-L_S1!U51)*D61</f>
        <v/>
      </c>
    </row>
    <row r="62">
      <c r="A62" t="n">
        <v>2075</v>
      </c>
      <c r="B62" t="n">
        <v>49</v>
      </c>
      <c r="C62">
        <f>IF(B62&lt;x_H,(1+x_dk)^(-B62),0)</f>
        <v/>
      </c>
      <c r="D62">
        <f>IF(B62&lt;x_H,(1+x_de)^(-B62),0)</f>
        <v/>
      </c>
      <c r="E62">
        <f>(L_I4!AN52-L_S1!AN52)*C62</f>
        <v/>
      </c>
      <c r="F62">
        <f>(L_I4!AO52-L_S1!AO52)*C62</f>
        <v/>
      </c>
      <c r="G62">
        <f>(L_I4!AP52-L_S1!AP52)*C62</f>
        <v/>
      </c>
      <c r="H62">
        <f>(L_I4!AR52-L_S1!AR52)*C62</f>
        <v/>
      </c>
      <c r="I62">
        <f>I61+E62</f>
        <v/>
      </c>
      <c r="J62">
        <f>J61+F62</f>
        <v/>
      </c>
      <c r="K62">
        <f>K61+G62</f>
        <v/>
      </c>
      <c r="L62">
        <f>MAX(L61,J62)</f>
        <v/>
      </c>
      <c r="M62">
        <f>IF(AND(B62&lt;x_H,J62&lt;=0,L61&gt;0),1,0)</f>
        <v/>
      </c>
      <c r="N62">
        <f>IF(AND(B62&lt;x_H,I62&lt;=0,O61&gt;0),1,0)</f>
        <v/>
      </c>
      <c r="O62">
        <f>MAX(O61,I62)</f>
        <v/>
      </c>
      <c r="P62">
        <f>(L_I4!U52-L_S1!U52)*D62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Monte Carlo: 2 000 losowań, ziarno 20261027; mediana [95% przedział]; wartości (nie formuły). SZACUNEK MODELU.</t>
        </is>
      </c>
    </row>
    <row r="2">
      <c r="A2" s="3" t="inlineStr">
        <is>
          <t>scenariusz</t>
        </is>
      </c>
      <c r="B2" s="3" t="inlineStr">
        <is>
          <t>horyzont</t>
        </is>
      </c>
      <c r="C2" s="3" t="inlineStr">
        <is>
          <t>perspektywa</t>
        </is>
      </c>
      <c r="D2" s="3" t="inlineStr">
        <is>
          <t>saldo mln zł mediana</t>
        </is>
      </c>
      <c r="E2" s="3" t="inlineStr">
        <is>
          <t>2,5%</t>
        </is>
      </c>
      <c r="F2" s="3" t="inlineStr">
        <is>
          <t>97,5%</t>
        </is>
      </c>
      <c r="G2" s="3" t="inlineStr">
        <is>
          <t>ROI mediana</t>
        </is>
      </c>
      <c r="H2" s="3" t="inlineStr">
        <is>
          <t>2,5%</t>
        </is>
      </c>
      <c r="I2" s="3" t="inlineStr">
        <is>
          <t>97,5%</t>
        </is>
      </c>
      <c r="J2" s="3" t="inlineStr">
        <is>
          <t>rok zwrotu mediana</t>
        </is>
      </c>
      <c r="K2" s="3" t="inlineStr">
        <is>
          <t>P(zwrot w horyzoncie)</t>
        </is>
      </c>
      <c r="L2" s="3" t="inlineStr">
        <is>
          <t>P(koszt-efektywne przy progu)</t>
        </is>
      </c>
      <c r="M2" s="3" t="inlineStr">
        <is>
          <t>uniknięte zgony mediana</t>
        </is>
      </c>
      <c r="N2" s="3" t="inlineStr">
        <is>
          <t>2,5%</t>
        </is>
      </c>
      <c r="O2" s="3" t="inlineStr">
        <is>
          <t>97,5%</t>
        </is>
      </c>
    </row>
    <row r="3">
      <c r="A3" t="inlineStr">
        <is>
          <t>I1</t>
        </is>
      </c>
      <c r="B3" t="n">
        <v>5</v>
      </c>
      <c r="C3" t="inlineStr">
        <is>
          <t>NFZ</t>
        </is>
      </c>
      <c r="D3" t="n">
        <v>411.1</v>
      </c>
      <c r="E3" t="n">
        <v>326.8</v>
      </c>
      <c r="F3" t="n">
        <v>528.9</v>
      </c>
      <c r="G3" t="n">
        <v>-1.06</v>
      </c>
      <c r="H3" t="n">
        <v>-1.079</v>
      </c>
      <c r="I3" t="n">
        <v>-1.044</v>
      </c>
      <c r="J3" t="inlineStr">
        <is>
          <t>brak</t>
        </is>
      </c>
      <c r="K3" t="n">
        <v>0</v>
      </c>
      <c r="L3" t="n">
        <v>0.006</v>
      </c>
      <c r="M3" t="n">
        <v>22</v>
      </c>
      <c r="N3" t="n">
        <v>13</v>
      </c>
      <c r="O3" t="n">
        <v>36</v>
      </c>
    </row>
    <row r="4">
      <c r="A4" t="inlineStr">
        <is>
          <t>I1</t>
        </is>
      </c>
      <c r="B4" t="n">
        <v>5</v>
      </c>
      <c r="C4" t="inlineStr">
        <is>
          <t>PUBLIC</t>
        </is>
      </c>
      <c r="D4" t="n">
        <v>428.3</v>
      </c>
      <c r="E4" t="n">
        <v>339.8</v>
      </c>
      <c r="F4" t="n">
        <v>550.8</v>
      </c>
      <c r="G4" t="n">
        <v>-1.089</v>
      </c>
      <c r="H4" t="n">
        <v>-1.118</v>
      </c>
      <c r="I4" t="n">
        <v>-1.065</v>
      </c>
      <c r="J4" t="inlineStr">
        <is>
          <t>brak</t>
        </is>
      </c>
      <c r="K4" t="n">
        <v>0</v>
      </c>
      <c r="L4" t="n">
        <v>0.003</v>
      </c>
      <c r="M4" t="n">
        <v>22</v>
      </c>
      <c r="N4" t="n">
        <v>13</v>
      </c>
      <c r="O4" t="n">
        <v>36</v>
      </c>
    </row>
    <row r="5">
      <c r="A5" t="inlineStr">
        <is>
          <t>I1</t>
        </is>
      </c>
      <c r="B5" t="n">
        <v>5</v>
      </c>
      <c r="C5" t="inlineStr">
        <is>
          <t>SOCIETAL</t>
        </is>
      </c>
      <c r="D5" t="n">
        <v>416.3</v>
      </c>
      <c r="E5" t="n">
        <v>331.9</v>
      </c>
      <c r="F5" t="n">
        <v>534.9</v>
      </c>
      <c r="G5" t="n">
        <v>-1.058</v>
      </c>
      <c r="H5" t="n">
        <v>-1.079</v>
      </c>
      <c r="I5" t="n">
        <v>-1.039</v>
      </c>
      <c r="J5" t="inlineStr">
        <is>
          <t>brak</t>
        </is>
      </c>
      <c r="K5" t="n">
        <v>0</v>
      </c>
      <c r="L5" t="n">
        <v>0.005</v>
      </c>
      <c r="M5" t="n">
        <v>22</v>
      </c>
      <c r="N5" t="n">
        <v>13</v>
      </c>
      <c r="O5" t="n">
        <v>36</v>
      </c>
    </row>
    <row r="6">
      <c r="A6" t="inlineStr">
        <is>
          <t>I1</t>
        </is>
      </c>
      <c r="B6" t="n">
        <v>5</v>
      </c>
      <c r="C6" t="inlineStr">
        <is>
          <t>NFZ_TX</t>
        </is>
      </c>
      <c r="D6" t="n">
        <v>233</v>
      </c>
      <c r="E6" t="n">
        <v>148.7</v>
      </c>
      <c r="F6" t="n">
        <v>350.8</v>
      </c>
      <c r="G6" t="n">
        <v>-1.112</v>
      </c>
      <c r="H6" t="n">
        <v>-1.149</v>
      </c>
      <c r="I6" t="n">
        <v>-1.082</v>
      </c>
      <c r="J6" t="inlineStr">
        <is>
          <t>brak</t>
        </is>
      </c>
      <c r="K6" t="n">
        <v>0</v>
      </c>
      <c r="L6" t="n">
        <v>0.964</v>
      </c>
      <c r="M6" t="n">
        <v>22</v>
      </c>
      <c r="N6" t="n">
        <v>13</v>
      </c>
      <c r="O6" t="n">
        <v>36</v>
      </c>
    </row>
    <row r="7">
      <c r="A7" t="inlineStr">
        <is>
          <t>I1</t>
        </is>
      </c>
      <c r="B7" t="n">
        <v>5</v>
      </c>
      <c r="C7" t="inlineStr">
        <is>
          <t>PUBLIC_TX</t>
        </is>
      </c>
      <c r="D7" t="n">
        <v>244.7</v>
      </c>
      <c r="E7" t="n">
        <v>156.1</v>
      </c>
      <c r="F7" t="n">
        <v>367.1</v>
      </c>
      <c r="G7" t="n">
        <v>-1.167</v>
      </c>
      <c r="H7" t="n">
        <v>-1.226</v>
      </c>
      <c r="I7" t="n">
        <v>-1.122</v>
      </c>
      <c r="J7" t="inlineStr">
        <is>
          <t>brak</t>
        </is>
      </c>
      <c r="K7" t="n">
        <v>0</v>
      </c>
      <c r="L7" t="n">
        <v>0.9360000000000001</v>
      </c>
      <c r="M7" t="n">
        <v>22</v>
      </c>
      <c r="N7" t="n">
        <v>13</v>
      </c>
      <c r="O7" t="n">
        <v>36</v>
      </c>
    </row>
    <row r="8">
      <c r="A8" t="inlineStr">
        <is>
          <t>I1</t>
        </is>
      </c>
      <c r="B8" t="n">
        <v>5</v>
      </c>
      <c r="C8" t="inlineStr">
        <is>
          <t>SOCIETAL_TX</t>
        </is>
      </c>
      <c r="D8" t="n">
        <v>232.7</v>
      </c>
      <c r="E8" t="n">
        <v>148.3</v>
      </c>
      <c r="F8" t="n">
        <v>351.2</v>
      </c>
      <c r="G8" t="n">
        <v>-1.109</v>
      </c>
      <c r="H8" t="n">
        <v>-1.15</v>
      </c>
      <c r="I8" t="n">
        <v>-1.074</v>
      </c>
      <c r="J8" t="inlineStr">
        <is>
          <t>brak</t>
        </is>
      </c>
      <c r="K8" t="n">
        <v>0</v>
      </c>
      <c r="L8" t="n">
        <v>0.965</v>
      </c>
      <c r="M8" t="n">
        <v>22</v>
      </c>
      <c r="N8" t="n">
        <v>13</v>
      </c>
      <c r="O8" t="n">
        <v>36</v>
      </c>
    </row>
    <row r="9">
      <c r="A9" t="inlineStr">
        <is>
          <t>I1</t>
        </is>
      </c>
      <c r="B9" t="n">
        <v>10</v>
      </c>
      <c r="C9" t="inlineStr">
        <is>
          <t>NFZ</t>
        </is>
      </c>
      <c r="D9" t="n">
        <v>779.1</v>
      </c>
      <c r="E9" t="n">
        <v>623.1</v>
      </c>
      <c r="F9" t="n">
        <v>991</v>
      </c>
      <c r="G9" t="n">
        <v>-1.041</v>
      </c>
      <c r="H9" t="n">
        <v>-1.068</v>
      </c>
      <c r="I9" t="n">
        <v>-1.015</v>
      </c>
      <c r="J9" t="inlineStr">
        <is>
          <t>brak</t>
        </is>
      </c>
      <c r="K9" t="n">
        <v>0</v>
      </c>
      <c r="L9" t="n">
        <v>0.992</v>
      </c>
      <c r="M9" t="n">
        <v>212</v>
      </c>
      <c r="N9" t="n">
        <v>132</v>
      </c>
      <c r="O9" t="n">
        <v>334</v>
      </c>
    </row>
    <row r="10">
      <c r="A10" t="inlineStr">
        <is>
          <t>I1</t>
        </is>
      </c>
      <c r="B10" t="n">
        <v>10</v>
      </c>
      <c r="C10" t="inlineStr">
        <is>
          <t>PUBLIC</t>
        </is>
      </c>
      <c r="D10" t="n">
        <v>781.6</v>
      </c>
      <c r="E10" t="n">
        <v>627.8</v>
      </c>
      <c r="F10" t="n">
        <v>992.7</v>
      </c>
      <c r="G10" t="n">
        <v>-1.031</v>
      </c>
      <c r="H10" t="n">
        <v>-1.072</v>
      </c>
      <c r="I10" t="n">
        <v>-0.99</v>
      </c>
      <c r="J10" t="inlineStr">
        <is>
          <t>brak</t>
        </is>
      </c>
      <c r="K10" t="n">
        <v>0</v>
      </c>
      <c r="L10" t="n">
        <v>0.99</v>
      </c>
      <c r="M10" t="n">
        <v>212</v>
      </c>
      <c r="N10" t="n">
        <v>132</v>
      </c>
      <c r="O10" t="n">
        <v>334</v>
      </c>
    </row>
    <row r="11">
      <c r="A11" t="inlineStr">
        <is>
          <t>I1</t>
        </is>
      </c>
      <c r="B11" t="n">
        <v>10</v>
      </c>
      <c r="C11" t="inlineStr">
        <is>
          <t>SOCIETAL</t>
        </is>
      </c>
      <c r="D11" t="n">
        <v>743.5</v>
      </c>
      <c r="E11" t="n">
        <v>602.6</v>
      </c>
      <c r="F11" t="n">
        <v>943.9</v>
      </c>
      <c r="G11" t="n">
        <v>-0.981</v>
      </c>
      <c r="H11" t="n">
        <v>-1.028</v>
      </c>
      <c r="I11" t="n">
        <v>-0.9330000000000001</v>
      </c>
      <c r="J11" t="inlineStr">
        <is>
          <t>brak</t>
        </is>
      </c>
      <c r="K11" t="n">
        <v>0</v>
      </c>
      <c r="L11" t="n">
        <v>0.995</v>
      </c>
      <c r="M11" t="n">
        <v>212</v>
      </c>
      <c r="N11" t="n">
        <v>132</v>
      </c>
      <c r="O11" t="n">
        <v>334</v>
      </c>
    </row>
    <row r="12">
      <c r="A12" t="inlineStr">
        <is>
          <t>I1</t>
        </is>
      </c>
      <c r="B12" t="n">
        <v>10</v>
      </c>
      <c r="C12" t="inlineStr">
        <is>
          <t>NFZ_TX</t>
        </is>
      </c>
      <c r="D12" t="n">
        <v>422.9</v>
      </c>
      <c r="E12" t="n">
        <v>267</v>
      </c>
      <c r="F12" t="n">
        <v>634.8</v>
      </c>
      <c r="G12" t="n">
        <v>-1.079</v>
      </c>
      <c r="H12" t="n">
        <v>-1.131</v>
      </c>
      <c r="I12" t="n">
        <v>-1.029</v>
      </c>
      <c r="J12" t="inlineStr">
        <is>
          <t>brak</t>
        </is>
      </c>
      <c r="K12" t="n">
        <v>0</v>
      </c>
      <c r="L12" t="n">
        <v>1</v>
      </c>
      <c r="M12" t="n">
        <v>212</v>
      </c>
      <c r="N12" t="n">
        <v>132</v>
      </c>
      <c r="O12" t="n">
        <v>334</v>
      </c>
    </row>
    <row r="13">
      <c r="A13" t="inlineStr">
        <is>
          <t>I1</t>
        </is>
      </c>
      <c r="B13" t="n">
        <v>10</v>
      </c>
      <c r="C13" t="inlineStr">
        <is>
          <t>PUBLIC_TX</t>
        </is>
      </c>
      <c r="D13" t="n">
        <v>415.5</v>
      </c>
      <c r="E13" t="n">
        <v>261.7</v>
      </c>
      <c r="F13" t="n">
        <v>626.6</v>
      </c>
      <c r="G13" t="n">
        <v>-1.06</v>
      </c>
      <c r="H13" t="n">
        <v>-1.139</v>
      </c>
      <c r="I13" t="n">
        <v>-0.981</v>
      </c>
      <c r="J13" t="inlineStr">
        <is>
          <t>brak</t>
        </is>
      </c>
      <c r="K13" t="n">
        <v>0</v>
      </c>
      <c r="L13" t="n">
        <v>1</v>
      </c>
      <c r="M13" t="n">
        <v>212</v>
      </c>
      <c r="N13" t="n">
        <v>132</v>
      </c>
      <c r="O13" t="n">
        <v>334</v>
      </c>
    </row>
    <row r="14">
      <c r="A14" t="inlineStr">
        <is>
          <t>I1</t>
        </is>
      </c>
      <c r="B14" t="n">
        <v>10</v>
      </c>
      <c r="C14" t="inlineStr">
        <is>
          <t>SOCIETAL_TX</t>
        </is>
      </c>
      <c r="D14" t="n">
        <v>377.4</v>
      </c>
      <c r="E14" t="n">
        <v>236.5</v>
      </c>
      <c r="F14" t="n">
        <v>577.8</v>
      </c>
      <c r="G14" t="n">
        <v>-0.964</v>
      </c>
      <c r="H14" t="n">
        <v>-1.058</v>
      </c>
      <c r="I14" t="n">
        <v>-0.865</v>
      </c>
      <c r="J14" t="inlineStr">
        <is>
          <t>brak</t>
        </is>
      </c>
      <c r="K14" t="n">
        <v>0</v>
      </c>
      <c r="L14" t="n">
        <v>1</v>
      </c>
      <c r="M14" t="n">
        <v>212</v>
      </c>
      <c r="N14" t="n">
        <v>132</v>
      </c>
      <c r="O14" t="n">
        <v>334</v>
      </c>
    </row>
    <row r="15">
      <c r="A15" t="inlineStr">
        <is>
          <t>I1</t>
        </is>
      </c>
      <c r="B15" t="n">
        <v>20</v>
      </c>
      <c r="C15" t="inlineStr">
        <is>
          <t>NFZ</t>
        </is>
      </c>
      <c r="D15" t="n">
        <v>690.1</v>
      </c>
      <c r="E15" t="n">
        <v>555.6</v>
      </c>
      <c r="F15" t="n">
        <v>887.7</v>
      </c>
      <c r="G15" t="n">
        <v>-0.926</v>
      </c>
      <c r="H15" t="n">
        <v>-0.994</v>
      </c>
      <c r="I15" t="n">
        <v>-0.842</v>
      </c>
      <c r="J15" t="inlineStr">
        <is>
          <t>brak</t>
        </is>
      </c>
      <c r="K15" t="n">
        <v>0</v>
      </c>
      <c r="L15" t="n">
        <v>1</v>
      </c>
      <c r="M15" t="n">
        <v>1266</v>
      </c>
      <c r="N15" t="n">
        <v>800</v>
      </c>
      <c r="O15" t="n">
        <v>1906</v>
      </c>
    </row>
    <row r="16">
      <c r="A16" t="inlineStr">
        <is>
          <t>I1</t>
        </is>
      </c>
      <c r="B16" t="n">
        <v>20</v>
      </c>
      <c r="C16" t="inlineStr">
        <is>
          <t>PUBLIC</t>
        </is>
      </c>
      <c r="D16" t="n">
        <v>602.1</v>
      </c>
      <c r="E16" t="n">
        <v>463.4</v>
      </c>
      <c r="F16" t="n">
        <v>794.8</v>
      </c>
      <c r="G16" t="n">
        <v>-0.803</v>
      </c>
      <c r="H16" t="n">
        <v>-0.915</v>
      </c>
      <c r="I16" t="n">
        <v>-0.63</v>
      </c>
      <c r="J16" t="inlineStr">
        <is>
          <t>brak</t>
        </is>
      </c>
      <c r="K16" t="n">
        <v>0</v>
      </c>
      <c r="L16" t="n">
        <v>1</v>
      </c>
      <c r="M16" t="n">
        <v>1266</v>
      </c>
      <c r="N16" t="n">
        <v>800</v>
      </c>
      <c r="O16" t="n">
        <v>1906</v>
      </c>
    </row>
    <row r="17">
      <c r="A17" t="inlineStr">
        <is>
          <t>I1</t>
        </is>
      </c>
      <c r="B17" t="n">
        <v>20</v>
      </c>
      <c r="C17" t="inlineStr">
        <is>
          <t>SOCIETAL</t>
        </is>
      </c>
      <c r="D17" t="n">
        <v>500.1</v>
      </c>
      <c r="E17" t="n">
        <v>311.5</v>
      </c>
      <c r="F17" t="n">
        <v>699.9</v>
      </c>
      <c r="G17" t="n">
        <v>-0.672</v>
      </c>
      <c r="H17" t="n">
        <v>-0.823</v>
      </c>
      <c r="I17" t="n">
        <v>-0.416</v>
      </c>
      <c r="J17" t="inlineStr">
        <is>
          <t>brak</t>
        </is>
      </c>
      <c r="K17" t="n">
        <v>0</v>
      </c>
      <c r="L17" t="n">
        <v>1</v>
      </c>
      <c r="M17" t="n">
        <v>1266</v>
      </c>
      <c r="N17" t="n">
        <v>800</v>
      </c>
      <c r="O17" t="n">
        <v>1906</v>
      </c>
    </row>
    <row r="18">
      <c r="A18" t="inlineStr">
        <is>
          <t>I1</t>
        </is>
      </c>
      <c r="B18" t="n">
        <v>20</v>
      </c>
      <c r="C18" t="inlineStr">
        <is>
          <t>NFZ_TX</t>
        </is>
      </c>
      <c r="D18" t="n">
        <v>333.9</v>
      </c>
      <c r="E18" t="n">
        <v>199.4</v>
      </c>
      <c r="F18" t="n">
        <v>531.5</v>
      </c>
      <c r="G18" t="n">
        <v>-0.857</v>
      </c>
      <c r="H18" t="n">
        <v>-0.988</v>
      </c>
      <c r="I18" t="n">
        <v>-0.696</v>
      </c>
      <c r="J18" t="inlineStr">
        <is>
          <t>brak</t>
        </is>
      </c>
      <c r="K18" t="n">
        <v>0</v>
      </c>
      <c r="L18" t="n">
        <v>1</v>
      </c>
      <c r="M18" t="n">
        <v>1266</v>
      </c>
      <c r="N18" t="n">
        <v>800</v>
      </c>
      <c r="O18" t="n">
        <v>1906</v>
      </c>
    </row>
    <row r="19">
      <c r="A19" t="inlineStr">
        <is>
          <t>I1</t>
        </is>
      </c>
      <c r="B19" t="n">
        <v>20</v>
      </c>
      <c r="C19" t="inlineStr">
        <is>
          <t>PUBLIC_TX</t>
        </is>
      </c>
      <c r="D19" t="n">
        <v>235.9</v>
      </c>
      <c r="E19" t="n">
        <v>97.3</v>
      </c>
      <c r="F19" t="n">
        <v>428.7</v>
      </c>
      <c r="G19" t="n">
        <v>-0.617</v>
      </c>
      <c r="H19" t="n">
        <v>-0.836</v>
      </c>
      <c r="I19" t="n">
        <v>-0.283</v>
      </c>
      <c r="J19" t="inlineStr">
        <is>
          <t>brak</t>
        </is>
      </c>
      <c r="K19" t="n">
        <v>0.001</v>
      </c>
      <c r="L19" t="n">
        <v>1</v>
      </c>
      <c r="M19" t="n">
        <v>1266</v>
      </c>
      <c r="N19" t="n">
        <v>800</v>
      </c>
      <c r="O19" t="n">
        <v>1906</v>
      </c>
    </row>
    <row r="20">
      <c r="A20" t="inlineStr">
        <is>
          <t>I1</t>
        </is>
      </c>
      <c r="B20" t="n">
        <v>20</v>
      </c>
      <c r="C20" t="inlineStr">
        <is>
          <t>SOCIETAL_TX</t>
        </is>
      </c>
      <c r="D20" t="n">
        <v>134</v>
      </c>
      <c r="E20" t="n">
        <v>-54.6</v>
      </c>
      <c r="F20" t="n">
        <v>333.8</v>
      </c>
      <c r="G20" t="n">
        <v>-0.361</v>
      </c>
      <c r="H20" t="n">
        <v>-0.655</v>
      </c>
      <c r="I20" t="n">
        <v>0.149</v>
      </c>
      <c r="J20" t="inlineStr">
        <is>
          <t>brak</t>
        </is>
      </c>
      <c r="K20" t="n">
        <v>0.068</v>
      </c>
      <c r="L20" t="n">
        <v>1</v>
      </c>
      <c r="M20" t="n">
        <v>1266</v>
      </c>
      <c r="N20" t="n">
        <v>800</v>
      </c>
      <c r="O20" t="n">
        <v>1906</v>
      </c>
    </row>
    <row r="21">
      <c r="A21" t="inlineStr">
        <is>
          <t>I1</t>
        </is>
      </c>
      <c r="B21" t="n">
        <v>50</v>
      </c>
      <c r="C21" t="inlineStr">
        <is>
          <t>NFZ</t>
        </is>
      </c>
      <c r="D21" t="n">
        <v>536.9</v>
      </c>
      <c r="E21" t="n">
        <v>407.6</v>
      </c>
      <c r="F21" t="n">
        <v>720.6</v>
      </c>
      <c r="G21" t="n">
        <v>-0.727</v>
      </c>
      <c r="H21" t="n">
        <v>-0.853</v>
      </c>
      <c r="I21" t="n">
        <v>-0.5679999999999999</v>
      </c>
      <c r="J21" t="inlineStr">
        <is>
          <t>brak</t>
        </is>
      </c>
      <c r="K21" t="n">
        <v>0</v>
      </c>
      <c r="L21" t="n">
        <v>1</v>
      </c>
      <c r="M21" t="n">
        <v>4373</v>
      </c>
      <c r="N21" t="n">
        <v>2744</v>
      </c>
      <c r="O21" t="n">
        <v>6465</v>
      </c>
    </row>
    <row r="22">
      <c r="A22" t="inlineStr">
        <is>
          <t>I1</t>
        </is>
      </c>
      <c r="B22" t="n">
        <v>50</v>
      </c>
      <c r="C22" t="inlineStr">
        <is>
          <t>PUBLIC</t>
        </is>
      </c>
      <c r="D22" t="n">
        <v>267.3</v>
      </c>
      <c r="E22" t="n">
        <v>19.6</v>
      </c>
      <c r="F22" t="n">
        <v>466.9</v>
      </c>
      <c r="G22" t="n">
        <v>-0.356</v>
      </c>
      <c r="H22" t="n">
        <v>-0.603</v>
      </c>
      <c r="I22" t="n">
        <v>-0.026</v>
      </c>
      <c r="J22" t="inlineStr">
        <is>
          <t>brak</t>
        </is>
      </c>
      <c r="K22" t="n">
        <v>0.018</v>
      </c>
      <c r="L22" t="n">
        <v>1</v>
      </c>
      <c r="M22" t="n">
        <v>4373</v>
      </c>
      <c r="N22" t="n">
        <v>2744</v>
      </c>
      <c r="O22" t="n">
        <v>6465</v>
      </c>
    </row>
    <row r="23">
      <c r="A23" t="inlineStr">
        <is>
          <t>I1</t>
        </is>
      </c>
      <c r="B23" t="n">
        <v>50</v>
      </c>
      <c r="C23" t="inlineStr">
        <is>
          <t>SOCIETAL</t>
        </is>
      </c>
      <c r="D23" t="n">
        <v>12.8</v>
      </c>
      <c r="E23" t="n">
        <v>-385.5</v>
      </c>
      <c r="F23" t="n">
        <v>278.3</v>
      </c>
      <c r="G23" t="n">
        <v>-0.017</v>
      </c>
      <c r="H23" t="n">
        <v>-0.369</v>
      </c>
      <c r="I23" t="n">
        <v>0.483</v>
      </c>
      <c r="J23" t="inlineStr">
        <is>
          <t>brak</t>
        </is>
      </c>
      <c r="K23" t="n">
        <v>0.469</v>
      </c>
      <c r="L23" t="n">
        <v>1</v>
      </c>
      <c r="M23" t="n">
        <v>4373</v>
      </c>
      <c r="N23" t="n">
        <v>2744</v>
      </c>
      <c r="O23" t="n">
        <v>6465</v>
      </c>
    </row>
    <row r="24">
      <c r="A24" t="inlineStr">
        <is>
          <t>I1</t>
        </is>
      </c>
      <c r="B24" t="n">
        <v>50</v>
      </c>
      <c r="C24" t="inlineStr">
        <is>
          <t>NFZ_TX</t>
        </is>
      </c>
      <c r="D24" t="n">
        <v>180.7</v>
      </c>
      <c r="E24" t="n">
        <v>51.4</v>
      </c>
      <c r="F24" t="n">
        <v>364.4</v>
      </c>
      <c r="G24" t="n">
        <v>-0.477</v>
      </c>
      <c r="H24" t="n">
        <v>-0.715</v>
      </c>
      <c r="I24" t="n">
        <v>-0.169</v>
      </c>
      <c r="J24" t="inlineStr">
        <is>
          <t>brak</t>
        </is>
      </c>
      <c r="K24" t="n">
        <v>0.004</v>
      </c>
      <c r="L24" t="n">
        <v>1</v>
      </c>
      <c r="M24" t="n">
        <v>4373</v>
      </c>
      <c r="N24" t="n">
        <v>2744</v>
      </c>
      <c r="O24" t="n">
        <v>6465</v>
      </c>
    </row>
    <row r="25">
      <c r="A25" t="inlineStr">
        <is>
          <t>I1</t>
        </is>
      </c>
      <c r="B25" t="n">
        <v>50</v>
      </c>
      <c r="C25" t="inlineStr">
        <is>
          <t>PUBLIC_TX</t>
        </is>
      </c>
      <c r="D25" t="n">
        <v>-98.8</v>
      </c>
      <c r="E25" t="n">
        <v>-346.5</v>
      </c>
      <c r="F25" t="n">
        <v>100.8</v>
      </c>
      <c r="G25" t="n">
        <v>0.258</v>
      </c>
      <c r="H25" t="n">
        <v>-0.224</v>
      </c>
      <c r="I25" t="n">
        <v>0.902</v>
      </c>
      <c r="J25" t="n">
        <v>2058</v>
      </c>
      <c r="K25" t="n">
        <v>0.824</v>
      </c>
      <c r="L25" t="n">
        <v>1</v>
      </c>
      <c r="M25" t="n">
        <v>4373</v>
      </c>
      <c r="N25" t="n">
        <v>2744</v>
      </c>
      <c r="O25" t="n">
        <v>6465</v>
      </c>
    </row>
    <row r="26">
      <c r="A26" t="inlineStr">
        <is>
          <t>I1</t>
        </is>
      </c>
      <c r="B26" t="n">
        <v>50</v>
      </c>
      <c r="C26" t="inlineStr">
        <is>
          <t>SOCIETAL_TX</t>
        </is>
      </c>
      <c r="D26" t="n">
        <v>-353.3</v>
      </c>
      <c r="E26" t="n">
        <v>-751.6</v>
      </c>
      <c r="F26" t="n">
        <v>-87.8</v>
      </c>
      <c r="G26" t="n">
        <v>0.916</v>
      </c>
      <c r="H26" t="n">
        <v>0.232</v>
      </c>
      <c r="I26" t="n">
        <v>1.892</v>
      </c>
      <c r="J26" t="n">
        <v>2051</v>
      </c>
      <c r="K26" t="n">
        <v>0.997</v>
      </c>
      <c r="L26" t="n">
        <v>1</v>
      </c>
      <c r="M26" t="n">
        <v>4373</v>
      </c>
      <c r="N26" t="n">
        <v>2744</v>
      </c>
      <c r="O26" t="n">
        <v>6465</v>
      </c>
    </row>
    <row r="27">
      <c r="A27" t="inlineStr">
        <is>
          <t>I2</t>
        </is>
      </c>
      <c r="B27" t="n">
        <v>5</v>
      </c>
      <c r="C27" t="inlineStr">
        <is>
          <t>NFZ</t>
        </is>
      </c>
      <c r="D27" t="n">
        <v>219.1</v>
      </c>
      <c r="E27" t="n">
        <v>204.2</v>
      </c>
      <c r="F27" t="n">
        <v>240.4</v>
      </c>
      <c r="G27" t="n">
        <v>-1.019</v>
      </c>
      <c r="H27" t="n">
        <v>-1.027</v>
      </c>
      <c r="I27" t="n">
        <v>-1.013</v>
      </c>
      <c r="J27" t="inlineStr">
        <is>
          <t>brak</t>
        </is>
      </c>
      <c r="K27" t="n">
        <v>0</v>
      </c>
      <c r="L27" t="n">
        <v>0</v>
      </c>
      <c r="M27" t="n">
        <v>4</v>
      </c>
      <c r="N27" t="n">
        <v>2</v>
      </c>
      <c r="O27" t="n">
        <v>6</v>
      </c>
    </row>
    <row r="28">
      <c r="A28" t="inlineStr">
        <is>
          <t>I2</t>
        </is>
      </c>
      <c r="B28" t="n">
        <v>5</v>
      </c>
      <c r="C28" t="inlineStr">
        <is>
          <t>PUBLIC</t>
        </is>
      </c>
      <c r="D28" t="n">
        <v>226.8</v>
      </c>
      <c r="E28" t="n">
        <v>211.1</v>
      </c>
      <c r="F28" t="n">
        <v>248.6</v>
      </c>
      <c r="G28" t="n">
        <v>-1.028</v>
      </c>
      <c r="H28" t="n">
        <v>-1.041</v>
      </c>
      <c r="I28" t="n">
        <v>-1.019</v>
      </c>
      <c r="J28" t="inlineStr">
        <is>
          <t>brak</t>
        </is>
      </c>
      <c r="K28" t="n">
        <v>0</v>
      </c>
      <c r="L28" t="n">
        <v>0</v>
      </c>
      <c r="M28" t="n">
        <v>4</v>
      </c>
      <c r="N28" t="n">
        <v>2</v>
      </c>
      <c r="O28" t="n">
        <v>6</v>
      </c>
    </row>
    <row r="29">
      <c r="A29" t="inlineStr">
        <is>
          <t>I2</t>
        </is>
      </c>
      <c r="B29" t="n">
        <v>5</v>
      </c>
      <c r="C29" t="inlineStr">
        <is>
          <t>SOCIETAL</t>
        </is>
      </c>
      <c r="D29" t="n">
        <v>224.7</v>
      </c>
      <c r="E29" t="n">
        <v>209.7</v>
      </c>
      <c r="F29" t="n">
        <v>245.9</v>
      </c>
      <c r="G29" t="n">
        <v>-1.019</v>
      </c>
      <c r="H29" t="n">
        <v>-1.027</v>
      </c>
      <c r="I29" t="n">
        <v>-1.012</v>
      </c>
      <c r="J29" t="inlineStr">
        <is>
          <t>brak</t>
        </is>
      </c>
      <c r="K29" t="n">
        <v>0</v>
      </c>
      <c r="L29" t="n">
        <v>0</v>
      </c>
      <c r="M29" t="n">
        <v>4</v>
      </c>
      <c r="N29" t="n">
        <v>2</v>
      </c>
      <c r="O29" t="n">
        <v>6</v>
      </c>
    </row>
    <row r="30">
      <c r="A30" t="inlineStr">
        <is>
          <t>I2</t>
        </is>
      </c>
      <c r="B30" t="n">
        <v>5</v>
      </c>
      <c r="C30" t="inlineStr">
        <is>
          <t>NFZ_TX</t>
        </is>
      </c>
      <c r="D30" t="n">
        <v>41</v>
      </c>
      <c r="E30" t="n">
        <v>26.1</v>
      </c>
      <c r="F30" t="n">
        <v>62.3</v>
      </c>
      <c r="G30" t="n">
        <v>-1.113</v>
      </c>
      <c r="H30" t="n">
        <v>-1.15</v>
      </c>
      <c r="I30" t="n">
        <v>-1.083</v>
      </c>
      <c r="J30" t="inlineStr">
        <is>
          <t>brak</t>
        </is>
      </c>
      <c r="K30" t="n">
        <v>0</v>
      </c>
      <c r="L30" t="n">
        <v>0.963</v>
      </c>
      <c r="M30" t="n">
        <v>4</v>
      </c>
      <c r="N30" t="n">
        <v>2</v>
      </c>
      <c r="O30" t="n">
        <v>6</v>
      </c>
    </row>
    <row r="31">
      <c r="A31" t="inlineStr">
        <is>
          <t>I2</t>
        </is>
      </c>
      <c r="B31" t="n">
        <v>5</v>
      </c>
      <c r="C31" t="inlineStr">
        <is>
          <t>PUBLIC_TX</t>
        </is>
      </c>
      <c r="D31" t="n">
        <v>43.2</v>
      </c>
      <c r="E31" t="n">
        <v>27.4</v>
      </c>
      <c r="F31" t="n">
        <v>65</v>
      </c>
      <c r="G31" t="n">
        <v>-1.17</v>
      </c>
      <c r="H31" t="n">
        <v>-1.229</v>
      </c>
      <c r="I31" t="n">
        <v>-1.124</v>
      </c>
      <c r="J31" t="inlineStr">
        <is>
          <t>brak</t>
        </is>
      </c>
      <c r="K31" t="n">
        <v>0</v>
      </c>
      <c r="L31" t="n">
        <v>0.9320000000000001</v>
      </c>
      <c r="M31" t="n">
        <v>4</v>
      </c>
      <c r="N31" t="n">
        <v>2</v>
      </c>
      <c r="O31" t="n">
        <v>6</v>
      </c>
    </row>
    <row r="32">
      <c r="A32" t="inlineStr">
        <is>
          <t>I2</t>
        </is>
      </c>
      <c r="B32" t="n">
        <v>5</v>
      </c>
      <c r="C32" t="inlineStr">
        <is>
          <t>SOCIETAL_TX</t>
        </is>
      </c>
      <c r="D32" t="n">
        <v>41.1</v>
      </c>
      <c r="E32" t="n">
        <v>26</v>
      </c>
      <c r="F32" t="n">
        <v>62.2</v>
      </c>
      <c r="G32" t="n">
        <v>-1.111</v>
      </c>
      <c r="H32" t="n">
        <v>-1.152</v>
      </c>
      <c r="I32" t="n">
        <v>-1.075</v>
      </c>
      <c r="J32" t="inlineStr">
        <is>
          <t>brak</t>
        </is>
      </c>
      <c r="K32" t="n">
        <v>0</v>
      </c>
      <c r="L32" t="n">
        <v>0.961</v>
      </c>
      <c r="M32" t="n">
        <v>4</v>
      </c>
      <c r="N32" t="n">
        <v>2</v>
      </c>
      <c r="O32" t="n">
        <v>6</v>
      </c>
    </row>
    <row r="33">
      <c r="A33" t="inlineStr">
        <is>
          <t>I2</t>
        </is>
      </c>
      <c r="B33" t="n">
        <v>10</v>
      </c>
      <c r="C33" t="inlineStr">
        <is>
          <t>NFZ</t>
        </is>
      </c>
      <c r="D33" t="n">
        <v>432.4</v>
      </c>
      <c r="E33" t="n">
        <v>403.8</v>
      </c>
      <c r="F33" t="n">
        <v>472.5</v>
      </c>
      <c r="G33" t="n">
        <v>-1.013</v>
      </c>
      <c r="H33" t="n">
        <v>-1.023</v>
      </c>
      <c r="I33" t="n">
        <v>-1.005</v>
      </c>
      <c r="J33" t="inlineStr">
        <is>
          <t>brak</t>
        </is>
      </c>
      <c r="K33" t="n">
        <v>0</v>
      </c>
      <c r="L33" t="n">
        <v>0</v>
      </c>
      <c r="M33" t="n">
        <v>38</v>
      </c>
      <c r="N33" t="n">
        <v>23</v>
      </c>
      <c r="O33" t="n">
        <v>60</v>
      </c>
    </row>
    <row r="34">
      <c r="A34" t="inlineStr">
        <is>
          <t>I2</t>
        </is>
      </c>
      <c r="B34" t="n">
        <v>10</v>
      </c>
      <c r="C34" t="inlineStr">
        <is>
          <t>PUBLIC</t>
        </is>
      </c>
      <c r="D34" t="n">
        <v>441.2</v>
      </c>
      <c r="E34" t="n">
        <v>412.9</v>
      </c>
      <c r="F34" t="n">
        <v>481</v>
      </c>
      <c r="G34" t="n">
        <v>-1.01</v>
      </c>
      <c r="H34" t="n">
        <v>-1.024</v>
      </c>
      <c r="I34" t="n">
        <v>-0.998</v>
      </c>
      <c r="J34" t="inlineStr">
        <is>
          <t>brak</t>
        </is>
      </c>
      <c r="K34" t="n">
        <v>0</v>
      </c>
      <c r="L34" t="n">
        <v>0</v>
      </c>
      <c r="M34" t="n">
        <v>38</v>
      </c>
      <c r="N34" t="n">
        <v>23</v>
      </c>
      <c r="O34" t="n">
        <v>60</v>
      </c>
    </row>
    <row r="35">
      <c r="A35" t="inlineStr">
        <is>
          <t>I2</t>
        </is>
      </c>
      <c r="B35" t="n">
        <v>10</v>
      </c>
      <c r="C35" t="inlineStr">
        <is>
          <t>SOCIETAL</t>
        </is>
      </c>
      <c r="D35" t="n">
        <v>434.4</v>
      </c>
      <c r="E35" t="n">
        <v>408.5</v>
      </c>
      <c r="F35" t="n">
        <v>472.1</v>
      </c>
      <c r="G35" t="n">
        <v>-0.995</v>
      </c>
      <c r="H35" t="n">
        <v>-1.01</v>
      </c>
      <c r="I35" t="n">
        <v>-0.98</v>
      </c>
      <c r="J35" t="inlineStr">
        <is>
          <t>brak</t>
        </is>
      </c>
      <c r="K35" t="n">
        <v>0</v>
      </c>
      <c r="L35" t="n">
        <v>0</v>
      </c>
      <c r="M35" t="n">
        <v>38</v>
      </c>
      <c r="N35" t="n">
        <v>23</v>
      </c>
      <c r="O35" t="n">
        <v>60</v>
      </c>
    </row>
    <row r="36">
      <c r="A36" t="inlineStr">
        <is>
          <t>I2</t>
        </is>
      </c>
      <c r="B36" t="n">
        <v>10</v>
      </c>
      <c r="C36" t="inlineStr">
        <is>
          <t>NFZ_TX</t>
        </is>
      </c>
      <c r="D36" t="n">
        <v>76.3</v>
      </c>
      <c r="E36" t="n">
        <v>47.6</v>
      </c>
      <c r="F36" t="n">
        <v>116.3</v>
      </c>
      <c r="G36" t="n">
        <v>-1.08</v>
      </c>
      <c r="H36" t="n">
        <v>-1.132</v>
      </c>
      <c r="I36" t="n">
        <v>-1.031</v>
      </c>
      <c r="J36" t="inlineStr">
        <is>
          <t>brak</t>
        </is>
      </c>
      <c r="K36" t="n">
        <v>0</v>
      </c>
      <c r="L36" t="n">
        <v>1</v>
      </c>
      <c r="M36" t="n">
        <v>38</v>
      </c>
      <c r="N36" t="n">
        <v>23</v>
      </c>
      <c r="O36" t="n">
        <v>60</v>
      </c>
    </row>
    <row r="37">
      <c r="A37" t="inlineStr">
        <is>
          <t>I2</t>
        </is>
      </c>
      <c r="B37" t="n">
        <v>10</v>
      </c>
      <c r="C37" t="inlineStr">
        <is>
          <t>PUBLIC_TX</t>
        </is>
      </c>
      <c r="D37" t="n">
        <v>75.09999999999999</v>
      </c>
      <c r="E37" t="n">
        <v>46.8</v>
      </c>
      <c r="F37" t="n">
        <v>114.9</v>
      </c>
      <c r="G37" t="n">
        <v>-1.064</v>
      </c>
      <c r="H37" t="n">
        <v>-1.144</v>
      </c>
      <c r="I37" t="n">
        <v>-0.987</v>
      </c>
      <c r="J37" t="inlineStr">
        <is>
          <t>brak</t>
        </is>
      </c>
      <c r="K37" t="n">
        <v>0</v>
      </c>
      <c r="L37" t="n">
        <v>1</v>
      </c>
      <c r="M37" t="n">
        <v>38</v>
      </c>
      <c r="N37" t="n">
        <v>23</v>
      </c>
      <c r="O37" t="n">
        <v>60</v>
      </c>
    </row>
    <row r="38">
      <c r="A38" t="inlineStr">
        <is>
          <t>I2</t>
        </is>
      </c>
      <c r="B38" t="n">
        <v>10</v>
      </c>
      <c r="C38" t="inlineStr">
        <is>
          <t>SOCIETAL_TX</t>
        </is>
      </c>
      <c r="D38" t="n">
        <v>68.3</v>
      </c>
      <c r="E38" t="n">
        <v>42.4</v>
      </c>
      <c r="F38" t="n">
        <v>106</v>
      </c>
      <c r="G38" t="n">
        <v>-0.968</v>
      </c>
      <c r="H38" t="n">
        <v>-1.061</v>
      </c>
      <c r="I38" t="n">
        <v>-0.871</v>
      </c>
      <c r="J38" t="inlineStr">
        <is>
          <t>brak</t>
        </is>
      </c>
      <c r="K38" t="n">
        <v>0</v>
      </c>
      <c r="L38" t="n">
        <v>1</v>
      </c>
      <c r="M38" t="n">
        <v>38</v>
      </c>
      <c r="N38" t="n">
        <v>23</v>
      </c>
      <c r="O38" t="n">
        <v>60</v>
      </c>
    </row>
    <row r="39">
      <c r="A39" t="inlineStr">
        <is>
          <t>I2</t>
        </is>
      </c>
      <c r="B39" t="n">
        <v>20</v>
      </c>
      <c r="C39" t="inlineStr">
        <is>
          <t>NFZ</t>
        </is>
      </c>
      <c r="D39" t="n">
        <v>416.5</v>
      </c>
      <c r="E39" t="n">
        <v>391.6</v>
      </c>
      <c r="F39" t="n">
        <v>453.2</v>
      </c>
      <c r="G39" t="n">
        <v>-0.977</v>
      </c>
      <c r="H39" t="n">
        <v>-0.998</v>
      </c>
      <c r="I39" t="n">
        <v>-0.947</v>
      </c>
      <c r="J39" t="inlineStr">
        <is>
          <t>brak</t>
        </is>
      </c>
      <c r="K39" t="n">
        <v>0</v>
      </c>
      <c r="L39" t="n">
        <v>0.961</v>
      </c>
      <c r="M39" t="n">
        <v>229</v>
      </c>
      <c r="N39" t="n">
        <v>143</v>
      </c>
      <c r="O39" t="n">
        <v>349</v>
      </c>
    </row>
    <row r="40">
      <c r="A40" t="inlineStr">
        <is>
          <t>I2</t>
        </is>
      </c>
      <c r="B40" t="n">
        <v>20</v>
      </c>
      <c r="C40" t="inlineStr">
        <is>
          <t>PUBLIC</t>
        </is>
      </c>
      <c r="D40" t="n">
        <v>408.8</v>
      </c>
      <c r="E40" t="n">
        <v>383.7</v>
      </c>
      <c r="F40" t="n">
        <v>444.5</v>
      </c>
      <c r="G40" t="n">
        <v>-0.9389999999999999</v>
      </c>
      <c r="H40" t="n">
        <v>-0.975</v>
      </c>
      <c r="I40" t="n">
        <v>-0.881</v>
      </c>
      <c r="J40" t="inlineStr">
        <is>
          <t>brak</t>
        </is>
      </c>
      <c r="K40" t="n">
        <v>0</v>
      </c>
      <c r="L40" t="n">
        <v>0.962</v>
      </c>
      <c r="M40" t="n">
        <v>229</v>
      </c>
      <c r="N40" t="n">
        <v>143</v>
      </c>
      <c r="O40" t="n">
        <v>349</v>
      </c>
    </row>
    <row r="41">
      <c r="A41" t="inlineStr">
        <is>
          <t>I2</t>
        </is>
      </c>
      <c r="B41" t="n">
        <v>20</v>
      </c>
      <c r="C41" t="inlineStr">
        <is>
          <t>SOCIETAL</t>
        </is>
      </c>
      <c r="D41" t="n">
        <v>390.5</v>
      </c>
      <c r="E41" t="n">
        <v>356.5</v>
      </c>
      <c r="F41" t="n">
        <v>426.9</v>
      </c>
      <c r="G41" t="n">
        <v>-0.897</v>
      </c>
      <c r="H41" t="n">
        <v>-0.948</v>
      </c>
      <c r="I41" t="n">
        <v>-0.8129999999999999</v>
      </c>
      <c r="J41" t="inlineStr">
        <is>
          <t>brak</t>
        </is>
      </c>
      <c r="K41" t="n">
        <v>0</v>
      </c>
      <c r="L41" t="n">
        <v>0.971</v>
      </c>
      <c r="M41" t="n">
        <v>229</v>
      </c>
      <c r="N41" t="n">
        <v>143</v>
      </c>
      <c r="O41" t="n">
        <v>349</v>
      </c>
    </row>
    <row r="42">
      <c r="A42" t="inlineStr">
        <is>
          <t>I2</t>
        </is>
      </c>
      <c r="B42" t="n">
        <v>20</v>
      </c>
      <c r="C42" t="inlineStr">
        <is>
          <t>NFZ_TX</t>
        </is>
      </c>
      <c r="D42" t="n">
        <v>60.3</v>
      </c>
      <c r="E42" t="n">
        <v>35.4</v>
      </c>
      <c r="F42" t="n">
        <v>97</v>
      </c>
      <c r="G42" t="n">
        <v>-0.857</v>
      </c>
      <c r="H42" t="n">
        <v>-0.988</v>
      </c>
      <c r="I42" t="n">
        <v>-0.696</v>
      </c>
      <c r="J42" t="inlineStr">
        <is>
          <t>brak</t>
        </is>
      </c>
      <c r="K42" t="n">
        <v>0</v>
      </c>
      <c r="L42" t="n">
        <v>1</v>
      </c>
      <c r="M42" t="n">
        <v>229</v>
      </c>
      <c r="N42" t="n">
        <v>143</v>
      </c>
      <c r="O42" t="n">
        <v>349</v>
      </c>
    </row>
    <row r="43">
      <c r="A43" t="inlineStr">
        <is>
          <t>I2</t>
        </is>
      </c>
      <c r="B43" t="n">
        <v>20</v>
      </c>
      <c r="C43" t="inlineStr">
        <is>
          <t>PUBLIC_TX</t>
        </is>
      </c>
      <c r="D43" t="n">
        <v>42.7</v>
      </c>
      <c r="E43" t="n">
        <v>17.6</v>
      </c>
      <c r="F43" t="n">
        <v>78.40000000000001</v>
      </c>
      <c r="G43" t="n">
        <v>-0.62</v>
      </c>
      <c r="H43" t="n">
        <v>-0.839</v>
      </c>
      <c r="I43" t="n">
        <v>-0.285</v>
      </c>
      <c r="J43" t="inlineStr">
        <is>
          <t>brak</t>
        </is>
      </c>
      <c r="K43" t="n">
        <v>0.001</v>
      </c>
      <c r="L43" t="n">
        <v>1</v>
      </c>
      <c r="M43" t="n">
        <v>229</v>
      </c>
      <c r="N43" t="n">
        <v>143</v>
      </c>
      <c r="O43" t="n">
        <v>349</v>
      </c>
    </row>
    <row r="44">
      <c r="A44" t="inlineStr">
        <is>
          <t>I2</t>
        </is>
      </c>
      <c r="B44" t="n">
        <v>20</v>
      </c>
      <c r="C44" t="inlineStr">
        <is>
          <t>SOCIETAL_TX</t>
        </is>
      </c>
      <c r="D44" t="n">
        <v>24.4</v>
      </c>
      <c r="E44" t="n">
        <v>-9.6</v>
      </c>
      <c r="F44" t="n">
        <v>60.8</v>
      </c>
      <c r="G44" t="n">
        <v>-0.364</v>
      </c>
      <c r="H44" t="n">
        <v>-0.658</v>
      </c>
      <c r="I44" t="n">
        <v>0.145</v>
      </c>
      <c r="J44" t="inlineStr">
        <is>
          <t>brak</t>
        </is>
      </c>
      <c r="K44" t="n">
        <v>0.065</v>
      </c>
      <c r="L44" t="n">
        <v>1</v>
      </c>
      <c r="M44" t="n">
        <v>229</v>
      </c>
      <c r="N44" t="n">
        <v>143</v>
      </c>
      <c r="O44" t="n">
        <v>349</v>
      </c>
    </row>
    <row r="45">
      <c r="A45" t="inlineStr">
        <is>
          <t>I2</t>
        </is>
      </c>
      <c r="B45" t="n">
        <v>50</v>
      </c>
      <c r="C45" t="inlineStr">
        <is>
          <t>NFZ</t>
        </is>
      </c>
      <c r="D45" t="n">
        <v>388.2</v>
      </c>
      <c r="E45" t="n">
        <v>365</v>
      </c>
      <c r="F45" t="n">
        <v>422</v>
      </c>
      <c r="G45" t="n">
        <v>-0.913</v>
      </c>
      <c r="H45" t="n">
        <v>-0.954</v>
      </c>
      <c r="I45" t="n">
        <v>-0.853</v>
      </c>
      <c r="J45" t="inlineStr">
        <is>
          <t>brak</t>
        </is>
      </c>
      <c r="K45" t="n">
        <v>0</v>
      </c>
      <c r="L45" t="n">
        <v>1</v>
      </c>
      <c r="M45" t="n">
        <v>796</v>
      </c>
      <c r="N45" t="n">
        <v>492</v>
      </c>
      <c r="O45" t="n">
        <v>1197</v>
      </c>
    </row>
    <row r="46">
      <c r="A46" t="inlineStr">
        <is>
          <t>I2</t>
        </is>
      </c>
      <c r="B46" t="n">
        <v>50</v>
      </c>
      <c r="C46" t="inlineStr">
        <is>
          <t>PUBLIC</t>
        </is>
      </c>
      <c r="D46" t="n">
        <v>348</v>
      </c>
      <c r="E46" t="n">
        <v>302.7</v>
      </c>
      <c r="F46" t="n">
        <v>384.1</v>
      </c>
      <c r="G46" t="n">
        <v>-0.798</v>
      </c>
      <c r="H46" t="n">
        <v>-0.883</v>
      </c>
      <c r="I46" t="n">
        <v>-0.676</v>
      </c>
      <c r="J46" t="inlineStr">
        <is>
          <t>brak</t>
        </is>
      </c>
      <c r="K46" t="n">
        <v>0</v>
      </c>
      <c r="L46" t="n">
        <v>1</v>
      </c>
      <c r="M46" t="n">
        <v>796</v>
      </c>
      <c r="N46" t="n">
        <v>492</v>
      </c>
      <c r="O46" t="n">
        <v>1197</v>
      </c>
    </row>
    <row r="47">
      <c r="A47" t="inlineStr">
        <is>
          <t>I2</t>
        </is>
      </c>
      <c r="B47" t="n">
        <v>50</v>
      </c>
      <c r="C47" t="inlineStr">
        <is>
          <t>SOCIETAL</t>
        </is>
      </c>
      <c r="D47" t="n">
        <v>302</v>
      </c>
      <c r="E47" t="n">
        <v>228.8</v>
      </c>
      <c r="F47" t="n">
        <v>350.2</v>
      </c>
      <c r="G47" t="n">
        <v>-0.6899999999999999</v>
      </c>
      <c r="H47" t="n">
        <v>-0.8179999999999999</v>
      </c>
      <c r="I47" t="n">
        <v>-0.511</v>
      </c>
      <c r="J47" t="inlineStr">
        <is>
          <t>brak</t>
        </is>
      </c>
      <c r="K47" t="n">
        <v>0</v>
      </c>
      <c r="L47" t="n">
        <v>1</v>
      </c>
      <c r="M47" t="n">
        <v>796</v>
      </c>
      <c r="N47" t="n">
        <v>492</v>
      </c>
      <c r="O47" t="n">
        <v>1197</v>
      </c>
    </row>
    <row r="48">
      <c r="A48" t="inlineStr">
        <is>
          <t>I2</t>
        </is>
      </c>
      <c r="B48" t="n">
        <v>50</v>
      </c>
      <c r="C48" t="inlineStr">
        <is>
          <t>NFZ_TX</t>
        </is>
      </c>
      <c r="D48" t="n">
        <v>32</v>
      </c>
      <c r="E48" t="n">
        <v>8.800000000000001</v>
      </c>
      <c r="F48" t="n">
        <v>65.8</v>
      </c>
      <c r="G48" t="n">
        <v>-0.471</v>
      </c>
      <c r="H48" t="n">
        <v>-0.71</v>
      </c>
      <c r="I48" t="n">
        <v>-0.162</v>
      </c>
      <c r="J48" t="inlineStr">
        <is>
          <t>brak</t>
        </is>
      </c>
      <c r="K48" t="n">
        <v>0.004</v>
      </c>
      <c r="L48" t="n">
        <v>1</v>
      </c>
      <c r="M48" t="n">
        <v>796</v>
      </c>
      <c r="N48" t="n">
        <v>492</v>
      </c>
      <c r="O48" t="n">
        <v>1197</v>
      </c>
    </row>
    <row r="49">
      <c r="A49" t="inlineStr">
        <is>
          <t>I2</t>
        </is>
      </c>
      <c r="B49" t="n">
        <v>50</v>
      </c>
      <c r="C49" t="inlineStr">
        <is>
          <t>PUBLIC_TX</t>
        </is>
      </c>
      <c r="D49" t="n">
        <v>-18.1</v>
      </c>
      <c r="E49" t="n">
        <v>-63.4</v>
      </c>
      <c r="F49" t="n">
        <v>18</v>
      </c>
      <c r="G49" t="n">
        <v>0.263</v>
      </c>
      <c r="H49" t="n">
        <v>-0.22</v>
      </c>
      <c r="I49" t="n">
        <v>0.91</v>
      </c>
      <c r="J49" t="n">
        <v>2058</v>
      </c>
      <c r="K49" t="n">
        <v>0.828</v>
      </c>
      <c r="L49" t="n">
        <v>1</v>
      </c>
      <c r="M49" t="n">
        <v>796</v>
      </c>
      <c r="N49" t="n">
        <v>492</v>
      </c>
      <c r="O49" t="n">
        <v>1197</v>
      </c>
    </row>
    <row r="50">
      <c r="A50" t="inlineStr">
        <is>
          <t>I2</t>
        </is>
      </c>
      <c r="B50" t="n">
        <v>50</v>
      </c>
      <c r="C50" t="inlineStr">
        <is>
          <t>SOCIETAL_TX</t>
        </is>
      </c>
      <c r="D50" t="n">
        <v>-64.09999999999999</v>
      </c>
      <c r="E50" t="n">
        <v>-137.3</v>
      </c>
      <c r="F50" t="n">
        <v>-15.9</v>
      </c>
      <c r="G50" t="n">
        <v>0.921</v>
      </c>
      <c r="H50" t="n">
        <v>0.234</v>
      </c>
      <c r="I50" t="n">
        <v>1.904</v>
      </c>
      <c r="J50" t="n">
        <v>2051</v>
      </c>
      <c r="K50" t="n">
        <v>0.997</v>
      </c>
      <c r="L50" t="n">
        <v>1</v>
      </c>
      <c r="M50" t="n">
        <v>796</v>
      </c>
      <c r="N50" t="n">
        <v>492</v>
      </c>
      <c r="O50" t="n">
        <v>1197</v>
      </c>
    </row>
    <row r="51">
      <c r="A51" t="inlineStr">
        <is>
          <t>I3</t>
        </is>
      </c>
      <c r="B51" t="n">
        <v>5</v>
      </c>
      <c r="C51" t="inlineStr">
        <is>
          <t>NFZ</t>
        </is>
      </c>
      <c r="D51" t="n">
        <v>118.9</v>
      </c>
      <c r="E51" t="n">
        <v>75.2</v>
      </c>
      <c r="F51" t="n">
        <v>180.8</v>
      </c>
      <c r="G51" t="n">
        <v>-1.099</v>
      </c>
      <c r="H51" t="n">
        <v>-1.133</v>
      </c>
      <c r="I51" t="n">
        <v>-1.071</v>
      </c>
      <c r="J51" t="inlineStr">
        <is>
          <t>brak</t>
        </is>
      </c>
      <c r="K51" t="n">
        <v>0</v>
      </c>
      <c r="L51" t="n">
        <v>1</v>
      </c>
      <c r="M51" t="n">
        <v>13</v>
      </c>
      <c r="N51" t="n">
        <v>8</v>
      </c>
      <c r="O51" t="n">
        <v>21</v>
      </c>
    </row>
    <row r="52">
      <c r="A52" t="inlineStr">
        <is>
          <t>I3</t>
        </is>
      </c>
      <c r="B52" t="n">
        <v>5</v>
      </c>
      <c r="C52" t="inlineStr">
        <is>
          <t>PUBLIC</t>
        </is>
      </c>
      <c r="D52" t="n">
        <v>131.1</v>
      </c>
      <c r="E52" t="n">
        <v>85.8</v>
      </c>
      <c r="F52" t="n">
        <v>194.5</v>
      </c>
      <c r="G52" t="n">
        <v>-1.135</v>
      </c>
      <c r="H52" t="n">
        <v>-1.183</v>
      </c>
      <c r="I52" t="n">
        <v>-1.096</v>
      </c>
      <c r="J52" t="inlineStr">
        <is>
          <t>brak</t>
        </is>
      </c>
      <c r="K52" t="n">
        <v>0</v>
      </c>
      <c r="L52" t="n">
        <v>1</v>
      </c>
      <c r="M52" t="n">
        <v>13</v>
      </c>
      <c r="N52" t="n">
        <v>8</v>
      </c>
      <c r="O52" t="n">
        <v>21</v>
      </c>
    </row>
    <row r="53">
      <c r="A53" t="inlineStr">
        <is>
          <t>I3</t>
        </is>
      </c>
      <c r="B53" t="n">
        <v>5</v>
      </c>
      <c r="C53" t="inlineStr">
        <is>
          <t>SOCIETAL</t>
        </is>
      </c>
      <c r="D53" t="n">
        <v>125.1</v>
      </c>
      <c r="E53" t="n">
        <v>81.5</v>
      </c>
      <c r="F53" t="n">
        <v>186.9</v>
      </c>
      <c r="G53" t="n">
        <v>-1.082</v>
      </c>
      <c r="H53" t="n">
        <v>-1.117</v>
      </c>
      <c r="I53" t="n">
        <v>-1.05</v>
      </c>
      <c r="J53" t="inlineStr">
        <is>
          <t>brak</t>
        </is>
      </c>
      <c r="K53" t="n">
        <v>0</v>
      </c>
      <c r="L53" t="n">
        <v>1</v>
      </c>
      <c r="M53" t="n">
        <v>13</v>
      </c>
      <c r="N53" t="n">
        <v>8</v>
      </c>
      <c r="O53" t="n">
        <v>21</v>
      </c>
    </row>
    <row r="54">
      <c r="A54" t="inlineStr">
        <is>
          <t>I3</t>
        </is>
      </c>
      <c r="B54" t="n">
        <v>5</v>
      </c>
      <c r="C54" t="inlineStr">
        <is>
          <t>NFZ_TX</t>
        </is>
      </c>
      <c r="D54" t="n">
        <v>118.9</v>
      </c>
      <c r="E54" t="n">
        <v>75.2</v>
      </c>
      <c r="F54" t="n">
        <v>180.8</v>
      </c>
      <c r="G54" t="n">
        <v>-1.099</v>
      </c>
      <c r="H54" t="n">
        <v>-1.133</v>
      </c>
      <c r="I54" t="n">
        <v>-1.071</v>
      </c>
      <c r="J54" t="inlineStr">
        <is>
          <t>brak</t>
        </is>
      </c>
      <c r="K54" t="n">
        <v>0</v>
      </c>
      <c r="L54" t="n">
        <v>1</v>
      </c>
      <c r="M54" t="n">
        <v>13</v>
      </c>
      <c r="N54" t="n">
        <v>8</v>
      </c>
      <c r="O54" t="n">
        <v>21</v>
      </c>
    </row>
    <row r="55">
      <c r="A55" t="inlineStr">
        <is>
          <t>I3</t>
        </is>
      </c>
      <c r="B55" t="n">
        <v>5</v>
      </c>
      <c r="C55" t="inlineStr">
        <is>
          <t>PUBLIC_TX</t>
        </is>
      </c>
      <c r="D55" t="n">
        <v>124</v>
      </c>
      <c r="E55" t="n">
        <v>78.7</v>
      </c>
      <c r="F55" t="n">
        <v>187.3</v>
      </c>
      <c r="G55" t="n">
        <v>-1.145</v>
      </c>
      <c r="H55" t="n">
        <v>-1.197</v>
      </c>
      <c r="I55" t="n">
        <v>-1.103</v>
      </c>
      <c r="J55" t="inlineStr">
        <is>
          <t>brak</t>
        </is>
      </c>
      <c r="K55" t="n">
        <v>0</v>
      </c>
      <c r="L55" t="n">
        <v>1</v>
      </c>
      <c r="M55" t="n">
        <v>13</v>
      </c>
      <c r="N55" t="n">
        <v>8</v>
      </c>
      <c r="O55" t="n">
        <v>21</v>
      </c>
    </row>
    <row r="56">
      <c r="A56" t="inlineStr">
        <is>
          <t>I3</t>
        </is>
      </c>
      <c r="B56" t="n">
        <v>5</v>
      </c>
      <c r="C56" t="inlineStr">
        <is>
          <t>SOCIETAL_TX</t>
        </is>
      </c>
      <c r="D56" t="n">
        <v>118</v>
      </c>
      <c r="E56" t="n">
        <v>74.3</v>
      </c>
      <c r="F56" t="n">
        <v>179.7</v>
      </c>
      <c r="G56" t="n">
        <v>-1.088</v>
      </c>
      <c r="H56" t="n">
        <v>-1.126</v>
      </c>
      <c r="I56" t="n">
        <v>-1.053</v>
      </c>
      <c r="J56" t="inlineStr">
        <is>
          <t>brak</t>
        </is>
      </c>
      <c r="K56" t="n">
        <v>0</v>
      </c>
      <c r="L56" t="n">
        <v>1</v>
      </c>
      <c r="M56" t="n">
        <v>13</v>
      </c>
      <c r="N56" t="n">
        <v>8</v>
      </c>
      <c r="O56" t="n">
        <v>21</v>
      </c>
    </row>
    <row r="57">
      <c r="A57" t="inlineStr">
        <is>
          <t>I3</t>
        </is>
      </c>
      <c r="B57" t="n">
        <v>10</v>
      </c>
      <c r="C57" t="inlineStr">
        <is>
          <t>NFZ</t>
        </is>
      </c>
      <c r="D57" t="n">
        <v>137.6</v>
      </c>
      <c r="E57" t="n">
        <v>86.40000000000001</v>
      </c>
      <c r="F57" t="n">
        <v>209.9</v>
      </c>
      <c r="G57" t="n">
        <v>-1.065</v>
      </c>
      <c r="H57" t="n">
        <v>-1.114</v>
      </c>
      <c r="I57" t="n">
        <v>-1.013</v>
      </c>
      <c r="J57" t="inlineStr">
        <is>
          <t>brak</t>
        </is>
      </c>
      <c r="K57" t="n">
        <v>0</v>
      </c>
      <c r="L57" t="n">
        <v>1</v>
      </c>
      <c r="M57" t="n">
        <v>72</v>
      </c>
      <c r="N57" t="n">
        <v>42</v>
      </c>
      <c r="O57" t="n">
        <v>118</v>
      </c>
    </row>
    <row r="58">
      <c r="A58" t="inlineStr">
        <is>
          <t>I3</t>
        </is>
      </c>
      <c r="B58" t="n">
        <v>10</v>
      </c>
      <c r="C58" t="inlineStr">
        <is>
          <t>PUBLIC</t>
        </is>
      </c>
      <c r="D58" t="n">
        <v>145.3</v>
      </c>
      <c r="E58" t="n">
        <v>95.5</v>
      </c>
      <c r="F58" t="n">
        <v>216.7</v>
      </c>
      <c r="G58" t="n">
        <v>-1.013</v>
      </c>
      <c r="H58" t="n">
        <v>-1.097</v>
      </c>
      <c r="I58" t="n">
        <v>-0.931</v>
      </c>
      <c r="J58" t="inlineStr">
        <is>
          <t>brak</t>
        </is>
      </c>
      <c r="K58" t="n">
        <v>0</v>
      </c>
      <c r="L58" t="n">
        <v>1</v>
      </c>
      <c r="M58" t="n">
        <v>72</v>
      </c>
      <c r="N58" t="n">
        <v>42</v>
      </c>
      <c r="O58" t="n">
        <v>118</v>
      </c>
    </row>
    <row r="59">
      <c r="A59" t="inlineStr">
        <is>
          <t>I3</t>
        </is>
      </c>
      <c r="B59" t="n">
        <v>10</v>
      </c>
      <c r="C59" t="inlineStr">
        <is>
          <t>SOCIETAL</t>
        </is>
      </c>
      <c r="D59" t="n">
        <v>130.3</v>
      </c>
      <c r="E59" t="n">
        <v>84.40000000000001</v>
      </c>
      <c r="F59" t="n">
        <v>196.6</v>
      </c>
      <c r="G59" t="n">
        <v>-0.908</v>
      </c>
      <c r="H59" t="n">
        <v>-1.02</v>
      </c>
      <c r="I59" t="n">
        <v>-0.798</v>
      </c>
      <c r="J59" t="inlineStr">
        <is>
          <t>brak</t>
        </is>
      </c>
      <c r="K59" t="n">
        <v>0</v>
      </c>
      <c r="L59" t="n">
        <v>1</v>
      </c>
      <c r="M59" t="n">
        <v>72</v>
      </c>
      <c r="N59" t="n">
        <v>42</v>
      </c>
      <c r="O59" t="n">
        <v>118</v>
      </c>
    </row>
    <row r="60">
      <c r="A60" t="inlineStr">
        <is>
          <t>I3</t>
        </is>
      </c>
      <c r="B60" t="n">
        <v>10</v>
      </c>
      <c r="C60" t="inlineStr">
        <is>
          <t>NFZ_TX</t>
        </is>
      </c>
      <c r="D60" t="n">
        <v>137.6</v>
      </c>
      <c r="E60" t="n">
        <v>86.40000000000001</v>
      </c>
      <c r="F60" t="n">
        <v>209.9</v>
      </c>
      <c r="G60" t="n">
        <v>-1.065</v>
      </c>
      <c r="H60" t="n">
        <v>-1.114</v>
      </c>
      <c r="I60" t="n">
        <v>-1.013</v>
      </c>
      <c r="J60" t="inlineStr">
        <is>
          <t>brak</t>
        </is>
      </c>
      <c r="K60" t="n">
        <v>0</v>
      </c>
      <c r="L60" t="n">
        <v>1</v>
      </c>
      <c r="M60" t="n">
        <v>72</v>
      </c>
      <c r="N60" t="n">
        <v>42</v>
      </c>
      <c r="O60" t="n">
        <v>118</v>
      </c>
    </row>
    <row r="61">
      <c r="A61" t="inlineStr">
        <is>
          <t>I3</t>
        </is>
      </c>
      <c r="B61" t="n">
        <v>10</v>
      </c>
      <c r="C61" t="inlineStr">
        <is>
          <t>PUBLIC_TX</t>
        </is>
      </c>
      <c r="D61" t="n">
        <v>131.1</v>
      </c>
      <c r="E61" t="n">
        <v>81.3</v>
      </c>
      <c r="F61" t="n">
        <v>202.5</v>
      </c>
      <c r="G61" t="n">
        <v>-1.014</v>
      </c>
      <c r="H61" t="n">
        <v>-1.108</v>
      </c>
      <c r="I61" t="n">
        <v>-0.922</v>
      </c>
      <c r="J61" t="inlineStr">
        <is>
          <t>brak</t>
        </is>
      </c>
      <c r="K61" t="n">
        <v>0</v>
      </c>
      <c r="L61" t="n">
        <v>1</v>
      </c>
      <c r="M61" t="n">
        <v>72</v>
      </c>
      <c r="N61" t="n">
        <v>42</v>
      </c>
      <c r="O61" t="n">
        <v>118</v>
      </c>
    </row>
    <row r="62">
      <c r="A62" t="inlineStr">
        <is>
          <t>I3</t>
        </is>
      </c>
      <c r="B62" t="n">
        <v>10</v>
      </c>
      <c r="C62" t="inlineStr">
        <is>
          <t>SOCIETAL_TX</t>
        </is>
      </c>
      <c r="D62" t="n">
        <v>116</v>
      </c>
      <c r="E62" t="n">
        <v>70.2</v>
      </c>
      <c r="F62" t="n">
        <v>182.4</v>
      </c>
      <c r="G62" t="n">
        <v>-0.897</v>
      </c>
      <c r="H62" t="n">
        <v>-1.022</v>
      </c>
      <c r="I62" t="n">
        <v>-0.77</v>
      </c>
      <c r="J62" t="inlineStr">
        <is>
          <t>brak</t>
        </is>
      </c>
      <c r="K62" t="n">
        <v>0</v>
      </c>
      <c r="L62" t="n">
        <v>1</v>
      </c>
      <c r="M62" t="n">
        <v>72</v>
      </c>
      <c r="N62" t="n">
        <v>42</v>
      </c>
      <c r="O62" t="n">
        <v>118</v>
      </c>
    </row>
    <row r="63">
      <c r="A63" t="inlineStr">
        <is>
          <t>I3</t>
        </is>
      </c>
      <c r="B63" t="n">
        <v>20</v>
      </c>
      <c r="C63" t="inlineStr">
        <is>
          <t>NFZ</t>
        </is>
      </c>
      <c r="D63" t="n">
        <v>123.3</v>
      </c>
      <c r="E63" t="n">
        <v>75.90000000000001</v>
      </c>
      <c r="F63" t="n">
        <v>191.7</v>
      </c>
      <c r="G63" t="n">
        <v>-0.954</v>
      </c>
      <c r="H63" t="n">
        <v>-1.039</v>
      </c>
      <c r="I63" t="n">
        <v>-0.845</v>
      </c>
      <c r="J63" t="inlineStr">
        <is>
          <t>brak</t>
        </is>
      </c>
      <c r="K63" t="n">
        <v>0</v>
      </c>
      <c r="L63" t="n">
        <v>1</v>
      </c>
      <c r="M63" t="n">
        <v>229</v>
      </c>
      <c r="N63" t="n">
        <v>136</v>
      </c>
      <c r="O63" t="n">
        <v>365</v>
      </c>
    </row>
    <row r="64">
      <c r="A64" t="inlineStr">
        <is>
          <t>I3</t>
        </is>
      </c>
      <c r="B64" t="n">
        <v>20</v>
      </c>
      <c r="C64" t="inlineStr">
        <is>
          <t>PUBLIC</t>
        </is>
      </c>
      <c r="D64" t="n">
        <v>104</v>
      </c>
      <c r="E64" t="n">
        <v>57.9</v>
      </c>
      <c r="F64" t="n">
        <v>171.4</v>
      </c>
      <c r="G64" t="n">
        <v>-0.74</v>
      </c>
      <c r="H64" t="n">
        <v>-0.912</v>
      </c>
      <c r="I64" t="n">
        <v>-0.462</v>
      </c>
      <c r="J64" t="inlineStr">
        <is>
          <t>brak</t>
        </is>
      </c>
      <c r="K64" t="n">
        <v>0</v>
      </c>
      <c r="L64" t="n">
        <v>1</v>
      </c>
      <c r="M64" t="n">
        <v>229</v>
      </c>
      <c r="N64" t="n">
        <v>136</v>
      </c>
      <c r="O64" t="n">
        <v>365</v>
      </c>
    </row>
    <row r="65">
      <c r="A65" t="inlineStr">
        <is>
          <t>I3</t>
        </is>
      </c>
      <c r="B65" t="n">
        <v>20</v>
      </c>
      <c r="C65" t="inlineStr">
        <is>
          <t>SOCIETAL</t>
        </is>
      </c>
      <c r="D65" t="n">
        <v>69.59999999999999</v>
      </c>
      <c r="E65" t="n">
        <v>9</v>
      </c>
      <c r="F65" t="n">
        <v>136.5</v>
      </c>
      <c r="G65" t="n">
        <v>-0.502</v>
      </c>
      <c r="H65" t="n">
        <v>-0.75</v>
      </c>
      <c r="I65" t="n">
        <v>-0.06900000000000001</v>
      </c>
      <c r="J65" t="inlineStr">
        <is>
          <t>brak</t>
        </is>
      </c>
      <c r="K65" t="n">
        <v>0.013</v>
      </c>
      <c r="L65" t="n">
        <v>1</v>
      </c>
      <c r="M65" t="n">
        <v>229</v>
      </c>
      <c r="N65" t="n">
        <v>136</v>
      </c>
      <c r="O65" t="n">
        <v>365</v>
      </c>
    </row>
    <row r="66">
      <c r="A66" t="inlineStr">
        <is>
          <t>I3</t>
        </is>
      </c>
      <c r="B66" t="n">
        <v>20</v>
      </c>
      <c r="C66" t="inlineStr">
        <is>
          <t>NFZ_TX</t>
        </is>
      </c>
      <c r="D66" t="n">
        <v>123.3</v>
      </c>
      <c r="E66" t="n">
        <v>75.90000000000001</v>
      </c>
      <c r="F66" t="n">
        <v>191.7</v>
      </c>
      <c r="G66" t="n">
        <v>-0.954</v>
      </c>
      <c r="H66" t="n">
        <v>-1.039</v>
      </c>
      <c r="I66" t="n">
        <v>-0.845</v>
      </c>
      <c r="J66" t="inlineStr">
        <is>
          <t>brak</t>
        </is>
      </c>
      <c r="K66" t="n">
        <v>0</v>
      </c>
      <c r="L66" t="n">
        <v>1</v>
      </c>
      <c r="M66" t="n">
        <v>229</v>
      </c>
      <c r="N66" t="n">
        <v>136</v>
      </c>
      <c r="O66" t="n">
        <v>365</v>
      </c>
    </row>
    <row r="67">
      <c r="A67" t="inlineStr">
        <is>
          <t>I3</t>
        </is>
      </c>
      <c r="B67" t="n">
        <v>20</v>
      </c>
      <c r="C67" t="inlineStr">
        <is>
          <t>PUBLIC_TX</t>
        </is>
      </c>
      <c r="D67" t="n">
        <v>89.7</v>
      </c>
      <c r="E67" t="n">
        <v>43.6</v>
      </c>
      <c r="F67" t="n">
        <v>157.1</v>
      </c>
      <c r="G67" t="n">
        <v>-0.712</v>
      </c>
      <c r="H67" t="n">
        <v>-0.902</v>
      </c>
      <c r="I67" t="n">
        <v>-0.398</v>
      </c>
      <c r="J67" t="inlineStr">
        <is>
          <t>brak</t>
        </is>
      </c>
      <c r="K67" t="n">
        <v>0</v>
      </c>
      <c r="L67" t="n">
        <v>1</v>
      </c>
      <c r="M67" t="n">
        <v>229</v>
      </c>
      <c r="N67" t="n">
        <v>136</v>
      </c>
      <c r="O67" t="n">
        <v>365</v>
      </c>
    </row>
    <row r="68">
      <c r="A68" t="inlineStr">
        <is>
          <t>I3</t>
        </is>
      </c>
      <c r="B68" t="n">
        <v>20</v>
      </c>
      <c r="C68" t="inlineStr">
        <is>
          <t>SOCIETAL_TX</t>
        </is>
      </c>
      <c r="D68" t="n">
        <v>55.3</v>
      </c>
      <c r="E68" t="n">
        <v>-5.3</v>
      </c>
      <c r="F68" t="n">
        <v>122.3</v>
      </c>
      <c r="G68" t="n">
        <v>-0.444</v>
      </c>
      <c r="H68" t="n">
        <v>-0.724</v>
      </c>
      <c r="I68" t="n">
        <v>0.045</v>
      </c>
      <c r="J68" t="inlineStr">
        <is>
          <t>brak</t>
        </is>
      </c>
      <c r="K68" t="n">
        <v>0.035</v>
      </c>
      <c r="L68" t="n">
        <v>1</v>
      </c>
      <c r="M68" t="n">
        <v>229</v>
      </c>
      <c r="N68" t="n">
        <v>136</v>
      </c>
      <c r="O68" t="n">
        <v>365</v>
      </c>
    </row>
    <row r="69">
      <c r="A69" t="inlineStr">
        <is>
          <t>I3</t>
        </is>
      </c>
      <c r="B69" t="n">
        <v>50</v>
      </c>
      <c r="C69" t="inlineStr">
        <is>
          <t>NFZ</t>
        </is>
      </c>
      <c r="D69" t="n">
        <v>108.1</v>
      </c>
      <c r="E69" t="n">
        <v>63.8</v>
      </c>
      <c r="F69" t="n">
        <v>171.9</v>
      </c>
      <c r="G69" t="n">
        <v>-0.841</v>
      </c>
      <c r="H69" t="n">
        <v>-0.944</v>
      </c>
      <c r="I69" t="n">
        <v>-0.705</v>
      </c>
      <c r="J69" t="inlineStr">
        <is>
          <t>brak</t>
        </is>
      </c>
      <c r="K69" t="n">
        <v>0</v>
      </c>
      <c r="L69" t="n">
        <v>1</v>
      </c>
      <c r="M69" t="n">
        <v>447</v>
      </c>
      <c r="N69" t="n">
        <v>282</v>
      </c>
      <c r="O69" t="n">
        <v>671</v>
      </c>
    </row>
    <row r="70">
      <c r="A70" t="inlineStr">
        <is>
          <t>I3</t>
        </is>
      </c>
      <c r="B70" t="n">
        <v>50</v>
      </c>
      <c r="C70" t="inlineStr">
        <is>
          <t>PUBLIC</t>
        </is>
      </c>
      <c r="D70" t="n">
        <v>61</v>
      </c>
      <c r="E70" t="n">
        <v>7.1</v>
      </c>
      <c r="F70" t="n">
        <v>124.7</v>
      </c>
      <c r="G70" t="n">
        <v>-0.433</v>
      </c>
      <c r="H70" t="n">
        <v>-0.6929999999999999</v>
      </c>
      <c r="I70" t="n">
        <v>-0.06</v>
      </c>
      <c r="J70" t="inlineStr">
        <is>
          <t>brak</t>
        </is>
      </c>
      <c r="K70" t="n">
        <v>0.014</v>
      </c>
      <c r="L70" t="n">
        <v>1</v>
      </c>
      <c r="M70" t="n">
        <v>447</v>
      </c>
      <c r="N70" t="n">
        <v>282</v>
      </c>
      <c r="O70" t="n">
        <v>671</v>
      </c>
    </row>
    <row r="71">
      <c r="A71" t="inlineStr">
        <is>
          <t>I3</t>
        </is>
      </c>
      <c r="B71" t="n">
        <v>50</v>
      </c>
      <c r="C71" t="inlineStr">
        <is>
          <t>SOCIETAL</t>
        </is>
      </c>
      <c r="D71" t="n">
        <v>1.6</v>
      </c>
      <c r="E71" t="n">
        <v>-86.2</v>
      </c>
      <c r="F71" t="n">
        <v>70.40000000000001</v>
      </c>
      <c r="G71" t="n">
        <v>-0.011</v>
      </c>
      <c r="H71" t="n">
        <v>-0.424</v>
      </c>
      <c r="I71" t="n">
        <v>0.609</v>
      </c>
      <c r="J71" t="inlineStr">
        <is>
          <t>brak</t>
        </is>
      </c>
      <c r="K71" t="n">
        <v>0.486</v>
      </c>
      <c r="L71" t="n">
        <v>1</v>
      </c>
      <c r="M71" t="n">
        <v>447</v>
      </c>
      <c r="N71" t="n">
        <v>282</v>
      </c>
      <c r="O71" t="n">
        <v>671</v>
      </c>
    </row>
    <row r="72">
      <c r="A72" t="inlineStr">
        <is>
          <t>I3</t>
        </is>
      </c>
      <c r="B72" t="n">
        <v>50</v>
      </c>
      <c r="C72" t="inlineStr">
        <is>
          <t>NFZ_TX</t>
        </is>
      </c>
      <c r="D72" t="n">
        <v>108.1</v>
      </c>
      <c r="E72" t="n">
        <v>63.8</v>
      </c>
      <c r="F72" t="n">
        <v>171.9</v>
      </c>
      <c r="G72" t="n">
        <v>-0.841</v>
      </c>
      <c r="H72" t="n">
        <v>-0.944</v>
      </c>
      <c r="I72" t="n">
        <v>-0.705</v>
      </c>
      <c r="J72" t="inlineStr">
        <is>
          <t>brak</t>
        </is>
      </c>
      <c r="K72" t="n">
        <v>0</v>
      </c>
      <c r="L72" t="n">
        <v>1</v>
      </c>
      <c r="M72" t="n">
        <v>447</v>
      </c>
      <c r="N72" t="n">
        <v>282</v>
      </c>
      <c r="O72" t="n">
        <v>671</v>
      </c>
    </row>
    <row r="73">
      <c r="A73" t="inlineStr">
        <is>
          <t>I3</t>
        </is>
      </c>
      <c r="B73" t="n">
        <v>50</v>
      </c>
      <c r="C73" t="inlineStr">
        <is>
          <t>PUBLIC_TX</t>
        </is>
      </c>
      <c r="D73" t="n">
        <v>46.7</v>
      </c>
      <c r="E73" t="n">
        <v>-7.1</v>
      </c>
      <c r="F73" t="n">
        <v>110.4</v>
      </c>
      <c r="G73" t="n">
        <v>-0.368</v>
      </c>
      <c r="H73" t="n">
        <v>-0.656</v>
      </c>
      <c r="I73" t="n">
        <v>0.059</v>
      </c>
      <c r="J73" t="inlineStr">
        <is>
          <t>brak</t>
        </is>
      </c>
      <c r="K73" t="n">
        <v>0.043</v>
      </c>
      <c r="L73" t="n">
        <v>1</v>
      </c>
      <c r="M73" t="n">
        <v>447</v>
      </c>
      <c r="N73" t="n">
        <v>282</v>
      </c>
      <c r="O73" t="n">
        <v>671</v>
      </c>
    </row>
    <row r="74">
      <c r="A74" t="inlineStr">
        <is>
          <t>I3</t>
        </is>
      </c>
      <c r="B74" t="n">
        <v>50</v>
      </c>
      <c r="C74" t="inlineStr">
        <is>
          <t>SOCIETAL_TX</t>
        </is>
      </c>
      <c r="D74" t="n">
        <v>-12.6</v>
      </c>
      <c r="E74" t="n">
        <v>-100.4</v>
      </c>
      <c r="F74" t="n">
        <v>56.2</v>
      </c>
      <c r="G74" t="n">
        <v>0.101</v>
      </c>
      <c r="H74" t="n">
        <v>-0.359</v>
      </c>
      <c r="I74" t="n">
        <v>0.8080000000000001</v>
      </c>
      <c r="J74" t="n">
        <v>2057</v>
      </c>
      <c r="K74" t="n">
        <v>0.639</v>
      </c>
      <c r="L74" t="n">
        <v>1</v>
      </c>
      <c r="M74" t="n">
        <v>447</v>
      </c>
      <c r="N74" t="n">
        <v>282</v>
      </c>
      <c r="O74" t="n">
        <v>671</v>
      </c>
    </row>
    <row r="75">
      <c r="A75" t="inlineStr">
        <is>
          <t>I4</t>
        </is>
      </c>
      <c r="B75" t="n">
        <v>5</v>
      </c>
      <c r="C75" t="inlineStr">
        <is>
          <t>NFZ</t>
        </is>
      </c>
      <c r="D75" t="n">
        <v>2029.3</v>
      </c>
      <c r="E75" t="n">
        <v>1800.4</v>
      </c>
      <c r="F75" t="n">
        <v>2320.4</v>
      </c>
      <c r="G75" t="n">
        <v>-1.047</v>
      </c>
      <c r="H75" t="n">
        <v>-1.061</v>
      </c>
      <c r="I75" t="n">
        <v>-1.036</v>
      </c>
      <c r="J75" t="inlineStr">
        <is>
          <t>brak</t>
        </is>
      </c>
      <c r="K75" t="n">
        <v>0</v>
      </c>
      <c r="L75" t="n">
        <v>0</v>
      </c>
      <c r="M75" t="n">
        <v>97</v>
      </c>
      <c r="N75" t="n">
        <v>64</v>
      </c>
      <c r="O75" t="n">
        <v>137</v>
      </c>
    </row>
    <row r="76">
      <c r="A76" t="inlineStr">
        <is>
          <t>I4</t>
        </is>
      </c>
      <c r="B76" t="n">
        <v>5</v>
      </c>
      <c r="C76" t="inlineStr">
        <is>
          <t>PUBLIC</t>
        </is>
      </c>
      <c r="D76" t="n">
        <v>2086.5</v>
      </c>
      <c r="E76" t="n">
        <v>1850.1</v>
      </c>
      <c r="F76" t="n">
        <v>2379.6</v>
      </c>
      <c r="G76" t="n">
        <v>-1.069</v>
      </c>
      <c r="H76" t="n">
        <v>-1.088</v>
      </c>
      <c r="I76" t="n">
        <v>-1.052</v>
      </c>
      <c r="J76" t="inlineStr">
        <is>
          <t>brak</t>
        </is>
      </c>
      <c r="K76" t="n">
        <v>0</v>
      </c>
      <c r="L76" t="n">
        <v>0</v>
      </c>
      <c r="M76" t="n">
        <v>97</v>
      </c>
      <c r="N76" t="n">
        <v>64</v>
      </c>
      <c r="O76" t="n">
        <v>137</v>
      </c>
    </row>
    <row r="77">
      <c r="A77" t="inlineStr">
        <is>
          <t>I4</t>
        </is>
      </c>
      <c r="B77" t="n">
        <v>5</v>
      </c>
      <c r="C77" t="inlineStr">
        <is>
          <t>SOCIETAL</t>
        </is>
      </c>
      <c r="D77" t="n">
        <v>2036.8</v>
      </c>
      <c r="E77" t="n">
        <v>1806.6</v>
      </c>
      <c r="F77" t="n">
        <v>2329.6</v>
      </c>
      <c r="G77" t="n">
        <v>-1.045</v>
      </c>
      <c r="H77" t="n">
        <v>-1.059</v>
      </c>
      <c r="I77" t="n">
        <v>-1.03</v>
      </c>
      <c r="J77" t="inlineStr">
        <is>
          <t>brak</t>
        </is>
      </c>
      <c r="K77" t="n">
        <v>0</v>
      </c>
      <c r="L77" t="n">
        <v>0</v>
      </c>
      <c r="M77" t="n">
        <v>97</v>
      </c>
      <c r="N77" t="n">
        <v>64</v>
      </c>
      <c r="O77" t="n">
        <v>137</v>
      </c>
    </row>
    <row r="78">
      <c r="A78" t="inlineStr">
        <is>
          <t>I4</t>
        </is>
      </c>
      <c r="B78" t="n">
        <v>5</v>
      </c>
      <c r="C78" t="inlineStr">
        <is>
          <t>NFZ_TX</t>
        </is>
      </c>
      <c r="D78" t="n">
        <v>1138.9</v>
      </c>
      <c r="E78" t="n">
        <v>909.9</v>
      </c>
      <c r="F78" t="n">
        <v>1430</v>
      </c>
      <c r="G78" t="n">
        <v>-1.088</v>
      </c>
      <c r="H78" t="n">
        <v>-1.117</v>
      </c>
      <c r="I78" t="n">
        <v>-1.064</v>
      </c>
      <c r="J78" t="inlineStr">
        <is>
          <t>brak</t>
        </is>
      </c>
      <c r="K78" t="n">
        <v>0</v>
      </c>
      <c r="L78" t="n">
        <v>0.901</v>
      </c>
      <c r="M78" t="n">
        <v>97</v>
      </c>
      <c r="N78" t="n">
        <v>64</v>
      </c>
      <c r="O78" t="n">
        <v>137</v>
      </c>
    </row>
    <row r="79">
      <c r="A79" t="inlineStr">
        <is>
          <t>I4</t>
        </is>
      </c>
      <c r="B79" t="n">
        <v>5</v>
      </c>
      <c r="C79" t="inlineStr">
        <is>
          <t>PUBLIC_TX</t>
        </is>
      </c>
      <c r="D79" t="n">
        <v>1183.3</v>
      </c>
      <c r="E79" t="n">
        <v>947</v>
      </c>
      <c r="F79" t="n">
        <v>1476.5</v>
      </c>
      <c r="G79" t="n">
        <v>-1.129</v>
      </c>
      <c r="H79" t="n">
        <v>-1.171</v>
      </c>
      <c r="I79" t="n">
        <v>-1.094</v>
      </c>
      <c r="J79" t="inlineStr">
        <is>
          <t>brak</t>
        </is>
      </c>
      <c r="K79" t="n">
        <v>0</v>
      </c>
      <c r="L79" t="n">
        <v>0.844</v>
      </c>
      <c r="M79" t="n">
        <v>97</v>
      </c>
      <c r="N79" t="n">
        <v>64</v>
      </c>
      <c r="O79" t="n">
        <v>137</v>
      </c>
    </row>
    <row r="80">
      <c r="A80" t="inlineStr">
        <is>
          <t>I4</t>
        </is>
      </c>
      <c r="B80" t="n">
        <v>5</v>
      </c>
      <c r="C80" t="inlineStr">
        <is>
          <t>SOCIETAL_TX</t>
        </is>
      </c>
      <c r="D80" t="n">
        <v>1133.6</v>
      </c>
      <c r="E80" t="n">
        <v>903.4</v>
      </c>
      <c r="F80" t="n">
        <v>1426.5</v>
      </c>
      <c r="G80" t="n">
        <v>-1.083</v>
      </c>
      <c r="H80" t="n">
        <v>-1.114</v>
      </c>
      <c r="I80" t="n">
        <v>-1.054</v>
      </c>
      <c r="J80" t="inlineStr">
        <is>
          <t>brak</t>
        </is>
      </c>
      <c r="K80" t="n">
        <v>0</v>
      </c>
      <c r="L80" t="n">
        <v>0.904</v>
      </c>
      <c r="M80" t="n">
        <v>97</v>
      </c>
      <c r="N80" t="n">
        <v>64</v>
      </c>
      <c r="O80" t="n">
        <v>137</v>
      </c>
    </row>
    <row r="81">
      <c r="A81" t="inlineStr">
        <is>
          <t>I4</t>
        </is>
      </c>
      <c r="B81" t="n">
        <v>10</v>
      </c>
      <c r="C81" t="inlineStr">
        <is>
          <t>NFZ</t>
        </is>
      </c>
      <c r="D81" t="n">
        <v>3591.6</v>
      </c>
      <c r="E81" t="n">
        <v>3223</v>
      </c>
      <c r="F81" t="n">
        <v>4051.7</v>
      </c>
      <c r="G81" t="n">
        <v>-1.029</v>
      </c>
      <c r="H81" t="n">
        <v>-1.049</v>
      </c>
      <c r="I81" t="n">
        <v>-1.008</v>
      </c>
      <c r="J81" t="inlineStr">
        <is>
          <t>brak</t>
        </is>
      </c>
      <c r="K81" t="n">
        <v>0</v>
      </c>
      <c r="L81" t="n">
        <v>0.991</v>
      </c>
      <c r="M81" t="n">
        <v>821</v>
      </c>
      <c r="N81" t="n">
        <v>580</v>
      </c>
      <c r="O81" t="n">
        <v>1107</v>
      </c>
    </row>
    <row r="82">
      <c r="A82" t="inlineStr">
        <is>
          <t>I4</t>
        </is>
      </c>
      <c r="B82" t="n">
        <v>10</v>
      </c>
      <c r="C82" t="inlineStr">
        <is>
          <t>PUBLIC</t>
        </is>
      </c>
      <c r="D82" t="n">
        <v>3573.5</v>
      </c>
      <c r="E82" t="n">
        <v>3202.3</v>
      </c>
      <c r="F82" t="n">
        <v>4028.2</v>
      </c>
      <c r="G82" t="n">
        <v>-1.017</v>
      </c>
      <c r="H82" t="n">
        <v>-1.048</v>
      </c>
      <c r="I82" t="n">
        <v>-0.983</v>
      </c>
      <c r="J82" t="inlineStr">
        <is>
          <t>brak</t>
        </is>
      </c>
      <c r="K82" t="n">
        <v>0</v>
      </c>
      <c r="L82" t="n">
        <v>0.991</v>
      </c>
      <c r="M82" t="n">
        <v>821</v>
      </c>
      <c r="N82" t="n">
        <v>580</v>
      </c>
      <c r="O82" t="n">
        <v>1107</v>
      </c>
    </row>
    <row r="83">
      <c r="A83" t="inlineStr">
        <is>
          <t>I4</t>
        </is>
      </c>
      <c r="B83" t="n">
        <v>10</v>
      </c>
      <c r="C83" t="inlineStr">
        <is>
          <t>SOCIETAL</t>
        </is>
      </c>
      <c r="D83" t="n">
        <v>3427.4</v>
      </c>
      <c r="E83" t="n">
        <v>3062.9</v>
      </c>
      <c r="F83" t="n">
        <v>3895.6</v>
      </c>
      <c r="G83" t="n">
        <v>-0.976</v>
      </c>
      <c r="H83" t="n">
        <v>-1.016</v>
      </c>
      <c r="I83" t="n">
        <v>-0.9360000000000001</v>
      </c>
      <c r="J83" t="inlineStr">
        <is>
          <t>brak</t>
        </is>
      </c>
      <c r="K83" t="n">
        <v>0</v>
      </c>
      <c r="L83" t="n">
        <v>0.998</v>
      </c>
      <c r="M83" t="n">
        <v>821</v>
      </c>
      <c r="N83" t="n">
        <v>580</v>
      </c>
      <c r="O83" t="n">
        <v>1107</v>
      </c>
    </row>
    <row r="84">
      <c r="A84" t="inlineStr">
        <is>
          <t>I4</t>
        </is>
      </c>
      <c r="B84" t="n">
        <v>10</v>
      </c>
      <c r="C84" t="inlineStr">
        <is>
          <t>NFZ_TX</t>
        </is>
      </c>
      <c r="D84" t="n">
        <v>1810.7</v>
      </c>
      <c r="E84" t="n">
        <v>1442.1</v>
      </c>
      <c r="F84" t="n">
        <v>2270.7</v>
      </c>
      <c r="G84" t="n">
        <v>-1.06</v>
      </c>
      <c r="H84" t="n">
        <v>-1.103</v>
      </c>
      <c r="I84" t="n">
        <v>-1.017</v>
      </c>
      <c r="J84" t="inlineStr">
        <is>
          <t>brak</t>
        </is>
      </c>
      <c r="K84" t="n">
        <v>0</v>
      </c>
      <c r="L84" t="n">
        <v>1</v>
      </c>
      <c r="M84" t="n">
        <v>821</v>
      </c>
      <c r="N84" t="n">
        <v>580</v>
      </c>
      <c r="O84" t="n">
        <v>1107</v>
      </c>
    </row>
    <row r="85">
      <c r="A85" t="inlineStr">
        <is>
          <t>I4</t>
        </is>
      </c>
      <c r="B85" t="n">
        <v>10</v>
      </c>
      <c r="C85" t="inlineStr">
        <is>
          <t>PUBLIC_TX</t>
        </is>
      </c>
      <c r="D85" t="n">
        <v>1768.4</v>
      </c>
      <c r="E85" t="n">
        <v>1397.2</v>
      </c>
      <c r="F85" t="n">
        <v>2223.1</v>
      </c>
      <c r="G85" t="n">
        <v>-1.035</v>
      </c>
      <c r="H85" t="n">
        <v>-1.102</v>
      </c>
      <c r="I85" t="n">
        <v>-0.965</v>
      </c>
      <c r="J85" t="inlineStr">
        <is>
          <t>brak</t>
        </is>
      </c>
      <c r="K85" t="n">
        <v>0</v>
      </c>
      <c r="L85" t="n">
        <v>1</v>
      </c>
      <c r="M85" t="n">
        <v>821</v>
      </c>
      <c r="N85" t="n">
        <v>580</v>
      </c>
      <c r="O85" t="n">
        <v>1107</v>
      </c>
    </row>
    <row r="86">
      <c r="A86" t="inlineStr">
        <is>
          <t>I4</t>
        </is>
      </c>
      <c r="B86" t="n">
        <v>10</v>
      </c>
      <c r="C86" t="inlineStr">
        <is>
          <t>SOCIETAL_TX</t>
        </is>
      </c>
      <c r="D86" t="n">
        <v>1622.3</v>
      </c>
      <c r="E86" t="n">
        <v>1257.8</v>
      </c>
      <c r="F86" t="n">
        <v>2090.5</v>
      </c>
      <c r="G86" t="n">
        <v>-0.952</v>
      </c>
      <c r="H86" t="n">
        <v>-1.034</v>
      </c>
      <c r="I86" t="n">
        <v>-0.864</v>
      </c>
      <c r="J86" t="inlineStr">
        <is>
          <t>brak</t>
        </is>
      </c>
      <c r="K86" t="n">
        <v>0</v>
      </c>
      <c r="L86" t="n">
        <v>1</v>
      </c>
      <c r="M86" t="n">
        <v>821</v>
      </c>
      <c r="N86" t="n">
        <v>580</v>
      </c>
      <c r="O86" t="n">
        <v>1107</v>
      </c>
    </row>
    <row r="87">
      <c r="A87" t="inlineStr">
        <is>
          <t>I4</t>
        </is>
      </c>
      <c r="B87" t="n">
        <v>20</v>
      </c>
      <c r="C87" t="inlineStr">
        <is>
          <t>NFZ</t>
        </is>
      </c>
      <c r="D87" t="n">
        <v>3299.2</v>
      </c>
      <c r="E87" t="n">
        <v>2907</v>
      </c>
      <c r="F87" t="n">
        <v>3778.6</v>
      </c>
      <c r="G87" t="n">
        <v>-0.947</v>
      </c>
      <c r="H87" t="n">
        <v>-0.997</v>
      </c>
      <c r="I87" t="n">
        <v>-0.887</v>
      </c>
      <c r="J87" t="inlineStr">
        <is>
          <t>brak</t>
        </is>
      </c>
      <c r="K87" t="n">
        <v>0</v>
      </c>
      <c r="L87" t="n">
        <v>1</v>
      </c>
      <c r="M87" t="n">
        <v>4279</v>
      </c>
      <c r="N87" t="n">
        <v>3166</v>
      </c>
      <c r="O87" t="n">
        <v>5547</v>
      </c>
    </row>
    <row r="88">
      <c r="A88" t="inlineStr">
        <is>
          <t>I4</t>
        </is>
      </c>
      <c r="B88" t="n">
        <v>20</v>
      </c>
      <c r="C88" t="inlineStr">
        <is>
          <t>PUBLIC</t>
        </is>
      </c>
      <c r="D88" t="n">
        <v>2971.2</v>
      </c>
      <c r="E88" t="n">
        <v>2484.8</v>
      </c>
      <c r="F88" t="n">
        <v>3487.7</v>
      </c>
      <c r="G88" t="n">
        <v>-0.848</v>
      </c>
      <c r="H88" t="n">
        <v>-0.9350000000000001</v>
      </c>
      <c r="I88" t="n">
        <v>-0.72</v>
      </c>
      <c r="J88" t="inlineStr">
        <is>
          <t>brak</t>
        </is>
      </c>
      <c r="K88" t="n">
        <v>0</v>
      </c>
      <c r="L88" t="n">
        <v>1</v>
      </c>
      <c r="M88" t="n">
        <v>4279</v>
      </c>
      <c r="N88" t="n">
        <v>3166</v>
      </c>
      <c r="O88" t="n">
        <v>5547</v>
      </c>
    </row>
    <row r="89">
      <c r="A89" t="inlineStr">
        <is>
          <t>I4</t>
        </is>
      </c>
      <c r="B89" t="n">
        <v>20</v>
      </c>
      <c r="C89" t="inlineStr">
        <is>
          <t>SOCIETAL</t>
        </is>
      </c>
      <c r="D89" t="n">
        <v>2611.9</v>
      </c>
      <c r="E89" t="n">
        <v>1926</v>
      </c>
      <c r="F89" t="n">
        <v>3183.8</v>
      </c>
      <c r="G89" t="n">
        <v>-0.746</v>
      </c>
      <c r="H89" t="n">
        <v>-0.859</v>
      </c>
      <c r="I89" t="n">
        <v>-0.547</v>
      </c>
      <c r="J89" t="inlineStr">
        <is>
          <t>brak</t>
        </is>
      </c>
      <c r="K89" t="n">
        <v>0</v>
      </c>
      <c r="L89" t="n">
        <v>1</v>
      </c>
      <c r="M89" t="n">
        <v>4279</v>
      </c>
      <c r="N89" t="n">
        <v>3166</v>
      </c>
      <c r="O89" t="n">
        <v>5547</v>
      </c>
    </row>
    <row r="90">
      <c r="A90" t="inlineStr">
        <is>
          <t>I4</t>
        </is>
      </c>
      <c r="B90" t="n">
        <v>20</v>
      </c>
      <c r="C90" t="inlineStr">
        <is>
          <t>NFZ_TX</t>
        </is>
      </c>
      <c r="D90" t="n">
        <v>1518.3</v>
      </c>
      <c r="E90" t="n">
        <v>1126.1</v>
      </c>
      <c r="F90" t="n">
        <v>1997.7</v>
      </c>
      <c r="G90" t="n">
        <v>-0.892</v>
      </c>
      <c r="H90" t="n">
        <v>-0.994</v>
      </c>
      <c r="I90" t="n">
        <v>-0.767</v>
      </c>
      <c r="J90" t="inlineStr">
        <is>
          <t>brak</t>
        </is>
      </c>
      <c r="K90" t="n">
        <v>0</v>
      </c>
      <c r="L90" t="n">
        <v>1</v>
      </c>
      <c r="M90" t="n">
        <v>4279</v>
      </c>
      <c r="N90" t="n">
        <v>3166</v>
      </c>
      <c r="O90" t="n">
        <v>5547</v>
      </c>
    </row>
    <row r="91">
      <c r="A91" t="inlineStr">
        <is>
          <t>I4</t>
        </is>
      </c>
      <c r="B91" t="n">
        <v>20</v>
      </c>
      <c r="C91" t="inlineStr">
        <is>
          <t>PUBLIC_TX</t>
        </is>
      </c>
      <c r="D91" t="n">
        <v>1166.1</v>
      </c>
      <c r="E91" t="n">
        <v>679.7</v>
      </c>
      <c r="F91" t="n">
        <v>1682.7</v>
      </c>
      <c r="G91" t="n">
        <v>-0.6870000000000001</v>
      </c>
      <c r="H91" t="n">
        <v>-0.865</v>
      </c>
      <c r="I91" t="n">
        <v>-0.424</v>
      </c>
      <c r="J91" t="inlineStr">
        <is>
          <t>brak</t>
        </is>
      </c>
      <c r="K91" t="n">
        <v>0</v>
      </c>
      <c r="L91" t="n">
        <v>1</v>
      </c>
      <c r="M91" t="n">
        <v>4279</v>
      </c>
      <c r="N91" t="n">
        <v>3166</v>
      </c>
      <c r="O91" t="n">
        <v>5547</v>
      </c>
    </row>
    <row r="92">
      <c r="A92" t="inlineStr">
        <is>
          <t>I4</t>
        </is>
      </c>
      <c r="B92" t="n">
        <v>20</v>
      </c>
      <c r="C92" t="inlineStr">
        <is>
          <t>SOCIETAL_TX</t>
        </is>
      </c>
      <c r="D92" t="n">
        <v>806.8</v>
      </c>
      <c r="E92" t="n">
        <v>120.9</v>
      </c>
      <c r="F92" t="n">
        <v>1378.7</v>
      </c>
      <c r="G92" t="n">
        <v>-0.475</v>
      </c>
      <c r="H92" t="n">
        <v>-0.718</v>
      </c>
      <c r="I92" t="n">
        <v>-0.073</v>
      </c>
      <c r="J92" t="inlineStr">
        <is>
          <t>brak</t>
        </is>
      </c>
      <c r="K92" t="n">
        <v>0.011</v>
      </c>
      <c r="L92" t="n">
        <v>1</v>
      </c>
      <c r="M92" t="n">
        <v>4279</v>
      </c>
      <c r="N92" t="n">
        <v>3166</v>
      </c>
      <c r="O92" t="n">
        <v>5547</v>
      </c>
    </row>
    <row r="93">
      <c r="A93" t="inlineStr">
        <is>
          <t>I4</t>
        </is>
      </c>
      <c r="B93" t="n">
        <v>50</v>
      </c>
      <c r="C93" t="inlineStr">
        <is>
          <t>NFZ</t>
        </is>
      </c>
      <c r="D93" t="n">
        <v>2827.4</v>
      </c>
      <c r="E93" t="n">
        <v>2381.1</v>
      </c>
      <c r="F93" t="n">
        <v>3345.1</v>
      </c>
      <c r="G93" t="n">
        <v>-0.8149999999999999</v>
      </c>
      <c r="H93" t="n">
        <v>-0.9</v>
      </c>
      <c r="I93" t="n">
        <v>-0.708</v>
      </c>
      <c r="J93" t="inlineStr">
        <is>
          <t>brak</t>
        </is>
      </c>
      <c r="K93" t="n">
        <v>0</v>
      </c>
      <c r="L93" t="n">
        <v>1</v>
      </c>
      <c r="M93" t="n">
        <v>13970</v>
      </c>
      <c r="N93" t="n">
        <v>10518</v>
      </c>
      <c r="O93" t="n">
        <v>17921</v>
      </c>
    </row>
    <row r="94">
      <c r="A94" t="inlineStr">
        <is>
          <t>I4</t>
        </is>
      </c>
      <c r="B94" t="n">
        <v>50</v>
      </c>
      <c r="C94" t="inlineStr">
        <is>
          <t>PUBLIC</t>
        </is>
      </c>
      <c r="D94" t="n">
        <v>1868.3</v>
      </c>
      <c r="E94" t="n">
        <v>1093.7</v>
      </c>
      <c r="F94" t="n">
        <v>2568.2</v>
      </c>
      <c r="G94" t="n">
        <v>-0.535</v>
      </c>
      <c r="H94" t="n">
        <v>-0.706</v>
      </c>
      <c r="I94" t="n">
        <v>-0.313</v>
      </c>
      <c r="J94" t="inlineStr">
        <is>
          <t>brak</t>
        </is>
      </c>
      <c r="K94" t="n">
        <v>0</v>
      </c>
      <c r="L94" t="n">
        <v>1</v>
      </c>
      <c r="M94" t="n">
        <v>13970</v>
      </c>
      <c r="N94" t="n">
        <v>10518</v>
      </c>
      <c r="O94" t="n">
        <v>17921</v>
      </c>
    </row>
    <row r="95">
      <c r="A95" t="inlineStr">
        <is>
          <t>I4</t>
        </is>
      </c>
      <c r="B95" t="n">
        <v>50</v>
      </c>
      <c r="C95" t="inlineStr">
        <is>
          <t>SOCIETAL</t>
        </is>
      </c>
      <c r="D95" t="n">
        <v>977.1</v>
      </c>
      <c r="E95" t="n">
        <v>-227.9</v>
      </c>
      <c r="F95" t="n">
        <v>1886</v>
      </c>
      <c r="G95" t="n">
        <v>-0.28</v>
      </c>
      <c r="H95" t="n">
        <v>-0.538</v>
      </c>
      <c r="I95" t="n">
        <v>0.064</v>
      </c>
      <c r="J95" t="inlineStr">
        <is>
          <t>brak</t>
        </is>
      </c>
      <c r="K95" t="n">
        <v>0.049</v>
      </c>
      <c r="L95" t="n">
        <v>1</v>
      </c>
      <c r="M95" t="n">
        <v>13970</v>
      </c>
      <c r="N95" t="n">
        <v>10518</v>
      </c>
      <c r="O95" t="n">
        <v>17921</v>
      </c>
    </row>
    <row r="96">
      <c r="A96" t="inlineStr">
        <is>
          <t>I4</t>
        </is>
      </c>
      <c r="B96" t="n">
        <v>50</v>
      </c>
      <c r="C96" t="inlineStr">
        <is>
          <t>NFZ_TX</t>
        </is>
      </c>
      <c r="D96" t="n">
        <v>1046.5</v>
      </c>
      <c r="E96" t="n">
        <v>600.2</v>
      </c>
      <c r="F96" t="n">
        <v>1564.2</v>
      </c>
      <c r="G96" t="n">
        <v>-0.623</v>
      </c>
      <c r="H96" t="n">
        <v>-0.801</v>
      </c>
      <c r="I96" t="n">
        <v>-0.39</v>
      </c>
      <c r="J96" t="inlineStr">
        <is>
          <t>brak</t>
        </is>
      </c>
      <c r="K96" t="n">
        <v>0</v>
      </c>
      <c r="L96" t="n">
        <v>1</v>
      </c>
      <c r="M96" t="n">
        <v>13970</v>
      </c>
      <c r="N96" t="n">
        <v>10518</v>
      </c>
      <c r="O96" t="n">
        <v>17921</v>
      </c>
    </row>
    <row r="97">
      <c r="A97" t="inlineStr">
        <is>
          <t>I4</t>
        </is>
      </c>
      <c r="B97" t="n">
        <v>50</v>
      </c>
      <c r="C97" t="inlineStr">
        <is>
          <t>PUBLIC_TX</t>
        </is>
      </c>
      <c r="D97" t="n">
        <v>63.2</v>
      </c>
      <c r="E97" t="n">
        <v>-711.4</v>
      </c>
      <c r="F97" t="n">
        <v>763.1</v>
      </c>
      <c r="G97" t="n">
        <v>-0.037</v>
      </c>
      <c r="H97" t="n">
        <v>-0.403</v>
      </c>
      <c r="I97" t="n">
        <v>0.448</v>
      </c>
      <c r="J97" t="inlineStr">
        <is>
          <t>brak</t>
        </is>
      </c>
      <c r="K97" t="n">
        <v>0.433</v>
      </c>
      <c r="L97" t="n">
        <v>1</v>
      </c>
      <c r="M97" t="n">
        <v>13970</v>
      </c>
      <c r="N97" t="n">
        <v>10518</v>
      </c>
      <c r="O97" t="n">
        <v>17921</v>
      </c>
    </row>
    <row r="98">
      <c r="A98" t="inlineStr">
        <is>
          <t>I4</t>
        </is>
      </c>
      <c r="B98" t="n">
        <v>50</v>
      </c>
      <c r="C98" t="inlineStr">
        <is>
          <t>SOCIETAL_TX</t>
        </is>
      </c>
      <c r="D98" t="n">
        <v>-828</v>
      </c>
      <c r="E98" t="n">
        <v>-2033</v>
      </c>
      <c r="F98" t="n">
        <v>80.90000000000001</v>
      </c>
      <c r="G98" t="n">
        <v>0.486</v>
      </c>
      <c r="H98" t="n">
        <v>-0.046</v>
      </c>
      <c r="I98" t="n">
        <v>1.229</v>
      </c>
      <c r="J98" t="n">
        <v>2054</v>
      </c>
      <c r="K98" t="n">
        <v>0.956</v>
      </c>
      <c r="L98" t="n">
        <v>1</v>
      </c>
      <c r="M98" t="n">
        <v>13970</v>
      </c>
      <c r="N98" t="n">
        <v>10518</v>
      </c>
      <c r="O98" t="n">
        <v>17921</v>
      </c>
    </row>
    <row r="99">
      <c r="A99" t="inlineStr">
        <is>
          <t>I5</t>
        </is>
      </c>
      <c r="B99" t="n">
        <v>5</v>
      </c>
      <c r="C99" t="inlineStr">
        <is>
          <t>NFZ</t>
        </is>
      </c>
      <c r="D99" t="n">
        <v>-181.1</v>
      </c>
      <c r="E99" t="n">
        <v>-231.3</v>
      </c>
      <c r="F99" t="n">
        <v>-141.9</v>
      </c>
      <c r="G99" t="n">
        <v>0.963</v>
      </c>
      <c r="H99" t="n">
        <v>0.923</v>
      </c>
      <c r="I99" t="n">
        <v>0.995</v>
      </c>
      <c r="J99" t="inlineStr">
        <is>
          <t>brak</t>
        </is>
      </c>
      <c r="K99" t="n">
        <v>0</v>
      </c>
      <c r="L99" t="n">
        <v>0</v>
      </c>
      <c r="M99" t="n">
        <v>-25</v>
      </c>
      <c r="N99" t="n">
        <v>-35</v>
      </c>
      <c r="O99" t="n">
        <v>-18</v>
      </c>
    </row>
    <row r="100">
      <c r="A100" t="inlineStr">
        <is>
          <t>I5</t>
        </is>
      </c>
      <c r="B100" t="n">
        <v>5</v>
      </c>
      <c r="C100" t="inlineStr">
        <is>
          <t>PUBLIC</t>
        </is>
      </c>
      <c r="D100" t="n">
        <v>-154.9</v>
      </c>
      <c r="E100" t="n">
        <v>-206.5</v>
      </c>
      <c r="F100" t="n">
        <v>-115.3</v>
      </c>
      <c r="G100" t="n">
        <v>0.825</v>
      </c>
      <c r="H100" t="n">
        <v>0.739</v>
      </c>
      <c r="I100" t="n">
        <v>0.892</v>
      </c>
      <c r="J100" t="inlineStr">
        <is>
          <t>brak</t>
        </is>
      </c>
      <c r="K100" t="n">
        <v>0</v>
      </c>
      <c r="L100" t="n">
        <v>0</v>
      </c>
      <c r="M100" t="n">
        <v>-25</v>
      </c>
      <c r="N100" t="n">
        <v>-35</v>
      </c>
      <c r="O100" t="n">
        <v>-18</v>
      </c>
    </row>
    <row r="101">
      <c r="A101" t="inlineStr">
        <is>
          <t>I5</t>
        </is>
      </c>
      <c r="B101" t="n">
        <v>5</v>
      </c>
      <c r="C101" t="inlineStr">
        <is>
          <t>SOCIETAL</t>
        </is>
      </c>
      <c r="D101" t="n">
        <v>-165.2</v>
      </c>
      <c r="E101" t="n">
        <v>-215.6</v>
      </c>
      <c r="F101" t="n">
        <v>-125.5</v>
      </c>
      <c r="G101" t="n">
        <v>0.88</v>
      </c>
      <c r="H101" t="n">
        <v>0.82</v>
      </c>
      <c r="I101" t="n">
        <v>0.927</v>
      </c>
      <c r="J101" t="inlineStr">
        <is>
          <t>brak</t>
        </is>
      </c>
      <c r="K101" t="n">
        <v>0</v>
      </c>
      <c r="L101" t="n">
        <v>0</v>
      </c>
      <c r="M101" t="n">
        <v>-25</v>
      </c>
      <c r="N101" t="n">
        <v>-35</v>
      </c>
      <c r="O101" t="n">
        <v>-18</v>
      </c>
    </row>
    <row r="102">
      <c r="A102" t="inlineStr">
        <is>
          <t>I5</t>
        </is>
      </c>
      <c r="B102" t="n">
        <v>5</v>
      </c>
      <c r="C102" t="inlineStr">
        <is>
          <t>NFZ_TX</t>
        </is>
      </c>
      <c r="D102" t="n">
        <v>-181.1</v>
      </c>
      <c r="E102" t="n">
        <v>-231.3</v>
      </c>
      <c r="F102" t="n">
        <v>-141.9</v>
      </c>
      <c r="G102" t="n">
        <v>0.963</v>
      </c>
      <c r="H102" t="n">
        <v>0.923</v>
      </c>
      <c r="I102" t="n">
        <v>0.995</v>
      </c>
      <c r="J102" t="inlineStr">
        <is>
          <t>brak</t>
        </is>
      </c>
      <c r="K102" t="n">
        <v>0</v>
      </c>
      <c r="L102" t="n">
        <v>0</v>
      </c>
      <c r="M102" t="n">
        <v>-25</v>
      </c>
      <c r="N102" t="n">
        <v>-35</v>
      </c>
      <c r="O102" t="n">
        <v>-18</v>
      </c>
    </row>
    <row r="103">
      <c r="A103" t="inlineStr">
        <is>
          <t>I5</t>
        </is>
      </c>
      <c r="B103" t="n">
        <v>5</v>
      </c>
      <c r="C103" t="inlineStr">
        <is>
          <t>PUBLIC_TX</t>
        </is>
      </c>
      <c r="D103" t="n">
        <v>-154.9</v>
      </c>
      <c r="E103" t="n">
        <v>-206.5</v>
      </c>
      <c r="F103" t="n">
        <v>-115.3</v>
      </c>
      <c r="G103" t="n">
        <v>0.825</v>
      </c>
      <c r="H103" t="n">
        <v>0.739</v>
      </c>
      <c r="I103" t="n">
        <v>0.892</v>
      </c>
      <c r="J103" t="inlineStr">
        <is>
          <t>brak</t>
        </is>
      </c>
      <c r="K103" t="n">
        <v>0</v>
      </c>
      <c r="L103" t="n">
        <v>0</v>
      </c>
      <c r="M103" t="n">
        <v>-25</v>
      </c>
      <c r="N103" t="n">
        <v>-35</v>
      </c>
      <c r="O103" t="n">
        <v>-18</v>
      </c>
    </row>
    <row r="104">
      <c r="A104" t="inlineStr">
        <is>
          <t>I5</t>
        </is>
      </c>
      <c r="B104" t="n">
        <v>5</v>
      </c>
      <c r="C104" t="inlineStr">
        <is>
          <t>SOCIETAL_TX</t>
        </is>
      </c>
      <c r="D104" t="n">
        <v>-165.2</v>
      </c>
      <c r="E104" t="n">
        <v>-215.6</v>
      </c>
      <c r="F104" t="n">
        <v>-125.5</v>
      </c>
      <c r="G104" t="n">
        <v>0.88</v>
      </c>
      <c r="H104" t="n">
        <v>0.82</v>
      </c>
      <c r="I104" t="n">
        <v>0.927</v>
      </c>
      <c r="J104" t="inlineStr">
        <is>
          <t>brak</t>
        </is>
      </c>
      <c r="K104" t="n">
        <v>0</v>
      </c>
      <c r="L104" t="n">
        <v>0</v>
      </c>
      <c r="M104" t="n">
        <v>-25</v>
      </c>
      <c r="N104" t="n">
        <v>-35</v>
      </c>
      <c r="O104" t="n">
        <v>-18</v>
      </c>
    </row>
    <row r="105">
      <c r="A105" t="inlineStr">
        <is>
          <t>I5</t>
        </is>
      </c>
      <c r="B105" t="n">
        <v>10</v>
      </c>
      <c r="C105" t="inlineStr">
        <is>
          <t>NFZ</t>
        </is>
      </c>
      <c r="D105" t="n">
        <v>-291.3</v>
      </c>
      <c r="E105" t="n">
        <v>-384.2</v>
      </c>
      <c r="F105" t="n">
        <v>-218.7</v>
      </c>
      <c r="G105" t="n">
        <v>0.87</v>
      </c>
      <c r="H105" t="n">
        <v>0.774</v>
      </c>
      <c r="I105" t="n">
        <v>0.944</v>
      </c>
      <c r="J105" t="inlineStr">
        <is>
          <t>brak</t>
        </is>
      </c>
      <c r="K105" t="n">
        <v>0</v>
      </c>
      <c r="L105" t="n">
        <v>0</v>
      </c>
      <c r="M105" t="n">
        <v>-198</v>
      </c>
      <c r="N105" t="n">
        <v>-261</v>
      </c>
      <c r="O105" t="n">
        <v>-149</v>
      </c>
    </row>
    <row r="106">
      <c r="A106" t="inlineStr">
        <is>
          <t>I5</t>
        </is>
      </c>
      <c r="B106" t="n">
        <v>10</v>
      </c>
      <c r="C106" t="inlineStr">
        <is>
          <t>PUBLIC</t>
        </is>
      </c>
      <c r="D106" t="n">
        <v>-194</v>
      </c>
      <c r="E106" t="n">
        <v>-301.7</v>
      </c>
      <c r="F106" t="n">
        <v>-107.7</v>
      </c>
      <c r="G106" t="n">
        <v>0.578</v>
      </c>
      <c r="H106" t="n">
        <v>0.369</v>
      </c>
      <c r="I106" t="n">
        <v>0.777</v>
      </c>
      <c r="J106" t="inlineStr">
        <is>
          <t>brak</t>
        </is>
      </c>
      <c r="K106" t="n">
        <v>0</v>
      </c>
      <c r="L106" t="n">
        <v>0</v>
      </c>
      <c r="M106" t="n">
        <v>-198</v>
      </c>
      <c r="N106" t="n">
        <v>-261</v>
      </c>
      <c r="O106" t="n">
        <v>-149</v>
      </c>
    </row>
    <row r="107">
      <c r="A107" t="inlineStr">
        <is>
          <t>I5</t>
        </is>
      </c>
      <c r="B107" t="n">
        <v>10</v>
      </c>
      <c r="C107" t="inlineStr">
        <is>
          <t>SOCIETAL</t>
        </is>
      </c>
      <c r="D107" t="n">
        <v>-213.6</v>
      </c>
      <c r="E107" t="n">
        <v>-314.2</v>
      </c>
      <c r="F107" t="n">
        <v>-131.6</v>
      </c>
      <c r="G107" t="n">
        <v>0.632</v>
      </c>
      <c r="H107" t="n">
        <v>0.463</v>
      </c>
      <c r="I107" t="n">
        <v>0.8120000000000001</v>
      </c>
      <c r="J107" t="inlineStr">
        <is>
          <t>brak</t>
        </is>
      </c>
      <c r="K107" t="n">
        <v>0</v>
      </c>
      <c r="L107" t="n">
        <v>0</v>
      </c>
      <c r="M107" t="n">
        <v>-198</v>
      </c>
      <c r="N107" t="n">
        <v>-261</v>
      </c>
      <c r="O107" t="n">
        <v>-149</v>
      </c>
    </row>
    <row r="108">
      <c r="A108" t="inlineStr">
        <is>
          <t>I5</t>
        </is>
      </c>
      <c r="B108" t="n">
        <v>10</v>
      </c>
      <c r="C108" t="inlineStr">
        <is>
          <t>NFZ_TX</t>
        </is>
      </c>
      <c r="D108" t="n">
        <v>-291.3</v>
      </c>
      <c r="E108" t="n">
        <v>-384.2</v>
      </c>
      <c r="F108" t="n">
        <v>-218.7</v>
      </c>
      <c r="G108" t="n">
        <v>0.87</v>
      </c>
      <c r="H108" t="n">
        <v>0.774</v>
      </c>
      <c r="I108" t="n">
        <v>0.944</v>
      </c>
      <c r="J108" t="inlineStr">
        <is>
          <t>brak</t>
        </is>
      </c>
      <c r="K108" t="n">
        <v>0</v>
      </c>
      <c r="L108" t="n">
        <v>0</v>
      </c>
      <c r="M108" t="n">
        <v>-198</v>
      </c>
      <c r="N108" t="n">
        <v>-261</v>
      </c>
      <c r="O108" t="n">
        <v>-149</v>
      </c>
    </row>
    <row r="109">
      <c r="A109" t="inlineStr">
        <is>
          <t>I5</t>
        </is>
      </c>
      <c r="B109" t="n">
        <v>10</v>
      </c>
      <c r="C109" t="inlineStr">
        <is>
          <t>PUBLIC_TX</t>
        </is>
      </c>
      <c r="D109" t="n">
        <v>-194</v>
      </c>
      <c r="E109" t="n">
        <v>-301.7</v>
      </c>
      <c r="F109" t="n">
        <v>-107.7</v>
      </c>
      <c r="G109" t="n">
        <v>0.578</v>
      </c>
      <c r="H109" t="n">
        <v>0.369</v>
      </c>
      <c r="I109" t="n">
        <v>0.777</v>
      </c>
      <c r="J109" t="inlineStr">
        <is>
          <t>brak</t>
        </is>
      </c>
      <c r="K109" t="n">
        <v>0</v>
      </c>
      <c r="L109" t="n">
        <v>0</v>
      </c>
      <c r="M109" t="n">
        <v>-198</v>
      </c>
      <c r="N109" t="n">
        <v>-261</v>
      </c>
      <c r="O109" t="n">
        <v>-149</v>
      </c>
    </row>
    <row r="110">
      <c r="A110" t="inlineStr">
        <is>
          <t>I5</t>
        </is>
      </c>
      <c r="B110" t="n">
        <v>10</v>
      </c>
      <c r="C110" t="inlineStr">
        <is>
          <t>SOCIETAL_TX</t>
        </is>
      </c>
      <c r="D110" t="n">
        <v>-213.6</v>
      </c>
      <c r="E110" t="n">
        <v>-314.2</v>
      </c>
      <c r="F110" t="n">
        <v>-131.6</v>
      </c>
      <c r="G110" t="n">
        <v>0.632</v>
      </c>
      <c r="H110" t="n">
        <v>0.463</v>
      </c>
      <c r="I110" t="n">
        <v>0.8120000000000001</v>
      </c>
      <c r="J110" t="inlineStr">
        <is>
          <t>brak</t>
        </is>
      </c>
      <c r="K110" t="n">
        <v>0</v>
      </c>
      <c r="L110" t="n">
        <v>0</v>
      </c>
      <c r="M110" t="n">
        <v>-198</v>
      </c>
      <c r="N110" t="n">
        <v>-261</v>
      </c>
      <c r="O110" t="n">
        <v>-149</v>
      </c>
    </row>
    <row r="111">
      <c r="A111" t="inlineStr">
        <is>
          <t>I5</t>
        </is>
      </c>
      <c r="B111" t="n">
        <v>20</v>
      </c>
      <c r="C111" t="inlineStr">
        <is>
          <t>NFZ</t>
        </is>
      </c>
      <c r="D111" t="n">
        <v>-361.5</v>
      </c>
      <c r="E111" t="n">
        <v>-536</v>
      </c>
      <c r="F111" t="n">
        <v>-205.5</v>
      </c>
      <c r="G111" t="n">
        <v>0.666</v>
      </c>
      <c r="H111" t="n">
        <v>0.433</v>
      </c>
      <c r="I111" t="n">
        <v>0.847</v>
      </c>
      <c r="J111" t="inlineStr">
        <is>
          <t>brak</t>
        </is>
      </c>
      <c r="K111" t="n">
        <v>0</v>
      </c>
      <c r="L111" t="n">
        <v>0</v>
      </c>
      <c r="M111" t="n">
        <v>-1360</v>
      </c>
      <c r="N111" t="n">
        <v>-1685</v>
      </c>
      <c r="O111" t="n">
        <v>-1048</v>
      </c>
    </row>
    <row r="112">
      <c r="A112" t="inlineStr">
        <is>
          <t>I5</t>
        </is>
      </c>
      <c r="B112" t="n">
        <v>20</v>
      </c>
      <c r="C112" t="inlineStr">
        <is>
          <t>PUBLIC</t>
        </is>
      </c>
      <c r="D112" t="n">
        <v>-97.3</v>
      </c>
      <c r="E112" t="n">
        <v>-368.1</v>
      </c>
      <c r="F112" t="n">
        <v>180</v>
      </c>
      <c r="G112" t="n">
        <v>0.177</v>
      </c>
      <c r="H112" t="n">
        <v>-0.371</v>
      </c>
      <c r="I112" t="n">
        <v>0.612</v>
      </c>
      <c r="J112" t="inlineStr">
        <is>
          <t>brak</t>
        </is>
      </c>
      <c r="K112" t="n">
        <v>0</v>
      </c>
      <c r="L112" t="n">
        <v>0</v>
      </c>
      <c r="M112" t="n">
        <v>-1360</v>
      </c>
      <c r="N112" t="n">
        <v>-1685</v>
      </c>
      <c r="O112" t="n">
        <v>-1048</v>
      </c>
    </row>
    <row r="113">
      <c r="A113" t="inlineStr">
        <is>
          <t>I5</t>
        </is>
      </c>
      <c r="B113" t="n">
        <v>20</v>
      </c>
      <c r="C113" t="inlineStr">
        <is>
          <t>SOCIETAL</t>
        </is>
      </c>
      <c r="D113" t="n">
        <v>-98.90000000000001</v>
      </c>
      <c r="E113" t="n">
        <v>-340.8</v>
      </c>
      <c r="F113" t="n">
        <v>170.7</v>
      </c>
      <c r="G113" t="n">
        <v>0.182</v>
      </c>
      <c r="H113" t="n">
        <v>-0.336</v>
      </c>
      <c r="I113" t="n">
        <v>0.554</v>
      </c>
      <c r="J113" t="inlineStr">
        <is>
          <t>brak</t>
        </is>
      </c>
      <c r="K113" t="n">
        <v>0</v>
      </c>
      <c r="L113" t="n">
        <v>0</v>
      </c>
      <c r="M113" t="n">
        <v>-1360</v>
      </c>
      <c r="N113" t="n">
        <v>-1685</v>
      </c>
      <c r="O113" t="n">
        <v>-1048</v>
      </c>
    </row>
    <row r="114">
      <c r="A114" t="inlineStr">
        <is>
          <t>I5</t>
        </is>
      </c>
      <c r="B114" t="n">
        <v>20</v>
      </c>
      <c r="C114" t="inlineStr">
        <is>
          <t>NFZ_TX</t>
        </is>
      </c>
      <c r="D114" t="n">
        <v>-361.5</v>
      </c>
      <c r="E114" t="n">
        <v>-536</v>
      </c>
      <c r="F114" t="n">
        <v>-205.5</v>
      </c>
      <c r="G114" t="n">
        <v>0.666</v>
      </c>
      <c r="H114" t="n">
        <v>0.433</v>
      </c>
      <c r="I114" t="n">
        <v>0.847</v>
      </c>
      <c r="J114" t="inlineStr">
        <is>
          <t>brak</t>
        </is>
      </c>
      <c r="K114" t="n">
        <v>0</v>
      </c>
      <c r="L114" t="n">
        <v>0</v>
      </c>
      <c r="M114" t="n">
        <v>-1360</v>
      </c>
      <c r="N114" t="n">
        <v>-1685</v>
      </c>
      <c r="O114" t="n">
        <v>-1048</v>
      </c>
    </row>
    <row r="115">
      <c r="A115" t="inlineStr">
        <is>
          <t>I5</t>
        </is>
      </c>
      <c r="B115" t="n">
        <v>20</v>
      </c>
      <c r="C115" t="inlineStr">
        <is>
          <t>PUBLIC_TX</t>
        </is>
      </c>
      <c r="D115" t="n">
        <v>-97.3</v>
      </c>
      <c r="E115" t="n">
        <v>-368.1</v>
      </c>
      <c r="F115" t="n">
        <v>180</v>
      </c>
      <c r="G115" t="n">
        <v>0.177</v>
      </c>
      <c r="H115" t="n">
        <v>-0.371</v>
      </c>
      <c r="I115" t="n">
        <v>0.612</v>
      </c>
      <c r="J115" t="inlineStr">
        <is>
          <t>brak</t>
        </is>
      </c>
      <c r="K115" t="n">
        <v>0</v>
      </c>
      <c r="L115" t="n">
        <v>0</v>
      </c>
      <c r="M115" t="n">
        <v>-1360</v>
      </c>
      <c r="N115" t="n">
        <v>-1685</v>
      </c>
      <c r="O115" t="n">
        <v>-1048</v>
      </c>
    </row>
    <row r="116">
      <c r="A116" t="inlineStr">
        <is>
          <t>I5</t>
        </is>
      </c>
      <c r="B116" t="n">
        <v>20</v>
      </c>
      <c r="C116" t="inlineStr">
        <is>
          <t>SOCIETAL_TX</t>
        </is>
      </c>
      <c r="D116" t="n">
        <v>-98.90000000000001</v>
      </c>
      <c r="E116" t="n">
        <v>-340.8</v>
      </c>
      <c r="F116" t="n">
        <v>170.7</v>
      </c>
      <c r="G116" t="n">
        <v>0.182</v>
      </c>
      <c r="H116" t="n">
        <v>-0.336</v>
      </c>
      <c r="I116" t="n">
        <v>0.554</v>
      </c>
      <c r="J116" t="inlineStr">
        <is>
          <t>brak</t>
        </is>
      </c>
      <c r="K116" t="n">
        <v>0</v>
      </c>
      <c r="L116" t="n">
        <v>0</v>
      </c>
      <c r="M116" t="n">
        <v>-1360</v>
      </c>
      <c r="N116" t="n">
        <v>-1685</v>
      </c>
      <c r="O116" t="n">
        <v>-1048</v>
      </c>
    </row>
    <row r="117">
      <c r="A117" t="inlineStr">
        <is>
          <t>I5</t>
        </is>
      </c>
      <c r="B117" t="n">
        <v>50</v>
      </c>
      <c r="C117" t="inlineStr">
        <is>
          <t>NFZ</t>
        </is>
      </c>
      <c r="D117" t="n">
        <v>-234.6</v>
      </c>
      <c r="E117" t="n">
        <v>-577.7</v>
      </c>
      <c r="F117" t="n">
        <v>194.4</v>
      </c>
      <c r="G117" t="n">
        <v>0.297</v>
      </c>
      <c r="H117" t="n">
        <v>-0.266</v>
      </c>
      <c r="I117" t="n">
        <v>0.642</v>
      </c>
      <c r="J117" t="inlineStr">
        <is>
          <t>brak</t>
        </is>
      </c>
      <c r="K117" t="n">
        <v>0</v>
      </c>
      <c r="L117" t="n">
        <v>0</v>
      </c>
      <c r="M117" t="n">
        <v>-10569</v>
      </c>
      <c r="N117" t="n">
        <v>-12497</v>
      </c>
      <c r="O117" t="n">
        <v>-8612</v>
      </c>
    </row>
    <row r="118">
      <c r="A118" t="inlineStr">
        <is>
          <t>I5</t>
        </is>
      </c>
      <c r="B118" t="n">
        <v>50</v>
      </c>
      <c r="C118" t="inlineStr">
        <is>
          <t>PUBLIC</t>
        </is>
      </c>
      <c r="D118" t="n">
        <v>514.4</v>
      </c>
      <c r="E118" t="n">
        <v>-73.8</v>
      </c>
      <c r="F118" t="n">
        <v>1406.3</v>
      </c>
      <c r="G118" t="n">
        <v>-0.654</v>
      </c>
      <c r="H118" t="n">
        <v>-1.88</v>
      </c>
      <c r="I118" t="n">
        <v>0.078</v>
      </c>
      <c r="J118" t="inlineStr">
        <is>
          <t>brak</t>
        </is>
      </c>
      <c r="K118" t="n">
        <v>0</v>
      </c>
      <c r="L118" t="n">
        <v>0</v>
      </c>
      <c r="M118" t="n">
        <v>-10569</v>
      </c>
      <c r="N118" t="n">
        <v>-12497</v>
      </c>
      <c r="O118" t="n">
        <v>-8612</v>
      </c>
    </row>
    <row r="119">
      <c r="A119" t="inlineStr">
        <is>
          <t>I5</t>
        </is>
      </c>
      <c r="B119" t="n">
        <v>50</v>
      </c>
      <c r="C119" t="inlineStr">
        <is>
          <t>SOCIETAL</t>
        </is>
      </c>
      <c r="D119" t="n">
        <v>817.5</v>
      </c>
      <c r="E119" t="n">
        <v>227.7</v>
      </c>
      <c r="F119" t="n">
        <v>1570.2</v>
      </c>
      <c r="G119" t="n">
        <v>-1.036</v>
      </c>
      <c r="H119" t="n">
        <v>-2.174</v>
      </c>
      <c r="I119" t="n">
        <v>-0.257</v>
      </c>
      <c r="J119" t="inlineStr">
        <is>
          <t>brak</t>
        </is>
      </c>
      <c r="K119" t="n">
        <v>0</v>
      </c>
      <c r="L119" t="n">
        <v>0</v>
      </c>
      <c r="M119" t="n">
        <v>-10569</v>
      </c>
      <c r="N119" t="n">
        <v>-12497</v>
      </c>
      <c r="O119" t="n">
        <v>-8612</v>
      </c>
    </row>
    <row r="120">
      <c r="A120" t="inlineStr">
        <is>
          <t>I5</t>
        </is>
      </c>
      <c r="B120" t="n">
        <v>50</v>
      </c>
      <c r="C120" t="inlineStr">
        <is>
          <t>NFZ_TX</t>
        </is>
      </c>
      <c r="D120" t="n">
        <v>-234.6</v>
      </c>
      <c r="E120" t="n">
        <v>-577.7</v>
      </c>
      <c r="F120" t="n">
        <v>194.4</v>
      </c>
      <c r="G120" t="n">
        <v>0.297</v>
      </c>
      <c r="H120" t="n">
        <v>-0.266</v>
      </c>
      <c r="I120" t="n">
        <v>0.642</v>
      </c>
      <c r="J120" t="inlineStr">
        <is>
          <t>brak</t>
        </is>
      </c>
      <c r="K120" t="n">
        <v>0</v>
      </c>
      <c r="L120" t="n">
        <v>0</v>
      </c>
      <c r="M120" t="n">
        <v>-10569</v>
      </c>
      <c r="N120" t="n">
        <v>-12497</v>
      </c>
      <c r="O120" t="n">
        <v>-8612</v>
      </c>
    </row>
    <row r="121">
      <c r="A121" t="inlineStr">
        <is>
          <t>I5</t>
        </is>
      </c>
      <c r="B121" t="n">
        <v>50</v>
      </c>
      <c r="C121" t="inlineStr">
        <is>
          <t>PUBLIC_TX</t>
        </is>
      </c>
      <c r="D121" t="n">
        <v>514.4</v>
      </c>
      <c r="E121" t="n">
        <v>-73.8</v>
      </c>
      <c r="F121" t="n">
        <v>1406.3</v>
      </c>
      <c r="G121" t="n">
        <v>-0.654</v>
      </c>
      <c r="H121" t="n">
        <v>-1.88</v>
      </c>
      <c r="I121" t="n">
        <v>0.078</v>
      </c>
      <c r="J121" t="inlineStr">
        <is>
          <t>brak</t>
        </is>
      </c>
      <c r="K121" t="n">
        <v>0</v>
      </c>
      <c r="L121" t="n">
        <v>0</v>
      </c>
      <c r="M121" t="n">
        <v>-10569</v>
      </c>
      <c r="N121" t="n">
        <v>-12497</v>
      </c>
      <c r="O121" t="n">
        <v>-8612</v>
      </c>
    </row>
    <row r="122">
      <c r="A122" t="inlineStr">
        <is>
          <t>I5</t>
        </is>
      </c>
      <c r="B122" t="n">
        <v>50</v>
      </c>
      <c r="C122" t="inlineStr">
        <is>
          <t>SOCIETAL_TX</t>
        </is>
      </c>
      <c r="D122" t="n">
        <v>817.5</v>
      </c>
      <c r="E122" t="n">
        <v>227.7</v>
      </c>
      <c r="F122" t="n">
        <v>1570.2</v>
      </c>
      <c r="G122" t="n">
        <v>-1.036</v>
      </c>
      <c r="H122" t="n">
        <v>-2.174</v>
      </c>
      <c r="I122" t="n">
        <v>-0.257</v>
      </c>
      <c r="J122" t="inlineStr">
        <is>
          <t>brak</t>
        </is>
      </c>
      <c r="K122" t="n">
        <v>0</v>
      </c>
      <c r="L122" t="n">
        <v>0</v>
      </c>
      <c r="M122" t="n">
        <v>-10569</v>
      </c>
      <c r="N122" t="n">
        <v>-12497</v>
      </c>
      <c r="O122" t="n">
        <v>-8612</v>
      </c>
    </row>
    <row r="123">
      <c r="A123" t="inlineStr">
        <is>
          <t>S0</t>
        </is>
      </c>
      <c r="B123" t="n">
        <v>5</v>
      </c>
      <c r="C123" t="inlineStr">
        <is>
          <t>NFZ</t>
        </is>
      </c>
      <c r="D123" t="n">
        <v>-500.1</v>
      </c>
      <c r="E123" t="n">
        <v>-669.6</v>
      </c>
      <c r="F123" t="n">
        <v>-371.1</v>
      </c>
      <c r="G123" t="n">
        <v>0.799</v>
      </c>
      <c r="H123" t="n">
        <v>0.715</v>
      </c>
      <c r="I123" t="n">
        <v>0.862</v>
      </c>
      <c r="J123" t="inlineStr">
        <is>
          <t>brak</t>
        </is>
      </c>
      <c r="K123" t="n">
        <v>0</v>
      </c>
      <c r="L123" t="n">
        <v>0</v>
      </c>
      <c r="M123" t="n">
        <v>-84</v>
      </c>
      <c r="N123" t="n">
        <v>-117</v>
      </c>
      <c r="O123" t="n">
        <v>-59</v>
      </c>
    </row>
    <row r="124">
      <c r="A124" t="inlineStr">
        <is>
          <t>S0</t>
        </is>
      </c>
      <c r="B124" t="n">
        <v>5</v>
      </c>
      <c r="C124" t="inlineStr">
        <is>
          <t>PUBLIC</t>
        </is>
      </c>
      <c r="D124" t="n">
        <v>-281.7</v>
      </c>
      <c r="E124" t="n">
        <v>-463.1</v>
      </c>
      <c r="F124" t="n">
        <v>-135.5</v>
      </c>
      <c r="G124" t="n">
        <v>0.45</v>
      </c>
      <c r="H124" t="n">
        <v>0.263</v>
      </c>
      <c r="I124" t="n">
        <v>0.6</v>
      </c>
      <c r="J124" t="inlineStr">
        <is>
          <t>brak</t>
        </is>
      </c>
      <c r="K124" t="n">
        <v>0</v>
      </c>
      <c r="L124" t="n">
        <v>0</v>
      </c>
      <c r="M124" t="n">
        <v>-84</v>
      </c>
      <c r="N124" t="n">
        <v>-117</v>
      </c>
      <c r="O124" t="n">
        <v>-59</v>
      </c>
    </row>
    <row r="125">
      <c r="A125" t="inlineStr">
        <is>
          <t>S0</t>
        </is>
      </c>
      <c r="B125" t="n">
        <v>5</v>
      </c>
      <c r="C125" t="inlineStr">
        <is>
          <t>SOCIETAL</t>
        </is>
      </c>
      <c r="D125" t="n">
        <v>-396.3</v>
      </c>
      <c r="E125" t="n">
        <v>-564.6</v>
      </c>
      <c r="F125" t="n">
        <v>-264.3</v>
      </c>
      <c r="G125" t="n">
        <v>0.635</v>
      </c>
      <c r="H125" t="n">
        <v>0.515</v>
      </c>
      <c r="I125" t="n">
        <v>0.725</v>
      </c>
      <c r="J125" t="inlineStr">
        <is>
          <t>brak</t>
        </is>
      </c>
      <c r="K125" t="n">
        <v>0</v>
      </c>
      <c r="L125" t="n">
        <v>0</v>
      </c>
      <c r="M125" t="n">
        <v>-84</v>
      </c>
      <c r="N125" t="n">
        <v>-117</v>
      </c>
      <c r="O125" t="n">
        <v>-59</v>
      </c>
    </row>
    <row r="126">
      <c r="A126" t="inlineStr">
        <is>
          <t>S0</t>
        </is>
      </c>
      <c r="B126" t="n">
        <v>5</v>
      </c>
      <c r="C126" t="inlineStr">
        <is>
          <t>NFZ_TX</t>
        </is>
      </c>
      <c r="D126" t="n">
        <v>-500.1</v>
      </c>
      <c r="E126" t="n">
        <v>-669.6</v>
      </c>
      <c r="F126" t="n">
        <v>-371.1</v>
      </c>
      <c r="G126" t="n">
        <v>0.799</v>
      </c>
      <c r="H126" t="n">
        <v>0.715</v>
      </c>
      <c r="I126" t="n">
        <v>0.862</v>
      </c>
      <c r="J126" t="inlineStr">
        <is>
          <t>brak</t>
        </is>
      </c>
      <c r="K126" t="n">
        <v>0</v>
      </c>
      <c r="L126" t="n">
        <v>0</v>
      </c>
      <c r="M126" t="n">
        <v>-84</v>
      </c>
      <c r="N126" t="n">
        <v>-117</v>
      </c>
      <c r="O126" t="n">
        <v>-59</v>
      </c>
    </row>
    <row r="127">
      <c r="A127" t="inlineStr">
        <is>
          <t>S0</t>
        </is>
      </c>
      <c r="B127" t="n">
        <v>5</v>
      </c>
      <c r="C127" t="inlineStr">
        <is>
          <t>PUBLIC_TX</t>
        </is>
      </c>
      <c r="D127" t="n">
        <v>-281.7</v>
      </c>
      <c r="E127" t="n">
        <v>-463.1</v>
      </c>
      <c r="F127" t="n">
        <v>-135.5</v>
      </c>
      <c r="G127" t="n">
        <v>0.45</v>
      </c>
      <c r="H127" t="n">
        <v>0.263</v>
      </c>
      <c r="I127" t="n">
        <v>0.6</v>
      </c>
      <c r="J127" t="inlineStr">
        <is>
          <t>brak</t>
        </is>
      </c>
      <c r="K127" t="n">
        <v>0</v>
      </c>
      <c r="L127" t="n">
        <v>0</v>
      </c>
      <c r="M127" t="n">
        <v>-84</v>
      </c>
      <c r="N127" t="n">
        <v>-117</v>
      </c>
      <c r="O127" t="n">
        <v>-59</v>
      </c>
    </row>
    <row r="128">
      <c r="A128" t="inlineStr">
        <is>
          <t>S0</t>
        </is>
      </c>
      <c r="B128" t="n">
        <v>5</v>
      </c>
      <c r="C128" t="inlineStr">
        <is>
          <t>SOCIETAL_TX</t>
        </is>
      </c>
      <c r="D128" t="n">
        <v>-396.3</v>
      </c>
      <c r="E128" t="n">
        <v>-564.6</v>
      </c>
      <c r="F128" t="n">
        <v>-264.3</v>
      </c>
      <c r="G128" t="n">
        <v>0.635</v>
      </c>
      <c r="H128" t="n">
        <v>0.515</v>
      </c>
      <c r="I128" t="n">
        <v>0.725</v>
      </c>
      <c r="J128" t="inlineStr">
        <is>
          <t>brak</t>
        </is>
      </c>
      <c r="K128" t="n">
        <v>0</v>
      </c>
      <c r="L128" t="n">
        <v>0</v>
      </c>
      <c r="M128" t="n">
        <v>-84</v>
      </c>
      <c r="N128" t="n">
        <v>-117</v>
      </c>
      <c r="O128" t="n">
        <v>-59</v>
      </c>
    </row>
    <row r="129">
      <c r="A129" t="inlineStr">
        <is>
          <t>S0</t>
        </is>
      </c>
      <c r="B129" t="n">
        <v>10</v>
      </c>
      <c r="C129" t="inlineStr">
        <is>
          <t>NFZ</t>
        </is>
      </c>
      <c r="D129" t="n">
        <v>-641.9</v>
      </c>
      <c r="E129" t="n">
        <v>-954.5</v>
      </c>
      <c r="F129" t="n">
        <v>-380.9</v>
      </c>
      <c r="G129" t="n">
        <v>0.574</v>
      </c>
      <c r="H129" t="n">
        <v>0.408</v>
      </c>
      <c r="I129" t="n">
        <v>0.698</v>
      </c>
      <c r="J129" t="inlineStr">
        <is>
          <t>brak</t>
        </is>
      </c>
      <c r="K129" t="n">
        <v>0</v>
      </c>
      <c r="L129" t="n">
        <v>0</v>
      </c>
      <c r="M129" t="n">
        <v>-663</v>
      </c>
      <c r="N129" t="n">
        <v>-873</v>
      </c>
      <c r="O129" t="n">
        <v>-497</v>
      </c>
    </row>
    <row r="130">
      <c r="A130" t="inlineStr">
        <is>
          <t>S0</t>
        </is>
      </c>
      <c r="B130" t="n">
        <v>10</v>
      </c>
      <c r="C130" t="inlineStr">
        <is>
          <t>PUBLIC</t>
        </is>
      </c>
      <c r="D130" t="n">
        <v>100.1</v>
      </c>
      <c r="E130" t="n">
        <v>-276.7</v>
      </c>
      <c r="F130" t="n">
        <v>435.7</v>
      </c>
      <c r="G130" t="n">
        <v>-0.089</v>
      </c>
      <c r="H130" t="n">
        <v>-0.453</v>
      </c>
      <c r="I130" t="n">
        <v>0.212</v>
      </c>
      <c r="J130" t="inlineStr">
        <is>
          <t>brak</t>
        </is>
      </c>
      <c r="K130" t="n">
        <v>0</v>
      </c>
      <c r="L130" t="n">
        <v>0</v>
      </c>
      <c r="M130" t="n">
        <v>-663</v>
      </c>
      <c r="N130" t="n">
        <v>-873</v>
      </c>
      <c r="O130" t="n">
        <v>-497</v>
      </c>
    </row>
    <row r="131">
      <c r="A131" t="inlineStr">
        <is>
          <t>S0</t>
        </is>
      </c>
      <c r="B131" t="n">
        <v>10</v>
      </c>
      <c r="C131" t="inlineStr">
        <is>
          <t>SOCIETAL</t>
        </is>
      </c>
      <c r="D131" t="n">
        <v>-222.1</v>
      </c>
      <c r="E131" t="n">
        <v>-545.2</v>
      </c>
      <c r="F131" t="n">
        <v>63.8</v>
      </c>
      <c r="G131" t="n">
        <v>0.198</v>
      </c>
      <c r="H131" t="n">
        <v>-0.07000000000000001</v>
      </c>
      <c r="I131" t="n">
        <v>0.404</v>
      </c>
      <c r="J131" t="inlineStr">
        <is>
          <t>brak</t>
        </is>
      </c>
      <c r="K131" t="n">
        <v>0</v>
      </c>
      <c r="L131" t="n">
        <v>0</v>
      </c>
      <c r="M131" t="n">
        <v>-663</v>
      </c>
      <c r="N131" t="n">
        <v>-873</v>
      </c>
      <c r="O131" t="n">
        <v>-497</v>
      </c>
    </row>
    <row r="132">
      <c r="A132" t="inlineStr">
        <is>
          <t>S0</t>
        </is>
      </c>
      <c r="B132" t="n">
        <v>10</v>
      </c>
      <c r="C132" t="inlineStr">
        <is>
          <t>NFZ_TX</t>
        </is>
      </c>
      <c r="D132" t="n">
        <v>-641.9</v>
      </c>
      <c r="E132" t="n">
        <v>-954.5</v>
      </c>
      <c r="F132" t="n">
        <v>-380.9</v>
      </c>
      <c r="G132" t="n">
        <v>0.574</v>
      </c>
      <c r="H132" t="n">
        <v>0.408</v>
      </c>
      <c r="I132" t="n">
        <v>0.698</v>
      </c>
      <c r="J132" t="inlineStr">
        <is>
          <t>brak</t>
        </is>
      </c>
      <c r="K132" t="n">
        <v>0</v>
      </c>
      <c r="L132" t="n">
        <v>0</v>
      </c>
      <c r="M132" t="n">
        <v>-663</v>
      </c>
      <c r="N132" t="n">
        <v>-873</v>
      </c>
      <c r="O132" t="n">
        <v>-497</v>
      </c>
    </row>
    <row r="133">
      <c r="A133" t="inlineStr">
        <is>
          <t>S0</t>
        </is>
      </c>
      <c r="B133" t="n">
        <v>10</v>
      </c>
      <c r="C133" t="inlineStr">
        <is>
          <t>PUBLIC_TX</t>
        </is>
      </c>
      <c r="D133" t="n">
        <v>100.1</v>
      </c>
      <c r="E133" t="n">
        <v>-276.7</v>
      </c>
      <c r="F133" t="n">
        <v>435.7</v>
      </c>
      <c r="G133" t="n">
        <v>-0.089</v>
      </c>
      <c r="H133" t="n">
        <v>-0.453</v>
      </c>
      <c r="I133" t="n">
        <v>0.212</v>
      </c>
      <c r="J133" t="inlineStr">
        <is>
          <t>brak</t>
        </is>
      </c>
      <c r="K133" t="n">
        <v>0</v>
      </c>
      <c r="L133" t="n">
        <v>0</v>
      </c>
      <c r="M133" t="n">
        <v>-663</v>
      </c>
      <c r="N133" t="n">
        <v>-873</v>
      </c>
      <c r="O133" t="n">
        <v>-497</v>
      </c>
    </row>
    <row r="134">
      <c r="A134" t="inlineStr">
        <is>
          <t>S0</t>
        </is>
      </c>
      <c r="B134" t="n">
        <v>10</v>
      </c>
      <c r="C134" t="inlineStr">
        <is>
          <t>SOCIETAL_TX</t>
        </is>
      </c>
      <c r="D134" t="n">
        <v>-222.1</v>
      </c>
      <c r="E134" t="n">
        <v>-545.2</v>
      </c>
      <c r="F134" t="n">
        <v>63.8</v>
      </c>
      <c r="G134" t="n">
        <v>0.198</v>
      </c>
      <c r="H134" t="n">
        <v>-0.07000000000000001</v>
      </c>
      <c r="I134" t="n">
        <v>0.404</v>
      </c>
      <c r="J134" t="inlineStr">
        <is>
          <t>brak</t>
        </is>
      </c>
      <c r="K134" t="n">
        <v>0</v>
      </c>
      <c r="L134" t="n">
        <v>0</v>
      </c>
      <c r="M134" t="n">
        <v>-663</v>
      </c>
      <c r="N134" t="n">
        <v>-873</v>
      </c>
      <c r="O134" t="n">
        <v>-497</v>
      </c>
    </row>
    <row r="135">
      <c r="A135" t="inlineStr">
        <is>
          <t>S0</t>
        </is>
      </c>
      <c r="B135" t="n">
        <v>20</v>
      </c>
      <c r="C135" t="inlineStr">
        <is>
          <t>NFZ</t>
        </is>
      </c>
      <c r="D135" t="n">
        <v>-190.9</v>
      </c>
      <c r="E135" t="n">
        <v>-757.9</v>
      </c>
      <c r="F135" t="n">
        <v>349.4</v>
      </c>
      <c r="G135" t="n">
        <v>0.106</v>
      </c>
      <c r="H135" t="n">
        <v>-0.229</v>
      </c>
      <c r="I135" t="n">
        <v>0.348</v>
      </c>
      <c r="J135" t="inlineStr">
        <is>
          <t>brak</t>
        </is>
      </c>
      <c r="K135" t="n">
        <v>0</v>
      </c>
      <c r="L135" t="n">
        <v>0</v>
      </c>
      <c r="M135" t="n">
        <v>-4635</v>
      </c>
      <c r="N135" t="n">
        <v>-5740</v>
      </c>
      <c r="O135" t="n">
        <v>-3576</v>
      </c>
    </row>
    <row r="136">
      <c r="A136" t="inlineStr">
        <is>
          <t>S0</t>
        </is>
      </c>
      <c r="B136" t="n">
        <v>20</v>
      </c>
      <c r="C136" t="inlineStr">
        <is>
          <t>PUBLIC</t>
        </is>
      </c>
      <c r="D136" t="n">
        <v>1948.1</v>
      </c>
      <c r="E136" t="n">
        <v>1072.1</v>
      </c>
      <c r="F136" t="n">
        <v>2863.7</v>
      </c>
      <c r="G136" t="n">
        <v>-1.08</v>
      </c>
      <c r="H136" t="n">
        <v>-1.796</v>
      </c>
      <c r="I136" t="n">
        <v>-0.504</v>
      </c>
      <c r="J136" t="inlineStr">
        <is>
          <t>brak</t>
        </is>
      </c>
      <c r="K136" t="n">
        <v>0</v>
      </c>
      <c r="L136" t="n">
        <v>0</v>
      </c>
      <c r="M136" t="n">
        <v>-4635</v>
      </c>
      <c r="N136" t="n">
        <v>-5740</v>
      </c>
      <c r="O136" t="n">
        <v>-3576</v>
      </c>
    </row>
    <row r="137">
      <c r="A137" t="inlineStr">
        <is>
          <t>S0</t>
        </is>
      </c>
      <c r="B137" t="n">
        <v>20</v>
      </c>
      <c r="C137" t="inlineStr">
        <is>
          <t>SOCIETAL</t>
        </is>
      </c>
      <c r="D137" t="n">
        <v>1168.5</v>
      </c>
      <c r="E137" t="n">
        <v>456.9</v>
      </c>
      <c r="F137" t="n">
        <v>1969.7</v>
      </c>
      <c r="G137" t="n">
        <v>-0.656</v>
      </c>
      <c r="H137" t="n">
        <v>-1.255</v>
      </c>
      <c r="I137" t="n">
        <v>-0.224</v>
      </c>
      <c r="J137" t="inlineStr">
        <is>
          <t>brak</t>
        </is>
      </c>
      <c r="K137" t="n">
        <v>0</v>
      </c>
      <c r="L137" t="n">
        <v>0</v>
      </c>
      <c r="M137" t="n">
        <v>-4635</v>
      </c>
      <c r="N137" t="n">
        <v>-5740</v>
      </c>
      <c r="O137" t="n">
        <v>-3576</v>
      </c>
    </row>
    <row r="138">
      <c r="A138" t="inlineStr">
        <is>
          <t>S0</t>
        </is>
      </c>
      <c r="B138" t="n">
        <v>20</v>
      </c>
      <c r="C138" t="inlineStr">
        <is>
          <t>NFZ_TX</t>
        </is>
      </c>
      <c r="D138" t="n">
        <v>-190.9</v>
      </c>
      <c r="E138" t="n">
        <v>-757.9</v>
      </c>
      <c r="F138" t="n">
        <v>349.4</v>
      </c>
      <c r="G138" t="n">
        <v>0.106</v>
      </c>
      <c r="H138" t="n">
        <v>-0.229</v>
      </c>
      <c r="I138" t="n">
        <v>0.348</v>
      </c>
      <c r="J138" t="inlineStr">
        <is>
          <t>brak</t>
        </is>
      </c>
      <c r="K138" t="n">
        <v>0</v>
      </c>
      <c r="L138" t="n">
        <v>0</v>
      </c>
      <c r="M138" t="n">
        <v>-4635</v>
      </c>
      <c r="N138" t="n">
        <v>-5740</v>
      </c>
      <c r="O138" t="n">
        <v>-3576</v>
      </c>
    </row>
    <row r="139">
      <c r="A139" t="inlineStr">
        <is>
          <t>S0</t>
        </is>
      </c>
      <c r="B139" t="n">
        <v>20</v>
      </c>
      <c r="C139" t="inlineStr">
        <is>
          <t>PUBLIC_TX</t>
        </is>
      </c>
      <c r="D139" t="n">
        <v>1948.1</v>
      </c>
      <c r="E139" t="n">
        <v>1072.1</v>
      </c>
      <c r="F139" t="n">
        <v>2863.7</v>
      </c>
      <c r="G139" t="n">
        <v>-1.08</v>
      </c>
      <c r="H139" t="n">
        <v>-1.796</v>
      </c>
      <c r="I139" t="n">
        <v>-0.504</v>
      </c>
      <c r="J139" t="inlineStr">
        <is>
          <t>brak</t>
        </is>
      </c>
      <c r="K139" t="n">
        <v>0</v>
      </c>
      <c r="L139" t="n">
        <v>0</v>
      </c>
      <c r="M139" t="n">
        <v>-4635</v>
      </c>
      <c r="N139" t="n">
        <v>-5740</v>
      </c>
      <c r="O139" t="n">
        <v>-3576</v>
      </c>
    </row>
    <row r="140">
      <c r="A140" t="inlineStr">
        <is>
          <t>S0</t>
        </is>
      </c>
      <c r="B140" t="n">
        <v>20</v>
      </c>
      <c r="C140" t="inlineStr">
        <is>
          <t>SOCIETAL_TX</t>
        </is>
      </c>
      <c r="D140" t="n">
        <v>1168.5</v>
      </c>
      <c r="E140" t="n">
        <v>456.9</v>
      </c>
      <c r="F140" t="n">
        <v>1969.7</v>
      </c>
      <c r="G140" t="n">
        <v>-0.656</v>
      </c>
      <c r="H140" t="n">
        <v>-1.255</v>
      </c>
      <c r="I140" t="n">
        <v>-0.224</v>
      </c>
      <c r="J140" t="inlineStr">
        <is>
          <t>brak</t>
        </is>
      </c>
      <c r="K140" t="n">
        <v>0</v>
      </c>
      <c r="L140" t="n">
        <v>0</v>
      </c>
      <c r="M140" t="n">
        <v>-4635</v>
      </c>
      <c r="N140" t="n">
        <v>-5740</v>
      </c>
      <c r="O140" t="n">
        <v>-3576</v>
      </c>
    </row>
    <row r="141">
      <c r="A141" t="inlineStr">
        <is>
          <t>S0</t>
        </is>
      </c>
      <c r="B141" t="n">
        <v>50</v>
      </c>
      <c r="C141" t="inlineStr">
        <is>
          <t>NFZ</t>
        </is>
      </c>
      <c r="D141" t="n">
        <v>2134</v>
      </c>
      <c r="E141" t="n">
        <v>992.7</v>
      </c>
      <c r="F141" t="n">
        <v>3412</v>
      </c>
      <c r="G141" t="n">
        <v>-0.8110000000000001</v>
      </c>
      <c r="H141" t="n">
        <v>-1.454</v>
      </c>
      <c r="I141" t="n">
        <v>-0.322</v>
      </c>
      <c r="J141" t="inlineStr">
        <is>
          <t>brak</t>
        </is>
      </c>
      <c r="K141" t="n">
        <v>0</v>
      </c>
      <c r="L141" t="n">
        <v>0</v>
      </c>
      <c r="M141" t="n">
        <v>-37713</v>
      </c>
      <c r="N141" t="n">
        <v>-44577</v>
      </c>
      <c r="O141" t="n">
        <v>-30923</v>
      </c>
    </row>
    <row r="142">
      <c r="A142" t="inlineStr">
        <is>
          <t>S0</t>
        </is>
      </c>
      <c r="B142" t="n">
        <v>50</v>
      </c>
      <c r="C142" t="inlineStr">
        <is>
          <t>PUBLIC</t>
        </is>
      </c>
      <c r="D142" t="n">
        <v>8213.700000000001</v>
      </c>
      <c r="E142" t="n">
        <v>6046.3</v>
      </c>
      <c r="F142" t="n">
        <v>10545</v>
      </c>
      <c r="G142" t="n">
        <v>-3.113</v>
      </c>
      <c r="H142" t="n">
        <v>-4.489</v>
      </c>
      <c r="I142" t="n">
        <v>-1.987</v>
      </c>
      <c r="J142" t="inlineStr">
        <is>
          <t>brak</t>
        </is>
      </c>
      <c r="K142" t="n">
        <v>0</v>
      </c>
      <c r="L142" t="n">
        <v>0</v>
      </c>
      <c r="M142" t="n">
        <v>-37713</v>
      </c>
      <c r="N142" t="n">
        <v>-44577</v>
      </c>
      <c r="O142" t="n">
        <v>-30923</v>
      </c>
    </row>
    <row r="143">
      <c r="A143" t="inlineStr">
        <is>
          <t>S0</t>
        </is>
      </c>
      <c r="B143" t="n">
        <v>50</v>
      </c>
      <c r="C143" t="inlineStr">
        <is>
          <t>SOCIETAL</t>
        </is>
      </c>
      <c r="D143" t="n">
        <v>7037</v>
      </c>
      <c r="E143" t="n">
        <v>5130.2</v>
      </c>
      <c r="F143" t="n">
        <v>9030.299999999999</v>
      </c>
      <c r="G143" t="n">
        <v>-2.664</v>
      </c>
      <c r="H143" t="n">
        <v>-3.853</v>
      </c>
      <c r="I143" t="n">
        <v>-1.68</v>
      </c>
      <c r="J143" t="inlineStr">
        <is>
          <t>brak</t>
        </is>
      </c>
      <c r="K143" t="n">
        <v>0</v>
      </c>
      <c r="L143" t="n">
        <v>0</v>
      </c>
      <c r="M143" t="n">
        <v>-37713</v>
      </c>
      <c r="N143" t="n">
        <v>-44577</v>
      </c>
      <c r="O143" t="n">
        <v>-30923</v>
      </c>
    </row>
    <row r="144">
      <c r="A144" t="inlineStr">
        <is>
          <t>S0</t>
        </is>
      </c>
      <c r="B144" t="n">
        <v>50</v>
      </c>
      <c r="C144" t="inlineStr">
        <is>
          <t>NFZ_TX</t>
        </is>
      </c>
      <c r="D144" t="n">
        <v>2134</v>
      </c>
      <c r="E144" t="n">
        <v>992.7</v>
      </c>
      <c r="F144" t="n">
        <v>3412</v>
      </c>
      <c r="G144" t="n">
        <v>-0.8110000000000001</v>
      </c>
      <c r="H144" t="n">
        <v>-1.454</v>
      </c>
      <c r="I144" t="n">
        <v>-0.322</v>
      </c>
      <c r="J144" t="inlineStr">
        <is>
          <t>brak</t>
        </is>
      </c>
      <c r="K144" t="n">
        <v>0</v>
      </c>
      <c r="L144" t="n">
        <v>0</v>
      </c>
      <c r="M144" t="n">
        <v>-37713</v>
      </c>
      <c r="N144" t="n">
        <v>-44577</v>
      </c>
      <c r="O144" t="n">
        <v>-30923</v>
      </c>
    </row>
    <row r="145">
      <c r="A145" t="inlineStr">
        <is>
          <t>S0</t>
        </is>
      </c>
      <c r="B145" t="n">
        <v>50</v>
      </c>
      <c r="C145" t="inlineStr">
        <is>
          <t>PUBLIC_TX</t>
        </is>
      </c>
      <c r="D145" t="n">
        <v>8213.700000000001</v>
      </c>
      <c r="E145" t="n">
        <v>6046.3</v>
      </c>
      <c r="F145" t="n">
        <v>10545</v>
      </c>
      <c r="G145" t="n">
        <v>-3.113</v>
      </c>
      <c r="H145" t="n">
        <v>-4.489</v>
      </c>
      <c r="I145" t="n">
        <v>-1.987</v>
      </c>
      <c r="J145" t="inlineStr">
        <is>
          <t>brak</t>
        </is>
      </c>
      <c r="K145" t="n">
        <v>0</v>
      </c>
      <c r="L145" t="n">
        <v>0</v>
      </c>
      <c r="M145" t="n">
        <v>-37713</v>
      </c>
      <c r="N145" t="n">
        <v>-44577</v>
      </c>
      <c r="O145" t="n">
        <v>-30923</v>
      </c>
    </row>
    <row r="146">
      <c r="A146" t="inlineStr">
        <is>
          <t>S0</t>
        </is>
      </c>
      <c r="B146" t="n">
        <v>50</v>
      </c>
      <c r="C146" t="inlineStr">
        <is>
          <t>SOCIETAL_TX</t>
        </is>
      </c>
      <c r="D146" t="n">
        <v>7037</v>
      </c>
      <c r="E146" t="n">
        <v>5130.2</v>
      </c>
      <c r="F146" t="n">
        <v>9030.299999999999</v>
      </c>
      <c r="G146" t="n">
        <v>-2.664</v>
      </c>
      <c r="H146" t="n">
        <v>-3.853</v>
      </c>
      <c r="I146" t="n">
        <v>-1.68</v>
      </c>
      <c r="J146" t="inlineStr">
        <is>
          <t>brak</t>
        </is>
      </c>
      <c r="K146" t="n">
        <v>0</v>
      </c>
      <c r="L146" t="n">
        <v>0</v>
      </c>
      <c r="M146" t="n">
        <v>-37713</v>
      </c>
      <c r="N146" t="n">
        <v>-44577</v>
      </c>
      <c r="O146" t="n">
        <v>-30923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Model Markowa, cykl roczny, 2026–2075, otwarta kohorta (nowe zakażenia INC/rok + reinfekcje po SVR).</t>
        </is>
      </c>
    </row>
    <row r="2">
      <c r="A2" t="inlineStr">
        <is>
          <t>Stany: F0–F3, F4 (marskość wyrównana), DC, HCC, przeszczep (rok 1 i kolejne), SVR (bez marskości / po marskości), zgon.</t>
        </is>
      </c>
    </row>
    <row r="3">
      <c r="A3" t="inlineStr">
        <is>
          <t>Kohorta startowa w 4 grupach wieku (B.71 2025: do 40, 41–60, 61–80, &gt;80 lat); korekta połowy cyklu (trapezy).</t>
        </is>
      </c>
    </row>
    <row r="4">
      <c r="A4" t="inlineStr">
        <is>
          <t>Koszty opieki (NFZ c_F, c_CC) i absencja/ZUS z_F liczone tylko dla zdiagnozowanych pod opieką (przepływ rozpoznań DX_IN, oczekiwanie T_PRE), nie dla wszystkich z wiremią.</t>
        </is>
      </c>
    </row>
    <row r="5">
      <c r="A5" t="inlineStr">
        <is>
          <t>Kalibracja (out/calib.json): K_DC → DC w 2030 = 1 590 (Flisiak i in. 2015; model-do-modelu); K_HCC → nowe HCC w 2026 ≈ 712 (KRN 2023: 1 695 × 0,42; C22 obejmuje też raka dróg żółciowych); HCC0 = stan ustalony; WLOSS → renty ZUS 2026 = przeliczenie z danych ZUS (waloryzacja).</t>
        </is>
      </c>
    </row>
    <row r="6">
      <c r="A6" t="inlineStr">
        <is>
          <t>Nadwyżka umieralności populacji kluczowych (SMR 10) stosowana tak samo u leczonych i nieleczonych (przybliżenie: wspólny zasób nieleczonych KU).</t>
        </is>
      </c>
    </row>
    <row r="7">
      <c r="A7" t="inlineStr">
        <is>
          <t>Pakiet WHO (I4): nawigacja pacjenta NAV na wykrytą osobę (dane z USA) i koszty stałe FIX; I1/I2: koszty stałe FIX. Szacunki z założeniami.</t>
        </is>
      </c>
    </row>
    <row r="8">
      <c r="A8" t="inlineStr">
        <is>
          <t>Wykrywanie: koszt wykrycia przypadku = (test anty-HCV + RNA×odsetek dodatnich)/wydajność kanału; malejąca wydajność wraz z wyczerpywaniem puli.</t>
        </is>
      </c>
    </row>
    <row r="9">
      <c r="A9" t="inlineStr">
        <is>
          <t>Okres dochodzenia do skali: RAMP lat; program trwa PROG_Y lat.</t>
        </is>
      </c>
    </row>
    <row r="10">
      <c r="A10" t="inlineStr">
        <is>
          <t>PSA: rozkłady beta/gamma/lognormalny (symetryczne wokół wartości bazowej, także K_DC/K_HCC/DC0/PLT0)/normalny (wiek)/trójkątny/Dirichlet; 2 000 losowań; percentyle 2,5 i 97,5. Wynik główny = wynik bazowy (deterministyczny); PSA podawane osobno.</t>
        </is>
      </c>
    </row>
    <row r="11">
      <c r="A11" t="inlineStr">
        <is>
          <t>Wariant „testy finansuje inny płatnik” (x_testy=1, perspektywy *_TX): z porównania wyłączone testy (NFZ_diag, MZ_SW) i koszty stałe FIX; nawigacja zostaje jako część kosztu wyleczenia.</t>
        </is>
      </c>
    </row>
    <row r="12">
      <c r="A12" t="inlineStr">
        <is>
          <t>Zgodność: AOTMiT (perspektywy, dyskonto, próg 244 821 zł/QALY), CHEERS 2022 – lista kontrolna w aplikacji.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Koszt wyleczenia vs koszt nieleczenia – na 1 zdiagnozowanego pacjenta (kohorta 1 000 nowo rozpoznanych pod opieką; leczenie w roku 0 vs brak leczenia). SZACUNEK MODELU, zł, zdyskontowane 5%.</t>
        </is>
      </c>
    </row>
    <row r="2">
      <c r="A2" t="inlineStr">
        <is>
          <t>Testy nie wchodzą do tego porównania (pacjent jest już zdiagnozowany – koszt wykrycia ponosi inny płatnik lub był poniesiony wcześniej).</t>
        </is>
      </c>
    </row>
    <row r="4">
      <c r="A4" t="inlineStr">
        <is>
          <t>Koszt wyleczenia (formuła) = x_c_DAA + x_c_MON</t>
        </is>
      </c>
      <c r="B4">
        <f>x_c_DAA+x_c_MON</f>
        <v/>
      </c>
    </row>
    <row r="5">
      <c r="A5" t="inlineStr">
        <is>
          <t>+ nawigacja (opcjonalnie) = x_NAV</t>
        </is>
      </c>
      <c r="B5">
        <f>B4+x_NAV</f>
        <v/>
      </c>
    </row>
    <row r="7">
      <c r="A7" s="3" t="inlineStr">
        <is>
          <t>horyzont</t>
        </is>
      </c>
      <c r="B7" s="3" t="inlineStr">
        <is>
          <t>perspektywa</t>
        </is>
      </c>
      <c r="C7" s="3" t="inlineStr">
        <is>
          <t>nawigacja</t>
        </is>
      </c>
      <c r="D7" s="3" t="inlineStr">
        <is>
          <t>koszt wyleczenia</t>
        </is>
      </c>
      <c r="E7" s="3" t="inlineStr">
        <is>
          <t>uniknięte koszty nieleczenia</t>
        </is>
      </c>
      <c r="F7" s="3" t="inlineStr">
        <is>
          <t>saldo netto (&lt;0 = oszczędność)</t>
        </is>
      </c>
      <c r="G7" s="3" t="inlineStr">
        <is>
          <t>rok zwrotu</t>
        </is>
      </c>
      <c r="H7" s="3" t="inlineStr">
        <is>
          <t>ROI</t>
        </is>
      </c>
      <c r="I7" s="3" t="inlineStr">
        <is>
          <t>ICER zł/QALY</t>
        </is>
      </c>
      <c r="J7" s="3" t="inlineStr">
        <is>
          <t>Δ QALY</t>
        </is>
      </c>
    </row>
    <row r="8">
      <c r="A8" t="n">
        <v>10</v>
      </c>
      <c r="B8" t="inlineStr">
        <is>
          <t>NFZ</t>
        </is>
      </c>
      <c r="C8" t="inlineStr">
        <is>
          <t>nie</t>
        </is>
      </c>
      <c r="D8" t="n">
        <v>28497</v>
      </c>
      <c r="E8" t="n">
        <v>24250</v>
      </c>
      <c r="F8" t="n">
        <v>4246</v>
      </c>
      <c r="G8" t="inlineStr">
        <is>
          <t>brak</t>
        </is>
      </c>
      <c r="H8" t="n">
        <v>-0.15</v>
      </c>
      <c r="I8" t="n">
        <v>6453</v>
      </c>
      <c r="J8" t="n">
        <v>0.658</v>
      </c>
    </row>
    <row r="9">
      <c r="A9" t="n">
        <v>10</v>
      </c>
      <c r="B9" t="inlineStr">
        <is>
          <t>NFZ</t>
        </is>
      </c>
      <c r="C9" t="inlineStr">
        <is>
          <t>tak</t>
        </is>
      </c>
      <c r="D9" t="n">
        <v>32761</v>
      </c>
      <c r="E9" t="n">
        <v>24250</v>
      </c>
      <c r="F9" t="n">
        <v>8510</v>
      </c>
      <c r="G9" t="inlineStr">
        <is>
          <t>brak</t>
        </is>
      </c>
      <c r="H9" t="n">
        <v>-0.26</v>
      </c>
      <c r="I9" t="n">
        <v>12933</v>
      </c>
      <c r="J9" t="n">
        <v>0.658</v>
      </c>
    </row>
    <row r="10">
      <c r="A10" t="n">
        <v>10</v>
      </c>
      <c r="B10" t="inlineStr">
        <is>
          <t>PUBLIC</t>
        </is>
      </c>
      <c r="C10" t="inlineStr">
        <is>
          <t>nie</t>
        </is>
      </c>
      <c r="D10" t="n">
        <v>28497</v>
      </c>
      <c r="E10" t="n">
        <v>59362</v>
      </c>
      <c r="F10" t="n">
        <v>-30865</v>
      </c>
      <c r="G10" t="n">
        <v>2030</v>
      </c>
      <c r="H10" t="n">
        <v>1.08</v>
      </c>
      <c r="I10" t="n">
        <v>-46906</v>
      </c>
      <c r="J10" t="n">
        <v>0.658</v>
      </c>
    </row>
    <row r="11">
      <c r="A11" t="n">
        <v>10</v>
      </c>
      <c r="B11" t="inlineStr">
        <is>
          <t>PUBLIC</t>
        </is>
      </c>
      <c r="C11" t="inlineStr">
        <is>
          <t>tak</t>
        </is>
      </c>
      <c r="D11" t="n">
        <v>32761</v>
      </c>
      <c r="E11" t="n">
        <v>59362</v>
      </c>
      <c r="F11" t="n">
        <v>-26601</v>
      </c>
      <c r="G11" t="n">
        <v>2031</v>
      </c>
      <c r="H11" t="n">
        <v>0.8100000000000001</v>
      </c>
      <c r="I11" t="n">
        <v>-40426</v>
      </c>
      <c r="J11" t="n">
        <v>0.658</v>
      </c>
    </row>
    <row r="12">
      <c r="A12" t="n">
        <v>10</v>
      </c>
      <c r="B12" t="inlineStr">
        <is>
          <t>SOCIETAL</t>
        </is>
      </c>
      <c r="C12" t="inlineStr">
        <is>
          <t>nie</t>
        </is>
      </c>
      <c r="D12" t="n">
        <v>28497</v>
      </c>
      <c r="E12" t="n">
        <v>45913</v>
      </c>
      <c r="F12" t="n">
        <v>-17416</v>
      </c>
      <c r="G12" t="n">
        <v>2032</v>
      </c>
      <c r="H12" t="n">
        <v>0.61</v>
      </c>
      <c r="I12" t="n">
        <v>-26467</v>
      </c>
      <c r="J12" t="n">
        <v>0.658</v>
      </c>
    </row>
    <row r="13">
      <c r="A13" t="n">
        <v>10</v>
      </c>
      <c r="B13" t="inlineStr">
        <is>
          <t>SOCIETAL</t>
        </is>
      </c>
      <c r="C13" t="inlineStr">
        <is>
          <t>tak</t>
        </is>
      </c>
      <c r="D13" t="n">
        <v>32761</v>
      </c>
      <c r="E13" t="n">
        <v>45913</v>
      </c>
      <c r="F13" t="n">
        <v>-13152</v>
      </c>
      <c r="G13" t="n">
        <v>2033</v>
      </c>
      <c r="H13" t="n">
        <v>0.4</v>
      </c>
      <c r="I13" t="n">
        <v>-19987</v>
      </c>
      <c r="J13" t="n">
        <v>0.658</v>
      </c>
    </row>
    <row r="14">
      <c r="A14" t="n">
        <v>20</v>
      </c>
      <c r="B14" t="inlineStr">
        <is>
          <t>NFZ</t>
        </is>
      </c>
      <c r="C14" t="inlineStr">
        <is>
          <t>nie</t>
        </is>
      </c>
      <c r="D14" t="n">
        <v>28497</v>
      </c>
      <c r="E14" t="n">
        <v>43175</v>
      </c>
      <c r="F14" t="n">
        <v>-14679</v>
      </c>
      <c r="G14" t="n">
        <v>2037</v>
      </c>
      <c r="H14" t="n">
        <v>0.52</v>
      </c>
      <c r="I14" t="n">
        <v>-10442</v>
      </c>
      <c r="J14" t="n">
        <v>1.406</v>
      </c>
    </row>
    <row r="15">
      <c r="A15" t="n">
        <v>20</v>
      </c>
      <c r="B15" t="inlineStr">
        <is>
          <t>NFZ</t>
        </is>
      </c>
      <c r="C15" t="inlineStr">
        <is>
          <t>tak</t>
        </is>
      </c>
      <c r="D15" t="n">
        <v>32761</v>
      </c>
      <c r="E15" t="n">
        <v>43175</v>
      </c>
      <c r="F15" t="n">
        <v>-10415</v>
      </c>
      <c r="G15" t="n">
        <v>2039</v>
      </c>
      <c r="H15" t="n">
        <v>0.32</v>
      </c>
      <c r="I15" t="n">
        <v>-7409</v>
      </c>
      <c r="J15" t="n">
        <v>1.406</v>
      </c>
    </row>
    <row r="16">
      <c r="A16" t="n">
        <v>20</v>
      </c>
      <c r="B16" t="inlineStr">
        <is>
          <t>PUBLIC</t>
        </is>
      </c>
      <c r="C16" t="inlineStr">
        <is>
          <t>nie</t>
        </is>
      </c>
      <c r="D16" t="n">
        <v>28497</v>
      </c>
      <c r="E16" t="n">
        <v>98463</v>
      </c>
      <c r="F16" t="n">
        <v>-69966</v>
      </c>
      <c r="G16" t="n">
        <v>2030</v>
      </c>
      <c r="H16" t="n">
        <v>2.46</v>
      </c>
      <c r="I16" t="n">
        <v>-49771</v>
      </c>
      <c r="J16" t="n">
        <v>1.406</v>
      </c>
    </row>
    <row r="17">
      <c r="A17" t="n">
        <v>20</v>
      </c>
      <c r="B17" t="inlineStr">
        <is>
          <t>PUBLIC</t>
        </is>
      </c>
      <c r="C17" t="inlineStr">
        <is>
          <t>tak</t>
        </is>
      </c>
      <c r="D17" t="n">
        <v>32761</v>
      </c>
      <c r="E17" t="n">
        <v>98463</v>
      </c>
      <c r="F17" t="n">
        <v>-65702</v>
      </c>
      <c r="G17" t="n">
        <v>2031</v>
      </c>
      <c r="H17" t="n">
        <v>2.01</v>
      </c>
      <c r="I17" t="n">
        <v>-46737</v>
      </c>
      <c r="J17" t="n">
        <v>1.406</v>
      </c>
    </row>
    <row r="18">
      <c r="A18" t="n">
        <v>20</v>
      </c>
      <c r="B18" t="inlineStr">
        <is>
          <t>SOCIETAL</t>
        </is>
      </c>
      <c r="C18" t="inlineStr">
        <is>
          <t>nie</t>
        </is>
      </c>
      <c r="D18" t="n">
        <v>28497</v>
      </c>
      <c r="E18" t="n">
        <v>83597</v>
      </c>
      <c r="F18" t="n">
        <v>-55100</v>
      </c>
      <c r="G18" t="n">
        <v>2032</v>
      </c>
      <c r="H18" t="n">
        <v>1.93</v>
      </c>
      <c r="I18" t="n">
        <v>-39196</v>
      </c>
      <c r="J18" t="n">
        <v>1.406</v>
      </c>
    </row>
    <row r="19">
      <c r="A19" t="n">
        <v>20</v>
      </c>
      <c r="B19" t="inlineStr">
        <is>
          <t>SOCIETAL</t>
        </is>
      </c>
      <c r="C19" t="inlineStr">
        <is>
          <t>tak</t>
        </is>
      </c>
      <c r="D19" t="n">
        <v>32761</v>
      </c>
      <c r="E19" t="n">
        <v>83597</v>
      </c>
      <c r="F19" t="n">
        <v>-50836</v>
      </c>
      <c r="G19" t="n">
        <v>2033</v>
      </c>
      <c r="H19" t="n">
        <v>1.55</v>
      </c>
      <c r="I19" t="n">
        <v>-36163</v>
      </c>
      <c r="J19" t="n">
        <v>1.406</v>
      </c>
    </row>
    <row r="20">
      <c r="A20" t="n">
        <v>50</v>
      </c>
      <c r="B20" t="inlineStr">
        <is>
          <t>NFZ</t>
        </is>
      </c>
      <c r="C20" t="inlineStr">
        <is>
          <t>nie</t>
        </is>
      </c>
      <c r="D20" t="n">
        <v>28497</v>
      </c>
      <c r="E20" t="n">
        <v>58600</v>
      </c>
      <c r="F20" t="n">
        <v>-30103</v>
      </c>
      <c r="G20" t="n">
        <v>2037</v>
      </c>
      <c r="H20" t="n">
        <v>1.06</v>
      </c>
      <c r="I20" t="n">
        <v>-11649</v>
      </c>
      <c r="J20" t="n">
        <v>2.584</v>
      </c>
    </row>
    <row r="21">
      <c r="A21" t="n">
        <v>50</v>
      </c>
      <c r="B21" t="inlineStr">
        <is>
          <t>NFZ</t>
        </is>
      </c>
      <c r="C21" t="inlineStr">
        <is>
          <t>tak</t>
        </is>
      </c>
      <c r="D21" t="n">
        <v>32761</v>
      </c>
      <c r="E21" t="n">
        <v>58600</v>
      </c>
      <c r="F21" t="n">
        <v>-25839</v>
      </c>
      <c r="G21" t="n">
        <v>2039</v>
      </c>
      <c r="H21" t="n">
        <v>0.79</v>
      </c>
      <c r="I21" t="n">
        <v>-9999</v>
      </c>
      <c r="J21" t="n">
        <v>2.584</v>
      </c>
    </row>
    <row r="22">
      <c r="A22" t="n">
        <v>50</v>
      </c>
      <c r="B22" t="inlineStr">
        <is>
          <t>PUBLIC</t>
        </is>
      </c>
      <c r="C22" t="inlineStr">
        <is>
          <t>nie</t>
        </is>
      </c>
      <c r="D22" t="n">
        <v>28497</v>
      </c>
      <c r="E22" t="n">
        <v>129077</v>
      </c>
      <c r="F22" t="n">
        <v>-100580</v>
      </c>
      <c r="G22" t="n">
        <v>2030</v>
      </c>
      <c r="H22" t="n">
        <v>3.53</v>
      </c>
      <c r="I22" t="n">
        <v>-38921</v>
      </c>
      <c r="J22" t="n">
        <v>2.584</v>
      </c>
    </row>
    <row r="23">
      <c r="A23" t="n">
        <v>50</v>
      </c>
      <c r="B23" t="inlineStr">
        <is>
          <t>PUBLIC</t>
        </is>
      </c>
      <c r="C23" t="inlineStr">
        <is>
          <t>tak</t>
        </is>
      </c>
      <c r="D23" t="n">
        <v>32761</v>
      </c>
      <c r="E23" t="n">
        <v>129077</v>
      </c>
      <c r="F23" t="n">
        <v>-96316</v>
      </c>
      <c r="G23" t="n">
        <v>2031</v>
      </c>
      <c r="H23" t="n">
        <v>2.94</v>
      </c>
      <c r="I23" t="n">
        <v>-37271</v>
      </c>
      <c r="J23" t="n">
        <v>2.584</v>
      </c>
    </row>
    <row r="24">
      <c r="A24" t="n">
        <v>50</v>
      </c>
      <c r="B24" t="inlineStr">
        <is>
          <t>SOCIETAL</t>
        </is>
      </c>
      <c r="C24" t="inlineStr">
        <is>
          <t>nie</t>
        </is>
      </c>
      <c r="D24" t="n">
        <v>28497</v>
      </c>
      <c r="E24" t="n">
        <v>118898</v>
      </c>
      <c r="F24" t="n">
        <v>-90402</v>
      </c>
      <c r="G24" t="n">
        <v>2032</v>
      </c>
      <c r="H24" t="n">
        <v>3.17</v>
      </c>
      <c r="I24" t="n">
        <v>-34982</v>
      </c>
      <c r="J24" t="n">
        <v>2.584</v>
      </c>
    </row>
    <row r="25">
      <c r="A25" t="n">
        <v>50</v>
      </c>
      <c r="B25" t="inlineStr">
        <is>
          <t>SOCIETAL</t>
        </is>
      </c>
      <c r="C25" t="inlineStr">
        <is>
          <t>tak</t>
        </is>
      </c>
      <c r="D25" t="n">
        <v>32761</v>
      </c>
      <c r="E25" t="n">
        <v>118898</v>
      </c>
      <c r="F25" t="n">
        <v>-86138</v>
      </c>
      <c r="G25" t="n">
        <v>2033</v>
      </c>
      <c r="H25" t="n">
        <v>2.63</v>
      </c>
      <c r="I25" t="n">
        <v>-33332</v>
      </c>
      <c r="J25" t="n">
        <v>2.584</v>
      </c>
    </row>
    <row r="27">
      <c r="A27" t="inlineStr">
        <is>
          <t>Monte Carlo (2 000 losowań): mediana [2,5%; 97,5%]</t>
        </is>
      </c>
    </row>
    <row r="28">
      <c r="A28" s="3" t="inlineStr">
        <is>
          <t>horyzont</t>
        </is>
      </c>
      <c r="B28" s="3" t="inlineStr">
        <is>
          <t>perspektywa</t>
        </is>
      </c>
      <c r="C28" s="3" t="inlineStr">
        <is>
          <t>saldo mediana</t>
        </is>
      </c>
      <c r="D28" s="3" t="inlineStr">
        <is>
          <t>2,5%</t>
        </is>
      </c>
      <c r="E28" s="3" t="inlineStr">
        <is>
          <t>97,5%</t>
        </is>
      </c>
      <c r="F28" s="3" t="inlineStr">
        <is>
          <t>uniknięte mediana</t>
        </is>
      </c>
      <c r="G28" s="3" t="inlineStr">
        <is>
          <t>P(oszczędność)</t>
        </is>
      </c>
      <c r="H28" s="3" t="inlineStr">
        <is>
          <t>rok zwrotu mediana</t>
        </is>
      </c>
    </row>
    <row r="29">
      <c r="A29" t="n">
        <v>20</v>
      </c>
      <c r="B29" t="inlineStr">
        <is>
          <t>NFZ</t>
        </is>
      </c>
      <c r="C29" t="n">
        <v>-13911</v>
      </c>
      <c r="D29" t="n">
        <v>-24617</v>
      </c>
      <c r="E29" t="n">
        <v>-3297</v>
      </c>
      <c r="F29" t="n">
        <v>42449</v>
      </c>
      <c r="G29" t="n">
        <v>0.995</v>
      </c>
      <c r="H29" t="n">
        <v>2038</v>
      </c>
    </row>
    <row r="30">
      <c r="A30" t="n">
        <v>20</v>
      </c>
      <c r="B30" t="inlineStr">
        <is>
          <t>PUBLIC</t>
        </is>
      </c>
      <c r="C30" t="n">
        <v>-68304</v>
      </c>
      <c r="D30" t="n">
        <v>-89375</v>
      </c>
      <c r="E30" t="n">
        <v>-49528</v>
      </c>
      <c r="F30" t="n">
        <v>97018</v>
      </c>
      <c r="G30" t="n">
        <v>1</v>
      </c>
      <c r="H30" t="n">
        <v>2030</v>
      </c>
    </row>
    <row r="31">
      <c r="A31" t="n">
        <v>20</v>
      </c>
      <c r="B31" t="inlineStr">
        <is>
          <t>SOCIETAL</t>
        </is>
      </c>
      <c r="C31" t="n">
        <v>-53400</v>
      </c>
      <c r="D31" t="n">
        <v>-75156</v>
      </c>
      <c r="E31" t="n">
        <v>-35754</v>
      </c>
      <c r="F31" t="n">
        <v>81975</v>
      </c>
      <c r="G31" t="n">
        <v>1</v>
      </c>
      <c r="H31" t="n">
        <v>2032</v>
      </c>
    </row>
    <row r="32">
      <c r="A32" t="n">
        <v>50</v>
      </c>
      <c r="B32" t="inlineStr">
        <is>
          <t>NFZ</t>
        </is>
      </c>
      <c r="C32" t="n">
        <v>-28806</v>
      </c>
      <c r="D32" t="n">
        <v>-41773</v>
      </c>
      <c r="E32" t="n">
        <v>-16504</v>
      </c>
      <c r="F32" t="n">
        <v>57449</v>
      </c>
      <c r="G32" t="n">
        <v>1</v>
      </c>
      <c r="H32" t="n">
        <v>2038</v>
      </c>
    </row>
    <row r="33">
      <c r="A33" t="n">
        <v>50</v>
      </c>
      <c r="B33" t="inlineStr">
        <is>
          <t>PUBLIC</t>
        </is>
      </c>
      <c r="C33" t="n">
        <v>-98462</v>
      </c>
      <c r="D33" t="n">
        <v>-126472</v>
      </c>
      <c r="E33" t="n">
        <v>-71968</v>
      </c>
      <c r="F33" t="n">
        <v>127302</v>
      </c>
      <c r="G33" t="n">
        <v>1</v>
      </c>
      <c r="H33" t="n">
        <v>2030</v>
      </c>
    </row>
    <row r="34">
      <c r="A34" t="n">
        <v>50</v>
      </c>
      <c r="B34" t="inlineStr">
        <is>
          <t>SOCIETAL</t>
        </is>
      </c>
      <c r="C34" t="n">
        <v>-87860</v>
      </c>
      <c r="D34" t="n">
        <v>-121856</v>
      </c>
      <c r="E34" t="n">
        <v>-58902</v>
      </c>
      <c r="F34" t="n">
        <v>116212</v>
      </c>
      <c r="G34" t="n">
        <v>1</v>
      </c>
      <c r="H34" t="n">
        <v>2032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Analizy scenariuszowe (deterministyczne, sektor publiczny, mln zł zdysk.; &gt;0 = koszt netto). Zmieniamy jedno założenie, reszta bazowa. SZACUNEK MODELU.</t>
        </is>
      </c>
    </row>
    <row r="2">
      <c r="A2" s="3" t="inlineStr">
        <is>
          <t>wariant</t>
        </is>
      </c>
      <c r="B2" s="3" t="inlineStr">
        <is>
          <t>koszt zaniechania S0 50 l.</t>
        </is>
      </c>
      <c r="C2" s="3" t="inlineStr">
        <is>
          <t>I1 50 l.</t>
        </is>
      </c>
      <c r="D2" s="3" t="inlineStr">
        <is>
          <t>I1 50 l. (testy – inny płatnik)</t>
        </is>
      </c>
      <c r="E2" s="3" t="inlineStr">
        <is>
          <t>I3 20 l.</t>
        </is>
      </c>
      <c r="F2" s="3" t="inlineStr">
        <is>
          <t>I4 20 l.</t>
        </is>
      </c>
      <c r="G2" s="3" t="inlineStr">
        <is>
          <t>I4 50 l.</t>
        </is>
      </c>
      <c r="H2" s="3" t="inlineStr">
        <is>
          <t>I4 50 l. (testy – inny płatnik)</t>
        </is>
      </c>
      <c r="I2" s="3" t="inlineStr">
        <is>
          <t>ICER I4 20 l.</t>
        </is>
      </c>
      <c r="J2" s="3" t="inlineStr">
        <is>
          <t>rok zwrotu I4</t>
        </is>
      </c>
      <c r="K2" s="3" t="inlineStr">
        <is>
          <t>zgony wątrobowe 2026 (S1)</t>
        </is>
      </c>
      <c r="L2" s="3" t="inlineStr">
        <is>
          <t>nowe HCC 2026</t>
        </is>
      </c>
      <c r="M2" s="3" t="inlineStr">
        <is>
          <t>DC 2030</t>
        </is>
      </c>
    </row>
    <row r="3">
      <c r="A3" t="inlineStr">
        <is>
          <t>bazowy (po audycie)</t>
        </is>
      </c>
      <c r="B3" t="n">
        <v>8335.5</v>
      </c>
      <c r="C3" t="n">
        <v>258</v>
      </c>
      <c r="D3" t="n">
        <v>-108.1</v>
      </c>
      <c r="E3" t="n">
        <v>97.40000000000001</v>
      </c>
      <c r="F3" t="n">
        <v>2986.5</v>
      </c>
      <c r="G3" t="n">
        <v>1811.2</v>
      </c>
      <c r="H3" t="n">
        <v>6.1</v>
      </c>
      <c r="I3" t="n">
        <v>52157</v>
      </c>
      <c r="J3" t="inlineStr">
        <is>
          <t>brak</t>
        </is>
      </c>
      <c r="K3" t="n">
        <v>922</v>
      </c>
      <c r="L3" t="n">
        <v>712</v>
      </c>
      <c r="M3" t="n">
        <v>1590</v>
      </c>
    </row>
    <row r="4">
      <c r="A4" t="inlineStr">
        <is>
          <t>bez kalibracji (K=1)</t>
        </is>
      </c>
      <c r="B4" t="n">
        <v>8552.9</v>
      </c>
      <c r="C4" t="n">
        <v>184.4</v>
      </c>
      <c r="D4" t="n">
        <v>-181.7</v>
      </c>
      <c r="E4" t="n">
        <v>86.09999999999999</v>
      </c>
      <c r="F4" t="n">
        <v>2850.7</v>
      </c>
      <c r="G4" t="n">
        <v>1528.1</v>
      </c>
      <c r="H4" t="n">
        <v>-277</v>
      </c>
      <c r="I4" t="n">
        <v>49696</v>
      </c>
      <c r="J4" t="inlineStr">
        <is>
          <t>brak</t>
        </is>
      </c>
      <c r="K4" t="n">
        <v>481</v>
      </c>
      <c r="L4" t="n">
        <v>484</v>
      </c>
      <c r="M4" t="n">
        <v>3111</v>
      </c>
    </row>
    <row r="5">
      <c r="A5" t="inlineStr">
        <is>
          <t>cena leków z 2017 r. (33 872 zł)</t>
        </is>
      </c>
      <c r="B5" t="n">
        <v>7306.3</v>
      </c>
      <c r="C5" t="n">
        <v>402.3</v>
      </c>
      <c r="D5" t="n">
        <v>36.2</v>
      </c>
      <c r="E5" t="n">
        <v>144.6</v>
      </c>
      <c r="F5" t="n">
        <v>3570.7</v>
      </c>
      <c r="G5" t="n">
        <v>2395.4</v>
      </c>
      <c r="H5" t="n">
        <v>590.3</v>
      </c>
      <c r="I5" t="n">
        <v>62359</v>
      </c>
      <c r="J5" t="inlineStr">
        <is>
          <t>brak</t>
        </is>
      </c>
      <c r="K5" t="n">
        <v>922</v>
      </c>
      <c r="L5" t="n">
        <v>712</v>
      </c>
      <c r="M5" t="n">
        <v>1590</v>
      </c>
    </row>
    <row r="6">
      <c r="A6" t="inlineStr">
        <is>
          <t>nowe zakażenia −5%/rok</t>
        </is>
      </c>
      <c r="B6" t="n">
        <v>6997.2</v>
      </c>
      <c r="C6" t="n">
        <v>241.9</v>
      </c>
      <c r="D6" t="n">
        <v>-124.2</v>
      </c>
      <c r="E6" t="n">
        <v>97.40000000000001</v>
      </c>
      <c r="F6" t="n">
        <v>2922.9</v>
      </c>
      <c r="G6" t="n">
        <v>1767.8</v>
      </c>
      <c r="H6" t="n">
        <v>-37.3</v>
      </c>
      <c r="I6" t="n">
        <v>51910</v>
      </c>
      <c r="J6" t="inlineStr">
        <is>
          <t>brak</t>
        </is>
      </c>
      <c r="K6" t="n">
        <v>922</v>
      </c>
      <c r="L6" t="n">
        <v>712</v>
      </c>
      <c r="M6" t="n">
        <v>1590</v>
      </c>
    </row>
    <row r="7">
      <c r="A7" t="inlineStr">
        <is>
          <t>koszty opieki u wszystkich z wiremią (jak przed audytem)</t>
        </is>
      </c>
      <c r="B7" t="n">
        <v>8722.299999999999</v>
      </c>
      <c r="C7" t="n">
        <v>-1032.3</v>
      </c>
      <c r="D7" t="n">
        <v>-1398.4</v>
      </c>
      <c r="E7" t="n">
        <v>-60.1</v>
      </c>
      <c r="F7" t="n">
        <v>-690.4</v>
      </c>
      <c r="G7" t="n">
        <v>-3019.3</v>
      </c>
      <c r="H7" t="n">
        <v>-4824.4</v>
      </c>
      <c r="I7" t="n">
        <v>-12058</v>
      </c>
      <c r="J7" t="n">
        <v>2042</v>
      </c>
      <c r="K7" t="n">
        <v>922</v>
      </c>
      <c r="L7" t="n">
        <v>712</v>
      </c>
      <c r="M7" t="n">
        <v>1590</v>
      </c>
    </row>
    <row r="8">
      <c r="A8" t="inlineStr">
        <is>
          <t>bez korekty połowy cyklu</t>
        </is>
      </c>
      <c r="B8" t="n">
        <v>8005.3</v>
      </c>
      <c r="C8" t="n">
        <v>271.3</v>
      </c>
      <c r="D8" t="n">
        <v>-94.8</v>
      </c>
      <c r="E8" t="n">
        <v>101</v>
      </c>
      <c r="F8" t="n">
        <v>3038.1</v>
      </c>
      <c r="G8" t="n">
        <v>1863</v>
      </c>
      <c r="H8" t="n">
        <v>57.9</v>
      </c>
      <c r="I8" t="n">
        <v>55594</v>
      </c>
      <c r="J8" t="inlineStr">
        <is>
          <t>brak</t>
        </is>
      </c>
      <c r="K8" t="n">
        <v>922</v>
      </c>
      <c r="L8" t="n">
        <v>712</v>
      </c>
      <c r="M8" t="n">
        <v>1579</v>
      </c>
    </row>
    <row r="9">
      <c r="A9" t="inlineStr">
        <is>
          <t>pełna utrata pracy (WLOSS=1)</t>
        </is>
      </c>
      <c r="B9" t="n">
        <v>8675.6</v>
      </c>
      <c r="C9" t="n">
        <v>205.8</v>
      </c>
      <c r="D9" t="n">
        <v>-160.3</v>
      </c>
      <c r="E9" t="n">
        <v>88.8</v>
      </c>
      <c r="F9" t="n">
        <v>2877.1</v>
      </c>
      <c r="G9" t="n">
        <v>1612.2</v>
      </c>
      <c r="H9" t="n">
        <v>-192.9</v>
      </c>
      <c r="I9" t="n">
        <v>50246</v>
      </c>
      <c r="J9" t="inlineStr">
        <is>
          <t>brak</t>
        </is>
      </c>
      <c r="K9" t="n">
        <v>922</v>
      </c>
      <c r="L9" t="n">
        <v>712</v>
      </c>
      <c r="M9" t="n">
        <v>1590</v>
      </c>
    </row>
    <row r="10">
      <c r="A10" t="inlineStr">
        <is>
          <t>reinfekcja PWID 3,8% (OST)</t>
        </is>
      </c>
      <c r="B10" t="n">
        <v>8335.5</v>
      </c>
      <c r="C10" t="n">
        <v>258</v>
      </c>
      <c r="D10" t="n">
        <v>-108.1</v>
      </c>
      <c r="E10" t="n">
        <v>99.40000000000001</v>
      </c>
      <c r="F10" t="n">
        <v>2986.4</v>
      </c>
      <c r="G10" t="n">
        <v>1805.8</v>
      </c>
      <c r="H10" t="n">
        <v>0.7</v>
      </c>
      <c r="I10" t="n">
        <v>51983</v>
      </c>
      <c r="J10" t="inlineStr">
        <is>
          <t>brak</t>
        </is>
      </c>
      <c r="K10" t="n">
        <v>922</v>
      </c>
      <c r="L10" t="n">
        <v>712</v>
      </c>
      <c r="M10" t="n">
        <v>1590</v>
      </c>
    </row>
    <row r="11">
      <c r="A11" t="inlineStr">
        <is>
          <t>SVR 99%</t>
        </is>
      </c>
      <c r="B11" t="n">
        <v>8398.9</v>
      </c>
      <c r="C11" t="n">
        <v>248.9</v>
      </c>
      <c r="D11" t="n">
        <v>-117.2</v>
      </c>
      <c r="E11" t="n">
        <v>96.40000000000001</v>
      </c>
      <c r="F11" t="n">
        <v>2964.1</v>
      </c>
      <c r="G11" t="n">
        <v>1779.9</v>
      </c>
      <c r="H11" t="n">
        <v>-25.2</v>
      </c>
      <c r="I11" t="n">
        <v>51028</v>
      </c>
      <c r="J11" t="inlineStr">
        <is>
          <t>brak</t>
        </is>
      </c>
      <c r="K11" t="n">
        <v>922</v>
      </c>
      <c r="L11" t="n">
        <v>712</v>
      </c>
      <c r="M11" t="n">
        <v>1588</v>
      </c>
    </row>
    <row r="12">
      <c r="A12" t="inlineStr">
        <is>
          <t>wiek −6 lat</t>
        </is>
      </c>
      <c r="B12" t="n">
        <v>9528.200000000001</v>
      </c>
      <c r="C12" t="n">
        <v>92.90000000000001</v>
      </c>
      <c r="D12" t="n">
        <v>-273.2</v>
      </c>
      <c r="E12" t="n">
        <v>66.40000000000001</v>
      </c>
      <c r="F12" t="n">
        <v>2634.7</v>
      </c>
      <c r="G12" t="n">
        <v>1188.6</v>
      </c>
      <c r="H12" t="n">
        <v>-616.5</v>
      </c>
      <c r="I12" t="n">
        <v>43276</v>
      </c>
      <c r="J12" t="inlineStr">
        <is>
          <t>brak</t>
        </is>
      </c>
      <c r="K12" t="n">
        <v>926</v>
      </c>
      <c r="L12" t="n">
        <v>715</v>
      </c>
      <c r="M12" t="n">
        <v>1630</v>
      </c>
    </row>
    <row r="13">
      <c r="A13" t="inlineStr">
        <is>
          <t>wiek +6 lat</t>
        </is>
      </c>
      <c r="B13" t="n">
        <v>7279.1</v>
      </c>
      <c r="C13" t="n">
        <v>378.2</v>
      </c>
      <c r="D13" t="n">
        <v>12.1</v>
      </c>
      <c r="E13" t="n">
        <v>117.1</v>
      </c>
      <c r="F13" t="n">
        <v>3163.7</v>
      </c>
      <c r="G13" t="n">
        <v>2269.5</v>
      </c>
      <c r="H13" t="n">
        <v>464.4</v>
      </c>
      <c r="I13" t="n">
        <v>61041</v>
      </c>
      <c r="J13" t="inlineStr">
        <is>
          <t>brak</t>
        </is>
      </c>
      <c r="K13" t="n">
        <v>915</v>
      </c>
      <c r="L13" t="n">
        <v>707</v>
      </c>
      <c r="M13" t="n">
        <v>1527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Leki i zamówienia publiczne – dane źródłowe (nie wyniki modelu); schematy bez nazw leków i firm</t>
        </is>
      </c>
    </row>
    <row r="3">
      <c r="A3" t="inlineStr">
        <is>
          <t>Schemat B.71, 2025</t>
        </is>
      </c>
      <c r="B3" t="inlineStr">
        <is>
          <t>Pacjenci</t>
        </is>
      </c>
      <c r="C3" t="inlineStr">
        <is>
          <t>Refundacja (mln zł)</t>
        </is>
      </c>
      <c r="D3" t="inlineStr">
        <is>
          <t>Uwagi / źródło</t>
        </is>
      </c>
    </row>
    <row r="4">
      <c r="A4" t="inlineStr">
        <is>
          <t>A – pangenotypowy</t>
        </is>
      </c>
      <c r="B4" t="n">
        <v>2398</v>
      </c>
      <c r="C4" t="n">
        <v>55.46</v>
      </c>
      <c r="D4" t="inlineStr">
        <is>
          <t>NFZ app-stat-api, pobrane 25.10.2026</t>
        </is>
      </c>
    </row>
    <row r="5">
      <c r="A5" t="inlineStr">
        <is>
          <t>B – pangenotypowy</t>
        </is>
      </c>
      <c r="B5" t="n">
        <v>2396</v>
      </c>
      <c r="C5" t="n">
        <v>52.53</v>
      </c>
      <c r="D5" t="inlineStr">
        <is>
          <t>zmiana ceny urzędowej 17.09.2025</t>
        </is>
      </c>
    </row>
    <row r="6">
      <c r="A6" t="inlineStr">
        <is>
          <t>C – leczenie ponowne</t>
        </is>
      </c>
      <c r="B6" t="n">
        <v>61</v>
      </c>
      <c r="C6" t="n">
        <v>1.95</v>
      </c>
      <c r="D6" t="inlineStr">
        <is>
          <t>zmiana ceny urzędowej 17.06.2025</t>
        </is>
      </c>
    </row>
    <row r="7">
      <c r="A7" t="inlineStr">
        <is>
          <t>B.71 razem (leczeni, nie suma schematów)</t>
        </is>
      </c>
      <c r="B7" t="n">
        <v>4832</v>
      </c>
      <c r="C7" t="n">
        <v>109.98</v>
      </c>
      <c r="D7" t="inlineStr">
        <is>
          <t>NFZ app-stat-api, pobrane 25.10.2026</t>
        </is>
      </c>
    </row>
    <row r="9">
      <c r="A9" t="inlineStr">
        <is>
          <t>Przetargi TED od 01.01.2023 (pobrane 27.10.2026)</t>
        </is>
      </c>
      <c r="B9" t="inlineStr">
        <is>
          <t>Ogłoszenia</t>
        </is>
      </c>
      <c r="C9" t="inlineStr">
        <is>
          <t>Części z wyborem oferty</t>
        </is>
      </c>
      <c r="D9" t="inlineStr">
        <is>
          <t>Wartość (mln zł)</t>
        </is>
      </c>
      <c r="E9" t="inlineStr">
        <is>
          <t>2024</t>
        </is>
      </c>
      <c r="F9" t="inlineStr">
        <is>
          <t>2025</t>
        </is>
      </c>
      <c r="G9" t="inlineStr">
        <is>
          <t>2026</t>
        </is>
      </c>
    </row>
    <row r="10">
      <c r="A10" t="inlineStr">
        <is>
          <t>A</t>
        </is>
      </c>
      <c r="B10" t="n">
        <v>229</v>
      </c>
      <c r="C10" t="n">
        <v>61</v>
      </c>
      <c r="D10" t="n">
        <v>88.53</v>
      </c>
      <c r="E10" t="n">
        <v>28.8</v>
      </c>
      <c r="F10" t="n">
        <v>37.6</v>
      </c>
      <c r="G10" t="n">
        <v>22.1</v>
      </c>
    </row>
    <row r="11">
      <c r="A11" t="inlineStr">
        <is>
          <t>B</t>
        </is>
      </c>
      <c r="B11" t="n">
        <v>289</v>
      </c>
      <c r="C11" t="n">
        <v>66</v>
      </c>
      <c r="D11" t="n">
        <v>81.36</v>
      </c>
      <c r="E11" t="n">
        <v>29</v>
      </c>
      <c r="F11" t="n">
        <v>28.8</v>
      </c>
      <c r="G11" t="n">
        <v>23.5</v>
      </c>
    </row>
    <row r="12">
      <c r="A12" t="inlineStr">
        <is>
          <t>C</t>
        </is>
      </c>
      <c r="B12" t="n">
        <v>177</v>
      </c>
      <c r="C12" t="n">
        <v>43</v>
      </c>
      <c r="D12" t="n">
        <v>13.83</v>
      </c>
      <c r="E12" t="n">
        <v>2.1</v>
      </c>
      <c r="F12" t="n">
        <v>8.199999999999999</v>
      </c>
      <c r="G12" t="n">
        <v>3.5</v>
      </c>
    </row>
    <row r="13">
      <c r="A13" t="inlineStr">
        <is>
          <t>Razem bez podwójnego liczenia (7 części mieszanych, 6,68 mln zł)</t>
        </is>
      </c>
      <c r="D13" t="n">
        <v>177</v>
      </c>
    </row>
    <row r="15">
      <c r="A15" t="inlineStr">
        <is>
          <t>Uwaga: TED obejmuje tylko przetargi powyżej progów UE; wartość przetargu ≠ sprzedaż. 38 zamawiających; 10 największych ≈123,6 mln zł (≈70%).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Zmiany 28.10.2026 – wersja po audycie (wyniki zmieniły się; opis na stronie, zakładka Sprawdzenie)</t>
        </is>
      </c>
    </row>
    <row r="2">
      <c r="A2" t="inlineStr">
        <is>
          <t>K1: koszty opieki NFZ (F0–F4) i absencja/ZUS liczone tylko dla zdiagnozowanych pod opieką (wcześniej dla wszystkich ok. 155 tys. z wiremią). Wariant dawny = scenariusz CARE_ALL=1.</t>
        </is>
      </c>
    </row>
    <row r="3">
      <c r="A3" t="inlineStr">
        <is>
          <t>K2: PSA – mnożniki kalibracyjne K_DC, K_HCC oraz DC0, PLT0 losowane symetrycznie (lognormalnie) wokół wartości bazowej; K=1 przeniesione do osobnego scenariusza.</t>
        </is>
      </c>
    </row>
    <row r="4">
      <c r="A4" t="inlineStr">
        <is>
          <t>K3: opis zgonów poprawiony – liczby C22/K74 to wszystkie zgony z tych przyczyn, tylko część wynika z HCV; zgony z przyczyną wyjściową B18 (przewlekłe WZW typu B i C łącznie) to 88 w 2023 r. (NIZP PZH-PIB); model szacuje ok. 920 zgonów wątrobowych związanych z HCV rocznie (2026).</t>
        </is>
      </c>
    </row>
    <row r="5">
      <c r="A5" t="inlineStr">
        <is>
          <t>I1: źródło kosztów i prawdopodobieństw opisane jako analiza wnioskodawcy (firma konsultingowa) opublikowana w BIP AOTMiT; model choroby dla Polski (2015) opisany jako wspierany finansowo przez producenta leków; błędy standardowe z Tab. 198.</t>
        </is>
      </c>
    </row>
    <row r="6">
      <c r="A6" t="inlineStr">
        <is>
          <t>I2: maksimum leczonych w B.71 = 12 171 (2017), nie 8 521; szczyt pakietu WHO porównany z tą wartością.</t>
        </is>
      </c>
    </row>
    <row r="7">
      <c r="A7" t="inlineStr">
        <is>
          <t>I3: wynik główny = wynik bazowy (deterministyczny); Monte Carlo podawane osobno jako mediana [95%] i P(oszczędność).</t>
        </is>
      </c>
    </row>
    <row r="8">
      <c r="A8" t="inlineStr">
        <is>
          <t>I4: pakiet WHO zawiera koszt nawigacji pacjenta (NAV) i koszty stałe programu (FIX); I1/I2 – koszty stałe.</t>
        </is>
      </c>
    </row>
    <row r="9">
      <c r="A9" t="inlineStr">
        <is>
          <t>I5: kalibracja raka wątroby do Krajowego Rejestru Nowotworów (ok. 712 nowych HCC przypisanych HCV w 2026 r.).</t>
        </is>
      </c>
    </row>
    <row r="10">
      <c r="A10" t="inlineStr">
        <is>
          <t>I6: rozrzut ceny leków w PSA z wahań 2017–2025; cena z 2017 r. (33 872 zł) jako scenariusz.</t>
        </is>
      </c>
    </row>
    <row r="11">
      <c r="A11" t="inlineStr">
        <is>
          <t>I7: renty przeliczane wskaźnikami waloryzacji ZUS; WLOSS skalibrowane do danych ZUS; EMP opisane jako ograniczenie.</t>
        </is>
      </c>
    </row>
    <row r="12">
      <c r="A12" t="inlineStr">
        <is>
          <t>I8: kohorta w 4 grupach wieku (B.71 2025); średni wiek losowany w PSA.</t>
        </is>
      </c>
    </row>
    <row r="13">
      <c r="A13" t="inlineStr">
        <is>
          <t>D1–D12: p90 kolejki 567/585 dni; Rosińska i in. 2015 (dane 2004–05); RE_KEY 6,2/100 osobolat; korekta połowy cyklu; SMR 10 dla PWID (symetrycznie); SVR 0,97; uwaga o niespójności p_SCCHCC; koszt 1. roku po przeszczepie 30 167,61 zł (×CPI); uwagi o reinfekcji i użytecznościach; scenariusz malejącej zapadalności; 38 zamawiających; kalkulator 300 vs 2 000 losowań i kolejność kwantyli roku zwrotu.</t>
        </is>
      </c>
    </row>
    <row r="14">
      <c r="A14" t="inlineStr">
        <is>
          <t>Nowe: wariant „testy finansuje inny płatnik” (porównanie samego kosztu wyleczenia z kosztami nieleczenia) oraz wynik na jednego zdiagnozowanego pacjenta.</t>
        </is>
      </c>
    </row>
    <row r="15">
      <c r="A15" t="inlineStr">
        <is>
          <t>Model z wersji v1 (pe_model) jest zastąpiony przez silnik aplikacji i nie jest publikowany.</t>
        </is>
      </c>
    </row>
    <row r="16">
      <c r="A16" t="inlineStr">
        <is>
          <t>Dodatkowo: w pliku xlsx usunięto kolizję nazw zakresów (stopa dyskonta kosztów i efektów) – po poprawce wartości w arkuszu zgadzają się ze stroną.</t>
        </is>
      </c>
    </row>
    <row r="17">
      <c r="A17" t="inlineStr">
        <is>
          <t>Deklaracja finansowania i konfliktu interesów (28.10.2026, CHEERS 2022): Autor pracuje w sektorze farmaceutycznym. Analiza powstała prywatnie, bez zlecenia i finansowania jakiejkolwiek firmy. Nie wymienia ani nie promuje żadnych produktów leczniczych. Część wykorzystanych źródeł była finansowana przez przemysł — oznaczono to w Źródłach.</t>
        </is>
      </c>
    </row>
    <row r="18">
      <c r="A18" t="inlineStr">
        <is>
          <t>Jedna aplikacja (28.10.2026): do aplikacji przeniesiono całą wartościową treść wcześniejszych roboczych stron raportu, modelu v1 i audytu – hipotezy H1–H6 (Problem), nowa zakładka „Leki i zamówienia publiczne” (schematy B.71 bez nazw, przetargi TED), ocena działań systemowych A1–A9 (Działania), przebieg audytu (ocena, odtworzenie, weryfikacja parametrów, wrażliwość), szacunek Polaris liczby leczonych 2015–2023, porównanie zgłaszalności z Litwą, najdłuższe kolejki do B.71 i nowe luki w danych. Nawigacja pogrupowana: Odpowiedź / Problem i rynek / Działania / Metoda i źródła. Treści o charakterze komercyjnym nie zostały przeniesione.</t>
        </is>
      </c>
    </row>
    <row r="19">
      <c r="A19" t="inlineStr">
        <is>
          <t>Inwentarz danych (28.10.2026): porównano aplikację ze wszystkimi wcześniejszymi wersjami i przywrócono pominięte dane publiczne – 0,47% z wiremią w badaniu POZ 2012–2016 (PLoS One 2017), trend rozpoznań +23% i leczonych −43% wobec 2019 r., 57% uczestników Moje Zdrowie poniżej 40 lat i ok. +20% rozpoznań po 11 miesiącach programu (MZ, IV 2026), 4 010 osób w leczeniu substytucyjnym (EUDA 2024, dane 2022), 93 339 rozpoczęć leczenia w Anglii 2015–2024 (UKHSA 2026), interpretację luk wojewódzkich, sposób liczenia mediany kolejki (37 z 91 lokalizacji), dodatkowe ograniczenie modelu (opieka nieformalna, pomoc społeczna, PFRON, prezenteizm) oraz pełną tabelę weryfikacji 33 parametrów z audytu. Wyniki modelu bez zmian.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/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HCV – model inwestycji (szacunek)</dc:title>
  <dcterms:created xmlns:dcterms="http://purl.org/dc/terms/" xmlns:xsi="http://www.w3.org/2001/XMLSchema-instance" xsi:type="dcterms:W3CDTF">2026-10-28T00:00:00Z</dcterms:created>
  <dcterms:modified xmlns:dcterms="http://purl.org/dc/terms/" xmlns:xsi="http://www.w3.org/2001/XMLSchema-instance" xsi:type="dcterms:W3CDTF">2026-10-28T00:00:00Z</dcterms:modified>
</cp:coreProperties>
</file>