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zytaj_mnie" sheetId="1" state="visible" r:id="rId3"/>
    <sheet name="Parametry" sheetId="2" state="visible" r:id="rId4"/>
    <sheet name="Ustawienia" sheetId="3" state="visible" r:id="rId5"/>
    <sheet name="L_S1" sheetId="4" state="visible" r:id="rId6"/>
    <sheet name="L_S0" sheetId="5" state="visible" r:id="rId7"/>
    <sheet name="L_I1" sheetId="6" state="visible" r:id="rId8"/>
    <sheet name="L_I2" sheetId="7" state="visible" r:id="rId9"/>
    <sheet name="L_I3" sheetId="8" state="visible" r:id="rId10"/>
    <sheet name="L_I4" sheetId="9" state="visible" r:id="rId11"/>
    <sheet name="L_I5" sheetId="10" state="visible" r:id="rId12"/>
    <sheet name="L_V1" sheetId="11" state="visible" r:id="rId13"/>
    <sheet name="Inw_S0" sheetId="12" state="visible" r:id="rId14"/>
    <sheet name="Inw_I1" sheetId="13" state="visible" r:id="rId15"/>
    <sheet name="Inw_I2" sheetId="14" state="visible" r:id="rId16"/>
    <sheet name="Inw_I3" sheetId="15" state="visible" r:id="rId17"/>
    <sheet name="Inw_I4" sheetId="16" state="visible" r:id="rId18"/>
    <sheet name="Inw_I5" sheetId="17" state="visible" r:id="rId19"/>
    <sheet name="Inw_V1" sheetId="18" state="visible" r:id="rId20"/>
    <sheet name="PSA_wyniki" sheetId="19" state="visible" r:id="rId21"/>
    <sheet name="Metodologia" sheetId="20" state="visible" r:id="rId22"/>
    <sheet name="Na_pacjenta" sheetId="21" state="visible" r:id="rId23"/>
    <sheet name="Analizy_scen" sheetId="22" state="visible" r:id="rId24"/>
    <sheet name="Leki_zamowienia" sheetId="23" state="visible" r:id="rId25"/>
    <sheet name="Zmiany" sheetId="24" state="visible" r:id="rId26"/>
  </sheets>
  <definedNames>
    <definedName function="false" hidden="false" name="x_ABS_D" vbProcedure="false">Parametry!$C$108</definedName>
    <definedName function="false" hidden="false" name="x_AF_B18" vbProcedure="false">Parametry!$C$57</definedName>
    <definedName function="false" hidden="false" name="x_AF_K74" vbProcedure="false">Parametry!$C$112</definedName>
    <definedName function="false" hidden="false" name="x_AF_LIVER" vbProcedure="false">Parametry!$C$58</definedName>
    <definedName function="false" hidden="false" name="x_AGE0" vbProcedure="false">Parametry!$C$3</definedName>
    <definedName function="false" hidden="false" name="x_AGEW_1" vbProcedure="false">Parametry!$C$95</definedName>
    <definedName function="false" hidden="false" name="x_AGEW_2" vbProcedure="false">Parametry!$C$96</definedName>
    <definedName function="false" hidden="false" name="x_AGEW_3" vbProcedure="false">Parametry!$C$97</definedName>
    <definedName function="false" hidden="false" name="x_AGEW_4" vbProcedure="false">Parametry!$C$98</definedName>
    <definedName function="false" hidden="false" name="x_AGE_INC" vbProcedure="false">Parametry!$C$75</definedName>
    <definedName function="false" hidden="false" name="x_AGRI" vbProcedure="false">Parametry!$C$63</definedName>
    <definedName function="false" hidden="false" name="x_CAP_OBS" vbProcedure="false">Parametry!$C$94</definedName>
    <definedName function="false" hidden="false" name="x_CARE_ALL" vbProcedure="false">Parametry!$C$106</definedName>
    <definedName function="false" hidden="false" name="x_CPI" vbProcedure="false">Parametry!$C$33</definedName>
    <definedName function="false" hidden="false" name="x_c_AHCV" vbProcedure="false">Parametry!$C$44</definedName>
    <definedName function="false" hidden="false" name="x_c_CC" vbProcedure="false">Parametry!$C$36</definedName>
    <definedName function="false" hidden="false" name="x_c_DAA" vbProcedure="false">Parametry!$C$42</definedName>
    <definedName function="false" hidden="false" name="x_c_DC" vbProcedure="false">Parametry!$C$38</definedName>
    <definedName function="false" hidden="false" name="x_c_F" vbProcedure="false">Parametry!$C$34</definedName>
    <definedName function="false" hidden="false" name="x_c_HCC" vbProcedure="false">Parametry!$C$39</definedName>
    <definedName function="false" hidden="false" name="x_c_LT" vbProcedure="false">Parametry!$C$40</definedName>
    <definedName function="false" hidden="false" name="x_c_LT1" vbProcedure="false">Parametry!$C$101</definedName>
    <definedName function="false" hidden="false" name="x_c_MON" vbProcedure="false">Parametry!$C$43</definedName>
    <definedName function="false" hidden="false" name="x_c_PLT" vbProcedure="false">Parametry!$C$41</definedName>
    <definedName function="false" hidden="false" name="x_c_RNA" vbProcedure="false">Parametry!$C$45</definedName>
    <definedName function="false" hidden="false" name="x_c_SVRcc" vbProcedure="false">Parametry!$C$37</definedName>
    <definedName function="false" hidden="false" name="x_c_SVRn" vbProcedure="false">Parametry!$C$35</definedName>
    <definedName function="false" hidden="false" name="x_DAYS_RATIO_B18" vbProcedure="false">Parametry!$C$55</definedName>
    <definedName function="false" hidden="false" name="x_DC0" vbProcedure="false">Parametry!$C$78</definedName>
    <definedName function="false" hidden="false" name="x_de" vbProcedure="false">Ustawienia!$B$3</definedName>
    <definedName function="false" hidden="false" name="x_dk" vbProcedure="false">Ustawienia!$B$2</definedName>
    <definedName function="false" hidden="false" name="x_DX_IN" vbProcedure="false">Parametry!$C$103</definedName>
    <definedName function="false" hidden="false" name="x_D_C" vbProcedure="false">Parametry!$C$71</definedName>
    <definedName function="false" hidden="false" name="x_D_E" vbProcedure="false">Parametry!$C$72</definedName>
    <definedName function="false" hidden="false" name="x_D_F0" vbProcedure="false">Parametry!$C$5</definedName>
    <definedName function="false" hidden="false" name="x_D_F1" vbProcedure="false">Parametry!$C$6</definedName>
    <definedName function="false" hidden="false" name="x_D_F2" vbProcedure="false">Parametry!$C$7</definedName>
    <definedName function="false" hidden="false" name="x_D_F3" vbProcedure="false">Parametry!$C$8</definedName>
    <definedName function="false" hidden="false" name="x_D_F4" vbProcedure="false">Parametry!$C$9</definedName>
    <definedName function="false" hidden="false" name="x_EMP" vbProcedure="false">Parametry!$C$62</definedName>
    <definedName function="false" hidden="false" name="x_FIX" vbProcedure="false">Parametry!$C$110</definedName>
    <definedName function="false" hidden="false" name="x_FRIC" vbProcedure="false">Parametry!$C$66</definedName>
    <definedName function="false" hidden="false" name="x_H" vbProcedure="false">Ustawienia!$B$4</definedName>
    <definedName function="false" hidden="false" name="x_HALF_CYCLE" vbProcedure="false">Parametry!$C$107</definedName>
    <definedName function="false" hidden="false" name="x_HCC0" vbProcedure="false">Parametry!$C$79</definedName>
    <definedName function="false" hidden="false" name="x_INC" vbProcedure="false">Parametry!$C$74</definedName>
    <definedName function="false" hidden="false" name="x_INC_TREND" vbProcedure="false">Parametry!$C$111</definedName>
    <definedName function="false" hidden="false" name="x_KEY_POOL" vbProcedure="false">Parametry!$C$87</definedName>
    <definedName function="false" hidden="false" name="x_K_DC" vbProcedure="false">Parametry!$C$91</definedName>
    <definedName function="false" hidden="false" name="x_K_HCC" vbProcedure="false">Parametry!$C$92</definedName>
    <definedName function="false" hidden="false" name="x_LINK" vbProcedure="false">Parametry!$C$81</definedName>
    <definedName function="false" hidden="false" name="x_LINK_UP" vbProcedure="false">Parametry!$C$82</definedName>
    <definedName function="false" hidden="false" name="x_N0" vbProcedure="false">Parametry!$C$2</definedName>
    <definedName function="false" hidden="false" name="x_NAV" vbProcedure="false">Parametry!$C$109</definedName>
    <definedName function="false" hidden="false" name="x_OH" vbProcedure="false">Parametry!$C$88</definedName>
    <definedName function="false" hidden="false" name="x_PEN_C22" vbProcedure="false">Parametry!$C$61</definedName>
    <definedName function="false" hidden="false" name="x_PEN_K74" vbProcedure="false">Parametry!$C$60</definedName>
    <definedName function="false" hidden="false" name="x_PLT0" vbProcedure="false">Parametry!$C$80</definedName>
    <definedName function="false" hidden="false" name="x_PREV_G" vbProcedure="false">Parametry!$C$46</definedName>
    <definedName function="false" hidden="false" name="x_PREV_K" vbProcedure="false">Parametry!$C$48</definedName>
    <definedName function="false" hidden="false" name="x_PROG_M" vbProcedure="false">Parametry!$C$114</definedName>
    <definedName function="false" hidden="false" name="x_PROG_Y" vbProcedure="false">Parametry!$C$89</definedName>
    <definedName function="false" hidden="false" name="x_PWID_SH" vbProcedure="false">Parametry!$C$77</definedName>
    <definedName function="false" hidden="false" name="x_p_CCDC" vbProcedure="false">Parametry!$C$14</definedName>
    <definedName function="false" hidden="false" name="x_p_CCHCC" vbProcedure="false">Parametry!$C$15</definedName>
    <definedName function="false" hidden="false" name="x_p_DCD" vbProcedure="false">Parametry!$C$18</definedName>
    <definedName function="false" hidden="false" name="x_p_DCHCC" vbProcedure="false">Parametry!$C$16</definedName>
    <definedName function="false" hidden="false" name="x_p_DCLT" vbProcedure="false">Parametry!$C$17</definedName>
    <definedName function="false" hidden="false" name="x_p_F0F1" vbProcedure="false">Parametry!$C$10</definedName>
    <definedName function="false" hidden="false" name="x_p_F1F2" vbProcedure="false">Parametry!$C$11</definedName>
    <definedName function="false" hidden="false" name="x_p_F2F3" vbProcedure="false">Parametry!$C$12</definedName>
    <definedName function="false" hidden="false" name="x_p_F3F4" vbProcedure="false">Parametry!$C$13</definedName>
    <definedName function="false" hidden="false" name="x_p_F3HCC" vbProcedure="false">Parametry!$C$113</definedName>
    <definedName function="false" hidden="false" name="x_p_HCCD" vbProcedure="false">Parametry!$C$19</definedName>
    <definedName function="false" hidden="false" name="x_p_HCCLT" vbProcedure="false">Parametry!$C$20</definedName>
    <definedName function="false" hidden="false" name="x_p_LTD" vbProcedure="false">Parametry!$C$21</definedName>
    <definedName function="false" hidden="false" name="x_p_PLTD" vbProcedure="false">Parametry!$C$22</definedName>
    <definedName function="false" hidden="false" name="x_p_SCCDC" vbProcedure="false">Parametry!$C$23</definedName>
    <definedName function="false" hidden="false" name="x_p_SCCHCC" vbProcedure="false">Parametry!$C$24</definedName>
    <definedName function="false" hidden="false" name="x_RAMP" vbProcedure="false">Parametry!$C$93</definedName>
    <definedName function="false" hidden="false" name="x_RE" vbProcedure="false">Parametry!$C$76</definedName>
    <definedName function="false" hidden="false" name="x_RET" vbProcedure="false">Parametry!$C$4</definedName>
    <definedName function="false" hidden="false" name="x_RE_KEY" vbProcedure="false">Parametry!$C$99</definedName>
    <definedName function="false" hidden="false" name="x_R_FP" vbProcedure="false">Parametry!$C$68</definedName>
    <definedName function="false" hidden="false" name="x_R_FUS" vbProcedure="false">Parametry!$C$67</definedName>
    <definedName function="false" hidden="false" name="x_R_NFZ" vbProcedure="false">Parametry!$C$69</definedName>
    <definedName function="false" hidden="false" name="x_R_PIT" vbProcedure="false">Parametry!$C$70</definedName>
    <definedName function="false" hidden="false" name="x_SB_DAY" vbProcedure="false">Parametry!$C$115</definedName>
    <definedName function="false" hidden="false" name="x_SMR_PWID" vbProcedure="false">Parametry!$C$100</definedName>
    <definedName function="false" hidden="false" name="x_SVR" vbProcedure="false">Parametry!$C$25</definedName>
    <definedName function="false" hidden="false" name="x_testy" vbProcedure="false">Ustawienia!$B$5</definedName>
    <definedName function="false" hidden="false" name="x_THR" vbProcedure="false">Parametry!$C$73</definedName>
    <definedName function="false" hidden="false" name="x_THR_INFO" vbProcedure="false">Parametry!$C$90</definedName>
    <definedName function="false" hidden="false" name="x_T_PRE" vbProcedure="false">Parametry!$C$104</definedName>
    <definedName function="false" hidden="false" name="x_T_SQ" vbProcedure="false">Parametry!$C$50</definedName>
    <definedName function="false" hidden="false" name="x_T_WHO" vbProcedure="false">Parametry!$C$51</definedName>
    <definedName function="false" hidden="false" name="x_u_CC" vbProcedure="false">Parametry!$C$27</definedName>
    <definedName function="false" hidden="false" name="x_u_DC" vbProcedure="false">Parametry!$C$28</definedName>
    <definedName function="false" hidden="false" name="x_u_F" vbProcedure="false">Parametry!$C$26</definedName>
    <definedName function="false" hidden="false" name="x_u_HCC" vbProcedure="false">Parametry!$C$29</definedName>
    <definedName function="false" hidden="false" name="x_u_LT" vbProcedure="false">Parametry!$C$30</definedName>
    <definedName function="false" hidden="false" name="x_u_PLT" vbProcedure="false">Parametry!$C$31</definedName>
    <definedName function="false" hidden="false" name="x_u_SVR" vbProcedure="false">Parametry!$C$32</definedName>
    <definedName function="false" hidden="false" name="x_VALP" vbProcedure="false">Parametry!$C$102</definedName>
    <definedName function="false" hidden="false" name="x_VIR" vbProcedure="false">Parametry!$C$47</definedName>
    <definedName function="false" hidden="false" name="x_VIR_K" vbProcedure="false">Parametry!$C$49</definedName>
    <definedName function="false" hidden="false" name="x_W0" vbProcedure="false">Parametry!$C$105</definedName>
    <definedName function="false" hidden="false" name="x_WAGE" vbProcedure="false">Parametry!$C$64</definedName>
    <definedName function="false" hidden="false" name="x_WLOSS" vbProcedure="false">Parametry!$C$65</definedName>
    <definedName function="false" hidden="false" name="x_W_RATIO" vbProcedure="false">Parametry!$C$56</definedName>
    <definedName function="false" hidden="false" name="x_Y_KEY" vbProcedure="false">Parametry!$C$86</definedName>
    <definedName function="false" hidden="false" name="x_Y_LAB" vbProcedure="false">Parametry!$C$85</definedName>
    <definedName function="false" hidden="false" name="x_Y_MZ" vbProcedure="false">Parametry!$C$83</definedName>
    <definedName function="false" hidden="false" name="x_Y_POZ" vbProcedure="false">Parametry!$C$84</definedName>
    <definedName function="false" hidden="false" name="x_ZUS12_B18" vbProcedure="false">Parametry!$C$52</definedName>
    <definedName function="false" hidden="false" name="x_ZUS12_C22" vbProcedure="false">Parametry!$C$54</definedName>
    <definedName function="false" hidden="false" name="x_ZUS12_K74" vbProcedure="false">Parametry!$C$53</definedName>
    <definedName function="false" hidden="false" name="x_z_F" vbProcedure="false">Parametry!$C$59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<sst xmlns="http://schemas.openxmlformats.org/spreadsheetml/2006/main" count="2365" uniqueCount="762">
  <si>
    <t xml:space="preserve">HCV w Polsce – model inwestycji w testowanie i leczenie (arkusz z formułami)</t>
  </si>
  <si>
    <t xml:space="preserve">Wszystkie wyniki są SZACUNKAMI MODELU, nie danymi. Stan danych: 28.10.2026 (wersja po audycie 2). Arkusze L_* i Inw_*: S0 (zaniechanie), I1, I2, I3, I4, I5, V1 wobec status quo (S1). ICER główny = perspektywa NFZ.</t>
  </si>
  <si>
    <t xml:space="preserve">Przełącznik Ustawienia!B5 (x_testy): 0 = wariant pełny (testy w porównaniu); 1 = testy finansuje inny płatnik – porównujemy tylko koszt wyleczenia (leki, monitorowanie, nawigacja) z kosztami nieleczenia. To przesunięcie kosztu testów do innego płatnika, nie jego zniknięcie z finansów publicznych.</t>
  </si>
  <si>
    <t xml:space="preserve">Arkusz Na_pacjenta: koszt wyleczenia vs koszt nieleczenia na jednego zdiagnozowanego pacjenta. Arkusz Analizy_scen: warianty założeń (K=1, cena 2017, malejąca zapadalność, opieka u wszystkich itd.). Arkusz Zmiany: lista zmian 28.10.2026.</t>
  </si>
  <si>
    <t xml:space="preserve">Żółte komórki = dane wejściowe (nazwy x_…). Zmiana parametru kosztowego przelicza koszty, salda, ROI i rok zwrotu.</t>
  </si>
  <si>
    <t xml:space="preserve">Liczebności stanów (arkusze L_*) pochodzą z silnika Markowa (JavaScript, ten sam co w aplikacji) i są wklejone jako wartości;</t>
  </si>
  <si>
    <t xml:space="preserve">zmiana parametrów przejść/epidemiologii wymaga ponownego uruchomienia silnika (kalkulator w aplikacji robi to na żywo).</t>
  </si>
  <si>
    <t xml:space="preserve">Perspektywy (AOTMiT): NFZ; sektor publiczny = NFZ + budżet (MZ/SW) + ZUS + KRUS + utracone składki i PIT; społeczna = NFZ + budżet + produktywność (ZUS to transfery).</t>
  </si>
  <si>
    <t xml:space="preserve">Dyskonto: koszty 5%, efekty 3,5% (AOTMiT). Saldo &gt; 0 = koszt netto dla państwa; saldo &lt; 0 = oszczędność netto.</t>
  </si>
  <si>
    <t xml:space="preserve">Liczby leczonych są roczne – nie sumuj osób między latami (suma kursów leczenia ≠ liczba unikalnych osób).</t>
  </si>
  <si>
    <t xml:space="preserve">Materiał edukacyjny, neutralny; bez nazw leków i firm. Recenzja panelu ról w aplikacji jest symulowana.</t>
  </si>
  <si>
    <t xml:space="preserve">Deklaracja finansowania i konfliktu interesów: Autor pracuje w sektorze farmaceutycznym. Analiza powstała prywatnie, bez zlecenia i finansowania jakiejkolwiek firmy. Nie wymienia ani nie promuje żadnych produktów leczniczych. Część wykorzystanych źródeł była finansowana przez przemysł — oznaczono to w Źródłach.</t>
  </si>
  <si>
    <t xml:space="preserve">id</t>
  </si>
  <si>
    <t xml:space="preserve">nazwa</t>
  </si>
  <si>
    <t xml:space="preserve">wartosc</t>
  </si>
  <si>
    <t xml:space="preserve">min</t>
  </si>
  <si>
    <t xml:space="preserve">max</t>
  </si>
  <si>
    <t xml:space="preserve">rozklad</t>
  </si>
  <si>
    <t xml:space="preserve">param_rozkladu</t>
  </si>
  <si>
    <t xml:space="preserve">zrodlo</t>
  </si>
  <si>
    <t xml:space="preserve">data_zrodla</t>
  </si>
  <si>
    <t xml:space="preserve">typ</t>
  </si>
  <si>
    <t xml:space="preserve">metoda</t>
  </si>
  <si>
    <t xml:space="preserve">platnik</t>
  </si>
  <si>
    <t xml:space="preserve">jednostka</t>
  </si>
  <si>
    <t xml:space="preserve">N0</t>
  </si>
  <si>
    <t xml:space="preserve">Osoby z wiremią HCV w PL na start (2026)</t>
  </si>
  <si>
    <t xml:space="preserve">trójkątny</t>
  </si>
  <si>
    <t xml:space="preserve">min=145000; moda=155000; max=165000</t>
  </si>
  <si>
    <t xml:space="preserve">Szacunki ekspertów i Polaris Observatory (przegląd w raporcie HCV); Flisiak i in. Eur J Gastroenterol Hepatol 2015;27:70–76</t>
  </si>
  <si>
    <t xml:space="preserve">2020–2024</t>
  </si>
  <si>
    <t xml:space="preserve">dane źródłowe</t>
  </si>
  <si>
    <t xml:space="preserve">punkt środkowy przedziału publikowanych szacunków</t>
  </si>
  <si>
    <t xml:space="preserve">—</t>
  </si>
  <si>
    <t xml:space="preserve">osoby</t>
  </si>
  <si>
    <t xml:space="preserve">AGE0</t>
  </si>
  <si>
    <t xml:space="preserve">Wiek startowy kohorty</t>
  </si>
  <si>
    <t xml:space="preserve">normalny</t>
  </si>
  <si>
    <t xml:space="preserve">sd=3</t>
  </si>
  <si>
    <t xml:space="preserve">NFZ app-stat B.71 2025 wg grup wieku (n=4 839)</t>
  </si>
  <si>
    <t xml:space="preserve">2025</t>
  </si>
  <si>
    <t xml:space="preserve">prognoza/szacunek</t>
  </si>
  <si>
    <t xml:space="preserve">średnia ważona środków grup wieku B.71 2025 (18–40 z 7–17: 29; 41–60: 50,5; 61–80: 70,5; 81+: 85 – założenie); przesuwa cały rozkład wieku kohorty; SD 3 lata w PSA = założenie (niepewność, czy leczeni odzwierciedlają niewykrytych)</t>
  </si>
  <si>
    <t xml:space="preserve">lata</t>
  </si>
  <si>
    <t xml:space="preserve">RET</t>
  </si>
  <si>
    <t xml:space="preserve">Wiek emerytalny ważony płcią</t>
  </si>
  <si>
    <t xml:space="preserve">stały (tornado)</t>
  </si>
  <si>
    <t xml:space="preserve">NFZ B.71 2025 wg płci (M 55,5%); ustawa o emeryturach (60/65)</t>
  </si>
  <si>
    <t xml:space="preserve">średnia ważona udziałem płci</t>
  </si>
  <si>
    <t xml:space="preserve">D_F0</t>
  </si>
  <si>
    <t xml:space="preserve">Rozkład włóknienia na starcie F0</t>
  </si>
  <si>
    <t xml:space="preserve">Dirichlet</t>
  </si>
  <si>
    <t xml:space="preserve">alfa=180 (n=845)</t>
  </si>
  <si>
    <t xml:space="preserve">Pierucka 2016 (nowo rozpoznani, n=845)</t>
  </si>
  <si>
    <t xml:space="preserve">2016</t>
  </si>
  <si>
    <t xml:space="preserve">udział obserwowany</t>
  </si>
  <si>
    <t xml:space="preserve">odsetek</t>
  </si>
  <si>
    <t xml:space="preserve">D_F1</t>
  </si>
  <si>
    <t xml:space="preserve">Rozkład włóknienia na starcie F1</t>
  </si>
  <si>
    <t xml:space="preserve">alfa=305 (n=845)</t>
  </si>
  <si>
    <t xml:space="preserve">D_F2</t>
  </si>
  <si>
    <t xml:space="preserve">Rozkład włóknienia na starcie F2</t>
  </si>
  <si>
    <t xml:space="preserve">alfa=197 (n=845)</t>
  </si>
  <si>
    <t xml:space="preserve">D_F3</t>
  </si>
  <si>
    <t xml:space="preserve">Rozkład włóknienia na starcie F3</t>
  </si>
  <si>
    <t xml:space="preserve">alfa=93 (n=845)</t>
  </si>
  <si>
    <t xml:space="preserve">D_F4</t>
  </si>
  <si>
    <t xml:space="preserve">Rozkład włóknienia na starcie F4</t>
  </si>
  <si>
    <t xml:space="preserve">alfa=70 (n=845)</t>
  </si>
  <si>
    <t xml:space="preserve">p_F0F1</t>
  </si>
  <si>
    <t xml:space="preserve">Prawdopodobieństwo roczne F0→F1</t>
  </si>
  <si>
    <t xml:space="preserve">beta</t>
  </si>
  <si>
    <t xml:space="preserve">alfa=274.65; beta=2072.75</t>
  </si>
  <si>
    <t xml:space="preserve">Thein 2008 Hepatology 48:418 (metaanaliza), doi 10.1002/hep.22375</t>
  </si>
  <si>
    <t xml:space="preserve">2008</t>
  </si>
  <si>
    <t xml:space="preserve">dane zagraniczne/literatura międzynarodowa</t>
  </si>
  <si>
    <t xml:space="preserve">metaanaliza; SE=(górny−dolny 95% CI)/3,92</t>
  </si>
  <si>
    <t xml:space="preserve">/rok</t>
  </si>
  <si>
    <t xml:space="preserve">p_F1F2</t>
  </si>
  <si>
    <t xml:space="preserve">Prawdopodobieństwo roczne F1→F2</t>
  </si>
  <si>
    <t xml:space="preserve">alfa=230.27; beta=2478.76</t>
  </si>
  <si>
    <t xml:space="preserve">p_F2F3</t>
  </si>
  <si>
    <t xml:space="preserve">Prawdopodobieństwo roczne F2→F3</t>
  </si>
  <si>
    <t xml:space="preserve">alfa=337.94; beta=2478.23</t>
  </si>
  <si>
    <t xml:space="preserve">p_F3F4</t>
  </si>
  <si>
    <t xml:space="preserve">Prawdopodobieństwo roczne F3→F4</t>
  </si>
  <si>
    <t xml:space="preserve">alfa=292.34; beta=2227.83</t>
  </si>
  <si>
    <t xml:space="preserve">p_CCDC</t>
  </si>
  <si>
    <t xml:space="preserve">Prawdopodobieństwo roczne CC→DC</t>
  </si>
  <si>
    <t xml:space="preserve">alfa=186.85; beta=2969.48</t>
  </si>
  <si>
    <t xml:space="preserve">Analiza ekonomiczna wnioskodawcy przygotowana przez firmę konsultingową, opublikowana w BIP AOTMiT (zlecenie 153/2017): wartości Tab. 28, błędy standardowe do PSA Tab. 198 – parametry z literatury międzynarodowej (źródło przygotowane na zlecenie wnioskodawcy – możliwa stronniczość sponsora)</t>
  </si>
  <si>
    <t xml:space="preserve">2017</t>
  </si>
  <si>
    <t xml:space="preserve">dane źródłowe (PL HTA; pierwotnie lit. międzynar.)</t>
  </si>
  <si>
    <t xml:space="preserve">p_CCHCC</t>
  </si>
  <si>
    <t xml:space="preserve">Prawdopodobieństwo roczne CC→HCC</t>
  </si>
  <si>
    <t xml:space="preserve">alfa=112.20; beta=2945.03</t>
  </si>
  <si>
    <t xml:space="preserve">p_DCHCC</t>
  </si>
  <si>
    <t xml:space="preserve">Prawdopodobieństwo roczne DC→HCC</t>
  </si>
  <si>
    <t xml:space="preserve">alfa=28.25; beta=1285.61</t>
  </si>
  <si>
    <t xml:space="preserve">p_DCLT</t>
  </si>
  <si>
    <t xml:space="preserve">Prawdopodobieństwo roczne DC→LT</t>
  </si>
  <si>
    <t xml:space="preserve">alfa=3.02; beta=69.13</t>
  </si>
  <si>
    <t xml:space="preserve">p_DCD</t>
  </si>
  <si>
    <t xml:space="preserve">Prawdopodobieństwo roczne DC→zgon wątrobowy</t>
  </si>
  <si>
    <t xml:space="preserve">alfa=185.18; beta=1527.85</t>
  </si>
  <si>
    <t xml:space="preserve">p_HCCD</t>
  </si>
  <si>
    <t xml:space="preserve">Prawdopodobieństwo roczne HCC→zgon wątrobowy</t>
  </si>
  <si>
    <t xml:space="preserve">alfa=980.36; beta=2630.54</t>
  </si>
  <si>
    <t xml:space="preserve">p_HCCLT</t>
  </si>
  <si>
    <t xml:space="preserve">Prawdopodobieństwo roczne HCC→LT</t>
  </si>
  <si>
    <t xml:space="preserve">alfa=342.73; beta=36510.31</t>
  </si>
  <si>
    <t xml:space="preserve">p_LTD</t>
  </si>
  <si>
    <t xml:space="preserve">Prawdopodobieństwo roczne LT (rok 1)→zgon</t>
  </si>
  <si>
    <t xml:space="preserve">alfa=4250.70; beta=19364.30</t>
  </si>
  <si>
    <t xml:space="preserve">p_PLTD</t>
  </si>
  <si>
    <t xml:space="preserve">Prawdopodobieństwo roczne po LT→zgon</t>
  </si>
  <si>
    <t xml:space="preserve">alfa=1180.28; beta=24635.10</t>
  </si>
  <si>
    <t xml:space="preserve">p_SCCDC</t>
  </si>
  <si>
    <t xml:space="preserve">Prawdopodobieństwo roczne CC po SVR→DC</t>
  </si>
  <si>
    <t xml:space="preserve">alfa=38.56; beta=3046.38</t>
  </si>
  <si>
    <t xml:space="preserve">p_SCCHCC</t>
  </si>
  <si>
    <t xml:space="preserve">Prawdopodobieństwo roczne CC po SVR→HCC</t>
  </si>
  <si>
    <t xml:space="preserve">alfa=90.77; beta=7802.50</t>
  </si>
  <si>
    <t xml:space="preserve">wartość z Tab. 198 (1,15%); Tab. 28 tego samego źródła podaje 1,28% – niespójność w źródle, przyjęto wartość z tabeli PSA</t>
  </si>
  <si>
    <t xml:space="preserve">SVR</t>
  </si>
  <si>
    <t xml:space="preserve">Odsetek SVR po DAA (F0–F4)</t>
  </si>
  <si>
    <t xml:space="preserve">alfa=388; beta=12</t>
  </si>
  <si>
    <t xml:space="preserve">Rejestr EpiTer-2 (PL, praktyka kliniczna 97–99%); badania rejestracyjne pangenotypowych schematów DAA (ok. 99%)</t>
  </si>
  <si>
    <t xml:space="preserve">wartość praktyki klinicznej (konserwatywnie 97%); precyzja rozkładu beta (n=400) – założenie</t>
  </si>
  <si>
    <t xml:space="preserve">NFZ</t>
  </si>
  <si>
    <t xml:space="preserve">u_F</t>
  </si>
  <si>
    <t xml:space="preserve">Użyteczność F0–F3</t>
  </si>
  <si>
    <t xml:space="preserve">alfa=277.12; beta=110.46</t>
  </si>
  <si>
    <t xml:space="preserve">Analiza ekonomiczna wnioskodawcy przygotowana przez firmę konsultingową, opublikowana w BIP AOTMiT (zlecenie 153/2017): wartości Tab. 28, błędy standardowe do PSA Tab. 198 – parametry z literatury międzynarodowej (źródło przygotowane na zlecenie wnioskodawcy – możliwa stronniczość sponsora) (Wright 2006 i in.)</t>
  </si>
  <si>
    <t xml:space="preserve">QALY/rok</t>
  </si>
  <si>
    <t xml:space="preserve">u_CC</t>
  </si>
  <si>
    <t xml:space="preserve">Użyteczność CC (F4)</t>
  </si>
  <si>
    <t xml:space="preserve">alfa=46.48; beta=38.03</t>
  </si>
  <si>
    <t xml:space="preserve">u_DC</t>
  </si>
  <si>
    <t xml:space="preserve">Użyteczność DC</t>
  </si>
  <si>
    <t xml:space="preserve">alfa=124.13; beta=151.71</t>
  </si>
  <si>
    <t xml:space="preserve">DC = HCC = LT = 0,45 jak w źródle (uproszczenie – w praktyce użyteczności różnią się)</t>
  </si>
  <si>
    <t xml:space="preserve">u_HCC</t>
  </si>
  <si>
    <t xml:space="preserve">Użyteczność HCC</t>
  </si>
  <si>
    <t xml:space="preserve">u_LT</t>
  </si>
  <si>
    <t xml:space="preserve">Użyteczność LT</t>
  </si>
  <si>
    <t xml:space="preserve">u_PLT</t>
  </si>
  <si>
    <t xml:space="preserve">Użyteczność po LT</t>
  </si>
  <si>
    <t xml:space="preserve">alfa=33.34; beta=16.42</t>
  </si>
  <si>
    <t xml:space="preserve">u_SVR</t>
  </si>
  <si>
    <t xml:space="preserve">Przyrost użyteczności po SVR</t>
  </si>
  <si>
    <t xml:space="preserve">gamma</t>
  </si>
  <si>
    <t xml:space="preserve">k=100.00; theta=0.0005</t>
  </si>
  <si>
    <t xml:space="preserve">CPI</t>
  </si>
  <si>
    <t xml:space="preserve">Indeks CPI GUS 2016→2025</t>
  </si>
  <si>
    <t xml:space="preserve">stały</t>
  </si>
  <si>
    <t xml:space="preserve">GUS: wskaźniki cen towarów i usług konsumpcyjnych 1950–2025 (rok poprzedni=100)</t>
  </si>
  <si>
    <t xml:space="preserve">2026</t>
  </si>
  <si>
    <t xml:space="preserve">inflacja kosztu: iloczyn rocznych CPI 2017–2025 (102,0;101,6;102,3;103,4;105,1;114,4;111,4;103,6;103,6)</t>
  </si>
  <si>
    <t xml:space="preserve">indeks</t>
  </si>
  <si>
    <t xml:space="preserve">c_F</t>
  </si>
  <si>
    <t xml:space="preserve">Koszt NFZ/rok: F0–F3 bez leczenia (ceny 2025)</t>
  </si>
  <si>
    <t xml:space="preserve">k=61.47; theta=48.1607</t>
  </si>
  <si>
    <t xml:space="preserve">Kaczor 2012 (koszty stanów, ceny 2016) via analiza ekonomiczna wnioskodawcy (firma konsultingowa) opublikowana w BIP AOTMiT, zlecenie 153/2017, Tab. 73/198 × CPI GUS</t>
  </si>
  <si>
    <t xml:space="preserve">2016→2025</t>
  </si>
  <si>
    <t xml:space="preserve">wartość źródłowa 1878.47 zł (2016) × CPI 1.5759; SE źródłowe przeskalowane</t>
  </si>
  <si>
    <t xml:space="preserve">zł/os./rok</t>
  </si>
  <si>
    <t xml:space="preserve">c_SVRn</t>
  </si>
  <si>
    <t xml:space="preserve">Koszt NFZ/rok: F0–F3 po SVR (ceny 2025)</t>
  </si>
  <si>
    <t xml:space="preserve">k=61.47; theta=9.9653</t>
  </si>
  <si>
    <t xml:space="preserve">wartość źródłowa 388.73 zł (2016) × CPI 1.5759; SE źródłowe przeskalowane</t>
  </si>
  <si>
    <t xml:space="preserve">c_CC</t>
  </si>
  <si>
    <t xml:space="preserve">Koszt NFZ/rok: CC (ceny 2025)</t>
  </si>
  <si>
    <t xml:space="preserve">k=100.00; theta=54.1556</t>
  </si>
  <si>
    <t xml:space="preserve">wartość źródłowa 3436.47 zł (2016) × CPI 1.5759; SE źródłowe przeskalowane</t>
  </si>
  <si>
    <t xml:space="preserve">c_SVRcc</t>
  </si>
  <si>
    <t xml:space="preserve">Koszt NFZ/rok: CC po SVR (ceny 2025)</t>
  </si>
  <si>
    <t xml:space="preserve">k=100.00; theta=27.3813</t>
  </si>
  <si>
    <t xml:space="preserve">wartość źródłowa 1737.48 zł (2016) × CPI 1.5759; SE źródłowe przeskalowane</t>
  </si>
  <si>
    <t xml:space="preserve">c_DC</t>
  </si>
  <si>
    <t xml:space="preserve">Koszt NFZ/rok: DC (ceny 2025)</t>
  </si>
  <si>
    <t xml:space="preserve">k=100.00; theta=180.6477</t>
  </si>
  <si>
    <t xml:space="preserve">wartość źródłowa 11463.32 zł (2016) × CPI 1.5759; SE źródłowe przeskalowane</t>
  </si>
  <si>
    <t xml:space="preserve">c_HCC</t>
  </si>
  <si>
    <t xml:space="preserve">Koszt NFZ/rok: HCC (ceny 2025)</t>
  </si>
  <si>
    <t xml:space="preserve">k=100.00; theta=628.7985</t>
  </si>
  <si>
    <t xml:space="preserve">wartość źródłowa 39901.41 zł (2016) × CPI 1.5759; SE źródłowe przeskalowane</t>
  </si>
  <si>
    <t xml:space="preserve">c_LT</t>
  </si>
  <si>
    <t xml:space="preserve">Koszt NFZ/rok: LT (rok przeszczepienia) (ceny 2025)</t>
  </si>
  <si>
    <t xml:space="preserve">k=100.00; theta=3428.1828</t>
  </si>
  <si>
    <t xml:space="preserve">wartość źródłowa 217540.72 zł (2016) × CPI 1.5759; SE źródłowe przeskalowane</t>
  </si>
  <si>
    <t xml:space="preserve">c_PLT</t>
  </si>
  <si>
    <t xml:space="preserve">Koszt NFZ/rok: po LT (rok 2+) (ceny 2025)</t>
  </si>
  <si>
    <t xml:space="preserve">k=100.00; theta=317.8797</t>
  </si>
  <si>
    <t xml:space="preserve">wartość źródłowa 20171.45 zł (2016) × CPI 1.5759; SE źródłowe przeskalowane</t>
  </si>
  <si>
    <t xml:space="preserve">c_DAA</t>
  </si>
  <si>
    <t xml:space="preserve">Koszt DAA na pacjenta (refundacja B.71)</t>
  </si>
  <si>
    <t xml:space="preserve">lognormalny</t>
  </si>
  <si>
    <t xml:space="preserve">mu=ln(22760); sigma=0.138 (SD logarytmu ilorazu 2017–2025, n=9)</t>
  </si>
  <si>
    <t xml:space="preserve">NFZ app-stat B.71: 109,98 mln zł / 4 832 pacjentów (2025); szereg 2017–2025 (33 872 zł w 2017 → 22 760 zł w 2025)</t>
  </si>
  <si>
    <t xml:space="preserve">2017–2025</t>
  </si>
  <si>
    <t xml:space="preserve">iloraz wartość/pacjenci; zmienność = SD logarytmu ilorazu 2017–2025; min/max = 95% rozkładu (17,4–29,8 tys. zł); scenariusze: 33 872 zł (2017) i najwyższa cena urzędowa terapii 8 tyg. w wykazie MZ 2025 (97 716 zł) – tylko w analizie scenariuszowej</t>
  </si>
  <si>
    <t xml:space="preserve">zł/pacjent</t>
  </si>
  <si>
    <t xml:space="preserve">c_MON</t>
  </si>
  <si>
    <t xml:space="preserve">Ryczałt diagnostyczny/monitorowanie B.71 (ceny 2025)</t>
  </si>
  <si>
    <t xml:space="preserve">SE 10%</t>
  </si>
  <si>
    <t xml:space="preserve">Zarządzenie 53/2017/DGL (5.08.08.0000002) 3 731,52 zł × CPI 2017→2025</t>
  </si>
  <si>
    <t xml:space="preserve">2017→2025</t>
  </si>
  <si>
    <t xml:space="preserve">inflacja kosztu CPI GUS 2018–2025</t>
  </si>
  <si>
    <t xml:space="preserve">c_AHCV</t>
  </si>
  <si>
    <t xml:space="preserve">Badanie anty-HCV (POZ)</t>
  </si>
  <si>
    <t xml:space="preserve">Zarządzenie Prezesa NFZ 22/2025/DSOZ (tekst ujedn. 23.09.2026) via psoz.pl</t>
  </si>
  <si>
    <t xml:space="preserve">zł/test</t>
  </si>
  <si>
    <t xml:space="preserve">c_RNA</t>
  </si>
  <si>
    <t xml:space="preserve">Badanie HCV RNA jakościowe</t>
  </si>
  <si>
    <t xml:space="preserve">Cennik laboratorium komercyjnego od 01.02.2025 (brak taryfy NFZ dla POZ – proxy rynkowe)</t>
  </si>
  <si>
    <t xml:space="preserve">dane źródłowe (proxy)</t>
  </si>
  <si>
    <t xml:space="preserve">cena rynkowa jako proxy</t>
  </si>
  <si>
    <t xml:space="preserve">PREV_G</t>
  </si>
  <si>
    <t xml:space="preserve">Odsetek anty-HCV+ w populacji ogólnej</t>
  </si>
  <si>
    <t xml:space="preserve">alfa=50; beta=9950</t>
  </si>
  <si>
    <t xml:space="preserve">Flisiak i in. (badanie 723 654 testów 2018–19, Clin Exp Hepatol 2020)</t>
  </si>
  <si>
    <t xml:space="preserve">2020</t>
  </si>
  <si>
    <t xml:space="preserve">VIR</t>
  </si>
  <si>
    <t xml:space="preserve">Odsetek wiremicznych wśród anty-HCV+</t>
  </si>
  <si>
    <t xml:space="preserve">alfa=40; beta=60</t>
  </si>
  <si>
    <t xml:space="preserve">Flisiak i in. (Clin Exp Hepatol 2020)</t>
  </si>
  <si>
    <t xml:space="preserve">PREV_K</t>
  </si>
  <si>
    <t xml:space="preserve">Odsetek anty-HCV+ wśród PWID</t>
  </si>
  <si>
    <t xml:space="preserve">KCPU 2021 (31,2%); Rosińska i in. BMC Infect Dis 2015 (59%, dane 2004–05), doi 10.1186/s12879-015-0828-9</t>
  </si>
  <si>
    <t xml:space="preserve">2021/2004–05</t>
  </si>
  <si>
    <t xml:space="preserve">informacyjnie – wydajność kanału liczona z Y_KEY</t>
  </si>
  <si>
    <t xml:space="preserve">MZ/SW</t>
  </si>
  <si>
    <t xml:space="preserve">VIR_K</t>
  </si>
  <si>
    <t xml:space="preserve">Odsetek wiremicznych wśród anty-HCV+ PWID</t>
  </si>
  <si>
    <t xml:space="preserve">alfa=50; beta=50</t>
  </si>
  <si>
    <t xml:space="preserve">KBPN 'Serwis Informacyjny Uzależnienia' 79 (≥ połowa wiremiczna)</t>
  </si>
  <si>
    <t xml:space="preserve">dolna granica 'co najmniej połowa'</t>
  </si>
  <si>
    <t xml:space="preserve">T_SQ</t>
  </si>
  <si>
    <t xml:space="preserve">Leczeni/rok – status quo</t>
  </si>
  <si>
    <t xml:space="preserve">NFZ app-stat B.71 2025</t>
  </si>
  <si>
    <t xml:space="preserve">ostatnia obserwacja; wariant: trend liniowy 2020–2025 (n=6; +138/rok; R²=0,57) i log-liniowy (R²=0,55)</t>
  </si>
  <si>
    <t xml:space="preserve">osoby/rok</t>
  </si>
  <si>
    <t xml:space="preserve">T_WHO</t>
  </si>
  <si>
    <t xml:space="preserve">Leczeni/rok – eliminacja WHO 2030</t>
  </si>
  <si>
    <t xml:space="preserve">Flisiak i in. 2015 (scenariusz eliminacji: 15 000/rok); eksperci 2026 (ok. 20 000/rok)</t>
  </si>
  <si>
    <t xml:space="preserve">2023</t>
  </si>
  <si>
    <t xml:space="preserve">środek przedziału</t>
  </si>
  <si>
    <t xml:space="preserve">ZUS12_B18</t>
  </si>
  <si>
    <t xml:space="preserve">Wydatki ZUS 2012 B18 (renty+socjalne+rehab.+absencja)</t>
  </si>
  <si>
    <t xml:space="preserve">Łazarski/IZwOZ 2015, Tab. 57 (dane ZUS)</t>
  </si>
  <si>
    <t xml:space="preserve">2012</t>
  </si>
  <si>
    <t xml:space="preserve">ZUS</t>
  </si>
  <si>
    <t xml:space="preserve">zł</t>
  </si>
  <si>
    <t xml:space="preserve">ZUS12_K74</t>
  </si>
  <si>
    <t xml:space="preserve">Wydatki ZUS 2012 K74</t>
  </si>
  <si>
    <t xml:space="preserve">Łazarski/IZwOZ 2015, Tab. 57</t>
  </si>
  <si>
    <t xml:space="preserve">ZUS12_C22</t>
  </si>
  <si>
    <t xml:space="preserve">Wydatki ZUS 2012 C22</t>
  </si>
  <si>
    <t xml:space="preserve">DAYS_RATIO_B18</t>
  </si>
  <si>
    <t xml:space="preserve">Wolumen absencji B18 2025/2013</t>
  </si>
  <si>
    <t xml:space="preserve">ZUS PSZ 2025 (28 057 dni) / Łazarski 2013 (202,4 tys.)</t>
  </si>
  <si>
    <t xml:space="preserve">2013/2025</t>
  </si>
  <si>
    <t xml:space="preserve">iloraz wolumenów</t>
  </si>
  <si>
    <t xml:space="preserve">×</t>
  </si>
  <si>
    <t xml:space="preserve">W_RATIO</t>
  </si>
  <si>
    <t xml:space="preserve">Wzrost przeciętnego wynagrodzenia 2012→2025</t>
  </si>
  <si>
    <t xml:space="preserve">GUS: 3 521,67 zł (2012), 8 903,56 zł (2025, MP 2026 poz. 192)</t>
  </si>
  <si>
    <t xml:space="preserve">iloraz</t>
  </si>
  <si>
    <t xml:space="preserve">AF_B18</t>
  </si>
  <si>
    <t xml:space="preserve">Udział HCV w B18</t>
  </si>
  <si>
    <t xml:space="preserve">alfa=3525; beta=3513</t>
  </si>
  <si>
    <t xml:space="preserve">PZH: Choroby zakaźne i zatrucia w Polsce 2024 (B18.2 vs B18.0–1)</t>
  </si>
  <si>
    <t xml:space="preserve">2024</t>
  </si>
  <si>
    <t xml:space="preserve">udział rejestracji jako proxy frakcji atrybutywnej</t>
  </si>
  <si>
    <t xml:space="preserve">AF_LIVER</t>
  </si>
  <si>
    <t xml:space="preserve">Udział HCV w raku wątroby (C22)</t>
  </si>
  <si>
    <t xml:space="preserve">alfa=201; beta=277 (n=478)</t>
  </si>
  <si>
    <t xml:space="preserve">Rejestr LIVER (abstrakt JCO 2012, n=478, 2009–10 – wybrane ośrodki); CEH 2021 (33–35%)</t>
  </si>
  <si>
    <t xml:space="preserve">2012/2021</t>
  </si>
  <si>
    <t xml:space="preserve">beta: średnia 0,42, 97,5. percentyl ≈ 0,465; min = CEH 2021 (pojedynczy ośrodek, 33–35%); stosowany tylko do C22 (HCC, renty C22)</t>
  </si>
  <si>
    <t xml:space="preserve">z_F</t>
  </si>
  <si>
    <t xml:space="preserve">Roczny koszt ZUS (zasiłek chorobowy) na pracującą osobę w wieku produkcyjnym z HCV pod opieką</t>
  </si>
  <si>
    <t xml:space="preserve">SE 20% (założenie)</t>
  </si>
  <si>
    <t xml:space="preserve">pochodna: ABS_D × SB_DAY (dni ZUS PSZ 2025 × dzienny zasiłek 80%)</t>
  </si>
  <si>
    <t xml:space="preserve">dni × stawka (audyt 2, K-A); wcześniej top-down z wydatków ZUS 2012 skalowanych dniami i płacą (≈620 zł/dzień – zawyżone ok. 3×) i naliczane wszystkim pod opieką bez względu na wiek</t>
  </si>
  <si>
    <t xml:space="preserve">PEN_K74</t>
  </si>
  <si>
    <t xml:space="preserve">Średnia renta ZUS/świadczeniobiorcę K74 (2025)</t>
  </si>
  <si>
    <t xml:space="preserve">Łazarski 2015 (11 762.77 zł w 2012) × wskaźniki waloryzacji rent i emerytur ZUS 2013–2025 (iloczyn 1,7795)</t>
  </si>
  <si>
    <t xml:space="preserve">2012/2025</t>
  </si>
  <si>
    <t xml:space="preserve">indeksacja wskaźnikiem waloryzacji świadczeń (ZUS/MRPiPS), nie wzrostem płac</t>
  </si>
  <si>
    <t xml:space="preserve">zł/rok</t>
  </si>
  <si>
    <t xml:space="preserve">PEN_C22</t>
  </si>
  <si>
    <t xml:space="preserve">Średnia renta ZUS/świadczeniobiorcę C22 (2025)</t>
  </si>
  <si>
    <t xml:space="preserve">Łazarski 2015 (13 367.99 zł w 2012) × wskaźniki waloryzacji rent i emerytur ZUS 2013–2025 (iloczyn 1,7795)</t>
  </si>
  <si>
    <t xml:space="preserve">EMP</t>
  </si>
  <si>
    <t xml:space="preserve">Wskaźnik zatrudnienia w wieku produkcyjnym</t>
  </si>
  <si>
    <t xml:space="preserve">alfa=798; beta=202</t>
  </si>
  <si>
    <t xml:space="preserve">GUS BAEL IV kw. 2025 (18–59/64 lata)</t>
  </si>
  <si>
    <t xml:space="preserve">AGRI</t>
  </si>
  <si>
    <t xml:space="preserve">Udział pracujących w rolnictwie (KRUS)</t>
  </si>
  <si>
    <t xml:space="preserve">GUS BAEL IV kw. 2025</t>
  </si>
  <si>
    <t xml:space="preserve">podział świadczeń ZUS/KRUS proporcjonalnie do struktury zatrudnienia (założenie: ta sama kwota świadczenia)</t>
  </si>
  <si>
    <t xml:space="preserve">KRUS</t>
  </si>
  <si>
    <t xml:space="preserve">WAGE</t>
  </si>
  <si>
    <t xml:space="preserve">Przeciętne roczne wynagrodzenie brutto</t>
  </si>
  <si>
    <t xml:space="preserve">GUS 2025: 8 903,56 zł/mies. (MP 2026 poz. 192)</t>
  </si>
  <si>
    <t xml:space="preserve">×12</t>
  </si>
  <si>
    <t xml:space="preserve">WLOSS</t>
  </si>
  <si>
    <t xml:space="preserve">Utrata zdolności do pracy w DC/HCC/LT/po LT</t>
  </si>
  <si>
    <t xml:space="preserve">kalibracja: renty ZUS w modelu (status quo 2026) = przeliczenie top-down wydatków ZUS 2012 (K74+C22) × waloryzacja × AF_LIVER</t>
  </si>
  <si>
    <t xml:space="preserve">założenie scenariuszowe</t>
  </si>
  <si>
    <t xml:space="preserve">odsetek osób z DC/HCC/po przeszczepieniu, które tracą pracę i pobierają rentę; brak danych bezpośrednich (EMP dla populacji ogólnej – nie korygowane dla PWID)</t>
  </si>
  <si>
    <t xml:space="preserve">FRIC</t>
  </si>
  <si>
    <t xml:space="preserve">Okres frykcyjny</t>
  </si>
  <si>
    <t xml:space="preserve">Koopmanschap 1995 (metoda frykcyjna; NL) – transfer</t>
  </si>
  <si>
    <t xml:space="preserve">1995</t>
  </si>
  <si>
    <t xml:space="preserve">metoda frykcyjna: strata tylko w okresie zastąpienia pracownika</t>
  </si>
  <si>
    <t xml:space="preserve">rok</t>
  </si>
  <si>
    <t xml:space="preserve">R_FUS</t>
  </si>
  <si>
    <t xml:space="preserve">Składki FUS (emer.19,52+rent.8,0+chor.2,45+wyp.1,67)</t>
  </si>
  <si>
    <t xml:space="preserve">ustawa o systemie ubezpieczeń społecznych (stawki 2025)</t>
  </si>
  <si>
    <t xml:space="preserve">suma stawek ustawowych</t>
  </si>
  <si>
    <t xml:space="preserve">% brutto</t>
  </si>
  <si>
    <t xml:space="preserve">R_FP</t>
  </si>
  <si>
    <t xml:space="preserve">Fundusz Pracy + FGŚP</t>
  </si>
  <si>
    <t xml:space="preserve">ustawa o promocji zatrudnienia; ustawa o FGŚP</t>
  </si>
  <si>
    <t xml:space="preserve">Budżet/fundusze celowe</t>
  </si>
  <si>
    <t xml:space="preserve">R_NFZ</t>
  </si>
  <si>
    <t xml:space="preserve">Składka zdrowotna 9% (od podstawy po składkach)</t>
  </si>
  <si>
    <t xml:space="preserve">ustawa o świadczeniach opieki zdrowotnej</t>
  </si>
  <si>
    <t xml:space="preserve">9% × (1−13,71%)</t>
  </si>
  <si>
    <t xml:space="preserve">R_PIT</t>
  </si>
  <si>
    <t xml:space="preserve">Efektywny PIT przy przeciętnym wynagrodzeniu</t>
  </si>
  <si>
    <t xml:space="preserve">ustawa o PIT (12%, KUP 250 zł, kwota zmniejszająca 300 zł/mies.)</t>
  </si>
  <si>
    <t xml:space="preserve">obliczenie dla przeciętnego wynagrodzenia</t>
  </si>
  <si>
    <t xml:space="preserve">Budżet/JST</t>
  </si>
  <si>
    <t xml:space="preserve">D_C</t>
  </si>
  <si>
    <t xml:space="preserve">Stopa dyskontowa – koszty</t>
  </si>
  <si>
    <t xml:space="preserve">Wytyczne HTA AOTMiT 2016</t>
  </si>
  <si>
    <t xml:space="preserve">D_E</t>
  </si>
  <si>
    <t xml:space="preserve">Stopa dyskontowa – efekty</t>
  </si>
  <si>
    <t xml:space="preserve">THR</t>
  </si>
  <si>
    <t xml:space="preserve">Próg opłacalności</t>
  </si>
  <si>
    <t xml:space="preserve">Obwieszczenie Prezesa GUS z 30.10.2025, MP 2025 poz. 1133 (PKB per capita 2024 × 3); nowe obwieszczenie spodziewane ok. 30.10.2026 – do aktualizacji (stan 28.10.2026)</t>
  </si>
  <si>
    <t xml:space="preserve">zł/QALY</t>
  </si>
  <si>
    <t xml:space="preserve">INC</t>
  </si>
  <si>
    <t xml:space="preserve">Nowe przewlekłe zakażenia HCV/rok (kohorta otwarta)</t>
  </si>
  <si>
    <t xml:space="preserve">min=3800; moda=5420; max=7000</t>
  </si>
  <si>
    <t xml:space="preserve">Flisiak i in. Eur J Gastroenterol Hepatol 2015;27:70–76 (model choroby HCV dla Polski; badanie wspierane finansowo przez producenta leków, jeden ze współautorów z firmy HTA) – 5 420 nowych zakażeń w 2013 r. (rekonstrukcja wsteczna), założone stałe w czasie</t>
  </si>
  <si>
    <t xml:space="preserve">2013</t>
  </si>
  <si>
    <t xml:space="preserve">stała roczna liczba jak w źródle; zakres ±30% (założenie – brak pomiaru zapadalności w PL; zgłoszenia EPIMELD 3 525–4 029/rok mierzą rozpoznania, nie zakażenia)</t>
  </si>
  <si>
    <t xml:space="preserve">AGE_INC</t>
  </si>
  <si>
    <t xml:space="preserve">Wiek w chwili zakażenia (nowe kohorty)</t>
  </si>
  <si>
    <t xml:space="preserve">NFZ B.71 2025: środek grupy 18–40 lat (proxy – najmłodsza grupa leczonych)</t>
  </si>
  <si>
    <t xml:space="preserve">proxy; brak danych o wieku zakażenia</t>
  </si>
  <si>
    <t xml:space="preserve">RE</t>
  </si>
  <si>
    <t xml:space="preserve">Reinfekcja po SVR – osoby w terapii substytucyjnej (OST) wśród leczonych w status quo</t>
  </si>
  <si>
    <t xml:space="preserve">mu=ln(0.038); sigma=0.21</t>
  </si>
  <si>
    <t xml:space="preserve">Hajarizadeh i in. J Hepatol 2020;72:643–657 (metaanaliza, 36 badań)</t>
  </si>
  <si>
    <t xml:space="preserve">3,8/100 osobolat dla osób na OST (95% CI 2,5–5,8); stosowane do udziału PWID wśród leczonych w status quo</t>
  </si>
  <si>
    <t xml:space="preserve">PWID_SH</t>
  </si>
  <si>
    <t xml:space="preserve">Udział osób przyjmujących narkotyki wśród leczonych (status quo)</t>
  </si>
  <si>
    <t xml:space="preserve">PZH: PWID = 3,2% rozpoznań HCV w 2023 r. (Przegl Epidemiol 2025;79(4))</t>
  </si>
  <si>
    <t xml:space="preserve">udział w rozpoznaniach jako proxy udziału w leczonych; max = założenie</t>
  </si>
  <si>
    <t xml:space="preserve">DC0</t>
  </si>
  <si>
    <t xml:space="preserve">Osoby z marskością zdekompensowaną (DC) na starcie</t>
  </si>
  <si>
    <t xml:space="preserve">sigma=0.223</t>
  </si>
  <si>
    <t xml:space="preserve">Flisiak i in. Eur J Gastroenterol Hepatol 2015;27:70–76 (model choroby HCV dla Polski; badanie wspierane finansowo przez producenta leków, jeden ze współautorów z firmy HTA): 1 590 (2013); scenariusz bazowy źródła (ok. 2 490 leczonych/rok): 2 460 w 2030; przy ~5 000 leczonych/rok liczba stała do 2030</t>
  </si>
  <si>
    <t xml:space="preserve">2013/2030</t>
  </si>
  <si>
    <t xml:space="preserve">1 590 (2013) – źródło przewiduje stałą liczbę do 2030 przy ~5 000 leczonych/rok; sigma = ln(2460/1590)/1,96 (symetrycznie w skali log)</t>
  </si>
  <si>
    <t xml:space="preserve">HCC0</t>
  </si>
  <si>
    <t xml:space="preserve">Osoby z rakiem wątrobowokomórkowym (HCC) związanym z HCV na starcie</t>
  </si>
  <si>
    <t xml:space="preserve">pochodny (∝ K_HCC)</t>
  </si>
  <si>
    <t xml:space="preserve">HCC0 × K_HCC/K_HCC_bazowe</t>
  </si>
  <si>
    <t xml:space="preserve">stan ustalony: 712 nowych HCC/rok (KRN 2023 × 0,42) / (p_HCCD + p_HCCLT)</t>
  </si>
  <si>
    <t xml:space="preserve">liczba chorych z HCC spójna z zapadalnością z KRN; w PSA skalowana razem z K_HCC (wspólny cel kalibracji)</t>
  </si>
  <si>
    <t xml:space="preserve">PLT0</t>
  </si>
  <si>
    <t xml:space="preserve">Osoby po przeszczepieniu wątroby z powodu HCV (rok 2+)</t>
  </si>
  <si>
    <t xml:space="preserve">sigma=0.354</t>
  </si>
  <si>
    <t xml:space="preserve">Poltransplant 2013: 318 przeszczepień wątroby, 27,8% z powodu HCV (via Flisiak i in. Eur J Gastroenterol Hepatol 2015;27:70–76 (model choroby HCV dla Polski; badanie wspierane finansowo przez producenta leków, jeden ze współautorów z firmy HTA))</t>
  </si>
  <si>
    <t xml:space="preserve">stan ustalony: 318×0,278×(1−p_LTD)/p_PLTD; sigma = ln(2)/1,96 (możliwy spadek wskazań HCV w erze DAA)</t>
  </si>
  <si>
    <t xml:space="preserve">LINK</t>
  </si>
  <si>
    <t xml:space="preserve">Odsetek wykrytych (RNA+), którzy rozpoczynają leczenie</t>
  </si>
  <si>
    <t xml:space="preserve">min=0.3; moda=0.5; max=0.574</t>
  </si>
  <si>
    <t xml:space="preserve">Brak danych PL (luka). Moda: założenie modelu kaskady; max: Anglia 57,4% wszystkich RNA+ rozpoczęło leczenie (UKHSA, Hepatitis C in England 2025 (publ. IV 2026; dane 2015–2024): 66 537 / 115 870)</t>
  </si>
  <si>
    <t xml:space="preserve">założenie scenariuszowe / dane zagraniczne/literatura międzynarodowa</t>
  </si>
  <si>
    <t xml:space="preserve">bez testu refleksyjnego i nawigacji; górna granica = wynik 10-letniego programu krajowego w Anglii</t>
  </si>
  <si>
    <t xml:space="preserve">LINK_UP</t>
  </si>
  <si>
    <t xml:space="preserve">Odsetek rozpoczynających leczenie przy teście refleksyjnym + nawigacji</t>
  </si>
  <si>
    <t xml:space="preserve">min=0.5; moda=0.574; max=0.815</t>
  </si>
  <si>
    <t xml:space="preserve">UKHSA, Hepatitis C in England 2025 (publ. IV 2026; dane 2015–2024): 66 537 rozpoczęć leczenia / 115 870 osób RNA+ = 57,4% (baza); 81,5% wśród 81 642 osób z identyfikatorem pozwalającym na powiązanie (maksimum). Egipt 91,8% – niezweryfikowane, nieużywane</t>
  </si>
  <si>
    <t xml:space="preserve">2015–2024</t>
  </si>
  <si>
    <t xml:space="preserve">wariant pakietu eliminacyjnego (test refleksyjny + nawigacja); min = LINK bazowy (bez efektu nawigacji)</t>
  </si>
  <si>
    <t xml:space="preserve">Y_MZ</t>
  </si>
  <si>
    <t xml:space="preserve">Wykryci RNA+ na 1 test anty-HCV – program populacyjny w POZ (kalibracja)</t>
  </si>
  <si>
    <t xml:space="preserve">~700 dodatkowych rozpoznań (EPIMELD V 2025–III 2026) / 1,12 mln testów (MZ, I 2026)</t>
  </si>
  <si>
    <t xml:space="preserve">iloraz; okresy nie pokrywają się – szacunek zgrubny</t>
  </si>
  <si>
    <t xml:space="preserve">/test</t>
  </si>
  <si>
    <t xml:space="preserve">Y_POZ</t>
  </si>
  <si>
    <t xml:space="preserve">Wykryci RNA+ na 1 test – POZ</t>
  </si>
  <si>
    <t xml:space="preserve">min=0.000625; moda=0.0008; max=0.0047</t>
  </si>
  <si>
    <t xml:space="preserve">Clin Exp Hepatol 2020 (723 654 testów 2018–19: anty-HCV 0,2% w POZ × 40% wiremii); min: program MZ 2025–26 (~700 rozpoznań / 1,12 mln testów); max: PLoS One 2017;12:e0185055 (losowa próba pacjentów POZ 2012–16: 0,47% RNA+, 95% CI 0,38–0,57)</t>
  </si>
  <si>
    <t xml:space="preserve">2012–16/2018–19/2026</t>
  </si>
  <si>
    <t xml:space="preserve">baza = wynik rzeczywistego testowania w POZ, spójny z obserwowaną wydajnością programu MZ; 0,47% to rozpowszechnienie sprzed leczenia ~ćwierć miliona osób i obejmuje już rozpoznanych – górna granica</t>
  </si>
  <si>
    <t xml:space="preserve">Y_LAB</t>
  </si>
  <si>
    <t xml:space="preserve">Wykryci RNA+ na 1 test – szpitale (przy przyjęciu) i laboratoria</t>
  </si>
  <si>
    <t xml:space="preserve">min=0.0024; moda=0.0026; max=0.0048</t>
  </si>
  <si>
    <t xml:space="preserve">Clin Exp Hepatol 2020 (723 654 testów 2018–19): szpitale 0,6–0,7% anty-HCV (baza 0,65%); laboratoria diagnostyczne w czasie kampanii 1,2% (maksimum); całość badania 0,5%; × 40% wiremii</t>
  </si>
  <si>
    <t xml:space="preserve">2018–19</t>
  </si>
  <si>
    <t xml:space="preserve">iloczyn odsetków; baza = szpitale (stały kanał), laboratoria w kampanii = górna granica</t>
  </si>
  <si>
    <t xml:space="preserve">Y_KEY</t>
  </si>
  <si>
    <t xml:space="preserve">Wykryci RNA+ na 1 test – osoby przyjmujące narkotyki (31,2% × 50%)</t>
  </si>
  <si>
    <t xml:space="preserve">KCPU 2021 (31,2% anty-HCV wśród badanych osób przyjmujących narkotyki) × 50% wiremii (założenie źródła); max: Rosińska i in. BMC Infect Dis 2015 (59%, dane 2004–05)</t>
  </si>
  <si>
    <t xml:space="preserve">2021 (max 2004–05)</t>
  </si>
  <si>
    <t xml:space="preserve">baza = najnowsze dane; min = −20% (założenie); max = starsze badanie bio-behawioralne</t>
  </si>
  <si>
    <t xml:space="preserve">KEY_POOL</t>
  </si>
  <si>
    <t xml:space="preserve">Osoby z HCV wśród aktywnie wstrzykujących narkotyki (górny limit wykryć)</t>
  </si>
  <si>
    <t xml:space="preserve">Flisiak i in. Eur J Gastroenterol Hepatol 2015;27:70–76 (model choroby HCV dla Polski; badanie wspierane finansowo przez producenta leków, jeden ze współautorów z firmy HTA), Tab. 2 (10 000; 5% zakażonych)</t>
  </si>
  <si>
    <t xml:space="preserve">limit skumulowanych wykryć w kanale populacji kluczowych; zakres ±30% (założenie)</t>
  </si>
  <si>
    <t xml:space="preserve">OH</t>
  </si>
  <si>
    <t xml:space="preserve">Narzut logistyczny na koszt testów (pobranie, transport próbek, outreach)</t>
  </si>
  <si>
    <t xml:space="preserve">brak danych PL – założenie scenariuszowe (do weryfikacji w pilotażu)</t>
  </si>
  <si>
    <t xml:space="preserve">mnożnik (1+OH) na koszt testów; nawigacja i koszty stałe liczone osobno (NAV, FIX)</t>
  </si>
  <si>
    <t xml:space="preserve">NFZ / MZ</t>
  </si>
  <si>
    <t xml:space="preserve">PROG_Y</t>
  </si>
  <si>
    <t xml:space="preserve">Długość programu inwestycyjnego</t>
  </si>
  <si>
    <t xml:space="preserve">założenie scenariuszowe (horyzont do 2035 – zbieżny z celem WHO 2030 + 5 lat)</t>
  </si>
  <si>
    <t xml:space="preserve">THR_INFO</t>
  </si>
  <si>
    <t xml:space="preserve">Liczba lat horyzontu domyślnego</t>
  </si>
  <si>
    <t xml:space="preserve">Wytyczne AOTMiT 2016: horyzont adekwatny do przebiegu choroby; 20 lat dla decyzji budżetowych</t>
  </si>
  <si>
    <t xml:space="preserve">K_DC</t>
  </si>
  <si>
    <t xml:space="preserve">Mnożnik kalibracyjny przejść do DC (CC→DC, CC po SVR→DC)</t>
  </si>
  <si>
    <t xml:space="preserve">Kalibracja do Flisiak i in. Eur J Gastroenterol Hepatol 2015;27:70–76 (model choroby HCV dla Polski; badanie wspierane finansowo przez producenta leków, jeden ze współautorów z firmy HTA): DC ≈ 1 590 w 2030 przy ~5 000 leczonych/rok</t>
  </si>
  <si>
    <t xml:space="preserve">dopasowanie iteracyjne: status quo odtwarza DC ≈ 1 590 w 2030 (model źródłowy – brak polskich danych o DC); sigma = ln(2460/1590)/1,96; K=1 (bez kalibracji) = scenariusz</t>
  </si>
  <si>
    <t xml:space="preserve">K_HCC</t>
  </si>
  <si>
    <t xml:space="preserve">Mnożnik kalibracyjny przejść do HCC (CC→HCC, CC po SVR→HCC)</t>
  </si>
  <si>
    <t xml:space="preserve">sigma=0.123</t>
  </si>
  <si>
    <t xml:space="preserve">Kalibracja do Krajowego Rejestru Nowotworów: 1 695 nowych zachorowań C22 (2023) × udział HCV 0,42 (rejestr LIVER) ≈ 712 nowych HCC/rok</t>
  </si>
  <si>
    <t xml:space="preserve">dopasowanie: nowe HCC w status quo w 2026 ≈ 712; sigma = ln(0,42/0,33)/1,96 (zakres udziału HCV); C22 obejmuje też raka dróg żółciowych – cel raczej zawyżony; K=1 = scenariusz</t>
  </si>
  <si>
    <t xml:space="preserve">RAMP</t>
  </si>
  <si>
    <t xml:space="preserve">Okres dochodzenia programu do pełnej skali (kadry, ośrodki)</t>
  </si>
  <si>
    <t xml:space="preserve">założenie scenariuszowe (panel: wykonalność kadrowa; maks. obserwowane B.71 = 12 171 leczonych w 2017 r., NFZ)</t>
  </si>
  <si>
    <t xml:space="preserve">budżet roku t × min(1, t/RAMP)</t>
  </si>
  <si>
    <t xml:space="preserve">CAP_OBS</t>
  </si>
  <si>
    <t xml:space="preserve">Największa obserwowana liczba leczonych w B.71 w roku (punkt odniesienia wykonalności)</t>
  </si>
  <si>
    <t xml:space="preserve">NFZ app-stat B.71: 12 171 leczonych w 2017 (2018: 9 436; 2019: 8 521)</t>
  </si>
  <si>
    <t xml:space="preserve">AGEW_1</t>
  </si>
  <si>
    <t xml:space="preserve">Struktura wieku kohorty startowej – liczba leczonych B.71 w grupie 18–40 (z 7–17)</t>
  </si>
  <si>
    <t xml:space="preserve">NFZ app-stat B.71 2025 wg grup wieku</t>
  </si>
  <si>
    <t xml:space="preserve">wagi kohorty wielowiekowej (ten sam rozkład stanów w każdej grupie – uproszczenie)</t>
  </si>
  <si>
    <t xml:space="preserve">AGEW_2</t>
  </si>
  <si>
    <t xml:space="preserve">Struktura wieku kohorty startowej – liczba leczonych B.71 w grupie 41–60</t>
  </si>
  <si>
    <t xml:space="preserve">AGEW_3</t>
  </si>
  <si>
    <t xml:space="preserve">Struktura wieku kohorty startowej – liczba leczonych B.71 w grupie 61–80</t>
  </si>
  <si>
    <t xml:space="preserve">AGEW_4</t>
  </si>
  <si>
    <t xml:space="preserve">Struktura wieku kohorty startowej – liczba leczonych B.71 w grupie 81+</t>
  </si>
  <si>
    <t xml:space="preserve">RE_KEY</t>
  </si>
  <si>
    <t xml:space="preserve">Reinfekcja po SVR – osoby aktywnie wstrzykujące narkotyki (kanał populacji kluczowych)</t>
  </si>
  <si>
    <t xml:space="preserve">mu=ln(0.062); sigma=0.188</t>
  </si>
  <si>
    <t xml:space="preserve">Hajarizadeh i in. J Hepatol 2020;72:643–657 (metaanaliza): 6,2/100 osobolat u aktywnie wstrzykujących (95% CI 4,3–9,0)</t>
  </si>
  <si>
    <t xml:space="preserve">sigma=(ln 9,0−ln 4,3)/3,92; reinfekcja trafia do F1 (uproszczenie)</t>
  </si>
  <si>
    <t xml:space="preserve">SMR_PWID</t>
  </si>
  <si>
    <t xml:space="preserve">Nadwyżka umieralności osób przyjmujących narkotyki (mnożnik umieralności ogólnej)</t>
  </si>
  <si>
    <t xml:space="preserve">Mathers i in. Bull World Health Organ 2013;91:102–123 (metaanaliza 32 kohort; SMR 14,68, 95% CI 13,01–16,35), doi 10.2471/BLT.12.108282</t>
  </si>
  <si>
    <t xml:space="preserve">mnożnik tablic trwania życia GUS w kanale populacji kluczowych; zakres = 95% CI (populacje głównie spoza PL)</t>
  </si>
  <si>
    <t xml:space="preserve">c_LT1</t>
  </si>
  <si>
    <t xml:space="preserve">Koszt NFZ 1. roku po przeszczepieniu wątroby (stan LT)</t>
  </si>
  <si>
    <t xml:space="preserve">Kaczor 2012 (koszty stanów, ceny 2016) via analiza ekonomiczna wnioskodawcy (firma konsultingowa) opublikowana w BIP AOTMiT, zlecenie 153/2017, Tab. 73/198 × CPI GUS (30 167,61 zł w cenach 2016)</t>
  </si>
  <si>
    <t xml:space="preserve">koszt stanu LT (rok po zabiegu); zabieg = c_LT (zdarzenie)</t>
  </si>
  <si>
    <t xml:space="preserve">VALP</t>
  </si>
  <si>
    <t xml:space="preserve">Iloczyn wskaźników waloryzacji rent ZUS 2013–2025</t>
  </si>
  <si>
    <t xml:space="preserve">ZUS/MRPiPS: wskaźniki waloryzacji 2013–2025 (104,0; 101,6; 100,68; 100,24; 100,44; 102,98; 102,86; 103,56; 104,24; 107,0; 114,8; 112,12; 105,5)</t>
  </si>
  <si>
    <t xml:space="preserve">iloczyn</t>
  </si>
  <si>
    <t xml:space="preserve">DX_IN</t>
  </si>
  <si>
    <t xml:space="preserve">Nowe rozpoznania przewlekłego HCV rocznie (wejście do opieki)</t>
  </si>
  <si>
    <t xml:space="preserve">NIZP PZH-PIB EPIMELD (meldunek 12B/2025): 4 029 rozpoznań w 2025; min 3 525 (2024); max = 2025 × 1,227 (wzrost r/r w 2026, EPIMELD 10A/2026)</t>
  </si>
  <si>
    <t xml:space="preserve">2024–2026</t>
  </si>
  <si>
    <t xml:space="preserve">skalowane wielkością puli wiremicznych</t>
  </si>
  <si>
    <t xml:space="preserve">T_PRE</t>
  </si>
  <si>
    <t xml:space="preserve">Czas w opiece przed leczeniem (kwalifikacja, kolejka) na osobę leczoną</t>
  </si>
  <si>
    <t xml:space="preserve">NFZ Informator o terminach leczenia (X 2026): mediana oczekiwania – poradnia hepatologiczna 197 dni; min: poradnia chorób zakaźnych 54 dni; max: p90 hepatologia 585 dni</t>
  </si>
  <si>
    <t xml:space="preserve">lata opieki przed rozpoczęciem leczenia</t>
  </si>
  <si>
    <t xml:space="preserve">W0</t>
  </si>
  <si>
    <t xml:space="preserve">Zdiagnozowani pod opieką czekający na leczenie (na start)</t>
  </si>
  <si>
    <t xml:space="preserve">NFZ B.71 i EPIMELD 2019–2025: leczonych było co roku więcej niż nowych rozpoznań (stosunek 1,20 w 2025) – brak dowodu zaległości; max = założenie</t>
  </si>
  <si>
    <t xml:space="preserve">stan zaległości; 0 = brak kolejki osób zdiagnozowanych</t>
  </si>
  <si>
    <t xml:space="preserve">CARE_ALL</t>
  </si>
  <si>
    <t xml:space="preserve">Przełącznik: koszt opieki u wszystkich z wiremią (wariant sprzed audytu)</t>
  </si>
  <si>
    <t xml:space="preserve">przełącznik metody (0 = tylko zdiagnozowani pod opieką)</t>
  </si>
  <si>
    <t xml:space="preserve">używany tylko w analizie scenariuszowej</t>
  </si>
  <si>
    <t xml:space="preserve">0/1</t>
  </si>
  <si>
    <t xml:space="preserve">HALF_CYCLE</t>
  </si>
  <si>
    <t xml:space="preserve">Przełącznik: korekta połowy cyklu (trapez)</t>
  </si>
  <si>
    <t xml:space="preserve">CHEERS 2022 / ISPOR – dobra praktyka modelowania</t>
  </si>
  <si>
    <t xml:space="preserve">2022</t>
  </si>
  <si>
    <t xml:space="preserve">1 = włączona</t>
  </si>
  <si>
    <t xml:space="preserve">ABS_D</t>
  </si>
  <si>
    <t xml:space="preserve">Dni absencji chorobowej na pracującą osobę w wieku produkcyjnym z HCV pod opieką rocznie</t>
  </si>
  <si>
    <t xml:space="preserve">ZUS PSZ 2025: 28 057 dni absencji B18 × AF_B18 / pracujący w wieku produkcyjnym pod opieką w status quo 2026 (model)</t>
  </si>
  <si>
    <t xml:space="preserve">dopasowanie kalibracyjne (odtwarza dni ZUS 2025); absencja tylko u pracujących przed wiekiem emerytalnym (audyt 2, K-A)</t>
  </si>
  <si>
    <t xml:space="preserve">dni/rok</t>
  </si>
  <si>
    <t xml:space="preserve">NAV</t>
  </si>
  <si>
    <t xml:space="preserve">Koszt nawigacji/łączenia z opieką na osobę wykrytą (pakiet z testem refleksyjnym)</t>
  </si>
  <si>
    <t xml:space="preserve">Project INSPIRE, Nowy Jork (J Public Health Manag Pract 2019; PMC6314903): 656–787 USD na uczestnika (ceny 2015) × parytet siły nabywczej PKB 2015 (Bank Światowy, 1,7651 zł/USD) × CPI GUS 2016–2025 – dane zagraniczne (USA)</t>
  </si>
  <si>
    <t xml:space="preserve">2015</t>
  </si>
  <si>
    <t xml:space="preserve">średnia dwóch ośrodków; zakres symetryczny w skali log: ÷/× (kurs rynkowy NBP 3,7730 / PPP) – max = przeliczenie kursem rynkowym</t>
  </si>
  <si>
    <t xml:space="preserve">zł/osobę</t>
  </si>
  <si>
    <t xml:space="preserve">FIX</t>
  </si>
  <si>
    <t xml:space="preserve">Koszty stałe programu wykrywania (koordynacja, IT, działania informacyjne) rocznie</t>
  </si>
  <si>
    <t xml:space="preserve">założenie: 5 etatów koordynacji × przeciętne wynagrodzenie GUS 2025 × 1,2048 (składki pracodawcy) + 0,58 mln zł (rząd wielkości: konkurs Krajowego Centrum ds. AIDS na akcyjne testowanie HIV/kiła/HCV 2025 – proxy działań terenowych/informacyjnych)</t>
  </si>
  <si>
    <t xml:space="preserve">w I1, I2, I4 przez PROG_Y lat; I3 działa w istniejącej sieci (bez kosztu stałego – założenie); zakres ×0,5–2</t>
  </si>
  <si>
    <t xml:space="preserve">MZ</t>
  </si>
  <si>
    <t xml:space="preserve">INC_TREND</t>
  </si>
  <si>
    <t xml:space="preserve">Roczna zmiana liczby nowych zakażeń</t>
  </si>
  <si>
    <t xml:space="preserve">założenie: stała zapadalność jak w źródle; scenariusz −5%/rok (spadek zakażeń przy redukcji szkód – założenie)</t>
  </si>
  <si>
    <t xml:space="preserve">INC × (1+INC_TREND)^t</t>
  </si>
  <si>
    <t xml:space="preserve">AF_K74</t>
  </si>
  <si>
    <t xml:space="preserve">Udział HCV w marskości wątroby (K74) – renty ZUS</t>
  </si>
  <si>
    <t xml:space="preserve">min=0.155; moda=0.204; max=0.42</t>
  </si>
  <si>
    <t xml:space="preserve">GBD 2017 Cirrhosis Collaborators, Lancet Gastroenterol Hepatol 2020;5:245–266, aneks Tab. 7–9 (Polska: 20,4% zgonów z marskości; 15,5% przypadków marskości wyrównanej i zdekompensowanej); max = udział w HCC (rejestr LIVER) – poprzednie założenie</t>
  </si>
  <si>
    <t xml:space="preserve">szacunek modelowy GBD (nie pomiar); poprzednia wersja używała 42% (proxy z HCC)</t>
  </si>
  <si>
    <t xml:space="preserve">p_F3HCC</t>
  </si>
  <si>
    <t xml:space="preserve">Roczne prawdopodobieństwo HCC przy włóknieniu F3 (mostkowym)</t>
  </si>
  <si>
    <t xml:space="preserve">alfa=23; beta=2852</t>
  </si>
  <si>
    <t xml:space="preserve">Lok i in. Gastroenterology 2009;136:138–148 (HALT-C: 0,8%/rok przy włóknieniu mostkowym; 23 HCC wśród 597 osób), doi 10.1053/j.gastro.2008.09.014</t>
  </si>
  <si>
    <t xml:space="preserve">2009</t>
  </si>
  <si>
    <t xml:space="preserve">kohorta USA osób bez odpowiedzi na interferon (raczej zawyżone dla ogółu F3); zakres ±1,96 SE (SE = 0,8%/√23)</t>
  </si>
  <si>
    <t xml:space="preserve">PROG_M</t>
  </si>
  <si>
    <t xml:space="preserve">Mnożnik tempa włóknienia (F0→F4)</t>
  </si>
  <si>
    <t xml:space="preserve">Thein i in. Hepatology 2008;48:418–431: marskość po 20 latach 18% w badaniach klinicznych vs 7% w badaniach populacyjnych; 0,714 = mnożnik odtwarzający w modelu stosunek 7/18</t>
  </si>
  <si>
    <t xml:space="preserve">1 = stawki z populacji klinicznych (baza, jak w źródłach); 0,714 = wariant populacyjny (analiza scenariuszowa W9)</t>
  </si>
  <si>
    <t xml:space="preserve">SB_DAY</t>
  </si>
  <si>
    <t xml:space="preserve">Dzienny zasiłek chorobowy (80% podstawy) – przeciętnie</t>
  </si>
  <si>
    <t xml:space="preserve">Ustawa zasiłkowa (Dz.U. 2025 poz. 501 t.j.), art. 11 ust. 1 (80% podstawy) i art. 3 (podstawa po potrąceniu 13,71% składek); przeciętne wynagrodzenie GUS 2025 (8 903,56 zł)</t>
  </si>
  <si>
    <t xml:space="preserve">WAGE/12 × (1−0,1371) × 0,8 / 30; część dni (do 33. dnia) wypłaca pracodawca – koszt ZUS raczej zawyżony</t>
  </si>
  <si>
    <t xml:space="preserve">zł/dzień</t>
  </si>
  <si>
    <t xml:space="preserve">wartość</t>
  </si>
  <si>
    <t xml:space="preserve">opis</t>
  </si>
  <si>
    <t xml:space="preserve">x_dk</t>
  </si>
  <si>
    <t xml:space="preserve">stopa dyskontowa kosztów (AOTMiT 5%)</t>
  </si>
  <si>
    <t xml:space="preserve">x_de</t>
  </si>
  <si>
    <t xml:space="preserve">stopa dyskontowa efektów (AOTMiT 3,5%)</t>
  </si>
  <si>
    <t xml:space="preserve">x_H</t>
  </si>
  <si>
    <t xml:space="preserve">horyzont analizy w latach (1–50)</t>
  </si>
  <si>
    <t xml:space="preserve">x_testy</t>
  </si>
  <si>
    <t xml:space="preserve">1 = testy i koszty stałe programu finansuje inny płatnik (wyłączone z porównania); 0 = wariant pełny</t>
  </si>
  <si>
    <t xml:space="preserve">S1: Status quo (4 832 leczonych/rok) – liczebności (silnik, wartości) i koszty (formuły), zł/rok, niezdyskontowane. Szacunek modelu.</t>
  </si>
  <si>
    <t xml:space="preserve">t</t>
  </si>
  <si>
    <t xml:space="preserve">treated</t>
  </si>
  <si>
    <t xml:space="preserve">NFZ_diag</t>
  </si>
  <si>
    <t xml:space="preserve">MZ_SW</t>
  </si>
  <si>
    <t xml:space="preserve">nNAV</t>
  </si>
  <si>
    <t xml:space="preserve">FIXon</t>
  </si>
  <si>
    <t xml:space="preserve">cF03</t>
  </si>
  <si>
    <t xml:space="preserve">cF4</t>
  </si>
  <si>
    <t xml:space="preserve">cDC</t>
  </si>
  <si>
    <t xml:space="preserve">cHCC</t>
  </si>
  <si>
    <t xml:space="preserve">cPLT</t>
  </si>
  <si>
    <t xml:space="preserve">cSVn</t>
  </si>
  <si>
    <t xml:space="preserve">cSVc</t>
  </si>
  <si>
    <t xml:space="preserve">cLTn</t>
  </si>
  <si>
    <t xml:space="preserve">cLT1</t>
  </si>
  <si>
    <t xml:space="preserve">wAdv</t>
  </si>
  <si>
    <t xml:space="preserve">wHCC</t>
  </si>
  <si>
    <t xml:space="preserve">wGH</t>
  </si>
  <si>
    <t xml:space="preserve">cAbs</t>
  </si>
  <si>
    <t xml:space="preserve">cAbsW</t>
  </si>
  <si>
    <t xml:space="preserve">QALY</t>
  </si>
  <si>
    <t xml:space="preserve">newDC</t>
  </si>
  <si>
    <t xml:space="preserve">newHCC</t>
  </si>
  <si>
    <t xml:space="preserve">LT</t>
  </si>
  <si>
    <t xml:space="preserve">liverD</t>
  </si>
  <si>
    <t xml:space="preserve">NFZ_med</t>
  </si>
  <si>
    <t xml:space="preserve">NFZ_DAA</t>
  </si>
  <si>
    <t xml:space="preserve">NFZ_mon</t>
  </si>
  <si>
    <t xml:space="preserve">NFZ_diag_k</t>
  </si>
  <si>
    <t xml:space="preserve">MZ_SW_k</t>
  </si>
  <si>
    <t xml:space="preserve">NAV_k</t>
  </si>
  <si>
    <t xml:space="preserve">FIX_k</t>
  </si>
  <si>
    <t xml:space="preserve">lostw</t>
  </si>
  <si>
    <t xml:space="preserve">lost_FUS</t>
  </si>
  <si>
    <t xml:space="preserve">lost_NFZ</t>
  </si>
  <si>
    <t xml:space="preserve">lost_PIT</t>
  </si>
  <si>
    <t xml:space="preserve">lost_FP</t>
  </si>
  <si>
    <t xml:space="preserve">PUBLIC</t>
  </si>
  <si>
    <t xml:space="preserve">SOCIETAL</t>
  </si>
  <si>
    <t xml:space="preserve">INV_NFZ</t>
  </si>
  <si>
    <t xml:space="preserve">INV_PUB</t>
  </si>
  <si>
    <t xml:space="preserve">S0: Brak leczenia (zaniechanie) – liczebności (silnik, wartości) i koszty (formuły), zł/rok, niezdyskontowane. Szacunek modelu.</t>
  </si>
  <si>
    <t xml:space="preserve">I1: Celowane testowanie w szpitalach i laboratoriach (+50 mln zł/rok) – liczebności (silnik, wartości) i koszty (formuły), zł/rok, niezdyskontowane. Szacunek modelu.</t>
  </si>
  <si>
    <t xml:space="preserve">I2: Szerokie testowanie w POZ (+50 mln zł/rok) – liczebności (silnik, wartości) i koszty (formuły), zł/rok, niezdyskontowane. Szacunek modelu.</t>
  </si>
  <si>
    <t xml:space="preserve">I3: Populacje kluczowe: OST, redukcja szkód, więzienia (+2 mln zł/rok) – liczebności (silnik, wartości) i koszty (formuły), zł/rok, niezdyskontowane. Szacunek modelu.</t>
  </si>
  <si>
    <t xml:space="preserve">I4: Pakiet eliminacyjny WHO (test refleksyjny + 3 kanały) – liczebności (silnik, wartości) i koszty (formuły), zł/rok, niezdyskontowane. Szacunek modelu.</t>
  </si>
  <si>
    <t xml:space="preserve">I5: Cięcia: −30% leczonych – liczebności (silnik, wartości) i koszty (formuły), zł/rok, niezdyskontowane. Szacunek modelu.</t>
  </si>
  <si>
    <t xml:space="preserve">V1: Walidacja: dodatkowi leczeni jak w I1, bez kosztu wykrywania – liczebności (silnik, wartości) i koszty (formuły), zł/rok, niezdyskontowane. Szacunek modelu.</t>
  </si>
  <si>
    <t xml:space="preserve">S0 vs status quo (S1): Brak leczenia (zaniechanie) – SZACUNEK MODELU</t>
  </si>
  <si>
    <t xml:space="preserve">Horyzont (lata) – zmień w Ustawienia!B4</t>
  </si>
  <si>
    <t xml:space="preserve">Inwestycja (sektor publiczny, zdysk., zł)</t>
  </si>
  <si>
    <t xml:space="preserve">Saldo netto sektor publiczny (zdysk., zł; &lt;0 = oszczędność)</t>
  </si>
  <si>
    <t xml:space="preserve">Zwroty = inwestycja − saldo (zł)</t>
  </si>
  <si>
    <t xml:space="preserve">ROI = (zwroty − inwestycja)/|inwestycja|</t>
  </si>
  <si>
    <t xml:space="preserve">Rok zwrotu – sektor publiczny</t>
  </si>
  <si>
    <t xml:space="preserve">Rok zwrotu – NFZ</t>
  </si>
  <si>
    <t xml:space="preserve">Saldo netto NFZ (zdysk., zł)</t>
  </si>
  <si>
    <t xml:space="preserve">ICER sektor publiczny (zł/QALY; &lt;0 = dominuje) – dodatkowo</t>
  </si>
  <si>
    <t xml:space="preserve">ICER NFZ (zł/QALY) – GŁÓWNY, porównywany z progiem 244 821 zł</t>
  </si>
  <si>
    <t xml:space="preserve">DF koszty</t>
  </si>
  <si>
    <t xml:space="preserve">DF efekty</t>
  </si>
  <si>
    <t xml:space="preserve">Δ NFZ</t>
  </si>
  <si>
    <t xml:space="preserve">Δ publiczny</t>
  </si>
  <si>
    <t xml:space="preserve">Δ społeczny</t>
  </si>
  <si>
    <t xml:space="preserve">Δ inwestycja (publ.)</t>
  </si>
  <si>
    <t xml:space="preserve">skum. NFZ</t>
  </si>
  <si>
    <t xml:space="preserve">skum. publiczny</t>
  </si>
  <si>
    <t xml:space="preserve">skum. społeczny</t>
  </si>
  <si>
    <t xml:space="preserve">maks. dotąd (publ.)</t>
  </si>
  <si>
    <t xml:space="preserve">zwrot? (publ.)</t>
  </si>
  <si>
    <t xml:space="preserve">zwrot? (NFZ)</t>
  </si>
  <si>
    <t xml:space="preserve">maks. dotąd (NFZ)</t>
  </si>
  <si>
    <t xml:space="preserve">Δ QALY</t>
  </si>
  <si>
    <t xml:space="preserve">I1 vs status quo (S1): Celowane testowanie w szpitalach i laboratoriach (+50 mln zł/rok) – SZACUNEK MODELU</t>
  </si>
  <si>
    <t xml:space="preserve">I2 vs status quo (S1): Szerokie testowanie w POZ (+50 mln zł/rok) – SZACUNEK MODELU</t>
  </si>
  <si>
    <t xml:space="preserve">I3 vs status quo (S1): Populacje kluczowe: OST, redukcja szkód, więzienia (+2 mln zł/rok) – SZACUNEK MODELU</t>
  </si>
  <si>
    <t xml:space="preserve">I4 vs status quo (S1): Pakiet eliminacyjny WHO (test refleksyjny + 3 kanały) – SZACUNEK MODELU</t>
  </si>
  <si>
    <t xml:space="preserve">I5 vs status quo (S1): Cięcia: −30% leczonych – SZACUNEK MODELU</t>
  </si>
  <si>
    <t xml:space="preserve">V1 vs status quo (S1): Walidacja: dodatkowi leczeni jak w I1, bez kosztu wykrywania – SZACUNEK MODELU</t>
  </si>
  <si>
    <t xml:space="preserve">Monte Carlo: 2 000 losowań, ziarno 20261027; mediana [95% przedział]; wartości (nie formuły). SZACUNEK MODELU.</t>
  </si>
  <si>
    <t xml:space="preserve">scenariusz</t>
  </si>
  <si>
    <t xml:space="preserve">horyzont</t>
  </si>
  <si>
    <t xml:space="preserve">perspektywa</t>
  </si>
  <si>
    <t xml:space="preserve">saldo mln zł mediana</t>
  </si>
  <si>
    <t xml:space="preserve">2,5%</t>
  </si>
  <si>
    <t xml:space="preserve">97,5%</t>
  </si>
  <si>
    <t xml:space="preserve">ROI mediana</t>
  </si>
  <si>
    <t xml:space="preserve">rok zwrotu mediana</t>
  </si>
  <si>
    <t xml:space="preserve">P(zwrot w horyzoncie)</t>
  </si>
  <si>
    <t xml:space="preserve">P(koszt-efektywne przy progu)</t>
  </si>
  <si>
    <t xml:space="preserve">uniknięte zgony mediana</t>
  </si>
  <si>
    <t xml:space="preserve">I1</t>
  </si>
  <si>
    <t xml:space="preserve">brak</t>
  </si>
  <si>
    <t xml:space="preserve">NFZ_TX</t>
  </si>
  <si>
    <t xml:space="preserve">PUBLIC_TX</t>
  </si>
  <si>
    <t xml:space="preserve">SOCIETAL_TX</t>
  </si>
  <si>
    <t xml:space="preserve">I2</t>
  </si>
  <si>
    <t xml:space="preserve">I3</t>
  </si>
  <si>
    <t xml:space="preserve">I4</t>
  </si>
  <si>
    <t xml:space="preserve">I5</t>
  </si>
  <si>
    <t xml:space="preserve">S0</t>
  </si>
  <si>
    <t xml:space="preserve">Model Markowa, cykl roczny, 2026–2075, otwarta kohorta (nowe zakażenia INC/rok + reinfekcje po SVR).</t>
  </si>
  <si>
    <t xml:space="preserve">Stany: F0–F3, F4 (marskość wyrównana), DC, HCC, przeszczep (rok 1 i kolejne), SVR (bez marskości / po marskości), zgon.</t>
  </si>
  <si>
    <t xml:space="preserve">Kohorta startowa w 4 grupach wieku (B.71 2025: do 40, 41–60, 61–80, &gt;80 lat); korekta połowy cyklu (trapezy).</t>
  </si>
  <si>
    <t xml:space="preserve">Koszty opieki (NFZ c_F, c_CC) i absencja/ZUS z_F liczone tylko dla zdiagnozowanych pod opieką (przepływ rozpoznań DX_IN, oczekiwanie T_PRE), nie dla wszystkich z wiremią.</t>
  </si>
  <si>
    <t xml:space="preserve">Kalibracja (out/calib.json): K_DC → DC w 2030 = 1 590 (Flisiak i in. 2015; model-do-modelu); K_HCC → nowe HCC w 2026 ≈ 712 (KRN 2023: 1 695 × 0,42; C22 obejmuje też raka dróg żółciowych); HCC0 = stan ustalony; WLOSS i dni absencji → ZUS 2026 = przeliczenie z danych ZUS. To DOPASOWANIE, nie walidacja (audyt 2, W2).</t>
  </si>
  <si>
    <t xml:space="preserve">Audyt 2: zasiłek chorobowy z_F = ABS_D dni × 80% stawki dziennej (SB_DAY), tylko pracujący w wieku produkcyjnym pod opieką (kolumna cAbsW); udział HCV w marskości AF_K74 = 20,4% (GBD 2017); przejście F3→HCC 0,8%/rok (Lok 2009); LINK_UP 57,4% (UKHSA); NAV przez parytet siły nabywczej.</t>
  </si>
  <si>
    <t xml:space="preserve">Nadwyżka umieralności populacji kluczowych (SMR 14,68; Mathers i in. 2013) stosowana tak samo u leczonych i nieleczonych (przybliżenie: wspólny zasób nieleczonych KU).</t>
  </si>
  <si>
    <t xml:space="preserve">Pakiet WHO (I4): nawigacja pacjenta NAV na wykrytą osobę (dane z USA) i koszty stałe FIX; I1/I2: koszty stałe FIX. Szacunki z założeniami.</t>
  </si>
  <si>
    <t xml:space="preserve">Wykrywanie: koszt wykrycia przypadku = (test anty-HCV + RNA×odsetek dodatnich)/wydajność kanału; malejąca wydajność wraz z wyczerpywaniem puli.</t>
  </si>
  <si>
    <t xml:space="preserve">Okres dochodzenia do skali: RAMP lat; program trwa PROG_Y lat.</t>
  </si>
  <si>
    <t xml:space="preserve">PSA: rozkłady beta/gamma/lognormalny (symetryczne wokół wartości bazowej, także K_DC/K_HCC/DC0/PLT0)/normalny (wiek)/trójkątny/Dirichlet; 2 000 losowań; percentyle 2,5 i 97,5. Wynik główny = wynik bazowy (deterministyczny); PSA podawane osobno.</t>
  </si>
  <si>
    <t xml:space="preserve">Wariant „testy finansuje inny płatnik” (x_testy=1, perspektywy *_TX): z porównania wyłączone testy (NFZ_diag, MZ_SW) i koszty stałe FIX; nawigacja zostaje jako część kosztu wyleczenia.</t>
  </si>
  <si>
    <t xml:space="preserve">Zgodność: AOTMiT (perspektywy, dyskonto, próg 244 821 zł/QALY – obwieszczenie Prezesa GUS z 30.10.2025, MP 2025 poz. 1133; nowe ok. 30.10.2026), CHEERS 2022 – lista kontrolna (28 punktów) w aplikacji. ICER główny = perspektywa NFZ.</t>
  </si>
  <si>
    <t xml:space="preserve">Koszt wyleczenia vs koszt nieleczenia – na 1 zdiagnozowanego pacjenta (kohorta 1 000 nowo rozpoznanych pod opieką; leczenie w roku 0 vs brak leczenia). SZACUNEK MODELU, zł, zdyskontowane 5%.</t>
  </si>
  <si>
    <t xml:space="preserve">Testy nie wchodzą do tego porównania (pacjent jest już zdiagnozowany – koszt wykrycia ponosi inny płatnik lub był poniesiony wcześniej).</t>
  </si>
  <si>
    <t xml:space="preserve">Koszt wyleczenia (formuła) = x_c_DAA + x_c_MON</t>
  </si>
  <si>
    <t xml:space="preserve">+ nawigacja (opcjonalnie) = x_NAV</t>
  </si>
  <si>
    <t xml:space="preserve">nawigacja</t>
  </si>
  <si>
    <t xml:space="preserve">koszt wyleczenia</t>
  </si>
  <si>
    <t xml:space="preserve">uniknięte koszty nieleczenia</t>
  </si>
  <si>
    <t xml:space="preserve">saldo netto (&lt;0 = oszczędność)</t>
  </si>
  <si>
    <t xml:space="preserve">rok zwrotu</t>
  </si>
  <si>
    <t xml:space="preserve">ROI</t>
  </si>
  <si>
    <t xml:space="preserve">ICER zł/QALY</t>
  </si>
  <si>
    <t xml:space="preserve">nie</t>
  </si>
  <si>
    <t xml:space="preserve">tak</t>
  </si>
  <si>
    <t xml:space="preserve">Monte Carlo (2 000 losowań): mediana [2,5%; 97,5%]</t>
  </si>
  <si>
    <t xml:space="preserve">saldo mediana</t>
  </si>
  <si>
    <t xml:space="preserve">uniknięte mediana</t>
  </si>
  <si>
    <t xml:space="preserve">P(oszczędność)</t>
  </si>
  <si>
    <t xml:space="preserve">Analizy scenariuszowe (deterministyczne, sektor publiczny, mln zł zdysk.; &gt;0 = koszt netto). Zmieniamy jedno założenie, reszta bazowa. SZACUNEK MODELU.</t>
  </si>
  <si>
    <t xml:space="preserve">wariant</t>
  </si>
  <si>
    <t xml:space="preserve">koszt zaniechania S0 20 l.</t>
  </si>
  <si>
    <t xml:space="preserve">koszt zaniechania S0 50 l.</t>
  </si>
  <si>
    <t xml:space="preserve">I1 50 l.</t>
  </si>
  <si>
    <t xml:space="preserve">I1 50 l. (testy – inny płatnik)</t>
  </si>
  <si>
    <t xml:space="preserve">I3 20 l.</t>
  </si>
  <si>
    <t xml:space="preserve">I4 20 l.</t>
  </si>
  <si>
    <t xml:space="preserve">I4 50 l.</t>
  </si>
  <si>
    <t xml:space="preserve">I4 50 l. (testy – inny płatnik)</t>
  </si>
  <si>
    <t xml:space="preserve">ICER I4 20 l. (publ.)</t>
  </si>
  <si>
    <t xml:space="preserve">ICER I4 20 l. NFZ (główny)</t>
  </si>
  <si>
    <t xml:space="preserve">ICER I1 20 l. NFZ</t>
  </si>
  <si>
    <t xml:space="preserve">ICER I2 20 l. NFZ</t>
  </si>
  <si>
    <t xml:space="preserve">ICER I3 20 l. NFZ</t>
  </si>
  <si>
    <t xml:space="preserve">rok zwrotu I4</t>
  </si>
  <si>
    <t xml:space="preserve">ZUS 2026 (mln zł)</t>
  </si>
  <si>
    <t xml:space="preserve">zgony wątrobowe 2026 (S1)</t>
  </si>
  <si>
    <t xml:space="preserve">nowe HCC 2026</t>
  </si>
  <si>
    <t xml:space="preserve">DC 2030</t>
  </si>
  <si>
    <t xml:space="preserve">bazowy (po audycie)</t>
  </si>
  <si>
    <t xml:space="preserve">bez kalibracji (K=1)</t>
  </si>
  <si>
    <t xml:space="preserve">cena leków z 2017 r. (33 872 zł)</t>
  </si>
  <si>
    <t xml:space="preserve">cena leków maks. (29 829 zł)</t>
  </si>
  <si>
    <t xml:space="preserve">nowe zakażenia −5%/rok</t>
  </si>
  <si>
    <t xml:space="preserve">koszty opieki u wszystkich z wiremią (jak przed audytem)</t>
  </si>
  <si>
    <t xml:space="preserve">bez korekty połowy cyklu</t>
  </si>
  <si>
    <t xml:space="preserve">pełna utrata pracy (WLOSS=1)</t>
  </si>
  <si>
    <t xml:space="preserve">reinfekcja PWID 3,8% (OST)</t>
  </si>
  <si>
    <t xml:space="preserve">SVR 99%</t>
  </si>
  <si>
    <t xml:space="preserve">wiek −6 lat</t>
  </si>
  <si>
    <t xml:space="preserve">wiek +6 lat</t>
  </si>
  <si>
    <t xml:space="preserve">bez zasiłków chorobowych (absencji)</t>
  </si>
  <si>
    <t xml:space="preserve">udział HCV w marskości 15,5%</t>
  </si>
  <si>
    <t xml:space="preserve">udział HCV w marskości 42% (jak przed audytem 2)</t>
  </si>
  <si>
    <t xml:space="preserve">POZ 0,47% RNA+ (PLoS One 2017)</t>
  </si>
  <si>
    <t xml:space="preserve">szpitale/laboratoria 1,2% (kampania)</t>
  </si>
  <si>
    <t xml:space="preserve">populacje kluczowe 59% (2004–05)</t>
  </si>
  <si>
    <t xml:space="preserve">przejście do leczenia 81,5%</t>
  </si>
  <si>
    <t xml:space="preserve">wolniejsza progresja (Thein, populacje ogólne)</t>
  </si>
  <si>
    <t xml:space="preserve">wolniejsza progresja + ponowna kalibracja</t>
  </si>
  <si>
    <t xml:space="preserve">bez przejścia F3→HCC</t>
  </si>
  <si>
    <t xml:space="preserve">Leki i zamówienia publiczne – dane źródłowe (nie wyniki modelu); schematy bez nazw leków i firm</t>
  </si>
  <si>
    <t xml:space="preserve">Schemat B.71, 2025</t>
  </si>
  <si>
    <t xml:space="preserve">Pacjenci</t>
  </si>
  <si>
    <t xml:space="preserve">Refundacja (mln zł)</t>
  </si>
  <si>
    <t xml:space="preserve">Uwagi / źródło</t>
  </si>
  <si>
    <t xml:space="preserve">A – pangenotypowy</t>
  </si>
  <si>
    <t xml:space="preserve">NFZ app-stat-api, pobrane 25.10.2026</t>
  </si>
  <si>
    <t xml:space="preserve">B – pangenotypowy</t>
  </si>
  <si>
    <t xml:space="preserve">zmiana ceny urzędowej 17.09.2025</t>
  </si>
  <si>
    <t xml:space="preserve">C – leczenie ponowne</t>
  </si>
  <si>
    <t xml:space="preserve">zmiana ceny urzędowej 17.06.2025</t>
  </si>
  <si>
    <t xml:space="preserve">B.71 razem (leczeni, nie suma schematów)</t>
  </si>
  <si>
    <t xml:space="preserve">Przetargi TED od 01.01.2023 (pobrane 27.10.2026)</t>
  </si>
  <si>
    <t xml:space="preserve">Ogłoszenia</t>
  </si>
  <si>
    <t xml:space="preserve">Części z wyborem oferty</t>
  </si>
  <si>
    <t xml:space="preserve">Wartość (mln zł)</t>
  </si>
  <si>
    <t xml:space="preserve">A</t>
  </si>
  <si>
    <t xml:space="preserve">B</t>
  </si>
  <si>
    <t xml:space="preserve">C</t>
  </si>
  <si>
    <t xml:space="preserve">Razem bez podwójnego liczenia (7 części mieszanych, 6,68 mln zł)</t>
  </si>
  <si>
    <t xml:space="preserve">Uwaga: TED obejmuje tylko przetargi powyżej progów UE; wartość przetargu ≠ sprzedaż. 38 zamawiających; 10 największych ≈123,6 mln zł (≈70%).</t>
  </si>
  <si>
    <t xml:space="preserve">Zmiany 28.10.2026 – wersja po audycie (wyniki zmieniły się; opis na stronie, zakładka Sprawdzenie)</t>
  </si>
  <si>
    <t xml:space="preserve">K1: koszty opieki NFZ (F0–F4) i absencja/ZUS liczone tylko dla zdiagnozowanych pod opieką (wcześniej dla wszystkich ok. 155 tys. z wiremią). Wariant dawny = scenariusz CARE_ALL=1.</t>
  </si>
  <si>
    <t xml:space="preserve">K2: PSA – mnożniki kalibracyjne K_DC, K_HCC oraz DC0, PLT0 losowane symetrycznie (lognormalnie) wokół wartości bazowej; K=1 przeniesione do osobnego scenariusza.</t>
  </si>
  <si>
    <t xml:space="preserve">K3: opis zgonów poprawiony – liczby C22/K74 to wszystkie zgony z tych przyczyn, tylko część wynika z HCV; zgony z przyczyną wyjściową B18 (przewlekłe WZW typu B i C łącznie) to 88 w 2023 r. (NIZP PZH-PIB); model szacuje ok. 920 zgonów wątrobowych związanych z HCV rocznie (2026).</t>
  </si>
  <si>
    <t xml:space="preserve">I1: źródło kosztów i prawdopodobieństw opisane jako analiza wnioskodawcy (firma konsultingowa) opublikowana w BIP AOTMiT; model choroby dla Polski (2015) opisany jako wspierany finansowo przez producenta leków; błędy standardowe z Tab. 198.</t>
  </si>
  <si>
    <t xml:space="preserve">I2: maksimum leczonych w B.71 = 12 171 (2017), nie 8 521; szczyt pakietu WHO porównany z tą wartością.</t>
  </si>
  <si>
    <t xml:space="preserve">I3: wynik główny = wynik bazowy (deterministyczny); Monte Carlo podawane osobno jako mediana [95%] i P(oszczędność).</t>
  </si>
  <si>
    <t xml:space="preserve">I4: pakiet WHO zawiera koszt nawigacji pacjenta (NAV) i koszty stałe programu (FIX); I1/I2 – koszty stałe.</t>
  </si>
  <si>
    <t xml:space="preserve">I5: kalibracja raka wątroby do Krajowego Rejestru Nowotworów (ok. 712 nowych HCC przypisanych HCV w 2026 r.).</t>
  </si>
  <si>
    <t xml:space="preserve">I6: rozrzut ceny leków w PSA z wahań 2017–2025; cena z 2017 r. (33 872 zł) jako scenariusz.</t>
  </si>
  <si>
    <t xml:space="preserve">I7: renty przeliczane wskaźnikami waloryzacji ZUS; WLOSS skalibrowane do danych ZUS; EMP opisane jako ograniczenie.</t>
  </si>
  <si>
    <t xml:space="preserve">I8: kohorta w 4 grupach wieku (B.71 2025); średni wiek losowany w PSA.</t>
  </si>
  <si>
    <t xml:space="preserve">D1–D12: p90 kolejki 567/585 dni; Rosińska i in. 2015 (dane 2004–05); RE_KEY 6,2/100 osobolat; korekta połowy cyklu; SMR 10 dla PWID (symetrycznie); SVR 0,97; uwaga o niespójności p_SCCHCC; koszt 1. roku po przeszczepie 30 167,61 zł (×CPI); uwagi o reinfekcji i użytecznościach; scenariusz malejącej zapadalności; 38 zamawiających; kalkulator 300 vs 2 000 losowań i kolejność kwantyli roku zwrotu.</t>
  </si>
  <si>
    <t xml:space="preserve">Nowe: wariant „testy finansuje inny płatnik” (porównanie samego kosztu wyleczenia z kosztami nieleczenia) oraz wynik na jednego zdiagnozowanego pacjenta.</t>
  </si>
  <si>
    <t xml:space="preserve">Model z wersji v1 (pe_model) jest zastąpiony przez silnik aplikacji i nie jest publikowany.</t>
  </si>
  <si>
    <t xml:space="preserve">Dodatkowo: w pliku xlsx usunięto kolizję nazw zakresów (stopa dyskonta kosztów i efektów) – po poprawce wartości w arkuszu zgadzają się ze stroną.</t>
  </si>
  <si>
    <t xml:space="preserve">Deklaracja finansowania i konfliktu interesów (28.10.2026, CHEERS 2022): Autor pracuje w sektorze farmaceutycznym. Analiza powstała prywatnie, bez zlecenia i finansowania jakiejkolwiek firmy. Nie wymienia ani nie promuje żadnych produktów leczniczych. Część wykorzystanych źródeł była finansowana przez przemysł — oznaczono to w Źródłach.</t>
  </si>
  <si>
    <t xml:space="preserve">Jedna aplikacja (28.10.2026): do aplikacji przeniesiono całą wartościową treść wcześniejszych roboczych stron raportu, modelu v1 i audytu – hipotezy H1–H6 (Problem), nowa zakładka „Leki i zamówienia publiczne” (schematy B.71 bez nazw, przetargi TED), ocena działań systemowych A1–A9 (Działania), przebieg audytu (ocena, odtworzenie, weryfikacja parametrów, wrażliwość), szacunek Polaris liczby leczonych 2015–2023, porównanie zgłaszalności z Litwą, najdłuższe kolejki do B.71 i nowe luki w danych. Nawigacja pogrupowana: Odpowiedź / Problem i rynek / Działania / Metoda i źródła. Treści o charakterze komercyjnym nie zostały przeniesione.</t>
  </si>
  <si>
    <t xml:space="preserve">Inwentarz danych (28.10.2026): porównano aplikację ze wszystkimi wcześniejszymi wersjami i przywrócono pominięte dane publiczne – 0,47% z wiremią w badaniu POZ 2012–2016 (PLoS One 2017), trend rozpoznań +23% i leczonych −43% wobec 2019 r., 57% uczestników Moje Zdrowie poniżej 40 lat i ok. +20% rozpoznań po 11 miesiącach programu (MZ, IV 2026), 4 010 osób w leczeniu substytucyjnym (EUDA 2024, dane 2022), 93 339 rozpoczęć leczenia w Anglii 2015–2024 (UKHSA 2026), interpretację luk wojewódzkich, sposób liczenia mediany kolejki (37 z 91 lokalizacji), dodatkowe ograniczenie modelu (opieka nieformalna, pomoc społeczna, PFRON, prezenteizm) oraz pełną tabelę weryfikacji 33 parametrów z audytu. Wyniki modelu bez zmian.</t>
  </si>
  <si>
    <t xml:space="preserve">Audyt 2 (28.10.2026, symulowany): K-A zasiłek chorobowy = dni absencji × 80% stawki dziennej, tylko u pracujących w wieku produkcyjnym (koszt zaniechania 50 lat 8,34 → 6,03 mld zł); K-B tabela przed/po krok po kroku, wyłącznie wartości bazowe; W1 koszt QALY porównywany z progiem w perspektywie NFZ (pakiet WHO 20 lat: 82 294 zł; publiczny 77 717), krzywa akceptowalności z wyborem perspektywy; W2 kalibracja oddzielona od walidacji, porównanie z GBD 2017; W3 POZ 0,47% jako scenariusz; W4 szpitale 0,26% RNA+ (1,2% = laboratoria w kampanii); W5 przejście do leczenia 57,4% (Anglia, wszystkie RNA+), 81,5% jako górna granica; W6 udział HCV w marskości 20,4% (GBD 2017); W7 przejście F3→rak wątroby 0,8%/rok (Lok 2009) z ponowną kalibracją; W8 opis braku zaległej puli; W9 scenariusz wolniejszej progresji (Thein 2008); Y_KEY 31,2% (2021) × 50%; SMR 14,68 (Mathers 2013); nawigacja wg parytetu siły nabywczej (ok. 2 007 zł); Kalkulator bez zaokrąglenia ceny (22 760 zł); pełna lista CHEERS (28 punktów); hiperłącza i nowe źródła; xlsx z arkuszami S0, I2, I5, V1. Egipt 91,8% i zgony B18 = 88 oznaczone jako niezweryfikowane. Wszystkie wyniki to szacunek.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</si>
</sst>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7F3"/>
        <bgColor rgb="FFCCFFFF"/>
      </patternFill>
    </fill>
    <fill>
      <patternFill patternType="solid">
        <fgColor rgb="FFFFF4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DDE7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2" t="s">
        <v>9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6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0"/>
    <col collapsed="false" customWidth="true" hidden="false" outlineLevel="0" max="13" min="12" style="0" width="10"/>
  </cols>
  <sheetData>
    <row r="1" customFormat="false" ht="1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4" t="n">
        <v>155000</v>
      </c>
      <c r="D2" s="0" t="n">
        <v>145000</v>
      </c>
      <c r="E2" s="0" t="n">
        <v>165000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</row>
    <row r="3" customFormat="false" ht="15" hidden="false" customHeight="false" outlineLevel="0" collapsed="false">
      <c r="A3" s="0" t="s">
        <v>35</v>
      </c>
      <c r="B3" s="0" t="s">
        <v>36</v>
      </c>
      <c r="C3" s="4" t="n">
        <v>53.33</v>
      </c>
      <c r="D3" s="0" t="n">
        <v>47.33</v>
      </c>
      <c r="E3" s="0" t="n">
        <v>59.33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  <c r="K3" s="0" t="s">
        <v>42</v>
      </c>
      <c r="L3" s="0" t="s">
        <v>33</v>
      </c>
      <c r="M3" s="0" t="s">
        <v>43</v>
      </c>
    </row>
    <row r="4" customFormat="false" ht="15" hidden="false" customHeight="false" outlineLevel="0" collapsed="false">
      <c r="A4" s="0" t="s">
        <v>44</v>
      </c>
      <c r="B4" s="0" t="s">
        <v>45</v>
      </c>
      <c r="C4" s="4" t="n">
        <v>63</v>
      </c>
      <c r="D4" s="0" t="n">
        <v>60</v>
      </c>
      <c r="E4" s="0" t="n">
        <v>65</v>
      </c>
      <c r="F4" s="0" t="s">
        <v>46</v>
      </c>
      <c r="G4" s="0" t="s">
        <v>33</v>
      </c>
      <c r="H4" s="0" t="s">
        <v>47</v>
      </c>
      <c r="I4" s="0" t="s">
        <v>40</v>
      </c>
      <c r="J4" s="0" t="s">
        <v>41</v>
      </c>
      <c r="K4" s="0" t="s">
        <v>48</v>
      </c>
      <c r="L4" s="0" t="s">
        <v>33</v>
      </c>
      <c r="M4" s="0" t="s">
        <v>43</v>
      </c>
    </row>
    <row r="5" customFormat="false" ht="15" hidden="false" customHeight="false" outlineLevel="0" collapsed="false">
      <c r="A5" s="0" t="s">
        <v>49</v>
      </c>
      <c r="B5" s="0" t="s">
        <v>50</v>
      </c>
      <c r="C5" s="4" t="n">
        <v>0.213</v>
      </c>
      <c r="F5" s="0" t="s">
        <v>51</v>
      </c>
      <c r="G5" s="0" t="s">
        <v>52</v>
      </c>
      <c r="H5" s="0" t="s">
        <v>53</v>
      </c>
      <c r="I5" s="0" t="s">
        <v>54</v>
      </c>
      <c r="J5" s="0" t="s">
        <v>31</v>
      </c>
      <c r="K5" s="0" t="s">
        <v>55</v>
      </c>
      <c r="L5" s="0" t="s">
        <v>33</v>
      </c>
      <c r="M5" s="0" t="s">
        <v>56</v>
      </c>
    </row>
    <row r="6" customFormat="false" ht="15" hidden="false" customHeight="false" outlineLevel="0" collapsed="false">
      <c r="A6" s="0" t="s">
        <v>57</v>
      </c>
      <c r="B6" s="0" t="s">
        <v>58</v>
      </c>
      <c r="C6" s="4" t="n">
        <v>0.361</v>
      </c>
      <c r="F6" s="0" t="s">
        <v>51</v>
      </c>
      <c r="G6" s="0" t="s">
        <v>59</v>
      </c>
      <c r="H6" s="0" t="s">
        <v>53</v>
      </c>
      <c r="I6" s="0" t="s">
        <v>54</v>
      </c>
      <c r="J6" s="0" t="s">
        <v>31</v>
      </c>
      <c r="K6" s="0" t="s">
        <v>55</v>
      </c>
      <c r="L6" s="0" t="s">
        <v>33</v>
      </c>
      <c r="M6" s="0" t="s">
        <v>56</v>
      </c>
    </row>
    <row r="7" customFormat="false" ht="15" hidden="false" customHeight="false" outlineLevel="0" collapsed="false">
      <c r="A7" s="0" t="s">
        <v>60</v>
      </c>
      <c r="B7" s="0" t="s">
        <v>61</v>
      </c>
      <c r="C7" s="4" t="n">
        <v>0.233</v>
      </c>
      <c r="F7" s="0" t="s">
        <v>51</v>
      </c>
      <c r="G7" s="0" t="s">
        <v>62</v>
      </c>
      <c r="H7" s="0" t="s">
        <v>53</v>
      </c>
      <c r="I7" s="0" t="s">
        <v>54</v>
      </c>
      <c r="J7" s="0" t="s">
        <v>31</v>
      </c>
      <c r="K7" s="0" t="s">
        <v>55</v>
      </c>
      <c r="L7" s="0" t="s">
        <v>33</v>
      </c>
      <c r="M7" s="0" t="s">
        <v>56</v>
      </c>
    </row>
    <row r="8" customFormat="false" ht="15" hidden="false" customHeight="false" outlineLevel="0" collapsed="false">
      <c r="A8" s="0" t="s">
        <v>63</v>
      </c>
      <c r="B8" s="0" t="s">
        <v>64</v>
      </c>
      <c r="C8" s="4" t="n">
        <v>0.11</v>
      </c>
      <c r="F8" s="0" t="s">
        <v>51</v>
      </c>
      <c r="G8" s="0" t="s">
        <v>65</v>
      </c>
      <c r="H8" s="0" t="s">
        <v>53</v>
      </c>
      <c r="I8" s="0" t="s">
        <v>54</v>
      </c>
      <c r="J8" s="0" t="s">
        <v>31</v>
      </c>
      <c r="K8" s="0" t="s">
        <v>55</v>
      </c>
      <c r="L8" s="0" t="s">
        <v>33</v>
      </c>
      <c r="M8" s="0" t="s">
        <v>56</v>
      </c>
    </row>
    <row r="9" customFormat="false" ht="15" hidden="false" customHeight="false" outlineLevel="0" collapsed="false">
      <c r="A9" s="0" t="s">
        <v>66</v>
      </c>
      <c r="B9" s="0" t="s">
        <v>67</v>
      </c>
      <c r="C9" s="4" t="n">
        <v>0.083</v>
      </c>
      <c r="F9" s="0" t="s">
        <v>51</v>
      </c>
      <c r="G9" s="0" t="s">
        <v>68</v>
      </c>
      <c r="H9" s="0" t="s">
        <v>53</v>
      </c>
      <c r="I9" s="0" t="s">
        <v>54</v>
      </c>
      <c r="J9" s="0" t="s">
        <v>31</v>
      </c>
      <c r="K9" s="0" t="s">
        <v>55</v>
      </c>
      <c r="L9" s="0" t="s">
        <v>33</v>
      </c>
      <c r="M9" s="0" t="s">
        <v>56</v>
      </c>
    </row>
    <row r="10" customFormat="false" ht="15" hidden="false" customHeight="false" outlineLevel="0" collapsed="false">
      <c r="A10" s="0" t="s">
        <v>69</v>
      </c>
      <c r="B10" s="0" t="s">
        <v>70</v>
      </c>
      <c r="C10" s="4" t="n">
        <v>0.117</v>
      </c>
      <c r="D10" s="0" t="n">
        <v>0.104</v>
      </c>
      <c r="E10" s="0" t="n">
        <v>0.13</v>
      </c>
      <c r="F10" s="0" t="s">
        <v>71</v>
      </c>
      <c r="G10" s="0" t="s">
        <v>72</v>
      </c>
      <c r="H10" s="0" t="s">
        <v>73</v>
      </c>
      <c r="I10" s="0" t="s">
        <v>74</v>
      </c>
      <c r="J10" s="0" t="s">
        <v>75</v>
      </c>
      <c r="K10" s="0" t="s">
        <v>76</v>
      </c>
      <c r="L10" s="0" t="s">
        <v>33</v>
      </c>
      <c r="M10" s="0" t="s">
        <v>77</v>
      </c>
    </row>
    <row r="11" customFormat="false" ht="15" hidden="false" customHeight="false" outlineLevel="0" collapsed="false">
      <c r="A11" s="0" t="s">
        <v>78</v>
      </c>
      <c r="B11" s="0" t="s">
        <v>79</v>
      </c>
      <c r="C11" s="4" t="n">
        <v>0.085</v>
      </c>
      <c r="D11" s="0" t="n">
        <v>0.075</v>
      </c>
      <c r="E11" s="0" t="n">
        <v>0.096</v>
      </c>
      <c r="F11" s="0" t="s">
        <v>71</v>
      </c>
      <c r="G11" s="0" t="s">
        <v>80</v>
      </c>
      <c r="H11" s="0" t="s">
        <v>73</v>
      </c>
      <c r="I11" s="0" t="s">
        <v>74</v>
      </c>
      <c r="J11" s="0" t="s">
        <v>75</v>
      </c>
      <c r="K11" s="0" t="s">
        <v>76</v>
      </c>
      <c r="L11" s="0" t="s">
        <v>33</v>
      </c>
      <c r="M11" s="0" t="s">
        <v>77</v>
      </c>
    </row>
    <row r="12" customFormat="false" ht="15" hidden="false" customHeight="false" outlineLevel="0" collapsed="false">
      <c r="A12" s="0" t="s">
        <v>81</v>
      </c>
      <c r="B12" s="0" t="s">
        <v>82</v>
      </c>
      <c r="C12" s="4" t="n">
        <v>0.12</v>
      </c>
      <c r="D12" s="0" t="n">
        <v>0.109</v>
      </c>
      <c r="E12" s="0" t="n">
        <v>0.133</v>
      </c>
      <c r="F12" s="0" t="s">
        <v>71</v>
      </c>
      <c r="G12" s="0" t="s">
        <v>83</v>
      </c>
      <c r="H12" s="0" t="s">
        <v>73</v>
      </c>
      <c r="I12" s="0" t="s">
        <v>74</v>
      </c>
      <c r="J12" s="0" t="s">
        <v>75</v>
      </c>
      <c r="K12" s="0" t="s">
        <v>76</v>
      </c>
      <c r="L12" s="0" t="s">
        <v>33</v>
      </c>
      <c r="M12" s="0" t="s">
        <v>77</v>
      </c>
    </row>
    <row r="13" customFormat="false" ht="15" hidden="false" customHeight="false" outlineLevel="0" collapsed="false">
      <c r="A13" s="0" t="s">
        <v>84</v>
      </c>
      <c r="B13" s="0" t="s">
        <v>85</v>
      </c>
      <c r="C13" s="4" t="n">
        <v>0.116</v>
      </c>
      <c r="D13" s="0" t="n">
        <v>0.104</v>
      </c>
      <c r="E13" s="0" t="n">
        <v>0.129</v>
      </c>
      <c r="F13" s="0" t="s">
        <v>71</v>
      </c>
      <c r="G13" s="0" t="s">
        <v>86</v>
      </c>
      <c r="H13" s="0" t="s">
        <v>73</v>
      </c>
      <c r="I13" s="0" t="s">
        <v>74</v>
      </c>
      <c r="J13" s="0" t="s">
        <v>75</v>
      </c>
      <c r="K13" s="0" t="s">
        <v>76</v>
      </c>
      <c r="L13" s="0" t="s">
        <v>33</v>
      </c>
      <c r="M13" s="0" t="s">
        <v>77</v>
      </c>
    </row>
    <row r="14" customFormat="false" ht="15" hidden="false" customHeight="false" outlineLevel="0" collapsed="false">
      <c r="A14" s="0" t="s">
        <v>87</v>
      </c>
      <c r="B14" s="0" t="s">
        <v>88</v>
      </c>
      <c r="C14" s="4" t="n">
        <v>0.0592</v>
      </c>
      <c r="D14" s="0" t="n">
        <v>0.0272</v>
      </c>
      <c r="E14" s="0" t="n">
        <v>0.08</v>
      </c>
      <c r="F14" s="0" t="s">
        <v>71</v>
      </c>
      <c r="G14" s="0" t="s">
        <v>89</v>
      </c>
      <c r="H14" s="0" t="s">
        <v>90</v>
      </c>
      <c r="I14" s="0" t="s">
        <v>91</v>
      </c>
      <c r="J14" s="0" t="s">
        <v>92</v>
      </c>
      <c r="K14" s="0" t="s">
        <v>33</v>
      </c>
      <c r="L14" s="0" t="s">
        <v>33</v>
      </c>
      <c r="M14" s="0" t="s">
        <v>77</v>
      </c>
    </row>
    <row r="15" customFormat="false" ht="15" hidden="false" customHeight="false" outlineLevel="0" collapsed="false">
      <c r="A15" s="0" t="s">
        <v>93</v>
      </c>
      <c r="B15" s="0" t="s">
        <v>94</v>
      </c>
      <c r="C15" s="4" t="n">
        <v>0.0367</v>
      </c>
      <c r="D15" s="0" t="n">
        <v>0.02</v>
      </c>
      <c r="E15" s="0" t="n">
        <v>0.048</v>
      </c>
      <c r="F15" s="0" t="s">
        <v>71</v>
      </c>
      <c r="G15" s="0" t="s">
        <v>95</v>
      </c>
      <c r="H15" s="0" t="s">
        <v>90</v>
      </c>
      <c r="I15" s="0" t="s">
        <v>91</v>
      </c>
      <c r="J15" s="0" t="s">
        <v>92</v>
      </c>
      <c r="K15" s="0" t="s">
        <v>33</v>
      </c>
      <c r="L15" s="0" t="s">
        <v>33</v>
      </c>
      <c r="M15" s="0" t="s">
        <v>77</v>
      </c>
    </row>
    <row r="16" customFormat="false" ht="15" hidden="false" customHeight="false" outlineLevel="0" collapsed="false">
      <c r="A16" s="0" t="s">
        <v>96</v>
      </c>
      <c r="B16" s="0" t="s">
        <v>97</v>
      </c>
      <c r="C16" s="4" t="n">
        <v>0.0215</v>
      </c>
      <c r="D16" s="0" t="n">
        <v>0.0131</v>
      </c>
      <c r="E16" s="0" t="n">
        <v>0.0681</v>
      </c>
      <c r="F16" s="0" t="s">
        <v>71</v>
      </c>
      <c r="G16" s="0" t="s">
        <v>98</v>
      </c>
      <c r="H16" s="0" t="s">
        <v>90</v>
      </c>
      <c r="I16" s="0" t="s">
        <v>91</v>
      </c>
      <c r="J16" s="0" t="s">
        <v>92</v>
      </c>
      <c r="K16" s="0" t="s">
        <v>33</v>
      </c>
      <c r="L16" s="0" t="s">
        <v>33</v>
      </c>
      <c r="M16" s="0" t="s">
        <v>77</v>
      </c>
    </row>
    <row r="17" customFormat="false" ht="15" hidden="false" customHeight="false" outlineLevel="0" collapsed="false">
      <c r="A17" s="0" t="s">
        <v>99</v>
      </c>
      <c r="B17" s="0" t="s">
        <v>100</v>
      </c>
      <c r="C17" s="4" t="n">
        <v>0.0418</v>
      </c>
      <c r="D17" s="0" t="n">
        <v>0.0376</v>
      </c>
      <c r="E17" s="0" t="n">
        <v>0.046</v>
      </c>
      <c r="F17" s="0" t="s">
        <v>71</v>
      </c>
      <c r="G17" s="0" t="s">
        <v>101</v>
      </c>
      <c r="H17" s="0" t="s">
        <v>90</v>
      </c>
      <c r="I17" s="0" t="s">
        <v>91</v>
      </c>
      <c r="J17" s="0" t="s">
        <v>92</v>
      </c>
      <c r="K17" s="0" t="s">
        <v>33</v>
      </c>
      <c r="L17" s="0" t="s">
        <v>33</v>
      </c>
      <c r="M17" s="0" t="s">
        <v>77</v>
      </c>
    </row>
    <row r="18" customFormat="false" ht="15" hidden="false" customHeight="false" outlineLevel="0" collapsed="false">
      <c r="A18" s="0" t="s">
        <v>102</v>
      </c>
      <c r="B18" s="0" t="s">
        <v>103</v>
      </c>
      <c r="C18" s="4" t="n">
        <v>0.1081</v>
      </c>
      <c r="D18" s="0" t="n">
        <v>0.0934</v>
      </c>
      <c r="E18" s="0" t="n">
        <v>0.1228</v>
      </c>
      <c r="F18" s="0" t="s">
        <v>71</v>
      </c>
      <c r="G18" s="0" t="s">
        <v>104</v>
      </c>
      <c r="H18" s="0" t="s">
        <v>90</v>
      </c>
      <c r="I18" s="0" t="s">
        <v>91</v>
      </c>
      <c r="J18" s="0" t="s">
        <v>92</v>
      </c>
      <c r="K18" s="0" t="s">
        <v>33</v>
      </c>
      <c r="L18" s="0" t="s">
        <v>33</v>
      </c>
      <c r="M18" s="0" t="s">
        <v>77</v>
      </c>
    </row>
    <row r="19" customFormat="false" ht="15" hidden="false" customHeight="false" outlineLevel="0" collapsed="false">
      <c r="A19" s="0" t="s">
        <v>105</v>
      </c>
      <c r="B19" s="0" t="s">
        <v>106</v>
      </c>
      <c r="C19" s="4" t="n">
        <v>0.2715</v>
      </c>
      <c r="D19" s="0" t="n">
        <v>0.257</v>
      </c>
      <c r="E19" s="0" t="n">
        <v>0.286</v>
      </c>
      <c r="F19" s="0" t="s">
        <v>71</v>
      </c>
      <c r="G19" s="0" t="s">
        <v>107</v>
      </c>
      <c r="H19" s="0" t="s">
        <v>90</v>
      </c>
      <c r="I19" s="0" t="s">
        <v>91</v>
      </c>
      <c r="J19" s="0" t="s">
        <v>92</v>
      </c>
      <c r="K19" s="0" t="s">
        <v>33</v>
      </c>
      <c r="L19" s="0" t="s">
        <v>33</v>
      </c>
      <c r="M19" s="0" t="s">
        <v>77</v>
      </c>
    </row>
    <row r="20" customFormat="false" ht="15" hidden="false" customHeight="false" outlineLevel="0" collapsed="false">
      <c r="A20" s="0" t="s">
        <v>108</v>
      </c>
      <c r="B20" s="0" t="s">
        <v>109</v>
      </c>
      <c r="C20" s="4" t="n">
        <v>0.0093</v>
      </c>
      <c r="D20" s="0" t="n">
        <v>0.0084</v>
      </c>
      <c r="E20" s="0" t="n">
        <v>0.0103</v>
      </c>
      <c r="F20" s="0" t="s">
        <v>71</v>
      </c>
      <c r="G20" s="0" t="s">
        <v>110</v>
      </c>
      <c r="H20" s="0" t="s">
        <v>90</v>
      </c>
      <c r="I20" s="0" t="s">
        <v>91</v>
      </c>
      <c r="J20" s="0" t="s">
        <v>92</v>
      </c>
      <c r="K20" s="0" t="s">
        <v>33</v>
      </c>
      <c r="L20" s="0" t="s">
        <v>33</v>
      </c>
      <c r="M20" s="0" t="s">
        <v>77</v>
      </c>
    </row>
    <row r="21" customFormat="false" ht="15" hidden="false" customHeight="false" outlineLevel="0" collapsed="false">
      <c r="A21" s="0" t="s">
        <v>111</v>
      </c>
      <c r="B21" s="0" t="s">
        <v>112</v>
      </c>
      <c r="C21" s="4" t="n">
        <v>0.18</v>
      </c>
      <c r="D21" s="0" t="n">
        <v>0.175</v>
      </c>
      <c r="E21" s="0" t="n">
        <v>0.185</v>
      </c>
      <c r="F21" s="0" t="s">
        <v>71</v>
      </c>
      <c r="G21" s="0" t="s">
        <v>113</v>
      </c>
      <c r="H21" s="0" t="s">
        <v>90</v>
      </c>
      <c r="I21" s="0" t="s">
        <v>91</v>
      </c>
      <c r="J21" s="0" t="s">
        <v>92</v>
      </c>
      <c r="K21" s="0" t="s">
        <v>33</v>
      </c>
      <c r="L21" s="0" t="s">
        <v>33</v>
      </c>
      <c r="M21" s="0" t="s">
        <v>77</v>
      </c>
    </row>
    <row r="22" customFormat="false" ht="15" hidden="false" customHeight="false" outlineLevel="0" collapsed="false">
      <c r="A22" s="0" t="s">
        <v>114</v>
      </c>
      <c r="B22" s="0" t="s">
        <v>115</v>
      </c>
      <c r="C22" s="4" t="n">
        <v>0.04572</v>
      </c>
      <c r="D22" s="0" t="n">
        <v>0.0432</v>
      </c>
      <c r="E22" s="0" t="n">
        <v>0.0483</v>
      </c>
      <c r="F22" s="0" t="s">
        <v>71</v>
      </c>
      <c r="G22" s="0" t="s">
        <v>116</v>
      </c>
      <c r="H22" s="0" t="s">
        <v>90</v>
      </c>
      <c r="I22" s="0" t="s">
        <v>91</v>
      </c>
      <c r="J22" s="0" t="s">
        <v>92</v>
      </c>
      <c r="K22" s="0" t="s">
        <v>33</v>
      </c>
      <c r="L22" s="0" t="s">
        <v>33</v>
      </c>
      <c r="M22" s="0" t="s">
        <v>77</v>
      </c>
    </row>
    <row r="23" customFormat="false" ht="15" hidden="false" customHeight="false" outlineLevel="0" collapsed="false">
      <c r="A23" s="0" t="s">
        <v>117</v>
      </c>
      <c r="B23" s="0" t="s">
        <v>118</v>
      </c>
      <c r="C23" s="4" t="n">
        <v>0.0125</v>
      </c>
      <c r="D23" s="0" t="n">
        <v>0.003</v>
      </c>
      <c r="E23" s="0" t="n">
        <v>0.026</v>
      </c>
      <c r="F23" s="0" t="s">
        <v>71</v>
      </c>
      <c r="G23" s="0" t="s">
        <v>119</v>
      </c>
      <c r="H23" s="0" t="s">
        <v>90</v>
      </c>
      <c r="I23" s="0" t="s">
        <v>91</v>
      </c>
      <c r="J23" s="0" t="s">
        <v>92</v>
      </c>
      <c r="K23" s="0" t="s">
        <v>33</v>
      </c>
      <c r="L23" s="0" t="s">
        <v>33</v>
      </c>
      <c r="M23" s="0" t="s">
        <v>77</v>
      </c>
    </row>
    <row r="24" customFormat="false" ht="15" hidden="false" customHeight="false" outlineLevel="0" collapsed="false">
      <c r="A24" s="0" t="s">
        <v>120</v>
      </c>
      <c r="B24" s="0" t="s">
        <v>121</v>
      </c>
      <c r="C24" s="4" t="n">
        <v>0.0115</v>
      </c>
      <c r="D24" s="0" t="n">
        <v>0.0048</v>
      </c>
      <c r="E24" s="0" t="n">
        <v>0.0201</v>
      </c>
      <c r="F24" s="0" t="s">
        <v>71</v>
      </c>
      <c r="G24" s="0" t="s">
        <v>122</v>
      </c>
      <c r="H24" s="0" t="s">
        <v>90</v>
      </c>
      <c r="I24" s="0" t="s">
        <v>91</v>
      </c>
      <c r="J24" s="0" t="s">
        <v>92</v>
      </c>
      <c r="K24" s="0" t="s">
        <v>123</v>
      </c>
      <c r="L24" s="0" t="s">
        <v>33</v>
      </c>
      <c r="M24" s="0" t="s">
        <v>77</v>
      </c>
    </row>
    <row r="25" customFormat="false" ht="15" hidden="false" customHeight="false" outlineLevel="0" collapsed="false">
      <c r="A25" s="0" t="s">
        <v>124</v>
      </c>
      <c r="B25" s="0" t="s">
        <v>125</v>
      </c>
      <c r="C25" s="4" t="n">
        <v>0.97</v>
      </c>
      <c r="D25" s="0" t="n">
        <v>0.95</v>
      </c>
      <c r="E25" s="0" t="n">
        <v>0.99</v>
      </c>
      <c r="F25" s="0" t="s">
        <v>71</v>
      </c>
      <c r="G25" s="0" t="s">
        <v>126</v>
      </c>
      <c r="H25" s="0" t="s">
        <v>127</v>
      </c>
      <c r="I25" s="0" t="s">
        <v>91</v>
      </c>
      <c r="J25" s="0" t="s">
        <v>31</v>
      </c>
      <c r="K25" s="0" t="s">
        <v>128</v>
      </c>
      <c r="L25" s="0" t="s">
        <v>129</v>
      </c>
      <c r="M25" s="0" t="s">
        <v>56</v>
      </c>
    </row>
    <row r="26" customFormat="false" ht="15" hidden="false" customHeight="false" outlineLevel="0" collapsed="false">
      <c r="A26" s="0" t="s">
        <v>130</v>
      </c>
      <c r="B26" s="0" t="s">
        <v>131</v>
      </c>
      <c r="C26" s="4" t="n">
        <v>0.715</v>
      </c>
      <c r="D26" s="0" t="n">
        <v>0.67</v>
      </c>
      <c r="E26" s="0" t="n">
        <v>0.76</v>
      </c>
      <c r="F26" s="0" t="s">
        <v>71</v>
      </c>
      <c r="G26" s="0" t="s">
        <v>132</v>
      </c>
      <c r="H26" s="0" t="s">
        <v>133</v>
      </c>
      <c r="I26" s="0" t="s">
        <v>91</v>
      </c>
      <c r="J26" s="0" t="s">
        <v>31</v>
      </c>
      <c r="K26" s="0" t="s">
        <v>33</v>
      </c>
      <c r="L26" s="0" t="s">
        <v>33</v>
      </c>
      <c r="M26" s="0" t="s">
        <v>134</v>
      </c>
    </row>
    <row r="27" customFormat="false" ht="15" hidden="false" customHeight="false" outlineLevel="0" collapsed="false">
      <c r="A27" s="0" t="s">
        <v>135</v>
      </c>
      <c r="B27" s="0" t="s">
        <v>136</v>
      </c>
      <c r="C27" s="4" t="n">
        <v>0.55</v>
      </c>
      <c r="D27" s="0" t="n">
        <v>0.445</v>
      </c>
      <c r="E27" s="0" t="n">
        <v>0.655</v>
      </c>
      <c r="F27" s="0" t="s">
        <v>71</v>
      </c>
      <c r="G27" s="0" t="s">
        <v>137</v>
      </c>
      <c r="H27" s="0" t="s">
        <v>133</v>
      </c>
      <c r="I27" s="0" t="s">
        <v>91</v>
      </c>
      <c r="J27" s="0" t="s">
        <v>31</v>
      </c>
      <c r="K27" s="0" t="s">
        <v>33</v>
      </c>
      <c r="L27" s="0" t="s">
        <v>33</v>
      </c>
      <c r="M27" s="0" t="s">
        <v>134</v>
      </c>
    </row>
    <row r="28" customFormat="false" ht="15" hidden="false" customHeight="false" outlineLevel="0" collapsed="false">
      <c r="A28" s="0" t="s">
        <v>138</v>
      </c>
      <c r="B28" s="0" t="s">
        <v>139</v>
      </c>
      <c r="C28" s="4" t="n">
        <v>0.45</v>
      </c>
      <c r="D28" s="0" t="n">
        <v>0.391</v>
      </c>
      <c r="E28" s="0" t="n">
        <v>0.509</v>
      </c>
      <c r="F28" s="0" t="s">
        <v>71</v>
      </c>
      <c r="G28" s="0" t="s">
        <v>140</v>
      </c>
      <c r="H28" s="0" t="s">
        <v>133</v>
      </c>
      <c r="I28" s="0" t="s">
        <v>91</v>
      </c>
      <c r="J28" s="0" t="s">
        <v>31</v>
      </c>
      <c r="K28" s="0" t="s">
        <v>141</v>
      </c>
      <c r="L28" s="0" t="s">
        <v>33</v>
      </c>
      <c r="M28" s="0" t="s">
        <v>134</v>
      </c>
    </row>
    <row r="29" customFormat="false" ht="15" hidden="false" customHeight="false" outlineLevel="0" collapsed="false">
      <c r="A29" s="0" t="s">
        <v>142</v>
      </c>
      <c r="B29" s="0" t="s">
        <v>143</v>
      </c>
      <c r="C29" s="4" t="n">
        <v>0.45</v>
      </c>
      <c r="D29" s="0" t="n">
        <v>0.391</v>
      </c>
      <c r="E29" s="0" t="n">
        <v>0.509</v>
      </c>
      <c r="F29" s="0" t="s">
        <v>71</v>
      </c>
      <c r="G29" s="0" t="s">
        <v>140</v>
      </c>
      <c r="H29" s="0" t="s">
        <v>133</v>
      </c>
      <c r="I29" s="0" t="s">
        <v>91</v>
      </c>
      <c r="J29" s="0" t="s">
        <v>31</v>
      </c>
      <c r="K29" s="0" t="s">
        <v>141</v>
      </c>
      <c r="L29" s="0" t="s">
        <v>33</v>
      </c>
      <c r="M29" s="0" t="s">
        <v>134</v>
      </c>
    </row>
    <row r="30" customFormat="false" ht="15" hidden="false" customHeight="false" outlineLevel="0" collapsed="false">
      <c r="A30" s="0" t="s">
        <v>144</v>
      </c>
      <c r="B30" s="0" t="s">
        <v>145</v>
      </c>
      <c r="C30" s="4" t="n">
        <v>0.45</v>
      </c>
      <c r="D30" s="0" t="n">
        <v>0.391</v>
      </c>
      <c r="E30" s="0" t="n">
        <v>0.509</v>
      </c>
      <c r="F30" s="0" t="s">
        <v>71</v>
      </c>
      <c r="G30" s="0" t="s">
        <v>140</v>
      </c>
      <c r="H30" s="0" t="s">
        <v>133</v>
      </c>
      <c r="I30" s="0" t="s">
        <v>91</v>
      </c>
      <c r="J30" s="0" t="s">
        <v>31</v>
      </c>
      <c r="K30" s="0" t="s">
        <v>141</v>
      </c>
      <c r="L30" s="0" t="s">
        <v>33</v>
      </c>
      <c r="M30" s="0" t="s">
        <v>134</v>
      </c>
    </row>
    <row r="31" customFormat="false" ht="15" hidden="false" customHeight="false" outlineLevel="0" collapsed="false">
      <c r="A31" s="0" t="s">
        <v>146</v>
      </c>
      <c r="B31" s="0" t="s">
        <v>147</v>
      </c>
      <c r="C31" s="4" t="n">
        <v>0.67</v>
      </c>
      <c r="D31" s="0" t="n">
        <v>0.541</v>
      </c>
      <c r="E31" s="0" t="n">
        <v>0.799</v>
      </c>
      <c r="F31" s="0" t="s">
        <v>71</v>
      </c>
      <c r="G31" s="0" t="s">
        <v>148</v>
      </c>
      <c r="H31" s="0" t="s">
        <v>133</v>
      </c>
      <c r="I31" s="0" t="s">
        <v>91</v>
      </c>
      <c r="J31" s="0" t="s">
        <v>31</v>
      </c>
      <c r="K31" s="0" t="s">
        <v>33</v>
      </c>
      <c r="L31" s="0" t="s">
        <v>33</v>
      </c>
      <c r="M31" s="0" t="s">
        <v>134</v>
      </c>
    </row>
    <row r="32" customFormat="false" ht="15" hidden="false" customHeight="false" outlineLevel="0" collapsed="false">
      <c r="A32" s="0" t="s">
        <v>149</v>
      </c>
      <c r="B32" s="0" t="s">
        <v>150</v>
      </c>
      <c r="C32" s="4" t="n">
        <v>0.055</v>
      </c>
      <c r="D32" s="0" t="n">
        <v>0.044</v>
      </c>
      <c r="E32" s="0" t="n">
        <v>0.066</v>
      </c>
      <c r="F32" s="0" t="s">
        <v>151</v>
      </c>
      <c r="G32" s="0" t="s">
        <v>152</v>
      </c>
      <c r="H32" s="0" t="s">
        <v>90</v>
      </c>
      <c r="I32" s="0" t="s">
        <v>91</v>
      </c>
      <c r="J32" s="0" t="s">
        <v>31</v>
      </c>
      <c r="K32" s="0" t="s">
        <v>33</v>
      </c>
      <c r="L32" s="0" t="s">
        <v>33</v>
      </c>
      <c r="M32" s="0" t="s">
        <v>134</v>
      </c>
    </row>
    <row r="33" customFormat="false" ht="15" hidden="false" customHeight="false" outlineLevel="0" collapsed="false">
      <c r="A33" s="0" t="s">
        <v>153</v>
      </c>
      <c r="B33" s="0" t="s">
        <v>154</v>
      </c>
      <c r="C33" s="4" t="n">
        <v>1.57588127194927</v>
      </c>
      <c r="F33" s="0" t="s">
        <v>155</v>
      </c>
      <c r="G33" s="0" t="s">
        <v>33</v>
      </c>
      <c r="H33" s="0" t="s">
        <v>156</v>
      </c>
      <c r="I33" s="0" t="s">
        <v>157</v>
      </c>
      <c r="J33" s="0" t="s">
        <v>41</v>
      </c>
      <c r="K33" s="0" t="s">
        <v>158</v>
      </c>
      <c r="L33" s="0" t="s">
        <v>33</v>
      </c>
      <c r="M33" s="0" t="s">
        <v>159</v>
      </c>
    </row>
    <row r="34" customFormat="false" ht="15" hidden="false" customHeight="false" outlineLevel="0" collapsed="false">
      <c r="A34" s="0" t="s">
        <v>160</v>
      </c>
      <c r="B34" s="0" t="s">
        <v>161</v>
      </c>
      <c r="C34" s="4" t="n">
        <v>2960.24569291855</v>
      </c>
      <c r="D34" s="0" t="n">
        <v>2368.2</v>
      </c>
      <c r="E34" s="0" t="n">
        <v>3552.29</v>
      </c>
      <c r="F34" s="0" t="s">
        <v>151</v>
      </c>
      <c r="G34" s="0" t="s">
        <v>162</v>
      </c>
      <c r="H34" s="0" t="s">
        <v>163</v>
      </c>
      <c r="I34" s="0" t="s">
        <v>164</v>
      </c>
      <c r="J34" s="0" t="s">
        <v>41</v>
      </c>
      <c r="K34" s="0" t="s">
        <v>165</v>
      </c>
      <c r="L34" s="0" t="s">
        <v>129</v>
      </c>
      <c r="M34" s="0" t="s">
        <v>166</v>
      </c>
    </row>
    <row r="35" customFormat="false" ht="15" hidden="false" customHeight="false" outlineLevel="0" collapsed="false">
      <c r="A35" s="0" t="s">
        <v>167</v>
      </c>
      <c r="B35" s="0" t="s">
        <v>168</v>
      </c>
      <c r="C35" s="4" t="n">
        <v>612.592326844841</v>
      </c>
      <c r="D35" s="0" t="n">
        <v>490.07</v>
      </c>
      <c r="E35" s="0" t="n">
        <v>735.11</v>
      </c>
      <c r="F35" s="0" t="s">
        <v>151</v>
      </c>
      <c r="G35" s="0" t="s">
        <v>169</v>
      </c>
      <c r="H35" s="0" t="s">
        <v>163</v>
      </c>
      <c r="I35" s="0" t="s">
        <v>164</v>
      </c>
      <c r="J35" s="0" t="s">
        <v>41</v>
      </c>
      <c r="K35" s="0" t="s">
        <v>170</v>
      </c>
      <c r="L35" s="0" t="s">
        <v>129</v>
      </c>
      <c r="M35" s="0" t="s">
        <v>166</v>
      </c>
    </row>
    <row r="36" customFormat="false" ht="15" hidden="false" customHeight="false" outlineLevel="0" collapsed="false">
      <c r="A36" s="0" t="s">
        <v>171</v>
      </c>
      <c r="B36" s="0" t="s">
        <v>172</v>
      </c>
      <c r="C36" s="4" t="n">
        <v>5415.46871461552</v>
      </c>
      <c r="D36" s="0" t="n">
        <v>4332.37</v>
      </c>
      <c r="E36" s="0" t="n">
        <v>6498.56</v>
      </c>
      <c r="F36" s="0" t="s">
        <v>151</v>
      </c>
      <c r="G36" s="0" t="s">
        <v>173</v>
      </c>
      <c r="H36" s="0" t="s">
        <v>163</v>
      </c>
      <c r="I36" s="0" t="s">
        <v>164</v>
      </c>
      <c r="J36" s="0" t="s">
        <v>41</v>
      </c>
      <c r="K36" s="0" t="s">
        <v>174</v>
      </c>
      <c r="L36" s="0" t="s">
        <v>129</v>
      </c>
      <c r="M36" s="0" t="s">
        <v>166</v>
      </c>
    </row>
    <row r="37" customFormat="false" ht="15" hidden="false" customHeight="false" outlineLevel="0" collapsed="false">
      <c r="A37" s="0" t="s">
        <v>175</v>
      </c>
      <c r="B37" s="0" t="s">
        <v>176</v>
      </c>
      <c r="C37" s="4" t="n">
        <v>2738.06219238642</v>
      </c>
      <c r="D37" s="0" t="n">
        <v>2190.45</v>
      </c>
      <c r="E37" s="0" t="n">
        <v>3285.67</v>
      </c>
      <c r="F37" s="0" t="s">
        <v>151</v>
      </c>
      <c r="G37" s="0" t="s">
        <v>177</v>
      </c>
      <c r="H37" s="0" t="s">
        <v>163</v>
      </c>
      <c r="I37" s="0" t="s">
        <v>164</v>
      </c>
      <c r="J37" s="0" t="s">
        <v>41</v>
      </c>
      <c r="K37" s="0" t="s">
        <v>178</v>
      </c>
      <c r="L37" s="0" t="s">
        <v>129</v>
      </c>
      <c r="M37" s="0" t="s">
        <v>166</v>
      </c>
    </row>
    <row r="38" customFormat="false" ht="15" hidden="false" customHeight="false" outlineLevel="0" collapsed="false">
      <c r="A38" s="0" t="s">
        <v>179</v>
      </c>
      <c r="B38" s="0" t="s">
        <v>180</v>
      </c>
      <c r="C38" s="4" t="n">
        <v>18064.8313023615</v>
      </c>
      <c r="D38" s="0" t="n">
        <v>14451.87</v>
      </c>
      <c r="E38" s="0" t="n">
        <v>21677.8</v>
      </c>
      <c r="F38" s="0" t="s">
        <v>151</v>
      </c>
      <c r="G38" s="0" t="s">
        <v>181</v>
      </c>
      <c r="H38" s="0" t="s">
        <v>163</v>
      </c>
      <c r="I38" s="0" t="s">
        <v>164</v>
      </c>
      <c r="J38" s="0" t="s">
        <v>41</v>
      </c>
      <c r="K38" s="0" t="s">
        <v>182</v>
      </c>
      <c r="L38" s="0" t="s">
        <v>129</v>
      </c>
      <c r="M38" s="0" t="s">
        <v>166</v>
      </c>
    </row>
    <row r="39" customFormat="false" ht="15" hidden="false" customHeight="false" outlineLevel="0" collapsed="false">
      <c r="A39" s="0" t="s">
        <v>183</v>
      </c>
      <c r="B39" s="0" t="s">
        <v>184</v>
      </c>
      <c r="C39" s="4" t="n">
        <v>62879.8847433695</v>
      </c>
      <c r="D39" s="0" t="n">
        <v>50303.91</v>
      </c>
      <c r="E39" s="0" t="n">
        <v>75455.86</v>
      </c>
      <c r="F39" s="0" t="s">
        <v>151</v>
      </c>
      <c r="G39" s="0" t="s">
        <v>185</v>
      </c>
      <c r="H39" s="0" t="s">
        <v>163</v>
      </c>
      <c r="I39" s="0" t="s">
        <v>164</v>
      </c>
      <c r="J39" s="0" t="s">
        <v>41</v>
      </c>
      <c r="K39" s="0" t="s">
        <v>186</v>
      </c>
      <c r="L39" s="0" t="s">
        <v>129</v>
      </c>
      <c r="M39" s="0" t="s">
        <v>166</v>
      </c>
    </row>
    <row r="40" customFormat="false" ht="15" hidden="false" customHeight="false" outlineLevel="0" collapsed="false">
      <c r="A40" s="0" t="s">
        <v>187</v>
      </c>
      <c r="B40" s="0" t="s">
        <v>188</v>
      </c>
      <c r="C40" s="4" t="n">
        <v>342818.346534361</v>
      </c>
      <c r="D40" s="0" t="n">
        <v>274254.68</v>
      </c>
      <c r="E40" s="0" t="n">
        <v>411382.02</v>
      </c>
      <c r="F40" s="0" t="s">
        <v>151</v>
      </c>
      <c r="G40" s="0" t="s">
        <v>189</v>
      </c>
      <c r="H40" s="0" t="s">
        <v>163</v>
      </c>
      <c r="I40" s="0" t="s">
        <v>164</v>
      </c>
      <c r="J40" s="0" t="s">
        <v>41</v>
      </c>
      <c r="K40" s="0" t="s">
        <v>190</v>
      </c>
      <c r="L40" s="0" t="s">
        <v>129</v>
      </c>
      <c r="M40" s="0" t="s">
        <v>166</v>
      </c>
    </row>
    <row r="41" customFormat="false" ht="15" hidden="false" customHeight="false" outlineLevel="0" collapsed="false">
      <c r="A41" s="0" t="s">
        <v>191</v>
      </c>
      <c r="B41" s="0" t="s">
        <v>192</v>
      </c>
      <c r="C41" s="4" t="n">
        <v>31787.8102830612</v>
      </c>
      <c r="D41" s="0" t="n">
        <v>25430.25</v>
      </c>
      <c r="E41" s="0" t="n">
        <v>38145.37</v>
      </c>
      <c r="F41" s="0" t="s">
        <v>151</v>
      </c>
      <c r="G41" s="0" t="s">
        <v>193</v>
      </c>
      <c r="H41" s="0" t="s">
        <v>163</v>
      </c>
      <c r="I41" s="0" t="s">
        <v>164</v>
      </c>
      <c r="J41" s="0" t="s">
        <v>41</v>
      </c>
      <c r="K41" s="0" t="s">
        <v>194</v>
      </c>
      <c r="L41" s="0" t="s">
        <v>129</v>
      </c>
      <c r="M41" s="0" t="s">
        <v>166</v>
      </c>
    </row>
    <row r="42" customFormat="false" ht="15" hidden="false" customHeight="false" outlineLevel="0" collapsed="false">
      <c r="A42" s="0" t="s">
        <v>195</v>
      </c>
      <c r="B42" s="0" t="s">
        <v>196</v>
      </c>
      <c r="C42" s="4" t="n">
        <v>22760</v>
      </c>
      <c r="D42" s="0" t="n">
        <v>17366</v>
      </c>
      <c r="E42" s="0" t="n">
        <v>29829</v>
      </c>
      <c r="F42" s="0" t="s">
        <v>197</v>
      </c>
      <c r="G42" s="0" t="s">
        <v>198</v>
      </c>
      <c r="H42" s="0" t="s">
        <v>199</v>
      </c>
      <c r="I42" s="0" t="s">
        <v>200</v>
      </c>
      <c r="J42" s="0" t="s">
        <v>31</v>
      </c>
      <c r="K42" s="0" t="s">
        <v>201</v>
      </c>
      <c r="L42" s="0" t="s">
        <v>129</v>
      </c>
      <c r="M42" s="0" t="s">
        <v>202</v>
      </c>
    </row>
    <row r="43" customFormat="false" ht="15" hidden="false" customHeight="false" outlineLevel="0" collapsed="false">
      <c r="A43" s="0" t="s">
        <v>203</v>
      </c>
      <c r="B43" s="0" t="s">
        <v>204</v>
      </c>
      <c r="C43" s="4" t="n">
        <v>5765.12988618054</v>
      </c>
      <c r="D43" s="0" t="n">
        <v>3731.52</v>
      </c>
      <c r="E43" s="0" t="n">
        <v>6918.16</v>
      </c>
      <c r="F43" s="0" t="s">
        <v>151</v>
      </c>
      <c r="G43" s="0" t="s">
        <v>205</v>
      </c>
      <c r="H43" s="0" t="s">
        <v>206</v>
      </c>
      <c r="I43" s="0" t="s">
        <v>207</v>
      </c>
      <c r="J43" s="0" t="s">
        <v>41</v>
      </c>
      <c r="K43" s="0" t="s">
        <v>208</v>
      </c>
      <c r="L43" s="0" t="s">
        <v>129</v>
      </c>
      <c r="M43" s="0" t="s">
        <v>202</v>
      </c>
    </row>
    <row r="44" customFormat="false" ht="15" hidden="false" customHeight="false" outlineLevel="0" collapsed="false">
      <c r="A44" s="0" t="s">
        <v>209</v>
      </c>
      <c r="B44" s="0" t="s">
        <v>210</v>
      </c>
      <c r="C44" s="4" t="n">
        <v>46.2</v>
      </c>
      <c r="D44" s="0" t="n">
        <v>40</v>
      </c>
      <c r="E44" s="0" t="n">
        <v>57</v>
      </c>
      <c r="F44" s="0" t="s">
        <v>155</v>
      </c>
      <c r="G44" s="0" t="s">
        <v>33</v>
      </c>
      <c r="H44" s="0" t="s">
        <v>211</v>
      </c>
      <c r="I44" s="0" t="s">
        <v>157</v>
      </c>
      <c r="J44" s="0" t="s">
        <v>31</v>
      </c>
      <c r="K44" s="0" t="s">
        <v>33</v>
      </c>
      <c r="L44" s="0" t="s">
        <v>129</v>
      </c>
      <c r="M44" s="0" t="s">
        <v>212</v>
      </c>
    </row>
    <row r="45" customFormat="false" ht="15" hidden="false" customHeight="false" outlineLevel="0" collapsed="false">
      <c r="A45" s="0" t="s">
        <v>213</v>
      </c>
      <c r="B45" s="0" t="s">
        <v>214</v>
      </c>
      <c r="C45" s="4" t="n">
        <v>180</v>
      </c>
      <c r="D45" s="0" t="n">
        <v>150</v>
      </c>
      <c r="E45" s="0" t="n">
        <v>235</v>
      </c>
      <c r="F45" s="0" t="s">
        <v>155</v>
      </c>
      <c r="G45" s="0" t="s">
        <v>33</v>
      </c>
      <c r="H45" s="0" t="s">
        <v>215</v>
      </c>
      <c r="I45" s="0" t="s">
        <v>40</v>
      </c>
      <c r="J45" s="0" t="s">
        <v>216</v>
      </c>
      <c r="K45" s="0" t="s">
        <v>217</v>
      </c>
      <c r="L45" s="0" t="s">
        <v>129</v>
      </c>
      <c r="M45" s="0" t="s">
        <v>212</v>
      </c>
    </row>
    <row r="46" customFormat="false" ht="15" hidden="false" customHeight="false" outlineLevel="0" collapsed="false">
      <c r="A46" s="0" t="s">
        <v>218</v>
      </c>
      <c r="B46" s="0" t="s">
        <v>219</v>
      </c>
      <c r="C46" s="4" t="n">
        <v>0.005</v>
      </c>
      <c r="D46" s="0" t="n">
        <v>0.004</v>
      </c>
      <c r="E46" s="0" t="n">
        <v>0.007</v>
      </c>
      <c r="F46" s="0" t="s">
        <v>71</v>
      </c>
      <c r="G46" s="0" t="s">
        <v>220</v>
      </c>
      <c r="H46" s="0" t="s">
        <v>221</v>
      </c>
      <c r="I46" s="0" t="s">
        <v>222</v>
      </c>
      <c r="J46" s="0" t="s">
        <v>31</v>
      </c>
      <c r="K46" s="0" t="s">
        <v>33</v>
      </c>
      <c r="L46" s="0" t="s">
        <v>33</v>
      </c>
      <c r="M46" s="0" t="s">
        <v>56</v>
      </c>
    </row>
    <row r="47" customFormat="false" ht="15" hidden="false" customHeight="false" outlineLevel="0" collapsed="false">
      <c r="A47" s="0" t="s">
        <v>223</v>
      </c>
      <c r="B47" s="0" t="s">
        <v>224</v>
      </c>
      <c r="C47" s="4" t="n">
        <v>0.4</v>
      </c>
      <c r="D47" s="0" t="n">
        <v>0.35</v>
      </c>
      <c r="E47" s="0" t="n">
        <v>0.5</v>
      </c>
      <c r="F47" s="0" t="s">
        <v>71</v>
      </c>
      <c r="G47" s="0" t="s">
        <v>225</v>
      </c>
      <c r="H47" s="0" t="s">
        <v>226</v>
      </c>
      <c r="I47" s="0" t="s">
        <v>222</v>
      </c>
      <c r="J47" s="0" t="s">
        <v>31</v>
      </c>
      <c r="K47" s="0" t="s">
        <v>33</v>
      </c>
      <c r="L47" s="0" t="s">
        <v>33</v>
      </c>
      <c r="M47" s="0" t="s">
        <v>56</v>
      </c>
    </row>
    <row r="48" customFormat="false" ht="15" hidden="false" customHeight="false" outlineLevel="0" collapsed="false">
      <c r="A48" s="0" t="s">
        <v>227</v>
      </c>
      <c r="B48" s="0" t="s">
        <v>228</v>
      </c>
      <c r="C48" s="4" t="n">
        <v>0.312</v>
      </c>
      <c r="F48" s="0" t="s">
        <v>155</v>
      </c>
      <c r="G48" s="0" t="s">
        <v>33</v>
      </c>
      <c r="H48" s="0" t="s">
        <v>229</v>
      </c>
      <c r="I48" s="0" t="s">
        <v>230</v>
      </c>
      <c r="J48" s="0" t="s">
        <v>31</v>
      </c>
      <c r="K48" s="0" t="s">
        <v>231</v>
      </c>
      <c r="L48" s="0" t="s">
        <v>232</v>
      </c>
      <c r="M48" s="0" t="s">
        <v>56</v>
      </c>
    </row>
    <row r="49" customFormat="false" ht="15" hidden="false" customHeight="false" outlineLevel="0" collapsed="false">
      <c r="A49" s="0" t="s">
        <v>233</v>
      </c>
      <c r="B49" s="0" t="s">
        <v>234</v>
      </c>
      <c r="C49" s="4" t="n">
        <v>0.5</v>
      </c>
      <c r="D49" s="0" t="n">
        <v>0.4</v>
      </c>
      <c r="E49" s="0" t="n">
        <v>0.7</v>
      </c>
      <c r="F49" s="0" t="s">
        <v>71</v>
      </c>
      <c r="G49" s="0" t="s">
        <v>235</v>
      </c>
      <c r="H49" s="0" t="s">
        <v>236</v>
      </c>
      <c r="I49" s="0" t="s">
        <v>91</v>
      </c>
      <c r="J49" s="0" t="s">
        <v>31</v>
      </c>
      <c r="K49" s="0" t="s">
        <v>237</v>
      </c>
      <c r="L49" s="0" t="s">
        <v>232</v>
      </c>
      <c r="M49" s="0" t="s">
        <v>56</v>
      </c>
    </row>
    <row r="50" customFormat="false" ht="15" hidden="false" customHeight="false" outlineLevel="0" collapsed="false">
      <c r="A50" s="0" t="s">
        <v>238</v>
      </c>
      <c r="B50" s="0" t="s">
        <v>239</v>
      </c>
      <c r="C50" s="4" t="n">
        <v>4832</v>
      </c>
      <c r="D50" s="0" t="n">
        <v>4407</v>
      </c>
      <c r="E50" s="0" t="n">
        <v>5200</v>
      </c>
      <c r="F50" s="0" t="s">
        <v>155</v>
      </c>
      <c r="G50" s="0" t="s">
        <v>33</v>
      </c>
      <c r="H50" s="0" t="s">
        <v>240</v>
      </c>
      <c r="I50" s="0" t="s">
        <v>40</v>
      </c>
      <c r="J50" s="0" t="s">
        <v>31</v>
      </c>
      <c r="K50" s="0" t="s">
        <v>241</v>
      </c>
      <c r="L50" s="0" t="s">
        <v>129</v>
      </c>
      <c r="M50" s="0" t="s">
        <v>242</v>
      </c>
    </row>
    <row r="51" customFormat="false" ht="15" hidden="false" customHeight="false" outlineLevel="0" collapsed="false">
      <c r="A51" s="0" t="s">
        <v>243</v>
      </c>
      <c r="B51" s="0" t="s">
        <v>244</v>
      </c>
      <c r="C51" s="4" t="n">
        <v>17500</v>
      </c>
      <c r="D51" s="0" t="n">
        <v>15000</v>
      </c>
      <c r="E51" s="0" t="n">
        <v>20000</v>
      </c>
      <c r="F51" s="0" t="s">
        <v>155</v>
      </c>
      <c r="G51" s="0" t="s">
        <v>33</v>
      </c>
      <c r="H51" s="0" t="s">
        <v>245</v>
      </c>
      <c r="I51" s="0" t="s">
        <v>246</v>
      </c>
      <c r="J51" s="0" t="s">
        <v>31</v>
      </c>
      <c r="K51" s="0" t="s">
        <v>247</v>
      </c>
      <c r="L51" s="0" t="s">
        <v>129</v>
      </c>
      <c r="M51" s="0" t="s">
        <v>242</v>
      </c>
    </row>
    <row r="52" customFormat="false" ht="15" hidden="false" customHeight="false" outlineLevel="0" collapsed="false">
      <c r="A52" s="0" t="s">
        <v>248</v>
      </c>
      <c r="B52" s="0" t="s">
        <v>249</v>
      </c>
      <c r="C52" s="4" t="n">
        <v>49555600</v>
      </c>
      <c r="F52" s="0" t="s">
        <v>155</v>
      </c>
      <c r="G52" s="0" t="s">
        <v>33</v>
      </c>
      <c r="H52" s="0" t="s">
        <v>250</v>
      </c>
      <c r="I52" s="0" t="s">
        <v>251</v>
      </c>
      <c r="J52" s="0" t="s">
        <v>31</v>
      </c>
      <c r="K52" s="0" t="s">
        <v>33</v>
      </c>
      <c r="L52" s="0" t="s">
        <v>252</v>
      </c>
      <c r="M52" s="0" t="s">
        <v>253</v>
      </c>
    </row>
    <row r="53" customFormat="false" ht="15" hidden="false" customHeight="false" outlineLevel="0" collapsed="false">
      <c r="A53" s="0" t="s">
        <v>254</v>
      </c>
      <c r="B53" s="0" t="s">
        <v>255</v>
      </c>
      <c r="C53" s="4" t="n">
        <v>55049600</v>
      </c>
      <c r="F53" s="0" t="s">
        <v>155</v>
      </c>
      <c r="G53" s="0" t="s">
        <v>33</v>
      </c>
      <c r="H53" s="0" t="s">
        <v>256</v>
      </c>
      <c r="I53" s="0" t="s">
        <v>251</v>
      </c>
      <c r="J53" s="0" t="s">
        <v>31</v>
      </c>
      <c r="K53" s="0" t="s">
        <v>33</v>
      </c>
      <c r="L53" s="0" t="s">
        <v>252</v>
      </c>
      <c r="M53" s="0" t="s">
        <v>253</v>
      </c>
    </row>
    <row r="54" customFormat="false" ht="15" hidden="false" customHeight="false" outlineLevel="0" collapsed="false">
      <c r="A54" s="0" t="s">
        <v>257</v>
      </c>
      <c r="B54" s="0" t="s">
        <v>258</v>
      </c>
      <c r="C54" s="4" t="n">
        <v>6026300</v>
      </c>
      <c r="F54" s="0" t="s">
        <v>155</v>
      </c>
      <c r="G54" s="0" t="s">
        <v>33</v>
      </c>
      <c r="H54" s="0" t="s">
        <v>256</v>
      </c>
      <c r="I54" s="0" t="s">
        <v>251</v>
      </c>
      <c r="J54" s="0" t="s">
        <v>31</v>
      </c>
      <c r="K54" s="0" t="s">
        <v>33</v>
      </c>
      <c r="L54" s="0" t="s">
        <v>252</v>
      </c>
      <c r="M54" s="0" t="s">
        <v>253</v>
      </c>
    </row>
    <row r="55" customFormat="false" ht="15" hidden="false" customHeight="false" outlineLevel="0" collapsed="false">
      <c r="A55" s="0" t="s">
        <v>259</v>
      </c>
      <c r="B55" s="0" t="s">
        <v>260</v>
      </c>
      <c r="C55" s="4" t="n">
        <v>0.138621541501976</v>
      </c>
      <c r="F55" s="0" t="s">
        <v>155</v>
      </c>
      <c r="G55" s="0" t="s">
        <v>33</v>
      </c>
      <c r="H55" s="0" t="s">
        <v>261</v>
      </c>
      <c r="I55" s="0" t="s">
        <v>262</v>
      </c>
      <c r="J55" s="0" t="s">
        <v>31</v>
      </c>
      <c r="K55" s="0" t="s">
        <v>263</v>
      </c>
      <c r="L55" s="0" t="s">
        <v>252</v>
      </c>
      <c r="M55" s="0" t="s">
        <v>264</v>
      </c>
    </row>
    <row r="56" customFormat="false" ht="15" hidden="false" customHeight="false" outlineLevel="0" collapsed="false">
      <c r="A56" s="0" t="s">
        <v>265</v>
      </c>
      <c r="B56" s="0" t="s">
        <v>266</v>
      </c>
      <c r="C56" s="4" t="n">
        <v>2.52822098606627</v>
      </c>
      <c r="F56" s="0" t="s">
        <v>155</v>
      </c>
      <c r="G56" s="0" t="s">
        <v>33</v>
      </c>
      <c r="H56" s="0" t="s">
        <v>267</v>
      </c>
      <c r="I56" s="0" t="s">
        <v>157</v>
      </c>
      <c r="J56" s="0" t="s">
        <v>31</v>
      </c>
      <c r="K56" s="0" t="s">
        <v>268</v>
      </c>
      <c r="L56" s="0" t="s">
        <v>33</v>
      </c>
      <c r="M56" s="0" t="s">
        <v>264</v>
      </c>
    </row>
    <row r="57" customFormat="false" ht="15" hidden="false" customHeight="false" outlineLevel="0" collapsed="false">
      <c r="A57" s="0" t="s">
        <v>269</v>
      </c>
      <c r="B57" s="0" t="s">
        <v>270</v>
      </c>
      <c r="C57" s="4" t="n">
        <v>0.500852514919011</v>
      </c>
      <c r="D57" s="0" t="n">
        <v>0.45</v>
      </c>
      <c r="E57" s="0" t="n">
        <v>0.55</v>
      </c>
      <c r="F57" s="0" t="s">
        <v>71</v>
      </c>
      <c r="G57" s="0" t="s">
        <v>271</v>
      </c>
      <c r="H57" s="0" t="s">
        <v>272</v>
      </c>
      <c r="I57" s="0" t="s">
        <v>273</v>
      </c>
      <c r="J57" s="0" t="s">
        <v>41</v>
      </c>
      <c r="K57" s="0" t="s">
        <v>274</v>
      </c>
      <c r="L57" s="0" t="s">
        <v>252</v>
      </c>
      <c r="M57" s="0" t="s">
        <v>56</v>
      </c>
    </row>
    <row r="58" customFormat="false" ht="15" hidden="false" customHeight="false" outlineLevel="0" collapsed="false">
      <c r="A58" s="0" t="s">
        <v>275</v>
      </c>
      <c r="B58" s="0" t="s">
        <v>276</v>
      </c>
      <c r="C58" s="4" t="n">
        <v>0.42</v>
      </c>
      <c r="D58" s="0" t="n">
        <v>0.33</v>
      </c>
      <c r="E58" s="0" t="n">
        <v>0.465</v>
      </c>
      <c r="F58" s="0" t="s">
        <v>71</v>
      </c>
      <c r="G58" s="0" t="s">
        <v>277</v>
      </c>
      <c r="H58" s="0" t="s">
        <v>278</v>
      </c>
      <c r="I58" s="0" t="s">
        <v>279</v>
      </c>
      <c r="J58" s="0" t="s">
        <v>41</v>
      </c>
      <c r="K58" s="0" t="s">
        <v>280</v>
      </c>
      <c r="L58" s="0" t="s">
        <v>252</v>
      </c>
      <c r="M58" s="0" t="s">
        <v>56</v>
      </c>
    </row>
    <row r="59" customFormat="false" ht="15" hidden="false" customHeight="false" outlineLevel="0" collapsed="false">
      <c r="A59" s="0" t="s">
        <v>281</v>
      </c>
      <c r="B59" s="0" t="s">
        <v>282</v>
      </c>
      <c r="C59" s="4" t="n">
        <v>2055.90661400015</v>
      </c>
      <c r="D59" s="0" t="n">
        <v>1233.54</v>
      </c>
      <c r="E59" s="0" t="n">
        <v>2878.27</v>
      </c>
      <c r="F59" s="0" t="s">
        <v>151</v>
      </c>
      <c r="G59" s="0" t="s">
        <v>283</v>
      </c>
      <c r="H59" s="0" t="s">
        <v>284</v>
      </c>
      <c r="I59" s="0" t="s">
        <v>40</v>
      </c>
      <c r="J59" s="0" t="s">
        <v>41</v>
      </c>
      <c r="K59" s="0" t="s">
        <v>285</v>
      </c>
      <c r="L59" s="0" t="s">
        <v>252</v>
      </c>
      <c r="M59" s="0" t="s">
        <v>166</v>
      </c>
    </row>
    <row r="60" customFormat="false" ht="15" hidden="false" customHeight="false" outlineLevel="0" collapsed="false">
      <c r="A60" s="0" t="s">
        <v>286</v>
      </c>
      <c r="B60" s="0" t="s">
        <v>287</v>
      </c>
      <c r="C60" s="4" t="n">
        <v>20932.190947843</v>
      </c>
      <c r="D60" s="0" t="n">
        <v>16745.75</v>
      </c>
      <c r="E60" s="0" t="n">
        <v>25118.63</v>
      </c>
      <c r="F60" s="0" t="s">
        <v>151</v>
      </c>
      <c r="G60" s="0" t="s">
        <v>205</v>
      </c>
      <c r="H60" s="0" t="s">
        <v>288</v>
      </c>
      <c r="I60" s="0" t="s">
        <v>289</v>
      </c>
      <c r="J60" s="0" t="s">
        <v>41</v>
      </c>
      <c r="K60" s="0" t="s">
        <v>290</v>
      </c>
      <c r="L60" s="0" t="s">
        <v>252</v>
      </c>
      <c r="M60" s="0" t="s">
        <v>291</v>
      </c>
    </row>
    <row r="61" customFormat="false" ht="15" hidden="false" customHeight="false" outlineLevel="0" collapsed="false">
      <c r="A61" s="0" t="s">
        <v>292</v>
      </c>
      <c r="B61" s="0" t="s">
        <v>293</v>
      </c>
      <c r="C61" s="4" t="n">
        <v>23788.7265728103</v>
      </c>
      <c r="D61" s="0" t="n">
        <v>19030.98</v>
      </c>
      <c r="E61" s="0" t="n">
        <v>28546.47</v>
      </c>
      <c r="F61" s="0" t="s">
        <v>151</v>
      </c>
      <c r="G61" s="0" t="s">
        <v>205</v>
      </c>
      <c r="H61" s="0" t="s">
        <v>294</v>
      </c>
      <c r="I61" s="0" t="s">
        <v>289</v>
      </c>
      <c r="J61" s="0" t="s">
        <v>41</v>
      </c>
      <c r="K61" s="0" t="s">
        <v>290</v>
      </c>
      <c r="L61" s="0" t="s">
        <v>252</v>
      </c>
      <c r="M61" s="0" t="s">
        <v>291</v>
      </c>
    </row>
    <row r="62" customFormat="false" ht="15" hidden="false" customHeight="false" outlineLevel="0" collapsed="false">
      <c r="A62" s="0" t="s">
        <v>295</v>
      </c>
      <c r="B62" s="0" t="s">
        <v>296</v>
      </c>
      <c r="C62" s="4" t="n">
        <v>0.798</v>
      </c>
      <c r="D62" s="0" t="n">
        <v>0.75</v>
      </c>
      <c r="E62" s="0" t="n">
        <v>0.85</v>
      </c>
      <c r="F62" s="0" t="s">
        <v>71</v>
      </c>
      <c r="G62" s="0" t="s">
        <v>297</v>
      </c>
      <c r="H62" s="0" t="s">
        <v>298</v>
      </c>
      <c r="I62" s="0" t="s">
        <v>157</v>
      </c>
      <c r="J62" s="0" t="s">
        <v>31</v>
      </c>
      <c r="K62" s="0" t="s">
        <v>33</v>
      </c>
      <c r="L62" s="0" t="s">
        <v>33</v>
      </c>
      <c r="M62" s="0" t="s">
        <v>56</v>
      </c>
    </row>
    <row r="63" customFormat="false" ht="15" hidden="false" customHeight="false" outlineLevel="0" collapsed="false">
      <c r="A63" s="0" t="s">
        <v>299</v>
      </c>
      <c r="B63" s="0" t="s">
        <v>300</v>
      </c>
      <c r="C63" s="4" t="n">
        <v>0.062</v>
      </c>
      <c r="D63" s="0" t="n">
        <v>0.05</v>
      </c>
      <c r="E63" s="0" t="n">
        <v>0.08</v>
      </c>
      <c r="F63" s="0" t="s">
        <v>155</v>
      </c>
      <c r="G63" s="0" t="s">
        <v>33</v>
      </c>
      <c r="H63" s="0" t="s">
        <v>301</v>
      </c>
      <c r="I63" s="0" t="s">
        <v>157</v>
      </c>
      <c r="J63" s="0" t="s">
        <v>31</v>
      </c>
      <c r="K63" s="0" t="s">
        <v>302</v>
      </c>
      <c r="L63" s="0" t="s">
        <v>303</v>
      </c>
      <c r="M63" s="0" t="s">
        <v>56</v>
      </c>
    </row>
    <row r="64" customFormat="false" ht="15" hidden="false" customHeight="false" outlineLevel="0" collapsed="false">
      <c r="A64" s="0" t="s">
        <v>304</v>
      </c>
      <c r="B64" s="0" t="s">
        <v>305</v>
      </c>
      <c r="C64" s="4" t="n">
        <v>106842.72</v>
      </c>
      <c r="F64" s="0" t="s">
        <v>155</v>
      </c>
      <c r="G64" s="0" t="s">
        <v>33</v>
      </c>
      <c r="H64" s="0" t="s">
        <v>306</v>
      </c>
      <c r="I64" s="0" t="s">
        <v>157</v>
      </c>
      <c r="J64" s="0" t="s">
        <v>31</v>
      </c>
      <c r="K64" s="0" t="s">
        <v>307</v>
      </c>
      <c r="L64" s="0" t="s">
        <v>33</v>
      </c>
      <c r="M64" s="0" t="s">
        <v>291</v>
      </c>
    </row>
    <row r="65" customFormat="false" ht="15" hidden="false" customHeight="false" outlineLevel="0" collapsed="false">
      <c r="A65" s="0" t="s">
        <v>308</v>
      </c>
      <c r="B65" s="0" t="s">
        <v>309</v>
      </c>
      <c r="C65" s="4" t="n">
        <v>0.3839</v>
      </c>
      <c r="D65" s="0" t="n">
        <v>0.192</v>
      </c>
      <c r="E65" s="0" t="n">
        <v>0.5759</v>
      </c>
      <c r="F65" s="0" t="s">
        <v>155</v>
      </c>
      <c r="G65" s="0" t="s">
        <v>33</v>
      </c>
      <c r="H65" s="0" t="s">
        <v>310</v>
      </c>
      <c r="I65" s="0" t="s">
        <v>289</v>
      </c>
      <c r="J65" s="0" t="s">
        <v>311</v>
      </c>
      <c r="K65" s="0" t="s">
        <v>312</v>
      </c>
      <c r="L65" s="0" t="s">
        <v>33</v>
      </c>
      <c r="M65" s="0" t="s">
        <v>56</v>
      </c>
    </row>
    <row r="66" customFormat="false" ht="15" hidden="false" customHeight="false" outlineLevel="0" collapsed="false">
      <c r="A66" s="0" t="s">
        <v>313</v>
      </c>
      <c r="B66" s="0" t="s">
        <v>314</v>
      </c>
      <c r="C66" s="4" t="n">
        <v>0.25</v>
      </c>
      <c r="D66" s="0" t="n">
        <v>0.17</v>
      </c>
      <c r="E66" s="0" t="n">
        <v>0.5</v>
      </c>
      <c r="F66" s="0" t="s">
        <v>155</v>
      </c>
      <c r="G66" s="0" t="s">
        <v>33</v>
      </c>
      <c r="H66" s="0" t="s">
        <v>315</v>
      </c>
      <c r="I66" s="0" t="s">
        <v>316</v>
      </c>
      <c r="J66" s="0" t="s">
        <v>75</v>
      </c>
      <c r="K66" s="0" t="s">
        <v>317</v>
      </c>
      <c r="L66" s="0" t="s">
        <v>33</v>
      </c>
      <c r="M66" s="0" t="s">
        <v>318</v>
      </c>
    </row>
    <row r="67" customFormat="false" ht="15" hidden="false" customHeight="false" outlineLevel="0" collapsed="false">
      <c r="A67" s="0" t="s">
        <v>319</v>
      </c>
      <c r="B67" s="0" t="s">
        <v>320</v>
      </c>
      <c r="C67" s="4" t="n">
        <v>0.3164</v>
      </c>
      <c r="F67" s="0" t="s">
        <v>155</v>
      </c>
      <c r="G67" s="0" t="s">
        <v>33</v>
      </c>
      <c r="H67" s="0" t="s">
        <v>321</v>
      </c>
      <c r="I67" s="0" t="s">
        <v>40</v>
      </c>
      <c r="J67" s="0" t="s">
        <v>31</v>
      </c>
      <c r="K67" s="0" t="s">
        <v>322</v>
      </c>
      <c r="L67" s="0" t="s">
        <v>252</v>
      </c>
      <c r="M67" s="0" t="s">
        <v>323</v>
      </c>
    </row>
    <row r="68" customFormat="false" ht="15" hidden="false" customHeight="false" outlineLevel="0" collapsed="false">
      <c r="A68" s="0" t="s">
        <v>324</v>
      </c>
      <c r="B68" s="0" t="s">
        <v>325</v>
      </c>
      <c r="C68" s="4" t="n">
        <v>0.0255</v>
      </c>
      <c r="F68" s="0" t="s">
        <v>155</v>
      </c>
      <c r="G68" s="0" t="s">
        <v>33</v>
      </c>
      <c r="H68" s="0" t="s">
        <v>326</v>
      </c>
      <c r="I68" s="0" t="s">
        <v>40</v>
      </c>
      <c r="J68" s="0" t="s">
        <v>31</v>
      </c>
      <c r="K68" s="0" t="s">
        <v>33</v>
      </c>
      <c r="L68" s="0" t="s">
        <v>327</v>
      </c>
      <c r="M68" s="0" t="s">
        <v>323</v>
      </c>
    </row>
    <row r="69" customFormat="false" ht="15" hidden="false" customHeight="false" outlineLevel="0" collapsed="false">
      <c r="A69" s="0" t="s">
        <v>328</v>
      </c>
      <c r="B69" s="0" t="s">
        <v>329</v>
      </c>
      <c r="C69" s="4" t="n">
        <v>0.077661</v>
      </c>
      <c r="F69" s="0" t="s">
        <v>155</v>
      </c>
      <c r="G69" s="0" t="s">
        <v>33</v>
      </c>
      <c r="H69" s="0" t="s">
        <v>330</v>
      </c>
      <c r="I69" s="0" t="s">
        <v>40</v>
      </c>
      <c r="J69" s="0" t="s">
        <v>31</v>
      </c>
      <c r="K69" s="0" t="s">
        <v>331</v>
      </c>
      <c r="L69" s="0" t="s">
        <v>129</v>
      </c>
      <c r="M69" s="0" t="s">
        <v>323</v>
      </c>
    </row>
    <row r="70" customFormat="false" ht="15" hidden="false" customHeight="false" outlineLevel="0" collapsed="false">
      <c r="A70" s="0" t="s">
        <v>332</v>
      </c>
      <c r="B70" s="0" t="s">
        <v>333</v>
      </c>
      <c r="C70" s="4" t="n">
        <v>0.0664841738450687</v>
      </c>
      <c r="F70" s="0" t="s">
        <v>155</v>
      </c>
      <c r="G70" s="0" t="s">
        <v>33</v>
      </c>
      <c r="H70" s="0" t="s">
        <v>334</v>
      </c>
      <c r="I70" s="0" t="s">
        <v>40</v>
      </c>
      <c r="J70" s="0" t="s">
        <v>41</v>
      </c>
      <c r="K70" s="0" t="s">
        <v>335</v>
      </c>
      <c r="L70" s="0" t="s">
        <v>336</v>
      </c>
      <c r="M70" s="0" t="s">
        <v>323</v>
      </c>
    </row>
    <row r="71" customFormat="false" ht="15" hidden="false" customHeight="false" outlineLevel="0" collapsed="false">
      <c r="A71" s="0" t="s">
        <v>337</v>
      </c>
      <c r="B71" s="0" t="s">
        <v>338</v>
      </c>
      <c r="C71" s="4" t="n">
        <v>0.05</v>
      </c>
      <c r="D71" s="0" t="n">
        <v>0</v>
      </c>
      <c r="E71" s="0" t="n">
        <v>0.05</v>
      </c>
      <c r="F71" s="0" t="s">
        <v>155</v>
      </c>
      <c r="G71" s="0" t="s">
        <v>33</v>
      </c>
      <c r="H71" s="0" t="s">
        <v>339</v>
      </c>
      <c r="I71" s="0" t="s">
        <v>54</v>
      </c>
      <c r="J71" s="0" t="s">
        <v>31</v>
      </c>
      <c r="K71" s="0" t="s">
        <v>33</v>
      </c>
      <c r="L71" s="0" t="s">
        <v>33</v>
      </c>
      <c r="M71" s="0" t="s">
        <v>77</v>
      </c>
    </row>
    <row r="72" customFormat="false" ht="15" hidden="false" customHeight="false" outlineLevel="0" collapsed="false">
      <c r="A72" s="0" t="s">
        <v>340</v>
      </c>
      <c r="B72" s="0" t="s">
        <v>341</v>
      </c>
      <c r="C72" s="4" t="n">
        <v>0.035</v>
      </c>
      <c r="D72" s="0" t="n">
        <v>0</v>
      </c>
      <c r="E72" s="0" t="n">
        <v>0.035</v>
      </c>
      <c r="F72" s="0" t="s">
        <v>155</v>
      </c>
      <c r="G72" s="0" t="s">
        <v>33</v>
      </c>
      <c r="H72" s="0" t="s">
        <v>339</v>
      </c>
      <c r="I72" s="0" t="s">
        <v>54</v>
      </c>
      <c r="J72" s="0" t="s">
        <v>31</v>
      </c>
      <c r="K72" s="0" t="s">
        <v>33</v>
      </c>
      <c r="L72" s="0" t="s">
        <v>33</v>
      </c>
      <c r="M72" s="0" t="s">
        <v>77</v>
      </c>
    </row>
    <row r="73" customFormat="false" ht="15" hidden="false" customHeight="false" outlineLevel="0" collapsed="false">
      <c r="A73" s="0" t="s">
        <v>342</v>
      </c>
      <c r="B73" s="0" t="s">
        <v>343</v>
      </c>
      <c r="C73" s="4" t="n">
        <v>244821</v>
      </c>
      <c r="F73" s="0" t="s">
        <v>155</v>
      </c>
      <c r="G73" s="0" t="s">
        <v>33</v>
      </c>
      <c r="H73" s="0" t="s">
        <v>344</v>
      </c>
      <c r="I73" s="0" t="s">
        <v>40</v>
      </c>
      <c r="J73" s="0" t="s">
        <v>31</v>
      </c>
      <c r="K73" s="0" t="s">
        <v>33</v>
      </c>
      <c r="L73" s="0" t="s">
        <v>33</v>
      </c>
      <c r="M73" s="0" t="s">
        <v>345</v>
      </c>
    </row>
    <row r="74" customFormat="false" ht="15" hidden="false" customHeight="false" outlineLevel="0" collapsed="false">
      <c r="A74" s="0" t="s">
        <v>346</v>
      </c>
      <c r="B74" s="0" t="s">
        <v>347</v>
      </c>
      <c r="C74" s="4" t="n">
        <v>5420</v>
      </c>
      <c r="D74" s="0" t="n">
        <v>3800</v>
      </c>
      <c r="E74" s="0" t="n">
        <v>7000</v>
      </c>
      <c r="F74" s="0" t="s">
        <v>27</v>
      </c>
      <c r="G74" s="0" t="s">
        <v>348</v>
      </c>
      <c r="H74" s="0" t="s">
        <v>349</v>
      </c>
      <c r="I74" s="0" t="s">
        <v>350</v>
      </c>
      <c r="J74" s="0" t="s">
        <v>41</v>
      </c>
      <c r="K74" s="0" t="s">
        <v>351</v>
      </c>
      <c r="L74" s="0" t="s">
        <v>33</v>
      </c>
      <c r="M74" s="0" t="s">
        <v>242</v>
      </c>
    </row>
    <row r="75" customFormat="false" ht="15" hidden="false" customHeight="false" outlineLevel="0" collapsed="false">
      <c r="A75" s="0" t="s">
        <v>352</v>
      </c>
      <c r="B75" s="0" t="s">
        <v>353</v>
      </c>
      <c r="C75" s="4" t="n">
        <v>29</v>
      </c>
      <c r="D75" s="0" t="n">
        <v>25</v>
      </c>
      <c r="E75" s="0" t="n">
        <v>40</v>
      </c>
      <c r="F75" s="0" t="s">
        <v>46</v>
      </c>
      <c r="G75" s="0" t="s">
        <v>33</v>
      </c>
      <c r="H75" s="0" t="s">
        <v>354</v>
      </c>
      <c r="I75" s="0" t="s">
        <v>40</v>
      </c>
      <c r="J75" s="0" t="s">
        <v>41</v>
      </c>
      <c r="K75" s="0" t="s">
        <v>355</v>
      </c>
      <c r="L75" s="0" t="s">
        <v>33</v>
      </c>
      <c r="M75" s="0" t="s">
        <v>43</v>
      </c>
    </row>
    <row r="76" customFormat="false" ht="15" hidden="false" customHeight="false" outlineLevel="0" collapsed="false">
      <c r="A76" s="0" t="s">
        <v>356</v>
      </c>
      <c r="B76" s="0" t="s">
        <v>357</v>
      </c>
      <c r="C76" s="4" t="n">
        <v>0.038</v>
      </c>
      <c r="D76" s="0" t="n">
        <v>0.025</v>
      </c>
      <c r="E76" s="0" t="n">
        <v>0.058</v>
      </c>
      <c r="F76" s="0" t="s">
        <v>197</v>
      </c>
      <c r="G76" s="0" t="s">
        <v>358</v>
      </c>
      <c r="H76" s="0" t="s">
        <v>359</v>
      </c>
      <c r="I76" s="0" t="s">
        <v>222</v>
      </c>
      <c r="J76" s="0" t="s">
        <v>75</v>
      </c>
      <c r="K76" s="0" t="s">
        <v>360</v>
      </c>
      <c r="L76" s="0" t="s">
        <v>33</v>
      </c>
      <c r="M76" s="0" t="s">
        <v>77</v>
      </c>
    </row>
    <row r="77" customFormat="false" ht="15" hidden="false" customHeight="false" outlineLevel="0" collapsed="false">
      <c r="A77" s="0" t="s">
        <v>361</v>
      </c>
      <c r="B77" s="0" t="s">
        <v>362</v>
      </c>
      <c r="C77" s="4" t="n">
        <v>0.032</v>
      </c>
      <c r="D77" s="0" t="n">
        <v>0.02</v>
      </c>
      <c r="E77" s="0" t="n">
        <v>0.1</v>
      </c>
      <c r="F77" s="0" t="s">
        <v>46</v>
      </c>
      <c r="G77" s="0" t="s">
        <v>33</v>
      </c>
      <c r="H77" s="0" t="s">
        <v>363</v>
      </c>
      <c r="I77" s="0" t="s">
        <v>246</v>
      </c>
      <c r="J77" s="0" t="s">
        <v>31</v>
      </c>
      <c r="K77" s="0" t="s">
        <v>364</v>
      </c>
      <c r="L77" s="0" t="s">
        <v>33</v>
      </c>
      <c r="M77" s="0" t="s">
        <v>56</v>
      </c>
    </row>
    <row r="78" customFormat="false" ht="15" hidden="false" customHeight="false" outlineLevel="0" collapsed="false">
      <c r="A78" s="0" t="s">
        <v>365</v>
      </c>
      <c r="B78" s="0" t="s">
        <v>366</v>
      </c>
      <c r="C78" s="4" t="n">
        <v>1590</v>
      </c>
      <c r="D78" s="0" t="n">
        <v>1028</v>
      </c>
      <c r="E78" s="0" t="n">
        <v>2460</v>
      </c>
      <c r="F78" s="0" t="s">
        <v>197</v>
      </c>
      <c r="G78" s="0" t="s">
        <v>367</v>
      </c>
      <c r="H78" s="0" t="s">
        <v>368</v>
      </c>
      <c r="I78" s="0" t="s">
        <v>369</v>
      </c>
      <c r="J78" s="0" t="s">
        <v>41</v>
      </c>
      <c r="K78" s="0" t="s">
        <v>370</v>
      </c>
      <c r="L78" s="0" t="s">
        <v>129</v>
      </c>
      <c r="M78" s="0" t="s">
        <v>34</v>
      </c>
    </row>
    <row r="79" customFormat="false" ht="15" hidden="false" customHeight="false" outlineLevel="0" collapsed="false">
      <c r="A79" s="0" t="s">
        <v>371</v>
      </c>
      <c r="B79" s="0" t="s">
        <v>372</v>
      </c>
      <c r="C79" s="4" t="n">
        <v>2535</v>
      </c>
      <c r="D79" s="0" t="n">
        <v>1992</v>
      </c>
      <c r="E79" s="0" t="n">
        <v>3227</v>
      </c>
      <c r="F79" s="0" t="s">
        <v>373</v>
      </c>
      <c r="G79" s="0" t="s">
        <v>374</v>
      </c>
      <c r="H79" s="0" t="s">
        <v>375</v>
      </c>
      <c r="I79" s="0" t="s">
        <v>246</v>
      </c>
      <c r="J79" s="0" t="s">
        <v>41</v>
      </c>
      <c r="K79" s="0" t="s">
        <v>376</v>
      </c>
      <c r="L79" s="0" t="s">
        <v>129</v>
      </c>
      <c r="M79" s="0" t="s">
        <v>34</v>
      </c>
    </row>
    <row r="80" customFormat="false" ht="15" hidden="false" customHeight="false" outlineLevel="0" collapsed="false">
      <c r="A80" s="0" t="s">
        <v>377</v>
      </c>
      <c r="B80" s="0" t="s">
        <v>378</v>
      </c>
      <c r="C80" s="4" t="n">
        <v>1585</v>
      </c>
      <c r="D80" s="0" t="n">
        <v>792</v>
      </c>
      <c r="E80" s="0" t="n">
        <v>3170</v>
      </c>
      <c r="F80" s="0" t="s">
        <v>197</v>
      </c>
      <c r="G80" s="0" t="s">
        <v>379</v>
      </c>
      <c r="H80" s="0" t="s">
        <v>380</v>
      </c>
      <c r="I80" s="0" t="s">
        <v>350</v>
      </c>
      <c r="J80" s="0" t="s">
        <v>41</v>
      </c>
      <c r="K80" s="0" t="s">
        <v>381</v>
      </c>
      <c r="L80" s="0" t="s">
        <v>129</v>
      </c>
      <c r="M80" s="0" t="s">
        <v>34</v>
      </c>
    </row>
    <row r="81" customFormat="false" ht="15" hidden="false" customHeight="false" outlineLevel="0" collapsed="false">
      <c r="A81" s="0" t="s">
        <v>382</v>
      </c>
      <c r="B81" s="0" t="s">
        <v>383</v>
      </c>
      <c r="C81" s="4" t="n">
        <v>0.5</v>
      </c>
      <c r="D81" s="0" t="n">
        <v>0.3</v>
      </c>
      <c r="E81" s="0" t="n">
        <v>0.574</v>
      </c>
      <c r="F81" s="0" t="s">
        <v>27</v>
      </c>
      <c r="G81" s="0" t="s">
        <v>384</v>
      </c>
      <c r="H81" s="0" t="s">
        <v>385</v>
      </c>
      <c r="I81" s="0" t="s">
        <v>40</v>
      </c>
      <c r="J81" s="0" t="s">
        <v>386</v>
      </c>
      <c r="K81" s="0" t="s">
        <v>387</v>
      </c>
      <c r="L81" s="0" t="s">
        <v>129</v>
      </c>
      <c r="M81" s="0" t="s">
        <v>56</v>
      </c>
    </row>
    <row r="82" customFormat="false" ht="15" hidden="false" customHeight="false" outlineLevel="0" collapsed="false">
      <c r="A82" s="0" t="s">
        <v>388</v>
      </c>
      <c r="B82" s="0" t="s">
        <v>389</v>
      </c>
      <c r="C82" s="4" t="n">
        <v>0.574</v>
      </c>
      <c r="D82" s="0" t="n">
        <v>0.5</v>
      </c>
      <c r="E82" s="0" t="n">
        <v>0.815</v>
      </c>
      <c r="F82" s="0" t="s">
        <v>27</v>
      </c>
      <c r="G82" s="0" t="s">
        <v>390</v>
      </c>
      <c r="H82" s="0" t="s">
        <v>391</v>
      </c>
      <c r="I82" s="0" t="s">
        <v>392</v>
      </c>
      <c r="J82" s="0" t="s">
        <v>75</v>
      </c>
      <c r="K82" s="0" t="s">
        <v>393</v>
      </c>
      <c r="L82" s="0" t="s">
        <v>129</v>
      </c>
      <c r="M82" s="0" t="s">
        <v>56</v>
      </c>
    </row>
    <row r="83" customFormat="false" ht="15" hidden="false" customHeight="false" outlineLevel="0" collapsed="false">
      <c r="A83" s="0" t="s">
        <v>394</v>
      </c>
      <c r="B83" s="0" t="s">
        <v>395</v>
      </c>
      <c r="C83" s="4" t="n">
        <v>0.000625</v>
      </c>
      <c r="F83" s="0" t="s">
        <v>155</v>
      </c>
      <c r="G83" s="0" t="s">
        <v>33</v>
      </c>
      <c r="H83" s="0" t="s">
        <v>396</v>
      </c>
      <c r="I83" s="0" t="s">
        <v>157</v>
      </c>
      <c r="J83" s="0" t="s">
        <v>41</v>
      </c>
      <c r="K83" s="0" t="s">
        <v>397</v>
      </c>
      <c r="L83" s="0" t="s">
        <v>129</v>
      </c>
      <c r="M83" s="0" t="s">
        <v>398</v>
      </c>
    </row>
    <row r="84" customFormat="false" ht="15" hidden="false" customHeight="false" outlineLevel="0" collapsed="false">
      <c r="A84" s="0" t="s">
        <v>399</v>
      </c>
      <c r="B84" s="0" t="s">
        <v>400</v>
      </c>
      <c r="C84" s="4" t="n">
        <v>0.0008</v>
      </c>
      <c r="D84" s="0" t="n">
        <v>0.000625</v>
      </c>
      <c r="E84" s="0" t="n">
        <v>0.0047</v>
      </c>
      <c r="F84" s="0" t="s">
        <v>27</v>
      </c>
      <c r="G84" s="0" t="s">
        <v>401</v>
      </c>
      <c r="H84" s="0" t="s">
        <v>402</v>
      </c>
      <c r="I84" s="0" t="s">
        <v>403</v>
      </c>
      <c r="J84" s="0" t="s">
        <v>31</v>
      </c>
      <c r="K84" s="0" t="s">
        <v>404</v>
      </c>
      <c r="L84" s="0" t="s">
        <v>129</v>
      </c>
      <c r="M84" s="0" t="s">
        <v>398</v>
      </c>
    </row>
    <row r="85" customFormat="false" ht="15" hidden="false" customHeight="false" outlineLevel="0" collapsed="false">
      <c r="A85" s="0" t="s">
        <v>405</v>
      </c>
      <c r="B85" s="0" t="s">
        <v>406</v>
      </c>
      <c r="C85" s="4" t="n">
        <v>0.0026</v>
      </c>
      <c r="D85" s="0" t="n">
        <v>0.0024</v>
      </c>
      <c r="E85" s="0" t="n">
        <v>0.0048</v>
      </c>
      <c r="F85" s="0" t="s">
        <v>27</v>
      </c>
      <c r="G85" s="0" t="s">
        <v>407</v>
      </c>
      <c r="H85" s="0" t="s">
        <v>408</v>
      </c>
      <c r="I85" s="0" t="s">
        <v>409</v>
      </c>
      <c r="J85" s="0" t="s">
        <v>31</v>
      </c>
      <c r="K85" s="0" t="s">
        <v>410</v>
      </c>
      <c r="L85" s="0" t="s">
        <v>129</v>
      </c>
      <c r="M85" s="0" t="s">
        <v>398</v>
      </c>
    </row>
    <row r="86" customFormat="false" ht="15" hidden="false" customHeight="false" outlineLevel="0" collapsed="false">
      <c r="A86" s="0" t="s">
        <v>411</v>
      </c>
      <c r="B86" s="0" t="s">
        <v>412</v>
      </c>
      <c r="C86" s="4" t="n">
        <v>0.156</v>
      </c>
      <c r="D86" s="0" t="n">
        <v>0.1248</v>
      </c>
      <c r="E86" s="0" t="n">
        <v>0.295</v>
      </c>
      <c r="F86" s="0" t="s">
        <v>46</v>
      </c>
      <c r="G86" s="0" t="s">
        <v>33</v>
      </c>
      <c r="H86" s="0" t="s">
        <v>413</v>
      </c>
      <c r="I86" s="0" t="s">
        <v>414</v>
      </c>
      <c r="J86" s="0" t="s">
        <v>31</v>
      </c>
      <c r="K86" s="0" t="s">
        <v>415</v>
      </c>
      <c r="L86" s="0" t="s">
        <v>232</v>
      </c>
      <c r="M86" s="0" t="s">
        <v>398</v>
      </c>
    </row>
    <row r="87" customFormat="false" ht="15" hidden="false" customHeight="false" outlineLevel="0" collapsed="false">
      <c r="A87" s="0" t="s">
        <v>416</v>
      </c>
      <c r="B87" s="0" t="s">
        <v>417</v>
      </c>
      <c r="C87" s="4" t="n">
        <v>10000</v>
      </c>
      <c r="D87" s="0" t="n">
        <v>7000</v>
      </c>
      <c r="E87" s="0" t="n">
        <v>13000</v>
      </c>
      <c r="F87" s="0" t="s">
        <v>46</v>
      </c>
      <c r="G87" s="0" t="s">
        <v>33</v>
      </c>
      <c r="H87" s="0" t="s">
        <v>418</v>
      </c>
      <c r="I87" s="0" t="s">
        <v>350</v>
      </c>
      <c r="J87" s="0" t="s">
        <v>41</v>
      </c>
      <c r="K87" s="0" t="s">
        <v>419</v>
      </c>
      <c r="L87" s="0" t="s">
        <v>232</v>
      </c>
      <c r="M87" s="0" t="s">
        <v>34</v>
      </c>
    </row>
    <row r="88" customFormat="false" ht="15" hidden="false" customHeight="false" outlineLevel="0" collapsed="false">
      <c r="A88" s="0" t="s">
        <v>420</v>
      </c>
      <c r="B88" s="0" t="s">
        <v>421</v>
      </c>
      <c r="C88" s="4" t="n">
        <v>0.2</v>
      </c>
      <c r="D88" s="0" t="n">
        <v>0</v>
      </c>
      <c r="E88" s="0" t="n">
        <v>0.5</v>
      </c>
      <c r="F88" s="0" t="s">
        <v>46</v>
      </c>
      <c r="G88" s="0" t="s">
        <v>33</v>
      </c>
      <c r="H88" s="0" t="s">
        <v>422</v>
      </c>
      <c r="I88" s="0" t="s">
        <v>157</v>
      </c>
      <c r="J88" s="0" t="s">
        <v>311</v>
      </c>
      <c r="K88" s="0" t="s">
        <v>423</v>
      </c>
      <c r="L88" s="0" t="s">
        <v>424</v>
      </c>
      <c r="M88" s="0" t="s">
        <v>56</v>
      </c>
    </row>
    <row r="89" customFormat="false" ht="15" hidden="false" customHeight="false" outlineLevel="0" collapsed="false">
      <c r="A89" s="0" t="s">
        <v>425</v>
      </c>
      <c r="B89" s="0" t="s">
        <v>426</v>
      </c>
      <c r="C89" s="4" t="n">
        <v>10</v>
      </c>
      <c r="D89" s="0" t="n">
        <v>5</v>
      </c>
      <c r="E89" s="0" t="n">
        <v>15</v>
      </c>
      <c r="F89" s="0" t="s">
        <v>155</v>
      </c>
      <c r="G89" s="0" t="s">
        <v>33</v>
      </c>
      <c r="H89" s="0" t="s">
        <v>427</v>
      </c>
      <c r="I89" s="0" t="s">
        <v>157</v>
      </c>
      <c r="J89" s="0" t="s">
        <v>311</v>
      </c>
      <c r="K89" s="0" t="s">
        <v>33</v>
      </c>
      <c r="L89" s="0" t="s">
        <v>33</v>
      </c>
      <c r="M89" s="0" t="s">
        <v>43</v>
      </c>
    </row>
    <row r="90" customFormat="false" ht="15" hidden="false" customHeight="false" outlineLevel="0" collapsed="false">
      <c r="A90" s="0" t="s">
        <v>428</v>
      </c>
      <c r="B90" s="0" t="s">
        <v>429</v>
      </c>
      <c r="C90" s="4" t="n">
        <v>20</v>
      </c>
      <c r="F90" s="0" t="s">
        <v>155</v>
      </c>
      <c r="G90" s="0" t="s">
        <v>33</v>
      </c>
      <c r="H90" s="0" t="s">
        <v>430</v>
      </c>
      <c r="I90" s="0" t="s">
        <v>54</v>
      </c>
      <c r="J90" s="0" t="s">
        <v>311</v>
      </c>
      <c r="K90" s="0" t="s">
        <v>33</v>
      </c>
      <c r="L90" s="0" t="s">
        <v>33</v>
      </c>
      <c r="M90" s="0" t="s">
        <v>43</v>
      </c>
    </row>
    <row r="91" customFormat="false" ht="15" hidden="false" customHeight="false" outlineLevel="0" collapsed="false">
      <c r="A91" s="0" t="s">
        <v>431</v>
      </c>
      <c r="B91" s="0" t="s">
        <v>432</v>
      </c>
      <c r="C91" s="4" t="n">
        <v>0.3714</v>
      </c>
      <c r="D91" s="0" t="n">
        <v>0.2401</v>
      </c>
      <c r="E91" s="0" t="n">
        <v>0.5745</v>
      </c>
      <c r="F91" s="0" t="s">
        <v>197</v>
      </c>
      <c r="G91" s="0" t="s">
        <v>367</v>
      </c>
      <c r="H91" s="0" t="s">
        <v>433</v>
      </c>
      <c r="I91" s="0" t="s">
        <v>157</v>
      </c>
      <c r="J91" s="0" t="s">
        <v>41</v>
      </c>
      <c r="K91" s="0" t="s">
        <v>434</v>
      </c>
      <c r="L91" s="0" t="s">
        <v>33</v>
      </c>
      <c r="M91" s="0" t="s">
        <v>264</v>
      </c>
    </row>
    <row r="92" customFormat="false" ht="15" hidden="false" customHeight="false" outlineLevel="0" collapsed="false">
      <c r="A92" s="0" t="s">
        <v>435</v>
      </c>
      <c r="B92" s="0" t="s">
        <v>436</v>
      </c>
      <c r="C92" s="4" t="n">
        <v>1.2371</v>
      </c>
      <c r="D92" s="0" t="n">
        <v>0.972</v>
      </c>
      <c r="E92" s="0" t="n">
        <v>1.5745</v>
      </c>
      <c r="F92" s="0" t="s">
        <v>197</v>
      </c>
      <c r="G92" s="0" t="s">
        <v>437</v>
      </c>
      <c r="H92" s="0" t="s">
        <v>438</v>
      </c>
      <c r="I92" s="0" t="s">
        <v>246</v>
      </c>
      <c r="J92" s="0" t="s">
        <v>41</v>
      </c>
      <c r="K92" s="0" t="s">
        <v>439</v>
      </c>
      <c r="L92" s="0" t="s">
        <v>33</v>
      </c>
      <c r="M92" s="0" t="s">
        <v>264</v>
      </c>
    </row>
    <row r="93" customFormat="false" ht="15" hidden="false" customHeight="false" outlineLevel="0" collapsed="false">
      <c r="A93" s="0" t="s">
        <v>440</v>
      </c>
      <c r="B93" s="0" t="s">
        <v>441</v>
      </c>
      <c r="C93" s="4" t="n">
        <v>3</v>
      </c>
      <c r="D93" s="0" t="n">
        <v>1</v>
      </c>
      <c r="E93" s="0" t="n">
        <v>5</v>
      </c>
      <c r="F93" s="0" t="s">
        <v>46</v>
      </c>
      <c r="G93" s="0" t="s">
        <v>33</v>
      </c>
      <c r="H93" s="0" t="s">
        <v>442</v>
      </c>
      <c r="I93" s="0" t="s">
        <v>157</v>
      </c>
      <c r="J93" s="0" t="s">
        <v>311</v>
      </c>
      <c r="K93" s="0" t="s">
        <v>443</v>
      </c>
      <c r="L93" s="0" t="s">
        <v>33</v>
      </c>
      <c r="M93" s="0" t="s">
        <v>43</v>
      </c>
    </row>
    <row r="94" customFormat="false" ht="15" hidden="false" customHeight="false" outlineLevel="0" collapsed="false">
      <c r="A94" s="0" t="s">
        <v>444</v>
      </c>
      <c r="B94" s="0" t="s">
        <v>445</v>
      </c>
      <c r="C94" s="4" t="n">
        <v>12171</v>
      </c>
      <c r="F94" s="0" t="s">
        <v>155</v>
      </c>
      <c r="G94" s="0" t="s">
        <v>33</v>
      </c>
      <c r="H94" s="0" t="s">
        <v>446</v>
      </c>
      <c r="I94" s="0" t="s">
        <v>91</v>
      </c>
      <c r="J94" s="0" t="s">
        <v>31</v>
      </c>
      <c r="K94" s="0" t="s">
        <v>33</v>
      </c>
      <c r="L94" s="0" t="s">
        <v>129</v>
      </c>
      <c r="M94" s="0" t="s">
        <v>242</v>
      </c>
    </row>
    <row r="95" customFormat="false" ht="15" hidden="false" customHeight="false" outlineLevel="0" collapsed="false">
      <c r="A95" s="0" t="s">
        <v>447</v>
      </c>
      <c r="B95" s="0" t="s">
        <v>448</v>
      </c>
      <c r="C95" s="4" t="n">
        <v>915</v>
      </c>
      <c r="F95" s="0" t="s">
        <v>155</v>
      </c>
      <c r="G95" s="0" t="s">
        <v>33</v>
      </c>
      <c r="H95" s="0" t="s">
        <v>449</v>
      </c>
      <c r="I95" s="0" t="s">
        <v>40</v>
      </c>
      <c r="J95" s="0" t="s">
        <v>31</v>
      </c>
      <c r="K95" s="0" t="s">
        <v>450</v>
      </c>
      <c r="L95" s="0" t="s">
        <v>33</v>
      </c>
      <c r="M95" s="0" t="s">
        <v>34</v>
      </c>
    </row>
    <row r="96" customFormat="false" ht="15" hidden="false" customHeight="false" outlineLevel="0" collapsed="false">
      <c r="A96" s="0" t="s">
        <v>451</v>
      </c>
      <c r="B96" s="0" t="s">
        <v>452</v>
      </c>
      <c r="C96" s="4" t="n">
        <v>2339</v>
      </c>
      <c r="F96" s="0" t="s">
        <v>155</v>
      </c>
      <c r="G96" s="0" t="s">
        <v>33</v>
      </c>
      <c r="H96" s="0" t="s">
        <v>449</v>
      </c>
      <c r="I96" s="0" t="s">
        <v>40</v>
      </c>
      <c r="J96" s="0" t="s">
        <v>31</v>
      </c>
      <c r="K96" s="0" t="s">
        <v>450</v>
      </c>
      <c r="L96" s="0" t="s">
        <v>33</v>
      </c>
      <c r="M96" s="0" t="s">
        <v>34</v>
      </c>
    </row>
    <row r="97" customFormat="false" ht="15" hidden="false" customHeight="false" outlineLevel="0" collapsed="false">
      <c r="A97" s="0" t="s">
        <v>453</v>
      </c>
      <c r="B97" s="0" t="s">
        <v>454</v>
      </c>
      <c r="C97" s="4" t="n">
        <v>1478</v>
      </c>
      <c r="F97" s="0" t="s">
        <v>155</v>
      </c>
      <c r="G97" s="0" t="s">
        <v>33</v>
      </c>
      <c r="H97" s="0" t="s">
        <v>449</v>
      </c>
      <c r="I97" s="0" t="s">
        <v>40</v>
      </c>
      <c r="J97" s="0" t="s">
        <v>31</v>
      </c>
      <c r="K97" s="0" t="s">
        <v>450</v>
      </c>
      <c r="L97" s="0" t="s">
        <v>33</v>
      </c>
      <c r="M97" s="0" t="s">
        <v>34</v>
      </c>
    </row>
    <row r="98" customFormat="false" ht="15" hidden="false" customHeight="false" outlineLevel="0" collapsed="false">
      <c r="A98" s="0" t="s">
        <v>455</v>
      </c>
      <c r="B98" s="0" t="s">
        <v>456</v>
      </c>
      <c r="C98" s="4" t="n">
        <v>111</v>
      </c>
      <c r="F98" s="0" t="s">
        <v>155</v>
      </c>
      <c r="G98" s="0" t="s">
        <v>33</v>
      </c>
      <c r="H98" s="0" t="s">
        <v>449</v>
      </c>
      <c r="I98" s="0" t="s">
        <v>40</v>
      </c>
      <c r="J98" s="0" t="s">
        <v>31</v>
      </c>
      <c r="K98" s="0" t="s">
        <v>450</v>
      </c>
      <c r="L98" s="0" t="s">
        <v>33</v>
      </c>
      <c r="M98" s="0" t="s">
        <v>34</v>
      </c>
    </row>
    <row r="99" customFormat="false" ht="15" hidden="false" customHeight="false" outlineLevel="0" collapsed="false">
      <c r="A99" s="0" t="s">
        <v>457</v>
      </c>
      <c r="B99" s="0" t="s">
        <v>458</v>
      </c>
      <c r="C99" s="4" t="n">
        <v>0.062</v>
      </c>
      <c r="D99" s="0" t="n">
        <v>0.043</v>
      </c>
      <c r="E99" s="0" t="n">
        <v>0.09</v>
      </c>
      <c r="F99" s="0" t="s">
        <v>197</v>
      </c>
      <c r="G99" s="0" t="s">
        <v>459</v>
      </c>
      <c r="H99" s="0" t="s">
        <v>460</v>
      </c>
      <c r="I99" s="0" t="s">
        <v>222</v>
      </c>
      <c r="J99" s="0" t="s">
        <v>75</v>
      </c>
      <c r="K99" s="0" t="s">
        <v>461</v>
      </c>
      <c r="L99" s="0" t="s">
        <v>33</v>
      </c>
      <c r="M99" s="0" t="s">
        <v>77</v>
      </c>
    </row>
    <row r="100" customFormat="false" ht="15" hidden="false" customHeight="false" outlineLevel="0" collapsed="false">
      <c r="A100" s="0" t="s">
        <v>462</v>
      </c>
      <c r="B100" s="0" t="s">
        <v>463</v>
      </c>
      <c r="C100" s="4" t="n">
        <v>14.68</v>
      </c>
      <c r="D100" s="0" t="n">
        <v>13.01</v>
      </c>
      <c r="E100" s="0" t="n">
        <v>16.35</v>
      </c>
      <c r="F100" s="0" t="s">
        <v>46</v>
      </c>
      <c r="G100" s="0" t="s">
        <v>33</v>
      </c>
      <c r="H100" s="0" t="s">
        <v>464</v>
      </c>
      <c r="I100" s="0" t="s">
        <v>350</v>
      </c>
      <c r="J100" s="0" t="s">
        <v>75</v>
      </c>
      <c r="K100" s="0" t="s">
        <v>465</v>
      </c>
      <c r="L100" s="0" t="s">
        <v>33</v>
      </c>
      <c r="M100" s="0" t="s">
        <v>264</v>
      </c>
    </row>
    <row r="101" customFormat="false" ht="15" hidden="false" customHeight="false" outlineLevel="0" collapsed="false">
      <c r="A101" s="0" t="s">
        <v>466</v>
      </c>
      <c r="B101" s="0" t="s">
        <v>467</v>
      </c>
      <c r="C101" s="4" t="n">
        <v>47540.5716184696</v>
      </c>
      <c r="D101" s="0" t="n">
        <v>38032.457295</v>
      </c>
      <c r="E101" s="0" t="n">
        <v>57048.685942</v>
      </c>
      <c r="F101" s="0" t="s">
        <v>151</v>
      </c>
      <c r="G101" s="0" t="s">
        <v>205</v>
      </c>
      <c r="H101" s="0" t="s">
        <v>468</v>
      </c>
      <c r="I101" s="0" t="s">
        <v>164</v>
      </c>
      <c r="J101" s="0" t="s">
        <v>41</v>
      </c>
      <c r="K101" s="0" t="s">
        <v>469</v>
      </c>
      <c r="L101" s="0" t="s">
        <v>129</v>
      </c>
      <c r="M101" s="0" t="s">
        <v>291</v>
      </c>
    </row>
    <row r="102" customFormat="false" ht="15" hidden="false" customHeight="false" outlineLevel="0" collapsed="false">
      <c r="A102" s="0" t="s">
        <v>470</v>
      </c>
      <c r="B102" s="0" t="s">
        <v>471</v>
      </c>
      <c r="C102" s="4" t="n">
        <v>1.77952905207217</v>
      </c>
      <c r="F102" s="0" t="s">
        <v>155</v>
      </c>
      <c r="G102" s="0" t="s">
        <v>33</v>
      </c>
      <c r="H102" s="0" t="s">
        <v>472</v>
      </c>
      <c r="I102" s="0" t="s">
        <v>40</v>
      </c>
      <c r="J102" s="0" t="s">
        <v>31</v>
      </c>
      <c r="K102" s="0" t="s">
        <v>473</v>
      </c>
      <c r="L102" s="0" t="s">
        <v>33</v>
      </c>
      <c r="M102" s="0" t="s">
        <v>264</v>
      </c>
    </row>
    <row r="103" customFormat="false" ht="15" hidden="false" customHeight="false" outlineLevel="0" collapsed="false">
      <c r="A103" s="0" t="s">
        <v>474</v>
      </c>
      <c r="B103" s="0" t="s">
        <v>475</v>
      </c>
      <c r="C103" s="4" t="n">
        <v>4029</v>
      </c>
      <c r="D103" s="0" t="n">
        <v>3525</v>
      </c>
      <c r="E103" s="0" t="n">
        <v>4944</v>
      </c>
      <c r="F103" s="0" t="s">
        <v>46</v>
      </c>
      <c r="G103" s="0" t="s">
        <v>33</v>
      </c>
      <c r="H103" s="0" t="s">
        <v>476</v>
      </c>
      <c r="I103" s="0" t="s">
        <v>477</v>
      </c>
      <c r="J103" s="0" t="s">
        <v>31</v>
      </c>
      <c r="K103" s="0" t="s">
        <v>478</v>
      </c>
      <c r="L103" s="0" t="s">
        <v>129</v>
      </c>
      <c r="M103" s="0" t="s">
        <v>242</v>
      </c>
    </row>
    <row r="104" customFormat="false" ht="15" hidden="false" customHeight="false" outlineLevel="0" collapsed="false">
      <c r="A104" s="0" t="s">
        <v>479</v>
      </c>
      <c r="B104" s="0" t="s">
        <v>480</v>
      </c>
      <c r="C104" s="4" t="n">
        <v>0.53972602739726</v>
      </c>
      <c r="D104" s="0" t="n">
        <v>0.147945</v>
      </c>
      <c r="E104" s="0" t="n">
        <v>1.60274</v>
      </c>
      <c r="F104" s="0" t="s">
        <v>46</v>
      </c>
      <c r="G104" s="0" t="s">
        <v>33</v>
      </c>
      <c r="H104" s="0" t="s">
        <v>481</v>
      </c>
      <c r="I104" s="0" t="s">
        <v>157</v>
      </c>
      <c r="J104" s="0" t="s">
        <v>31</v>
      </c>
      <c r="K104" s="0" t="s">
        <v>482</v>
      </c>
      <c r="L104" s="0" t="s">
        <v>129</v>
      </c>
      <c r="M104" s="0" t="s">
        <v>43</v>
      </c>
    </row>
    <row r="105" customFormat="false" ht="15" hidden="false" customHeight="false" outlineLevel="0" collapsed="false">
      <c r="A105" s="0" t="s">
        <v>483</v>
      </c>
      <c r="B105" s="0" t="s">
        <v>484</v>
      </c>
      <c r="C105" s="4" t="n">
        <v>0</v>
      </c>
      <c r="D105" s="0" t="n">
        <v>0</v>
      </c>
      <c r="E105" s="0" t="n">
        <v>10000</v>
      </c>
      <c r="F105" s="0" t="s">
        <v>46</v>
      </c>
      <c r="G105" s="0" t="s">
        <v>33</v>
      </c>
      <c r="H105" s="0" t="s">
        <v>485</v>
      </c>
      <c r="I105" s="0" t="s">
        <v>40</v>
      </c>
      <c r="J105" s="0" t="s">
        <v>41</v>
      </c>
      <c r="K105" s="0" t="s">
        <v>486</v>
      </c>
      <c r="L105" s="0" t="s">
        <v>129</v>
      </c>
      <c r="M105" s="0" t="s">
        <v>34</v>
      </c>
    </row>
    <row r="106" customFormat="false" ht="15" hidden="false" customHeight="false" outlineLevel="0" collapsed="false">
      <c r="A106" s="0" t="s">
        <v>487</v>
      </c>
      <c r="B106" s="0" t="s">
        <v>488</v>
      </c>
      <c r="C106" s="4" t="n">
        <v>0</v>
      </c>
      <c r="F106" s="0" t="s">
        <v>155</v>
      </c>
      <c r="G106" s="0" t="s">
        <v>33</v>
      </c>
      <c r="H106" s="0" t="s">
        <v>489</v>
      </c>
      <c r="I106" s="0" t="s">
        <v>157</v>
      </c>
      <c r="J106" s="0" t="s">
        <v>311</v>
      </c>
      <c r="K106" s="0" t="s">
        <v>490</v>
      </c>
      <c r="L106" s="0" t="s">
        <v>33</v>
      </c>
      <c r="M106" s="0" t="s">
        <v>491</v>
      </c>
    </row>
    <row r="107" customFormat="false" ht="15" hidden="false" customHeight="false" outlineLevel="0" collapsed="false">
      <c r="A107" s="0" t="s">
        <v>492</v>
      </c>
      <c r="B107" s="0" t="s">
        <v>493</v>
      </c>
      <c r="C107" s="4" t="n">
        <v>1</v>
      </c>
      <c r="F107" s="0" t="s">
        <v>155</v>
      </c>
      <c r="G107" s="0" t="s">
        <v>33</v>
      </c>
      <c r="H107" s="0" t="s">
        <v>494</v>
      </c>
      <c r="I107" s="0" t="s">
        <v>495</v>
      </c>
      <c r="J107" s="0" t="s">
        <v>311</v>
      </c>
      <c r="K107" s="0" t="s">
        <v>496</v>
      </c>
      <c r="L107" s="0" t="s">
        <v>33</v>
      </c>
      <c r="M107" s="0" t="s">
        <v>491</v>
      </c>
    </row>
    <row r="108" customFormat="false" ht="15" hidden="false" customHeight="false" outlineLevel="0" collapsed="false">
      <c r="A108" s="0" t="s">
        <v>497</v>
      </c>
      <c r="B108" s="0" t="s">
        <v>498</v>
      </c>
      <c r="C108" s="4" t="n">
        <v>10.0348409343855</v>
      </c>
      <c r="F108" s="0" t="s">
        <v>155</v>
      </c>
      <c r="G108" s="0" t="s">
        <v>33</v>
      </c>
      <c r="H108" s="0" t="s">
        <v>499</v>
      </c>
      <c r="I108" s="0" t="s">
        <v>40</v>
      </c>
      <c r="J108" s="0" t="s">
        <v>41</v>
      </c>
      <c r="K108" s="0" t="s">
        <v>500</v>
      </c>
      <c r="L108" s="0" t="s">
        <v>252</v>
      </c>
      <c r="M108" s="0" t="s">
        <v>501</v>
      </c>
    </row>
    <row r="109" customFormat="false" ht="15" hidden="false" customHeight="false" outlineLevel="0" collapsed="false">
      <c r="A109" s="0" t="s">
        <v>502</v>
      </c>
      <c r="B109" s="0" t="s">
        <v>503</v>
      </c>
      <c r="C109" s="4" t="n">
        <v>2006.9339578678</v>
      </c>
      <c r="D109" s="0" t="n">
        <v>938.91</v>
      </c>
      <c r="E109" s="0" t="n">
        <v>4289.87</v>
      </c>
      <c r="F109" s="0" t="s">
        <v>151</v>
      </c>
      <c r="G109" s="0" t="s">
        <v>283</v>
      </c>
      <c r="H109" s="0" t="s">
        <v>504</v>
      </c>
      <c r="I109" s="0" t="s">
        <v>505</v>
      </c>
      <c r="J109" s="0" t="s">
        <v>75</v>
      </c>
      <c r="K109" s="0" t="s">
        <v>506</v>
      </c>
      <c r="L109" s="0" t="s">
        <v>424</v>
      </c>
      <c r="M109" s="0" t="s">
        <v>507</v>
      </c>
    </row>
    <row r="110" customFormat="false" ht="15" hidden="false" customHeight="false" outlineLevel="0" collapsed="false">
      <c r="A110" s="0" t="s">
        <v>508</v>
      </c>
      <c r="B110" s="0" t="s">
        <v>509</v>
      </c>
      <c r="C110" s="4" t="n">
        <v>1223620.54528</v>
      </c>
      <c r="D110" s="0" t="n">
        <v>611810.27264</v>
      </c>
      <c r="E110" s="0" t="n">
        <v>2447241.09056</v>
      </c>
      <c r="F110" s="0" t="s">
        <v>46</v>
      </c>
      <c r="G110" s="0" t="s">
        <v>33</v>
      </c>
      <c r="H110" s="0" t="s">
        <v>510</v>
      </c>
      <c r="I110" s="0" t="s">
        <v>40</v>
      </c>
      <c r="J110" s="0" t="s">
        <v>311</v>
      </c>
      <c r="K110" s="0" t="s">
        <v>511</v>
      </c>
      <c r="L110" s="0" t="s">
        <v>512</v>
      </c>
      <c r="M110" s="0" t="s">
        <v>291</v>
      </c>
    </row>
    <row r="111" customFormat="false" ht="15" hidden="false" customHeight="false" outlineLevel="0" collapsed="false">
      <c r="A111" s="0" t="s">
        <v>513</v>
      </c>
      <c r="B111" s="0" t="s">
        <v>514</v>
      </c>
      <c r="C111" s="4" t="n">
        <v>0</v>
      </c>
      <c r="D111" s="0" t="n">
        <v>-0.05</v>
      </c>
      <c r="E111" s="0" t="n">
        <v>0</v>
      </c>
      <c r="F111" s="0" t="s">
        <v>46</v>
      </c>
      <c r="G111" s="0" t="s">
        <v>33</v>
      </c>
      <c r="H111" s="0" t="s">
        <v>515</v>
      </c>
      <c r="I111" s="0" t="s">
        <v>157</v>
      </c>
      <c r="J111" s="0" t="s">
        <v>311</v>
      </c>
      <c r="K111" s="0" t="s">
        <v>516</v>
      </c>
      <c r="L111" s="0" t="s">
        <v>33</v>
      </c>
      <c r="M111" s="0" t="s">
        <v>77</v>
      </c>
    </row>
    <row r="112" customFormat="false" ht="15" hidden="false" customHeight="false" outlineLevel="0" collapsed="false">
      <c r="A112" s="0" t="s">
        <v>517</v>
      </c>
      <c r="B112" s="0" t="s">
        <v>518</v>
      </c>
      <c r="C112" s="4" t="n">
        <v>0.204</v>
      </c>
      <c r="D112" s="0" t="n">
        <v>0.155</v>
      </c>
      <c r="E112" s="0" t="n">
        <v>0.42</v>
      </c>
      <c r="F112" s="0" t="s">
        <v>27</v>
      </c>
      <c r="G112" s="0" t="s">
        <v>519</v>
      </c>
      <c r="H112" s="0" t="s">
        <v>520</v>
      </c>
      <c r="I112" s="0" t="s">
        <v>91</v>
      </c>
      <c r="J112" s="0" t="s">
        <v>75</v>
      </c>
      <c r="K112" s="0" t="s">
        <v>521</v>
      </c>
      <c r="L112" s="0" t="s">
        <v>252</v>
      </c>
      <c r="M112" s="0" t="s">
        <v>56</v>
      </c>
    </row>
    <row r="113" customFormat="false" ht="15" hidden="false" customHeight="false" outlineLevel="0" collapsed="false">
      <c r="A113" s="0" t="s">
        <v>522</v>
      </c>
      <c r="B113" s="0" t="s">
        <v>523</v>
      </c>
      <c r="C113" s="4" t="n">
        <v>0.008</v>
      </c>
      <c r="D113" s="0" t="n">
        <v>0.0047</v>
      </c>
      <c r="E113" s="0" t="n">
        <v>0.0113</v>
      </c>
      <c r="F113" s="0" t="s">
        <v>71</v>
      </c>
      <c r="G113" s="0" t="s">
        <v>524</v>
      </c>
      <c r="H113" s="0" t="s">
        <v>525</v>
      </c>
      <c r="I113" s="0" t="s">
        <v>526</v>
      </c>
      <c r="J113" s="0" t="s">
        <v>75</v>
      </c>
      <c r="K113" s="0" t="s">
        <v>527</v>
      </c>
      <c r="L113" s="0" t="s">
        <v>33</v>
      </c>
      <c r="M113" s="0" t="s">
        <v>77</v>
      </c>
    </row>
    <row r="114" customFormat="false" ht="15" hidden="false" customHeight="false" outlineLevel="0" collapsed="false">
      <c r="A114" s="0" t="s">
        <v>528</v>
      </c>
      <c r="B114" s="0" t="s">
        <v>529</v>
      </c>
      <c r="C114" s="4" t="n">
        <v>1</v>
      </c>
      <c r="D114" s="0" t="n">
        <v>0.714</v>
      </c>
      <c r="E114" s="0" t="n">
        <v>1</v>
      </c>
      <c r="F114" s="0" t="s">
        <v>46</v>
      </c>
      <c r="G114" s="0" t="s">
        <v>33</v>
      </c>
      <c r="H114" s="0" t="s">
        <v>530</v>
      </c>
      <c r="I114" s="0" t="s">
        <v>74</v>
      </c>
      <c r="J114" s="0" t="s">
        <v>75</v>
      </c>
      <c r="K114" s="0" t="s">
        <v>531</v>
      </c>
      <c r="L114" s="0" t="s">
        <v>33</v>
      </c>
      <c r="M114" s="0" t="s">
        <v>264</v>
      </c>
    </row>
    <row r="115" customFormat="false" ht="15" hidden="false" customHeight="false" outlineLevel="0" collapsed="false">
      <c r="A115" s="0" t="s">
        <v>532</v>
      </c>
      <c r="B115" s="0" t="s">
        <v>533</v>
      </c>
      <c r="C115" s="4" t="n">
        <v>204.876851306667</v>
      </c>
      <c r="F115" s="0" t="s">
        <v>155</v>
      </c>
      <c r="G115" s="0" t="s">
        <v>33</v>
      </c>
      <c r="H115" s="0" t="s">
        <v>534</v>
      </c>
      <c r="I115" s="0" t="s">
        <v>40</v>
      </c>
      <c r="J115" s="0" t="s">
        <v>31</v>
      </c>
      <c r="K115" s="0" t="s">
        <v>535</v>
      </c>
      <c r="L115" s="0" t="s">
        <v>252</v>
      </c>
      <c r="M115" s="0" t="s">
        <v>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50"/>
  </cols>
  <sheetData>
    <row r="1" customFormat="false" ht="15" hidden="false" customHeight="false" outlineLevel="0" collapsed="false">
      <c r="A1" s="3" t="s">
        <v>13</v>
      </c>
      <c r="B1" s="3" t="s">
        <v>537</v>
      </c>
      <c r="C1" s="3" t="s">
        <v>538</v>
      </c>
    </row>
    <row r="2" customFormat="false" ht="15" hidden="false" customHeight="false" outlineLevel="0" collapsed="false">
      <c r="A2" s="0" t="s">
        <v>539</v>
      </c>
      <c r="B2" s="4" t="n">
        <v>0.05</v>
      </c>
      <c r="C2" s="0" t="s">
        <v>540</v>
      </c>
    </row>
    <row r="3" customFormat="false" ht="15" hidden="false" customHeight="false" outlineLevel="0" collapsed="false">
      <c r="A3" s="0" t="s">
        <v>541</v>
      </c>
      <c r="B3" s="4" t="n">
        <v>0.035</v>
      </c>
      <c r="C3" s="0" t="s">
        <v>542</v>
      </c>
    </row>
    <row r="4" customFormat="false" ht="15" hidden="false" customHeight="false" outlineLevel="0" collapsed="false">
      <c r="A4" s="0" t="s">
        <v>543</v>
      </c>
      <c r="B4" s="4" t="n">
        <v>20</v>
      </c>
      <c r="C4" s="0" t="s">
        <v>544</v>
      </c>
    </row>
    <row r="5" customFormat="false" ht="15" hidden="false" customHeight="false" outlineLevel="0" collapsed="false">
      <c r="A5" s="0" t="s">
        <v>545</v>
      </c>
      <c r="B5" s="4" t="n">
        <v>0</v>
      </c>
      <c r="C5" s="0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547</v>
      </c>
    </row>
    <row r="2" customFormat="false" ht="28.35" hidden="false" customHeight="false" outlineLevel="0" collapsed="false">
      <c r="A2" s="3" t="s">
        <v>318</v>
      </c>
      <c r="B2" s="3" t="s">
        <v>548</v>
      </c>
      <c r="C2" s="3" t="s">
        <v>549</v>
      </c>
      <c r="D2" s="3" t="s">
        <v>550</v>
      </c>
      <c r="E2" s="3" t="s">
        <v>551</v>
      </c>
      <c r="F2" s="3" t="s">
        <v>552</v>
      </c>
      <c r="G2" s="3" t="s">
        <v>553</v>
      </c>
      <c r="H2" s="3" t="s">
        <v>554</v>
      </c>
      <c r="I2" s="3" t="s">
        <v>555</v>
      </c>
      <c r="J2" s="3" t="s">
        <v>556</v>
      </c>
      <c r="K2" s="3" t="s">
        <v>557</v>
      </c>
      <c r="L2" s="3" t="s">
        <v>558</v>
      </c>
      <c r="M2" s="3" t="s">
        <v>559</v>
      </c>
      <c r="N2" s="3" t="s">
        <v>560</v>
      </c>
      <c r="O2" s="3" t="s">
        <v>561</v>
      </c>
      <c r="P2" s="3" t="s">
        <v>562</v>
      </c>
      <c r="Q2" s="3" t="s">
        <v>563</v>
      </c>
      <c r="R2" s="3" t="s">
        <v>564</v>
      </c>
      <c r="S2" s="3" t="s">
        <v>565</v>
      </c>
      <c r="T2" s="3" t="s">
        <v>566</v>
      </c>
      <c r="U2" s="3" t="s">
        <v>567</v>
      </c>
      <c r="V2" s="3" t="s">
        <v>568</v>
      </c>
      <c r="W2" s="3" t="s">
        <v>569</v>
      </c>
      <c r="X2" s="3" t="s">
        <v>570</v>
      </c>
      <c r="Y2" s="3" t="s">
        <v>571</v>
      </c>
      <c r="Z2" s="3" t="s">
        <v>572</v>
      </c>
      <c r="AA2" s="3" t="s">
        <v>573</v>
      </c>
      <c r="AB2" s="3" t="s">
        <v>574</v>
      </c>
      <c r="AC2" s="3" t="s">
        <v>575</v>
      </c>
      <c r="AD2" s="3" t="s">
        <v>576</v>
      </c>
      <c r="AE2" s="3" t="s">
        <v>577</v>
      </c>
      <c r="AF2" s="3" t="s">
        <v>578</v>
      </c>
      <c r="AG2" s="3" t="s">
        <v>579</v>
      </c>
      <c r="AH2" s="3" t="s">
        <v>252</v>
      </c>
      <c r="AI2" s="3" t="s">
        <v>303</v>
      </c>
      <c r="AJ2" s="3" t="s">
        <v>580</v>
      </c>
      <c r="AK2" s="3" t="s">
        <v>581</v>
      </c>
      <c r="AL2" s="3" t="s">
        <v>582</v>
      </c>
      <c r="AM2" s="3" t="s">
        <v>583</v>
      </c>
      <c r="AN2" s="3" t="s">
        <v>584</v>
      </c>
      <c r="AO2" s="3" t="s">
        <v>129</v>
      </c>
      <c r="AP2" s="3" t="s">
        <v>585</v>
      </c>
      <c r="AQ2" s="3" t="s">
        <v>586</v>
      </c>
      <c r="AR2" s="3" t="s">
        <v>587</v>
      </c>
      <c r="AS2" s="3" t="s">
        <v>588</v>
      </c>
    </row>
    <row r="3" customFormat="false" ht="15" hidden="false" customHeight="false" outlineLevel="0" collapsed="false">
      <c r="A3" s="0" t="n">
        <v>2026</v>
      </c>
      <c r="B3" s="0" t="n">
        <v>0</v>
      </c>
      <c r="C3" s="0" t="n">
        <v>4832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2320.855</v>
      </c>
      <c r="I3" s="0" t="n">
        <v>208.058</v>
      </c>
      <c r="J3" s="0" t="n">
        <v>1579.412</v>
      </c>
      <c r="K3" s="0" t="n">
        <v>2524.99</v>
      </c>
      <c r="L3" s="0" t="n">
        <v>1540.438</v>
      </c>
      <c r="M3" s="0" t="n">
        <v>6431.679</v>
      </c>
      <c r="N3" s="0" t="n">
        <v>567.81</v>
      </c>
      <c r="O3" s="0" t="n">
        <v>89.046</v>
      </c>
      <c r="P3" s="0" t="n">
        <v>44.523</v>
      </c>
      <c r="Q3" s="0" t="n">
        <v>2134.761</v>
      </c>
      <c r="R3" s="0" t="n">
        <v>1703.413</v>
      </c>
      <c r="S3" s="0" t="n">
        <v>312.377</v>
      </c>
      <c r="T3" s="0" t="n">
        <v>2528.914</v>
      </c>
      <c r="U3" s="0" t="n">
        <v>1400.363</v>
      </c>
      <c r="V3" s="0" t="n">
        <v>113392.923</v>
      </c>
      <c r="W3" s="0" t="n">
        <v>265.86</v>
      </c>
      <c r="X3" s="0" t="n">
        <v>711.886</v>
      </c>
      <c r="Y3" s="0" t="n">
        <v>89.046</v>
      </c>
      <c r="Z3" s="0" t="n">
        <v>922.327</v>
      </c>
      <c r="AA3" s="0" t="n">
        <f aca="false">H3*x_c_F+I3*x_c_CC+J3*x_c_DC+K3*x_c_HCC+L3*x_c_PLT+M3*x_c_SVRn+N3*x_c_SVRcc+O3*x_c_LT+P3*x_c_LT1</f>
        <v>282405022.672624</v>
      </c>
      <c r="AB3" s="0" t="n">
        <f aca="false">C3*x_c_DAA</f>
        <v>109976320</v>
      </c>
      <c r="AC3" s="0" t="n">
        <f aca="false">C3*x_c_MON</f>
        <v>27857107.6100244</v>
      </c>
      <c r="AD3" s="0" t="n">
        <f aca="false">D3*(1-x_testy)</f>
        <v>0</v>
      </c>
      <c r="AE3" s="0" t="n">
        <f aca="false">E3*(1-x_testy)</f>
        <v>0</v>
      </c>
      <c r="AF3" s="0" t="n">
        <f aca="false">F3*x_NAV</f>
        <v>0</v>
      </c>
      <c r="AG3" s="0" t="n">
        <f aca="false">G3*x_FIX*(1-x_testy)</f>
        <v>0</v>
      </c>
      <c r="AH3" s="0" t="n">
        <f aca="false">x_z_F*U3+(1-x_AGRI)*x_EMP*x_WLOSS*(x_PEN_K74*Q3+x_PEN_C22*R3)</f>
        <v>27364031.7614726</v>
      </c>
      <c r="AI3" s="0" t="n">
        <f aca="false">x_AGRI*x_EMP*x_WLOSS*(x_PEN_K74*Q3+x_PEN_C22*R3)</f>
        <v>1618412.58516187</v>
      </c>
      <c r="AJ3" s="0" t="n">
        <f aca="false">x_EMP*x_WAGE*(x_WLOSS*(Q3+R3)+S3)+U3*x_ABS_D*x_WAGE/365</f>
        <v>156376038.757554</v>
      </c>
      <c r="AK3" s="0" t="n">
        <f aca="false">AJ3*x_R_FUS</f>
        <v>49477378.6628902</v>
      </c>
      <c r="AL3" s="0" t="n">
        <f aca="false">AJ3*x_R_NFZ</f>
        <v>12144319.5459504</v>
      </c>
      <c r="AM3" s="0" t="n">
        <f aca="false">AJ3*x_R_PIT</f>
        <v>10396531.7459604</v>
      </c>
      <c r="AN3" s="0" t="n">
        <f aca="false">AJ3*x_R_FP</f>
        <v>3987588.98831764</v>
      </c>
      <c r="AO3" s="0" t="n">
        <f aca="false">AA3+AB3+AC3+AD3+AF3</f>
        <v>420238450.282648</v>
      </c>
      <c r="AP3" s="0" t="n">
        <f aca="false">AO3+AE3+AG3+AH3+AI3+AK3+AL3+AM3+AN3</f>
        <v>525226713.572401</v>
      </c>
      <c r="AQ3" s="0" t="n">
        <f aca="false">AO3+AE3+AG3+AJ3</f>
        <v>576614489.040203</v>
      </c>
      <c r="AR3" s="0" t="n">
        <f aca="false">AB3+AC3+AD3+AF3</f>
        <v>137833427.610024</v>
      </c>
      <c r="AS3" s="0" t="n">
        <f aca="false">AR3+AE3+AG3</f>
        <v>137833427.610024</v>
      </c>
    </row>
    <row r="4" customFormat="false" ht="15" hidden="false" customHeight="false" outlineLevel="0" collapsed="false">
      <c r="A4" s="0" t="n">
        <v>2027</v>
      </c>
      <c r="B4" s="0" t="n">
        <v>1</v>
      </c>
      <c r="C4" s="0" t="n">
        <v>4832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2307.655</v>
      </c>
      <c r="I4" s="0" t="n">
        <v>219.602</v>
      </c>
      <c r="J4" s="0" t="n">
        <v>1564.594</v>
      </c>
      <c r="K4" s="0" t="n">
        <v>2522.589</v>
      </c>
      <c r="L4" s="0" t="n">
        <v>1489.389</v>
      </c>
      <c r="M4" s="0" t="n">
        <v>10633.791</v>
      </c>
      <c r="N4" s="0" t="n">
        <v>958.016</v>
      </c>
      <c r="O4" s="0" t="n">
        <v>87.923</v>
      </c>
      <c r="P4" s="0" t="n">
        <v>88.484</v>
      </c>
      <c r="Q4" s="0" t="n">
        <v>2138.396</v>
      </c>
      <c r="R4" s="0" t="n">
        <v>1717.819</v>
      </c>
      <c r="S4" s="0" t="n">
        <v>940.006</v>
      </c>
      <c r="T4" s="0" t="n">
        <v>2527.257</v>
      </c>
      <c r="U4" s="0" t="n">
        <v>1441.565</v>
      </c>
      <c r="V4" s="0" t="n">
        <v>114502.789</v>
      </c>
      <c r="W4" s="0" t="n">
        <v>275.683</v>
      </c>
      <c r="X4" s="0" t="n">
        <v>742.641</v>
      </c>
      <c r="Y4" s="0" t="n">
        <v>87.923</v>
      </c>
      <c r="Z4" s="0" t="n">
        <v>925.838</v>
      </c>
      <c r="AA4" s="0" t="n">
        <f aca="false">H4*x_c_F+I4*x_c_CC+J4*x_c_DC+K4*x_c_HCC+L4*x_c_PLT+M4*x_c_SVRn+N4*x_c_SVRcc+O4*x_c_LT+P4*x_c_LT1</f>
        <v>285734604.329018</v>
      </c>
      <c r="AB4" s="0" t="n">
        <f aca="false">C4*x_c_DAA</f>
        <v>109976320</v>
      </c>
      <c r="AC4" s="0" t="n">
        <f aca="false">C4*x_c_MON</f>
        <v>27857107.6100244</v>
      </c>
      <c r="AD4" s="0" t="n">
        <f aca="false">D4*(1-x_testy)</f>
        <v>0</v>
      </c>
      <c r="AE4" s="0" t="n">
        <f aca="false">E4*(1-x_testy)</f>
        <v>0</v>
      </c>
      <c r="AF4" s="0" t="n">
        <f aca="false">F4*x_NAV</f>
        <v>0</v>
      </c>
      <c r="AG4" s="0" t="n">
        <f aca="false">G4*x_FIX*(1-x_testy)</f>
        <v>0</v>
      </c>
      <c r="AH4" s="0" t="n">
        <f aca="false">x_z_F*U4+(1-x_AGRI)*x_EMP*x_WLOSS*(x_PEN_K74*Q4+x_PEN_C22*R4)</f>
        <v>27569081.7213964</v>
      </c>
      <c r="AI4" s="0" t="n">
        <f aca="false">x_AGRI*x_EMP*x_WLOSS*(x_PEN_K74*Q4+x_PEN_C22*R4)</f>
        <v>1626366.99318751</v>
      </c>
      <c r="AJ4" s="0" t="n">
        <f aca="false">x_EMP*x_WAGE*(x_WLOSS*(Q4+R4)+S4)+U4*x_ABS_D*x_WAGE/365</f>
        <v>210599530.828775</v>
      </c>
      <c r="AK4" s="0" t="n">
        <f aca="false">AJ4*x_R_FUS</f>
        <v>66633691.5542244</v>
      </c>
      <c r="AL4" s="0" t="n">
        <f aca="false">AJ4*x_R_NFZ</f>
        <v>16355370.1636935</v>
      </c>
      <c r="AM4" s="0" t="n">
        <f aca="false">AJ4*x_R_PIT</f>
        <v>14001535.8193102</v>
      </c>
      <c r="AN4" s="0" t="n">
        <f aca="false">AJ4*x_R_FP</f>
        <v>5370288.03613376</v>
      </c>
      <c r="AO4" s="0" t="n">
        <f aca="false">AA4+AB4+AC4+AD4+AF4</f>
        <v>423568031.939042</v>
      </c>
      <c r="AP4" s="0" t="n">
        <f aca="false">AO4+AE4+AG4+AH4+AI4+AK4+AL4+AM4+AN4</f>
        <v>555124366.226988</v>
      </c>
      <c r="AQ4" s="0" t="n">
        <f aca="false">AO4+AE4+AG4+AJ4</f>
        <v>634167562.767818</v>
      </c>
      <c r="AR4" s="0" t="n">
        <f aca="false">AB4+AC4+AD4+AF4</f>
        <v>137833427.610024</v>
      </c>
      <c r="AS4" s="0" t="n">
        <f aca="false">AR4+AE4+AG4</f>
        <v>137833427.610024</v>
      </c>
    </row>
    <row r="5" customFormat="false" ht="15" hidden="false" customHeight="false" outlineLevel="0" collapsed="false">
      <c r="A5" s="0" t="n">
        <v>2028</v>
      </c>
      <c r="B5" s="0" t="n">
        <v>2</v>
      </c>
      <c r="C5" s="0" t="n">
        <v>4832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2293.265</v>
      </c>
      <c r="I5" s="0" t="n">
        <v>232.353</v>
      </c>
      <c r="J5" s="0" t="n">
        <v>1562.24</v>
      </c>
      <c r="K5" s="0" t="n">
        <v>2550.931</v>
      </c>
      <c r="L5" s="0" t="n">
        <v>1475.77</v>
      </c>
      <c r="M5" s="0" t="n">
        <v>14757.577</v>
      </c>
      <c r="N5" s="0" t="n">
        <v>1359.883</v>
      </c>
      <c r="O5" s="0" t="n">
        <v>87.651</v>
      </c>
      <c r="P5" s="0" t="n">
        <v>87.787</v>
      </c>
      <c r="Q5" s="0" t="n">
        <v>2147.743</v>
      </c>
      <c r="R5" s="0" t="n">
        <v>1757.091</v>
      </c>
      <c r="S5" s="0" t="n">
        <v>1573.278</v>
      </c>
      <c r="T5" s="0" t="n">
        <v>2525.618</v>
      </c>
      <c r="U5" s="0" t="n">
        <v>1481.15</v>
      </c>
      <c r="V5" s="0" t="n">
        <v>115688.465</v>
      </c>
      <c r="W5" s="0" t="n">
        <v>287.283</v>
      </c>
      <c r="X5" s="0" t="n">
        <v>774.535</v>
      </c>
      <c r="Y5" s="0" t="n">
        <v>87.651</v>
      </c>
      <c r="Z5" s="0" t="n">
        <v>927.579</v>
      </c>
      <c r="AA5" s="0" t="n">
        <f aca="false">H5*x_c_F+I5*x_c_CC+J5*x_c_DC+K5*x_c_HCC+L5*x_c_PLT+M5*x_c_SVRn+N5*x_c_SVRcc+O5*x_c_LT+P5*x_c_LT1</f>
        <v>290567912.058885</v>
      </c>
      <c r="AB5" s="0" t="n">
        <f aca="false">C5*x_c_DAA</f>
        <v>109976320</v>
      </c>
      <c r="AC5" s="0" t="n">
        <f aca="false">C5*x_c_MON</f>
        <v>27857107.6100244</v>
      </c>
      <c r="AD5" s="0" t="n">
        <f aca="false">D5*(1-x_testy)</f>
        <v>0</v>
      </c>
      <c r="AE5" s="0" t="n">
        <f aca="false">E5*(1-x_testy)</f>
        <v>0</v>
      </c>
      <c r="AF5" s="0" t="n">
        <f aca="false">F5*x_NAV</f>
        <v>0</v>
      </c>
      <c r="AG5" s="0" t="n">
        <f aca="false">G5*x_FIX*(1-x_testy)</f>
        <v>0</v>
      </c>
      <c r="AH5" s="0" t="n">
        <f aca="false">x_z_F*U5+(1-x_AGRI)*x_EMP*x_WLOSS*(x_PEN_K74*Q5+x_PEN_C22*R5)</f>
        <v>27975146.4188937</v>
      </c>
      <c r="AI5" s="0" t="n">
        <f aca="false">x_AGRI*x_EMP*x_WLOSS*(x_PEN_K74*Q5+x_PEN_C22*R5)</f>
        <v>1647827.82615051</v>
      </c>
      <c r="AJ5" s="0" t="n">
        <f aca="false">x_EMP*x_WAGE*(x_WLOSS*(Q5+R5)+S5)+U5*x_ABS_D*x_WAGE/365</f>
        <v>266300261.956308</v>
      </c>
      <c r="AK5" s="0" t="n">
        <f aca="false">AJ5*x_R_FUS</f>
        <v>84257402.8829759</v>
      </c>
      <c r="AL5" s="0" t="n">
        <f aca="false">AJ5*x_R_NFZ</f>
        <v>20681144.6437888</v>
      </c>
      <c r="AM5" s="0" t="n">
        <f aca="false">AJ5*x_R_PIT</f>
        <v>17704752.9108905</v>
      </c>
      <c r="AN5" s="0" t="n">
        <f aca="false">AJ5*x_R_FP</f>
        <v>6790656.67988586</v>
      </c>
      <c r="AO5" s="0" t="n">
        <f aca="false">AA5+AB5+AC5+AD5+AF5</f>
        <v>428401339.66891</v>
      </c>
      <c r="AP5" s="0" t="n">
        <f aca="false">AO5+AE5+AG5+AH5+AI5+AK5+AL5+AM5+AN5</f>
        <v>587458271.031495</v>
      </c>
      <c r="AQ5" s="0" t="n">
        <f aca="false">AO5+AE5+AG5+AJ5</f>
        <v>694701601.625218</v>
      </c>
      <c r="AR5" s="0" t="n">
        <f aca="false">AB5+AC5+AD5+AF5</f>
        <v>137833427.610024</v>
      </c>
      <c r="AS5" s="0" t="n">
        <f aca="false">AR5+AE5+AG5</f>
        <v>137833427.610024</v>
      </c>
    </row>
    <row r="6" customFormat="false" ht="15" hidden="false" customHeight="false" outlineLevel="0" collapsed="false">
      <c r="A6" s="0" t="n">
        <v>2029</v>
      </c>
      <c r="B6" s="0" t="n">
        <v>3</v>
      </c>
      <c r="C6" s="0" t="n">
        <v>4832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2278.401</v>
      </c>
      <c r="I6" s="0" t="n">
        <v>245.586</v>
      </c>
      <c r="J6" s="0" t="n">
        <v>1571.333</v>
      </c>
      <c r="K6" s="0" t="n">
        <v>2601.368</v>
      </c>
      <c r="L6" s="0" t="n">
        <v>1461.227</v>
      </c>
      <c r="M6" s="0" t="n">
        <v>18799.94</v>
      </c>
      <c r="N6" s="0" t="n">
        <v>1773.467</v>
      </c>
      <c r="O6" s="0" t="n">
        <v>88.124</v>
      </c>
      <c r="P6" s="0" t="n">
        <v>87.888</v>
      </c>
      <c r="Q6" s="0" t="n">
        <v>2166.882</v>
      </c>
      <c r="R6" s="0" t="n">
        <v>1814.876</v>
      </c>
      <c r="S6" s="0" t="n">
        <v>2215.331</v>
      </c>
      <c r="T6" s="0" t="n">
        <v>2523.987</v>
      </c>
      <c r="U6" s="0" t="n">
        <v>1519.149</v>
      </c>
      <c r="V6" s="0" t="n">
        <v>116926.825</v>
      </c>
      <c r="W6" s="0" t="n">
        <v>299.555</v>
      </c>
      <c r="X6" s="0" t="n">
        <v>805.722</v>
      </c>
      <c r="Y6" s="0" t="n">
        <v>88.124</v>
      </c>
      <c r="Z6" s="0" t="n">
        <v>937.757</v>
      </c>
      <c r="AA6" s="0" t="n">
        <f aca="false">H6*x_c_F+I6*x_c_CC+J6*x_c_DC+K6*x_c_HCC+L6*x_c_PLT+M6*x_c_SVRn+N6*x_c_SVRcc+O6*x_c_LT+P6*x_c_LT1</f>
        <v>297244713.942835</v>
      </c>
      <c r="AB6" s="0" t="n">
        <f aca="false">C6*x_c_DAA</f>
        <v>109976320</v>
      </c>
      <c r="AC6" s="0" t="n">
        <f aca="false">C6*x_c_MON</f>
        <v>27857107.6100244</v>
      </c>
      <c r="AD6" s="0" t="n">
        <f aca="false">D6*(1-x_testy)</f>
        <v>0</v>
      </c>
      <c r="AE6" s="0" t="n">
        <f aca="false">E6*(1-x_testy)</f>
        <v>0</v>
      </c>
      <c r="AF6" s="0" t="n">
        <f aca="false">F6*x_NAV</f>
        <v>0</v>
      </c>
      <c r="AG6" s="0" t="n">
        <f aca="false">G6*x_FIX*(1-x_testy)</f>
        <v>0</v>
      </c>
      <c r="AH6" s="0" t="n">
        <f aca="false">x_z_F*U6+(1-x_AGRI)*x_EMP*x_WLOSS*(x_PEN_K74*Q6+x_PEN_C22*R6)</f>
        <v>28563402.5445817</v>
      </c>
      <c r="AI6" s="0" t="n">
        <f aca="false">x_AGRI*x_EMP*x_WLOSS*(x_PEN_K74*Q6+x_PEN_C22*R6)</f>
        <v>1681546.6867862</v>
      </c>
      <c r="AJ6" s="0" t="n">
        <f aca="false">x_EMP*x_WAGE*(x_WLOSS*(Q6+R6)+S6)+U6*x_ABS_D*x_WAGE/365</f>
        <v>323671471.914033</v>
      </c>
      <c r="AK6" s="0" t="n">
        <f aca="false">AJ6*x_R_FUS</f>
        <v>102409653.7136</v>
      </c>
      <c r="AL6" s="0" t="n">
        <f aca="false">AJ6*x_R_NFZ</f>
        <v>25136650.1803157</v>
      </c>
      <c r="AM6" s="0" t="n">
        <f aca="false">AJ6*x_R_PIT</f>
        <v>21519030.4074219</v>
      </c>
      <c r="AN6" s="0" t="n">
        <f aca="false">AJ6*x_R_FP</f>
        <v>8253622.53380785</v>
      </c>
      <c r="AO6" s="0" t="n">
        <f aca="false">AA6+AB6+AC6+AD6+AF6</f>
        <v>435078141.55286</v>
      </c>
      <c r="AP6" s="0" t="n">
        <f aca="false">AO6+AE6+AG6+AH6+AI6+AK6+AL6+AM6+AN6</f>
        <v>622642047.619373</v>
      </c>
      <c r="AQ6" s="0" t="n">
        <f aca="false">AO6+AE6+AG6+AJ6</f>
        <v>758749613.466893</v>
      </c>
      <c r="AR6" s="0" t="n">
        <f aca="false">AB6+AC6+AD6+AF6</f>
        <v>137833427.610024</v>
      </c>
      <c r="AS6" s="0" t="n">
        <f aca="false">AR6+AE6+AG6</f>
        <v>137833427.610024</v>
      </c>
    </row>
    <row r="7" customFormat="false" ht="15" hidden="false" customHeight="false" outlineLevel="0" collapsed="false">
      <c r="A7" s="0" t="n">
        <v>2030</v>
      </c>
      <c r="B7" s="0" t="n">
        <v>4</v>
      </c>
      <c r="C7" s="0" t="n">
        <v>4832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2263.649</v>
      </c>
      <c r="I7" s="0" t="n">
        <v>258.71</v>
      </c>
      <c r="J7" s="0" t="n">
        <v>1590.035</v>
      </c>
      <c r="K7" s="0" t="n">
        <v>2666.072</v>
      </c>
      <c r="L7" s="0" t="n">
        <v>1446.439</v>
      </c>
      <c r="M7" s="0" t="n">
        <v>22759</v>
      </c>
      <c r="N7" s="0" t="n">
        <v>2197.668</v>
      </c>
      <c r="O7" s="0" t="n">
        <v>89.202</v>
      </c>
      <c r="P7" s="0" t="n">
        <v>88.663</v>
      </c>
      <c r="Q7" s="0" t="n">
        <v>2194.943</v>
      </c>
      <c r="R7" s="0" t="n">
        <v>1885.483</v>
      </c>
      <c r="S7" s="0" t="n">
        <v>2871.709</v>
      </c>
      <c r="T7" s="0" t="n">
        <v>2522.359</v>
      </c>
      <c r="U7" s="0" t="n">
        <v>1555.596</v>
      </c>
      <c r="V7" s="0" t="n">
        <v>118203.524</v>
      </c>
      <c r="W7" s="0" t="n">
        <v>311.65</v>
      </c>
      <c r="X7" s="0" t="n">
        <v>834.807</v>
      </c>
      <c r="Y7" s="0" t="n">
        <v>89.202</v>
      </c>
      <c r="Z7" s="0" t="n">
        <v>953.972</v>
      </c>
      <c r="AA7" s="0" t="n">
        <f aca="false">H7*x_c_F+I7*x_c_CC+J7*x_c_DC+K7*x_c_HCC+L7*x_c_PLT+M7*x_c_SVRn+N7*x_c_SVRcc+O7*x_c_LT+P7*x_c_LT1</f>
        <v>305201648.026929</v>
      </c>
      <c r="AB7" s="0" t="n">
        <f aca="false">C7*x_c_DAA</f>
        <v>109976320</v>
      </c>
      <c r="AC7" s="0" t="n">
        <f aca="false">C7*x_c_MON</f>
        <v>27857107.6100244</v>
      </c>
      <c r="AD7" s="0" t="n">
        <f aca="false">D7*(1-x_testy)</f>
        <v>0</v>
      </c>
      <c r="AE7" s="0" t="n">
        <f aca="false">E7*(1-x_testy)</f>
        <v>0</v>
      </c>
      <c r="AF7" s="0" t="n">
        <f aca="false">F7*x_NAV</f>
        <v>0</v>
      </c>
      <c r="AG7" s="0" t="n">
        <f aca="false">G7*x_FIX*(1-x_testy)</f>
        <v>0</v>
      </c>
      <c r="AH7" s="0" t="n">
        <f aca="false">x_z_F*U7+(1-x_AGRI)*x_EMP*x_WLOSS*(x_PEN_K74*Q7+x_PEN_C22*R7)</f>
        <v>29289783.8669931</v>
      </c>
      <c r="AI7" s="0" t="n">
        <f aca="false">x_AGRI*x_EMP*x_WLOSS*(x_PEN_K74*Q7+x_PEN_C22*R7)</f>
        <v>1724606.26144629</v>
      </c>
      <c r="AJ7" s="0" t="n">
        <f aca="false">x_EMP*x_WAGE*(x_WLOSS*(Q7+R7)+S7)+U7*x_ABS_D*x_WAGE/365</f>
        <v>382971193.346334</v>
      </c>
      <c r="AK7" s="0" t="n">
        <f aca="false">AJ7*x_R_FUS</f>
        <v>121172085.57478</v>
      </c>
      <c r="AL7" s="0" t="n">
        <f aca="false">AJ7*x_R_NFZ</f>
        <v>29741925.8464696</v>
      </c>
      <c r="AM7" s="0" t="n">
        <f aca="false">AJ7*x_R_PIT</f>
        <v>25461523.3960911</v>
      </c>
      <c r="AN7" s="0" t="n">
        <f aca="false">AJ7*x_R_FP</f>
        <v>9765765.43033151</v>
      </c>
      <c r="AO7" s="0" t="n">
        <f aca="false">AA7+AB7+AC7+AD7+AF7</f>
        <v>443035075.636953</v>
      </c>
      <c r="AP7" s="0" t="n">
        <f aca="false">AO7+AE7+AG7+AH7+AI7+AK7+AL7+AM7+AN7</f>
        <v>660190766.013065</v>
      </c>
      <c r="AQ7" s="0" t="n">
        <f aca="false">AO7+AE7+AG7+AJ7</f>
        <v>826006268.983287</v>
      </c>
      <c r="AR7" s="0" t="n">
        <f aca="false">AB7+AC7+AD7+AF7</f>
        <v>137833427.610024</v>
      </c>
      <c r="AS7" s="0" t="n">
        <f aca="false">AR7+AE7+AG7</f>
        <v>137833427.610024</v>
      </c>
    </row>
    <row r="8" customFormat="false" ht="15" hidden="false" customHeight="false" outlineLevel="0" collapsed="false">
      <c r="A8" s="0" t="n">
        <v>2031</v>
      </c>
      <c r="B8" s="0" t="n">
        <v>5</v>
      </c>
      <c r="C8" s="0" t="n">
        <v>4832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2249.476</v>
      </c>
      <c r="I8" s="0" t="n">
        <v>271.252</v>
      </c>
      <c r="J8" s="0" t="n">
        <v>1616.09</v>
      </c>
      <c r="K8" s="0" t="n">
        <v>2738.254</v>
      </c>
      <c r="L8" s="0" t="n">
        <v>1431.964</v>
      </c>
      <c r="M8" s="0" t="n">
        <v>26634.076</v>
      </c>
      <c r="N8" s="0" t="n">
        <v>2630.502</v>
      </c>
      <c r="O8" s="0" t="n">
        <v>90.728</v>
      </c>
      <c r="P8" s="0" t="n">
        <v>89.965</v>
      </c>
      <c r="Q8" s="0" t="n">
        <v>2230.668</v>
      </c>
      <c r="R8" s="0" t="n">
        <v>1963.977</v>
      </c>
      <c r="S8" s="0" t="n">
        <v>3546.222</v>
      </c>
      <c r="T8" s="0" t="n">
        <v>2520.729</v>
      </c>
      <c r="U8" s="0" t="n">
        <v>1590.528</v>
      </c>
      <c r="V8" s="0" t="n">
        <v>119508.274</v>
      </c>
      <c r="W8" s="0" t="n">
        <v>322.934</v>
      </c>
      <c r="X8" s="0" t="n">
        <v>860.79</v>
      </c>
      <c r="Y8" s="0" t="n">
        <v>90.728</v>
      </c>
      <c r="Z8" s="0" t="n">
        <v>974.025</v>
      </c>
      <c r="AA8" s="0" t="n">
        <f aca="false">H8*x_c_F+I8*x_c_CC+J8*x_c_DC+K8*x_c_HCC+L8*x_c_PLT+M8*x_c_SVRn+N8*x_c_SVRcc+O8*x_c_LT+P8*x_c_LT1</f>
        <v>313920966.595202</v>
      </c>
      <c r="AB8" s="0" t="n">
        <f aca="false">C8*x_c_DAA</f>
        <v>109976320</v>
      </c>
      <c r="AC8" s="0" t="n">
        <f aca="false">C8*x_c_MON</f>
        <v>27857107.6100244</v>
      </c>
      <c r="AD8" s="0" t="n">
        <f aca="false">D8*(1-x_testy)</f>
        <v>0</v>
      </c>
      <c r="AE8" s="0" t="n">
        <f aca="false">E8*(1-x_testy)</f>
        <v>0</v>
      </c>
      <c r="AF8" s="0" t="n">
        <f aca="false">F8*x_NAV</f>
        <v>0</v>
      </c>
      <c r="AG8" s="0" t="n">
        <f aca="false">G8*x_FIX*(1-x_testy)</f>
        <v>0</v>
      </c>
      <c r="AH8" s="0" t="n">
        <f aca="false">x_z_F*U8+(1-x_AGRI)*x_EMP*x_WLOSS*(x_PEN_K74*Q8+x_PEN_C22*R8)</f>
        <v>30113064.4192995</v>
      </c>
      <c r="AI8" s="0" t="n">
        <f aca="false">x_AGRI*x_EMP*x_WLOSS*(x_PEN_K74*Q8+x_PEN_C22*R8)</f>
        <v>1774276.56485023</v>
      </c>
      <c r="AJ8" s="0" t="n">
        <f aca="false">x_EMP*x_WAGE*(x_WLOSS*(Q8+R8)+S8)+U8*x_ABS_D*x_WAGE/365</f>
        <v>444321671.212006</v>
      </c>
      <c r="AK8" s="0" t="n">
        <f aca="false">AJ8*x_R_FUS</f>
        <v>140583376.771479</v>
      </c>
      <c r="AL8" s="0" t="n">
        <f aca="false">AJ8*x_R_NFZ</f>
        <v>34506465.3079956</v>
      </c>
      <c r="AM8" s="0" t="n">
        <f aca="false">AJ8*x_R_PIT</f>
        <v>29540359.2319905</v>
      </c>
      <c r="AN8" s="0" t="n">
        <f aca="false">AJ8*x_R_FP</f>
        <v>11330202.6159062</v>
      </c>
      <c r="AO8" s="0" t="n">
        <f aca="false">AA8+AB8+AC8+AD8+AF8</f>
        <v>451754394.205227</v>
      </c>
      <c r="AP8" s="0" t="n">
        <f aca="false">AO8+AE8+AG8+AH8+AI8+AK8+AL8+AM8+AN8</f>
        <v>699602139.116747</v>
      </c>
      <c r="AQ8" s="0" t="n">
        <f aca="false">AO8+AE8+AG8+AJ8</f>
        <v>896076065.417233</v>
      </c>
      <c r="AR8" s="0" t="n">
        <f aca="false">AB8+AC8+AD8+AF8</f>
        <v>137833427.610024</v>
      </c>
      <c r="AS8" s="0" t="n">
        <f aca="false">AR8+AE8+AG8</f>
        <v>137833427.610024</v>
      </c>
    </row>
    <row r="9" customFormat="false" ht="15" hidden="false" customHeight="false" outlineLevel="0" collapsed="false">
      <c r="A9" s="0" t="n">
        <v>2032</v>
      </c>
      <c r="B9" s="0" t="n">
        <v>6</v>
      </c>
      <c r="C9" s="0" t="n">
        <v>4832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2236.247</v>
      </c>
      <c r="I9" s="0" t="n">
        <v>282.847</v>
      </c>
      <c r="J9" s="0" t="n">
        <v>1647.059</v>
      </c>
      <c r="K9" s="0" t="n">
        <v>2812.173</v>
      </c>
      <c r="L9" s="0" t="n">
        <v>1418.185</v>
      </c>
      <c r="M9" s="0" t="n">
        <v>30425.008</v>
      </c>
      <c r="N9" s="0" t="n">
        <v>3069.267</v>
      </c>
      <c r="O9" s="0" t="n">
        <v>92.542</v>
      </c>
      <c r="P9" s="0" t="n">
        <v>91.635</v>
      </c>
      <c r="Q9" s="0" t="n">
        <v>2272.551</v>
      </c>
      <c r="R9" s="0" t="n">
        <v>2046.171</v>
      </c>
      <c r="S9" s="0" t="n">
        <v>4241.049</v>
      </c>
      <c r="T9" s="0" t="n">
        <v>2519.094</v>
      </c>
      <c r="U9" s="0" t="n">
        <v>1623.998</v>
      </c>
      <c r="V9" s="0" t="n">
        <v>120830.923</v>
      </c>
      <c r="W9" s="0" t="n">
        <v>332.945</v>
      </c>
      <c r="X9" s="0" t="n">
        <v>882.962</v>
      </c>
      <c r="Y9" s="0" t="n">
        <v>92.542</v>
      </c>
      <c r="Z9" s="0" t="n">
        <v>995.927</v>
      </c>
      <c r="AA9" s="0" t="n">
        <f aca="false">H9*x_c_F+I9*x_c_CC+J9*x_c_DC+K9*x_c_HCC+L9*x_c_PLT+M9*x_c_SVRn+N9*x_c_SVRcc+O9*x_c_LT+P9*x_c_LT1</f>
        <v>322938988.535583</v>
      </c>
      <c r="AB9" s="0" t="n">
        <f aca="false">C9*x_c_DAA</f>
        <v>109976320</v>
      </c>
      <c r="AC9" s="0" t="n">
        <f aca="false">C9*x_c_MON</f>
        <v>27857107.6100244</v>
      </c>
      <c r="AD9" s="0" t="n">
        <f aca="false">D9*(1-x_testy)</f>
        <v>0</v>
      </c>
      <c r="AE9" s="0" t="n">
        <f aca="false">E9*(1-x_testy)</f>
        <v>0</v>
      </c>
      <c r="AF9" s="0" t="n">
        <f aca="false">F9*x_NAV</f>
        <v>0</v>
      </c>
      <c r="AG9" s="0" t="n">
        <f aca="false">G9*x_FIX*(1-x_testy)</f>
        <v>0</v>
      </c>
      <c r="AH9" s="0" t="n">
        <f aca="false">x_z_F*U9+(1-x_AGRI)*x_EMP*x_WLOSS*(x_PEN_K74*Q9+x_PEN_C22*R9)</f>
        <v>30995672.6446003</v>
      </c>
      <c r="AI9" s="0" t="n">
        <f aca="false">x_AGRI*x_EMP*x_WLOSS*(x_PEN_K74*Q9+x_PEN_C22*R9)</f>
        <v>1828066.9869373</v>
      </c>
      <c r="AJ9" s="0" t="n">
        <f aca="false">x_EMP*x_WAGE*(x_WLOSS*(Q9+R9)+S9)+U9*x_ABS_D*x_WAGE/365</f>
        <v>507722503.35925</v>
      </c>
      <c r="AK9" s="0" t="n">
        <f aca="false">AJ9*x_R_FUS</f>
        <v>160643400.062867</v>
      </c>
      <c r="AL9" s="0" t="n">
        <f aca="false">AJ9*x_R_NFZ</f>
        <v>39430237.3333827</v>
      </c>
      <c r="AM9" s="0" t="n">
        <f aca="false">AJ9*x_R_PIT</f>
        <v>33755511.1783899</v>
      </c>
      <c r="AN9" s="0" t="n">
        <f aca="false">AJ9*x_R_FP</f>
        <v>12946923.8356609</v>
      </c>
      <c r="AO9" s="0" t="n">
        <f aca="false">AA9+AB9+AC9+AD9+AF9</f>
        <v>460772416.145608</v>
      </c>
      <c r="AP9" s="0" t="n">
        <f aca="false">AO9+AE9+AG9+AH9+AI9+AK9+AL9+AM9+AN9</f>
        <v>740372228.187446</v>
      </c>
      <c r="AQ9" s="0" t="n">
        <f aca="false">AO9+AE9+AG9+AJ9</f>
        <v>968494919.504858</v>
      </c>
      <c r="AR9" s="0" t="n">
        <f aca="false">AB9+AC9+AD9+AF9</f>
        <v>137833427.610024</v>
      </c>
      <c r="AS9" s="0" t="n">
        <f aca="false">AR9+AE9+AG9</f>
        <v>137833427.610024</v>
      </c>
    </row>
    <row r="10" customFormat="false" ht="15" hidden="false" customHeight="false" outlineLevel="0" collapsed="false">
      <c r="A10" s="0" t="n">
        <v>2033</v>
      </c>
      <c r="B10" s="0" t="n">
        <v>7</v>
      </c>
      <c r="C10" s="0" t="n">
        <v>4832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2224.233</v>
      </c>
      <c r="I10" s="0" t="n">
        <v>293.219</v>
      </c>
      <c r="J10" s="0" t="n">
        <v>1680.533</v>
      </c>
      <c r="K10" s="0" t="n">
        <v>2883.148</v>
      </c>
      <c r="L10" s="0" t="n">
        <v>1405.327</v>
      </c>
      <c r="M10" s="0" t="n">
        <v>34132.208</v>
      </c>
      <c r="N10" s="0" t="n">
        <v>3510.756</v>
      </c>
      <c r="O10" s="0" t="n">
        <v>94.493</v>
      </c>
      <c r="P10" s="0" t="n">
        <v>93.517</v>
      </c>
      <c r="Q10" s="0" t="n">
        <v>2318.976</v>
      </c>
      <c r="R10" s="0" t="n">
        <v>2128.603</v>
      </c>
      <c r="S10" s="0" t="n">
        <v>4956.95</v>
      </c>
      <c r="T10" s="0" t="n">
        <v>2517.452</v>
      </c>
      <c r="U10" s="0" t="n">
        <v>1656.052</v>
      </c>
      <c r="V10" s="0" t="n">
        <v>122162.841</v>
      </c>
      <c r="W10" s="0" t="n">
        <v>341.368</v>
      </c>
      <c r="X10" s="0" t="n">
        <v>900.889</v>
      </c>
      <c r="Y10" s="0" t="n">
        <v>94.493</v>
      </c>
      <c r="Z10" s="0" t="n">
        <v>1018.015</v>
      </c>
      <c r="AA10" s="0" t="n">
        <f aca="false">H10*x_c_F+I10*x_c_CC+J10*x_c_DC+K10*x_c_HCC+L10*x_c_PLT+M10*x_c_SVRn+N10*x_c_SVRcc+O10*x_c_LT+P10*x_c_LT1</f>
        <v>331856604.266601</v>
      </c>
      <c r="AB10" s="0" t="n">
        <f aca="false">C10*x_c_DAA</f>
        <v>109976320</v>
      </c>
      <c r="AC10" s="0" t="n">
        <f aca="false">C10*x_c_MON</f>
        <v>27857107.6100244</v>
      </c>
      <c r="AD10" s="0" t="n">
        <f aca="false">D10*(1-x_testy)</f>
        <v>0</v>
      </c>
      <c r="AE10" s="0" t="n">
        <f aca="false">E10*(1-x_testy)</f>
        <v>0</v>
      </c>
      <c r="AF10" s="0" t="n">
        <f aca="false">F10*x_NAV</f>
        <v>0</v>
      </c>
      <c r="AG10" s="0" t="n">
        <f aca="false">G10*x_FIX*(1-x_testy)</f>
        <v>0</v>
      </c>
      <c r="AH10" s="0" t="n">
        <f aca="false">x_z_F*U10+(1-x_AGRI)*x_EMP*x_WLOSS*(x_PEN_K74*Q10+x_PEN_C22*R10)</f>
        <v>31904316.96015</v>
      </c>
      <c r="AI10" s="0" t="n">
        <f aca="false">x_AGRI*x_EMP*x_WLOSS*(x_PEN_K74*Q10+x_PEN_C22*R10)</f>
        <v>1883770.76696562</v>
      </c>
      <c r="AJ10" s="0" t="n">
        <f aca="false">x_EMP*x_WAGE*(x_WLOSS*(Q10+R10)+S10)+U10*x_ABS_D*x_WAGE/365</f>
        <v>573072412.312317</v>
      </c>
      <c r="AK10" s="0" t="n">
        <f aca="false">AJ10*x_R_FUS</f>
        <v>181320111.255617</v>
      </c>
      <c r="AL10" s="0" t="n">
        <f aca="false">AJ10*x_R_NFZ</f>
        <v>44505376.6125868</v>
      </c>
      <c r="AM10" s="0" t="n">
        <f aca="false">AJ10*x_R_PIT</f>
        <v>38100245.8859849</v>
      </c>
      <c r="AN10" s="0" t="n">
        <f aca="false">AJ10*x_R_FP</f>
        <v>14613346.5139641</v>
      </c>
      <c r="AO10" s="0" t="n">
        <f aca="false">AA10+AB10+AC10+AD10+AF10</f>
        <v>469690031.876626</v>
      </c>
      <c r="AP10" s="0" t="n">
        <f aca="false">AO10+AE10+AG10+AH10+AI10+AK10+AL10+AM10+AN10</f>
        <v>782017199.871894</v>
      </c>
      <c r="AQ10" s="0" t="n">
        <f aca="false">AO10+AE10+AG10+AJ10</f>
        <v>1042762444.18894</v>
      </c>
      <c r="AR10" s="0" t="n">
        <f aca="false">AB10+AC10+AD10+AF10</f>
        <v>137833427.610024</v>
      </c>
      <c r="AS10" s="0" t="n">
        <f aca="false">AR10+AE10+AG10</f>
        <v>137833427.610024</v>
      </c>
    </row>
    <row r="11" customFormat="false" ht="15" hidden="false" customHeight="false" outlineLevel="0" collapsed="false">
      <c r="A11" s="0" t="n">
        <v>2034</v>
      </c>
      <c r="B11" s="0" t="n">
        <v>8</v>
      </c>
      <c r="C11" s="0" t="n">
        <v>4832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2213.629</v>
      </c>
      <c r="I11" s="0" t="n">
        <v>302.172</v>
      </c>
      <c r="J11" s="0" t="n">
        <v>1714.258</v>
      </c>
      <c r="K11" s="0" t="n">
        <v>2947.492</v>
      </c>
      <c r="L11" s="0" t="n">
        <v>1393.462</v>
      </c>
      <c r="M11" s="0" t="n">
        <v>37756.249</v>
      </c>
      <c r="N11" s="0" t="n">
        <v>3951.388</v>
      </c>
      <c r="O11" s="0" t="n">
        <v>96.443</v>
      </c>
      <c r="P11" s="0" t="n">
        <v>95.468</v>
      </c>
      <c r="Q11" s="0" t="n">
        <v>2368.312</v>
      </c>
      <c r="R11" s="0" t="n">
        <v>2208.491</v>
      </c>
      <c r="S11" s="0" t="n">
        <v>5693.415</v>
      </c>
      <c r="T11" s="0" t="n">
        <v>2515.801</v>
      </c>
      <c r="U11" s="0" t="n">
        <v>1686.729</v>
      </c>
      <c r="V11" s="0" t="n">
        <v>123496.531</v>
      </c>
      <c r="W11" s="0" t="n">
        <v>348.005</v>
      </c>
      <c r="X11" s="0" t="n">
        <v>914.329</v>
      </c>
      <c r="Y11" s="0" t="n">
        <v>96.443</v>
      </c>
      <c r="Z11" s="0" t="n">
        <v>1038.863</v>
      </c>
      <c r="AA11" s="0" t="n">
        <f aca="false">H11*x_c_F+I11*x_c_CC+J11*x_c_DC+K11*x_c_HCC+L11*x_c_PLT+M11*x_c_SVRn+N11*x_c_SVRcc+O11*x_c_LT+P11*x_c_LT1</f>
        <v>340339500.842963</v>
      </c>
      <c r="AB11" s="0" t="n">
        <f aca="false">C11*x_c_DAA</f>
        <v>109976320</v>
      </c>
      <c r="AC11" s="0" t="n">
        <f aca="false">C11*x_c_MON</f>
        <v>27857107.6100244</v>
      </c>
      <c r="AD11" s="0" t="n">
        <f aca="false">D11*(1-x_testy)</f>
        <v>0</v>
      </c>
      <c r="AE11" s="0" t="n">
        <f aca="false">E11*(1-x_testy)</f>
        <v>0</v>
      </c>
      <c r="AF11" s="0" t="n">
        <f aca="false">F11*x_NAV</f>
        <v>0</v>
      </c>
      <c r="AG11" s="0" t="n">
        <f aca="false">G11*x_FIX*(1-x_testy)</f>
        <v>0</v>
      </c>
      <c r="AH11" s="0" t="n">
        <f aca="false">x_z_F*U11+(1-x_AGRI)*x_EMP*x_WLOSS*(x_PEN_K74*Q11+x_PEN_C22*R11)</f>
        <v>32810249.571142</v>
      </c>
      <c r="AI11" s="0" t="n">
        <f aca="false">x_AGRI*x_EMP*x_WLOSS*(x_PEN_K74*Q11+x_PEN_C22*R11)</f>
        <v>1939482.43109701</v>
      </c>
      <c r="AJ11" s="0" t="n">
        <f aca="false">x_EMP*x_WAGE*(x_WLOSS*(Q11+R11)+S11)+U11*x_ABS_D*x_WAGE/365</f>
        <v>640183585.659716</v>
      </c>
      <c r="AK11" s="0" t="n">
        <f aca="false">AJ11*x_R_FUS</f>
        <v>202554086.502734</v>
      </c>
      <c r="AL11" s="0" t="n">
        <f aca="false">AJ11*x_R_NFZ</f>
        <v>49717297.4459192</v>
      </c>
      <c r="AM11" s="0" t="n">
        <f aca="false">AJ11*x_R_PIT</f>
        <v>42562076.80176</v>
      </c>
      <c r="AN11" s="0" t="n">
        <f aca="false">AJ11*x_R_FP</f>
        <v>16324681.4343228</v>
      </c>
      <c r="AO11" s="0" t="n">
        <f aca="false">AA11+AB11+AC11+AD11+AF11</f>
        <v>478172928.452987</v>
      </c>
      <c r="AP11" s="0" t="n">
        <f aca="false">AO11+AE11+AG11+AH11+AI11+AK11+AL11+AM11+AN11</f>
        <v>824080802.639962</v>
      </c>
      <c r="AQ11" s="0" t="n">
        <f aca="false">AO11+AE11+AG11+AJ11</f>
        <v>1118356514.1127</v>
      </c>
      <c r="AR11" s="0" t="n">
        <f aca="false">AB11+AC11+AD11+AF11</f>
        <v>137833427.610024</v>
      </c>
      <c r="AS11" s="0" t="n">
        <f aca="false">AR11+AE11+AG11</f>
        <v>137833427.610024</v>
      </c>
    </row>
    <row r="12" customFormat="false" ht="15" hidden="false" customHeight="false" outlineLevel="0" collapsed="false">
      <c r="A12" s="0" t="n">
        <v>2035</v>
      </c>
      <c r="B12" s="0" t="n">
        <v>9</v>
      </c>
      <c r="C12" s="0" t="n">
        <v>4832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2204.561</v>
      </c>
      <c r="I12" s="0" t="n">
        <v>309.58</v>
      </c>
      <c r="J12" s="0" t="n">
        <v>1746.23</v>
      </c>
      <c r="K12" s="0" t="n">
        <v>3002.435</v>
      </c>
      <c r="L12" s="0" t="n">
        <v>1382.527</v>
      </c>
      <c r="M12" s="0" t="n">
        <v>41297.973</v>
      </c>
      <c r="N12" s="0" t="n">
        <v>4387.381</v>
      </c>
      <c r="O12" s="0" t="n">
        <v>98.276</v>
      </c>
      <c r="P12" s="0" t="n">
        <v>97.359</v>
      </c>
      <c r="Q12" s="0" t="n">
        <v>2418.985</v>
      </c>
      <c r="R12" s="0" t="n">
        <v>2283.662</v>
      </c>
      <c r="S12" s="0" t="n">
        <v>6448.861</v>
      </c>
      <c r="T12" s="0" t="n">
        <v>2514.141</v>
      </c>
      <c r="U12" s="0" t="n">
        <v>1716.052</v>
      </c>
      <c r="V12" s="0" t="n">
        <v>124825.78</v>
      </c>
      <c r="W12" s="0" t="n">
        <v>352.763</v>
      </c>
      <c r="X12" s="0" t="n">
        <v>923.239</v>
      </c>
      <c r="Y12" s="0" t="n">
        <v>98.276</v>
      </c>
      <c r="Z12" s="0" t="n">
        <v>1057.386</v>
      </c>
      <c r="AA12" s="0" t="n">
        <f aca="false">H12*x_c_F+I12*x_c_CC+J12*x_c_DC+K12*x_c_HCC+L12*x_c_PLT+M12*x_c_SVRn+N12*x_c_SVRcc+O12*x_c_LT+P12*x_c_LT1</f>
        <v>348119247.861441</v>
      </c>
      <c r="AB12" s="0" t="n">
        <f aca="false">C12*x_c_DAA</f>
        <v>109976320</v>
      </c>
      <c r="AC12" s="0" t="n">
        <f aca="false">C12*x_c_MON</f>
        <v>27857107.6100244</v>
      </c>
      <c r="AD12" s="0" t="n">
        <f aca="false">D12*(1-x_testy)</f>
        <v>0</v>
      </c>
      <c r="AE12" s="0" t="n">
        <f aca="false">E12*(1-x_testy)</f>
        <v>0</v>
      </c>
      <c r="AF12" s="0" t="n">
        <f aca="false">F12*x_NAV</f>
        <v>0</v>
      </c>
      <c r="AG12" s="0" t="n">
        <f aca="false">G12*x_FIX*(1-x_testy)</f>
        <v>0</v>
      </c>
      <c r="AH12" s="0" t="n">
        <f aca="false">x_z_F*U12+(1-x_AGRI)*x_EMP*x_WLOSS*(x_PEN_K74*Q12+x_PEN_C22*R12)</f>
        <v>33689195.7022816</v>
      </c>
      <c r="AI12" s="0" t="n">
        <f aca="false">x_AGRI*x_EMP*x_WLOSS*(x_PEN_K74*Q12+x_PEN_C22*R12)</f>
        <v>1993594.33776315</v>
      </c>
      <c r="AJ12" s="0" t="n">
        <f aca="false">x_EMP*x_WAGE*(x_WLOSS*(Q12+R12)+S12)+U12*x_ABS_D*x_WAGE/365</f>
        <v>708798478.665795</v>
      </c>
      <c r="AK12" s="0" t="n">
        <f aca="false">AJ12*x_R_FUS</f>
        <v>224263838.649857</v>
      </c>
      <c r="AL12" s="0" t="n">
        <f aca="false">AJ12*x_R_NFZ</f>
        <v>55045998.6516643</v>
      </c>
      <c r="AM12" s="0" t="n">
        <f aca="false">AJ12*x_R_PIT</f>
        <v>47123881.2767369</v>
      </c>
      <c r="AN12" s="0" t="n">
        <f aca="false">AJ12*x_R_FP</f>
        <v>18074361.2059778</v>
      </c>
      <c r="AO12" s="0" t="n">
        <f aca="false">AA12+AB12+AC12+AD12+AF12</f>
        <v>485952675.471466</v>
      </c>
      <c r="AP12" s="0" t="n">
        <f aca="false">AO12+AE12+AG12+AH12+AI12+AK12+AL12+AM12+AN12</f>
        <v>866143545.295747</v>
      </c>
      <c r="AQ12" s="0" t="n">
        <f aca="false">AO12+AE12+AG12+AJ12</f>
        <v>1194751154.13726</v>
      </c>
      <c r="AR12" s="0" t="n">
        <f aca="false">AB12+AC12+AD12+AF12</f>
        <v>137833427.610024</v>
      </c>
      <c r="AS12" s="0" t="n">
        <f aca="false">AR12+AE12+AG12</f>
        <v>137833427.610024</v>
      </c>
    </row>
    <row r="13" customFormat="false" ht="15" hidden="false" customHeight="false" outlineLevel="0" collapsed="false">
      <c r="A13" s="0" t="n">
        <v>2036</v>
      </c>
      <c r="B13" s="0" t="n">
        <v>10</v>
      </c>
      <c r="C13" s="0" t="n">
        <v>4832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2197.101</v>
      </c>
      <c r="I13" s="0" t="n">
        <v>315.372</v>
      </c>
      <c r="J13" s="0" t="n">
        <v>1774.721</v>
      </c>
      <c r="K13" s="0" t="n">
        <v>3045.991</v>
      </c>
      <c r="L13" s="0" t="n">
        <v>1372.329</v>
      </c>
      <c r="M13" s="0" t="n">
        <v>44757.851</v>
      </c>
      <c r="N13" s="0" t="n">
        <v>4814.782</v>
      </c>
      <c r="O13" s="0" t="n">
        <v>99.888</v>
      </c>
      <c r="P13" s="0" t="n">
        <v>99.082</v>
      </c>
      <c r="Q13" s="0" t="n">
        <v>2469.528</v>
      </c>
      <c r="R13" s="0" t="n">
        <v>2352.49</v>
      </c>
      <c r="S13" s="0" t="n">
        <v>7220.787</v>
      </c>
      <c r="T13" s="0" t="n">
        <v>2512.473</v>
      </c>
      <c r="U13" s="0" t="n">
        <v>1744.048</v>
      </c>
      <c r="V13" s="0" t="n">
        <v>126144.52</v>
      </c>
      <c r="W13" s="0" t="n">
        <v>355.61</v>
      </c>
      <c r="X13" s="0" t="n">
        <v>927.665</v>
      </c>
      <c r="Y13" s="0" t="n">
        <v>99.888</v>
      </c>
      <c r="Z13" s="0" t="n">
        <v>1072.677</v>
      </c>
      <c r="AA13" s="0" t="n">
        <f aca="false">H13*x_c_F+I13*x_c_CC+J13*x_c_DC+K13*x_c_HCC+L13*x_c_PLT+M13*x_c_SVRn+N13*x_c_SVRcc+O13*x_c_LT+P13*x_c_LT1</f>
        <v>354982120.915838</v>
      </c>
      <c r="AB13" s="0" t="n">
        <f aca="false">C13*x_c_DAA</f>
        <v>109976320</v>
      </c>
      <c r="AC13" s="0" t="n">
        <f aca="false">C13*x_c_MON</f>
        <v>27857107.6100244</v>
      </c>
      <c r="AD13" s="0" t="n">
        <f aca="false">D13*(1-x_testy)</f>
        <v>0</v>
      </c>
      <c r="AE13" s="0" t="n">
        <f aca="false">E13*(1-x_testy)</f>
        <v>0</v>
      </c>
      <c r="AF13" s="0" t="n">
        <f aca="false">F13*x_NAV</f>
        <v>0</v>
      </c>
      <c r="AG13" s="0" t="n">
        <f aca="false">G13*x_FIX*(1-x_testy)</f>
        <v>0</v>
      </c>
      <c r="AH13" s="0" t="n">
        <f aca="false">x_z_F*U13+(1-x_AGRI)*x_EMP*x_WLOSS*(x_PEN_K74*Q13+x_PEN_C22*R13)</f>
        <v>34521271.6427738</v>
      </c>
      <c r="AI13" s="0" t="n">
        <f aca="false">x_AGRI*x_EMP*x_WLOSS*(x_PEN_K74*Q13+x_PEN_C22*R13)</f>
        <v>2044788.54276683</v>
      </c>
      <c r="AJ13" s="0" t="n">
        <f aca="false">x_EMP*x_WAGE*(x_WLOSS*(Q13+R13)+S13)+U13*x_ABS_D*x_WAGE/365</f>
        <v>778602695.616671</v>
      </c>
      <c r="AK13" s="0" t="n">
        <f aca="false">AJ13*x_R_FUS</f>
        <v>246349892.893115</v>
      </c>
      <c r="AL13" s="0" t="n">
        <f aca="false">AJ13*x_R_NFZ</f>
        <v>60467063.9442863</v>
      </c>
      <c r="AM13" s="0" t="n">
        <f aca="false">AJ13*x_R_PIT</f>
        <v>51764756.9716179</v>
      </c>
      <c r="AN13" s="0" t="n">
        <f aca="false">AJ13*x_R_FP</f>
        <v>19854368.7382251</v>
      </c>
      <c r="AO13" s="0" t="n">
        <f aca="false">AA13+AB13+AC13+AD13+AF13</f>
        <v>492815548.525862</v>
      </c>
      <c r="AP13" s="0" t="n">
        <f aca="false">AO13+AE13+AG13+AH13+AI13+AK13+AL13+AM13+AN13</f>
        <v>907817691.258647</v>
      </c>
      <c r="AQ13" s="0" t="n">
        <f aca="false">AO13+AE13+AG13+AJ13</f>
        <v>1271418244.14253</v>
      </c>
      <c r="AR13" s="0" t="n">
        <f aca="false">AB13+AC13+AD13+AF13</f>
        <v>137833427.610024</v>
      </c>
      <c r="AS13" s="0" t="n">
        <f aca="false">AR13+AE13+AG13</f>
        <v>137833427.610024</v>
      </c>
    </row>
    <row r="14" customFormat="false" ht="15" hidden="false" customHeight="false" outlineLevel="0" collapsed="false">
      <c r="A14" s="0" t="n">
        <v>2037</v>
      </c>
      <c r="B14" s="0" t="n">
        <v>11</v>
      </c>
      <c r="C14" s="0" t="n">
        <v>4832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2191.273</v>
      </c>
      <c r="I14" s="0" t="n">
        <v>319.523</v>
      </c>
      <c r="J14" s="0" t="n">
        <v>1798.289</v>
      </c>
      <c r="K14" s="0" t="n">
        <v>3076.825</v>
      </c>
      <c r="L14" s="0" t="n">
        <v>1362.555</v>
      </c>
      <c r="M14" s="0" t="n">
        <v>48135.673</v>
      </c>
      <c r="N14" s="0" t="n">
        <v>5229.543</v>
      </c>
      <c r="O14" s="0" t="n">
        <v>101.2</v>
      </c>
      <c r="P14" s="0" t="n">
        <v>100.544</v>
      </c>
      <c r="Q14" s="0" t="n">
        <v>2518.59</v>
      </c>
      <c r="R14" s="0" t="n">
        <v>2413.799</v>
      </c>
      <c r="S14" s="0" t="n">
        <v>8005.884</v>
      </c>
      <c r="T14" s="0" t="n">
        <v>2510.796</v>
      </c>
      <c r="U14" s="0" t="n">
        <v>1770.744</v>
      </c>
      <c r="V14" s="0" t="n">
        <v>127445.764</v>
      </c>
      <c r="W14" s="0" t="n">
        <v>356.58</v>
      </c>
      <c r="X14" s="0" t="n">
        <v>927.774</v>
      </c>
      <c r="Y14" s="0" t="n">
        <v>101.2</v>
      </c>
      <c r="Z14" s="0" t="n">
        <v>1084.115</v>
      </c>
      <c r="AA14" s="0" t="n">
        <f aca="false">H14*x_c_F+I14*x_c_CC+J14*x_c_DC+K14*x_c_HCC+L14*x_c_PLT+M14*x_c_SVRn+N14*x_c_SVRcc+O14*x_c_LT+P14*x_c_LT1</f>
        <v>360765395.705162</v>
      </c>
      <c r="AB14" s="0" t="n">
        <f aca="false">C14*x_c_DAA</f>
        <v>109976320</v>
      </c>
      <c r="AC14" s="0" t="n">
        <f aca="false">C14*x_c_MON</f>
        <v>27857107.6100244</v>
      </c>
      <c r="AD14" s="0" t="n">
        <f aca="false">D14*(1-x_testy)</f>
        <v>0</v>
      </c>
      <c r="AE14" s="0" t="n">
        <f aca="false">E14*(1-x_testy)</f>
        <v>0</v>
      </c>
      <c r="AF14" s="0" t="n">
        <f aca="false">F14*x_NAV</f>
        <v>0</v>
      </c>
      <c r="AG14" s="0" t="n">
        <f aca="false">G14*x_FIX*(1-x_testy)</f>
        <v>0</v>
      </c>
      <c r="AH14" s="0" t="n">
        <f aca="false">x_z_F*U14+(1-x_AGRI)*x_EMP*x_WLOSS*(x_PEN_K74*Q14+x_PEN_C22*R14)</f>
        <v>35290367.5767725</v>
      </c>
      <c r="AI14" s="0" t="n">
        <f aca="false">x_AGRI*x_EMP*x_WLOSS*(x_PEN_K74*Q14+x_PEN_C22*R14)</f>
        <v>2091996.54912498</v>
      </c>
      <c r="AJ14" s="0" t="n">
        <f aca="false">x_EMP*x_WAGE*(x_WLOSS*(Q14+R14)+S14)+U14*x_ABS_D*x_WAGE/365</f>
        <v>849231476.35241</v>
      </c>
      <c r="AK14" s="0" t="n">
        <f aca="false">AJ14*x_R_FUS</f>
        <v>268696839.117902</v>
      </c>
      <c r="AL14" s="0" t="n">
        <f aca="false">AJ14*x_R_NFZ</f>
        <v>65952165.6850045</v>
      </c>
      <c r="AM14" s="0" t="n">
        <f aca="false">AJ14*x_R_PIT</f>
        <v>56460453.108518</v>
      </c>
      <c r="AN14" s="0" t="n">
        <f aca="false">AJ14*x_R_FP</f>
        <v>21655402.6469864</v>
      </c>
      <c r="AO14" s="0" t="n">
        <f aca="false">AA14+AB14+AC14+AD14+AF14</f>
        <v>498598823.315186</v>
      </c>
      <c r="AP14" s="0" t="n">
        <f aca="false">AO14+AE14+AG14+AH14+AI14+AK14+AL14+AM14+AN14</f>
        <v>948746047.999495</v>
      </c>
      <c r="AQ14" s="0" t="n">
        <f aca="false">AO14+AE14+AG14+AJ14</f>
        <v>1347830299.6676</v>
      </c>
      <c r="AR14" s="0" t="n">
        <f aca="false">AB14+AC14+AD14+AF14</f>
        <v>137833427.610024</v>
      </c>
      <c r="AS14" s="0" t="n">
        <f aca="false">AR14+AE14+AG14</f>
        <v>137833427.610024</v>
      </c>
    </row>
    <row r="15" customFormat="false" ht="15" hidden="false" customHeight="false" outlineLevel="0" collapsed="false">
      <c r="A15" s="0" t="n">
        <v>2038</v>
      </c>
      <c r="B15" s="0" t="n">
        <v>12</v>
      </c>
      <c r="C15" s="0" t="n">
        <v>4832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2187.061</v>
      </c>
      <c r="I15" s="0" t="n">
        <v>322.051</v>
      </c>
      <c r="J15" s="0" t="n">
        <v>1815.819</v>
      </c>
      <c r="K15" s="0" t="n">
        <v>3094.223</v>
      </c>
      <c r="L15" s="0" t="n">
        <v>1352.828</v>
      </c>
      <c r="M15" s="0" t="n">
        <v>51431.136</v>
      </c>
      <c r="N15" s="0" t="n">
        <v>5627.68</v>
      </c>
      <c r="O15" s="0" t="n">
        <v>102.149</v>
      </c>
      <c r="P15" s="0" t="n">
        <v>101.674</v>
      </c>
      <c r="Q15" s="0" t="n">
        <v>1665.312</v>
      </c>
      <c r="R15" s="0" t="n">
        <v>1615.739</v>
      </c>
      <c r="S15" s="0" t="n">
        <v>5585.256</v>
      </c>
      <c r="T15" s="0" t="n">
        <v>2509.112</v>
      </c>
      <c r="U15" s="0" t="n">
        <v>1509.119</v>
      </c>
      <c r="V15" s="0" t="n">
        <v>128724.257</v>
      </c>
      <c r="W15" s="0" t="n">
        <v>355.753</v>
      </c>
      <c r="X15" s="0" t="n">
        <v>923.806</v>
      </c>
      <c r="Y15" s="0" t="n">
        <v>102.149</v>
      </c>
      <c r="Z15" s="0" t="n">
        <v>1091.264</v>
      </c>
      <c r="AA15" s="0" t="n">
        <f aca="false">H15*x_c_F+I15*x_c_CC+J15*x_c_DC+K15*x_c_HCC+L15*x_c_PLT+M15*x_c_SVRn+N15*x_c_SVRcc+O15*x_c_LT+P15*x_c_LT1</f>
        <v>365356032.823167</v>
      </c>
      <c r="AB15" s="0" t="n">
        <f aca="false">C15*x_c_DAA</f>
        <v>109976320</v>
      </c>
      <c r="AC15" s="0" t="n">
        <f aca="false">C15*x_c_MON</f>
        <v>27857107.6100244</v>
      </c>
      <c r="AD15" s="0" t="n">
        <f aca="false">D15*(1-x_testy)</f>
        <v>0</v>
      </c>
      <c r="AE15" s="0" t="n">
        <f aca="false">E15*(1-x_testy)</f>
        <v>0</v>
      </c>
      <c r="AF15" s="0" t="n">
        <f aca="false">F15*x_NAV</f>
        <v>0</v>
      </c>
      <c r="AG15" s="0" t="n">
        <f aca="false">G15*x_FIX*(1-x_testy)</f>
        <v>0</v>
      </c>
      <c r="AH15" s="0" t="n">
        <f aca="false">x_z_F*U15+(1-x_AGRI)*x_EMP*x_WLOSS*(x_PEN_K74*Q15+x_PEN_C22*R15)</f>
        <v>24164539.5842152</v>
      </c>
      <c r="AI15" s="0" t="n">
        <f aca="false">x_AGRI*x_EMP*x_WLOSS*(x_PEN_K74*Q15+x_PEN_C22*R15)</f>
        <v>1392153.27798477</v>
      </c>
      <c r="AJ15" s="0" t="n">
        <f aca="false">x_EMP*x_WAGE*(x_WLOSS*(Q15+R15)+S15)+U15*x_ABS_D*x_WAGE/365</f>
        <v>588028275.677826</v>
      </c>
      <c r="AK15" s="0" t="n">
        <f aca="false">AJ15*x_R_FUS</f>
        <v>186052146.424464</v>
      </c>
      <c r="AL15" s="0" t="n">
        <f aca="false">AJ15*x_R_NFZ</f>
        <v>45666863.9174157</v>
      </c>
      <c r="AM15" s="0" t="n">
        <f aca="false">AJ15*x_R_PIT</f>
        <v>39094574.1059806</v>
      </c>
      <c r="AN15" s="0" t="n">
        <f aca="false">AJ15*x_R_FP</f>
        <v>14994721.0297846</v>
      </c>
      <c r="AO15" s="0" t="n">
        <f aca="false">AA15+AB15+AC15+AD15+AF15</f>
        <v>503189460.433191</v>
      </c>
      <c r="AP15" s="0" t="n">
        <f aca="false">AO15+AE15+AG15+AH15+AI15+AK15+AL15+AM15+AN15</f>
        <v>814554458.773036</v>
      </c>
      <c r="AQ15" s="0" t="n">
        <f aca="false">AO15+AE15+AG15+AJ15</f>
        <v>1091217736.11102</v>
      </c>
      <c r="AR15" s="0" t="n">
        <f aca="false">AB15+AC15+AD15+AF15</f>
        <v>137833427.610024</v>
      </c>
      <c r="AS15" s="0" t="n">
        <f aca="false">AR15+AE15+AG15</f>
        <v>137833427.610024</v>
      </c>
    </row>
    <row r="16" customFormat="false" ht="15" hidden="false" customHeight="false" outlineLevel="0" collapsed="false">
      <c r="A16" s="0" t="n">
        <v>2039</v>
      </c>
      <c r="B16" s="0" t="n">
        <v>13</v>
      </c>
      <c r="C16" s="0" t="n">
        <v>4832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2184.415</v>
      </c>
      <c r="I16" s="0" t="n">
        <v>323.007</v>
      </c>
      <c r="J16" s="0" t="n">
        <v>1826.501</v>
      </c>
      <c r="K16" s="0" t="n">
        <v>3097.969</v>
      </c>
      <c r="L16" s="0" t="n">
        <v>1342.718</v>
      </c>
      <c r="M16" s="0" t="n">
        <v>54643.494</v>
      </c>
      <c r="N16" s="0" t="n">
        <v>6005.309</v>
      </c>
      <c r="O16" s="0" t="n">
        <v>102.694</v>
      </c>
      <c r="P16" s="0" t="n">
        <v>102.422</v>
      </c>
      <c r="Q16" s="0" t="n">
        <v>800.454</v>
      </c>
      <c r="R16" s="0" t="n">
        <v>805.421</v>
      </c>
      <c r="S16" s="0" t="n">
        <v>2907.114</v>
      </c>
      <c r="T16" s="0" t="n">
        <v>2507.422</v>
      </c>
      <c r="U16" s="0" t="n">
        <v>1262.107</v>
      </c>
      <c r="V16" s="0" t="n">
        <v>129975.071</v>
      </c>
      <c r="W16" s="0" t="n">
        <v>353.247</v>
      </c>
      <c r="X16" s="0" t="n">
        <v>916.073</v>
      </c>
      <c r="Y16" s="0" t="n">
        <v>102.694</v>
      </c>
      <c r="Z16" s="0" t="n">
        <v>1093.89</v>
      </c>
      <c r="AA16" s="0" t="n">
        <f aca="false">H16*x_c_F+I16*x_c_CC+J16*x_c_DC+K16*x_c_HCC+L16*x_c_PLT+M16*x_c_SVRn+N16*x_c_SVRcc+O16*x_c_LT+P16*x_c_LT1</f>
        <v>368684752.911373</v>
      </c>
      <c r="AB16" s="0" t="n">
        <f aca="false">C16*x_c_DAA</f>
        <v>109976320</v>
      </c>
      <c r="AC16" s="0" t="n">
        <f aca="false">C16*x_c_MON</f>
        <v>27857107.6100244</v>
      </c>
      <c r="AD16" s="0" t="n">
        <f aca="false">D16*(1-x_testy)</f>
        <v>0</v>
      </c>
      <c r="AE16" s="0" t="n">
        <f aca="false">E16*(1-x_testy)</f>
        <v>0</v>
      </c>
      <c r="AF16" s="0" t="n">
        <f aca="false">F16*x_NAV</f>
        <v>0</v>
      </c>
      <c r="AG16" s="0" t="n">
        <f aca="false">G16*x_FIX*(1-x_testy)</f>
        <v>0</v>
      </c>
      <c r="AH16" s="0" t="n">
        <f aca="false">x_z_F*U16+(1-x_AGRI)*x_EMP*x_WLOSS*(x_PEN_K74*Q16+x_PEN_C22*R16)</f>
        <v>12915306.0562355</v>
      </c>
      <c r="AI16" s="0" t="n">
        <f aca="false">x_AGRI*x_EMP*x_WLOSS*(x_PEN_K74*Q16+x_PEN_C22*R16)</f>
        <v>682167.355539759</v>
      </c>
      <c r="AJ16" s="0" t="n">
        <f aca="false">x_EMP*x_WAGE*(x_WLOSS*(Q16+R16)+S16)+U16*x_ABS_D*x_WAGE/365</f>
        <v>304131975.658889</v>
      </c>
      <c r="AK16" s="0" t="n">
        <f aca="false">AJ16*x_R_FUS</f>
        <v>96227357.0984726</v>
      </c>
      <c r="AL16" s="0" t="n">
        <f aca="false">AJ16*x_R_NFZ</f>
        <v>23619193.361645</v>
      </c>
      <c r="AM16" s="0" t="n">
        <f aca="false">AJ16*x_R_PIT</f>
        <v>20219963.1415498</v>
      </c>
      <c r="AN16" s="0" t="n">
        <f aca="false">AJ16*x_R_FP</f>
        <v>7755365.37930168</v>
      </c>
      <c r="AO16" s="0" t="n">
        <f aca="false">AA16+AB16+AC16+AD16+AF16</f>
        <v>506518180.521397</v>
      </c>
      <c r="AP16" s="0" t="n">
        <f aca="false">AO16+AE16+AG16+AH16+AI16+AK16+AL16+AM16+AN16</f>
        <v>667937532.914141</v>
      </c>
      <c r="AQ16" s="0" t="n">
        <f aca="false">AO16+AE16+AG16+AJ16</f>
        <v>810650156.180286</v>
      </c>
      <c r="AR16" s="0" t="n">
        <f aca="false">AB16+AC16+AD16+AF16</f>
        <v>137833427.610024</v>
      </c>
      <c r="AS16" s="0" t="n">
        <f aca="false">AR16+AE16+AG16</f>
        <v>137833427.610024</v>
      </c>
    </row>
    <row r="17" customFormat="false" ht="15" hidden="false" customHeight="false" outlineLevel="0" collapsed="false">
      <c r="A17" s="0" t="n">
        <v>2040</v>
      </c>
      <c r="B17" s="0" t="n">
        <v>14</v>
      </c>
      <c r="C17" s="0" t="n">
        <v>4832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2183.257</v>
      </c>
      <c r="I17" s="0" t="n">
        <v>322.475</v>
      </c>
      <c r="J17" s="0" t="n">
        <v>1829.879</v>
      </c>
      <c r="K17" s="0" t="n">
        <v>3088.372</v>
      </c>
      <c r="L17" s="0" t="n">
        <v>1331.808</v>
      </c>
      <c r="M17" s="0" t="n">
        <v>57772.92</v>
      </c>
      <c r="N17" s="0" t="n">
        <v>6358.935</v>
      </c>
      <c r="O17" s="0" t="n">
        <v>102.814</v>
      </c>
      <c r="P17" s="0" t="n">
        <v>102.754</v>
      </c>
      <c r="Q17" s="0" t="n">
        <v>825.823</v>
      </c>
      <c r="R17" s="0" t="n">
        <v>838.72</v>
      </c>
      <c r="S17" s="0" t="n">
        <v>3188.017</v>
      </c>
      <c r="T17" s="0" t="n">
        <v>2505.732</v>
      </c>
      <c r="U17" s="0" t="n">
        <v>1316.688</v>
      </c>
      <c r="V17" s="0" t="n">
        <v>131196.037</v>
      </c>
      <c r="W17" s="0" t="n">
        <v>349.228</v>
      </c>
      <c r="X17" s="0" t="n">
        <v>904.981</v>
      </c>
      <c r="Y17" s="0" t="n">
        <v>102.814</v>
      </c>
      <c r="Z17" s="0" t="n">
        <v>1091.978</v>
      </c>
      <c r="AA17" s="0" t="n">
        <f aca="false">H17*x_c_F+I17*x_c_CC+J17*x_c_DC+K17*x_c_HCC+L17*x_c_PLT+M17*x_c_SVRn+N17*x_c_SVRcc+O17*x_c_LT+P17*x_c_LT1</f>
        <v>370731437.660808</v>
      </c>
      <c r="AB17" s="0" t="n">
        <f aca="false">C17*x_c_DAA</f>
        <v>109976320</v>
      </c>
      <c r="AC17" s="0" t="n">
        <f aca="false">C17*x_c_MON</f>
        <v>27857107.6100244</v>
      </c>
      <c r="AD17" s="0" t="n">
        <f aca="false">D17*(1-x_testy)</f>
        <v>0</v>
      </c>
      <c r="AE17" s="0" t="n">
        <f aca="false">E17*(1-x_testy)</f>
        <v>0</v>
      </c>
      <c r="AF17" s="0" t="n">
        <f aca="false">F17*x_NAV</f>
        <v>0</v>
      </c>
      <c r="AG17" s="0" t="n">
        <f aca="false">G17*x_FIX*(1-x_testy)</f>
        <v>0</v>
      </c>
      <c r="AH17" s="0" t="n">
        <f aca="false">x_z_F*U17+(1-x_AGRI)*x_EMP*x_WLOSS*(x_PEN_K74*Q17+x_PEN_C22*R17)</f>
        <v>13407743.3341737</v>
      </c>
      <c r="AI17" s="0" t="n">
        <f aca="false">x_AGRI*x_EMP*x_WLOSS*(x_PEN_K74*Q17+x_PEN_C22*R17)</f>
        <v>707299.421659642</v>
      </c>
      <c r="AJ17" s="0" t="n">
        <f aca="false">x_EMP*x_WAGE*(x_WLOSS*(Q17+R17)+S17)+U17*x_ABS_D*x_WAGE/365</f>
        <v>330162521.052157</v>
      </c>
      <c r="AK17" s="0" t="n">
        <f aca="false">AJ17*x_R_FUS</f>
        <v>104463421.660903</v>
      </c>
      <c r="AL17" s="0" t="n">
        <f aca="false">AJ17*x_R_NFZ</f>
        <v>25640751.5474316</v>
      </c>
      <c r="AM17" s="0" t="n">
        <f aca="false">AJ17*x_R_PIT</f>
        <v>21950582.4467578</v>
      </c>
      <c r="AN17" s="0" t="n">
        <f aca="false">AJ17*x_R_FP</f>
        <v>8419144.28683001</v>
      </c>
      <c r="AO17" s="0" t="n">
        <f aca="false">AA17+AB17+AC17+AD17+AF17</f>
        <v>508564865.270833</v>
      </c>
      <c r="AP17" s="0" t="n">
        <f aca="false">AO17+AE17+AG17+AH17+AI17+AK17+AL17+AM17+AN17</f>
        <v>683153807.968588</v>
      </c>
      <c r="AQ17" s="0" t="n">
        <f aca="false">AO17+AE17+AG17+AJ17</f>
        <v>838727386.32299</v>
      </c>
      <c r="AR17" s="0" t="n">
        <f aca="false">AB17+AC17+AD17+AF17</f>
        <v>137833427.610024</v>
      </c>
      <c r="AS17" s="0" t="n">
        <f aca="false">AR17+AE17+AG17</f>
        <v>137833427.610024</v>
      </c>
    </row>
    <row r="18" customFormat="false" ht="15" hidden="false" customHeight="false" outlineLevel="0" collapsed="false">
      <c r="A18" s="0" t="n">
        <v>2041</v>
      </c>
      <c r="B18" s="0" t="n">
        <v>15</v>
      </c>
      <c r="C18" s="0" t="n">
        <v>4832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2183.476</v>
      </c>
      <c r="I18" s="0" t="n">
        <v>320.572</v>
      </c>
      <c r="J18" s="0" t="n">
        <v>1825.893</v>
      </c>
      <c r="K18" s="0" t="n">
        <v>3066.286</v>
      </c>
      <c r="L18" s="0" t="n">
        <v>1319.777</v>
      </c>
      <c r="M18" s="0" t="n">
        <v>60822.007</v>
      </c>
      <c r="N18" s="0" t="n">
        <v>6685.801</v>
      </c>
      <c r="O18" s="0" t="n">
        <v>102.516</v>
      </c>
      <c r="P18" s="0" t="n">
        <v>102.665</v>
      </c>
      <c r="Q18" s="0" t="n">
        <v>852.242</v>
      </c>
      <c r="R18" s="0" t="n">
        <v>873.082</v>
      </c>
      <c r="S18" s="0" t="n">
        <v>3479.272</v>
      </c>
      <c r="T18" s="0" t="n">
        <v>2504.048</v>
      </c>
      <c r="U18" s="0" t="n">
        <v>1369.779</v>
      </c>
      <c r="V18" s="0" t="n">
        <v>132389.584</v>
      </c>
      <c r="W18" s="0" t="n">
        <v>343.902</v>
      </c>
      <c r="X18" s="0" t="n">
        <v>891.019</v>
      </c>
      <c r="Y18" s="0" t="n">
        <v>102.516</v>
      </c>
      <c r="Z18" s="0" t="n">
        <v>1085.75</v>
      </c>
      <c r="AA18" s="0" t="n">
        <f aca="false">H18*x_c_F+I18*x_c_CC+J18*x_c_DC+K18*x_c_HCC+L18*x_c_PLT+M18*x_c_SVRn+N18*x_c_SVRcc+O18*x_c_LT+P18*x_c_LT1</f>
        <v>371535005.37864</v>
      </c>
      <c r="AB18" s="0" t="n">
        <f aca="false">C18*x_c_DAA</f>
        <v>109976320</v>
      </c>
      <c r="AC18" s="0" t="n">
        <f aca="false">C18*x_c_MON</f>
        <v>27857107.6100244</v>
      </c>
      <c r="AD18" s="0" t="n">
        <f aca="false">D18*(1-x_testy)</f>
        <v>0</v>
      </c>
      <c r="AE18" s="0" t="n">
        <f aca="false">E18*(1-x_testy)</f>
        <v>0</v>
      </c>
      <c r="AF18" s="0" t="n">
        <f aca="false">F18*x_NAV</f>
        <v>0</v>
      </c>
      <c r="AG18" s="0" t="n">
        <f aca="false">G18*x_FIX*(1-x_testy)</f>
        <v>0</v>
      </c>
      <c r="AH18" s="0" t="n">
        <f aca="false">x_z_F*U18+(1-x_AGRI)*x_EMP*x_WLOSS*(x_PEN_K74*Q18+x_PEN_C22*R18)</f>
        <v>13910699.6539825</v>
      </c>
      <c r="AI18" s="0" t="n">
        <f aca="false">x_AGRI*x_EMP*x_WLOSS*(x_PEN_K74*Q18+x_PEN_C22*R18)</f>
        <v>733329.254569472</v>
      </c>
      <c r="AJ18" s="0" t="n">
        <f aca="false">x_EMP*x_WAGE*(x_WLOSS*(Q18+R18)+S18)+U18*x_ABS_D*x_WAGE/365</f>
        <v>357140467.987423</v>
      </c>
      <c r="AK18" s="0" t="n">
        <f aca="false">AJ18*x_R_FUS</f>
        <v>112999244.071221</v>
      </c>
      <c r="AL18" s="0" t="n">
        <f aca="false">AJ18*x_R_NFZ</f>
        <v>27735885.8843713</v>
      </c>
      <c r="AM18" s="0" t="n">
        <f aca="false">AJ18*x_R_PIT</f>
        <v>23744188.960785</v>
      </c>
      <c r="AN18" s="0" t="n">
        <f aca="false">AJ18*x_R_FP</f>
        <v>9107081.93367929</v>
      </c>
      <c r="AO18" s="0" t="n">
        <f aca="false">AA18+AB18+AC18+AD18+AF18</f>
        <v>509368432.988664</v>
      </c>
      <c r="AP18" s="0" t="n">
        <f aca="false">AO18+AE18+AG18+AH18+AI18+AK18+AL18+AM18+AN18</f>
        <v>697598862.747273</v>
      </c>
      <c r="AQ18" s="0" t="n">
        <f aca="false">AO18+AE18+AG18+AJ18</f>
        <v>866508900.976087</v>
      </c>
      <c r="AR18" s="0" t="n">
        <f aca="false">AB18+AC18+AD18+AF18</f>
        <v>137833427.610024</v>
      </c>
      <c r="AS18" s="0" t="n">
        <f aca="false">AR18+AE18+AG18</f>
        <v>137833427.610024</v>
      </c>
    </row>
    <row r="19" customFormat="false" ht="15" hidden="false" customHeight="false" outlineLevel="0" collapsed="false">
      <c r="A19" s="0" t="n">
        <v>2042</v>
      </c>
      <c r="B19" s="0" t="n">
        <v>16</v>
      </c>
      <c r="C19" s="0" t="n">
        <v>4832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2184.935</v>
      </c>
      <c r="I19" s="0" t="n">
        <v>317.445</v>
      </c>
      <c r="J19" s="0" t="n">
        <v>1814.675</v>
      </c>
      <c r="K19" s="0" t="n">
        <v>3032.795</v>
      </c>
      <c r="L19" s="0" t="n">
        <v>1306.125</v>
      </c>
      <c r="M19" s="0" t="n">
        <v>63790.207</v>
      </c>
      <c r="N19" s="0" t="n">
        <v>6983.271</v>
      </c>
      <c r="O19" s="0" t="n">
        <v>101.802</v>
      </c>
      <c r="P19" s="0" t="n">
        <v>102.159</v>
      </c>
      <c r="Q19" s="0" t="n">
        <v>879.75</v>
      </c>
      <c r="R19" s="0" t="n">
        <v>908.622</v>
      </c>
      <c r="S19" s="0" t="n">
        <v>3781.046</v>
      </c>
      <c r="T19" s="0" t="n">
        <v>2502.38</v>
      </c>
      <c r="U19" s="0" t="n">
        <v>1421.176</v>
      </c>
      <c r="V19" s="0" t="n">
        <v>133556.811</v>
      </c>
      <c r="W19" s="0" t="n">
        <v>337.465</v>
      </c>
      <c r="X19" s="0" t="n">
        <v>874.635</v>
      </c>
      <c r="Y19" s="0" t="n">
        <v>101.802</v>
      </c>
      <c r="Z19" s="0" t="n">
        <v>1075.383</v>
      </c>
      <c r="AA19" s="0" t="n">
        <f aca="false">H19*x_c_F+I19*x_c_CC+J19*x_c_DC+K19*x_c_HCC+L19*x_c_PLT+M19*x_c_SVRn+N19*x_c_SVRcc+O19*x_c_LT+P19*x_c_LT1</f>
        <v>371143821.599206</v>
      </c>
      <c r="AB19" s="0" t="n">
        <f aca="false">C19*x_c_DAA</f>
        <v>109976320</v>
      </c>
      <c r="AC19" s="0" t="n">
        <f aca="false">C19*x_c_MON</f>
        <v>27857107.6100244</v>
      </c>
      <c r="AD19" s="0" t="n">
        <f aca="false">D19*(1-x_testy)</f>
        <v>0</v>
      </c>
      <c r="AE19" s="0" t="n">
        <f aca="false">E19*(1-x_testy)</f>
        <v>0</v>
      </c>
      <c r="AF19" s="0" t="n">
        <f aca="false">F19*x_NAV</f>
        <v>0</v>
      </c>
      <c r="AG19" s="0" t="n">
        <f aca="false">G19*x_FIX*(1-x_testy)</f>
        <v>0</v>
      </c>
      <c r="AH19" s="0" t="n">
        <f aca="false">x_z_F*U19+(1-x_AGRI)*x_EMP*x_WLOSS*(x_PEN_K74*Q19+x_PEN_C22*R19)</f>
        <v>14424776.3245748</v>
      </c>
      <c r="AI19" s="0" t="n">
        <f aca="false">x_AGRI*x_EMP*x_WLOSS*(x_PEN_K74*Q19+x_PEN_C22*R19)</f>
        <v>760324.321496831</v>
      </c>
      <c r="AJ19" s="0" t="n">
        <f aca="false">x_EMP*x_WAGE*(x_WLOSS*(Q19+R19)+S19)+U19*x_ABS_D*x_WAGE/365</f>
        <v>385084496.389095</v>
      </c>
      <c r="AK19" s="0" t="n">
        <f aca="false">AJ19*x_R_FUS</f>
        <v>121840734.65751</v>
      </c>
      <c r="AL19" s="0" t="n">
        <f aca="false">AJ19*x_R_NFZ</f>
        <v>29906047.0740735</v>
      </c>
      <c r="AM19" s="0" t="n">
        <f aca="false">AJ19*x_R_PIT</f>
        <v>25602024.6029733</v>
      </c>
      <c r="AN19" s="0" t="n">
        <f aca="false">AJ19*x_R_FP</f>
        <v>9819654.65792192</v>
      </c>
      <c r="AO19" s="0" t="n">
        <f aca="false">AA19+AB19+AC19+AD19+AF19</f>
        <v>508977249.209231</v>
      </c>
      <c r="AP19" s="0" t="n">
        <f aca="false">AO19+AE19+AG19+AH19+AI19+AK19+AL19+AM19+AN19</f>
        <v>711330810.847781</v>
      </c>
      <c r="AQ19" s="0" t="n">
        <f aca="false">AO19+AE19+AG19+AJ19</f>
        <v>894061745.598326</v>
      </c>
      <c r="AR19" s="0" t="n">
        <f aca="false">AB19+AC19+AD19+AF19</f>
        <v>137833427.610024</v>
      </c>
      <c r="AS19" s="0" t="n">
        <f aca="false">AR19+AE19+AG19</f>
        <v>137833427.610024</v>
      </c>
    </row>
    <row r="20" customFormat="false" ht="15" hidden="false" customHeight="false" outlineLevel="0" collapsed="false">
      <c r="A20" s="0" t="n">
        <v>2043</v>
      </c>
      <c r="B20" s="0" t="n">
        <v>17</v>
      </c>
      <c r="C20" s="0" t="n">
        <v>4832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2187.446</v>
      </c>
      <c r="I20" s="0" t="n">
        <v>313.301</v>
      </c>
      <c r="J20" s="0" t="n">
        <v>1797.206</v>
      </c>
      <c r="K20" s="0" t="n">
        <v>2990.093</v>
      </c>
      <c r="L20" s="0" t="n">
        <v>1291.273</v>
      </c>
      <c r="M20" s="0" t="n">
        <v>66696.143</v>
      </c>
      <c r="N20" s="0" t="n">
        <v>7252.116</v>
      </c>
      <c r="O20" s="0" t="n">
        <v>100.778</v>
      </c>
      <c r="P20" s="0" t="n">
        <v>101.29</v>
      </c>
      <c r="Q20" s="0" t="n">
        <v>908.381</v>
      </c>
      <c r="R20" s="0" t="n">
        <v>945.403</v>
      </c>
      <c r="S20" s="0" t="n">
        <v>4093.489</v>
      </c>
      <c r="T20" s="0" t="n">
        <v>2500.747</v>
      </c>
      <c r="U20" s="0" t="n">
        <v>1470.553</v>
      </c>
      <c r="V20" s="0" t="n">
        <v>134723.112</v>
      </c>
      <c r="W20" s="0" t="n">
        <v>330.304</v>
      </c>
      <c r="X20" s="0" t="n">
        <v>856.771</v>
      </c>
      <c r="Y20" s="0" t="n">
        <v>100.778</v>
      </c>
      <c r="Z20" s="0" t="n">
        <v>1062.062</v>
      </c>
      <c r="AA20" s="0" t="n">
        <f aca="false">H20*x_c_F+I20*x_c_CC+J20*x_c_DC+K20*x_c_HCC+L20*x_c_PLT+M20*x_c_SVRn+N20*x_c_SVRcc+O20*x_c_LT+P20*x_c_LT1</f>
        <v>369779938.821558</v>
      </c>
      <c r="AB20" s="0" t="n">
        <f aca="false">C20*x_c_DAA</f>
        <v>109976320</v>
      </c>
      <c r="AC20" s="0" t="n">
        <f aca="false">C20*x_c_MON</f>
        <v>27857107.6100244</v>
      </c>
      <c r="AD20" s="0" t="n">
        <f aca="false">D20*(1-x_testy)</f>
        <v>0</v>
      </c>
      <c r="AE20" s="0" t="n">
        <f aca="false">E20*(1-x_testy)</f>
        <v>0</v>
      </c>
      <c r="AF20" s="0" t="n">
        <f aca="false">F20*x_NAV</f>
        <v>0</v>
      </c>
      <c r="AG20" s="0" t="n">
        <f aca="false">G20*x_FIX*(1-x_testy)</f>
        <v>0</v>
      </c>
      <c r="AH20" s="0" t="n">
        <f aca="false">x_z_F*U20+(1-x_AGRI)*x_EMP*x_WLOSS*(x_PEN_K74*Q20+x_PEN_C22*R20)</f>
        <v>14949938.2928004</v>
      </c>
      <c r="AI20" s="0" t="n">
        <f aca="false">x_AGRI*x_EMP*x_WLOSS*(x_PEN_K74*Q20+x_PEN_C22*R20)</f>
        <v>788326.606118855</v>
      </c>
      <c r="AJ20" s="0" t="n">
        <f aca="false">x_EMP*x_WAGE*(x_WLOSS*(Q20+R20)+S20)+U20*x_ABS_D*x_WAGE/365</f>
        <v>414009612.695244</v>
      </c>
      <c r="AK20" s="0" t="n">
        <f aca="false">AJ20*x_R_FUS</f>
        <v>130992641.456775</v>
      </c>
      <c r="AL20" s="0" t="n">
        <f aca="false">AJ20*x_R_NFZ</f>
        <v>32152400.5315253</v>
      </c>
      <c r="AM20" s="0" t="n">
        <f aca="false">AJ20*x_R_PIT</f>
        <v>27525087.0639602</v>
      </c>
      <c r="AN20" s="0" t="n">
        <f aca="false">AJ20*x_R_FP</f>
        <v>10557245.1237287</v>
      </c>
      <c r="AO20" s="0" t="n">
        <f aca="false">AA20+AB20+AC20+AD20+AF20</f>
        <v>507613366.431583</v>
      </c>
      <c r="AP20" s="0" t="n">
        <f aca="false">AO20+AE20+AG20+AH20+AI20+AK20+AL20+AM20+AN20</f>
        <v>724579005.506491</v>
      </c>
      <c r="AQ20" s="0" t="n">
        <f aca="false">AO20+AE20+AG20+AJ20</f>
        <v>921622979.126827</v>
      </c>
      <c r="AR20" s="0" t="n">
        <f aca="false">AB20+AC20+AD20+AF20</f>
        <v>137833427.610024</v>
      </c>
      <c r="AS20" s="0" t="n">
        <f aca="false">AR20+AE20+AG20</f>
        <v>137833427.610024</v>
      </c>
    </row>
    <row r="21" customFormat="false" ht="15" hidden="false" customHeight="false" outlineLevel="0" collapsed="false">
      <c r="A21" s="0" t="n">
        <v>2044</v>
      </c>
      <c r="B21" s="0" t="n">
        <v>18</v>
      </c>
      <c r="C21" s="0" t="n">
        <v>4832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2190.802</v>
      </c>
      <c r="I21" s="0" t="n">
        <v>308.365</v>
      </c>
      <c r="J21" s="0" t="n">
        <v>1774.618</v>
      </c>
      <c r="K21" s="0" t="n">
        <v>2940.484</v>
      </c>
      <c r="L21" s="0" t="n">
        <v>1275.619</v>
      </c>
      <c r="M21" s="0" t="n">
        <v>69558.019</v>
      </c>
      <c r="N21" s="0" t="n">
        <v>7493.831</v>
      </c>
      <c r="O21" s="0" t="n">
        <v>99.464</v>
      </c>
      <c r="P21" s="0" t="n">
        <v>100.121</v>
      </c>
      <c r="Q21" s="0" t="n">
        <v>938.174</v>
      </c>
      <c r="R21" s="0" t="n">
        <v>983.455</v>
      </c>
      <c r="S21" s="0" t="n">
        <v>4416.816</v>
      </c>
      <c r="T21" s="0" t="n">
        <v>2499.167</v>
      </c>
      <c r="U21" s="0" t="n">
        <v>1517.593</v>
      </c>
      <c r="V21" s="0" t="n">
        <v>135912.952</v>
      </c>
      <c r="W21" s="0" t="n">
        <v>322.624</v>
      </c>
      <c r="X21" s="0" t="n">
        <v>837.88</v>
      </c>
      <c r="Y21" s="0" t="n">
        <v>99.464</v>
      </c>
      <c r="Z21" s="0" t="n">
        <v>1046.086</v>
      </c>
      <c r="AA21" s="0" t="n">
        <f aca="false">H21*x_c_F+I21*x_c_CC+J21*x_c_DC+K21*x_c_HCC+L21*x_c_PLT+M21*x_c_SVRn+N21*x_c_SVRcc+O21*x_c_LT+P21*x_c_LT1</f>
        <v>367647035.403912</v>
      </c>
      <c r="AB21" s="0" t="n">
        <f aca="false">C21*x_c_DAA</f>
        <v>109976320</v>
      </c>
      <c r="AC21" s="0" t="n">
        <f aca="false">C21*x_c_MON</f>
        <v>27857107.6100244</v>
      </c>
      <c r="AD21" s="0" t="n">
        <f aca="false">D21*(1-x_testy)</f>
        <v>0</v>
      </c>
      <c r="AE21" s="0" t="n">
        <f aca="false">E21*(1-x_testy)</f>
        <v>0</v>
      </c>
      <c r="AF21" s="0" t="n">
        <f aca="false">F21*x_NAV</f>
        <v>0</v>
      </c>
      <c r="AG21" s="0" t="n">
        <f aca="false">G21*x_FIX*(1-x_testy)</f>
        <v>0</v>
      </c>
      <c r="AH21" s="0" t="n">
        <f aca="false">x_z_F*U21+(1-x_AGRI)*x_EMP*x_WLOSS*(x_PEN_K74*Q21+x_PEN_C22*R21)</f>
        <v>15485973.4995142</v>
      </c>
      <c r="AI21" s="0" t="n">
        <f aca="false">x_AGRI*x_EMP*x_WLOSS*(x_PEN_K74*Q21+x_PEN_C22*R21)</f>
        <v>817365.169332769</v>
      </c>
      <c r="AJ21" s="0" t="n">
        <f aca="false">x_EMP*x_WAGE*(x_WLOSS*(Q21+R21)+S21)+U21*x_ABS_D*x_WAGE/365</f>
        <v>443935475.230329</v>
      </c>
      <c r="AK21" s="0" t="n">
        <f aca="false">AJ21*x_R_FUS</f>
        <v>140461184.362876</v>
      </c>
      <c r="AL21" s="0" t="n">
        <f aca="false">AJ21*x_R_NFZ</f>
        <v>34476472.9418626</v>
      </c>
      <c r="AM21" s="0" t="n">
        <f aca="false">AJ21*x_R_PIT</f>
        <v>29514683.3112064</v>
      </c>
      <c r="AN21" s="0" t="n">
        <f aca="false">AJ21*x_R_FP</f>
        <v>11320354.6183734</v>
      </c>
      <c r="AO21" s="0" t="n">
        <f aca="false">AA21+AB21+AC21+AD21+AF21</f>
        <v>505480463.013936</v>
      </c>
      <c r="AP21" s="0" t="n">
        <f aca="false">AO21+AE21+AG21+AH21+AI21+AK21+AL21+AM21+AN21</f>
        <v>737556496.917101</v>
      </c>
      <c r="AQ21" s="0" t="n">
        <f aca="false">AO21+AE21+AG21+AJ21</f>
        <v>949415938.244265</v>
      </c>
      <c r="AR21" s="0" t="n">
        <f aca="false">AB21+AC21+AD21+AF21</f>
        <v>137833427.610024</v>
      </c>
      <c r="AS21" s="0" t="n">
        <f aca="false">AR21+AE21+AG21</f>
        <v>137833427.610024</v>
      </c>
    </row>
    <row r="22" customFormat="false" ht="15" hidden="false" customHeight="false" outlineLevel="0" collapsed="false">
      <c r="A22" s="0" t="n">
        <v>2045</v>
      </c>
      <c r="B22" s="0" t="n">
        <v>19</v>
      </c>
      <c r="C22" s="0" t="n">
        <v>4832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2194.801</v>
      </c>
      <c r="I22" s="0" t="n">
        <v>302.852</v>
      </c>
      <c r="J22" s="0" t="n">
        <v>1747.734</v>
      </c>
      <c r="K22" s="0" t="n">
        <v>2885.707</v>
      </c>
      <c r="L22" s="0" t="n">
        <v>1258.925</v>
      </c>
      <c r="M22" s="0" t="n">
        <v>72380.302</v>
      </c>
      <c r="N22" s="0" t="n">
        <v>7708.76</v>
      </c>
      <c r="O22" s="0" t="n">
        <v>97.929</v>
      </c>
      <c r="P22" s="0" t="n">
        <v>98.697</v>
      </c>
      <c r="Q22" s="0" t="n">
        <v>969.148</v>
      </c>
      <c r="R22" s="0" t="n">
        <v>1022.749</v>
      </c>
      <c r="S22" s="0" t="n">
        <v>4751.2</v>
      </c>
      <c r="T22" s="0" t="n">
        <v>2497.653</v>
      </c>
      <c r="U22" s="0" t="n">
        <v>1562.069</v>
      </c>
      <c r="V22" s="0" t="n">
        <v>137133.363</v>
      </c>
      <c r="W22" s="0" t="n">
        <v>314.701</v>
      </c>
      <c r="X22" s="0" t="n">
        <v>818.596</v>
      </c>
      <c r="Y22" s="0" t="n">
        <v>97.929</v>
      </c>
      <c r="Z22" s="0" t="n">
        <v>1028.2</v>
      </c>
      <c r="AA22" s="0" t="n">
        <f aca="false">H22*x_c_F+I22*x_c_CC+J22*x_c_DC+K22*x_c_HCC+L22*x_c_PLT+M22*x_c_SVRn+N22*x_c_SVRcc+O22*x_c_LT+P22*x_c_LT1</f>
        <v>364891799.814245</v>
      </c>
      <c r="AB22" s="0" t="n">
        <f aca="false">C22*x_c_DAA</f>
        <v>109976320</v>
      </c>
      <c r="AC22" s="0" t="n">
        <f aca="false">C22*x_c_MON</f>
        <v>27857107.6100244</v>
      </c>
      <c r="AD22" s="0" t="n">
        <f aca="false">D22*(1-x_testy)</f>
        <v>0</v>
      </c>
      <c r="AE22" s="0" t="n">
        <f aca="false">E22*(1-x_testy)</f>
        <v>0</v>
      </c>
      <c r="AF22" s="0" t="n">
        <f aca="false">F22*x_NAV</f>
        <v>0</v>
      </c>
      <c r="AG22" s="0" t="n">
        <f aca="false">G22*x_FIX*(1-x_testy)</f>
        <v>0</v>
      </c>
      <c r="AH22" s="0" t="n">
        <f aca="false">x_z_F*U22+(1-x_AGRI)*x_EMP*x_WLOSS*(x_PEN_K74*Q22+x_PEN_C22*R22)</f>
        <v>16032331.2988806</v>
      </c>
      <c r="AI22" s="0" t="n">
        <f aca="false">x_AGRI*x_EMP*x_WLOSS*(x_PEN_K74*Q22+x_PEN_C22*R22)</f>
        <v>847434.461871929</v>
      </c>
      <c r="AJ22" s="0" t="n">
        <f aca="false">x_EMP*x_WAGE*(x_WLOSS*(Q22+R22)+S22)+U22*x_ABS_D*x_WAGE/365</f>
        <v>474875839.955203</v>
      </c>
      <c r="AK22" s="0" t="n">
        <f aca="false">AJ22*x_R_FUS</f>
        <v>150250715.761826</v>
      </c>
      <c r="AL22" s="0" t="n">
        <f aca="false">AJ22*x_R_NFZ</f>
        <v>36879332.606761</v>
      </c>
      <c r="AM22" s="0" t="n">
        <f aca="false">AJ22*x_R_PIT</f>
        <v>31571727.8984047</v>
      </c>
      <c r="AN22" s="0" t="n">
        <f aca="false">AJ22*x_R_FP</f>
        <v>12109333.9188577</v>
      </c>
      <c r="AO22" s="0" t="n">
        <f aca="false">AA22+AB22+AC22+AD22+AF22</f>
        <v>502725227.42427</v>
      </c>
      <c r="AP22" s="0" t="n">
        <f aca="false">AO22+AE22+AG22+AH22+AI22+AK22+AL22+AM22+AN22</f>
        <v>750416103.370872</v>
      </c>
      <c r="AQ22" s="0" t="n">
        <f aca="false">AO22+AE22+AG22+AJ22</f>
        <v>977601067.379473</v>
      </c>
      <c r="AR22" s="0" t="n">
        <f aca="false">AB22+AC22+AD22+AF22</f>
        <v>137833427.610024</v>
      </c>
      <c r="AS22" s="0" t="n">
        <f aca="false">AR22+AE22+AG22</f>
        <v>137833427.610024</v>
      </c>
    </row>
    <row r="23" customFormat="false" ht="15" hidden="false" customHeight="false" outlineLevel="0" collapsed="false">
      <c r="A23" s="0" t="n">
        <v>2046</v>
      </c>
      <c r="B23" s="0" t="n">
        <v>20</v>
      </c>
      <c r="C23" s="0" t="n">
        <v>4832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2199.24</v>
      </c>
      <c r="I23" s="0" t="n">
        <v>296.978</v>
      </c>
      <c r="J23" s="0" t="n">
        <v>1717.684</v>
      </c>
      <c r="K23" s="0" t="n">
        <v>2827.789</v>
      </c>
      <c r="L23" s="0" t="n">
        <v>1241.444</v>
      </c>
      <c r="M23" s="0" t="n">
        <v>75176.033</v>
      </c>
      <c r="N23" s="0" t="n">
        <v>7899.06</v>
      </c>
      <c r="O23" s="0" t="n">
        <v>96.233</v>
      </c>
      <c r="P23" s="0" t="n">
        <v>97.081</v>
      </c>
      <c r="Q23" s="0" t="n">
        <v>1001.29</v>
      </c>
      <c r="R23" s="0" t="n">
        <v>1063.196</v>
      </c>
      <c r="S23" s="0" t="n">
        <v>5096.724</v>
      </c>
      <c r="T23" s="0" t="n">
        <v>2496.218</v>
      </c>
      <c r="U23" s="0" t="n">
        <v>1603.772</v>
      </c>
      <c r="V23" s="0" t="n">
        <v>138399.052</v>
      </c>
      <c r="W23" s="0" t="n">
        <v>306.751</v>
      </c>
      <c r="X23" s="0" t="n">
        <v>799.408</v>
      </c>
      <c r="Y23" s="0" t="n">
        <v>96.233</v>
      </c>
      <c r="Z23" s="0" t="n">
        <v>1009.036</v>
      </c>
      <c r="AA23" s="0" t="n">
        <f aca="false">H23*x_c_F+I23*x_c_CC+J23*x_c_DC+K23*x_c_HCC+L23*x_c_PLT+M23*x_c_SVRn+N23*x_c_SVRcc+O23*x_c_LT+P23*x_c_LT1</f>
        <v>361708172.939162</v>
      </c>
      <c r="AB23" s="0" t="n">
        <f aca="false">C23*x_c_DAA</f>
        <v>109976320</v>
      </c>
      <c r="AC23" s="0" t="n">
        <f aca="false">C23*x_c_MON</f>
        <v>27857107.6100244</v>
      </c>
      <c r="AD23" s="0" t="n">
        <f aca="false">D23*(1-x_testy)</f>
        <v>0</v>
      </c>
      <c r="AE23" s="0" t="n">
        <f aca="false">E23*(1-x_testy)</f>
        <v>0</v>
      </c>
      <c r="AF23" s="0" t="n">
        <f aca="false">F23*x_NAV</f>
        <v>0</v>
      </c>
      <c r="AG23" s="0" t="n">
        <f aca="false">G23*x_FIX*(1-x_testy)</f>
        <v>0</v>
      </c>
      <c r="AH23" s="0" t="n">
        <f aca="false">x_z_F*U23+(1-x_AGRI)*x_EMP*x_WLOSS*(x_PEN_K74*Q23+x_PEN_C22*R23)</f>
        <v>16587895.4167265</v>
      </c>
      <c r="AI23" s="0" t="n">
        <f aca="false">x_AGRI*x_EMP*x_WLOSS*(x_PEN_K74*Q23+x_PEN_C22*R23)</f>
        <v>878489.101475319</v>
      </c>
      <c r="AJ23" s="0" t="n">
        <f aca="false">x_EMP*x_WAGE*(x_WLOSS*(Q23+R23)+S23)+U23*x_ABS_D*x_WAGE/365</f>
        <v>506833830.961488</v>
      </c>
      <c r="AK23" s="0" t="n">
        <f aca="false">AJ23*x_R_FUS</f>
        <v>160362224.116215</v>
      </c>
      <c r="AL23" s="0" t="n">
        <f aca="false">AJ23*x_R_NFZ</f>
        <v>39361222.1463001</v>
      </c>
      <c r="AM23" s="0" t="n">
        <f aca="false">AJ23*x_R_PIT</f>
        <v>33696428.5282057</v>
      </c>
      <c r="AN23" s="0" t="n">
        <f aca="false">AJ23*x_R_FP</f>
        <v>12924262.6895179</v>
      </c>
      <c r="AO23" s="0" t="n">
        <f aca="false">AA23+AB23+AC23+AD23+AF23</f>
        <v>499541600.549186</v>
      </c>
      <c r="AP23" s="0" t="n">
        <f aca="false">AO23+AE23+AG23+AH23+AI23+AK23+AL23+AM23+AN23</f>
        <v>763352122.547627</v>
      </c>
      <c r="AQ23" s="0" t="n">
        <f aca="false">AO23+AE23+AG23+AJ23</f>
        <v>1006375431.51067</v>
      </c>
      <c r="AR23" s="0" t="n">
        <f aca="false">AB23+AC23+AD23+AF23</f>
        <v>137833427.610024</v>
      </c>
      <c r="AS23" s="0" t="n">
        <f aca="false">AR23+AE23+AG23</f>
        <v>137833427.610024</v>
      </c>
    </row>
    <row r="24" customFormat="false" ht="15" hidden="false" customHeight="false" outlineLevel="0" collapsed="false">
      <c r="A24" s="0" t="n">
        <v>2047</v>
      </c>
      <c r="B24" s="0" t="n">
        <v>21</v>
      </c>
      <c r="C24" s="0" t="n">
        <v>4832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2203.937</v>
      </c>
      <c r="I24" s="0" t="n">
        <v>290.932</v>
      </c>
      <c r="J24" s="0" t="n">
        <v>1685.49</v>
      </c>
      <c r="K24" s="0" t="n">
        <v>2768.451</v>
      </c>
      <c r="L24" s="0" t="n">
        <v>1223.398</v>
      </c>
      <c r="M24" s="0" t="n">
        <v>77955.702</v>
      </c>
      <c r="N24" s="0" t="n">
        <v>8066.991</v>
      </c>
      <c r="O24" s="0" t="n">
        <v>94.431</v>
      </c>
      <c r="P24" s="0" t="n">
        <v>95.332</v>
      </c>
      <c r="Q24" s="0" t="n">
        <v>1034.56</v>
      </c>
      <c r="R24" s="0" t="n">
        <v>1104.659</v>
      </c>
      <c r="S24" s="0" t="n">
        <v>5453.399</v>
      </c>
      <c r="T24" s="0" t="n">
        <v>2494.869</v>
      </c>
      <c r="U24" s="0" t="n">
        <v>1642.585</v>
      </c>
      <c r="V24" s="0" t="n">
        <v>139719.129</v>
      </c>
      <c r="W24" s="0" t="n">
        <v>298.949</v>
      </c>
      <c r="X24" s="0" t="n">
        <v>780.709</v>
      </c>
      <c r="Y24" s="0" t="n">
        <v>94.431</v>
      </c>
      <c r="Z24" s="0" t="n">
        <v>989.183</v>
      </c>
      <c r="AA24" s="0" t="n">
        <f aca="false">H24*x_c_F+I24*x_c_CC+J24*x_c_DC+K24*x_c_HCC+L24*x_c_PLT+M24*x_c_SVRn+N24*x_c_SVRcc+O24*x_c_LT+P24*x_c_LT1</f>
        <v>358264648.987497</v>
      </c>
      <c r="AB24" s="0" t="n">
        <f aca="false">C24*x_c_DAA</f>
        <v>109976320</v>
      </c>
      <c r="AC24" s="0" t="n">
        <f aca="false">C24*x_c_MON</f>
        <v>27857107.6100244</v>
      </c>
      <c r="AD24" s="0" t="n">
        <f aca="false">D24*(1-x_testy)</f>
        <v>0</v>
      </c>
      <c r="AE24" s="0" t="n">
        <f aca="false">E24*(1-x_testy)</f>
        <v>0</v>
      </c>
      <c r="AF24" s="0" t="n">
        <f aca="false">F24*x_NAV</f>
        <v>0</v>
      </c>
      <c r="AG24" s="0" t="n">
        <f aca="false">G24*x_FIX*(1-x_testy)</f>
        <v>0</v>
      </c>
      <c r="AH24" s="0" t="n">
        <f aca="false">x_z_F*U24+(1-x_AGRI)*x_EMP*x_WLOSS*(x_PEN_K74*Q24+x_PEN_C22*R24)</f>
        <v>17151248.1935056</v>
      </c>
      <c r="AI24" s="0" t="n">
        <f aca="false">x_AGRI*x_EMP*x_WLOSS*(x_PEN_K74*Q24+x_PEN_C22*R24)</f>
        <v>910451.282870772</v>
      </c>
      <c r="AJ24" s="0" t="n">
        <f aca="false">x_EMP*x_WAGE*(x_WLOSS*(Q24+R24)+S24)+U24*x_ABS_D*x_WAGE/365</f>
        <v>539804248.963287</v>
      </c>
      <c r="AK24" s="0" t="n">
        <f aca="false">AJ24*x_R_FUS</f>
        <v>170794064.371984</v>
      </c>
      <c r="AL24" s="0" t="n">
        <f aca="false">AJ24*x_R_NFZ</f>
        <v>41921737.7787378</v>
      </c>
      <c r="AM24" s="0" t="n">
        <f aca="false">AJ24*x_R_PIT</f>
        <v>35888439.5303819</v>
      </c>
      <c r="AN24" s="0" t="n">
        <f aca="false">AJ24*x_R_FP</f>
        <v>13765008.3485638</v>
      </c>
      <c r="AO24" s="0" t="n">
        <f aca="false">AA24+AB24+AC24+AD24+AF24</f>
        <v>496098076.597521</v>
      </c>
      <c r="AP24" s="0" t="n">
        <f aca="false">AO24+AE24+AG24+AH24+AI24+AK24+AL24+AM24+AN24</f>
        <v>776529026.103565</v>
      </c>
      <c r="AQ24" s="0" t="n">
        <f aca="false">AO24+AE24+AG24+AJ24</f>
        <v>1035902325.56081</v>
      </c>
      <c r="AR24" s="0" t="n">
        <f aca="false">AB24+AC24+AD24+AF24</f>
        <v>137833427.610024</v>
      </c>
      <c r="AS24" s="0" t="n">
        <f aca="false">AR24+AE24+AG24</f>
        <v>137833427.610024</v>
      </c>
    </row>
    <row r="25" customFormat="false" ht="15" hidden="false" customHeight="false" outlineLevel="0" collapsed="false">
      <c r="A25" s="0" t="n">
        <v>2048</v>
      </c>
      <c r="B25" s="0" t="n">
        <v>22</v>
      </c>
      <c r="C25" s="0" t="n">
        <v>4832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2208.732</v>
      </c>
      <c r="I25" s="0" t="n">
        <v>284.877</v>
      </c>
      <c r="J25" s="0" t="n">
        <v>1652.077</v>
      </c>
      <c r="K25" s="0" t="n">
        <v>2709.149</v>
      </c>
      <c r="L25" s="0" t="n">
        <v>1205.004</v>
      </c>
      <c r="M25" s="0" t="n">
        <v>80728.155</v>
      </c>
      <c r="N25" s="0" t="n">
        <v>8214.966</v>
      </c>
      <c r="O25" s="0" t="n">
        <v>92.575</v>
      </c>
      <c r="P25" s="0" t="n">
        <v>93.503</v>
      </c>
      <c r="Q25" s="0" t="n">
        <v>1068.894</v>
      </c>
      <c r="R25" s="0" t="n">
        <v>1146.962</v>
      </c>
      <c r="S25" s="0" t="n">
        <v>5821.166</v>
      </c>
      <c r="T25" s="0" t="n">
        <v>2493.609</v>
      </c>
      <c r="U25" s="0" t="n">
        <v>1678.456</v>
      </c>
      <c r="V25" s="0" t="n">
        <v>141099.452</v>
      </c>
      <c r="W25" s="0" t="n">
        <v>291.429</v>
      </c>
      <c r="X25" s="0" t="n">
        <v>762.789</v>
      </c>
      <c r="Y25" s="0" t="n">
        <v>92.575</v>
      </c>
      <c r="Z25" s="0" t="n">
        <v>969.13</v>
      </c>
      <c r="AA25" s="0" t="n">
        <f aca="false">H25*x_c_F+I25*x_c_CC+J25*x_c_DC+K25*x_c_HCC+L25*x_c_PLT+M25*x_c_SVRn+N25*x_c_SVRcc+O25*x_c_LT+P25*x_c_LT1</f>
        <v>354709170.217422</v>
      </c>
      <c r="AB25" s="0" t="n">
        <f aca="false">C25*x_c_DAA</f>
        <v>109976320</v>
      </c>
      <c r="AC25" s="0" t="n">
        <f aca="false">C25*x_c_MON</f>
        <v>27857107.6100244</v>
      </c>
      <c r="AD25" s="0" t="n">
        <f aca="false">D25*(1-x_testy)</f>
        <v>0</v>
      </c>
      <c r="AE25" s="0" t="n">
        <f aca="false">E25*(1-x_testy)</f>
        <v>0</v>
      </c>
      <c r="AF25" s="0" t="n">
        <f aca="false">F25*x_NAV</f>
        <v>0</v>
      </c>
      <c r="AG25" s="0" t="n">
        <f aca="false">G25*x_FIX*(1-x_testy)</f>
        <v>0</v>
      </c>
      <c r="AH25" s="0" t="n">
        <f aca="false">x_z_F*U25+(1-x_AGRI)*x_EMP*x_WLOSS*(x_PEN_K74*Q25+x_PEN_C22*R25)</f>
        <v>17720694.6429461</v>
      </c>
      <c r="AI25" s="0" t="n">
        <f aca="false">x_AGRI*x_EMP*x_WLOSS*(x_PEN_K74*Q25+x_PEN_C22*R25)</f>
        <v>943216.037075422</v>
      </c>
      <c r="AJ25" s="0" t="n">
        <f aca="false">x_EMP*x_WAGE*(x_WLOSS*(Q25+R25)+S25)+U25*x_ABS_D*x_WAGE/365</f>
        <v>573774055.286483</v>
      </c>
      <c r="AK25" s="0" t="n">
        <f aca="false">AJ25*x_R_FUS</f>
        <v>181542111.092643</v>
      </c>
      <c r="AL25" s="0" t="n">
        <f aca="false">AJ25*x_R_NFZ</f>
        <v>44559866.9076035</v>
      </c>
      <c r="AM25" s="0" t="n">
        <f aca="false">AJ25*x_R_PIT</f>
        <v>38146894.0394566</v>
      </c>
      <c r="AN25" s="0" t="n">
        <f aca="false">AJ25*x_R_FP</f>
        <v>14631238.4098053</v>
      </c>
      <c r="AO25" s="0" t="n">
        <f aca="false">AA25+AB25+AC25+AD25+AF25</f>
        <v>492542597.827446</v>
      </c>
      <c r="AP25" s="0" t="n">
        <f aca="false">AO25+AE25+AG25+AH25+AI25+AK25+AL25+AM25+AN25</f>
        <v>790086618.956976</v>
      </c>
      <c r="AQ25" s="0" t="n">
        <f aca="false">AO25+AE25+AG25+AJ25</f>
        <v>1066316653.11393</v>
      </c>
      <c r="AR25" s="0" t="n">
        <f aca="false">AB25+AC25+AD25+AF25</f>
        <v>137833427.610024</v>
      </c>
      <c r="AS25" s="0" t="n">
        <f aca="false">AR25+AE25+AG25</f>
        <v>137833427.610024</v>
      </c>
    </row>
    <row r="26" customFormat="false" ht="15" hidden="false" customHeight="false" outlineLevel="0" collapsed="false">
      <c r="A26" s="0" t="n">
        <v>2049</v>
      </c>
      <c r="B26" s="0" t="n">
        <v>23</v>
      </c>
      <c r="C26" s="0" t="n">
        <v>4832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2213.503</v>
      </c>
      <c r="I26" s="0" t="n">
        <v>278.933</v>
      </c>
      <c r="J26" s="0" t="n">
        <v>1618.183</v>
      </c>
      <c r="K26" s="0" t="n">
        <v>2650.956</v>
      </c>
      <c r="L26" s="0" t="n">
        <v>1186.412</v>
      </c>
      <c r="M26" s="0" t="n">
        <v>83498.855</v>
      </c>
      <c r="N26" s="0" t="n">
        <v>8345.062</v>
      </c>
      <c r="O26" s="0" t="n">
        <v>90.699</v>
      </c>
      <c r="P26" s="0" t="n">
        <v>91.637</v>
      </c>
      <c r="Q26" s="0" t="n">
        <v>1104.205</v>
      </c>
      <c r="R26" s="0" t="n">
        <v>1189.896</v>
      </c>
      <c r="S26" s="0" t="n">
        <v>6199.896</v>
      </c>
      <c r="T26" s="0" t="n">
        <v>2492.437</v>
      </c>
      <c r="U26" s="0" t="n">
        <v>1711.421</v>
      </c>
      <c r="V26" s="0" t="n">
        <v>142540.469</v>
      </c>
      <c r="W26" s="0" t="n">
        <v>284.267</v>
      </c>
      <c r="X26" s="0" t="n">
        <v>745.804</v>
      </c>
      <c r="Y26" s="0" t="n">
        <v>90.699</v>
      </c>
      <c r="Z26" s="0" t="n">
        <v>949.22</v>
      </c>
      <c r="AA26" s="0" t="n">
        <f aca="false">H26*x_c_F+I26*x_c_CC+J26*x_c_DC+K26*x_c_HCC+L26*x_c_PLT+M26*x_c_SVRn+N26*x_c_SVRcc+O26*x_c_LT+P26*x_c_LT1</f>
        <v>351150329.083999</v>
      </c>
      <c r="AB26" s="0" t="n">
        <f aca="false">C26*x_c_DAA</f>
        <v>109976320</v>
      </c>
      <c r="AC26" s="0" t="n">
        <f aca="false">C26*x_c_MON</f>
        <v>27857107.6100244</v>
      </c>
      <c r="AD26" s="0" t="n">
        <f aca="false">D26*(1-x_testy)</f>
        <v>0</v>
      </c>
      <c r="AE26" s="0" t="n">
        <f aca="false">E26*(1-x_testy)</f>
        <v>0</v>
      </c>
      <c r="AF26" s="0" t="n">
        <f aca="false">F26*x_NAV</f>
        <v>0</v>
      </c>
      <c r="AG26" s="0" t="n">
        <f aca="false">G26*x_FIX*(1-x_testy)</f>
        <v>0</v>
      </c>
      <c r="AH26" s="0" t="n">
        <f aca="false">x_z_F*U26+(1-x_AGRI)*x_EMP*x_WLOSS*(x_PEN_K74*Q26+x_PEN_C22*R26)</f>
        <v>18294356.7682803</v>
      </c>
      <c r="AI26" s="0" t="n">
        <f aca="false">x_AGRI*x_EMP*x_WLOSS*(x_PEN_K74*Q26+x_PEN_C22*R26)</f>
        <v>976654.340013405</v>
      </c>
      <c r="AJ26" s="0" t="n">
        <f aca="false">x_EMP*x_WAGE*(x_WLOSS*(Q26+R26)+S26)+U26*x_ABS_D*x_WAGE/365</f>
        <v>608722668.549376</v>
      </c>
      <c r="AK26" s="0" t="n">
        <f aca="false">AJ26*x_R_FUS</f>
        <v>192599852.329023</v>
      </c>
      <c r="AL26" s="0" t="n">
        <f aca="false">AJ26*x_R_NFZ</f>
        <v>47274011.1622131</v>
      </c>
      <c r="AM26" s="0" t="n">
        <f aca="false">AJ26*x_R_PIT</f>
        <v>40470423.7192709</v>
      </c>
      <c r="AN26" s="0" t="n">
        <f aca="false">AJ26*x_R_FP</f>
        <v>15522428.0480091</v>
      </c>
      <c r="AO26" s="0" t="n">
        <f aca="false">AA26+AB26+AC26+AD26+AF26</f>
        <v>488983756.694023</v>
      </c>
      <c r="AP26" s="0" t="n">
        <f aca="false">AO26+AE26+AG26+AH26+AI26+AK26+AL26+AM26+AN26</f>
        <v>804121483.060832</v>
      </c>
      <c r="AQ26" s="0" t="n">
        <f aca="false">AO26+AE26+AG26+AJ26</f>
        <v>1097706425.2434</v>
      </c>
      <c r="AR26" s="0" t="n">
        <f aca="false">AB26+AC26+AD26+AF26</f>
        <v>137833427.610024</v>
      </c>
      <c r="AS26" s="0" t="n">
        <f aca="false">AR26+AE26+AG26</f>
        <v>137833427.610024</v>
      </c>
    </row>
    <row r="27" customFormat="false" ht="15" hidden="false" customHeight="false" outlineLevel="0" collapsed="false">
      <c r="A27" s="0" t="n">
        <v>2050</v>
      </c>
      <c r="B27" s="0" t="n">
        <v>24</v>
      </c>
      <c r="C27" s="0" t="n">
        <v>4832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2218.159</v>
      </c>
      <c r="I27" s="0" t="n">
        <v>273.189</v>
      </c>
      <c r="J27" s="0" t="n">
        <v>1584.37</v>
      </c>
      <c r="K27" s="0" t="n">
        <v>2594.612</v>
      </c>
      <c r="L27" s="0" t="n">
        <v>1167.721</v>
      </c>
      <c r="M27" s="0" t="n">
        <v>86270.48</v>
      </c>
      <c r="N27" s="0" t="n">
        <v>8459.029</v>
      </c>
      <c r="O27" s="0" t="n">
        <v>88.834</v>
      </c>
      <c r="P27" s="0" t="n">
        <v>89.766</v>
      </c>
      <c r="Q27" s="0" t="n">
        <v>1140.363</v>
      </c>
      <c r="R27" s="0" t="n">
        <v>1233.212</v>
      </c>
      <c r="S27" s="0" t="n">
        <v>6589.245</v>
      </c>
      <c r="T27" s="0" t="n">
        <v>2491.349</v>
      </c>
      <c r="U27" s="0" t="n">
        <v>1741.574</v>
      </c>
      <c r="V27" s="0" t="n">
        <v>144038.77</v>
      </c>
      <c r="W27" s="0" t="n">
        <v>277.509</v>
      </c>
      <c r="X27" s="0" t="n">
        <v>729.838</v>
      </c>
      <c r="Y27" s="0" t="n">
        <v>88.834</v>
      </c>
      <c r="Z27" s="0" t="n">
        <v>929.73</v>
      </c>
      <c r="AA27" s="0" t="n">
        <f aca="false">H27*x_c_F+I27*x_c_CC+J27*x_c_DC+K27*x_c_HCC+L27*x_c_PLT+M27*x_c_SVRn+N27*x_c_SVRcc+O27*x_c_LT+P27*x_c_LT1</f>
        <v>347666749.522827</v>
      </c>
      <c r="AB27" s="0" t="n">
        <f aca="false">C27*x_c_DAA</f>
        <v>109976320</v>
      </c>
      <c r="AC27" s="0" t="n">
        <f aca="false">C27*x_c_MON</f>
        <v>27857107.6100244</v>
      </c>
      <c r="AD27" s="0" t="n">
        <f aca="false">D27*(1-x_testy)</f>
        <v>0</v>
      </c>
      <c r="AE27" s="0" t="n">
        <f aca="false">E27*(1-x_testy)</f>
        <v>0</v>
      </c>
      <c r="AF27" s="0" t="n">
        <f aca="false">F27*x_NAV</f>
        <v>0</v>
      </c>
      <c r="AG27" s="0" t="n">
        <f aca="false">G27*x_FIX*(1-x_testy)</f>
        <v>0</v>
      </c>
      <c r="AH27" s="0" t="n">
        <f aca="false">x_z_F*U27+(1-x_AGRI)*x_EMP*x_WLOSS*(x_PEN_K74*Q27+x_PEN_C22*R27)</f>
        <v>18869943.7330165</v>
      </c>
      <c r="AI27" s="0" t="n">
        <f aca="false">x_AGRI*x_EMP*x_WLOSS*(x_PEN_K74*Q27+x_PEN_C22*R27)</f>
        <v>1010601.99798938</v>
      </c>
      <c r="AJ27" s="0" t="n">
        <f aca="false">x_EMP*x_WAGE*(x_WLOSS*(Q27+R27)+S27)+U27*x_ABS_D*x_WAGE/365</f>
        <v>644608630.019099</v>
      </c>
      <c r="AK27" s="0" t="n">
        <f aca="false">AJ27*x_R_FUS</f>
        <v>203954170.538043</v>
      </c>
      <c r="AL27" s="0" t="n">
        <f aca="false">AJ27*x_R_NFZ</f>
        <v>50060950.8159132</v>
      </c>
      <c r="AM27" s="0" t="n">
        <f aca="false">AJ27*x_R_PIT</f>
        <v>42856272.2202213</v>
      </c>
      <c r="AN27" s="0" t="n">
        <f aca="false">AJ27*x_R_FP</f>
        <v>16437520.065487</v>
      </c>
      <c r="AO27" s="0" t="n">
        <f aca="false">AA27+AB27+AC27+AD27+AF27</f>
        <v>485500177.132851</v>
      </c>
      <c r="AP27" s="0" t="n">
        <f aca="false">AO27+AE27+AG27+AH27+AI27+AK27+AL27+AM27+AN27</f>
        <v>818689636.503521</v>
      </c>
      <c r="AQ27" s="0" t="n">
        <f aca="false">AO27+AE27+AG27+AJ27</f>
        <v>1130108807.15195</v>
      </c>
      <c r="AR27" s="0" t="n">
        <f aca="false">AB27+AC27+AD27+AF27</f>
        <v>137833427.610024</v>
      </c>
      <c r="AS27" s="0" t="n">
        <f aca="false">AR27+AE27+AG27</f>
        <v>137833427.610024</v>
      </c>
    </row>
    <row r="28" customFormat="false" ht="15" hidden="false" customHeight="false" outlineLevel="0" collapsed="false">
      <c r="A28" s="0" t="n">
        <v>2051</v>
      </c>
      <c r="B28" s="0" t="n">
        <v>25</v>
      </c>
      <c r="C28" s="0" t="n">
        <v>4832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2222.64</v>
      </c>
      <c r="I28" s="0" t="n">
        <v>267.697</v>
      </c>
      <c r="J28" s="0" t="n">
        <v>1551.035</v>
      </c>
      <c r="K28" s="0" t="n">
        <v>2540.557</v>
      </c>
      <c r="L28" s="0" t="n">
        <v>1148.967</v>
      </c>
      <c r="M28" s="0" t="n">
        <v>89042.882</v>
      </c>
      <c r="N28" s="0" t="n">
        <v>8558.169</v>
      </c>
      <c r="O28" s="0" t="n">
        <v>86.998</v>
      </c>
      <c r="P28" s="0" t="n">
        <v>87.916</v>
      </c>
      <c r="Q28" s="0" t="n">
        <v>1177.213</v>
      </c>
      <c r="R28" s="0" t="n">
        <v>1276.639</v>
      </c>
      <c r="S28" s="0" t="n">
        <v>6988.708</v>
      </c>
      <c r="T28" s="0" t="n">
        <v>2490.337</v>
      </c>
      <c r="U28" s="0" t="n">
        <v>1769.056</v>
      </c>
      <c r="V28" s="0" t="n">
        <v>145587.687</v>
      </c>
      <c r="W28" s="0" t="n">
        <v>271.161</v>
      </c>
      <c r="X28" s="0" t="n">
        <v>714.882</v>
      </c>
      <c r="Y28" s="0" t="n">
        <v>86.998</v>
      </c>
      <c r="Z28" s="0" t="n">
        <v>910.793</v>
      </c>
      <c r="AA28" s="0" t="n">
        <f aca="false">H28*x_c_F+I28*x_c_CC+J28*x_c_DC+K28*x_c_HCC+L28*x_c_PLT+M28*x_c_SVRn+N28*x_c_SVRcc+O28*x_c_LT+P28*x_c_LT1</f>
        <v>344305399.850431</v>
      </c>
      <c r="AB28" s="0" t="n">
        <f aca="false">C28*x_c_DAA</f>
        <v>109976320</v>
      </c>
      <c r="AC28" s="0" t="n">
        <f aca="false">C28*x_c_MON</f>
        <v>27857107.6100244</v>
      </c>
      <c r="AD28" s="0" t="n">
        <f aca="false">D28*(1-x_testy)</f>
        <v>0</v>
      </c>
      <c r="AE28" s="0" t="n">
        <f aca="false">E28*(1-x_testy)</f>
        <v>0</v>
      </c>
      <c r="AF28" s="0" t="n">
        <f aca="false">F28*x_NAV</f>
        <v>0</v>
      </c>
      <c r="AG28" s="0" t="n">
        <f aca="false">G28*x_FIX*(1-x_testy)</f>
        <v>0</v>
      </c>
      <c r="AH28" s="0" t="n">
        <f aca="false">x_z_F*U28+(1-x_AGRI)*x_EMP*x_WLOSS*(x_PEN_K74*Q28+x_PEN_C22*R28)</f>
        <v>19444960.5627008</v>
      </c>
      <c r="AI28" s="0" t="n">
        <f aca="false">x_AGRI*x_EMP*x_WLOSS*(x_PEN_K74*Q28+x_PEN_C22*R28)</f>
        <v>1044874.93728079</v>
      </c>
      <c r="AJ28" s="0" t="n">
        <f aca="false">x_EMP*x_WAGE*(x_WLOSS*(Q28+R28)+S28)+U28*x_ABS_D*x_WAGE/365</f>
        <v>681375353.700825</v>
      </c>
      <c r="AK28" s="0" t="n">
        <f aca="false">AJ28*x_R_FUS</f>
        <v>215587161.910941</v>
      </c>
      <c r="AL28" s="0" t="n">
        <f aca="false">AJ28*x_R_NFZ</f>
        <v>52916291.3437598</v>
      </c>
      <c r="AM28" s="0" t="n">
        <f aca="false">AJ28*x_R_PIT</f>
        <v>45300677.4691908</v>
      </c>
      <c r="AN28" s="0" t="n">
        <f aca="false">AJ28*x_R_FP</f>
        <v>17375071.519371</v>
      </c>
      <c r="AO28" s="0" t="n">
        <f aca="false">AA28+AB28+AC28+AD28+AF28</f>
        <v>482138827.460456</v>
      </c>
      <c r="AP28" s="0" t="n">
        <f aca="false">AO28+AE28+AG28+AH28+AI28+AK28+AL28+AM28+AN28</f>
        <v>833807865.2037</v>
      </c>
      <c r="AQ28" s="0" t="n">
        <f aca="false">AO28+AE28+AG28+AJ28</f>
        <v>1163514181.16128</v>
      </c>
      <c r="AR28" s="0" t="n">
        <f aca="false">AB28+AC28+AD28+AF28</f>
        <v>137833427.610024</v>
      </c>
      <c r="AS28" s="0" t="n">
        <f aca="false">AR28+AE28+AG28</f>
        <v>137833427.610024</v>
      </c>
    </row>
    <row r="29" customFormat="false" ht="15" hidden="false" customHeight="false" outlineLevel="0" collapsed="false">
      <c r="A29" s="0" t="n">
        <v>2052</v>
      </c>
      <c r="B29" s="0" t="n">
        <v>26</v>
      </c>
      <c r="C29" s="0" t="n">
        <v>4832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2226.912</v>
      </c>
      <c r="I29" s="0" t="n">
        <v>262.482</v>
      </c>
      <c r="J29" s="0" t="n">
        <v>1518.412</v>
      </c>
      <c r="K29" s="0" t="n">
        <v>2488.957</v>
      </c>
      <c r="L29" s="0" t="n">
        <v>1130.121</v>
      </c>
      <c r="M29" s="0" t="n">
        <v>91813.111</v>
      </c>
      <c r="N29" s="0" t="n">
        <v>8643.246</v>
      </c>
      <c r="O29" s="0" t="n">
        <v>85.203</v>
      </c>
      <c r="P29" s="0" t="n">
        <v>86.101</v>
      </c>
      <c r="Q29" s="0" t="n">
        <v>1214.592</v>
      </c>
      <c r="R29" s="0" t="n">
        <v>1319.909</v>
      </c>
      <c r="S29" s="0" t="n">
        <v>7397.769</v>
      </c>
      <c r="T29" s="0" t="n">
        <v>2489.394</v>
      </c>
      <c r="U29" s="0" t="n">
        <v>1794.047</v>
      </c>
      <c r="V29" s="0" t="n">
        <v>147177.61</v>
      </c>
      <c r="W29" s="0" t="n">
        <v>265.208</v>
      </c>
      <c r="X29" s="0" t="n">
        <v>700.881</v>
      </c>
      <c r="Y29" s="0" t="n">
        <v>85.203</v>
      </c>
      <c r="Z29" s="0" t="n">
        <v>892.49</v>
      </c>
      <c r="AA29" s="0" t="n">
        <f aca="false">H29*x_c_F+I29*x_c_CC+J29*x_c_DC+K29*x_c_HCC+L29*x_c_PLT+M29*x_c_SVRn+N29*x_c_SVRcc+O29*x_c_LT+P29*x_c_LT1</f>
        <v>341085122.310384</v>
      </c>
      <c r="AB29" s="0" t="n">
        <f aca="false">C29*x_c_DAA</f>
        <v>109976320</v>
      </c>
      <c r="AC29" s="0" t="n">
        <f aca="false">C29*x_c_MON</f>
        <v>27857107.6100244</v>
      </c>
      <c r="AD29" s="0" t="n">
        <f aca="false">D29*(1-x_testy)</f>
        <v>0</v>
      </c>
      <c r="AE29" s="0" t="n">
        <f aca="false">E29*(1-x_testy)</f>
        <v>0</v>
      </c>
      <c r="AF29" s="0" t="n">
        <f aca="false">F29*x_NAV</f>
        <v>0</v>
      </c>
      <c r="AG29" s="0" t="n">
        <f aca="false">G29*x_FIX*(1-x_testy)</f>
        <v>0</v>
      </c>
      <c r="AH29" s="0" t="n">
        <f aca="false">x_z_F*U29+(1-x_AGRI)*x_EMP*x_WLOSS*(x_PEN_K74*Q29+x_PEN_C22*R29)</f>
        <v>20016964.8505844</v>
      </c>
      <c r="AI29" s="0" t="n">
        <f aca="false">x_AGRI*x_EMP*x_WLOSS*(x_PEN_K74*Q29+x_PEN_C22*R29)</f>
        <v>1079287.2590217</v>
      </c>
      <c r="AJ29" s="0" t="n">
        <f aca="false">x_EMP*x_WAGE*(x_WLOSS*(Q29+R29)+S29)+U29*x_ABS_D*x_WAGE/365</f>
        <v>718965266.635282</v>
      </c>
      <c r="AK29" s="0" t="n">
        <f aca="false">AJ29*x_R_FUS</f>
        <v>227480610.363403</v>
      </c>
      <c r="AL29" s="0" t="n">
        <f aca="false">AJ29*x_R_NFZ</f>
        <v>55835561.5721626</v>
      </c>
      <c r="AM29" s="0" t="n">
        <f aca="false">AJ29*x_R_PIT</f>
        <v>47799811.7755462</v>
      </c>
      <c r="AN29" s="0" t="n">
        <f aca="false">AJ29*x_R_FP</f>
        <v>18333614.2991997</v>
      </c>
      <c r="AO29" s="0" t="n">
        <f aca="false">AA29+AB29+AC29+AD29+AF29</f>
        <v>478918549.920408</v>
      </c>
      <c r="AP29" s="0" t="n">
        <f aca="false">AO29+AE29+AG29+AH29+AI29+AK29+AL29+AM29+AN29</f>
        <v>849464400.040326</v>
      </c>
      <c r="AQ29" s="0" t="n">
        <f aca="false">AO29+AE29+AG29+AJ29</f>
        <v>1197883816.55569</v>
      </c>
      <c r="AR29" s="0" t="n">
        <f aca="false">AB29+AC29+AD29+AF29</f>
        <v>137833427.610024</v>
      </c>
      <c r="AS29" s="0" t="n">
        <f aca="false">AR29+AE29+AG29</f>
        <v>137833427.610024</v>
      </c>
    </row>
    <row r="30" customFormat="false" ht="15" hidden="false" customHeight="false" outlineLevel="0" collapsed="false">
      <c r="A30" s="0" t="n">
        <v>2053</v>
      </c>
      <c r="B30" s="0" t="n">
        <v>27</v>
      </c>
      <c r="C30" s="0" t="n">
        <v>4832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2230.965</v>
      </c>
      <c r="I30" s="0" t="n">
        <v>257.545</v>
      </c>
      <c r="J30" s="0" t="n">
        <v>1486.602</v>
      </c>
      <c r="K30" s="0" t="n">
        <v>2439.769</v>
      </c>
      <c r="L30" s="0" t="n">
        <v>1111.088</v>
      </c>
      <c r="M30" s="0" t="n">
        <v>94575.615</v>
      </c>
      <c r="N30" s="0" t="n">
        <v>8714.477</v>
      </c>
      <c r="O30" s="0" t="n">
        <v>83.45</v>
      </c>
      <c r="P30" s="0" t="n">
        <v>84.327</v>
      </c>
      <c r="Q30" s="0" t="n">
        <v>1252.313</v>
      </c>
      <c r="R30" s="0" t="n">
        <v>1362.741</v>
      </c>
      <c r="S30" s="0" t="n">
        <v>7815.682</v>
      </c>
      <c r="T30" s="0" t="n">
        <v>2488.51</v>
      </c>
      <c r="U30" s="0" t="n">
        <v>1816.74</v>
      </c>
      <c r="V30" s="0" t="n">
        <v>148796.765</v>
      </c>
      <c r="W30" s="0" t="n">
        <v>259.613</v>
      </c>
      <c r="X30" s="0" t="n">
        <v>687.729</v>
      </c>
      <c r="Y30" s="0" t="n">
        <v>83.45</v>
      </c>
      <c r="Z30" s="0" t="n">
        <v>874.797</v>
      </c>
      <c r="AA30" s="0" t="n">
        <f aca="false">H30*x_c_F+I30*x_c_CC+J30*x_c_DC+K30*x_c_HCC+L30*x_c_PLT+M30*x_c_SVRn+N30*x_c_SVRcc+O30*x_c_LT+P30*x_c_LT1</f>
        <v>337999814.695309</v>
      </c>
      <c r="AB30" s="0" t="n">
        <f aca="false">C30*x_c_DAA</f>
        <v>109976320</v>
      </c>
      <c r="AC30" s="0" t="n">
        <f aca="false">C30*x_c_MON</f>
        <v>27857107.6100244</v>
      </c>
      <c r="AD30" s="0" t="n">
        <f aca="false">D30*(1-x_testy)</f>
        <v>0</v>
      </c>
      <c r="AE30" s="0" t="n">
        <f aca="false">E30*(1-x_testy)</f>
        <v>0</v>
      </c>
      <c r="AF30" s="0" t="n">
        <f aca="false">F30*x_NAV</f>
        <v>0</v>
      </c>
      <c r="AG30" s="0" t="n">
        <f aca="false">G30*x_FIX*(1-x_testy)</f>
        <v>0</v>
      </c>
      <c r="AH30" s="0" t="n">
        <f aca="false">x_z_F*U30+(1-x_AGRI)*x_EMP*x_WLOSS*(x_PEN_K74*Q30+x_PEN_C22*R30)</f>
        <v>20583307.6891775</v>
      </c>
      <c r="AI30" s="0" t="n">
        <f aca="false">x_AGRI*x_EMP*x_WLOSS*(x_PEN_K74*Q30+x_PEN_C22*R30)</f>
        <v>1113637.64845421</v>
      </c>
      <c r="AJ30" s="0" t="n">
        <f aca="false">x_EMP*x_WAGE*(x_WLOSS*(Q30+R30)+S30)+U30*x_ABS_D*x_WAGE/365</f>
        <v>757300013.070936</v>
      </c>
      <c r="AK30" s="0" t="n">
        <f aca="false">AJ30*x_R_FUS</f>
        <v>239609724.135644</v>
      </c>
      <c r="AL30" s="0" t="n">
        <f aca="false">AJ30*x_R_NFZ</f>
        <v>58812676.3151019</v>
      </c>
      <c r="AM30" s="0" t="n">
        <f aca="false">AJ30*x_R_PIT</f>
        <v>50348465.7218809</v>
      </c>
      <c r="AN30" s="0" t="n">
        <f aca="false">AJ30*x_R_FP</f>
        <v>19311150.3333089</v>
      </c>
      <c r="AO30" s="0" t="n">
        <f aca="false">AA30+AB30+AC30+AD30+AF30</f>
        <v>475833242.305333</v>
      </c>
      <c r="AP30" s="0" t="n">
        <f aca="false">AO30+AE30+AG30+AH30+AI30+AK30+AL30+AM30+AN30</f>
        <v>865612204.148901</v>
      </c>
      <c r="AQ30" s="0" t="n">
        <f aca="false">AO30+AE30+AG30+AJ30</f>
        <v>1233133255.37627</v>
      </c>
      <c r="AR30" s="0" t="n">
        <f aca="false">AB30+AC30+AD30+AF30</f>
        <v>137833427.610024</v>
      </c>
      <c r="AS30" s="0" t="n">
        <f aca="false">AR30+AE30+AG30</f>
        <v>137833427.610024</v>
      </c>
    </row>
    <row r="31" customFormat="false" ht="15" hidden="false" customHeight="false" outlineLevel="0" collapsed="false">
      <c r="A31" s="0" t="n">
        <v>2054</v>
      </c>
      <c r="B31" s="0" t="n">
        <v>28</v>
      </c>
      <c r="C31" s="0" t="n">
        <v>4832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2234.801</v>
      </c>
      <c r="I31" s="0" t="n">
        <v>252.875</v>
      </c>
      <c r="J31" s="0" t="n">
        <v>1455.596</v>
      </c>
      <c r="K31" s="0" t="n">
        <v>2392.794</v>
      </c>
      <c r="L31" s="0" t="n">
        <v>1091.709</v>
      </c>
      <c r="M31" s="0" t="n">
        <v>97322.342</v>
      </c>
      <c r="N31" s="0" t="n">
        <v>8771.532</v>
      </c>
      <c r="O31" s="0" t="n">
        <v>81.739</v>
      </c>
      <c r="P31" s="0" t="n">
        <v>82.595</v>
      </c>
      <c r="Q31" s="0" t="n">
        <v>1290.171</v>
      </c>
      <c r="R31" s="0" t="n">
        <v>1404.855</v>
      </c>
      <c r="S31" s="0" t="n">
        <v>8241.571</v>
      </c>
      <c r="T31" s="0" t="n">
        <v>2487.676</v>
      </c>
      <c r="U31" s="0" t="n">
        <v>1837.333</v>
      </c>
      <c r="V31" s="0" t="n">
        <v>150431.604</v>
      </c>
      <c r="W31" s="0" t="n">
        <v>254.335</v>
      </c>
      <c r="X31" s="0" t="n">
        <v>675.307</v>
      </c>
      <c r="Y31" s="0" t="n">
        <v>81.739</v>
      </c>
      <c r="Z31" s="0" t="n">
        <v>857.665</v>
      </c>
      <c r="AA31" s="0" t="n">
        <f aca="false">H31*x_c_F+I31*x_c_CC+J31*x_c_DC+K31*x_c_HCC+L31*x_c_PLT+M31*x_c_SVRn+N31*x_c_SVRcc+O31*x_c_LT+P31*x_c_LT1</f>
        <v>335025904.799794</v>
      </c>
      <c r="AB31" s="0" t="n">
        <f aca="false">C31*x_c_DAA</f>
        <v>109976320</v>
      </c>
      <c r="AC31" s="0" t="n">
        <f aca="false">C31*x_c_MON</f>
        <v>27857107.6100244</v>
      </c>
      <c r="AD31" s="0" t="n">
        <f aca="false">D31*(1-x_testy)</f>
        <v>0</v>
      </c>
      <c r="AE31" s="0" t="n">
        <f aca="false">E31*(1-x_testy)</f>
        <v>0</v>
      </c>
      <c r="AF31" s="0" t="n">
        <f aca="false">F31*x_NAV</f>
        <v>0</v>
      </c>
      <c r="AG31" s="0" t="n">
        <f aca="false">G31*x_FIX*(1-x_testy)</f>
        <v>0</v>
      </c>
      <c r="AH31" s="0" t="n">
        <f aca="false">x_z_F*U31+(1-x_AGRI)*x_EMP*x_WLOSS*(x_PEN_K74*Q31+x_PEN_C22*R31)</f>
        <v>21141249.0156902</v>
      </c>
      <c r="AI31" s="0" t="n">
        <f aca="false">x_AGRI*x_EMP*x_WLOSS*(x_PEN_K74*Q31+x_PEN_C22*R31)</f>
        <v>1147718.08617261</v>
      </c>
      <c r="AJ31" s="0" t="n">
        <f aca="false">x_EMP*x_WAGE*(x_WLOSS*(Q31+R31)+S31)+U31*x_ABS_D*x_WAGE/365</f>
        <v>796289611.643923</v>
      </c>
      <c r="AK31" s="0" t="n">
        <f aca="false">AJ31*x_R_FUS</f>
        <v>251946033.124137</v>
      </c>
      <c r="AL31" s="0" t="n">
        <f aca="false">AJ31*x_R_NFZ</f>
        <v>61840647.5298787</v>
      </c>
      <c r="AM31" s="0" t="n">
        <f aca="false">AJ31*x_R_PIT</f>
        <v>52940656.9715569</v>
      </c>
      <c r="AN31" s="0" t="n">
        <f aca="false">AJ31*x_R_FP</f>
        <v>20305385.09692</v>
      </c>
      <c r="AO31" s="0" t="n">
        <f aca="false">AA31+AB31+AC31+AD31+AF31</f>
        <v>472859332.409818</v>
      </c>
      <c r="AP31" s="0" t="n">
        <f aca="false">AO31+AE31+AG31+AH31+AI31+AK31+AL31+AM31+AN31</f>
        <v>882181022.234174</v>
      </c>
      <c r="AQ31" s="0" t="n">
        <f aca="false">AO31+AE31+AG31+AJ31</f>
        <v>1269148944.05374</v>
      </c>
      <c r="AR31" s="0" t="n">
        <f aca="false">AB31+AC31+AD31+AF31</f>
        <v>137833427.610024</v>
      </c>
      <c r="AS31" s="0" t="n">
        <f aca="false">AR31+AE31+AG31</f>
        <v>137833427.610024</v>
      </c>
    </row>
    <row r="32" customFormat="false" ht="15" hidden="false" customHeight="false" outlineLevel="0" collapsed="false">
      <c r="A32" s="0" t="n">
        <v>2055</v>
      </c>
      <c r="B32" s="0" t="n">
        <v>29</v>
      </c>
      <c r="C32" s="0" t="n">
        <v>4832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2238.429</v>
      </c>
      <c r="I32" s="0" t="n">
        <v>248.455</v>
      </c>
      <c r="J32" s="0" t="n">
        <v>1425.344</v>
      </c>
      <c r="K32" s="0" t="n">
        <v>2347.78</v>
      </c>
      <c r="L32" s="0" t="n">
        <v>1071.799</v>
      </c>
      <c r="M32" s="0" t="n">
        <v>100044.014</v>
      </c>
      <c r="N32" s="0" t="n">
        <v>8813.817</v>
      </c>
      <c r="O32" s="0" t="n">
        <v>80.066</v>
      </c>
      <c r="P32" s="0" t="n">
        <v>80.903</v>
      </c>
      <c r="Q32" s="0" t="n">
        <v>1327.959</v>
      </c>
      <c r="R32" s="0" t="n">
        <v>1445.989</v>
      </c>
      <c r="S32" s="0" t="n">
        <v>8674.453</v>
      </c>
      <c r="T32" s="0" t="n">
        <v>2486.884</v>
      </c>
      <c r="U32" s="0" t="n">
        <v>1856.009</v>
      </c>
      <c r="V32" s="0" t="n">
        <v>152068.642</v>
      </c>
      <c r="W32" s="0" t="n">
        <v>249.333</v>
      </c>
      <c r="X32" s="0" t="n">
        <v>663.506</v>
      </c>
      <c r="Y32" s="0" t="n">
        <v>80.066</v>
      </c>
      <c r="Z32" s="0" t="n">
        <v>841.02</v>
      </c>
      <c r="AA32" s="0" t="n">
        <f aca="false">H32*x_c_F+I32*x_c_CC+J32*x_c_DC+K32*x_c_HCC+L32*x_c_PLT+M32*x_c_SVRn+N32*x_c_SVRcc+O32*x_c_LT+P32*x_c_LT1</f>
        <v>332131921.090579</v>
      </c>
      <c r="AB32" s="0" t="n">
        <f aca="false">C32*x_c_DAA</f>
        <v>109976320</v>
      </c>
      <c r="AC32" s="0" t="n">
        <f aca="false">C32*x_c_MON</f>
        <v>27857107.6100244</v>
      </c>
      <c r="AD32" s="0" t="n">
        <f aca="false">D32*(1-x_testy)</f>
        <v>0</v>
      </c>
      <c r="AE32" s="0" t="n">
        <f aca="false">E32*(1-x_testy)</f>
        <v>0</v>
      </c>
      <c r="AF32" s="0" t="n">
        <f aca="false">F32*x_NAV</f>
        <v>0</v>
      </c>
      <c r="AG32" s="0" t="n">
        <f aca="false">G32*x_FIX*(1-x_testy)</f>
        <v>0</v>
      </c>
      <c r="AH32" s="0" t="n">
        <f aca="false">x_z_F*U32+(1-x_AGRI)*x_EMP*x_WLOSS*(x_PEN_K74*Q32+x_PEN_C22*R32)</f>
        <v>21688128.944665</v>
      </c>
      <c r="AI32" s="0" t="n">
        <f aca="false">x_AGRI*x_EMP*x_WLOSS*(x_PEN_K74*Q32+x_PEN_C22*R32)</f>
        <v>1181327.89071121</v>
      </c>
      <c r="AJ32" s="0" t="n">
        <f aca="false">x_EMP*x_WAGE*(x_WLOSS*(Q32+R32)+S32)+U32*x_ABS_D*x_WAGE/365</f>
        <v>835835437.760982</v>
      </c>
      <c r="AK32" s="0" t="n">
        <f aca="false">AJ32*x_R_FUS</f>
        <v>264458332.507575</v>
      </c>
      <c r="AL32" s="0" t="n">
        <f aca="false">AJ32*x_R_NFZ</f>
        <v>64911815.9319556</v>
      </c>
      <c r="AM32" s="0" t="n">
        <f aca="false">AJ32*x_R_PIT</f>
        <v>55569828.5499702</v>
      </c>
      <c r="AN32" s="0" t="n">
        <f aca="false">AJ32*x_R_FP</f>
        <v>21313803.662905</v>
      </c>
      <c r="AO32" s="0" t="n">
        <f aca="false">AA32+AB32+AC32+AD32+AF32</f>
        <v>469965348.700604</v>
      </c>
      <c r="AP32" s="0" t="n">
        <f aca="false">AO32+AE32+AG32+AH32+AI32+AK32+AL32+AM32+AN32</f>
        <v>899088586.188385</v>
      </c>
      <c r="AQ32" s="0" t="n">
        <f aca="false">AO32+AE32+AG32+AJ32</f>
        <v>1305800786.46159</v>
      </c>
      <c r="AR32" s="0" t="n">
        <f aca="false">AB32+AC32+AD32+AF32</f>
        <v>137833427.610024</v>
      </c>
      <c r="AS32" s="0" t="n">
        <f aca="false">AR32+AE32+AG32</f>
        <v>137833427.610024</v>
      </c>
    </row>
    <row r="33" customFormat="false" ht="15" hidden="false" customHeight="false" outlineLevel="0" collapsed="false">
      <c r="A33" s="0" t="n">
        <v>2056</v>
      </c>
      <c r="B33" s="0" t="n">
        <v>30</v>
      </c>
      <c r="C33" s="0" t="n">
        <v>4832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2241.862</v>
      </c>
      <c r="I33" s="0" t="n">
        <v>244.266</v>
      </c>
      <c r="J33" s="0" t="n">
        <v>1395.742</v>
      </c>
      <c r="K33" s="0" t="n">
        <v>2304.418</v>
      </c>
      <c r="L33" s="0" t="n">
        <v>1051.127</v>
      </c>
      <c r="M33" s="0" t="n">
        <v>102729.31</v>
      </c>
      <c r="N33" s="0" t="n">
        <v>8840.292</v>
      </c>
      <c r="O33" s="0" t="n">
        <v>78.423</v>
      </c>
      <c r="P33" s="0" t="n">
        <v>79.244</v>
      </c>
      <c r="Q33" s="0" t="n">
        <v>1365.448</v>
      </c>
      <c r="R33" s="0" t="n">
        <v>1485.877</v>
      </c>
      <c r="S33" s="0" t="n">
        <v>9113.077</v>
      </c>
      <c r="T33" s="0" t="n">
        <v>2486.128</v>
      </c>
      <c r="U33" s="0" t="n">
        <v>1872.935</v>
      </c>
      <c r="V33" s="0" t="n">
        <v>153693.31</v>
      </c>
      <c r="W33" s="0" t="n">
        <v>244.562</v>
      </c>
      <c r="X33" s="0" t="n">
        <v>652.202</v>
      </c>
      <c r="Y33" s="0" t="n">
        <v>78.423</v>
      </c>
      <c r="Z33" s="0" t="n">
        <v>824.749</v>
      </c>
      <c r="AA33" s="0" t="n">
        <f aca="false">H33*x_c_F+I33*x_c_CC+J33*x_c_DC+K33*x_c_HCC+L33*x_c_PLT+M33*x_c_SVRn+N33*x_c_SVRcc+O33*x_c_LT+P33*x_c_LT1</f>
        <v>329276289.472751</v>
      </c>
      <c r="AB33" s="0" t="n">
        <f aca="false">C33*x_c_DAA</f>
        <v>109976320</v>
      </c>
      <c r="AC33" s="0" t="n">
        <f aca="false">C33*x_c_MON</f>
        <v>27857107.6100244</v>
      </c>
      <c r="AD33" s="0" t="n">
        <f aca="false">D33*(1-x_testy)</f>
        <v>0</v>
      </c>
      <c r="AE33" s="0" t="n">
        <f aca="false">E33*(1-x_testy)</f>
        <v>0</v>
      </c>
      <c r="AF33" s="0" t="n">
        <f aca="false">F33*x_NAV</f>
        <v>0</v>
      </c>
      <c r="AG33" s="0" t="n">
        <f aca="false">G33*x_FIX*(1-x_testy)</f>
        <v>0</v>
      </c>
      <c r="AH33" s="0" t="n">
        <f aca="false">x_z_F*U33+(1-x_AGRI)*x_EMP*x_WLOSS*(x_PEN_K74*Q33+x_PEN_C22*R33)</f>
        <v>22221095.0216972</v>
      </c>
      <c r="AI33" s="0" t="n">
        <f aca="false">x_AGRI*x_EMP*x_WLOSS*(x_PEN_K74*Q33+x_PEN_C22*R33)</f>
        <v>1214255.82643017</v>
      </c>
      <c r="AJ33" s="0" t="n">
        <f aca="false">x_EMP*x_WAGE*(x_WLOSS*(Q33+R33)+S33)+U33*x_ABS_D*x_WAGE/365</f>
        <v>875815118.999973</v>
      </c>
      <c r="AK33" s="0" t="n">
        <f aca="false">AJ33*x_R_FUS</f>
        <v>277107903.651592</v>
      </c>
      <c r="AL33" s="0" t="n">
        <f aca="false">AJ33*x_R_NFZ</f>
        <v>68016677.9566569</v>
      </c>
      <c r="AM33" s="0" t="n">
        <f aca="false">AJ33*x_R_PIT</f>
        <v>58227844.6277338</v>
      </c>
      <c r="AN33" s="0" t="n">
        <f aca="false">AJ33*x_R_FP</f>
        <v>22333285.5344993</v>
      </c>
      <c r="AO33" s="0" t="n">
        <f aca="false">AA33+AB33+AC33+AD33+AF33</f>
        <v>467109717.082776</v>
      </c>
      <c r="AP33" s="0" t="n">
        <f aca="false">AO33+AE33+AG33+AH33+AI33+AK33+AL33+AM33+AN33</f>
        <v>916230779.701385</v>
      </c>
      <c r="AQ33" s="0" t="n">
        <f aca="false">AO33+AE33+AG33+AJ33</f>
        <v>1342924836.08275</v>
      </c>
      <c r="AR33" s="0" t="n">
        <f aca="false">AB33+AC33+AD33+AF33</f>
        <v>137833427.610024</v>
      </c>
      <c r="AS33" s="0" t="n">
        <f aca="false">AR33+AE33+AG33</f>
        <v>137833427.610024</v>
      </c>
    </row>
    <row r="34" customFormat="false" ht="15" hidden="false" customHeight="false" outlineLevel="0" collapsed="false">
      <c r="A34" s="0" t="n">
        <v>2057</v>
      </c>
      <c r="B34" s="0" t="n">
        <v>31</v>
      </c>
      <c r="C34" s="0" t="n">
        <v>4832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2245.157</v>
      </c>
      <c r="I34" s="0" t="n">
        <v>240.239</v>
      </c>
      <c r="J34" s="0" t="n">
        <v>1365.141</v>
      </c>
      <c r="K34" s="0" t="n">
        <v>2260.345</v>
      </c>
      <c r="L34" s="0" t="n">
        <v>1026.864</v>
      </c>
      <c r="M34" s="0" t="n">
        <v>105283.545</v>
      </c>
      <c r="N34" s="0" t="n">
        <v>8834.036</v>
      </c>
      <c r="O34" s="0" t="n">
        <v>76.623</v>
      </c>
      <c r="P34" s="0" t="n">
        <v>77.523</v>
      </c>
      <c r="Q34" s="0" t="n">
        <v>1402.402</v>
      </c>
      <c r="R34" s="0" t="n">
        <v>1524.269</v>
      </c>
      <c r="S34" s="0" t="n">
        <v>9555.98</v>
      </c>
      <c r="T34" s="0" t="n">
        <v>2485.396</v>
      </c>
      <c r="U34" s="0" t="n">
        <v>1888.359</v>
      </c>
      <c r="V34" s="0" t="n">
        <v>155211.338</v>
      </c>
      <c r="W34" s="0" t="n">
        <v>239.7</v>
      </c>
      <c r="X34" s="0" t="n">
        <v>640.464</v>
      </c>
      <c r="Y34" s="0" t="n">
        <v>76.623</v>
      </c>
      <c r="Z34" s="0" t="n">
        <v>806.899</v>
      </c>
      <c r="AA34" s="0" t="n">
        <f aca="false">H34*x_c_F+I34*x_c_CC+J34*x_c_DC+K34*x_c_HCC+L34*x_c_PLT+M34*x_c_SVRn+N34*x_c_SVRcc+O34*x_c_LT+P34*x_c_LT1</f>
        <v>326017545.783285</v>
      </c>
      <c r="AB34" s="0" t="n">
        <f aca="false">C34*x_c_DAA</f>
        <v>109976320</v>
      </c>
      <c r="AC34" s="0" t="n">
        <f aca="false">C34*x_c_MON</f>
        <v>27857107.6100244</v>
      </c>
      <c r="AD34" s="0" t="n">
        <f aca="false">D34*(1-x_testy)</f>
        <v>0</v>
      </c>
      <c r="AE34" s="0" t="n">
        <f aca="false">E34*(1-x_testy)</f>
        <v>0</v>
      </c>
      <c r="AF34" s="0" t="n">
        <f aca="false">F34*x_NAV</f>
        <v>0</v>
      </c>
      <c r="AG34" s="0" t="n">
        <f aca="false">G34*x_FIX*(1-x_testy)</f>
        <v>0</v>
      </c>
      <c r="AH34" s="0" t="n">
        <f aca="false">x_z_F*U34+(1-x_AGRI)*x_EMP*x_WLOSS*(x_PEN_K74*Q34+x_PEN_C22*R34)</f>
        <v>22737528.5897698</v>
      </c>
      <c r="AI34" s="0" t="n">
        <f aca="false">x_AGRI*x_EMP*x_WLOSS*(x_PEN_K74*Q34+x_PEN_C22*R34)</f>
        <v>1246295.10403828</v>
      </c>
      <c r="AJ34" s="0" t="n">
        <f aca="false">x_EMP*x_WAGE*(x_WLOSS*(Q34+R34)+S34)+U34*x_ABS_D*x_WAGE/365</f>
        <v>916088740.227396</v>
      </c>
      <c r="AK34" s="0" t="n">
        <f aca="false">AJ34*x_R_FUS</f>
        <v>289850477.407948</v>
      </c>
      <c r="AL34" s="0" t="n">
        <f aca="false">AJ34*x_R_NFZ</f>
        <v>71144367.6547998</v>
      </c>
      <c r="AM34" s="0" t="n">
        <f aca="false">AJ34*x_R_PIT</f>
        <v>60905403.0627882</v>
      </c>
      <c r="AN34" s="0" t="n">
        <f aca="false">AJ34*x_R_FP</f>
        <v>23360262.8757986</v>
      </c>
      <c r="AO34" s="0" t="n">
        <f aca="false">AA34+AB34+AC34+AD34+AF34</f>
        <v>463850973.39331</v>
      </c>
      <c r="AP34" s="0" t="n">
        <f aca="false">AO34+AE34+AG34+AH34+AI34+AK34+AL34+AM34+AN34</f>
        <v>933095308.088453</v>
      </c>
      <c r="AQ34" s="0" t="n">
        <f aca="false">AO34+AE34+AG34+AJ34</f>
        <v>1379939713.62071</v>
      </c>
      <c r="AR34" s="0" t="n">
        <f aca="false">AB34+AC34+AD34+AF34</f>
        <v>137833427.610024</v>
      </c>
      <c r="AS34" s="0" t="n">
        <f aca="false">AR34+AE34+AG34</f>
        <v>137833427.610024</v>
      </c>
    </row>
    <row r="35" customFormat="false" ht="15" hidden="false" customHeight="false" outlineLevel="0" collapsed="false">
      <c r="A35" s="0" t="n">
        <v>2058</v>
      </c>
      <c r="B35" s="0" t="n">
        <v>32</v>
      </c>
      <c r="C35" s="0" t="n">
        <v>4832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2248.251</v>
      </c>
      <c r="I35" s="0" t="n">
        <v>236.441</v>
      </c>
      <c r="J35" s="0" t="n">
        <v>1335.639</v>
      </c>
      <c r="K35" s="0" t="n">
        <v>2218.25</v>
      </c>
      <c r="L35" s="0" t="n">
        <v>1002.333</v>
      </c>
      <c r="M35" s="0" t="n">
        <v>107806.549</v>
      </c>
      <c r="N35" s="0" t="n">
        <v>8815.381</v>
      </c>
      <c r="O35" s="0" t="n">
        <v>75.102</v>
      </c>
      <c r="P35" s="0" t="n">
        <v>75.863</v>
      </c>
      <c r="Q35" s="0" t="n">
        <v>1438.575</v>
      </c>
      <c r="R35" s="0" t="n">
        <v>1560.931</v>
      </c>
      <c r="S35" s="0" t="n">
        <v>10001.491</v>
      </c>
      <c r="T35" s="0" t="n">
        <v>2484.692</v>
      </c>
      <c r="U35" s="0" t="n">
        <v>1902.248</v>
      </c>
      <c r="V35" s="0" t="n">
        <v>156718.82</v>
      </c>
      <c r="W35" s="0" t="n">
        <v>235.426</v>
      </c>
      <c r="X35" s="0" t="n">
        <v>630.26</v>
      </c>
      <c r="Y35" s="0" t="n">
        <v>75.102</v>
      </c>
      <c r="Z35" s="0" t="n">
        <v>791.918</v>
      </c>
      <c r="AA35" s="0" t="n">
        <f aca="false">H35*x_c_F+I35*x_c_CC+J35*x_c_DC+K35*x_c_HCC+L35*x_c_PLT+M35*x_c_SVRn+N35*x_c_SVRcc+O35*x_c_LT+P35*x_c_LT1</f>
        <v>322940622.944707</v>
      </c>
      <c r="AB35" s="0" t="n">
        <f aca="false">C35*x_c_DAA</f>
        <v>109976320</v>
      </c>
      <c r="AC35" s="0" t="n">
        <f aca="false">C35*x_c_MON</f>
        <v>27857107.6100244</v>
      </c>
      <c r="AD35" s="0" t="n">
        <f aca="false">D35*(1-x_testy)</f>
        <v>0</v>
      </c>
      <c r="AE35" s="0" t="n">
        <f aca="false">E35*(1-x_testy)</f>
        <v>0</v>
      </c>
      <c r="AF35" s="0" t="n">
        <f aca="false">F35*x_NAV</f>
        <v>0</v>
      </c>
      <c r="AG35" s="0" t="n">
        <f aca="false">G35*x_FIX*(1-x_testy)</f>
        <v>0</v>
      </c>
      <c r="AH35" s="0" t="n">
        <f aca="false">x_z_F*U35+(1-x_AGRI)*x_EMP*x_WLOSS*(x_PEN_K74*Q35+x_PEN_C22*R35)</f>
        <v>23234282.5059383</v>
      </c>
      <c r="AI35" s="0" t="n">
        <f aca="false">x_AGRI*x_EMP*x_WLOSS*(x_PEN_K74*Q35+x_PEN_C22*R35)</f>
        <v>1277242.18784512</v>
      </c>
      <c r="AJ35" s="0" t="n">
        <f aca="false">x_EMP*x_WAGE*(x_WLOSS*(Q35+R35)+S35)+U35*x_ABS_D*x_WAGE/365</f>
        <v>956498023.108325</v>
      </c>
      <c r="AK35" s="0" t="n">
        <f aca="false">AJ35*x_R_FUS</f>
        <v>302635974.511474</v>
      </c>
      <c r="AL35" s="0" t="n">
        <f aca="false">AJ35*x_R_NFZ</f>
        <v>74282592.9726156</v>
      </c>
      <c r="AM35" s="0" t="n">
        <f aca="false">AJ35*x_R_PIT</f>
        <v>63591980.8507984</v>
      </c>
      <c r="AN35" s="0" t="n">
        <f aca="false">AJ35*x_R_FP</f>
        <v>24390699.5892623</v>
      </c>
      <c r="AO35" s="0" t="n">
        <f aca="false">AA35+AB35+AC35+AD35+AF35</f>
        <v>460774050.554732</v>
      </c>
      <c r="AP35" s="0" t="n">
        <f aca="false">AO35+AE35+AG35+AH35+AI35+AK35+AL35+AM35+AN35</f>
        <v>950186823.172666</v>
      </c>
      <c r="AQ35" s="0" t="n">
        <f aca="false">AO35+AE35+AG35+AJ35</f>
        <v>1417272073.66306</v>
      </c>
      <c r="AR35" s="0" t="n">
        <f aca="false">AB35+AC35+AD35+AF35</f>
        <v>137833427.610024</v>
      </c>
      <c r="AS35" s="0" t="n">
        <f aca="false">AR35+AE35+AG35</f>
        <v>137833427.610024</v>
      </c>
    </row>
    <row r="36" customFormat="false" ht="15" hidden="false" customHeight="false" outlineLevel="0" collapsed="false">
      <c r="A36" s="0" t="n">
        <v>2059</v>
      </c>
      <c r="B36" s="0" t="n">
        <v>33</v>
      </c>
      <c r="C36" s="0" t="n">
        <v>4832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2251.112</v>
      </c>
      <c r="I36" s="0" t="n">
        <v>232.909</v>
      </c>
      <c r="J36" s="0" t="n">
        <v>1308.504</v>
      </c>
      <c r="K36" s="0" t="n">
        <v>2179.703</v>
      </c>
      <c r="L36" s="0" t="n">
        <v>979.647</v>
      </c>
      <c r="M36" s="0" t="n">
        <v>110360.019</v>
      </c>
      <c r="N36" s="0" t="n">
        <v>8797.294</v>
      </c>
      <c r="O36" s="0" t="n">
        <v>73.575</v>
      </c>
      <c r="P36" s="0" t="n">
        <v>74.339</v>
      </c>
      <c r="Q36" s="0" t="n">
        <v>1088.574</v>
      </c>
      <c r="R36" s="0" t="n">
        <v>1319.102</v>
      </c>
      <c r="S36" s="0" t="n">
        <v>6575.537</v>
      </c>
      <c r="T36" s="0" t="n">
        <v>2484.021</v>
      </c>
      <c r="U36" s="0" t="n">
        <v>1875.293</v>
      </c>
      <c r="V36" s="0" t="n">
        <v>158274.683</v>
      </c>
      <c r="W36" s="0" t="n">
        <v>231.262</v>
      </c>
      <c r="X36" s="0" t="n">
        <v>620.217</v>
      </c>
      <c r="Y36" s="0" t="n">
        <v>73.575</v>
      </c>
      <c r="Z36" s="0" t="n">
        <v>776.849</v>
      </c>
      <c r="AA36" s="0" t="n">
        <f aca="false">H36*x_c_F+I36*x_c_CC+J36*x_c_DC+K36*x_c_HCC+L36*x_c_PLT+M36*x_c_SVRn+N36*x_c_SVRcc+O36*x_c_LT+P36*x_c_LT1</f>
        <v>320213583.745111</v>
      </c>
      <c r="AB36" s="0" t="n">
        <f aca="false">C36*x_c_DAA</f>
        <v>109976320</v>
      </c>
      <c r="AC36" s="0" t="n">
        <f aca="false">C36*x_c_MON</f>
        <v>27857107.6100244</v>
      </c>
      <c r="AD36" s="0" t="n">
        <f aca="false">D36*(1-x_testy)</f>
        <v>0</v>
      </c>
      <c r="AE36" s="0" t="n">
        <f aca="false">E36*(1-x_testy)</f>
        <v>0</v>
      </c>
      <c r="AF36" s="0" t="n">
        <f aca="false">F36*x_NAV</f>
        <v>0</v>
      </c>
      <c r="AG36" s="0" t="n">
        <f aca="false">G36*x_FIX*(1-x_testy)</f>
        <v>0</v>
      </c>
      <c r="AH36" s="0" t="n">
        <f aca="false">x_z_F*U36+(1-x_AGRI)*x_EMP*x_WLOSS*(x_PEN_K74*Q36+x_PEN_C22*R36)</f>
        <v>19420479.14846</v>
      </c>
      <c r="AI36" s="0" t="n">
        <f aca="false">x_AGRI*x_EMP*x_WLOSS*(x_PEN_K74*Q36+x_PEN_C22*R36)</f>
        <v>1028820.05941093</v>
      </c>
      <c r="AJ36" s="0" t="n">
        <f aca="false">x_EMP*x_WAGE*(x_WLOSS*(Q36+R36)+S36)+U36*x_ABS_D*x_WAGE/365</f>
        <v>644948841.889733</v>
      </c>
      <c r="AK36" s="0" t="n">
        <f aca="false">AJ36*x_R_FUS</f>
        <v>204061813.573912</v>
      </c>
      <c r="AL36" s="0" t="n">
        <f aca="false">AJ36*x_R_NFZ</f>
        <v>50087372.0099986</v>
      </c>
      <c r="AM36" s="0" t="n">
        <f aca="false">AJ36*x_R_PIT</f>
        <v>42878890.9253728</v>
      </c>
      <c r="AN36" s="0" t="n">
        <f aca="false">AJ36*x_R_FP</f>
        <v>16446195.4681882</v>
      </c>
      <c r="AO36" s="0" t="n">
        <f aca="false">AA36+AB36+AC36+AD36+AF36</f>
        <v>458047011.355136</v>
      </c>
      <c r="AP36" s="0" t="n">
        <f aca="false">AO36+AE36+AG36+AH36+AI36+AK36+AL36+AM36+AN36</f>
        <v>791970582.540478</v>
      </c>
      <c r="AQ36" s="0" t="n">
        <f aca="false">AO36+AE36+AG36+AJ36</f>
        <v>1102995853.24487</v>
      </c>
      <c r="AR36" s="0" t="n">
        <f aca="false">AB36+AC36+AD36+AF36</f>
        <v>137833427.610024</v>
      </c>
      <c r="AS36" s="0" t="n">
        <f aca="false">AR36+AE36+AG36</f>
        <v>137833427.610024</v>
      </c>
    </row>
    <row r="37" customFormat="false" ht="15" hidden="false" customHeight="false" outlineLevel="0" collapsed="false">
      <c r="A37" s="0" t="n">
        <v>2060</v>
      </c>
      <c r="B37" s="0" t="n">
        <v>34</v>
      </c>
      <c r="C37" s="0" t="n">
        <v>4832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2253.809</v>
      </c>
      <c r="I37" s="0" t="n">
        <v>229.561</v>
      </c>
      <c r="J37" s="0" t="n">
        <v>1281.458</v>
      </c>
      <c r="K37" s="0" t="n">
        <v>2141.555</v>
      </c>
      <c r="L37" s="0" t="n">
        <v>954.985</v>
      </c>
      <c r="M37" s="0" t="n">
        <v>112816.438</v>
      </c>
      <c r="N37" s="0" t="n">
        <v>8756.805</v>
      </c>
      <c r="O37" s="0" t="n">
        <v>72.057</v>
      </c>
      <c r="P37" s="0" t="n">
        <v>72.816</v>
      </c>
      <c r="Q37" s="0" t="n">
        <v>716.721</v>
      </c>
      <c r="R37" s="0" t="n">
        <v>1053.627</v>
      </c>
      <c r="S37" s="0" t="n">
        <v>2911.637</v>
      </c>
      <c r="T37" s="0" t="n">
        <v>2483.37</v>
      </c>
      <c r="U37" s="0" t="n">
        <v>1841.618</v>
      </c>
      <c r="V37" s="0" t="n">
        <v>159755.111</v>
      </c>
      <c r="W37" s="0" t="n">
        <v>227.231</v>
      </c>
      <c r="X37" s="0" t="n">
        <v>610.392</v>
      </c>
      <c r="Y37" s="0" t="n">
        <v>72.057</v>
      </c>
      <c r="Z37" s="0" t="n">
        <v>761.827</v>
      </c>
      <c r="AA37" s="0" t="n">
        <f aca="false">H37*x_c_F+I37*x_c_CC+J37*x_c_DC+K37*x_c_HCC+L37*x_c_PLT+M37*x_c_SVRn+N37*x_c_SVRcc+O37*x_c_LT+P37*x_c_LT1</f>
        <v>317333281.780888</v>
      </c>
      <c r="AB37" s="0" t="n">
        <f aca="false">C37*x_c_DAA</f>
        <v>109976320</v>
      </c>
      <c r="AC37" s="0" t="n">
        <f aca="false">C37*x_c_MON</f>
        <v>27857107.6100244</v>
      </c>
      <c r="AD37" s="0" t="n">
        <f aca="false">D37*(1-x_testy)</f>
        <v>0</v>
      </c>
      <c r="AE37" s="0" t="n">
        <f aca="false">E37*(1-x_testy)</f>
        <v>0</v>
      </c>
      <c r="AF37" s="0" t="n">
        <f aca="false">F37*x_NAV</f>
        <v>0</v>
      </c>
      <c r="AG37" s="0" t="n">
        <f aca="false">G37*x_FIX*(1-x_testy)</f>
        <v>0</v>
      </c>
      <c r="AH37" s="0" t="n">
        <f aca="false">x_z_F*U37+(1-x_AGRI)*x_EMP*x_WLOSS*(x_PEN_K74*Q37+x_PEN_C22*R37)</f>
        <v>15299777.9973896</v>
      </c>
      <c r="AI37" s="0" t="n">
        <f aca="false">x_AGRI*x_EMP*x_WLOSS*(x_PEN_K74*Q37+x_PEN_C22*R37)</f>
        <v>761025.766508663</v>
      </c>
      <c r="AJ37" s="0" t="n">
        <f aca="false">x_EMP*x_WAGE*(x_WLOSS*(Q37+R37)+S37)+U37*x_ABS_D*x_WAGE/365</f>
        <v>311603310.787455</v>
      </c>
      <c r="AK37" s="0" t="n">
        <f aca="false">AJ37*x_R_FUS</f>
        <v>98591287.5331507</v>
      </c>
      <c r="AL37" s="0" t="n">
        <f aca="false">AJ37*x_R_NFZ</f>
        <v>24199424.7190645</v>
      </c>
      <c r="AM37" s="0" t="n">
        <f aca="false">AJ37*x_R_PIT</f>
        <v>20716688.6850921</v>
      </c>
      <c r="AN37" s="0" t="n">
        <f aca="false">AJ37*x_R_FP</f>
        <v>7945884.4250801</v>
      </c>
      <c r="AO37" s="0" t="n">
        <f aca="false">AA37+AB37+AC37+AD37+AF37</f>
        <v>455166709.390913</v>
      </c>
      <c r="AP37" s="0" t="n">
        <f aca="false">AO37+AE37+AG37+AH37+AI37+AK37+AL37+AM37+AN37</f>
        <v>622680798.517198</v>
      </c>
      <c r="AQ37" s="0" t="n">
        <f aca="false">AO37+AE37+AG37+AJ37</f>
        <v>766770020.178368</v>
      </c>
      <c r="AR37" s="0" t="n">
        <f aca="false">AB37+AC37+AD37+AF37</f>
        <v>137833427.610024</v>
      </c>
      <c r="AS37" s="0" t="n">
        <f aca="false">AR37+AE37+AG37</f>
        <v>137833427.610024</v>
      </c>
    </row>
    <row r="38" customFormat="false" ht="15" hidden="false" customHeight="false" outlineLevel="0" collapsed="false">
      <c r="A38" s="0" t="n">
        <v>2061</v>
      </c>
      <c r="B38" s="0" t="n">
        <v>35</v>
      </c>
      <c r="C38" s="0" t="n">
        <v>4832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2256.316</v>
      </c>
      <c r="I38" s="0" t="n">
        <v>226.426</v>
      </c>
      <c r="J38" s="0" t="n">
        <v>1254.838</v>
      </c>
      <c r="K38" s="0" t="n">
        <v>2104.199</v>
      </c>
      <c r="L38" s="0" t="n">
        <v>928.637</v>
      </c>
      <c r="M38" s="0" t="n">
        <v>115177.073</v>
      </c>
      <c r="N38" s="0" t="n">
        <v>8696.01</v>
      </c>
      <c r="O38" s="0" t="n">
        <v>70.571</v>
      </c>
      <c r="P38" s="0" t="n">
        <v>71.314</v>
      </c>
      <c r="Q38" s="0" t="n">
        <v>708.873</v>
      </c>
      <c r="R38" s="0" t="n">
        <v>1042.28</v>
      </c>
      <c r="S38" s="0" t="n">
        <v>2882.518</v>
      </c>
      <c r="T38" s="0" t="n">
        <v>2482.742</v>
      </c>
      <c r="U38" s="0" t="n">
        <v>1841.198</v>
      </c>
      <c r="V38" s="0" t="n">
        <v>161163.298</v>
      </c>
      <c r="W38" s="0" t="n">
        <v>223.374</v>
      </c>
      <c r="X38" s="0" t="n">
        <v>600.888</v>
      </c>
      <c r="Y38" s="0" t="n">
        <v>70.571</v>
      </c>
      <c r="Z38" s="0" t="n">
        <v>747.065</v>
      </c>
      <c r="AA38" s="0" t="n">
        <f aca="false">H38*x_c_F+I38*x_c_CC+J38*x_c_DC+K38*x_c_HCC+L38*x_c_PLT+M38*x_c_SVRn+N38*x_c_SVRcc+O38*x_c_LT+P38*x_c_LT1</f>
        <v>314355166.008314</v>
      </c>
      <c r="AB38" s="0" t="n">
        <f aca="false">C38*x_c_DAA</f>
        <v>109976320</v>
      </c>
      <c r="AC38" s="0" t="n">
        <f aca="false">C38*x_c_MON</f>
        <v>27857107.6100244</v>
      </c>
      <c r="AD38" s="0" t="n">
        <f aca="false">D38*(1-x_testy)</f>
        <v>0</v>
      </c>
      <c r="AE38" s="0" t="n">
        <f aca="false">E38*(1-x_testy)</f>
        <v>0</v>
      </c>
      <c r="AF38" s="0" t="n">
        <f aca="false">F38*x_NAV</f>
        <v>0</v>
      </c>
      <c r="AG38" s="0" t="n">
        <f aca="false">G38*x_FIX*(1-x_testy)</f>
        <v>0</v>
      </c>
      <c r="AH38" s="0" t="n">
        <f aca="false">x_z_F*U38+(1-x_AGRI)*x_EMP*x_WLOSS*(x_PEN_K74*Q38+x_PEN_C22*R38)</f>
        <v>15174141.6430025</v>
      </c>
      <c r="AI38" s="0" t="n">
        <f aca="false">x_AGRI*x_EMP*x_WLOSS*(x_PEN_K74*Q38+x_PEN_C22*R38)</f>
        <v>752778.518999312</v>
      </c>
      <c r="AJ38" s="0" t="n">
        <f aca="false">x_EMP*x_WAGE*(x_WLOSS*(Q38+R38)+S38)+U38*x_ABS_D*x_WAGE/365</f>
        <v>308491095.669187</v>
      </c>
      <c r="AK38" s="0" t="n">
        <f aca="false">AJ38*x_R_FUS</f>
        <v>97606582.6697307</v>
      </c>
      <c r="AL38" s="0" t="n">
        <f aca="false">AJ38*x_R_NFZ</f>
        <v>23957726.9807647</v>
      </c>
      <c r="AM38" s="0" t="n">
        <f aca="false">AJ38*x_R_PIT</f>
        <v>20509775.6341259</v>
      </c>
      <c r="AN38" s="0" t="n">
        <f aca="false">AJ38*x_R_FP</f>
        <v>7866522.93956426</v>
      </c>
      <c r="AO38" s="0" t="n">
        <f aca="false">AA38+AB38+AC38+AD38+AF38</f>
        <v>452188593.618339</v>
      </c>
      <c r="AP38" s="0" t="n">
        <f aca="false">AO38+AE38+AG38+AH38+AI38+AK38+AL38+AM38+AN38</f>
        <v>618056122.004526</v>
      </c>
      <c r="AQ38" s="0" t="n">
        <f aca="false">AO38+AE38+AG38+AJ38</f>
        <v>760679689.287525</v>
      </c>
      <c r="AR38" s="0" t="n">
        <f aca="false">AB38+AC38+AD38+AF38</f>
        <v>137833427.610024</v>
      </c>
      <c r="AS38" s="0" t="n">
        <f aca="false">AR38+AE38+AG38</f>
        <v>137833427.610024</v>
      </c>
    </row>
    <row r="39" customFormat="false" ht="15" hidden="false" customHeight="false" outlineLevel="0" collapsed="false">
      <c r="A39" s="0" t="n">
        <v>2062</v>
      </c>
      <c r="B39" s="0" t="n">
        <v>36</v>
      </c>
      <c r="C39" s="0" t="n">
        <v>4832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2258.602</v>
      </c>
      <c r="I39" s="0" t="n">
        <v>223.537</v>
      </c>
      <c r="J39" s="0" t="n">
        <v>1229.053</v>
      </c>
      <c r="K39" s="0" t="n">
        <v>2068.139</v>
      </c>
      <c r="L39" s="0" t="n">
        <v>901.056</v>
      </c>
      <c r="M39" s="0" t="n">
        <v>117448.448</v>
      </c>
      <c r="N39" s="0" t="n">
        <v>8618.287</v>
      </c>
      <c r="O39" s="0" t="n">
        <v>69.142</v>
      </c>
      <c r="P39" s="0" t="n">
        <v>69.857</v>
      </c>
      <c r="Q39" s="0" t="n">
        <v>701.286</v>
      </c>
      <c r="R39" s="0" t="n">
        <v>1031.345</v>
      </c>
      <c r="S39" s="0" t="n">
        <v>2854.162</v>
      </c>
      <c r="T39" s="0" t="n">
        <v>2482.139</v>
      </c>
      <c r="U39" s="0" t="n">
        <v>1840.745</v>
      </c>
      <c r="V39" s="0" t="n">
        <v>162507.936</v>
      </c>
      <c r="W39" s="0" t="n">
        <v>219.733</v>
      </c>
      <c r="X39" s="0" t="n">
        <v>591.825</v>
      </c>
      <c r="Y39" s="0" t="n">
        <v>69.142</v>
      </c>
      <c r="Z39" s="0" t="n">
        <v>732.795</v>
      </c>
      <c r="AA39" s="0" t="n">
        <f aca="false">H39*x_c_F+I39*x_c_CC+J39*x_c_DC+K39*x_c_HCC+L39*x_c_PLT+M39*x_c_SVRn+N39*x_c_SVRcc+O39*x_c_LT+P39*x_c_LT1</f>
        <v>311355760.38502</v>
      </c>
      <c r="AB39" s="0" t="n">
        <f aca="false">C39*x_c_DAA</f>
        <v>109976320</v>
      </c>
      <c r="AC39" s="0" t="n">
        <f aca="false">C39*x_c_MON</f>
        <v>27857107.6100244</v>
      </c>
      <c r="AD39" s="0" t="n">
        <f aca="false">D39*(1-x_testy)</f>
        <v>0</v>
      </c>
      <c r="AE39" s="0" t="n">
        <f aca="false">E39*(1-x_testy)</f>
        <v>0</v>
      </c>
      <c r="AF39" s="0" t="n">
        <f aca="false">F39*x_NAV</f>
        <v>0</v>
      </c>
      <c r="AG39" s="0" t="n">
        <f aca="false">G39*x_FIX*(1-x_testy)</f>
        <v>0</v>
      </c>
      <c r="AH39" s="0" t="n">
        <f aca="false">x_z_F*U39+(1-x_AGRI)*x_EMP*x_WLOSS*(x_PEN_K74*Q39+x_PEN_C22*R39)</f>
        <v>15052823.7556635</v>
      </c>
      <c r="AI39" s="0" t="n">
        <f aca="false">x_AGRI*x_EMP*x_WLOSS*(x_PEN_K74*Q39+x_PEN_C22*R39)</f>
        <v>744821.198293708</v>
      </c>
      <c r="AJ39" s="0" t="n">
        <f aca="false">x_EMP*x_WAGE*(x_WLOSS*(Q39+R39)+S39)+U39*x_ABS_D*x_WAGE/365</f>
        <v>305465865.672199</v>
      </c>
      <c r="AK39" s="0" t="n">
        <f aca="false">AJ39*x_R_FUS</f>
        <v>96649399.8986836</v>
      </c>
      <c r="AL39" s="0" t="n">
        <f aca="false">AJ39*x_R_NFZ</f>
        <v>23722784.5939686</v>
      </c>
      <c r="AM39" s="0" t="n">
        <f aca="false">AJ39*x_R_PIT</f>
        <v>20308645.7170849</v>
      </c>
      <c r="AN39" s="0" t="n">
        <f aca="false">AJ39*x_R_FP</f>
        <v>7789379.57464106</v>
      </c>
      <c r="AO39" s="0" t="n">
        <f aca="false">AA39+AB39+AC39+AD39+AF39</f>
        <v>449189187.995044</v>
      </c>
      <c r="AP39" s="0" t="n">
        <f aca="false">AO39+AE39+AG39+AH39+AI39+AK39+AL39+AM39+AN39</f>
        <v>613457042.73338</v>
      </c>
      <c r="AQ39" s="0" t="n">
        <f aca="false">AO39+AE39+AG39+AJ39</f>
        <v>754655053.667243</v>
      </c>
      <c r="AR39" s="0" t="n">
        <f aca="false">AB39+AC39+AD39+AF39</f>
        <v>137833427.610024</v>
      </c>
      <c r="AS39" s="0" t="n">
        <f aca="false">AR39+AE39+AG39</f>
        <v>137833427.610024</v>
      </c>
    </row>
    <row r="40" customFormat="false" ht="15" hidden="false" customHeight="false" outlineLevel="0" collapsed="false">
      <c r="A40" s="0" t="n">
        <v>2063</v>
      </c>
      <c r="B40" s="0" t="n">
        <v>37</v>
      </c>
      <c r="C40" s="0" t="n">
        <v>4832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2260.634</v>
      </c>
      <c r="I40" s="0" t="n">
        <v>220.929</v>
      </c>
      <c r="J40" s="0" t="n">
        <v>1204.561</v>
      </c>
      <c r="K40" s="0" t="n">
        <v>2033.952</v>
      </c>
      <c r="L40" s="0" t="n">
        <v>872.85</v>
      </c>
      <c r="M40" s="0" t="n">
        <v>119642.352</v>
      </c>
      <c r="N40" s="0" t="n">
        <v>8528.235</v>
      </c>
      <c r="O40" s="0" t="n">
        <v>67.797</v>
      </c>
      <c r="P40" s="0" t="n">
        <v>68.469</v>
      </c>
      <c r="Q40" s="0" t="n">
        <v>693.969</v>
      </c>
      <c r="R40" s="0" t="n">
        <v>1020.825</v>
      </c>
      <c r="S40" s="0" t="n">
        <v>2826.628</v>
      </c>
      <c r="T40" s="0" t="n">
        <v>2481.563</v>
      </c>
      <c r="U40" s="0" t="n">
        <v>1840.205</v>
      </c>
      <c r="V40" s="0" t="n">
        <v>163802.928</v>
      </c>
      <c r="W40" s="0" t="n">
        <v>216.363</v>
      </c>
      <c r="X40" s="0" t="n">
        <v>583.348</v>
      </c>
      <c r="Y40" s="0" t="n">
        <v>67.797</v>
      </c>
      <c r="Z40" s="0" t="n">
        <v>719.293</v>
      </c>
      <c r="AA40" s="0" t="n">
        <f aca="false">H40*x_c_F+I40*x_c_CC+J40*x_c_DC+K40*x_c_HCC+L40*x_c_PLT+M40*x_c_SVRn+N40*x_c_SVRcc+O40*x_c_LT+P40*x_c_LT1</f>
        <v>308429250.407227</v>
      </c>
      <c r="AB40" s="0" t="n">
        <f aca="false">C40*x_c_DAA</f>
        <v>109976320</v>
      </c>
      <c r="AC40" s="0" t="n">
        <f aca="false">C40*x_c_MON</f>
        <v>27857107.6100244</v>
      </c>
      <c r="AD40" s="0" t="n">
        <f aca="false">D40*(1-x_testy)</f>
        <v>0</v>
      </c>
      <c r="AE40" s="0" t="n">
        <f aca="false">E40*(1-x_testy)</f>
        <v>0</v>
      </c>
      <c r="AF40" s="0" t="n">
        <f aca="false">F40*x_NAV</f>
        <v>0</v>
      </c>
      <c r="AG40" s="0" t="n">
        <f aca="false">G40*x_FIX*(1-x_testy)</f>
        <v>0</v>
      </c>
      <c r="AH40" s="0" t="n">
        <f aca="false">x_z_F*U40+(1-x_AGRI)*x_EMP*x_WLOSS*(x_PEN_K74*Q40+x_PEN_C22*R40)</f>
        <v>14935787.9594453</v>
      </c>
      <c r="AI40" s="0" t="n">
        <f aca="false">x_AGRI*x_EMP*x_WLOSS*(x_PEN_K74*Q40+x_PEN_C22*R40)</f>
        <v>737158.738152886</v>
      </c>
      <c r="AJ40" s="0" t="n">
        <f aca="false">x_EMP*x_WAGE*(x_WLOSS*(Q40+R40)+S40)+U40*x_ABS_D*x_WAGE/365</f>
        <v>302532885.324054</v>
      </c>
      <c r="AK40" s="0" t="n">
        <f aca="false">AJ40*x_R_FUS</f>
        <v>95721404.9165307</v>
      </c>
      <c r="AL40" s="0" t="n">
        <f aca="false">AJ40*x_R_NFZ</f>
        <v>23495006.4071514</v>
      </c>
      <c r="AM40" s="0" t="n">
        <f aca="false">AJ40*x_R_PIT</f>
        <v>20113648.9417346</v>
      </c>
      <c r="AN40" s="0" t="n">
        <f aca="false">AJ40*x_R_FP</f>
        <v>7714588.57576338</v>
      </c>
      <c r="AO40" s="0" t="n">
        <f aca="false">AA40+AB40+AC40+AD40+AF40</f>
        <v>446262678.017252</v>
      </c>
      <c r="AP40" s="0" t="n">
        <f aca="false">AO40+AE40+AG40+AH40+AI40+AK40+AL40+AM40+AN40</f>
        <v>608980273.55603</v>
      </c>
      <c r="AQ40" s="0" t="n">
        <f aca="false">AO40+AE40+AG40+AJ40</f>
        <v>748795563.341306</v>
      </c>
      <c r="AR40" s="0" t="n">
        <f aca="false">AB40+AC40+AD40+AF40</f>
        <v>137833427.610024</v>
      </c>
      <c r="AS40" s="0" t="n">
        <f aca="false">AR40+AE40+AG40</f>
        <v>137833427.610024</v>
      </c>
    </row>
    <row r="41" customFormat="false" ht="15" hidden="false" customHeight="false" outlineLevel="0" collapsed="false">
      <c r="A41" s="0" t="n">
        <v>2064</v>
      </c>
      <c r="B41" s="0" t="n">
        <v>38</v>
      </c>
      <c r="C41" s="0" t="n">
        <v>4832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2262.386</v>
      </c>
      <c r="I41" s="0" t="n">
        <v>218.633</v>
      </c>
      <c r="J41" s="0" t="n">
        <v>1181.828</v>
      </c>
      <c r="K41" s="0" t="n">
        <v>2002.24</v>
      </c>
      <c r="L41" s="0" t="n">
        <v>844.749</v>
      </c>
      <c r="M41" s="0" t="n">
        <v>121775.368</v>
      </c>
      <c r="N41" s="0" t="n">
        <v>8431.466</v>
      </c>
      <c r="O41" s="0" t="n">
        <v>66.562</v>
      </c>
      <c r="P41" s="0" t="n">
        <v>67.179</v>
      </c>
      <c r="Q41" s="0" t="n">
        <v>686.924</v>
      </c>
      <c r="R41" s="0" t="n">
        <v>1010.719</v>
      </c>
      <c r="S41" s="0" t="n">
        <v>2799.968</v>
      </c>
      <c r="T41" s="0" t="n">
        <v>2481.02</v>
      </c>
      <c r="U41" s="0" t="n">
        <v>1839.533</v>
      </c>
      <c r="V41" s="0" t="n">
        <v>165066.497</v>
      </c>
      <c r="W41" s="0" t="n">
        <v>213.312</v>
      </c>
      <c r="X41" s="0" t="n">
        <v>575.594</v>
      </c>
      <c r="Y41" s="0" t="n">
        <v>66.562</v>
      </c>
      <c r="Z41" s="0" t="n">
        <v>706.816</v>
      </c>
      <c r="AA41" s="0" t="n">
        <f aca="false">H41*x_c_F+I41*x_c_CC+J41*x_c_DC+K41*x_c_HCC+L41*x_c_PLT+M41*x_c_SVRn+N41*x_c_SVRcc+O41*x_c_LT+P41*x_c_LT1</f>
        <v>305681020.568755</v>
      </c>
      <c r="AB41" s="0" t="n">
        <f aca="false">C41*x_c_DAA</f>
        <v>109976320</v>
      </c>
      <c r="AC41" s="0" t="n">
        <f aca="false">C41*x_c_MON</f>
        <v>27857107.6100244</v>
      </c>
      <c r="AD41" s="0" t="n">
        <f aca="false">D41*(1-x_testy)</f>
        <v>0</v>
      </c>
      <c r="AE41" s="0" t="n">
        <f aca="false">E41*(1-x_testy)</f>
        <v>0</v>
      </c>
      <c r="AF41" s="0" t="n">
        <f aca="false">F41*x_NAV</f>
        <v>0</v>
      </c>
      <c r="AG41" s="0" t="n">
        <f aca="false">G41*x_FIX*(1-x_testy)</f>
        <v>0</v>
      </c>
      <c r="AH41" s="0" t="n">
        <f aca="false">x_z_F*U41+(1-x_AGRI)*x_EMP*x_WLOSS*(x_PEN_K74*Q41+x_PEN_C22*R41)</f>
        <v>14822946.932741</v>
      </c>
      <c r="AI41" s="0" t="n">
        <f aca="false">x_AGRI*x_EMP*x_WLOSS*(x_PEN_K74*Q41+x_PEN_C22*R41)</f>
        <v>729791.481902886</v>
      </c>
      <c r="AJ41" s="0" t="n">
        <f aca="false">x_EMP*x_WAGE*(x_WLOSS*(Q41+R41)+S41)+U41*x_ABS_D*x_WAGE/365</f>
        <v>299696488.718924</v>
      </c>
      <c r="AK41" s="0" t="n">
        <f aca="false">AJ41*x_R_FUS</f>
        <v>94823969.0306677</v>
      </c>
      <c r="AL41" s="0" t="n">
        <f aca="false">AJ41*x_R_NFZ</f>
        <v>23274729.0104004</v>
      </c>
      <c r="AM41" s="0" t="n">
        <f aca="false">AJ41*x_R_PIT</f>
        <v>19925073.4567456</v>
      </c>
      <c r="AN41" s="0" t="n">
        <f aca="false">AJ41*x_R_FP</f>
        <v>7642260.46233257</v>
      </c>
      <c r="AO41" s="0" t="n">
        <f aca="false">AA41+AB41+AC41+AD41+AF41</f>
        <v>443514448.178779</v>
      </c>
      <c r="AP41" s="0" t="n">
        <f aca="false">AO41+AE41+AG41+AH41+AI41+AK41+AL41+AM41+AN41</f>
        <v>604733218.553569</v>
      </c>
      <c r="AQ41" s="0" t="n">
        <f aca="false">AO41+AE41+AG41+AJ41</f>
        <v>743210936.897703</v>
      </c>
      <c r="AR41" s="0" t="n">
        <f aca="false">AB41+AC41+AD41+AF41</f>
        <v>137833427.610024</v>
      </c>
      <c r="AS41" s="0" t="n">
        <f aca="false">AR41+AE41+AG41</f>
        <v>137833427.610024</v>
      </c>
    </row>
    <row r="42" customFormat="false" ht="15" hidden="false" customHeight="false" outlineLevel="0" collapsed="false">
      <c r="A42" s="0" t="n">
        <v>2065</v>
      </c>
      <c r="B42" s="0" t="n">
        <v>39</v>
      </c>
      <c r="C42" s="0" t="n">
        <v>4832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2263.847</v>
      </c>
      <c r="I42" s="0" t="n">
        <v>216.662</v>
      </c>
      <c r="J42" s="0" t="n">
        <v>1161.242</v>
      </c>
      <c r="K42" s="0" t="n">
        <v>1973.501</v>
      </c>
      <c r="L42" s="0" t="n">
        <v>817.497</v>
      </c>
      <c r="M42" s="0" t="n">
        <v>123865.801</v>
      </c>
      <c r="N42" s="0" t="n">
        <v>8333.809</v>
      </c>
      <c r="O42" s="0" t="n">
        <v>65.457</v>
      </c>
      <c r="P42" s="0" t="n">
        <v>66.009</v>
      </c>
      <c r="Q42" s="0" t="n">
        <v>680.156</v>
      </c>
      <c r="R42" s="0" t="n">
        <v>1001.028</v>
      </c>
      <c r="S42" s="0" t="n">
        <v>2774.226</v>
      </c>
      <c r="T42" s="0" t="n">
        <v>2480.509</v>
      </c>
      <c r="U42" s="0" t="n">
        <v>1838.705</v>
      </c>
      <c r="V42" s="0" t="n">
        <v>166317.577</v>
      </c>
      <c r="W42" s="0" t="n">
        <v>210.609</v>
      </c>
      <c r="X42" s="0" t="n">
        <v>568.66</v>
      </c>
      <c r="Y42" s="0" t="n">
        <v>65.457</v>
      </c>
      <c r="Z42" s="0" t="n">
        <v>695.567</v>
      </c>
      <c r="AA42" s="0" t="n">
        <f aca="false">H42*x_c_F+I42*x_c_CC+J42*x_c_DC+K42*x_c_HCC+L42*x_c_PLT+M42*x_c_SVRn+N42*x_c_SVRcc+O42*x_c_LT+P42*x_c_LT1</f>
        <v>303208158.102559</v>
      </c>
      <c r="AB42" s="0" t="n">
        <f aca="false">C42*x_c_DAA</f>
        <v>109976320</v>
      </c>
      <c r="AC42" s="0" t="n">
        <f aca="false">C42*x_c_MON</f>
        <v>27857107.6100244</v>
      </c>
      <c r="AD42" s="0" t="n">
        <f aca="false">D42*(1-x_testy)</f>
        <v>0</v>
      </c>
      <c r="AE42" s="0" t="n">
        <f aca="false">E42*(1-x_testy)</f>
        <v>0</v>
      </c>
      <c r="AF42" s="0" t="n">
        <f aca="false">F42*x_NAV</f>
        <v>0</v>
      </c>
      <c r="AG42" s="0" t="n">
        <f aca="false">G42*x_FIX*(1-x_testy)</f>
        <v>0</v>
      </c>
      <c r="AH42" s="0" t="n">
        <f aca="false">x_z_F*U42+(1-x_AGRI)*x_EMP*x_WLOSS*(x_PEN_K74*Q42+x_PEN_C22*R42)</f>
        <v>14714288.2448821</v>
      </c>
      <c r="AI42" s="0" t="n">
        <f aca="false">x_AGRI*x_EMP*x_WLOSS*(x_PEN_K74*Q42+x_PEN_C22*R42)</f>
        <v>722721.86929594</v>
      </c>
      <c r="AJ42" s="0" t="n">
        <f aca="false">x_EMP*x_WAGE*(x_WLOSS*(Q42+R42)+S42)+U42*x_ABS_D*x_WAGE/365</f>
        <v>296960553.209894</v>
      </c>
      <c r="AK42" s="0" t="n">
        <f aca="false">AJ42*x_R_FUS</f>
        <v>93958319.0356105</v>
      </c>
      <c r="AL42" s="0" t="n">
        <f aca="false">AJ42*x_R_NFZ</f>
        <v>23062253.5228336</v>
      </c>
      <c r="AM42" s="0" t="n">
        <f aca="false">AJ42*x_R_PIT</f>
        <v>19743177.0447344</v>
      </c>
      <c r="AN42" s="0" t="n">
        <f aca="false">AJ42*x_R_FP</f>
        <v>7572494.1068523</v>
      </c>
      <c r="AO42" s="0" t="n">
        <f aca="false">AA42+AB42+AC42+AD42+AF42</f>
        <v>441041585.712583</v>
      </c>
      <c r="AP42" s="0" t="n">
        <f aca="false">AO42+AE42+AG42+AH42+AI42+AK42+AL42+AM42+AN42</f>
        <v>600814839.536792</v>
      </c>
      <c r="AQ42" s="0" t="n">
        <f aca="false">AO42+AE42+AG42+AJ42</f>
        <v>738002138.922477</v>
      </c>
      <c r="AR42" s="0" t="n">
        <f aca="false">AB42+AC42+AD42+AF42</f>
        <v>137833427.610024</v>
      </c>
      <c r="AS42" s="0" t="n">
        <f aca="false">AR42+AE42+AG42</f>
        <v>137833427.610024</v>
      </c>
    </row>
    <row r="43" customFormat="false" ht="15" hidden="false" customHeight="false" outlineLevel="0" collapsed="false">
      <c r="A43" s="0" t="n">
        <v>2066</v>
      </c>
      <c r="B43" s="0" t="n">
        <v>40</v>
      </c>
      <c r="C43" s="0" t="n">
        <v>4832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2265.023</v>
      </c>
      <c r="I43" s="0" t="n">
        <v>215.009</v>
      </c>
      <c r="J43" s="0" t="n">
        <v>1143.064</v>
      </c>
      <c r="K43" s="0" t="n">
        <v>1948.064</v>
      </c>
      <c r="L43" s="0" t="n">
        <v>791.771</v>
      </c>
      <c r="M43" s="0" t="n">
        <v>125931.261</v>
      </c>
      <c r="N43" s="0" t="n">
        <v>8240.666</v>
      </c>
      <c r="O43" s="0" t="n">
        <v>64.493</v>
      </c>
      <c r="P43" s="0" t="n">
        <v>64.975</v>
      </c>
      <c r="Q43" s="0" t="n">
        <v>673.666</v>
      </c>
      <c r="R43" s="0" t="n">
        <v>991.749</v>
      </c>
      <c r="S43" s="0" t="n">
        <v>2749.436</v>
      </c>
      <c r="T43" s="0" t="n">
        <v>2480.032</v>
      </c>
      <c r="U43" s="0" t="n">
        <v>1837.727</v>
      </c>
      <c r="V43" s="0" t="n">
        <v>167573.255</v>
      </c>
      <c r="W43" s="0" t="n">
        <v>208.264</v>
      </c>
      <c r="X43" s="0" t="n">
        <v>562.585</v>
      </c>
      <c r="Y43" s="0" t="n">
        <v>64.493</v>
      </c>
      <c r="Z43" s="0" t="n">
        <v>685.671</v>
      </c>
      <c r="AA43" s="0" t="n">
        <f aca="false">H43*x_c_F+I43*x_c_CC+J43*x_c_DC+K43*x_c_HCC+L43*x_c_PLT+M43*x_c_SVRn+N43*x_c_SVRcc+O43*x_c_LT+P43*x_c_LT1</f>
        <v>301087676.026242</v>
      </c>
      <c r="AB43" s="0" t="n">
        <f aca="false">C43*x_c_DAA</f>
        <v>109976320</v>
      </c>
      <c r="AC43" s="0" t="n">
        <f aca="false">C43*x_c_MON</f>
        <v>27857107.6100244</v>
      </c>
      <c r="AD43" s="0" t="n">
        <f aca="false">D43*(1-x_testy)</f>
        <v>0</v>
      </c>
      <c r="AE43" s="0" t="n">
        <f aca="false">E43*(1-x_testy)</f>
        <v>0</v>
      </c>
      <c r="AF43" s="0" t="n">
        <f aca="false">F43*x_NAV</f>
        <v>0</v>
      </c>
      <c r="AG43" s="0" t="n">
        <f aca="false">G43*x_FIX*(1-x_testy)</f>
        <v>0</v>
      </c>
      <c r="AH43" s="0" t="n">
        <f aca="false">x_z_F*U43+(1-x_AGRI)*x_EMP*x_WLOSS*(x_PEN_K74*Q43+x_PEN_C22*R43)</f>
        <v>14609809.7386798</v>
      </c>
      <c r="AI43" s="0" t="n">
        <f aca="false">x_AGRI*x_EMP*x_WLOSS*(x_PEN_K74*Q43+x_PEN_C22*R43)</f>
        <v>715948.942397117</v>
      </c>
      <c r="AJ43" s="0" t="n">
        <f aca="false">x_EMP*x_WAGE*(x_WLOSS*(Q43+R43)+S43)+U43*x_ABS_D*x_WAGE/365</f>
        <v>294327929.815016</v>
      </c>
      <c r="AK43" s="0" t="n">
        <f aca="false">AJ43*x_R_FUS</f>
        <v>93125356.9934711</v>
      </c>
      <c r="AL43" s="0" t="n">
        <f aca="false">AJ43*x_R_NFZ</f>
        <v>22857801.357364</v>
      </c>
      <c r="AM43" s="0" t="n">
        <f aca="false">AJ43*x_R_PIT</f>
        <v>19568149.2532807</v>
      </c>
      <c r="AN43" s="0" t="n">
        <f aca="false">AJ43*x_R_FP</f>
        <v>7505362.21028291</v>
      </c>
      <c r="AO43" s="0" t="n">
        <f aca="false">AA43+AB43+AC43+AD43+AF43</f>
        <v>438921103.636266</v>
      </c>
      <c r="AP43" s="0" t="n">
        <f aca="false">AO43+AE43+AG43+AH43+AI43+AK43+AL43+AM43+AN43</f>
        <v>597303532.131742</v>
      </c>
      <c r="AQ43" s="0" t="n">
        <f aca="false">AO43+AE43+AG43+AJ43</f>
        <v>733249033.451282</v>
      </c>
      <c r="AR43" s="0" t="n">
        <f aca="false">AB43+AC43+AD43+AF43</f>
        <v>137833427.610024</v>
      </c>
      <c r="AS43" s="0" t="n">
        <f aca="false">AR43+AE43+AG43</f>
        <v>137833427.610024</v>
      </c>
    </row>
    <row r="44" customFormat="false" ht="15" hidden="false" customHeight="false" outlineLevel="0" collapsed="false">
      <c r="A44" s="0" t="n">
        <v>2067</v>
      </c>
      <c r="B44" s="0" t="n">
        <v>41</v>
      </c>
      <c r="C44" s="0" t="n">
        <v>4832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2265.942</v>
      </c>
      <c r="I44" s="0" t="n">
        <v>213.643</v>
      </c>
      <c r="J44" s="0" t="n">
        <v>1127.385</v>
      </c>
      <c r="K44" s="0" t="n">
        <v>1926.021</v>
      </c>
      <c r="L44" s="0" t="n">
        <v>768.1</v>
      </c>
      <c r="M44" s="0" t="n">
        <v>127985.88</v>
      </c>
      <c r="N44" s="0" t="n">
        <v>8156.335</v>
      </c>
      <c r="O44" s="0" t="n">
        <v>63.671</v>
      </c>
      <c r="P44" s="0" t="n">
        <v>64.082</v>
      </c>
      <c r="Q44" s="0" t="n">
        <v>667.453</v>
      </c>
      <c r="R44" s="0" t="n">
        <v>982.879</v>
      </c>
      <c r="S44" s="0" t="n">
        <v>2725.625</v>
      </c>
      <c r="T44" s="0" t="n">
        <v>2479.585</v>
      </c>
      <c r="U44" s="0" t="n">
        <v>1836.633</v>
      </c>
      <c r="V44" s="0" t="n">
        <v>168846.037</v>
      </c>
      <c r="W44" s="0" t="n">
        <v>206.255</v>
      </c>
      <c r="X44" s="0" t="n">
        <v>557.338</v>
      </c>
      <c r="Y44" s="0" t="n">
        <v>63.671</v>
      </c>
      <c r="Z44" s="0" t="n">
        <v>677.146</v>
      </c>
      <c r="AA44" s="0" t="n">
        <f aca="false">H44*x_c_F+I44*x_c_CC+J44*x_c_DC+K44*x_c_HCC+L44*x_c_PLT+M44*x_c_SVRn+N44*x_c_SVRcc+O44*x_c_LT+P44*x_c_LT1</f>
        <v>299364739.815108</v>
      </c>
      <c r="AB44" s="0" t="n">
        <f aca="false">C44*x_c_DAA</f>
        <v>109976320</v>
      </c>
      <c r="AC44" s="0" t="n">
        <f aca="false">C44*x_c_MON</f>
        <v>27857107.6100244</v>
      </c>
      <c r="AD44" s="0" t="n">
        <f aca="false">D44*(1-x_testy)</f>
        <v>0</v>
      </c>
      <c r="AE44" s="0" t="n">
        <f aca="false">E44*(1-x_testy)</f>
        <v>0</v>
      </c>
      <c r="AF44" s="0" t="n">
        <f aca="false">F44*x_NAV</f>
        <v>0</v>
      </c>
      <c r="AG44" s="0" t="n">
        <f aca="false">G44*x_FIX*(1-x_testy)</f>
        <v>0</v>
      </c>
      <c r="AH44" s="0" t="n">
        <f aca="false">x_z_F*U44+(1-x_AGRI)*x_EMP*x_WLOSS*(x_PEN_K74*Q44+x_PEN_C22*R44)</f>
        <v>14509554.7922502</v>
      </c>
      <c r="AI44" s="0" t="n">
        <f aca="false">x_AGRI*x_EMP*x_WLOSS*(x_PEN_K74*Q44+x_PEN_C22*R44)</f>
        <v>709470.948106265</v>
      </c>
      <c r="AJ44" s="0" t="n">
        <f aca="false">x_EMP*x_WAGE*(x_WLOSS*(Q44+R44)+S44)+U44*x_ABS_D*x_WAGE/365</f>
        <v>291800889.513005</v>
      </c>
      <c r="AK44" s="0" t="n">
        <f aca="false">AJ44*x_R_FUS</f>
        <v>92325801.4419148</v>
      </c>
      <c r="AL44" s="0" t="n">
        <f aca="false">AJ44*x_R_NFZ</f>
        <v>22661548.8804695</v>
      </c>
      <c r="AM44" s="0" t="n">
        <f aca="false">AJ44*x_R_PIT</f>
        <v>19400141.0665283</v>
      </c>
      <c r="AN44" s="0" t="n">
        <f aca="false">AJ44*x_R_FP</f>
        <v>7440922.68258163</v>
      </c>
      <c r="AO44" s="0" t="n">
        <f aca="false">AA44+AB44+AC44+AD44+AF44</f>
        <v>437198167.425132</v>
      </c>
      <c r="AP44" s="0" t="n">
        <f aca="false">AO44+AE44+AG44+AH44+AI44+AK44+AL44+AM44+AN44</f>
        <v>594245607.236983</v>
      </c>
      <c r="AQ44" s="0" t="n">
        <f aca="false">AO44+AE44+AG44+AJ44</f>
        <v>728999056.938137</v>
      </c>
      <c r="AR44" s="0" t="n">
        <f aca="false">AB44+AC44+AD44+AF44</f>
        <v>137833427.610024</v>
      </c>
      <c r="AS44" s="0" t="n">
        <f aca="false">AR44+AE44+AG44</f>
        <v>137833427.610024</v>
      </c>
    </row>
    <row r="45" customFormat="false" ht="15" hidden="false" customHeight="false" outlineLevel="0" collapsed="false">
      <c r="A45" s="0" t="n">
        <v>2068</v>
      </c>
      <c r="B45" s="0" t="n">
        <v>42</v>
      </c>
      <c r="C45" s="0" t="n">
        <v>4832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2266.647</v>
      </c>
      <c r="I45" s="0" t="n">
        <v>212.518</v>
      </c>
      <c r="J45" s="0" t="n">
        <v>1114.145</v>
      </c>
      <c r="K45" s="0" t="n">
        <v>1907.256</v>
      </c>
      <c r="L45" s="0" t="n">
        <v>746.862</v>
      </c>
      <c r="M45" s="0" t="n">
        <v>130040.162</v>
      </c>
      <c r="N45" s="0" t="n">
        <v>8083.978</v>
      </c>
      <c r="O45" s="0" t="n">
        <v>62.985</v>
      </c>
      <c r="P45" s="0" t="n">
        <v>63.328</v>
      </c>
      <c r="Q45" s="0" t="n">
        <v>661.518</v>
      </c>
      <c r="R45" s="0" t="n">
        <v>974.413</v>
      </c>
      <c r="S45" s="0" t="n">
        <v>2702.811</v>
      </c>
      <c r="T45" s="0" t="n">
        <v>2479.165</v>
      </c>
      <c r="U45" s="0" t="n">
        <v>1835.475</v>
      </c>
      <c r="V45" s="0" t="n">
        <v>170144.02</v>
      </c>
      <c r="W45" s="0" t="n">
        <v>204.547</v>
      </c>
      <c r="X45" s="0" t="n">
        <v>552.852</v>
      </c>
      <c r="Y45" s="0" t="n">
        <v>62.985</v>
      </c>
      <c r="Z45" s="0" t="n">
        <v>669.953</v>
      </c>
      <c r="AA45" s="0" t="n">
        <f aca="false">H45*x_c_F+I45*x_c_CC+J45*x_c_DC+K45*x_c_HCC+L45*x_c_PLT+M45*x_c_SVRn+N45*x_c_SVRcc+O45*x_c_LT+P45*x_c_LT1</f>
        <v>298055805.915171</v>
      </c>
      <c r="AB45" s="0" t="n">
        <f aca="false">C45*x_c_DAA</f>
        <v>109976320</v>
      </c>
      <c r="AC45" s="0" t="n">
        <f aca="false">C45*x_c_MON</f>
        <v>27857107.6100244</v>
      </c>
      <c r="AD45" s="0" t="n">
        <f aca="false">D45*(1-x_testy)</f>
        <v>0</v>
      </c>
      <c r="AE45" s="0" t="n">
        <f aca="false">E45*(1-x_testy)</f>
        <v>0</v>
      </c>
      <c r="AF45" s="0" t="n">
        <f aca="false">F45*x_NAV</f>
        <v>0</v>
      </c>
      <c r="AG45" s="0" t="n">
        <f aca="false">G45*x_FIX*(1-x_testy)</f>
        <v>0</v>
      </c>
      <c r="AH45" s="0" t="n">
        <f aca="false">x_z_F*U45+(1-x_AGRI)*x_EMP*x_WLOSS*(x_PEN_K74*Q45+x_PEN_C22*R45)</f>
        <v>14413602.1483297</v>
      </c>
      <c r="AI45" s="0" t="n">
        <f aca="false">x_AGRI*x_EMP*x_WLOSS*(x_PEN_K74*Q45+x_PEN_C22*R45)</f>
        <v>703286.024810089</v>
      </c>
      <c r="AJ45" s="0" t="n">
        <f aca="false">x_EMP*x_WAGE*(x_WLOSS*(Q45+R45)+S45)+U45*x_ABS_D*x_WAGE/365</f>
        <v>289380988.811296</v>
      </c>
      <c r="AK45" s="0" t="n">
        <f aca="false">AJ45*x_R_FUS</f>
        <v>91560144.8598942</v>
      </c>
      <c r="AL45" s="0" t="n">
        <f aca="false">AJ45*x_R_NFZ</f>
        <v>22473616.9720741</v>
      </c>
      <c r="AM45" s="0" t="n">
        <f aca="false">AJ45*x_R_PIT</f>
        <v>19239255.9675881</v>
      </c>
      <c r="AN45" s="0" t="n">
        <f aca="false">AJ45*x_R_FP</f>
        <v>7379215.21468806</v>
      </c>
      <c r="AO45" s="0" t="n">
        <f aca="false">AA45+AB45+AC45+AD45+AF45</f>
        <v>435889233.525196</v>
      </c>
      <c r="AP45" s="0" t="n">
        <f aca="false">AO45+AE45+AG45+AH45+AI45+AK45+AL45+AM45+AN45</f>
        <v>591658354.71258</v>
      </c>
      <c r="AQ45" s="0" t="n">
        <f aca="false">AO45+AE45+AG45+AJ45</f>
        <v>725270222.336492</v>
      </c>
      <c r="AR45" s="0" t="n">
        <f aca="false">AB45+AC45+AD45+AF45</f>
        <v>137833427.610024</v>
      </c>
      <c r="AS45" s="0" t="n">
        <f aca="false">AR45+AE45+AG45</f>
        <v>137833427.610024</v>
      </c>
    </row>
    <row r="46" customFormat="false" ht="15" hidden="false" customHeight="false" outlineLevel="0" collapsed="false">
      <c r="A46" s="0" t="n">
        <v>2069</v>
      </c>
      <c r="B46" s="0" t="n">
        <v>43</v>
      </c>
      <c r="C46" s="0" t="n">
        <v>4832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2267.188</v>
      </c>
      <c r="I46" s="0" t="n">
        <v>211.579</v>
      </c>
      <c r="J46" s="0" t="n">
        <v>1103.166</v>
      </c>
      <c r="K46" s="0" t="n">
        <v>1891.497</v>
      </c>
      <c r="L46" s="0" t="n">
        <v>728.284</v>
      </c>
      <c r="M46" s="0" t="n">
        <v>132100.957</v>
      </c>
      <c r="N46" s="0" t="n">
        <v>8025.629</v>
      </c>
      <c r="O46" s="0" t="n">
        <v>62.423</v>
      </c>
      <c r="P46" s="0" t="n">
        <v>62.704</v>
      </c>
      <c r="Q46" s="0" t="n">
        <v>655.858</v>
      </c>
      <c r="R46" s="0" t="n">
        <v>966.345</v>
      </c>
      <c r="S46" s="0" t="n">
        <v>2681.005</v>
      </c>
      <c r="T46" s="0" t="n">
        <v>2478.767</v>
      </c>
      <c r="U46" s="0" t="n">
        <v>1834.317</v>
      </c>
      <c r="V46" s="0" t="n">
        <v>171471.255</v>
      </c>
      <c r="W46" s="0" t="n">
        <v>203.091</v>
      </c>
      <c r="X46" s="0" t="n">
        <v>549.017</v>
      </c>
      <c r="Y46" s="0" t="n">
        <v>62.423</v>
      </c>
      <c r="Z46" s="0" t="n">
        <v>663.975</v>
      </c>
      <c r="AA46" s="0" t="n">
        <f aca="false">H46*x_c_F+I46*x_c_CC+J46*x_c_DC+K46*x_c_HCC+L46*x_c_PLT+M46*x_c_SVRn+N46*x_c_SVRcc+O46*x_c_LT+P46*x_c_LT1</f>
        <v>297152845.242885</v>
      </c>
      <c r="AB46" s="0" t="n">
        <f aca="false">C46*x_c_DAA</f>
        <v>109976320</v>
      </c>
      <c r="AC46" s="0" t="n">
        <f aca="false">C46*x_c_MON</f>
        <v>27857107.6100244</v>
      </c>
      <c r="AD46" s="0" t="n">
        <f aca="false">D46*(1-x_testy)</f>
        <v>0</v>
      </c>
      <c r="AE46" s="0" t="n">
        <f aca="false">E46*(1-x_testy)</f>
        <v>0</v>
      </c>
      <c r="AF46" s="0" t="n">
        <f aca="false">F46*x_NAV</f>
        <v>0</v>
      </c>
      <c r="AG46" s="0" t="n">
        <f aca="false">G46*x_FIX*(1-x_testy)</f>
        <v>0</v>
      </c>
      <c r="AH46" s="0" t="n">
        <f aca="false">x_z_F*U46+(1-x_AGRI)*x_EMP*x_WLOSS*(x_PEN_K74*Q46+x_PEN_C22*R46)</f>
        <v>14322024.324484</v>
      </c>
      <c r="AI46" s="0" t="n">
        <f aca="false">x_AGRI*x_EMP*x_WLOSS*(x_PEN_K74*Q46+x_PEN_C22*R46)</f>
        <v>697390.268725676</v>
      </c>
      <c r="AJ46" s="0" t="n">
        <f aca="false">x_EMP*x_WAGE*(x_WLOSS*(Q46+R46)+S46)+U46*x_ABS_D*x_WAGE/365</f>
        <v>287069058.985138</v>
      </c>
      <c r="AK46" s="0" t="n">
        <f aca="false">AJ46*x_R_FUS</f>
        <v>90828650.2628976</v>
      </c>
      <c r="AL46" s="0" t="n">
        <f aca="false">AJ46*x_R_NFZ</f>
        <v>22294070.1898448</v>
      </c>
      <c r="AM46" s="0" t="n">
        <f aca="false">AJ46*x_R_PIT</f>
        <v>19085549.2231082</v>
      </c>
      <c r="AN46" s="0" t="n">
        <f aca="false">AJ46*x_R_FP</f>
        <v>7320261.00412101</v>
      </c>
      <c r="AO46" s="0" t="n">
        <f aca="false">AA46+AB46+AC46+AD46+AF46</f>
        <v>434986272.852909</v>
      </c>
      <c r="AP46" s="0" t="n">
        <f aca="false">AO46+AE46+AG46+AH46+AI46+AK46+AL46+AM46+AN46</f>
        <v>589534218.12609</v>
      </c>
      <c r="AQ46" s="0" t="n">
        <f aca="false">AO46+AE46+AG46+AJ46</f>
        <v>722055331.838047</v>
      </c>
      <c r="AR46" s="0" t="n">
        <f aca="false">AB46+AC46+AD46+AF46</f>
        <v>137833427.610024</v>
      </c>
      <c r="AS46" s="0" t="n">
        <f aca="false">AR46+AE46+AG46</f>
        <v>137833427.610024</v>
      </c>
    </row>
    <row r="47" customFormat="false" ht="15" hidden="false" customHeight="false" outlineLevel="0" collapsed="false">
      <c r="A47" s="0" t="n">
        <v>2070</v>
      </c>
      <c r="B47" s="0" t="n">
        <v>44</v>
      </c>
      <c r="C47" s="0" t="n">
        <v>4832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2267.621</v>
      </c>
      <c r="I47" s="0" t="n">
        <v>210.765</v>
      </c>
      <c r="J47" s="0" t="n">
        <v>1094.162</v>
      </c>
      <c r="K47" s="0" t="n">
        <v>1878.328</v>
      </c>
      <c r="L47" s="0" t="n">
        <v>712.433</v>
      </c>
      <c r="M47" s="0" t="n">
        <v>134170.61</v>
      </c>
      <c r="N47" s="0" t="n">
        <v>7982.062</v>
      </c>
      <c r="O47" s="0" t="n">
        <v>61.966</v>
      </c>
      <c r="P47" s="0" t="n">
        <v>62.194</v>
      </c>
      <c r="Q47" s="0" t="n">
        <v>650.468</v>
      </c>
      <c r="R47" s="0" t="n">
        <v>958.667</v>
      </c>
      <c r="S47" s="0" t="n">
        <v>2660.208</v>
      </c>
      <c r="T47" s="0" t="n">
        <v>2478.386</v>
      </c>
      <c r="U47" s="0" t="n">
        <v>1833.222</v>
      </c>
      <c r="V47" s="0" t="n">
        <v>172827.177</v>
      </c>
      <c r="W47" s="0" t="n">
        <v>201.829</v>
      </c>
      <c r="X47" s="0" t="n">
        <v>545.704</v>
      </c>
      <c r="Y47" s="0" t="n">
        <v>61.966</v>
      </c>
      <c r="Z47" s="0" t="n">
        <v>659.049</v>
      </c>
      <c r="AA47" s="0" t="n">
        <f aca="false">H47*x_c_F+I47*x_c_CC+J47*x_c_DC+K47*x_c_HCC+L47*x_c_PLT+M47*x_c_SVRn+N47*x_c_SVRcc+O47*x_c_LT+P47*x_c_LT1</f>
        <v>296622780.029311</v>
      </c>
      <c r="AB47" s="0" t="n">
        <f aca="false">C47*x_c_DAA</f>
        <v>109976320</v>
      </c>
      <c r="AC47" s="0" t="n">
        <f aca="false">C47*x_c_MON</f>
        <v>27857107.6100244</v>
      </c>
      <c r="AD47" s="0" t="n">
        <f aca="false">D47*(1-x_testy)</f>
        <v>0</v>
      </c>
      <c r="AE47" s="0" t="n">
        <f aca="false">E47*(1-x_testy)</f>
        <v>0</v>
      </c>
      <c r="AF47" s="0" t="n">
        <f aca="false">F47*x_NAV</f>
        <v>0</v>
      </c>
      <c r="AG47" s="0" t="n">
        <f aca="false">G47*x_FIX*(1-x_testy)</f>
        <v>0</v>
      </c>
      <c r="AH47" s="0" t="n">
        <f aca="false">x_z_F*U47+(1-x_AGRI)*x_EMP*x_WLOSS*(x_PEN_K74*Q47+x_PEN_C22*R47)</f>
        <v>14234866.0805126</v>
      </c>
      <c r="AI47" s="0" t="n">
        <f aca="false">x_AGRI*x_EMP*x_WLOSS*(x_PEN_K74*Q47+x_PEN_C22*R47)</f>
        <v>691778.077226528</v>
      </c>
      <c r="AJ47" s="0" t="n">
        <f aca="false">x_EMP*x_WAGE*(x_WLOSS*(Q47+R47)+S47)+U47*x_ABS_D*x_WAGE/365</f>
        <v>284864944.841465</v>
      </c>
      <c r="AK47" s="0" t="n">
        <f aca="false">AJ47*x_R_FUS</f>
        <v>90131268.5478395</v>
      </c>
      <c r="AL47" s="0" t="n">
        <f aca="false">AJ47*x_R_NFZ</f>
        <v>22122896.481333</v>
      </c>
      <c r="AM47" s="0" t="n">
        <f aca="false">AJ47*x_R_PIT</f>
        <v>18939010.5152059</v>
      </c>
      <c r="AN47" s="0" t="n">
        <f aca="false">AJ47*x_R_FP</f>
        <v>7264056.09345735</v>
      </c>
      <c r="AO47" s="0" t="n">
        <f aca="false">AA47+AB47+AC47+AD47+AF47</f>
        <v>434456207.639336</v>
      </c>
      <c r="AP47" s="0" t="n">
        <f aca="false">AO47+AE47+AG47+AH47+AI47+AK47+AL47+AM47+AN47</f>
        <v>587840083.434911</v>
      </c>
      <c r="AQ47" s="0" t="n">
        <f aca="false">AO47+AE47+AG47+AJ47</f>
        <v>719321152.480801</v>
      </c>
      <c r="AR47" s="0" t="n">
        <f aca="false">AB47+AC47+AD47+AF47</f>
        <v>137833427.610024</v>
      </c>
      <c r="AS47" s="0" t="n">
        <f aca="false">AR47+AE47+AG47</f>
        <v>137833427.610024</v>
      </c>
    </row>
    <row r="48" customFormat="false" ht="15" hidden="false" customHeight="false" outlineLevel="0" collapsed="false">
      <c r="A48" s="0" t="n">
        <v>2071</v>
      </c>
      <c r="B48" s="0" t="n">
        <v>45</v>
      </c>
      <c r="C48" s="0" t="n">
        <v>4832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2267.997</v>
      </c>
      <c r="I48" s="0" t="n">
        <v>210.019</v>
      </c>
      <c r="J48" s="0" t="n">
        <v>1086.78</v>
      </c>
      <c r="K48" s="0" t="n">
        <v>1867.246</v>
      </c>
      <c r="L48" s="0" t="n">
        <v>699.225</v>
      </c>
      <c r="M48" s="0" t="n">
        <v>136246.959</v>
      </c>
      <c r="N48" s="0" t="n">
        <v>7952.872</v>
      </c>
      <c r="O48" s="0" t="n">
        <v>61.592</v>
      </c>
      <c r="P48" s="0" t="n">
        <v>61.779</v>
      </c>
      <c r="Q48" s="0" t="n">
        <v>645.344</v>
      </c>
      <c r="R48" s="0" t="n">
        <v>951.368</v>
      </c>
      <c r="S48" s="0" t="n">
        <v>2640.414</v>
      </c>
      <c r="T48" s="0" t="n">
        <v>2478.016</v>
      </c>
      <c r="U48" s="0" t="n">
        <v>1832.25</v>
      </c>
      <c r="V48" s="0" t="n">
        <v>174206.971</v>
      </c>
      <c r="W48" s="0" t="n">
        <v>200.702</v>
      </c>
      <c r="X48" s="0" t="n">
        <v>542.771</v>
      </c>
      <c r="Y48" s="0" t="n">
        <v>61.592</v>
      </c>
      <c r="Z48" s="0" t="n">
        <v>654.968</v>
      </c>
      <c r="AA48" s="0" t="n">
        <f aca="false">H48*x_c_F+I48*x_c_CC+J48*x_c_DC+K48*x_c_HCC+L48*x_c_PLT+M48*x_c_SVRn+N48*x_c_SVRcc+O48*x_c_LT+P48*x_c_LT1</f>
        <v>296413898.307443</v>
      </c>
      <c r="AB48" s="0" t="n">
        <f aca="false">C48*x_c_DAA</f>
        <v>109976320</v>
      </c>
      <c r="AC48" s="0" t="n">
        <f aca="false">C48*x_c_MON</f>
        <v>27857107.6100244</v>
      </c>
      <c r="AD48" s="0" t="n">
        <f aca="false">D48*(1-x_testy)</f>
        <v>0</v>
      </c>
      <c r="AE48" s="0" t="n">
        <f aca="false">E48*(1-x_testy)</f>
        <v>0</v>
      </c>
      <c r="AF48" s="0" t="n">
        <f aca="false">F48*x_NAV</f>
        <v>0</v>
      </c>
      <c r="AG48" s="0" t="n">
        <f aca="false">G48*x_FIX*(1-x_testy)</f>
        <v>0</v>
      </c>
      <c r="AH48" s="0" t="n">
        <f aca="false">x_z_F*U48+(1-x_AGRI)*x_EMP*x_WLOSS*(x_PEN_K74*Q48+x_PEN_C22*R48)</f>
        <v>14152151.5158669</v>
      </c>
      <c r="AI48" s="0" t="n">
        <f aca="false">x_AGRI*x_EMP*x_WLOSS*(x_PEN_K74*Q48+x_PEN_C22*R48)</f>
        <v>686442.889751215</v>
      </c>
      <c r="AJ48" s="0" t="n">
        <f aca="false">x_EMP*x_WAGE*(x_WLOSS*(Q48+R48)+S48)+U48*x_ABS_D*x_WAGE/365</f>
        <v>282767820.088586</v>
      </c>
      <c r="AK48" s="0" t="n">
        <f aca="false">AJ48*x_R_FUS</f>
        <v>89467738.2760286</v>
      </c>
      <c r="AL48" s="0" t="n">
        <f aca="false">AJ48*x_R_NFZ</f>
        <v>21960031.6758997</v>
      </c>
      <c r="AM48" s="0" t="n">
        <f aca="false">AJ48*x_R_PIT</f>
        <v>18799584.9085607</v>
      </c>
      <c r="AN48" s="0" t="n">
        <f aca="false">AJ48*x_R_FP</f>
        <v>7210579.41225894</v>
      </c>
      <c r="AO48" s="0" t="n">
        <f aca="false">AA48+AB48+AC48+AD48+AF48</f>
        <v>434247325.917467</v>
      </c>
      <c r="AP48" s="0" t="n">
        <f aca="false">AO48+AE48+AG48+AH48+AI48+AK48+AL48+AM48+AN48</f>
        <v>586523854.595833</v>
      </c>
      <c r="AQ48" s="0" t="n">
        <f aca="false">AO48+AE48+AG48+AJ48</f>
        <v>717015146.006053</v>
      </c>
      <c r="AR48" s="0" t="n">
        <f aca="false">AB48+AC48+AD48+AF48</f>
        <v>137833427.610024</v>
      </c>
      <c r="AS48" s="0" t="n">
        <f aca="false">AR48+AE48+AG48</f>
        <v>137833427.610024</v>
      </c>
    </row>
    <row r="49" customFormat="false" ht="15" hidden="false" customHeight="false" outlineLevel="0" collapsed="false">
      <c r="A49" s="0" t="n">
        <v>2072</v>
      </c>
      <c r="B49" s="0" t="n">
        <v>46</v>
      </c>
      <c r="C49" s="0" t="n">
        <v>4832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2268.361</v>
      </c>
      <c r="I49" s="0" t="n">
        <v>209.292</v>
      </c>
      <c r="J49" s="0" t="n">
        <v>1080.641</v>
      </c>
      <c r="K49" s="0" t="n">
        <v>1857.721</v>
      </c>
      <c r="L49" s="0" t="n">
        <v>688.462</v>
      </c>
      <c r="M49" s="0" t="n">
        <v>138324.36</v>
      </c>
      <c r="N49" s="0" t="n">
        <v>7936.78</v>
      </c>
      <c r="O49" s="0" t="n">
        <v>61.282</v>
      </c>
      <c r="P49" s="0" t="n">
        <v>61.437</v>
      </c>
      <c r="Q49" s="0" t="n">
        <v>640.479</v>
      </c>
      <c r="R49" s="0" t="n">
        <v>944.437</v>
      </c>
      <c r="S49" s="0" t="n">
        <v>2621.61</v>
      </c>
      <c r="T49" s="0" t="n">
        <v>2477.653</v>
      </c>
      <c r="U49" s="0" t="n">
        <v>1831.448</v>
      </c>
      <c r="V49" s="0" t="n">
        <v>175602.833</v>
      </c>
      <c r="W49" s="0" t="n">
        <v>199.657</v>
      </c>
      <c r="X49" s="0" t="n">
        <v>540.091</v>
      </c>
      <c r="Y49" s="0" t="n">
        <v>61.282</v>
      </c>
      <c r="Z49" s="0" t="n">
        <v>651.53</v>
      </c>
      <c r="AA49" s="0" t="n">
        <f aca="false">H49*x_c_F+I49*x_c_CC+J49*x_c_DC+K49*x_c_HCC+L49*x_c_PLT+M49*x_c_SVRn+N49*x_c_SVRcc+O49*x_c_LT+P49*x_c_LT1</f>
        <v>296465082.140158</v>
      </c>
      <c r="AB49" s="0" t="n">
        <f aca="false">C49*x_c_DAA</f>
        <v>109976320</v>
      </c>
      <c r="AC49" s="0" t="n">
        <f aca="false">C49*x_c_MON</f>
        <v>27857107.6100244</v>
      </c>
      <c r="AD49" s="0" t="n">
        <f aca="false">D49*(1-x_testy)</f>
        <v>0</v>
      </c>
      <c r="AE49" s="0" t="n">
        <f aca="false">E49*(1-x_testy)</f>
        <v>0</v>
      </c>
      <c r="AF49" s="0" t="n">
        <f aca="false">F49*x_NAV</f>
        <v>0</v>
      </c>
      <c r="AG49" s="0" t="n">
        <f aca="false">G49*x_FIX*(1-x_testy)</f>
        <v>0</v>
      </c>
      <c r="AH49" s="0" t="n">
        <f aca="false">x_z_F*U49+(1-x_AGRI)*x_EMP*x_WLOSS*(x_PEN_K74*Q49+x_PEN_C22*R49)</f>
        <v>14073859.958092</v>
      </c>
      <c r="AI49" s="0" t="n">
        <f aca="false">x_AGRI*x_EMP*x_WLOSS*(x_PEN_K74*Q49+x_PEN_C22*R49)</f>
        <v>681376.952990478</v>
      </c>
      <c r="AJ49" s="0" t="n">
        <f aca="false">x_EMP*x_WAGE*(x_WLOSS*(Q49+R49)+S49)+U49*x_ABS_D*x_WAGE/365</f>
        <v>280776125.230714</v>
      </c>
      <c r="AK49" s="0" t="n">
        <f aca="false">AJ49*x_R_FUS</f>
        <v>88837566.022998</v>
      </c>
      <c r="AL49" s="0" t="n">
        <f aca="false">AJ49*x_R_NFZ</f>
        <v>21805354.6615425</v>
      </c>
      <c r="AM49" s="0" t="n">
        <f aca="false">AJ49*x_R_PIT</f>
        <v>18667168.7213836</v>
      </c>
      <c r="AN49" s="0" t="n">
        <f aca="false">AJ49*x_R_FP</f>
        <v>7159791.19338322</v>
      </c>
      <c r="AO49" s="0" t="n">
        <f aca="false">AA49+AB49+AC49+AD49+AF49</f>
        <v>434298509.750182</v>
      </c>
      <c r="AP49" s="0" t="n">
        <f aca="false">AO49+AE49+AG49+AH49+AI49+AK49+AL49+AM49+AN49</f>
        <v>585523627.260572</v>
      </c>
      <c r="AQ49" s="0" t="n">
        <f aca="false">AO49+AE49+AG49+AJ49</f>
        <v>715074634.980897</v>
      </c>
      <c r="AR49" s="0" t="n">
        <f aca="false">AB49+AC49+AD49+AF49</f>
        <v>137833427.610024</v>
      </c>
      <c r="AS49" s="0" t="n">
        <f aca="false">AR49+AE49+AG49</f>
        <v>137833427.610024</v>
      </c>
    </row>
    <row r="50" customFormat="false" ht="15" hidden="false" customHeight="false" outlineLevel="0" collapsed="false">
      <c r="A50" s="0" t="n">
        <v>2073</v>
      </c>
      <c r="B50" s="0" t="n">
        <v>47</v>
      </c>
      <c r="C50" s="0" t="n">
        <v>4832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2268.75</v>
      </c>
      <c r="I50" s="0" t="n">
        <v>208.543</v>
      </c>
      <c r="J50" s="0" t="n">
        <v>1075.352</v>
      </c>
      <c r="K50" s="0" t="n">
        <v>1849.218</v>
      </c>
      <c r="L50" s="0" t="n">
        <v>679.834</v>
      </c>
      <c r="M50" s="0" t="n">
        <v>140393.135</v>
      </c>
      <c r="N50" s="0" t="n">
        <v>7931.62</v>
      </c>
      <c r="O50" s="0" t="n">
        <v>61.011</v>
      </c>
      <c r="P50" s="0" t="n">
        <v>61.146</v>
      </c>
      <c r="Q50" s="0" t="n">
        <v>635.863</v>
      </c>
      <c r="R50" s="0" t="n">
        <v>937.86</v>
      </c>
      <c r="S50" s="0" t="n">
        <v>2603.774</v>
      </c>
      <c r="T50" s="0" t="n">
        <v>2477.293</v>
      </c>
      <c r="U50" s="0" t="n">
        <v>1830.848</v>
      </c>
      <c r="V50" s="0" t="n">
        <v>177003.614</v>
      </c>
      <c r="W50" s="0" t="n">
        <v>198.645</v>
      </c>
      <c r="X50" s="0" t="n">
        <v>537.534</v>
      </c>
      <c r="Y50" s="0" t="n">
        <v>61.011</v>
      </c>
      <c r="Z50" s="0" t="n">
        <v>648.507</v>
      </c>
      <c r="AA50" s="0" t="n">
        <f aca="false">H50*x_c_F+I50*x_c_CC+J50*x_c_DC+K50*x_c_HCC+L50*x_c_PLT+M50*x_c_SVRn+N50*x_c_SVRcc+O50*x_c_LT+P50*x_c_LT1</f>
        <v>296704148.921616</v>
      </c>
      <c r="AB50" s="0" t="n">
        <f aca="false">C50*x_c_DAA</f>
        <v>109976320</v>
      </c>
      <c r="AC50" s="0" t="n">
        <f aca="false">C50*x_c_MON</f>
        <v>27857107.6100244</v>
      </c>
      <c r="AD50" s="0" t="n">
        <f aca="false">D50*(1-x_testy)</f>
        <v>0</v>
      </c>
      <c r="AE50" s="0" t="n">
        <f aca="false">E50*(1-x_testy)</f>
        <v>0</v>
      </c>
      <c r="AF50" s="0" t="n">
        <f aca="false">F50*x_NAV</f>
        <v>0</v>
      </c>
      <c r="AG50" s="0" t="n">
        <f aca="false">G50*x_FIX*(1-x_testy)</f>
        <v>0</v>
      </c>
      <c r="AH50" s="0" t="n">
        <f aca="false">x_z_F*U50+(1-x_AGRI)*x_EMP*x_WLOSS*(x_PEN_K74*Q50+x_PEN_C22*R50)</f>
        <v>13999901.3433445</v>
      </c>
      <c r="AI50" s="0" t="n">
        <f aca="false">x_AGRI*x_EMP*x_WLOSS*(x_PEN_K74*Q50+x_PEN_C22*R50)</f>
        <v>676569.965369684</v>
      </c>
      <c r="AJ50" s="0" t="n">
        <f aca="false">x_EMP*x_WAGE*(x_WLOSS*(Q50+R50)+S50)+U50*x_ABS_D*x_WAGE/365</f>
        <v>278887292.977688</v>
      </c>
      <c r="AK50" s="0" t="n">
        <f aca="false">AJ50*x_R_FUS</f>
        <v>88239939.4981405</v>
      </c>
      <c r="AL50" s="0" t="n">
        <f aca="false">AJ50*x_R_NFZ</f>
        <v>21658666.0599402</v>
      </c>
      <c r="AM50" s="0" t="n">
        <f aca="false">AJ50*x_R_PIT</f>
        <v>18541591.2695092</v>
      </c>
      <c r="AN50" s="0" t="n">
        <f aca="false">AJ50*x_R_FP</f>
        <v>7111625.97093105</v>
      </c>
      <c r="AO50" s="0" t="n">
        <f aca="false">AA50+AB50+AC50+AD50+AF50</f>
        <v>434537576.53164</v>
      </c>
      <c r="AP50" s="0" t="n">
        <f aca="false">AO50+AE50+AG50+AH50+AI50+AK50+AL50+AM50+AN50</f>
        <v>584765870.638875</v>
      </c>
      <c r="AQ50" s="0" t="n">
        <f aca="false">AO50+AE50+AG50+AJ50</f>
        <v>713424869.509328</v>
      </c>
      <c r="AR50" s="0" t="n">
        <f aca="false">AB50+AC50+AD50+AF50</f>
        <v>137833427.610024</v>
      </c>
      <c r="AS50" s="0" t="n">
        <f aca="false">AR50+AE50+AG50</f>
        <v>137833427.610024</v>
      </c>
    </row>
    <row r="51" customFormat="false" ht="15" hidden="false" customHeight="false" outlineLevel="0" collapsed="false">
      <c r="A51" s="0" t="n">
        <v>2074</v>
      </c>
      <c r="B51" s="0" t="n">
        <v>48</v>
      </c>
      <c r="C51" s="0" t="n">
        <v>4832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2269.19</v>
      </c>
      <c r="I51" s="0" t="n">
        <v>207.744</v>
      </c>
      <c r="J51" s="0" t="n">
        <v>1070.542</v>
      </c>
      <c r="K51" s="0" t="n">
        <v>1841.23</v>
      </c>
      <c r="L51" s="0" t="n">
        <v>672.944</v>
      </c>
      <c r="M51" s="0" t="n">
        <v>142440.056</v>
      </c>
      <c r="N51" s="0" t="n">
        <v>7934.533</v>
      </c>
      <c r="O51" s="0" t="n">
        <v>60.758</v>
      </c>
      <c r="P51" s="0" t="n">
        <v>60.884</v>
      </c>
      <c r="Q51" s="0" t="n">
        <v>631.487</v>
      </c>
      <c r="R51" s="0" t="n">
        <v>931.62</v>
      </c>
      <c r="S51" s="0" t="n">
        <v>2586.876</v>
      </c>
      <c r="T51" s="0" t="n">
        <v>2476.933</v>
      </c>
      <c r="U51" s="0" t="n">
        <v>1830.471</v>
      </c>
      <c r="V51" s="0" t="n">
        <v>178395.414</v>
      </c>
      <c r="W51" s="0" t="n">
        <v>197.625</v>
      </c>
      <c r="X51" s="0" t="n">
        <v>534.997</v>
      </c>
      <c r="Y51" s="0" t="n">
        <v>60.758</v>
      </c>
      <c r="Z51" s="0" t="n">
        <v>645.703</v>
      </c>
      <c r="AA51" s="0" t="n">
        <f aca="false">H51*x_c_F+I51*x_c_CC+J51*x_c_DC+K51*x_c_HCC+L51*x_c_PLT+M51*x_c_SVRn+N51*x_c_SVRcc+O51*x_c_LT+P51*x_c_LT1</f>
        <v>297055645.50146</v>
      </c>
      <c r="AB51" s="0" t="n">
        <f aca="false">C51*x_c_DAA</f>
        <v>109976320</v>
      </c>
      <c r="AC51" s="0" t="n">
        <f aca="false">C51*x_c_MON</f>
        <v>27857107.6100244</v>
      </c>
      <c r="AD51" s="0" t="n">
        <f aca="false">D51*(1-x_testy)</f>
        <v>0</v>
      </c>
      <c r="AE51" s="0" t="n">
        <f aca="false">E51*(1-x_testy)</f>
        <v>0</v>
      </c>
      <c r="AF51" s="0" t="n">
        <f aca="false">F51*x_NAV</f>
        <v>0</v>
      </c>
      <c r="AG51" s="0" t="n">
        <f aca="false">G51*x_FIX*(1-x_testy)</f>
        <v>0</v>
      </c>
      <c r="AH51" s="0" t="n">
        <f aca="false">x_z_F*U51+(1-x_AGRI)*x_EMP*x_WLOSS*(x_PEN_K74*Q51+x_PEN_C22*R51)</f>
        <v>13930148.5001799</v>
      </c>
      <c r="AI51" s="0" t="n">
        <f aca="false">x_AGRI*x_EMP*x_WLOSS*(x_PEN_K74*Q51+x_PEN_C22*R51)</f>
        <v>672010.667379267</v>
      </c>
      <c r="AJ51" s="0" t="n">
        <f aca="false">x_EMP*x_WAGE*(x_WLOSS*(Q51+R51)+S51)+U51*x_ABS_D*x_WAGE/365</f>
        <v>277097976.181055</v>
      </c>
      <c r="AK51" s="0" t="n">
        <f aca="false">AJ51*x_R_FUS</f>
        <v>87673799.6636858</v>
      </c>
      <c r="AL51" s="0" t="n">
        <f aca="false">AJ51*x_R_NFZ</f>
        <v>21519705.9281969</v>
      </c>
      <c r="AM51" s="0" t="n">
        <f aca="false">AJ51*x_R_PIT</f>
        <v>18422630.020538</v>
      </c>
      <c r="AN51" s="0" t="n">
        <f aca="false">AJ51*x_R_FP</f>
        <v>7065998.3926169</v>
      </c>
      <c r="AO51" s="0" t="n">
        <f aca="false">AA51+AB51+AC51+AD51+AF51</f>
        <v>434889073.111484</v>
      </c>
      <c r="AP51" s="0" t="n">
        <f aca="false">AO51+AE51+AG51+AH51+AI51+AK51+AL51+AM51+AN51</f>
        <v>584173366.284081</v>
      </c>
      <c r="AQ51" s="0" t="n">
        <f aca="false">AO51+AE51+AG51+AJ51</f>
        <v>711987049.292539</v>
      </c>
      <c r="AR51" s="0" t="n">
        <f aca="false">AB51+AC51+AD51+AF51</f>
        <v>137833427.610024</v>
      </c>
      <c r="AS51" s="0" t="n">
        <f aca="false">AR51+AE51+AG51</f>
        <v>137833427.610024</v>
      </c>
    </row>
    <row r="52" customFormat="false" ht="15" hidden="false" customHeight="false" outlineLevel="0" collapsed="false">
      <c r="A52" s="0" t="n">
        <v>2075</v>
      </c>
      <c r="B52" s="0" t="n">
        <v>49</v>
      </c>
      <c r="C52" s="0" t="n">
        <v>4832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2269.693</v>
      </c>
      <c r="I52" s="0" t="n">
        <v>206.878</v>
      </c>
      <c r="J52" s="0" t="n">
        <v>1065.879</v>
      </c>
      <c r="K52" s="0" t="n">
        <v>1833.318</v>
      </c>
      <c r="L52" s="0" t="n">
        <v>667.348</v>
      </c>
      <c r="M52" s="0" t="n">
        <v>144449.319</v>
      </c>
      <c r="N52" s="0" t="n">
        <v>7942.268</v>
      </c>
      <c r="O52" s="0" t="n">
        <v>60.507</v>
      </c>
      <c r="P52" s="0" t="n">
        <v>60.633</v>
      </c>
      <c r="Q52" s="0" t="n">
        <v>627.338</v>
      </c>
      <c r="R52" s="0" t="n">
        <v>925.699</v>
      </c>
      <c r="S52" s="0" t="n">
        <v>2570.878</v>
      </c>
      <c r="T52" s="0" t="n">
        <v>2476.572</v>
      </c>
      <c r="U52" s="0" t="n">
        <v>1830.32</v>
      </c>
      <c r="V52" s="0" t="n">
        <v>179762.587</v>
      </c>
      <c r="W52" s="0" t="n">
        <v>196.568</v>
      </c>
      <c r="X52" s="0" t="n">
        <v>532.393</v>
      </c>
      <c r="Y52" s="0" t="n">
        <v>60.507</v>
      </c>
      <c r="Z52" s="0" t="n">
        <v>642.926</v>
      </c>
      <c r="AA52" s="0" t="n">
        <f aca="false">H52*x_c_F+I52*x_c_CC+J52*x_c_DC+K52*x_c_HCC+L52*x_c_PLT+M52*x_c_SVRn+N52*x_c_SVRcc+O52*x_c_LT+P52*x_c_LT1</f>
        <v>297446876.085355</v>
      </c>
      <c r="AB52" s="0" t="n">
        <f aca="false">C52*x_c_DAA</f>
        <v>109976320</v>
      </c>
      <c r="AC52" s="0" t="n">
        <f aca="false">C52*x_c_MON</f>
        <v>27857107.6100244</v>
      </c>
      <c r="AD52" s="0" t="n">
        <f aca="false">D52*(1-x_testy)</f>
        <v>0</v>
      </c>
      <c r="AE52" s="0" t="n">
        <f aca="false">E52*(1-x_testy)</f>
        <v>0</v>
      </c>
      <c r="AF52" s="0" t="n">
        <f aca="false">F52*x_NAV</f>
        <v>0</v>
      </c>
      <c r="AG52" s="0" t="n">
        <f aca="false">G52*x_FIX*(1-x_testy)</f>
        <v>0</v>
      </c>
      <c r="AH52" s="0" t="n">
        <f aca="false">x_z_F*U52+(1-x_AGRI)*x_EMP*x_WLOSS*(x_PEN_K74*Q52+x_PEN_C22*R52)</f>
        <v>13864406.3547845</v>
      </c>
      <c r="AI52" s="0" t="n">
        <f aca="false">x_AGRI*x_EMP*x_WLOSS*(x_PEN_K74*Q52+x_PEN_C22*R52)</f>
        <v>667685.757340041</v>
      </c>
      <c r="AJ52" s="0" t="n">
        <f aca="false">x_EMP*x_WAGE*(x_WLOSS*(Q52+R52)+S52)+U52*x_ABS_D*x_WAGE/365</f>
        <v>275403929.077791</v>
      </c>
      <c r="AK52" s="0" t="n">
        <f aca="false">AJ52*x_R_FUS</f>
        <v>87137803.1602132</v>
      </c>
      <c r="AL52" s="0" t="n">
        <f aca="false">AJ52*x_R_NFZ</f>
        <v>21388144.5361104</v>
      </c>
      <c r="AM52" s="0" t="n">
        <f aca="false">AJ52*x_R_PIT</f>
        <v>18310002.6984229</v>
      </c>
      <c r="AN52" s="0" t="n">
        <f aca="false">AJ52*x_R_FP</f>
        <v>7022800.19148368</v>
      </c>
      <c r="AO52" s="0" t="n">
        <f aca="false">AA52+AB52+AC52+AD52+AF52</f>
        <v>435280303.695379</v>
      </c>
      <c r="AP52" s="0" t="n">
        <f aca="false">AO52+AE52+AG52+AH52+AI52+AK52+AL52+AM52+AN52</f>
        <v>583671146.393734</v>
      </c>
      <c r="AQ52" s="0" t="n">
        <f aca="false">AO52+AE52+AG52+AJ52</f>
        <v>710684232.773171</v>
      </c>
      <c r="AR52" s="0" t="n">
        <f aca="false">AB52+AC52+AD52+AF52</f>
        <v>137833427.610024</v>
      </c>
      <c r="AS52" s="0" t="n">
        <f aca="false">AR52+AE52+AG52</f>
        <v>137833427.610024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589</v>
      </c>
    </row>
    <row r="2" customFormat="false" ht="28.35" hidden="false" customHeight="false" outlineLevel="0" collapsed="false">
      <c r="A2" s="3" t="s">
        <v>318</v>
      </c>
      <c r="B2" s="3" t="s">
        <v>548</v>
      </c>
      <c r="C2" s="3" t="s">
        <v>549</v>
      </c>
      <c r="D2" s="3" t="s">
        <v>550</v>
      </c>
      <c r="E2" s="3" t="s">
        <v>551</v>
      </c>
      <c r="F2" s="3" t="s">
        <v>552</v>
      </c>
      <c r="G2" s="3" t="s">
        <v>553</v>
      </c>
      <c r="H2" s="3" t="s">
        <v>554</v>
      </c>
      <c r="I2" s="3" t="s">
        <v>555</v>
      </c>
      <c r="J2" s="3" t="s">
        <v>556</v>
      </c>
      <c r="K2" s="3" t="s">
        <v>557</v>
      </c>
      <c r="L2" s="3" t="s">
        <v>558</v>
      </c>
      <c r="M2" s="3" t="s">
        <v>559</v>
      </c>
      <c r="N2" s="3" t="s">
        <v>560</v>
      </c>
      <c r="O2" s="3" t="s">
        <v>561</v>
      </c>
      <c r="P2" s="3" t="s">
        <v>562</v>
      </c>
      <c r="Q2" s="3" t="s">
        <v>563</v>
      </c>
      <c r="R2" s="3" t="s">
        <v>564</v>
      </c>
      <c r="S2" s="3" t="s">
        <v>565</v>
      </c>
      <c r="T2" s="3" t="s">
        <v>566</v>
      </c>
      <c r="U2" s="3" t="s">
        <v>567</v>
      </c>
      <c r="V2" s="3" t="s">
        <v>568</v>
      </c>
      <c r="W2" s="3" t="s">
        <v>569</v>
      </c>
      <c r="X2" s="3" t="s">
        <v>570</v>
      </c>
      <c r="Y2" s="3" t="s">
        <v>571</v>
      </c>
      <c r="Z2" s="3" t="s">
        <v>572</v>
      </c>
      <c r="AA2" s="3" t="s">
        <v>573</v>
      </c>
      <c r="AB2" s="3" t="s">
        <v>574</v>
      </c>
      <c r="AC2" s="3" t="s">
        <v>575</v>
      </c>
      <c r="AD2" s="3" t="s">
        <v>576</v>
      </c>
      <c r="AE2" s="3" t="s">
        <v>577</v>
      </c>
      <c r="AF2" s="3" t="s">
        <v>578</v>
      </c>
      <c r="AG2" s="3" t="s">
        <v>579</v>
      </c>
      <c r="AH2" s="3" t="s">
        <v>252</v>
      </c>
      <c r="AI2" s="3" t="s">
        <v>303</v>
      </c>
      <c r="AJ2" s="3" t="s">
        <v>580</v>
      </c>
      <c r="AK2" s="3" t="s">
        <v>581</v>
      </c>
      <c r="AL2" s="3" t="s">
        <v>582</v>
      </c>
      <c r="AM2" s="3" t="s">
        <v>583</v>
      </c>
      <c r="AN2" s="3" t="s">
        <v>584</v>
      </c>
      <c r="AO2" s="3" t="s">
        <v>129</v>
      </c>
      <c r="AP2" s="3" t="s">
        <v>585</v>
      </c>
      <c r="AQ2" s="3" t="s">
        <v>586</v>
      </c>
      <c r="AR2" s="3" t="s">
        <v>587</v>
      </c>
      <c r="AS2" s="3" t="s">
        <v>588</v>
      </c>
    </row>
    <row r="3" customFormat="false" ht="15" hidden="false" customHeight="false" outlineLevel="0" collapsed="false">
      <c r="A3" s="0" t="n">
        <v>2026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5509.246</v>
      </c>
      <c r="I3" s="0" t="n">
        <v>498.943</v>
      </c>
      <c r="J3" s="0" t="n">
        <v>1582.633</v>
      </c>
      <c r="K3" s="0" t="n">
        <v>2532.748</v>
      </c>
      <c r="L3" s="0" t="n">
        <v>1540.438</v>
      </c>
      <c r="M3" s="0" t="n">
        <v>0</v>
      </c>
      <c r="N3" s="0" t="n">
        <v>0</v>
      </c>
      <c r="O3" s="0" t="n">
        <v>89.046</v>
      </c>
      <c r="P3" s="0" t="n">
        <v>44.523</v>
      </c>
      <c r="Q3" s="0" t="n">
        <v>2136.942</v>
      </c>
      <c r="R3" s="0" t="n">
        <v>1708.668</v>
      </c>
      <c r="S3" s="0" t="n">
        <v>312.377</v>
      </c>
      <c r="T3" s="0" t="n">
        <v>6008.189</v>
      </c>
      <c r="U3" s="0" t="n">
        <v>3342.327</v>
      </c>
      <c r="V3" s="0" t="n">
        <v>113001.836</v>
      </c>
      <c r="W3" s="0" t="n">
        <v>272.301</v>
      </c>
      <c r="X3" s="0" t="n">
        <v>727.402</v>
      </c>
      <c r="Y3" s="0" t="n">
        <v>89.046</v>
      </c>
      <c r="Z3" s="0" t="n">
        <v>922.327</v>
      </c>
      <c r="AA3" s="0" t="n">
        <f aca="false">H3*x_c_F+I3*x_c_CC+J3*x_c_DC+K3*x_c_HCC+L3*x_c_PLT+M3*x_c_SVRn+N3*x_c_SVRcc+O3*x_c_LT+P3*x_c_LT1</f>
        <v>288470034.684641</v>
      </c>
      <c r="AB3" s="0" t="n">
        <f aca="false">C3*x_c_DAA</f>
        <v>0</v>
      </c>
      <c r="AC3" s="0" t="n">
        <f aca="false">C3*x_c_MON</f>
        <v>0</v>
      </c>
      <c r="AD3" s="0" t="n">
        <f aca="false">D3*(1-x_testy)</f>
        <v>0</v>
      </c>
      <c r="AE3" s="0" t="n">
        <f aca="false">E3*(1-x_testy)</f>
        <v>0</v>
      </c>
      <c r="AF3" s="0" t="n">
        <f aca="false">F3*x_NAV</f>
        <v>0</v>
      </c>
      <c r="AG3" s="0" t="n">
        <f aca="false">G3*x_FIX*(1-x_testy)</f>
        <v>0</v>
      </c>
      <c r="AH3" s="0" t="n">
        <f aca="false">x_z_F*U3+(1-x_AGRI)*x_EMP*x_WLOSS*(x_PEN_K74*Q3+x_PEN_C22*R3)</f>
        <v>31405569.7952955</v>
      </c>
      <c r="AI3" s="0" t="n">
        <f aca="false">x_AGRI*x_EMP*x_WLOSS*(x_PEN_K74*Q3+x_PEN_C22*R3)</f>
        <v>1621654.12772958</v>
      </c>
      <c r="AJ3" s="0" t="n">
        <f aca="false">x_EMP*x_WAGE*(x_WLOSS*(Q3+R3)+S3)+U3*x_ABS_D*x_WAGE/365</f>
        <v>162323748.346915</v>
      </c>
      <c r="AK3" s="0" t="n">
        <f aca="false">AJ3*x_R_FUS</f>
        <v>51359233.9769639</v>
      </c>
      <c r="AL3" s="0" t="n">
        <f aca="false">AJ3*x_R_NFZ</f>
        <v>12606224.6203698</v>
      </c>
      <c r="AM3" s="0" t="n">
        <f aca="false">AJ3*x_R_PIT</f>
        <v>10791960.3042795</v>
      </c>
      <c r="AN3" s="0" t="n">
        <f aca="false">AJ3*x_R_FP</f>
        <v>4139255.58284633</v>
      </c>
      <c r="AO3" s="0" t="n">
        <f aca="false">AA3+AB3+AC3+AD3+AF3</f>
        <v>288470034.684641</v>
      </c>
      <c r="AP3" s="0" t="n">
        <f aca="false">AO3+AE3+AG3+AH3+AI3+AK3+AL3+AM3+AN3</f>
        <v>400393933.092126</v>
      </c>
      <c r="AQ3" s="0" t="n">
        <f aca="false">AO3+AE3+AG3+AJ3</f>
        <v>450793783.031556</v>
      </c>
      <c r="AR3" s="0" t="n">
        <f aca="false">AB3+AC3+AD3+AF3</f>
        <v>0</v>
      </c>
      <c r="AS3" s="0" t="n">
        <f aca="false">AR3+AE3+AG3</f>
        <v>0</v>
      </c>
    </row>
    <row r="4" customFormat="false" ht="15" hidden="false" customHeight="false" outlineLevel="0" collapsed="false">
      <c r="A4" s="0" t="n">
        <v>2027</v>
      </c>
      <c r="B4" s="0" t="n">
        <v>1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9065.783</v>
      </c>
      <c r="I4" s="0" t="n">
        <v>870.396</v>
      </c>
      <c r="J4" s="0" t="n">
        <v>1577.392</v>
      </c>
      <c r="K4" s="0" t="n">
        <v>2552.872</v>
      </c>
      <c r="L4" s="0" t="n">
        <v>1489.389</v>
      </c>
      <c r="M4" s="0" t="n">
        <v>0</v>
      </c>
      <c r="N4" s="0" t="n">
        <v>0</v>
      </c>
      <c r="O4" s="0" t="n">
        <v>88.331</v>
      </c>
      <c r="P4" s="0" t="n">
        <v>88.689</v>
      </c>
      <c r="Q4" s="0" t="n">
        <v>2147.277</v>
      </c>
      <c r="R4" s="0" t="n">
        <v>1738.504</v>
      </c>
      <c r="S4" s="0" t="n">
        <v>941.663</v>
      </c>
      <c r="T4" s="0" t="n">
        <v>9936.179</v>
      </c>
      <c r="U4" s="0" t="n">
        <v>5676.044</v>
      </c>
      <c r="V4" s="0" t="n">
        <v>113838.039</v>
      </c>
      <c r="W4" s="0" t="n">
        <v>289.562</v>
      </c>
      <c r="X4" s="0" t="n">
        <v>776.664</v>
      </c>
      <c r="Y4" s="0" t="n">
        <v>88.331</v>
      </c>
      <c r="Z4" s="0" t="n">
        <v>930.689</v>
      </c>
      <c r="AA4" s="0" t="n">
        <f aca="false">H4*x_c_F+I4*x_c_CC+J4*x_c_DC+K4*x_c_HCC+L4*x_c_PLT+M4*x_c_SVRn+N4*x_c_SVRcc+O4*x_c_LT+P4*x_c_LT1</f>
        <v>302412392.981956</v>
      </c>
      <c r="AB4" s="0" t="n">
        <f aca="false">C4*x_c_DAA</f>
        <v>0</v>
      </c>
      <c r="AC4" s="0" t="n">
        <f aca="false">C4*x_c_MON</f>
        <v>0</v>
      </c>
      <c r="AD4" s="0" t="n">
        <f aca="false">D4*(1-x_testy)</f>
        <v>0</v>
      </c>
      <c r="AE4" s="0" t="n">
        <f aca="false">E4*(1-x_testy)</f>
        <v>0</v>
      </c>
      <c r="AF4" s="0" t="n">
        <f aca="false">F4*x_NAV</f>
        <v>0</v>
      </c>
      <c r="AG4" s="0" t="n">
        <f aca="false">G4*x_FIX*(1-x_testy)</f>
        <v>0</v>
      </c>
      <c r="AH4" s="0" t="n">
        <f aca="false">x_z_F*U4+(1-x_AGRI)*x_EMP*x_WLOSS*(x_PEN_K74*Q4+x_PEN_C22*R4)</f>
        <v>36469595.0509376</v>
      </c>
      <c r="AI4" s="0" t="n">
        <f aca="false">x_AGRI*x_EMP*x_WLOSS*(x_PEN_K74*Q4+x_PEN_C22*R4)</f>
        <v>1639244.21780263</v>
      </c>
      <c r="AJ4" s="0" t="n">
        <f aca="false">x_EMP*x_WAGE*(x_WLOSS*(Q4+R4)+S4)+U4*x_ABS_D*x_WAGE/365</f>
        <v>224146890.594584</v>
      </c>
      <c r="AK4" s="0" t="n">
        <f aca="false">AJ4*x_R_FUS</f>
        <v>70920076.1841262</v>
      </c>
      <c r="AL4" s="0" t="n">
        <f aca="false">AJ4*x_R_NFZ</f>
        <v>17407471.670466</v>
      </c>
      <c r="AM4" s="0" t="n">
        <f aca="false">AJ4*x_R_PIT</f>
        <v>14902220.8411219</v>
      </c>
      <c r="AN4" s="0" t="n">
        <f aca="false">AJ4*x_R_FP</f>
        <v>5715745.71016188</v>
      </c>
      <c r="AO4" s="0" t="n">
        <f aca="false">AA4+AB4+AC4+AD4+AF4</f>
        <v>302412392.981956</v>
      </c>
      <c r="AP4" s="0" t="n">
        <f aca="false">AO4+AE4+AG4+AH4+AI4+AK4+AL4+AM4+AN4</f>
        <v>449466746.656572</v>
      </c>
      <c r="AQ4" s="0" t="n">
        <f aca="false">AO4+AE4+AG4+AJ4</f>
        <v>526559283.576539</v>
      </c>
      <c r="AR4" s="0" t="n">
        <f aca="false">AB4+AC4+AD4+AF4</f>
        <v>0</v>
      </c>
      <c r="AS4" s="0" t="n">
        <f aca="false">AR4+AE4+AG4</f>
        <v>0</v>
      </c>
    </row>
    <row r="5" customFormat="false" ht="15" hidden="false" customHeight="false" outlineLevel="0" collapsed="false">
      <c r="A5" s="0" t="n">
        <v>2028</v>
      </c>
      <c r="B5" s="0" t="n">
        <v>2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12524.131</v>
      </c>
      <c r="I5" s="0" t="n">
        <v>1282.177</v>
      </c>
      <c r="J5" s="0" t="n">
        <v>1590.922</v>
      </c>
      <c r="K5" s="0" t="n">
        <v>2617.33</v>
      </c>
      <c r="L5" s="0" t="n">
        <v>1475.935</v>
      </c>
      <c r="M5" s="0" t="n">
        <v>0</v>
      </c>
      <c r="N5" s="0" t="n">
        <v>0</v>
      </c>
      <c r="O5" s="0" t="n">
        <v>88.855</v>
      </c>
      <c r="P5" s="0" t="n">
        <v>88.593</v>
      </c>
      <c r="Q5" s="0" t="n">
        <v>2168.208</v>
      </c>
      <c r="R5" s="0" t="n">
        <v>1802.923</v>
      </c>
      <c r="S5" s="0" t="n">
        <v>1581.493</v>
      </c>
      <c r="T5" s="0" t="n">
        <v>13806.308</v>
      </c>
      <c r="U5" s="0" t="n">
        <v>8090.74</v>
      </c>
      <c r="V5" s="0" t="n">
        <v>114734.083</v>
      </c>
      <c r="W5" s="0" t="n">
        <v>309.818</v>
      </c>
      <c r="X5" s="0" t="n">
        <v>830.282</v>
      </c>
      <c r="Y5" s="0" t="n">
        <v>88.855</v>
      </c>
      <c r="Z5" s="0" t="n">
        <v>941.777</v>
      </c>
      <c r="AA5" s="0" t="n">
        <f aca="false">H5*x_c_F+I5*x_c_CC+J5*x_c_DC+K5*x_c_HCC+L5*x_c_PLT+M5*x_c_SVRn+N5*x_c_SVRcc+O5*x_c_LT+P5*x_c_LT1</f>
        <v>318924868.373812</v>
      </c>
      <c r="AB5" s="0" t="n">
        <f aca="false">C5*x_c_DAA</f>
        <v>0</v>
      </c>
      <c r="AC5" s="0" t="n">
        <f aca="false">C5*x_c_MON</f>
        <v>0</v>
      </c>
      <c r="AD5" s="0" t="n">
        <f aca="false">D5*(1-x_testy)</f>
        <v>0</v>
      </c>
      <c r="AE5" s="0" t="n">
        <f aca="false">E5*(1-x_testy)</f>
        <v>0</v>
      </c>
      <c r="AF5" s="0" t="n">
        <f aca="false">F5*x_NAV</f>
        <v>0</v>
      </c>
      <c r="AG5" s="0" t="n">
        <f aca="false">G5*x_FIX*(1-x_testy)</f>
        <v>0</v>
      </c>
      <c r="AH5" s="0" t="n">
        <f aca="false">x_z_F*U5+(1-x_AGRI)*x_EMP*x_WLOSS*(x_PEN_K74*Q5+x_PEN_C22*R5)</f>
        <v>42000246.501535</v>
      </c>
      <c r="AI5" s="0" t="n">
        <f aca="false">x_AGRI*x_EMP*x_WLOSS*(x_PEN_K74*Q5+x_PEN_C22*R5)</f>
        <v>1676673.04760077</v>
      </c>
      <c r="AJ5" s="0" t="n">
        <f aca="false">x_EMP*x_WAGE*(x_WLOSS*(Q5+R5)+S5)+U5*x_ABS_D*x_WAGE/365</f>
        <v>288585663.424528</v>
      </c>
      <c r="AK5" s="0" t="n">
        <f aca="false">AJ5*x_R_FUS</f>
        <v>91308503.9075206</v>
      </c>
      <c r="AL5" s="0" t="n">
        <f aca="false">AJ5*x_R_NFZ</f>
        <v>22411851.2072123</v>
      </c>
      <c r="AM5" s="0" t="n">
        <f aca="false">AJ5*x_R_PIT</f>
        <v>19186379.4163108</v>
      </c>
      <c r="AN5" s="0" t="n">
        <f aca="false">AJ5*x_R_FP</f>
        <v>7358934.41732546</v>
      </c>
      <c r="AO5" s="0" t="n">
        <f aca="false">AA5+AB5+AC5+AD5+AF5</f>
        <v>318924868.373812</v>
      </c>
      <c r="AP5" s="0" t="n">
        <f aca="false">AO5+AE5+AG5+AH5+AI5+AK5+AL5+AM5+AN5</f>
        <v>502867456.871316</v>
      </c>
      <c r="AQ5" s="0" t="n">
        <f aca="false">AO5+AE5+AG5+AJ5</f>
        <v>607510531.79834</v>
      </c>
      <c r="AR5" s="0" t="n">
        <f aca="false">AB5+AC5+AD5+AF5</f>
        <v>0</v>
      </c>
      <c r="AS5" s="0" t="n">
        <f aca="false">AR5+AE5+AG5</f>
        <v>0</v>
      </c>
    </row>
    <row r="6" customFormat="false" ht="15" hidden="false" customHeight="false" outlineLevel="0" collapsed="false">
      <c r="A6" s="0" t="n">
        <v>2029</v>
      </c>
      <c r="B6" s="0" t="n">
        <v>3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15886.581</v>
      </c>
      <c r="I6" s="0" t="n">
        <v>1736.309</v>
      </c>
      <c r="J6" s="0" t="n">
        <v>1622.319</v>
      </c>
      <c r="K6" s="0" t="n">
        <v>2716.741</v>
      </c>
      <c r="L6" s="0" t="n">
        <v>1462.036</v>
      </c>
      <c r="M6" s="0" t="n">
        <v>0</v>
      </c>
      <c r="N6" s="0" t="n">
        <v>0</v>
      </c>
      <c r="O6" s="0" t="n">
        <v>90.506</v>
      </c>
      <c r="P6" s="0" t="n">
        <v>89.681</v>
      </c>
      <c r="Q6" s="0" t="n">
        <v>2204.278</v>
      </c>
      <c r="R6" s="0" t="n">
        <v>1895.414</v>
      </c>
      <c r="S6" s="0" t="n">
        <v>2238.147</v>
      </c>
      <c r="T6" s="0" t="n">
        <v>17622.891</v>
      </c>
      <c r="U6" s="0" t="n">
        <v>10577.531</v>
      </c>
      <c r="V6" s="0" t="n">
        <v>115663.722</v>
      </c>
      <c r="W6" s="0" t="n">
        <v>332.072</v>
      </c>
      <c r="X6" s="0" t="n">
        <v>886.439</v>
      </c>
      <c r="Y6" s="0" t="n">
        <v>90.506</v>
      </c>
      <c r="Z6" s="0" t="n">
        <v>965.574</v>
      </c>
      <c r="AA6" s="0" t="n">
        <f aca="false">H6*x_c_F+I6*x_c_CC+J6*x_c_DC+K6*x_c_HCC+L6*x_c_PLT+M6*x_c_SVRn+N6*x_c_SVRcc+O6*x_c_LT+P6*x_c_LT1</f>
        <v>338331916.32982</v>
      </c>
      <c r="AB6" s="0" t="n">
        <f aca="false">C6*x_c_DAA</f>
        <v>0</v>
      </c>
      <c r="AC6" s="0" t="n">
        <f aca="false">C6*x_c_MON</f>
        <v>0</v>
      </c>
      <c r="AD6" s="0" t="n">
        <f aca="false">D6*(1-x_testy)</f>
        <v>0</v>
      </c>
      <c r="AE6" s="0" t="n">
        <f aca="false">E6*(1-x_testy)</f>
        <v>0</v>
      </c>
      <c r="AF6" s="0" t="n">
        <f aca="false">F6*x_NAV</f>
        <v>0</v>
      </c>
      <c r="AG6" s="0" t="n">
        <f aca="false">G6*x_FIX*(1-x_testy)</f>
        <v>0</v>
      </c>
      <c r="AH6" s="0" t="n">
        <f aca="false">x_z_F*U6+(1-x_AGRI)*x_EMP*x_WLOSS*(x_PEN_K74*Q6+x_PEN_C22*R6)</f>
        <v>47962077.3232772</v>
      </c>
      <c r="AI6" s="0" t="n">
        <f aca="false">x_AGRI*x_EMP*x_WLOSS*(x_PEN_K74*Q6+x_PEN_C22*R6)</f>
        <v>1732804.91001738</v>
      </c>
      <c r="AJ6" s="0" t="n">
        <f aca="false">x_EMP*x_WAGE*(x_WLOSS*(Q6+R6)+S6)+U6*x_ABS_D*x_WAGE/365</f>
        <v>356084991.290924</v>
      </c>
      <c r="AK6" s="0" t="n">
        <f aca="false">AJ6*x_R_FUS</f>
        <v>112665291.244448</v>
      </c>
      <c r="AL6" s="0" t="n">
        <f aca="false">AJ6*x_R_NFZ</f>
        <v>27653916.5086444</v>
      </c>
      <c r="AM6" s="0" t="n">
        <f aca="false">AJ6*x_R_PIT</f>
        <v>23674016.4646056</v>
      </c>
      <c r="AN6" s="0" t="n">
        <f aca="false">AJ6*x_R_FP</f>
        <v>9080167.27791856</v>
      </c>
      <c r="AO6" s="0" t="n">
        <f aca="false">AA6+AB6+AC6+AD6+AF6</f>
        <v>338331916.32982</v>
      </c>
      <c r="AP6" s="0" t="n">
        <f aca="false">AO6+AE6+AG6+AH6+AI6+AK6+AL6+AM6+AN6</f>
        <v>561100190.058731</v>
      </c>
      <c r="AQ6" s="0" t="n">
        <f aca="false">AO6+AE6+AG6+AJ6</f>
        <v>694416907.620744</v>
      </c>
      <c r="AR6" s="0" t="n">
        <f aca="false">AB6+AC6+AD6+AF6</f>
        <v>0</v>
      </c>
      <c r="AS6" s="0" t="n">
        <f aca="false">AR6+AE6+AG6</f>
        <v>0</v>
      </c>
    </row>
    <row r="7" customFormat="false" ht="15" hidden="false" customHeight="false" outlineLevel="0" collapsed="false">
      <c r="A7" s="0" t="n">
        <v>2030</v>
      </c>
      <c r="B7" s="0" t="n">
        <v>4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19156.208</v>
      </c>
      <c r="I7" s="0" t="n">
        <v>2231.599</v>
      </c>
      <c r="J7" s="0" t="n">
        <v>1669.888</v>
      </c>
      <c r="K7" s="0" t="n">
        <v>2842.689</v>
      </c>
      <c r="L7" s="0" t="n">
        <v>1448.65</v>
      </c>
      <c r="M7" s="0" t="n">
        <v>0</v>
      </c>
      <c r="N7" s="0" t="n">
        <v>0</v>
      </c>
      <c r="O7" s="0" t="n">
        <v>93.142</v>
      </c>
      <c r="P7" s="0" t="n">
        <v>91.824</v>
      </c>
      <c r="Q7" s="0" t="n">
        <v>2255.107</v>
      </c>
      <c r="R7" s="0" t="n">
        <v>2010.229</v>
      </c>
      <c r="S7" s="0" t="n">
        <v>2920.285</v>
      </c>
      <c r="T7" s="0" t="n">
        <v>21387.807</v>
      </c>
      <c r="U7" s="0" t="n">
        <v>13127.598</v>
      </c>
      <c r="V7" s="0" t="n">
        <v>116610.465</v>
      </c>
      <c r="W7" s="0" t="n">
        <v>355.49</v>
      </c>
      <c r="X7" s="0" t="n">
        <v>943.617</v>
      </c>
      <c r="Y7" s="0" t="n">
        <v>93.142</v>
      </c>
      <c r="Z7" s="0" t="n">
        <v>999.539</v>
      </c>
      <c r="AA7" s="0" t="n">
        <f aca="false">H7*x_c_F+I7*x_c_CC+J7*x_c_DC+K7*x_c_HCC+L7*x_c_PLT+M7*x_c_SVRn+N7*x_c_SVRcc+O7*x_c_LT+P7*x_c_LT1</f>
        <v>360052001.735556</v>
      </c>
      <c r="AB7" s="0" t="n">
        <f aca="false">C7*x_c_DAA</f>
        <v>0</v>
      </c>
      <c r="AC7" s="0" t="n">
        <f aca="false">C7*x_c_MON</f>
        <v>0</v>
      </c>
      <c r="AD7" s="0" t="n">
        <f aca="false">D7*(1-x_testy)</f>
        <v>0</v>
      </c>
      <c r="AE7" s="0" t="n">
        <f aca="false">E7*(1-x_testy)</f>
        <v>0</v>
      </c>
      <c r="AF7" s="0" t="n">
        <f aca="false">F7*x_NAV</f>
        <v>0</v>
      </c>
      <c r="AG7" s="0" t="n">
        <f aca="false">G7*x_FIX*(1-x_testy)</f>
        <v>0</v>
      </c>
      <c r="AH7" s="0" t="n">
        <f aca="false">x_z_F*U7+(1-x_AGRI)*x_EMP*x_WLOSS*(x_PEN_K74*Q7+x_PEN_C22*R7)</f>
        <v>54295378.0674068</v>
      </c>
      <c r="AI7" s="0" t="n">
        <f aca="false">x_AGRI*x_EMP*x_WLOSS*(x_PEN_K74*Q7+x_PEN_C22*R7)</f>
        <v>1804891.55204994</v>
      </c>
      <c r="AJ7" s="0" t="n">
        <f aca="false">x_EMP*x_WAGE*(x_WLOSS*(Q7+R7)+S7)+U7*x_ABS_D*x_WAGE/365</f>
        <v>427156746.496573</v>
      </c>
      <c r="AK7" s="0" t="n">
        <f aca="false">AJ7*x_R_FUS</f>
        <v>135152394.591516</v>
      </c>
      <c r="AL7" s="0" t="n">
        <f aca="false">AJ7*x_R_NFZ</f>
        <v>33173420.0896704</v>
      </c>
      <c r="AM7" s="0" t="n">
        <f aca="false">AJ7*x_R_PIT</f>
        <v>28399163.3931721</v>
      </c>
      <c r="AN7" s="0" t="n">
        <f aca="false">AJ7*x_R_FP</f>
        <v>10892497.0356626</v>
      </c>
      <c r="AO7" s="0" t="n">
        <f aca="false">AA7+AB7+AC7+AD7+AF7</f>
        <v>360052001.735556</v>
      </c>
      <c r="AP7" s="0" t="n">
        <f aca="false">AO7+AE7+AG7+AH7+AI7+AK7+AL7+AM7+AN7</f>
        <v>623769746.465033</v>
      </c>
      <c r="AQ7" s="0" t="n">
        <f aca="false">AO7+AE7+AG7+AJ7</f>
        <v>787208748.232129</v>
      </c>
      <c r="AR7" s="0" t="n">
        <f aca="false">AB7+AC7+AD7+AF7</f>
        <v>0</v>
      </c>
      <c r="AS7" s="0" t="n">
        <f aca="false">AR7+AE7+AG7</f>
        <v>0</v>
      </c>
    </row>
    <row r="8" customFormat="false" ht="15" hidden="false" customHeight="false" outlineLevel="0" collapsed="false">
      <c r="A8" s="0" t="n">
        <v>2031</v>
      </c>
      <c r="B8" s="0" t="n">
        <v>5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22336.98</v>
      </c>
      <c r="I8" s="0" t="n">
        <v>2764.61</v>
      </c>
      <c r="J8" s="0" t="n">
        <v>1731.46</v>
      </c>
      <c r="K8" s="0" t="n">
        <v>2987.771</v>
      </c>
      <c r="L8" s="0" t="n">
        <v>1436.598</v>
      </c>
      <c r="M8" s="0" t="n">
        <v>0</v>
      </c>
      <c r="N8" s="0" t="n">
        <v>0</v>
      </c>
      <c r="O8" s="0" t="n">
        <v>96.607</v>
      </c>
      <c r="P8" s="0" t="n">
        <v>94.875</v>
      </c>
      <c r="Q8" s="0" t="n">
        <v>2319.901</v>
      </c>
      <c r="R8" s="0" t="n">
        <v>2142.36</v>
      </c>
      <c r="S8" s="0" t="n">
        <v>3634.83</v>
      </c>
      <c r="T8" s="0" t="n">
        <v>25101.589</v>
      </c>
      <c r="U8" s="0" t="n">
        <v>15732.575</v>
      </c>
      <c r="V8" s="0" t="n">
        <v>117562.577</v>
      </c>
      <c r="W8" s="0" t="n">
        <v>379.386</v>
      </c>
      <c r="X8" s="0" t="n">
        <v>1000.581</v>
      </c>
      <c r="Y8" s="0" t="n">
        <v>96.607</v>
      </c>
      <c r="Z8" s="0" t="n">
        <v>1041.337</v>
      </c>
      <c r="AA8" s="0" t="n">
        <f aca="false">H8*x_c_F+I8*x_c_CC+J8*x_c_DC+K8*x_c_HCC+L8*x_c_PLT+M8*x_c_SVRn+N8*x_c_SVRcc+O8*x_c_LT+P8*x_c_LT1</f>
        <v>383539205.140262</v>
      </c>
      <c r="AB8" s="0" t="n">
        <f aca="false">C8*x_c_DAA</f>
        <v>0</v>
      </c>
      <c r="AC8" s="0" t="n">
        <f aca="false">C8*x_c_MON</f>
        <v>0</v>
      </c>
      <c r="AD8" s="0" t="n">
        <f aca="false">D8*(1-x_testy)</f>
        <v>0</v>
      </c>
      <c r="AE8" s="0" t="n">
        <f aca="false">E8*(1-x_testy)</f>
        <v>0</v>
      </c>
      <c r="AF8" s="0" t="n">
        <f aca="false">F8*x_NAV</f>
        <v>0</v>
      </c>
      <c r="AG8" s="0" t="n">
        <f aca="false">G8*x_FIX*(1-x_testy)</f>
        <v>0</v>
      </c>
      <c r="AH8" s="0" t="n">
        <f aca="false">x_z_F*U8+(1-x_AGRI)*x_EMP*x_WLOSS*(x_PEN_K74*Q8+x_PEN_C22*R8)</f>
        <v>60943938.9425053</v>
      </c>
      <c r="AI8" s="0" t="n">
        <f aca="false">x_AGRI*x_EMP*x_WLOSS*(x_PEN_K74*Q8+x_PEN_C22*R8)</f>
        <v>1890354.48248893</v>
      </c>
      <c r="AJ8" s="0" t="n">
        <f aca="false">x_EMP*x_WAGE*(x_WLOSS*(Q8+R8)+S8)+U8*x_ABS_D*x_WAGE/365</f>
        <v>502176704.982519</v>
      </c>
      <c r="AK8" s="0" t="n">
        <f aca="false">AJ8*x_R_FUS</f>
        <v>158888709.456469</v>
      </c>
      <c r="AL8" s="0" t="n">
        <f aca="false">AJ8*x_R_NFZ</f>
        <v>38999545.0856474</v>
      </c>
      <c r="AM8" s="0" t="n">
        <f aca="false">AJ8*x_R_PIT</f>
        <v>33386803.3550016</v>
      </c>
      <c r="AN8" s="0" t="n">
        <f aca="false">AJ8*x_R_FP</f>
        <v>12805505.9770542</v>
      </c>
      <c r="AO8" s="0" t="n">
        <f aca="false">AA8+AB8+AC8+AD8+AF8</f>
        <v>383539205.140262</v>
      </c>
      <c r="AP8" s="0" t="n">
        <f aca="false">AO8+AE8+AG8+AH8+AI8+AK8+AL8+AM8+AN8</f>
        <v>690454062.439428</v>
      </c>
      <c r="AQ8" s="0" t="n">
        <f aca="false">AO8+AE8+AG8+AJ8</f>
        <v>885715910.122781</v>
      </c>
      <c r="AR8" s="0" t="n">
        <f aca="false">AB8+AC8+AD8+AF8</f>
        <v>0</v>
      </c>
      <c r="AS8" s="0" t="n">
        <f aca="false">AR8+AE8+AG8</f>
        <v>0</v>
      </c>
    </row>
    <row r="9" customFormat="false" ht="15" hidden="false" customHeight="false" outlineLevel="0" collapsed="false">
      <c r="A9" s="0" t="n">
        <v>2032</v>
      </c>
      <c r="B9" s="0" t="n">
        <v>6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25432.989</v>
      </c>
      <c r="I9" s="0" t="n">
        <v>3330.304</v>
      </c>
      <c r="J9" s="0" t="n">
        <v>1804.567</v>
      </c>
      <c r="K9" s="0" t="n">
        <v>3145.499</v>
      </c>
      <c r="L9" s="0" t="n">
        <v>1426.504</v>
      </c>
      <c r="M9" s="0" t="n">
        <v>0</v>
      </c>
      <c r="N9" s="0" t="n">
        <v>0</v>
      </c>
      <c r="O9" s="0" t="n">
        <v>100.735</v>
      </c>
      <c r="P9" s="0" t="n">
        <v>98.671</v>
      </c>
      <c r="Q9" s="0" t="n">
        <v>2397.549</v>
      </c>
      <c r="R9" s="0" t="n">
        <v>2287.456</v>
      </c>
      <c r="S9" s="0" t="n">
        <v>4387.053</v>
      </c>
      <c r="T9" s="0" t="n">
        <v>28763.293</v>
      </c>
      <c r="U9" s="0" t="n">
        <v>18384.376</v>
      </c>
      <c r="V9" s="0" t="n">
        <v>118509.015</v>
      </c>
      <c r="W9" s="0" t="n">
        <v>403.184</v>
      </c>
      <c r="X9" s="0" t="n">
        <v>1056.289</v>
      </c>
      <c r="Y9" s="0" t="n">
        <v>100.735</v>
      </c>
      <c r="Z9" s="0" t="n">
        <v>1088.803</v>
      </c>
      <c r="AA9" s="0" t="n">
        <f aca="false">H9*x_c_F+I9*x_c_CC+J9*x_c_DC+K9*x_c_HCC+L9*x_c_PLT+M9*x_c_SVRn+N9*x_c_SVRcc+O9*x_c_LT+P9*x_c_LT1</f>
        <v>408280986.676979</v>
      </c>
      <c r="AB9" s="0" t="n">
        <f aca="false">C9*x_c_DAA</f>
        <v>0</v>
      </c>
      <c r="AC9" s="0" t="n">
        <f aca="false">C9*x_c_MON</f>
        <v>0</v>
      </c>
      <c r="AD9" s="0" t="n">
        <f aca="false">D9*(1-x_testy)</f>
        <v>0</v>
      </c>
      <c r="AE9" s="0" t="n">
        <f aca="false">E9*(1-x_testy)</f>
        <v>0</v>
      </c>
      <c r="AF9" s="0" t="n">
        <f aca="false">F9*x_NAV</f>
        <v>0</v>
      </c>
      <c r="AG9" s="0" t="n">
        <f aca="false">G9*x_FIX*(1-x_testy)</f>
        <v>0</v>
      </c>
      <c r="AH9" s="0" t="n">
        <f aca="false">x_z_F*U9+(1-x_AGRI)*x_EMP*x_WLOSS*(x_PEN_K74*Q9+x_PEN_C22*R9)</f>
        <v>67854710.2227103</v>
      </c>
      <c r="AI9" s="0" t="n">
        <f aca="false">x_AGRI*x_EMP*x_WLOSS*(x_PEN_K74*Q9+x_PEN_C22*R9)</f>
        <v>1986786.03477907</v>
      </c>
      <c r="AJ9" s="0" t="n">
        <f aca="false">x_EMP*x_WAGE*(x_WLOSS*(Q9+R9)+S9)+U9*x_ABS_D*x_WAGE/365</f>
        <v>581391743.541194</v>
      </c>
      <c r="AK9" s="0" t="n">
        <f aca="false">AJ9*x_R_FUS</f>
        <v>183952347.656434</v>
      </c>
      <c r="AL9" s="0" t="n">
        <f aca="false">AJ9*x_R_NFZ</f>
        <v>45151464.1951527</v>
      </c>
      <c r="AM9" s="0" t="n">
        <f aca="false">AJ9*x_R_PIT</f>
        <v>38653349.7496803</v>
      </c>
      <c r="AN9" s="0" t="n">
        <f aca="false">AJ9*x_R_FP</f>
        <v>14825489.4603004</v>
      </c>
      <c r="AO9" s="0" t="n">
        <f aca="false">AA9+AB9+AC9+AD9+AF9</f>
        <v>408280986.676979</v>
      </c>
      <c r="AP9" s="0" t="n">
        <f aca="false">AO9+AE9+AG9+AH9+AI9+AK9+AL9+AM9+AN9</f>
        <v>760705133.996036</v>
      </c>
      <c r="AQ9" s="0" t="n">
        <f aca="false">AO9+AE9+AG9+AJ9</f>
        <v>989672730.218173</v>
      </c>
      <c r="AR9" s="0" t="n">
        <f aca="false">AB9+AC9+AD9+AF9</f>
        <v>0</v>
      </c>
      <c r="AS9" s="0" t="n">
        <f aca="false">AR9+AE9+AG9</f>
        <v>0</v>
      </c>
    </row>
    <row r="10" customFormat="false" ht="15" hidden="false" customHeight="false" outlineLevel="0" collapsed="false">
      <c r="A10" s="0" t="n">
        <v>2033</v>
      </c>
      <c r="B10" s="0" t="n">
        <v>7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28448.565</v>
      </c>
      <c r="I10" s="0" t="n">
        <v>3922.675</v>
      </c>
      <c r="J10" s="0" t="n">
        <v>1886.63</v>
      </c>
      <c r="K10" s="0" t="n">
        <v>3310.279</v>
      </c>
      <c r="L10" s="0" t="n">
        <v>1418.816</v>
      </c>
      <c r="M10" s="0" t="n">
        <v>0</v>
      </c>
      <c r="N10" s="0" t="n">
        <v>0</v>
      </c>
      <c r="O10" s="0" t="n">
        <v>105.362</v>
      </c>
      <c r="P10" s="0" t="n">
        <v>103.048</v>
      </c>
      <c r="Q10" s="0" t="n">
        <v>2486.734</v>
      </c>
      <c r="R10" s="0" t="n">
        <v>2441.78</v>
      </c>
      <c r="S10" s="0" t="n">
        <v>5180.749</v>
      </c>
      <c r="T10" s="0" t="n">
        <v>32371.24</v>
      </c>
      <c r="U10" s="0" t="n">
        <v>21075.291</v>
      </c>
      <c r="V10" s="0" t="n">
        <v>119440.682</v>
      </c>
      <c r="W10" s="0" t="n">
        <v>426.424</v>
      </c>
      <c r="X10" s="0" t="n">
        <v>1109.922</v>
      </c>
      <c r="Y10" s="0" t="n">
        <v>105.362</v>
      </c>
      <c r="Z10" s="0" t="n">
        <v>1140.041</v>
      </c>
      <c r="AA10" s="0" t="n">
        <f aca="false">H10*x_c_F+I10*x_c_CC+J10*x_c_DC+K10*x_c_HCC+L10*x_c_PLT+M10*x_c_SVRn+N10*x_c_SVRcc+O10*x_c_LT+P10*x_c_LT1</f>
        <v>433809521.705704</v>
      </c>
      <c r="AB10" s="0" t="n">
        <f aca="false">C10*x_c_DAA</f>
        <v>0</v>
      </c>
      <c r="AC10" s="0" t="n">
        <f aca="false">C10*x_c_MON</f>
        <v>0</v>
      </c>
      <c r="AD10" s="0" t="n">
        <f aca="false">D10*(1-x_testy)</f>
        <v>0</v>
      </c>
      <c r="AE10" s="0" t="n">
        <f aca="false">E10*(1-x_testy)</f>
        <v>0</v>
      </c>
      <c r="AF10" s="0" t="n">
        <f aca="false">F10*x_NAV</f>
        <v>0</v>
      </c>
      <c r="AG10" s="0" t="n">
        <f aca="false">G10*x_FIX*(1-x_testy)</f>
        <v>0</v>
      </c>
      <c r="AH10" s="0" t="n">
        <f aca="false">x_z_F*U10+(1-x_AGRI)*x_EMP*x_WLOSS*(x_PEN_K74*Q10+x_PEN_C22*R10)</f>
        <v>74978373.3409556</v>
      </c>
      <c r="AI10" s="0" t="n">
        <f aca="false">x_AGRI*x_EMP*x_WLOSS*(x_PEN_K74*Q10+x_PEN_C22*R10)</f>
        <v>2091974.06960429</v>
      </c>
      <c r="AJ10" s="0" t="n">
        <f aca="false">x_EMP*x_WAGE*(x_WLOSS*(Q10+R10)+S10)+U10*x_ABS_D*x_WAGE/365</f>
        <v>664937353.394974</v>
      </c>
      <c r="AK10" s="0" t="n">
        <f aca="false">AJ10*x_R_FUS</f>
        <v>210386178.61417</v>
      </c>
      <c r="AL10" s="0" t="n">
        <f aca="false">AJ10*x_R_NFZ</f>
        <v>51639699.8020071</v>
      </c>
      <c r="AM10" s="0" t="n">
        <f aca="false">AJ10*x_R_PIT</f>
        <v>44207810.5991913</v>
      </c>
      <c r="AN10" s="0" t="n">
        <f aca="false">AJ10*x_R_FP</f>
        <v>16955902.5115718</v>
      </c>
      <c r="AO10" s="0" t="n">
        <f aca="false">AA10+AB10+AC10+AD10+AF10</f>
        <v>433809521.705704</v>
      </c>
      <c r="AP10" s="0" t="n">
        <f aca="false">AO10+AE10+AG10+AH10+AI10+AK10+AL10+AM10+AN10</f>
        <v>834069460.643204</v>
      </c>
      <c r="AQ10" s="0" t="n">
        <f aca="false">AO10+AE10+AG10+AJ10</f>
        <v>1098746875.10068</v>
      </c>
      <c r="AR10" s="0" t="n">
        <f aca="false">AB10+AC10+AD10+AF10</f>
        <v>0</v>
      </c>
      <c r="AS10" s="0" t="n">
        <f aca="false">AR10+AE10+AG10</f>
        <v>0</v>
      </c>
    </row>
    <row r="11" customFormat="false" ht="15" hidden="false" customHeight="false" outlineLevel="0" collapsed="false">
      <c r="A11" s="0" t="n">
        <v>2034</v>
      </c>
      <c r="B11" s="0" t="n">
        <v>8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31387.97</v>
      </c>
      <c r="I11" s="0" t="n">
        <v>4535.147</v>
      </c>
      <c r="J11" s="0" t="n">
        <v>1975.074</v>
      </c>
      <c r="K11" s="0" t="n">
        <v>3477.337</v>
      </c>
      <c r="L11" s="0" t="n">
        <v>1413.799</v>
      </c>
      <c r="M11" s="0" t="n">
        <v>0</v>
      </c>
      <c r="N11" s="0" t="n">
        <v>0</v>
      </c>
      <c r="O11" s="0" t="n">
        <v>110.329</v>
      </c>
      <c r="P11" s="0" t="n">
        <v>107.846</v>
      </c>
      <c r="Q11" s="0" t="n">
        <v>2586.013</v>
      </c>
      <c r="R11" s="0" t="n">
        <v>2602.146</v>
      </c>
      <c r="S11" s="0" t="n">
        <v>6018.334</v>
      </c>
      <c r="T11" s="0" t="n">
        <v>35923.118</v>
      </c>
      <c r="U11" s="0" t="n">
        <v>23797.9</v>
      </c>
      <c r="V11" s="0" t="n">
        <v>120350.01</v>
      </c>
      <c r="W11" s="0" t="n">
        <v>448.725</v>
      </c>
      <c r="X11" s="0" t="n">
        <v>1160.8</v>
      </c>
      <c r="Y11" s="0" t="n">
        <v>110.329</v>
      </c>
      <c r="Z11" s="0" t="n">
        <v>1193.323</v>
      </c>
      <c r="AA11" s="0" t="n">
        <f aca="false">H11*x_c_F+I11*x_c_CC+J11*x_c_DC+K11*x_c_HCC+L11*x_c_PLT+M11*x_c_SVRn+N11*x_c_SVRcc+O11*x_c_LT+P11*x_c_LT1</f>
        <v>459701418.32211</v>
      </c>
      <c r="AB11" s="0" t="n">
        <f aca="false">C11*x_c_DAA</f>
        <v>0</v>
      </c>
      <c r="AC11" s="0" t="n">
        <f aca="false">C11*x_c_MON</f>
        <v>0</v>
      </c>
      <c r="AD11" s="0" t="n">
        <f aca="false">D11*(1-x_testy)</f>
        <v>0</v>
      </c>
      <c r="AE11" s="0" t="n">
        <f aca="false">E11*(1-x_testy)</f>
        <v>0</v>
      </c>
      <c r="AF11" s="0" t="n">
        <f aca="false">F11*x_NAV</f>
        <v>0</v>
      </c>
      <c r="AG11" s="0" t="n">
        <f aca="false">G11*x_FIX*(1-x_testy)</f>
        <v>0</v>
      </c>
      <c r="AH11" s="0" t="n">
        <f aca="false">x_z_F*U11+(1-x_AGRI)*x_EMP*x_WLOSS*(x_PEN_K74*Q11+x_PEN_C22*R11)</f>
        <v>82269214.6231726</v>
      </c>
      <c r="AI11" s="0" t="n">
        <f aca="false">x_AGRI*x_EMP*x_WLOSS*(x_PEN_K74*Q11+x_PEN_C22*R11)</f>
        <v>2203905.31562817</v>
      </c>
      <c r="AJ11" s="0" t="n">
        <f aca="false">x_EMP*x_WAGE*(x_WLOSS*(Q11+R11)+S11)+U11*x_ABS_D*x_WAGE/365</f>
        <v>752846214.283208</v>
      </c>
      <c r="AK11" s="0" t="n">
        <f aca="false">AJ11*x_R_FUS</f>
        <v>238200542.199207</v>
      </c>
      <c r="AL11" s="0" t="n">
        <f aca="false">AJ11*x_R_NFZ</f>
        <v>58466789.8474482</v>
      </c>
      <c r="AM11" s="0" t="n">
        <f aca="false">AJ11*x_R_PIT</f>
        <v>50052358.5890067</v>
      </c>
      <c r="AN11" s="0" t="n">
        <f aca="false">AJ11*x_R_FP</f>
        <v>19197578.4642218</v>
      </c>
      <c r="AO11" s="0" t="n">
        <f aca="false">AA11+AB11+AC11+AD11+AF11</f>
        <v>459701418.32211</v>
      </c>
      <c r="AP11" s="0" t="n">
        <f aca="false">AO11+AE11+AG11+AH11+AI11+AK11+AL11+AM11+AN11</f>
        <v>910091807.360795</v>
      </c>
      <c r="AQ11" s="0" t="n">
        <f aca="false">AO11+AE11+AG11+AJ11</f>
        <v>1212547632.60532</v>
      </c>
      <c r="AR11" s="0" t="n">
        <f aca="false">AB11+AC11+AD11+AF11</f>
        <v>0</v>
      </c>
      <c r="AS11" s="0" t="n">
        <f aca="false">AR11+AE11+AG11</f>
        <v>0</v>
      </c>
    </row>
    <row r="12" customFormat="false" ht="15" hidden="false" customHeight="false" outlineLevel="0" collapsed="false">
      <c r="A12" s="0" t="n">
        <v>2035</v>
      </c>
      <c r="B12" s="0" t="n">
        <v>9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34255.495</v>
      </c>
      <c r="I12" s="0" t="n">
        <v>5160.983</v>
      </c>
      <c r="J12" s="0" t="n">
        <v>2067.424</v>
      </c>
      <c r="K12" s="0" t="n">
        <v>3642.667</v>
      </c>
      <c r="L12" s="0" t="n">
        <v>1411.557</v>
      </c>
      <c r="M12" s="0" t="n">
        <v>0</v>
      </c>
      <c r="N12" s="0" t="n">
        <v>0</v>
      </c>
      <c r="O12" s="0" t="n">
        <v>115.493</v>
      </c>
      <c r="P12" s="0" t="n">
        <v>112.911</v>
      </c>
      <c r="Q12" s="0" t="n">
        <v>2693.882</v>
      </c>
      <c r="R12" s="0" t="n">
        <v>2765.866</v>
      </c>
      <c r="S12" s="0" t="n">
        <v>6900.983</v>
      </c>
      <c r="T12" s="0" t="n">
        <v>39416.478</v>
      </c>
      <c r="U12" s="0" t="n">
        <v>26545.074</v>
      </c>
      <c r="V12" s="0" t="n">
        <v>121231.05</v>
      </c>
      <c r="W12" s="0" t="n">
        <v>469.801</v>
      </c>
      <c r="X12" s="0" t="n">
        <v>1208.437</v>
      </c>
      <c r="Y12" s="0" t="n">
        <v>115.493</v>
      </c>
      <c r="Z12" s="0" t="n">
        <v>1247.2</v>
      </c>
      <c r="AA12" s="0" t="n">
        <f aca="false">H12*x_c_F+I12*x_c_CC+J12*x_c_DC+K12*x_c_HCC+L12*x_c_PLT+M12*x_c_SVRn+N12*x_c_SVRcc+O12*x_c_LT+P12*x_c_LT1</f>
        <v>485583249.312667</v>
      </c>
      <c r="AB12" s="0" t="n">
        <f aca="false">C12*x_c_DAA</f>
        <v>0</v>
      </c>
      <c r="AC12" s="0" t="n">
        <f aca="false">C12*x_c_MON</f>
        <v>0</v>
      </c>
      <c r="AD12" s="0" t="n">
        <f aca="false">D12*(1-x_testy)</f>
        <v>0</v>
      </c>
      <c r="AE12" s="0" t="n">
        <f aca="false">E12*(1-x_testy)</f>
        <v>0</v>
      </c>
      <c r="AF12" s="0" t="n">
        <f aca="false">F12*x_NAV</f>
        <v>0</v>
      </c>
      <c r="AG12" s="0" t="n">
        <f aca="false">G12*x_FIX*(1-x_testy)</f>
        <v>0</v>
      </c>
      <c r="AH12" s="0" t="n">
        <f aca="false">x_z_F*U12+(1-x_AGRI)*x_EMP*x_WLOSS*(x_PEN_K74*Q12+x_PEN_C22*R12)</f>
        <v>89685156.0196597</v>
      </c>
      <c r="AI12" s="0" t="n">
        <f aca="false">x_AGRI*x_EMP*x_WLOSS*(x_PEN_K74*Q12+x_PEN_C22*R12)</f>
        <v>2320767.26488704</v>
      </c>
      <c r="AJ12" s="0" t="n">
        <f aca="false">x_EMP*x_WAGE*(x_WLOSS*(Q12+R12)+S12)+U12*x_ABS_D*x_WAGE/365</f>
        <v>845060356.125341</v>
      </c>
      <c r="AK12" s="0" t="n">
        <f aca="false">AJ12*x_R_FUS</f>
        <v>267377096.678058</v>
      </c>
      <c r="AL12" s="0" t="n">
        <f aca="false">AJ12*x_R_NFZ</f>
        <v>65628232.3170501</v>
      </c>
      <c r="AM12" s="0" t="n">
        <f aca="false">AJ12*x_R_PIT</f>
        <v>56183139.6262129</v>
      </c>
      <c r="AN12" s="0" t="n">
        <f aca="false">AJ12*x_R_FP</f>
        <v>21549039.0811962</v>
      </c>
      <c r="AO12" s="0" t="n">
        <f aca="false">AA12+AB12+AC12+AD12+AF12</f>
        <v>485583249.312667</v>
      </c>
      <c r="AP12" s="0" t="n">
        <f aca="false">AO12+AE12+AG12+AH12+AI12+AK12+AL12+AM12+AN12</f>
        <v>988326680.299731</v>
      </c>
      <c r="AQ12" s="0" t="n">
        <f aca="false">AO12+AE12+AG12+AJ12</f>
        <v>1330643605.43801</v>
      </c>
      <c r="AR12" s="0" t="n">
        <f aca="false">AB12+AC12+AD12+AF12</f>
        <v>0</v>
      </c>
      <c r="AS12" s="0" t="n">
        <f aca="false">AR12+AE12+AG12</f>
        <v>0</v>
      </c>
    </row>
    <row r="13" customFormat="false" ht="15" hidden="false" customHeight="false" outlineLevel="0" collapsed="false">
      <c r="A13" s="0" t="n">
        <v>2036</v>
      </c>
      <c r="B13" s="0" t="n">
        <v>10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37055.021</v>
      </c>
      <c r="I13" s="0" t="n">
        <v>5793.425</v>
      </c>
      <c r="J13" s="0" t="n">
        <v>2161.34</v>
      </c>
      <c r="K13" s="0" t="n">
        <v>3802.909</v>
      </c>
      <c r="L13" s="0" t="n">
        <v>1412.022</v>
      </c>
      <c r="M13" s="0" t="n">
        <v>0</v>
      </c>
      <c r="N13" s="0" t="n">
        <v>0</v>
      </c>
      <c r="O13" s="0" t="n">
        <v>120.712</v>
      </c>
      <c r="P13" s="0" t="n">
        <v>118.103</v>
      </c>
      <c r="Q13" s="0" t="n">
        <v>2808.825</v>
      </c>
      <c r="R13" s="0" t="n">
        <v>2930.691</v>
      </c>
      <c r="S13" s="0" t="n">
        <v>7828.732</v>
      </c>
      <c r="T13" s="0" t="n">
        <v>42848.446</v>
      </c>
      <c r="U13" s="0" t="n">
        <v>29310</v>
      </c>
      <c r="V13" s="0" t="n">
        <v>122078.395</v>
      </c>
      <c r="W13" s="0" t="n">
        <v>489.41</v>
      </c>
      <c r="X13" s="0" t="n">
        <v>1252.407</v>
      </c>
      <c r="Y13" s="0" t="n">
        <v>120.712</v>
      </c>
      <c r="Z13" s="0" t="n">
        <v>1300.336</v>
      </c>
      <c r="AA13" s="0" t="n">
        <f aca="false">H13*x_c_F+I13*x_c_CC+J13*x_c_DC+K13*x_c_HCC+L13*x_c_PLT+M13*x_c_SVRn+N13*x_c_SVRcc+O13*x_c_LT+P13*x_c_LT1</f>
        <v>511118860.079017</v>
      </c>
      <c r="AB13" s="0" t="n">
        <f aca="false">C13*x_c_DAA</f>
        <v>0</v>
      </c>
      <c r="AC13" s="0" t="n">
        <f aca="false">C13*x_c_MON</f>
        <v>0</v>
      </c>
      <c r="AD13" s="0" t="n">
        <f aca="false">D13*(1-x_testy)</f>
        <v>0</v>
      </c>
      <c r="AE13" s="0" t="n">
        <f aca="false">E13*(1-x_testy)</f>
        <v>0</v>
      </c>
      <c r="AF13" s="0" t="n">
        <f aca="false">F13*x_NAV</f>
        <v>0</v>
      </c>
      <c r="AG13" s="0" t="n">
        <f aca="false">G13*x_FIX*(1-x_testy)</f>
        <v>0</v>
      </c>
      <c r="AH13" s="0" t="n">
        <f aca="false">x_z_F*U13+(1-x_AGRI)*x_EMP*x_WLOSS*(x_PEN_K74*Q13+x_PEN_C22*R13)</f>
        <v>97187697.9222318</v>
      </c>
      <c r="AI13" s="0" t="n">
        <f aca="false">x_AGRI*x_EMP*x_WLOSS*(x_PEN_K74*Q13+x_PEN_C22*R13)</f>
        <v>2440940.99582624</v>
      </c>
      <c r="AJ13" s="0" t="n">
        <f aca="false">x_EMP*x_WAGE*(x_WLOSS*(Q13+R13)+S13)+U13*x_ABS_D*x_WAGE/365</f>
        <v>941439601.710838</v>
      </c>
      <c r="AK13" s="0" t="n">
        <f aca="false">AJ13*x_R_FUS</f>
        <v>297871489.981309</v>
      </c>
      <c r="AL13" s="0" t="n">
        <f aca="false">AJ13*x_R_NFZ</f>
        <v>73113140.9084654</v>
      </c>
      <c r="AM13" s="0" t="n">
        <f aca="false">AJ13*x_R_PIT</f>
        <v>62590834.1447756</v>
      </c>
      <c r="AN13" s="0" t="n">
        <f aca="false">AJ13*x_R_FP</f>
        <v>24006709.8436264</v>
      </c>
      <c r="AO13" s="0" t="n">
        <f aca="false">AA13+AB13+AC13+AD13+AF13</f>
        <v>511118860.079017</v>
      </c>
      <c r="AP13" s="0" t="n">
        <f aca="false">AO13+AE13+AG13+AH13+AI13+AK13+AL13+AM13+AN13</f>
        <v>1068329673.87525</v>
      </c>
      <c r="AQ13" s="0" t="n">
        <f aca="false">AO13+AE13+AG13+AJ13</f>
        <v>1452558461.78986</v>
      </c>
      <c r="AR13" s="0" t="n">
        <f aca="false">AB13+AC13+AD13+AF13</f>
        <v>0</v>
      </c>
      <c r="AS13" s="0" t="n">
        <f aca="false">AR13+AE13+AG13</f>
        <v>0</v>
      </c>
    </row>
    <row r="14" customFormat="false" ht="15" hidden="false" customHeight="false" outlineLevel="0" collapsed="false">
      <c r="A14" s="0" t="n">
        <v>2037</v>
      </c>
      <c r="B14" s="0" t="n">
        <v>11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39789.75</v>
      </c>
      <c r="I14" s="0" t="n">
        <v>6425.845</v>
      </c>
      <c r="J14" s="0" t="n">
        <v>2254.637</v>
      </c>
      <c r="K14" s="0" t="n">
        <v>3955.249</v>
      </c>
      <c r="L14" s="0" t="n">
        <v>1414.96</v>
      </c>
      <c r="M14" s="0" t="n">
        <v>0</v>
      </c>
      <c r="N14" s="0" t="n">
        <v>0</v>
      </c>
      <c r="O14" s="0" t="n">
        <v>125.864</v>
      </c>
      <c r="P14" s="0" t="n">
        <v>123.288</v>
      </c>
      <c r="Q14" s="0" t="n">
        <v>2929.329</v>
      </c>
      <c r="R14" s="0" t="n">
        <v>3094.738</v>
      </c>
      <c r="S14" s="0" t="n">
        <v>8800.523</v>
      </c>
      <c r="T14" s="0" t="n">
        <v>46215.596</v>
      </c>
      <c r="U14" s="0" t="n">
        <v>32085.95</v>
      </c>
      <c r="V14" s="0" t="n">
        <v>122886.151</v>
      </c>
      <c r="W14" s="0" t="n">
        <v>507.378</v>
      </c>
      <c r="X14" s="0" t="n">
        <v>1292.419</v>
      </c>
      <c r="Y14" s="0" t="n">
        <v>125.864</v>
      </c>
      <c r="Z14" s="0" t="n">
        <v>1351.636</v>
      </c>
      <c r="AA14" s="0" t="n">
        <f aca="false">H14*x_c_F+I14*x_c_CC+J14*x_c_DC+K14*x_c_HCC+L14*x_c_PLT+M14*x_c_SVRn+N14*x_c_SVRcc+O14*x_c_LT+P14*x_c_LT1</f>
        <v>536009787.326683</v>
      </c>
      <c r="AB14" s="0" t="n">
        <f aca="false">C14*x_c_DAA</f>
        <v>0</v>
      </c>
      <c r="AC14" s="0" t="n">
        <f aca="false">C14*x_c_MON</f>
        <v>0</v>
      </c>
      <c r="AD14" s="0" t="n">
        <f aca="false">D14*(1-x_testy)</f>
        <v>0</v>
      </c>
      <c r="AE14" s="0" t="n">
        <f aca="false">E14*(1-x_testy)</f>
        <v>0</v>
      </c>
      <c r="AF14" s="0" t="n">
        <f aca="false">F14*x_NAV</f>
        <v>0</v>
      </c>
      <c r="AG14" s="0" t="n">
        <f aca="false">G14*x_FIX*(1-x_testy)</f>
        <v>0</v>
      </c>
      <c r="AH14" s="0" t="n">
        <f aca="false">x_z_F*U14+(1-x_AGRI)*x_EMP*x_WLOSS*(x_PEN_K74*Q14+x_PEN_C22*R14)</f>
        <v>104741035.455458</v>
      </c>
      <c r="AI14" s="0" t="n">
        <f aca="false">x_AGRI*x_EMP*x_WLOSS*(x_PEN_K74*Q14+x_PEN_C22*R14)</f>
        <v>2562974.15277906</v>
      </c>
      <c r="AJ14" s="0" t="n">
        <f aca="false">x_EMP*x_WAGE*(x_WLOSS*(Q14+R14)+S14)+U14*x_ABS_D*x_WAGE/365</f>
        <v>1041762826.45555</v>
      </c>
      <c r="AK14" s="0" t="n">
        <f aca="false">AJ14*x_R_FUS</f>
        <v>329613758.290535</v>
      </c>
      <c r="AL14" s="0" t="n">
        <f aca="false">AJ14*x_R_NFZ</f>
        <v>80904342.8653641</v>
      </c>
      <c r="AM14" s="0" t="n">
        <f aca="false">AJ14*x_R_PIT</f>
        <v>69260740.8594006</v>
      </c>
      <c r="AN14" s="0" t="n">
        <f aca="false">AJ14*x_R_FP</f>
        <v>26564952.0746164</v>
      </c>
      <c r="AO14" s="0" t="n">
        <f aca="false">AA14+AB14+AC14+AD14+AF14</f>
        <v>536009787.326683</v>
      </c>
      <c r="AP14" s="0" t="n">
        <f aca="false">AO14+AE14+AG14+AH14+AI14+AK14+AL14+AM14+AN14</f>
        <v>1149657591.02484</v>
      </c>
      <c r="AQ14" s="0" t="n">
        <f aca="false">AO14+AE14+AG14+AJ14</f>
        <v>1577772613.78223</v>
      </c>
      <c r="AR14" s="0" t="n">
        <f aca="false">AB14+AC14+AD14+AF14</f>
        <v>0</v>
      </c>
      <c r="AS14" s="0" t="n">
        <f aca="false">AR14+AE14+AG14</f>
        <v>0</v>
      </c>
    </row>
    <row r="15" customFormat="false" ht="15" hidden="false" customHeight="false" outlineLevel="0" collapsed="false">
      <c r="A15" s="0" t="n">
        <v>2038</v>
      </c>
      <c r="B15" s="0" t="n">
        <v>12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42462.858</v>
      </c>
      <c r="I15" s="0" t="n">
        <v>7052.019</v>
      </c>
      <c r="J15" s="0" t="n">
        <v>2345.359</v>
      </c>
      <c r="K15" s="0" t="n">
        <v>4097.437</v>
      </c>
      <c r="L15" s="0" t="n">
        <v>1420.029</v>
      </c>
      <c r="M15" s="0" t="n">
        <v>0</v>
      </c>
      <c r="N15" s="0" t="n">
        <v>0</v>
      </c>
      <c r="O15" s="0" t="n">
        <v>130.838</v>
      </c>
      <c r="P15" s="0" t="n">
        <v>128.351</v>
      </c>
      <c r="Q15" s="0" t="n">
        <v>1971.106</v>
      </c>
      <c r="R15" s="0" t="n">
        <v>2116.765</v>
      </c>
      <c r="S15" s="0" t="n">
        <v>6205.62</v>
      </c>
      <c r="T15" s="0" t="n">
        <v>49514.877</v>
      </c>
      <c r="U15" s="0" t="n">
        <v>28377.945</v>
      </c>
      <c r="V15" s="0" t="n">
        <v>123650.561</v>
      </c>
      <c r="W15" s="0" t="n">
        <v>523.574</v>
      </c>
      <c r="X15" s="0" t="n">
        <v>1328.259</v>
      </c>
      <c r="Y15" s="0" t="n">
        <v>130.838</v>
      </c>
      <c r="Z15" s="0" t="n">
        <v>1400.145</v>
      </c>
      <c r="AA15" s="0" t="n">
        <f aca="false">H15*x_c_F+I15*x_c_CC+J15*x_c_DC+K15*x_c_HCC+L15*x_c_PLT+M15*x_c_SVRn+N15*x_c_SVRcc+O15*x_c_LT+P15*x_c_LT1</f>
        <v>560000520.934689</v>
      </c>
      <c r="AB15" s="0" t="n">
        <f aca="false">C15*x_c_DAA</f>
        <v>0</v>
      </c>
      <c r="AC15" s="0" t="n">
        <f aca="false">C15*x_c_MON</f>
        <v>0</v>
      </c>
      <c r="AD15" s="0" t="n">
        <f aca="false">D15*(1-x_testy)</f>
        <v>0</v>
      </c>
      <c r="AE15" s="0" t="n">
        <f aca="false">E15*(1-x_testy)</f>
        <v>0</v>
      </c>
      <c r="AF15" s="0" t="n">
        <f aca="false">F15*x_NAV</f>
        <v>0</v>
      </c>
      <c r="AG15" s="0" t="n">
        <f aca="false">G15*x_FIX*(1-x_testy)</f>
        <v>0</v>
      </c>
      <c r="AH15" s="0" t="n">
        <f aca="false">x_z_F*U15+(1-x_AGRI)*x_EMP*x_WLOSS*(x_PEN_K74*Q15+x_PEN_C22*R15)</f>
        <v>84668658.244504</v>
      </c>
      <c r="AI15" s="0" t="n">
        <f aca="false">x_AGRI*x_EMP*x_WLOSS*(x_PEN_K74*Q15+x_PEN_C22*R15)</f>
        <v>1740114.83207978</v>
      </c>
      <c r="AJ15" s="0" t="n">
        <f aca="false">x_EMP*x_WAGE*(x_WLOSS*(Q15+R15)+S15)+U15*x_ABS_D*x_WAGE/365</f>
        <v>746253639.15996</v>
      </c>
      <c r="AK15" s="0" t="n">
        <f aca="false">AJ15*x_R_FUS</f>
        <v>236114651.430211</v>
      </c>
      <c r="AL15" s="0" t="n">
        <f aca="false">AJ15*x_R_NFZ</f>
        <v>57954803.8708017</v>
      </c>
      <c r="AM15" s="0" t="n">
        <f aca="false">AJ15*x_R_PIT</f>
        <v>49614056.678426</v>
      </c>
      <c r="AN15" s="0" t="n">
        <f aca="false">AJ15*x_R_FP</f>
        <v>19029467.798579</v>
      </c>
      <c r="AO15" s="0" t="n">
        <f aca="false">AA15+AB15+AC15+AD15+AF15</f>
        <v>560000520.934689</v>
      </c>
      <c r="AP15" s="0" t="n">
        <f aca="false">AO15+AE15+AG15+AH15+AI15+AK15+AL15+AM15+AN15</f>
        <v>1009122273.78929</v>
      </c>
      <c r="AQ15" s="0" t="n">
        <f aca="false">AO15+AE15+AG15+AJ15</f>
        <v>1306254160.09465</v>
      </c>
      <c r="AR15" s="0" t="n">
        <f aca="false">AB15+AC15+AD15+AF15</f>
        <v>0</v>
      </c>
      <c r="AS15" s="0" t="n">
        <f aca="false">AR15+AE15+AG15</f>
        <v>0</v>
      </c>
    </row>
    <row r="16" customFormat="false" ht="15" hidden="false" customHeight="false" outlineLevel="0" collapsed="false">
      <c r="A16" s="0" t="n">
        <v>2039</v>
      </c>
      <c r="B16" s="0" t="n">
        <v>13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45077.203</v>
      </c>
      <c r="I16" s="0" t="n">
        <v>7666.171</v>
      </c>
      <c r="J16" s="0" t="n">
        <v>2431.771</v>
      </c>
      <c r="K16" s="0" t="n">
        <v>4227.69</v>
      </c>
      <c r="L16" s="0" t="n">
        <v>1426.774</v>
      </c>
      <c r="M16" s="0" t="n">
        <v>0</v>
      </c>
      <c r="N16" s="0" t="n">
        <v>0</v>
      </c>
      <c r="O16" s="0" t="n">
        <v>135.539</v>
      </c>
      <c r="P16" s="0" t="n">
        <v>133.189</v>
      </c>
      <c r="Q16" s="0" t="n">
        <v>979.191</v>
      </c>
      <c r="R16" s="0" t="n">
        <v>1095.893</v>
      </c>
      <c r="S16" s="0" t="n">
        <v>3296.384</v>
      </c>
      <c r="T16" s="0" t="n">
        <v>52743.374</v>
      </c>
      <c r="U16" s="0" t="n">
        <v>24527.391</v>
      </c>
      <c r="V16" s="0" t="n">
        <v>124368.628</v>
      </c>
      <c r="W16" s="0" t="n">
        <v>537.917</v>
      </c>
      <c r="X16" s="0" t="n">
        <v>1359.815</v>
      </c>
      <c r="Y16" s="0" t="n">
        <v>135.539</v>
      </c>
      <c r="Z16" s="0" t="n">
        <v>1445.094</v>
      </c>
      <c r="AA16" s="0" t="n">
        <f aca="false">H16*x_c_F+I16*x_c_CC+J16*x_c_DC+K16*x_c_HCC+L16*x_c_PLT+M16*x_c_SVRn+N16*x_c_SVRcc+O16*x_c_LT+P16*x_c_LT1</f>
        <v>582872856.345646</v>
      </c>
      <c r="AB16" s="0" t="n">
        <f aca="false">C16*x_c_DAA</f>
        <v>0</v>
      </c>
      <c r="AC16" s="0" t="n">
        <f aca="false">C16*x_c_MON</f>
        <v>0</v>
      </c>
      <c r="AD16" s="0" t="n">
        <f aca="false">D16*(1-x_testy)</f>
        <v>0</v>
      </c>
      <c r="AE16" s="0" t="n">
        <f aca="false">E16*(1-x_testy)</f>
        <v>0</v>
      </c>
      <c r="AF16" s="0" t="n">
        <f aca="false">F16*x_NAV</f>
        <v>0</v>
      </c>
      <c r="AG16" s="0" t="n">
        <f aca="false">G16*x_FIX*(1-x_testy)</f>
        <v>0</v>
      </c>
      <c r="AH16" s="0" t="n">
        <f aca="false">x_z_F*U16+(1-x_AGRI)*x_EMP*x_WLOSS*(x_PEN_K74*Q16+x_PEN_C22*R16)</f>
        <v>63807302.0439434</v>
      </c>
      <c r="AI16" s="0" t="n">
        <f aca="false">x_AGRI*x_EMP*x_WLOSS*(x_PEN_K74*Q16+x_PEN_C22*R16)</f>
        <v>884476.709060007</v>
      </c>
      <c r="AJ16" s="0" t="n">
        <f aca="false">x_EMP*x_WAGE*(x_WLOSS*(Q16+R16)+S16)+U16*x_ABS_D*x_WAGE/365</f>
        <v>421018604.66556</v>
      </c>
      <c r="AK16" s="0" t="n">
        <f aca="false">AJ16*x_R_FUS</f>
        <v>133210286.516183</v>
      </c>
      <c r="AL16" s="0" t="n">
        <f aca="false">AJ16*x_R_NFZ</f>
        <v>32696725.8569321</v>
      </c>
      <c r="AM16" s="0" t="n">
        <f aca="false">AJ16*x_R_PIT</f>
        <v>27991074.1045934</v>
      </c>
      <c r="AN16" s="0" t="n">
        <f aca="false">AJ16*x_R_FP</f>
        <v>10735974.4189718</v>
      </c>
      <c r="AO16" s="0" t="n">
        <f aca="false">AA16+AB16+AC16+AD16+AF16</f>
        <v>582872856.345646</v>
      </c>
      <c r="AP16" s="0" t="n">
        <f aca="false">AO16+AE16+AG16+AH16+AI16+AK16+AL16+AM16+AN16</f>
        <v>852198695.99533</v>
      </c>
      <c r="AQ16" s="0" t="n">
        <f aca="false">AO16+AE16+AG16+AJ16</f>
        <v>1003891461.01121</v>
      </c>
      <c r="AR16" s="0" t="n">
        <f aca="false">AB16+AC16+AD16+AF16</f>
        <v>0</v>
      </c>
      <c r="AS16" s="0" t="n">
        <f aca="false">AR16+AE16+AG16</f>
        <v>0</v>
      </c>
    </row>
    <row r="17" customFormat="false" ht="15" hidden="false" customHeight="false" outlineLevel="0" collapsed="false">
      <c r="A17" s="0" t="n">
        <v>2040</v>
      </c>
      <c r="B17" s="0" t="n">
        <v>14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47636.075</v>
      </c>
      <c r="I17" s="0" t="n">
        <v>8263.302</v>
      </c>
      <c r="J17" s="0" t="n">
        <v>2512.459</v>
      </c>
      <c r="K17" s="0" t="n">
        <v>4344.803</v>
      </c>
      <c r="L17" s="0" t="n">
        <v>1434.705</v>
      </c>
      <c r="M17" s="0" t="n">
        <v>0</v>
      </c>
      <c r="N17" s="0" t="n">
        <v>0</v>
      </c>
      <c r="O17" s="0" t="n">
        <v>139.894</v>
      </c>
      <c r="P17" s="0" t="n">
        <v>137.717</v>
      </c>
      <c r="Q17" s="0" t="n">
        <v>1037.018</v>
      </c>
      <c r="R17" s="0" t="n">
        <v>1176.086</v>
      </c>
      <c r="S17" s="0" t="n">
        <v>3673.781</v>
      </c>
      <c r="T17" s="0" t="n">
        <v>55899.377</v>
      </c>
      <c r="U17" s="0" t="n">
        <v>27058.47</v>
      </c>
      <c r="V17" s="0" t="n">
        <v>125040.293</v>
      </c>
      <c r="W17" s="0" t="n">
        <v>550.395</v>
      </c>
      <c r="X17" s="0" t="n">
        <v>1387.119</v>
      </c>
      <c r="Y17" s="0" t="n">
        <v>139.894</v>
      </c>
      <c r="Z17" s="0" t="n">
        <v>1485.941</v>
      </c>
      <c r="AA17" s="0" t="n">
        <f aca="false">H17*x_c_F+I17*x_c_CC+J17*x_c_DC+K17*x_c_HCC+L17*x_c_PLT+M17*x_c_SVRn+N17*x_c_SVRcc+O17*x_c_LT+P17*x_c_LT1</f>
        <v>604463504.192279</v>
      </c>
      <c r="AB17" s="0" t="n">
        <f aca="false">C17*x_c_DAA</f>
        <v>0</v>
      </c>
      <c r="AC17" s="0" t="n">
        <f aca="false">C17*x_c_MON</f>
        <v>0</v>
      </c>
      <c r="AD17" s="0" t="n">
        <f aca="false">D17*(1-x_testy)</f>
        <v>0</v>
      </c>
      <c r="AE17" s="0" t="n">
        <f aca="false">E17*(1-x_testy)</f>
        <v>0</v>
      </c>
      <c r="AF17" s="0" t="n">
        <f aca="false">F17*x_NAV</f>
        <v>0</v>
      </c>
      <c r="AG17" s="0" t="n">
        <f aca="false">G17*x_FIX*(1-x_testy)</f>
        <v>0</v>
      </c>
      <c r="AH17" s="0" t="n">
        <f aca="false">x_z_F*U17+(1-x_AGRI)*x_EMP*x_WLOSS*(x_PEN_K74*Q17+x_PEN_C22*R17)</f>
        <v>69906986.3165104</v>
      </c>
      <c r="AI17" s="0" t="n">
        <f aca="false">x_AGRI*x_EMP*x_WLOSS*(x_PEN_K74*Q17+x_PEN_C22*R17)</f>
        <v>943702.058086051</v>
      </c>
      <c r="AJ17" s="0" t="n">
        <f aca="false">x_EMP*x_WAGE*(x_WLOSS*(Q17+R17)+S17)+U17*x_ABS_D*x_WAGE/365</f>
        <v>465148042.41363</v>
      </c>
      <c r="AK17" s="0" t="n">
        <f aca="false">AJ17*x_R_FUS</f>
        <v>147172840.619672</v>
      </c>
      <c r="AL17" s="0" t="n">
        <f aca="false">AJ17*x_R_NFZ</f>
        <v>36123862.1218849</v>
      </c>
      <c r="AM17" s="0" t="n">
        <f aca="false">AJ17*x_R_PIT</f>
        <v>30924983.3155212</v>
      </c>
      <c r="AN17" s="0" t="n">
        <f aca="false">AJ17*x_R_FP</f>
        <v>11861275.0815476</v>
      </c>
      <c r="AO17" s="0" t="n">
        <f aca="false">AA17+AB17+AC17+AD17+AF17</f>
        <v>604463504.192279</v>
      </c>
      <c r="AP17" s="0" t="n">
        <f aca="false">AO17+AE17+AG17+AH17+AI17+AK17+AL17+AM17+AN17</f>
        <v>901397153.705501</v>
      </c>
      <c r="AQ17" s="0" t="n">
        <f aca="false">AO17+AE17+AG17+AJ17</f>
        <v>1069611546.60591</v>
      </c>
      <c r="AR17" s="0" t="n">
        <f aca="false">AB17+AC17+AD17+AF17</f>
        <v>0</v>
      </c>
      <c r="AS17" s="0" t="n">
        <f aca="false">AR17+AE17+AG17</f>
        <v>0</v>
      </c>
    </row>
    <row r="18" customFormat="false" ht="15" hidden="false" customHeight="false" outlineLevel="0" collapsed="false">
      <c r="A18" s="0" t="n">
        <v>2041</v>
      </c>
      <c r="B18" s="0" t="n">
        <v>15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50143.866</v>
      </c>
      <c r="I18" s="0" t="n">
        <v>8839.601</v>
      </c>
      <c r="J18" s="0" t="n">
        <v>2586.441</v>
      </c>
      <c r="K18" s="0" t="n">
        <v>4448.272</v>
      </c>
      <c r="L18" s="0" t="n">
        <v>1443.38</v>
      </c>
      <c r="M18" s="0" t="n">
        <v>0</v>
      </c>
      <c r="N18" s="0" t="n">
        <v>0</v>
      </c>
      <c r="O18" s="0" t="n">
        <v>143.858</v>
      </c>
      <c r="P18" s="0" t="n">
        <v>141.876</v>
      </c>
      <c r="Q18" s="0" t="n">
        <v>1099.57</v>
      </c>
      <c r="R18" s="0" t="n">
        <v>1262.007</v>
      </c>
      <c r="S18" s="0" t="n">
        <v>4077.219</v>
      </c>
      <c r="T18" s="0" t="n">
        <v>58983.467</v>
      </c>
      <c r="U18" s="0" t="n">
        <v>29658.647</v>
      </c>
      <c r="V18" s="0" t="n">
        <v>125669.92</v>
      </c>
      <c r="W18" s="0" t="n">
        <v>561.07</v>
      </c>
      <c r="X18" s="0" t="n">
        <v>1410.374</v>
      </c>
      <c r="Y18" s="0" t="n">
        <v>143.858</v>
      </c>
      <c r="Z18" s="0" t="n">
        <v>1522.432</v>
      </c>
      <c r="AA18" s="0" t="n">
        <f aca="false">H18*x_c_F+I18*x_c_CC+J18*x_c_DC+K18*x_c_HCC+L18*x_c_PLT+M18*x_c_SVRn+N18*x_c_SVRcc+O18*x_c_LT+P18*x_c_LT1</f>
        <v>624683114.464685</v>
      </c>
      <c r="AB18" s="0" t="n">
        <f aca="false">C18*x_c_DAA</f>
        <v>0</v>
      </c>
      <c r="AC18" s="0" t="n">
        <f aca="false">C18*x_c_MON</f>
        <v>0</v>
      </c>
      <c r="AD18" s="0" t="n">
        <f aca="false">D18*(1-x_testy)</f>
        <v>0</v>
      </c>
      <c r="AE18" s="0" t="n">
        <f aca="false">E18*(1-x_testy)</f>
        <v>0</v>
      </c>
      <c r="AF18" s="0" t="n">
        <f aca="false">F18*x_NAV</f>
        <v>0</v>
      </c>
      <c r="AG18" s="0" t="n">
        <f aca="false">G18*x_FIX*(1-x_testy)</f>
        <v>0</v>
      </c>
      <c r="AH18" s="0" t="n">
        <f aca="false">x_z_F*U18+(1-x_AGRI)*x_EMP*x_WLOSS*(x_PEN_K74*Q18+x_PEN_C22*R18)</f>
        <v>76216306.6642262</v>
      </c>
      <c r="AI18" s="0" t="n">
        <f aca="false">x_AGRI*x_EMP*x_WLOSS*(x_PEN_K74*Q18+x_PEN_C22*R18)</f>
        <v>1007394.11977301</v>
      </c>
      <c r="AJ18" s="0" t="n">
        <f aca="false">x_EMP*x_WAGE*(x_WLOSS*(Q18+R18)+S18)+U18*x_ABS_D*x_WAGE/365</f>
        <v>512042859.209321</v>
      </c>
      <c r="AK18" s="0" t="n">
        <f aca="false">AJ18*x_R_FUS</f>
        <v>162010360.653829</v>
      </c>
      <c r="AL18" s="0" t="n">
        <f aca="false">AJ18*x_R_NFZ</f>
        <v>39765760.489055</v>
      </c>
      <c r="AM18" s="0" t="n">
        <f aca="false">AJ18*x_R_PIT</f>
        <v>34042746.4677985</v>
      </c>
      <c r="AN18" s="0" t="n">
        <f aca="false">AJ18*x_R_FP</f>
        <v>13057092.9098377</v>
      </c>
      <c r="AO18" s="0" t="n">
        <f aca="false">AA18+AB18+AC18+AD18+AF18</f>
        <v>624683114.464685</v>
      </c>
      <c r="AP18" s="0" t="n">
        <f aca="false">AO18+AE18+AG18+AH18+AI18+AK18+AL18+AM18+AN18</f>
        <v>950782775.769204</v>
      </c>
      <c r="AQ18" s="0" t="n">
        <f aca="false">AO18+AE18+AG18+AJ18</f>
        <v>1136725973.67401</v>
      </c>
      <c r="AR18" s="0" t="n">
        <f aca="false">AB18+AC18+AD18+AF18</f>
        <v>0</v>
      </c>
      <c r="AS18" s="0" t="n">
        <f aca="false">AR18+AE18+AG18</f>
        <v>0</v>
      </c>
    </row>
    <row r="19" customFormat="false" ht="15" hidden="false" customHeight="false" outlineLevel="0" collapsed="false">
      <c r="A19" s="0" t="n">
        <v>2042</v>
      </c>
      <c r="B19" s="0" t="n">
        <v>16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52604.887</v>
      </c>
      <c r="I19" s="0" t="n">
        <v>9392.119</v>
      </c>
      <c r="J19" s="0" t="n">
        <v>2652.896</v>
      </c>
      <c r="K19" s="0" t="n">
        <v>4537.85</v>
      </c>
      <c r="L19" s="0" t="n">
        <v>1452.119</v>
      </c>
      <c r="M19" s="0" t="n">
        <v>0</v>
      </c>
      <c r="N19" s="0" t="n">
        <v>0</v>
      </c>
      <c r="O19" s="0" t="n">
        <v>147.377</v>
      </c>
      <c r="P19" s="0" t="n">
        <v>145.617</v>
      </c>
      <c r="Q19" s="0" t="n">
        <v>1167.154</v>
      </c>
      <c r="R19" s="0" t="n">
        <v>1354.097</v>
      </c>
      <c r="S19" s="0" t="n">
        <v>4508.394</v>
      </c>
      <c r="T19" s="0" t="n">
        <v>61997.007</v>
      </c>
      <c r="U19" s="0" t="n">
        <v>32320.952</v>
      </c>
      <c r="V19" s="0" t="n">
        <v>126262.113</v>
      </c>
      <c r="W19" s="0" t="n">
        <v>569.981</v>
      </c>
      <c r="X19" s="0" t="n">
        <v>1429.697</v>
      </c>
      <c r="Y19" s="0" t="n">
        <v>147.377</v>
      </c>
      <c r="Z19" s="0" t="n">
        <v>1554.203</v>
      </c>
      <c r="AA19" s="0" t="n">
        <f aca="false">H19*x_c_F+I19*x_c_CC+J19*x_c_DC+K19*x_c_HCC+L19*x_c_PLT+M19*x_c_SVRn+N19*x_c_SVRcc+O19*x_c_LT+P19*x_c_LT1</f>
        <v>643455658.617062</v>
      </c>
      <c r="AB19" s="0" t="n">
        <f aca="false">C19*x_c_DAA</f>
        <v>0</v>
      </c>
      <c r="AC19" s="0" t="n">
        <f aca="false">C19*x_c_MON</f>
        <v>0</v>
      </c>
      <c r="AD19" s="0" t="n">
        <f aca="false">D19*(1-x_testy)</f>
        <v>0</v>
      </c>
      <c r="AE19" s="0" t="n">
        <f aca="false">E19*(1-x_testy)</f>
        <v>0</v>
      </c>
      <c r="AF19" s="0" t="n">
        <f aca="false">F19*x_NAV</f>
        <v>0</v>
      </c>
      <c r="AG19" s="0" t="n">
        <f aca="false">G19*x_FIX*(1-x_testy)</f>
        <v>0</v>
      </c>
      <c r="AH19" s="0" t="n">
        <f aca="false">x_z_F*U19+(1-x_AGRI)*x_EMP*x_WLOSS*(x_PEN_K74*Q19+x_PEN_C22*R19)</f>
        <v>82725794.6626005</v>
      </c>
      <c r="AI19" s="0" t="n">
        <f aca="false">x_AGRI*x_EMP*x_WLOSS*(x_PEN_K74*Q19+x_PEN_C22*R19)</f>
        <v>1075874.21306096</v>
      </c>
      <c r="AJ19" s="0" t="n">
        <f aca="false">x_EMP*x_WAGE*(x_WLOSS*(Q19+R19)+S19)+U19*x_ABS_D*x_WAGE/365</f>
        <v>561851666.355183</v>
      </c>
      <c r="AK19" s="0" t="n">
        <f aca="false">AJ19*x_R_FUS</f>
        <v>177769867.23478</v>
      </c>
      <c r="AL19" s="0" t="n">
        <f aca="false">AJ19*x_R_NFZ</f>
        <v>43633962.2608099</v>
      </c>
      <c r="AM19" s="0" t="n">
        <f aca="false">AJ19*x_R_PIT</f>
        <v>37354243.8610995</v>
      </c>
      <c r="AN19" s="0" t="n">
        <f aca="false">AJ19*x_R_FP</f>
        <v>14327217.4920572</v>
      </c>
      <c r="AO19" s="0" t="n">
        <f aca="false">AA19+AB19+AC19+AD19+AF19</f>
        <v>643455658.617062</v>
      </c>
      <c r="AP19" s="0" t="n">
        <f aca="false">AO19+AE19+AG19+AH19+AI19+AK19+AL19+AM19+AN19</f>
        <v>1000342618.34147</v>
      </c>
      <c r="AQ19" s="0" t="n">
        <f aca="false">AO19+AE19+AG19+AJ19</f>
        <v>1205307324.97224</v>
      </c>
      <c r="AR19" s="0" t="n">
        <f aca="false">AB19+AC19+AD19+AF19</f>
        <v>0</v>
      </c>
      <c r="AS19" s="0" t="n">
        <f aca="false">AR19+AE19+AG19</f>
        <v>0</v>
      </c>
    </row>
    <row r="20" customFormat="false" ht="15" hidden="false" customHeight="false" outlineLevel="0" collapsed="false">
      <c r="A20" s="0" t="n">
        <v>2043</v>
      </c>
      <c r="B20" s="0" t="n">
        <v>17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55030.089</v>
      </c>
      <c r="I20" s="0" t="n">
        <v>9921.971</v>
      </c>
      <c r="J20" s="0" t="n">
        <v>2712.333</v>
      </c>
      <c r="K20" s="0" t="n">
        <v>4615.277</v>
      </c>
      <c r="L20" s="0" t="n">
        <v>1461.213</v>
      </c>
      <c r="M20" s="0" t="n">
        <v>0</v>
      </c>
      <c r="N20" s="0" t="n">
        <v>0</v>
      </c>
      <c r="O20" s="0" t="n">
        <v>150.557</v>
      </c>
      <c r="P20" s="0" t="n">
        <v>148.967</v>
      </c>
      <c r="Q20" s="0" t="n">
        <v>1240.083</v>
      </c>
      <c r="R20" s="0" t="n">
        <v>1452.743</v>
      </c>
      <c r="S20" s="0" t="n">
        <v>4969.072</v>
      </c>
      <c r="T20" s="0" t="n">
        <v>64952.06</v>
      </c>
      <c r="U20" s="0" t="n">
        <v>35038.55</v>
      </c>
      <c r="V20" s="0" t="n">
        <v>126840.712</v>
      </c>
      <c r="W20" s="0" t="n">
        <v>577.618</v>
      </c>
      <c r="X20" s="0" t="n">
        <v>1446.318</v>
      </c>
      <c r="Y20" s="0" t="n">
        <v>150.557</v>
      </c>
      <c r="Z20" s="0" t="n">
        <v>1582.521</v>
      </c>
      <c r="AA20" s="0" t="n">
        <f aca="false">H20*x_c_F+I20*x_c_CC+J20*x_c_DC+K20*x_c_HCC+L20*x_c_PLT+M20*x_c_SVRn+N20*x_c_SVRcc+O20*x_c_LT+P20*x_c_LT1</f>
        <v>660985071.139154</v>
      </c>
      <c r="AB20" s="0" t="n">
        <f aca="false">C20*x_c_DAA</f>
        <v>0</v>
      </c>
      <c r="AC20" s="0" t="n">
        <f aca="false">C20*x_c_MON</f>
        <v>0</v>
      </c>
      <c r="AD20" s="0" t="n">
        <f aca="false">D20*(1-x_testy)</f>
        <v>0</v>
      </c>
      <c r="AE20" s="0" t="n">
        <f aca="false">E20*(1-x_testy)</f>
        <v>0</v>
      </c>
      <c r="AF20" s="0" t="n">
        <f aca="false">F20*x_NAV</f>
        <v>0</v>
      </c>
      <c r="AG20" s="0" t="n">
        <f aca="false">G20*x_FIX*(1-x_testy)</f>
        <v>0</v>
      </c>
      <c r="AH20" s="0" t="n">
        <f aca="false">x_z_F*U20+(1-x_AGRI)*x_EMP*x_WLOSS*(x_PEN_K74*Q20+x_PEN_C22*R20)</f>
        <v>89425926.3867415</v>
      </c>
      <c r="AI20" s="0" t="n">
        <f aca="false">x_AGRI*x_EMP*x_WLOSS*(x_PEN_K74*Q20+x_PEN_C22*R20)</f>
        <v>1149441.64306985</v>
      </c>
      <c r="AJ20" s="0" t="n">
        <f aca="false">x_EMP*x_WAGE*(x_WLOSS*(Q20+R20)+S20)+U20*x_ABS_D*x_WAGE/365</f>
        <v>614727868.824515</v>
      </c>
      <c r="AK20" s="0" t="n">
        <f aca="false">AJ20*x_R_FUS</f>
        <v>194499897.696076</v>
      </c>
      <c r="AL20" s="0" t="n">
        <f aca="false">AJ20*x_R_NFZ</f>
        <v>47740381.0207806</v>
      </c>
      <c r="AM20" s="0" t="n">
        <f aca="false">AJ20*x_R_PIT</f>
        <v>40869674.4983376</v>
      </c>
      <c r="AN20" s="0" t="n">
        <f aca="false">AJ20*x_R_FP</f>
        <v>15675560.6550251</v>
      </c>
      <c r="AO20" s="0" t="n">
        <f aca="false">AA20+AB20+AC20+AD20+AF20</f>
        <v>660985071.139154</v>
      </c>
      <c r="AP20" s="0" t="n">
        <f aca="false">AO20+AE20+AG20+AH20+AI20+AK20+AL20+AM20+AN20</f>
        <v>1050345953.03919</v>
      </c>
      <c r="AQ20" s="0" t="n">
        <f aca="false">AO20+AE20+AG20+AJ20</f>
        <v>1275712939.96367</v>
      </c>
      <c r="AR20" s="0" t="n">
        <f aca="false">AB20+AC20+AD20+AF20</f>
        <v>0</v>
      </c>
      <c r="AS20" s="0" t="n">
        <f aca="false">AR20+AE20+AG20</f>
        <v>0</v>
      </c>
    </row>
    <row r="21" customFormat="false" ht="15" hidden="false" customHeight="false" outlineLevel="0" collapsed="false">
      <c r="A21" s="0" t="n">
        <v>2044</v>
      </c>
      <c r="B21" s="0" t="n">
        <v>18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57430.455</v>
      </c>
      <c r="I21" s="0" t="n">
        <v>10431.779</v>
      </c>
      <c r="J21" s="0" t="n">
        <v>2765.562</v>
      </c>
      <c r="K21" s="0" t="n">
        <v>4682.669</v>
      </c>
      <c r="L21" s="0" t="n">
        <v>1470.93</v>
      </c>
      <c r="M21" s="0" t="n">
        <v>0</v>
      </c>
      <c r="N21" s="0" t="n">
        <v>0</v>
      </c>
      <c r="O21" s="0" t="n">
        <v>153.379</v>
      </c>
      <c r="P21" s="0" t="n">
        <v>151.968</v>
      </c>
      <c r="Q21" s="0" t="n">
        <v>1318.688</v>
      </c>
      <c r="R21" s="0" t="n">
        <v>1558.289</v>
      </c>
      <c r="S21" s="0" t="n">
        <v>5461.187</v>
      </c>
      <c r="T21" s="0" t="n">
        <v>67862.234</v>
      </c>
      <c r="U21" s="0" t="n">
        <v>37804.951</v>
      </c>
      <c r="V21" s="0" t="n">
        <v>127428.75</v>
      </c>
      <c r="W21" s="0" t="n">
        <v>584.105</v>
      </c>
      <c r="X21" s="0" t="n">
        <v>1460.523</v>
      </c>
      <c r="Y21" s="0" t="n">
        <v>153.379</v>
      </c>
      <c r="Z21" s="0" t="n">
        <v>1607.308</v>
      </c>
      <c r="AA21" s="0" t="n">
        <f aca="false">H21*x_c_F+I21*x_c_CC+J21*x_c_DC+K21*x_c_HCC+L21*x_c_PLT+M21*x_c_SVRn+N21*x_c_SVRcc+O21*x_c_LT+P21*x_c_LT1</f>
        <v>677469752.406429</v>
      </c>
      <c r="AB21" s="0" t="n">
        <f aca="false">C21*x_c_DAA</f>
        <v>0</v>
      </c>
      <c r="AC21" s="0" t="n">
        <f aca="false">C21*x_c_MON</f>
        <v>0</v>
      </c>
      <c r="AD21" s="0" t="n">
        <f aca="false">D21*(1-x_testy)</f>
        <v>0</v>
      </c>
      <c r="AE21" s="0" t="n">
        <f aca="false">E21*(1-x_testy)</f>
        <v>0</v>
      </c>
      <c r="AF21" s="0" t="n">
        <f aca="false">F21*x_NAV</f>
        <v>0</v>
      </c>
      <c r="AG21" s="0" t="n">
        <f aca="false">G21*x_FIX*(1-x_testy)</f>
        <v>0</v>
      </c>
      <c r="AH21" s="0" t="n">
        <f aca="false">x_z_F*U21+(1-x_AGRI)*x_EMP*x_WLOSS*(x_PEN_K74*Q21+x_PEN_C22*R21)</f>
        <v>96307701.5270118</v>
      </c>
      <c r="AI21" s="0" t="n">
        <f aca="false">x_AGRI*x_EMP*x_WLOSS*(x_PEN_K74*Q21+x_PEN_C22*R21)</f>
        <v>1228383.44232188</v>
      </c>
      <c r="AJ21" s="0" t="n">
        <f aca="false">x_EMP*x_WAGE*(x_WLOSS*(Q21+R21)+S21)+U21*x_ABS_D*x_WAGE/365</f>
        <v>670839390.46724</v>
      </c>
      <c r="AK21" s="0" t="n">
        <f aca="false">AJ21*x_R_FUS</f>
        <v>212253583.143835</v>
      </c>
      <c r="AL21" s="0" t="n">
        <f aca="false">AJ21*x_R_NFZ</f>
        <v>52098057.9030763</v>
      </c>
      <c r="AM21" s="0" t="n">
        <f aca="false">AJ21*x_R_PIT</f>
        <v>44600202.6579439</v>
      </c>
      <c r="AN21" s="0" t="n">
        <f aca="false">AJ21*x_R_FP</f>
        <v>17106404.4569146</v>
      </c>
      <c r="AO21" s="0" t="n">
        <f aca="false">AA21+AB21+AC21+AD21+AF21</f>
        <v>677469752.406429</v>
      </c>
      <c r="AP21" s="0" t="n">
        <f aca="false">AO21+AE21+AG21+AH21+AI21+AK21+AL21+AM21+AN21</f>
        <v>1101064085.53753</v>
      </c>
      <c r="AQ21" s="0" t="n">
        <f aca="false">AO21+AE21+AG21+AJ21</f>
        <v>1348309142.87367</v>
      </c>
      <c r="AR21" s="0" t="n">
        <f aca="false">AB21+AC21+AD21+AF21</f>
        <v>0</v>
      </c>
      <c r="AS21" s="0" t="n">
        <f aca="false">AR21+AE21+AG21</f>
        <v>0</v>
      </c>
    </row>
    <row r="22" customFormat="false" ht="15" hidden="false" customHeight="false" outlineLevel="0" collapsed="false">
      <c r="A22" s="0" t="n">
        <v>2045</v>
      </c>
      <c r="B22" s="0" t="n">
        <v>19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59812.461</v>
      </c>
      <c r="I22" s="0" t="n">
        <v>10923.793</v>
      </c>
      <c r="J22" s="0" t="n">
        <v>2812.973</v>
      </c>
      <c r="K22" s="0" t="n">
        <v>4741.394</v>
      </c>
      <c r="L22" s="0" t="n">
        <v>1480.838</v>
      </c>
      <c r="M22" s="0" t="n">
        <v>0</v>
      </c>
      <c r="N22" s="0" t="n">
        <v>0</v>
      </c>
      <c r="O22" s="0" t="n">
        <v>155.9</v>
      </c>
      <c r="P22" s="0" t="n">
        <v>154.64</v>
      </c>
      <c r="Q22" s="0" t="n">
        <v>1403.278</v>
      </c>
      <c r="R22" s="0" t="n">
        <v>1670.995</v>
      </c>
      <c r="S22" s="0" t="n">
        <v>5986.708</v>
      </c>
      <c r="T22" s="0" t="n">
        <v>70736.255</v>
      </c>
      <c r="U22" s="0" t="n">
        <v>40613.808</v>
      </c>
      <c r="V22" s="0" t="n">
        <v>128035.698</v>
      </c>
      <c r="W22" s="0" t="n">
        <v>589.769</v>
      </c>
      <c r="X22" s="0" t="n">
        <v>1473.098</v>
      </c>
      <c r="Y22" s="0" t="n">
        <v>155.9</v>
      </c>
      <c r="Z22" s="0" t="n">
        <v>1629.275</v>
      </c>
      <c r="AA22" s="0" t="n">
        <f aca="false">H22*x_c_F+I22*x_c_CC+J22*x_c_DC+K22*x_c_HCC+L22*x_c_PLT+M22*x_c_SVRn+N22*x_c_SVRcc+O22*x_c_LT+P22*x_c_LT1</f>
        <v>693040881.864281</v>
      </c>
      <c r="AB22" s="0" t="n">
        <f aca="false">C22*x_c_DAA</f>
        <v>0</v>
      </c>
      <c r="AC22" s="0" t="n">
        <f aca="false">C22*x_c_MON</f>
        <v>0</v>
      </c>
      <c r="AD22" s="0" t="n">
        <f aca="false">D22*(1-x_testy)</f>
        <v>0</v>
      </c>
      <c r="AE22" s="0" t="n">
        <f aca="false">E22*(1-x_testy)</f>
        <v>0</v>
      </c>
      <c r="AF22" s="0" t="n">
        <f aca="false">F22*x_NAV</f>
        <v>0</v>
      </c>
      <c r="AG22" s="0" t="n">
        <f aca="false">G22*x_FIX*(1-x_testy)</f>
        <v>0</v>
      </c>
      <c r="AH22" s="0" t="n">
        <f aca="false">x_z_F*U22+(1-x_AGRI)*x_EMP*x_WLOSS*(x_PEN_K74*Q22+x_PEN_C22*R22)</f>
        <v>103361707.222815</v>
      </c>
      <c r="AI22" s="0" t="n">
        <f aca="false">x_AGRI*x_EMP*x_WLOSS*(x_PEN_K74*Q22+x_PEN_C22*R22)</f>
        <v>1312939.94203063</v>
      </c>
      <c r="AJ22" s="0" t="n">
        <f aca="false">x_EMP*x_WAGE*(x_WLOSS*(Q22+R22)+S22)+U22*x_ABS_D*x_WAGE/365</f>
        <v>730354089.758898</v>
      </c>
      <c r="AK22" s="0" t="n">
        <f aca="false">AJ22*x_R_FUS</f>
        <v>231084033.999715</v>
      </c>
      <c r="AL22" s="0" t="n">
        <f aca="false">AJ22*x_R_NFZ</f>
        <v>56720028.9647658</v>
      </c>
      <c r="AM22" s="0" t="n">
        <f aca="false">AJ22*x_R_PIT</f>
        <v>48556988.2719875</v>
      </c>
      <c r="AN22" s="0" t="n">
        <f aca="false">AJ22*x_R_FP</f>
        <v>18624029.2888519</v>
      </c>
      <c r="AO22" s="0" t="n">
        <f aca="false">AA22+AB22+AC22+AD22+AF22</f>
        <v>693040881.864281</v>
      </c>
      <c r="AP22" s="0" t="n">
        <f aca="false">AO22+AE22+AG22+AH22+AI22+AK22+AL22+AM22+AN22</f>
        <v>1152700609.55445</v>
      </c>
      <c r="AQ22" s="0" t="n">
        <f aca="false">AO22+AE22+AG22+AJ22</f>
        <v>1423394971.62318</v>
      </c>
      <c r="AR22" s="0" t="n">
        <f aca="false">AB22+AC22+AD22+AF22</f>
        <v>0</v>
      </c>
      <c r="AS22" s="0" t="n">
        <f aca="false">AR22+AE22+AG22</f>
        <v>0</v>
      </c>
    </row>
    <row r="23" customFormat="false" ht="15" hidden="false" customHeight="false" outlineLevel="0" collapsed="false">
      <c r="A23" s="0" t="n">
        <v>2046</v>
      </c>
      <c r="B23" s="0" t="n">
        <v>20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62183.944</v>
      </c>
      <c r="I23" s="0" t="n">
        <v>11402.2</v>
      </c>
      <c r="J23" s="0" t="n">
        <v>2855.608</v>
      </c>
      <c r="K23" s="0" t="n">
        <v>4793.665</v>
      </c>
      <c r="L23" s="0" t="n">
        <v>1491.059</v>
      </c>
      <c r="M23" s="0" t="n">
        <v>0</v>
      </c>
      <c r="N23" s="0" t="n">
        <v>0</v>
      </c>
      <c r="O23" s="0" t="n">
        <v>158.176</v>
      </c>
      <c r="P23" s="0" t="n">
        <v>157.038</v>
      </c>
      <c r="Q23" s="0" t="n">
        <v>1494.12</v>
      </c>
      <c r="R23" s="0" t="n">
        <v>1791.014</v>
      </c>
      <c r="S23" s="0" t="n">
        <v>6547.575</v>
      </c>
      <c r="T23" s="0" t="n">
        <v>73586.144</v>
      </c>
      <c r="U23" s="0" t="n">
        <v>43458.897</v>
      </c>
      <c r="V23" s="0" t="n">
        <v>128675.836</v>
      </c>
      <c r="W23" s="0" t="n">
        <v>594.891</v>
      </c>
      <c r="X23" s="0" t="n">
        <v>1484.694</v>
      </c>
      <c r="Y23" s="0" t="n">
        <v>158.176</v>
      </c>
      <c r="Z23" s="0" t="n">
        <v>1649.058</v>
      </c>
      <c r="AA23" s="0" t="n">
        <f aca="false">H23*x_c_F+I23*x_c_CC+J23*x_c_DC+K23*x_c_HCC+L23*x_c_PLT+M23*x_c_SVRn+N23*x_c_SVRcc+O23*x_c_LT+P23*x_c_LT1</f>
        <v>707928000.936567</v>
      </c>
      <c r="AB23" s="0" t="n">
        <f aca="false">C23*x_c_DAA</f>
        <v>0</v>
      </c>
      <c r="AC23" s="0" t="n">
        <f aca="false">C23*x_c_MON</f>
        <v>0</v>
      </c>
      <c r="AD23" s="0" t="n">
        <f aca="false">D23*(1-x_testy)</f>
        <v>0</v>
      </c>
      <c r="AE23" s="0" t="n">
        <f aca="false">E23*(1-x_testy)</f>
        <v>0</v>
      </c>
      <c r="AF23" s="0" t="n">
        <f aca="false">F23*x_NAV</f>
        <v>0</v>
      </c>
      <c r="AG23" s="0" t="n">
        <f aca="false">G23*x_FIX*(1-x_testy)</f>
        <v>0</v>
      </c>
      <c r="AH23" s="0" t="n">
        <f aca="false">x_z_F*U23+(1-x_AGRI)*x_EMP*x_WLOSS*(x_PEN_K74*Q23+x_PEN_C22*R23)</f>
        <v>110577799.418202</v>
      </c>
      <c r="AI23" s="0" t="n">
        <f aca="false">x_AGRI*x_EMP*x_WLOSS*(x_PEN_K74*Q23+x_PEN_C22*R23)</f>
        <v>1403286.4281477</v>
      </c>
      <c r="AJ23" s="0" t="n">
        <f aca="false">x_EMP*x_WAGE*(x_WLOSS*(Q23+R23)+S23)+U23*x_ABS_D*x_WAGE/365</f>
        <v>793432836.926715</v>
      </c>
      <c r="AK23" s="0" t="n">
        <f aca="false">AJ23*x_R_FUS</f>
        <v>251042149.603613</v>
      </c>
      <c r="AL23" s="0" t="n">
        <f aca="false">AJ23*x_R_NFZ</f>
        <v>61618787.5485656</v>
      </c>
      <c r="AM23" s="0" t="n">
        <f aca="false">AJ23*x_R_PIT</f>
        <v>52750726.6646218</v>
      </c>
      <c r="AN23" s="0" t="n">
        <f aca="false">AJ23*x_R_FP</f>
        <v>20232537.3416312</v>
      </c>
      <c r="AO23" s="0" t="n">
        <f aca="false">AA23+AB23+AC23+AD23+AF23</f>
        <v>707928000.936567</v>
      </c>
      <c r="AP23" s="0" t="n">
        <f aca="false">AO23+AE23+AG23+AH23+AI23+AK23+AL23+AM23+AN23</f>
        <v>1205553287.94135</v>
      </c>
      <c r="AQ23" s="0" t="n">
        <f aca="false">AO23+AE23+AG23+AJ23</f>
        <v>1501360837.86328</v>
      </c>
      <c r="AR23" s="0" t="n">
        <f aca="false">AB23+AC23+AD23+AF23</f>
        <v>0</v>
      </c>
      <c r="AS23" s="0" t="n">
        <f aca="false">AR23+AE23+AG23</f>
        <v>0</v>
      </c>
    </row>
    <row r="24" customFormat="false" ht="15" hidden="false" customHeight="false" outlineLevel="0" collapsed="false">
      <c r="A24" s="0" t="n">
        <v>2047</v>
      </c>
      <c r="B24" s="0" t="n">
        <v>21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64550.459</v>
      </c>
      <c r="I24" s="0" t="n">
        <v>11871.311</v>
      </c>
      <c r="J24" s="0" t="n">
        <v>2894.512</v>
      </c>
      <c r="K24" s="0" t="n">
        <v>4841.535</v>
      </c>
      <c r="L24" s="0" t="n">
        <v>1501.695</v>
      </c>
      <c r="M24" s="0" t="n">
        <v>0</v>
      </c>
      <c r="N24" s="0" t="n">
        <v>0</v>
      </c>
      <c r="O24" s="0" t="n">
        <v>160.266</v>
      </c>
      <c r="P24" s="0" t="n">
        <v>159.221</v>
      </c>
      <c r="Q24" s="0" t="n">
        <v>1591.437</v>
      </c>
      <c r="R24" s="0" t="n">
        <v>1918.398</v>
      </c>
      <c r="S24" s="0" t="n">
        <v>7145.7</v>
      </c>
      <c r="T24" s="0" t="n">
        <v>76421.77</v>
      </c>
      <c r="U24" s="0" t="n">
        <v>46334.205</v>
      </c>
      <c r="V24" s="0" t="n">
        <v>129357.92</v>
      </c>
      <c r="W24" s="0" t="n">
        <v>599.732</v>
      </c>
      <c r="X24" s="0" t="n">
        <v>1495.914</v>
      </c>
      <c r="Y24" s="0" t="n">
        <v>160.266</v>
      </c>
      <c r="Z24" s="0" t="n">
        <v>1667.322</v>
      </c>
      <c r="AA24" s="0" t="n">
        <f aca="false">H24*x_c_F+I24*x_c_CC+J24*x_c_DC+K24*x_c_HCC+L24*x_c_PLT+M24*x_c_SVRn+N24*x_c_SVRcc+O24*x_c_LT+P24*x_c_LT1</f>
        <v>722345143.558649</v>
      </c>
      <c r="AB24" s="0" t="n">
        <f aca="false">C24*x_c_DAA</f>
        <v>0</v>
      </c>
      <c r="AC24" s="0" t="n">
        <f aca="false">C24*x_c_MON</f>
        <v>0</v>
      </c>
      <c r="AD24" s="0" t="n">
        <f aca="false">D24*(1-x_testy)</f>
        <v>0</v>
      </c>
      <c r="AE24" s="0" t="n">
        <f aca="false">E24*(1-x_testy)</f>
        <v>0</v>
      </c>
      <c r="AF24" s="0" t="n">
        <f aca="false">F24*x_NAV</f>
        <v>0</v>
      </c>
      <c r="AG24" s="0" t="n">
        <f aca="false">G24*x_FIX*(1-x_testy)</f>
        <v>0</v>
      </c>
      <c r="AH24" s="0" t="n">
        <f aca="false">x_z_F*U24+(1-x_AGRI)*x_EMP*x_WLOSS*(x_PEN_K74*Q24+x_PEN_C22*R24)</f>
        <v>117945312.766909</v>
      </c>
      <c r="AI24" s="0" t="n">
        <f aca="false">x_AGRI*x_EMP*x_WLOSS*(x_PEN_K74*Q24+x_PEN_C22*R24)</f>
        <v>1499535.05723259</v>
      </c>
      <c r="AJ24" s="0" t="n">
        <f aca="false">x_EMP*x_WAGE*(x_WLOSS*(Q24+R24)+S24)+U24*x_ABS_D*x_WAGE/365</f>
        <v>860229988.626996</v>
      </c>
      <c r="AK24" s="0" t="n">
        <f aca="false">AJ24*x_R_FUS</f>
        <v>272176768.401581</v>
      </c>
      <c r="AL24" s="0" t="n">
        <f aca="false">AJ24*x_R_NFZ</f>
        <v>66806321.1467611</v>
      </c>
      <c r="AM24" s="0" t="n">
        <f aca="false">AJ24*x_R_PIT</f>
        <v>57191680.1106186</v>
      </c>
      <c r="AN24" s="0" t="n">
        <f aca="false">AJ24*x_R_FP</f>
        <v>21935864.7099884</v>
      </c>
      <c r="AO24" s="0" t="n">
        <f aca="false">AA24+AB24+AC24+AD24+AF24</f>
        <v>722345143.558649</v>
      </c>
      <c r="AP24" s="0" t="n">
        <f aca="false">AO24+AE24+AG24+AH24+AI24+AK24+AL24+AM24+AN24</f>
        <v>1259900625.75174</v>
      </c>
      <c r="AQ24" s="0" t="n">
        <f aca="false">AO24+AE24+AG24+AJ24</f>
        <v>1582575132.18564</v>
      </c>
      <c r="AR24" s="0" t="n">
        <f aca="false">AB24+AC24+AD24+AF24</f>
        <v>0</v>
      </c>
      <c r="AS24" s="0" t="n">
        <f aca="false">AR24+AE24+AG24</f>
        <v>0</v>
      </c>
    </row>
    <row r="25" customFormat="false" ht="15" hidden="false" customHeight="false" outlineLevel="0" collapsed="false">
      <c r="A25" s="0" t="n">
        <v>2048</v>
      </c>
      <c r="B25" s="0" t="n">
        <v>22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66915.938</v>
      </c>
      <c r="I25" s="0" t="n">
        <v>12335.581</v>
      </c>
      <c r="J25" s="0" t="n">
        <v>2930.743</v>
      </c>
      <c r="K25" s="0" t="n">
        <v>4886.934</v>
      </c>
      <c r="L25" s="0" t="n">
        <v>1512.866</v>
      </c>
      <c r="M25" s="0" t="n">
        <v>0</v>
      </c>
      <c r="N25" s="0" t="n">
        <v>0</v>
      </c>
      <c r="O25" s="0" t="n">
        <v>162.228</v>
      </c>
      <c r="P25" s="0" t="n">
        <v>161.247</v>
      </c>
      <c r="Q25" s="0" t="n">
        <v>1695.403</v>
      </c>
      <c r="R25" s="0" t="n">
        <v>2053.099</v>
      </c>
      <c r="S25" s="0" t="n">
        <v>7782.954</v>
      </c>
      <c r="T25" s="0" t="n">
        <v>79251.518</v>
      </c>
      <c r="U25" s="0" t="n">
        <v>49233.935</v>
      </c>
      <c r="V25" s="0" t="n">
        <v>130087.365</v>
      </c>
      <c r="W25" s="0" t="n">
        <v>604.518</v>
      </c>
      <c r="X25" s="0" t="n">
        <v>1507.265</v>
      </c>
      <c r="Y25" s="0" t="n">
        <v>162.228</v>
      </c>
      <c r="Z25" s="0" t="n">
        <v>1684.679</v>
      </c>
      <c r="AA25" s="0" t="n">
        <f aca="false">H25*x_c_F+I25*x_c_CC+J25*x_c_DC+K25*x_c_HCC+L25*x_c_PLT+M25*x_c_SVRn+N25*x_c_SVRcc+O25*x_c_LT+P25*x_c_LT1</f>
        <v>736495001.453274</v>
      </c>
      <c r="AB25" s="0" t="n">
        <f aca="false">C25*x_c_DAA</f>
        <v>0</v>
      </c>
      <c r="AC25" s="0" t="n">
        <f aca="false">C25*x_c_MON</f>
        <v>0</v>
      </c>
      <c r="AD25" s="0" t="n">
        <f aca="false">D25*(1-x_testy)</f>
        <v>0</v>
      </c>
      <c r="AE25" s="0" t="n">
        <f aca="false">E25*(1-x_testy)</f>
        <v>0</v>
      </c>
      <c r="AF25" s="0" t="n">
        <f aca="false">F25*x_NAV</f>
        <v>0</v>
      </c>
      <c r="AG25" s="0" t="n">
        <f aca="false">G25*x_FIX*(1-x_testy)</f>
        <v>0</v>
      </c>
      <c r="AH25" s="0" t="n">
        <f aca="false">x_z_F*U25+(1-x_AGRI)*x_EMP*x_WLOSS*(x_PEN_K74*Q25+x_PEN_C22*R25)</f>
        <v>125453047.672582</v>
      </c>
      <c r="AI25" s="0" t="n">
        <f aca="false">x_AGRI*x_EMP*x_WLOSS*(x_PEN_K74*Q25+x_PEN_C22*R25)</f>
        <v>1601733.32037885</v>
      </c>
      <c r="AJ25" s="0" t="n">
        <f aca="false">x_EMP*x_WAGE*(x_WLOSS*(Q25+R25)+S25)+U25*x_ABS_D*x_WAGE/365</f>
        <v>930892163.319714</v>
      </c>
      <c r="AK25" s="0" t="n">
        <f aca="false">AJ25*x_R_FUS</f>
        <v>294534280.474358</v>
      </c>
      <c r="AL25" s="0" t="n">
        <f aca="false">AJ25*x_R_NFZ</f>
        <v>72294016.2955723</v>
      </c>
      <c r="AM25" s="0" t="n">
        <f aca="false">AJ25*x_R_PIT</f>
        <v>61889596.4171599</v>
      </c>
      <c r="AN25" s="0" t="n">
        <f aca="false">AJ25*x_R_FP</f>
        <v>23737750.1646527</v>
      </c>
      <c r="AO25" s="0" t="n">
        <f aca="false">AA25+AB25+AC25+AD25+AF25</f>
        <v>736495001.453274</v>
      </c>
      <c r="AP25" s="0" t="n">
        <f aca="false">AO25+AE25+AG25+AH25+AI25+AK25+AL25+AM25+AN25</f>
        <v>1316005425.79798</v>
      </c>
      <c r="AQ25" s="0" t="n">
        <f aca="false">AO25+AE25+AG25+AJ25</f>
        <v>1667387164.77299</v>
      </c>
      <c r="AR25" s="0" t="n">
        <f aca="false">AB25+AC25+AD25+AF25</f>
        <v>0</v>
      </c>
      <c r="AS25" s="0" t="n">
        <f aca="false">AR25+AE25+AG25</f>
        <v>0</v>
      </c>
    </row>
    <row r="26" customFormat="false" ht="15" hidden="false" customHeight="false" outlineLevel="0" collapsed="false">
      <c r="A26" s="0" t="n">
        <v>2049</v>
      </c>
      <c r="B26" s="0" t="n">
        <v>23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69281.951</v>
      </c>
      <c r="I26" s="0" t="n">
        <v>12798.825</v>
      </c>
      <c r="J26" s="0" t="n">
        <v>2965.202</v>
      </c>
      <c r="K26" s="0" t="n">
        <v>4931.41</v>
      </c>
      <c r="L26" s="0" t="n">
        <v>1524.635</v>
      </c>
      <c r="M26" s="0" t="n">
        <v>0</v>
      </c>
      <c r="N26" s="0" t="n">
        <v>0</v>
      </c>
      <c r="O26" s="0" t="n">
        <v>164.105</v>
      </c>
      <c r="P26" s="0" t="n">
        <v>163.166</v>
      </c>
      <c r="Q26" s="0" t="n">
        <v>1806.137</v>
      </c>
      <c r="R26" s="0" t="n">
        <v>2194.975</v>
      </c>
      <c r="S26" s="0" t="n">
        <v>8461.144</v>
      </c>
      <c r="T26" s="0" t="n">
        <v>82080.776</v>
      </c>
      <c r="U26" s="0" t="n">
        <v>52152.512</v>
      </c>
      <c r="V26" s="0" t="n">
        <v>130864.531</v>
      </c>
      <c r="W26" s="0" t="n">
        <v>609.403</v>
      </c>
      <c r="X26" s="0" t="n">
        <v>1519.079</v>
      </c>
      <c r="Y26" s="0" t="n">
        <v>164.105</v>
      </c>
      <c r="Z26" s="0" t="n">
        <v>1701.575</v>
      </c>
      <c r="AA26" s="0" t="n">
        <f aca="false">H26*x_c_F+I26*x_c_CC+J26*x_c_DC+K26*x_c_HCC+L26*x_c_PLT+M26*x_c_SVRn+N26*x_c_SVRcc+O26*x_c_LT+P26*x_c_LT1</f>
        <v>750535617.543443</v>
      </c>
      <c r="AB26" s="0" t="n">
        <f aca="false">C26*x_c_DAA</f>
        <v>0</v>
      </c>
      <c r="AC26" s="0" t="n">
        <f aca="false">C26*x_c_MON</f>
        <v>0</v>
      </c>
      <c r="AD26" s="0" t="n">
        <f aca="false">D26*(1-x_testy)</f>
        <v>0</v>
      </c>
      <c r="AE26" s="0" t="n">
        <f aca="false">E26*(1-x_testy)</f>
        <v>0</v>
      </c>
      <c r="AF26" s="0" t="n">
        <f aca="false">F26*x_NAV</f>
        <v>0</v>
      </c>
      <c r="AG26" s="0" t="n">
        <f aca="false">G26*x_FIX*(1-x_testy)</f>
        <v>0</v>
      </c>
      <c r="AH26" s="0" t="n">
        <f aca="false">x_z_F*U26+(1-x_AGRI)*x_EMP*x_WLOSS*(x_PEN_K74*Q26+x_PEN_C22*R26)</f>
        <v>133089287.549308</v>
      </c>
      <c r="AI26" s="0" t="n">
        <f aca="false">x_AGRI*x_EMP*x_WLOSS*(x_PEN_K74*Q26+x_PEN_C22*R26)</f>
        <v>1709864.36875344</v>
      </c>
      <c r="AJ26" s="0" t="n">
        <f aca="false">x_EMP*x_WAGE*(x_WLOSS*(Q26+R26)+S26)+U26*x_ABS_D*x_WAGE/365</f>
        <v>1005556297.90161</v>
      </c>
      <c r="AK26" s="0" t="n">
        <f aca="false">AJ26*x_R_FUS</f>
        <v>318158012.65607</v>
      </c>
      <c r="AL26" s="0" t="n">
        <f aca="false">AJ26*x_R_NFZ</f>
        <v>78092507.651337</v>
      </c>
      <c r="AM26" s="0" t="n">
        <f aca="false">AJ26*x_R_PIT</f>
        <v>66853579.7206944</v>
      </c>
      <c r="AN26" s="0" t="n">
        <f aca="false">AJ26*x_R_FP</f>
        <v>25641685.5964911</v>
      </c>
      <c r="AO26" s="0" t="n">
        <f aca="false">AA26+AB26+AC26+AD26+AF26</f>
        <v>750535617.543443</v>
      </c>
      <c r="AP26" s="0" t="n">
        <f aca="false">AO26+AE26+AG26+AH26+AI26+AK26+AL26+AM26+AN26</f>
        <v>1374080555.0861</v>
      </c>
      <c r="AQ26" s="0" t="n">
        <f aca="false">AO26+AE26+AG26+AJ26</f>
        <v>1756091915.44505</v>
      </c>
      <c r="AR26" s="0" t="n">
        <f aca="false">AB26+AC26+AD26+AF26</f>
        <v>0</v>
      </c>
      <c r="AS26" s="0" t="n">
        <f aca="false">AR26+AE26+AG26</f>
        <v>0</v>
      </c>
    </row>
    <row r="27" customFormat="false" ht="15" hidden="false" customHeight="false" outlineLevel="0" collapsed="false">
      <c r="A27" s="0" t="n">
        <v>2050</v>
      </c>
      <c r="B27" s="0" t="n">
        <v>24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71648.214</v>
      </c>
      <c r="I27" s="0" t="n">
        <v>13264.19</v>
      </c>
      <c r="J27" s="0" t="n">
        <v>2998.63</v>
      </c>
      <c r="K27" s="0" t="n">
        <v>4976.159</v>
      </c>
      <c r="L27" s="0" t="n">
        <v>1537.021</v>
      </c>
      <c r="M27" s="0" t="n">
        <v>0</v>
      </c>
      <c r="N27" s="0" t="n">
        <v>0</v>
      </c>
      <c r="O27" s="0" t="n">
        <v>165.939</v>
      </c>
      <c r="P27" s="0" t="n">
        <v>165.022</v>
      </c>
      <c r="Q27" s="0" t="n">
        <v>1923.668</v>
      </c>
      <c r="R27" s="0" t="n">
        <v>2343.756</v>
      </c>
      <c r="S27" s="0" t="n">
        <v>9181.8</v>
      </c>
      <c r="T27" s="0" t="n">
        <v>84912.404</v>
      </c>
      <c r="U27" s="0" t="n">
        <v>55084.35</v>
      </c>
      <c r="V27" s="0" t="n">
        <v>131686.202</v>
      </c>
      <c r="W27" s="0" t="n">
        <v>614.511</v>
      </c>
      <c r="X27" s="0" t="n">
        <v>1531.617</v>
      </c>
      <c r="Y27" s="0" t="n">
        <v>165.939</v>
      </c>
      <c r="Z27" s="0" t="n">
        <v>1718.415</v>
      </c>
      <c r="AA27" s="0" t="n">
        <f aca="false">H27*x_c_F+I27*x_c_CC+J27*x_c_DC+K27*x_c_HCC+L27*x_c_PLT+M27*x_c_SVRn+N27*x_c_SVRcc+O27*x_c_LT+P27*x_c_LT1</f>
        <v>764588878.105673</v>
      </c>
      <c r="AB27" s="0" t="n">
        <f aca="false">C27*x_c_DAA</f>
        <v>0</v>
      </c>
      <c r="AC27" s="0" t="n">
        <f aca="false">C27*x_c_MON</f>
        <v>0</v>
      </c>
      <c r="AD27" s="0" t="n">
        <f aca="false">D27*(1-x_testy)</f>
        <v>0</v>
      </c>
      <c r="AE27" s="0" t="n">
        <f aca="false">E27*(1-x_testy)</f>
        <v>0</v>
      </c>
      <c r="AF27" s="0" t="n">
        <f aca="false">F27*x_NAV</f>
        <v>0</v>
      </c>
      <c r="AG27" s="0" t="n">
        <f aca="false">G27*x_FIX*(1-x_testy)</f>
        <v>0</v>
      </c>
      <c r="AH27" s="0" t="n">
        <f aca="false">x_z_F*U27+(1-x_AGRI)*x_EMP*x_WLOSS*(x_PEN_K74*Q27+x_PEN_C22*R27)</f>
        <v>140840876.848731</v>
      </c>
      <c r="AI27" s="0" t="n">
        <f aca="false">x_AGRI*x_EMP*x_WLOSS*(x_PEN_K74*Q27+x_PEN_C22*R27)</f>
        <v>1823817.73567329</v>
      </c>
      <c r="AJ27" s="0" t="n">
        <f aca="false">x_EMP*x_WAGE*(x_WLOSS*(Q27+R27)+S27)+U27*x_ABS_D*x_WAGE/365</f>
        <v>1084328544.33468</v>
      </c>
      <c r="AK27" s="0" t="n">
        <f aca="false">AJ27*x_R_FUS</f>
        <v>343081551.427492</v>
      </c>
      <c r="AL27" s="0" t="n">
        <f aca="false">AJ27*x_R_NFZ</f>
        <v>84210039.0815753</v>
      </c>
      <c r="AM27" s="0" t="n">
        <f aca="false">AJ27*x_R_PIT</f>
        <v>72090687.4467169</v>
      </c>
      <c r="AN27" s="0" t="n">
        <f aca="false">AJ27*x_R_FP</f>
        <v>27650377.8805342</v>
      </c>
      <c r="AO27" s="0" t="n">
        <f aca="false">AA27+AB27+AC27+AD27+AF27</f>
        <v>764588878.105673</v>
      </c>
      <c r="AP27" s="0" t="n">
        <f aca="false">AO27+AE27+AG27+AH27+AI27+AK27+AL27+AM27+AN27</f>
        <v>1434286228.52639</v>
      </c>
      <c r="AQ27" s="0" t="n">
        <f aca="false">AO27+AE27+AG27+AJ27</f>
        <v>1848917422.44035</v>
      </c>
      <c r="AR27" s="0" t="n">
        <f aca="false">AB27+AC27+AD27+AF27</f>
        <v>0</v>
      </c>
      <c r="AS27" s="0" t="n">
        <f aca="false">AR27+AE27+AG27</f>
        <v>0</v>
      </c>
    </row>
    <row r="28" customFormat="false" ht="15" hidden="false" customHeight="false" outlineLevel="0" collapsed="false">
      <c r="A28" s="0" t="n">
        <v>2051</v>
      </c>
      <c r="B28" s="0" t="n">
        <v>25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74012.853</v>
      </c>
      <c r="I28" s="0" t="n">
        <v>13733.966</v>
      </c>
      <c r="J28" s="0" t="n">
        <v>3031.581</v>
      </c>
      <c r="K28" s="0" t="n">
        <v>5021.999</v>
      </c>
      <c r="L28" s="0" t="n">
        <v>1549.979</v>
      </c>
      <c r="M28" s="0" t="n">
        <v>0</v>
      </c>
      <c r="N28" s="0" t="n">
        <v>0</v>
      </c>
      <c r="O28" s="0" t="n">
        <v>167.751</v>
      </c>
      <c r="P28" s="0" t="n">
        <v>166.845</v>
      </c>
      <c r="Q28" s="0" t="n">
        <v>2047.943</v>
      </c>
      <c r="R28" s="0" t="n">
        <v>2499.066</v>
      </c>
      <c r="S28" s="0" t="n">
        <v>9946.207</v>
      </c>
      <c r="T28" s="0" t="n">
        <v>87746.819</v>
      </c>
      <c r="U28" s="0" t="n">
        <v>58023.921</v>
      </c>
      <c r="V28" s="0" t="n">
        <v>132546.302</v>
      </c>
      <c r="W28" s="0" t="n">
        <v>619.895</v>
      </c>
      <c r="X28" s="0" t="n">
        <v>1544.97</v>
      </c>
      <c r="Y28" s="0" t="n">
        <v>167.751</v>
      </c>
      <c r="Z28" s="0" t="n">
        <v>1735.403</v>
      </c>
      <c r="AA28" s="0" t="n">
        <f aca="false">H28*x_c_F+I28*x_c_CC+J28*x_c_DC+K28*x_c_HCC+L28*x_c_PLT+M28*x_c_SVRn+N28*x_c_SVRcc+O28*x_c_LT+P28*x_c_LT1</f>
        <v>778730275.676116</v>
      </c>
      <c r="AB28" s="0" t="n">
        <f aca="false">C28*x_c_DAA</f>
        <v>0</v>
      </c>
      <c r="AC28" s="0" t="n">
        <f aca="false">C28*x_c_MON</f>
        <v>0</v>
      </c>
      <c r="AD28" s="0" t="n">
        <f aca="false">D28*(1-x_testy)</f>
        <v>0</v>
      </c>
      <c r="AE28" s="0" t="n">
        <f aca="false">E28*(1-x_testy)</f>
        <v>0</v>
      </c>
      <c r="AF28" s="0" t="n">
        <f aca="false">F28*x_NAV</f>
        <v>0</v>
      </c>
      <c r="AG28" s="0" t="n">
        <f aca="false">G28*x_FIX*(1-x_testy)</f>
        <v>0</v>
      </c>
      <c r="AH28" s="0" t="n">
        <f aca="false">x_z_F*U28+(1-x_AGRI)*x_EMP*x_WLOSS*(x_PEN_K74*Q28+x_PEN_C22*R28)</f>
        <v>148693561.427492</v>
      </c>
      <c r="AI28" s="0" t="n">
        <f aca="false">x_AGRI*x_EMP*x_WLOSS*(x_PEN_K74*Q28+x_PEN_C22*R28)</f>
        <v>1943402.45772809</v>
      </c>
      <c r="AJ28" s="0" t="n">
        <f aca="false">x_EMP*x_WAGE*(x_WLOSS*(Q28+R28)+S28)+U28*x_ABS_D*x_WAGE/365</f>
        <v>1167288182.60727</v>
      </c>
      <c r="AK28" s="0" t="n">
        <f aca="false">AJ28*x_R_FUS</f>
        <v>369329980.976939</v>
      </c>
      <c r="AL28" s="0" t="n">
        <f aca="false">AJ28*x_R_NFZ</f>
        <v>90652767.5494629</v>
      </c>
      <c r="AM28" s="0" t="n">
        <f aca="false">AJ28*x_R_PIT</f>
        <v>77606190.4597558</v>
      </c>
      <c r="AN28" s="0" t="n">
        <f aca="false">AJ28*x_R_FP</f>
        <v>29765848.6564853</v>
      </c>
      <c r="AO28" s="0" t="n">
        <f aca="false">AA28+AB28+AC28+AD28+AF28</f>
        <v>778730275.676116</v>
      </c>
      <c r="AP28" s="0" t="n">
        <f aca="false">AO28+AE28+AG28+AH28+AI28+AK28+AL28+AM28+AN28</f>
        <v>1496722027.20398</v>
      </c>
      <c r="AQ28" s="0" t="n">
        <f aca="false">AO28+AE28+AG28+AJ28</f>
        <v>1946018458.28338</v>
      </c>
      <c r="AR28" s="0" t="n">
        <f aca="false">AB28+AC28+AD28+AF28</f>
        <v>0</v>
      </c>
      <c r="AS28" s="0" t="n">
        <f aca="false">AR28+AE28+AG28</f>
        <v>0</v>
      </c>
    </row>
    <row r="29" customFormat="false" ht="15" hidden="false" customHeight="false" outlineLevel="0" collapsed="false">
      <c r="A29" s="0" t="n">
        <v>2052</v>
      </c>
      <c r="B29" s="0" t="n">
        <v>26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76372.616</v>
      </c>
      <c r="I29" s="0" t="n">
        <v>14209.436</v>
      </c>
      <c r="J29" s="0" t="n">
        <v>3064.388</v>
      </c>
      <c r="K29" s="0" t="n">
        <v>5069.348</v>
      </c>
      <c r="L29" s="0" t="n">
        <v>1563.385</v>
      </c>
      <c r="M29" s="0" t="n">
        <v>0</v>
      </c>
      <c r="N29" s="0" t="n">
        <v>0</v>
      </c>
      <c r="O29" s="0" t="n">
        <v>169.559</v>
      </c>
      <c r="P29" s="0" t="n">
        <v>168.655</v>
      </c>
      <c r="Q29" s="0" t="n">
        <v>2178.865</v>
      </c>
      <c r="R29" s="0" t="n">
        <v>2660.47</v>
      </c>
      <c r="S29" s="0" t="n">
        <v>10755.579</v>
      </c>
      <c r="T29" s="0" t="n">
        <v>90582.052</v>
      </c>
      <c r="U29" s="0" t="n">
        <v>60965.948</v>
      </c>
      <c r="V29" s="0" t="n">
        <v>133436.297</v>
      </c>
      <c r="W29" s="0" t="n">
        <v>625.578</v>
      </c>
      <c r="X29" s="0" t="n">
        <v>1559.156</v>
      </c>
      <c r="Y29" s="0" t="n">
        <v>169.559</v>
      </c>
      <c r="Z29" s="0" t="n">
        <v>1752.68</v>
      </c>
      <c r="AA29" s="0" t="n">
        <f aca="false">H29*x_c_F+I29*x_c_CC+J29*x_c_DC+K29*x_c_HCC+L29*x_c_PLT+M29*x_c_SVRn+N29*x_c_SVRcc+O29*x_c_LT+P29*x_c_LT1</f>
        <v>792992610.815982</v>
      </c>
      <c r="AB29" s="0" t="n">
        <f aca="false">C29*x_c_DAA</f>
        <v>0</v>
      </c>
      <c r="AC29" s="0" t="n">
        <f aca="false">C29*x_c_MON</f>
        <v>0</v>
      </c>
      <c r="AD29" s="0" t="n">
        <f aca="false">D29*(1-x_testy)</f>
        <v>0</v>
      </c>
      <c r="AE29" s="0" t="n">
        <f aca="false">E29*(1-x_testy)</f>
        <v>0</v>
      </c>
      <c r="AF29" s="0" t="n">
        <f aca="false">F29*x_NAV</f>
        <v>0</v>
      </c>
      <c r="AG29" s="0" t="n">
        <f aca="false">G29*x_FIX*(1-x_testy)</f>
        <v>0</v>
      </c>
      <c r="AH29" s="0" t="n">
        <f aca="false">x_z_F*U29+(1-x_AGRI)*x_EMP*x_WLOSS*(x_PEN_K74*Q29+x_PEN_C22*R29)</f>
        <v>156632935.195548</v>
      </c>
      <c r="AI29" s="0" t="n">
        <f aca="false">x_AGRI*x_EMP*x_WLOSS*(x_PEN_K74*Q29+x_PEN_C22*R29)</f>
        <v>2068383.41936104</v>
      </c>
      <c r="AJ29" s="0" t="n">
        <f aca="false">x_EMP*x_WAGE*(x_WLOSS*(Q29+R29)+S29)+U29*x_ABS_D*x_WAGE/365</f>
        <v>1254505805.15468</v>
      </c>
      <c r="AK29" s="0" t="n">
        <f aca="false">AJ29*x_R_FUS</f>
        <v>396925636.75094</v>
      </c>
      <c r="AL29" s="0" t="n">
        <f aca="false">AJ29*x_R_NFZ</f>
        <v>97426175.3341174</v>
      </c>
      <c r="AM29" s="0" t="n">
        <f aca="false">AJ29*x_R_PIT</f>
        <v>83404782.0395514</v>
      </c>
      <c r="AN29" s="0" t="n">
        <f aca="false">AJ29*x_R_FP</f>
        <v>31989898.0314443</v>
      </c>
      <c r="AO29" s="0" t="n">
        <f aca="false">AA29+AB29+AC29+AD29+AF29</f>
        <v>792992610.815982</v>
      </c>
      <c r="AP29" s="0" t="n">
        <f aca="false">AO29+AE29+AG29+AH29+AI29+AK29+AL29+AM29+AN29</f>
        <v>1561440421.58694</v>
      </c>
      <c r="AQ29" s="0" t="n">
        <f aca="false">AO29+AE29+AG29+AJ29</f>
        <v>2047498415.97066</v>
      </c>
      <c r="AR29" s="0" t="n">
        <f aca="false">AB29+AC29+AD29+AF29</f>
        <v>0</v>
      </c>
      <c r="AS29" s="0" t="n">
        <f aca="false">AR29+AE29+AG29</f>
        <v>0</v>
      </c>
    </row>
    <row r="30" customFormat="false" ht="15" hidden="false" customHeight="false" outlineLevel="0" collapsed="false">
      <c r="A30" s="0" t="n">
        <v>2053</v>
      </c>
      <c r="B30" s="0" t="n">
        <v>27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78723.253</v>
      </c>
      <c r="I30" s="0" t="n">
        <v>14690.873</v>
      </c>
      <c r="J30" s="0" t="n">
        <v>3097.168</v>
      </c>
      <c r="K30" s="0" t="n">
        <v>5118.258</v>
      </c>
      <c r="L30" s="0" t="n">
        <v>1577.028</v>
      </c>
      <c r="M30" s="0" t="n">
        <v>0</v>
      </c>
      <c r="N30" s="0" t="n">
        <v>0</v>
      </c>
      <c r="O30" s="0" t="n">
        <v>171.361</v>
      </c>
      <c r="P30" s="0" t="n">
        <v>170.46</v>
      </c>
      <c r="Q30" s="0" t="n">
        <v>2316.241</v>
      </c>
      <c r="R30" s="0" t="n">
        <v>2827.429</v>
      </c>
      <c r="S30" s="0" t="n">
        <v>11610.728</v>
      </c>
      <c r="T30" s="0" t="n">
        <v>93414.126</v>
      </c>
      <c r="U30" s="0" t="n">
        <v>63905.116</v>
      </c>
      <c r="V30" s="0" t="n">
        <v>134346.073</v>
      </c>
      <c r="W30" s="0" t="n">
        <v>631.521</v>
      </c>
      <c r="X30" s="0" t="n">
        <v>1574.057</v>
      </c>
      <c r="Y30" s="0" t="n">
        <v>171.361</v>
      </c>
      <c r="Z30" s="0" t="n">
        <v>1770.198</v>
      </c>
      <c r="AA30" s="0" t="n">
        <f aca="false">H30*x_c_F+I30*x_c_CC+J30*x_c_DC+K30*x_c_HCC+L30*x_c_PLT+M30*x_c_SVRn+N30*x_c_SVRcc+O30*x_c_LT+P30*x_c_LT1</f>
        <v>807363151.703213</v>
      </c>
      <c r="AB30" s="0" t="n">
        <f aca="false">C30*x_c_DAA</f>
        <v>0</v>
      </c>
      <c r="AC30" s="0" t="n">
        <f aca="false">C30*x_c_MON</f>
        <v>0</v>
      </c>
      <c r="AD30" s="0" t="n">
        <f aca="false">D30*(1-x_testy)</f>
        <v>0</v>
      </c>
      <c r="AE30" s="0" t="n">
        <f aca="false">E30*(1-x_testy)</f>
        <v>0</v>
      </c>
      <c r="AF30" s="0" t="n">
        <f aca="false">F30*x_NAV</f>
        <v>0</v>
      </c>
      <c r="AG30" s="0" t="n">
        <f aca="false">G30*x_FIX*(1-x_testy)</f>
        <v>0</v>
      </c>
      <c r="AH30" s="0" t="n">
        <f aca="false">x_z_F*U30+(1-x_AGRI)*x_EMP*x_WLOSS*(x_PEN_K74*Q30+x_PEN_C22*R30)</f>
        <v>164643225.562036</v>
      </c>
      <c r="AI30" s="0" t="n">
        <f aca="false">x_AGRI*x_EMP*x_WLOSS*(x_PEN_K74*Q30+x_PEN_C22*R30)</f>
        <v>2198440.34580997</v>
      </c>
      <c r="AJ30" s="0" t="n">
        <f aca="false">x_EMP*x_WAGE*(x_WLOSS*(Q30+R30)+S30)+U30*x_ABS_D*x_WAGE/365</f>
        <v>1346011071.77347</v>
      </c>
      <c r="AK30" s="0" t="n">
        <f aca="false">AJ30*x_R_FUS</f>
        <v>425877903.109125</v>
      </c>
      <c r="AL30" s="0" t="n">
        <f aca="false">AJ30*x_R_NFZ</f>
        <v>104532565.844999</v>
      </c>
      <c r="AM30" s="0" t="n">
        <f aca="false">AJ30*x_R_PIT</f>
        <v>89488434.0931744</v>
      </c>
      <c r="AN30" s="0" t="n">
        <f aca="false">AJ30*x_R_FP</f>
        <v>34323282.3302234</v>
      </c>
      <c r="AO30" s="0" t="n">
        <f aca="false">AA30+AB30+AC30+AD30+AF30</f>
        <v>807363151.703213</v>
      </c>
      <c r="AP30" s="0" t="n">
        <f aca="false">AO30+AE30+AG30+AH30+AI30+AK30+AL30+AM30+AN30</f>
        <v>1628427002.98858</v>
      </c>
      <c r="AQ30" s="0" t="n">
        <f aca="false">AO30+AE30+AG30+AJ30</f>
        <v>2153374223.47668</v>
      </c>
      <c r="AR30" s="0" t="n">
        <f aca="false">AB30+AC30+AD30+AF30</f>
        <v>0</v>
      </c>
      <c r="AS30" s="0" t="n">
        <f aca="false">AR30+AE30+AG30</f>
        <v>0</v>
      </c>
    </row>
    <row r="31" customFormat="false" ht="15" hidden="false" customHeight="false" outlineLevel="0" collapsed="false">
      <c r="A31" s="0" t="n">
        <v>2054</v>
      </c>
      <c r="B31" s="0" t="n">
        <v>28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81059.787</v>
      </c>
      <c r="I31" s="0" t="n">
        <v>15177.569</v>
      </c>
      <c r="J31" s="0" t="n">
        <v>3129.827</v>
      </c>
      <c r="K31" s="0" t="n">
        <v>5168.445</v>
      </c>
      <c r="L31" s="0" t="n">
        <v>1590.595</v>
      </c>
      <c r="M31" s="0" t="n">
        <v>0</v>
      </c>
      <c r="N31" s="0" t="n">
        <v>0</v>
      </c>
      <c r="O31" s="0" t="n">
        <v>173.149</v>
      </c>
      <c r="P31" s="0" t="n">
        <v>172.255</v>
      </c>
      <c r="Q31" s="0" t="n">
        <v>2459.802</v>
      </c>
      <c r="R31" s="0" t="n">
        <v>2999.337</v>
      </c>
      <c r="S31" s="0" t="n">
        <v>12512.169</v>
      </c>
      <c r="T31" s="0" t="n">
        <v>96237.356</v>
      </c>
      <c r="U31" s="0" t="n">
        <v>66836.162</v>
      </c>
      <c r="V31" s="0" t="n">
        <v>135264.437</v>
      </c>
      <c r="W31" s="0" t="n">
        <v>637.669</v>
      </c>
      <c r="X31" s="0" t="n">
        <v>1589.51</v>
      </c>
      <c r="Y31" s="0" t="n">
        <v>173.149</v>
      </c>
      <c r="Z31" s="0" t="n">
        <v>1787.855</v>
      </c>
      <c r="AA31" s="0" t="n">
        <f aca="false">H31*x_c_F+I31*x_c_CC+J31*x_c_DC+K31*x_c_HCC+L31*x_c_PLT+M31*x_c_SVRn+N31*x_c_SVRcc+O31*x_c_LT+P31*x_c_LT1</f>
        <v>821790845.227487</v>
      </c>
      <c r="AB31" s="0" t="n">
        <f aca="false">C31*x_c_DAA</f>
        <v>0</v>
      </c>
      <c r="AC31" s="0" t="n">
        <f aca="false">C31*x_c_MON</f>
        <v>0</v>
      </c>
      <c r="AD31" s="0" t="n">
        <f aca="false">D31*(1-x_testy)</f>
        <v>0</v>
      </c>
      <c r="AE31" s="0" t="n">
        <f aca="false">E31*(1-x_testy)</f>
        <v>0</v>
      </c>
      <c r="AF31" s="0" t="n">
        <f aca="false">F31*x_NAV</f>
        <v>0</v>
      </c>
      <c r="AG31" s="0" t="n">
        <f aca="false">G31*x_FIX*(1-x_testy)</f>
        <v>0</v>
      </c>
      <c r="AH31" s="0" t="n">
        <f aca="false">x_z_F*U31+(1-x_AGRI)*x_EMP*x_WLOSS*(x_PEN_K74*Q31+x_PEN_C22*R31)</f>
        <v>172707851.695589</v>
      </c>
      <c r="AI31" s="0" t="n">
        <f aca="false">x_AGRI*x_EMP*x_WLOSS*(x_PEN_K74*Q31+x_PEN_C22*R31)</f>
        <v>2333192.47280918</v>
      </c>
      <c r="AJ31" s="0" t="n">
        <f aca="false">x_EMP*x_WAGE*(x_WLOSS*(Q31+R31)+S31)+U31*x_ABS_D*x_WAGE/365</f>
        <v>1441803792.03428</v>
      </c>
      <c r="AK31" s="0" t="n">
        <f aca="false">AJ31*x_R_FUS</f>
        <v>456186719.799646</v>
      </c>
      <c r="AL31" s="0" t="n">
        <f aca="false">AJ31*x_R_NFZ</f>
        <v>111971924.293174</v>
      </c>
      <c r="AM31" s="0" t="n">
        <f aca="false">AJ31*x_R_PIT</f>
        <v>95857133.9600864</v>
      </c>
      <c r="AN31" s="0" t="n">
        <f aca="false">AJ31*x_R_FP</f>
        <v>36765996.6968741</v>
      </c>
      <c r="AO31" s="0" t="n">
        <f aca="false">AA31+AB31+AC31+AD31+AF31</f>
        <v>821790845.227487</v>
      </c>
      <c r="AP31" s="0" t="n">
        <f aca="false">AO31+AE31+AG31+AH31+AI31+AK31+AL31+AM31+AN31</f>
        <v>1697613664.14567</v>
      </c>
      <c r="AQ31" s="0" t="n">
        <f aca="false">AO31+AE31+AG31+AJ31</f>
        <v>2263594637.26177</v>
      </c>
      <c r="AR31" s="0" t="n">
        <f aca="false">AB31+AC31+AD31+AF31</f>
        <v>0</v>
      </c>
      <c r="AS31" s="0" t="n">
        <f aca="false">AR31+AE31+AG31</f>
        <v>0</v>
      </c>
    </row>
    <row r="32" customFormat="false" ht="15" hidden="false" customHeight="false" outlineLevel="0" collapsed="false">
      <c r="A32" s="0" t="n">
        <v>2055</v>
      </c>
      <c r="B32" s="0" t="n">
        <v>29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83377.231</v>
      </c>
      <c r="I32" s="0" t="n">
        <v>15668.26</v>
      </c>
      <c r="J32" s="0" t="n">
        <v>3162.161</v>
      </c>
      <c r="K32" s="0" t="n">
        <v>5219.456</v>
      </c>
      <c r="L32" s="0" t="n">
        <v>1603.722</v>
      </c>
      <c r="M32" s="0" t="n">
        <v>0</v>
      </c>
      <c r="N32" s="0" t="n">
        <v>0</v>
      </c>
      <c r="O32" s="0" t="n">
        <v>174.911</v>
      </c>
      <c r="P32" s="0" t="n">
        <v>174.03</v>
      </c>
      <c r="Q32" s="0" t="n">
        <v>2609.217</v>
      </c>
      <c r="R32" s="0" t="n">
        <v>3175.53</v>
      </c>
      <c r="S32" s="0" t="n">
        <v>13460.108</v>
      </c>
      <c r="T32" s="0" t="n">
        <v>99045.491</v>
      </c>
      <c r="U32" s="0" t="n">
        <v>69753.938</v>
      </c>
      <c r="V32" s="0" t="n">
        <v>136180.764</v>
      </c>
      <c r="W32" s="0" t="n">
        <v>643.946</v>
      </c>
      <c r="X32" s="0" t="n">
        <v>1605.316</v>
      </c>
      <c r="Y32" s="0" t="n">
        <v>174.911</v>
      </c>
      <c r="Z32" s="0" t="n">
        <v>1805.472</v>
      </c>
      <c r="AA32" s="0" t="n">
        <f aca="false">H32*x_c_F+I32*x_c_CC+J32*x_c_DC+K32*x_c_HCC+L32*x_c_PLT+M32*x_c_SVRn+N32*x_c_SVRcc+O32*x_c_LT+P32*x_c_LT1</f>
        <v>836205753.688887</v>
      </c>
      <c r="AB32" s="0" t="n">
        <f aca="false">C32*x_c_DAA</f>
        <v>0</v>
      </c>
      <c r="AC32" s="0" t="n">
        <f aca="false">C32*x_c_MON</f>
        <v>0</v>
      </c>
      <c r="AD32" s="0" t="n">
        <f aca="false">D32*(1-x_testy)</f>
        <v>0</v>
      </c>
      <c r="AE32" s="0" t="n">
        <f aca="false">E32*(1-x_testy)</f>
        <v>0</v>
      </c>
      <c r="AF32" s="0" t="n">
        <f aca="false">F32*x_NAV</f>
        <v>0</v>
      </c>
      <c r="AG32" s="0" t="n">
        <f aca="false">G32*x_FIX*(1-x_testy)</f>
        <v>0</v>
      </c>
      <c r="AH32" s="0" t="n">
        <f aca="false">x_z_F*U32+(1-x_AGRI)*x_EMP*x_WLOSS*(x_PEN_K74*Q32+x_PEN_C22*R32)</f>
        <v>180809699.780017</v>
      </c>
      <c r="AI32" s="0" t="n">
        <f aca="false">x_AGRI*x_EMP*x_WLOSS*(x_PEN_K74*Q32+x_PEN_C22*R32)</f>
        <v>2472208.17929866</v>
      </c>
      <c r="AJ32" s="0" t="n">
        <f aca="false">x_EMP*x_WAGE*(x_WLOSS*(Q32+R32)+S32)+U32*x_ABS_D*x_WAGE/365</f>
        <v>1541853840.03649</v>
      </c>
      <c r="AK32" s="0" t="n">
        <f aca="false">AJ32*x_R_FUS</f>
        <v>487842554.987546</v>
      </c>
      <c r="AL32" s="0" t="n">
        <f aca="false">AJ32*x_R_NFZ</f>
        <v>119741911.071074</v>
      </c>
      <c r="AM32" s="0" t="n">
        <f aca="false">AJ32*x_R_PIT</f>
        <v>102508878.744673</v>
      </c>
      <c r="AN32" s="0" t="n">
        <f aca="false">AJ32*x_R_FP</f>
        <v>39317272.9209305</v>
      </c>
      <c r="AO32" s="0" t="n">
        <f aca="false">AA32+AB32+AC32+AD32+AF32</f>
        <v>836205753.688887</v>
      </c>
      <c r="AP32" s="0" t="n">
        <f aca="false">AO32+AE32+AG32+AH32+AI32+AK32+AL32+AM32+AN32</f>
        <v>1768898279.37243</v>
      </c>
      <c r="AQ32" s="0" t="n">
        <f aca="false">AO32+AE32+AG32+AJ32</f>
        <v>2378059593.72538</v>
      </c>
      <c r="AR32" s="0" t="n">
        <f aca="false">AB32+AC32+AD32+AF32</f>
        <v>0</v>
      </c>
      <c r="AS32" s="0" t="n">
        <f aca="false">AR32+AE32+AG32</f>
        <v>0</v>
      </c>
    </row>
    <row r="33" customFormat="false" ht="15" hidden="false" customHeight="false" outlineLevel="0" collapsed="false">
      <c r="A33" s="0" t="n">
        <v>2056</v>
      </c>
      <c r="B33" s="0" t="n">
        <v>30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85670.377</v>
      </c>
      <c r="I33" s="0" t="n">
        <v>16160.896</v>
      </c>
      <c r="J33" s="0" t="n">
        <v>3193.799</v>
      </c>
      <c r="K33" s="0" t="n">
        <v>5270.601</v>
      </c>
      <c r="L33" s="0" t="n">
        <v>1615.944</v>
      </c>
      <c r="M33" s="0" t="n">
        <v>0</v>
      </c>
      <c r="N33" s="0" t="n">
        <v>0</v>
      </c>
      <c r="O33" s="0" t="n">
        <v>176.62</v>
      </c>
      <c r="P33" s="0" t="n">
        <v>175.766</v>
      </c>
      <c r="Q33" s="0" t="n">
        <v>2764.055</v>
      </c>
      <c r="R33" s="0" t="n">
        <v>3355.271</v>
      </c>
      <c r="S33" s="0" t="n">
        <v>14454.188</v>
      </c>
      <c r="T33" s="0" t="n">
        <v>101831.273</v>
      </c>
      <c r="U33" s="0" t="n">
        <v>72653.211</v>
      </c>
      <c r="V33" s="0" t="n">
        <v>137084.279</v>
      </c>
      <c r="W33" s="0" t="n">
        <v>650.246</v>
      </c>
      <c r="X33" s="0" t="n">
        <v>1621.202</v>
      </c>
      <c r="Y33" s="0" t="n">
        <v>176.62</v>
      </c>
      <c r="Z33" s="0" t="n">
        <v>1822.763</v>
      </c>
      <c r="AA33" s="0" t="n">
        <f aca="false">H33*x_c_F+I33*x_c_CC+J33*x_c_DC+K33*x_c_HCC+L33*x_c_PLT+M33*x_c_SVRn+N33*x_c_SVRcc+O33*x_c_LT+P33*x_c_LT1</f>
        <v>850506328.546094</v>
      </c>
      <c r="AB33" s="0" t="n">
        <f aca="false">C33*x_c_DAA</f>
        <v>0</v>
      </c>
      <c r="AC33" s="0" t="n">
        <f aca="false">C33*x_c_MON</f>
        <v>0</v>
      </c>
      <c r="AD33" s="0" t="n">
        <f aca="false">D33*(1-x_testy)</f>
        <v>0</v>
      </c>
      <c r="AE33" s="0" t="n">
        <f aca="false">E33*(1-x_testy)</f>
        <v>0</v>
      </c>
      <c r="AF33" s="0" t="n">
        <f aca="false">F33*x_NAV</f>
        <v>0</v>
      </c>
      <c r="AG33" s="0" t="n">
        <f aca="false">G33*x_FIX*(1-x_testy)</f>
        <v>0</v>
      </c>
      <c r="AH33" s="0" t="n">
        <f aca="false">x_z_F*U33+(1-x_AGRI)*x_EMP*x_WLOSS*(x_PEN_K74*Q33+x_PEN_C22*R33)</f>
        <v>188930380.723119</v>
      </c>
      <c r="AI33" s="0" t="n">
        <f aca="false">x_AGRI*x_EMP*x_WLOSS*(x_PEN_K74*Q33+x_PEN_C22*R33)</f>
        <v>2614983.1016972</v>
      </c>
      <c r="AJ33" s="0" t="n">
        <f aca="false">x_EMP*x_WAGE*(x_WLOSS*(Q33+R33)+S33)+U33*x_ABS_D*x_WAGE/365</f>
        <v>1646077175.99469</v>
      </c>
      <c r="AK33" s="0" t="n">
        <f aca="false">AJ33*x_R_FUS</f>
        <v>520818818.48472</v>
      </c>
      <c r="AL33" s="0" t="n">
        <f aca="false">AJ33*x_R_NFZ</f>
        <v>127835999.564924</v>
      </c>
      <c r="AM33" s="0" t="n">
        <f aca="false">AJ33*x_R_PIT</f>
        <v>109438081.131231</v>
      </c>
      <c r="AN33" s="0" t="n">
        <f aca="false">AJ33*x_R_FP</f>
        <v>41974967.9878646</v>
      </c>
      <c r="AO33" s="0" t="n">
        <f aca="false">AA33+AB33+AC33+AD33+AF33</f>
        <v>850506328.546094</v>
      </c>
      <c r="AP33" s="0" t="n">
        <f aca="false">AO33+AE33+AG33+AH33+AI33+AK33+AL33+AM33+AN33</f>
        <v>1842119559.53965</v>
      </c>
      <c r="AQ33" s="0" t="n">
        <f aca="false">AO33+AE33+AG33+AJ33</f>
        <v>2496583504.54078</v>
      </c>
      <c r="AR33" s="0" t="n">
        <f aca="false">AB33+AC33+AD33+AF33</f>
        <v>0</v>
      </c>
      <c r="AS33" s="0" t="n">
        <f aca="false">AR33+AE33+AG33</f>
        <v>0</v>
      </c>
    </row>
    <row r="34" customFormat="false" ht="15" hidden="false" customHeight="false" outlineLevel="0" collapsed="false">
      <c r="A34" s="0" t="n">
        <v>2057</v>
      </c>
      <c r="B34" s="0" t="n">
        <v>31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87917.471</v>
      </c>
      <c r="I34" s="0" t="n">
        <v>16636.363</v>
      </c>
      <c r="J34" s="0" t="n">
        <v>3219.462</v>
      </c>
      <c r="K34" s="0" t="n">
        <v>5314.338</v>
      </c>
      <c r="L34" s="0" t="n">
        <v>1622.66</v>
      </c>
      <c r="M34" s="0" t="n">
        <v>0</v>
      </c>
      <c r="N34" s="0" t="n">
        <v>0</v>
      </c>
      <c r="O34" s="0" t="n">
        <v>177.706</v>
      </c>
      <c r="P34" s="0" t="n">
        <v>177.163</v>
      </c>
      <c r="Q34" s="0" t="n">
        <v>2923.803</v>
      </c>
      <c r="R34" s="0" t="n">
        <v>3537.766</v>
      </c>
      <c r="S34" s="0" t="n">
        <v>15493.504</v>
      </c>
      <c r="T34" s="0" t="n">
        <v>104553.835</v>
      </c>
      <c r="U34" s="0" t="n">
        <v>75528.095</v>
      </c>
      <c r="V34" s="0" t="n">
        <v>137919.465</v>
      </c>
      <c r="W34" s="0" t="n">
        <v>655.062</v>
      </c>
      <c r="X34" s="0" t="n">
        <v>1633.557</v>
      </c>
      <c r="Y34" s="0" t="n">
        <v>177.706</v>
      </c>
      <c r="Z34" s="0" t="n">
        <v>1834.093</v>
      </c>
      <c r="AA34" s="0" t="n">
        <f aca="false">H34*x_c_F+I34*x_c_CC+J34*x_c_DC+K34*x_c_HCC+L34*x_c_PLT+M34*x_c_SVRn+N34*x_c_SVRcc+O34*x_c_LT+P34*x_c_LT1</f>
        <v>863599132.665991</v>
      </c>
      <c r="AB34" s="0" t="n">
        <f aca="false">C34*x_c_DAA</f>
        <v>0</v>
      </c>
      <c r="AC34" s="0" t="n">
        <f aca="false">C34*x_c_MON</f>
        <v>0</v>
      </c>
      <c r="AD34" s="0" t="n">
        <f aca="false">D34*(1-x_testy)</f>
        <v>0</v>
      </c>
      <c r="AE34" s="0" t="n">
        <f aca="false">E34*(1-x_testy)</f>
        <v>0</v>
      </c>
      <c r="AF34" s="0" t="n">
        <f aca="false">F34*x_NAV</f>
        <v>0</v>
      </c>
      <c r="AG34" s="0" t="n">
        <f aca="false">G34*x_FIX*(1-x_testy)</f>
        <v>0</v>
      </c>
      <c r="AH34" s="0" t="n">
        <f aca="false">x_z_F*U34+(1-x_AGRI)*x_EMP*x_WLOSS*(x_PEN_K74*Q34+x_PEN_C22*R34)</f>
        <v>197049280.04668</v>
      </c>
      <c r="AI34" s="0" t="n">
        <f aca="false">x_AGRI*x_EMP*x_WLOSS*(x_PEN_K74*Q34+x_PEN_C22*R34)</f>
        <v>2760954.5198162</v>
      </c>
      <c r="AJ34" s="0" t="n">
        <f aca="false">x_EMP*x_WAGE*(x_WLOSS*(Q34+R34)+S34)+U34*x_ABS_D*x_WAGE/365</f>
        <v>1754336569.57594</v>
      </c>
      <c r="AK34" s="0" t="n">
        <f aca="false">AJ34*x_R_FUS</f>
        <v>555072090.613827</v>
      </c>
      <c r="AL34" s="0" t="n">
        <f aca="false">AJ34*x_R_NFZ</f>
        <v>136243532.329837</v>
      </c>
      <c r="AM34" s="0" t="n">
        <f aca="false">AJ34*x_R_PIT</f>
        <v>116635617.474448</v>
      </c>
      <c r="AN34" s="0" t="n">
        <f aca="false">AJ34*x_R_FP</f>
        <v>44735582.5241864</v>
      </c>
      <c r="AO34" s="0" t="n">
        <f aca="false">AA34+AB34+AC34+AD34+AF34</f>
        <v>863599132.665991</v>
      </c>
      <c r="AP34" s="0" t="n">
        <f aca="false">AO34+AE34+AG34+AH34+AI34+AK34+AL34+AM34+AN34</f>
        <v>1916096190.17479</v>
      </c>
      <c r="AQ34" s="0" t="n">
        <f aca="false">AO34+AE34+AG34+AJ34</f>
        <v>2617935702.24193</v>
      </c>
      <c r="AR34" s="0" t="n">
        <f aca="false">AB34+AC34+AD34+AF34</f>
        <v>0</v>
      </c>
      <c r="AS34" s="0" t="n">
        <f aca="false">AR34+AE34+AG34</f>
        <v>0</v>
      </c>
    </row>
    <row r="35" customFormat="false" ht="15" hidden="false" customHeight="false" outlineLevel="0" collapsed="false">
      <c r="A35" s="0" t="n">
        <v>2058</v>
      </c>
      <c r="B35" s="0" t="n">
        <v>32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90137.254</v>
      </c>
      <c r="I35" s="0" t="n">
        <v>17115.259</v>
      </c>
      <c r="J35" s="0" t="n">
        <v>3245.394</v>
      </c>
      <c r="K35" s="0" t="n">
        <v>5359.316</v>
      </c>
      <c r="L35" s="0" t="n">
        <v>1628.873</v>
      </c>
      <c r="M35" s="0" t="n">
        <v>0</v>
      </c>
      <c r="N35" s="0" t="n">
        <v>0</v>
      </c>
      <c r="O35" s="0" t="n">
        <v>179.447</v>
      </c>
      <c r="P35" s="0" t="n">
        <v>178.576</v>
      </c>
      <c r="Q35" s="0" t="n">
        <v>3087.87</v>
      </c>
      <c r="R35" s="0" t="n">
        <v>3722.176</v>
      </c>
      <c r="S35" s="0" t="n">
        <v>16576.58</v>
      </c>
      <c r="T35" s="0" t="n">
        <v>107252.513</v>
      </c>
      <c r="U35" s="0" t="n">
        <v>78373.642</v>
      </c>
      <c r="V35" s="0" t="n">
        <v>138742.584</v>
      </c>
      <c r="W35" s="0" t="n">
        <v>661.691</v>
      </c>
      <c r="X35" s="0" t="n">
        <v>1650.245</v>
      </c>
      <c r="Y35" s="0" t="n">
        <v>179.447</v>
      </c>
      <c r="Z35" s="0" t="n">
        <v>1852.001</v>
      </c>
      <c r="AA35" s="0" t="n">
        <f aca="false">H35*x_c_F+I35*x_c_CC+J35*x_c_DC+K35*x_c_HCC+L35*x_c_PLT+M35*x_c_SVRn+N35*x_c_SVRcc+O35*x_c_LT+P35*x_c_LT1</f>
        <v>876921869.932131</v>
      </c>
      <c r="AB35" s="0" t="n">
        <f aca="false">C35*x_c_DAA</f>
        <v>0</v>
      </c>
      <c r="AC35" s="0" t="n">
        <f aca="false">C35*x_c_MON</f>
        <v>0</v>
      </c>
      <c r="AD35" s="0" t="n">
        <f aca="false">D35*(1-x_testy)</f>
        <v>0</v>
      </c>
      <c r="AE35" s="0" t="n">
        <f aca="false">E35*(1-x_testy)</f>
        <v>0</v>
      </c>
      <c r="AF35" s="0" t="n">
        <f aca="false">F35*x_NAV</f>
        <v>0</v>
      </c>
      <c r="AG35" s="0" t="n">
        <f aca="false">G35*x_FIX*(1-x_testy)</f>
        <v>0</v>
      </c>
      <c r="AH35" s="0" t="n">
        <f aca="false">x_z_F*U35+(1-x_AGRI)*x_EMP*x_WLOSS*(x_PEN_K74*Q35+x_PEN_C22*R35)</f>
        <v>205146934.924729</v>
      </c>
      <c r="AI35" s="0" t="n">
        <f aca="false">x_AGRI*x_EMP*x_WLOSS*(x_PEN_K74*Q35+x_PEN_C22*R35)</f>
        <v>2909508.36926035</v>
      </c>
      <c r="AJ35" s="0" t="n">
        <f aca="false">x_EMP*x_WAGE*(x_WLOSS*(Q35+R35)+S35)+U35*x_ABS_D*x_WAGE/365</f>
        <v>1866444836.01026</v>
      </c>
      <c r="AK35" s="0" t="n">
        <f aca="false">AJ35*x_R_FUS</f>
        <v>590543146.113648</v>
      </c>
      <c r="AL35" s="0" t="n">
        <f aca="false">AJ35*x_R_NFZ</f>
        <v>144949972.409393</v>
      </c>
      <c r="AM35" s="0" t="n">
        <f aca="false">AJ35*x_R_PIT</f>
        <v>124089042.949537</v>
      </c>
      <c r="AN35" s="0" t="n">
        <f aca="false">AJ35*x_R_FP</f>
        <v>47594343.3182617</v>
      </c>
      <c r="AO35" s="0" t="n">
        <f aca="false">AA35+AB35+AC35+AD35+AF35</f>
        <v>876921869.932131</v>
      </c>
      <c r="AP35" s="0" t="n">
        <f aca="false">AO35+AE35+AG35+AH35+AI35+AK35+AL35+AM35+AN35</f>
        <v>1992154818.01696</v>
      </c>
      <c r="AQ35" s="0" t="n">
        <f aca="false">AO35+AE35+AG35+AJ35</f>
        <v>2743366705.9424</v>
      </c>
      <c r="AR35" s="0" t="n">
        <f aca="false">AB35+AC35+AD35+AF35</f>
        <v>0</v>
      </c>
      <c r="AS35" s="0" t="n">
        <f aca="false">AR35+AE35+AG35</f>
        <v>0</v>
      </c>
    </row>
    <row r="36" customFormat="false" ht="15" hidden="false" customHeight="false" outlineLevel="0" collapsed="false">
      <c r="A36" s="0" t="n">
        <v>2059</v>
      </c>
      <c r="B36" s="0" t="n">
        <v>33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92340.712</v>
      </c>
      <c r="I36" s="0" t="n">
        <v>17609.96</v>
      </c>
      <c r="J36" s="0" t="n">
        <v>3275.462</v>
      </c>
      <c r="K36" s="0" t="n">
        <v>5410.791</v>
      </c>
      <c r="L36" s="0" t="n">
        <v>1637.752</v>
      </c>
      <c r="M36" s="0" t="n">
        <v>0</v>
      </c>
      <c r="N36" s="0" t="n">
        <v>0</v>
      </c>
      <c r="O36" s="0" t="n">
        <v>181.004</v>
      </c>
      <c r="P36" s="0" t="n">
        <v>180.225</v>
      </c>
      <c r="Q36" s="0" t="n">
        <v>2445.126</v>
      </c>
      <c r="R36" s="0" t="n">
        <v>3205.71</v>
      </c>
      <c r="S36" s="0" t="n">
        <v>11572.329</v>
      </c>
      <c r="T36" s="0" t="n">
        <v>109950.672</v>
      </c>
      <c r="U36" s="0" t="n">
        <v>77766.385</v>
      </c>
      <c r="V36" s="0" t="n">
        <v>139586.513</v>
      </c>
      <c r="W36" s="0" t="n">
        <v>667.903</v>
      </c>
      <c r="X36" s="0" t="n">
        <v>1665.928</v>
      </c>
      <c r="Y36" s="0" t="n">
        <v>181.004</v>
      </c>
      <c r="Z36" s="0" t="n">
        <v>1868.198</v>
      </c>
      <c r="AA36" s="0" t="n">
        <f aca="false">H36*x_c_F+I36*x_c_CC+J36*x_c_DC+K36*x_c_HCC+L36*x_c_PLT+M36*x_c_SVRn+N36*x_c_SVRcc+O36*x_c_LT+P36*x_c_LT1</f>
        <v>890798006.725168</v>
      </c>
      <c r="AB36" s="0" t="n">
        <f aca="false">C36*x_c_DAA</f>
        <v>0</v>
      </c>
      <c r="AC36" s="0" t="n">
        <f aca="false">C36*x_c_MON</f>
        <v>0</v>
      </c>
      <c r="AD36" s="0" t="n">
        <f aca="false">D36*(1-x_testy)</f>
        <v>0</v>
      </c>
      <c r="AE36" s="0" t="n">
        <f aca="false">E36*(1-x_testy)</f>
        <v>0</v>
      </c>
      <c r="AF36" s="0" t="n">
        <f aca="false">F36*x_NAV</f>
        <v>0</v>
      </c>
      <c r="AG36" s="0" t="n">
        <f aca="false">G36*x_FIX*(1-x_testy)</f>
        <v>0</v>
      </c>
      <c r="AH36" s="0" t="n">
        <f aca="false">x_z_F*U36+(1-x_AGRI)*x_EMP*x_WLOSS*(x_PEN_K74*Q36+x_PEN_C22*R36)</f>
        <v>196501835.756787</v>
      </c>
      <c r="AI36" s="0" t="n">
        <f aca="false">x_AGRI*x_EMP*x_WLOSS*(x_PEN_K74*Q36+x_PEN_C22*R36)</f>
        <v>2420604.95765576</v>
      </c>
      <c r="AJ36" s="0" t="n">
        <f aca="false">x_EMP*x_WAGE*(x_WLOSS*(Q36+R36)+S36)+U36*x_ABS_D*x_WAGE/365</f>
        <v>1400053501.50429</v>
      </c>
      <c r="AK36" s="0" t="n">
        <f aca="false">AJ36*x_R_FUS</f>
        <v>442976927.875959</v>
      </c>
      <c r="AL36" s="0" t="n">
        <f aca="false">AJ36*x_R_NFZ</f>
        <v>108729554.980325</v>
      </c>
      <c r="AM36" s="0" t="n">
        <f aca="false">AJ36*x_R_PIT</f>
        <v>93081400.3864087</v>
      </c>
      <c r="AN36" s="0" t="n">
        <f aca="false">AJ36*x_R_FP</f>
        <v>35701364.2883595</v>
      </c>
      <c r="AO36" s="0" t="n">
        <f aca="false">AA36+AB36+AC36+AD36+AF36</f>
        <v>890798006.725168</v>
      </c>
      <c r="AP36" s="0" t="n">
        <f aca="false">AO36+AE36+AG36+AH36+AI36+AK36+AL36+AM36+AN36</f>
        <v>1770209694.97066</v>
      </c>
      <c r="AQ36" s="0" t="n">
        <f aca="false">AO36+AE36+AG36+AJ36</f>
        <v>2290851508.22946</v>
      </c>
      <c r="AR36" s="0" t="n">
        <f aca="false">AB36+AC36+AD36+AF36</f>
        <v>0</v>
      </c>
      <c r="AS36" s="0" t="n">
        <f aca="false">AR36+AE36+AG36</f>
        <v>0</v>
      </c>
    </row>
    <row r="37" customFormat="false" ht="15" hidden="false" customHeight="false" outlineLevel="0" collapsed="false">
      <c r="A37" s="0" t="n">
        <v>2060</v>
      </c>
      <c r="B37" s="0" t="n">
        <v>34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94500.913</v>
      </c>
      <c r="I37" s="0" t="n">
        <v>18094.619</v>
      </c>
      <c r="J37" s="0" t="n">
        <v>3302.416</v>
      </c>
      <c r="K37" s="0" t="n">
        <v>5458.464</v>
      </c>
      <c r="L37" s="0" t="n">
        <v>1643.119</v>
      </c>
      <c r="M37" s="0" t="n">
        <v>0</v>
      </c>
      <c r="N37" s="0" t="n">
        <v>0</v>
      </c>
      <c r="O37" s="0" t="n">
        <v>182.397</v>
      </c>
      <c r="P37" s="0" t="n">
        <v>181.7</v>
      </c>
      <c r="Q37" s="0" t="n">
        <v>1719.613</v>
      </c>
      <c r="R37" s="0" t="n">
        <v>2597.032</v>
      </c>
      <c r="S37" s="0" t="n">
        <v>6016.832</v>
      </c>
      <c r="T37" s="0" t="n">
        <v>112595.532</v>
      </c>
      <c r="U37" s="0" t="n">
        <v>76424.847</v>
      </c>
      <c r="V37" s="0" t="n">
        <v>140379.476</v>
      </c>
      <c r="W37" s="0" t="n">
        <v>673.747</v>
      </c>
      <c r="X37" s="0" t="n">
        <v>1680.716</v>
      </c>
      <c r="Y37" s="0" t="n">
        <v>182.397</v>
      </c>
      <c r="Z37" s="0" t="n">
        <v>1882.853</v>
      </c>
      <c r="AA37" s="0" t="n">
        <f aca="false">H37*x_c_F+I37*x_c_CC+J37*x_c_DC+K37*x_c_HCC+L37*x_c_PLT+M37*x_c_SVRn+N37*x_c_SVRcc+O37*x_c_LT+P37*x_c_LT1</f>
        <v>904020253.768956</v>
      </c>
      <c r="AB37" s="0" t="n">
        <f aca="false">C37*x_c_DAA</f>
        <v>0</v>
      </c>
      <c r="AC37" s="0" t="n">
        <f aca="false">C37*x_c_MON</f>
        <v>0</v>
      </c>
      <c r="AD37" s="0" t="n">
        <f aca="false">D37*(1-x_testy)</f>
        <v>0</v>
      </c>
      <c r="AE37" s="0" t="n">
        <f aca="false">E37*(1-x_testy)</f>
        <v>0</v>
      </c>
      <c r="AF37" s="0" t="n">
        <f aca="false">F37*x_NAV</f>
        <v>0</v>
      </c>
      <c r="AG37" s="0" t="n">
        <f aca="false">G37*x_FIX*(1-x_testy)</f>
        <v>0</v>
      </c>
      <c r="AH37" s="0" t="n">
        <f aca="false">x_z_F*U37+(1-x_AGRI)*x_EMP*x_WLOSS*(x_PEN_K74*Q37+x_PEN_C22*R37)</f>
        <v>185218913.521013</v>
      </c>
      <c r="AI37" s="0" t="n">
        <f aca="false">x_AGRI*x_EMP*x_WLOSS*(x_PEN_K74*Q37+x_PEN_C22*R37)</f>
        <v>1857129.03644492</v>
      </c>
      <c r="AJ37" s="0" t="n">
        <f aca="false">x_EMP*x_WAGE*(x_WLOSS*(Q37+R37)+S37)+U37*x_ABS_D*x_WAGE/365</f>
        <v>878778397.216035</v>
      </c>
      <c r="AK37" s="0" t="n">
        <f aca="false">AJ37*x_R_FUS</f>
        <v>278045484.879154</v>
      </c>
      <c r="AL37" s="0" t="n">
        <f aca="false">AJ37*x_R_NFZ</f>
        <v>68246809.1061945</v>
      </c>
      <c r="AM37" s="0" t="n">
        <f aca="false">AJ37*x_R_PIT</f>
        <v>58424855.7318017</v>
      </c>
      <c r="AN37" s="0" t="n">
        <f aca="false">AJ37*x_R_FP</f>
        <v>22408849.1290089</v>
      </c>
      <c r="AO37" s="0" t="n">
        <f aca="false">AA37+AB37+AC37+AD37+AF37</f>
        <v>904020253.768956</v>
      </c>
      <c r="AP37" s="0" t="n">
        <f aca="false">AO37+AE37+AG37+AH37+AI37+AK37+AL37+AM37+AN37</f>
        <v>1518222295.17257</v>
      </c>
      <c r="AQ37" s="0" t="n">
        <f aca="false">AO37+AE37+AG37+AJ37</f>
        <v>1782798650.98499</v>
      </c>
      <c r="AR37" s="0" t="n">
        <f aca="false">AB37+AC37+AD37+AF37</f>
        <v>0</v>
      </c>
      <c r="AS37" s="0" t="n">
        <f aca="false">AR37+AE37+AG37</f>
        <v>0</v>
      </c>
    </row>
    <row r="38" customFormat="false" ht="15" hidden="false" customHeight="false" outlineLevel="0" collapsed="false">
      <c r="A38" s="0" t="n">
        <v>2061</v>
      </c>
      <c r="B38" s="0" t="n">
        <v>35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96618.384</v>
      </c>
      <c r="I38" s="0" t="n">
        <v>18570.624</v>
      </c>
      <c r="J38" s="0" t="n">
        <v>3326.815</v>
      </c>
      <c r="K38" s="0" t="n">
        <v>5503.082</v>
      </c>
      <c r="L38" s="0" t="n">
        <v>1645.138</v>
      </c>
      <c r="M38" s="0" t="n">
        <v>0</v>
      </c>
      <c r="N38" s="0" t="n">
        <v>0</v>
      </c>
      <c r="O38" s="0" t="n">
        <v>183.669</v>
      </c>
      <c r="P38" s="0" t="n">
        <v>183.033</v>
      </c>
      <c r="Q38" s="0" t="n">
        <v>1720.107</v>
      </c>
      <c r="R38" s="0" t="n">
        <v>2597.705</v>
      </c>
      <c r="S38" s="0" t="n">
        <v>6018.724</v>
      </c>
      <c r="T38" s="0" t="n">
        <v>115189.008</v>
      </c>
      <c r="U38" s="0" t="n">
        <v>77772.692</v>
      </c>
      <c r="V38" s="0" t="n">
        <v>141126.612</v>
      </c>
      <c r="W38" s="0" t="n">
        <v>679.336</v>
      </c>
      <c r="X38" s="0" t="n">
        <v>1694.871</v>
      </c>
      <c r="Y38" s="0" t="n">
        <v>183.669</v>
      </c>
      <c r="Z38" s="0" t="n">
        <v>1896.373</v>
      </c>
      <c r="AA38" s="0" t="n">
        <f aca="false">H38*x_c_F+I38*x_c_CC+J38*x_c_DC+K38*x_c_HCC+L38*x_c_PLT+M38*x_c_SVRn+N38*x_c_SVRcc+O38*x_c_LT+P38*x_c_LT1</f>
        <v>916676232.986233</v>
      </c>
      <c r="AB38" s="0" t="n">
        <f aca="false">C38*x_c_DAA</f>
        <v>0</v>
      </c>
      <c r="AC38" s="0" t="n">
        <f aca="false">C38*x_c_MON</f>
        <v>0</v>
      </c>
      <c r="AD38" s="0" t="n">
        <f aca="false">D38*(1-x_testy)</f>
        <v>0</v>
      </c>
      <c r="AE38" s="0" t="n">
        <f aca="false">E38*(1-x_testy)</f>
        <v>0</v>
      </c>
      <c r="AF38" s="0" t="n">
        <f aca="false">F38*x_NAV</f>
        <v>0</v>
      </c>
      <c r="AG38" s="0" t="n">
        <f aca="false">G38*x_FIX*(1-x_testy)</f>
        <v>0</v>
      </c>
      <c r="AH38" s="0" t="n">
        <f aca="false">x_z_F*U38+(1-x_AGRI)*x_EMP*x_WLOSS*(x_PEN_K74*Q38+x_PEN_C22*R38)</f>
        <v>187997528.954648</v>
      </c>
      <c r="AI38" s="0" t="n">
        <f aca="false">x_AGRI*x_EMP*x_WLOSS*(x_PEN_K74*Q38+x_PEN_C22*R38)</f>
        <v>1857629.53002304</v>
      </c>
      <c r="AJ38" s="0" t="n">
        <f aca="false">x_EMP*x_WAGE*(x_WLOSS*(Q38+R38)+S38)+U38*x_ABS_D*x_WAGE/365</f>
        <v>882937062.830573</v>
      </c>
      <c r="AK38" s="0" t="n">
        <f aca="false">AJ38*x_R_FUS</f>
        <v>279361286.679593</v>
      </c>
      <c r="AL38" s="0" t="n">
        <f aca="false">AJ38*x_R_NFZ</f>
        <v>68569775.2364851</v>
      </c>
      <c r="AM38" s="0" t="n">
        <f aca="false">AJ38*x_R_PIT</f>
        <v>58701341.1794822</v>
      </c>
      <c r="AN38" s="0" t="n">
        <f aca="false">AJ38*x_R_FP</f>
        <v>22514895.1021796</v>
      </c>
      <c r="AO38" s="0" t="n">
        <f aca="false">AA38+AB38+AC38+AD38+AF38</f>
        <v>916676232.986233</v>
      </c>
      <c r="AP38" s="0" t="n">
        <f aca="false">AO38+AE38+AG38+AH38+AI38+AK38+AL38+AM38+AN38</f>
        <v>1535678689.66865</v>
      </c>
      <c r="AQ38" s="0" t="n">
        <f aca="false">AO38+AE38+AG38+AJ38</f>
        <v>1799613295.81681</v>
      </c>
      <c r="AR38" s="0" t="n">
        <f aca="false">AB38+AC38+AD38+AF38</f>
        <v>0</v>
      </c>
      <c r="AS38" s="0" t="n">
        <f aca="false">AR38+AE38+AG38</f>
        <v>0</v>
      </c>
    </row>
    <row r="39" customFormat="false" ht="15" hidden="false" customHeight="false" outlineLevel="0" collapsed="false">
      <c r="A39" s="0" t="n">
        <v>2062</v>
      </c>
      <c r="B39" s="0" t="n">
        <v>36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98694.894</v>
      </c>
      <c r="I39" s="0" t="n">
        <v>19040.958</v>
      </c>
      <c r="J39" s="0" t="n">
        <v>3349.554</v>
      </c>
      <c r="K39" s="0" t="n">
        <v>5545.848</v>
      </c>
      <c r="L39" s="0" t="n">
        <v>1644.29</v>
      </c>
      <c r="M39" s="0" t="n">
        <v>0</v>
      </c>
      <c r="N39" s="0" t="n">
        <v>0</v>
      </c>
      <c r="O39" s="0" t="n">
        <v>184.876</v>
      </c>
      <c r="P39" s="0" t="n">
        <v>184.272</v>
      </c>
      <c r="Q39" s="0" t="n">
        <v>1720.518</v>
      </c>
      <c r="R39" s="0" t="n">
        <v>2598.266</v>
      </c>
      <c r="S39" s="0" t="n">
        <v>6020.287</v>
      </c>
      <c r="T39" s="0" t="n">
        <v>117735.852</v>
      </c>
      <c r="U39" s="0" t="n">
        <v>79093.491</v>
      </c>
      <c r="V39" s="0" t="n">
        <v>141836.088</v>
      </c>
      <c r="W39" s="0" t="n">
        <v>684.817</v>
      </c>
      <c r="X39" s="0" t="n">
        <v>1708.733</v>
      </c>
      <c r="Y39" s="0" t="n">
        <v>184.876</v>
      </c>
      <c r="Z39" s="0" t="n">
        <v>1909.29</v>
      </c>
      <c r="AA39" s="0" t="n">
        <f aca="false">H39*x_c_F+I39*x_c_CC+J39*x_c_DC+K39*x_c_HCC+L39*x_c_PLT+M39*x_c_SVRn+N39*x_c_SVRcc+O39*x_c_LT+P39*x_c_LT1</f>
        <v>928915917.631757</v>
      </c>
      <c r="AB39" s="0" t="n">
        <f aca="false">C39*x_c_DAA</f>
        <v>0</v>
      </c>
      <c r="AC39" s="0" t="n">
        <f aca="false">C39*x_c_MON</f>
        <v>0</v>
      </c>
      <c r="AD39" s="0" t="n">
        <f aca="false">D39*(1-x_testy)</f>
        <v>0</v>
      </c>
      <c r="AE39" s="0" t="n">
        <f aca="false">E39*(1-x_testy)</f>
        <v>0</v>
      </c>
      <c r="AF39" s="0" t="n">
        <f aca="false">F39*x_NAV</f>
        <v>0</v>
      </c>
      <c r="AG39" s="0" t="n">
        <f aca="false">G39*x_FIX*(1-x_testy)</f>
        <v>0</v>
      </c>
      <c r="AH39" s="0" t="n">
        <f aca="false">x_z_F*U39+(1-x_AGRI)*x_EMP*x_WLOSS*(x_PEN_K74*Q39+x_PEN_C22*R39)</f>
        <v>190719275.470042</v>
      </c>
      <c r="AI39" s="0" t="n">
        <f aca="false">x_AGRI*x_EMP*x_WLOSS*(x_PEN_K74*Q39+x_PEN_C22*R39)</f>
        <v>1858046.41825626</v>
      </c>
      <c r="AJ39" s="0" t="n">
        <f aca="false">x_EMP*x_WAGE*(x_WLOSS*(Q39+R39)+S39)+U39*x_ABS_D*x_WAGE/365</f>
        <v>886981850.276677</v>
      </c>
      <c r="AK39" s="0" t="n">
        <f aca="false">AJ39*x_R_FUS</f>
        <v>280641057.427541</v>
      </c>
      <c r="AL39" s="0" t="n">
        <f aca="false">AJ39*x_R_NFZ</f>
        <v>68883897.474337</v>
      </c>
      <c r="AM39" s="0" t="n">
        <f aca="false">AJ39*x_R_PIT</f>
        <v>58970255.5312153</v>
      </c>
      <c r="AN39" s="0" t="n">
        <f aca="false">AJ39*x_R_FP</f>
        <v>22618037.1820553</v>
      </c>
      <c r="AO39" s="0" t="n">
        <f aca="false">AA39+AB39+AC39+AD39+AF39</f>
        <v>928915917.631757</v>
      </c>
      <c r="AP39" s="0" t="n">
        <f aca="false">AO39+AE39+AG39+AH39+AI39+AK39+AL39+AM39+AN39</f>
        <v>1552606487.1352</v>
      </c>
      <c r="AQ39" s="0" t="n">
        <f aca="false">AO39+AE39+AG39+AJ39</f>
        <v>1815897767.90843</v>
      </c>
      <c r="AR39" s="0" t="n">
        <f aca="false">AB39+AC39+AD39+AF39</f>
        <v>0</v>
      </c>
      <c r="AS39" s="0" t="n">
        <f aca="false">AR39+AE39+AG39</f>
        <v>0</v>
      </c>
    </row>
    <row r="40" customFormat="false" ht="15" hidden="false" customHeight="false" outlineLevel="0" collapsed="false">
      <c r="A40" s="0" t="n">
        <v>2063</v>
      </c>
      <c r="B40" s="0" t="n">
        <v>37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100733.298</v>
      </c>
      <c r="I40" s="0" t="n">
        <v>19510.16</v>
      </c>
      <c r="J40" s="0" t="n">
        <v>3371.828</v>
      </c>
      <c r="K40" s="0" t="n">
        <v>5588.355</v>
      </c>
      <c r="L40" s="0" t="n">
        <v>1641.382</v>
      </c>
      <c r="M40" s="0" t="n">
        <v>0</v>
      </c>
      <c r="N40" s="0" t="n">
        <v>0</v>
      </c>
      <c r="O40" s="0" t="n">
        <v>186.097</v>
      </c>
      <c r="P40" s="0" t="n">
        <v>185.486</v>
      </c>
      <c r="Q40" s="0" t="n">
        <v>1720.857</v>
      </c>
      <c r="R40" s="0" t="n">
        <v>2598.729</v>
      </c>
      <c r="S40" s="0" t="n">
        <v>6021.573</v>
      </c>
      <c r="T40" s="0" t="n">
        <v>120243.458</v>
      </c>
      <c r="U40" s="0" t="n">
        <v>80387.885</v>
      </c>
      <c r="V40" s="0" t="n">
        <v>142518.58</v>
      </c>
      <c r="W40" s="0" t="n">
        <v>690.395</v>
      </c>
      <c r="X40" s="0" t="n">
        <v>1722.773</v>
      </c>
      <c r="Y40" s="0" t="n">
        <v>186.097</v>
      </c>
      <c r="Z40" s="0" t="n">
        <v>1922.332</v>
      </c>
      <c r="AA40" s="0" t="n">
        <f aca="false">H40*x_c_F+I40*x_c_CC+J40*x_c_DC+K40*x_c_HCC+L40*x_c_PLT+M40*x_c_SVRn+N40*x_c_SVRcc+O40*x_c_LT+P40*x_c_LT1</f>
        <v>940950110.860995</v>
      </c>
      <c r="AB40" s="0" t="n">
        <f aca="false">C40*x_c_DAA</f>
        <v>0</v>
      </c>
      <c r="AC40" s="0" t="n">
        <f aca="false">C40*x_c_MON</f>
        <v>0</v>
      </c>
      <c r="AD40" s="0" t="n">
        <f aca="false">D40*(1-x_testy)</f>
        <v>0</v>
      </c>
      <c r="AE40" s="0" t="n">
        <f aca="false">E40*(1-x_testy)</f>
        <v>0</v>
      </c>
      <c r="AF40" s="0" t="n">
        <f aca="false">F40*x_NAV</f>
        <v>0</v>
      </c>
      <c r="AG40" s="0" t="n">
        <f aca="false">G40*x_FIX*(1-x_testy)</f>
        <v>0</v>
      </c>
      <c r="AH40" s="0" t="n">
        <f aca="false">x_z_F*U40+(1-x_AGRI)*x_EMP*x_WLOSS*(x_PEN_K74*Q40+x_PEN_C22*R40)</f>
        <v>193385632.771227</v>
      </c>
      <c r="AI40" s="0" t="n">
        <f aca="false">x_AGRI*x_EMP*x_WLOSS*(x_PEN_K74*Q40+x_PEN_C22*R40)</f>
        <v>1858390.40030183</v>
      </c>
      <c r="AJ40" s="0" t="n">
        <f aca="false">x_EMP*x_WAGE*(x_WLOSS*(Q40+R40)+S40)+U40*x_ABS_D*x_WAGE/365</f>
        <v>890919894.258531</v>
      </c>
      <c r="AK40" s="0" t="n">
        <f aca="false">AJ40*x_R_FUS</f>
        <v>281887054.543399</v>
      </c>
      <c r="AL40" s="0" t="n">
        <f aca="false">AJ40*x_R_NFZ</f>
        <v>69189729.9080118</v>
      </c>
      <c r="AM40" s="0" t="n">
        <f aca="false">AJ40*x_R_PIT</f>
        <v>59232073.1319144</v>
      </c>
      <c r="AN40" s="0" t="n">
        <f aca="false">AJ40*x_R_FP</f>
        <v>22718457.3035925</v>
      </c>
      <c r="AO40" s="0" t="n">
        <f aca="false">AA40+AB40+AC40+AD40+AF40</f>
        <v>940950110.860995</v>
      </c>
      <c r="AP40" s="0" t="n">
        <f aca="false">AO40+AE40+AG40+AH40+AI40+AK40+AL40+AM40+AN40</f>
        <v>1569221448.91944</v>
      </c>
      <c r="AQ40" s="0" t="n">
        <f aca="false">AO40+AE40+AG40+AJ40</f>
        <v>1831870005.11953</v>
      </c>
      <c r="AR40" s="0" t="n">
        <f aca="false">AB40+AC40+AD40+AF40</f>
        <v>0</v>
      </c>
      <c r="AS40" s="0" t="n">
        <f aca="false">AR40+AE40+AG40</f>
        <v>0</v>
      </c>
    </row>
    <row r="41" customFormat="false" ht="15" hidden="false" customHeight="false" outlineLevel="0" collapsed="false">
      <c r="A41" s="0" t="n">
        <v>2064</v>
      </c>
      <c r="B41" s="0" t="n">
        <v>38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102737.155</v>
      </c>
      <c r="I41" s="0" t="n">
        <v>19983.992</v>
      </c>
      <c r="J41" s="0" t="n">
        <v>3395.058</v>
      </c>
      <c r="K41" s="0" t="n">
        <v>5632.482</v>
      </c>
      <c r="L41" s="0" t="n">
        <v>1637.527</v>
      </c>
      <c r="M41" s="0" t="n">
        <v>0</v>
      </c>
      <c r="N41" s="0" t="n">
        <v>0</v>
      </c>
      <c r="O41" s="0" t="n">
        <v>187.411</v>
      </c>
      <c r="P41" s="0" t="n">
        <v>186.754</v>
      </c>
      <c r="Q41" s="0" t="n">
        <v>1721.134</v>
      </c>
      <c r="R41" s="0" t="n">
        <v>2599.107</v>
      </c>
      <c r="S41" s="0" t="n">
        <v>6022.627</v>
      </c>
      <c r="T41" s="0" t="n">
        <v>122721.147</v>
      </c>
      <c r="U41" s="0" t="n">
        <v>81656.663</v>
      </c>
      <c r="V41" s="0" t="n">
        <v>143186.28</v>
      </c>
      <c r="W41" s="0" t="n">
        <v>696.283</v>
      </c>
      <c r="X41" s="0" t="n">
        <v>1737.487</v>
      </c>
      <c r="Y41" s="0" t="n">
        <v>187.411</v>
      </c>
      <c r="Z41" s="0" t="n">
        <v>1936.271</v>
      </c>
      <c r="AA41" s="0" t="n">
        <f aca="false">H41*x_c_F+I41*x_c_CC+J41*x_c_DC+K41*x_c_HCC+L41*x_c_PLT+M41*x_c_SVRn+N41*x_c_SVRcc+O41*x_c_LT+P41*x_c_LT1</f>
        <v>953030591.735196</v>
      </c>
      <c r="AB41" s="0" t="n">
        <f aca="false">C41*x_c_DAA</f>
        <v>0</v>
      </c>
      <c r="AC41" s="0" t="n">
        <f aca="false">C41*x_c_MON</f>
        <v>0</v>
      </c>
      <c r="AD41" s="0" t="n">
        <f aca="false">D41*(1-x_testy)</f>
        <v>0</v>
      </c>
      <c r="AE41" s="0" t="n">
        <f aca="false">E41*(1-x_testy)</f>
        <v>0</v>
      </c>
      <c r="AF41" s="0" t="n">
        <f aca="false">F41*x_NAV</f>
        <v>0</v>
      </c>
      <c r="AG41" s="0" t="n">
        <f aca="false">G41*x_FIX*(1-x_testy)</f>
        <v>0</v>
      </c>
      <c r="AH41" s="0" t="n">
        <f aca="false">x_z_F*U41+(1-x_AGRI)*x_EMP*x_WLOSS*(x_PEN_K74*Q41+x_PEN_C22*R41)</f>
        <v>195998371.98549</v>
      </c>
      <c r="AI41" s="0" t="n">
        <f aca="false">x_AGRI*x_EMP*x_WLOSS*(x_PEN_K74*Q41+x_PEN_C22*R41)</f>
        <v>1858671.3258952</v>
      </c>
      <c r="AJ41" s="0" t="n">
        <f aca="false">x_EMP*x_WAGE*(x_WLOSS*(Q41+R41)+S41)+U41*x_ABS_D*x_WAGE/365</f>
        <v>894758101.928554</v>
      </c>
      <c r="AK41" s="0" t="n">
        <f aca="false">AJ41*x_R_FUS</f>
        <v>283101463.450195</v>
      </c>
      <c r="AL41" s="0" t="n">
        <f aca="false">AJ41*x_R_NFZ</f>
        <v>69487808.9538735</v>
      </c>
      <c r="AM41" s="0" t="n">
        <f aca="false">AJ41*x_R_PIT</f>
        <v>59487253.1979017</v>
      </c>
      <c r="AN41" s="0" t="n">
        <f aca="false">AJ41*x_R_FP</f>
        <v>22816331.5991781</v>
      </c>
      <c r="AO41" s="0" t="n">
        <f aca="false">AA41+AB41+AC41+AD41+AF41</f>
        <v>953030591.735196</v>
      </c>
      <c r="AP41" s="0" t="n">
        <f aca="false">AO41+AE41+AG41+AH41+AI41+AK41+AL41+AM41+AN41</f>
        <v>1585780492.24773</v>
      </c>
      <c r="AQ41" s="0" t="n">
        <f aca="false">AO41+AE41+AG41+AJ41</f>
        <v>1847788693.66375</v>
      </c>
      <c r="AR41" s="0" t="n">
        <f aca="false">AB41+AC41+AD41+AF41</f>
        <v>0</v>
      </c>
      <c r="AS41" s="0" t="n">
        <f aca="false">AR41+AE41+AG41</f>
        <v>0</v>
      </c>
    </row>
    <row r="42" customFormat="false" ht="15" hidden="false" customHeight="false" outlineLevel="0" collapsed="false">
      <c r="A42" s="0" t="n">
        <v>2065</v>
      </c>
      <c r="B42" s="0" t="n">
        <v>39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104709.795</v>
      </c>
      <c r="I42" s="0" t="n">
        <v>20468.283</v>
      </c>
      <c r="J42" s="0" t="n">
        <v>3420.652</v>
      </c>
      <c r="K42" s="0" t="n">
        <v>5680.052</v>
      </c>
      <c r="L42" s="0" t="n">
        <v>1633.974</v>
      </c>
      <c r="M42" s="0" t="n">
        <v>0</v>
      </c>
      <c r="N42" s="0" t="n">
        <v>0</v>
      </c>
      <c r="O42" s="0" t="n">
        <v>188.895</v>
      </c>
      <c r="P42" s="0" t="n">
        <v>188.153</v>
      </c>
      <c r="Q42" s="0" t="n">
        <v>1721.358</v>
      </c>
      <c r="R42" s="0" t="n">
        <v>2599.41</v>
      </c>
      <c r="S42" s="0" t="n">
        <v>6023.486</v>
      </c>
      <c r="T42" s="0" t="n">
        <v>125178.078</v>
      </c>
      <c r="U42" s="0" t="n">
        <v>82900.747</v>
      </c>
      <c r="V42" s="0" t="n">
        <v>143850.374</v>
      </c>
      <c r="W42" s="0" t="n">
        <v>702.671</v>
      </c>
      <c r="X42" s="0" t="n">
        <v>1753.308</v>
      </c>
      <c r="Y42" s="0" t="n">
        <v>188.895</v>
      </c>
      <c r="Z42" s="0" t="n">
        <v>1951.816</v>
      </c>
      <c r="AA42" s="0" t="n">
        <f aca="false">H42*x_c_F+I42*x_c_CC+J42*x_c_DC+K42*x_c_HCC+L42*x_c_PLT+M42*x_c_SVRn+N42*x_c_SVRcc+O42*x_c_LT+P42*x_c_LT1</f>
        <v>965408610.563755</v>
      </c>
      <c r="AB42" s="0" t="n">
        <f aca="false">C42*x_c_DAA</f>
        <v>0</v>
      </c>
      <c r="AC42" s="0" t="n">
        <f aca="false">C42*x_c_MON</f>
        <v>0</v>
      </c>
      <c r="AD42" s="0" t="n">
        <f aca="false">D42*(1-x_testy)</f>
        <v>0</v>
      </c>
      <c r="AE42" s="0" t="n">
        <f aca="false">E42*(1-x_testy)</f>
        <v>0</v>
      </c>
      <c r="AF42" s="0" t="n">
        <f aca="false">F42*x_NAV</f>
        <v>0</v>
      </c>
      <c r="AG42" s="0" t="n">
        <f aca="false">G42*x_FIX*(1-x_testy)</f>
        <v>0</v>
      </c>
      <c r="AH42" s="0" t="n">
        <f aca="false">x_z_F*U42+(1-x_AGRI)*x_EMP*x_WLOSS*(x_PEN_K74*Q42+x_PEN_C22*R42)</f>
        <v>198559511.152983</v>
      </c>
      <c r="AI42" s="0" t="n">
        <f aca="false">x_AGRI*x_EMP*x_WLOSS*(x_PEN_K74*Q42+x_PEN_C22*R42)</f>
        <v>1858897.29167167</v>
      </c>
      <c r="AJ42" s="0" t="n">
        <f aca="false">x_EMP*x_WAGE*(x_WLOSS*(Q42+R42)+S42)+U42*x_ABS_D*x_WAGE/365</f>
        <v>898502958.102959</v>
      </c>
      <c r="AK42" s="0" t="n">
        <f aca="false">AJ42*x_R_FUS</f>
        <v>284286335.943776</v>
      </c>
      <c r="AL42" s="0" t="n">
        <f aca="false">AJ42*x_R_NFZ</f>
        <v>69778638.2292339</v>
      </c>
      <c r="AM42" s="0" t="n">
        <f aca="false">AJ42*x_R_PIT</f>
        <v>59736226.8668256</v>
      </c>
      <c r="AN42" s="0" t="n">
        <f aca="false">AJ42*x_R_FP</f>
        <v>22911825.4316255</v>
      </c>
      <c r="AO42" s="0" t="n">
        <f aca="false">AA42+AB42+AC42+AD42+AF42</f>
        <v>965408610.563755</v>
      </c>
      <c r="AP42" s="0" t="n">
        <f aca="false">AO42+AE42+AG42+AH42+AI42+AK42+AL42+AM42+AN42</f>
        <v>1602540045.47987</v>
      </c>
      <c r="AQ42" s="0" t="n">
        <f aca="false">AO42+AE42+AG42+AJ42</f>
        <v>1863911568.66671</v>
      </c>
      <c r="AR42" s="0" t="n">
        <f aca="false">AB42+AC42+AD42+AF42</f>
        <v>0</v>
      </c>
      <c r="AS42" s="0" t="n">
        <f aca="false">AR42+AE42+AG42</f>
        <v>0</v>
      </c>
    </row>
    <row r="43" customFormat="false" ht="15" hidden="false" customHeight="false" outlineLevel="0" collapsed="false">
      <c r="A43" s="0" t="n">
        <v>2066</v>
      </c>
      <c r="B43" s="0" t="n">
        <v>40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106653.752</v>
      </c>
      <c r="I43" s="0" t="n">
        <v>20968.058</v>
      </c>
      <c r="J43" s="0" t="n">
        <v>3449.823</v>
      </c>
      <c r="K43" s="0" t="n">
        <v>5732.581</v>
      </c>
      <c r="L43" s="0" t="n">
        <v>1631.964</v>
      </c>
      <c r="M43" s="0" t="n">
        <v>0</v>
      </c>
      <c r="N43" s="0" t="n">
        <v>0</v>
      </c>
      <c r="O43" s="0" t="n">
        <v>190.608</v>
      </c>
      <c r="P43" s="0" t="n">
        <v>189.752</v>
      </c>
      <c r="Q43" s="0" t="n">
        <v>1721.536</v>
      </c>
      <c r="R43" s="0" t="n">
        <v>2599.647</v>
      </c>
      <c r="S43" s="0" t="n">
        <v>6024.181</v>
      </c>
      <c r="T43" s="0" t="n">
        <v>127621.809</v>
      </c>
      <c r="U43" s="0" t="n">
        <v>84121.145</v>
      </c>
      <c r="V43" s="0" t="n">
        <v>144519.512</v>
      </c>
      <c r="W43" s="0" t="n">
        <v>709.697</v>
      </c>
      <c r="X43" s="0" t="n">
        <v>1770.556</v>
      </c>
      <c r="Y43" s="0" t="n">
        <v>190.608</v>
      </c>
      <c r="Z43" s="0" t="n">
        <v>1969.532</v>
      </c>
      <c r="AA43" s="0" t="n">
        <f aca="false">H43*x_c_F+I43*x_c_CC+J43*x_c_DC+K43*x_c_HCC+L43*x_c_PLT+M43*x_c_SVRn+N43*x_c_SVRcc+O43*x_c_LT+P43*x_c_LT1</f>
        <v>978299075.139638</v>
      </c>
      <c r="AB43" s="0" t="n">
        <f aca="false">C43*x_c_DAA</f>
        <v>0</v>
      </c>
      <c r="AC43" s="0" t="n">
        <f aca="false">C43*x_c_MON</f>
        <v>0</v>
      </c>
      <c r="AD43" s="0" t="n">
        <f aca="false">D43*(1-x_testy)</f>
        <v>0</v>
      </c>
      <c r="AE43" s="0" t="n">
        <f aca="false">E43*(1-x_testy)</f>
        <v>0</v>
      </c>
      <c r="AF43" s="0" t="n">
        <f aca="false">F43*x_NAV</f>
        <v>0</v>
      </c>
      <c r="AG43" s="0" t="n">
        <f aca="false">G43*x_FIX*(1-x_testy)</f>
        <v>0</v>
      </c>
      <c r="AH43" s="0" t="n">
        <f aca="false">x_z_F*U43+(1-x_AGRI)*x_EMP*x_WLOSS*(x_PEN_K74*Q43+x_PEN_C22*R43)</f>
        <v>201071226.255861</v>
      </c>
      <c r="AI43" s="0" t="n">
        <f aca="false">x_AGRI*x_EMP*x_WLOSS*(x_PEN_K74*Q43+x_PEN_C22*R43)</f>
        <v>1859075.14726213</v>
      </c>
      <c r="AJ43" s="0" t="n">
        <f aca="false">x_EMP*x_WAGE*(x_WLOSS*(Q43+R43)+S43)+U43*x_ABS_D*x_WAGE/365</f>
        <v>902160590.456599</v>
      </c>
      <c r="AK43" s="0" t="n">
        <f aca="false">AJ43*x_R_FUS</f>
        <v>285443610.820468</v>
      </c>
      <c r="AL43" s="0" t="n">
        <f aca="false">AJ43*x_R_NFZ</f>
        <v>70062693.61545</v>
      </c>
      <c r="AM43" s="0" t="n">
        <f aca="false">AJ43*x_R_PIT</f>
        <v>59979401.5320864</v>
      </c>
      <c r="AN43" s="0" t="n">
        <f aca="false">AJ43*x_R_FP</f>
        <v>23005095.0566433</v>
      </c>
      <c r="AO43" s="0" t="n">
        <f aca="false">AA43+AB43+AC43+AD43+AF43</f>
        <v>978299075.139638</v>
      </c>
      <c r="AP43" s="0" t="n">
        <f aca="false">AO43+AE43+AG43+AH43+AI43+AK43+AL43+AM43+AN43</f>
        <v>1619720177.56741</v>
      </c>
      <c r="AQ43" s="0" t="n">
        <f aca="false">AO43+AE43+AG43+AJ43</f>
        <v>1880459665.59624</v>
      </c>
      <c r="AR43" s="0" t="n">
        <f aca="false">AB43+AC43+AD43+AF43</f>
        <v>0</v>
      </c>
      <c r="AS43" s="0" t="n">
        <f aca="false">AR43+AE43+AG43</f>
        <v>0</v>
      </c>
    </row>
    <row r="44" customFormat="false" ht="15" hidden="false" customHeight="false" outlineLevel="0" collapsed="false">
      <c r="A44" s="0" t="n">
        <v>2067</v>
      </c>
      <c r="B44" s="0" t="n">
        <v>41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108570.27</v>
      </c>
      <c r="I44" s="0" t="n">
        <v>21486.631</v>
      </c>
      <c r="J44" s="0" t="n">
        <v>3483.401</v>
      </c>
      <c r="K44" s="0" t="n">
        <v>5791.032</v>
      </c>
      <c r="L44" s="0" t="n">
        <v>1632.562</v>
      </c>
      <c r="M44" s="0" t="n">
        <v>0</v>
      </c>
      <c r="N44" s="0" t="n">
        <v>0</v>
      </c>
      <c r="O44" s="0" t="n">
        <v>192.584</v>
      </c>
      <c r="P44" s="0" t="n">
        <v>191.596</v>
      </c>
      <c r="Q44" s="0" t="n">
        <v>1721.674</v>
      </c>
      <c r="R44" s="0" t="n">
        <v>2599.826</v>
      </c>
      <c r="S44" s="0" t="n">
        <v>6024.736</v>
      </c>
      <c r="T44" s="0" t="n">
        <v>130056.901</v>
      </c>
      <c r="U44" s="0" t="n">
        <v>85318.903</v>
      </c>
      <c r="V44" s="0" t="n">
        <v>145198.444</v>
      </c>
      <c r="W44" s="0" t="n">
        <v>717.419</v>
      </c>
      <c r="X44" s="0" t="n">
        <v>1789.356</v>
      </c>
      <c r="Y44" s="0" t="n">
        <v>192.584</v>
      </c>
      <c r="Z44" s="0" t="n">
        <v>1989.722</v>
      </c>
      <c r="AA44" s="0" t="n">
        <f aca="false">H44*x_c_F+I44*x_c_CC+J44*x_c_DC+K44*x_c_HCC+L44*x_c_PLT+M44*x_c_SVRn+N44*x_c_SVRcc+O44*x_c_LT+P44*x_c_LT1</f>
        <v>991846811.178255</v>
      </c>
      <c r="AB44" s="0" t="n">
        <f aca="false">C44*x_c_DAA</f>
        <v>0</v>
      </c>
      <c r="AC44" s="0" t="n">
        <f aca="false">C44*x_c_MON</f>
        <v>0</v>
      </c>
      <c r="AD44" s="0" t="n">
        <f aca="false">D44*(1-x_testy)</f>
        <v>0</v>
      </c>
      <c r="AE44" s="0" t="n">
        <f aca="false">E44*(1-x_testy)</f>
        <v>0</v>
      </c>
      <c r="AF44" s="0" t="n">
        <f aca="false">F44*x_NAV</f>
        <v>0</v>
      </c>
      <c r="AG44" s="0" t="n">
        <f aca="false">G44*x_FIX*(1-x_testy)</f>
        <v>0</v>
      </c>
      <c r="AH44" s="0" t="n">
        <f aca="false">x_z_F*U44+(1-x_AGRI)*x_EMP*x_WLOSS*(x_PEN_K74*Q44+x_PEN_C22*R44)</f>
        <v>203535758.549799</v>
      </c>
      <c r="AI44" s="0" t="n">
        <f aca="false">x_AGRI*x_EMP*x_WLOSS*(x_PEN_K74*Q44+x_PEN_C22*R44)</f>
        <v>1859210.89287571</v>
      </c>
      <c r="AJ44" s="0" t="n">
        <f aca="false">x_EMP*x_WAGE*(x_WLOSS*(Q44+R44)+S44)+U44*x_ABS_D*x_WAGE/365</f>
        <v>905736575.998957</v>
      </c>
      <c r="AK44" s="0" t="n">
        <f aca="false">AJ44*x_R_FUS</f>
        <v>286575052.64607</v>
      </c>
      <c r="AL44" s="0" t="n">
        <f aca="false">AJ44*x_R_NFZ</f>
        <v>70340408.228655</v>
      </c>
      <c r="AM44" s="0" t="n">
        <f aca="false">AJ44*x_R_PIT</f>
        <v>60217147.9765519</v>
      </c>
      <c r="AN44" s="0" t="n">
        <f aca="false">AJ44*x_R_FP</f>
        <v>23096282.6879734</v>
      </c>
      <c r="AO44" s="0" t="n">
        <f aca="false">AA44+AB44+AC44+AD44+AF44</f>
        <v>991846811.178255</v>
      </c>
      <c r="AP44" s="0" t="n">
        <f aca="false">AO44+AE44+AG44+AH44+AI44+AK44+AL44+AM44+AN44</f>
        <v>1637470672.16018</v>
      </c>
      <c r="AQ44" s="0" t="n">
        <f aca="false">AO44+AE44+AG44+AJ44</f>
        <v>1897583387.17721</v>
      </c>
      <c r="AR44" s="0" t="n">
        <f aca="false">AB44+AC44+AD44+AF44</f>
        <v>0</v>
      </c>
      <c r="AS44" s="0" t="n">
        <f aca="false">AR44+AE44+AG44</f>
        <v>0</v>
      </c>
    </row>
    <row r="45" customFormat="false" ht="15" hidden="false" customHeight="false" outlineLevel="0" collapsed="false">
      <c r="A45" s="0" t="n">
        <v>2068</v>
      </c>
      <c r="B45" s="0" t="n">
        <v>42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110459.446</v>
      </c>
      <c r="I45" s="0" t="n">
        <v>22025.58</v>
      </c>
      <c r="J45" s="0" t="n">
        <v>3521.838</v>
      </c>
      <c r="K45" s="0" t="n">
        <v>5855.828</v>
      </c>
      <c r="L45" s="0" t="n">
        <v>1636.627</v>
      </c>
      <c r="M45" s="0" t="n">
        <v>0</v>
      </c>
      <c r="N45" s="0" t="n">
        <v>0</v>
      </c>
      <c r="O45" s="0" t="n">
        <v>194.841</v>
      </c>
      <c r="P45" s="0" t="n">
        <v>193.713</v>
      </c>
      <c r="Q45" s="0" t="n">
        <v>1721.778</v>
      </c>
      <c r="R45" s="0" t="n">
        <v>2599.956</v>
      </c>
      <c r="S45" s="0" t="n">
        <v>6025.175</v>
      </c>
      <c r="T45" s="0" t="n">
        <v>132485.026</v>
      </c>
      <c r="U45" s="0" t="n">
        <v>86495.043</v>
      </c>
      <c r="V45" s="0" t="n">
        <v>145888.451</v>
      </c>
      <c r="W45" s="0" t="n">
        <v>725.845</v>
      </c>
      <c r="X45" s="0" t="n">
        <v>1809.725</v>
      </c>
      <c r="Y45" s="0" t="n">
        <v>194.841</v>
      </c>
      <c r="Z45" s="0" t="n">
        <v>2012.546</v>
      </c>
      <c r="AA45" s="0" t="n">
        <f aca="false">H45*x_c_F+I45*x_c_CC+J45*x_c_DC+K45*x_c_HCC+L45*x_c_PLT+M45*x_c_SVRn+N45*x_c_SVRcc+O45*x_c_LT+P45*x_c_LT1</f>
        <v>1006130222.52334</v>
      </c>
      <c r="AB45" s="0" t="n">
        <f aca="false">C45*x_c_DAA</f>
        <v>0</v>
      </c>
      <c r="AC45" s="0" t="n">
        <f aca="false">C45*x_c_MON</f>
        <v>0</v>
      </c>
      <c r="AD45" s="0" t="n">
        <f aca="false">D45*(1-x_testy)</f>
        <v>0</v>
      </c>
      <c r="AE45" s="0" t="n">
        <f aca="false">E45*(1-x_testy)</f>
        <v>0</v>
      </c>
      <c r="AF45" s="0" t="n">
        <f aca="false">F45*x_NAV</f>
        <v>0</v>
      </c>
      <c r="AG45" s="0" t="n">
        <f aca="false">G45*x_FIX*(1-x_testy)</f>
        <v>0</v>
      </c>
      <c r="AH45" s="0" t="n">
        <f aca="false">x_z_F*U45+(1-x_AGRI)*x_EMP*x_WLOSS*(x_PEN_K74*Q45+x_PEN_C22*R45)</f>
        <v>205955306.784604</v>
      </c>
      <c r="AI45" s="0" t="n">
        <f aca="false">x_AGRI*x_EMP*x_WLOSS*(x_PEN_K74*Q45+x_PEN_C22*R45)</f>
        <v>1859310.98056067</v>
      </c>
      <c r="AJ45" s="0" t="n">
        <f aca="false">x_EMP*x_WAGE*(x_WLOSS*(Q45+R45)+S45)+U45*x_ABS_D*x_WAGE/365</f>
        <v>909236453.9735</v>
      </c>
      <c r="AK45" s="0" t="n">
        <f aca="false">AJ45*x_R_FUS</f>
        <v>287682414.037216</v>
      </c>
      <c r="AL45" s="0" t="n">
        <f aca="false">AJ45*x_R_NFZ</f>
        <v>70612212.252036</v>
      </c>
      <c r="AM45" s="0" t="n">
        <f aca="false">AJ45*x_R_PIT</f>
        <v>60449834.472248</v>
      </c>
      <c r="AN45" s="0" t="n">
        <f aca="false">AJ45*x_R_FP</f>
        <v>23185529.5763243</v>
      </c>
      <c r="AO45" s="0" t="n">
        <f aca="false">AA45+AB45+AC45+AD45+AF45</f>
        <v>1006130222.52334</v>
      </c>
      <c r="AP45" s="0" t="n">
        <f aca="false">AO45+AE45+AG45+AH45+AI45+AK45+AL45+AM45+AN45</f>
        <v>1655874830.62633</v>
      </c>
      <c r="AQ45" s="0" t="n">
        <f aca="false">AO45+AE45+AG45+AJ45</f>
        <v>1915366676.49684</v>
      </c>
      <c r="AR45" s="0" t="n">
        <f aca="false">AB45+AC45+AD45+AF45</f>
        <v>0</v>
      </c>
      <c r="AS45" s="0" t="n">
        <f aca="false">AR45+AE45+AG45</f>
        <v>0</v>
      </c>
    </row>
    <row r="46" customFormat="false" ht="15" hidden="false" customHeight="false" outlineLevel="0" collapsed="false">
      <c r="A46" s="0" t="n">
        <v>2069</v>
      </c>
      <c r="B46" s="0" t="n">
        <v>43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112320.476</v>
      </c>
      <c r="I46" s="0" t="n">
        <v>22584.824</v>
      </c>
      <c r="J46" s="0" t="n">
        <v>3565.225</v>
      </c>
      <c r="K46" s="0" t="n">
        <v>5926.897</v>
      </c>
      <c r="L46" s="0" t="n">
        <v>1644.79</v>
      </c>
      <c r="M46" s="0" t="n">
        <v>0</v>
      </c>
      <c r="N46" s="0" t="n">
        <v>0</v>
      </c>
      <c r="O46" s="0" t="n">
        <v>197.372</v>
      </c>
      <c r="P46" s="0" t="n">
        <v>196.106</v>
      </c>
      <c r="Q46" s="0" t="n">
        <v>1721.853</v>
      </c>
      <c r="R46" s="0" t="n">
        <v>2600.043</v>
      </c>
      <c r="S46" s="0" t="n">
        <v>6025.514</v>
      </c>
      <c r="T46" s="0" t="n">
        <v>134905.3</v>
      </c>
      <c r="U46" s="0" t="n">
        <v>87650.526</v>
      </c>
      <c r="V46" s="0" t="n">
        <v>146587.973</v>
      </c>
      <c r="W46" s="0" t="n">
        <v>734.918</v>
      </c>
      <c r="X46" s="0" t="n">
        <v>1831.526</v>
      </c>
      <c r="Y46" s="0" t="n">
        <v>197.372</v>
      </c>
      <c r="Z46" s="0" t="n">
        <v>2037.928</v>
      </c>
      <c r="AA46" s="0" t="n">
        <f aca="false">H46*x_c_F+I46*x_c_CC+J46*x_c_DC+K46*x_c_HCC+L46*x_c_PLT+M46*x_c_SVRn+N46*x_c_SVRcc+O46*x_c_LT+P46*x_c_LT1</f>
        <v>1021161408.03391</v>
      </c>
      <c r="AB46" s="0" t="n">
        <f aca="false">C46*x_c_DAA</f>
        <v>0</v>
      </c>
      <c r="AC46" s="0" t="n">
        <f aca="false">C46*x_c_MON</f>
        <v>0</v>
      </c>
      <c r="AD46" s="0" t="n">
        <f aca="false">D46*(1-x_testy)</f>
        <v>0</v>
      </c>
      <c r="AE46" s="0" t="n">
        <f aca="false">E46*(1-x_testy)</f>
        <v>0</v>
      </c>
      <c r="AF46" s="0" t="n">
        <f aca="false">F46*x_NAV</f>
        <v>0</v>
      </c>
      <c r="AG46" s="0" t="n">
        <f aca="false">G46*x_FIX*(1-x_testy)</f>
        <v>0</v>
      </c>
      <c r="AH46" s="0" t="n">
        <f aca="false">x_z_F*U46+(1-x_AGRI)*x_EMP*x_WLOSS*(x_PEN_K74*Q46+x_PEN_C22*R46)</f>
        <v>208331917.777069</v>
      </c>
      <c r="AI46" s="0" t="n">
        <f aca="false">x_AGRI*x_EMP*x_WLOSS*(x_PEN_K74*Q46+x_PEN_C22*R46)</f>
        <v>1859380.10926517</v>
      </c>
      <c r="AJ46" s="0" t="n">
        <f aca="false">x_EMP*x_WAGE*(x_WLOSS*(Q46+R46)+S46)+U46*x_ABS_D*x_WAGE/365</f>
        <v>912664771.432582</v>
      </c>
      <c r="AK46" s="0" t="n">
        <f aca="false">AJ46*x_R_FUS</f>
        <v>288767133.681269</v>
      </c>
      <c r="AL46" s="0" t="n">
        <f aca="false">AJ46*x_R_NFZ</f>
        <v>70878458.8142258</v>
      </c>
      <c r="AM46" s="0" t="n">
        <f aca="false">AJ46*x_R_PIT</f>
        <v>60677763.3261937</v>
      </c>
      <c r="AN46" s="0" t="n">
        <f aca="false">AJ46*x_R_FP</f>
        <v>23272951.6715308</v>
      </c>
      <c r="AO46" s="0" t="n">
        <f aca="false">AA46+AB46+AC46+AD46+AF46</f>
        <v>1021161408.03391</v>
      </c>
      <c r="AP46" s="0" t="n">
        <f aca="false">AO46+AE46+AG46+AH46+AI46+AK46+AL46+AM46+AN46</f>
        <v>1674949013.41346</v>
      </c>
      <c r="AQ46" s="0" t="n">
        <f aca="false">AO46+AE46+AG46+AJ46</f>
        <v>1933826179.46649</v>
      </c>
      <c r="AR46" s="0" t="n">
        <f aca="false">AB46+AC46+AD46+AF46</f>
        <v>0</v>
      </c>
      <c r="AS46" s="0" t="n">
        <f aca="false">AR46+AE46+AG46</f>
        <v>0</v>
      </c>
    </row>
    <row r="47" customFormat="false" ht="15" hidden="false" customHeight="false" outlineLevel="0" collapsed="false">
      <c r="A47" s="0" t="n">
        <v>2070</v>
      </c>
      <c r="B47" s="0" t="n">
        <v>44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114151.675</v>
      </c>
      <c r="I47" s="0" t="n">
        <v>23162.5</v>
      </c>
      <c r="J47" s="0" t="n">
        <v>3613.273</v>
      </c>
      <c r="K47" s="0" t="n">
        <v>6003.653</v>
      </c>
      <c r="L47" s="0" t="n">
        <v>1657.391</v>
      </c>
      <c r="M47" s="0" t="n">
        <v>0</v>
      </c>
      <c r="N47" s="0" t="n">
        <v>0</v>
      </c>
      <c r="O47" s="0" t="n">
        <v>200.152</v>
      </c>
      <c r="P47" s="0" t="n">
        <v>198.762</v>
      </c>
      <c r="Q47" s="0" t="n">
        <v>1721.902</v>
      </c>
      <c r="R47" s="0" t="n">
        <v>2600.094</v>
      </c>
      <c r="S47" s="0" t="n">
        <v>6025.769</v>
      </c>
      <c r="T47" s="0" t="n">
        <v>137314.175</v>
      </c>
      <c r="U47" s="0" t="n">
        <v>88786.213</v>
      </c>
      <c r="V47" s="0" t="n">
        <v>147292.68</v>
      </c>
      <c r="W47" s="0" t="n">
        <v>744.531</v>
      </c>
      <c r="X47" s="0" t="n">
        <v>1854.51</v>
      </c>
      <c r="Y47" s="0" t="n">
        <v>200.152</v>
      </c>
      <c r="Z47" s="0" t="n">
        <v>2065.624</v>
      </c>
      <c r="AA47" s="0" t="n">
        <f aca="false">H47*x_c_F+I47*x_c_CC+J47*x_c_DC+K47*x_c_HCC+L47*x_c_PLT+M47*x_c_SVRn+N47*x_c_SVRcc+O47*x_c_LT+P47*x_c_LT1</f>
        <v>1036884841.69846</v>
      </c>
      <c r="AB47" s="0" t="n">
        <f aca="false">C47*x_c_DAA</f>
        <v>0</v>
      </c>
      <c r="AC47" s="0" t="n">
        <f aca="false">C47*x_c_MON</f>
        <v>0</v>
      </c>
      <c r="AD47" s="0" t="n">
        <f aca="false">D47*(1-x_testy)</f>
        <v>0</v>
      </c>
      <c r="AE47" s="0" t="n">
        <f aca="false">E47*(1-x_testy)</f>
        <v>0</v>
      </c>
      <c r="AF47" s="0" t="n">
        <f aca="false">F47*x_NAV</f>
        <v>0</v>
      </c>
      <c r="AG47" s="0" t="n">
        <f aca="false">G47*x_FIX*(1-x_testy)</f>
        <v>0</v>
      </c>
      <c r="AH47" s="0" t="n">
        <f aca="false">x_z_F*U47+(1-x_AGRI)*x_EMP*x_WLOSS*(x_PEN_K74*Q47+x_PEN_C22*R47)</f>
        <v>210667427.559136</v>
      </c>
      <c r="AI47" s="0" t="n">
        <f aca="false">x_AGRI*x_EMP*x_WLOSS*(x_PEN_K74*Q47+x_PEN_C22*R47)</f>
        <v>1859422.63461129</v>
      </c>
      <c r="AJ47" s="0" t="n">
        <f aca="false">x_EMP*x_WAGE*(x_WLOSS*(Q47+R47)+S47)+U47*x_ABS_D*x_WAGE/365</f>
        <v>916025748.957408</v>
      </c>
      <c r="AK47" s="0" t="n">
        <f aca="false">AJ47*x_R_FUS</f>
        <v>289830546.970124</v>
      </c>
      <c r="AL47" s="0" t="n">
        <f aca="false">AJ47*x_R_NFZ</f>
        <v>71139475.6897813</v>
      </c>
      <c r="AM47" s="0" t="n">
        <f aca="false">AJ47*x_R_PIT</f>
        <v>60901215.1402436</v>
      </c>
      <c r="AN47" s="0" t="n">
        <f aca="false">AJ47*x_R_FP</f>
        <v>23358656.5984139</v>
      </c>
      <c r="AO47" s="0" t="n">
        <f aca="false">AA47+AB47+AC47+AD47+AF47</f>
        <v>1036884841.69846</v>
      </c>
      <c r="AP47" s="0" t="n">
        <f aca="false">AO47+AE47+AG47+AH47+AI47+AK47+AL47+AM47+AN47</f>
        <v>1694641586.29077</v>
      </c>
      <c r="AQ47" s="0" t="n">
        <f aca="false">AO47+AE47+AG47+AJ47</f>
        <v>1952910590.65587</v>
      </c>
      <c r="AR47" s="0" t="n">
        <f aca="false">AB47+AC47+AD47+AF47</f>
        <v>0</v>
      </c>
      <c r="AS47" s="0" t="n">
        <f aca="false">AR47+AE47+AG47</f>
        <v>0</v>
      </c>
    </row>
    <row r="48" customFormat="false" ht="15" hidden="false" customHeight="false" outlineLevel="0" collapsed="false">
      <c r="A48" s="0" t="n">
        <v>2071</v>
      </c>
      <c r="B48" s="0" t="n">
        <v>45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115950.743</v>
      </c>
      <c r="I48" s="0" t="n">
        <v>23755.185</v>
      </c>
      <c r="J48" s="0" t="n">
        <v>3665.356</v>
      </c>
      <c r="K48" s="0" t="n">
        <v>6085.074</v>
      </c>
      <c r="L48" s="0" t="n">
        <v>1674.473</v>
      </c>
      <c r="M48" s="0" t="n">
        <v>0</v>
      </c>
      <c r="N48" s="0" t="n">
        <v>0</v>
      </c>
      <c r="O48" s="0" t="n">
        <v>203.138</v>
      </c>
      <c r="P48" s="0" t="n">
        <v>201.645</v>
      </c>
      <c r="Q48" s="0" t="n">
        <v>1721.932</v>
      </c>
      <c r="R48" s="0" t="n">
        <v>2600.117</v>
      </c>
      <c r="S48" s="0" t="n">
        <v>6025.954</v>
      </c>
      <c r="T48" s="0" t="n">
        <v>139705.929</v>
      </c>
      <c r="U48" s="0" t="n">
        <v>89902.831</v>
      </c>
      <c r="V48" s="0" t="n">
        <v>147996.155</v>
      </c>
      <c r="W48" s="0" t="n">
        <v>754.531</v>
      </c>
      <c r="X48" s="0" t="n">
        <v>1878.32</v>
      </c>
      <c r="Y48" s="0" t="n">
        <v>203.138</v>
      </c>
      <c r="Z48" s="0" t="n">
        <v>2095.199</v>
      </c>
      <c r="AA48" s="0" t="n">
        <f aca="false">H48*x_c_F+I48*x_c_CC+J48*x_c_DC+K48*x_c_HCC+L48*x_c_PLT+M48*x_c_SVRn+N48*x_c_SVRcc+O48*x_c_LT+P48*x_c_LT1</f>
        <v>1053184520.20224</v>
      </c>
      <c r="AB48" s="0" t="n">
        <f aca="false">C48*x_c_DAA</f>
        <v>0</v>
      </c>
      <c r="AC48" s="0" t="n">
        <f aca="false">C48*x_c_MON</f>
        <v>0</v>
      </c>
      <c r="AD48" s="0" t="n">
        <f aca="false">D48*(1-x_testy)</f>
        <v>0</v>
      </c>
      <c r="AE48" s="0" t="n">
        <f aca="false">E48*(1-x_testy)</f>
        <v>0</v>
      </c>
      <c r="AF48" s="0" t="n">
        <f aca="false">F48*x_NAV</f>
        <v>0</v>
      </c>
      <c r="AG48" s="0" t="n">
        <f aca="false">G48*x_FIX*(1-x_testy)</f>
        <v>0</v>
      </c>
      <c r="AH48" s="0" t="n">
        <f aca="false">x_z_F*U48+(1-x_AGRI)*x_EMP*x_WLOSS*(x_PEN_K74*Q48+x_PEN_C22*R48)</f>
        <v>212963427.567311</v>
      </c>
      <c r="AI48" s="0" t="n">
        <f aca="false">x_AGRI*x_EMP*x_WLOSS*(x_PEN_K74*Q48+x_PEN_C22*R48)</f>
        <v>1859444.95439076</v>
      </c>
      <c r="AJ48" s="0" t="n">
        <f aca="false">x_EMP*x_WAGE*(x_WLOSS*(Q48+R48)+S48)+U48*x_ABS_D*x_WAGE/365</f>
        <v>919323206.654592</v>
      </c>
      <c r="AK48" s="0" t="n">
        <f aca="false">AJ48*x_R_FUS</f>
        <v>290873862.585513</v>
      </c>
      <c r="AL48" s="0" t="n">
        <f aca="false">AJ48*x_R_NFZ</f>
        <v>71395559.5520023</v>
      </c>
      <c r="AM48" s="0" t="n">
        <f aca="false">AJ48*x_R_PIT</f>
        <v>61120443.8910299</v>
      </c>
      <c r="AN48" s="0" t="n">
        <f aca="false">AJ48*x_R_FP</f>
        <v>23442741.7696921</v>
      </c>
      <c r="AO48" s="0" t="n">
        <f aca="false">AA48+AB48+AC48+AD48+AF48</f>
        <v>1053184520.20224</v>
      </c>
      <c r="AP48" s="0" t="n">
        <f aca="false">AO48+AE48+AG48+AH48+AI48+AK48+AL48+AM48+AN48</f>
        <v>1714840000.52218</v>
      </c>
      <c r="AQ48" s="0" t="n">
        <f aca="false">AO48+AE48+AG48+AJ48</f>
        <v>1972507726.85684</v>
      </c>
      <c r="AR48" s="0" t="n">
        <f aca="false">AB48+AC48+AD48+AF48</f>
        <v>0</v>
      </c>
      <c r="AS48" s="0" t="n">
        <f aca="false">AR48+AE48+AG48</f>
        <v>0</v>
      </c>
    </row>
    <row r="49" customFormat="false" ht="15" hidden="false" customHeight="false" outlineLevel="0" collapsed="false">
      <c r="A49" s="0" t="n">
        <v>2072</v>
      </c>
      <c r="B49" s="0" t="n">
        <v>46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117715.109</v>
      </c>
      <c r="I49" s="0" t="n">
        <v>24358.367</v>
      </c>
      <c r="J49" s="0" t="n">
        <v>3720.611</v>
      </c>
      <c r="K49" s="0" t="n">
        <v>6169.851</v>
      </c>
      <c r="L49" s="0" t="n">
        <v>1695.828</v>
      </c>
      <c r="M49" s="0" t="n">
        <v>0</v>
      </c>
      <c r="N49" s="0" t="n">
        <v>0</v>
      </c>
      <c r="O49" s="0" t="n">
        <v>206.278</v>
      </c>
      <c r="P49" s="0" t="n">
        <v>204.708</v>
      </c>
      <c r="Q49" s="0" t="n">
        <v>1721.945</v>
      </c>
      <c r="R49" s="0" t="n">
        <v>2600.117</v>
      </c>
      <c r="S49" s="0" t="n">
        <v>6026.082</v>
      </c>
      <c r="T49" s="0" t="n">
        <v>142073.476</v>
      </c>
      <c r="U49" s="0" t="n">
        <v>91000.964</v>
      </c>
      <c r="V49" s="0" t="n">
        <v>148690.886</v>
      </c>
      <c r="W49" s="0" t="n">
        <v>764.752</v>
      </c>
      <c r="X49" s="0" t="n">
        <v>1902.574</v>
      </c>
      <c r="Y49" s="0" t="n">
        <v>206.278</v>
      </c>
      <c r="Z49" s="0" t="n">
        <v>2126.161</v>
      </c>
      <c r="AA49" s="0" t="n">
        <f aca="false">H49*x_c_F+I49*x_c_CC+J49*x_c_DC+K49*x_c_HCC+L49*x_c_PLT+M49*x_c_SVRn+N49*x_c_SVRcc+O49*x_c_LT+P49*x_c_LT1</f>
        <v>1069903825.61478</v>
      </c>
      <c r="AB49" s="0" t="n">
        <f aca="false">C49*x_c_DAA</f>
        <v>0</v>
      </c>
      <c r="AC49" s="0" t="n">
        <f aca="false">C49*x_c_MON</f>
        <v>0</v>
      </c>
      <c r="AD49" s="0" t="n">
        <f aca="false">D49*(1-x_testy)</f>
        <v>0</v>
      </c>
      <c r="AE49" s="0" t="n">
        <f aca="false">E49*(1-x_testy)</f>
        <v>0</v>
      </c>
      <c r="AF49" s="0" t="n">
        <f aca="false">F49*x_NAV</f>
        <v>0</v>
      </c>
      <c r="AG49" s="0" t="n">
        <f aca="false">G49*x_FIX*(1-x_testy)</f>
        <v>0</v>
      </c>
      <c r="AH49" s="0" t="n">
        <f aca="false">x_z_F*U49+(1-x_AGRI)*x_EMP*x_WLOSS*(x_PEN_K74*Q49+x_PEN_C22*R49)</f>
        <v>215221164.660585</v>
      </c>
      <c r="AI49" s="0" t="n">
        <f aca="false">x_AGRI*x_EMP*x_WLOSS*(x_PEN_K74*Q49+x_PEN_C22*R49)</f>
        <v>1859450.12296469</v>
      </c>
      <c r="AJ49" s="0" t="n">
        <f aca="false">x_EMP*x_WAGE*(x_WLOSS*(Q49+R49)+S49)+U49*x_ABS_D*x_WAGE/365</f>
        <v>922560197.470549</v>
      </c>
      <c r="AK49" s="0" t="n">
        <f aca="false">AJ49*x_R_FUS</f>
        <v>291898046.479682</v>
      </c>
      <c r="AL49" s="0" t="n">
        <f aca="false">AJ49*x_R_NFZ</f>
        <v>71646947.4957603</v>
      </c>
      <c r="AM49" s="0" t="n">
        <f aca="false">AJ49*x_R_PIT</f>
        <v>61335652.5511729</v>
      </c>
      <c r="AN49" s="0" t="n">
        <f aca="false">AJ49*x_R_FP</f>
        <v>23525285.035499</v>
      </c>
      <c r="AO49" s="0" t="n">
        <f aca="false">AA49+AB49+AC49+AD49+AF49</f>
        <v>1069903825.61478</v>
      </c>
      <c r="AP49" s="0" t="n">
        <f aca="false">AO49+AE49+AG49+AH49+AI49+AK49+AL49+AM49+AN49</f>
        <v>1735390371.96044</v>
      </c>
      <c r="AQ49" s="0" t="n">
        <f aca="false">AO49+AE49+AG49+AJ49</f>
        <v>1992464023.08532</v>
      </c>
      <c r="AR49" s="0" t="n">
        <f aca="false">AB49+AC49+AD49+AF49</f>
        <v>0</v>
      </c>
      <c r="AS49" s="0" t="n">
        <f aca="false">AR49+AE49+AG49</f>
        <v>0</v>
      </c>
    </row>
    <row r="50" customFormat="false" ht="15" hidden="false" customHeight="false" outlineLevel="0" collapsed="false">
      <c r="A50" s="0" t="n">
        <v>2073</v>
      </c>
      <c r="B50" s="0" t="n">
        <v>47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119442.027</v>
      </c>
      <c r="I50" s="0" t="n">
        <v>24966.557</v>
      </c>
      <c r="J50" s="0" t="n">
        <v>3777.961</v>
      </c>
      <c r="K50" s="0" t="n">
        <v>6256.421</v>
      </c>
      <c r="L50" s="0" t="n">
        <v>1720.973</v>
      </c>
      <c r="M50" s="0" t="n">
        <v>0</v>
      </c>
      <c r="N50" s="0" t="n">
        <v>0</v>
      </c>
      <c r="O50" s="0" t="n">
        <v>209.504</v>
      </c>
      <c r="P50" s="0" t="n">
        <v>207.891</v>
      </c>
      <c r="Q50" s="0" t="n">
        <v>1721.946</v>
      </c>
      <c r="R50" s="0" t="n">
        <v>2600.102</v>
      </c>
      <c r="S50" s="0" t="n">
        <v>6026.162</v>
      </c>
      <c r="T50" s="0" t="n">
        <v>144408.584</v>
      </c>
      <c r="U50" s="0" t="n">
        <v>92081.041</v>
      </c>
      <c r="V50" s="0" t="n">
        <v>149368.522</v>
      </c>
      <c r="W50" s="0" t="n">
        <v>774.992</v>
      </c>
      <c r="X50" s="0" t="n">
        <v>1926.807</v>
      </c>
      <c r="Y50" s="0" t="n">
        <v>209.504</v>
      </c>
      <c r="Z50" s="0" t="n">
        <v>2157.848</v>
      </c>
      <c r="AA50" s="0" t="n">
        <f aca="false">H50*x_c_F+I50*x_c_CC+J50*x_c_DC+K50*x_c_HCC+L50*x_c_PLT+M50*x_c_SVRn+N50*x_c_SVRcc+O50*x_c_LT+P50*x_c_LT1</f>
        <v>1086845648.91621</v>
      </c>
      <c r="AB50" s="0" t="n">
        <f aca="false">C50*x_c_DAA</f>
        <v>0</v>
      </c>
      <c r="AC50" s="0" t="n">
        <f aca="false">C50*x_c_MON</f>
        <v>0</v>
      </c>
      <c r="AD50" s="0" t="n">
        <f aca="false">D50*(1-x_testy)</f>
        <v>0</v>
      </c>
      <c r="AE50" s="0" t="n">
        <f aca="false">E50*(1-x_testy)</f>
        <v>0</v>
      </c>
      <c r="AF50" s="0" t="n">
        <f aca="false">F50*x_NAV</f>
        <v>0</v>
      </c>
      <c r="AG50" s="0" t="n">
        <f aca="false">G50*x_FIX*(1-x_testy)</f>
        <v>0</v>
      </c>
      <c r="AH50" s="0" t="n">
        <f aca="false">x_z_F*U50+(1-x_AGRI)*x_EMP*x_WLOSS*(x_PEN_K74*Q50+x_PEN_C22*R50)</f>
        <v>217441605.585211</v>
      </c>
      <c r="AI50" s="0" t="n">
        <f aca="false">x_AGRI*x_EMP*x_WLOSS*(x_PEN_K74*Q50+x_PEN_C22*R50)</f>
        <v>1859443.74295959</v>
      </c>
      <c r="AJ50" s="0" t="n">
        <f aca="false">x_EMP*x_WAGE*(x_WLOSS*(Q50+R50)+S50)+U50*x_ABS_D*x_WAGE/365</f>
        <v>925739174.402294</v>
      </c>
      <c r="AK50" s="0" t="n">
        <f aca="false">AJ50*x_R_FUS</f>
        <v>292903874.780886</v>
      </c>
      <c r="AL50" s="0" t="n">
        <f aca="false">AJ50*x_R_NFZ</f>
        <v>71893830.0232566</v>
      </c>
      <c r="AM50" s="0" t="n">
        <f aca="false">AJ50*x_R_PIT</f>
        <v>61547004.2061525</v>
      </c>
      <c r="AN50" s="0" t="n">
        <f aca="false">AJ50*x_R_FP</f>
        <v>23606348.9472585</v>
      </c>
      <c r="AO50" s="0" t="n">
        <f aca="false">AA50+AB50+AC50+AD50+AF50</f>
        <v>1086845648.91621</v>
      </c>
      <c r="AP50" s="0" t="n">
        <f aca="false">AO50+AE50+AG50+AH50+AI50+AK50+AL50+AM50+AN50</f>
        <v>1756097756.20194</v>
      </c>
      <c r="AQ50" s="0" t="n">
        <f aca="false">AO50+AE50+AG50+AJ50</f>
        <v>2012584823.31851</v>
      </c>
      <c r="AR50" s="0" t="n">
        <f aca="false">AB50+AC50+AD50+AF50</f>
        <v>0</v>
      </c>
      <c r="AS50" s="0" t="n">
        <f aca="false">AR50+AE50+AG50</f>
        <v>0</v>
      </c>
    </row>
    <row r="51" customFormat="false" ht="15" hidden="false" customHeight="false" outlineLevel="0" collapsed="false">
      <c r="A51" s="0" t="n">
        <v>2074</v>
      </c>
      <c r="B51" s="0" t="n">
        <v>48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121128.782</v>
      </c>
      <c r="I51" s="0" t="n">
        <v>25573.656</v>
      </c>
      <c r="J51" s="0" t="n">
        <v>3836.188</v>
      </c>
      <c r="K51" s="0" t="n">
        <v>6343.079</v>
      </c>
      <c r="L51" s="0" t="n">
        <v>1749.178</v>
      </c>
      <c r="M51" s="0" t="n">
        <v>0</v>
      </c>
      <c r="N51" s="0" t="n">
        <v>0</v>
      </c>
      <c r="O51" s="0" t="n">
        <v>212.748</v>
      </c>
      <c r="P51" s="0" t="n">
        <v>211.126</v>
      </c>
      <c r="Q51" s="0" t="n">
        <v>1721.938</v>
      </c>
      <c r="R51" s="0" t="n">
        <v>2600.076</v>
      </c>
      <c r="S51" s="0" t="n">
        <v>6026.205</v>
      </c>
      <c r="T51" s="0" t="n">
        <v>146702.438</v>
      </c>
      <c r="U51" s="0" t="n">
        <v>93143.334</v>
      </c>
      <c r="V51" s="0" t="n">
        <v>150020.476</v>
      </c>
      <c r="W51" s="0" t="n">
        <v>785.062</v>
      </c>
      <c r="X51" s="0" t="n">
        <v>1950.582</v>
      </c>
      <c r="Y51" s="0" t="n">
        <v>212.748</v>
      </c>
      <c r="Z51" s="0" t="n">
        <v>2189.618</v>
      </c>
      <c r="AA51" s="0" t="n">
        <f aca="false">H51*x_c_F+I51*x_c_CC+J51*x_c_DC+K51*x_c_HCC+L51*x_c_PLT+M51*x_c_SVRn+N51*x_c_SVRcc+O51*x_c_LT+P51*x_c_LT1</f>
        <v>1103789961.41986</v>
      </c>
      <c r="AB51" s="0" t="n">
        <f aca="false">C51*x_c_DAA</f>
        <v>0</v>
      </c>
      <c r="AC51" s="0" t="n">
        <f aca="false">C51*x_c_MON</f>
        <v>0</v>
      </c>
      <c r="AD51" s="0" t="n">
        <f aca="false">D51*(1-x_testy)</f>
        <v>0</v>
      </c>
      <c r="AE51" s="0" t="n">
        <f aca="false">E51*(1-x_testy)</f>
        <v>0</v>
      </c>
      <c r="AF51" s="0" t="n">
        <f aca="false">F51*x_NAV</f>
        <v>0</v>
      </c>
      <c r="AG51" s="0" t="n">
        <f aca="false">G51*x_FIX*(1-x_testy)</f>
        <v>0</v>
      </c>
      <c r="AH51" s="0" t="n">
        <f aca="false">x_z_F*U51+(1-x_AGRI)*x_EMP*x_WLOSS*(x_PEN_K74*Q51+x_PEN_C22*R51)</f>
        <v>219625354.936468</v>
      </c>
      <c r="AI51" s="0" t="n">
        <f aca="false">x_AGRI*x_EMP*x_WLOSS*(x_PEN_K74*Q51+x_PEN_C22*R51)</f>
        <v>1859428.81448001</v>
      </c>
      <c r="AJ51" s="0" t="n">
        <f aca="false">x_EMP*x_WAGE*(x_WLOSS*(Q51+R51)+S51)+U51*x_ABS_D*x_WAGE/365</f>
        <v>928862103.407574</v>
      </c>
      <c r="AK51" s="0" t="n">
        <f aca="false">AJ51*x_R_FUS</f>
        <v>293891969.518156</v>
      </c>
      <c r="AL51" s="0" t="n">
        <f aca="false">AJ51*x_R_NFZ</f>
        <v>72136359.8127356</v>
      </c>
      <c r="AM51" s="0" t="n">
        <f aca="false">AJ51*x_R_PIT</f>
        <v>61754629.5610453</v>
      </c>
      <c r="AN51" s="0" t="n">
        <f aca="false">AJ51*x_R_FP</f>
        <v>23685983.6368931</v>
      </c>
      <c r="AO51" s="0" t="n">
        <f aca="false">AA51+AB51+AC51+AD51+AF51</f>
        <v>1103789961.41986</v>
      </c>
      <c r="AP51" s="0" t="n">
        <f aca="false">AO51+AE51+AG51+AH51+AI51+AK51+AL51+AM51+AN51</f>
        <v>1776743687.69964</v>
      </c>
      <c r="AQ51" s="0" t="n">
        <f aca="false">AO51+AE51+AG51+AJ51</f>
        <v>2032652064.82743</v>
      </c>
      <c r="AR51" s="0" t="n">
        <f aca="false">AB51+AC51+AD51+AF51</f>
        <v>0</v>
      </c>
      <c r="AS51" s="0" t="n">
        <f aca="false">AR51+AE51+AG51</f>
        <v>0</v>
      </c>
    </row>
    <row r="52" customFormat="false" ht="15" hidden="false" customHeight="false" outlineLevel="0" collapsed="false">
      <c r="A52" s="0" t="n">
        <v>2075</v>
      </c>
      <c r="B52" s="0" t="n">
        <v>49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122772.934</v>
      </c>
      <c r="I52" s="0" t="n">
        <v>26173.44</v>
      </c>
      <c r="J52" s="0" t="n">
        <v>3894.03</v>
      </c>
      <c r="K52" s="0" t="n">
        <v>6428.11</v>
      </c>
      <c r="L52" s="0" t="n">
        <v>1779.538</v>
      </c>
      <c r="M52" s="0" t="n">
        <v>0</v>
      </c>
      <c r="N52" s="0" t="n">
        <v>0</v>
      </c>
      <c r="O52" s="0" t="n">
        <v>215.938</v>
      </c>
      <c r="P52" s="0" t="n">
        <v>214.343</v>
      </c>
      <c r="Q52" s="0" t="n">
        <v>1721.925</v>
      </c>
      <c r="R52" s="0" t="n">
        <v>2600.045</v>
      </c>
      <c r="S52" s="0" t="n">
        <v>6026.219</v>
      </c>
      <c r="T52" s="0" t="n">
        <v>148946.374</v>
      </c>
      <c r="U52" s="0" t="n">
        <v>94187.972</v>
      </c>
      <c r="V52" s="0" t="n">
        <v>150638.68</v>
      </c>
      <c r="W52" s="0" t="n">
        <v>794.766</v>
      </c>
      <c r="X52" s="0" t="n">
        <v>1973.453</v>
      </c>
      <c r="Y52" s="0" t="n">
        <v>215.938</v>
      </c>
      <c r="Z52" s="0" t="n">
        <v>2220.765</v>
      </c>
      <c r="AA52" s="0" t="n">
        <f aca="false">H52*x_c_F+I52*x_c_CC+J52*x_c_DC+K52*x_c_HCC+L52*x_c_PLT+M52*x_c_SVRn+N52*x_c_SVRcc+O52*x_c_LT+P52*x_c_LT1</f>
        <v>1120508418.70023</v>
      </c>
      <c r="AB52" s="0" t="n">
        <f aca="false">C52*x_c_DAA</f>
        <v>0</v>
      </c>
      <c r="AC52" s="0" t="n">
        <f aca="false">C52*x_c_MON</f>
        <v>0</v>
      </c>
      <c r="AD52" s="0" t="n">
        <f aca="false">D52*(1-x_testy)</f>
        <v>0</v>
      </c>
      <c r="AE52" s="0" t="n">
        <f aca="false">E52*(1-x_testy)</f>
        <v>0</v>
      </c>
      <c r="AF52" s="0" t="n">
        <f aca="false">F52*x_NAV</f>
        <v>0</v>
      </c>
      <c r="AG52" s="0" t="n">
        <f aca="false">G52*x_FIX*(1-x_testy)</f>
        <v>0</v>
      </c>
      <c r="AH52" s="0" t="n">
        <f aca="false">x_z_F*U52+(1-x_AGRI)*x_EMP*x_WLOSS*(x_PEN_K74*Q52+x_PEN_C22*R52)</f>
        <v>221772743.001806</v>
      </c>
      <c r="AI52" s="0" t="n">
        <f aca="false">x_AGRI*x_EMP*x_WLOSS*(x_PEN_K74*Q52+x_PEN_C22*R52)</f>
        <v>1859409.63889148</v>
      </c>
      <c r="AJ52" s="0" t="n">
        <f aca="false">x_EMP*x_WAGE*(x_WLOSS*(Q52+R52)+S52)+U52*x_ABS_D*x_WAGE/365</f>
        <v>931930372.809475</v>
      </c>
      <c r="AK52" s="0" t="n">
        <f aca="false">AJ52*x_R_FUS</f>
        <v>294862769.956918</v>
      </c>
      <c r="AL52" s="0" t="n">
        <f aca="false">AJ52*x_R_NFZ</f>
        <v>72374644.6827566</v>
      </c>
      <c r="AM52" s="0" t="n">
        <f aca="false">AJ52*x_R_PIT</f>
        <v>61958620.9173648</v>
      </c>
      <c r="AN52" s="0" t="n">
        <f aca="false">AJ52*x_R_FP</f>
        <v>23764224.5066416</v>
      </c>
      <c r="AO52" s="0" t="n">
        <f aca="false">AA52+AB52+AC52+AD52+AF52</f>
        <v>1120508418.70023</v>
      </c>
      <c r="AP52" s="0" t="n">
        <f aca="false">AO52+AE52+AG52+AH52+AI52+AK52+AL52+AM52+AN52</f>
        <v>1797100831.40461</v>
      </c>
      <c r="AQ52" s="0" t="n">
        <f aca="false">AO52+AE52+AG52+AJ52</f>
        <v>2052438791.5097</v>
      </c>
      <c r="AR52" s="0" t="n">
        <f aca="false">AB52+AC52+AD52+AF52</f>
        <v>0</v>
      </c>
      <c r="AS52" s="0" t="n">
        <f aca="false">AR52+AE52+AG52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590</v>
      </c>
    </row>
    <row r="2" customFormat="false" ht="28.35" hidden="false" customHeight="false" outlineLevel="0" collapsed="false">
      <c r="A2" s="3" t="s">
        <v>318</v>
      </c>
      <c r="B2" s="3" t="s">
        <v>548</v>
      </c>
      <c r="C2" s="3" t="s">
        <v>549</v>
      </c>
      <c r="D2" s="3" t="s">
        <v>550</v>
      </c>
      <c r="E2" s="3" t="s">
        <v>551</v>
      </c>
      <c r="F2" s="3" t="s">
        <v>552</v>
      </c>
      <c r="G2" s="3" t="s">
        <v>553</v>
      </c>
      <c r="H2" s="3" t="s">
        <v>554</v>
      </c>
      <c r="I2" s="3" t="s">
        <v>555</v>
      </c>
      <c r="J2" s="3" t="s">
        <v>556</v>
      </c>
      <c r="K2" s="3" t="s">
        <v>557</v>
      </c>
      <c r="L2" s="3" t="s">
        <v>558</v>
      </c>
      <c r="M2" s="3" t="s">
        <v>559</v>
      </c>
      <c r="N2" s="3" t="s">
        <v>560</v>
      </c>
      <c r="O2" s="3" t="s">
        <v>561</v>
      </c>
      <c r="P2" s="3" t="s">
        <v>562</v>
      </c>
      <c r="Q2" s="3" t="s">
        <v>563</v>
      </c>
      <c r="R2" s="3" t="s">
        <v>564</v>
      </c>
      <c r="S2" s="3" t="s">
        <v>565</v>
      </c>
      <c r="T2" s="3" t="s">
        <v>566</v>
      </c>
      <c r="U2" s="3" t="s">
        <v>567</v>
      </c>
      <c r="V2" s="3" t="s">
        <v>568</v>
      </c>
      <c r="W2" s="3" t="s">
        <v>569</v>
      </c>
      <c r="X2" s="3" t="s">
        <v>570</v>
      </c>
      <c r="Y2" s="3" t="s">
        <v>571</v>
      </c>
      <c r="Z2" s="3" t="s">
        <v>572</v>
      </c>
      <c r="AA2" s="3" t="s">
        <v>573</v>
      </c>
      <c r="AB2" s="3" t="s">
        <v>574</v>
      </c>
      <c r="AC2" s="3" t="s">
        <v>575</v>
      </c>
      <c r="AD2" s="3" t="s">
        <v>576</v>
      </c>
      <c r="AE2" s="3" t="s">
        <v>577</v>
      </c>
      <c r="AF2" s="3" t="s">
        <v>578</v>
      </c>
      <c r="AG2" s="3" t="s">
        <v>579</v>
      </c>
      <c r="AH2" s="3" t="s">
        <v>252</v>
      </c>
      <c r="AI2" s="3" t="s">
        <v>303</v>
      </c>
      <c r="AJ2" s="3" t="s">
        <v>580</v>
      </c>
      <c r="AK2" s="3" t="s">
        <v>581</v>
      </c>
      <c r="AL2" s="3" t="s">
        <v>582</v>
      </c>
      <c r="AM2" s="3" t="s">
        <v>583</v>
      </c>
      <c r="AN2" s="3" t="s">
        <v>584</v>
      </c>
      <c r="AO2" s="3" t="s">
        <v>129</v>
      </c>
      <c r="AP2" s="3" t="s">
        <v>585</v>
      </c>
      <c r="AQ2" s="3" t="s">
        <v>586</v>
      </c>
      <c r="AR2" s="3" t="s">
        <v>587</v>
      </c>
      <c r="AS2" s="3" t="s">
        <v>588</v>
      </c>
    </row>
    <row r="3" customFormat="false" ht="15" hidden="false" customHeight="false" outlineLevel="0" collapsed="false">
      <c r="A3" s="0" t="n">
        <v>2026</v>
      </c>
      <c r="B3" s="0" t="n">
        <v>0</v>
      </c>
      <c r="C3" s="0" t="n">
        <v>5213.16</v>
      </c>
      <c r="D3" s="0" t="n">
        <v>16666666.667</v>
      </c>
      <c r="E3" s="0" t="n">
        <v>0</v>
      </c>
      <c r="F3" s="0" t="n">
        <v>0</v>
      </c>
      <c r="G3" s="0" t="n">
        <v>1</v>
      </c>
      <c r="H3" s="0" t="n">
        <v>2581.318</v>
      </c>
      <c r="I3" s="0" t="n">
        <v>231.61</v>
      </c>
      <c r="J3" s="0" t="n">
        <v>1579.158</v>
      </c>
      <c r="K3" s="0" t="n">
        <v>2524.378</v>
      </c>
      <c r="L3" s="0" t="n">
        <v>1540.438</v>
      </c>
      <c r="M3" s="0" t="n">
        <v>7100.45</v>
      </c>
      <c r="N3" s="0" t="n">
        <v>627.462</v>
      </c>
      <c r="O3" s="0" t="n">
        <v>89.046</v>
      </c>
      <c r="P3" s="0" t="n">
        <v>44.523</v>
      </c>
      <c r="Q3" s="0" t="n">
        <v>2134.589</v>
      </c>
      <c r="R3" s="0" t="n">
        <v>1702.999</v>
      </c>
      <c r="S3" s="0" t="n">
        <v>312.377</v>
      </c>
      <c r="T3" s="0" t="n">
        <v>2812.928</v>
      </c>
      <c r="U3" s="0" t="n">
        <v>1558.451</v>
      </c>
      <c r="V3" s="0" t="n">
        <v>113433.469</v>
      </c>
      <c r="W3" s="0" t="n">
        <v>265.352</v>
      </c>
      <c r="X3" s="0" t="n">
        <v>710.662</v>
      </c>
      <c r="Y3" s="0" t="n">
        <v>89.046</v>
      </c>
      <c r="Z3" s="0" t="n">
        <v>922.327</v>
      </c>
      <c r="AA3" s="0" t="n">
        <f aca="false">H3*x_c_F+I3*x_c_CC+J3*x_c_DC+K3*x_c_HCC+L3*x_c_PLT+M3*x_c_SVRn+N3*x_c_SVRcc+O3*x_c_LT+P3*x_c_LT1</f>
        <v>283833546.178008</v>
      </c>
      <c r="AB3" s="0" t="n">
        <f aca="false">C3*x_c_DAA</f>
        <v>118651521.6</v>
      </c>
      <c r="AC3" s="0" t="n">
        <f aca="false">C3*x_c_MON</f>
        <v>30054544.517441</v>
      </c>
      <c r="AD3" s="0" t="n">
        <f aca="false">D3*(1-x_testy)</f>
        <v>16666666.667</v>
      </c>
      <c r="AE3" s="0" t="n">
        <f aca="false">E3*(1-x_testy)</f>
        <v>0</v>
      </c>
      <c r="AF3" s="0" t="n">
        <f aca="false">F3*x_NAV</f>
        <v>0</v>
      </c>
      <c r="AG3" s="0" t="n">
        <f aca="false">G3*x_FIX*(1-x_testy)</f>
        <v>1223620.54528</v>
      </c>
      <c r="AH3" s="0" t="n">
        <f aca="false">x_z_F*U3+(1-x_AGRI)*x_EMP*x_WLOSS*(x_PEN_K74*Q3+x_PEN_C22*R3)</f>
        <v>27685181.2810934</v>
      </c>
      <c r="AI3" s="0" t="n">
        <f aca="false">x_AGRI*x_EMP*x_WLOSS*(x_PEN_K74*Q3+x_PEN_C22*R3)</f>
        <v>1618157.13953208</v>
      </c>
      <c r="AJ3" s="0" t="n">
        <f aca="false">x_EMP*x_WAGE*(x_WLOSS*(Q3+R3)+S3)+U3*x_ABS_D*x_WAGE/365</f>
        <v>156821225.225424</v>
      </c>
      <c r="AK3" s="0" t="n">
        <f aca="false">AJ3*x_R_FUS</f>
        <v>49618235.661324</v>
      </c>
      <c r="AL3" s="0" t="n">
        <f aca="false">AJ3*x_R_NFZ</f>
        <v>12178893.1722316</v>
      </c>
      <c r="AM3" s="0" t="n">
        <f aca="false">AJ3*x_R_PIT</f>
        <v>10426129.6004837</v>
      </c>
      <c r="AN3" s="0" t="n">
        <f aca="false">AJ3*x_R_FP</f>
        <v>3998941.2432483</v>
      </c>
      <c r="AO3" s="0" t="n">
        <f aca="false">AA3+AB3+AC3+AD3+AF3</f>
        <v>449206278.962449</v>
      </c>
      <c r="AP3" s="0" t="n">
        <f aca="false">AO3+AE3+AG3+AH3+AI3+AK3+AL3+AM3+AN3</f>
        <v>555955437.605642</v>
      </c>
      <c r="AQ3" s="0" t="n">
        <f aca="false">AO3+AE3+AG3+AJ3</f>
        <v>607251124.733153</v>
      </c>
      <c r="AR3" s="0" t="n">
        <f aca="false">AB3+AC3+AD3+AF3</f>
        <v>165372732.784441</v>
      </c>
      <c r="AS3" s="0" t="n">
        <f aca="false">AR3+AE3+AG3</f>
        <v>166596353.329721</v>
      </c>
    </row>
    <row r="4" customFormat="false" ht="15" hidden="false" customHeight="false" outlineLevel="0" collapsed="false">
      <c r="A4" s="0" t="n">
        <v>2027</v>
      </c>
      <c r="B4" s="0" t="n">
        <v>1</v>
      </c>
      <c r="C4" s="0" t="n">
        <v>5576.635</v>
      </c>
      <c r="D4" s="0" t="n">
        <v>33333333.333</v>
      </c>
      <c r="E4" s="0" t="n">
        <v>0</v>
      </c>
      <c r="F4" s="0" t="n">
        <v>0</v>
      </c>
      <c r="G4" s="0" t="n">
        <v>1</v>
      </c>
      <c r="H4" s="0" t="n">
        <v>2728.1</v>
      </c>
      <c r="I4" s="0" t="n">
        <v>259.776</v>
      </c>
      <c r="J4" s="0" t="n">
        <v>1563.329</v>
      </c>
      <c r="K4" s="0" t="n">
        <v>2519.58</v>
      </c>
      <c r="L4" s="0" t="n">
        <v>1489.389</v>
      </c>
      <c r="M4" s="0" t="n">
        <v>12106.359</v>
      </c>
      <c r="N4" s="0" t="n">
        <v>1093.455</v>
      </c>
      <c r="O4" s="0" t="n">
        <v>87.89</v>
      </c>
      <c r="P4" s="0" t="n">
        <v>88.468</v>
      </c>
      <c r="Q4" s="0" t="n">
        <v>2137.52</v>
      </c>
      <c r="R4" s="0" t="n">
        <v>1715.76</v>
      </c>
      <c r="S4" s="0" t="n">
        <v>939.875</v>
      </c>
      <c r="T4" s="0" t="n">
        <v>2987.876</v>
      </c>
      <c r="U4" s="0" t="n">
        <v>1705.223</v>
      </c>
      <c r="V4" s="0" t="n">
        <v>114593.877</v>
      </c>
      <c r="W4" s="0" t="n">
        <v>274.078</v>
      </c>
      <c r="X4" s="0" t="n">
        <v>738.717</v>
      </c>
      <c r="Y4" s="0" t="n">
        <v>87.89</v>
      </c>
      <c r="Z4" s="0" t="n">
        <v>925.455</v>
      </c>
      <c r="AA4" s="0" t="n">
        <f aca="false">H4*x_c_F+I4*x_c_CC+J4*x_c_DC+K4*x_c_HCC+L4*x_c_PLT+M4*x_c_SVRn+N4*x_c_SVRcc+O4*x_c_LT+P4*x_c_LT1</f>
        <v>288245578.892978</v>
      </c>
      <c r="AB4" s="0" t="n">
        <f aca="false">C4*x_c_DAA</f>
        <v>126924212.6</v>
      </c>
      <c r="AC4" s="0" t="n">
        <f aca="false">C4*x_c_MON</f>
        <v>32150025.1028204</v>
      </c>
      <c r="AD4" s="0" t="n">
        <f aca="false">D4*(1-x_testy)</f>
        <v>33333333.333</v>
      </c>
      <c r="AE4" s="0" t="n">
        <f aca="false">E4*(1-x_testy)</f>
        <v>0</v>
      </c>
      <c r="AF4" s="0" t="n">
        <f aca="false">F4*x_NAV</f>
        <v>0</v>
      </c>
      <c r="AG4" s="0" t="n">
        <f aca="false">G4*x_FIX*(1-x_testy)</f>
        <v>1223620.54528</v>
      </c>
      <c r="AH4" s="0" t="n">
        <f aca="false">x_z_F*U4+(1-x_AGRI)*x_EMP*x_WLOSS*(x_PEN_K74*Q4+x_PEN_C22*R4)</f>
        <v>28091793.6757071</v>
      </c>
      <c r="AI4" s="0" t="n">
        <f aca="false">x_AGRI*x_EMP*x_WLOSS*(x_PEN_K74*Q4+x_PEN_C22*R4)</f>
        <v>1625088.3739478</v>
      </c>
      <c r="AJ4" s="0" t="n">
        <f aca="false">x_EMP*x_WAGE*(x_WLOSS*(Q4+R4)+S4)+U4*x_ABS_D*x_WAGE/365</f>
        <v>211266762.815471</v>
      </c>
      <c r="AK4" s="0" t="n">
        <f aca="false">AJ4*x_R_FUS</f>
        <v>66844803.7548152</v>
      </c>
      <c r="AL4" s="0" t="n">
        <f aca="false">AJ4*x_R_NFZ</f>
        <v>16407188.0670123</v>
      </c>
      <c r="AM4" s="0" t="n">
        <f aca="false">AJ4*x_R_PIT</f>
        <v>14045896.1867087</v>
      </c>
      <c r="AN4" s="0" t="n">
        <f aca="false">AJ4*x_R_FP</f>
        <v>5387302.45179452</v>
      </c>
      <c r="AO4" s="0" t="n">
        <f aca="false">AA4+AB4+AC4+AD4+AF4</f>
        <v>480653149.928799</v>
      </c>
      <c r="AP4" s="0" t="n">
        <f aca="false">AO4+AE4+AG4+AH4+AI4+AK4+AL4+AM4+AN4</f>
        <v>614278842.984064</v>
      </c>
      <c r="AQ4" s="0" t="n">
        <f aca="false">AO4+AE4+AG4+AJ4</f>
        <v>693143533.28955</v>
      </c>
      <c r="AR4" s="0" t="n">
        <f aca="false">AB4+AC4+AD4+AF4</f>
        <v>192407571.03582</v>
      </c>
      <c r="AS4" s="0" t="n">
        <f aca="false">AR4+AE4+AG4</f>
        <v>193631191.5811</v>
      </c>
    </row>
    <row r="5" customFormat="false" ht="15" hidden="false" customHeight="false" outlineLevel="0" collapsed="false">
      <c r="A5" s="0" t="n">
        <v>2028</v>
      </c>
      <c r="B5" s="0" t="n">
        <v>2</v>
      </c>
      <c r="C5" s="0" t="n">
        <v>5921.215</v>
      </c>
      <c r="D5" s="0" t="n">
        <v>50000000</v>
      </c>
      <c r="E5" s="0" t="n">
        <v>0</v>
      </c>
      <c r="F5" s="0" t="n">
        <v>0</v>
      </c>
      <c r="G5" s="0" t="n">
        <v>1</v>
      </c>
      <c r="H5" s="0" t="n">
        <v>2782.017</v>
      </c>
      <c r="I5" s="0" t="n">
        <v>281.64</v>
      </c>
      <c r="J5" s="0" t="n">
        <v>1558.707</v>
      </c>
      <c r="K5" s="0" t="n">
        <v>2542.654</v>
      </c>
      <c r="L5" s="0" t="n">
        <v>1475.757</v>
      </c>
      <c r="M5" s="0" t="n">
        <v>17159.078</v>
      </c>
      <c r="N5" s="0" t="n">
        <v>1586.693</v>
      </c>
      <c r="O5" s="0" t="n">
        <v>87.523</v>
      </c>
      <c r="P5" s="0" t="n">
        <v>87.707</v>
      </c>
      <c r="Q5" s="0" t="n">
        <v>2145.234</v>
      </c>
      <c r="R5" s="0" t="n">
        <v>1751.363</v>
      </c>
      <c r="S5" s="0" t="n">
        <v>1572.496</v>
      </c>
      <c r="T5" s="0" t="n">
        <v>3063.657</v>
      </c>
      <c r="U5" s="0" t="n">
        <v>1797.2</v>
      </c>
      <c r="V5" s="0" t="n">
        <v>115841.091</v>
      </c>
      <c r="W5" s="0" t="n">
        <v>283.892</v>
      </c>
      <c r="X5" s="0" t="n">
        <v>766.181</v>
      </c>
      <c r="Y5" s="0" t="n">
        <v>87.523</v>
      </c>
      <c r="Z5" s="0" t="n">
        <v>926.072</v>
      </c>
      <c r="AA5" s="0" t="n">
        <f aca="false">H5*x_c_F+I5*x_c_CC+J5*x_c_DC+K5*x_c_HCC+L5*x_c_PLT+M5*x_c_SVRn+N5*x_c_SVRcc+O5*x_c_LT+P5*x_c_LT1</f>
        <v>293741434.149062</v>
      </c>
      <c r="AB5" s="0" t="n">
        <f aca="false">C5*x_c_DAA</f>
        <v>134766853.4</v>
      </c>
      <c r="AC5" s="0" t="n">
        <f aca="false">C5*x_c_MON</f>
        <v>34136573.5590005</v>
      </c>
      <c r="AD5" s="0" t="n">
        <f aca="false">D5*(1-x_testy)</f>
        <v>50000000</v>
      </c>
      <c r="AE5" s="0" t="n">
        <f aca="false">E5*(1-x_testy)</f>
        <v>0</v>
      </c>
      <c r="AF5" s="0" t="n">
        <f aca="false">F5*x_NAV</f>
        <v>0</v>
      </c>
      <c r="AG5" s="0" t="n">
        <f aca="false">G5*x_FIX*(1-x_testy)</f>
        <v>1223620.54528</v>
      </c>
      <c r="AH5" s="0" t="n">
        <f aca="false">x_z_F*U5+(1-x_AGRI)*x_EMP*x_WLOSS*(x_PEN_K74*Q5+x_PEN_C22*R5)</f>
        <v>28570667.9932582</v>
      </c>
      <c r="AI5" s="0" t="n">
        <f aca="false">x_AGRI*x_EMP*x_WLOSS*(x_PEN_K74*Q5+x_PEN_C22*R5)</f>
        <v>1644242.15655414</v>
      </c>
      <c r="AJ5" s="0" t="n">
        <f aca="false">x_EMP*x_WAGE*(x_WLOSS*(Q5+R5)+S5)+U5*x_ABS_D*x_WAGE/365</f>
        <v>266892343.012544</v>
      </c>
      <c r="AK5" s="0" t="n">
        <f aca="false">AJ5*x_R_FUS</f>
        <v>84444737.329169</v>
      </c>
      <c r="AL5" s="0" t="n">
        <f aca="false">AJ5*x_R_NFZ</f>
        <v>20727126.2506972</v>
      </c>
      <c r="AM5" s="0" t="n">
        <f aca="false">AJ5*x_R_PIT</f>
        <v>17744116.9307637</v>
      </c>
      <c r="AN5" s="0" t="n">
        <f aca="false">AJ5*x_R_FP</f>
        <v>6805754.74681988</v>
      </c>
      <c r="AO5" s="0" t="n">
        <f aca="false">AA5+AB5+AC5+AD5+AF5</f>
        <v>512644861.108062</v>
      </c>
      <c r="AP5" s="0" t="n">
        <f aca="false">AO5+AE5+AG5+AH5+AI5+AK5+AL5+AM5+AN5</f>
        <v>673805127.060604</v>
      </c>
      <c r="AQ5" s="0" t="n">
        <f aca="false">AO5+AE5+AG5+AJ5</f>
        <v>780760824.665886</v>
      </c>
      <c r="AR5" s="0" t="n">
        <f aca="false">AB5+AC5+AD5+AF5</f>
        <v>218903426.959001</v>
      </c>
      <c r="AS5" s="0" t="n">
        <f aca="false">AR5+AE5+AG5</f>
        <v>220127047.504281</v>
      </c>
    </row>
    <row r="6" customFormat="false" ht="15" hidden="false" customHeight="false" outlineLevel="0" collapsed="false">
      <c r="A6" s="0" t="n">
        <v>2029</v>
      </c>
      <c r="B6" s="0" t="n">
        <v>3</v>
      </c>
      <c r="C6" s="0" t="n">
        <v>5892.245</v>
      </c>
      <c r="D6" s="0" t="n">
        <v>50000000</v>
      </c>
      <c r="E6" s="0" t="n">
        <v>0</v>
      </c>
      <c r="F6" s="0" t="n">
        <v>0</v>
      </c>
      <c r="G6" s="0" t="n">
        <v>1</v>
      </c>
      <c r="H6" s="0" t="n">
        <v>2750.261</v>
      </c>
      <c r="I6" s="0" t="n">
        <v>295.954</v>
      </c>
      <c r="J6" s="0" t="n">
        <v>1564.041</v>
      </c>
      <c r="K6" s="0" t="n">
        <v>2584.625</v>
      </c>
      <c r="L6" s="0" t="n">
        <v>1461.15</v>
      </c>
      <c r="M6" s="0" t="n">
        <v>22088.431</v>
      </c>
      <c r="N6" s="0" t="n">
        <v>2091.139</v>
      </c>
      <c r="O6" s="0" t="n">
        <v>87.808</v>
      </c>
      <c r="P6" s="0" t="n">
        <v>87.666</v>
      </c>
      <c r="Q6" s="0" t="n">
        <v>2161.57</v>
      </c>
      <c r="R6" s="0" t="n">
        <v>1803.154</v>
      </c>
      <c r="S6" s="0" t="n">
        <v>2212.729</v>
      </c>
      <c r="T6" s="0" t="n">
        <v>3046.215</v>
      </c>
      <c r="U6" s="0" t="n">
        <v>1834.537</v>
      </c>
      <c r="V6" s="0" t="n">
        <v>117143.129</v>
      </c>
      <c r="W6" s="0" t="n">
        <v>294.143</v>
      </c>
      <c r="X6" s="0" t="n">
        <v>792.343</v>
      </c>
      <c r="Y6" s="0" t="n">
        <v>87.808</v>
      </c>
      <c r="Z6" s="0" t="n">
        <v>934.044</v>
      </c>
      <c r="AA6" s="0" t="n">
        <f aca="false">H6*x_c_F+I6*x_c_CC+J6*x_c_DC+K6*x_c_HCC+L6*x_c_PLT+M6*x_c_SVRn+N6*x_c_SVRcc+O6*x_c_LT+P6*x_c_LT1</f>
        <v>300492752.924081</v>
      </c>
      <c r="AB6" s="0" t="n">
        <f aca="false">C6*x_c_DAA</f>
        <v>134107496.2</v>
      </c>
      <c r="AC6" s="0" t="n">
        <f aca="false">C6*x_c_MON</f>
        <v>33969557.7461979</v>
      </c>
      <c r="AD6" s="0" t="n">
        <f aca="false">D6*(1-x_testy)</f>
        <v>50000000</v>
      </c>
      <c r="AE6" s="0" t="n">
        <f aca="false">E6*(1-x_testy)</f>
        <v>0</v>
      </c>
      <c r="AF6" s="0" t="n">
        <f aca="false">F6*x_NAV</f>
        <v>0</v>
      </c>
      <c r="AG6" s="0" t="n">
        <f aca="false">G6*x_FIX*(1-x_testy)</f>
        <v>1223620.54528</v>
      </c>
      <c r="AH6" s="0" t="n">
        <f aca="false">x_z_F*U6+(1-x_AGRI)*x_EMP*x_WLOSS*(x_PEN_K74*Q6+x_PEN_C22*R6)</f>
        <v>29099728.6293595</v>
      </c>
      <c r="AI6" s="0" t="n">
        <f aca="false">x_AGRI*x_EMP*x_WLOSS*(x_PEN_K74*Q6+x_PEN_C22*R6)</f>
        <v>1674138.26908396</v>
      </c>
      <c r="AJ6" s="0" t="n">
        <f aca="false">x_EMP*x_WAGE*(x_WLOSS*(Q6+R6)+S6)+U6*x_ABS_D*x_WAGE/365</f>
        <v>323818495.295046</v>
      </c>
      <c r="AK6" s="0" t="n">
        <f aca="false">AJ6*x_R_FUS</f>
        <v>102456171.911353</v>
      </c>
      <c r="AL6" s="0" t="n">
        <f aca="false">AJ6*x_R_NFZ</f>
        <v>25148068.1631086</v>
      </c>
      <c r="AM6" s="0" t="n">
        <f aca="false">AJ6*x_R_PIT</f>
        <v>21528805.1354444</v>
      </c>
      <c r="AN6" s="0" t="n">
        <f aca="false">AJ6*x_R_FP</f>
        <v>8257371.63002367</v>
      </c>
      <c r="AO6" s="0" t="n">
        <f aca="false">AA6+AB6+AC6+AD6+AF6</f>
        <v>518569806.870278</v>
      </c>
      <c r="AP6" s="0" t="n">
        <f aca="false">AO6+AE6+AG6+AH6+AI6+AK6+AL6+AM6+AN6</f>
        <v>707957711.153931</v>
      </c>
      <c r="AQ6" s="0" t="n">
        <f aca="false">AO6+AE6+AG6+AJ6</f>
        <v>843611922.710604</v>
      </c>
      <c r="AR6" s="0" t="n">
        <f aca="false">AB6+AC6+AD6+AF6</f>
        <v>218077053.946198</v>
      </c>
      <c r="AS6" s="0" t="n">
        <f aca="false">AR6+AE6+AG6</f>
        <v>219300674.491478</v>
      </c>
    </row>
    <row r="7" customFormat="false" ht="15" hidden="false" customHeight="false" outlineLevel="0" collapsed="false">
      <c r="A7" s="0" t="n">
        <v>2030</v>
      </c>
      <c r="B7" s="0" t="n">
        <v>4</v>
      </c>
      <c r="C7" s="0" t="n">
        <v>5864.531</v>
      </c>
      <c r="D7" s="0" t="n">
        <v>50000000</v>
      </c>
      <c r="E7" s="0" t="n">
        <v>0</v>
      </c>
      <c r="F7" s="0" t="n">
        <v>0</v>
      </c>
      <c r="G7" s="0" t="n">
        <v>1</v>
      </c>
      <c r="H7" s="0" t="n">
        <v>2719.483</v>
      </c>
      <c r="I7" s="0" t="n">
        <v>309.91</v>
      </c>
      <c r="J7" s="0" t="n">
        <v>1577.536</v>
      </c>
      <c r="K7" s="0" t="n">
        <v>2638.027</v>
      </c>
      <c r="L7" s="0" t="n">
        <v>1446.187</v>
      </c>
      <c r="M7" s="0" t="n">
        <v>26894.042</v>
      </c>
      <c r="N7" s="0" t="n">
        <v>2605.141</v>
      </c>
      <c r="O7" s="0" t="n">
        <v>88.61</v>
      </c>
      <c r="P7" s="0" t="n">
        <v>88.209</v>
      </c>
      <c r="Q7" s="0" t="n">
        <v>2185.593</v>
      </c>
      <c r="R7" s="0" t="n">
        <v>1865.614</v>
      </c>
      <c r="S7" s="0" t="n">
        <v>2865.368</v>
      </c>
      <c r="T7" s="0" t="n">
        <v>3029.393</v>
      </c>
      <c r="U7" s="0" t="n">
        <v>1870.053</v>
      </c>
      <c r="V7" s="0" t="n">
        <v>118486.298</v>
      </c>
      <c r="W7" s="0" t="n">
        <v>303.985</v>
      </c>
      <c r="X7" s="0" t="n">
        <v>815.855</v>
      </c>
      <c r="Y7" s="0" t="n">
        <v>88.61</v>
      </c>
      <c r="Z7" s="0" t="n">
        <v>947.075</v>
      </c>
      <c r="AA7" s="0" t="n">
        <f aca="false">H7*x_c_F+I7*x_c_CC+J7*x_c_DC+K7*x_c_HCC+L7*x_c_PLT+M7*x_c_SVRn+N7*x_c_SVRcc+O7*x_c_LT+P7*x_c_LT1</f>
        <v>308255280.973472</v>
      </c>
      <c r="AB7" s="0" t="n">
        <f aca="false">C7*x_c_DAA</f>
        <v>133476725.56</v>
      </c>
      <c r="AC7" s="0" t="n">
        <f aca="false">C7*x_c_MON</f>
        <v>33809782.9365323</v>
      </c>
      <c r="AD7" s="0" t="n">
        <f aca="false">D7*(1-x_testy)</f>
        <v>50000000</v>
      </c>
      <c r="AE7" s="0" t="n">
        <f aca="false">E7*(1-x_testy)</f>
        <v>0</v>
      </c>
      <c r="AF7" s="0" t="n">
        <f aca="false">F7*x_NAV</f>
        <v>0</v>
      </c>
      <c r="AG7" s="0" t="n">
        <f aca="false">G7*x_FIX*(1-x_testy)</f>
        <v>1223620.54528</v>
      </c>
      <c r="AH7" s="0" t="n">
        <f aca="false">x_z_F*U7+(1-x_AGRI)*x_EMP*x_WLOSS*(x_PEN_K74*Q7+x_PEN_C22*R7)</f>
        <v>29744215.1785556</v>
      </c>
      <c r="AI7" s="0" t="n">
        <f aca="false">x_AGRI*x_EMP*x_WLOSS*(x_PEN_K74*Q7+x_PEN_C22*R7)</f>
        <v>1711911.27135835</v>
      </c>
      <c r="AJ7" s="0" t="n">
        <f aca="false">x_EMP*x_WAGE*(x_WLOSS*(Q7+R7)+S7)+U7*x_ABS_D*x_WAGE/365</f>
        <v>382397859.681216</v>
      </c>
      <c r="AK7" s="0" t="n">
        <f aca="false">AJ7*x_R_FUS</f>
        <v>120990682.803137</v>
      </c>
      <c r="AL7" s="0" t="n">
        <f aca="false">AJ7*x_R_NFZ</f>
        <v>29697400.1807029</v>
      </c>
      <c r="AM7" s="0" t="n">
        <f aca="false">AJ7*x_R_PIT</f>
        <v>25423405.7810281</v>
      </c>
      <c r="AN7" s="0" t="n">
        <f aca="false">AJ7*x_R_FP</f>
        <v>9751145.421871</v>
      </c>
      <c r="AO7" s="0" t="n">
        <f aca="false">AA7+AB7+AC7+AD7+AF7</f>
        <v>525541789.470004</v>
      </c>
      <c r="AP7" s="0" t="n">
        <f aca="false">AO7+AE7+AG7+AH7+AI7+AK7+AL7+AM7+AN7</f>
        <v>744084170.651937</v>
      </c>
      <c r="AQ7" s="0" t="n">
        <f aca="false">AO7+AE7+AG7+AJ7</f>
        <v>909163269.6965</v>
      </c>
      <c r="AR7" s="0" t="n">
        <f aca="false">AB7+AC7+AD7+AF7</f>
        <v>217286508.496532</v>
      </c>
      <c r="AS7" s="0" t="n">
        <f aca="false">AR7+AE7+AG7</f>
        <v>218510129.041812</v>
      </c>
    </row>
    <row r="8" customFormat="false" ht="15" hidden="false" customHeight="false" outlineLevel="0" collapsed="false">
      <c r="A8" s="0" t="n">
        <v>2031</v>
      </c>
      <c r="B8" s="0" t="n">
        <v>5</v>
      </c>
      <c r="C8" s="0" t="n">
        <v>5837.956</v>
      </c>
      <c r="D8" s="0" t="n">
        <v>50000000</v>
      </c>
      <c r="E8" s="0" t="n">
        <v>0</v>
      </c>
      <c r="F8" s="0" t="n">
        <v>0</v>
      </c>
      <c r="G8" s="0" t="n">
        <v>1</v>
      </c>
      <c r="H8" s="0" t="n">
        <v>2690.204</v>
      </c>
      <c r="I8" s="0" t="n">
        <v>322.932</v>
      </c>
      <c r="J8" s="0" t="n">
        <v>1596.984</v>
      </c>
      <c r="K8" s="0" t="n">
        <v>2696.394</v>
      </c>
      <c r="L8" s="0" t="n">
        <v>1431.36</v>
      </c>
      <c r="M8" s="0" t="n">
        <v>31576.919</v>
      </c>
      <c r="N8" s="0" t="n">
        <v>3125.977</v>
      </c>
      <c r="O8" s="0" t="n">
        <v>89.777</v>
      </c>
      <c r="P8" s="0" t="n">
        <v>89.193</v>
      </c>
      <c r="Q8" s="0" t="n">
        <v>2215.991</v>
      </c>
      <c r="R8" s="0" t="n">
        <v>1933.958</v>
      </c>
      <c r="S8" s="0" t="n">
        <v>3533.522</v>
      </c>
      <c r="T8" s="0" t="n">
        <v>3013.136</v>
      </c>
      <c r="U8" s="0" t="n">
        <v>1903.771</v>
      </c>
      <c r="V8" s="0" t="n">
        <v>119860.719</v>
      </c>
      <c r="W8" s="0" t="n">
        <v>312.807</v>
      </c>
      <c r="X8" s="0" t="n">
        <v>835.793</v>
      </c>
      <c r="Y8" s="0" t="n">
        <v>89.777</v>
      </c>
      <c r="Z8" s="0" t="n">
        <v>963.061</v>
      </c>
      <c r="AA8" s="0" t="n">
        <f aca="false">H8*x_c_F+I8*x_c_CC+J8*x_c_DC+K8*x_c_HCC+L8*x_c_PLT+M8*x_c_SVRn+N8*x_c_SVRcc+O8*x_c_LT+P8*x_c_LT1</f>
        <v>316530870.193019</v>
      </c>
      <c r="AB8" s="0" t="n">
        <f aca="false">C8*x_c_DAA</f>
        <v>132871878.56</v>
      </c>
      <c r="AC8" s="0" t="n">
        <f aca="false">C8*x_c_MON</f>
        <v>33656574.609807</v>
      </c>
      <c r="AD8" s="0" t="n">
        <f aca="false">D8*(1-x_testy)</f>
        <v>50000000</v>
      </c>
      <c r="AE8" s="0" t="n">
        <f aca="false">E8*(1-x_testy)</f>
        <v>0</v>
      </c>
      <c r="AF8" s="0" t="n">
        <f aca="false">F8*x_NAV</f>
        <v>0</v>
      </c>
      <c r="AG8" s="0" t="n">
        <f aca="false">G8*x_FIX*(1-x_testy)</f>
        <v>1223620.54528</v>
      </c>
      <c r="AH8" s="0" t="n">
        <f aca="false">x_z_F*U8+(1-x_AGRI)*x_EMP*x_WLOSS*(x_PEN_K74*Q8+x_PEN_C22*R8)</f>
        <v>30463573.4625891</v>
      </c>
      <c r="AI8" s="0" t="n">
        <f aca="false">x_AGRI*x_EMP*x_WLOSS*(x_PEN_K74*Q8+x_PEN_C22*R8)</f>
        <v>1754877.48451294</v>
      </c>
      <c r="AJ8" s="0" t="n">
        <f aca="false">x_EMP*x_WAGE*(x_WLOSS*(Q8+R8)+S8)+U8*x_ABS_D*x_WAGE/365</f>
        <v>442696014.626641</v>
      </c>
      <c r="AK8" s="0" t="n">
        <f aca="false">AJ8*x_R_FUS</f>
        <v>140069019.027869</v>
      </c>
      <c r="AL8" s="0" t="n">
        <f aca="false">AJ8*x_R_NFZ</f>
        <v>34380215.1919196</v>
      </c>
      <c r="AM8" s="0" t="n">
        <f aca="false">AJ8*x_R_PIT</f>
        <v>29432278.7969567</v>
      </c>
      <c r="AN8" s="0" t="n">
        <f aca="false">AJ8*x_R_FP</f>
        <v>11288748.3729793</v>
      </c>
      <c r="AO8" s="0" t="n">
        <f aca="false">AA8+AB8+AC8+AD8+AF8</f>
        <v>533059323.362826</v>
      </c>
      <c r="AP8" s="0" t="n">
        <f aca="false">AO8+AE8+AG8+AH8+AI8+AK8+AL8+AM8+AN8</f>
        <v>781671656.244932</v>
      </c>
      <c r="AQ8" s="0" t="n">
        <f aca="false">AO8+AE8+AG8+AJ8</f>
        <v>976978958.534747</v>
      </c>
      <c r="AR8" s="0" t="n">
        <f aca="false">AB8+AC8+AD8+AF8</f>
        <v>216528453.169807</v>
      </c>
      <c r="AS8" s="0" t="n">
        <f aca="false">AR8+AE8+AG8</f>
        <v>217752073.715087</v>
      </c>
    </row>
    <row r="9" customFormat="false" ht="15" hidden="false" customHeight="false" outlineLevel="0" collapsed="false">
      <c r="A9" s="0" t="n">
        <v>2032</v>
      </c>
      <c r="B9" s="0" t="n">
        <v>6</v>
      </c>
      <c r="C9" s="0" t="n">
        <v>5812.447</v>
      </c>
      <c r="D9" s="0" t="n">
        <v>50000000</v>
      </c>
      <c r="E9" s="0" t="n">
        <v>0</v>
      </c>
      <c r="F9" s="0" t="n">
        <v>0</v>
      </c>
      <c r="G9" s="0" t="n">
        <v>1</v>
      </c>
      <c r="H9" s="0" t="n">
        <v>2662.817</v>
      </c>
      <c r="I9" s="0" t="n">
        <v>334.582</v>
      </c>
      <c r="J9" s="0" t="n">
        <v>1620.016</v>
      </c>
      <c r="K9" s="0" t="n">
        <v>2754.305</v>
      </c>
      <c r="L9" s="0" t="n">
        <v>1416.993</v>
      </c>
      <c r="M9" s="0" t="n">
        <v>36138.643</v>
      </c>
      <c r="N9" s="0" t="n">
        <v>3650.07</v>
      </c>
      <c r="O9" s="0" t="n">
        <v>91.153</v>
      </c>
      <c r="P9" s="0" t="n">
        <v>90.465</v>
      </c>
      <c r="Q9" s="0" t="n">
        <v>2251.22</v>
      </c>
      <c r="R9" s="0" t="n">
        <v>2004.149</v>
      </c>
      <c r="S9" s="0" t="n">
        <v>4218.711</v>
      </c>
      <c r="T9" s="0" t="n">
        <v>2997.399</v>
      </c>
      <c r="U9" s="0" t="n">
        <v>1935.739</v>
      </c>
      <c r="V9" s="0" t="n">
        <v>121256.469</v>
      </c>
      <c r="W9" s="0" t="n">
        <v>320.177</v>
      </c>
      <c r="X9" s="0" t="n">
        <v>851.541</v>
      </c>
      <c r="Y9" s="0" t="n">
        <v>91.153</v>
      </c>
      <c r="Z9" s="0" t="n">
        <v>980.102</v>
      </c>
      <c r="AA9" s="0" t="n">
        <f aca="false">H9*x_c_F+I9*x_c_CC+J9*x_c_DC+K9*x_c_HCC+L9*x_c_PLT+M9*x_c_SVRn+N9*x_c_SVRcc+O9*x_c_LT+P9*x_c_LT1</f>
        <v>324875364.884453</v>
      </c>
      <c r="AB9" s="0" t="n">
        <f aca="false">C9*x_c_DAA</f>
        <v>132291293.72</v>
      </c>
      <c r="AC9" s="0" t="n">
        <f aca="false">C9*x_c_MON</f>
        <v>33509511.9115404</v>
      </c>
      <c r="AD9" s="0" t="n">
        <f aca="false">D9*(1-x_testy)</f>
        <v>50000000</v>
      </c>
      <c r="AE9" s="0" t="n">
        <f aca="false">E9*(1-x_testy)</f>
        <v>0</v>
      </c>
      <c r="AF9" s="0" t="n">
        <f aca="false">F9*x_NAV</f>
        <v>0</v>
      </c>
      <c r="AG9" s="0" t="n">
        <f aca="false">G9*x_FIX*(1-x_testy)</f>
        <v>1223620.54528</v>
      </c>
      <c r="AH9" s="0" t="n">
        <f aca="false">x_z_F*U9+(1-x_AGRI)*x_EMP*x_WLOSS*(x_PEN_K74*Q9+x_PEN_C22*R9)</f>
        <v>31221018.4569321</v>
      </c>
      <c r="AI9" s="0" t="n">
        <f aca="false">x_AGRI*x_EMP*x_WLOSS*(x_PEN_K74*Q9+x_PEN_C22*R9)</f>
        <v>1800598.9662249</v>
      </c>
      <c r="AJ9" s="0" t="n">
        <f aca="false">x_EMP*x_WAGE*(x_WLOSS*(Q9+R9)+S9)+U9*x_ABS_D*x_WAGE/365</f>
        <v>504660022.557521</v>
      </c>
      <c r="AK9" s="0" t="n">
        <f aca="false">AJ9*x_R_FUS</f>
        <v>159674431.1372</v>
      </c>
      <c r="AL9" s="0" t="n">
        <f aca="false">AJ9*x_R_NFZ</f>
        <v>39192402.0118396</v>
      </c>
      <c r="AM9" s="0" t="n">
        <f aca="false">AJ9*x_R_PIT</f>
        <v>33551904.6723705</v>
      </c>
      <c r="AN9" s="0" t="n">
        <f aca="false">AJ9*x_R_FP</f>
        <v>12868830.5752168</v>
      </c>
      <c r="AO9" s="0" t="n">
        <f aca="false">AA9+AB9+AC9+AD9+AF9</f>
        <v>540676170.515993</v>
      </c>
      <c r="AP9" s="0" t="n">
        <f aca="false">AO9+AE9+AG9+AH9+AI9+AK9+AL9+AM9+AN9</f>
        <v>820208976.881057</v>
      </c>
      <c r="AQ9" s="0" t="n">
        <f aca="false">AO9+AE9+AG9+AJ9</f>
        <v>1046559813.61879</v>
      </c>
      <c r="AR9" s="0" t="n">
        <f aca="false">AB9+AC9+AD9+AF9</f>
        <v>215800805.63154</v>
      </c>
      <c r="AS9" s="0" t="n">
        <f aca="false">AR9+AE9+AG9</f>
        <v>217024426.17682</v>
      </c>
    </row>
    <row r="10" customFormat="false" ht="15" hidden="false" customHeight="false" outlineLevel="0" collapsed="false">
      <c r="A10" s="0" t="n">
        <v>2033</v>
      </c>
      <c r="B10" s="0" t="n">
        <v>7</v>
      </c>
      <c r="C10" s="0" t="n">
        <v>5787.908</v>
      </c>
      <c r="D10" s="0" t="n">
        <v>50000000</v>
      </c>
      <c r="E10" s="0" t="n">
        <v>0</v>
      </c>
      <c r="F10" s="0" t="n">
        <v>0</v>
      </c>
      <c r="G10" s="0" t="n">
        <v>1</v>
      </c>
      <c r="H10" s="0" t="n">
        <v>2637.604</v>
      </c>
      <c r="I10" s="0" t="n">
        <v>344.541</v>
      </c>
      <c r="J10" s="0" t="n">
        <v>1644.32</v>
      </c>
      <c r="K10" s="0" t="n">
        <v>2807.41</v>
      </c>
      <c r="L10" s="0" t="n">
        <v>1403.264</v>
      </c>
      <c r="M10" s="0" t="n">
        <v>40581.419</v>
      </c>
      <c r="N10" s="0" t="n">
        <v>4173.275</v>
      </c>
      <c r="O10" s="0" t="n">
        <v>92.597</v>
      </c>
      <c r="P10" s="0" t="n">
        <v>91.875</v>
      </c>
      <c r="Q10" s="0" t="n">
        <v>2289.652</v>
      </c>
      <c r="R10" s="0" t="n">
        <v>2072.888</v>
      </c>
      <c r="S10" s="0" t="n">
        <v>4921.085</v>
      </c>
      <c r="T10" s="0" t="n">
        <v>2982.145</v>
      </c>
      <c r="U10" s="0" t="n">
        <v>1965.997</v>
      </c>
      <c r="V10" s="0" t="n">
        <v>122665.004</v>
      </c>
      <c r="W10" s="0" t="n">
        <v>325.824</v>
      </c>
      <c r="X10" s="0" t="n">
        <v>862.768</v>
      </c>
      <c r="Y10" s="0" t="n">
        <v>92.597</v>
      </c>
      <c r="Z10" s="0" t="n">
        <v>996.632</v>
      </c>
      <c r="AA10" s="0" t="n">
        <f aca="false">H10*x_c_F+I10*x_c_CC+J10*x_c_DC+K10*x_c_HCC+L10*x_c_PLT+M10*x_c_SVRn+N10*x_c_SVRcc+O10*x_c_LT+P10*x_c_LT1</f>
        <v>332912770.169855</v>
      </c>
      <c r="AB10" s="0" t="n">
        <f aca="false">C10*x_c_DAA</f>
        <v>131732786.08</v>
      </c>
      <c r="AC10" s="0" t="n">
        <f aca="false">C10*x_c_MON</f>
        <v>33368041.3892634</v>
      </c>
      <c r="AD10" s="0" t="n">
        <f aca="false">D10*(1-x_testy)</f>
        <v>50000000</v>
      </c>
      <c r="AE10" s="0" t="n">
        <f aca="false">E10*(1-x_testy)</f>
        <v>0</v>
      </c>
      <c r="AF10" s="0" t="n">
        <f aca="false">F10*x_NAV</f>
        <v>0</v>
      </c>
      <c r="AG10" s="0" t="n">
        <f aca="false">G10*x_FIX*(1-x_testy)</f>
        <v>1223620.54528</v>
      </c>
      <c r="AH10" s="0" t="n">
        <f aca="false">x_z_F*U10+(1-x_AGRI)*x_EMP*x_WLOSS*(x_PEN_K74*Q10+x_PEN_C22*R10)</f>
        <v>31984288.3129129</v>
      </c>
      <c r="AI10" s="0" t="n">
        <f aca="false">x_AGRI*x_EMP*x_WLOSS*(x_PEN_K74*Q10+x_PEN_C22*R10)</f>
        <v>1846937.83454747</v>
      </c>
      <c r="AJ10" s="0" t="n">
        <f aca="false">x_EMP*x_WAGE*(x_WLOSS*(Q10+R10)+S10)+U10*x_ABS_D*x_WAGE/365</f>
        <v>568141521.931336</v>
      </c>
      <c r="AK10" s="0" t="n">
        <f aca="false">AJ10*x_R_FUS</f>
        <v>179759977.539075</v>
      </c>
      <c r="AL10" s="0" t="n">
        <f aca="false">AJ10*x_R_NFZ</f>
        <v>44122438.7347095</v>
      </c>
      <c r="AM10" s="0" t="n">
        <f aca="false">AJ10*x_R_PIT</f>
        <v>37772419.7126849</v>
      </c>
      <c r="AN10" s="0" t="n">
        <f aca="false">AJ10*x_R_FP</f>
        <v>14487608.8092491</v>
      </c>
      <c r="AO10" s="0" t="n">
        <f aca="false">AA10+AB10+AC10+AD10+AF10</f>
        <v>548013597.639118</v>
      </c>
      <c r="AP10" s="0" t="n">
        <f aca="false">AO10+AE10+AG10+AH10+AI10+AK10+AL10+AM10+AN10</f>
        <v>859210889.127577</v>
      </c>
      <c r="AQ10" s="0" t="n">
        <f aca="false">AO10+AE10+AG10+AJ10</f>
        <v>1117378740.11573</v>
      </c>
      <c r="AR10" s="0" t="n">
        <f aca="false">AB10+AC10+AD10+AF10</f>
        <v>215100827.469263</v>
      </c>
      <c r="AS10" s="0" t="n">
        <f aca="false">AR10+AE10+AG10</f>
        <v>216324448.014543</v>
      </c>
    </row>
    <row r="11" customFormat="false" ht="15" hidden="false" customHeight="false" outlineLevel="0" collapsed="false">
      <c r="A11" s="0" t="n">
        <v>2034</v>
      </c>
      <c r="B11" s="0" t="n">
        <v>8</v>
      </c>
      <c r="C11" s="0" t="n">
        <v>5764.307</v>
      </c>
      <c r="D11" s="0" t="n">
        <v>50000000</v>
      </c>
      <c r="E11" s="0" t="n">
        <v>0</v>
      </c>
      <c r="F11" s="0" t="n">
        <v>0</v>
      </c>
      <c r="G11" s="0" t="n">
        <v>1</v>
      </c>
      <c r="H11" s="0" t="n">
        <v>2614.751</v>
      </c>
      <c r="I11" s="0" t="n">
        <v>352.597</v>
      </c>
      <c r="J11" s="0" t="n">
        <v>1667.77</v>
      </c>
      <c r="K11" s="0" t="n">
        <v>2852.363</v>
      </c>
      <c r="L11" s="0" t="n">
        <v>1390.202</v>
      </c>
      <c r="M11" s="0" t="n">
        <v>44907.583</v>
      </c>
      <c r="N11" s="0" t="n">
        <v>4691.051</v>
      </c>
      <c r="O11" s="0" t="n">
        <v>93.976</v>
      </c>
      <c r="P11" s="0" t="n">
        <v>93.286</v>
      </c>
      <c r="Q11" s="0" t="n">
        <v>2329.669</v>
      </c>
      <c r="R11" s="0" t="n">
        <v>2137.573</v>
      </c>
      <c r="S11" s="0" t="n">
        <v>5639.581</v>
      </c>
      <c r="T11" s="0" t="n">
        <v>2967.348</v>
      </c>
      <c r="U11" s="0" t="n">
        <v>1994.584</v>
      </c>
      <c r="V11" s="0" t="n">
        <v>124078.802</v>
      </c>
      <c r="W11" s="0" t="n">
        <v>329.595</v>
      </c>
      <c r="X11" s="0" t="n">
        <v>869.342</v>
      </c>
      <c r="Y11" s="0" t="n">
        <v>93.976</v>
      </c>
      <c r="Z11" s="0" t="n">
        <v>1011.33</v>
      </c>
      <c r="AA11" s="0" t="n">
        <f aca="false">H11*x_c_F+I11*x_c_CC+J11*x_c_DC+K11*x_c_HCC+L11*x_c_PLT+M11*x_c_SVRn+N11*x_c_SVRcc+O11*x_c_LT+P11*x_c_LT1</f>
        <v>340331498.073213</v>
      </c>
      <c r="AB11" s="0" t="n">
        <f aca="false">C11*x_c_DAA</f>
        <v>131195627.32</v>
      </c>
      <c r="AC11" s="0" t="n">
        <f aca="false">C11*x_c_MON</f>
        <v>33231978.5588197</v>
      </c>
      <c r="AD11" s="0" t="n">
        <f aca="false">D11*(1-x_testy)</f>
        <v>50000000</v>
      </c>
      <c r="AE11" s="0" t="n">
        <f aca="false">E11*(1-x_testy)</f>
        <v>0</v>
      </c>
      <c r="AF11" s="0" t="n">
        <f aca="false">F11*x_NAV</f>
        <v>0</v>
      </c>
      <c r="AG11" s="0" t="n">
        <f aca="false">G11*x_FIX*(1-x_testy)</f>
        <v>1223620.54528</v>
      </c>
      <c r="AH11" s="0" t="n">
        <f aca="false">x_z_F*U11+(1-x_AGRI)*x_EMP*x_WLOSS*(x_PEN_K74*Q11+x_PEN_C22*R11)</f>
        <v>32725943.8913638</v>
      </c>
      <c r="AI11" s="0" t="n">
        <f aca="false">x_AGRI*x_EMP*x_WLOSS*(x_PEN_K74*Q11+x_PEN_C22*R11)</f>
        <v>1892075.11526894</v>
      </c>
      <c r="AJ11" s="0" t="n">
        <f aca="false">x_EMP*x_WAGE*(x_WLOSS*(Q11+R11)+S11)+U11*x_ABS_D*x_WAGE/365</f>
        <v>632911868.465268</v>
      </c>
      <c r="AK11" s="0" t="n">
        <f aca="false">AJ11*x_R_FUS</f>
        <v>200253315.182411</v>
      </c>
      <c r="AL11" s="0" t="n">
        <f aca="false">AJ11*x_R_NFZ</f>
        <v>49152568.6168812</v>
      </c>
      <c r="AM11" s="0" t="n">
        <f aca="false">AJ11*x_R_PIT</f>
        <v>42078622.6916521</v>
      </c>
      <c r="AN11" s="0" t="n">
        <f aca="false">AJ11*x_R_FP</f>
        <v>16139252.6458643</v>
      </c>
      <c r="AO11" s="0" t="n">
        <f aca="false">AA11+AB11+AC11+AD11+AF11</f>
        <v>554759103.952033</v>
      </c>
      <c r="AP11" s="0" t="n">
        <f aca="false">AO11+AE11+AG11+AH11+AI11+AK11+AL11+AM11+AN11</f>
        <v>898224502.640754</v>
      </c>
      <c r="AQ11" s="0" t="n">
        <f aca="false">AO11+AE11+AG11+AJ11</f>
        <v>1188894592.96258</v>
      </c>
      <c r="AR11" s="0" t="n">
        <f aca="false">AB11+AC11+AD11+AF11</f>
        <v>214427605.87882</v>
      </c>
      <c r="AS11" s="0" t="n">
        <f aca="false">AR11+AE11+AG11</f>
        <v>215651226.4241</v>
      </c>
    </row>
    <row r="12" customFormat="false" ht="15" hidden="false" customHeight="false" outlineLevel="0" collapsed="false">
      <c r="A12" s="0" t="n">
        <v>2035</v>
      </c>
      <c r="B12" s="0" t="n">
        <v>9</v>
      </c>
      <c r="C12" s="0" t="n">
        <v>5741.579</v>
      </c>
      <c r="D12" s="0" t="n">
        <v>50000000</v>
      </c>
      <c r="E12" s="0" t="n">
        <v>0</v>
      </c>
      <c r="F12" s="0" t="n">
        <v>0</v>
      </c>
      <c r="G12" s="0" t="n">
        <v>1</v>
      </c>
      <c r="H12" s="0" t="n">
        <v>2401.903</v>
      </c>
      <c r="I12" s="0" t="n">
        <v>331.735</v>
      </c>
      <c r="J12" s="0" t="n">
        <v>1688.516</v>
      </c>
      <c r="K12" s="0" t="n">
        <v>2886.756</v>
      </c>
      <c r="L12" s="0" t="n">
        <v>1377.714</v>
      </c>
      <c r="M12" s="0" t="n">
        <v>48741.965</v>
      </c>
      <c r="N12" s="0" t="n">
        <v>5145.901</v>
      </c>
      <c r="O12" s="0" t="n">
        <v>95.185</v>
      </c>
      <c r="P12" s="0" t="n">
        <v>94.581</v>
      </c>
      <c r="Q12" s="0" t="n">
        <v>2369.737</v>
      </c>
      <c r="R12" s="0" t="n">
        <v>2196.226</v>
      </c>
      <c r="S12" s="0" t="n">
        <v>6372.126</v>
      </c>
      <c r="T12" s="0" t="n">
        <v>2733.637</v>
      </c>
      <c r="U12" s="0" t="n">
        <v>1870.026</v>
      </c>
      <c r="V12" s="0" t="n">
        <v>125467.855</v>
      </c>
      <c r="W12" s="0" t="n">
        <v>331.444</v>
      </c>
      <c r="X12" s="0" t="n">
        <v>871.328</v>
      </c>
      <c r="Y12" s="0" t="n">
        <v>95.185</v>
      </c>
      <c r="Z12" s="0" t="n">
        <v>1023.22</v>
      </c>
      <c r="AA12" s="0" t="n">
        <f aca="false">H12*x_c_F+I12*x_c_CC+J12*x_c_DC+K12*x_c_HCC+L12*x_c_PLT+M12*x_c_SVRn+N12*x_c_SVRcc+O12*x_c_LT+P12*x_c_LT1</f>
        <v>345799225.88181</v>
      </c>
      <c r="AB12" s="0" t="n">
        <f aca="false">C12*x_c_DAA</f>
        <v>130678338.04</v>
      </c>
      <c r="AC12" s="0" t="n">
        <f aca="false">C12*x_c_MON</f>
        <v>33100948.6867666</v>
      </c>
      <c r="AD12" s="0" t="n">
        <f aca="false">D12*(1-x_testy)</f>
        <v>50000000</v>
      </c>
      <c r="AE12" s="0" t="n">
        <f aca="false">E12*(1-x_testy)</f>
        <v>0</v>
      </c>
      <c r="AF12" s="0" t="n">
        <f aca="false">F12*x_NAV</f>
        <v>0</v>
      </c>
      <c r="AG12" s="0" t="n">
        <f aca="false">G12*x_FIX*(1-x_testy)</f>
        <v>1223620.54528</v>
      </c>
      <c r="AH12" s="0" t="n">
        <f aca="false">x_z_F*U12+(1-x_AGRI)*x_EMP*x_WLOSS*(x_PEN_K74*Q12+x_PEN_C22*R12)</f>
        <v>33111820.3327548</v>
      </c>
      <c r="AI12" s="0" t="n">
        <f aca="false">x_AGRI*x_EMP*x_WLOSS*(x_PEN_K74*Q12+x_PEN_C22*R12)</f>
        <v>1934507.17876563</v>
      </c>
      <c r="AJ12" s="0" t="n">
        <f aca="false">x_EMP*x_WAGE*(x_WLOSS*(Q12+R12)+S12)+U12*x_ABS_D*x_WAGE/365</f>
        <v>698234424.938031</v>
      </c>
      <c r="AK12" s="0" t="n">
        <f aca="false">AJ12*x_R_FUS</f>
        <v>220921372.050393</v>
      </c>
      <c r="AL12" s="0" t="n">
        <f aca="false">AJ12*x_R_NFZ</f>
        <v>54225583.6751124</v>
      </c>
      <c r="AM12" s="0" t="n">
        <f aca="false">AJ12*x_R_PIT</f>
        <v>46421538.8921916</v>
      </c>
      <c r="AN12" s="0" t="n">
        <f aca="false">AJ12*x_R_FP</f>
        <v>17804977.8359198</v>
      </c>
      <c r="AO12" s="0" t="n">
        <f aca="false">AA12+AB12+AC12+AD12+AF12</f>
        <v>559578512.608577</v>
      </c>
      <c r="AP12" s="0" t="n">
        <f aca="false">AO12+AE12+AG12+AH12+AI12+AK12+AL12+AM12+AN12</f>
        <v>935221933.118994</v>
      </c>
      <c r="AQ12" s="0" t="n">
        <f aca="false">AO12+AE12+AG12+AJ12</f>
        <v>1259036558.09189</v>
      </c>
      <c r="AR12" s="0" t="n">
        <f aca="false">AB12+AC12+AD12+AF12</f>
        <v>213779286.726767</v>
      </c>
      <c r="AS12" s="0" t="n">
        <f aca="false">AR12+AE12+AG12</f>
        <v>215002907.272047</v>
      </c>
    </row>
    <row r="13" customFormat="false" ht="15" hidden="false" customHeight="false" outlineLevel="0" collapsed="false">
      <c r="A13" s="0" t="n">
        <v>2036</v>
      </c>
      <c r="B13" s="0" t="n">
        <v>10</v>
      </c>
      <c r="C13" s="0" t="n">
        <v>4832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2197.105</v>
      </c>
      <c r="I13" s="0" t="n">
        <v>309.251</v>
      </c>
      <c r="J13" s="0" t="n">
        <v>1705.908</v>
      </c>
      <c r="K13" s="0" t="n">
        <v>2911.047</v>
      </c>
      <c r="L13" s="0" t="n">
        <v>1365.586</v>
      </c>
      <c r="M13" s="0" t="n">
        <v>52100.495</v>
      </c>
      <c r="N13" s="0" t="n">
        <v>5535.595</v>
      </c>
      <c r="O13" s="0" t="n">
        <v>96.13</v>
      </c>
      <c r="P13" s="0" t="n">
        <v>95.658</v>
      </c>
      <c r="Q13" s="0" t="n">
        <v>2409.161</v>
      </c>
      <c r="R13" s="0" t="n">
        <v>2249.068</v>
      </c>
      <c r="S13" s="0" t="n">
        <v>7115.807</v>
      </c>
      <c r="T13" s="0" t="n">
        <v>2506.356</v>
      </c>
      <c r="U13" s="0" t="n">
        <v>1745.465</v>
      </c>
      <c r="V13" s="0" t="n">
        <v>126825.319</v>
      </c>
      <c r="W13" s="0" t="n">
        <v>333.187</v>
      </c>
      <c r="X13" s="0" t="n">
        <v>873.034</v>
      </c>
      <c r="Y13" s="0" t="n">
        <v>96.13</v>
      </c>
      <c r="Z13" s="0" t="n">
        <v>1031.517</v>
      </c>
      <c r="AA13" s="0" t="n">
        <f aca="false">H13*x_c_F+I13*x_c_CC+J13*x_c_DC+K13*x_c_HCC+L13*x_c_PLT+M13*x_c_SVRn+N13*x_c_SVRcc+O13*x_c_LT+P13*x_c_LT1</f>
        <v>350026868.997597</v>
      </c>
      <c r="AB13" s="0" t="n">
        <f aca="false">C13*x_c_DAA</f>
        <v>109976320</v>
      </c>
      <c r="AC13" s="0" t="n">
        <f aca="false">C13*x_c_MON</f>
        <v>27857107.6100244</v>
      </c>
      <c r="AD13" s="0" t="n">
        <f aca="false">D13*(1-x_testy)</f>
        <v>0</v>
      </c>
      <c r="AE13" s="0" t="n">
        <f aca="false">E13*(1-x_testy)</f>
        <v>0</v>
      </c>
      <c r="AF13" s="0" t="n">
        <f aca="false">F13*x_NAV</f>
        <v>0</v>
      </c>
      <c r="AG13" s="0" t="n">
        <f aca="false">G13*x_FIX*(1-x_testy)</f>
        <v>0</v>
      </c>
      <c r="AH13" s="0" t="n">
        <f aca="false">x_z_F*U13+(1-x_AGRI)*x_EMP*x_WLOSS*(x_PEN_K74*Q13+x_PEN_C22*R13)</f>
        <v>33454093.5664601</v>
      </c>
      <c r="AI13" s="0" t="n">
        <f aca="false">x_AGRI*x_EMP*x_WLOSS*(x_PEN_K74*Q13+x_PEN_C22*R13)</f>
        <v>1974057.56158227</v>
      </c>
      <c r="AJ13" s="0" t="n">
        <f aca="false">x_EMP*x_WAGE*(x_WLOSS*(Q13+R13)+S13)+U13*x_ABS_D*x_WAGE/365</f>
        <v>764295151.573966</v>
      </c>
      <c r="AK13" s="0" t="n">
        <f aca="false">AJ13*x_R_FUS</f>
        <v>241822985.958003</v>
      </c>
      <c r="AL13" s="0" t="n">
        <f aca="false">AJ13*x_R_NFZ</f>
        <v>59355925.7663858</v>
      </c>
      <c r="AM13" s="0" t="n">
        <f aca="false">AJ13*x_R_PIT</f>
        <v>50813531.7261867</v>
      </c>
      <c r="AN13" s="0" t="n">
        <f aca="false">AJ13*x_R_FP</f>
        <v>19489526.3651361</v>
      </c>
      <c r="AO13" s="0" t="n">
        <f aca="false">AA13+AB13+AC13+AD13+AF13</f>
        <v>487860296.607622</v>
      </c>
      <c r="AP13" s="0" t="n">
        <f aca="false">AO13+AE13+AG13+AH13+AI13+AK13+AL13+AM13+AN13</f>
        <v>894770417.551375</v>
      </c>
      <c r="AQ13" s="0" t="n">
        <f aca="false">AO13+AE13+AG13+AJ13</f>
        <v>1252155448.18159</v>
      </c>
      <c r="AR13" s="0" t="n">
        <f aca="false">AB13+AC13+AD13+AF13</f>
        <v>137833427.610024</v>
      </c>
      <c r="AS13" s="0" t="n">
        <f aca="false">AR13+AE13+AG13</f>
        <v>137833427.610024</v>
      </c>
    </row>
    <row r="14" customFormat="false" ht="15" hidden="false" customHeight="false" outlineLevel="0" collapsed="false">
      <c r="A14" s="0" t="n">
        <v>2037</v>
      </c>
      <c r="B14" s="0" t="n">
        <v>11</v>
      </c>
      <c r="C14" s="0" t="n">
        <v>4832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2192.396</v>
      </c>
      <c r="I14" s="0" t="n">
        <v>312.245</v>
      </c>
      <c r="J14" s="0" t="n">
        <v>1719.478</v>
      </c>
      <c r="K14" s="0" t="n">
        <v>2925.845</v>
      </c>
      <c r="L14" s="0" t="n">
        <v>1353.496</v>
      </c>
      <c r="M14" s="0" t="n">
        <v>55375.24</v>
      </c>
      <c r="N14" s="0" t="n">
        <v>5911.053</v>
      </c>
      <c r="O14" s="0" t="n">
        <v>96.856</v>
      </c>
      <c r="P14" s="0" t="n">
        <v>96.493</v>
      </c>
      <c r="Q14" s="0" t="n">
        <v>2447.363</v>
      </c>
      <c r="R14" s="0" t="n">
        <v>2296.446</v>
      </c>
      <c r="S14" s="0" t="n">
        <v>7867.498</v>
      </c>
      <c r="T14" s="0" t="n">
        <v>2504.64</v>
      </c>
      <c r="U14" s="0" t="n">
        <v>1772.488</v>
      </c>
      <c r="V14" s="0" t="n">
        <v>128166.754</v>
      </c>
      <c r="W14" s="0" t="n">
        <v>333.194</v>
      </c>
      <c r="X14" s="0" t="n">
        <v>870.786</v>
      </c>
      <c r="Y14" s="0" t="n">
        <v>96.856</v>
      </c>
      <c r="Z14" s="0" t="n">
        <v>1037.02</v>
      </c>
      <c r="AA14" s="0" t="n">
        <f aca="false">H14*x_c_F+I14*x_c_CC+J14*x_c_DC+K14*x_c_HCC+L14*x_c_PLT+M14*x_c_SVRn+N14*x_c_SVRcc+O14*x_c_LT+P14*x_c_LT1</f>
        <v>354143158.293732</v>
      </c>
      <c r="AB14" s="0" t="n">
        <f aca="false">C14*x_c_DAA</f>
        <v>109976320</v>
      </c>
      <c r="AC14" s="0" t="n">
        <f aca="false">C14*x_c_MON</f>
        <v>27857107.6100244</v>
      </c>
      <c r="AD14" s="0" t="n">
        <f aca="false">D14*(1-x_testy)</f>
        <v>0</v>
      </c>
      <c r="AE14" s="0" t="n">
        <f aca="false">E14*(1-x_testy)</f>
        <v>0</v>
      </c>
      <c r="AF14" s="0" t="n">
        <f aca="false">F14*x_NAV</f>
        <v>0</v>
      </c>
      <c r="AG14" s="0" t="n">
        <f aca="false">G14*x_FIX*(1-x_testy)</f>
        <v>0</v>
      </c>
      <c r="AH14" s="0" t="n">
        <f aca="false">x_z_F*U14+(1-x_AGRI)*x_EMP*x_WLOSS*(x_PEN_K74*Q14+x_PEN_C22*R14)</f>
        <v>34063307.6688471</v>
      </c>
      <c r="AI14" s="0" t="n">
        <f aca="false">x_AGRI*x_EMP*x_WLOSS*(x_PEN_K74*Q14+x_PEN_C22*R14)</f>
        <v>2010653.24916577</v>
      </c>
      <c r="AJ14" s="0" t="n">
        <f aca="false">x_EMP*x_WAGE*(x_WLOSS*(Q14+R14)+S14)+U14*x_ABS_D*x_WAGE/365</f>
        <v>831265234.216529</v>
      </c>
      <c r="AK14" s="0" t="n">
        <f aca="false">AJ14*x_R_FUS</f>
        <v>263012320.10611</v>
      </c>
      <c r="AL14" s="0" t="n">
        <f aca="false">AJ14*x_R_NFZ</f>
        <v>64556889.3544899</v>
      </c>
      <c r="AM14" s="0" t="n">
        <f aca="false">AJ14*x_R_PIT</f>
        <v>55265982.3430135</v>
      </c>
      <c r="AN14" s="0" t="n">
        <f aca="false">AJ14*x_R_FP</f>
        <v>21197263.4725215</v>
      </c>
      <c r="AO14" s="0" t="n">
        <f aca="false">AA14+AB14+AC14+AD14+AF14</f>
        <v>491976585.903756</v>
      </c>
      <c r="AP14" s="0" t="n">
        <f aca="false">AO14+AE14+AG14+AH14+AI14+AK14+AL14+AM14+AN14</f>
        <v>932083002.097904</v>
      </c>
      <c r="AQ14" s="0" t="n">
        <f aca="false">AO14+AE14+AG14+AJ14</f>
        <v>1323241820.12029</v>
      </c>
      <c r="AR14" s="0" t="n">
        <f aca="false">AB14+AC14+AD14+AF14</f>
        <v>137833427.610024</v>
      </c>
      <c r="AS14" s="0" t="n">
        <f aca="false">AR14+AE14+AG14</f>
        <v>137833427.610024</v>
      </c>
    </row>
    <row r="15" customFormat="false" ht="15" hidden="false" customHeight="false" outlineLevel="0" collapsed="false">
      <c r="A15" s="0" t="n">
        <v>2038</v>
      </c>
      <c r="B15" s="0" t="n">
        <v>12</v>
      </c>
      <c r="C15" s="0" t="n">
        <v>4832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2189.313</v>
      </c>
      <c r="I15" s="0" t="n">
        <v>313.615</v>
      </c>
      <c r="J15" s="0" t="n">
        <v>1728.076</v>
      </c>
      <c r="K15" s="0" t="n">
        <v>2929.894</v>
      </c>
      <c r="L15" s="0" t="n">
        <v>1341.114</v>
      </c>
      <c r="M15" s="0" t="n">
        <v>58565.782</v>
      </c>
      <c r="N15" s="0" t="n">
        <v>6268.357</v>
      </c>
      <c r="O15" s="0" t="n">
        <v>97.291</v>
      </c>
      <c r="P15" s="0" t="n">
        <v>97.073</v>
      </c>
      <c r="Q15" s="0" t="n">
        <v>1613.586</v>
      </c>
      <c r="R15" s="0" t="n">
        <v>1532.299</v>
      </c>
      <c r="S15" s="0" t="n">
        <v>5477.165</v>
      </c>
      <c r="T15" s="0" t="n">
        <v>2502.928</v>
      </c>
      <c r="U15" s="0" t="n">
        <v>1518.453</v>
      </c>
      <c r="V15" s="0" t="n">
        <v>129486.108</v>
      </c>
      <c r="W15" s="0" t="n">
        <v>331.552</v>
      </c>
      <c r="X15" s="0" t="n">
        <v>864.84</v>
      </c>
      <c r="Y15" s="0" t="n">
        <v>97.291</v>
      </c>
      <c r="Z15" s="0" t="n">
        <v>1039.138</v>
      </c>
      <c r="AA15" s="0" t="n">
        <f aca="false">H15*x_c_F+I15*x_c_CC+J15*x_c_DC+K15*x_c_HCC+L15*x_c_PLT+M15*x_c_SVRn+N15*x_c_SVRcc+O15*x_c_LT+P15*x_c_LT1</f>
        <v>357267298.087884</v>
      </c>
      <c r="AB15" s="0" t="n">
        <f aca="false">C15*x_c_DAA</f>
        <v>109976320</v>
      </c>
      <c r="AC15" s="0" t="n">
        <f aca="false">C15*x_c_MON</f>
        <v>27857107.6100244</v>
      </c>
      <c r="AD15" s="0" t="n">
        <f aca="false">D15*(1-x_testy)</f>
        <v>0</v>
      </c>
      <c r="AE15" s="0" t="n">
        <f aca="false">E15*(1-x_testy)</f>
        <v>0</v>
      </c>
      <c r="AF15" s="0" t="n">
        <f aca="false">F15*x_NAV</f>
        <v>0</v>
      </c>
      <c r="AG15" s="0" t="n">
        <f aca="false">G15*x_FIX*(1-x_testy)</f>
        <v>0</v>
      </c>
      <c r="AH15" s="0" t="n">
        <f aca="false">x_z_F*U15+(1-x_AGRI)*x_EMP*x_WLOSS*(x_PEN_K74*Q15+x_PEN_C22*R15)</f>
        <v>23302208.8271813</v>
      </c>
      <c r="AI15" s="0" t="n">
        <f aca="false">x_AGRI*x_EMP*x_WLOSS*(x_PEN_K74*Q15+x_PEN_C22*R15)</f>
        <v>1333886.45864482</v>
      </c>
      <c r="AJ15" s="0" t="n">
        <f aca="false">x_EMP*x_WAGE*(x_WLOSS*(Q15+R15)+S15)+U15*x_ABS_D*x_WAGE/365</f>
        <v>574415615.407672</v>
      </c>
      <c r="AK15" s="0" t="n">
        <f aca="false">AJ15*x_R_FUS</f>
        <v>181745100.714987</v>
      </c>
      <c r="AL15" s="0" t="n">
        <f aca="false">AJ15*x_R_NFZ</f>
        <v>44609691.1081752</v>
      </c>
      <c r="AM15" s="0" t="n">
        <f aca="false">AJ15*x_R_PIT</f>
        <v>38189547.6340858</v>
      </c>
      <c r="AN15" s="0" t="n">
        <f aca="false">AJ15*x_R_FP</f>
        <v>14647598.1928956</v>
      </c>
      <c r="AO15" s="0" t="n">
        <f aca="false">AA15+AB15+AC15+AD15+AF15</f>
        <v>495100725.697909</v>
      </c>
      <c r="AP15" s="0" t="n">
        <f aca="false">AO15+AE15+AG15+AH15+AI15+AK15+AL15+AM15+AN15</f>
        <v>798928758.633879</v>
      </c>
      <c r="AQ15" s="0" t="n">
        <f aca="false">AO15+AE15+AG15+AJ15</f>
        <v>1069516341.10558</v>
      </c>
      <c r="AR15" s="0" t="n">
        <f aca="false">AB15+AC15+AD15+AF15</f>
        <v>137833427.610024</v>
      </c>
      <c r="AS15" s="0" t="n">
        <f aca="false">AR15+AE15+AG15</f>
        <v>137833427.610024</v>
      </c>
    </row>
    <row r="16" customFormat="false" ht="15" hidden="false" customHeight="false" outlineLevel="0" collapsed="false">
      <c r="A16" s="0" t="n">
        <v>2039</v>
      </c>
      <c r="B16" s="0" t="n">
        <v>13</v>
      </c>
      <c r="C16" s="0" t="n">
        <v>4832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2187.788</v>
      </c>
      <c r="I16" s="0" t="n">
        <v>313.435</v>
      </c>
      <c r="J16" s="0" t="n">
        <v>1730.874</v>
      </c>
      <c r="K16" s="0" t="n">
        <v>2922.607</v>
      </c>
      <c r="L16" s="0" t="n">
        <v>1328.102</v>
      </c>
      <c r="M16" s="0" t="n">
        <v>61671.184</v>
      </c>
      <c r="N16" s="0" t="n">
        <v>6603.736</v>
      </c>
      <c r="O16" s="0" t="n">
        <v>97.389</v>
      </c>
      <c r="P16" s="0" t="n">
        <v>97.34</v>
      </c>
      <c r="Q16" s="0" t="n">
        <v>771.773</v>
      </c>
      <c r="R16" s="0" t="n">
        <v>760.224</v>
      </c>
      <c r="S16" s="0" t="n">
        <v>2840.053</v>
      </c>
      <c r="T16" s="0" t="n">
        <v>2501.223</v>
      </c>
      <c r="U16" s="0" t="n">
        <v>1279.398</v>
      </c>
      <c r="V16" s="0" t="n">
        <v>130777.76</v>
      </c>
      <c r="W16" s="0" t="n">
        <v>328.389</v>
      </c>
      <c r="X16" s="0" t="n">
        <v>855.516</v>
      </c>
      <c r="Y16" s="0" t="n">
        <v>97.389</v>
      </c>
      <c r="Z16" s="0" t="n">
        <v>1037.519</v>
      </c>
      <c r="AA16" s="0" t="n">
        <f aca="false">H16*x_c_F+I16*x_c_CC+J16*x_c_DC+K16*x_c_HCC+L16*x_c_PLT+M16*x_c_SVRn+N16*x_c_SVRcc+O16*x_c_LT+P16*x_c_LT1</f>
        <v>359307449.146861</v>
      </c>
      <c r="AB16" s="0" t="n">
        <f aca="false">C16*x_c_DAA</f>
        <v>109976320</v>
      </c>
      <c r="AC16" s="0" t="n">
        <f aca="false">C16*x_c_MON</f>
        <v>27857107.6100244</v>
      </c>
      <c r="AD16" s="0" t="n">
        <f aca="false">D16*(1-x_testy)</f>
        <v>0</v>
      </c>
      <c r="AE16" s="0" t="n">
        <f aca="false">E16*(1-x_testy)</f>
        <v>0</v>
      </c>
      <c r="AF16" s="0" t="n">
        <f aca="false">F16*x_NAV</f>
        <v>0</v>
      </c>
      <c r="AG16" s="0" t="n">
        <f aca="false">G16*x_FIX*(1-x_testy)</f>
        <v>0</v>
      </c>
      <c r="AH16" s="0" t="n">
        <f aca="false">x_z_F*U16+(1-x_AGRI)*x_EMP*x_WLOSS*(x_PEN_K74*Q16+x_PEN_C22*R16)</f>
        <v>12469375.6717758</v>
      </c>
      <c r="AI16" s="0" t="n">
        <f aca="false">x_AGRI*x_EMP*x_WLOSS*(x_PEN_K74*Q16+x_PEN_C22*R16)</f>
        <v>650342.513242544</v>
      </c>
      <c r="AJ16" s="0" t="n">
        <f aca="false">x_EMP*x_WAGE*(x_WLOSS*(Q16+R16)+S16)+U16*x_ABS_D*x_WAGE/365</f>
        <v>296046974.494431</v>
      </c>
      <c r="AK16" s="0" t="n">
        <f aca="false">AJ16*x_R_FUS</f>
        <v>93669262.730038</v>
      </c>
      <c r="AL16" s="0" t="n">
        <f aca="false">AJ16*x_R_NFZ</f>
        <v>22991304.086212</v>
      </c>
      <c r="AM16" s="0" t="n">
        <f aca="false">AJ16*x_R_PIT</f>
        <v>19682438.5185944</v>
      </c>
      <c r="AN16" s="0" t="n">
        <f aca="false">AJ16*x_R_FP</f>
        <v>7549197.84960799</v>
      </c>
      <c r="AO16" s="0" t="n">
        <f aca="false">AA16+AB16+AC16+AD16+AF16</f>
        <v>497140876.756886</v>
      </c>
      <c r="AP16" s="0" t="n">
        <f aca="false">AO16+AE16+AG16+AH16+AI16+AK16+AL16+AM16+AN16</f>
        <v>654152798.126356</v>
      </c>
      <c r="AQ16" s="0" t="n">
        <f aca="false">AO16+AE16+AG16+AJ16</f>
        <v>793187851.251317</v>
      </c>
      <c r="AR16" s="0" t="n">
        <f aca="false">AB16+AC16+AD16+AF16</f>
        <v>137833427.610024</v>
      </c>
      <c r="AS16" s="0" t="n">
        <f aca="false">AR16+AE16+AG16</f>
        <v>137833427.610024</v>
      </c>
    </row>
    <row r="17" customFormat="false" ht="15" hidden="false" customHeight="false" outlineLevel="0" collapsed="false">
      <c r="A17" s="0" t="n">
        <v>2040</v>
      </c>
      <c r="B17" s="0" t="n">
        <v>14</v>
      </c>
      <c r="C17" s="0" t="n">
        <v>4832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2187.717</v>
      </c>
      <c r="I17" s="0" t="n">
        <v>311.811</v>
      </c>
      <c r="J17" s="0" t="n">
        <v>1727.403</v>
      </c>
      <c r="K17" s="0" t="n">
        <v>2904.028</v>
      </c>
      <c r="L17" s="0" t="n">
        <v>1314.128</v>
      </c>
      <c r="M17" s="0" t="n">
        <v>64691.548</v>
      </c>
      <c r="N17" s="0" t="n">
        <v>6913.871</v>
      </c>
      <c r="O17" s="0" t="n">
        <v>97.127</v>
      </c>
      <c r="P17" s="0" t="n">
        <v>97.258</v>
      </c>
      <c r="Q17" s="0" t="n">
        <v>793.475</v>
      </c>
      <c r="R17" s="0" t="n">
        <v>789.203</v>
      </c>
      <c r="S17" s="0" t="n">
        <v>3105.879</v>
      </c>
      <c r="T17" s="0" t="n">
        <v>2499.529</v>
      </c>
      <c r="U17" s="0" t="n">
        <v>1334.805</v>
      </c>
      <c r="V17" s="0" t="n">
        <v>132038.965</v>
      </c>
      <c r="W17" s="0" t="n">
        <v>323.874</v>
      </c>
      <c r="X17" s="0" t="n">
        <v>843.222</v>
      </c>
      <c r="Y17" s="0" t="n">
        <v>97.127</v>
      </c>
      <c r="Z17" s="0" t="n">
        <v>1032.065</v>
      </c>
      <c r="AA17" s="0" t="n">
        <f aca="false">H17*x_c_F+I17*x_c_CC+J17*x_c_DC+K17*x_c_HCC+L17*x_c_PLT+M17*x_c_SVRn+N17*x_c_SVRcc+O17*x_c_LT+P17*x_c_LT1</f>
        <v>360228996.974281</v>
      </c>
      <c r="AB17" s="0" t="n">
        <f aca="false">C17*x_c_DAA</f>
        <v>109976320</v>
      </c>
      <c r="AC17" s="0" t="n">
        <f aca="false">C17*x_c_MON</f>
        <v>27857107.6100244</v>
      </c>
      <c r="AD17" s="0" t="n">
        <f aca="false">D17*(1-x_testy)</f>
        <v>0</v>
      </c>
      <c r="AE17" s="0" t="n">
        <f aca="false">E17*(1-x_testy)</f>
        <v>0</v>
      </c>
      <c r="AF17" s="0" t="n">
        <f aca="false">F17*x_NAV</f>
        <v>0</v>
      </c>
      <c r="AG17" s="0" t="n">
        <f aca="false">G17*x_FIX*(1-x_testy)</f>
        <v>0</v>
      </c>
      <c r="AH17" s="0" t="n">
        <f aca="false">x_z_F*U17+(1-x_AGRI)*x_EMP*x_WLOSS*(x_PEN_K74*Q17+x_PEN_C22*R17)</f>
        <v>12911922.9335804</v>
      </c>
      <c r="AI17" s="0" t="n">
        <f aca="false">x_AGRI*x_EMP*x_WLOSS*(x_PEN_K74*Q17+x_PEN_C22*R17)</f>
        <v>672064.698669675</v>
      </c>
      <c r="AJ17" s="0" t="n">
        <f aca="false">x_EMP*x_WAGE*(x_WLOSS*(Q17+R17)+S17)+U17*x_ABS_D*x_WAGE/365</f>
        <v>320533047.251907</v>
      </c>
      <c r="AK17" s="0" t="n">
        <f aca="false">AJ17*x_R_FUS</f>
        <v>101416656.150503</v>
      </c>
      <c r="AL17" s="0" t="n">
        <f aca="false">AJ17*x_R_NFZ</f>
        <v>24892916.9826303</v>
      </c>
      <c r="AM17" s="0" t="n">
        <f aca="false">AJ17*x_R_PIT</f>
        <v>21310374.8365854</v>
      </c>
      <c r="AN17" s="0" t="n">
        <f aca="false">AJ17*x_R_FP</f>
        <v>8173592.70492362</v>
      </c>
      <c r="AO17" s="0" t="n">
        <f aca="false">AA17+AB17+AC17+AD17+AF17</f>
        <v>498062424.584305</v>
      </c>
      <c r="AP17" s="0" t="n">
        <f aca="false">AO17+AE17+AG17+AH17+AI17+AK17+AL17+AM17+AN17</f>
        <v>667439952.891198</v>
      </c>
      <c r="AQ17" s="0" t="n">
        <f aca="false">AO17+AE17+AG17+AJ17</f>
        <v>818595471.836212</v>
      </c>
      <c r="AR17" s="0" t="n">
        <f aca="false">AB17+AC17+AD17+AF17</f>
        <v>137833427.610024</v>
      </c>
      <c r="AS17" s="0" t="n">
        <f aca="false">AR17+AE17+AG17</f>
        <v>137833427.610024</v>
      </c>
    </row>
    <row r="18" customFormat="false" ht="15" hidden="false" customHeight="false" outlineLevel="0" collapsed="false">
      <c r="A18" s="0" t="n">
        <v>2041</v>
      </c>
      <c r="B18" s="0" t="n">
        <v>15</v>
      </c>
      <c r="C18" s="0" t="n">
        <v>4832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2188.972</v>
      </c>
      <c r="I18" s="0" t="n">
        <v>308.881</v>
      </c>
      <c r="J18" s="0" t="n">
        <v>1717.582</v>
      </c>
      <c r="K18" s="0" t="n">
        <v>2874.808</v>
      </c>
      <c r="L18" s="0" t="n">
        <v>1298.944</v>
      </c>
      <c r="M18" s="0" t="n">
        <v>67629.683</v>
      </c>
      <c r="N18" s="0" t="n">
        <v>7196.267</v>
      </c>
      <c r="O18" s="0" t="n">
        <v>96.506</v>
      </c>
      <c r="P18" s="0" t="n">
        <v>96.817</v>
      </c>
      <c r="Q18" s="0" t="n">
        <v>816.161</v>
      </c>
      <c r="R18" s="0" t="n">
        <v>819.301</v>
      </c>
      <c r="S18" s="0" t="n">
        <v>3380.581</v>
      </c>
      <c r="T18" s="0" t="n">
        <v>2497.853</v>
      </c>
      <c r="U18" s="0" t="n">
        <v>1388.416</v>
      </c>
      <c r="V18" s="0" t="n">
        <v>133271.711</v>
      </c>
      <c r="W18" s="0" t="n">
        <v>318.208</v>
      </c>
      <c r="X18" s="0" t="n">
        <v>828.438</v>
      </c>
      <c r="Y18" s="0" t="n">
        <v>96.506</v>
      </c>
      <c r="Z18" s="0" t="n">
        <v>1022.931</v>
      </c>
      <c r="AA18" s="0" t="n">
        <f aca="false">H18*x_c_F+I18*x_c_CC+J18*x_c_DC+K18*x_c_HCC+L18*x_c_PLT+M18*x_c_SVRn+N18*x_c_SVRcc+O18*x_c_LT+P18*x_c_LT1</f>
        <v>360058654.889366</v>
      </c>
      <c r="AB18" s="0" t="n">
        <f aca="false">C18*x_c_DAA</f>
        <v>109976320</v>
      </c>
      <c r="AC18" s="0" t="n">
        <f aca="false">C18*x_c_MON</f>
        <v>27857107.6100244</v>
      </c>
      <c r="AD18" s="0" t="n">
        <f aca="false">D18*(1-x_testy)</f>
        <v>0</v>
      </c>
      <c r="AE18" s="0" t="n">
        <f aca="false">E18*(1-x_testy)</f>
        <v>0</v>
      </c>
      <c r="AF18" s="0" t="n">
        <f aca="false">F18*x_NAV</f>
        <v>0</v>
      </c>
      <c r="AG18" s="0" t="n">
        <f aca="false">G18*x_FIX*(1-x_testy)</f>
        <v>0</v>
      </c>
      <c r="AH18" s="0" t="n">
        <f aca="false">x_z_F*U18+(1-x_AGRI)*x_EMP*x_WLOSS*(x_PEN_K74*Q18+x_PEN_C22*R18)</f>
        <v>13364345.9469968</v>
      </c>
      <c r="AI18" s="0" t="n">
        <f aca="false">x_AGRI*x_EMP*x_WLOSS*(x_PEN_K74*Q18+x_PEN_C22*R18)</f>
        <v>694683.713428588</v>
      </c>
      <c r="AJ18" s="0" t="n">
        <f aca="false">x_EMP*x_WAGE*(x_WLOSS*(Q18+R18)+S18)+U18*x_ABS_D*x_WAGE/365</f>
        <v>345839450.90898</v>
      </c>
      <c r="AK18" s="0" t="n">
        <f aca="false">AJ18*x_R_FUS</f>
        <v>109423602.267601</v>
      </c>
      <c r="AL18" s="0" t="n">
        <f aca="false">AJ18*x_R_NFZ</f>
        <v>26858237.5970423</v>
      </c>
      <c r="AM18" s="0" t="n">
        <f aca="false">AJ18*x_R_PIT</f>
        <v>22992850.1767158</v>
      </c>
      <c r="AN18" s="0" t="n">
        <f aca="false">AJ18*x_R_FP</f>
        <v>8818905.998179</v>
      </c>
      <c r="AO18" s="0" t="n">
        <f aca="false">AA18+AB18+AC18+AD18+AF18</f>
        <v>497892082.49939</v>
      </c>
      <c r="AP18" s="0" t="n">
        <f aca="false">AO18+AE18+AG18+AH18+AI18+AK18+AL18+AM18+AN18</f>
        <v>680044708.199354</v>
      </c>
      <c r="AQ18" s="0" t="n">
        <f aca="false">AO18+AE18+AG18+AJ18</f>
        <v>843731533.408371</v>
      </c>
      <c r="AR18" s="0" t="n">
        <f aca="false">AB18+AC18+AD18+AF18</f>
        <v>137833427.610024</v>
      </c>
      <c r="AS18" s="0" t="n">
        <f aca="false">AR18+AE18+AG18</f>
        <v>137833427.610024</v>
      </c>
    </row>
    <row r="19" customFormat="false" ht="15" hidden="false" customHeight="false" outlineLevel="0" collapsed="false">
      <c r="A19" s="0" t="n">
        <v>2042</v>
      </c>
      <c r="B19" s="0" t="n">
        <v>16</v>
      </c>
      <c r="C19" s="0" t="n">
        <v>4832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2191.396</v>
      </c>
      <c r="I19" s="0" t="n">
        <v>304.811</v>
      </c>
      <c r="J19" s="0" t="n">
        <v>1701.532</v>
      </c>
      <c r="K19" s="0" t="n">
        <v>2835.883</v>
      </c>
      <c r="L19" s="0" t="n">
        <v>1282.122</v>
      </c>
      <c r="M19" s="0" t="n">
        <v>70484.761</v>
      </c>
      <c r="N19" s="0" t="n">
        <v>7448.551</v>
      </c>
      <c r="O19" s="0" t="n">
        <v>95.53</v>
      </c>
      <c r="P19" s="0" t="n">
        <v>96.018</v>
      </c>
      <c r="Q19" s="0" t="n">
        <v>839.867</v>
      </c>
      <c r="R19" s="0" t="n">
        <v>850.608</v>
      </c>
      <c r="S19" s="0" t="n">
        <v>3664.348</v>
      </c>
      <c r="T19" s="0" t="n">
        <v>2496.207</v>
      </c>
      <c r="U19" s="0" t="n">
        <v>1440.033</v>
      </c>
      <c r="V19" s="0" t="n">
        <v>134476.429</v>
      </c>
      <c r="W19" s="0" t="n">
        <v>311.589</v>
      </c>
      <c r="X19" s="0" t="n">
        <v>811.605</v>
      </c>
      <c r="Y19" s="0" t="n">
        <v>95.53</v>
      </c>
      <c r="Z19" s="0" t="n">
        <v>1010.255</v>
      </c>
      <c r="AA19" s="0" t="n">
        <f aca="false">H19*x_c_F+I19*x_c_CC+J19*x_c_DC+K19*x_c_HCC+L19*x_c_PLT+M19*x_c_SVRn+N19*x_c_SVRcc+O19*x_c_LT+P19*x_c_LT1</f>
        <v>358838707.501184</v>
      </c>
      <c r="AB19" s="0" t="n">
        <f aca="false">C19*x_c_DAA</f>
        <v>109976320</v>
      </c>
      <c r="AC19" s="0" t="n">
        <f aca="false">C19*x_c_MON</f>
        <v>27857107.6100244</v>
      </c>
      <c r="AD19" s="0" t="n">
        <f aca="false">D19*(1-x_testy)</f>
        <v>0</v>
      </c>
      <c r="AE19" s="0" t="n">
        <f aca="false">E19*(1-x_testy)</f>
        <v>0</v>
      </c>
      <c r="AF19" s="0" t="n">
        <f aca="false">F19*x_NAV</f>
        <v>0</v>
      </c>
      <c r="AG19" s="0" t="n">
        <f aca="false">G19*x_FIX*(1-x_testy)</f>
        <v>0</v>
      </c>
      <c r="AH19" s="0" t="n">
        <f aca="false">x_z_F*U19+(1-x_AGRI)*x_EMP*x_WLOSS*(x_PEN_K74*Q19+x_PEN_C22*R19)</f>
        <v>13827069.4140189</v>
      </c>
      <c r="AI19" s="0" t="n">
        <f aca="false">x_AGRI*x_EMP*x_WLOSS*(x_PEN_K74*Q19+x_PEN_C22*R19)</f>
        <v>718254.536019516</v>
      </c>
      <c r="AJ19" s="0" t="n">
        <f aca="false">x_EMP*x_WAGE*(x_WLOSS*(Q19+R19)+S19)+U19*x_ABS_D*x_WAGE/365</f>
        <v>371985842.263166</v>
      </c>
      <c r="AK19" s="0" t="n">
        <f aca="false">AJ19*x_R_FUS</f>
        <v>117696320.492066</v>
      </c>
      <c r="AL19" s="0" t="n">
        <f aca="false">AJ19*x_R_NFZ</f>
        <v>28888792.4959997</v>
      </c>
      <c r="AM19" s="0" t="n">
        <f aca="false">AJ19*x_R_PIT</f>
        <v>24731171.4049286</v>
      </c>
      <c r="AN19" s="0" t="n">
        <f aca="false">AJ19*x_R_FP</f>
        <v>9485638.97771072</v>
      </c>
      <c r="AO19" s="0" t="n">
        <f aca="false">AA19+AB19+AC19+AD19+AF19</f>
        <v>496672135.111208</v>
      </c>
      <c r="AP19" s="0" t="n">
        <f aca="false">AO19+AE19+AG19+AH19+AI19+AK19+AL19+AM19+AN19</f>
        <v>692019382.431951</v>
      </c>
      <c r="AQ19" s="0" t="n">
        <f aca="false">AO19+AE19+AG19+AJ19</f>
        <v>868657977.374374</v>
      </c>
      <c r="AR19" s="0" t="n">
        <f aca="false">AB19+AC19+AD19+AF19</f>
        <v>137833427.610024</v>
      </c>
      <c r="AS19" s="0" t="n">
        <f aca="false">AR19+AE19+AG19</f>
        <v>137833427.610024</v>
      </c>
    </row>
    <row r="20" customFormat="false" ht="15" hidden="false" customHeight="false" outlineLevel="0" collapsed="false">
      <c r="A20" s="0" t="n">
        <v>2043</v>
      </c>
      <c r="B20" s="0" t="n">
        <v>17</v>
      </c>
      <c r="C20" s="0" t="n">
        <v>4832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2194.786</v>
      </c>
      <c r="I20" s="0" t="n">
        <v>299.822</v>
      </c>
      <c r="J20" s="0" t="n">
        <v>1680.163</v>
      </c>
      <c r="K20" s="0" t="n">
        <v>2789.241</v>
      </c>
      <c r="L20" s="0" t="n">
        <v>1264.13</v>
      </c>
      <c r="M20" s="0" t="n">
        <v>73277.451</v>
      </c>
      <c r="N20" s="0" t="n">
        <v>7671.991</v>
      </c>
      <c r="O20" s="0" t="n">
        <v>94.292</v>
      </c>
      <c r="P20" s="0" t="n">
        <v>94.911</v>
      </c>
      <c r="Q20" s="0" t="n">
        <v>864.63</v>
      </c>
      <c r="R20" s="0" t="n">
        <v>883.177</v>
      </c>
      <c r="S20" s="0" t="n">
        <v>3957.351</v>
      </c>
      <c r="T20" s="0" t="n">
        <v>2494.607</v>
      </c>
      <c r="U20" s="0" t="n">
        <v>1489.349</v>
      </c>
      <c r="V20" s="0" t="n">
        <v>135678.765</v>
      </c>
      <c r="W20" s="0" t="n">
        <v>304.375</v>
      </c>
      <c r="X20" s="0" t="n">
        <v>793.601</v>
      </c>
      <c r="Y20" s="0" t="n">
        <v>94.292</v>
      </c>
      <c r="Z20" s="0" t="n">
        <v>995.124</v>
      </c>
      <c r="AA20" s="0" t="n">
        <f aca="false">H20*x_c_F+I20*x_c_CC+J20*x_c_DC+K20*x_c_HCC+L20*x_c_PLT+M20*x_c_SVRn+N20*x_c_SVRcc+O20*x_c_LT+P20*x_c_LT1</f>
        <v>356776464.269484</v>
      </c>
      <c r="AB20" s="0" t="n">
        <f aca="false">C20*x_c_DAA</f>
        <v>109976320</v>
      </c>
      <c r="AC20" s="0" t="n">
        <f aca="false">C20*x_c_MON</f>
        <v>27857107.6100244</v>
      </c>
      <c r="AD20" s="0" t="n">
        <f aca="false">D20*(1-x_testy)</f>
        <v>0</v>
      </c>
      <c r="AE20" s="0" t="n">
        <f aca="false">E20*(1-x_testy)</f>
        <v>0</v>
      </c>
      <c r="AF20" s="0" t="n">
        <f aca="false">F20*x_NAV</f>
        <v>0</v>
      </c>
      <c r="AG20" s="0" t="n">
        <f aca="false">G20*x_FIX*(1-x_testy)</f>
        <v>0</v>
      </c>
      <c r="AH20" s="0" t="n">
        <f aca="false">x_z_F*U20+(1-x_AGRI)*x_EMP*x_WLOSS*(x_PEN_K74*Q20+x_PEN_C22*R20)</f>
        <v>14300047.029947</v>
      </c>
      <c r="AI20" s="0" t="n">
        <f aca="false">x_AGRI*x_EMP*x_WLOSS*(x_PEN_K74*Q20+x_PEN_C22*R20)</f>
        <v>742815.824475621</v>
      </c>
      <c r="AJ20" s="0" t="n">
        <f aca="false">x_EMP*x_WAGE*(x_WLOSS*(Q20+R20)+S20)+U20*x_ABS_D*x_WAGE/365</f>
        <v>398988844.912851</v>
      </c>
      <c r="AK20" s="0" t="n">
        <f aca="false">AJ20*x_R_FUS</f>
        <v>126240070.530426</v>
      </c>
      <c r="AL20" s="0" t="n">
        <f aca="false">AJ20*x_R_NFZ</f>
        <v>30985872.6847769</v>
      </c>
      <c r="AM20" s="0" t="n">
        <f aca="false">AJ20*x_R_PIT</f>
        <v>26526443.7274292</v>
      </c>
      <c r="AN20" s="0" t="n">
        <f aca="false">AJ20*x_R_FP</f>
        <v>10174215.5452777</v>
      </c>
      <c r="AO20" s="0" t="n">
        <f aca="false">AA20+AB20+AC20+AD20+AF20</f>
        <v>494609891.879508</v>
      </c>
      <c r="AP20" s="0" t="n">
        <f aca="false">AO20+AE20+AG20+AH20+AI20+AK20+AL20+AM20+AN20</f>
        <v>703579357.221841</v>
      </c>
      <c r="AQ20" s="0" t="n">
        <f aca="false">AO20+AE20+AG20+AJ20</f>
        <v>893598736.79236</v>
      </c>
      <c r="AR20" s="0" t="n">
        <f aca="false">AB20+AC20+AD20+AF20</f>
        <v>137833427.610024</v>
      </c>
      <c r="AS20" s="0" t="n">
        <f aca="false">AR20+AE20+AG20</f>
        <v>137833427.610024</v>
      </c>
    </row>
    <row r="21" customFormat="false" ht="15" hidden="false" customHeight="false" outlineLevel="0" collapsed="false">
      <c r="A21" s="0" t="n">
        <v>2044</v>
      </c>
      <c r="B21" s="0" t="n">
        <v>18</v>
      </c>
      <c r="C21" s="0" t="n">
        <v>4832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2198.924</v>
      </c>
      <c r="I21" s="0" t="n">
        <v>294.151</v>
      </c>
      <c r="J21" s="0" t="n">
        <v>1654.528</v>
      </c>
      <c r="K21" s="0" t="n">
        <v>2736.994</v>
      </c>
      <c r="L21" s="0" t="n">
        <v>1245.406</v>
      </c>
      <c r="M21" s="0" t="n">
        <v>76027.799</v>
      </c>
      <c r="N21" s="0" t="n">
        <v>7868.558</v>
      </c>
      <c r="O21" s="0" t="n">
        <v>92.815</v>
      </c>
      <c r="P21" s="0" t="n">
        <v>93.554</v>
      </c>
      <c r="Q21" s="0" t="n">
        <v>890.492</v>
      </c>
      <c r="R21" s="0" t="n">
        <v>917.038</v>
      </c>
      <c r="S21" s="0" t="n">
        <v>4259.822</v>
      </c>
      <c r="T21" s="0" t="n">
        <v>2493.075</v>
      </c>
      <c r="U21" s="0" t="n">
        <v>1536.074</v>
      </c>
      <c r="V21" s="0" t="n">
        <v>136903.397</v>
      </c>
      <c r="W21" s="0" t="n">
        <v>296.769</v>
      </c>
      <c r="X21" s="0" t="n">
        <v>774.864</v>
      </c>
      <c r="Y21" s="0" t="n">
        <v>92.815</v>
      </c>
      <c r="Z21" s="0" t="n">
        <v>977.806</v>
      </c>
      <c r="AA21" s="0" t="n">
        <f aca="false">H21*x_c_F+I21*x_c_CC+J21*x_c_DC+K21*x_c_HCC+L21*x_c_PLT+M21*x_c_SVRn+N21*x_c_SVRcc+O21*x_c_LT+P21*x_c_LT1</f>
        <v>354066629.893124</v>
      </c>
      <c r="AB21" s="0" t="n">
        <f aca="false">C21*x_c_DAA</f>
        <v>109976320</v>
      </c>
      <c r="AC21" s="0" t="n">
        <f aca="false">C21*x_c_MON</f>
        <v>27857107.6100244</v>
      </c>
      <c r="AD21" s="0" t="n">
        <f aca="false">D21*(1-x_testy)</f>
        <v>0</v>
      </c>
      <c r="AE21" s="0" t="n">
        <f aca="false">E21*(1-x_testy)</f>
        <v>0</v>
      </c>
      <c r="AF21" s="0" t="n">
        <f aca="false">F21*x_NAV</f>
        <v>0</v>
      </c>
      <c r="AG21" s="0" t="n">
        <f aca="false">G21*x_FIX*(1-x_testy)</f>
        <v>0</v>
      </c>
      <c r="AH21" s="0" t="n">
        <f aca="false">x_z_F*U21+(1-x_AGRI)*x_EMP*x_WLOSS*(x_PEN_K74*Q21+x_PEN_C22*R21)</f>
        <v>14783140.2902349</v>
      </c>
      <c r="AI21" s="0" t="n">
        <f aca="false">x_AGRI*x_EMP*x_WLOSS*(x_PEN_K74*Q21+x_PEN_C22*R21)</f>
        <v>768397.832441957</v>
      </c>
      <c r="AJ21" s="0" t="n">
        <f aca="false">x_EMP*x_WAGE*(x_WLOSS*(Q21+R21)+S21)+U21*x_ABS_D*x_WAGE/365</f>
        <v>426869744.115047</v>
      </c>
      <c r="AK21" s="0" t="n">
        <f aca="false">AJ21*x_R_FUS</f>
        <v>135061587.038001</v>
      </c>
      <c r="AL21" s="0" t="n">
        <f aca="false">AJ21*x_R_NFZ</f>
        <v>33151131.1977187</v>
      </c>
      <c r="AM21" s="0" t="n">
        <f aca="false">AJ21*x_R_PIT</f>
        <v>28380082.2769448</v>
      </c>
      <c r="AN21" s="0" t="n">
        <f aca="false">AJ21*x_R_FP</f>
        <v>10885178.4749337</v>
      </c>
      <c r="AO21" s="0" t="n">
        <f aca="false">AA21+AB21+AC21+AD21+AF21</f>
        <v>491900057.503149</v>
      </c>
      <c r="AP21" s="0" t="n">
        <f aca="false">AO21+AE21+AG21+AH21+AI21+AK21+AL21+AM21+AN21</f>
        <v>714929574.613424</v>
      </c>
      <c r="AQ21" s="0" t="n">
        <f aca="false">AO21+AE21+AG21+AJ21</f>
        <v>918769801.618196</v>
      </c>
      <c r="AR21" s="0" t="n">
        <f aca="false">AB21+AC21+AD21+AF21</f>
        <v>137833427.610024</v>
      </c>
      <c r="AS21" s="0" t="n">
        <f aca="false">AR21+AE21+AG21</f>
        <v>137833427.610024</v>
      </c>
    </row>
    <row r="22" customFormat="false" ht="15" hidden="false" customHeight="false" outlineLevel="0" collapsed="false">
      <c r="A22" s="0" t="n">
        <v>2045</v>
      </c>
      <c r="B22" s="0" t="n">
        <v>19</v>
      </c>
      <c r="C22" s="0" t="n">
        <v>4832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2203.599</v>
      </c>
      <c r="I22" s="0" t="n">
        <v>288.021</v>
      </c>
      <c r="J22" s="0" t="n">
        <v>1625.396</v>
      </c>
      <c r="K22" s="0" t="n">
        <v>2680.749</v>
      </c>
      <c r="L22" s="0" t="n">
        <v>1225.752</v>
      </c>
      <c r="M22" s="0" t="n">
        <v>78740.188</v>
      </c>
      <c r="N22" s="0" t="n">
        <v>8038.889</v>
      </c>
      <c r="O22" s="0" t="n">
        <v>91.159</v>
      </c>
      <c r="P22" s="0" t="n">
        <v>91.987</v>
      </c>
      <c r="Q22" s="0" t="n">
        <v>917.481</v>
      </c>
      <c r="R22" s="0" t="n">
        <v>952.17</v>
      </c>
      <c r="S22" s="0" t="n">
        <v>4571.955</v>
      </c>
      <c r="T22" s="0" t="n">
        <v>2491.62</v>
      </c>
      <c r="U22" s="0" t="n">
        <v>1580.004</v>
      </c>
      <c r="V22" s="0" t="n">
        <v>138156.835</v>
      </c>
      <c r="W22" s="0" t="n">
        <v>289.024</v>
      </c>
      <c r="X22" s="0" t="n">
        <v>755.981</v>
      </c>
      <c r="Y22" s="0" t="n">
        <v>91.159</v>
      </c>
      <c r="Z22" s="0" t="n">
        <v>958.991</v>
      </c>
      <c r="AA22" s="0" t="n">
        <f aca="false">H22*x_c_F+I22*x_c_CC+J22*x_c_DC+K22*x_c_HCC+L22*x_c_PLT+M22*x_c_SVRn+N22*x_c_SVRcc+O22*x_c_LT+P22*x_c_LT1</f>
        <v>350845333.114846</v>
      </c>
      <c r="AB22" s="0" t="n">
        <f aca="false">C22*x_c_DAA</f>
        <v>109976320</v>
      </c>
      <c r="AC22" s="0" t="n">
        <f aca="false">C22*x_c_MON</f>
        <v>27857107.6100244</v>
      </c>
      <c r="AD22" s="0" t="n">
        <f aca="false">D22*(1-x_testy)</f>
        <v>0</v>
      </c>
      <c r="AE22" s="0" t="n">
        <f aca="false">E22*(1-x_testy)</f>
        <v>0</v>
      </c>
      <c r="AF22" s="0" t="n">
        <f aca="false">F22*x_NAV</f>
        <v>0</v>
      </c>
      <c r="AG22" s="0" t="n">
        <f aca="false">G22*x_FIX*(1-x_testy)</f>
        <v>0</v>
      </c>
      <c r="AH22" s="0" t="n">
        <f aca="false">x_z_F*U22+(1-x_AGRI)*x_EMP*x_WLOSS*(x_PEN_K74*Q22+x_PEN_C22*R22)</f>
        <v>15275954.6573769</v>
      </c>
      <c r="AI22" s="0" t="n">
        <f aca="false">x_AGRI*x_EMP*x_WLOSS*(x_PEN_K74*Q22+x_PEN_C22*R22)</f>
        <v>795002.20360882</v>
      </c>
      <c r="AJ22" s="0" t="n">
        <f aca="false">x_EMP*x_WAGE*(x_WLOSS*(Q22+R22)+S22)+U22*x_ABS_D*x_WAGE/365</f>
        <v>455644710.296565</v>
      </c>
      <c r="AK22" s="0" t="n">
        <f aca="false">AJ22*x_R_FUS</f>
        <v>144165986.337833</v>
      </c>
      <c r="AL22" s="0" t="n">
        <f aca="false">AJ22*x_R_NFZ</f>
        <v>35385823.8463415</v>
      </c>
      <c r="AM22" s="0" t="n">
        <f aca="false">AJ22*x_R_PIT</f>
        <v>30293162.1309428</v>
      </c>
      <c r="AN22" s="0" t="n">
        <f aca="false">AJ22*x_R_FP</f>
        <v>11618940.1125624</v>
      </c>
      <c r="AO22" s="0" t="n">
        <f aca="false">AA22+AB22+AC22+AD22+AF22</f>
        <v>488678760.724871</v>
      </c>
      <c r="AP22" s="0" t="n">
        <f aca="false">AO22+AE22+AG22+AH22+AI22+AK22+AL22+AM22+AN22</f>
        <v>726213630.013536</v>
      </c>
      <c r="AQ22" s="0" t="n">
        <f aca="false">AO22+AE22+AG22+AJ22</f>
        <v>944323471.021435</v>
      </c>
      <c r="AR22" s="0" t="n">
        <f aca="false">AB22+AC22+AD22+AF22</f>
        <v>137833427.610024</v>
      </c>
      <c r="AS22" s="0" t="n">
        <f aca="false">AR22+AE22+AG22</f>
        <v>137833427.610024</v>
      </c>
    </row>
    <row r="23" customFormat="false" ht="15" hidden="false" customHeight="false" outlineLevel="0" collapsed="false">
      <c r="A23" s="0" t="n">
        <v>2046</v>
      </c>
      <c r="B23" s="0" t="n">
        <v>20</v>
      </c>
      <c r="C23" s="0" t="n">
        <v>4832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2208.605</v>
      </c>
      <c r="I23" s="0" t="n">
        <v>281.651</v>
      </c>
      <c r="J23" s="0" t="n">
        <v>1593.813</v>
      </c>
      <c r="K23" s="0" t="n">
        <v>2622.367</v>
      </c>
      <c r="L23" s="0" t="n">
        <v>1205.446</v>
      </c>
      <c r="M23" s="0" t="n">
        <v>81428.606</v>
      </c>
      <c r="N23" s="0" t="n">
        <v>8185.492</v>
      </c>
      <c r="O23" s="0" t="n">
        <v>89.381</v>
      </c>
      <c r="P23" s="0" t="n">
        <v>90.27</v>
      </c>
      <c r="Q23" s="0" t="n">
        <v>945.593</v>
      </c>
      <c r="R23" s="0" t="n">
        <v>988.5</v>
      </c>
      <c r="S23" s="0" t="n">
        <v>4893.858</v>
      </c>
      <c r="T23" s="0" t="n">
        <v>2490.256</v>
      </c>
      <c r="U23" s="0" t="n">
        <v>1620.965</v>
      </c>
      <c r="V23" s="0" t="n">
        <v>139453.774</v>
      </c>
      <c r="W23" s="0" t="n">
        <v>281.342</v>
      </c>
      <c r="X23" s="0" t="n">
        <v>737.402</v>
      </c>
      <c r="Y23" s="0" t="n">
        <v>89.381</v>
      </c>
      <c r="Z23" s="0" t="n">
        <v>939.259</v>
      </c>
      <c r="AA23" s="0" t="n">
        <f aca="false">H23*x_c_F+I23*x_c_CC+J23*x_c_DC+K23*x_c_HCC+L23*x_c_PLT+M23*x_c_SVRn+N23*x_c_SVRcc+O23*x_c_LT+P23*x_c_LT1</f>
        <v>347295731.48349</v>
      </c>
      <c r="AB23" s="0" t="n">
        <f aca="false">C23*x_c_DAA</f>
        <v>109976320</v>
      </c>
      <c r="AC23" s="0" t="n">
        <f aca="false">C23*x_c_MON</f>
        <v>27857107.6100244</v>
      </c>
      <c r="AD23" s="0" t="n">
        <f aca="false">D23*(1-x_testy)</f>
        <v>0</v>
      </c>
      <c r="AE23" s="0" t="n">
        <f aca="false">E23*(1-x_testy)</f>
        <v>0</v>
      </c>
      <c r="AF23" s="0" t="n">
        <f aca="false">F23*x_NAV</f>
        <v>0</v>
      </c>
      <c r="AG23" s="0" t="n">
        <f aca="false">G23*x_FIX*(1-x_testy)</f>
        <v>0</v>
      </c>
      <c r="AH23" s="0" t="n">
        <f aca="false">x_z_F*U23+(1-x_AGRI)*x_EMP*x_WLOSS*(x_PEN_K74*Q23+x_PEN_C22*R23)</f>
        <v>15777609.3235252</v>
      </c>
      <c r="AI23" s="0" t="n">
        <f aca="false">x_AGRI*x_EMP*x_WLOSS*(x_PEN_K74*Q23+x_PEN_C22*R23)</f>
        <v>822594.363385579</v>
      </c>
      <c r="AJ23" s="0" t="n">
        <f aca="false">x_EMP*x_WAGE*(x_WLOSS*(Q23+R23)+S23)+U23*x_ABS_D*x_WAGE/365</f>
        <v>485319920.157725</v>
      </c>
      <c r="AK23" s="0" t="n">
        <f aca="false">AJ23*x_R_FUS</f>
        <v>153555222.737904</v>
      </c>
      <c r="AL23" s="0" t="n">
        <f aca="false">AJ23*x_R_NFZ</f>
        <v>37690430.3193691</v>
      </c>
      <c r="AM23" s="0" t="n">
        <f aca="false">AJ23*x_R_PIT</f>
        <v>32266093.9422411</v>
      </c>
      <c r="AN23" s="0" t="n">
        <f aca="false">AJ23*x_R_FP</f>
        <v>12375657.964022</v>
      </c>
      <c r="AO23" s="0" t="n">
        <f aca="false">AA23+AB23+AC23+AD23+AF23</f>
        <v>485129159.093515</v>
      </c>
      <c r="AP23" s="0" t="n">
        <f aca="false">AO23+AE23+AG23+AH23+AI23+AK23+AL23+AM23+AN23</f>
        <v>737616767.743962</v>
      </c>
      <c r="AQ23" s="0" t="n">
        <f aca="false">AO23+AE23+AG23+AJ23</f>
        <v>970449079.25124</v>
      </c>
      <c r="AR23" s="0" t="n">
        <f aca="false">AB23+AC23+AD23+AF23</f>
        <v>137833427.610024</v>
      </c>
      <c r="AS23" s="0" t="n">
        <f aca="false">AR23+AE23+AG23</f>
        <v>137833427.610024</v>
      </c>
    </row>
    <row r="24" customFormat="false" ht="15" hidden="false" customHeight="false" outlineLevel="0" collapsed="false">
      <c r="A24" s="0" t="n">
        <v>2047</v>
      </c>
      <c r="B24" s="0" t="n">
        <v>21</v>
      </c>
      <c r="C24" s="0" t="n">
        <v>4832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2213.761</v>
      </c>
      <c r="I24" s="0" t="n">
        <v>275.227</v>
      </c>
      <c r="J24" s="0" t="n">
        <v>1560.718</v>
      </c>
      <c r="K24" s="0" t="n">
        <v>2563.418</v>
      </c>
      <c r="L24" s="0" t="n">
        <v>1184.727</v>
      </c>
      <c r="M24" s="0" t="n">
        <v>84104.158</v>
      </c>
      <c r="N24" s="0" t="n">
        <v>8310.91</v>
      </c>
      <c r="O24" s="0" t="n">
        <v>87.532</v>
      </c>
      <c r="P24" s="0" t="n">
        <v>88.456</v>
      </c>
      <c r="Q24" s="0" t="n">
        <v>974.804</v>
      </c>
      <c r="R24" s="0" t="n">
        <v>1025.909</v>
      </c>
      <c r="S24" s="0" t="n">
        <v>5225.58</v>
      </c>
      <c r="T24" s="0" t="n">
        <v>2488.988</v>
      </c>
      <c r="U24" s="0" t="n">
        <v>1658.877</v>
      </c>
      <c r="V24" s="0" t="n">
        <v>140803.303</v>
      </c>
      <c r="W24" s="0" t="n">
        <v>273.881</v>
      </c>
      <c r="X24" s="0" t="n">
        <v>719.479</v>
      </c>
      <c r="Y24" s="0" t="n">
        <v>87.532</v>
      </c>
      <c r="Z24" s="0" t="n">
        <v>919.147</v>
      </c>
      <c r="AA24" s="0" t="n">
        <f aca="false">H24*x_c_F+I24*x_c_CC+J24*x_c_DC+K24*x_c_HCC+L24*x_c_PLT+M24*x_c_SVRn+N24*x_c_SVRcc+O24*x_c_LT+P24*x_c_LT1</f>
        <v>343575347.169978</v>
      </c>
      <c r="AB24" s="0" t="n">
        <f aca="false">C24*x_c_DAA</f>
        <v>109976320</v>
      </c>
      <c r="AC24" s="0" t="n">
        <f aca="false">C24*x_c_MON</f>
        <v>27857107.6100244</v>
      </c>
      <c r="AD24" s="0" t="n">
        <f aca="false">D24*(1-x_testy)</f>
        <v>0</v>
      </c>
      <c r="AE24" s="0" t="n">
        <f aca="false">E24*(1-x_testy)</f>
        <v>0</v>
      </c>
      <c r="AF24" s="0" t="n">
        <f aca="false">F24*x_NAV</f>
        <v>0</v>
      </c>
      <c r="AG24" s="0" t="n">
        <f aca="false">G24*x_FIX*(1-x_testy)</f>
        <v>0</v>
      </c>
      <c r="AH24" s="0" t="n">
        <f aca="false">x_z_F*U24+(1-x_AGRI)*x_EMP*x_WLOSS*(x_PEN_K74*Q24+x_PEN_C22*R24)</f>
        <v>16286981.9843321</v>
      </c>
      <c r="AI24" s="0" t="n">
        <f aca="false">x_AGRI*x_EMP*x_WLOSS*(x_PEN_K74*Q24+x_PEN_C22*R24)</f>
        <v>851111.000927082</v>
      </c>
      <c r="AJ24" s="0" t="n">
        <f aca="false">x_EMP*x_WAGE*(x_WLOSS*(Q24+R24)+S24)+U24*x_ABS_D*x_WAGE/365</f>
        <v>515894635.866018</v>
      </c>
      <c r="AK24" s="0" t="n">
        <f aca="false">AJ24*x_R_FUS</f>
        <v>163229062.788008</v>
      </c>
      <c r="AL24" s="0" t="n">
        <f aca="false">AJ24*x_R_NFZ</f>
        <v>40064893.3159908</v>
      </c>
      <c r="AM24" s="0" t="n">
        <f aca="false">AJ24*x_R_PIT</f>
        <v>34298828.6566548</v>
      </c>
      <c r="AN24" s="0" t="n">
        <f aca="false">AJ24*x_R_FP</f>
        <v>13155313.2145835</v>
      </c>
      <c r="AO24" s="0" t="n">
        <f aca="false">AA24+AB24+AC24+AD24+AF24</f>
        <v>481408774.780002</v>
      </c>
      <c r="AP24" s="0" t="n">
        <f aca="false">AO24+AE24+AG24+AH24+AI24+AK24+AL24+AM24+AN24</f>
        <v>749294965.740499</v>
      </c>
      <c r="AQ24" s="0" t="n">
        <f aca="false">AO24+AE24+AG24+AJ24</f>
        <v>997303410.64602</v>
      </c>
      <c r="AR24" s="0" t="n">
        <f aca="false">AB24+AC24+AD24+AF24</f>
        <v>137833427.610024</v>
      </c>
      <c r="AS24" s="0" t="n">
        <f aca="false">AR24+AE24+AG24</f>
        <v>137833427.610024</v>
      </c>
    </row>
    <row r="25" customFormat="false" ht="15" hidden="false" customHeight="false" outlineLevel="0" collapsed="false">
      <c r="A25" s="0" t="n">
        <v>2048</v>
      </c>
      <c r="B25" s="0" t="n">
        <v>22</v>
      </c>
      <c r="C25" s="0" t="n">
        <v>4832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2218.913</v>
      </c>
      <c r="I25" s="0" t="n">
        <v>268.905</v>
      </c>
      <c r="J25" s="0" t="n">
        <v>1526.954</v>
      </c>
      <c r="K25" s="0" t="n">
        <v>2505.214</v>
      </c>
      <c r="L25" s="0" t="n">
        <v>1163.824</v>
      </c>
      <c r="M25" s="0" t="n">
        <v>86776.118</v>
      </c>
      <c r="N25" s="0" t="n">
        <v>8417.78</v>
      </c>
      <c r="O25" s="0" t="n">
        <v>85.657</v>
      </c>
      <c r="P25" s="0" t="n">
        <v>86.594</v>
      </c>
      <c r="Q25" s="0" t="n">
        <v>1005.065</v>
      </c>
      <c r="R25" s="0" t="n">
        <v>1064.242</v>
      </c>
      <c r="S25" s="0" t="n">
        <v>5567.105</v>
      </c>
      <c r="T25" s="0" t="n">
        <v>2487.818</v>
      </c>
      <c r="U25" s="0" t="n">
        <v>1693.727</v>
      </c>
      <c r="V25" s="0" t="n">
        <v>142211.273</v>
      </c>
      <c r="W25" s="0" t="n">
        <v>266.758</v>
      </c>
      <c r="X25" s="0" t="n">
        <v>702.464</v>
      </c>
      <c r="Y25" s="0" t="n">
        <v>85.657</v>
      </c>
      <c r="Z25" s="0" t="n">
        <v>899.101</v>
      </c>
      <c r="AA25" s="0" t="n">
        <f aca="false">H25*x_c_F+I25*x_c_CC+J25*x_c_DC+K25*x_c_HCC+L25*x_c_PLT+M25*x_c_SVRn+N25*x_c_SVRcc+O25*x_c_LT+P25*x_c_LT1</f>
        <v>339820233.344562</v>
      </c>
      <c r="AB25" s="0" t="n">
        <f aca="false">C25*x_c_DAA</f>
        <v>109976320</v>
      </c>
      <c r="AC25" s="0" t="n">
        <f aca="false">C25*x_c_MON</f>
        <v>27857107.6100244</v>
      </c>
      <c r="AD25" s="0" t="n">
        <f aca="false">D25*(1-x_testy)</f>
        <v>0</v>
      </c>
      <c r="AE25" s="0" t="n">
        <f aca="false">E25*(1-x_testy)</f>
        <v>0</v>
      </c>
      <c r="AF25" s="0" t="n">
        <f aca="false">F25*x_NAV</f>
        <v>0</v>
      </c>
      <c r="AG25" s="0" t="n">
        <f aca="false">G25*x_FIX*(1-x_testy)</f>
        <v>0</v>
      </c>
      <c r="AH25" s="0" t="n">
        <f aca="false">x_z_F*U25+(1-x_AGRI)*x_EMP*x_WLOSS*(x_PEN_K74*Q25+x_PEN_C22*R25)</f>
        <v>16802691.6131662</v>
      </c>
      <c r="AI25" s="0" t="n">
        <f aca="false">x_AGRI*x_EMP*x_WLOSS*(x_PEN_K74*Q25+x_PEN_C22*R25)</f>
        <v>880462.599612416</v>
      </c>
      <c r="AJ25" s="0" t="n">
        <f aca="false">x_EMP*x_WAGE*(x_WLOSS*(Q25+R25)+S25)+U25*x_ABS_D*x_WAGE/365</f>
        <v>547360777.840966</v>
      </c>
      <c r="AK25" s="0" t="n">
        <f aca="false">AJ25*x_R_FUS</f>
        <v>173184950.108882</v>
      </c>
      <c r="AL25" s="0" t="n">
        <f aca="false">AJ25*x_R_NFZ</f>
        <v>42508585.3679073</v>
      </c>
      <c r="AM25" s="0" t="n">
        <f aca="false">AJ25*x_R_PIT</f>
        <v>36390829.1099508</v>
      </c>
      <c r="AN25" s="0" t="n">
        <f aca="false">AJ25*x_R_FP</f>
        <v>13957699.8349446</v>
      </c>
      <c r="AO25" s="0" t="n">
        <f aca="false">AA25+AB25+AC25+AD25+AF25</f>
        <v>477653660.954587</v>
      </c>
      <c r="AP25" s="0" t="n">
        <f aca="false">AO25+AE25+AG25+AH25+AI25+AK25+AL25+AM25+AN25</f>
        <v>761378879.58905</v>
      </c>
      <c r="AQ25" s="0" t="n">
        <f aca="false">AO25+AE25+AG25+AJ25</f>
        <v>1025014438.79555</v>
      </c>
      <c r="AR25" s="0" t="n">
        <f aca="false">AB25+AC25+AD25+AF25</f>
        <v>137833427.610024</v>
      </c>
      <c r="AS25" s="0" t="n">
        <f aca="false">AR25+AE25+AG25</f>
        <v>137833427.610024</v>
      </c>
    </row>
    <row r="26" customFormat="false" ht="15" hidden="false" customHeight="false" outlineLevel="0" collapsed="false">
      <c r="A26" s="0" t="n">
        <v>2049</v>
      </c>
      <c r="B26" s="0" t="n">
        <v>23</v>
      </c>
      <c r="C26" s="0" t="n">
        <v>4832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2223.946</v>
      </c>
      <c r="I26" s="0" t="n">
        <v>262.796</v>
      </c>
      <c r="J26" s="0" t="n">
        <v>1493.183</v>
      </c>
      <c r="K26" s="0" t="n">
        <v>2448.705</v>
      </c>
      <c r="L26" s="0" t="n">
        <v>1142.895</v>
      </c>
      <c r="M26" s="0" t="n">
        <v>89450.062</v>
      </c>
      <c r="N26" s="0" t="n">
        <v>8508.336</v>
      </c>
      <c r="O26" s="0" t="n">
        <v>83.788</v>
      </c>
      <c r="P26" s="0" t="n">
        <v>84.722</v>
      </c>
      <c r="Q26" s="0" t="n">
        <v>1036.308</v>
      </c>
      <c r="R26" s="0" t="n">
        <v>1103.314</v>
      </c>
      <c r="S26" s="0" t="n">
        <v>5918.36</v>
      </c>
      <c r="T26" s="0" t="n">
        <v>2486.743</v>
      </c>
      <c r="U26" s="0" t="n">
        <v>1725.587</v>
      </c>
      <c r="V26" s="0" t="n">
        <v>143678.109</v>
      </c>
      <c r="W26" s="0" t="n">
        <v>260.037</v>
      </c>
      <c r="X26" s="0" t="n">
        <v>686.484</v>
      </c>
      <c r="Y26" s="0" t="n">
        <v>83.788</v>
      </c>
      <c r="Z26" s="0" t="n">
        <v>879.424</v>
      </c>
      <c r="AA26" s="0" t="n">
        <f aca="false">H26*x_c_F+I26*x_c_CC+J26*x_c_DC+K26*x_c_HCC+L26*x_c_PLT+M26*x_c_SVRn+N26*x_c_SVRcc+O26*x_c_LT+P26*x_c_LT1</f>
        <v>336129677.353432</v>
      </c>
      <c r="AB26" s="0" t="n">
        <f aca="false">C26*x_c_DAA</f>
        <v>109976320</v>
      </c>
      <c r="AC26" s="0" t="n">
        <f aca="false">C26*x_c_MON</f>
        <v>27857107.6100244</v>
      </c>
      <c r="AD26" s="0" t="n">
        <f aca="false">D26*(1-x_testy)</f>
        <v>0</v>
      </c>
      <c r="AE26" s="0" t="n">
        <f aca="false">E26*(1-x_testy)</f>
        <v>0</v>
      </c>
      <c r="AF26" s="0" t="n">
        <f aca="false">F26*x_NAV</f>
        <v>0</v>
      </c>
      <c r="AG26" s="0" t="n">
        <f aca="false">G26*x_FIX*(1-x_testy)</f>
        <v>0</v>
      </c>
      <c r="AH26" s="0" t="n">
        <f aca="false">x_z_F*U26+(1-x_AGRI)*x_EMP*x_WLOSS*(x_PEN_K74*Q26+x_PEN_C22*R26)</f>
        <v>17323212.5730094</v>
      </c>
      <c r="AI26" s="0" t="n">
        <f aca="false">x_AGRI*x_EMP*x_WLOSS*(x_PEN_K74*Q26+x_PEN_C22*R26)</f>
        <v>910538.53357565</v>
      </c>
      <c r="AJ26" s="0" t="n">
        <f aca="false">x_EMP*x_WAGE*(x_WLOSS*(Q26+R26)+S26)+U26*x_ABS_D*x_WAGE/365</f>
        <v>579704052.489214</v>
      </c>
      <c r="AK26" s="0" t="n">
        <f aca="false">AJ26*x_R_FUS</f>
        <v>183418362.207587</v>
      </c>
      <c r="AL26" s="0" t="n">
        <f aca="false">AJ26*x_R_NFZ</f>
        <v>45020396.4203648</v>
      </c>
      <c r="AM26" s="0" t="n">
        <f aca="false">AJ26*x_R_PIT</f>
        <v>38541145.0043837</v>
      </c>
      <c r="AN26" s="0" t="n">
        <f aca="false">AJ26*x_R_FP</f>
        <v>14782453.3384749</v>
      </c>
      <c r="AO26" s="0" t="n">
        <f aca="false">AA26+AB26+AC26+AD26+AF26</f>
        <v>473963104.963456</v>
      </c>
      <c r="AP26" s="0" t="n">
        <f aca="false">AO26+AE26+AG26+AH26+AI26+AK26+AL26+AM26+AN26</f>
        <v>773959213.040852</v>
      </c>
      <c r="AQ26" s="0" t="n">
        <f aca="false">AO26+AE26+AG26+AJ26</f>
        <v>1053667157.45267</v>
      </c>
      <c r="AR26" s="0" t="n">
        <f aca="false">AB26+AC26+AD26+AF26</f>
        <v>137833427.610024</v>
      </c>
      <c r="AS26" s="0" t="n">
        <f aca="false">AR26+AE26+AG26</f>
        <v>137833427.610024</v>
      </c>
    </row>
    <row r="27" customFormat="false" ht="15" hidden="false" customHeight="false" outlineLevel="0" collapsed="false">
      <c r="A27" s="0" t="n">
        <v>2050</v>
      </c>
      <c r="B27" s="0" t="n">
        <v>24</v>
      </c>
      <c r="C27" s="0" t="n">
        <v>4832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2228.778</v>
      </c>
      <c r="I27" s="0" t="n">
        <v>256.978</v>
      </c>
      <c r="J27" s="0" t="n">
        <v>1459.902</v>
      </c>
      <c r="K27" s="0" t="n">
        <v>2394.527</v>
      </c>
      <c r="L27" s="0" t="n">
        <v>1122.042</v>
      </c>
      <c r="M27" s="0" t="n">
        <v>92128.548</v>
      </c>
      <c r="N27" s="0" t="n">
        <v>8584.431</v>
      </c>
      <c r="O27" s="0" t="n">
        <v>81.953</v>
      </c>
      <c r="P27" s="0" t="n">
        <v>82.871</v>
      </c>
      <c r="Q27" s="0" t="n">
        <v>1068.424</v>
      </c>
      <c r="R27" s="0" t="n">
        <v>1142.899</v>
      </c>
      <c r="S27" s="0" t="n">
        <v>6279.07</v>
      </c>
      <c r="T27" s="0" t="n">
        <v>2485.756</v>
      </c>
      <c r="U27" s="0" t="n">
        <v>1754.586</v>
      </c>
      <c r="V27" s="0" t="n">
        <v>145200.366</v>
      </c>
      <c r="W27" s="0" t="n">
        <v>253.752</v>
      </c>
      <c r="X27" s="0" t="n">
        <v>671.597</v>
      </c>
      <c r="Y27" s="0" t="n">
        <v>81.953</v>
      </c>
      <c r="Z27" s="0" t="n">
        <v>860.359</v>
      </c>
      <c r="AA27" s="0" t="n">
        <f aca="false">H27*x_c_F+I27*x_c_CC+J27*x_c_DC+K27*x_c_HCC+L27*x_c_PLT+M27*x_c_SVRn+N27*x_c_SVRcc+O27*x_c_LT+P27*x_c_LT1</f>
        <v>332573784.35934</v>
      </c>
      <c r="AB27" s="0" t="n">
        <f aca="false">C27*x_c_DAA</f>
        <v>109976320</v>
      </c>
      <c r="AC27" s="0" t="n">
        <f aca="false">C27*x_c_MON</f>
        <v>27857107.6100244</v>
      </c>
      <c r="AD27" s="0" t="n">
        <f aca="false">D27*(1-x_testy)</f>
        <v>0</v>
      </c>
      <c r="AE27" s="0" t="n">
        <f aca="false">E27*(1-x_testy)</f>
        <v>0</v>
      </c>
      <c r="AF27" s="0" t="n">
        <f aca="false">F27*x_NAV</f>
        <v>0</v>
      </c>
      <c r="AG27" s="0" t="n">
        <f aca="false">G27*x_FIX*(1-x_testy)</f>
        <v>0</v>
      </c>
      <c r="AH27" s="0" t="n">
        <f aca="false">x_z_F*U27+(1-x_AGRI)*x_EMP*x_WLOSS*(x_PEN_K74*Q27+x_PEN_C22*R27)</f>
        <v>17846609.525404</v>
      </c>
      <c r="AI27" s="0" t="n">
        <f aca="false">x_AGRI*x_EMP*x_WLOSS*(x_PEN_K74*Q27+x_PEN_C22*R27)</f>
        <v>941193.350657417</v>
      </c>
      <c r="AJ27" s="0" t="n">
        <f aca="false">x_EMP*x_WAGE*(x_WLOSS*(Q27+R27)+S27)+U27*x_ABS_D*x_WAGE/365</f>
        <v>612890427.046718</v>
      </c>
      <c r="AK27" s="0" t="n">
        <f aca="false">AJ27*x_R_FUS</f>
        <v>193918531.117582</v>
      </c>
      <c r="AL27" s="0" t="n">
        <f aca="false">AJ27*x_R_NFZ</f>
        <v>47597683.4548752</v>
      </c>
      <c r="AM27" s="0" t="n">
        <f aca="false">AJ27*x_R_PIT</f>
        <v>40747513.6997524</v>
      </c>
      <c r="AN27" s="0" t="n">
        <f aca="false">AJ27*x_R_FP</f>
        <v>15628705.8896913</v>
      </c>
      <c r="AO27" s="0" t="n">
        <f aca="false">AA27+AB27+AC27+AD27+AF27</f>
        <v>470407211.969365</v>
      </c>
      <c r="AP27" s="0" t="n">
        <f aca="false">AO27+AE27+AG27+AH27+AI27+AK27+AL27+AM27+AN27</f>
        <v>787087449.007327</v>
      </c>
      <c r="AQ27" s="0" t="n">
        <f aca="false">AO27+AE27+AG27+AJ27</f>
        <v>1083297639.01608</v>
      </c>
      <c r="AR27" s="0" t="n">
        <f aca="false">AB27+AC27+AD27+AF27</f>
        <v>137833427.610024</v>
      </c>
      <c r="AS27" s="0" t="n">
        <f aca="false">AR27+AE27+AG27</f>
        <v>137833427.610024</v>
      </c>
    </row>
    <row r="28" customFormat="false" ht="15" hidden="false" customHeight="false" outlineLevel="0" collapsed="false">
      <c r="A28" s="0" t="n">
        <v>2051</v>
      </c>
      <c r="B28" s="0" t="n">
        <v>25</v>
      </c>
      <c r="C28" s="0" t="n">
        <v>4832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2233.358</v>
      </c>
      <c r="I28" s="0" t="n">
        <v>251.492</v>
      </c>
      <c r="J28" s="0" t="n">
        <v>1427.449</v>
      </c>
      <c r="K28" s="0" t="n">
        <v>2343.033</v>
      </c>
      <c r="L28" s="0" t="n">
        <v>1101.307</v>
      </c>
      <c r="M28" s="0" t="n">
        <v>94811.107</v>
      </c>
      <c r="N28" s="0" t="n">
        <v>8647.432</v>
      </c>
      <c r="O28" s="0" t="n">
        <v>80.166</v>
      </c>
      <c r="P28" s="0" t="n">
        <v>81.059</v>
      </c>
      <c r="Q28" s="0" t="n">
        <v>1101.276</v>
      </c>
      <c r="R28" s="0" t="n">
        <v>1182.751</v>
      </c>
      <c r="S28" s="0" t="n">
        <v>6648.815</v>
      </c>
      <c r="T28" s="0" t="n">
        <v>2484.85</v>
      </c>
      <c r="U28" s="0" t="n">
        <v>1780.893</v>
      </c>
      <c r="V28" s="0" t="n">
        <v>146771.333</v>
      </c>
      <c r="W28" s="0" t="n">
        <v>247.902</v>
      </c>
      <c r="X28" s="0" t="n">
        <v>657.776</v>
      </c>
      <c r="Y28" s="0" t="n">
        <v>80.166</v>
      </c>
      <c r="Z28" s="0" t="n">
        <v>842.014</v>
      </c>
      <c r="AA28" s="0" t="n">
        <f aca="false">H28*x_c_F+I28*x_c_CC+J28*x_c_DC+K28*x_c_HCC+L28*x_c_PLT+M28*x_c_SVRn+N28*x_c_SVRcc+O28*x_c_LT+P28*x_c_LT1</f>
        <v>329191373.836657</v>
      </c>
      <c r="AB28" s="0" t="n">
        <f aca="false">C28*x_c_DAA</f>
        <v>109976320</v>
      </c>
      <c r="AC28" s="0" t="n">
        <f aca="false">C28*x_c_MON</f>
        <v>27857107.6100244</v>
      </c>
      <c r="AD28" s="0" t="n">
        <f aca="false">D28*(1-x_testy)</f>
        <v>0</v>
      </c>
      <c r="AE28" s="0" t="n">
        <f aca="false">E28*(1-x_testy)</f>
        <v>0</v>
      </c>
      <c r="AF28" s="0" t="n">
        <f aca="false">F28*x_NAV</f>
        <v>0</v>
      </c>
      <c r="AG28" s="0" t="n">
        <f aca="false">G28*x_FIX*(1-x_testy)</f>
        <v>0</v>
      </c>
      <c r="AH28" s="0" t="n">
        <f aca="false">x_z_F*U28+(1-x_AGRI)*x_EMP*x_WLOSS*(x_PEN_K74*Q28+x_PEN_C22*R28)</f>
        <v>18370724.2292419</v>
      </c>
      <c r="AI28" s="0" t="n">
        <f aca="false">x_AGRI*x_EMP*x_WLOSS*(x_PEN_K74*Q28+x_PEN_C22*R28)</f>
        <v>972261.429601652</v>
      </c>
      <c r="AJ28" s="0" t="n">
        <f aca="false">x_EMP*x_WAGE*(x_WLOSS*(Q28+R28)+S28)+U28*x_ABS_D*x_WAGE/365</f>
        <v>646872052.362052</v>
      </c>
      <c r="AK28" s="0" t="n">
        <f aca="false">AJ28*x_R_FUS</f>
        <v>204670317.367353</v>
      </c>
      <c r="AL28" s="0" t="n">
        <f aca="false">AJ28*x_R_NFZ</f>
        <v>50236730.4584893</v>
      </c>
      <c r="AM28" s="0" t="n">
        <f aca="false">AJ28*x_R_PIT</f>
        <v>43006753.984755</v>
      </c>
      <c r="AN28" s="0" t="n">
        <f aca="false">AJ28*x_R_FP</f>
        <v>16495237.3352323</v>
      </c>
      <c r="AO28" s="0" t="n">
        <f aca="false">AA28+AB28+AC28+AD28+AF28</f>
        <v>467024801.446682</v>
      </c>
      <c r="AP28" s="0" t="n">
        <f aca="false">AO28+AE28+AG28+AH28+AI28+AK28+AL28+AM28+AN28</f>
        <v>800776826.251355</v>
      </c>
      <c r="AQ28" s="0" t="n">
        <f aca="false">AO28+AE28+AG28+AJ28</f>
        <v>1113896853.80873</v>
      </c>
      <c r="AR28" s="0" t="n">
        <f aca="false">AB28+AC28+AD28+AF28</f>
        <v>137833427.610024</v>
      </c>
      <c r="AS28" s="0" t="n">
        <f aca="false">AR28+AE28+AG28</f>
        <v>137833427.610024</v>
      </c>
    </row>
    <row r="29" customFormat="false" ht="15" hidden="false" customHeight="false" outlineLevel="0" collapsed="false">
      <c r="A29" s="0" t="n">
        <v>2052</v>
      </c>
      <c r="B29" s="0" t="n">
        <v>26</v>
      </c>
      <c r="C29" s="0" t="n">
        <v>4832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2237.663</v>
      </c>
      <c r="I29" s="0" t="n">
        <v>246.351</v>
      </c>
      <c r="J29" s="0" t="n">
        <v>1396.015</v>
      </c>
      <c r="K29" s="0" t="n">
        <v>2294.323</v>
      </c>
      <c r="L29" s="0" t="n">
        <v>1080.664</v>
      </c>
      <c r="M29" s="0" t="n">
        <v>97494.278</v>
      </c>
      <c r="N29" s="0" t="n">
        <v>8698.135</v>
      </c>
      <c r="O29" s="0" t="n">
        <v>78.436</v>
      </c>
      <c r="P29" s="0" t="n">
        <v>79.301</v>
      </c>
      <c r="Q29" s="0" t="n">
        <v>1134.726</v>
      </c>
      <c r="R29" s="0" t="n">
        <v>1222.622</v>
      </c>
      <c r="S29" s="0" t="n">
        <v>7027.172</v>
      </c>
      <c r="T29" s="0" t="n">
        <v>2484.014</v>
      </c>
      <c r="U29" s="0" t="n">
        <v>1804.709</v>
      </c>
      <c r="V29" s="0" t="n">
        <v>148381.346</v>
      </c>
      <c r="W29" s="0" t="n">
        <v>242.464</v>
      </c>
      <c r="X29" s="0" t="n">
        <v>644.952</v>
      </c>
      <c r="Y29" s="0" t="n">
        <v>78.436</v>
      </c>
      <c r="Z29" s="0" t="n">
        <v>824.446</v>
      </c>
      <c r="AA29" s="0" t="n">
        <f aca="false">H29*x_c_F+I29*x_c_CC+J29*x_c_DC+K29*x_c_HCC+L29*x_c_PLT+M29*x_c_SVRn+N29*x_c_SVRcc+O29*x_c_LT+P29*x_c_LT1</f>
        <v>325995217.778166</v>
      </c>
      <c r="AB29" s="0" t="n">
        <f aca="false">C29*x_c_DAA</f>
        <v>109976320</v>
      </c>
      <c r="AC29" s="0" t="n">
        <f aca="false">C29*x_c_MON</f>
        <v>27857107.6100244</v>
      </c>
      <c r="AD29" s="0" t="n">
        <f aca="false">D29*(1-x_testy)</f>
        <v>0</v>
      </c>
      <c r="AE29" s="0" t="n">
        <f aca="false">E29*(1-x_testy)</f>
        <v>0</v>
      </c>
      <c r="AF29" s="0" t="n">
        <f aca="false">F29*x_NAV</f>
        <v>0</v>
      </c>
      <c r="AG29" s="0" t="n">
        <f aca="false">G29*x_FIX*(1-x_testy)</f>
        <v>0</v>
      </c>
      <c r="AH29" s="0" t="n">
        <f aca="false">x_z_F*U29+(1-x_AGRI)*x_EMP*x_WLOSS*(x_PEN_K74*Q29+x_PEN_C22*R29)</f>
        <v>18893444.5456077</v>
      </c>
      <c r="AI29" s="0" t="n">
        <f aca="false">x_AGRI*x_EMP*x_WLOSS*(x_PEN_K74*Q29+x_PEN_C22*R29)</f>
        <v>1003575.84789131</v>
      </c>
      <c r="AJ29" s="0" t="n">
        <f aca="false">x_EMP*x_WAGE*(x_WLOSS*(Q29+R29)+S29)+U29*x_ABS_D*x_WAGE/365</f>
        <v>681600819.304494</v>
      </c>
      <c r="AK29" s="0" t="n">
        <f aca="false">AJ29*x_R_FUS</f>
        <v>215658499.227942</v>
      </c>
      <c r="AL29" s="0" t="n">
        <f aca="false">AJ29*x_R_NFZ</f>
        <v>52933801.2280063</v>
      </c>
      <c r="AM29" s="0" t="n">
        <f aca="false">AJ29*x_R_PIT</f>
        <v>45315667.3635812</v>
      </c>
      <c r="AN29" s="0" t="n">
        <f aca="false">AJ29*x_R_FP</f>
        <v>17380820.8922646</v>
      </c>
      <c r="AO29" s="0" t="n">
        <f aca="false">AA29+AB29+AC29+AD29+AF29</f>
        <v>463828645.38819</v>
      </c>
      <c r="AP29" s="0" t="n">
        <f aca="false">AO29+AE29+AG29+AH29+AI29+AK29+AL29+AM29+AN29</f>
        <v>815014454.493483</v>
      </c>
      <c r="AQ29" s="0" t="n">
        <f aca="false">AO29+AE29+AG29+AJ29</f>
        <v>1145429464.69268</v>
      </c>
      <c r="AR29" s="0" t="n">
        <f aca="false">AB29+AC29+AD29+AF29</f>
        <v>137833427.610024</v>
      </c>
      <c r="AS29" s="0" t="n">
        <f aca="false">AR29+AE29+AG29</f>
        <v>137833427.610024</v>
      </c>
    </row>
    <row r="30" customFormat="false" ht="15" hidden="false" customHeight="false" outlineLevel="0" collapsed="false">
      <c r="A30" s="0" t="n">
        <v>2053</v>
      </c>
      <c r="B30" s="0" t="n">
        <v>27</v>
      </c>
      <c r="C30" s="0" t="n">
        <v>4832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2241.69</v>
      </c>
      <c r="I30" s="0" t="n">
        <v>241.549</v>
      </c>
      <c r="J30" s="0" t="n">
        <v>1365.665</v>
      </c>
      <c r="K30" s="0" t="n">
        <v>2248.309</v>
      </c>
      <c r="L30" s="0" t="n">
        <v>1060.024</v>
      </c>
      <c r="M30" s="0" t="n">
        <v>100171.839</v>
      </c>
      <c r="N30" s="0" t="n">
        <v>8736.775</v>
      </c>
      <c r="O30" s="0" t="n">
        <v>76.764</v>
      </c>
      <c r="P30" s="0" t="n">
        <v>77.6</v>
      </c>
      <c r="Q30" s="0" t="n">
        <v>1168.607</v>
      </c>
      <c r="R30" s="0" t="n">
        <v>1262.253</v>
      </c>
      <c r="S30" s="0" t="n">
        <v>7413.503</v>
      </c>
      <c r="T30" s="0" t="n">
        <v>2483.239</v>
      </c>
      <c r="U30" s="0" t="n">
        <v>1826.246</v>
      </c>
      <c r="V30" s="0" t="n">
        <v>150018.545</v>
      </c>
      <c r="W30" s="0" t="n">
        <v>237.4</v>
      </c>
      <c r="X30" s="0" t="n">
        <v>633.011</v>
      </c>
      <c r="Y30" s="0" t="n">
        <v>76.764</v>
      </c>
      <c r="Z30" s="0" t="n">
        <v>807.618</v>
      </c>
      <c r="AA30" s="0" t="n">
        <f aca="false">H30*x_c_F+I30*x_c_CC+J30*x_c_DC+K30*x_c_HCC+L30*x_c_PLT+M30*x_c_SVRn+N30*x_c_SVRcc+O30*x_c_LT+P30*x_c_LT1</f>
        <v>322975403.814597</v>
      </c>
      <c r="AB30" s="0" t="n">
        <f aca="false">C30*x_c_DAA</f>
        <v>109976320</v>
      </c>
      <c r="AC30" s="0" t="n">
        <f aca="false">C30*x_c_MON</f>
        <v>27857107.6100244</v>
      </c>
      <c r="AD30" s="0" t="n">
        <f aca="false">D30*(1-x_testy)</f>
        <v>0</v>
      </c>
      <c r="AE30" s="0" t="n">
        <f aca="false">E30*(1-x_testy)</f>
        <v>0</v>
      </c>
      <c r="AF30" s="0" t="n">
        <f aca="false">F30*x_NAV</f>
        <v>0</v>
      </c>
      <c r="AG30" s="0" t="n">
        <f aca="false">G30*x_FIX*(1-x_testy)</f>
        <v>0</v>
      </c>
      <c r="AH30" s="0" t="n">
        <f aca="false">x_z_F*U30+(1-x_AGRI)*x_EMP*x_WLOSS*(x_PEN_K74*Q30+x_PEN_C22*R30)</f>
        <v>19412431.3196098</v>
      </c>
      <c r="AI30" s="0" t="n">
        <f aca="false">x_AGRI*x_EMP*x_WLOSS*(x_PEN_K74*Q30+x_PEN_C22*R30)</f>
        <v>1034953.18288267</v>
      </c>
      <c r="AJ30" s="0" t="n">
        <f aca="false">x_EMP*x_WAGE*(x_WLOSS*(Q30+R30)+S30)+U30*x_ABS_D*x_WAGE/365</f>
        <v>717009010.789122</v>
      </c>
      <c r="AK30" s="0" t="n">
        <f aca="false">AJ30*x_R_FUS</f>
        <v>226861651.013678</v>
      </c>
      <c r="AL30" s="0" t="n">
        <f aca="false">AJ30*x_R_NFZ</f>
        <v>55683636.786894</v>
      </c>
      <c r="AM30" s="0" t="n">
        <f aca="false">AJ30*x_R_PIT</f>
        <v>47669751.7217847</v>
      </c>
      <c r="AN30" s="0" t="n">
        <f aca="false">AJ30*x_R_FP</f>
        <v>18283729.7751226</v>
      </c>
      <c r="AO30" s="0" t="n">
        <f aca="false">AA30+AB30+AC30+AD30+AF30</f>
        <v>460808831.424622</v>
      </c>
      <c r="AP30" s="0" t="n">
        <f aca="false">AO30+AE30+AG30+AH30+AI30+AK30+AL30+AM30+AN30</f>
        <v>829754985.224594</v>
      </c>
      <c r="AQ30" s="0" t="n">
        <f aca="false">AO30+AE30+AG30+AJ30</f>
        <v>1177817842.21374</v>
      </c>
      <c r="AR30" s="0" t="n">
        <f aca="false">AB30+AC30+AD30+AF30</f>
        <v>137833427.610024</v>
      </c>
      <c r="AS30" s="0" t="n">
        <f aca="false">AR30+AE30+AG30</f>
        <v>137833427.610024</v>
      </c>
    </row>
    <row r="31" customFormat="false" ht="15" hidden="false" customHeight="false" outlineLevel="0" collapsed="false">
      <c r="A31" s="0" t="n">
        <v>2054</v>
      </c>
      <c r="B31" s="0" t="n">
        <v>28</v>
      </c>
      <c r="C31" s="0" t="n">
        <v>4832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2245.448</v>
      </c>
      <c r="I31" s="0" t="n">
        <v>237.067</v>
      </c>
      <c r="J31" s="0" t="n">
        <v>1336.369</v>
      </c>
      <c r="K31" s="0" t="n">
        <v>2204.761</v>
      </c>
      <c r="L31" s="0" t="n">
        <v>1039.237</v>
      </c>
      <c r="M31" s="0" t="n">
        <v>102834.925</v>
      </c>
      <c r="N31" s="0" t="n">
        <v>8763.039</v>
      </c>
      <c r="O31" s="0" t="n">
        <v>75.147</v>
      </c>
      <c r="P31" s="0" t="n">
        <v>75.955</v>
      </c>
      <c r="Q31" s="0" t="n">
        <v>1202.737</v>
      </c>
      <c r="R31" s="0" t="n">
        <v>1301.384</v>
      </c>
      <c r="S31" s="0" t="n">
        <v>7807.051</v>
      </c>
      <c r="T31" s="0" t="n">
        <v>2482.515</v>
      </c>
      <c r="U31" s="0" t="n">
        <v>1845.712</v>
      </c>
      <c r="V31" s="0" t="n">
        <v>151669.255</v>
      </c>
      <c r="W31" s="0" t="n">
        <v>232.665</v>
      </c>
      <c r="X31" s="0" t="n">
        <v>621.833</v>
      </c>
      <c r="Y31" s="0" t="n">
        <v>75.147</v>
      </c>
      <c r="Z31" s="0" t="n">
        <v>791.472</v>
      </c>
      <c r="AA31" s="0" t="n">
        <f aca="false">H31*x_c_F+I31*x_c_CC+J31*x_c_DC+K31*x_c_HCC+L31*x_c_PLT+M31*x_c_SVRn+N31*x_c_SVRcc+O31*x_c_LT+P31*x_c_LT1</f>
        <v>320104719.56423</v>
      </c>
      <c r="AB31" s="0" t="n">
        <f aca="false">C31*x_c_DAA</f>
        <v>109976320</v>
      </c>
      <c r="AC31" s="0" t="n">
        <f aca="false">C31*x_c_MON</f>
        <v>27857107.6100244</v>
      </c>
      <c r="AD31" s="0" t="n">
        <f aca="false">D31*(1-x_testy)</f>
        <v>0</v>
      </c>
      <c r="AE31" s="0" t="n">
        <f aca="false">E31*(1-x_testy)</f>
        <v>0</v>
      </c>
      <c r="AF31" s="0" t="n">
        <f aca="false">F31*x_NAV</f>
        <v>0</v>
      </c>
      <c r="AG31" s="0" t="n">
        <f aca="false">G31*x_FIX*(1-x_testy)</f>
        <v>0</v>
      </c>
      <c r="AH31" s="0" t="n">
        <f aca="false">x_z_F*U31+(1-x_AGRI)*x_EMP*x_WLOSS*(x_PEN_K74*Q31+x_PEN_C22*R31)</f>
        <v>19925240.1112385</v>
      </c>
      <c r="AI31" s="0" t="n">
        <f aca="false">x_AGRI*x_EMP*x_WLOSS*(x_PEN_K74*Q31+x_PEN_C22*R31)</f>
        <v>1066203.59635367</v>
      </c>
      <c r="AJ31" s="0" t="n">
        <f aca="false">x_EMP*x_WAGE*(x_WLOSS*(Q31+R31)+S31)+U31*x_ABS_D*x_WAGE/365</f>
        <v>753018228.279012</v>
      </c>
      <c r="AK31" s="0" t="n">
        <f aca="false">AJ31*x_R_FUS</f>
        <v>238254967.427479</v>
      </c>
      <c r="AL31" s="0" t="n">
        <f aca="false">AJ31*x_R_NFZ</f>
        <v>58480148.6263763</v>
      </c>
      <c r="AM31" s="0" t="n">
        <f aca="false">AJ31*x_R_PIT</f>
        <v>50063794.7974075</v>
      </c>
      <c r="AN31" s="0" t="n">
        <f aca="false">AJ31*x_R_FP</f>
        <v>19201964.8211148</v>
      </c>
      <c r="AO31" s="0" t="n">
        <f aca="false">AA31+AB31+AC31+AD31+AF31</f>
        <v>457938147.174255</v>
      </c>
      <c r="AP31" s="0" t="n">
        <f aca="false">AO31+AE31+AG31+AH31+AI31+AK31+AL31+AM31+AN31</f>
        <v>844930466.554225</v>
      </c>
      <c r="AQ31" s="0" t="n">
        <f aca="false">AO31+AE31+AG31+AJ31</f>
        <v>1210956375.45327</v>
      </c>
      <c r="AR31" s="0" t="n">
        <f aca="false">AB31+AC31+AD31+AF31</f>
        <v>137833427.610024</v>
      </c>
      <c r="AS31" s="0" t="n">
        <f aca="false">AR31+AE31+AG31</f>
        <v>137833427.610024</v>
      </c>
    </row>
    <row r="32" customFormat="false" ht="15" hidden="false" customHeight="false" outlineLevel="0" collapsed="false">
      <c r="A32" s="0" t="n">
        <v>2055</v>
      </c>
      <c r="B32" s="0" t="n">
        <v>29</v>
      </c>
      <c r="C32" s="0" t="n">
        <v>4832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2248.951</v>
      </c>
      <c r="I32" s="0" t="n">
        <v>232.883</v>
      </c>
      <c r="J32" s="0" t="n">
        <v>1308.057</v>
      </c>
      <c r="K32" s="0" t="n">
        <v>2163.407</v>
      </c>
      <c r="L32" s="0" t="n">
        <v>1018.128</v>
      </c>
      <c r="M32" s="0" t="n">
        <v>105473.399</v>
      </c>
      <c r="N32" s="0" t="n">
        <v>8776.351</v>
      </c>
      <c r="O32" s="0" t="n">
        <v>73.581</v>
      </c>
      <c r="P32" s="0" t="n">
        <v>74.364</v>
      </c>
      <c r="Q32" s="0" t="n">
        <v>1236.931</v>
      </c>
      <c r="R32" s="0" t="n">
        <v>1339.766</v>
      </c>
      <c r="S32" s="0" t="n">
        <v>8206.961</v>
      </c>
      <c r="T32" s="0" t="n">
        <v>2481.834</v>
      </c>
      <c r="U32" s="0" t="n">
        <v>1863.296</v>
      </c>
      <c r="V32" s="0" t="n">
        <v>153319.824</v>
      </c>
      <c r="W32" s="0" t="n">
        <v>228.219</v>
      </c>
      <c r="X32" s="0" t="n">
        <v>611.304</v>
      </c>
      <c r="Y32" s="0" t="n">
        <v>73.581</v>
      </c>
      <c r="Z32" s="0" t="n">
        <v>775.927</v>
      </c>
      <c r="AA32" s="0" t="n">
        <f aca="false">H32*x_c_F+I32*x_c_CC+J32*x_c_DC+K32*x_c_HCC+L32*x_c_PLT+M32*x_c_SVRn+N32*x_c_SVRcc+O32*x_c_LT+P32*x_c_LT1</f>
        <v>317349903.269783</v>
      </c>
      <c r="AB32" s="0" t="n">
        <f aca="false">C32*x_c_DAA</f>
        <v>109976320</v>
      </c>
      <c r="AC32" s="0" t="n">
        <f aca="false">C32*x_c_MON</f>
        <v>27857107.6100244</v>
      </c>
      <c r="AD32" s="0" t="n">
        <f aca="false">D32*(1-x_testy)</f>
        <v>0</v>
      </c>
      <c r="AE32" s="0" t="n">
        <f aca="false">E32*(1-x_testy)</f>
        <v>0</v>
      </c>
      <c r="AF32" s="0" t="n">
        <f aca="false">F32*x_NAV</f>
        <v>0</v>
      </c>
      <c r="AG32" s="0" t="n">
        <f aca="false">G32*x_FIX*(1-x_testy)</f>
        <v>0</v>
      </c>
      <c r="AH32" s="0" t="n">
        <f aca="false">x_z_F*U32+(1-x_AGRI)*x_EMP*x_WLOSS*(x_PEN_K74*Q32+x_PEN_C22*R32)</f>
        <v>20429444.5679228</v>
      </c>
      <c r="AI32" s="0" t="n">
        <f aca="false">x_AGRI*x_EMP*x_WLOSS*(x_PEN_K74*Q32+x_PEN_C22*R32)</f>
        <v>1097141.02756539</v>
      </c>
      <c r="AJ32" s="0" t="n">
        <f aca="false">x_EMP*x_WAGE*(x_WLOSS*(Q32+R32)+S32)+U32*x_ABS_D*x_WAGE/365</f>
        <v>789541923.750654</v>
      </c>
      <c r="AK32" s="0" t="n">
        <f aca="false">AJ32*x_R_FUS</f>
        <v>249811064.674707</v>
      </c>
      <c r="AL32" s="0" t="n">
        <f aca="false">AJ32*x_R_NFZ</f>
        <v>61316615.3403995</v>
      </c>
      <c r="AM32" s="0" t="n">
        <f aca="false">AJ32*x_R_PIT</f>
        <v>52492042.5166084</v>
      </c>
      <c r="AN32" s="0" t="n">
        <f aca="false">AJ32*x_R_FP</f>
        <v>20133319.0556417</v>
      </c>
      <c r="AO32" s="0" t="n">
        <f aca="false">AA32+AB32+AC32+AD32+AF32</f>
        <v>455183330.879807</v>
      </c>
      <c r="AP32" s="0" t="n">
        <f aca="false">AO32+AE32+AG32+AH32+AI32+AK32+AL32+AM32+AN32</f>
        <v>860462958.062652</v>
      </c>
      <c r="AQ32" s="0" t="n">
        <f aca="false">AO32+AE32+AG32+AJ32</f>
        <v>1244725254.63046</v>
      </c>
      <c r="AR32" s="0" t="n">
        <f aca="false">AB32+AC32+AD32+AF32</f>
        <v>137833427.610024</v>
      </c>
      <c r="AS32" s="0" t="n">
        <f aca="false">AR32+AE32+AG32</f>
        <v>137833427.610024</v>
      </c>
    </row>
    <row r="33" customFormat="false" ht="15" hidden="false" customHeight="false" outlineLevel="0" collapsed="false">
      <c r="A33" s="0" t="n">
        <v>2056</v>
      </c>
      <c r="B33" s="0" t="n">
        <v>30</v>
      </c>
      <c r="C33" s="0" t="n">
        <v>4832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2252.217</v>
      </c>
      <c r="I33" s="0" t="n">
        <v>228.971</v>
      </c>
      <c r="J33" s="0" t="n">
        <v>1280.618</v>
      </c>
      <c r="K33" s="0" t="n">
        <v>2123.928</v>
      </c>
      <c r="L33" s="0" t="n">
        <v>996.478</v>
      </c>
      <c r="M33" s="0" t="n">
        <v>108074.981</v>
      </c>
      <c r="N33" s="0" t="n">
        <v>8775.704</v>
      </c>
      <c r="O33" s="0" t="n">
        <v>72.059</v>
      </c>
      <c r="P33" s="0" t="n">
        <v>72.82</v>
      </c>
      <c r="Q33" s="0" t="n">
        <v>1270.979</v>
      </c>
      <c r="R33" s="0" t="n">
        <v>1377.15</v>
      </c>
      <c r="S33" s="0" t="n">
        <v>8612.128</v>
      </c>
      <c r="T33" s="0" t="n">
        <v>2481.188</v>
      </c>
      <c r="U33" s="0" t="n">
        <v>1879.17</v>
      </c>
      <c r="V33" s="0" t="n">
        <v>154955.439</v>
      </c>
      <c r="W33" s="0" t="n">
        <v>224.016</v>
      </c>
      <c r="X33" s="0" t="n">
        <v>601.305</v>
      </c>
      <c r="Y33" s="0" t="n">
        <v>72.059</v>
      </c>
      <c r="Z33" s="0" t="n">
        <v>760.868</v>
      </c>
      <c r="AA33" s="0" t="n">
        <f aca="false">H33*x_c_F+I33*x_c_CC+J33*x_c_DC+K33*x_c_HCC+L33*x_c_PLT+M33*x_c_SVRn+N33*x_c_SVRcc+O33*x_c_LT+P33*x_c_LT1</f>
        <v>314668829.628702</v>
      </c>
      <c r="AB33" s="0" t="n">
        <f aca="false">C33*x_c_DAA</f>
        <v>109976320</v>
      </c>
      <c r="AC33" s="0" t="n">
        <f aca="false">C33*x_c_MON</f>
        <v>27857107.6100244</v>
      </c>
      <c r="AD33" s="0" t="n">
        <f aca="false">D33*(1-x_testy)</f>
        <v>0</v>
      </c>
      <c r="AE33" s="0" t="n">
        <f aca="false">E33*(1-x_testy)</f>
        <v>0</v>
      </c>
      <c r="AF33" s="0" t="n">
        <f aca="false">F33*x_NAV</f>
        <v>0</v>
      </c>
      <c r="AG33" s="0" t="n">
        <f aca="false">G33*x_FIX*(1-x_testy)</f>
        <v>0</v>
      </c>
      <c r="AH33" s="0" t="n">
        <f aca="false">x_z_F*U33+(1-x_AGRI)*x_EMP*x_WLOSS*(x_PEN_K74*Q33+x_PEN_C22*R33)</f>
        <v>20922433.0106762</v>
      </c>
      <c r="AI33" s="0" t="n">
        <f aca="false">x_AGRI*x_EMP*x_WLOSS*(x_PEN_K74*Q33+x_PEN_C22*R33)</f>
        <v>1127569.47621367</v>
      </c>
      <c r="AJ33" s="0" t="n">
        <f aca="false">x_EMP*x_WAGE*(x_WLOSS*(Q33+R33)+S33)+U33*x_ABS_D*x_WAGE/365</f>
        <v>826471365.834598</v>
      </c>
      <c r="AK33" s="0" t="n">
        <f aca="false">AJ33*x_R_FUS</f>
        <v>261495540.150067</v>
      </c>
      <c r="AL33" s="0" t="n">
        <f aca="false">AJ33*x_R_NFZ</f>
        <v>64184592.7420807</v>
      </c>
      <c r="AM33" s="0" t="n">
        <f aca="false">AJ33*x_R_PIT</f>
        <v>54947265.9641188</v>
      </c>
      <c r="AN33" s="0" t="n">
        <f aca="false">AJ33*x_R_FP</f>
        <v>21075019.8287822</v>
      </c>
      <c r="AO33" s="0" t="n">
        <f aca="false">AA33+AB33+AC33+AD33+AF33</f>
        <v>452502257.238726</v>
      </c>
      <c r="AP33" s="0" t="n">
        <f aca="false">AO33+AE33+AG33+AH33+AI33+AK33+AL33+AM33+AN33</f>
        <v>876254678.410665</v>
      </c>
      <c r="AQ33" s="0" t="n">
        <f aca="false">AO33+AE33+AG33+AJ33</f>
        <v>1278973623.07332</v>
      </c>
      <c r="AR33" s="0" t="n">
        <f aca="false">AB33+AC33+AD33+AF33</f>
        <v>137833427.610024</v>
      </c>
      <c r="AS33" s="0" t="n">
        <f aca="false">AR33+AE33+AG33</f>
        <v>137833427.610024</v>
      </c>
    </row>
    <row r="34" customFormat="false" ht="15" hidden="false" customHeight="false" outlineLevel="0" collapsed="false">
      <c r="A34" s="0" t="n">
        <v>2057</v>
      </c>
      <c r="B34" s="0" t="n">
        <v>31</v>
      </c>
      <c r="C34" s="0" t="n">
        <v>4832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2255.294</v>
      </c>
      <c r="I34" s="0" t="n">
        <v>225.273</v>
      </c>
      <c r="J34" s="0" t="n">
        <v>1252.575</v>
      </c>
      <c r="K34" s="0" t="n">
        <v>2084.193</v>
      </c>
      <c r="L34" s="0" t="n">
        <v>971.616</v>
      </c>
      <c r="M34" s="0" t="n">
        <v>110537.053</v>
      </c>
      <c r="N34" s="0" t="n">
        <v>8744.328</v>
      </c>
      <c r="O34" s="0" t="n">
        <v>70.413</v>
      </c>
      <c r="P34" s="0" t="n">
        <v>71.236</v>
      </c>
      <c r="Q34" s="0" t="n">
        <v>1304.667</v>
      </c>
      <c r="R34" s="0" t="n">
        <v>1413.298</v>
      </c>
      <c r="S34" s="0" t="n">
        <v>9021.249</v>
      </c>
      <c r="T34" s="0" t="n">
        <v>2480.567</v>
      </c>
      <c r="U34" s="0" t="n">
        <v>1893.559</v>
      </c>
      <c r="V34" s="0" t="n">
        <v>156477.429</v>
      </c>
      <c r="W34" s="0" t="n">
        <v>219.773</v>
      </c>
      <c r="X34" s="0" t="n">
        <v>590.998</v>
      </c>
      <c r="Y34" s="0" t="n">
        <v>70.413</v>
      </c>
      <c r="Z34" s="0" t="n">
        <v>744.537</v>
      </c>
      <c r="AA34" s="0" t="n">
        <f aca="false">H34*x_c_F+I34*x_c_CC+J34*x_c_DC+K34*x_c_HCC+L34*x_c_PLT+M34*x_c_SVRn+N34*x_c_SVRcc+O34*x_c_LT+P34*x_c_LT1</f>
        <v>311645232.789797</v>
      </c>
      <c r="AB34" s="0" t="n">
        <f aca="false">C34*x_c_DAA</f>
        <v>109976320</v>
      </c>
      <c r="AC34" s="0" t="n">
        <f aca="false">C34*x_c_MON</f>
        <v>27857107.6100244</v>
      </c>
      <c r="AD34" s="0" t="n">
        <f aca="false">D34*(1-x_testy)</f>
        <v>0</v>
      </c>
      <c r="AE34" s="0" t="n">
        <f aca="false">E34*(1-x_testy)</f>
        <v>0</v>
      </c>
      <c r="AF34" s="0" t="n">
        <f aca="false">F34*x_NAV</f>
        <v>0</v>
      </c>
      <c r="AG34" s="0" t="n">
        <f aca="false">G34*x_FIX*(1-x_testy)</f>
        <v>0</v>
      </c>
      <c r="AH34" s="0" t="n">
        <f aca="false">x_z_F*U34+(1-x_AGRI)*x_EMP*x_WLOSS*(x_PEN_K74*Q34+x_PEN_C22*R34)</f>
        <v>21401753.8581868</v>
      </c>
      <c r="AI34" s="0" t="n">
        <f aca="false">x_AGRI*x_EMP*x_WLOSS*(x_PEN_K74*Q34+x_PEN_C22*R34)</f>
        <v>1157296.32189489</v>
      </c>
      <c r="AJ34" s="0" t="n">
        <f aca="false">x_EMP*x_WAGE*(x_WLOSS*(Q34+R34)+S34)+U34*x_ABS_D*x_WAGE/365</f>
        <v>863681326.386792</v>
      </c>
      <c r="AK34" s="0" t="n">
        <f aca="false">AJ34*x_R_FUS</f>
        <v>273268771.668781</v>
      </c>
      <c r="AL34" s="0" t="n">
        <f aca="false">AJ34*x_R_NFZ</f>
        <v>67074355.4885247</v>
      </c>
      <c r="AM34" s="0" t="n">
        <f aca="false">AJ34*x_R_PIT</f>
        <v>57421139.450239</v>
      </c>
      <c r="AN34" s="0" t="n">
        <f aca="false">AJ34*x_R_FP</f>
        <v>22023873.8228632</v>
      </c>
      <c r="AO34" s="0" t="n">
        <f aca="false">AA34+AB34+AC34+AD34+AF34</f>
        <v>449478660.399822</v>
      </c>
      <c r="AP34" s="0" t="n">
        <f aca="false">AO34+AE34+AG34+AH34+AI34+AK34+AL34+AM34+AN34</f>
        <v>891825851.010311</v>
      </c>
      <c r="AQ34" s="0" t="n">
        <f aca="false">AO34+AE34+AG34+AJ34</f>
        <v>1313159986.78661</v>
      </c>
      <c r="AR34" s="0" t="n">
        <f aca="false">AB34+AC34+AD34+AF34</f>
        <v>137833427.610024</v>
      </c>
      <c r="AS34" s="0" t="n">
        <f aca="false">AR34+AE34+AG34</f>
        <v>137833427.610024</v>
      </c>
    </row>
    <row r="35" customFormat="false" ht="15" hidden="false" customHeight="false" outlineLevel="0" collapsed="false">
      <c r="A35" s="0" t="n">
        <v>2058</v>
      </c>
      <c r="B35" s="0" t="n">
        <v>32</v>
      </c>
      <c r="C35" s="0" t="n">
        <v>4832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2258.141</v>
      </c>
      <c r="I35" s="0" t="n">
        <v>221.833</v>
      </c>
      <c r="J35" s="0" t="n">
        <v>1225.763</v>
      </c>
      <c r="K35" s="0" t="n">
        <v>2046.544</v>
      </c>
      <c r="L35" s="0" t="n">
        <v>946.686</v>
      </c>
      <c r="M35" s="0" t="n">
        <v>112967.92</v>
      </c>
      <c r="N35" s="0" t="n">
        <v>8702.47</v>
      </c>
      <c r="O35" s="0" t="n">
        <v>69.029</v>
      </c>
      <c r="P35" s="0" t="n">
        <v>69.721</v>
      </c>
      <c r="Q35" s="0" t="n">
        <v>1337.77</v>
      </c>
      <c r="R35" s="0" t="n">
        <v>1447.985</v>
      </c>
      <c r="S35" s="0" t="n">
        <v>9432.826</v>
      </c>
      <c r="T35" s="0" t="n">
        <v>2479.974</v>
      </c>
      <c r="U35" s="0" t="n">
        <v>1906.469</v>
      </c>
      <c r="V35" s="0" t="n">
        <v>157986.947</v>
      </c>
      <c r="W35" s="0" t="n">
        <v>216.073</v>
      </c>
      <c r="X35" s="0" t="n">
        <v>582.12</v>
      </c>
      <c r="Y35" s="0" t="n">
        <v>69.029</v>
      </c>
      <c r="Z35" s="0" t="n">
        <v>730.899</v>
      </c>
      <c r="AA35" s="0" t="n">
        <f aca="false">H35*x_c_F+I35*x_c_CC+J35*x_c_DC+K35*x_c_HCC+L35*x_c_PLT+M35*x_c_SVRn+N35*x_c_SVRcc+O35*x_c_LT+P35*x_c_LT1</f>
        <v>308818878.355894</v>
      </c>
      <c r="AB35" s="0" t="n">
        <f aca="false">C35*x_c_DAA</f>
        <v>109976320</v>
      </c>
      <c r="AC35" s="0" t="n">
        <f aca="false">C35*x_c_MON</f>
        <v>27857107.6100244</v>
      </c>
      <c r="AD35" s="0" t="n">
        <f aca="false">D35*(1-x_testy)</f>
        <v>0</v>
      </c>
      <c r="AE35" s="0" t="n">
        <f aca="false">E35*(1-x_testy)</f>
        <v>0</v>
      </c>
      <c r="AF35" s="0" t="n">
        <f aca="false">F35*x_NAV</f>
        <v>0</v>
      </c>
      <c r="AG35" s="0" t="n">
        <f aca="false">G35*x_FIX*(1-x_testy)</f>
        <v>0</v>
      </c>
      <c r="AH35" s="0" t="n">
        <f aca="false">x_z_F*U35+(1-x_AGRI)*x_EMP*x_WLOSS*(x_PEN_K74*Q35+x_PEN_C22*R35)</f>
        <v>21864527.9867168</v>
      </c>
      <c r="AI35" s="0" t="n">
        <f aca="false">x_AGRI*x_EMP*x_WLOSS*(x_PEN_K74*Q35+x_PEN_C22*R35)</f>
        <v>1186130.44470607</v>
      </c>
      <c r="AJ35" s="0" t="n">
        <f aca="false">x_EMP*x_WAGE*(x_WLOSS*(Q35+R35)+S35)+U35*x_ABS_D*x_WAGE/365</f>
        <v>901029373.64071</v>
      </c>
      <c r="AK35" s="0" t="n">
        <f aca="false">AJ35*x_R_FUS</f>
        <v>285085693.819921</v>
      </c>
      <c r="AL35" s="0" t="n">
        <f aca="false">AJ35*x_R_NFZ</f>
        <v>69974842.1863112</v>
      </c>
      <c r="AM35" s="0" t="n">
        <f aca="false">AJ35*x_R_PIT</f>
        <v>59904193.5166423</v>
      </c>
      <c r="AN35" s="0" t="n">
        <f aca="false">AJ35*x_R_FP</f>
        <v>22976249.0278381</v>
      </c>
      <c r="AO35" s="0" t="n">
        <f aca="false">AA35+AB35+AC35+AD35+AF35</f>
        <v>446652305.965918</v>
      </c>
      <c r="AP35" s="0" t="n">
        <f aca="false">AO35+AE35+AG35+AH35+AI35+AK35+AL35+AM35+AN35</f>
        <v>907643942.948053</v>
      </c>
      <c r="AQ35" s="0" t="n">
        <f aca="false">AO35+AE35+AG35+AJ35</f>
        <v>1347681679.60663</v>
      </c>
      <c r="AR35" s="0" t="n">
        <f aca="false">AB35+AC35+AD35+AF35</f>
        <v>137833427.610024</v>
      </c>
      <c r="AS35" s="0" t="n">
        <f aca="false">AR35+AE35+AG35</f>
        <v>137833427.610024</v>
      </c>
    </row>
    <row r="36" customFormat="false" ht="15" hidden="false" customHeight="false" outlineLevel="0" collapsed="false">
      <c r="A36" s="0" t="n">
        <v>2059</v>
      </c>
      <c r="B36" s="0" t="n">
        <v>33</v>
      </c>
      <c r="C36" s="0" t="n">
        <v>4832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2260.739</v>
      </c>
      <c r="I36" s="0" t="n">
        <v>218.673</v>
      </c>
      <c r="J36" s="0" t="n">
        <v>1201.281</v>
      </c>
      <c r="K36" s="0" t="n">
        <v>2012.343</v>
      </c>
      <c r="L36" s="0" t="n">
        <v>923.685</v>
      </c>
      <c r="M36" s="0" t="n">
        <v>115434.628</v>
      </c>
      <c r="N36" s="0" t="n">
        <v>8663.045</v>
      </c>
      <c r="O36" s="0" t="n">
        <v>67.652</v>
      </c>
      <c r="P36" s="0" t="n">
        <v>68.341</v>
      </c>
      <c r="Q36" s="0" t="n">
        <v>1013.328</v>
      </c>
      <c r="R36" s="0" t="n">
        <v>1228.394</v>
      </c>
      <c r="S36" s="0" t="n">
        <v>6187.082</v>
      </c>
      <c r="T36" s="0" t="n">
        <v>2479.412</v>
      </c>
      <c r="U36" s="0" t="n">
        <v>1881.929</v>
      </c>
      <c r="V36" s="0" t="n">
        <v>159546.253</v>
      </c>
      <c r="W36" s="0" t="n">
        <v>212.501</v>
      </c>
      <c r="X36" s="0" t="n">
        <v>573.446</v>
      </c>
      <c r="Y36" s="0" t="n">
        <v>67.652</v>
      </c>
      <c r="Z36" s="0" t="n">
        <v>717.299</v>
      </c>
      <c r="AA36" s="0" t="n">
        <f aca="false">H36*x_c_F+I36*x_c_CC+J36*x_c_DC+K36*x_c_HCC+L36*x_c_PLT+M36*x_c_SVRn+N36*x_c_SVRcc+O36*x_c_LT+P36*x_c_LT1</f>
        <v>306350958.070113</v>
      </c>
      <c r="AB36" s="0" t="n">
        <f aca="false">C36*x_c_DAA</f>
        <v>109976320</v>
      </c>
      <c r="AC36" s="0" t="n">
        <f aca="false">C36*x_c_MON</f>
        <v>27857107.6100244</v>
      </c>
      <c r="AD36" s="0" t="n">
        <f aca="false">D36*(1-x_testy)</f>
        <v>0</v>
      </c>
      <c r="AE36" s="0" t="n">
        <f aca="false">E36*(1-x_testy)</f>
        <v>0</v>
      </c>
      <c r="AF36" s="0" t="n">
        <f aca="false">F36*x_NAV</f>
        <v>0</v>
      </c>
      <c r="AG36" s="0" t="n">
        <f aca="false">G36*x_FIX*(1-x_testy)</f>
        <v>0</v>
      </c>
      <c r="AH36" s="0" t="n">
        <f aca="false">x_z_F*U36+(1-x_AGRI)*x_EMP*x_WLOSS*(x_PEN_K74*Q36+x_PEN_C22*R36)</f>
        <v>18361444.566174</v>
      </c>
      <c r="AI36" s="0" t="n">
        <f aca="false">x_AGRI*x_EMP*x_WLOSS*(x_PEN_K74*Q36+x_PEN_C22*R36)</f>
        <v>957918.12991014</v>
      </c>
      <c r="AJ36" s="0" t="n">
        <f aca="false">x_EMP*x_WAGE*(x_WLOSS*(Q36+R36)+S36)+U36*x_ABS_D*x_WAGE/365</f>
        <v>606416546.855011</v>
      </c>
      <c r="AK36" s="0" t="n">
        <f aca="false">AJ36*x_R_FUS</f>
        <v>191870195.424925</v>
      </c>
      <c r="AL36" s="0" t="n">
        <f aca="false">AJ36*x_R_NFZ</f>
        <v>47094915.445307</v>
      </c>
      <c r="AM36" s="0" t="n">
        <f aca="false">AJ36*x_R_PIT</f>
        <v>40317103.1236348</v>
      </c>
      <c r="AN36" s="0" t="n">
        <f aca="false">AJ36*x_R_FP</f>
        <v>15463621.9448028</v>
      </c>
      <c r="AO36" s="0" t="n">
        <f aca="false">AA36+AB36+AC36+AD36+AF36</f>
        <v>444184385.680138</v>
      </c>
      <c r="AP36" s="0" t="n">
        <f aca="false">AO36+AE36+AG36+AH36+AI36+AK36+AL36+AM36+AN36</f>
        <v>758249584.314892</v>
      </c>
      <c r="AQ36" s="0" t="n">
        <f aca="false">AO36+AE36+AG36+AJ36</f>
        <v>1050600932.53515</v>
      </c>
      <c r="AR36" s="0" t="n">
        <f aca="false">AB36+AC36+AD36+AF36</f>
        <v>137833427.610024</v>
      </c>
      <c r="AS36" s="0" t="n">
        <f aca="false">AR36+AE36+AG36</f>
        <v>137833427.610024</v>
      </c>
    </row>
    <row r="37" customFormat="false" ht="15" hidden="false" customHeight="false" outlineLevel="0" collapsed="false">
      <c r="A37" s="0" t="n">
        <v>2060</v>
      </c>
      <c r="B37" s="0" t="n">
        <v>34</v>
      </c>
      <c r="C37" s="0" t="n">
        <v>4832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2263.142</v>
      </c>
      <c r="I37" s="0" t="n">
        <v>215.729</v>
      </c>
      <c r="J37" s="0" t="n">
        <v>1177.107</v>
      </c>
      <c r="K37" s="0" t="n">
        <v>1978.775</v>
      </c>
      <c r="L37" s="0" t="n">
        <v>899.002</v>
      </c>
      <c r="M37" s="0" t="n">
        <v>117799.125</v>
      </c>
      <c r="N37" s="0" t="n">
        <v>8603.275</v>
      </c>
      <c r="O37" s="0" t="n">
        <v>66.296</v>
      </c>
      <c r="P37" s="0" t="n">
        <v>66.974</v>
      </c>
      <c r="Q37" s="0" t="n">
        <v>670.099</v>
      </c>
      <c r="R37" s="0" t="n">
        <v>988.189</v>
      </c>
      <c r="S37" s="0" t="n">
        <v>2727.059</v>
      </c>
      <c r="T37" s="0" t="n">
        <v>2478.871</v>
      </c>
      <c r="U37" s="0" t="n">
        <v>1851.257</v>
      </c>
      <c r="V37" s="0" t="n">
        <v>161025.494</v>
      </c>
      <c r="W37" s="0" t="n">
        <v>209.073</v>
      </c>
      <c r="X37" s="0" t="n">
        <v>565.022</v>
      </c>
      <c r="Y37" s="0" t="n">
        <v>66.296</v>
      </c>
      <c r="Z37" s="0" t="n">
        <v>703.852</v>
      </c>
      <c r="AA37" s="0" t="n">
        <f aca="false">H37*x_c_F+I37*x_c_CC+J37*x_c_DC+K37*x_c_HCC+L37*x_c_PLT+M37*x_c_SVRn+N37*x_c_SVRcc+O37*x_c_LT+P37*x_c_LT1</f>
        <v>303765027.778938</v>
      </c>
      <c r="AB37" s="0" t="n">
        <f aca="false">C37*x_c_DAA</f>
        <v>109976320</v>
      </c>
      <c r="AC37" s="0" t="n">
        <f aca="false">C37*x_c_MON</f>
        <v>27857107.6100244</v>
      </c>
      <c r="AD37" s="0" t="n">
        <f aca="false">D37*(1-x_testy)</f>
        <v>0</v>
      </c>
      <c r="AE37" s="0" t="n">
        <f aca="false">E37*(1-x_testy)</f>
        <v>0</v>
      </c>
      <c r="AF37" s="0" t="n">
        <f aca="false">F37*x_NAV</f>
        <v>0</v>
      </c>
      <c r="AG37" s="0" t="n">
        <f aca="false">G37*x_FIX*(1-x_testy)</f>
        <v>0</v>
      </c>
      <c r="AH37" s="0" t="n">
        <f aca="false">x_z_F*U37+(1-x_AGRI)*x_EMP*x_WLOSS*(x_PEN_K74*Q37+x_PEN_C22*R37)</f>
        <v>14591834.7402346</v>
      </c>
      <c r="AI37" s="0" t="n">
        <f aca="false">x_AGRI*x_EMP*x_WLOSS*(x_PEN_K74*Q37+x_PEN_C22*R37)</f>
        <v>712922.217742724</v>
      </c>
      <c r="AJ37" s="0" t="n">
        <f aca="false">x_EMP*x_WAGE*(x_WLOSS*(Q37+R37)+S37)+U37*x_ABS_D*x_WAGE/365</f>
        <v>292226521.374496</v>
      </c>
      <c r="AK37" s="0" t="n">
        <f aca="false">AJ37*x_R_FUS</f>
        <v>92460471.3628905</v>
      </c>
      <c r="AL37" s="0" t="n">
        <f aca="false">AJ37*x_R_NFZ</f>
        <v>22694603.8764647</v>
      </c>
      <c r="AM37" s="0" t="n">
        <f aca="false">AJ37*x_R_PIT</f>
        <v>19428438.8492017</v>
      </c>
      <c r="AN37" s="0" t="n">
        <f aca="false">AJ37*x_R_FP</f>
        <v>7451776.29504965</v>
      </c>
      <c r="AO37" s="0" t="n">
        <f aca="false">AA37+AB37+AC37+AD37+AF37</f>
        <v>441598455.388962</v>
      </c>
      <c r="AP37" s="0" t="n">
        <f aca="false">AO37+AE37+AG37+AH37+AI37+AK37+AL37+AM37+AN37</f>
        <v>598938502.730546</v>
      </c>
      <c r="AQ37" s="0" t="n">
        <f aca="false">AO37+AE37+AG37+AJ37</f>
        <v>733824976.763458</v>
      </c>
      <c r="AR37" s="0" t="n">
        <f aca="false">AB37+AC37+AD37+AF37</f>
        <v>137833427.610024</v>
      </c>
      <c r="AS37" s="0" t="n">
        <f aca="false">AR37+AE37+AG37</f>
        <v>137833427.610024</v>
      </c>
    </row>
    <row r="38" customFormat="false" ht="15" hidden="false" customHeight="false" outlineLevel="0" collapsed="false">
      <c r="A38" s="0" t="n">
        <v>2061</v>
      </c>
      <c r="B38" s="0" t="n">
        <v>35</v>
      </c>
      <c r="C38" s="0" t="n">
        <v>4832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2265.331</v>
      </c>
      <c r="I38" s="0" t="n">
        <v>213.02</v>
      </c>
      <c r="J38" s="0" t="n">
        <v>1153.522</v>
      </c>
      <c r="K38" s="0" t="n">
        <v>1946.16</v>
      </c>
      <c r="L38" s="0" t="n">
        <v>872.914</v>
      </c>
      <c r="M38" s="0" t="n">
        <v>120062.928</v>
      </c>
      <c r="N38" s="0" t="n">
        <v>8525.279</v>
      </c>
      <c r="O38" s="0" t="n">
        <v>64.98</v>
      </c>
      <c r="P38" s="0" t="n">
        <v>65.638</v>
      </c>
      <c r="Q38" s="0" t="n">
        <v>665.373</v>
      </c>
      <c r="R38" s="0" t="n">
        <v>980.987</v>
      </c>
      <c r="S38" s="0" t="n">
        <v>2711.358</v>
      </c>
      <c r="T38" s="0" t="n">
        <v>2478.351</v>
      </c>
      <c r="U38" s="0" t="n">
        <v>1851.048</v>
      </c>
      <c r="V38" s="0" t="n">
        <v>162427.875</v>
      </c>
      <c r="W38" s="0" t="n">
        <v>205.821</v>
      </c>
      <c r="X38" s="0" t="n">
        <v>556.93</v>
      </c>
      <c r="Y38" s="0" t="n">
        <v>64.98</v>
      </c>
      <c r="Z38" s="0" t="n">
        <v>690.739</v>
      </c>
      <c r="AA38" s="0" t="n">
        <f aca="false">H38*x_c_F+I38*x_c_CC+J38*x_c_DC+K38*x_c_HCC+L38*x_c_PLT+M38*x_c_SVRn+N38*x_c_SVRcc+O38*x_c_LT+P38*x_c_LT1</f>
        <v>301109237.670985</v>
      </c>
      <c r="AB38" s="0" t="n">
        <f aca="false">C38*x_c_DAA</f>
        <v>109976320</v>
      </c>
      <c r="AC38" s="0" t="n">
        <f aca="false">C38*x_c_MON</f>
        <v>27857107.6100244</v>
      </c>
      <c r="AD38" s="0" t="n">
        <f aca="false">D38*(1-x_testy)</f>
        <v>0</v>
      </c>
      <c r="AE38" s="0" t="n">
        <f aca="false">E38*(1-x_testy)</f>
        <v>0</v>
      </c>
      <c r="AF38" s="0" t="n">
        <f aca="false">F38*x_NAV</f>
        <v>0</v>
      </c>
      <c r="AG38" s="0" t="n">
        <f aca="false">G38*x_FIX*(1-x_testy)</f>
        <v>0</v>
      </c>
      <c r="AH38" s="0" t="n">
        <f aca="false">x_z_F*U38+(1-x_AGRI)*x_EMP*x_WLOSS*(x_PEN_K74*Q38+x_PEN_C22*R38)</f>
        <v>14513745.8995955</v>
      </c>
      <c r="AI38" s="0" t="n">
        <f aca="false">x_AGRI*x_EMP*x_WLOSS*(x_PEN_K74*Q38+x_PEN_C22*R38)</f>
        <v>707789.09654686</v>
      </c>
      <c r="AJ38" s="0" t="n">
        <f aca="false">x_EMP*x_WAGE*(x_WLOSS*(Q38+R38)+S38)+U38*x_ABS_D*x_WAGE/365</f>
        <v>290496811.136613</v>
      </c>
      <c r="AK38" s="0" t="n">
        <f aca="false">AJ38*x_R_FUS</f>
        <v>91913191.0436245</v>
      </c>
      <c r="AL38" s="0" t="n">
        <f aca="false">AJ38*x_R_NFZ</f>
        <v>22560272.8496805</v>
      </c>
      <c r="AM38" s="0" t="n">
        <f aca="false">AJ38*x_R_PIT</f>
        <v>19313440.4930447</v>
      </c>
      <c r="AN38" s="0" t="n">
        <f aca="false">AJ38*x_R_FP</f>
        <v>7407668.68398364</v>
      </c>
      <c r="AO38" s="0" t="n">
        <f aca="false">AA38+AB38+AC38+AD38+AF38</f>
        <v>438942665.28101</v>
      </c>
      <c r="AP38" s="0" t="n">
        <f aca="false">AO38+AE38+AG38+AH38+AI38+AK38+AL38+AM38+AN38</f>
        <v>595358773.347486</v>
      </c>
      <c r="AQ38" s="0" t="n">
        <f aca="false">AO38+AE38+AG38+AJ38</f>
        <v>729439476.417623</v>
      </c>
      <c r="AR38" s="0" t="n">
        <f aca="false">AB38+AC38+AD38+AF38</f>
        <v>137833427.610024</v>
      </c>
      <c r="AS38" s="0" t="n">
        <f aca="false">AR38+AE38+AG38</f>
        <v>137833427.610024</v>
      </c>
    </row>
    <row r="39" customFormat="false" ht="15" hidden="false" customHeight="false" outlineLevel="0" collapsed="false">
      <c r="A39" s="0" t="n">
        <v>2062</v>
      </c>
      <c r="B39" s="0" t="n">
        <v>36</v>
      </c>
      <c r="C39" s="0" t="n">
        <v>4832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2267.285</v>
      </c>
      <c r="I39" s="0" t="n">
        <v>210.57</v>
      </c>
      <c r="J39" s="0" t="n">
        <v>1130.878</v>
      </c>
      <c r="K39" s="0" t="n">
        <v>1914.924</v>
      </c>
      <c r="L39" s="0" t="n">
        <v>845.852</v>
      </c>
      <c r="M39" s="0" t="n">
        <v>122233.211</v>
      </c>
      <c r="N39" s="0" t="n">
        <v>8432.415</v>
      </c>
      <c r="O39" s="0" t="n">
        <v>63.725</v>
      </c>
      <c r="P39" s="0" t="n">
        <v>64.352</v>
      </c>
      <c r="Q39" s="0" t="n">
        <v>660.756</v>
      </c>
      <c r="R39" s="0" t="n">
        <v>973.942</v>
      </c>
      <c r="S39" s="0" t="n">
        <v>2696.071</v>
      </c>
      <c r="T39" s="0" t="n">
        <v>2477.855</v>
      </c>
      <c r="U39" s="0" t="n">
        <v>1850.711</v>
      </c>
      <c r="V39" s="0" t="n">
        <v>163762.311</v>
      </c>
      <c r="W39" s="0" t="n">
        <v>202.78</v>
      </c>
      <c r="X39" s="0" t="n">
        <v>549.271</v>
      </c>
      <c r="Y39" s="0" t="n">
        <v>63.725</v>
      </c>
      <c r="Z39" s="0" t="n">
        <v>678.159</v>
      </c>
      <c r="AA39" s="0" t="n">
        <f aca="false">H39*x_c_F+I39*x_c_CC+J39*x_c_DC+K39*x_c_HCC+L39*x_c_PLT+M39*x_c_SVRn+N39*x_c_SVRcc+O39*x_c_LT+P39*x_c_LT1</f>
        <v>298452193.35643</v>
      </c>
      <c r="AB39" s="0" t="n">
        <f aca="false">C39*x_c_DAA</f>
        <v>109976320</v>
      </c>
      <c r="AC39" s="0" t="n">
        <f aca="false">C39*x_c_MON</f>
        <v>27857107.6100244</v>
      </c>
      <c r="AD39" s="0" t="n">
        <f aca="false">D39*(1-x_testy)</f>
        <v>0</v>
      </c>
      <c r="AE39" s="0" t="n">
        <f aca="false">E39*(1-x_testy)</f>
        <v>0</v>
      </c>
      <c r="AF39" s="0" t="n">
        <f aca="false">F39*x_NAV</f>
        <v>0</v>
      </c>
      <c r="AG39" s="0" t="n">
        <f aca="false">G39*x_FIX*(1-x_testy)</f>
        <v>0</v>
      </c>
      <c r="AH39" s="0" t="n">
        <f aca="false">x_z_F*U39+(1-x_AGRI)*x_EMP*x_WLOSS*(x_PEN_K74*Q39+x_PEN_C22*R39)</f>
        <v>14437122.7769426</v>
      </c>
      <c r="AI39" s="0" t="n">
        <f aca="false">x_AGRI*x_EMP*x_WLOSS*(x_PEN_K74*Q39+x_PEN_C22*R39)</f>
        <v>702770.250606893</v>
      </c>
      <c r="AJ39" s="0" t="n">
        <f aca="false">x_EMP*x_WAGE*(x_WLOSS*(Q39+R39)+S39)+U39*x_ABS_D*x_WAGE/365</f>
        <v>288810729.334697</v>
      </c>
      <c r="AK39" s="0" t="n">
        <f aca="false">AJ39*x_R_FUS</f>
        <v>91379714.7614982</v>
      </c>
      <c r="AL39" s="0" t="n">
        <f aca="false">AJ39*x_R_NFZ</f>
        <v>22429330.0508619</v>
      </c>
      <c r="AM39" s="0" t="n">
        <f aca="false">AJ39*x_R_PIT</f>
        <v>19201342.7374091</v>
      </c>
      <c r="AN39" s="0" t="n">
        <f aca="false">AJ39*x_R_FP</f>
        <v>7364673.59803478</v>
      </c>
      <c r="AO39" s="0" t="n">
        <f aca="false">AA39+AB39+AC39+AD39+AF39</f>
        <v>436285620.966454</v>
      </c>
      <c r="AP39" s="0" t="n">
        <f aca="false">AO39+AE39+AG39+AH39+AI39+AK39+AL39+AM39+AN39</f>
        <v>591800575.141808</v>
      </c>
      <c r="AQ39" s="0" t="n">
        <f aca="false">AO39+AE39+AG39+AJ39</f>
        <v>725096350.301151</v>
      </c>
      <c r="AR39" s="0" t="n">
        <f aca="false">AB39+AC39+AD39+AF39</f>
        <v>137833427.610024</v>
      </c>
      <c r="AS39" s="0" t="n">
        <f aca="false">AR39+AE39+AG39</f>
        <v>137833427.610024</v>
      </c>
    </row>
    <row r="40" customFormat="false" ht="15" hidden="false" customHeight="false" outlineLevel="0" collapsed="false">
      <c r="A40" s="0" t="n">
        <v>2063</v>
      </c>
      <c r="B40" s="0" t="n">
        <v>37</v>
      </c>
      <c r="C40" s="0" t="n">
        <v>4832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2268.979</v>
      </c>
      <c r="I40" s="0" t="n">
        <v>208.407</v>
      </c>
      <c r="J40" s="0" t="n">
        <v>1109.563</v>
      </c>
      <c r="K40" s="0" t="n">
        <v>1885.557</v>
      </c>
      <c r="L40" s="0" t="n">
        <v>818.384</v>
      </c>
      <c r="M40" s="0" t="n">
        <v>124322.803</v>
      </c>
      <c r="N40" s="0" t="n">
        <v>8329.199</v>
      </c>
      <c r="O40" s="0" t="n">
        <v>62.555</v>
      </c>
      <c r="P40" s="0" t="n">
        <v>63.14</v>
      </c>
      <c r="Q40" s="0" t="n">
        <v>656.166</v>
      </c>
      <c r="R40" s="0" t="n">
        <v>966.966</v>
      </c>
      <c r="S40" s="0" t="n">
        <v>2680.722</v>
      </c>
      <c r="T40" s="0" t="n">
        <v>2477.386</v>
      </c>
      <c r="U40" s="0" t="n">
        <v>1850.189</v>
      </c>
      <c r="V40" s="0" t="n">
        <v>165043.144</v>
      </c>
      <c r="W40" s="0" t="n">
        <v>199.994</v>
      </c>
      <c r="X40" s="0" t="n">
        <v>542.168</v>
      </c>
      <c r="Y40" s="0" t="n">
        <v>62.555</v>
      </c>
      <c r="Z40" s="0" t="n">
        <v>666.35</v>
      </c>
      <c r="AA40" s="0" t="n">
        <f aca="false">H40*x_c_F+I40*x_c_CC+J40*x_c_DC+K40*x_c_HCC+L40*x_c_PLT+M40*x_c_SVRn+N40*x_c_SVRcc+O40*x_c_LT+P40*x_c_LT1</f>
        <v>295879440.886421</v>
      </c>
      <c r="AB40" s="0" t="n">
        <f aca="false">C40*x_c_DAA</f>
        <v>109976320</v>
      </c>
      <c r="AC40" s="0" t="n">
        <f aca="false">C40*x_c_MON</f>
        <v>27857107.6100244</v>
      </c>
      <c r="AD40" s="0" t="n">
        <f aca="false">D40*(1-x_testy)</f>
        <v>0</v>
      </c>
      <c r="AE40" s="0" t="n">
        <f aca="false">E40*(1-x_testy)</f>
        <v>0</v>
      </c>
      <c r="AF40" s="0" t="n">
        <f aca="false">F40*x_NAV</f>
        <v>0</v>
      </c>
      <c r="AG40" s="0" t="n">
        <f aca="false">G40*x_FIX*(1-x_testy)</f>
        <v>0</v>
      </c>
      <c r="AH40" s="0" t="n">
        <f aca="false">x_z_F*U40+(1-x_AGRI)*x_EMP*x_WLOSS*(x_PEN_K74*Q40+x_PEN_C22*R40)</f>
        <v>14360753.3940281</v>
      </c>
      <c r="AI40" s="0" t="n">
        <f aca="false">x_AGRI*x_EMP*x_WLOSS*(x_PEN_K74*Q40+x_PEN_C22*R40)</f>
        <v>697793.316300873</v>
      </c>
      <c r="AJ40" s="0" t="n">
        <f aca="false">x_EMP*x_WAGE*(x_WLOSS*(Q40+R40)+S40)+U40*x_ABS_D*x_WAGE/365</f>
        <v>287121960.188248</v>
      </c>
      <c r="AK40" s="0" t="n">
        <f aca="false">AJ40*x_R_FUS</f>
        <v>90845388.2035618</v>
      </c>
      <c r="AL40" s="0" t="n">
        <f aca="false">AJ40*x_R_NFZ</f>
        <v>22298178.5501796</v>
      </c>
      <c r="AM40" s="0" t="n">
        <f aca="false">AJ40*x_R_PIT</f>
        <v>19089066.3158924</v>
      </c>
      <c r="AN40" s="0" t="n">
        <f aca="false">AJ40*x_R_FP</f>
        <v>7321609.98480033</v>
      </c>
      <c r="AO40" s="0" t="n">
        <f aca="false">AA40+AB40+AC40+AD40+AF40</f>
        <v>433712868.496445</v>
      </c>
      <c r="AP40" s="0" t="n">
        <f aca="false">AO40+AE40+AG40+AH40+AI40+AK40+AL40+AM40+AN40</f>
        <v>588325658.261208</v>
      </c>
      <c r="AQ40" s="0" t="n">
        <f aca="false">AO40+AE40+AG40+AJ40</f>
        <v>720834828.684693</v>
      </c>
      <c r="AR40" s="0" t="n">
        <f aca="false">AB40+AC40+AD40+AF40</f>
        <v>137833427.610024</v>
      </c>
      <c r="AS40" s="0" t="n">
        <f aca="false">AR40+AE40+AG40</f>
        <v>137833427.610024</v>
      </c>
    </row>
    <row r="41" customFormat="false" ht="15" hidden="false" customHeight="false" outlineLevel="0" collapsed="false">
      <c r="A41" s="0" t="n">
        <v>2064</v>
      </c>
      <c r="B41" s="0" t="n">
        <v>38</v>
      </c>
      <c r="C41" s="0" t="n">
        <v>4832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2270.397</v>
      </c>
      <c r="I41" s="0" t="n">
        <v>206.549</v>
      </c>
      <c r="J41" s="0" t="n">
        <v>1089.975</v>
      </c>
      <c r="K41" s="0" t="n">
        <v>1858.569</v>
      </c>
      <c r="L41" s="0" t="n">
        <v>791.19</v>
      </c>
      <c r="M41" s="0" t="n">
        <v>126349.671</v>
      </c>
      <c r="N41" s="0" t="n">
        <v>8221.103</v>
      </c>
      <c r="O41" s="0" t="n">
        <v>61.492</v>
      </c>
      <c r="P41" s="0" t="n">
        <v>62.023</v>
      </c>
      <c r="Q41" s="0" t="n">
        <v>651.583</v>
      </c>
      <c r="R41" s="0" t="n">
        <v>960.041</v>
      </c>
      <c r="S41" s="0" t="n">
        <v>2665.186</v>
      </c>
      <c r="T41" s="0" t="n">
        <v>2476.947</v>
      </c>
      <c r="U41" s="0" t="n">
        <v>1849.45</v>
      </c>
      <c r="V41" s="0" t="n">
        <v>166289.248</v>
      </c>
      <c r="W41" s="0" t="n">
        <v>197.503</v>
      </c>
      <c r="X41" s="0" t="n">
        <v>535.738</v>
      </c>
      <c r="Y41" s="0" t="n">
        <v>61.492</v>
      </c>
      <c r="Z41" s="0" t="n">
        <v>655.535</v>
      </c>
      <c r="AA41" s="0" t="n">
        <f aca="false">H41*x_c_F+I41*x_c_CC+J41*x_c_DC+K41*x_c_HCC+L41*x_c_PLT+M41*x_c_SVRn+N41*x_c_SVRcc+O41*x_c_LT+P41*x_c_LT1</f>
        <v>293486434.108814</v>
      </c>
      <c r="AB41" s="0" t="n">
        <f aca="false">C41*x_c_DAA</f>
        <v>109976320</v>
      </c>
      <c r="AC41" s="0" t="n">
        <f aca="false">C41*x_c_MON</f>
        <v>27857107.6100244</v>
      </c>
      <c r="AD41" s="0" t="n">
        <f aca="false">D41*(1-x_testy)</f>
        <v>0</v>
      </c>
      <c r="AE41" s="0" t="n">
        <f aca="false">E41*(1-x_testy)</f>
        <v>0</v>
      </c>
      <c r="AF41" s="0" t="n">
        <f aca="false">F41*x_NAV</f>
        <v>0</v>
      </c>
      <c r="AG41" s="0" t="n">
        <f aca="false">G41*x_FIX*(1-x_testy)</f>
        <v>0</v>
      </c>
      <c r="AH41" s="0" t="n">
        <f aca="false">x_z_F*U41+(1-x_AGRI)*x_EMP*x_WLOSS*(x_PEN_K74*Q41+x_PEN_C22*R41)</f>
        <v>14284328.6150258</v>
      </c>
      <c r="AI41" s="0" t="n">
        <f aca="false">x_AGRI*x_EMP*x_WLOSS*(x_PEN_K74*Q41+x_PEN_C22*R41)</f>
        <v>692842.208871341</v>
      </c>
      <c r="AJ41" s="0" t="n">
        <f aca="false">x_EMP*x_WAGE*(x_WLOSS*(Q41+R41)+S41)+U41*x_ABS_D*x_WAGE/365</f>
        <v>285418508.342172</v>
      </c>
      <c r="AK41" s="0" t="n">
        <f aca="false">AJ41*x_R_FUS</f>
        <v>90306416.0394633</v>
      </c>
      <c r="AL41" s="0" t="n">
        <f aca="false">AJ41*x_R_NFZ</f>
        <v>22165886.7763614</v>
      </c>
      <c r="AM41" s="0" t="n">
        <f aca="false">AJ41*x_R_PIT</f>
        <v>18975813.7272212</v>
      </c>
      <c r="AN41" s="0" t="n">
        <f aca="false">AJ41*x_R_FP</f>
        <v>7278171.96272539</v>
      </c>
      <c r="AO41" s="0" t="n">
        <f aca="false">AA41+AB41+AC41+AD41+AF41</f>
        <v>431319861.718839</v>
      </c>
      <c r="AP41" s="0" t="n">
        <f aca="false">AO41+AE41+AG41+AH41+AI41+AK41+AL41+AM41+AN41</f>
        <v>585023321.048507</v>
      </c>
      <c r="AQ41" s="0" t="n">
        <f aca="false">AO41+AE41+AG41+AJ41</f>
        <v>716738370.061011</v>
      </c>
      <c r="AR41" s="0" t="n">
        <f aca="false">AB41+AC41+AD41+AF41</f>
        <v>137833427.610024</v>
      </c>
      <c r="AS41" s="0" t="n">
        <f aca="false">AR41+AE41+AG41</f>
        <v>137833427.610024</v>
      </c>
    </row>
    <row r="42" customFormat="false" ht="15" hidden="false" customHeight="false" outlineLevel="0" collapsed="false">
      <c r="A42" s="0" t="n">
        <v>2065</v>
      </c>
      <c r="B42" s="0" t="n">
        <v>39</v>
      </c>
      <c r="C42" s="0" t="n">
        <v>4832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2271.536</v>
      </c>
      <c r="I42" s="0" t="n">
        <v>205.001</v>
      </c>
      <c r="J42" s="0" t="n">
        <v>1072.439</v>
      </c>
      <c r="K42" s="0" t="n">
        <v>1834.383</v>
      </c>
      <c r="L42" s="0" t="n">
        <v>764.962</v>
      </c>
      <c r="M42" s="0" t="n">
        <v>128333.631</v>
      </c>
      <c r="N42" s="0" t="n">
        <v>8113.763</v>
      </c>
      <c r="O42" s="0" t="n">
        <v>60.552</v>
      </c>
      <c r="P42" s="0" t="n">
        <v>61.022</v>
      </c>
      <c r="Q42" s="0" t="n">
        <v>646.989</v>
      </c>
      <c r="R42" s="0" t="n">
        <v>953.153</v>
      </c>
      <c r="S42" s="0" t="n">
        <v>2649.334</v>
      </c>
      <c r="T42" s="0" t="n">
        <v>2476.538</v>
      </c>
      <c r="U42" s="0" t="n">
        <v>1848.483</v>
      </c>
      <c r="V42" s="0" t="n">
        <v>167520.34</v>
      </c>
      <c r="W42" s="0" t="n">
        <v>195.33</v>
      </c>
      <c r="X42" s="0" t="n">
        <v>530.058</v>
      </c>
      <c r="Y42" s="0" t="n">
        <v>60.552</v>
      </c>
      <c r="Z42" s="0" t="n">
        <v>645.886</v>
      </c>
      <c r="AA42" s="0" t="n">
        <f aca="false">H42*x_c_F+I42*x_c_CC+J42*x_c_DC+K42*x_c_HCC+L42*x_c_PLT+M42*x_c_SVRn+N42*x_c_SVRcc+O42*x_c_LT+P42*x_c_LT1</f>
        <v>291361711.939967</v>
      </c>
      <c r="AB42" s="0" t="n">
        <f aca="false">C42*x_c_DAA</f>
        <v>109976320</v>
      </c>
      <c r="AC42" s="0" t="n">
        <f aca="false">C42*x_c_MON</f>
        <v>27857107.6100244</v>
      </c>
      <c r="AD42" s="0" t="n">
        <f aca="false">D42*(1-x_testy)</f>
        <v>0</v>
      </c>
      <c r="AE42" s="0" t="n">
        <f aca="false">E42*(1-x_testy)</f>
        <v>0</v>
      </c>
      <c r="AF42" s="0" t="n">
        <f aca="false">F42*x_NAV</f>
        <v>0</v>
      </c>
      <c r="AG42" s="0" t="n">
        <f aca="false">G42*x_FIX*(1-x_testy)</f>
        <v>0</v>
      </c>
      <c r="AH42" s="0" t="n">
        <f aca="false">x_z_F*U42+(1-x_AGRI)*x_EMP*x_WLOSS*(x_PEN_K74*Q42+x_PEN_C22*R42)</f>
        <v>14207621.851787</v>
      </c>
      <c r="AI42" s="0" t="n">
        <f aca="false">x_AGRI*x_EMP*x_WLOSS*(x_PEN_K74*Q42+x_PEN_C22*R42)</f>
        <v>687903.446082781</v>
      </c>
      <c r="AJ42" s="0" t="n">
        <f aca="false">x_EMP*x_WAGE*(x_WLOSS*(Q42+R42)+S42)+U42*x_ABS_D*x_WAGE/365</f>
        <v>283688295.473752</v>
      </c>
      <c r="AK42" s="0" t="n">
        <f aca="false">AJ42*x_R_FUS</f>
        <v>89758976.6878951</v>
      </c>
      <c r="AL42" s="0" t="n">
        <f aca="false">AJ42*x_R_NFZ</f>
        <v>22031516.714787</v>
      </c>
      <c r="AM42" s="0" t="n">
        <f aca="false">AJ42*x_R_PIT</f>
        <v>18860781.9540881</v>
      </c>
      <c r="AN42" s="0" t="n">
        <f aca="false">AJ42*x_R_FP</f>
        <v>7234051.53458067</v>
      </c>
      <c r="AO42" s="0" t="n">
        <f aca="false">AA42+AB42+AC42+AD42+AF42</f>
        <v>429195139.549991</v>
      </c>
      <c r="AP42" s="0" t="n">
        <f aca="false">AO42+AE42+AG42+AH42+AI42+AK42+AL42+AM42+AN42</f>
        <v>581975991.739212</v>
      </c>
      <c r="AQ42" s="0" t="n">
        <f aca="false">AO42+AE42+AG42+AJ42</f>
        <v>712883435.023743</v>
      </c>
      <c r="AR42" s="0" t="n">
        <f aca="false">AB42+AC42+AD42+AF42</f>
        <v>137833427.610024</v>
      </c>
      <c r="AS42" s="0" t="n">
        <f aca="false">AR42+AE42+AG42</f>
        <v>137833427.610024</v>
      </c>
    </row>
    <row r="43" customFormat="false" ht="15" hidden="false" customHeight="false" outlineLevel="0" collapsed="false">
      <c r="A43" s="0" t="n">
        <v>2066</v>
      </c>
      <c r="B43" s="0" t="n">
        <v>40</v>
      </c>
      <c r="C43" s="0" t="n">
        <v>4832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2272.41</v>
      </c>
      <c r="I43" s="0" t="n">
        <v>203.748</v>
      </c>
      <c r="J43" s="0" t="n">
        <v>1057.164</v>
      </c>
      <c r="K43" s="0" t="n">
        <v>1813.261</v>
      </c>
      <c r="L43" s="0" t="n">
        <v>740.324</v>
      </c>
      <c r="M43" s="0" t="n">
        <v>130293.743</v>
      </c>
      <c r="N43" s="0" t="n">
        <v>8012.361</v>
      </c>
      <c r="O43" s="0" t="n">
        <v>59.744</v>
      </c>
      <c r="P43" s="0" t="n">
        <v>60.148</v>
      </c>
      <c r="Q43" s="0" t="n">
        <v>642.366</v>
      </c>
      <c r="R43" s="0" t="n">
        <v>946.288</v>
      </c>
      <c r="S43" s="0" t="n">
        <v>2633.027</v>
      </c>
      <c r="T43" s="0" t="n">
        <v>2476.158</v>
      </c>
      <c r="U43" s="0" t="n">
        <v>1847.305</v>
      </c>
      <c r="V43" s="0" t="n">
        <v>168754.334</v>
      </c>
      <c r="W43" s="0" t="n">
        <v>193.477</v>
      </c>
      <c r="X43" s="0" t="n">
        <v>525.156</v>
      </c>
      <c r="Y43" s="0" t="n">
        <v>59.744</v>
      </c>
      <c r="Z43" s="0" t="n">
        <v>637.504</v>
      </c>
      <c r="AA43" s="0" t="n">
        <f aca="false">H43*x_c_F+I43*x_c_CC+J43*x_c_DC+K43*x_c_HCC+L43*x_c_PLT+M43*x_c_SVRn+N43*x_c_SVRcc+O43*x_c_LT+P43*x_c_LT1</f>
        <v>289574793.223886</v>
      </c>
      <c r="AB43" s="0" t="n">
        <f aca="false">C43*x_c_DAA</f>
        <v>109976320</v>
      </c>
      <c r="AC43" s="0" t="n">
        <f aca="false">C43*x_c_MON</f>
        <v>27857107.6100244</v>
      </c>
      <c r="AD43" s="0" t="n">
        <f aca="false">D43*(1-x_testy)</f>
        <v>0</v>
      </c>
      <c r="AE43" s="0" t="n">
        <f aca="false">E43*(1-x_testy)</f>
        <v>0</v>
      </c>
      <c r="AF43" s="0" t="n">
        <f aca="false">F43*x_NAV</f>
        <v>0</v>
      </c>
      <c r="AG43" s="0" t="n">
        <f aca="false">G43*x_FIX*(1-x_testy)</f>
        <v>0</v>
      </c>
      <c r="AH43" s="0" t="n">
        <f aca="false">x_z_F*U43+(1-x_AGRI)*x_EMP*x_WLOSS*(x_PEN_K74*Q43+x_PEN_C22*R43)</f>
        <v>14130464.0815481</v>
      </c>
      <c r="AI43" s="0" t="n">
        <f aca="false">x_AGRI*x_EMP*x_WLOSS*(x_PEN_K74*Q43+x_PEN_C22*R43)</f>
        <v>682963.545699676</v>
      </c>
      <c r="AJ43" s="0" t="n">
        <f aca="false">x_EMP*x_WAGE*(x_WLOSS*(Q43+R43)+S43)+U43*x_ABS_D*x_WAGE/365</f>
        <v>281918472.902464</v>
      </c>
      <c r="AK43" s="0" t="n">
        <f aca="false">AJ43*x_R_FUS</f>
        <v>89199004.8263396</v>
      </c>
      <c r="AL43" s="0" t="n">
        <f aca="false">AJ43*x_R_NFZ</f>
        <v>21894070.5240783</v>
      </c>
      <c r="AM43" s="0" t="n">
        <f aca="false">AJ43*x_R_PIT</f>
        <v>18743116.7625837</v>
      </c>
      <c r="AN43" s="0" t="n">
        <f aca="false">AJ43*x_R_FP</f>
        <v>7188921.05901283</v>
      </c>
      <c r="AO43" s="0" t="n">
        <f aca="false">AA43+AB43+AC43+AD43+AF43</f>
        <v>427408220.83391</v>
      </c>
      <c r="AP43" s="0" t="n">
        <f aca="false">AO43+AE43+AG43+AH43+AI43+AK43+AL43+AM43+AN43</f>
        <v>579246761.633172</v>
      </c>
      <c r="AQ43" s="0" t="n">
        <f aca="false">AO43+AE43+AG43+AJ43</f>
        <v>709326693.736374</v>
      </c>
      <c r="AR43" s="0" t="n">
        <f aca="false">AB43+AC43+AD43+AF43</f>
        <v>137833427.610024</v>
      </c>
      <c r="AS43" s="0" t="n">
        <f aca="false">AR43+AE43+AG43</f>
        <v>137833427.610024</v>
      </c>
    </row>
    <row r="44" customFormat="false" ht="15" hidden="false" customHeight="false" outlineLevel="0" collapsed="false">
      <c r="A44" s="0" t="n">
        <v>2067</v>
      </c>
      <c r="B44" s="0" t="n">
        <v>41</v>
      </c>
      <c r="C44" s="0" t="n">
        <v>4832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2273.052</v>
      </c>
      <c r="I44" s="0" t="n">
        <v>202.754</v>
      </c>
      <c r="J44" s="0" t="n">
        <v>1044.205</v>
      </c>
      <c r="K44" s="0" t="n">
        <v>1795.257</v>
      </c>
      <c r="L44" s="0" t="n">
        <v>717.755</v>
      </c>
      <c r="M44" s="0" t="n">
        <v>132245.345</v>
      </c>
      <c r="N44" s="0" t="n">
        <v>7920.971</v>
      </c>
      <c r="O44" s="0" t="n">
        <v>59.068</v>
      </c>
      <c r="P44" s="0" t="n">
        <v>59.406</v>
      </c>
      <c r="Q44" s="0" t="n">
        <v>637.697</v>
      </c>
      <c r="R44" s="0" t="n">
        <v>939.436</v>
      </c>
      <c r="S44" s="0" t="n">
        <v>2616.116</v>
      </c>
      <c r="T44" s="0" t="n">
        <v>2475.806</v>
      </c>
      <c r="U44" s="0" t="n">
        <v>1845.957</v>
      </c>
      <c r="V44" s="0" t="n">
        <v>170004.512</v>
      </c>
      <c r="W44" s="0" t="n">
        <v>191.923</v>
      </c>
      <c r="X44" s="0" t="n">
        <v>520.999</v>
      </c>
      <c r="Y44" s="0" t="n">
        <v>59.068</v>
      </c>
      <c r="Z44" s="0" t="n">
        <v>630.395</v>
      </c>
      <c r="AA44" s="0" t="n">
        <f aca="false">H44*x_c_F+I44*x_c_CC+J44*x_c_DC+K44*x_c_HCC+L44*x_c_PLT+M44*x_c_SVRn+N44*x_c_SVRcc+O44*x_c_LT+P44*x_c_LT1</f>
        <v>288165984.641768</v>
      </c>
      <c r="AB44" s="0" t="n">
        <f aca="false">C44*x_c_DAA</f>
        <v>109976320</v>
      </c>
      <c r="AC44" s="0" t="n">
        <f aca="false">C44*x_c_MON</f>
        <v>27857107.6100244</v>
      </c>
      <c r="AD44" s="0" t="n">
        <f aca="false">D44*(1-x_testy)</f>
        <v>0</v>
      </c>
      <c r="AE44" s="0" t="n">
        <f aca="false">E44*(1-x_testy)</f>
        <v>0</v>
      </c>
      <c r="AF44" s="0" t="n">
        <f aca="false">F44*x_NAV</f>
        <v>0</v>
      </c>
      <c r="AG44" s="0" t="n">
        <f aca="false">G44*x_FIX*(1-x_testy)</f>
        <v>0</v>
      </c>
      <c r="AH44" s="0" t="n">
        <f aca="false">x_z_F*U44+(1-x_AGRI)*x_EMP*x_WLOSS*(x_PEN_K74*Q44+x_PEN_C22*R44)</f>
        <v>14052768.9819025</v>
      </c>
      <c r="AI44" s="0" t="n">
        <f aca="false">x_AGRI*x_EMP*x_WLOSS*(x_PEN_K74*Q44+x_PEN_C22*R44)</f>
        <v>678011.230425843</v>
      </c>
      <c r="AJ44" s="0" t="n">
        <f aca="false">x_EMP*x_WAGE*(x_WLOSS*(Q44+R44)+S44)+U44*x_ABS_D*x_WAGE/365</f>
        <v>280095573.497907</v>
      </c>
      <c r="AK44" s="0" t="n">
        <f aca="false">AJ44*x_R_FUS</f>
        <v>88622239.4547376</v>
      </c>
      <c r="AL44" s="0" t="n">
        <f aca="false">AJ44*x_R_NFZ</f>
        <v>21752502.3334209</v>
      </c>
      <c r="AM44" s="0" t="n">
        <f aca="false">AJ44*x_R_PIT</f>
        <v>18621922.801669</v>
      </c>
      <c r="AN44" s="0" t="n">
        <f aca="false">AJ44*x_R_FP</f>
        <v>7142437.12419662</v>
      </c>
      <c r="AO44" s="0" t="n">
        <f aca="false">AA44+AB44+AC44+AD44+AF44</f>
        <v>425999412.251792</v>
      </c>
      <c r="AP44" s="0" t="n">
        <f aca="false">AO44+AE44+AG44+AH44+AI44+AK44+AL44+AM44+AN44</f>
        <v>576869294.178145</v>
      </c>
      <c r="AQ44" s="0" t="n">
        <f aca="false">AO44+AE44+AG44+AJ44</f>
        <v>706094985.749699</v>
      </c>
      <c r="AR44" s="0" t="n">
        <f aca="false">AB44+AC44+AD44+AF44</f>
        <v>137833427.610024</v>
      </c>
      <c r="AS44" s="0" t="n">
        <f aca="false">AR44+AE44+AG44</f>
        <v>137833427.610024</v>
      </c>
    </row>
    <row r="45" customFormat="false" ht="15" hidden="false" customHeight="false" outlineLevel="0" collapsed="false">
      <c r="A45" s="0" t="n">
        <v>2068</v>
      </c>
      <c r="B45" s="0" t="n">
        <v>42</v>
      </c>
      <c r="C45" s="0" t="n">
        <v>4832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2273.505</v>
      </c>
      <c r="I45" s="0" t="n">
        <v>201.971</v>
      </c>
      <c r="J45" s="0" t="n">
        <v>1033.487</v>
      </c>
      <c r="K45" s="0" t="n">
        <v>1780.238</v>
      </c>
      <c r="L45" s="0" t="n">
        <v>697.595</v>
      </c>
      <c r="M45" s="0" t="n">
        <v>134199.895</v>
      </c>
      <c r="N45" s="0" t="n">
        <v>7842.54</v>
      </c>
      <c r="O45" s="0" t="n">
        <v>58.517</v>
      </c>
      <c r="P45" s="0" t="n">
        <v>58.792</v>
      </c>
      <c r="Q45" s="0" t="n">
        <v>632.963</v>
      </c>
      <c r="R45" s="0" t="n">
        <v>932.583</v>
      </c>
      <c r="S45" s="0" t="n">
        <v>2598.442</v>
      </c>
      <c r="T45" s="0" t="n">
        <v>2475.476</v>
      </c>
      <c r="U45" s="0" t="n">
        <v>1844.497</v>
      </c>
      <c r="V45" s="0" t="n">
        <v>171279.673</v>
      </c>
      <c r="W45" s="0" t="n">
        <v>190.633</v>
      </c>
      <c r="X45" s="0" t="n">
        <v>517.516</v>
      </c>
      <c r="Y45" s="0" t="n">
        <v>58.517</v>
      </c>
      <c r="Z45" s="0" t="n">
        <v>624.512</v>
      </c>
      <c r="AA45" s="0" t="n">
        <f aca="false">H45*x_c_F+I45*x_c_CC+J45*x_c_DC+K45*x_c_HCC+L45*x_c_PLT+M45*x_c_SVRn+N45*x_c_SVRcc+O45*x_c_LT+P45*x_c_LT1</f>
        <v>287148741.771607</v>
      </c>
      <c r="AB45" s="0" t="n">
        <f aca="false">C45*x_c_DAA</f>
        <v>109976320</v>
      </c>
      <c r="AC45" s="0" t="n">
        <f aca="false">C45*x_c_MON</f>
        <v>27857107.6100244</v>
      </c>
      <c r="AD45" s="0" t="n">
        <f aca="false">D45*(1-x_testy)</f>
        <v>0</v>
      </c>
      <c r="AE45" s="0" t="n">
        <f aca="false">E45*(1-x_testy)</f>
        <v>0</v>
      </c>
      <c r="AF45" s="0" t="n">
        <f aca="false">F45*x_NAV</f>
        <v>0</v>
      </c>
      <c r="AG45" s="0" t="n">
        <f aca="false">G45*x_FIX*(1-x_testy)</f>
        <v>0</v>
      </c>
      <c r="AH45" s="0" t="n">
        <f aca="false">x_z_F*U45+(1-x_AGRI)*x_EMP*x_WLOSS*(x_PEN_K74*Q45+x_PEN_C22*R45)</f>
        <v>13974445.8072177</v>
      </c>
      <c r="AI45" s="0" t="n">
        <f aca="false">x_AGRI*x_EMP*x_WLOSS*(x_PEN_K74*Q45+x_PEN_C22*R45)</f>
        <v>673032.620443157</v>
      </c>
      <c r="AJ45" s="0" t="n">
        <f aca="false">x_EMP*x_WAGE*(x_WLOSS*(Q45+R45)+S45)+U45*x_ABS_D*x_WAGE/365</f>
        <v>278205131.071497</v>
      </c>
      <c r="AK45" s="0" t="n">
        <f aca="false">AJ45*x_R_FUS</f>
        <v>88024103.4710217</v>
      </c>
      <c r="AL45" s="0" t="n">
        <f aca="false">AJ45*x_R_NFZ</f>
        <v>21605688.6841435</v>
      </c>
      <c r="AM45" s="0" t="n">
        <f aca="false">AJ45*x_R_PIT</f>
        <v>18496238.2987475</v>
      </c>
      <c r="AN45" s="0" t="n">
        <f aca="false">AJ45*x_R_FP</f>
        <v>7094230.84232318</v>
      </c>
      <c r="AO45" s="0" t="n">
        <f aca="false">AA45+AB45+AC45+AD45+AF45</f>
        <v>424982169.381631</v>
      </c>
      <c r="AP45" s="0" t="n">
        <f aca="false">AO45+AE45+AG45+AH45+AI45+AK45+AL45+AM45+AN45</f>
        <v>574849909.105528</v>
      </c>
      <c r="AQ45" s="0" t="n">
        <f aca="false">AO45+AE45+AG45+AJ45</f>
        <v>703187300.453128</v>
      </c>
      <c r="AR45" s="0" t="n">
        <f aca="false">AB45+AC45+AD45+AF45</f>
        <v>137833427.610024</v>
      </c>
      <c r="AS45" s="0" t="n">
        <f aca="false">AR45+AE45+AG45</f>
        <v>137833427.610024</v>
      </c>
    </row>
    <row r="46" customFormat="false" ht="15" hidden="false" customHeight="false" outlineLevel="0" collapsed="false">
      <c r="A46" s="0" t="n">
        <v>2069</v>
      </c>
      <c r="B46" s="0" t="n">
        <v>43</v>
      </c>
      <c r="C46" s="0" t="n">
        <v>4832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2273.821</v>
      </c>
      <c r="I46" s="0" t="n">
        <v>201.343</v>
      </c>
      <c r="J46" s="0" t="n">
        <v>1024.824</v>
      </c>
      <c r="K46" s="0" t="n">
        <v>1767.933</v>
      </c>
      <c r="L46" s="0" t="n">
        <v>680.042</v>
      </c>
      <c r="M46" s="0" t="n">
        <v>136164.939</v>
      </c>
      <c r="N46" s="0" t="n">
        <v>7778.914</v>
      </c>
      <c r="O46" s="0" t="n">
        <v>58.078</v>
      </c>
      <c r="P46" s="0" t="n">
        <v>58.297</v>
      </c>
      <c r="Q46" s="0" t="n">
        <v>628.147</v>
      </c>
      <c r="R46" s="0" t="n">
        <v>925.72</v>
      </c>
      <c r="S46" s="0" t="n">
        <v>2579.834</v>
      </c>
      <c r="T46" s="0" t="n">
        <v>2475.164</v>
      </c>
      <c r="U46" s="0" t="n">
        <v>1842.988</v>
      </c>
      <c r="V46" s="0" t="n">
        <v>172584.489</v>
      </c>
      <c r="W46" s="0" t="n">
        <v>189.559</v>
      </c>
      <c r="X46" s="0" t="n">
        <v>514.605</v>
      </c>
      <c r="Y46" s="0" t="n">
        <v>58.078</v>
      </c>
      <c r="Z46" s="0" t="n">
        <v>619.739</v>
      </c>
      <c r="AA46" s="0" t="n">
        <f aca="false">H46*x_c_F+I46*x_c_CC+J46*x_c_DC+K46*x_c_HCC+L46*x_c_PLT+M46*x_c_SVRn+N46*x_c_SVRcc+O46*x_c_LT+P46*x_c_LT1</f>
        <v>286513601.339835</v>
      </c>
      <c r="AB46" s="0" t="n">
        <f aca="false">C46*x_c_DAA</f>
        <v>109976320</v>
      </c>
      <c r="AC46" s="0" t="n">
        <f aca="false">C46*x_c_MON</f>
        <v>27857107.6100244</v>
      </c>
      <c r="AD46" s="0" t="n">
        <f aca="false">D46*(1-x_testy)</f>
        <v>0</v>
      </c>
      <c r="AE46" s="0" t="n">
        <f aca="false">E46*(1-x_testy)</f>
        <v>0</v>
      </c>
      <c r="AF46" s="0" t="n">
        <f aca="false">F46*x_NAV</f>
        <v>0</v>
      </c>
      <c r="AG46" s="0" t="n">
        <f aca="false">G46*x_FIX*(1-x_testy)</f>
        <v>0</v>
      </c>
      <c r="AH46" s="0" t="n">
        <f aca="false">x_z_F*U46+(1-x_AGRI)*x_EMP*x_WLOSS*(x_PEN_K74*Q46+x_PEN_C22*R46)</f>
        <v>13895460.3009221</v>
      </c>
      <c r="AI46" s="0" t="n">
        <f aca="false">x_AGRI*x_EMP*x_WLOSS*(x_PEN_K74*Q46+x_PEN_C22*R46)</f>
        <v>668016.890294615</v>
      </c>
      <c r="AJ46" s="0" t="n">
        <f aca="false">x_EMP*x_WAGE*(x_WLOSS*(Q46+R46)+S46)+U46*x_ABS_D*x_WAGE/365</f>
        <v>276231900.116265</v>
      </c>
      <c r="AK46" s="0" t="n">
        <f aca="false">AJ46*x_R_FUS</f>
        <v>87399773.1967863</v>
      </c>
      <c r="AL46" s="0" t="n">
        <f aca="false">AJ46*x_R_NFZ</f>
        <v>21452445.5949293</v>
      </c>
      <c r="AM46" s="0" t="n">
        <f aca="false">AJ46*x_R_PIT</f>
        <v>18365049.6688834</v>
      </c>
      <c r="AN46" s="0" t="n">
        <f aca="false">AJ46*x_R_FP</f>
        <v>7043913.45296476</v>
      </c>
      <c r="AO46" s="0" t="n">
        <f aca="false">AA46+AB46+AC46+AD46+AF46</f>
        <v>424347028.949859</v>
      </c>
      <c r="AP46" s="0" t="n">
        <f aca="false">AO46+AE46+AG46+AH46+AI46+AK46+AL46+AM46+AN46</f>
        <v>573171688.05464</v>
      </c>
      <c r="AQ46" s="0" t="n">
        <f aca="false">AO46+AE46+AG46+AJ46</f>
        <v>700578929.066124</v>
      </c>
      <c r="AR46" s="0" t="n">
        <f aca="false">AB46+AC46+AD46+AF46</f>
        <v>137833427.610024</v>
      </c>
      <c r="AS46" s="0" t="n">
        <f aca="false">AR46+AE46+AG46</f>
        <v>137833427.610024</v>
      </c>
    </row>
    <row r="47" customFormat="false" ht="15" hidden="false" customHeight="false" outlineLevel="0" collapsed="false">
      <c r="A47" s="0" t="n">
        <v>2070</v>
      </c>
      <c r="B47" s="0" t="n">
        <v>44</v>
      </c>
      <c r="C47" s="0" t="n">
        <v>4832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2274.053</v>
      </c>
      <c r="I47" s="0" t="n">
        <v>200.813</v>
      </c>
      <c r="J47" s="0" t="n">
        <v>1017.944</v>
      </c>
      <c r="K47" s="0" t="n">
        <v>1757.947</v>
      </c>
      <c r="L47" s="0" t="n">
        <v>665.144</v>
      </c>
      <c r="M47" s="0" t="n">
        <v>138143.209</v>
      </c>
      <c r="N47" s="0" t="n">
        <v>7730.718</v>
      </c>
      <c r="O47" s="0" t="n">
        <v>57.734</v>
      </c>
      <c r="P47" s="0" t="n">
        <v>57.906</v>
      </c>
      <c r="Q47" s="0" t="n">
        <v>623.418</v>
      </c>
      <c r="R47" s="0" t="n">
        <v>919.038</v>
      </c>
      <c r="S47" s="0" t="n">
        <v>2561.233</v>
      </c>
      <c r="T47" s="0" t="n">
        <v>2474.866</v>
      </c>
      <c r="U47" s="0" t="n">
        <v>1841.544</v>
      </c>
      <c r="V47" s="0" t="n">
        <v>173918.876</v>
      </c>
      <c r="W47" s="0" t="n">
        <v>188.649</v>
      </c>
      <c r="X47" s="0" t="n">
        <v>512.146</v>
      </c>
      <c r="Y47" s="0" t="n">
        <v>57.734</v>
      </c>
      <c r="Z47" s="0" t="n">
        <v>615.922</v>
      </c>
      <c r="AA47" s="0" t="n">
        <f aca="false">H47*x_c_F+I47*x_c_CC+J47*x_c_DC+K47*x_c_HCC+L47*x_c_PLT+M47*x_c_SVRn+N47*x_c_SVRcc+O47*x_c_LT+P47*x_c_LT1</f>
        <v>286229030.054705</v>
      </c>
      <c r="AB47" s="0" t="n">
        <f aca="false">C47*x_c_DAA</f>
        <v>109976320</v>
      </c>
      <c r="AC47" s="0" t="n">
        <f aca="false">C47*x_c_MON</f>
        <v>27857107.6100244</v>
      </c>
      <c r="AD47" s="0" t="n">
        <f aca="false">D47*(1-x_testy)</f>
        <v>0</v>
      </c>
      <c r="AE47" s="0" t="n">
        <f aca="false">E47*(1-x_testy)</f>
        <v>0</v>
      </c>
      <c r="AF47" s="0" t="n">
        <f aca="false">F47*x_NAV</f>
        <v>0</v>
      </c>
      <c r="AG47" s="0" t="n">
        <f aca="false">G47*x_FIX*(1-x_testy)</f>
        <v>0</v>
      </c>
      <c r="AH47" s="0" t="n">
        <f aca="false">x_z_F*U47+(1-x_AGRI)*x_EMP*x_WLOSS*(x_PEN_K74*Q47+x_PEN_C22*R47)</f>
        <v>13818369.0330551</v>
      </c>
      <c r="AI47" s="0" t="n">
        <f aca="false">x_AGRI*x_EMP*x_WLOSS*(x_PEN_K74*Q47+x_PEN_C22*R47)</f>
        <v>663117.532724878</v>
      </c>
      <c r="AJ47" s="0" t="n">
        <f aca="false">x_EMP*x_WAGE*(x_WLOSS*(Q47+R47)+S47)+U47*x_ABS_D*x_WAGE/365</f>
        <v>274268228.957859</v>
      </c>
      <c r="AK47" s="0" t="n">
        <f aca="false">AJ47*x_R_FUS</f>
        <v>86778467.6422666</v>
      </c>
      <c r="AL47" s="0" t="n">
        <f aca="false">AJ47*x_R_NFZ</f>
        <v>21299944.9290963</v>
      </c>
      <c r="AM47" s="0" t="n">
        <f aca="false">AJ47*x_R_PIT</f>
        <v>18234496.6142134</v>
      </c>
      <c r="AN47" s="0" t="n">
        <f aca="false">AJ47*x_R_FP</f>
        <v>6993839.83842541</v>
      </c>
      <c r="AO47" s="0" t="n">
        <f aca="false">AA47+AB47+AC47+AD47+AF47</f>
        <v>424062457.664729</v>
      </c>
      <c r="AP47" s="0" t="n">
        <f aca="false">AO47+AE47+AG47+AH47+AI47+AK47+AL47+AM47+AN47</f>
        <v>571850693.254511</v>
      </c>
      <c r="AQ47" s="0" t="n">
        <f aca="false">AO47+AE47+AG47+AJ47</f>
        <v>698330686.622588</v>
      </c>
      <c r="AR47" s="0" t="n">
        <f aca="false">AB47+AC47+AD47+AF47</f>
        <v>137833427.610024</v>
      </c>
      <c r="AS47" s="0" t="n">
        <f aca="false">AR47+AE47+AG47</f>
        <v>137833427.610024</v>
      </c>
    </row>
    <row r="48" customFormat="false" ht="15" hidden="false" customHeight="false" outlineLevel="0" collapsed="false">
      <c r="A48" s="0" t="n">
        <v>2071</v>
      </c>
      <c r="B48" s="0" t="n">
        <v>45</v>
      </c>
      <c r="C48" s="0" t="n">
        <v>4832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2274.248</v>
      </c>
      <c r="I48" s="0" t="n">
        <v>200.327</v>
      </c>
      <c r="J48" s="0" t="n">
        <v>1012.515</v>
      </c>
      <c r="K48" s="0" t="n">
        <v>1749.811</v>
      </c>
      <c r="L48" s="0" t="n">
        <v>652.807</v>
      </c>
      <c r="M48" s="0" t="n">
        <v>140132.616</v>
      </c>
      <c r="N48" s="0" t="n">
        <v>7697.441</v>
      </c>
      <c r="O48" s="0" t="n">
        <v>57.465</v>
      </c>
      <c r="P48" s="0" t="n">
        <v>57.599</v>
      </c>
      <c r="Q48" s="0" t="n">
        <v>618.953</v>
      </c>
      <c r="R48" s="0" t="n">
        <v>912.726</v>
      </c>
      <c r="S48" s="0" t="n">
        <v>2543.655</v>
      </c>
      <c r="T48" s="0" t="n">
        <v>2474.575</v>
      </c>
      <c r="U48" s="0" t="n">
        <v>1840.267</v>
      </c>
      <c r="V48" s="0" t="n">
        <v>175278.337</v>
      </c>
      <c r="W48" s="0" t="n">
        <v>187.85</v>
      </c>
      <c r="X48" s="0" t="n">
        <v>510.012</v>
      </c>
      <c r="Y48" s="0" t="n">
        <v>57.465</v>
      </c>
      <c r="Z48" s="0" t="n">
        <v>612.867</v>
      </c>
      <c r="AA48" s="0" t="n">
        <f aca="false">H48*x_c_F+I48*x_c_CC+J48*x_c_DC+K48*x_c_HCC+L48*x_c_PLT+M48*x_c_SVRn+N48*x_c_SVRcc+O48*x_c_LT+P48*x_c_LT1</f>
        <v>286245912.334835</v>
      </c>
      <c r="AB48" s="0" t="n">
        <f aca="false">C48*x_c_DAA</f>
        <v>109976320</v>
      </c>
      <c r="AC48" s="0" t="n">
        <f aca="false">C48*x_c_MON</f>
        <v>27857107.6100244</v>
      </c>
      <c r="AD48" s="0" t="n">
        <f aca="false">D48*(1-x_testy)</f>
        <v>0</v>
      </c>
      <c r="AE48" s="0" t="n">
        <f aca="false">E48*(1-x_testy)</f>
        <v>0</v>
      </c>
      <c r="AF48" s="0" t="n">
        <f aca="false">F48*x_NAV</f>
        <v>0</v>
      </c>
      <c r="AG48" s="0" t="n">
        <f aca="false">G48*x_FIX*(1-x_testy)</f>
        <v>0</v>
      </c>
      <c r="AH48" s="0" t="n">
        <f aca="false">x_z_F*U48+(1-x_AGRI)*x_EMP*x_WLOSS*(x_PEN_K74*Q48+x_PEN_C22*R48)</f>
        <v>13745738.3513188</v>
      </c>
      <c r="AI48" s="0" t="n">
        <f aca="false">x_AGRI*x_EMP*x_WLOSS*(x_PEN_K74*Q48+x_PEN_C22*R48)</f>
        <v>658490.31746113</v>
      </c>
      <c r="AJ48" s="0" t="n">
        <f aca="false">x_EMP*x_WAGE*(x_WLOSS*(Q48+R48)+S48)+U48*x_ABS_D*x_WAGE/365</f>
        <v>272413021.598976</v>
      </c>
      <c r="AK48" s="0" t="n">
        <f aca="false">AJ48*x_R_FUS</f>
        <v>86191480.0339159</v>
      </c>
      <c r="AL48" s="0" t="n">
        <f aca="false">AJ48*x_R_NFZ</f>
        <v>21155867.6703981</v>
      </c>
      <c r="AM48" s="0" t="n">
        <f aca="false">AJ48*x_R_PIT</f>
        <v>18111154.6856468</v>
      </c>
      <c r="AN48" s="0" t="n">
        <f aca="false">AJ48*x_R_FP</f>
        <v>6946532.05077388</v>
      </c>
      <c r="AO48" s="0" t="n">
        <f aca="false">AA48+AB48+AC48+AD48+AF48</f>
        <v>424079339.94486</v>
      </c>
      <c r="AP48" s="0" t="n">
        <f aca="false">AO48+AE48+AG48+AH48+AI48+AK48+AL48+AM48+AN48</f>
        <v>570888603.054374</v>
      </c>
      <c r="AQ48" s="0" t="n">
        <f aca="false">AO48+AE48+AG48+AJ48</f>
        <v>696492361.543836</v>
      </c>
      <c r="AR48" s="0" t="n">
        <f aca="false">AB48+AC48+AD48+AF48</f>
        <v>137833427.610024</v>
      </c>
      <c r="AS48" s="0" t="n">
        <f aca="false">AR48+AE48+AG48</f>
        <v>137833427.610024</v>
      </c>
    </row>
    <row r="49" customFormat="false" ht="15" hidden="false" customHeight="false" outlineLevel="0" collapsed="false">
      <c r="A49" s="0" t="n">
        <v>2072</v>
      </c>
      <c r="B49" s="0" t="n">
        <v>46</v>
      </c>
      <c r="C49" s="0" t="n">
        <v>4832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2274.448</v>
      </c>
      <c r="I49" s="0" t="n">
        <v>199.84</v>
      </c>
      <c r="J49" s="0" t="n">
        <v>1008.183</v>
      </c>
      <c r="K49" s="0" t="n">
        <v>1743.038</v>
      </c>
      <c r="L49" s="0" t="n">
        <v>642.834</v>
      </c>
      <c r="M49" s="0" t="n">
        <v>142127.351</v>
      </c>
      <c r="N49" s="0" t="n">
        <v>7677.746</v>
      </c>
      <c r="O49" s="0" t="n">
        <v>57.251</v>
      </c>
      <c r="P49" s="0" t="n">
        <v>57.358</v>
      </c>
      <c r="Q49" s="0" t="n">
        <v>614.739</v>
      </c>
      <c r="R49" s="0" t="n">
        <v>906.769</v>
      </c>
      <c r="S49" s="0" t="n">
        <v>2527.077</v>
      </c>
      <c r="T49" s="0" t="n">
        <v>2474.288</v>
      </c>
      <c r="U49" s="0" t="n">
        <v>1839.194</v>
      </c>
      <c r="V49" s="0" t="n">
        <v>176655.244</v>
      </c>
      <c r="W49" s="0" t="n">
        <v>187.115</v>
      </c>
      <c r="X49" s="0" t="n">
        <v>508.086</v>
      </c>
      <c r="Y49" s="0" t="n">
        <v>57.251</v>
      </c>
      <c r="Z49" s="0" t="n">
        <v>610.387</v>
      </c>
      <c r="AA49" s="0" t="n">
        <f aca="false">H49*x_c_F+I49*x_c_CC+J49*x_c_DC+K49*x_c_HCC+L49*x_c_PLT+M49*x_c_SVRn+N49*x_c_SVRcc+O49*x_c_LT+P49*x_c_LT1</f>
        <v>286505917.72648</v>
      </c>
      <c r="AB49" s="0" t="n">
        <f aca="false">C49*x_c_DAA</f>
        <v>109976320</v>
      </c>
      <c r="AC49" s="0" t="n">
        <f aca="false">C49*x_c_MON</f>
        <v>27857107.6100244</v>
      </c>
      <c r="AD49" s="0" t="n">
        <f aca="false">D49*(1-x_testy)</f>
        <v>0</v>
      </c>
      <c r="AE49" s="0" t="n">
        <f aca="false">E49*(1-x_testy)</f>
        <v>0</v>
      </c>
      <c r="AF49" s="0" t="n">
        <f aca="false">F49*x_NAV</f>
        <v>0</v>
      </c>
      <c r="AG49" s="0" t="n">
        <f aca="false">G49*x_FIX*(1-x_testy)</f>
        <v>0</v>
      </c>
      <c r="AH49" s="0" t="n">
        <f aca="false">x_z_F*U49+(1-x_AGRI)*x_EMP*x_WLOSS*(x_PEN_K74*Q49+x_PEN_C22*R49)</f>
        <v>13677463.5903929</v>
      </c>
      <c r="AI49" s="0" t="n">
        <f aca="false">x_AGRI*x_EMP*x_WLOSS*(x_PEN_K74*Q49+x_PEN_C22*R49)</f>
        <v>654123.298341725</v>
      </c>
      <c r="AJ49" s="0" t="n">
        <f aca="false">x_EMP*x_WAGE*(x_WLOSS*(Q49+R49)+S49)+U49*x_ABS_D*x_WAGE/365</f>
        <v>270663509.249936</v>
      </c>
      <c r="AK49" s="0" t="n">
        <f aca="false">AJ49*x_R_FUS</f>
        <v>85637934.3266796</v>
      </c>
      <c r="AL49" s="0" t="n">
        <f aca="false">AJ49*x_R_NFZ</f>
        <v>21019998.7918592</v>
      </c>
      <c r="AM49" s="0" t="n">
        <f aca="false">AJ49*x_R_PIT</f>
        <v>17994839.8024891</v>
      </c>
      <c r="AN49" s="0" t="n">
        <f aca="false">AJ49*x_R_FP</f>
        <v>6901919.48587336</v>
      </c>
      <c r="AO49" s="0" t="n">
        <f aca="false">AA49+AB49+AC49+AD49+AF49</f>
        <v>424339345.336504</v>
      </c>
      <c r="AP49" s="0" t="n">
        <f aca="false">AO49+AE49+AG49+AH49+AI49+AK49+AL49+AM49+AN49</f>
        <v>570225624.63214</v>
      </c>
      <c r="AQ49" s="0" t="n">
        <f aca="false">AO49+AE49+AG49+AJ49</f>
        <v>695002854.58644</v>
      </c>
      <c r="AR49" s="0" t="n">
        <f aca="false">AB49+AC49+AD49+AF49</f>
        <v>137833427.610024</v>
      </c>
      <c r="AS49" s="0" t="n">
        <f aca="false">AR49+AE49+AG49</f>
        <v>137833427.610024</v>
      </c>
    </row>
    <row r="50" customFormat="false" ht="15" hidden="false" customHeight="false" outlineLevel="0" collapsed="false">
      <c r="A50" s="0" t="n">
        <v>2073</v>
      </c>
      <c r="B50" s="0" t="n">
        <v>47</v>
      </c>
      <c r="C50" s="0" t="n">
        <v>4832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2274.683</v>
      </c>
      <c r="I50" s="0" t="n">
        <v>199.319</v>
      </c>
      <c r="J50" s="0" t="n">
        <v>1004.591</v>
      </c>
      <c r="K50" s="0" t="n">
        <v>1737.14</v>
      </c>
      <c r="L50" s="0" t="n">
        <v>634.925</v>
      </c>
      <c r="M50" s="0" t="n">
        <v>144117.294</v>
      </c>
      <c r="N50" s="0" t="n">
        <v>7669.45</v>
      </c>
      <c r="O50" s="0" t="n">
        <v>57.072</v>
      </c>
      <c r="P50" s="0" t="n">
        <v>57.162</v>
      </c>
      <c r="Q50" s="0" t="n">
        <v>610.769</v>
      </c>
      <c r="R50" s="0" t="n">
        <v>901.15</v>
      </c>
      <c r="S50" s="0" t="n">
        <v>2511.465</v>
      </c>
      <c r="T50" s="0" t="n">
        <v>2474.002</v>
      </c>
      <c r="U50" s="0" t="n">
        <v>1838.35</v>
      </c>
      <c r="V50" s="0" t="n">
        <v>178038.424</v>
      </c>
      <c r="W50" s="0" t="n">
        <v>186.399</v>
      </c>
      <c r="X50" s="0" t="n">
        <v>506.255</v>
      </c>
      <c r="Y50" s="0" t="n">
        <v>57.072</v>
      </c>
      <c r="Z50" s="0" t="n">
        <v>608.273</v>
      </c>
      <c r="AA50" s="0" t="n">
        <f aca="false">H50*x_c_F+I50*x_c_CC+J50*x_c_DC+K50*x_c_HCC+L50*x_c_PLT+M50*x_c_SVRn+N50*x_c_SVRcc+O50*x_c_LT+P50*x_c_LT1</f>
        <v>286942254.111878</v>
      </c>
      <c r="AB50" s="0" t="n">
        <f aca="false">C50*x_c_DAA</f>
        <v>109976320</v>
      </c>
      <c r="AC50" s="0" t="n">
        <f aca="false">C50*x_c_MON</f>
        <v>27857107.6100244</v>
      </c>
      <c r="AD50" s="0" t="n">
        <f aca="false">D50*(1-x_testy)</f>
        <v>0</v>
      </c>
      <c r="AE50" s="0" t="n">
        <f aca="false">E50*(1-x_testy)</f>
        <v>0</v>
      </c>
      <c r="AF50" s="0" t="n">
        <f aca="false">F50*x_NAV</f>
        <v>0</v>
      </c>
      <c r="AG50" s="0" t="n">
        <f aca="false">G50*x_FIX*(1-x_testy)</f>
        <v>0</v>
      </c>
      <c r="AH50" s="0" t="n">
        <f aca="false">x_z_F*U50+(1-x_AGRI)*x_EMP*x_WLOSS*(x_PEN_K74*Q50+x_PEN_C22*R50)</f>
        <v>13613437.8325397</v>
      </c>
      <c r="AI50" s="0" t="n">
        <f aca="false">x_AGRI*x_EMP*x_WLOSS*(x_PEN_K74*Q50+x_PEN_C22*R50)</f>
        <v>650006.011022321</v>
      </c>
      <c r="AJ50" s="0" t="n">
        <f aca="false">x_EMP*x_WAGE*(x_WLOSS*(Q50+R50)+S50)+U50*x_ABS_D*x_WAGE/365</f>
        <v>269016080.932915</v>
      </c>
      <c r="AK50" s="0" t="n">
        <f aca="false">AJ50*x_R_FUS</f>
        <v>85116688.0071742</v>
      </c>
      <c r="AL50" s="0" t="n">
        <f aca="false">AJ50*x_R_NFZ</f>
        <v>20892057.8613311</v>
      </c>
      <c r="AM50" s="0" t="n">
        <f aca="false">AJ50*x_R_PIT</f>
        <v>17885311.891863</v>
      </c>
      <c r="AN50" s="0" t="n">
        <f aca="false">AJ50*x_R_FP</f>
        <v>6859910.06378932</v>
      </c>
      <c r="AO50" s="0" t="n">
        <f aca="false">AA50+AB50+AC50+AD50+AF50</f>
        <v>424775681.721902</v>
      </c>
      <c r="AP50" s="0" t="n">
        <f aca="false">AO50+AE50+AG50+AH50+AI50+AK50+AL50+AM50+AN50</f>
        <v>569793093.389622</v>
      </c>
      <c r="AQ50" s="0" t="n">
        <f aca="false">AO50+AE50+AG50+AJ50</f>
        <v>693791762.654817</v>
      </c>
      <c r="AR50" s="0" t="n">
        <f aca="false">AB50+AC50+AD50+AF50</f>
        <v>137833427.610024</v>
      </c>
      <c r="AS50" s="0" t="n">
        <f aca="false">AR50+AE50+AG50</f>
        <v>137833427.610024</v>
      </c>
    </row>
    <row r="51" customFormat="false" ht="15" hidden="false" customHeight="false" outlineLevel="0" collapsed="false">
      <c r="A51" s="0" t="n">
        <v>2074</v>
      </c>
      <c r="B51" s="0" t="n">
        <v>48</v>
      </c>
      <c r="C51" s="0" t="n">
        <v>4832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2274.974</v>
      </c>
      <c r="I51" s="0" t="n">
        <v>198.739</v>
      </c>
      <c r="J51" s="0" t="n">
        <v>1001.4</v>
      </c>
      <c r="K51" s="0" t="n">
        <v>1731.661</v>
      </c>
      <c r="L51" s="0" t="n">
        <v>628.702</v>
      </c>
      <c r="M51" s="0" t="n">
        <v>146088.529</v>
      </c>
      <c r="N51" s="0" t="n">
        <v>7669.722</v>
      </c>
      <c r="O51" s="0" t="n">
        <v>56.908</v>
      </c>
      <c r="P51" s="0" t="n">
        <v>56.99</v>
      </c>
      <c r="Q51" s="0" t="n">
        <v>607.028</v>
      </c>
      <c r="R51" s="0" t="n">
        <v>895.851</v>
      </c>
      <c r="S51" s="0" t="n">
        <v>2496.783</v>
      </c>
      <c r="T51" s="0" t="n">
        <v>2473.713</v>
      </c>
      <c r="U51" s="0" t="n">
        <v>1837.746</v>
      </c>
      <c r="V51" s="0" t="n">
        <v>179413.766</v>
      </c>
      <c r="W51" s="0" t="n">
        <v>185.669</v>
      </c>
      <c r="X51" s="0" t="n">
        <v>504.428</v>
      </c>
      <c r="Y51" s="0" t="n">
        <v>56.908</v>
      </c>
      <c r="Z51" s="0" t="n">
        <v>606.346</v>
      </c>
      <c r="AA51" s="0" t="n">
        <f aca="false">H51*x_c_F+I51*x_c_CC+J51*x_c_DC+K51*x_c_HCC+L51*x_c_PLT+M51*x_c_SVRn+N51*x_c_SVRcc+O51*x_c_LT+P51*x_c_LT1</f>
        <v>287483904.264108</v>
      </c>
      <c r="AB51" s="0" t="n">
        <f aca="false">C51*x_c_DAA</f>
        <v>109976320</v>
      </c>
      <c r="AC51" s="0" t="n">
        <f aca="false">C51*x_c_MON</f>
        <v>27857107.6100244</v>
      </c>
      <c r="AD51" s="0" t="n">
        <f aca="false">D51*(1-x_testy)</f>
        <v>0</v>
      </c>
      <c r="AE51" s="0" t="n">
        <f aca="false">E51*(1-x_testy)</f>
        <v>0</v>
      </c>
      <c r="AF51" s="0" t="n">
        <f aca="false">F51*x_NAV</f>
        <v>0</v>
      </c>
      <c r="AG51" s="0" t="n">
        <f aca="false">G51*x_FIX*(1-x_testy)</f>
        <v>0</v>
      </c>
      <c r="AH51" s="0" t="n">
        <f aca="false">x_z_F*U51+(1-x_AGRI)*x_EMP*x_WLOSS*(x_PEN_K74*Q51+x_PEN_C22*R51)</f>
        <v>13553470.4211181</v>
      </c>
      <c r="AI51" s="0" t="n">
        <f aca="false">x_AGRI*x_EMP*x_WLOSS*(x_PEN_K74*Q51+x_PEN_C22*R51)</f>
        <v>646124.358658509</v>
      </c>
      <c r="AJ51" s="0" t="n">
        <f aca="false">x_EMP*x_WAGE*(x_WLOSS*(Q51+R51)+S51)+U51*x_ABS_D*x_WAGE/365</f>
        <v>267466619.442037</v>
      </c>
      <c r="AK51" s="0" t="n">
        <f aca="false">AJ51*x_R_FUS</f>
        <v>84626438.3914604</v>
      </c>
      <c r="AL51" s="0" t="n">
        <f aca="false">AJ51*x_R_NFZ</f>
        <v>20771725.132488</v>
      </c>
      <c r="AM51" s="0" t="n">
        <f aca="false">AJ51*x_R_PIT</f>
        <v>17782297.2247372</v>
      </c>
      <c r="AN51" s="0" t="n">
        <f aca="false">AJ51*x_R_FP</f>
        <v>6820398.79577193</v>
      </c>
      <c r="AO51" s="0" t="n">
        <f aca="false">AA51+AB51+AC51+AD51+AF51</f>
        <v>425317331.874132</v>
      </c>
      <c r="AP51" s="0" t="n">
        <f aca="false">AO51+AE51+AG51+AH51+AI51+AK51+AL51+AM51+AN51</f>
        <v>569517786.198367</v>
      </c>
      <c r="AQ51" s="0" t="n">
        <f aca="false">AO51+AE51+AG51+AJ51</f>
        <v>692783951.316169</v>
      </c>
      <c r="AR51" s="0" t="n">
        <f aca="false">AB51+AC51+AD51+AF51</f>
        <v>137833427.610024</v>
      </c>
      <c r="AS51" s="0" t="n">
        <f aca="false">AR51+AE51+AG51</f>
        <v>137833427.610024</v>
      </c>
    </row>
    <row r="52" customFormat="false" ht="15" hidden="false" customHeight="false" outlineLevel="0" collapsed="false">
      <c r="A52" s="0" t="n">
        <v>2075</v>
      </c>
      <c r="B52" s="0" t="n">
        <v>49</v>
      </c>
      <c r="C52" s="0" t="n">
        <v>4832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2275.333</v>
      </c>
      <c r="I52" s="0" t="n">
        <v>198.088</v>
      </c>
      <c r="J52" s="0" t="n">
        <v>998.311</v>
      </c>
      <c r="K52" s="0" t="n">
        <v>1726.201</v>
      </c>
      <c r="L52" s="0" t="n">
        <v>623.744</v>
      </c>
      <c r="M52" s="0" t="n">
        <v>148024.397</v>
      </c>
      <c r="N52" s="0" t="n">
        <v>7675.367</v>
      </c>
      <c r="O52" s="0" t="n">
        <v>56.743</v>
      </c>
      <c r="P52" s="0" t="n">
        <v>56.826</v>
      </c>
      <c r="Q52" s="0" t="n">
        <v>603.504</v>
      </c>
      <c r="R52" s="0" t="n">
        <v>890.852</v>
      </c>
      <c r="S52" s="0" t="n">
        <v>2482.983</v>
      </c>
      <c r="T52" s="0" t="n">
        <v>2473.42</v>
      </c>
      <c r="U52" s="0" t="n">
        <v>1837.38</v>
      </c>
      <c r="V52" s="0" t="n">
        <v>180765.245</v>
      </c>
      <c r="W52" s="0" t="n">
        <v>184.898</v>
      </c>
      <c r="X52" s="0" t="n">
        <v>502.526</v>
      </c>
      <c r="Y52" s="0" t="n">
        <v>56.743</v>
      </c>
      <c r="Z52" s="0" t="n">
        <v>604.432</v>
      </c>
      <c r="AA52" s="0" t="n">
        <f aca="false">H52*x_c_F+I52*x_c_CC+J52*x_c_DC+K52*x_c_HCC+L52*x_c_PLT+M52*x_c_SVRn+N52*x_c_SVRcc+O52*x_c_LT+P52*x_c_LT1</f>
        <v>288061703.68694</v>
      </c>
      <c r="AB52" s="0" t="n">
        <f aca="false">C52*x_c_DAA</f>
        <v>109976320</v>
      </c>
      <c r="AC52" s="0" t="n">
        <f aca="false">C52*x_c_MON</f>
        <v>27857107.6100244</v>
      </c>
      <c r="AD52" s="0" t="n">
        <f aca="false">D52*(1-x_testy)</f>
        <v>0</v>
      </c>
      <c r="AE52" s="0" t="n">
        <f aca="false">E52*(1-x_testy)</f>
        <v>0</v>
      </c>
      <c r="AF52" s="0" t="n">
        <f aca="false">F52*x_NAV</f>
        <v>0</v>
      </c>
      <c r="AG52" s="0" t="n">
        <f aca="false">G52*x_FIX*(1-x_testy)</f>
        <v>0</v>
      </c>
      <c r="AH52" s="0" t="n">
        <f aca="false">x_z_F*U52+(1-x_AGRI)*x_EMP*x_WLOSS*(x_PEN_K74*Q52+x_PEN_C22*R52)</f>
        <v>13497348.3460425</v>
      </c>
      <c r="AI52" s="0" t="n">
        <f aca="false">x_AGRI*x_EMP*x_WLOSS*(x_PEN_K74*Q52+x_PEN_C22*R52)</f>
        <v>642464.53347535</v>
      </c>
      <c r="AJ52" s="0" t="n">
        <f aca="false">x_EMP*x_WAGE*(x_WLOSS*(Q52+R52)+S52)+U52*x_ABS_D*x_WAGE/365</f>
        <v>266009978.990888</v>
      </c>
      <c r="AK52" s="0" t="n">
        <f aca="false">AJ52*x_R_FUS</f>
        <v>84165557.3527169</v>
      </c>
      <c r="AL52" s="0" t="n">
        <f aca="false">AJ52*x_R_NFZ</f>
        <v>20658600.9784113</v>
      </c>
      <c r="AM52" s="0" t="n">
        <f aca="false">AJ52*x_R_PIT</f>
        <v>17685453.6877533</v>
      </c>
      <c r="AN52" s="0" t="n">
        <f aca="false">AJ52*x_R_FP</f>
        <v>6783254.46426764</v>
      </c>
      <c r="AO52" s="0" t="n">
        <f aca="false">AA52+AB52+AC52+AD52+AF52</f>
        <v>425895131.296965</v>
      </c>
      <c r="AP52" s="0" t="n">
        <f aca="false">AO52+AE52+AG52+AH52+AI52+AK52+AL52+AM52+AN52</f>
        <v>569327810.659632</v>
      </c>
      <c r="AQ52" s="0" t="n">
        <f aca="false">AO52+AE52+AG52+AJ52</f>
        <v>691905110.287852</v>
      </c>
      <c r="AR52" s="0" t="n">
        <f aca="false">AB52+AC52+AD52+AF52</f>
        <v>137833427.610024</v>
      </c>
      <c r="AS52" s="0" t="n">
        <f aca="false">AR52+AE52+AG52</f>
        <v>137833427.610024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591</v>
      </c>
    </row>
    <row r="2" customFormat="false" ht="28.35" hidden="false" customHeight="false" outlineLevel="0" collapsed="false">
      <c r="A2" s="3" t="s">
        <v>318</v>
      </c>
      <c r="B2" s="3" t="s">
        <v>548</v>
      </c>
      <c r="C2" s="3" t="s">
        <v>549</v>
      </c>
      <c r="D2" s="3" t="s">
        <v>550</v>
      </c>
      <c r="E2" s="3" t="s">
        <v>551</v>
      </c>
      <c r="F2" s="3" t="s">
        <v>552</v>
      </c>
      <c r="G2" s="3" t="s">
        <v>553</v>
      </c>
      <c r="H2" s="3" t="s">
        <v>554</v>
      </c>
      <c r="I2" s="3" t="s">
        <v>555</v>
      </c>
      <c r="J2" s="3" t="s">
        <v>556</v>
      </c>
      <c r="K2" s="3" t="s">
        <v>557</v>
      </c>
      <c r="L2" s="3" t="s">
        <v>558</v>
      </c>
      <c r="M2" s="3" t="s">
        <v>559</v>
      </c>
      <c r="N2" s="3" t="s">
        <v>560</v>
      </c>
      <c r="O2" s="3" t="s">
        <v>561</v>
      </c>
      <c r="P2" s="3" t="s">
        <v>562</v>
      </c>
      <c r="Q2" s="3" t="s">
        <v>563</v>
      </c>
      <c r="R2" s="3" t="s">
        <v>564</v>
      </c>
      <c r="S2" s="3" t="s">
        <v>565</v>
      </c>
      <c r="T2" s="3" t="s">
        <v>566</v>
      </c>
      <c r="U2" s="3" t="s">
        <v>567</v>
      </c>
      <c r="V2" s="3" t="s">
        <v>568</v>
      </c>
      <c r="W2" s="3" t="s">
        <v>569</v>
      </c>
      <c r="X2" s="3" t="s">
        <v>570</v>
      </c>
      <c r="Y2" s="3" t="s">
        <v>571</v>
      </c>
      <c r="Z2" s="3" t="s">
        <v>572</v>
      </c>
      <c r="AA2" s="3" t="s">
        <v>573</v>
      </c>
      <c r="AB2" s="3" t="s">
        <v>574</v>
      </c>
      <c r="AC2" s="3" t="s">
        <v>575</v>
      </c>
      <c r="AD2" s="3" t="s">
        <v>576</v>
      </c>
      <c r="AE2" s="3" t="s">
        <v>577</v>
      </c>
      <c r="AF2" s="3" t="s">
        <v>578</v>
      </c>
      <c r="AG2" s="3" t="s">
        <v>579</v>
      </c>
      <c r="AH2" s="3" t="s">
        <v>252</v>
      </c>
      <c r="AI2" s="3" t="s">
        <v>303</v>
      </c>
      <c r="AJ2" s="3" t="s">
        <v>580</v>
      </c>
      <c r="AK2" s="3" t="s">
        <v>581</v>
      </c>
      <c r="AL2" s="3" t="s">
        <v>582</v>
      </c>
      <c r="AM2" s="3" t="s">
        <v>583</v>
      </c>
      <c r="AN2" s="3" t="s">
        <v>584</v>
      </c>
      <c r="AO2" s="3" t="s">
        <v>129</v>
      </c>
      <c r="AP2" s="3" t="s">
        <v>585</v>
      </c>
      <c r="AQ2" s="3" t="s">
        <v>586</v>
      </c>
      <c r="AR2" s="3" t="s">
        <v>587</v>
      </c>
      <c r="AS2" s="3" t="s">
        <v>588</v>
      </c>
    </row>
    <row r="3" customFormat="false" ht="15" hidden="false" customHeight="false" outlineLevel="0" collapsed="false">
      <c r="A3" s="0" t="n">
        <v>2026</v>
      </c>
      <c r="B3" s="0" t="n">
        <v>0</v>
      </c>
      <c r="C3" s="0" t="n">
        <v>4951.32</v>
      </c>
      <c r="D3" s="0" t="n">
        <v>16666666.667</v>
      </c>
      <c r="E3" s="0" t="n">
        <v>0</v>
      </c>
      <c r="F3" s="0" t="n">
        <v>0</v>
      </c>
      <c r="G3" s="0" t="n">
        <v>1</v>
      </c>
      <c r="H3" s="0" t="n">
        <v>2402.721</v>
      </c>
      <c r="I3" s="0" t="n">
        <v>215.462</v>
      </c>
      <c r="J3" s="0" t="n">
        <v>1579.333</v>
      </c>
      <c r="K3" s="0" t="n">
        <v>2524.799</v>
      </c>
      <c r="L3" s="0" t="n">
        <v>1540.438</v>
      </c>
      <c r="M3" s="0" t="n">
        <v>6641.203</v>
      </c>
      <c r="N3" s="0" t="n">
        <v>586.5</v>
      </c>
      <c r="O3" s="0" t="n">
        <v>89.046</v>
      </c>
      <c r="P3" s="0" t="n">
        <v>44.523</v>
      </c>
      <c r="Q3" s="0" t="n">
        <v>2134.707</v>
      </c>
      <c r="R3" s="0" t="n">
        <v>1703.283</v>
      </c>
      <c r="S3" s="0" t="n">
        <v>312.377</v>
      </c>
      <c r="T3" s="0" t="n">
        <v>2618.183</v>
      </c>
      <c r="U3" s="0" t="n">
        <v>1450.052</v>
      </c>
      <c r="V3" s="0" t="n">
        <v>113405.626</v>
      </c>
      <c r="W3" s="0" t="n">
        <v>265.701</v>
      </c>
      <c r="X3" s="0" t="n">
        <v>711.503</v>
      </c>
      <c r="Y3" s="0" t="n">
        <v>89.046</v>
      </c>
      <c r="Z3" s="0" t="n">
        <v>922.327</v>
      </c>
      <c r="AA3" s="0" t="n">
        <f aca="false">H3*x_c_F+I3*x_c_CC+J3*x_c_DC+K3*x_c_HCC+L3*x_c_PLT+M3*x_c_SVRn+N3*x_c_SVRcc+O3*x_c_LT+P3*x_c_LT1</f>
        <v>282853552.27429</v>
      </c>
      <c r="AB3" s="0" t="n">
        <f aca="false">C3*x_c_DAA</f>
        <v>112692043.2</v>
      </c>
      <c r="AC3" s="0" t="n">
        <f aca="false">C3*x_c_MON</f>
        <v>28545002.9080434</v>
      </c>
      <c r="AD3" s="0" t="n">
        <f aca="false">D3*(1-x_testy)</f>
        <v>16666666.667</v>
      </c>
      <c r="AE3" s="0" t="n">
        <f aca="false">E3*(1-x_testy)</f>
        <v>0</v>
      </c>
      <c r="AF3" s="0" t="n">
        <f aca="false">F3*x_NAV</f>
        <v>0</v>
      </c>
      <c r="AG3" s="0" t="n">
        <f aca="false">G3*x_FIX*(1-x_testy)</f>
        <v>1223620.54528</v>
      </c>
      <c r="AH3" s="0" t="n">
        <f aca="false">x_z_F*U3+(1-x_AGRI)*x_EMP*x_WLOSS*(x_PEN_K74*Q3+x_PEN_C22*R3)</f>
        <v>27464974.227408</v>
      </c>
      <c r="AI3" s="0" t="n">
        <f aca="false">x_AGRI*x_EMP*x_WLOSS*(x_PEN_K74*Q3+x_PEN_C22*R3)</f>
        <v>1618332.37660742</v>
      </c>
      <c r="AJ3" s="0" t="n">
        <f aca="false">x_EMP*x_WAGE*(x_WLOSS*(Q3+R3)+S3)+U3*x_ABS_D*x_WAGE/365</f>
        <v>156515972.452779</v>
      </c>
      <c r="AK3" s="0" t="n">
        <f aca="false">AJ3*x_R_FUS</f>
        <v>49521653.6840592</v>
      </c>
      <c r="AL3" s="0" t="n">
        <f aca="false">AJ3*x_R_NFZ</f>
        <v>12155186.9366552</v>
      </c>
      <c r="AM3" s="0" t="n">
        <f aca="false">AJ3*x_R_PIT</f>
        <v>10405835.1220805</v>
      </c>
      <c r="AN3" s="0" t="n">
        <f aca="false">AJ3*x_R_FP</f>
        <v>3991157.29754586</v>
      </c>
      <c r="AO3" s="0" t="n">
        <f aca="false">AA3+AB3+AC3+AD3+AF3</f>
        <v>440757265.049333</v>
      </c>
      <c r="AP3" s="0" t="n">
        <f aca="false">AO3+AE3+AG3+AH3+AI3+AK3+AL3+AM3+AN3</f>
        <v>547138025.23897</v>
      </c>
      <c r="AQ3" s="0" t="n">
        <f aca="false">AO3+AE3+AG3+AJ3</f>
        <v>598496858.047392</v>
      </c>
      <c r="AR3" s="0" t="n">
        <f aca="false">AB3+AC3+AD3+AF3</f>
        <v>157903712.775043</v>
      </c>
      <c r="AS3" s="0" t="n">
        <f aca="false">AR3+AE3+AG3</f>
        <v>159127333.320323</v>
      </c>
    </row>
    <row r="4" customFormat="false" ht="15" hidden="false" customHeight="false" outlineLevel="0" collapsed="false">
      <c r="A4" s="0" t="n">
        <v>2027</v>
      </c>
      <c r="B4" s="0" t="n">
        <v>1</v>
      </c>
      <c r="C4" s="0" t="n">
        <v>5065.485</v>
      </c>
      <c r="D4" s="0" t="n">
        <v>33333333.333</v>
      </c>
      <c r="E4" s="0" t="n">
        <v>0</v>
      </c>
      <c r="F4" s="0" t="n">
        <v>0</v>
      </c>
      <c r="G4" s="0" t="n">
        <v>1</v>
      </c>
      <c r="H4" s="0" t="n">
        <v>2440.372</v>
      </c>
      <c r="I4" s="0" t="n">
        <v>232.287</v>
      </c>
      <c r="J4" s="0" t="n">
        <v>1564.197</v>
      </c>
      <c r="K4" s="0" t="n">
        <v>2521.646</v>
      </c>
      <c r="L4" s="0" t="n">
        <v>1489.389</v>
      </c>
      <c r="M4" s="0" t="n">
        <v>11095.842</v>
      </c>
      <c r="N4" s="0" t="n">
        <v>1000.523</v>
      </c>
      <c r="O4" s="0" t="n">
        <v>87.912</v>
      </c>
      <c r="P4" s="0" t="n">
        <v>88.479</v>
      </c>
      <c r="Q4" s="0" t="n">
        <v>2138.122</v>
      </c>
      <c r="R4" s="0" t="n">
        <v>1717.174</v>
      </c>
      <c r="S4" s="0" t="n">
        <v>939.965</v>
      </c>
      <c r="T4" s="0" t="n">
        <v>2672.659</v>
      </c>
      <c r="U4" s="0" t="n">
        <v>1524.788</v>
      </c>
      <c r="V4" s="0" t="n">
        <v>114531.369</v>
      </c>
      <c r="W4" s="0" t="n">
        <v>275.18</v>
      </c>
      <c r="X4" s="0" t="n">
        <v>741.411</v>
      </c>
      <c r="Y4" s="0" t="n">
        <v>87.912</v>
      </c>
      <c r="Z4" s="0" t="n">
        <v>925.718</v>
      </c>
      <c r="AA4" s="0" t="n">
        <f aca="false">H4*x_c_F+I4*x_c_CC+J4*x_c_DC+K4*x_c_HCC+L4*x_c_PLT+M4*x_c_SVRn+N4*x_c_SVRcc+O4*x_c_LT+P4*x_c_LT1</f>
        <v>286525134.010103</v>
      </c>
      <c r="AB4" s="0" t="n">
        <f aca="false">C4*x_c_DAA</f>
        <v>115290438.6</v>
      </c>
      <c r="AC4" s="0" t="n">
        <f aca="false">C4*x_c_MON</f>
        <v>29203178.9614992</v>
      </c>
      <c r="AD4" s="0" t="n">
        <f aca="false">D4*(1-x_testy)</f>
        <v>33333333.333</v>
      </c>
      <c r="AE4" s="0" t="n">
        <f aca="false">E4*(1-x_testy)</f>
        <v>0</v>
      </c>
      <c r="AF4" s="0" t="n">
        <f aca="false">F4*x_NAV</f>
        <v>0</v>
      </c>
      <c r="AG4" s="0" t="n">
        <f aca="false">G4*x_FIX*(1-x_testy)</f>
        <v>1223620.54528</v>
      </c>
      <c r="AH4" s="0" t="n">
        <f aca="false">x_z_F*U4+(1-x_AGRI)*x_EMP*x_WLOSS*(x_PEN_K74*Q4+x_PEN_C22*R4)</f>
        <v>27734123.1677823</v>
      </c>
      <c r="AI4" s="0" t="n">
        <f aca="false">x_AGRI*x_EMP*x_WLOSS*(x_PEN_K74*Q4+x_PEN_C22*R4)</f>
        <v>1625966.61928073</v>
      </c>
      <c r="AJ4" s="0" t="n">
        <f aca="false">x_EMP*x_WAGE*(x_WLOSS*(Q4+R4)+S4)+U4*x_ABS_D*x_WAGE/365</f>
        <v>210810413.841859</v>
      </c>
      <c r="AK4" s="0" t="n">
        <f aca="false">AJ4*x_R_FUS</f>
        <v>66700414.9395641</v>
      </c>
      <c r="AL4" s="0" t="n">
        <f aca="false">AJ4*x_R_NFZ</f>
        <v>16371747.5493726</v>
      </c>
      <c r="AM4" s="0" t="n">
        <f aca="false">AJ4*x_R_PIT</f>
        <v>14015556.202213</v>
      </c>
      <c r="AN4" s="0" t="n">
        <f aca="false">AJ4*x_R_FP</f>
        <v>5375665.5529674</v>
      </c>
      <c r="AO4" s="0" t="n">
        <f aca="false">AA4+AB4+AC4+AD4+AF4</f>
        <v>464352084.904602</v>
      </c>
      <c r="AP4" s="0" t="n">
        <f aca="false">AO4+AE4+AG4+AH4+AI4+AK4+AL4+AM4+AN4</f>
        <v>597399179.481062</v>
      </c>
      <c r="AQ4" s="0" t="n">
        <f aca="false">AO4+AE4+AG4+AJ4</f>
        <v>676386119.291741</v>
      </c>
      <c r="AR4" s="0" t="n">
        <f aca="false">AB4+AC4+AD4+AF4</f>
        <v>177826950.894499</v>
      </c>
      <c r="AS4" s="0" t="n">
        <f aca="false">AR4+AE4+AG4</f>
        <v>179050571.439779</v>
      </c>
    </row>
    <row r="5" customFormat="false" ht="15" hidden="false" customHeight="false" outlineLevel="0" collapsed="false">
      <c r="A5" s="0" t="n">
        <v>2028</v>
      </c>
      <c r="B5" s="0" t="n">
        <v>2</v>
      </c>
      <c r="C5" s="0" t="n">
        <v>5174.648</v>
      </c>
      <c r="D5" s="0" t="n">
        <v>50000000</v>
      </c>
      <c r="E5" s="0" t="n">
        <v>0</v>
      </c>
      <c r="F5" s="0" t="n">
        <v>0</v>
      </c>
      <c r="G5" s="0" t="n">
        <v>1</v>
      </c>
      <c r="H5" s="0" t="n">
        <v>2448.272</v>
      </c>
      <c r="I5" s="0" t="n">
        <v>247.995</v>
      </c>
      <c r="J5" s="0" t="n">
        <v>1561.132</v>
      </c>
      <c r="K5" s="0" t="n">
        <v>2548.335</v>
      </c>
      <c r="L5" s="0" t="n">
        <v>1475.766</v>
      </c>
      <c r="M5" s="0" t="n">
        <v>15512.573</v>
      </c>
      <c r="N5" s="0" t="n">
        <v>1431.227</v>
      </c>
      <c r="O5" s="0" t="n">
        <v>87.611</v>
      </c>
      <c r="P5" s="0" t="n">
        <v>87.762</v>
      </c>
      <c r="Q5" s="0" t="n">
        <v>2146.956</v>
      </c>
      <c r="R5" s="0" t="n">
        <v>1755.295</v>
      </c>
      <c r="S5" s="0" t="n">
        <v>1573.033</v>
      </c>
      <c r="T5" s="0" t="n">
        <v>2696.266</v>
      </c>
      <c r="U5" s="0" t="n">
        <v>1581.369</v>
      </c>
      <c r="V5" s="0" t="n">
        <v>115736.444</v>
      </c>
      <c r="W5" s="0" t="n">
        <v>286.218</v>
      </c>
      <c r="X5" s="0" t="n">
        <v>771.912</v>
      </c>
      <c r="Y5" s="0" t="n">
        <v>87.611</v>
      </c>
      <c r="Z5" s="0" t="n">
        <v>927.107</v>
      </c>
      <c r="AA5" s="0" t="n">
        <f aca="false">H5*x_c_F+I5*x_c_CC+J5*x_c_DC+K5*x_c_HCC+L5*x_c_PLT+M5*x_c_SVRn+N5*x_c_SVRcc+O5*x_c_LT+P5*x_c_LT1</f>
        <v>291571048.276824</v>
      </c>
      <c r="AB5" s="0" t="n">
        <f aca="false">C5*x_c_DAA</f>
        <v>117774988.48</v>
      </c>
      <c r="AC5" s="0" t="n">
        <f aca="false">C5*x_c_MON</f>
        <v>29832517.8352644</v>
      </c>
      <c r="AD5" s="0" t="n">
        <f aca="false">D5*(1-x_testy)</f>
        <v>50000000</v>
      </c>
      <c r="AE5" s="0" t="n">
        <f aca="false">E5*(1-x_testy)</f>
        <v>0</v>
      </c>
      <c r="AF5" s="0" t="n">
        <f aca="false">F5*x_NAV</f>
        <v>0</v>
      </c>
      <c r="AG5" s="0" t="n">
        <f aca="false">G5*x_FIX*(1-x_testy)</f>
        <v>1223620.54528</v>
      </c>
      <c r="AH5" s="0" t="n">
        <f aca="false">x_z_F*U5+(1-x_AGRI)*x_EMP*x_WLOSS*(x_PEN_K74*Q5+x_PEN_C22*R5)</f>
        <v>28164176.2296401</v>
      </c>
      <c r="AI5" s="0" t="n">
        <f aca="false">x_AGRI*x_EMP*x_WLOSS*(x_PEN_K74*Q5+x_PEN_C22*R5)</f>
        <v>1646703.42546764</v>
      </c>
      <c r="AJ5" s="0" t="n">
        <f aca="false">x_EMP*x_WAGE*(x_WLOSS*(Q5+R5)+S5)+U5*x_ABS_D*x_WAGE/365</f>
        <v>266489210.599323</v>
      </c>
      <c r="AK5" s="0" t="n">
        <f aca="false">AJ5*x_R_FUS</f>
        <v>84317186.2336257</v>
      </c>
      <c r="AL5" s="0" t="n">
        <f aca="false">AJ5*x_R_NFZ</f>
        <v>20695818.584354</v>
      </c>
      <c r="AM5" s="0" t="n">
        <f aca="false">AJ5*x_R_PIT</f>
        <v>17717315.0053205</v>
      </c>
      <c r="AN5" s="0" t="n">
        <f aca="false">AJ5*x_R_FP</f>
        <v>6795474.87028273</v>
      </c>
      <c r="AO5" s="0" t="n">
        <f aca="false">AA5+AB5+AC5+AD5+AF5</f>
        <v>489178554.592088</v>
      </c>
      <c r="AP5" s="0" t="n">
        <f aca="false">AO5+AE5+AG5+AH5+AI5+AK5+AL5+AM5+AN5</f>
        <v>649738849.486059</v>
      </c>
      <c r="AQ5" s="0" t="n">
        <f aca="false">AO5+AE5+AG5+AJ5</f>
        <v>756891385.736691</v>
      </c>
      <c r="AR5" s="0" t="n">
        <f aca="false">AB5+AC5+AD5+AF5</f>
        <v>197607506.315264</v>
      </c>
      <c r="AS5" s="0" t="n">
        <f aca="false">AR5+AE5+AG5</f>
        <v>198831126.860544</v>
      </c>
    </row>
    <row r="6" customFormat="false" ht="15" hidden="false" customHeight="false" outlineLevel="0" collapsed="false">
      <c r="A6" s="0" t="n">
        <v>2029</v>
      </c>
      <c r="B6" s="0" t="n">
        <v>3</v>
      </c>
      <c r="C6" s="0" t="n">
        <v>5167.173</v>
      </c>
      <c r="D6" s="0" t="n">
        <v>50000000</v>
      </c>
      <c r="E6" s="0" t="n">
        <v>0</v>
      </c>
      <c r="F6" s="0" t="n">
        <v>0</v>
      </c>
      <c r="G6" s="0" t="n">
        <v>1</v>
      </c>
      <c r="H6" s="0" t="n">
        <v>2428.835</v>
      </c>
      <c r="I6" s="0" t="n">
        <v>261.666</v>
      </c>
      <c r="J6" s="0" t="n">
        <v>1569.042</v>
      </c>
      <c r="K6" s="0" t="n">
        <v>2596.108</v>
      </c>
      <c r="L6" s="0" t="n">
        <v>1461.203</v>
      </c>
      <c r="M6" s="0" t="n">
        <v>19836.052</v>
      </c>
      <c r="N6" s="0" t="n">
        <v>1873.657</v>
      </c>
      <c r="O6" s="0" t="n">
        <v>88.025</v>
      </c>
      <c r="P6" s="0" t="n">
        <v>87.818</v>
      </c>
      <c r="Q6" s="0" t="n">
        <v>2165.214</v>
      </c>
      <c r="R6" s="0" t="n">
        <v>1811.194</v>
      </c>
      <c r="S6" s="0" t="n">
        <v>2214.515</v>
      </c>
      <c r="T6" s="0" t="n">
        <v>2690.501</v>
      </c>
      <c r="U6" s="0" t="n">
        <v>1619.665</v>
      </c>
      <c r="V6" s="0" t="n">
        <v>116994.962</v>
      </c>
      <c r="W6" s="0" t="n">
        <v>297.852</v>
      </c>
      <c r="X6" s="0" t="n">
        <v>801.512</v>
      </c>
      <c r="Y6" s="0" t="n">
        <v>88.025</v>
      </c>
      <c r="Z6" s="0" t="n">
        <v>936.592</v>
      </c>
      <c r="AA6" s="0" t="n">
        <f aca="false">H6*x_c_F+I6*x_c_CC+J6*x_c_DC+K6*x_c_HCC+L6*x_c_PLT+M6*x_c_SVRn+N6*x_c_SVRcc+O6*x_c_LT+P6*x_c_LT1</f>
        <v>298275992.506311</v>
      </c>
      <c r="AB6" s="0" t="n">
        <f aca="false">C6*x_c_DAA</f>
        <v>117604857.48</v>
      </c>
      <c r="AC6" s="0" t="n">
        <f aca="false">C6*x_c_MON</f>
        <v>29789423.4893652</v>
      </c>
      <c r="AD6" s="0" t="n">
        <f aca="false">D6*(1-x_testy)</f>
        <v>50000000</v>
      </c>
      <c r="AE6" s="0" t="n">
        <f aca="false">E6*(1-x_testy)</f>
        <v>0</v>
      </c>
      <c r="AF6" s="0" t="n">
        <f aca="false">F6*x_NAV</f>
        <v>0</v>
      </c>
      <c r="AG6" s="0" t="n">
        <f aca="false">G6*x_FIX*(1-x_testy)</f>
        <v>1223620.54528</v>
      </c>
      <c r="AH6" s="0" t="n">
        <f aca="false">x_z_F*U6+(1-x_AGRI)*x_EMP*x_WLOSS*(x_PEN_K74*Q6+x_PEN_C22*R6)</f>
        <v>28734851.2215588</v>
      </c>
      <c r="AI6" s="0" t="n">
        <f aca="false">x_AGRI*x_EMP*x_WLOSS*(x_PEN_K74*Q6+x_PEN_C22*R6)</f>
        <v>1679219.84712883</v>
      </c>
      <c r="AJ6" s="0" t="n">
        <f aca="false">x_EMP*x_WAGE*(x_WLOSS*(Q6+R6)+S6)+U6*x_ABS_D*x_WAGE/365</f>
        <v>323722041.156745</v>
      </c>
      <c r="AK6" s="0" t="n">
        <f aca="false">AJ6*x_R_FUS</f>
        <v>102425653.821994</v>
      </c>
      <c r="AL6" s="0" t="n">
        <f aca="false">AJ6*x_R_NFZ</f>
        <v>25140577.4382739</v>
      </c>
      <c r="AM6" s="0" t="n">
        <f aca="false">AJ6*x_R_PIT</f>
        <v>21522392.4617455</v>
      </c>
      <c r="AN6" s="0" t="n">
        <f aca="false">AJ6*x_R_FP</f>
        <v>8254912.04949699</v>
      </c>
      <c r="AO6" s="0" t="n">
        <f aca="false">AA6+AB6+AC6+AD6+AF6</f>
        <v>495670273.475676</v>
      </c>
      <c r="AP6" s="0" t="n">
        <f aca="false">AO6+AE6+AG6+AH6+AI6+AK6+AL6+AM6+AN6</f>
        <v>684651500.861154</v>
      </c>
      <c r="AQ6" s="0" t="n">
        <f aca="false">AO6+AE6+AG6+AJ6</f>
        <v>820615935.177701</v>
      </c>
      <c r="AR6" s="0" t="n">
        <f aca="false">AB6+AC6+AD6+AF6</f>
        <v>197394280.969365</v>
      </c>
      <c r="AS6" s="0" t="n">
        <f aca="false">AR6+AE6+AG6</f>
        <v>198617901.514645</v>
      </c>
    </row>
    <row r="7" customFormat="false" ht="15" hidden="false" customHeight="false" outlineLevel="0" collapsed="false">
      <c r="A7" s="0" t="n">
        <v>2030</v>
      </c>
      <c r="B7" s="0" t="n">
        <v>4</v>
      </c>
      <c r="C7" s="0" t="n">
        <v>5160.008</v>
      </c>
      <c r="D7" s="0" t="n">
        <v>50000000</v>
      </c>
      <c r="E7" s="0" t="n">
        <v>0</v>
      </c>
      <c r="F7" s="0" t="n">
        <v>0</v>
      </c>
      <c r="G7" s="0" t="n">
        <v>1</v>
      </c>
      <c r="H7" s="0" t="n">
        <v>2409.73</v>
      </c>
      <c r="I7" s="0" t="n">
        <v>275.159</v>
      </c>
      <c r="J7" s="0" t="n">
        <v>1586.102</v>
      </c>
      <c r="K7" s="0" t="n">
        <v>2657.245</v>
      </c>
      <c r="L7" s="0" t="n">
        <v>1446.36</v>
      </c>
      <c r="M7" s="0" t="n">
        <v>24064.753</v>
      </c>
      <c r="N7" s="0" t="n">
        <v>2326.552</v>
      </c>
      <c r="O7" s="0" t="n">
        <v>89.016</v>
      </c>
      <c r="P7" s="0" t="n">
        <v>88.521</v>
      </c>
      <c r="Q7" s="0" t="n">
        <v>2192.001</v>
      </c>
      <c r="R7" s="0" t="n">
        <v>1879.23</v>
      </c>
      <c r="S7" s="0" t="n">
        <v>2869.718</v>
      </c>
      <c r="T7" s="0" t="n">
        <v>2684.889</v>
      </c>
      <c r="U7" s="0" t="n">
        <v>1656.317</v>
      </c>
      <c r="V7" s="0" t="n">
        <v>118292.782</v>
      </c>
      <c r="W7" s="0" t="n">
        <v>309.232</v>
      </c>
      <c r="X7" s="0" t="n">
        <v>828.828</v>
      </c>
      <c r="Y7" s="0" t="n">
        <v>89.016</v>
      </c>
      <c r="Z7" s="0" t="n">
        <v>951.804</v>
      </c>
      <c r="AA7" s="0" t="n">
        <f aca="false">H7*x_c_F+I7*x_c_CC+J7*x_c_DC+K7*x_c_HCC+L7*x_c_PLT+M7*x_c_SVRn+N7*x_c_SVRcc+O7*x_c_LT+P7*x_c_LT1</f>
        <v>306176833.464262</v>
      </c>
      <c r="AB7" s="0" t="n">
        <f aca="false">C7*x_c_DAA</f>
        <v>117441782.08</v>
      </c>
      <c r="AC7" s="0" t="n">
        <f aca="false">C7*x_c_MON</f>
        <v>29748116.3337307</v>
      </c>
      <c r="AD7" s="0" t="n">
        <f aca="false">D7*(1-x_testy)</f>
        <v>50000000</v>
      </c>
      <c r="AE7" s="0" t="n">
        <f aca="false">E7*(1-x_testy)</f>
        <v>0</v>
      </c>
      <c r="AF7" s="0" t="n">
        <f aca="false">F7*x_NAV</f>
        <v>0</v>
      </c>
      <c r="AG7" s="0" t="n">
        <f aca="false">G7*x_FIX*(1-x_testy)</f>
        <v>1223620.54528</v>
      </c>
      <c r="AH7" s="0" t="n">
        <f aca="false">x_z_F*U7+(1-x_AGRI)*x_EMP*x_WLOSS*(x_PEN_K74*Q7+x_PEN_C22*R7)</f>
        <v>29436415.7716836</v>
      </c>
      <c r="AI7" s="0" t="n">
        <f aca="false">x_AGRI*x_EMP*x_WLOSS*(x_PEN_K74*Q7+x_PEN_C22*R7)</f>
        <v>1720611.22300977</v>
      </c>
      <c r="AJ7" s="0" t="n">
        <f aca="false">x_EMP*x_WAGE*(x_WLOSS*(Q7+R7)+S7)+U7*x_ABS_D*x_WAGE/365</f>
        <v>382796331.052463</v>
      </c>
      <c r="AK7" s="0" t="n">
        <f aca="false">AJ7*x_R_FUS</f>
        <v>121116759.144999</v>
      </c>
      <c r="AL7" s="0" t="n">
        <f aca="false">AJ7*x_R_NFZ</f>
        <v>29728345.8658654</v>
      </c>
      <c r="AM7" s="0" t="n">
        <f aca="false">AJ7*x_R_PIT</f>
        <v>25449897.8209464</v>
      </c>
      <c r="AN7" s="0" t="n">
        <f aca="false">AJ7*x_R_FP</f>
        <v>9761306.44183782</v>
      </c>
      <c r="AO7" s="0" t="n">
        <f aca="false">AA7+AB7+AC7+AD7+AF7</f>
        <v>503366731.877992</v>
      </c>
      <c r="AP7" s="0" t="n">
        <f aca="false">AO7+AE7+AG7+AH7+AI7+AK7+AL7+AM7+AN7</f>
        <v>721803688.691615</v>
      </c>
      <c r="AQ7" s="0" t="n">
        <f aca="false">AO7+AE7+AG7+AJ7</f>
        <v>887386683.475736</v>
      </c>
      <c r="AR7" s="0" t="n">
        <f aca="false">AB7+AC7+AD7+AF7</f>
        <v>197189898.413731</v>
      </c>
      <c r="AS7" s="0" t="n">
        <f aca="false">AR7+AE7+AG7</f>
        <v>198413518.959011</v>
      </c>
    </row>
    <row r="8" customFormat="false" ht="15" hidden="false" customHeight="false" outlineLevel="0" collapsed="false">
      <c r="A8" s="0" t="n">
        <v>2031</v>
      </c>
      <c r="B8" s="0" t="n">
        <v>5</v>
      </c>
      <c r="C8" s="0" t="n">
        <v>5153.118</v>
      </c>
      <c r="D8" s="0" t="n">
        <v>50000000</v>
      </c>
      <c r="E8" s="0" t="n">
        <v>0</v>
      </c>
      <c r="F8" s="0" t="n">
        <v>0</v>
      </c>
      <c r="G8" s="0" t="n">
        <v>1</v>
      </c>
      <c r="H8" s="0" t="n">
        <v>2391.444</v>
      </c>
      <c r="I8" s="0" t="n">
        <v>287.967</v>
      </c>
      <c r="J8" s="0" t="n">
        <v>1610.067</v>
      </c>
      <c r="K8" s="0" t="n">
        <v>2725.054</v>
      </c>
      <c r="L8" s="0" t="n">
        <v>1431.774</v>
      </c>
      <c r="M8" s="0" t="n">
        <v>28198.412</v>
      </c>
      <c r="N8" s="0" t="n">
        <v>2787.705</v>
      </c>
      <c r="O8" s="0" t="n">
        <v>90.429</v>
      </c>
      <c r="P8" s="0" t="n">
        <v>89.722</v>
      </c>
      <c r="Q8" s="0" t="n">
        <v>2226.042</v>
      </c>
      <c r="R8" s="0" t="n">
        <v>1954.511</v>
      </c>
      <c r="S8" s="0" t="n">
        <v>3542.23</v>
      </c>
      <c r="T8" s="0" t="n">
        <v>2679.411</v>
      </c>
      <c r="U8" s="0" t="n">
        <v>1691.356</v>
      </c>
      <c r="V8" s="0" t="n">
        <v>119619.746</v>
      </c>
      <c r="W8" s="0" t="n">
        <v>319.731</v>
      </c>
      <c r="X8" s="0" t="n">
        <v>852.885</v>
      </c>
      <c r="Y8" s="0" t="n">
        <v>90.429</v>
      </c>
      <c r="Z8" s="0" t="n">
        <v>970.572</v>
      </c>
      <c r="AA8" s="0" t="n">
        <f aca="false">H8*x_c_F+I8*x_c_CC+J8*x_c_DC+K8*x_c_HCC+L8*x_c_PLT+M8*x_c_SVRn+N8*x_c_SVRcc+O8*x_c_LT+P8*x_c_LT1</f>
        <v>314761564.450319</v>
      </c>
      <c r="AB8" s="0" t="n">
        <f aca="false">C8*x_c_DAA</f>
        <v>117284965.68</v>
      </c>
      <c r="AC8" s="0" t="n">
        <f aca="false">C8*x_c_MON</f>
        <v>29708394.5888149</v>
      </c>
      <c r="AD8" s="0" t="n">
        <f aca="false">D8*(1-x_testy)</f>
        <v>50000000</v>
      </c>
      <c r="AE8" s="0" t="n">
        <f aca="false">E8*(1-x_testy)</f>
        <v>0</v>
      </c>
      <c r="AF8" s="0" t="n">
        <f aca="false">F8*x_NAV</f>
        <v>0</v>
      </c>
      <c r="AG8" s="0" t="n">
        <f aca="false">G8*x_FIX*(1-x_testy)</f>
        <v>1223620.54528</v>
      </c>
      <c r="AH8" s="0" t="n">
        <f aca="false">x_z_F*U8+(1-x_AGRI)*x_EMP*x_WLOSS*(x_PEN_K74*Q8+x_PEN_C22*R8)</f>
        <v>30227823.2653141</v>
      </c>
      <c r="AI8" s="0" t="n">
        <f aca="false">x_AGRI*x_EMP*x_WLOSS*(x_PEN_K74*Q8+x_PEN_C22*R8)</f>
        <v>1768160.23801033</v>
      </c>
      <c r="AJ8" s="0" t="n">
        <f aca="false">x_EMP*x_WAGE*(x_WLOSS*(Q8+R8)+S8)+U8*x_ABS_D*x_WAGE/365</f>
        <v>443816230.811054</v>
      </c>
      <c r="AK8" s="0" t="n">
        <f aca="false">AJ8*x_R_FUS</f>
        <v>140423455.428617</v>
      </c>
      <c r="AL8" s="0" t="n">
        <f aca="false">AJ8*x_R_NFZ</f>
        <v>34467212.3010173</v>
      </c>
      <c r="AM8" s="0" t="n">
        <f aca="false">AJ8*x_R_PIT</f>
        <v>29506755.4445052</v>
      </c>
      <c r="AN8" s="0" t="n">
        <f aca="false">AJ8*x_R_FP</f>
        <v>11317313.8856819</v>
      </c>
      <c r="AO8" s="0" t="n">
        <f aca="false">AA8+AB8+AC8+AD8+AF8</f>
        <v>511754924.719134</v>
      </c>
      <c r="AP8" s="0" t="n">
        <f aca="false">AO8+AE8+AG8+AH8+AI8+AK8+AL8+AM8+AN8</f>
        <v>760689265.82756</v>
      </c>
      <c r="AQ8" s="0" t="n">
        <f aca="false">AO8+AE8+AG8+AJ8</f>
        <v>956794776.075467</v>
      </c>
      <c r="AR8" s="0" t="n">
        <f aca="false">AB8+AC8+AD8+AF8</f>
        <v>196993360.268815</v>
      </c>
      <c r="AS8" s="0" t="n">
        <f aca="false">AR8+AE8+AG8</f>
        <v>198216980.814095</v>
      </c>
    </row>
    <row r="9" customFormat="false" ht="15" hidden="false" customHeight="false" outlineLevel="0" collapsed="false">
      <c r="A9" s="0" t="n">
        <v>2032</v>
      </c>
      <c r="B9" s="0" t="n">
        <v>6</v>
      </c>
      <c r="C9" s="0" t="n">
        <v>5146.482</v>
      </c>
      <c r="D9" s="0" t="n">
        <v>50000000</v>
      </c>
      <c r="E9" s="0" t="n">
        <v>0</v>
      </c>
      <c r="F9" s="0" t="n">
        <v>0</v>
      </c>
      <c r="G9" s="0" t="n">
        <v>1</v>
      </c>
      <c r="H9" s="0" t="n">
        <v>2374.35</v>
      </c>
      <c r="I9" s="0" t="n">
        <v>299.701</v>
      </c>
      <c r="J9" s="0" t="n">
        <v>1638.517</v>
      </c>
      <c r="K9" s="0" t="n">
        <v>2793.887</v>
      </c>
      <c r="L9" s="0" t="n">
        <v>1417.81</v>
      </c>
      <c r="M9" s="0" t="n">
        <v>32237.304</v>
      </c>
      <c r="N9" s="0" t="n">
        <v>3254.145</v>
      </c>
      <c r="O9" s="0" t="n">
        <v>92.103</v>
      </c>
      <c r="P9" s="0" t="n">
        <v>91.266</v>
      </c>
      <c r="Q9" s="0" t="n">
        <v>2265.816</v>
      </c>
      <c r="R9" s="0" t="n">
        <v>2032.893</v>
      </c>
      <c r="S9" s="0" t="n">
        <v>4234.018</v>
      </c>
      <c r="T9" s="0" t="n">
        <v>2674.052</v>
      </c>
      <c r="U9" s="0" t="n">
        <v>1724.833</v>
      </c>
      <c r="V9" s="0" t="n">
        <v>120965.778</v>
      </c>
      <c r="W9" s="0" t="n">
        <v>328.896</v>
      </c>
      <c r="X9" s="0" t="n">
        <v>873.001</v>
      </c>
      <c r="Y9" s="0" t="n">
        <v>92.103</v>
      </c>
      <c r="Z9" s="0" t="n">
        <v>990.933</v>
      </c>
      <c r="AA9" s="0" t="n">
        <f aca="false">H9*x_c_F+I9*x_c_CC+J9*x_c_DC+K9*x_c_HCC+L9*x_c_PLT+M9*x_c_SVRn+N9*x_c_SVRcc+O9*x_c_LT+P9*x_c_LT1</f>
        <v>323571394.22649</v>
      </c>
      <c r="AB9" s="0" t="n">
        <f aca="false">C9*x_c_DAA</f>
        <v>117133930.32</v>
      </c>
      <c r="AC9" s="0" t="n">
        <f aca="false">C9*x_c_MON</f>
        <v>29670137.1868902</v>
      </c>
      <c r="AD9" s="0" t="n">
        <f aca="false">D9*(1-x_testy)</f>
        <v>50000000</v>
      </c>
      <c r="AE9" s="0" t="n">
        <f aca="false">E9*(1-x_testy)</f>
        <v>0</v>
      </c>
      <c r="AF9" s="0" t="n">
        <f aca="false">F9*x_NAV</f>
        <v>0</v>
      </c>
      <c r="AG9" s="0" t="n">
        <f aca="false">G9*x_FIX*(1-x_testy)</f>
        <v>1223620.54528</v>
      </c>
      <c r="AH9" s="0" t="n">
        <f aca="false">x_z_F*U9+(1-x_AGRI)*x_EMP*x_WLOSS*(x_PEN_K74*Q9+x_PEN_C22*R9)</f>
        <v>31071701.7513847</v>
      </c>
      <c r="AI9" s="0" t="n">
        <f aca="false">x_AGRI*x_EMP*x_WLOSS*(x_PEN_K74*Q9+x_PEN_C22*R9)</f>
        <v>1819389.74741537</v>
      </c>
      <c r="AJ9" s="0" t="n">
        <f aca="false">x_EMP*x_WAGE*(x_WLOSS*(Q9+R9)+S9)+U9*x_ABS_D*x_WAGE/365</f>
        <v>506764173.663989</v>
      </c>
      <c r="AK9" s="0" t="n">
        <f aca="false">AJ9*x_R_FUS</f>
        <v>160340184.547286</v>
      </c>
      <c r="AL9" s="0" t="n">
        <f aca="false">AJ9*x_R_NFZ</f>
        <v>39355812.490919</v>
      </c>
      <c r="AM9" s="0" t="n">
        <f aca="false">AJ9*x_R_PIT</f>
        <v>33691797.4203292</v>
      </c>
      <c r="AN9" s="0" t="n">
        <f aca="false">AJ9*x_R_FP</f>
        <v>12922486.4284317</v>
      </c>
      <c r="AO9" s="0" t="n">
        <f aca="false">AA9+AB9+AC9+AD9+AF9</f>
        <v>520375461.73338</v>
      </c>
      <c r="AP9" s="0" t="n">
        <f aca="false">AO9+AE9+AG9+AH9+AI9+AK9+AL9+AM9+AN9</f>
        <v>800800454.664427</v>
      </c>
      <c r="AQ9" s="0" t="n">
        <f aca="false">AO9+AE9+AG9+AJ9</f>
        <v>1028363255.94265</v>
      </c>
      <c r="AR9" s="0" t="n">
        <f aca="false">AB9+AC9+AD9+AF9</f>
        <v>196804067.50689</v>
      </c>
      <c r="AS9" s="0" t="n">
        <f aca="false">AR9+AE9+AG9</f>
        <v>198027688.05217</v>
      </c>
    </row>
    <row r="10" customFormat="false" ht="15" hidden="false" customHeight="false" outlineLevel="0" collapsed="false">
      <c r="A10" s="0" t="n">
        <v>2033</v>
      </c>
      <c r="B10" s="0" t="n">
        <v>7</v>
      </c>
      <c r="C10" s="0" t="n">
        <v>5140.07</v>
      </c>
      <c r="D10" s="0" t="n">
        <v>50000000</v>
      </c>
      <c r="E10" s="0" t="n">
        <v>0</v>
      </c>
      <c r="F10" s="0" t="n">
        <v>0</v>
      </c>
      <c r="G10" s="0" t="n">
        <v>1</v>
      </c>
      <c r="H10" s="0" t="n">
        <v>2358.728</v>
      </c>
      <c r="I10" s="0" t="n">
        <v>310.071</v>
      </c>
      <c r="J10" s="0" t="n">
        <v>1669.071</v>
      </c>
      <c r="K10" s="0" t="n">
        <v>2859.164</v>
      </c>
      <c r="L10" s="0" t="n">
        <v>1404.678</v>
      </c>
      <c r="M10" s="0" t="n">
        <v>36182.299</v>
      </c>
      <c r="N10" s="0" t="n">
        <v>3722.374</v>
      </c>
      <c r="O10" s="0" t="n">
        <v>93.893</v>
      </c>
      <c r="P10" s="0" t="n">
        <v>92.998</v>
      </c>
      <c r="Q10" s="0" t="n">
        <v>2309.698</v>
      </c>
      <c r="R10" s="0" t="n">
        <v>2110.961</v>
      </c>
      <c r="S10" s="0" t="n">
        <v>4945.645</v>
      </c>
      <c r="T10" s="0" t="n">
        <v>2668.798</v>
      </c>
      <c r="U10" s="0" t="n">
        <v>1756.792</v>
      </c>
      <c r="V10" s="0" t="n">
        <v>122322.276</v>
      </c>
      <c r="W10" s="0" t="n">
        <v>336.427</v>
      </c>
      <c r="X10" s="0" t="n">
        <v>888.774</v>
      </c>
      <c r="Y10" s="0" t="n">
        <v>93.893</v>
      </c>
      <c r="Z10" s="0" t="n">
        <v>1011.253</v>
      </c>
      <c r="AA10" s="0" t="n">
        <f aca="false">H10*x_c_F+I10*x_c_CC+J10*x_c_DC+K10*x_c_HCC+L10*x_c_PLT+M10*x_c_SVRn+N10*x_c_SVRcc+O10*x_c_LT+P10*x_c_LT1</f>
        <v>332215132.145274</v>
      </c>
      <c r="AB10" s="0" t="n">
        <f aca="false">C10*x_c_DAA</f>
        <v>116987993.2</v>
      </c>
      <c r="AC10" s="0" t="n">
        <f aca="false">C10*x_c_MON</f>
        <v>29633171.17406</v>
      </c>
      <c r="AD10" s="0" t="n">
        <f aca="false">D10*(1-x_testy)</f>
        <v>50000000</v>
      </c>
      <c r="AE10" s="0" t="n">
        <f aca="false">E10*(1-x_testy)</f>
        <v>0</v>
      </c>
      <c r="AF10" s="0" t="n">
        <f aca="false">F10*x_NAV</f>
        <v>0</v>
      </c>
      <c r="AG10" s="0" t="n">
        <f aca="false">G10*x_FIX*(1-x_testy)</f>
        <v>1223620.54528</v>
      </c>
      <c r="AH10" s="0" t="n">
        <f aca="false">x_z_F*U10+(1-x_AGRI)*x_EMP*x_WLOSS*(x_PEN_K74*Q10+x_PEN_C22*R10)</f>
        <v>31935022.6867839</v>
      </c>
      <c r="AI10" s="0" t="n">
        <f aca="false">x_AGRI*x_EMP*x_WLOSS*(x_PEN_K74*Q10+x_PEN_C22*R10)</f>
        <v>1872110.64868102</v>
      </c>
      <c r="AJ10" s="0" t="n">
        <f aca="false">x_EMP*x_WAGE*(x_WLOSS*(Q10+R10)+S10)+U10*x_ABS_D*x_WAGE/365</f>
        <v>571523323.741175</v>
      </c>
      <c r="AK10" s="0" t="n">
        <f aca="false">AJ10*x_R_FUS</f>
        <v>180829979.631708</v>
      </c>
      <c r="AL10" s="0" t="n">
        <f aca="false">AJ10*x_R_NFZ</f>
        <v>44385072.8450633</v>
      </c>
      <c r="AM10" s="0" t="n">
        <f aca="false">AJ10*x_R_PIT</f>
        <v>37997256.0121197</v>
      </c>
      <c r="AN10" s="0" t="n">
        <f aca="false">AJ10*x_R_FP</f>
        <v>14573844.7553999</v>
      </c>
      <c r="AO10" s="0" t="n">
        <f aca="false">AA10+AB10+AC10+AD10+AF10</f>
        <v>528836296.519334</v>
      </c>
      <c r="AP10" s="0" t="n">
        <f aca="false">AO10+AE10+AG10+AH10+AI10+AK10+AL10+AM10+AN10</f>
        <v>841653203.64437</v>
      </c>
      <c r="AQ10" s="0" t="n">
        <f aca="false">AO10+AE10+AG10+AJ10</f>
        <v>1101583240.80579</v>
      </c>
      <c r="AR10" s="0" t="n">
        <f aca="false">AB10+AC10+AD10+AF10</f>
        <v>196621164.37406</v>
      </c>
      <c r="AS10" s="0" t="n">
        <f aca="false">AR10+AE10+AG10</f>
        <v>197844784.91934</v>
      </c>
    </row>
    <row r="11" customFormat="false" ht="15" hidden="false" customHeight="false" outlineLevel="0" collapsed="false">
      <c r="A11" s="0" t="n">
        <v>2034</v>
      </c>
      <c r="B11" s="0" t="n">
        <v>8</v>
      </c>
      <c r="C11" s="0" t="n">
        <v>5133.875</v>
      </c>
      <c r="D11" s="0" t="n">
        <v>50000000</v>
      </c>
      <c r="E11" s="0" t="n">
        <v>0</v>
      </c>
      <c r="F11" s="0" t="n">
        <v>0</v>
      </c>
      <c r="G11" s="0" t="n">
        <v>1</v>
      </c>
      <c r="H11" s="0" t="n">
        <v>2344.772</v>
      </c>
      <c r="I11" s="0" t="n">
        <v>318.872</v>
      </c>
      <c r="J11" s="0" t="n">
        <v>1699.512</v>
      </c>
      <c r="K11" s="0" t="n">
        <v>2917.301</v>
      </c>
      <c r="L11" s="0" t="n">
        <v>1392.434</v>
      </c>
      <c r="M11" s="0" t="n">
        <v>40034.421</v>
      </c>
      <c r="N11" s="0" t="n">
        <v>4188.506</v>
      </c>
      <c r="O11" s="0" t="n">
        <v>95.661</v>
      </c>
      <c r="P11" s="0" t="n">
        <v>94.777</v>
      </c>
      <c r="Q11" s="0" t="n">
        <v>2356.062</v>
      </c>
      <c r="R11" s="0" t="n">
        <v>2185.986</v>
      </c>
      <c r="S11" s="0" t="n">
        <v>5676.421</v>
      </c>
      <c r="T11" s="0" t="n">
        <v>2663.643</v>
      </c>
      <c r="U11" s="0" t="n">
        <v>1787.272</v>
      </c>
      <c r="V11" s="0" t="n">
        <v>123681.74</v>
      </c>
      <c r="W11" s="0" t="n">
        <v>342.137</v>
      </c>
      <c r="X11" s="0" t="n">
        <v>899.994</v>
      </c>
      <c r="Y11" s="0" t="n">
        <v>95.661</v>
      </c>
      <c r="Z11" s="0" t="n">
        <v>1030.138</v>
      </c>
      <c r="AA11" s="0" t="n">
        <f aca="false">H11*x_c_F+I11*x_c_CC+J11*x_c_DC+K11*x_c_HCC+L11*x_c_PLT+M11*x_c_SVRn+N11*x_c_SVRcc+O11*x_c_LT+P11*x_c_LT1</f>
        <v>340364586.235149</v>
      </c>
      <c r="AB11" s="0" t="n">
        <f aca="false">C11*x_c_DAA</f>
        <v>116846995</v>
      </c>
      <c r="AC11" s="0" t="n">
        <f aca="false">C11*x_c_MON</f>
        <v>29597456.1944151</v>
      </c>
      <c r="AD11" s="0" t="n">
        <f aca="false">D11*(1-x_testy)</f>
        <v>50000000</v>
      </c>
      <c r="AE11" s="0" t="n">
        <f aca="false">E11*(1-x_testy)</f>
        <v>0</v>
      </c>
      <c r="AF11" s="0" t="n">
        <f aca="false">F11*x_NAV</f>
        <v>0</v>
      </c>
      <c r="AG11" s="0" t="n">
        <f aca="false">G11*x_FIX*(1-x_testy)</f>
        <v>1223620.54528</v>
      </c>
      <c r="AH11" s="0" t="n">
        <f aca="false">x_z_F*U11+(1-x_AGRI)*x_EMP*x_WLOSS*(x_PEN_K74*Q11+x_PEN_C22*R11)</f>
        <v>32789430.6540513</v>
      </c>
      <c r="AI11" s="0" t="n">
        <f aca="false">x_AGRI*x_EMP*x_WLOSS*(x_PEN_K74*Q11+x_PEN_C22*R11)</f>
        <v>1924443.40335875</v>
      </c>
      <c r="AJ11" s="0" t="n">
        <f aca="false">x_EMP*x_WAGE*(x_WLOSS*(Q11+R11)+S11)+U11*x_ABS_D*x_WAGE/365</f>
        <v>637892420.169956</v>
      </c>
      <c r="AK11" s="0" t="n">
        <f aca="false">AJ11*x_R_FUS</f>
        <v>201829161.741774</v>
      </c>
      <c r="AL11" s="0" t="n">
        <f aca="false">AJ11*x_R_NFZ</f>
        <v>49539363.2428189</v>
      </c>
      <c r="AM11" s="0" t="n">
        <f aca="false">AJ11*x_R_PIT</f>
        <v>42409750.5570309</v>
      </c>
      <c r="AN11" s="0" t="n">
        <f aca="false">AJ11*x_R_FP</f>
        <v>16266256.7143339</v>
      </c>
      <c r="AO11" s="0" t="n">
        <f aca="false">AA11+AB11+AC11+AD11+AF11</f>
        <v>536809037.429565</v>
      </c>
      <c r="AP11" s="0" t="n">
        <f aca="false">AO11+AE11+AG11+AH11+AI11+AK11+AL11+AM11+AN11</f>
        <v>882791064.288212</v>
      </c>
      <c r="AQ11" s="0" t="n">
        <f aca="false">AO11+AE11+AG11+AJ11</f>
        <v>1175925078.1448</v>
      </c>
      <c r="AR11" s="0" t="n">
        <f aca="false">AB11+AC11+AD11+AF11</f>
        <v>196444451.194415</v>
      </c>
      <c r="AS11" s="0" t="n">
        <f aca="false">AR11+AE11+AG11</f>
        <v>197668071.739695</v>
      </c>
    </row>
    <row r="12" customFormat="false" ht="15" hidden="false" customHeight="false" outlineLevel="0" collapsed="false">
      <c r="A12" s="0" t="n">
        <v>2035</v>
      </c>
      <c r="B12" s="0" t="n">
        <v>9</v>
      </c>
      <c r="C12" s="0" t="n">
        <v>5127.878</v>
      </c>
      <c r="D12" s="0" t="n">
        <v>50000000</v>
      </c>
      <c r="E12" s="0" t="n">
        <v>0</v>
      </c>
      <c r="F12" s="0" t="n">
        <v>0</v>
      </c>
      <c r="G12" s="0" t="n">
        <v>1</v>
      </c>
      <c r="H12" s="0" t="n">
        <v>2269.251</v>
      </c>
      <c r="I12" s="0" t="n">
        <v>317.016</v>
      </c>
      <c r="J12" s="0" t="n">
        <v>1727.884</v>
      </c>
      <c r="K12" s="0" t="n">
        <v>2965.639</v>
      </c>
      <c r="L12" s="0" t="n">
        <v>1381.007</v>
      </c>
      <c r="M12" s="0" t="n">
        <v>43671.709</v>
      </c>
      <c r="N12" s="0" t="n">
        <v>4631.029</v>
      </c>
      <c r="O12" s="0" t="n">
        <v>97.294</v>
      </c>
      <c r="P12" s="0" t="n">
        <v>96.478</v>
      </c>
      <c r="Q12" s="0" t="n">
        <v>2403.341</v>
      </c>
      <c r="R12" s="0" t="n">
        <v>2255.853</v>
      </c>
      <c r="S12" s="0" t="n">
        <v>6424.6</v>
      </c>
      <c r="T12" s="0" t="n">
        <v>2586.267</v>
      </c>
      <c r="U12" s="0" t="n">
        <v>1766.458</v>
      </c>
      <c r="V12" s="0" t="n">
        <v>125030.186</v>
      </c>
      <c r="W12" s="0" t="n">
        <v>345.95</v>
      </c>
      <c r="X12" s="0" t="n">
        <v>906.654</v>
      </c>
      <c r="Y12" s="0" t="n">
        <v>97.294</v>
      </c>
      <c r="Z12" s="0" t="n">
        <v>1046.534</v>
      </c>
      <c r="AA12" s="0" t="n">
        <f aca="false">H12*x_c_F+I12*x_c_CC+J12*x_c_DC+K12*x_c_HCC+L12*x_c_PLT+M12*x_c_SVRn+N12*x_c_SVRcc+O12*x_c_LT+P12*x_c_LT1</f>
        <v>347400277.451671</v>
      </c>
      <c r="AB12" s="0" t="n">
        <f aca="false">C12*x_c_DAA</f>
        <v>116710503.28</v>
      </c>
      <c r="AC12" s="0" t="n">
        <f aca="false">C12*x_c_MON</f>
        <v>29562882.7104877</v>
      </c>
      <c r="AD12" s="0" t="n">
        <f aca="false">D12*(1-x_testy)</f>
        <v>50000000</v>
      </c>
      <c r="AE12" s="0" t="n">
        <f aca="false">E12*(1-x_testy)</f>
        <v>0</v>
      </c>
      <c r="AF12" s="0" t="n">
        <f aca="false">F12*x_NAV</f>
        <v>0</v>
      </c>
      <c r="AG12" s="0" t="n">
        <f aca="false">G12*x_FIX*(1-x_testy)</f>
        <v>1223620.54528</v>
      </c>
      <c r="AH12" s="0" t="n">
        <f aca="false">x_z_F*U12+(1-x_AGRI)*x_EMP*x_WLOSS*(x_PEN_K74*Q12+x_PEN_C22*R12)</f>
        <v>33508627.190938</v>
      </c>
      <c r="AI12" s="0" t="n">
        <f aca="false">x_AGRI*x_EMP*x_WLOSS*(x_PEN_K74*Q12+x_PEN_C22*R12)</f>
        <v>1974809.35963096</v>
      </c>
      <c r="AJ12" s="0" t="n">
        <f aca="false">x_EMP*x_WAGE*(x_WLOSS*(Q12+R12)+S12)+U12*x_ABS_D*x_WAGE/365</f>
        <v>705455754.338646</v>
      </c>
      <c r="AK12" s="0" t="n">
        <f aca="false">AJ12*x_R_FUS</f>
        <v>223206200.672748</v>
      </c>
      <c r="AL12" s="0" t="n">
        <f aca="false">AJ12*x_R_NFZ</f>
        <v>54786399.3376936</v>
      </c>
      <c r="AM12" s="0" t="n">
        <f aca="false">AJ12*x_R_PIT</f>
        <v>46901643.0114546</v>
      </c>
      <c r="AN12" s="0" t="n">
        <f aca="false">AJ12*x_R_FP</f>
        <v>17989121.7356355</v>
      </c>
      <c r="AO12" s="0" t="n">
        <f aca="false">AA12+AB12+AC12+AD12+AF12</f>
        <v>543673663.442159</v>
      </c>
      <c r="AP12" s="0" t="n">
        <f aca="false">AO12+AE12+AG12+AH12+AI12+AK12+AL12+AM12+AN12</f>
        <v>923264085.295539</v>
      </c>
      <c r="AQ12" s="0" t="n">
        <f aca="false">AO12+AE12+AG12+AJ12</f>
        <v>1250353038.32609</v>
      </c>
      <c r="AR12" s="0" t="n">
        <f aca="false">AB12+AC12+AD12+AF12</f>
        <v>196273385.990488</v>
      </c>
      <c r="AS12" s="0" t="n">
        <f aca="false">AR12+AE12+AG12</f>
        <v>197497006.535768</v>
      </c>
    </row>
    <row r="13" customFormat="false" ht="15" hidden="false" customHeight="false" outlineLevel="0" collapsed="false">
      <c r="A13" s="0" t="n">
        <v>2036</v>
      </c>
      <c r="B13" s="0" t="n">
        <v>10</v>
      </c>
      <c r="C13" s="0" t="n">
        <v>4832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2197.122</v>
      </c>
      <c r="I13" s="0" t="n">
        <v>313.48</v>
      </c>
      <c r="J13" s="0" t="n">
        <v>1752.808</v>
      </c>
      <c r="K13" s="0" t="n">
        <v>3002.99</v>
      </c>
      <c r="L13" s="0" t="n">
        <v>1370.197</v>
      </c>
      <c r="M13" s="0" t="n">
        <v>47099.1</v>
      </c>
      <c r="N13" s="0" t="n">
        <v>5046.437</v>
      </c>
      <c r="O13" s="0" t="n">
        <v>98.692</v>
      </c>
      <c r="P13" s="0" t="n">
        <v>97.993</v>
      </c>
      <c r="Q13" s="0" t="n">
        <v>2450.32</v>
      </c>
      <c r="R13" s="0" t="n">
        <v>2319.538</v>
      </c>
      <c r="S13" s="0" t="n">
        <v>7187.543</v>
      </c>
      <c r="T13" s="0" t="n">
        <v>2510.602</v>
      </c>
      <c r="U13" s="0" t="n">
        <v>1744.505</v>
      </c>
      <c r="V13" s="0" t="n">
        <v>126361.259</v>
      </c>
      <c r="W13" s="0" t="n">
        <v>348.442</v>
      </c>
      <c r="X13" s="0" t="n">
        <v>910.205</v>
      </c>
      <c r="Y13" s="0" t="n">
        <v>98.692</v>
      </c>
      <c r="Z13" s="0" t="n">
        <v>1059.573</v>
      </c>
      <c r="AA13" s="0" t="n">
        <f aca="false">H13*x_c_F+I13*x_c_CC+J13*x_c_DC+K13*x_c_HCC+L13*x_c_PLT+M13*x_c_SVRn+N13*x_c_SVRcc+O13*x_c_LT+P13*x_c_LT1</f>
        <v>353411147.37535</v>
      </c>
      <c r="AB13" s="0" t="n">
        <f aca="false">C13*x_c_DAA</f>
        <v>109976320</v>
      </c>
      <c r="AC13" s="0" t="n">
        <f aca="false">C13*x_c_MON</f>
        <v>27857107.6100244</v>
      </c>
      <c r="AD13" s="0" t="n">
        <f aca="false">D13*(1-x_testy)</f>
        <v>0</v>
      </c>
      <c r="AE13" s="0" t="n">
        <f aca="false">E13*(1-x_testy)</f>
        <v>0</v>
      </c>
      <c r="AF13" s="0" t="n">
        <f aca="false">F13*x_NAV</f>
        <v>0</v>
      </c>
      <c r="AG13" s="0" t="n">
        <f aca="false">G13*x_FIX*(1-x_testy)</f>
        <v>0</v>
      </c>
      <c r="AH13" s="0" t="n">
        <f aca="false">x_z_F*U13+(1-x_AGRI)*x_EMP*x_WLOSS*(x_PEN_K74*Q13+x_PEN_C22*R13)</f>
        <v>34181418.0690134</v>
      </c>
      <c r="AI13" s="0" t="n">
        <f aca="false">x_AGRI*x_EMP*x_WLOSS*(x_PEN_K74*Q13+x_PEN_C22*R13)</f>
        <v>2022262.77130505</v>
      </c>
      <c r="AJ13" s="0" t="n">
        <f aca="false">x_EMP*x_WAGE*(x_WLOSS*(Q13+R13)+S13)+U13*x_ABS_D*x_WAGE/365</f>
        <v>774062363.097344</v>
      </c>
      <c r="AK13" s="0" t="n">
        <f aca="false">AJ13*x_R_FUS</f>
        <v>244913331.684</v>
      </c>
      <c r="AL13" s="0" t="n">
        <f aca="false">AJ13*x_R_NFZ</f>
        <v>60114457.1805028</v>
      </c>
      <c r="AM13" s="0" t="n">
        <f aca="false">AJ13*x_R_PIT</f>
        <v>51462896.7150885</v>
      </c>
      <c r="AN13" s="0" t="n">
        <f aca="false">AJ13*x_R_FP</f>
        <v>19738590.2589823</v>
      </c>
      <c r="AO13" s="0" t="n">
        <f aca="false">AA13+AB13+AC13+AD13+AF13</f>
        <v>491244574.985375</v>
      </c>
      <c r="AP13" s="0" t="n">
        <f aca="false">AO13+AE13+AG13+AH13+AI13+AK13+AL13+AM13+AN13</f>
        <v>903677531.664266</v>
      </c>
      <c r="AQ13" s="0" t="n">
        <f aca="false">AO13+AE13+AG13+AJ13</f>
        <v>1265306938.08272</v>
      </c>
      <c r="AR13" s="0" t="n">
        <f aca="false">AB13+AC13+AD13+AF13</f>
        <v>137833427.610024</v>
      </c>
      <c r="AS13" s="0" t="n">
        <f aca="false">AR13+AE13+AG13</f>
        <v>137833427.610024</v>
      </c>
    </row>
    <row r="14" customFormat="false" ht="15" hidden="false" customHeight="false" outlineLevel="0" collapsed="false">
      <c r="A14" s="0" t="n">
        <v>2037</v>
      </c>
      <c r="B14" s="0" t="n">
        <v>11</v>
      </c>
      <c r="C14" s="0" t="n">
        <v>4832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2191.641</v>
      </c>
      <c r="I14" s="0" t="n">
        <v>317.272</v>
      </c>
      <c r="J14" s="0" t="n">
        <v>1773.162</v>
      </c>
      <c r="K14" s="0" t="n">
        <v>3028.659</v>
      </c>
      <c r="L14" s="0" t="n">
        <v>1359.685</v>
      </c>
      <c r="M14" s="0" t="n">
        <v>50443.854</v>
      </c>
      <c r="N14" s="0" t="n">
        <v>5448.712</v>
      </c>
      <c r="O14" s="0" t="n">
        <v>99.815</v>
      </c>
      <c r="P14" s="0" t="n">
        <v>99.254</v>
      </c>
      <c r="Q14" s="0" t="n">
        <v>2495.901</v>
      </c>
      <c r="R14" s="0" t="n">
        <v>2376.368</v>
      </c>
      <c r="S14" s="0" t="n">
        <v>7961.997</v>
      </c>
      <c r="T14" s="0" t="n">
        <v>2508.913</v>
      </c>
      <c r="U14" s="0" t="n">
        <v>1771.303</v>
      </c>
      <c r="V14" s="0" t="n">
        <v>127675.309</v>
      </c>
      <c r="W14" s="0" t="n">
        <v>349.101</v>
      </c>
      <c r="X14" s="0" t="n">
        <v>909.555</v>
      </c>
      <c r="Y14" s="0" t="n">
        <v>99.815</v>
      </c>
      <c r="Z14" s="0" t="n">
        <v>1069.102</v>
      </c>
      <c r="AA14" s="0" t="n">
        <f aca="false">H14*x_c_F+I14*x_c_CC+J14*x_c_DC+K14*x_c_HCC+L14*x_c_PLT+M14*x_c_SVRn+N14*x_c_SVRcc+O14*x_c_LT+P14*x_c_LT1</f>
        <v>358658417.870178</v>
      </c>
      <c r="AB14" s="0" t="n">
        <f aca="false">C14*x_c_DAA</f>
        <v>109976320</v>
      </c>
      <c r="AC14" s="0" t="n">
        <f aca="false">C14*x_c_MON</f>
        <v>27857107.6100244</v>
      </c>
      <c r="AD14" s="0" t="n">
        <f aca="false">D14*(1-x_testy)</f>
        <v>0</v>
      </c>
      <c r="AE14" s="0" t="n">
        <f aca="false">E14*(1-x_testy)</f>
        <v>0</v>
      </c>
      <c r="AF14" s="0" t="n">
        <f aca="false">F14*x_NAV</f>
        <v>0</v>
      </c>
      <c r="AG14" s="0" t="n">
        <f aca="false">G14*x_FIX*(1-x_testy)</f>
        <v>0</v>
      </c>
      <c r="AH14" s="0" t="n">
        <f aca="false">x_z_F*U14+(1-x_AGRI)*x_EMP*x_WLOSS*(x_PEN_K74*Q14+x_PEN_C22*R14)</f>
        <v>34899167.4015186</v>
      </c>
      <c r="AI14" s="0" t="n">
        <f aca="false">x_AGRI*x_EMP*x_WLOSS*(x_PEN_K74*Q14+x_PEN_C22*R14)</f>
        <v>2066063.00490625</v>
      </c>
      <c r="AJ14" s="0" t="n">
        <f aca="false">x_EMP*x_WAGE*(x_WLOSS*(Q14+R14)+S14)+U14*x_ABS_D*x_WAGE/365</f>
        <v>843523473.287974</v>
      </c>
      <c r="AK14" s="0" t="n">
        <f aca="false">AJ14*x_R_FUS</f>
        <v>266890826.948315</v>
      </c>
      <c r="AL14" s="0" t="n">
        <f aca="false">AJ14*x_R_NFZ</f>
        <v>65508876.4590174</v>
      </c>
      <c r="AM14" s="0" t="n">
        <f aca="false">AJ14*x_R_PIT</f>
        <v>56080961.2404738</v>
      </c>
      <c r="AN14" s="0" t="n">
        <f aca="false">AJ14*x_R_FP</f>
        <v>21509848.5688433</v>
      </c>
      <c r="AO14" s="0" t="n">
        <f aca="false">AA14+AB14+AC14+AD14+AF14</f>
        <v>496491845.480203</v>
      </c>
      <c r="AP14" s="0" t="n">
        <f aca="false">AO14+AE14+AG14+AH14+AI14+AK14+AL14+AM14+AN14</f>
        <v>943447589.103277</v>
      </c>
      <c r="AQ14" s="0" t="n">
        <f aca="false">AO14+AE14+AG14+AJ14</f>
        <v>1340015318.76818</v>
      </c>
      <c r="AR14" s="0" t="n">
        <f aca="false">AB14+AC14+AD14+AF14</f>
        <v>137833427.610024</v>
      </c>
      <c r="AS14" s="0" t="n">
        <f aca="false">AR14+AE14+AG14</f>
        <v>137833427.610024</v>
      </c>
    </row>
    <row r="15" customFormat="false" ht="15" hidden="false" customHeight="false" outlineLevel="0" collapsed="false">
      <c r="A15" s="0" t="n">
        <v>2038</v>
      </c>
      <c r="B15" s="0" t="n">
        <v>12</v>
      </c>
      <c r="C15" s="0" t="n">
        <v>4832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2187.779</v>
      </c>
      <c r="I15" s="0" t="n">
        <v>319.44</v>
      </c>
      <c r="J15" s="0" t="n">
        <v>1787.82</v>
      </c>
      <c r="K15" s="0" t="n">
        <v>3041.756</v>
      </c>
      <c r="L15" s="0" t="n">
        <v>1349.112</v>
      </c>
      <c r="M15" s="0" t="n">
        <v>53705.631</v>
      </c>
      <c r="N15" s="0" t="n">
        <v>5833.889</v>
      </c>
      <c r="O15" s="0" t="n">
        <v>100.599</v>
      </c>
      <c r="P15" s="0" t="n">
        <v>100.207</v>
      </c>
      <c r="Q15" s="0" t="n">
        <v>1648.824</v>
      </c>
      <c r="R15" s="0" t="n">
        <v>1589.11</v>
      </c>
      <c r="S15" s="0" t="n">
        <v>5550.946</v>
      </c>
      <c r="T15" s="0" t="n">
        <v>2507.219</v>
      </c>
      <c r="U15" s="0" t="n">
        <v>1512.029</v>
      </c>
      <c r="V15" s="0" t="n">
        <v>128966.829</v>
      </c>
      <c r="W15" s="0" t="n">
        <v>348.011</v>
      </c>
      <c r="X15" s="0" t="n">
        <v>904.948</v>
      </c>
      <c r="Y15" s="0" t="n">
        <v>100.599</v>
      </c>
      <c r="Z15" s="0" t="n">
        <v>1074.63</v>
      </c>
      <c r="AA15" s="0" t="n">
        <f aca="false">H15*x_c_F+I15*x_c_CC+J15*x_c_DC+K15*x_c_HCC+L15*x_c_PLT+M15*x_c_SVRn+N15*x_c_SVRcc+O15*x_c_LT+P15*x_c_LT1</f>
        <v>362777819.658668</v>
      </c>
      <c r="AB15" s="0" t="n">
        <f aca="false">C15*x_c_DAA</f>
        <v>109976320</v>
      </c>
      <c r="AC15" s="0" t="n">
        <f aca="false">C15*x_c_MON</f>
        <v>27857107.6100244</v>
      </c>
      <c r="AD15" s="0" t="n">
        <f aca="false">D15*(1-x_testy)</f>
        <v>0</v>
      </c>
      <c r="AE15" s="0" t="n">
        <f aca="false">E15*(1-x_testy)</f>
        <v>0</v>
      </c>
      <c r="AF15" s="0" t="n">
        <f aca="false">F15*x_NAV</f>
        <v>0</v>
      </c>
      <c r="AG15" s="0" t="n">
        <f aca="false">G15*x_FIX*(1-x_testy)</f>
        <v>0</v>
      </c>
      <c r="AH15" s="0" t="n">
        <f aca="false">x_z_F*U15+(1-x_AGRI)*x_EMP*x_WLOSS*(x_PEN_K74*Q15+x_PEN_C22*R15)</f>
        <v>23889313.3881145</v>
      </c>
      <c r="AI15" s="0" t="n">
        <f aca="false">x_AGRI*x_EMP*x_WLOSS*(x_PEN_K74*Q15+x_PEN_C22*R15)</f>
        <v>1373565.91036266</v>
      </c>
      <c r="AJ15" s="0" t="n">
        <f aca="false">x_EMP*x_WAGE*(x_WLOSS*(Q15+R15)+S15)+U15*x_ABS_D*x_WAGE/365</f>
        <v>583700251.88456</v>
      </c>
      <c r="AK15" s="0" t="n">
        <f aca="false">AJ15*x_R_FUS</f>
        <v>184682759.696275</v>
      </c>
      <c r="AL15" s="0" t="n">
        <f aca="false">AJ15*x_R_NFZ</f>
        <v>45330745.2616068</v>
      </c>
      <c r="AM15" s="0" t="n">
        <f aca="false">AJ15*x_R_PIT</f>
        <v>38806829.0197035</v>
      </c>
      <c r="AN15" s="0" t="n">
        <f aca="false">AJ15*x_R_FP</f>
        <v>14884356.4230563</v>
      </c>
      <c r="AO15" s="0" t="n">
        <f aca="false">AA15+AB15+AC15+AD15+AF15</f>
        <v>500611247.268692</v>
      </c>
      <c r="AP15" s="0" t="n">
        <f aca="false">AO15+AE15+AG15+AH15+AI15+AK15+AL15+AM15+AN15</f>
        <v>809578816.967811</v>
      </c>
      <c r="AQ15" s="0" t="n">
        <f aca="false">AO15+AE15+AG15+AJ15</f>
        <v>1084311499.15325</v>
      </c>
      <c r="AR15" s="0" t="n">
        <f aca="false">AB15+AC15+AD15+AF15</f>
        <v>137833427.610024</v>
      </c>
      <c r="AS15" s="0" t="n">
        <f aca="false">AR15+AE15+AG15</f>
        <v>137833427.610024</v>
      </c>
    </row>
    <row r="16" customFormat="false" ht="15" hidden="false" customHeight="false" outlineLevel="0" collapsed="false">
      <c r="A16" s="0" t="n">
        <v>2039</v>
      </c>
      <c r="B16" s="0" t="n">
        <v>13</v>
      </c>
      <c r="C16" s="0" t="n">
        <v>4832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2185.482</v>
      </c>
      <c r="I16" s="0" t="n">
        <v>320.041</v>
      </c>
      <c r="J16" s="0" t="n">
        <v>1795.965</v>
      </c>
      <c r="K16" s="0" t="n">
        <v>3041.944</v>
      </c>
      <c r="L16" s="0" t="n">
        <v>1338.075</v>
      </c>
      <c r="M16" s="0" t="n">
        <v>56883.627</v>
      </c>
      <c r="N16" s="0" t="n">
        <v>6198.116</v>
      </c>
      <c r="O16" s="0" t="n">
        <v>101</v>
      </c>
      <c r="P16" s="0" t="n">
        <v>100.8</v>
      </c>
      <c r="Q16" s="0" t="n">
        <v>791.304</v>
      </c>
      <c r="R16" s="0" t="n">
        <v>790.988</v>
      </c>
      <c r="S16" s="0" t="n">
        <v>2885.799</v>
      </c>
      <c r="T16" s="0" t="n">
        <v>2505.524</v>
      </c>
      <c r="U16" s="0" t="n">
        <v>1267.485</v>
      </c>
      <c r="V16" s="0" t="n">
        <v>130230.669</v>
      </c>
      <c r="W16" s="0" t="n">
        <v>345.291</v>
      </c>
      <c r="X16" s="0" t="n">
        <v>896.699</v>
      </c>
      <c r="Y16" s="0" t="n">
        <v>101</v>
      </c>
      <c r="Z16" s="0" t="n">
        <v>1075.889</v>
      </c>
      <c r="AA16" s="0" t="n">
        <f aca="false">H16*x_c_F+I16*x_c_CC+J16*x_c_DC+K16*x_c_HCC+L16*x_c_PLT+M16*x_c_SVRn+N16*x_c_SVRcc+O16*x_c_LT+P16*x_c_LT1</f>
        <v>365692145.936624</v>
      </c>
      <c r="AB16" s="0" t="n">
        <f aca="false">C16*x_c_DAA</f>
        <v>109976320</v>
      </c>
      <c r="AC16" s="0" t="n">
        <f aca="false">C16*x_c_MON</f>
        <v>27857107.6100244</v>
      </c>
      <c r="AD16" s="0" t="n">
        <f aca="false">D16*(1-x_testy)</f>
        <v>0</v>
      </c>
      <c r="AE16" s="0" t="n">
        <f aca="false">E16*(1-x_testy)</f>
        <v>0</v>
      </c>
      <c r="AF16" s="0" t="n">
        <f aca="false">F16*x_NAV</f>
        <v>0</v>
      </c>
      <c r="AG16" s="0" t="n">
        <f aca="false">G16*x_FIX*(1-x_testy)</f>
        <v>0</v>
      </c>
      <c r="AH16" s="0" t="n">
        <f aca="false">x_z_F*U16+(1-x_AGRI)*x_EMP*x_WLOSS*(x_PEN_K74*Q16+x_PEN_C22*R16)</f>
        <v>12772662.7110168</v>
      </c>
      <c r="AI16" s="0" t="n">
        <f aca="false">x_AGRI*x_EMP*x_WLOSS*(x_PEN_K74*Q16+x_PEN_C22*R16)</f>
        <v>672008.079760119</v>
      </c>
      <c r="AJ16" s="0" t="n">
        <f aca="false">x_EMP*x_WAGE*(x_WLOSS*(Q16+R16)+S16)+U16*x_ABS_D*x_WAGE/365</f>
        <v>301558538.601298</v>
      </c>
      <c r="AK16" s="0" t="n">
        <f aca="false">AJ16*x_R_FUS</f>
        <v>95413121.6134506</v>
      </c>
      <c r="AL16" s="0" t="n">
        <f aca="false">AJ16*x_R_NFZ</f>
        <v>23419337.6663154</v>
      </c>
      <c r="AM16" s="0" t="n">
        <f aca="false">AJ16*x_R_PIT</f>
        <v>20048870.3048335</v>
      </c>
      <c r="AN16" s="0" t="n">
        <f aca="false">AJ16*x_R_FP</f>
        <v>7689742.73433309</v>
      </c>
      <c r="AO16" s="0" t="n">
        <f aca="false">AA16+AB16+AC16+AD16+AF16</f>
        <v>503525573.546648</v>
      </c>
      <c r="AP16" s="0" t="n">
        <f aca="false">AO16+AE16+AG16+AH16+AI16+AK16+AL16+AM16+AN16</f>
        <v>663541316.656358</v>
      </c>
      <c r="AQ16" s="0" t="n">
        <f aca="false">AO16+AE16+AG16+AJ16</f>
        <v>805084112.147946</v>
      </c>
      <c r="AR16" s="0" t="n">
        <f aca="false">AB16+AC16+AD16+AF16</f>
        <v>137833427.610024</v>
      </c>
      <c r="AS16" s="0" t="n">
        <f aca="false">AR16+AE16+AG16</f>
        <v>137833427.610024</v>
      </c>
    </row>
    <row r="17" customFormat="false" ht="15" hidden="false" customHeight="false" outlineLevel="0" collapsed="false">
      <c r="A17" s="0" t="n">
        <v>2040</v>
      </c>
      <c r="B17" s="0" t="n">
        <v>14</v>
      </c>
      <c r="C17" s="0" t="n">
        <v>4832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2184.664</v>
      </c>
      <c r="I17" s="0" t="n">
        <v>319.167</v>
      </c>
      <c r="J17" s="0" t="n">
        <v>1797.137</v>
      </c>
      <c r="K17" s="0" t="n">
        <v>3029.447</v>
      </c>
      <c r="L17" s="0" t="n">
        <v>1326.186</v>
      </c>
      <c r="M17" s="0" t="n">
        <v>59977.991</v>
      </c>
      <c r="N17" s="0" t="n">
        <v>6537.953</v>
      </c>
      <c r="O17" s="0" t="n">
        <v>100.998</v>
      </c>
      <c r="P17" s="0" t="n">
        <v>100.999</v>
      </c>
      <c r="Q17" s="0" t="n">
        <v>815.498</v>
      </c>
      <c r="R17" s="0" t="n">
        <v>822.901</v>
      </c>
      <c r="S17" s="0" t="n">
        <v>3161.888</v>
      </c>
      <c r="T17" s="0" t="n">
        <v>2503.831</v>
      </c>
      <c r="U17" s="0" t="n">
        <v>1322.33</v>
      </c>
      <c r="V17" s="0" t="n">
        <v>131464.477</v>
      </c>
      <c r="W17" s="0" t="n">
        <v>341.11</v>
      </c>
      <c r="X17" s="0" t="n">
        <v>885.215</v>
      </c>
      <c r="Y17" s="0" t="n">
        <v>100.998</v>
      </c>
      <c r="Z17" s="0" t="n">
        <v>1072.836</v>
      </c>
      <c r="AA17" s="0" t="n">
        <f aca="false">H17*x_c_F+I17*x_c_CC+J17*x_c_DC+K17*x_c_HCC+L17*x_c_PLT+M17*x_c_SVRn+N17*x_c_SVRcc+O17*x_c_LT+P17*x_c_LT1</f>
        <v>367377281.543382</v>
      </c>
      <c r="AB17" s="0" t="n">
        <f aca="false">C17*x_c_DAA</f>
        <v>109976320</v>
      </c>
      <c r="AC17" s="0" t="n">
        <f aca="false">C17*x_c_MON</f>
        <v>27857107.6100244</v>
      </c>
      <c r="AD17" s="0" t="n">
        <f aca="false">D17*(1-x_testy)</f>
        <v>0</v>
      </c>
      <c r="AE17" s="0" t="n">
        <f aca="false">E17*(1-x_testy)</f>
        <v>0</v>
      </c>
      <c r="AF17" s="0" t="n">
        <f aca="false">F17*x_NAV</f>
        <v>0</v>
      </c>
      <c r="AG17" s="0" t="n">
        <f aca="false">G17*x_FIX*(1-x_testy)</f>
        <v>0</v>
      </c>
      <c r="AH17" s="0" t="n">
        <f aca="false">x_z_F*U17+(1-x_AGRI)*x_EMP*x_WLOSS*(x_PEN_K74*Q17+x_PEN_C22*R17)</f>
        <v>13249100.5332372</v>
      </c>
      <c r="AI17" s="0" t="n">
        <f aca="false">x_AGRI*x_EMP*x_WLOSS*(x_PEN_K74*Q17+x_PEN_C22*R17)</f>
        <v>696046.737208399</v>
      </c>
      <c r="AJ17" s="0" t="n">
        <f aca="false">x_EMP*x_WAGE*(x_WLOSS*(Q17+R17)+S17)+U17*x_ABS_D*x_WAGE/365</f>
        <v>327095590.088213</v>
      </c>
      <c r="AK17" s="0" t="n">
        <f aca="false">AJ17*x_R_FUS</f>
        <v>103493044.703911</v>
      </c>
      <c r="AL17" s="0" t="n">
        <f aca="false">AJ17*x_R_NFZ</f>
        <v>25402570.6218407</v>
      </c>
      <c r="AM17" s="0" t="n">
        <f aca="false">AJ17*x_R_PIT</f>
        <v>21746680.0753801</v>
      </c>
      <c r="AN17" s="0" t="n">
        <f aca="false">AJ17*x_R_FP</f>
        <v>8340937.54724942</v>
      </c>
      <c r="AO17" s="0" t="n">
        <f aca="false">AA17+AB17+AC17+AD17+AF17</f>
        <v>505210709.153406</v>
      </c>
      <c r="AP17" s="0" t="n">
        <f aca="false">AO17+AE17+AG17+AH17+AI17+AK17+AL17+AM17+AN17</f>
        <v>678139089.372232</v>
      </c>
      <c r="AQ17" s="0" t="n">
        <f aca="false">AO17+AE17+AG17+AJ17</f>
        <v>832306299.241619</v>
      </c>
      <c r="AR17" s="0" t="n">
        <f aca="false">AB17+AC17+AD17+AF17</f>
        <v>137833427.610024</v>
      </c>
      <c r="AS17" s="0" t="n">
        <f aca="false">AR17+AE17+AG17</f>
        <v>137833427.610024</v>
      </c>
    </row>
    <row r="18" customFormat="false" ht="15" hidden="false" customHeight="false" outlineLevel="0" collapsed="false">
      <c r="A18" s="0" t="n">
        <v>2041</v>
      </c>
      <c r="B18" s="0" t="n">
        <v>15</v>
      </c>
      <c r="C18" s="0" t="n">
        <v>4832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2185.208</v>
      </c>
      <c r="I18" s="0" t="n">
        <v>316.941</v>
      </c>
      <c r="J18" s="0" t="n">
        <v>1791.268</v>
      </c>
      <c r="K18" s="0" t="n">
        <v>3005.052</v>
      </c>
      <c r="L18" s="0" t="n">
        <v>1313.146</v>
      </c>
      <c r="M18" s="0" t="n">
        <v>62991.39</v>
      </c>
      <c r="N18" s="0" t="n">
        <v>6850.72</v>
      </c>
      <c r="O18" s="0" t="n">
        <v>100.595</v>
      </c>
      <c r="P18" s="0" t="n">
        <v>100.796</v>
      </c>
      <c r="Q18" s="0" t="n">
        <v>840.721</v>
      </c>
      <c r="R18" s="0" t="n">
        <v>855.896</v>
      </c>
      <c r="S18" s="0" t="n">
        <v>3447.855</v>
      </c>
      <c r="T18" s="0" t="n">
        <v>2502.149</v>
      </c>
      <c r="U18" s="0" t="n">
        <v>1375.591</v>
      </c>
      <c r="V18" s="0" t="n">
        <v>132670.54</v>
      </c>
      <c r="W18" s="0" t="n">
        <v>335.672</v>
      </c>
      <c r="X18" s="0" t="n">
        <v>870.982</v>
      </c>
      <c r="Y18" s="0" t="n">
        <v>100.595</v>
      </c>
      <c r="Z18" s="0" t="n">
        <v>1065.669</v>
      </c>
      <c r="AA18" s="0" t="n">
        <f aca="false">H18*x_c_F+I18*x_c_CC+J18*x_c_DC+K18*x_c_HCC+L18*x_c_PLT+M18*x_c_SVRn+N18*x_c_SVRcc+O18*x_c_LT+P18*x_c_LT1</f>
        <v>367866900.827517</v>
      </c>
      <c r="AB18" s="0" t="n">
        <f aca="false">C18*x_c_DAA</f>
        <v>109976320</v>
      </c>
      <c r="AC18" s="0" t="n">
        <f aca="false">C18*x_c_MON</f>
        <v>27857107.6100244</v>
      </c>
      <c r="AD18" s="0" t="n">
        <f aca="false">D18*(1-x_testy)</f>
        <v>0</v>
      </c>
      <c r="AE18" s="0" t="n">
        <f aca="false">E18*(1-x_testy)</f>
        <v>0</v>
      </c>
      <c r="AF18" s="0" t="n">
        <f aca="false">F18*x_NAV</f>
        <v>0</v>
      </c>
      <c r="AG18" s="0" t="n">
        <f aca="false">G18*x_FIX*(1-x_testy)</f>
        <v>0</v>
      </c>
      <c r="AH18" s="0" t="n">
        <f aca="false">x_z_F*U18+(1-x_AGRI)*x_EMP*x_WLOSS*(x_PEN_K74*Q18+x_PEN_C22*R18)</f>
        <v>13735867.7081648</v>
      </c>
      <c r="AI18" s="0" t="n">
        <f aca="false">x_AGRI*x_EMP*x_WLOSS*(x_PEN_K74*Q18+x_PEN_C22*R18)</f>
        <v>720983.397156241</v>
      </c>
      <c r="AJ18" s="0" t="n">
        <f aca="false">x_EMP*x_WAGE*(x_WLOSS*(Q18+R18)+S18)+U18*x_ABS_D*x_WAGE/365</f>
        <v>353539288.06633</v>
      </c>
      <c r="AK18" s="0" t="n">
        <f aca="false">AJ18*x_R_FUS</f>
        <v>111859830.744187</v>
      </c>
      <c r="AL18" s="0" t="n">
        <f aca="false">AJ18*x_R_NFZ</f>
        <v>27456214.6505193</v>
      </c>
      <c r="AM18" s="0" t="n">
        <f aca="false">AJ18*x_R_PIT</f>
        <v>23504767.4888637</v>
      </c>
      <c r="AN18" s="0" t="n">
        <f aca="false">AJ18*x_R_FP</f>
        <v>9015251.84569143</v>
      </c>
      <c r="AO18" s="0" t="n">
        <f aca="false">AA18+AB18+AC18+AD18+AF18</f>
        <v>505700328.437541</v>
      </c>
      <c r="AP18" s="0" t="n">
        <f aca="false">AO18+AE18+AG18+AH18+AI18+AK18+AL18+AM18+AN18</f>
        <v>691993244.272124</v>
      </c>
      <c r="AQ18" s="0" t="n">
        <f aca="false">AO18+AE18+AG18+AJ18</f>
        <v>859239616.503872</v>
      </c>
      <c r="AR18" s="0" t="n">
        <f aca="false">AB18+AC18+AD18+AF18</f>
        <v>137833427.610024</v>
      </c>
      <c r="AS18" s="0" t="n">
        <f aca="false">AR18+AE18+AG18</f>
        <v>137833427.610024</v>
      </c>
    </row>
    <row r="19" customFormat="false" ht="15" hidden="false" customHeight="false" outlineLevel="0" collapsed="false">
      <c r="A19" s="0" t="n">
        <v>2042</v>
      </c>
      <c r="B19" s="0" t="n">
        <v>16</v>
      </c>
      <c r="C19" s="0" t="n">
        <v>4832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2186.97</v>
      </c>
      <c r="I19" s="0" t="n">
        <v>313.516</v>
      </c>
      <c r="J19" s="0" t="n">
        <v>1778.489</v>
      </c>
      <c r="K19" s="0" t="n">
        <v>2969.797</v>
      </c>
      <c r="L19" s="0" t="n">
        <v>1298.48</v>
      </c>
      <c r="M19" s="0" t="n">
        <v>65923.186</v>
      </c>
      <c r="N19" s="0" t="n">
        <v>7133.861</v>
      </c>
      <c r="O19" s="0" t="n">
        <v>99.796</v>
      </c>
      <c r="P19" s="0" t="n">
        <v>100.196</v>
      </c>
      <c r="Q19" s="0" t="n">
        <v>867.01</v>
      </c>
      <c r="R19" s="0" t="n">
        <v>890.078</v>
      </c>
      <c r="S19" s="0" t="n">
        <v>3743.875</v>
      </c>
      <c r="T19" s="0" t="n">
        <v>2500.486</v>
      </c>
      <c r="U19" s="0" t="n">
        <v>1427.067</v>
      </c>
      <c r="V19" s="0" t="n">
        <v>133849.745</v>
      </c>
      <c r="W19" s="0" t="n">
        <v>329.174</v>
      </c>
      <c r="X19" s="0" t="n">
        <v>854.447</v>
      </c>
      <c r="Y19" s="0" t="n">
        <v>99.796</v>
      </c>
      <c r="Z19" s="0" t="n">
        <v>1054.554</v>
      </c>
      <c r="AA19" s="0" t="n">
        <f aca="false">H19*x_c_F+I19*x_c_CC+J19*x_c_DC+K19*x_c_HCC+L19*x_c_PLT+M19*x_c_SVRn+N19*x_c_SVRcc+O19*x_c_LT+P19*x_c_LT1</f>
        <v>367208505.157465</v>
      </c>
      <c r="AB19" s="0" t="n">
        <f aca="false">C19*x_c_DAA</f>
        <v>109976320</v>
      </c>
      <c r="AC19" s="0" t="n">
        <f aca="false">C19*x_c_MON</f>
        <v>27857107.6100244</v>
      </c>
      <c r="AD19" s="0" t="n">
        <f aca="false">D19*(1-x_testy)</f>
        <v>0</v>
      </c>
      <c r="AE19" s="0" t="n">
        <f aca="false">E19*(1-x_testy)</f>
        <v>0</v>
      </c>
      <c r="AF19" s="0" t="n">
        <f aca="false">F19*x_NAV</f>
        <v>0</v>
      </c>
      <c r="AG19" s="0" t="n">
        <f aca="false">G19*x_FIX*(1-x_testy)</f>
        <v>0</v>
      </c>
      <c r="AH19" s="0" t="n">
        <f aca="false">x_z_F*U19+(1-x_AGRI)*x_EMP*x_WLOSS*(x_PEN_K74*Q19+x_PEN_C22*R19)</f>
        <v>14233491.3234568</v>
      </c>
      <c r="AI19" s="0" t="n">
        <f aca="false">x_AGRI*x_EMP*x_WLOSS*(x_PEN_K74*Q19+x_PEN_C22*R19)</f>
        <v>746880.2132742</v>
      </c>
      <c r="AJ19" s="0" t="n">
        <f aca="false">x_EMP*x_WAGE*(x_WLOSS*(Q19+R19)+S19)+U19*x_ABS_D*x_WAGE/365</f>
        <v>380908610.578145</v>
      </c>
      <c r="AK19" s="0" t="n">
        <f aca="false">AJ19*x_R_FUS</f>
        <v>120519484.386925</v>
      </c>
      <c r="AL19" s="0" t="n">
        <f aca="false">AJ19*x_R_NFZ</f>
        <v>29581743.6061093</v>
      </c>
      <c r="AM19" s="0" t="n">
        <f aca="false">AJ19*x_R_PIT</f>
        <v>25324394.284761</v>
      </c>
      <c r="AN19" s="0" t="n">
        <f aca="false">AJ19*x_R_FP</f>
        <v>9713169.56974269</v>
      </c>
      <c r="AO19" s="0" t="n">
        <f aca="false">AA19+AB19+AC19+AD19+AF19</f>
        <v>505041932.76749</v>
      </c>
      <c r="AP19" s="0" t="n">
        <f aca="false">AO19+AE19+AG19+AH19+AI19+AK19+AL19+AM19+AN19</f>
        <v>705161096.151759</v>
      </c>
      <c r="AQ19" s="0" t="n">
        <f aca="false">AO19+AE19+AG19+AJ19</f>
        <v>885950543.345635</v>
      </c>
      <c r="AR19" s="0" t="n">
        <f aca="false">AB19+AC19+AD19+AF19</f>
        <v>137833427.610024</v>
      </c>
      <c r="AS19" s="0" t="n">
        <f aca="false">AR19+AE19+AG19</f>
        <v>137833427.610024</v>
      </c>
    </row>
    <row r="20" customFormat="false" ht="15" hidden="false" customHeight="false" outlineLevel="0" collapsed="false">
      <c r="A20" s="0" t="n">
        <v>2043</v>
      </c>
      <c r="B20" s="0" t="n">
        <v>17</v>
      </c>
      <c r="C20" s="0" t="n">
        <v>4832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2189.758</v>
      </c>
      <c r="I20" s="0" t="n">
        <v>309.104</v>
      </c>
      <c r="J20" s="0" t="n">
        <v>1759.756</v>
      </c>
      <c r="K20" s="0" t="n">
        <v>2925.81</v>
      </c>
      <c r="L20" s="0" t="n">
        <v>1282.621</v>
      </c>
      <c r="M20" s="0" t="n">
        <v>68792.662</v>
      </c>
      <c r="N20" s="0" t="n">
        <v>7388.306</v>
      </c>
      <c r="O20" s="0" t="n">
        <v>98.703</v>
      </c>
      <c r="P20" s="0" t="n">
        <v>99.25</v>
      </c>
      <c r="Q20" s="0" t="n">
        <v>894.401</v>
      </c>
      <c r="R20" s="0" t="n">
        <v>925.509</v>
      </c>
      <c r="S20" s="0" t="n">
        <v>4050.105</v>
      </c>
      <c r="T20" s="0" t="n">
        <v>2498.862</v>
      </c>
      <c r="U20" s="0" t="n">
        <v>1476.435</v>
      </c>
      <c r="V20" s="0" t="n">
        <v>135027.564</v>
      </c>
      <c r="W20" s="0" t="n">
        <v>321.992</v>
      </c>
      <c r="X20" s="0" t="n">
        <v>836.53</v>
      </c>
      <c r="Y20" s="0" t="n">
        <v>98.703</v>
      </c>
      <c r="Z20" s="0" t="n">
        <v>1040.646</v>
      </c>
      <c r="AA20" s="0" t="n">
        <f aca="false">H20*x_c_F+I20*x_c_CC+J20*x_c_DC+K20*x_c_HCC+L20*x_c_PLT+M20*x_c_SVRn+N20*x_c_SVRcc+O20*x_c_LT+P20*x_c_LT1</f>
        <v>365619267.79691</v>
      </c>
      <c r="AB20" s="0" t="n">
        <f aca="false">C20*x_c_DAA</f>
        <v>109976320</v>
      </c>
      <c r="AC20" s="0" t="n">
        <f aca="false">C20*x_c_MON</f>
        <v>27857107.6100244</v>
      </c>
      <c r="AD20" s="0" t="n">
        <f aca="false">D20*(1-x_testy)</f>
        <v>0</v>
      </c>
      <c r="AE20" s="0" t="n">
        <f aca="false">E20*(1-x_testy)</f>
        <v>0</v>
      </c>
      <c r="AF20" s="0" t="n">
        <f aca="false">F20*x_NAV</f>
        <v>0</v>
      </c>
      <c r="AG20" s="0" t="n">
        <f aca="false">G20*x_FIX*(1-x_testy)</f>
        <v>0</v>
      </c>
      <c r="AH20" s="0" t="n">
        <f aca="false">x_z_F*U20+(1-x_AGRI)*x_EMP*x_WLOSS*(x_PEN_K74*Q20+x_PEN_C22*R20)</f>
        <v>14741947.6878735</v>
      </c>
      <c r="AI20" s="0" t="n">
        <f aca="false">x_AGRI*x_EMP*x_WLOSS*(x_PEN_K74*Q20+x_PEN_C22*R20)</f>
        <v>773779.512565453</v>
      </c>
      <c r="AJ20" s="0" t="n">
        <f aca="false">x_EMP*x_WAGE*(x_WLOSS*(Q20+R20)+S20)+U20*x_ABS_D*x_WAGE/365</f>
        <v>409219202.428852</v>
      </c>
      <c r="AK20" s="0" t="n">
        <f aca="false">AJ20*x_R_FUS</f>
        <v>129476955.648489</v>
      </c>
      <c r="AL20" s="0" t="n">
        <f aca="false">AJ20*x_R_NFZ</f>
        <v>31780372.4798271</v>
      </c>
      <c r="AM20" s="0" t="n">
        <f aca="false">AJ20*x_R_PIT</f>
        <v>27206600.5950202</v>
      </c>
      <c r="AN20" s="0" t="n">
        <f aca="false">AJ20*x_R_FP</f>
        <v>10435089.6619357</v>
      </c>
      <c r="AO20" s="0" t="n">
        <f aca="false">AA20+AB20+AC20+AD20+AF20</f>
        <v>503452695.406934</v>
      </c>
      <c r="AP20" s="0" t="n">
        <f aca="false">AO20+AE20+AG20+AH20+AI20+AK20+AL20+AM20+AN20</f>
        <v>717867440.992645</v>
      </c>
      <c r="AQ20" s="0" t="n">
        <f aca="false">AO20+AE20+AG20+AJ20</f>
        <v>912671897.835786</v>
      </c>
      <c r="AR20" s="0" t="n">
        <f aca="false">AB20+AC20+AD20+AF20</f>
        <v>137833427.610024</v>
      </c>
      <c r="AS20" s="0" t="n">
        <f aca="false">AR20+AE20+AG20</f>
        <v>137833427.610024</v>
      </c>
    </row>
    <row r="21" customFormat="false" ht="15" hidden="false" customHeight="false" outlineLevel="0" collapsed="false">
      <c r="A21" s="0" t="n">
        <v>2044</v>
      </c>
      <c r="B21" s="0" t="n">
        <v>18</v>
      </c>
      <c r="C21" s="0" t="n">
        <v>4832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2193.363</v>
      </c>
      <c r="I21" s="0" t="n">
        <v>303.933</v>
      </c>
      <c r="J21" s="0" t="n">
        <v>1736.177</v>
      </c>
      <c r="K21" s="0" t="n">
        <v>2875.331</v>
      </c>
      <c r="L21" s="0" t="n">
        <v>1265.984</v>
      </c>
      <c r="M21" s="0" t="n">
        <v>71618.616</v>
      </c>
      <c r="N21" s="0" t="n">
        <v>7615.696</v>
      </c>
      <c r="O21" s="0" t="n">
        <v>97.336</v>
      </c>
      <c r="P21" s="0" t="n">
        <v>98.02</v>
      </c>
      <c r="Q21" s="0" t="n">
        <v>922.933</v>
      </c>
      <c r="R21" s="0" t="n">
        <v>962.217</v>
      </c>
      <c r="S21" s="0" t="n">
        <v>4366.764</v>
      </c>
      <c r="T21" s="0" t="n">
        <v>2497.295</v>
      </c>
      <c r="U21" s="0" t="n">
        <v>1523.387</v>
      </c>
      <c r="V21" s="0" t="n">
        <v>136228.528</v>
      </c>
      <c r="W21" s="0" t="n">
        <v>314.332</v>
      </c>
      <c r="X21" s="0" t="n">
        <v>817.682</v>
      </c>
      <c r="Y21" s="0" t="n">
        <v>97.336</v>
      </c>
      <c r="Z21" s="0" t="n">
        <v>1024.232</v>
      </c>
      <c r="AA21" s="0" t="n">
        <f aca="false">H21*x_c_F+I21*x_c_CC+J21*x_c_DC+K21*x_c_HCC+L21*x_c_PLT+M21*x_c_SVRn+N21*x_c_SVRcc+O21*x_c_LT+P21*x_c_LT1</f>
        <v>363299676.050531</v>
      </c>
      <c r="AB21" s="0" t="n">
        <f aca="false">C21*x_c_DAA</f>
        <v>109976320</v>
      </c>
      <c r="AC21" s="0" t="n">
        <f aca="false">C21*x_c_MON</f>
        <v>27857107.6100244</v>
      </c>
      <c r="AD21" s="0" t="n">
        <f aca="false">D21*(1-x_testy)</f>
        <v>0</v>
      </c>
      <c r="AE21" s="0" t="n">
        <f aca="false">E21*(1-x_testy)</f>
        <v>0</v>
      </c>
      <c r="AF21" s="0" t="n">
        <f aca="false">F21*x_NAV</f>
        <v>0</v>
      </c>
      <c r="AG21" s="0" t="n">
        <f aca="false">G21*x_FIX*(1-x_testy)</f>
        <v>0</v>
      </c>
      <c r="AH21" s="0" t="n">
        <f aca="false">x_z_F*U21+(1-x_AGRI)*x_EMP*x_WLOSS*(x_PEN_K74*Q21+x_PEN_C22*R21)</f>
        <v>15261029.5736501</v>
      </c>
      <c r="AI21" s="0" t="n">
        <f aca="false">x_AGRI*x_EMP*x_WLOSS*(x_PEN_K74*Q21+x_PEN_C22*R21)</f>
        <v>801709.452248861</v>
      </c>
      <c r="AJ21" s="0" t="n">
        <f aca="false">x_EMP*x_WAGE*(x_WLOSS*(Q21+R21)+S21)+U21*x_ABS_D*x_WAGE/365</f>
        <v>438491023.958437</v>
      </c>
      <c r="AK21" s="0" t="n">
        <f aca="false">AJ21*x_R_FUS</f>
        <v>138738559.98045</v>
      </c>
      <c r="AL21" s="0" t="n">
        <f aca="false">AJ21*x_R_NFZ</f>
        <v>34053651.4116362</v>
      </c>
      <c r="AM21" s="0" t="n">
        <f aca="false">AJ21*x_R_PIT</f>
        <v>29152713.4663549</v>
      </c>
      <c r="AN21" s="0" t="n">
        <f aca="false">AJ21*x_R_FP</f>
        <v>11181521.1109402</v>
      </c>
      <c r="AO21" s="0" t="n">
        <f aca="false">AA21+AB21+AC21+AD21+AF21</f>
        <v>501133103.660555</v>
      </c>
      <c r="AP21" s="0" t="n">
        <f aca="false">AO21+AE21+AG21+AH21+AI21+AK21+AL21+AM21+AN21</f>
        <v>730322288.655835</v>
      </c>
      <c r="AQ21" s="0" t="n">
        <f aca="false">AO21+AE21+AG21+AJ21</f>
        <v>939624127.618993</v>
      </c>
      <c r="AR21" s="0" t="n">
        <f aca="false">AB21+AC21+AD21+AF21</f>
        <v>137833427.610024</v>
      </c>
      <c r="AS21" s="0" t="n">
        <f aca="false">AR21+AE21+AG21</f>
        <v>137833427.610024</v>
      </c>
    </row>
    <row r="22" customFormat="false" ht="15" hidden="false" customHeight="false" outlineLevel="0" collapsed="false">
      <c r="A22" s="0" t="n">
        <v>2045</v>
      </c>
      <c r="B22" s="0" t="n">
        <v>19</v>
      </c>
      <c r="C22" s="0" t="n">
        <v>4832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2197.578</v>
      </c>
      <c r="I22" s="0" t="n">
        <v>298.221</v>
      </c>
      <c r="J22" s="0" t="n">
        <v>1708.557</v>
      </c>
      <c r="K22" s="0" t="n">
        <v>2820.061</v>
      </c>
      <c r="L22" s="0" t="n">
        <v>1248.34</v>
      </c>
      <c r="M22" s="0" t="n">
        <v>74405.491</v>
      </c>
      <c r="N22" s="0" t="n">
        <v>7816.467</v>
      </c>
      <c r="O22" s="0" t="n">
        <v>95.762</v>
      </c>
      <c r="P22" s="0" t="n">
        <v>96.549</v>
      </c>
      <c r="Q22" s="0" t="n">
        <v>952.63</v>
      </c>
      <c r="R22" s="0" t="n">
        <v>1000.177</v>
      </c>
      <c r="S22" s="0" t="n">
        <v>4694.032</v>
      </c>
      <c r="T22" s="0" t="n">
        <v>2495.799</v>
      </c>
      <c r="U22" s="0" t="n">
        <v>1567.703</v>
      </c>
      <c r="V22" s="0" t="n">
        <v>137459.507</v>
      </c>
      <c r="W22" s="0" t="n">
        <v>306.463</v>
      </c>
      <c r="X22" s="0" t="n">
        <v>798.52</v>
      </c>
      <c r="Y22" s="0" t="n">
        <v>95.762</v>
      </c>
      <c r="Z22" s="0" t="n">
        <v>1006.041</v>
      </c>
      <c r="AA22" s="0" t="n">
        <f aca="false">H22*x_c_F+I22*x_c_CC+J22*x_c_DC+K22*x_c_HCC+L22*x_c_PLT+M22*x_c_SVRn+N22*x_c_SVRcc+O22*x_c_LT+P22*x_c_LT1</f>
        <v>360393447.800865</v>
      </c>
      <c r="AB22" s="0" t="n">
        <f aca="false">C22*x_c_DAA</f>
        <v>109976320</v>
      </c>
      <c r="AC22" s="0" t="n">
        <f aca="false">C22*x_c_MON</f>
        <v>27857107.6100244</v>
      </c>
      <c r="AD22" s="0" t="n">
        <f aca="false">D22*(1-x_testy)</f>
        <v>0</v>
      </c>
      <c r="AE22" s="0" t="n">
        <f aca="false">E22*(1-x_testy)</f>
        <v>0</v>
      </c>
      <c r="AF22" s="0" t="n">
        <f aca="false">F22*x_NAV</f>
        <v>0</v>
      </c>
      <c r="AG22" s="0" t="n">
        <f aca="false">G22*x_FIX*(1-x_testy)</f>
        <v>0</v>
      </c>
      <c r="AH22" s="0" t="n">
        <f aca="false">x_z_F*U22+(1-x_AGRI)*x_EMP*x_WLOSS*(x_PEN_K74*Q22+x_PEN_C22*R22)</f>
        <v>15790258.1450564</v>
      </c>
      <c r="AI22" s="0" t="n">
        <f aca="false">x_AGRI*x_EMP*x_WLOSS*(x_PEN_K74*Q22+x_PEN_C22*R22)</f>
        <v>830668.278327558</v>
      </c>
      <c r="AJ22" s="0" t="n">
        <f aca="false">x_EMP*x_WAGE*(x_WLOSS*(Q22+R22)+S22)+U22*x_ABS_D*x_WAGE/365</f>
        <v>468738743.096483</v>
      </c>
      <c r="AK22" s="0" t="n">
        <f aca="false">AJ22*x_R_FUS</f>
        <v>148308938.315727</v>
      </c>
      <c r="AL22" s="0" t="n">
        <f aca="false">AJ22*x_R_NFZ</f>
        <v>36402719.5276159</v>
      </c>
      <c r="AM22" s="0" t="n">
        <f aca="false">AJ22*x_R_PIT</f>
        <v>31163708.0839456</v>
      </c>
      <c r="AN22" s="0" t="n">
        <f aca="false">AJ22*x_R_FP</f>
        <v>11952837.9489603</v>
      </c>
      <c r="AO22" s="0" t="n">
        <f aca="false">AA22+AB22+AC22+AD22+AF22</f>
        <v>498226875.410889</v>
      </c>
      <c r="AP22" s="0" t="n">
        <f aca="false">AO22+AE22+AG22+AH22+AI22+AK22+AL22+AM22+AN22</f>
        <v>742676005.710522</v>
      </c>
      <c r="AQ22" s="0" t="n">
        <f aca="false">AO22+AE22+AG22+AJ22</f>
        <v>966965618.507372</v>
      </c>
      <c r="AR22" s="0" t="n">
        <f aca="false">AB22+AC22+AD22+AF22</f>
        <v>137833427.610024</v>
      </c>
      <c r="AS22" s="0" t="n">
        <f aca="false">AR22+AE22+AG22</f>
        <v>137833427.610024</v>
      </c>
    </row>
    <row r="23" customFormat="false" ht="15" hidden="false" customHeight="false" outlineLevel="0" collapsed="false">
      <c r="A23" s="0" t="n">
        <v>2046</v>
      </c>
      <c r="B23" s="0" t="n">
        <v>20</v>
      </c>
      <c r="C23" s="0" t="n">
        <v>4832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2202.199</v>
      </c>
      <c r="I23" s="0" t="n">
        <v>292.186</v>
      </c>
      <c r="J23" s="0" t="n">
        <v>1678.001</v>
      </c>
      <c r="K23" s="0" t="n">
        <v>2761.973</v>
      </c>
      <c r="L23" s="0" t="n">
        <v>1229.953</v>
      </c>
      <c r="M23" s="0" t="n">
        <v>77166.637</v>
      </c>
      <c r="N23" s="0" t="n">
        <v>7992.888</v>
      </c>
      <c r="O23" s="0" t="n">
        <v>94.038</v>
      </c>
      <c r="P23" s="0" t="n">
        <v>94.9</v>
      </c>
      <c r="Q23" s="0" t="n">
        <v>983.479</v>
      </c>
      <c r="R23" s="0" t="n">
        <v>1039.305</v>
      </c>
      <c r="S23" s="0" t="n">
        <v>5032.002</v>
      </c>
      <c r="T23" s="0" t="n">
        <v>2494.385</v>
      </c>
      <c r="U23" s="0" t="n">
        <v>1609.185</v>
      </c>
      <c r="V23" s="0" t="n">
        <v>138735.203</v>
      </c>
      <c r="W23" s="0" t="n">
        <v>298.596</v>
      </c>
      <c r="X23" s="0" t="n">
        <v>779.521</v>
      </c>
      <c r="Y23" s="0" t="n">
        <v>94.038</v>
      </c>
      <c r="Z23" s="0" t="n">
        <v>986.688</v>
      </c>
      <c r="AA23" s="0" t="n">
        <f aca="false">H23*x_c_F+I23*x_c_CC+J23*x_c_DC+K23*x_c_HCC+L23*x_c_PLT+M23*x_c_SVRn+N23*x_c_SVRcc+O23*x_c_LT+P23*x_c_LT1</f>
        <v>357090501.835514</v>
      </c>
      <c r="AB23" s="0" t="n">
        <f aca="false">C23*x_c_DAA</f>
        <v>109976320</v>
      </c>
      <c r="AC23" s="0" t="n">
        <f aca="false">C23*x_c_MON</f>
        <v>27857107.6100244</v>
      </c>
      <c r="AD23" s="0" t="n">
        <f aca="false">D23*(1-x_testy)</f>
        <v>0</v>
      </c>
      <c r="AE23" s="0" t="n">
        <f aca="false">E23*(1-x_testy)</f>
        <v>0</v>
      </c>
      <c r="AF23" s="0" t="n">
        <f aca="false">F23*x_NAV</f>
        <v>0</v>
      </c>
      <c r="AG23" s="0" t="n">
        <f aca="false">G23*x_FIX*(1-x_testy)</f>
        <v>0</v>
      </c>
      <c r="AH23" s="0" t="n">
        <f aca="false">x_z_F*U23+(1-x_AGRI)*x_EMP*x_WLOSS*(x_PEN_K74*Q23+x_PEN_C22*R23)</f>
        <v>16328573.9223397</v>
      </c>
      <c r="AI23" s="0" t="n">
        <f aca="false">x_AGRI*x_EMP*x_WLOSS*(x_PEN_K74*Q23+x_PEN_C22*R23)</f>
        <v>860612.867736429</v>
      </c>
      <c r="AJ23" s="0" t="n">
        <f aca="false">x_EMP*x_WAGE*(x_WLOSS*(Q23+R23)+S23)+U23*x_ABS_D*x_WAGE/365</f>
        <v>499966532.50839</v>
      </c>
      <c r="AK23" s="0" t="n">
        <f aca="false">AJ23*x_R_FUS</f>
        <v>158189410.885654</v>
      </c>
      <c r="AL23" s="0" t="n">
        <f aca="false">AJ23*x_R_NFZ</f>
        <v>38827900.881134</v>
      </c>
      <c r="AM23" s="0" t="n">
        <f aca="false">AJ23*x_R_PIT</f>
        <v>33239861.864004</v>
      </c>
      <c r="AN23" s="0" t="n">
        <f aca="false">AJ23*x_R_FP</f>
        <v>12749146.5789639</v>
      </c>
      <c r="AO23" s="0" t="n">
        <f aca="false">AA23+AB23+AC23+AD23+AF23</f>
        <v>494923929.445538</v>
      </c>
      <c r="AP23" s="0" t="n">
        <f aca="false">AO23+AE23+AG23+AH23+AI23+AK23+AL23+AM23+AN23</f>
        <v>755119436.445371</v>
      </c>
      <c r="AQ23" s="0" t="n">
        <f aca="false">AO23+AE23+AG23+AJ23</f>
        <v>994890461.953928</v>
      </c>
      <c r="AR23" s="0" t="n">
        <f aca="false">AB23+AC23+AD23+AF23</f>
        <v>137833427.610024</v>
      </c>
      <c r="AS23" s="0" t="n">
        <f aca="false">AR23+AE23+AG23</f>
        <v>137833427.610024</v>
      </c>
    </row>
    <row r="24" customFormat="false" ht="15" hidden="false" customHeight="false" outlineLevel="0" collapsed="false">
      <c r="A24" s="0" t="n">
        <v>2047</v>
      </c>
      <c r="B24" s="0" t="n">
        <v>21</v>
      </c>
      <c r="C24" s="0" t="n">
        <v>4832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2207.044</v>
      </c>
      <c r="I24" s="0" t="n">
        <v>286.015</v>
      </c>
      <c r="J24" s="0" t="n">
        <v>1645.504</v>
      </c>
      <c r="K24" s="0" t="n">
        <v>2702.74</v>
      </c>
      <c r="L24" s="0" t="n">
        <v>1211.048</v>
      </c>
      <c r="M24" s="0" t="n">
        <v>79912.743</v>
      </c>
      <c r="N24" s="0" t="n">
        <v>8147.307</v>
      </c>
      <c r="O24" s="0" t="n">
        <v>92.221</v>
      </c>
      <c r="P24" s="0" t="n">
        <v>93.129</v>
      </c>
      <c r="Q24" s="0" t="n">
        <v>1015.448</v>
      </c>
      <c r="R24" s="0" t="n">
        <v>1079.47</v>
      </c>
      <c r="S24" s="0" t="n">
        <v>5380.695</v>
      </c>
      <c r="T24" s="0" t="n">
        <v>2493.059</v>
      </c>
      <c r="U24" s="0" t="n">
        <v>1647.726</v>
      </c>
      <c r="V24" s="0" t="n">
        <v>140064.72</v>
      </c>
      <c r="W24" s="0" t="n">
        <v>290.901</v>
      </c>
      <c r="X24" s="0" t="n">
        <v>761.066</v>
      </c>
      <c r="Y24" s="0" t="n">
        <v>92.221</v>
      </c>
      <c r="Z24" s="0" t="n">
        <v>966.744</v>
      </c>
      <c r="AA24" s="0" t="n">
        <f aca="false">H24*x_c_F+I24*x_c_CC+J24*x_c_DC+K24*x_c_HCC+L24*x_c_PLT+M24*x_c_SVRn+N24*x_c_SVRcc+O24*x_c_LT+P24*x_c_LT1</f>
        <v>353556816.781219</v>
      </c>
      <c r="AB24" s="0" t="n">
        <f aca="false">C24*x_c_DAA</f>
        <v>109976320</v>
      </c>
      <c r="AC24" s="0" t="n">
        <f aca="false">C24*x_c_MON</f>
        <v>27857107.6100244</v>
      </c>
      <c r="AD24" s="0" t="n">
        <f aca="false">D24*(1-x_testy)</f>
        <v>0</v>
      </c>
      <c r="AE24" s="0" t="n">
        <f aca="false">E24*(1-x_testy)</f>
        <v>0</v>
      </c>
      <c r="AF24" s="0" t="n">
        <f aca="false">F24*x_NAV</f>
        <v>0</v>
      </c>
      <c r="AG24" s="0" t="n">
        <f aca="false">G24*x_FIX*(1-x_testy)</f>
        <v>0</v>
      </c>
      <c r="AH24" s="0" t="n">
        <f aca="false">x_z_F*U24+(1-x_AGRI)*x_EMP*x_WLOSS*(x_PEN_K74*Q24+x_PEN_C22*R24)</f>
        <v>16874668.9406781</v>
      </c>
      <c r="AI24" s="0" t="n">
        <f aca="false">x_AGRI*x_EMP*x_WLOSS*(x_PEN_K74*Q24+x_PEN_C22*R24)</f>
        <v>891471.306899273</v>
      </c>
      <c r="AJ24" s="0" t="n">
        <f aca="false">x_EMP*x_WAGE*(x_WLOSS*(Q24+R24)+S24)+U24*x_ABS_D*x_WAGE/365</f>
        <v>532170533.128162</v>
      </c>
      <c r="AK24" s="0" t="n">
        <f aca="false">AJ24*x_R_FUS</f>
        <v>168378756.68175</v>
      </c>
      <c r="AL24" s="0" t="n">
        <f aca="false">AJ24*x_R_NFZ</f>
        <v>41328895.7732662</v>
      </c>
      <c r="AM24" s="0" t="n">
        <f aca="false">AJ24*x_R_PIT</f>
        <v>35380918.2397156</v>
      </c>
      <c r="AN24" s="0" t="n">
        <f aca="false">AJ24*x_R_FP</f>
        <v>13570348.5947681</v>
      </c>
      <c r="AO24" s="0" t="n">
        <f aca="false">AA24+AB24+AC24+AD24+AF24</f>
        <v>491390244.391244</v>
      </c>
      <c r="AP24" s="0" t="n">
        <f aca="false">AO24+AE24+AG24+AH24+AI24+AK24+AL24+AM24+AN24</f>
        <v>767815303.928321</v>
      </c>
      <c r="AQ24" s="0" t="n">
        <f aca="false">AO24+AE24+AG24+AJ24</f>
        <v>1023560777.51941</v>
      </c>
      <c r="AR24" s="0" t="n">
        <f aca="false">AB24+AC24+AD24+AF24</f>
        <v>137833427.610024</v>
      </c>
      <c r="AS24" s="0" t="n">
        <f aca="false">AR24+AE24+AG24</f>
        <v>137833427.610024</v>
      </c>
    </row>
    <row r="25" customFormat="false" ht="15" hidden="false" customHeight="false" outlineLevel="0" collapsed="false">
      <c r="A25" s="0" t="n">
        <v>2048</v>
      </c>
      <c r="B25" s="0" t="n">
        <v>22</v>
      </c>
      <c r="C25" s="0" t="n">
        <v>4832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2211.957</v>
      </c>
      <c r="I25" s="0" t="n">
        <v>279.869</v>
      </c>
      <c r="J25" s="0" t="n">
        <v>1611.966</v>
      </c>
      <c r="K25" s="0" t="n">
        <v>2643.772</v>
      </c>
      <c r="L25" s="0" t="n">
        <v>1191.848</v>
      </c>
      <c r="M25" s="0" t="n">
        <v>82652.797</v>
      </c>
      <c r="N25" s="0" t="n">
        <v>8282.208</v>
      </c>
      <c r="O25" s="0" t="n">
        <v>90.357</v>
      </c>
      <c r="P25" s="0" t="n">
        <v>91.289</v>
      </c>
      <c r="Q25" s="0" t="n">
        <v>1048.476</v>
      </c>
      <c r="R25" s="0" t="n">
        <v>1120.502</v>
      </c>
      <c r="S25" s="0" t="n">
        <v>5740.068</v>
      </c>
      <c r="T25" s="0" t="n">
        <v>2491.826</v>
      </c>
      <c r="U25" s="0" t="n">
        <v>1683.286</v>
      </c>
      <c r="V25" s="0" t="n">
        <v>141453.915</v>
      </c>
      <c r="W25" s="0" t="n">
        <v>283.506</v>
      </c>
      <c r="X25" s="0" t="n">
        <v>743.432</v>
      </c>
      <c r="Y25" s="0" t="n">
        <v>90.357</v>
      </c>
      <c r="Z25" s="0" t="n">
        <v>946.687</v>
      </c>
      <c r="AA25" s="0" t="n">
        <f aca="false">H25*x_c_F+I25*x_c_CC+J25*x_c_DC+K25*x_c_HCC+L25*x_c_PLT+M25*x_c_SVRn+N25*x_c_SVRcc+O25*x_c_LT+P25*x_c_LT1</f>
        <v>349935407.018026</v>
      </c>
      <c r="AB25" s="0" t="n">
        <f aca="false">C25*x_c_DAA</f>
        <v>109976320</v>
      </c>
      <c r="AC25" s="0" t="n">
        <f aca="false">C25*x_c_MON</f>
        <v>27857107.6100244</v>
      </c>
      <c r="AD25" s="0" t="n">
        <f aca="false">D25*(1-x_testy)</f>
        <v>0</v>
      </c>
      <c r="AE25" s="0" t="n">
        <f aca="false">E25*(1-x_testy)</f>
        <v>0</v>
      </c>
      <c r="AF25" s="0" t="n">
        <f aca="false">F25*x_NAV</f>
        <v>0</v>
      </c>
      <c r="AG25" s="0" t="n">
        <f aca="false">G25*x_FIX*(1-x_testy)</f>
        <v>0</v>
      </c>
      <c r="AH25" s="0" t="n">
        <f aca="false">x_z_F*U25+(1-x_AGRI)*x_EMP*x_WLOSS*(x_PEN_K74*Q25+x_PEN_C22*R25)</f>
        <v>17426931.9451368</v>
      </c>
      <c r="AI25" s="0" t="n">
        <f aca="false">x_AGRI*x_EMP*x_WLOSS*(x_PEN_K74*Q25+x_PEN_C22*R25)</f>
        <v>923142.530616143</v>
      </c>
      <c r="AJ25" s="0" t="n">
        <f aca="false">x_EMP*x_WAGE*(x_WLOSS*(Q25+R25)+S25)+U25*x_ABS_D*x_WAGE/365</f>
        <v>565339400.28181</v>
      </c>
      <c r="AK25" s="0" t="n">
        <f aca="false">AJ25*x_R_FUS</f>
        <v>178873386.249165</v>
      </c>
      <c r="AL25" s="0" t="n">
        <f aca="false">AJ25*x_R_NFZ</f>
        <v>43904823.1652856</v>
      </c>
      <c r="AM25" s="0" t="n">
        <f aca="false">AJ25*x_R_PIT</f>
        <v>37586122.9698027</v>
      </c>
      <c r="AN25" s="0" t="n">
        <f aca="false">AJ25*x_R_FP</f>
        <v>14416154.7071862</v>
      </c>
      <c r="AO25" s="0" t="n">
        <f aca="false">AA25+AB25+AC25+AD25+AF25</f>
        <v>487768834.62805</v>
      </c>
      <c r="AP25" s="0" t="n">
        <f aca="false">AO25+AE25+AG25+AH25+AI25+AK25+AL25+AM25+AN25</f>
        <v>780899396.195242</v>
      </c>
      <c r="AQ25" s="0" t="n">
        <f aca="false">AO25+AE25+AG25+AJ25</f>
        <v>1053108234.90986</v>
      </c>
      <c r="AR25" s="0" t="n">
        <f aca="false">AB25+AC25+AD25+AF25</f>
        <v>137833427.610024</v>
      </c>
      <c r="AS25" s="0" t="n">
        <f aca="false">AR25+AE25+AG25</f>
        <v>137833427.610024</v>
      </c>
    </row>
    <row r="26" customFormat="false" ht="15" hidden="false" customHeight="false" outlineLevel="0" collapsed="false">
      <c r="A26" s="0" t="n">
        <v>2049</v>
      </c>
      <c r="B26" s="0" t="n">
        <v>23</v>
      </c>
      <c r="C26" s="0" t="n">
        <v>4832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2216.815</v>
      </c>
      <c r="I26" s="0" t="n">
        <v>273.868</v>
      </c>
      <c r="J26" s="0" t="n">
        <v>1578.098</v>
      </c>
      <c r="K26" s="0" t="n">
        <v>2586.104</v>
      </c>
      <c r="L26" s="0" t="n">
        <v>1172.504</v>
      </c>
      <c r="M26" s="0" t="n">
        <v>85392.3</v>
      </c>
      <c r="N26" s="0" t="n">
        <v>8399.719</v>
      </c>
      <c r="O26" s="0" t="n">
        <v>88.483</v>
      </c>
      <c r="P26" s="0" t="n">
        <v>89.42</v>
      </c>
      <c r="Q26" s="0" t="n">
        <v>1082.482</v>
      </c>
      <c r="R26" s="0" t="n">
        <v>1162.2</v>
      </c>
      <c r="S26" s="0" t="n">
        <v>6110.007</v>
      </c>
      <c r="T26" s="0" t="n">
        <v>2490.682</v>
      </c>
      <c r="U26" s="0" t="n">
        <v>1715.913</v>
      </c>
      <c r="V26" s="0" t="n">
        <v>142903.227</v>
      </c>
      <c r="W26" s="0" t="n">
        <v>276.484</v>
      </c>
      <c r="X26" s="0" t="n">
        <v>726.766</v>
      </c>
      <c r="Y26" s="0" t="n">
        <v>88.483</v>
      </c>
      <c r="Z26" s="0" t="n">
        <v>926.846</v>
      </c>
      <c r="AA26" s="0" t="n">
        <f aca="false">H26*x_c_F+I26*x_c_CC+J26*x_c_DC+K26*x_c_HCC+L26*x_c_PLT+M26*x_c_SVRn+N26*x_c_SVRcc+O26*x_c_LT+P26*x_c_LT1</f>
        <v>346333065.395499</v>
      </c>
      <c r="AB26" s="0" t="n">
        <f aca="false">C26*x_c_DAA</f>
        <v>109976320</v>
      </c>
      <c r="AC26" s="0" t="n">
        <f aca="false">C26*x_c_MON</f>
        <v>27857107.6100244</v>
      </c>
      <c r="AD26" s="0" t="n">
        <f aca="false">D26*(1-x_testy)</f>
        <v>0</v>
      </c>
      <c r="AE26" s="0" t="n">
        <f aca="false">E26*(1-x_testy)</f>
        <v>0</v>
      </c>
      <c r="AF26" s="0" t="n">
        <f aca="false">F26*x_NAV</f>
        <v>0</v>
      </c>
      <c r="AG26" s="0" t="n">
        <f aca="false">G26*x_FIX*(1-x_testy)</f>
        <v>0</v>
      </c>
      <c r="AH26" s="0" t="n">
        <f aca="false">x_z_F*U26+(1-x_AGRI)*x_EMP*x_WLOSS*(x_PEN_K74*Q26+x_PEN_C22*R26)</f>
        <v>17983600.3871847</v>
      </c>
      <c r="AI26" s="0" t="n">
        <f aca="false">x_AGRI*x_EMP*x_WLOSS*(x_PEN_K74*Q26+x_PEN_C22*R26)</f>
        <v>955503.515020279</v>
      </c>
      <c r="AJ26" s="0" t="n">
        <f aca="false">x_EMP*x_WAGE*(x_WLOSS*(Q26+R26)+S26)+U26*x_ABS_D*x_WAGE/365</f>
        <v>599454324.984784</v>
      </c>
      <c r="AK26" s="0" t="n">
        <f aca="false">AJ26*x_R_FUS</f>
        <v>189667348.425186</v>
      </c>
      <c r="AL26" s="0" t="n">
        <f aca="false">AJ26*x_R_NFZ</f>
        <v>46554222.3326433</v>
      </c>
      <c r="AM26" s="0" t="n">
        <f aca="false">AJ26*x_R_PIT</f>
        <v>39854225.5544667</v>
      </c>
      <c r="AN26" s="0" t="n">
        <f aca="false">AJ26*x_R_FP</f>
        <v>15286085.287112</v>
      </c>
      <c r="AO26" s="0" t="n">
        <f aca="false">AA26+AB26+AC26+AD26+AF26</f>
        <v>484166493.005523</v>
      </c>
      <c r="AP26" s="0" t="n">
        <f aca="false">AO26+AE26+AG26+AH26+AI26+AK26+AL26+AM26+AN26</f>
        <v>794467478.507136</v>
      </c>
      <c r="AQ26" s="0" t="n">
        <f aca="false">AO26+AE26+AG26+AJ26</f>
        <v>1083620817.99031</v>
      </c>
      <c r="AR26" s="0" t="n">
        <f aca="false">AB26+AC26+AD26+AF26</f>
        <v>137833427.610024</v>
      </c>
      <c r="AS26" s="0" t="n">
        <f aca="false">AR26+AE26+AG26</f>
        <v>137833427.610024</v>
      </c>
    </row>
    <row r="27" customFormat="false" ht="15" hidden="false" customHeight="false" outlineLevel="0" collapsed="false">
      <c r="A27" s="0" t="n">
        <v>2050</v>
      </c>
      <c r="B27" s="0" t="n">
        <v>24</v>
      </c>
      <c r="C27" s="0" t="n">
        <v>4832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2221.53</v>
      </c>
      <c r="I27" s="0" t="n">
        <v>268.094</v>
      </c>
      <c r="J27" s="0" t="n">
        <v>1544.445</v>
      </c>
      <c r="K27" s="0" t="n">
        <v>2530.441</v>
      </c>
      <c r="L27" s="0" t="n">
        <v>1153.117</v>
      </c>
      <c r="M27" s="0" t="n">
        <v>88133.895</v>
      </c>
      <c r="N27" s="0" t="n">
        <v>8501.623</v>
      </c>
      <c r="O27" s="0" t="n">
        <v>86.627</v>
      </c>
      <c r="P27" s="0" t="n">
        <v>87.555</v>
      </c>
      <c r="Q27" s="0" t="n">
        <v>1117.345</v>
      </c>
      <c r="R27" s="0" t="n">
        <v>1204.323</v>
      </c>
      <c r="S27" s="0" t="n">
        <v>6490.194</v>
      </c>
      <c r="T27" s="0" t="n">
        <v>2489.624</v>
      </c>
      <c r="U27" s="0" t="n">
        <v>1745.711</v>
      </c>
      <c r="V27" s="0" t="n">
        <v>144409.233</v>
      </c>
      <c r="W27" s="0" t="n">
        <v>269.876</v>
      </c>
      <c r="X27" s="0" t="n">
        <v>711.144</v>
      </c>
      <c r="Y27" s="0" t="n">
        <v>86.627</v>
      </c>
      <c r="Z27" s="0" t="n">
        <v>907.487</v>
      </c>
      <c r="AA27" s="0" t="n">
        <f aca="false">H27*x_c_F+I27*x_c_CC+J27*x_c_DC+K27*x_c_HCC+L27*x_c_PLT+M27*x_c_SVRn+N27*x_c_SVRcc+O27*x_c_LT+P27*x_c_LT1</f>
        <v>342825030.500069</v>
      </c>
      <c r="AB27" s="0" t="n">
        <f aca="false">C27*x_c_DAA</f>
        <v>109976320</v>
      </c>
      <c r="AC27" s="0" t="n">
        <f aca="false">C27*x_c_MON</f>
        <v>27857107.6100244</v>
      </c>
      <c r="AD27" s="0" t="n">
        <f aca="false">D27*(1-x_testy)</f>
        <v>0</v>
      </c>
      <c r="AE27" s="0" t="n">
        <f aca="false">E27*(1-x_testy)</f>
        <v>0</v>
      </c>
      <c r="AF27" s="0" t="n">
        <f aca="false">F27*x_NAV</f>
        <v>0</v>
      </c>
      <c r="AG27" s="0" t="n">
        <f aca="false">G27*x_FIX*(1-x_testy)</f>
        <v>0</v>
      </c>
      <c r="AH27" s="0" t="n">
        <f aca="false">x_z_F*U27+(1-x_AGRI)*x_EMP*x_WLOSS*(x_PEN_K74*Q27+x_PEN_C22*R27)</f>
        <v>18542512.8118738</v>
      </c>
      <c r="AI27" s="0" t="n">
        <f aca="false">x_AGRI*x_EMP*x_WLOSS*(x_PEN_K74*Q27+x_PEN_C22*R27)</f>
        <v>988397.259373285</v>
      </c>
      <c r="AJ27" s="0" t="n">
        <f aca="false">x_EMP*x_WAGE*(x_WLOSS*(Q27+R27)+S27)+U27*x_ABS_D*x_WAGE/365</f>
        <v>634476651.086473</v>
      </c>
      <c r="AK27" s="0" t="n">
        <f aca="false">AJ27*x_R_FUS</f>
        <v>200748412.40376</v>
      </c>
      <c r="AL27" s="0" t="n">
        <f aca="false">AJ27*x_R_NFZ</f>
        <v>49274091.2000266</v>
      </c>
      <c r="AM27" s="0" t="n">
        <f aca="false">AJ27*x_R_PIT</f>
        <v>42182655.9714701</v>
      </c>
      <c r="AN27" s="0" t="n">
        <f aca="false">AJ27*x_R_FP</f>
        <v>16179154.6027051</v>
      </c>
      <c r="AO27" s="0" t="n">
        <f aca="false">AA27+AB27+AC27+AD27+AF27</f>
        <v>480658458.110094</v>
      </c>
      <c r="AP27" s="0" t="n">
        <f aca="false">AO27+AE27+AG27+AH27+AI27+AK27+AL27+AM27+AN27</f>
        <v>808573682.359303</v>
      </c>
      <c r="AQ27" s="0" t="n">
        <f aca="false">AO27+AE27+AG27+AJ27</f>
        <v>1115135109.19657</v>
      </c>
      <c r="AR27" s="0" t="n">
        <f aca="false">AB27+AC27+AD27+AF27</f>
        <v>137833427.610024</v>
      </c>
      <c r="AS27" s="0" t="n">
        <f aca="false">AR27+AE27+AG27</f>
        <v>137833427.610024</v>
      </c>
    </row>
    <row r="28" customFormat="false" ht="15" hidden="false" customHeight="false" outlineLevel="0" collapsed="false">
      <c r="A28" s="0" t="n">
        <v>2051</v>
      </c>
      <c r="B28" s="0" t="n">
        <v>25</v>
      </c>
      <c r="C28" s="0" t="n">
        <v>4832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2226.046</v>
      </c>
      <c r="I28" s="0" t="n">
        <v>262.598</v>
      </c>
      <c r="J28" s="0" t="n">
        <v>1511.383</v>
      </c>
      <c r="K28" s="0" t="n">
        <v>2477.197</v>
      </c>
      <c r="L28" s="0" t="n">
        <v>1133.726</v>
      </c>
      <c r="M28" s="0" t="n">
        <v>90877.332</v>
      </c>
      <c r="N28" s="0" t="n">
        <v>8589.243</v>
      </c>
      <c r="O28" s="0" t="n">
        <v>84.807</v>
      </c>
      <c r="P28" s="0" t="n">
        <v>85.717</v>
      </c>
      <c r="Q28" s="0" t="n">
        <v>1152.914</v>
      </c>
      <c r="R28" s="0" t="n">
        <v>1246.607</v>
      </c>
      <c r="S28" s="0" t="n">
        <v>6880.149</v>
      </c>
      <c r="T28" s="0" t="n">
        <v>2488.645</v>
      </c>
      <c r="U28" s="0" t="n">
        <v>1772.829</v>
      </c>
      <c r="V28" s="0" t="n">
        <v>145965.249</v>
      </c>
      <c r="W28" s="0" t="n">
        <v>263.687</v>
      </c>
      <c r="X28" s="0" t="n">
        <v>696.552</v>
      </c>
      <c r="Y28" s="0" t="n">
        <v>84.807</v>
      </c>
      <c r="Z28" s="0" t="n">
        <v>888.736</v>
      </c>
      <c r="AA28" s="0" t="n">
        <f aca="false">H28*x_c_F+I28*x_c_CC+J28*x_c_DC+K28*x_c_HCC+L28*x_c_PLT+M28*x_c_SVRn+N28*x_c_SVRcc+O28*x_c_LT+P28*x_c_LT1</f>
        <v>339456210.591922</v>
      </c>
      <c r="AB28" s="0" t="n">
        <f aca="false">C28*x_c_DAA</f>
        <v>109976320</v>
      </c>
      <c r="AC28" s="0" t="n">
        <f aca="false">C28*x_c_MON</f>
        <v>27857107.6100244</v>
      </c>
      <c r="AD28" s="0" t="n">
        <f aca="false">D28*(1-x_testy)</f>
        <v>0</v>
      </c>
      <c r="AE28" s="0" t="n">
        <f aca="false">E28*(1-x_testy)</f>
        <v>0</v>
      </c>
      <c r="AF28" s="0" t="n">
        <f aca="false">F28*x_NAV</f>
        <v>0</v>
      </c>
      <c r="AG28" s="0" t="n">
        <f aca="false">G28*x_FIX*(1-x_testy)</f>
        <v>0</v>
      </c>
      <c r="AH28" s="0" t="n">
        <f aca="false">x_z_F*U28+(1-x_AGRI)*x_EMP*x_WLOSS*(x_PEN_K74*Q28+x_PEN_C22*R28)</f>
        <v>19101262.6033903</v>
      </c>
      <c r="AI28" s="0" t="n">
        <f aca="false">x_AGRI*x_EMP*x_WLOSS*(x_PEN_K74*Q28+x_PEN_C22*R28)</f>
        <v>1021644.44315729</v>
      </c>
      <c r="AJ28" s="0" t="n">
        <f aca="false">x_EMP*x_WAGE*(x_WLOSS*(Q28+R28)+S28)+U28*x_ABS_D*x_WAGE/365</f>
        <v>670352307.650013</v>
      </c>
      <c r="AK28" s="0" t="n">
        <f aca="false">AJ28*x_R_FUS</f>
        <v>212099470.140464</v>
      </c>
      <c r="AL28" s="0" t="n">
        <f aca="false">AJ28*x_R_NFZ</f>
        <v>52060230.5644076</v>
      </c>
      <c r="AM28" s="0" t="n">
        <f aca="false">AJ28*x_R_PIT</f>
        <v>44567819.3592464</v>
      </c>
      <c r="AN28" s="0" t="n">
        <f aca="false">AJ28*x_R_FP</f>
        <v>17093983.8450753</v>
      </c>
      <c r="AO28" s="0" t="n">
        <f aca="false">AA28+AB28+AC28+AD28+AF28</f>
        <v>477289638.201946</v>
      </c>
      <c r="AP28" s="0" t="n">
        <f aca="false">AO28+AE28+AG28+AH28+AI28+AK28+AL28+AM28+AN28</f>
        <v>823234049.157687</v>
      </c>
      <c r="AQ28" s="0" t="n">
        <f aca="false">AO28+AE28+AG28+AJ28</f>
        <v>1147641945.85196</v>
      </c>
      <c r="AR28" s="0" t="n">
        <f aca="false">AB28+AC28+AD28+AF28</f>
        <v>137833427.610024</v>
      </c>
      <c r="AS28" s="0" t="n">
        <f aca="false">AR28+AE28+AG28</f>
        <v>137833427.610024</v>
      </c>
    </row>
    <row r="29" customFormat="false" ht="15" hidden="false" customHeight="false" outlineLevel="0" collapsed="false">
      <c r="A29" s="0" t="n">
        <v>2052</v>
      </c>
      <c r="B29" s="0" t="n">
        <v>26</v>
      </c>
      <c r="C29" s="0" t="n">
        <v>4832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2230.333</v>
      </c>
      <c r="I29" s="0" t="n">
        <v>257.401</v>
      </c>
      <c r="J29" s="0" t="n">
        <v>1479.134</v>
      </c>
      <c r="K29" s="0" t="n">
        <v>2426.517</v>
      </c>
      <c r="L29" s="0" t="n">
        <v>1114.301</v>
      </c>
      <c r="M29" s="0" t="n">
        <v>93619.499</v>
      </c>
      <c r="N29" s="0" t="n">
        <v>8663.353</v>
      </c>
      <c r="O29" s="0" t="n">
        <v>83.032</v>
      </c>
      <c r="P29" s="0" t="n">
        <v>83.919</v>
      </c>
      <c r="Q29" s="0" t="n">
        <v>1189.035</v>
      </c>
      <c r="R29" s="0" t="n">
        <v>1288.792</v>
      </c>
      <c r="S29" s="0" t="n">
        <v>7279.387</v>
      </c>
      <c r="T29" s="0" t="n">
        <v>2487.734</v>
      </c>
      <c r="U29" s="0" t="n">
        <v>1797.455</v>
      </c>
      <c r="V29" s="0" t="n">
        <v>147561.646</v>
      </c>
      <c r="W29" s="0" t="n">
        <v>257.899</v>
      </c>
      <c r="X29" s="0" t="n">
        <v>682.929</v>
      </c>
      <c r="Y29" s="0" t="n">
        <v>83.032</v>
      </c>
      <c r="Z29" s="0" t="n">
        <v>870.666</v>
      </c>
      <c r="AA29" s="0" t="n">
        <f aca="false">H29*x_c_F+I29*x_c_CC+J29*x_c_DC+K29*x_c_HCC+L29*x_c_PLT+M29*x_c_SVRn+N29*x_c_SVRcc+O29*x_c_LT+P29*x_c_LT1</f>
        <v>336242721.195421</v>
      </c>
      <c r="AB29" s="0" t="n">
        <f aca="false">C29*x_c_DAA</f>
        <v>109976320</v>
      </c>
      <c r="AC29" s="0" t="n">
        <f aca="false">C29*x_c_MON</f>
        <v>27857107.6100244</v>
      </c>
      <c r="AD29" s="0" t="n">
        <f aca="false">D29*(1-x_testy)</f>
        <v>0</v>
      </c>
      <c r="AE29" s="0" t="n">
        <f aca="false">E29*(1-x_testy)</f>
        <v>0</v>
      </c>
      <c r="AF29" s="0" t="n">
        <f aca="false">F29*x_NAV</f>
        <v>0</v>
      </c>
      <c r="AG29" s="0" t="n">
        <f aca="false">G29*x_FIX*(1-x_testy)</f>
        <v>0</v>
      </c>
      <c r="AH29" s="0" t="n">
        <f aca="false">x_z_F*U29+(1-x_AGRI)*x_EMP*x_WLOSS*(x_PEN_K74*Q29+x_PEN_C22*R29)</f>
        <v>19657532.6247161</v>
      </c>
      <c r="AI29" s="0" t="n">
        <f aca="false">x_AGRI*x_EMP*x_WLOSS*(x_PEN_K74*Q29+x_PEN_C22*R29)</f>
        <v>1055066.36046333</v>
      </c>
      <c r="AJ29" s="0" t="n">
        <f aca="false">x_EMP*x_WAGE*(x_WLOSS*(Q29+R29)+S29)+U29*x_ABS_D*x_WAGE/365</f>
        <v>707026944.726049</v>
      </c>
      <c r="AK29" s="0" t="n">
        <f aca="false">AJ29*x_R_FUS</f>
        <v>223703325.311322</v>
      </c>
      <c r="AL29" s="0" t="n">
        <f aca="false">AJ29*x_R_NFZ</f>
        <v>54908419.5543697</v>
      </c>
      <c r="AM29" s="0" t="n">
        <f aca="false">AJ29*x_R_PIT</f>
        <v>47006102.3063144</v>
      </c>
      <c r="AN29" s="0" t="n">
        <f aca="false">AJ29*x_R_FP</f>
        <v>18029187.0905142</v>
      </c>
      <c r="AO29" s="0" t="n">
        <f aca="false">AA29+AB29+AC29+AD29+AF29</f>
        <v>474076148.805446</v>
      </c>
      <c r="AP29" s="0" t="n">
        <f aca="false">AO29+AE29+AG29+AH29+AI29+AK29+AL29+AM29+AN29</f>
        <v>838435782.053145</v>
      </c>
      <c r="AQ29" s="0" t="n">
        <f aca="false">AO29+AE29+AG29+AJ29</f>
        <v>1181103093.53149</v>
      </c>
      <c r="AR29" s="0" t="n">
        <f aca="false">AB29+AC29+AD29+AF29</f>
        <v>137833427.610024</v>
      </c>
      <c r="AS29" s="0" t="n">
        <f aca="false">AR29+AE29+AG29</f>
        <v>137833427.610024</v>
      </c>
    </row>
    <row r="30" customFormat="false" ht="15" hidden="false" customHeight="false" outlineLevel="0" collapsed="false">
      <c r="A30" s="0" t="n">
        <v>2053</v>
      </c>
      <c r="B30" s="0" t="n">
        <v>27</v>
      </c>
      <c r="C30" s="0" t="n">
        <v>4832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2234.38</v>
      </c>
      <c r="I30" s="0" t="n">
        <v>252.502</v>
      </c>
      <c r="J30" s="0" t="n">
        <v>1447.785</v>
      </c>
      <c r="K30" s="0" t="n">
        <v>2378.343</v>
      </c>
      <c r="L30" s="0" t="n">
        <v>1094.75</v>
      </c>
      <c r="M30" s="0" t="n">
        <v>96354.628</v>
      </c>
      <c r="N30" s="0" t="n">
        <v>8724.178</v>
      </c>
      <c r="O30" s="0" t="n">
        <v>81.305</v>
      </c>
      <c r="P30" s="0" t="n">
        <v>82.168</v>
      </c>
      <c r="Q30" s="0" t="n">
        <v>1225.526</v>
      </c>
      <c r="R30" s="0" t="n">
        <v>1330.603</v>
      </c>
      <c r="S30" s="0" t="n">
        <v>7687.196</v>
      </c>
      <c r="T30" s="0" t="n">
        <v>2486.883</v>
      </c>
      <c r="U30" s="0" t="n">
        <v>1819.788</v>
      </c>
      <c r="V30" s="0" t="n">
        <v>149186.619</v>
      </c>
      <c r="W30" s="0" t="n">
        <v>252.475</v>
      </c>
      <c r="X30" s="0" t="n">
        <v>670.166</v>
      </c>
      <c r="Y30" s="0" t="n">
        <v>81.305</v>
      </c>
      <c r="Z30" s="0" t="n">
        <v>853.248</v>
      </c>
      <c r="AA30" s="0" t="n">
        <f aca="false">H30*x_c_F+I30*x_c_CC+J30*x_c_DC+K30*x_c_HCC+L30*x_c_PLT+M30*x_c_SVRn+N30*x_c_SVRcc+O30*x_c_LT+P30*x_c_LT1</f>
        <v>333177968.331353</v>
      </c>
      <c r="AB30" s="0" t="n">
        <f aca="false">C30*x_c_DAA</f>
        <v>109976320</v>
      </c>
      <c r="AC30" s="0" t="n">
        <f aca="false">C30*x_c_MON</f>
        <v>27857107.6100244</v>
      </c>
      <c r="AD30" s="0" t="n">
        <f aca="false">D30*(1-x_testy)</f>
        <v>0</v>
      </c>
      <c r="AE30" s="0" t="n">
        <f aca="false">E30*(1-x_testy)</f>
        <v>0</v>
      </c>
      <c r="AF30" s="0" t="n">
        <f aca="false">F30*x_NAV</f>
        <v>0</v>
      </c>
      <c r="AG30" s="0" t="n">
        <f aca="false">G30*x_FIX*(1-x_testy)</f>
        <v>0</v>
      </c>
      <c r="AH30" s="0" t="n">
        <f aca="false">x_z_F*U30+(1-x_AGRI)*x_EMP*x_WLOSS*(x_PEN_K74*Q30+x_PEN_C22*R30)</f>
        <v>20208757.3943388</v>
      </c>
      <c r="AI30" s="0" t="n">
        <f aca="false">x_AGRI*x_EMP*x_WLOSS*(x_PEN_K74*Q30+x_PEN_C22*R30)</f>
        <v>1088466.39548162</v>
      </c>
      <c r="AJ30" s="0" t="n">
        <f aca="false">x_EMP*x_WAGE*(x_WLOSS*(Q30+R30)+S30)+U30*x_ABS_D*x_WAGE/365</f>
        <v>744425483.090631</v>
      </c>
      <c r="AK30" s="0" t="n">
        <f aca="false">AJ30*x_R_FUS</f>
        <v>235536222.849876</v>
      </c>
      <c r="AL30" s="0" t="n">
        <f aca="false">AJ30*x_R_NFZ</f>
        <v>57812827.4423015</v>
      </c>
      <c r="AM30" s="0" t="n">
        <f aca="false">AJ30*x_R_PIT</f>
        <v>49492513.2324968</v>
      </c>
      <c r="AN30" s="0" t="n">
        <f aca="false">AJ30*x_R_FP</f>
        <v>18982849.8188111</v>
      </c>
      <c r="AO30" s="0" t="n">
        <f aca="false">AA30+AB30+AC30+AD30+AF30</f>
        <v>471011395.941377</v>
      </c>
      <c r="AP30" s="0" t="n">
        <f aca="false">AO30+AE30+AG30+AH30+AI30+AK30+AL30+AM30+AN30</f>
        <v>854133033.074682</v>
      </c>
      <c r="AQ30" s="0" t="n">
        <f aca="false">AO30+AE30+AG30+AJ30</f>
        <v>1215436879.03201</v>
      </c>
      <c r="AR30" s="0" t="n">
        <f aca="false">AB30+AC30+AD30+AF30</f>
        <v>137833427.610024</v>
      </c>
      <c r="AS30" s="0" t="n">
        <f aca="false">AR30+AE30+AG30</f>
        <v>137833427.610024</v>
      </c>
    </row>
    <row r="31" customFormat="false" ht="15" hidden="false" customHeight="false" outlineLevel="0" collapsed="false">
      <c r="A31" s="0" t="n">
        <v>2054</v>
      </c>
      <c r="B31" s="0" t="n">
        <v>28</v>
      </c>
      <c r="C31" s="0" t="n">
        <v>4832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2238.195</v>
      </c>
      <c r="I31" s="0" t="n">
        <v>247.887</v>
      </c>
      <c r="J31" s="0" t="n">
        <v>1417.323</v>
      </c>
      <c r="K31" s="0" t="n">
        <v>2332.466</v>
      </c>
      <c r="L31" s="0" t="n">
        <v>1074.916</v>
      </c>
      <c r="M31" s="0" t="n">
        <v>99074.408</v>
      </c>
      <c r="N31" s="0" t="n">
        <v>8771.393</v>
      </c>
      <c r="O31" s="0" t="n">
        <v>79.624</v>
      </c>
      <c r="P31" s="0" t="n">
        <v>80.464</v>
      </c>
      <c r="Q31" s="0" t="n">
        <v>1262.191</v>
      </c>
      <c r="R31" s="0" t="n">
        <v>1371.767</v>
      </c>
      <c r="S31" s="0" t="n">
        <v>8102.74</v>
      </c>
      <c r="T31" s="0" t="n">
        <v>2486.082</v>
      </c>
      <c r="U31" s="0" t="n">
        <v>1840.029</v>
      </c>
      <c r="V31" s="0" t="n">
        <v>150826.576</v>
      </c>
      <c r="W31" s="0" t="n">
        <v>247.372</v>
      </c>
      <c r="X31" s="0" t="n">
        <v>658.145</v>
      </c>
      <c r="Y31" s="0" t="n">
        <v>79.624</v>
      </c>
      <c r="Z31" s="0" t="n">
        <v>836.431</v>
      </c>
      <c r="AA31" s="0" t="n">
        <f aca="false">H31*x_c_F+I31*x_c_CC+J31*x_c_DC+K31*x_c_HCC+L31*x_c_PLT+M31*x_c_SVRn+N31*x_c_SVRcc+O31*x_c_LT+P31*x_c_LT1</f>
        <v>330236865.678452</v>
      </c>
      <c r="AB31" s="0" t="n">
        <f aca="false">C31*x_c_DAA</f>
        <v>109976320</v>
      </c>
      <c r="AC31" s="0" t="n">
        <f aca="false">C31*x_c_MON</f>
        <v>27857107.6100244</v>
      </c>
      <c r="AD31" s="0" t="n">
        <f aca="false">D31*(1-x_testy)</f>
        <v>0</v>
      </c>
      <c r="AE31" s="0" t="n">
        <f aca="false">E31*(1-x_testy)</f>
        <v>0</v>
      </c>
      <c r="AF31" s="0" t="n">
        <f aca="false">F31*x_NAV</f>
        <v>0</v>
      </c>
      <c r="AG31" s="0" t="n">
        <f aca="false">G31*x_FIX*(1-x_testy)</f>
        <v>0</v>
      </c>
      <c r="AH31" s="0" t="n">
        <f aca="false">x_z_F*U31+(1-x_AGRI)*x_EMP*x_WLOSS*(x_PEN_K74*Q31+x_PEN_C22*R31)</f>
        <v>20752305.0037764</v>
      </c>
      <c r="AI31" s="0" t="n">
        <f aca="false">x_AGRI*x_EMP*x_WLOSS*(x_PEN_K74*Q31+x_PEN_C22*R31)</f>
        <v>1121643.26992421</v>
      </c>
      <c r="AJ31" s="0" t="n">
        <f aca="false">x_EMP*x_WAGE*(x_WLOSS*(Q31+R31)+S31)+U31*x_ABS_D*x_WAGE/365</f>
        <v>782461884.315744</v>
      </c>
      <c r="AK31" s="0" t="n">
        <f aca="false">AJ31*x_R_FUS</f>
        <v>247570940.197502</v>
      </c>
      <c r="AL31" s="0" t="n">
        <f aca="false">AJ31*x_R_NFZ</f>
        <v>60766772.397845</v>
      </c>
      <c r="AM31" s="0" t="n">
        <f aca="false">AJ31*x_R_PIT</f>
        <v>52021331.943988</v>
      </c>
      <c r="AN31" s="0" t="n">
        <f aca="false">AJ31*x_R_FP</f>
        <v>19952778.0500515</v>
      </c>
      <c r="AO31" s="0" t="n">
        <f aca="false">AA31+AB31+AC31+AD31+AF31</f>
        <v>468070293.288477</v>
      </c>
      <c r="AP31" s="0" t="n">
        <f aca="false">AO31+AE31+AG31+AH31+AI31+AK31+AL31+AM31+AN31</f>
        <v>870256064.151563</v>
      </c>
      <c r="AQ31" s="0" t="n">
        <f aca="false">AO31+AE31+AG31+AJ31</f>
        <v>1250532177.60422</v>
      </c>
      <c r="AR31" s="0" t="n">
        <f aca="false">AB31+AC31+AD31+AF31</f>
        <v>137833427.610024</v>
      </c>
      <c r="AS31" s="0" t="n">
        <f aca="false">AR31+AE31+AG31</f>
        <v>137833427.610024</v>
      </c>
    </row>
    <row r="32" customFormat="false" ht="15" hidden="false" customHeight="false" outlineLevel="0" collapsed="false">
      <c r="A32" s="0" t="n">
        <v>2055</v>
      </c>
      <c r="B32" s="0" t="n">
        <v>29</v>
      </c>
      <c r="C32" s="0" t="n">
        <v>4832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2241.786</v>
      </c>
      <c r="I32" s="0" t="n">
        <v>243.538</v>
      </c>
      <c r="J32" s="0" t="n">
        <v>1387.69</v>
      </c>
      <c r="K32" s="0" t="n">
        <v>2288.628</v>
      </c>
      <c r="L32" s="0" t="n">
        <v>1054.618</v>
      </c>
      <c r="M32" s="0" t="n">
        <v>101769.284</v>
      </c>
      <c r="N32" s="0" t="n">
        <v>8804.409</v>
      </c>
      <c r="O32" s="0" t="n">
        <v>77.985</v>
      </c>
      <c r="P32" s="0" t="n">
        <v>78.804</v>
      </c>
      <c r="Q32" s="0" t="n">
        <v>1298.83</v>
      </c>
      <c r="R32" s="0" t="n">
        <v>1412.026</v>
      </c>
      <c r="S32" s="0" t="n">
        <v>8525.075</v>
      </c>
      <c r="T32" s="0" t="n">
        <v>2485.324</v>
      </c>
      <c r="U32" s="0" t="n">
        <v>1858.363</v>
      </c>
      <c r="V32" s="0" t="n">
        <v>152467.978</v>
      </c>
      <c r="W32" s="0" t="n">
        <v>242.548</v>
      </c>
      <c r="X32" s="0" t="n">
        <v>646.754</v>
      </c>
      <c r="Y32" s="0" t="n">
        <v>77.985</v>
      </c>
      <c r="Z32" s="0" t="n">
        <v>820.138</v>
      </c>
      <c r="AA32" s="0" t="n">
        <f aca="false">H32*x_c_F+I32*x_c_CC+J32*x_c_DC+K32*x_c_HCC+L32*x_c_PLT+M32*x_c_SVRn+N32*x_c_SVRcc+O32*x_c_LT+P32*x_c_LT1</f>
        <v>327387335.142693</v>
      </c>
      <c r="AB32" s="0" t="n">
        <f aca="false">C32*x_c_DAA</f>
        <v>109976320</v>
      </c>
      <c r="AC32" s="0" t="n">
        <f aca="false">C32*x_c_MON</f>
        <v>27857107.6100244</v>
      </c>
      <c r="AD32" s="0" t="n">
        <f aca="false">D32*(1-x_testy)</f>
        <v>0</v>
      </c>
      <c r="AE32" s="0" t="n">
        <f aca="false">E32*(1-x_testy)</f>
        <v>0</v>
      </c>
      <c r="AF32" s="0" t="n">
        <f aca="false">F32*x_NAV</f>
        <v>0</v>
      </c>
      <c r="AG32" s="0" t="n">
        <f aca="false">G32*x_FIX*(1-x_testy)</f>
        <v>0</v>
      </c>
      <c r="AH32" s="0" t="n">
        <f aca="false">x_z_F*U32+(1-x_AGRI)*x_EMP*x_WLOSS*(x_PEN_K74*Q32+x_PEN_C22*R32)</f>
        <v>21285589.1282238</v>
      </c>
      <c r="AI32" s="0" t="n">
        <f aca="false">x_AGRI*x_EMP*x_WLOSS*(x_PEN_K74*Q32+x_PEN_C22*R32)</f>
        <v>1154400.8927604</v>
      </c>
      <c r="AJ32" s="0" t="n">
        <f aca="false">x_EMP*x_WAGE*(x_WLOSS*(Q32+R32)+S32)+U32*x_ABS_D*x_WAGE/365</f>
        <v>821041214.888576</v>
      </c>
      <c r="AK32" s="0" t="n">
        <f aca="false">AJ32*x_R_FUS</f>
        <v>259777440.390746</v>
      </c>
      <c r="AL32" s="0" t="n">
        <f aca="false">AJ32*x_R_NFZ</f>
        <v>63762881.7894617</v>
      </c>
      <c r="AM32" s="0" t="n">
        <f aca="false">AJ32*x_R_PIT</f>
        <v>54586246.8646185</v>
      </c>
      <c r="AN32" s="0" t="n">
        <f aca="false">AJ32*x_R_FP</f>
        <v>20936550.9796587</v>
      </c>
      <c r="AO32" s="0" t="n">
        <f aca="false">AA32+AB32+AC32+AD32+AF32</f>
        <v>465220762.752717</v>
      </c>
      <c r="AP32" s="0" t="n">
        <f aca="false">AO32+AE32+AG32+AH32+AI32+AK32+AL32+AM32+AN32</f>
        <v>886723872.798186</v>
      </c>
      <c r="AQ32" s="0" t="n">
        <f aca="false">AO32+AE32+AG32+AJ32</f>
        <v>1286261977.64129</v>
      </c>
      <c r="AR32" s="0" t="n">
        <f aca="false">AB32+AC32+AD32+AF32</f>
        <v>137833427.610024</v>
      </c>
      <c r="AS32" s="0" t="n">
        <f aca="false">AR32+AE32+AG32</f>
        <v>137833427.610024</v>
      </c>
    </row>
    <row r="33" customFormat="false" ht="15" hidden="false" customHeight="false" outlineLevel="0" collapsed="false">
      <c r="A33" s="0" t="n">
        <v>2056</v>
      </c>
      <c r="B33" s="0" t="n">
        <v>30</v>
      </c>
      <c r="C33" s="0" t="n">
        <v>4832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2245.168</v>
      </c>
      <c r="I33" s="0" t="n">
        <v>239.433</v>
      </c>
      <c r="J33" s="0" t="n">
        <v>1358.781</v>
      </c>
      <c r="K33" s="0" t="n">
        <v>2246.515</v>
      </c>
      <c r="L33" s="0" t="n">
        <v>1033.63</v>
      </c>
      <c r="M33" s="0" t="n">
        <v>104427.627</v>
      </c>
      <c r="N33" s="0" t="n">
        <v>8822.197</v>
      </c>
      <c r="O33" s="0" t="n">
        <v>76.381</v>
      </c>
      <c r="P33" s="0" t="n">
        <v>77.183</v>
      </c>
      <c r="Q33" s="0" t="n">
        <v>1335.22</v>
      </c>
      <c r="R33" s="0" t="n">
        <v>1451.119</v>
      </c>
      <c r="S33" s="0" t="n">
        <v>8953</v>
      </c>
      <c r="T33" s="0" t="n">
        <v>2484.602</v>
      </c>
      <c r="U33" s="0" t="n">
        <v>1874.959</v>
      </c>
      <c r="V33" s="0" t="n">
        <v>154096.175</v>
      </c>
      <c r="W33" s="0" t="n">
        <v>237.961</v>
      </c>
      <c r="X33" s="0" t="n">
        <v>635.872</v>
      </c>
      <c r="Y33" s="0" t="n">
        <v>76.381</v>
      </c>
      <c r="Z33" s="0" t="n">
        <v>804.256</v>
      </c>
      <c r="AA33" s="0" t="n">
        <f aca="false">H33*x_c_F+I33*x_c_CC+J33*x_c_DC+K33*x_c_HCC+L33*x_c_PLT+M33*x_c_SVRn+N33*x_c_SVRcc+O33*x_c_LT+P33*x_c_LT1</f>
        <v>324587898.11778</v>
      </c>
      <c r="AB33" s="0" t="n">
        <f aca="false">C33*x_c_DAA</f>
        <v>109976320</v>
      </c>
      <c r="AC33" s="0" t="n">
        <f aca="false">C33*x_c_MON</f>
        <v>27857107.6100244</v>
      </c>
      <c r="AD33" s="0" t="n">
        <f aca="false">D33*(1-x_testy)</f>
        <v>0</v>
      </c>
      <c r="AE33" s="0" t="n">
        <f aca="false">E33*(1-x_testy)</f>
        <v>0</v>
      </c>
      <c r="AF33" s="0" t="n">
        <f aca="false">F33*x_NAV</f>
        <v>0</v>
      </c>
      <c r="AG33" s="0" t="n">
        <f aca="false">G33*x_FIX*(1-x_testy)</f>
        <v>0</v>
      </c>
      <c r="AH33" s="0" t="n">
        <f aca="false">x_z_F*U33+(1-x_AGRI)*x_EMP*x_WLOSS*(x_PEN_K74*Q33+x_PEN_C22*R33)</f>
        <v>21805831.6947781</v>
      </c>
      <c r="AI33" s="0" t="n">
        <f aca="false">x_AGRI*x_EMP*x_WLOSS*(x_PEN_K74*Q33+x_PEN_C22*R33)</f>
        <v>1186532.67304194</v>
      </c>
      <c r="AJ33" s="0" t="n">
        <f aca="false">x_EMP*x_WAGE*(x_WLOSS*(Q33+R33)+S33)+U33*x_ABS_D*x_WAGE/365</f>
        <v>860045731.332836</v>
      </c>
      <c r="AK33" s="0" t="n">
        <f aca="false">AJ33*x_R_FUS</f>
        <v>272118469.393709</v>
      </c>
      <c r="AL33" s="0" t="n">
        <f aca="false">AJ33*x_R_NFZ</f>
        <v>66792011.5410394</v>
      </c>
      <c r="AM33" s="0" t="n">
        <f aca="false">AJ33*x_R_PIT</f>
        <v>57179429.9166415</v>
      </c>
      <c r="AN33" s="0" t="n">
        <f aca="false">AJ33*x_R_FP</f>
        <v>21931166.1489873</v>
      </c>
      <c r="AO33" s="0" t="n">
        <f aca="false">AA33+AB33+AC33+AD33+AF33</f>
        <v>462421325.727804</v>
      </c>
      <c r="AP33" s="0" t="n">
        <f aca="false">AO33+AE33+AG33+AH33+AI33+AK33+AL33+AM33+AN33</f>
        <v>903434767.096002</v>
      </c>
      <c r="AQ33" s="0" t="n">
        <f aca="false">AO33+AE33+AG33+AJ33</f>
        <v>1322467057.06064</v>
      </c>
      <c r="AR33" s="0" t="n">
        <f aca="false">AB33+AC33+AD33+AF33</f>
        <v>137833427.610024</v>
      </c>
      <c r="AS33" s="0" t="n">
        <f aca="false">AR33+AE33+AG33</f>
        <v>137833427.610024</v>
      </c>
    </row>
    <row r="34" customFormat="false" ht="15" hidden="false" customHeight="false" outlineLevel="0" collapsed="false">
      <c r="A34" s="0" t="n">
        <v>2057</v>
      </c>
      <c r="B34" s="0" t="n">
        <v>31</v>
      </c>
      <c r="C34" s="0" t="n">
        <v>4832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2248.396</v>
      </c>
      <c r="I34" s="0" t="n">
        <v>235.507</v>
      </c>
      <c r="J34" s="0" t="n">
        <v>1329.002</v>
      </c>
      <c r="K34" s="0" t="n">
        <v>2203.843</v>
      </c>
      <c r="L34" s="0" t="n">
        <v>1009.173</v>
      </c>
      <c r="M34" s="0" t="n">
        <v>106952.208</v>
      </c>
      <c r="N34" s="0" t="n">
        <v>8807.884</v>
      </c>
      <c r="O34" s="0" t="n">
        <v>74.63</v>
      </c>
      <c r="P34" s="0" t="n">
        <v>75.505</v>
      </c>
      <c r="Q34" s="0" t="n">
        <v>1371.13</v>
      </c>
      <c r="R34" s="0" t="n">
        <v>1488.801</v>
      </c>
      <c r="S34" s="0" t="n">
        <v>9385.102</v>
      </c>
      <c r="T34" s="0" t="n">
        <v>2483.903</v>
      </c>
      <c r="U34" s="0" t="n">
        <v>1890.056</v>
      </c>
      <c r="V34" s="0" t="n">
        <v>155615.502</v>
      </c>
      <c r="W34" s="0" t="n">
        <v>233.299</v>
      </c>
      <c r="X34" s="0" t="n">
        <v>624.598</v>
      </c>
      <c r="Y34" s="0" t="n">
        <v>74.63</v>
      </c>
      <c r="Z34" s="0" t="n">
        <v>786.896</v>
      </c>
      <c r="AA34" s="0" t="n">
        <f aca="false">H34*x_c_F+I34*x_c_CC+J34*x_c_DC+K34*x_c_HCC+L34*x_c_PLT+M34*x_c_SVRn+N34*x_c_SVRcc+O34*x_c_LT+P34*x_c_LT1</f>
        <v>321404896.192469</v>
      </c>
      <c r="AB34" s="0" t="n">
        <f aca="false">C34*x_c_DAA</f>
        <v>109976320</v>
      </c>
      <c r="AC34" s="0" t="n">
        <f aca="false">C34*x_c_MON</f>
        <v>27857107.6100244</v>
      </c>
      <c r="AD34" s="0" t="n">
        <f aca="false">D34*(1-x_testy)</f>
        <v>0</v>
      </c>
      <c r="AE34" s="0" t="n">
        <f aca="false">E34*(1-x_testy)</f>
        <v>0</v>
      </c>
      <c r="AF34" s="0" t="n">
        <f aca="false">F34*x_NAV</f>
        <v>0</v>
      </c>
      <c r="AG34" s="0" t="n">
        <f aca="false">G34*x_FIX*(1-x_testy)</f>
        <v>0</v>
      </c>
      <c r="AH34" s="0" t="n">
        <f aca="false">x_z_F*U34+(1-x_AGRI)*x_EMP*x_WLOSS*(x_PEN_K74*Q34+x_PEN_C22*R34)</f>
        <v>22310459.7979111</v>
      </c>
      <c r="AI34" s="0" t="n">
        <f aca="false">x_AGRI*x_EMP*x_WLOSS*(x_PEN_K74*Q34+x_PEN_C22*R34)</f>
        <v>1217836.06858655</v>
      </c>
      <c r="AJ34" s="0" t="n">
        <f aca="false">x_EMP*x_WAGE*(x_WLOSS*(Q34+R34)+S34)+U34*x_ABS_D*x_WAGE/365</f>
        <v>899340082.418005</v>
      </c>
      <c r="AK34" s="0" t="n">
        <f aca="false">AJ34*x_R_FUS</f>
        <v>284551202.077057</v>
      </c>
      <c r="AL34" s="0" t="n">
        <f aca="false">AJ34*x_R_NFZ</f>
        <v>69843650.1406647</v>
      </c>
      <c r="AM34" s="0" t="n">
        <f aca="false">AJ34*x_R_PIT</f>
        <v>59791882.3853171</v>
      </c>
      <c r="AN34" s="0" t="n">
        <f aca="false">AJ34*x_R_FP</f>
        <v>22933172.1016591</v>
      </c>
      <c r="AO34" s="0" t="n">
        <f aca="false">AA34+AB34+AC34+AD34+AF34</f>
        <v>459238323.802494</v>
      </c>
      <c r="AP34" s="0" t="n">
        <f aca="false">AO34+AE34+AG34+AH34+AI34+AK34+AL34+AM34+AN34</f>
        <v>919886526.373689</v>
      </c>
      <c r="AQ34" s="0" t="n">
        <f aca="false">AO34+AE34+AG34+AJ34</f>
        <v>1358578406.2205</v>
      </c>
      <c r="AR34" s="0" t="n">
        <f aca="false">AB34+AC34+AD34+AF34</f>
        <v>137833427.610024</v>
      </c>
      <c r="AS34" s="0" t="n">
        <f aca="false">AR34+AE34+AG34</f>
        <v>137833427.610024</v>
      </c>
    </row>
    <row r="35" customFormat="false" ht="15" hidden="false" customHeight="false" outlineLevel="0" collapsed="false">
      <c r="A35" s="0" t="n">
        <v>2058</v>
      </c>
      <c r="B35" s="0" t="n">
        <v>32</v>
      </c>
      <c r="C35" s="0" t="n">
        <v>4832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2251.413</v>
      </c>
      <c r="I35" s="0" t="n">
        <v>231.821</v>
      </c>
      <c r="J35" s="0" t="n">
        <v>1300.367</v>
      </c>
      <c r="K35" s="0" t="n">
        <v>2163.185</v>
      </c>
      <c r="L35" s="0" t="n">
        <v>984.512</v>
      </c>
      <c r="M35" s="0" t="n">
        <v>109445.573</v>
      </c>
      <c r="N35" s="0" t="n">
        <v>8781.776</v>
      </c>
      <c r="O35" s="0" t="n">
        <v>73.153</v>
      </c>
      <c r="P35" s="0" t="n">
        <v>73.892</v>
      </c>
      <c r="Q35" s="0" t="n">
        <v>1406.324</v>
      </c>
      <c r="R35" s="0" t="n">
        <v>1524.839</v>
      </c>
      <c r="S35" s="0" t="n">
        <v>9819.765</v>
      </c>
      <c r="T35" s="0" t="n">
        <v>2483.233</v>
      </c>
      <c r="U35" s="0" t="n">
        <v>1903.636</v>
      </c>
      <c r="V35" s="0" t="n">
        <v>157123.654</v>
      </c>
      <c r="W35" s="0" t="n">
        <v>229.211</v>
      </c>
      <c r="X35" s="0" t="n">
        <v>614.823</v>
      </c>
      <c r="Y35" s="0" t="n">
        <v>73.153</v>
      </c>
      <c r="Z35" s="0" t="n">
        <v>772.348</v>
      </c>
      <c r="AA35" s="0" t="n">
        <f aca="false">H35*x_c_F+I35*x_c_CC+J35*x_c_DC+K35*x_c_HCC+L35*x_c_PLT+M35*x_c_SVRn+N35*x_c_SVRcc+O35*x_c_LT+P35*x_c_LT1</f>
        <v>318408995.147866</v>
      </c>
      <c r="AB35" s="0" t="n">
        <f aca="false">C35*x_c_DAA</f>
        <v>109976320</v>
      </c>
      <c r="AC35" s="0" t="n">
        <f aca="false">C35*x_c_MON</f>
        <v>27857107.6100244</v>
      </c>
      <c r="AD35" s="0" t="n">
        <f aca="false">D35*(1-x_testy)</f>
        <v>0</v>
      </c>
      <c r="AE35" s="0" t="n">
        <f aca="false">E35*(1-x_testy)</f>
        <v>0</v>
      </c>
      <c r="AF35" s="0" t="n">
        <f aca="false">F35*x_NAV</f>
        <v>0</v>
      </c>
      <c r="AG35" s="0" t="n">
        <f aca="false">G35*x_FIX*(1-x_testy)</f>
        <v>0</v>
      </c>
      <c r="AH35" s="0" t="n">
        <f aca="false">x_z_F*U35+(1-x_AGRI)*x_EMP*x_WLOSS*(x_PEN_K74*Q35+x_PEN_C22*R35)</f>
        <v>22796424.1195684</v>
      </c>
      <c r="AI35" s="0" t="n">
        <f aca="false">x_AGRI*x_EMP*x_WLOSS*(x_PEN_K74*Q35+x_PEN_C22*R35)</f>
        <v>1248111.9713691</v>
      </c>
      <c r="AJ35" s="0" t="n">
        <f aca="false">x_EMP*x_WAGE*(x_WLOSS*(Q35+R35)+S35)+U35*x_ABS_D*x_WAGE/365</f>
        <v>938771083.243611</v>
      </c>
      <c r="AK35" s="0" t="n">
        <f aca="false">AJ35*x_R_FUS</f>
        <v>297027170.738279</v>
      </c>
      <c r="AL35" s="0" t="n">
        <f aca="false">AJ35*x_R_NFZ</f>
        <v>72905901.0957821</v>
      </c>
      <c r="AM35" s="0" t="n">
        <f aca="false">AJ35*x_R_PIT</f>
        <v>62413419.8990917</v>
      </c>
      <c r="AN35" s="0" t="n">
        <f aca="false">AJ35*x_R_FP</f>
        <v>23938662.6227121</v>
      </c>
      <c r="AO35" s="0" t="n">
        <f aca="false">AA35+AB35+AC35+AD35+AF35</f>
        <v>456242422.75789</v>
      </c>
      <c r="AP35" s="0" t="n">
        <f aca="false">AO35+AE35+AG35+AH35+AI35+AK35+AL35+AM35+AN35</f>
        <v>936572113.204692</v>
      </c>
      <c r="AQ35" s="0" t="n">
        <f aca="false">AO35+AE35+AG35+AJ35</f>
        <v>1395013506.0015</v>
      </c>
      <c r="AR35" s="0" t="n">
        <f aca="false">AB35+AC35+AD35+AF35</f>
        <v>137833427.610024</v>
      </c>
      <c r="AS35" s="0" t="n">
        <f aca="false">AR35+AE35+AG35</f>
        <v>137833427.610024</v>
      </c>
    </row>
    <row r="36" customFormat="false" ht="15" hidden="false" customHeight="false" outlineLevel="0" collapsed="false">
      <c r="A36" s="0" t="n">
        <v>2059</v>
      </c>
      <c r="B36" s="0" t="n">
        <v>33</v>
      </c>
      <c r="C36" s="0" t="n">
        <v>4832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2254.192</v>
      </c>
      <c r="I36" s="0" t="n">
        <v>228.404</v>
      </c>
      <c r="J36" s="0" t="n">
        <v>1274.086</v>
      </c>
      <c r="K36" s="0" t="n">
        <v>2126.042</v>
      </c>
      <c r="L36" s="0" t="n">
        <v>961.722</v>
      </c>
      <c r="M36" s="0" t="n">
        <v>111971.137</v>
      </c>
      <c r="N36" s="0" t="n">
        <v>8756.827</v>
      </c>
      <c r="O36" s="0" t="n">
        <v>71.675</v>
      </c>
      <c r="P36" s="0" t="n">
        <v>72.414</v>
      </c>
      <c r="Q36" s="0" t="n">
        <v>1064.555</v>
      </c>
      <c r="R36" s="0" t="n">
        <v>1290.192</v>
      </c>
      <c r="S36" s="0" t="n">
        <v>6451.581</v>
      </c>
      <c r="T36" s="0" t="n">
        <v>2482.596</v>
      </c>
      <c r="U36" s="0" t="n">
        <v>1877.454</v>
      </c>
      <c r="V36" s="0" t="n">
        <v>158680.612</v>
      </c>
      <c r="W36" s="0" t="n">
        <v>225.239</v>
      </c>
      <c r="X36" s="0" t="n">
        <v>605.224</v>
      </c>
      <c r="Y36" s="0" t="n">
        <v>71.675</v>
      </c>
      <c r="Z36" s="0" t="n">
        <v>757.753</v>
      </c>
      <c r="AA36" s="0" t="n">
        <f aca="false">H36*x_c_F+I36*x_c_CC+J36*x_c_DC+K36*x_c_HCC+L36*x_c_PLT+M36*x_c_SVRn+N36*x_c_SVRcc+O36*x_c_LT+P36*x_c_LT1</f>
        <v>315765842.159905</v>
      </c>
      <c r="AB36" s="0" t="n">
        <f aca="false">C36*x_c_DAA</f>
        <v>109976320</v>
      </c>
      <c r="AC36" s="0" t="n">
        <f aca="false">C36*x_c_MON</f>
        <v>27857107.6100244</v>
      </c>
      <c r="AD36" s="0" t="n">
        <f aca="false">D36*(1-x_testy)</f>
        <v>0</v>
      </c>
      <c r="AE36" s="0" t="n">
        <f aca="false">E36*(1-x_testy)</f>
        <v>0</v>
      </c>
      <c r="AF36" s="0" t="n">
        <f aca="false">F36*x_NAV</f>
        <v>0</v>
      </c>
      <c r="AG36" s="0" t="n">
        <f aca="false">G36*x_FIX*(1-x_testy)</f>
        <v>0</v>
      </c>
      <c r="AH36" s="0" t="n">
        <f aca="false">x_z_F*U36+(1-x_AGRI)*x_EMP*x_WLOSS*(x_PEN_K74*Q36+x_PEN_C22*R36)</f>
        <v>19082821.1469902</v>
      </c>
      <c r="AI36" s="0" t="n">
        <f aca="false">x_AGRI*x_EMP*x_WLOSS*(x_PEN_K74*Q36+x_PEN_C22*R36)</f>
        <v>1006207.85197907</v>
      </c>
      <c r="AJ36" s="0" t="n">
        <f aca="false">x_EMP*x_WAGE*(x_WLOSS*(Q36+R36)+S36)+U36*x_ABS_D*x_WAGE/365</f>
        <v>632654194.548971</v>
      </c>
      <c r="AK36" s="0" t="n">
        <f aca="false">AJ36*x_R_FUS</f>
        <v>200171787.155294</v>
      </c>
      <c r="AL36" s="0" t="n">
        <f aca="false">AJ36*x_R_NFZ</f>
        <v>49132557.4028676</v>
      </c>
      <c r="AM36" s="0" t="n">
        <f aca="false">AJ36*x_R_PIT</f>
        <v>42061491.4542057</v>
      </c>
      <c r="AN36" s="0" t="n">
        <f aca="false">AJ36*x_R_FP</f>
        <v>16132681.9609988</v>
      </c>
      <c r="AO36" s="0" t="n">
        <f aca="false">AA36+AB36+AC36+AD36+AF36</f>
        <v>453599269.76993</v>
      </c>
      <c r="AP36" s="0" t="n">
        <f aca="false">AO36+AE36+AG36+AH36+AI36+AK36+AL36+AM36+AN36</f>
        <v>781186816.742265</v>
      </c>
      <c r="AQ36" s="0" t="n">
        <f aca="false">AO36+AE36+AG36+AJ36</f>
        <v>1086253464.3189</v>
      </c>
      <c r="AR36" s="0" t="n">
        <f aca="false">AB36+AC36+AD36+AF36</f>
        <v>137833427.610024</v>
      </c>
      <c r="AS36" s="0" t="n">
        <f aca="false">AR36+AE36+AG36</f>
        <v>137833427.610024</v>
      </c>
    </row>
    <row r="37" customFormat="false" ht="15" hidden="false" customHeight="false" outlineLevel="0" collapsed="false">
      <c r="A37" s="0" t="n">
        <v>2060</v>
      </c>
      <c r="B37" s="0" t="n">
        <v>34</v>
      </c>
      <c r="C37" s="0" t="n">
        <v>4832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2256.797</v>
      </c>
      <c r="I37" s="0" t="n">
        <v>225.182</v>
      </c>
      <c r="J37" s="0" t="n">
        <v>1247.967</v>
      </c>
      <c r="K37" s="0" t="n">
        <v>2089.376</v>
      </c>
      <c r="L37" s="0" t="n">
        <v>937.053</v>
      </c>
      <c r="M37" s="0" t="n">
        <v>114398</v>
      </c>
      <c r="N37" s="0" t="n">
        <v>8710.127</v>
      </c>
      <c r="O37" s="0" t="n">
        <v>70.209</v>
      </c>
      <c r="P37" s="0" t="n">
        <v>70.942</v>
      </c>
      <c r="Q37" s="0" t="n">
        <v>701.924</v>
      </c>
      <c r="R37" s="0" t="n">
        <v>1032.881</v>
      </c>
      <c r="S37" s="0" t="n">
        <v>2853.069</v>
      </c>
      <c r="T37" s="0" t="n">
        <v>2481.978</v>
      </c>
      <c r="U37" s="0" t="n">
        <v>1844.74</v>
      </c>
      <c r="V37" s="0" t="n">
        <v>160160.65</v>
      </c>
      <c r="W37" s="0" t="n">
        <v>221.404</v>
      </c>
      <c r="X37" s="0" t="n">
        <v>595.854</v>
      </c>
      <c r="Y37" s="0" t="n">
        <v>70.209</v>
      </c>
      <c r="Z37" s="0" t="n">
        <v>743.24</v>
      </c>
      <c r="AA37" s="0" t="n">
        <f aca="false">H37*x_c_F+I37*x_c_CC+J37*x_c_DC+K37*x_c_HCC+L37*x_c_PLT+M37*x_c_SVRn+N37*x_c_SVRcc+O37*x_c_LT+P37*x_c_LT1</f>
        <v>312980801.015355</v>
      </c>
      <c r="AB37" s="0" t="n">
        <f aca="false">C37*x_c_DAA</f>
        <v>109976320</v>
      </c>
      <c r="AC37" s="0" t="n">
        <f aca="false">C37*x_c_MON</f>
        <v>27857107.6100244</v>
      </c>
      <c r="AD37" s="0" t="n">
        <f aca="false">D37*(1-x_testy)</f>
        <v>0</v>
      </c>
      <c r="AE37" s="0" t="n">
        <f aca="false">E37*(1-x_testy)</f>
        <v>0</v>
      </c>
      <c r="AF37" s="0" t="n">
        <f aca="false">F37*x_NAV</f>
        <v>0</v>
      </c>
      <c r="AG37" s="0" t="n">
        <f aca="false">G37*x_FIX*(1-x_testy)</f>
        <v>0</v>
      </c>
      <c r="AH37" s="0" t="n">
        <f aca="false">x_z_F*U37+(1-x_AGRI)*x_EMP*x_WLOSS*(x_PEN_K74*Q37+x_PEN_C22*R37)</f>
        <v>15075374.6245276</v>
      </c>
      <c r="AI37" s="0" t="n">
        <f aca="false">x_AGRI*x_EMP*x_WLOSS*(x_PEN_K74*Q37+x_PEN_C22*R37)</f>
        <v>745768.880980653</v>
      </c>
      <c r="AJ37" s="0" t="n">
        <f aca="false">x_EMP*x_WAGE*(x_WLOSS*(Q37+R37)+S37)+U37*x_ABS_D*x_WAGE/365</f>
        <v>305455569.140847</v>
      </c>
      <c r="AK37" s="0" t="n">
        <f aca="false">AJ37*x_R_FUS</f>
        <v>96646142.0761639</v>
      </c>
      <c r="AL37" s="0" t="n">
        <f aca="false">AJ37*x_R_NFZ</f>
        <v>23721984.9550473</v>
      </c>
      <c r="AM37" s="0" t="n">
        <f aca="false">AJ37*x_R_PIT</f>
        <v>20307961.1607044</v>
      </c>
      <c r="AN37" s="0" t="n">
        <f aca="false">AJ37*x_R_FP</f>
        <v>7789117.01309159</v>
      </c>
      <c r="AO37" s="0" t="n">
        <f aca="false">AA37+AB37+AC37+AD37+AF37</f>
        <v>450814228.625379</v>
      </c>
      <c r="AP37" s="0" t="n">
        <f aca="false">AO37+AE37+AG37+AH37+AI37+AK37+AL37+AM37+AN37</f>
        <v>615100577.335895</v>
      </c>
      <c r="AQ37" s="0" t="n">
        <f aca="false">AO37+AE37+AG37+AJ37</f>
        <v>756269797.766226</v>
      </c>
      <c r="AR37" s="0" t="n">
        <f aca="false">AB37+AC37+AD37+AF37</f>
        <v>137833427.610024</v>
      </c>
      <c r="AS37" s="0" t="n">
        <f aca="false">AR37+AE37+AG37</f>
        <v>137833427.610024</v>
      </c>
    </row>
    <row r="38" customFormat="false" ht="15" hidden="false" customHeight="false" outlineLevel="0" collapsed="false">
      <c r="A38" s="0" t="n">
        <v>2061</v>
      </c>
      <c r="B38" s="0" t="n">
        <v>35</v>
      </c>
      <c r="C38" s="0" t="n">
        <v>4832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2259.203</v>
      </c>
      <c r="I38" s="0" t="n">
        <v>222.18</v>
      </c>
      <c r="J38" s="0" t="n">
        <v>1222.328</v>
      </c>
      <c r="K38" s="0" t="n">
        <v>2053.556</v>
      </c>
      <c r="L38" s="0" t="n">
        <v>910.787</v>
      </c>
      <c r="M38" s="0" t="n">
        <v>116727.512</v>
      </c>
      <c r="N38" s="0" t="n">
        <v>8643.78</v>
      </c>
      <c r="O38" s="0" t="n">
        <v>68.778</v>
      </c>
      <c r="P38" s="0" t="n">
        <v>69.494</v>
      </c>
      <c r="Q38" s="0" t="n">
        <v>695.098</v>
      </c>
      <c r="R38" s="0" t="n">
        <v>1022.889</v>
      </c>
      <c r="S38" s="0" t="n">
        <v>2828.339</v>
      </c>
      <c r="T38" s="0" t="n">
        <v>2481.383</v>
      </c>
      <c r="U38" s="0" t="n">
        <v>1844.391</v>
      </c>
      <c r="V38" s="0" t="n">
        <v>161566.968</v>
      </c>
      <c r="W38" s="0" t="n">
        <v>217.743</v>
      </c>
      <c r="X38" s="0" t="n">
        <v>586.809</v>
      </c>
      <c r="Y38" s="0" t="n">
        <v>68.778</v>
      </c>
      <c r="Z38" s="0" t="n">
        <v>729.012</v>
      </c>
      <c r="AA38" s="0" t="n">
        <f aca="false">H38*x_c_F+I38*x_c_CC+J38*x_c_DC+K38*x_c_HCC+L38*x_c_PLT+M38*x_c_SVRn+N38*x_c_SVRcc+O38*x_c_LT+P38*x_c_LT1</f>
        <v>310107172.985867</v>
      </c>
      <c r="AB38" s="0" t="n">
        <f aca="false">C38*x_c_DAA</f>
        <v>109976320</v>
      </c>
      <c r="AC38" s="0" t="n">
        <f aca="false">C38*x_c_MON</f>
        <v>27857107.6100244</v>
      </c>
      <c r="AD38" s="0" t="n">
        <f aca="false">D38*(1-x_testy)</f>
        <v>0</v>
      </c>
      <c r="AE38" s="0" t="n">
        <f aca="false">E38*(1-x_testy)</f>
        <v>0</v>
      </c>
      <c r="AF38" s="0" t="n">
        <f aca="false">F38*x_NAV</f>
        <v>0</v>
      </c>
      <c r="AG38" s="0" t="n">
        <f aca="false">G38*x_FIX*(1-x_testy)</f>
        <v>0</v>
      </c>
      <c r="AH38" s="0" t="n">
        <f aca="false">x_z_F*U38+(1-x_AGRI)*x_EMP*x_WLOSS*(x_PEN_K74*Q38+x_PEN_C22*R38)</f>
        <v>14965294.2408573</v>
      </c>
      <c r="AI38" s="0" t="n">
        <f aca="false">x_AGRI*x_EMP*x_WLOSS*(x_PEN_K74*Q38+x_PEN_C22*R38)</f>
        <v>738540.204988919</v>
      </c>
      <c r="AJ38" s="0" t="n">
        <f aca="false">x_EMP*x_WAGE*(x_WLOSS*(Q38+R38)+S38)+U38*x_ABS_D*x_WAGE/365</f>
        <v>302795573.651822</v>
      </c>
      <c r="AK38" s="0" t="n">
        <f aca="false">AJ38*x_R_FUS</f>
        <v>95804519.5034366</v>
      </c>
      <c r="AL38" s="0" t="n">
        <f aca="false">AJ38*x_R_NFZ</f>
        <v>23515407.0453742</v>
      </c>
      <c r="AM38" s="0" t="n">
        <f aca="false">AJ38*x_R_PIT</f>
        <v>20131113.5581851</v>
      </c>
      <c r="AN38" s="0" t="n">
        <f aca="false">AJ38*x_R_FP</f>
        <v>7721287.12812147</v>
      </c>
      <c r="AO38" s="0" t="n">
        <f aca="false">AA38+AB38+AC38+AD38+AF38</f>
        <v>447940600.595892</v>
      </c>
      <c r="AP38" s="0" t="n">
        <f aca="false">AO38+AE38+AG38+AH38+AI38+AK38+AL38+AM38+AN38</f>
        <v>610816762.276855</v>
      </c>
      <c r="AQ38" s="0" t="n">
        <f aca="false">AO38+AE38+AG38+AJ38</f>
        <v>750736174.247714</v>
      </c>
      <c r="AR38" s="0" t="n">
        <f aca="false">AB38+AC38+AD38+AF38</f>
        <v>137833427.610024</v>
      </c>
      <c r="AS38" s="0" t="n">
        <f aca="false">AR38+AE38+AG38</f>
        <v>137833427.610024</v>
      </c>
    </row>
    <row r="39" customFormat="false" ht="15" hidden="false" customHeight="false" outlineLevel="0" collapsed="false">
      <c r="A39" s="0" t="n">
        <v>2062</v>
      </c>
      <c r="B39" s="0" t="n">
        <v>36</v>
      </c>
      <c r="C39" s="0" t="n">
        <v>4832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2261.383</v>
      </c>
      <c r="I39" s="0" t="n">
        <v>219.43</v>
      </c>
      <c r="J39" s="0" t="n">
        <v>1197.56</v>
      </c>
      <c r="K39" s="0" t="n">
        <v>2019.062</v>
      </c>
      <c r="L39" s="0" t="n">
        <v>883.372</v>
      </c>
      <c r="M39" s="0" t="n">
        <v>118966.405</v>
      </c>
      <c r="N39" s="0" t="n">
        <v>8561.16</v>
      </c>
      <c r="O39" s="0" t="n">
        <v>67.405</v>
      </c>
      <c r="P39" s="0" t="n">
        <v>68.091</v>
      </c>
      <c r="Q39" s="0" t="n">
        <v>688.482</v>
      </c>
      <c r="R39" s="0" t="n">
        <v>1013.224</v>
      </c>
      <c r="S39" s="0" t="n">
        <v>2804.248</v>
      </c>
      <c r="T39" s="0" t="n">
        <v>2480.813</v>
      </c>
      <c r="U39" s="0" t="n">
        <v>1843.976</v>
      </c>
      <c r="V39" s="0" t="n">
        <v>162908.327</v>
      </c>
      <c r="W39" s="0" t="n">
        <v>214.298</v>
      </c>
      <c r="X39" s="0" t="n">
        <v>578.202</v>
      </c>
      <c r="Y39" s="0" t="n">
        <v>67.405</v>
      </c>
      <c r="Z39" s="0" t="n">
        <v>715.29</v>
      </c>
      <c r="AA39" s="0" t="n">
        <f aca="false">H39*x_c_F+I39*x_c_CC+J39*x_c_DC+K39*x_c_HCC+L39*x_c_PLT+M39*x_c_SVRn+N39*x_c_SVRcc+O39*x_c_LT+P39*x_c_LT1</f>
        <v>307218783.439887</v>
      </c>
      <c r="AB39" s="0" t="n">
        <f aca="false">C39*x_c_DAA</f>
        <v>109976320</v>
      </c>
      <c r="AC39" s="0" t="n">
        <f aca="false">C39*x_c_MON</f>
        <v>27857107.6100244</v>
      </c>
      <c r="AD39" s="0" t="n">
        <f aca="false">D39*(1-x_testy)</f>
        <v>0</v>
      </c>
      <c r="AE39" s="0" t="n">
        <f aca="false">E39*(1-x_testy)</f>
        <v>0</v>
      </c>
      <c r="AF39" s="0" t="n">
        <f aca="false">F39*x_NAV</f>
        <v>0</v>
      </c>
      <c r="AG39" s="0" t="n">
        <f aca="false">G39*x_FIX*(1-x_testy)</f>
        <v>0</v>
      </c>
      <c r="AH39" s="0" t="n">
        <f aca="false">x_z_F*U39+(1-x_AGRI)*x_EMP*x_WLOSS*(x_PEN_K74*Q39+x_PEN_C22*R39)</f>
        <v>14858576.6616589</v>
      </c>
      <c r="AI39" s="0" t="n">
        <f aca="false">x_AGRI*x_EMP*x_WLOSS*(x_PEN_K74*Q39+x_PEN_C22*R39)</f>
        <v>731542.772757446</v>
      </c>
      <c r="AJ39" s="0" t="n">
        <f aca="false">x_EMP*x_WAGE*(x_WLOSS*(Q39+R39)+S39)+U39*x_ABS_D*x_WAGE/365</f>
        <v>300207442.56485</v>
      </c>
      <c r="AK39" s="0" t="n">
        <f aca="false">AJ39*x_R_FUS</f>
        <v>94985634.8275185</v>
      </c>
      <c r="AL39" s="0" t="n">
        <f aca="false">AJ39*x_R_NFZ</f>
        <v>23314410.1970288</v>
      </c>
      <c r="AM39" s="0" t="n">
        <f aca="false">AJ39*x_R_PIT</f>
        <v>19959043.801065</v>
      </c>
      <c r="AN39" s="0" t="n">
        <f aca="false">AJ39*x_R_FP</f>
        <v>7655289.78540367</v>
      </c>
      <c r="AO39" s="0" t="n">
        <f aca="false">AA39+AB39+AC39+AD39+AF39</f>
        <v>445052211.049912</v>
      </c>
      <c r="AP39" s="0" t="n">
        <f aca="false">AO39+AE39+AG39+AH39+AI39+AK39+AL39+AM39+AN39</f>
        <v>606556709.095344</v>
      </c>
      <c r="AQ39" s="0" t="n">
        <f aca="false">AO39+AE39+AG39+AJ39</f>
        <v>745259653.614762</v>
      </c>
      <c r="AR39" s="0" t="n">
        <f aca="false">AB39+AC39+AD39+AF39</f>
        <v>137833427.610024</v>
      </c>
      <c r="AS39" s="0" t="n">
        <f aca="false">AR39+AE39+AG39</f>
        <v>137833427.610024</v>
      </c>
    </row>
    <row r="40" customFormat="false" ht="15" hidden="false" customHeight="false" outlineLevel="0" collapsed="false">
      <c r="A40" s="0" t="n">
        <v>2063</v>
      </c>
      <c r="B40" s="0" t="n">
        <v>37</v>
      </c>
      <c r="C40" s="0" t="n">
        <v>4832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2263.308</v>
      </c>
      <c r="I40" s="0" t="n">
        <v>216.963</v>
      </c>
      <c r="J40" s="0" t="n">
        <v>1174.098</v>
      </c>
      <c r="K40" s="0" t="n">
        <v>1986.441</v>
      </c>
      <c r="L40" s="0" t="n">
        <v>855.403</v>
      </c>
      <c r="M40" s="0" t="n">
        <v>121126.8</v>
      </c>
      <c r="N40" s="0" t="n">
        <v>8466.84</v>
      </c>
      <c r="O40" s="0" t="n">
        <v>66.117</v>
      </c>
      <c r="P40" s="0" t="n">
        <v>66.761</v>
      </c>
      <c r="Q40" s="0" t="n">
        <v>682.052</v>
      </c>
      <c r="R40" s="0" t="n">
        <v>1003.856</v>
      </c>
      <c r="S40" s="0" t="n">
        <v>2780.678</v>
      </c>
      <c r="T40" s="0" t="n">
        <v>2480.271</v>
      </c>
      <c r="U40" s="0" t="n">
        <v>1843.443</v>
      </c>
      <c r="V40" s="0" t="n">
        <v>164198.772</v>
      </c>
      <c r="W40" s="0" t="n">
        <v>211.118</v>
      </c>
      <c r="X40" s="0" t="n">
        <v>570.173</v>
      </c>
      <c r="Y40" s="0" t="n">
        <v>66.117</v>
      </c>
      <c r="Z40" s="0" t="n">
        <v>702.338</v>
      </c>
      <c r="AA40" s="0" t="n">
        <f aca="false">H40*x_c_F+I40*x_c_CC+J40*x_c_DC+K40*x_c_HCC+L40*x_c_PLT+M40*x_c_SVRn+N40*x_c_SVRcc+O40*x_c_LT+P40*x_c_LT1</f>
        <v>304407415.27687</v>
      </c>
      <c r="AB40" s="0" t="n">
        <f aca="false">C40*x_c_DAA</f>
        <v>109976320</v>
      </c>
      <c r="AC40" s="0" t="n">
        <f aca="false">C40*x_c_MON</f>
        <v>27857107.6100244</v>
      </c>
      <c r="AD40" s="0" t="n">
        <f aca="false">D40*(1-x_testy)</f>
        <v>0</v>
      </c>
      <c r="AE40" s="0" t="n">
        <f aca="false">E40*(1-x_testy)</f>
        <v>0</v>
      </c>
      <c r="AF40" s="0" t="n">
        <f aca="false">F40*x_NAV</f>
        <v>0</v>
      </c>
      <c r="AG40" s="0" t="n">
        <f aca="false">G40*x_FIX*(1-x_testy)</f>
        <v>0</v>
      </c>
      <c r="AH40" s="0" t="n">
        <f aca="false">x_z_F*U40+(1-x_AGRI)*x_EMP*x_WLOSS*(x_PEN_K74*Q40+x_PEN_C22*R40)</f>
        <v>14754765.542139</v>
      </c>
      <c r="AI40" s="0" t="n">
        <f aca="false">x_AGRI*x_EMP*x_WLOSS*(x_PEN_K74*Q40+x_PEN_C22*R40)</f>
        <v>724753.487128163</v>
      </c>
      <c r="AJ40" s="0" t="n">
        <f aca="false">x_EMP*x_WAGE*(x_WLOSS*(Q40+R40)+S40)+U40*x_ABS_D*x_WAGE/365</f>
        <v>297679194.896303</v>
      </c>
      <c r="AK40" s="0" t="n">
        <f aca="false">AJ40*x_R_FUS</f>
        <v>94185697.2651902</v>
      </c>
      <c r="AL40" s="0" t="n">
        <f aca="false">AJ40*x_R_NFZ</f>
        <v>23118063.9548418</v>
      </c>
      <c r="AM40" s="0" t="n">
        <f aca="false">AJ40*x_R_PIT</f>
        <v>19790955.3435459</v>
      </c>
      <c r="AN40" s="0" t="n">
        <f aca="false">AJ40*x_R_FP</f>
        <v>7590819.46985572</v>
      </c>
      <c r="AO40" s="0" t="n">
        <f aca="false">AA40+AB40+AC40+AD40+AF40</f>
        <v>442240842.886894</v>
      </c>
      <c r="AP40" s="0" t="n">
        <f aca="false">AO40+AE40+AG40+AH40+AI40+AK40+AL40+AM40+AN40</f>
        <v>602405897.949595</v>
      </c>
      <c r="AQ40" s="0" t="n">
        <f aca="false">AO40+AE40+AG40+AJ40</f>
        <v>739920037.783197</v>
      </c>
      <c r="AR40" s="0" t="n">
        <f aca="false">AB40+AC40+AD40+AF40</f>
        <v>137833427.610024</v>
      </c>
      <c r="AS40" s="0" t="n">
        <f aca="false">AR40+AE40+AG40</f>
        <v>137833427.610024</v>
      </c>
    </row>
    <row r="41" customFormat="false" ht="15" hidden="false" customHeight="false" outlineLevel="0" collapsed="false">
      <c r="A41" s="0" t="n">
        <v>2064</v>
      </c>
      <c r="B41" s="0" t="n">
        <v>38</v>
      </c>
      <c r="C41" s="0" t="n">
        <v>4832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2264.953</v>
      </c>
      <c r="I41" s="0" t="n">
        <v>214.806</v>
      </c>
      <c r="J41" s="0" t="n">
        <v>1152.386</v>
      </c>
      <c r="K41" s="0" t="n">
        <v>1956.265</v>
      </c>
      <c r="L41" s="0" t="n">
        <v>827.594</v>
      </c>
      <c r="M41" s="0" t="n">
        <v>123225.724</v>
      </c>
      <c r="N41" s="0" t="n">
        <v>8366.393</v>
      </c>
      <c r="O41" s="0" t="n">
        <v>64.938</v>
      </c>
      <c r="P41" s="0" t="n">
        <v>65.527</v>
      </c>
      <c r="Q41" s="0" t="n">
        <v>675.807</v>
      </c>
      <c r="R41" s="0" t="n">
        <v>994.781</v>
      </c>
      <c r="S41" s="0" t="n">
        <v>2757.624</v>
      </c>
      <c r="T41" s="0" t="n">
        <v>2479.759</v>
      </c>
      <c r="U41" s="0" t="n">
        <v>1842.748</v>
      </c>
      <c r="V41" s="0" t="n">
        <v>165456.735</v>
      </c>
      <c r="W41" s="0" t="n">
        <v>208.249</v>
      </c>
      <c r="X41" s="0" t="n">
        <v>562.851</v>
      </c>
      <c r="Y41" s="0" t="n">
        <v>64.938</v>
      </c>
      <c r="Z41" s="0" t="n">
        <v>690.401</v>
      </c>
      <c r="AA41" s="0" t="n">
        <f aca="false">H41*x_c_F+I41*x_c_CC+J41*x_c_DC+K41*x_c_HCC+L41*x_c_PLT+M41*x_c_SVRn+N41*x_c_SVRcc+O41*x_c_LT+P41*x_c_LT1</f>
        <v>301774836.187654</v>
      </c>
      <c r="AB41" s="0" t="n">
        <f aca="false">C41*x_c_DAA</f>
        <v>109976320</v>
      </c>
      <c r="AC41" s="0" t="n">
        <f aca="false">C41*x_c_MON</f>
        <v>27857107.6100244</v>
      </c>
      <c r="AD41" s="0" t="n">
        <f aca="false">D41*(1-x_testy)</f>
        <v>0</v>
      </c>
      <c r="AE41" s="0" t="n">
        <f aca="false">E41*(1-x_testy)</f>
        <v>0</v>
      </c>
      <c r="AF41" s="0" t="n">
        <f aca="false">F41*x_NAV</f>
        <v>0</v>
      </c>
      <c r="AG41" s="0" t="n">
        <f aca="false">G41*x_FIX*(1-x_testy)</f>
        <v>0</v>
      </c>
      <c r="AH41" s="0" t="n">
        <f aca="false">x_z_F*U41+(1-x_AGRI)*x_EMP*x_WLOSS*(x_PEN_K74*Q41+x_PEN_C22*R41)</f>
        <v>14653737.0638083</v>
      </c>
      <c r="AI41" s="0" t="n">
        <f aca="false">x_AGRI*x_EMP*x_WLOSS*(x_PEN_K74*Q41+x_PEN_C22*R41)</f>
        <v>718170.143161738</v>
      </c>
      <c r="AJ41" s="0" t="n">
        <f aca="false">x_EMP*x_WAGE*(x_WLOSS*(Q41+R41)+S41)+U41*x_ABS_D*x_WAGE/365</f>
        <v>295210111.440773</v>
      </c>
      <c r="AK41" s="0" t="n">
        <f aca="false">AJ41*x_R_FUS</f>
        <v>93404479.2598607</v>
      </c>
      <c r="AL41" s="0" t="n">
        <f aca="false">AJ41*x_R_NFZ</f>
        <v>22926312.4646019</v>
      </c>
      <c r="AM41" s="0" t="n">
        <f aca="false">AJ41*x_R_PIT</f>
        <v>19626800.3698505</v>
      </c>
      <c r="AN41" s="0" t="n">
        <f aca="false">AJ41*x_R_FP</f>
        <v>7527857.84173972</v>
      </c>
      <c r="AO41" s="0" t="n">
        <f aca="false">AA41+AB41+AC41+AD41+AF41</f>
        <v>439608263.797678</v>
      </c>
      <c r="AP41" s="0" t="n">
        <f aca="false">AO41+AE41+AG41+AH41+AI41+AK41+AL41+AM41+AN41</f>
        <v>598465620.940701</v>
      </c>
      <c r="AQ41" s="0" t="n">
        <f aca="false">AO41+AE41+AG41+AJ41</f>
        <v>734818375.238452</v>
      </c>
      <c r="AR41" s="0" t="n">
        <f aca="false">AB41+AC41+AD41+AF41</f>
        <v>137833427.610024</v>
      </c>
      <c r="AS41" s="0" t="n">
        <f aca="false">AR41+AE41+AG41</f>
        <v>137833427.610024</v>
      </c>
    </row>
    <row r="42" customFormat="false" ht="15" hidden="false" customHeight="false" outlineLevel="0" collapsed="false">
      <c r="A42" s="0" t="n">
        <v>2065</v>
      </c>
      <c r="B42" s="0" t="n">
        <v>39</v>
      </c>
      <c r="C42" s="0" t="n">
        <v>4832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2266.31</v>
      </c>
      <c r="I42" s="0" t="n">
        <v>212.97</v>
      </c>
      <c r="J42" s="0" t="n">
        <v>1132.792</v>
      </c>
      <c r="K42" s="0" t="n">
        <v>1929.01</v>
      </c>
      <c r="L42" s="0" t="n">
        <v>800.673</v>
      </c>
      <c r="M42" s="0" t="n">
        <v>125281.968</v>
      </c>
      <c r="N42" s="0" t="n">
        <v>8265.587</v>
      </c>
      <c r="O42" s="0" t="n">
        <v>63.886</v>
      </c>
      <c r="P42" s="0" t="n">
        <v>64.412</v>
      </c>
      <c r="Q42" s="0" t="n">
        <v>669.741</v>
      </c>
      <c r="R42" s="0" t="n">
        <v>985.995</v>
      </c>
      <c r="S42" s="0" t="n">
        <v>2735.075</v>
      </c>
      <c r="T42" s="0" t="n">
        <v>2479.28</v>
      </c>
      <c r="U42" s="0" t="n">
        <v>1841.874</v>
      </c>
      <c r="V42" s="0" t="n">
        <v>166701.401</v>
      </c>
      <c r="W42" s="0" t="n">
        <v>205.72</v>
      </c>
      <c r="X42" s="0" t="n">
        <v>556.325</v>
      </c>
      <c r="Y42" s="0" t="n">
        <v>63.886</v>
      </c>
      <c r="Z42" s="0" t="n">
        <v>679.673</v>
      </c>
      <c r="AA42" s="0" t="n">
        <f aca="false">H42*x_c_F+I42*x_c_CC+J42*x_c_DC+K42*x_c_HCC+L42*x_c_PLT+M42*x_c_SVRn+N42*x_c_SVRcc+O42*x_c_LT+P42*x_c_LT1</f>
        <v>299415370.797896</v>
      </c>
      <c r="AB42" s="0" t="n">
        <f aca="false">C42*x_c_DAA</f>
        <v>109976320</v>
      </c>
      <c r="AC42" s="0" t="n">
        <f aca="false">C42*x_c_MON</f>
        <v>27857107.6100244</v>
      </c>
      <c r="AD42" s="0" t="n">
        <f aca="false">D42*(1-x_testy)</f>
        <v>0</v>
      </c>
      <c r="AE42" s="0" t="n">
        <f aca="false">E42*(1-x_testy)</f>
        <v>0</v>
      </c>
      <c r="AF42" s="0" t="n">
        <f aca="false">F42*x_NAV</f>
        <v>0</v>
      </c>
      <c r="AG42" s="0" t="n">
        <f aca="false">G42*x_FIX*(1-x_testy)</f>
        <v>0</v>
      </c>
      <c r="AH42" s="0" t="n">
        <f aca="false">x_z_F*U42+(1-x_AGRI)*x_EMP*x_WLOSS*(x_PEN_K74*Q42+x_PEN_C22*R42)</f>
        <v>14555392.8424554</v>
      </c>
      <c r="AI42" s="0" t="n">
        <f aca="false">x_AGRI*x_EMP*x_WLOSS*(x_PEN_K74*Q42+x_PEN_C22*R42)</f>
        <v>711788.548005786</v>
      </c>
      <c r="AJ42" s="0" t="n">
        <f aca="false">x_EMP*x_WAGE*(x_WLOSS*(Q42+R42)+S42)+U42*x_ABS_D*x_WAGE/365</f>
        <v>292798877.082103</v>
      </c>
      <c r="AK42" s="0" t="n">
        <f aca="false">AJ42*x_R_FUS</f>
        <v>92641564.7087773</v>
      </c>
      <c r="AL42" s="0" t="n">
        <f aca="false">AJ42*x_R_NFZ</f>
        <v>22739053.5930732</v>
      </c>
      <c r="AM42" s="0" t="n">
        <f aca="false">AJ42*x_R_PIT</f>
        <v>19466491.4455674</v>
      </c>
      <c r="AN42" s="0" t="n">
        <f aca="false">AJ42*x_R_FP</f>
        <v>7466371.36559362</v>
      </c>
      <c r="AO42" s="0" t="n">
        <f aca="false">AA42+AB42+AC42+AD42+AF42</f>
        <v>437248798.40792</v>
      </c>
      <c r="AP42" s="0" t="n">
        <f aca="false">AO42+AE42+AG42+AH42+AI42+AK42+AL42+AM42+AN42</f>
        <v>594829460.911393</v>
      </c>
      <c r="AQ42" s="0" t="n">
        <f aca="false">AO42+AE42+AG42+AJ42</f>
        <v>730047675.490023</v>
      </c>
      <c r="AR42" s="0" t="n">
        <f aca="false">AB42+AC42+AD42+AF42</f>
        <v>137833427.610024</v>
      </c>
      <c r="AS42" s="0" t="n">
        <f aca="false">AR42+AE42+AG42</f>
        <v>137833427.610024</v>
      </c>
    </row>
    <row r="43" customFormat="false" ht="15" hidden="false" customHeight="false" outlineLevel="0" collapsed="false">
      <c r="A43" s="0" t="n">
        <v>2066</v>
      </c>
      <c r="B43" s="0" t="n">
        <v>40</v>
      </c>
      <c r="C43" s="0" t="n">
        <v>4832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2267.389</v>
      </c>
      <c r="I43" s="0" t="n">
        <v>211.444</v>
      </c>
      <c r="J43" s="0" t="n">
        <v>1115.56</v>
      </c>
      <c r="K43" s="0" t="n">
        <v>1904.98</v>
      </c>
      <c r="L43" s="0" t="n">
        <v>775.298</v>
      </c>
      <c r="M43" s="0" t="n">
        <v>127313.606</v>
      </c>
      <c r="N43" s="0" t="n">
        <v>8169.754</v>
      </c>
      <c r="O43" s="0" t="n">
        <v>62.973</v>
      </c>
      <c r="P43" s="0" t="n">
        <v>63.43</v>
      </c>
      <c r="Q43" s="0" t="n">
        <v>663.852</v>
      </c>
      <c r="R43" s="0" t="n">
        <v>977.492</v>
      </c>
      <c r="S43" s="0" t="n">
        <v>2713.012</v>
      </c>
      <c r="T43" s="0" t="n">
        <v>2478.833</v>
      </c>
      <c r="U43" s="0" t="n">
        <v>1840.828</v>
      </c>
      <c r="V43" s="0" t="n">
        <v>167950.12</v>
      </c>
      <c r="W43" s="0" t="n">
        <v>203.535</v>
      </c>
      <c r="X43" s="0" t="n">
        <v>550.634</v>
      </c>
      <c r="Y43" s="0" t="n">
        <v>62.973</v>
      </c>
      <c r="Z43" s="0" t="n">
        <v>670.271</v>
      </c>
      <c r="AA43" s="0" t="n">
        <f aca="false">H43*x_c_F+I43*x_c_CC+J43*x_c_DC+K43*x_c_HCC+L43*x_c_PLT+M43*x_c_SVRn+N43*x_c_SVRcc+O43*x_c_LT+P43*x_c_LT1</f>
        <v>297403879.55235</v>
      </c>
      <c r="AB43" s="0" t="n">
        <f aca="false">C43*x_c_DAA</f>
        <v>109976320</v>
      </c>
      <c r="AC43" s="0" t="n">
        <f aca="false">C43*x_c_MON</f>
        <v>27857107.6100244</v>
      </c>
      <c r="AD43" s="0" t="n">
        <f aca="false">D43*(1-x_testy)</f>
        <v>0</v>
      </c>
      <c r="AE43" s="0" t="n">
        <f aca="false">E43*(1-x_testy)</f>
        <v>0</v>
      </c>
      <c r="AF43" s="0" t="n">
        <f aca="false">F43*x_NAV</f>
        <v>0</v>
      </c>
      <c r="AG43" s="0" t="n">
        <f aca="false">G43*x_FIX*(1-x_testy)</f>
        <v>0</v>
      </c>
      <c r="AH43" s="0" t="n">
        <f aca="false">x_z_F*U43+(1-x_AGRI)*x_EMP*x_WLOSS*(x_PEN_K74*Q43+x_PEN_C22*R43)</f>
        <v>14459694.224009</v>
      </c>
      <c r="AI43" s="0" t="n">
        <f aca="false">x_AGRI*x_EMP*x_WLOSS*(x_PEN_K74*Q43+x_PEN_C22*R43)</f>
        <v>705605.195460001</v>
      </c>
      <c r="AJ43" s="0" t="n">
        <f aca="false">x_EMP*x_WAGE*(x_WLOSS*(Q43+R43)+S43)+U43*x_ABS_D*x_WAGE/365</f>
        <v>290443630.580727</v>
      </c>
      <c r="AK43" s="0" t="n">
        <f aca="false">AJ43*x_R_FUS</f>
        <v>91896364.715742</v>
      </c>
      <c r="AL43" s="0" t="n">
        <f aca="false">AJ43*x_R_NFZ</f>
        <v>22556142.7945298</v>
      </c>
      <c r="AM43" s="0" t="n">
        <f aca="false">AJ43*x_R_PIT</f>
        <v>19309904.827722</v>
      </c>
      <c r="AN43" s="0" t="n">
        <f aca="false">AJ43*x_R_FP</f>
        <v>7406312.57980854</v>
      </c>
      <c r="AO43" s="0" t="n">
        <f aca="false">AA43+AB43+AC43+AD43+AF43</f>
        <v>435237307.162374</v>
      </c>
      <c r="AP43" s="0" t="n">
        <f aca="false">AO43+AE43+AG43+AH43+AI43+AK43+AL43+AM43+AN43</f>
        <v>591571331.499646</v>
      </c>
      <c r="AQ43" s="0" t="n">
        <f aca="false">AO43+AE43+AG43+AJ43</f>
        <v>725680937.743101</v>
      </c>
      <c r="AR43" s="0" t="n">
        <f aca="false">AB43+AC43+AD43+AF43</f>
        <v>137833427.610024</v>
      </c>
      <c r="AS43" s="0" t="n">
        <f aca="false">AR43+AE43+AG43</f>
        <v>137833427.610024</v>
      </c>
    </row>
    <row r="44" customFormat="false" ht="15" hidden="false" customHeight="false" outlineLevel="0" collapsed="false">
      <c r="A44" s="0" t="n">
        <v>2067</v>
      </c>
      <c r="B44" s="0" t="n">
        <v>41</v>
      </c>
      <c r="C44" s="0" t="n">
        <v>4832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2268.218</v>
      </c>
      <c r="I44" s="0" t="n">
        <v>210.197</v>
      </c>
      <c r="J44" s="0" t="n">
        <v>1100.769</v>
      </c>
      <c r="K44" s="0" t="n">
        <v>1884.255</v>
      </c>
      <c r="L44" s="0" t="n">
        <v>751.985</v>
      </c>
      <c r="M44" s="0" t="n">
        <v>129335.156</v>
      </c>
      <c r="N44" s="0" t="n">
        <v>8083.124</v>
      </c>
      <c r="O44" s="0" t="n">
        <v>62.199</v>
      </c>
      <c r="P44" s="0" t="n">
        <v>62.586</v>
      </c>
      <c r="Q44" s="0" t="n">
        <v>658.133</v>
      </c>
      <c r="R44" s="0" t="n">
        <v>969.266</v>
      </c>
      <c r="S44" s="0" t="n">
        <v>2691.408</v>
      </c>
      <c r="T44" s="0" t="n">
        <v>2478.415</v>
      </c>
      <c r="U44" s="0" t="n">
        <v>1839.649</v>
      </c>
      <c r="V44" s="0" t="n">
        <v>169215.646</v>
      </c>
      <c r="W44" s="0" t="n">
        <v>201.676</v>
      </c>
      <c r="X44" s="0" t="n">
        <v>545.744</v>
      </c>
      <c r="Y44" s="0" t="n">
        <v>62.199</v>
      </c>
      <c r="Z44" s="0" t="n">
        <v>662.207</v>
      </c>
      <c r="AA44" s="0" t="n">
        <f aca="false">H44*x_c_F+I44*x_c_CC+J44*x_c_DC+K44*x_c_HCC+L44*x_c_PLT+M44*x_c_SVRn+N44*x_c_SVRcc+O44*x_c_LT+P44*x_c_LT1</f>
        <v>295783850.802257</v>
      </c>
      <c r="AB44" s="0" t="n">
        <f aca="false">C44*x_c_DAA</f>
        <v>109976320</v>
      </c>
      <c r="AC44" s="0" t="n">
        <f aca="false">C44*x_c_MON</f>
        <v>27857107.6100244</v>
      </c>
      <c r="AD44" s="0" t="n">
        <f aca="false">D44*(1-x_testy)</f>
        <v>0</v>
      </c>
      <c r="AE44" s="0" t="n">
        <f aca="false">E44*(1-x_testy)</f>
        <v>0</v>
      </c>
      <c r="AF44" s="0" t="n">
        <f aca="false">F44*x_NAV</f>
        <v>0</v>
      </c>
      <c r="AG44" s="0" t="n">
        <f aca="false">G44*x_FIX*(1-x_testy)</f>
        <v>0</v>
      </c>
      <c r="AH44" s="0" t="n">
        <f aca="false">x_z_F*U44+(1-x_AGRI)*x_EMP*x_WLOSS*(x_PEN_K74*Q44+x_PEN_C22*R44)</f>
        <v>14366638.2682088</v>
      </c>
      <c r="AI44" s="0" t="n">
        <f aca="false">x_AGRI*x_EMP*x_WLOSS*(x_PEN_K74*Q44+x_PEN_C22*R44)</f>
        <v>699614.591411028</v>
      </c>
      <c r="AJ44" s="0" t="n">
        <f aca="false">x_EMP*x_WAGE*(x_WLOSS*(Q44+R44)+S44)+U44*x_ABS_D*x_WAGE/365</f>
        <v>288141758.952331</v>
      </c>
      <c r="AK44" s="0" t="n">
        <f aca="false">AJ44*x_R_FUS</f>
        <v>91168052.5325176</v>
      </c>
      <c r="AL44" s="0" t="n">
        <f aca="false">AJ44*x_R_NFZ</f>
        <v>22377377.141997</v>
      </c>
      <c r="AM44" s="0" t="n">
        <f aca="false">AJ44*x_R_PIT</f>
        <v>19156866.7942107</v>
      </c>
      <c r="AN44" s="0" t="n">
        <f aca="false">AJ44*x_R_FP</f>
        <v>7347614.85328445</v>
      </c>
      <c r="AO44" s="0" t="n">
        <f aca="false">AA44+AB44+AC44+AD44+AF44</f>
        <v>433617278.412281</v>
      </c>
      <c r="AP44" s="0" t="n">
        <f aca="false">AO44+AE44+AG44+AH44+AI44+AK44+AL44+AM44+AN44</f>
        <v>588733442.593911</v>
      </c>
      <c r="AQ44" s="0" t="n">
        <f aca="false">AO44+AE44+AG44+AJ44</f>
        <v>721759037.364613</v>
      </c>
      <c r="AR44" s="0" t="n">
        <f aca="false">AB44+AC44+AD44+AF44</f>
        <v>137833427.610024</v>
      </c>
      <c r="AS44" s="0" t="n">
        <f aca="false">AR44+AE44+AG44</f>
        <v>137833427.610024</v>
      </c>
    </row>
    <row r="45" customFormat="false" ht="15" hidden="false" customHeight="false" outlineLevel="0" collapsed="false">
      <c r="A45" s="0" t="n">
        <v>2068</v>
      </c>
      <c r="B45" s="0" t="n">
        <v>42</v>
      </c>
      <c r="C45" s="0" t="n">
        <v>4832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2268.841</v>
      </c>
      <c r="I45" s="0" t="n">
        <v>209.182</v>
      </c>
      <c r="J45" s="0" t="n">
        <v>1088.352</v>
      </c>
      <c r="K45" s="0" t="n">
        <v>1866.715</v>
      </c>
      <c r="L45" s="0" t="n">
        <v>731.096</v>
      </c>
      <c r="M45" s="0" t="n">
        <v>131357.43</v>
      </c>
      <c r="N45" s="0" t="n">
        <v>8008.788</v>
      </c>
      <c r="O45" s="0" t="n">
        <v>61.557</v>
      </c>
      <c r="P45" s="0" t="n">
        <v>61.878</v>
      </c>
      <c r="Q45" s="0" t="n">
        <v>652.58</v>
      </c>
      <c r="R45" s="0" t="n">
        <v>961.312</v>
      </c>
      <c r="S45" s="0" t="n">
        <v>2670.226</v>
      </c>
      <c r="T45" s="0" t="n">
        <v>2478.023</v>
      </c>
      <c r="U45" s="0" t="n">
        <v>1838.39</v>
      </c>
      <c r="V45" s="0" t="n">
        <v>170506.3</v>
      </c>
      <c r="W45" s="0" t="n">
        <v>200.105</v>
      </c>
      <c r="X45" s="0" t="n">
        <v>541.586</v>
      </c>
      <c r="Y45" s="0" t="n">
        <v>61.557</v>
      </c>
      <c r="Z45" s="0" t="n">
        <v>655.443</v>
      </c>
      <c r="AA45" s="0" t="n">
        <f aca="false">H45*x_c_F+I45*x_c_CC+J45*x_c_DC+K45*x_c_HCC+L45*x_c_PLT+M45*x_c_SVRn+N45*x_c_SVRcc+O45*x_c_LT+P45*x_c_LT1</f>
        <v>294570503.417759</v>
      </c>
      <c r="AB45" s="0" t="n">
        <f aca="false">C45*x_c_DAA</f>
        <v>109976320</v>
      </c>
      <c r="AC45" s="0" t="n">
        <f aca="false">C45*x_c_MON</f>
        <v>27857107.6100244</v>
      </c>
      <c r="AD45" s="0" t="n">
        <f aca="false">D45*(1-x_testy)</f>
        <v>0</v>
      </c>
      <c r="AE45" s="0" t="n">
        <f aca="false">E45*(1-x_testy)</f>
        <v>0</v>
      </c>
      <c r="AF45" s="0" t="n">
        <f aca="false">F45*x_NAV</f>
        <v>0</v>
      </c>
      <c r="AG45" s="0" t="n">
        <f aca="false">G45*x_FIX*(1-x_testy)</f>
        <v>0</v>
      </c>
      <c r="AH45" s="0" t="n">
        <f aca="false">x_z_F*U45+(1-x_AGRI)*x_EMP*x_WLOSS*(x_PEN_K74*Q45+x_PEN_C22*R45)</f>
        <v>14276275.6984973</v>
      </c>
      <c r="AI45" s="0" t="n">
        <f aca="false">x_AGRI*x_EMP*x_WLOSS*(x_PEN_K74*Q45+x_PEN_C22*R45)</f>
        <v>693812.886332522</v>
      </c>
      <c r="AJ45" s="0" t="n">
        <f aca="false">x_EMP*x_WAGE*(x_WLOSS*(Q45+R45)+S45)+U45*x_ABS_D*x_WAGE/365</f>
        <v>285889968.657256</v>
      </c>
      <c r="AK45" s="0" t="n">
        <f aca="false">AJ45*x_R_FUS</f>
        <v>90455586.0831558</v>
      </c>
      <c r="AL45" s="0" t="n">
        <f aca="false">AJ45*x_R_NFZ</f>
        <v>22202500.8558911</v>
      </c>
      <c r="AM45" s="0" t="n">
        <f aca="false">AJ45*x_R_PIT</f>
        <v>19007158.3767702</v>
      </c>
      <c r="AN45" s="0" t="n">
        <f aca="false">AJ45*x_R_FP</f>
        <v>7290194.20076002</v>
      </c>
      <c r="AO45" s="0" t="n">
        <f aca="false">AA45+AB45+AC45+AD45+AF45</f>
        <v>432403931.027784</v>
      </c>
      <c r="AP45" s="0" t="n">
        <f aca="false">AO45+AE45+AG45+AH45+AI45+AK45+AL45+AM45+AN45</f>
        <v>586329459.12919</v>
      </c>
      <c r="AQ45" s="0" t="n">
        <f aca="false">AO45+AE45+AG45+AJ45</f>
        <v>718293899.685039</v>
      </c>
      <c r="AR45" s="0" t="n">
        <f aca="false">AB45+AC45+AD45+AF45</f>
        <v>137833427.610024</v>
      </c>
      <c r="AS45" s="0" t="n">
        <f aca="false">AR45+AE45+AG45</f>
        <v>137833427.610024</v>
      </c>
    </row>
    <row r="46" customFormat="false" ht="15" hidden="false" customHeight="false" outlineLevel="0" collapsed="false">
      <c r="A46" s="0" t="n">
        <v>2069</v>
      </c>
      <c r="B46" s="0" t="n">
        <v>43</v>
      </c>
      <c r="C46" s="0" t="n">
        <v>4832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2269.309</v>
      </c>
      <c r="I46" s="0" t="n">
        <v>208.343</v>
      </c>
      <c r="J46" s="0" t="n">
        <v>1078.13</v>
      </c>
      <c r="K46" s="0" t="n">
        <v>1852.086</v>
      </c>
      <c r="L46" s="0" t="n">
        <v>712.851</v>
      </c>
      <c r="M46" s="0" t="n">
        <v>133387.499</v>
      </c>
      <c r="N46" s="0" t="n">
        <v>7948.723</v>
      </c>
      <c r="O46" s="0" t="n">
        <v>61.035</v>
      </c>
      <c r="P46" s="0" t="n">
        <v>61.296</v>
      </c>
      <c r="Q46" s="0" t="n">
        <v>647.185</v>
      </c>
      <c r="R46" s="0" t="n">
        <v>953.623</v>
      </c>
      <c r="S46" s="0" t="n">
        <v>2649.422</v>
      </c>
      <c r="T46" s="0" t="n">
        <v>2477.652</v>
      </c>
      <c r="U46" s="0" t="n">
        <v>1837.115</v>
      </c>
      <c r="V46" s="0" t="n">
        <v>171826.331</v>
      </c>
      <c r="W46" s="0" t="n">
        <v>198.774</v>
      </c>
      <c r="X46" s="0" t="n">
        <v>538.054</v>
      </c>
      <c r="Y46" s="0" t="n">
        <v>61.035</v>
      </c>
      <c r="Z46" s="0" t="n">
        <v>649.859</v>
      </c>
      <c r="AA46" s="0" t="n">
        <f aca="false">H46*x_c_F+I46*x_c_CC+J46*x_c_DC+K46*x_c_HCC+L46*x_c_PLT+M46*x_c_SVRn+N46*x_c_SVRcc+O46*x_c_LT+P46*x_c_LT1</f>
        <v>293755371.293601</v>
      </c>
      <c r="AB46" s="0" t="n">
        <f aca="false">C46*x_c_DAA</f>
        <v>109976320</v>
      </c>
      <c r="AC46" s="0" t="n">
        <f aca="false">C46*x_c_MON</f>
        <v>27857107.6100244</v>
      </c>
      <c r="AD46" s="0" t="n">
        <f aca="false">D46*(1-x_testy)</f>
        <v>0</v>
      </c>
      <c r="AE46" s="0" t="n">
        <f aca="false">E46*(1-x_testy)</f>
        <v>0</v>
      </c>
      <c r="AF46" s="0" t="n">
        <f aca="false">F46*x_NAV</f>
        <v>0</v>
      </c>
      <c r="AG46" s="0" t="n">
        <f aca="false">G46*x_FIX*(1-x_testy)</f>
        <v>0</v>
      </c>
      <c r="AH46" s="0" t="n">
        <f aca="false">x_z_F*U46+(1-x_AGRI)*x_EMP*x_WLOSS*(x_PEN_K74*Q46+x_PEN_C22*R46)</f>
        <v>14188642.1213498</v>
      </c>
      <c r="AI46" s="0" t="n">
        <f aca="false">x_AGRI*x_EMP*x_WLOSS*(x_PEN_K74*Q46+x_PEN_C22*R46)</f>
        <v>688193.736689334</v>
      </c>
      <c r="AJ46" s="0" t="n">
        <f aca="false">x_EMP*x_WAGE*(x_WLOSS*(Q46+R46)+S46)+U46*x_ABS_D*x_WAGE/365</f>
        <v>283684205.254753</v>
      </c>
      <c r="AK46" s="0" t="n">
        <f aca="false">AJ46*x_R_FUS</f>
        <v>89757682.5426038</v>
      </c>
      <c r="AL46" s="0" t="n">
        <f aca="false">AJ46*x_R_NFZ</f>
        <v>22031199.0642894</v>
      </c>
      <c r="AM46" s="0" t="n">
        <f aca="false">AJ46*x_R_PIT</f>
        <v>18860510.0192571</v>
      </c>
      <c r="AN46" s="0" t="n">
        <f aca="false">AJ46*x_R_FP</f>
        <v>7233947.2339962</v>
      </c>
      <c r="AO46" s="0" t="n">
        <f aca="false">AA46+AB46+AC46+AD46+AF46</f>
        <v>431588798.903625</v>
      </c>
      <c r="AP46" s="0" t="n">
        <f aca="false">AO46+AE46+AG46+AH46+AI46+AK46+AL46+AM46+AN46</f>
        <v>584348973.621811</v>
      </c>
      <c r="AQ46" s="0" t="n">
        <f aca="false">AO46+AE46+AG46+AJ46</f>
        <v>715273004.158378</v>
      </c>
      <c r="AR46" s="0" t="n">
        <f aca="false">AB46+AC46+AD46+AF46</f>
        <v>137833427.610024</v>
      </c>
      <c r="AS46" s="0" t="n">
        <f aca="false">AR46+AE46+AG46</f>
        <v>137833427.610024</v>
      </c>
    </row>
    <row r="47" customFormat="false" ht="15" hidden="false" customHeight="false" outlineLevel="0" collapsed="false">
      <c r="A47" s="0" t="n">
        <v>2070</v>
      </c>
      <c r="B47" s="0" t="n">
        <v>44</v>
      </c>
      <c r="C47" s="0" t="n">
        <v>4832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2269.676</v>
      </c>
      <c r="I47" s="0" t="n">
        <v>207.621</v>
      </c>
      <c r="J47" s="0" t="n">
        <v>1069.822</v>
      </c>
      <c r="K47" s="0" t="n">
        <v>1839.959</v>
      </c>
      <c r="L47" s="0" t="n">
        <v>697.311</v>
      </c>
      <c r="M47" s="0" t="n">
        <v>135427.834</v>
      </c>
      <c r="N47" s="0" t="n">
        <v>7903.653</v>
      </c>
      <c r="O47" s="0" t="n">
        <v>60.615</v>
      </c>
      <c r="P47" s="0" t="n">
        <v>60.825</v>
      </c>
      <c r="Q47" s="0" t="n">
        <v>642.001</v>
      </c>
      <c r="R47" s="0" t="n">
        <v>946.255</v>
      </c>
      <c r="S47" s="0" t="n">
        <v>2629.303</v>
      </c>
      <c r="T47" s="0" t="n">
        <v>2477.296</v>
      </c>
      <c r="U47" s="0" t="n">
        <v>1835.904</v>
      </c>
      <c r="V47" s="0" t="n">
        <v>173175.326</v>
      </c>
      <c r="W47" s="0" t="n">
        <v>197.627</v>
      </c>
      <c r="X47" s="0" t="n">
        <v>535.02</v>
      </c>
      <c r="Y47" s="0" t="n">
        <v>60.615</v>
      </c>
      <c r="Z47" s="0" t="n">
        <v>645.296</v>
      </c>
      <c r="AA47" s="0" t="n">
        <f aca="false">H47*x_c_F+I47*x_c_CC+J47*x_c_DC+K47*x_c_HCC+L47*x_c_PLT+M47*x_c_SVRn+N47*x_c_SVRcc+O47*x_c_LT+P47*x_c_LT1</f>
        <v>293306051.970222</v>
      </c>
      <c r="AB47" s="0" t="n">
        <f aca="false">C47*x_c_DAA</f>
        <v>109976320</v>
      </c>
      <c r="AC47" s="0" t="n">
        <f aca="false">C47*x_c_MON</f>
        <v>27857107.6100244</v>
      </c>
      <c r="AD47" s="0" t="n">
        <f aca="false">D47*(1-x_testy)</f>
        <v>0</v>
      </c>
      <c r="AE47" s="0" t="n">
        <f aca="false">E47*(1-x_testy)</f>
        <v>0</v>
      </c>
      <c r="AF47" s="0" t="n">
        <f aca="false">F47*x_NAV</f>
        <v>0</v>
      </c>
      <c r="AG47" s="0" t="n">
        <f aca="false">G47*x_FIX*(1-x_testy)</f>
        <v>0</v>
      </c>
      <c r="AH47" s="0" t="n">
        <f aca="false">x_z_F*U47+(1-x_AGRI)*x_EMP*x_WLOSS*(x_PEN_K74*Q47+x_PEN_C22*R47)</f>
        <v>14104603.6162369</v>
      </c>
      <c r="AI47" s="0" t="n">
        <f aca="false">x_AGRI*x_EMP*x_WLOSS*(x_PEN_K74*Q47+x_PEN_C22*R47)</f>
        <v>682803.517353933</v>
      </c>
      <c r="AJ47" s="0" t="n">
        <f aca="false">x_EMP*x_WAGE*(x_WLOSS*(Q47+R47)+S47)+U47*x_ABS_D*x_WAGE/365</f>
        <v>281554446.440893</v>
      </c>
      <c r="AK47" s="0" t="n">
        <f aca="false">AJ47*x_R_FUS</f>
        <v>89083826.8538985</v>
      </c>
      <c r="AL47" s="0" t="n">
        <f aca="false">AJ47*x_R_NFZ</f>
        <v>21865799.8650462</v>
      </c>
      <c r="AM47" s="0" t="n">
        <f aca="false">AJ47*x_R_PIT</f>
        <v>18718914.7640284</v>
      </c>
      <c r="AN47" s="0" t="n">
        <f aca="false">AJ47*x_R_FP</f>
        <v>7179638.38424277</v>
      </c>
      <c r="AO47" s="0" t="n">
        <f aca="false">AA47+AB47+AC47+AD47+AF47</f>
        <v>431139479.580246</v>
      </c>
      <c r="AP47" s="0" t="n">
        <f aca="false">AO47+AE47+AG47+AH47+AI47+AK47+AL47+AM47+AN47</f>
        <v>582775066.581053</v>
      </c>
      <c r="AQ47" s="0" t="n">
        <f aca="false">AO47+AE47+AG47+AJ47</f>
        <v>712693926.021139</v>
      </c>
      <c r="AR47" s="0" t="n">
        <f aca="false">AB47+AC47+AD47+AF47</f>
        <v>137833427.610024</v>
      </c>
      <c r="AS47" s="0" t="n">
        <f aca="false">AR47+AE47+AG47</f>
        <v>137833427.610024</v>
      </c>
    </row>
    <row r="48" customFormat="false" ht="15" hidden="false" customHeight="false" outlineLevel="0" collapsed="false">
      <c r="A48" s="0" t="n">
        <v>2071</v>
      </c>
      <c r="B48" s="0" t="n">
        <v>45</v>
      </c>
      <c r="C48" s="0" t="n">
        <v>4832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2269.992</v>
      </c>
      <c r="I48" s="0" t="n">
        <v>206.959</v>
      </c>
      <c r="J48" s="0" t="n">
        <v>1063.08</v>
      </c>
      <c r="K48" s="0" t="n">
        <v>1829.842</v>
      </c>
      <c r="L48" s="0" t="n">
        <v>684.387</v>
      </c>
      <c r="M48" s="0" t="n">
        <v>137476.295</v>
      </c>
      <c r="N48" s="0" t="n">
        <v>7873.139</v>
      </c>
      <c r="O48" s="0" t="n">
        <v>60.276</v>
      </c>
      <c r="P48" s="0" t="n">
        <v>60.445</v>
      </c>
      <c r="Q48" s="0" t="n">
        <v>637.082</v>
      </c>
      <c r="R48" s="0" t="n">
        <v>939.265</v>
      </c>
      <c r="S48" s="0" t="n">
        <v>2610.196</v>
      </c>
      <c r="T48" s="0" t="n">
        <v>2476.951</v>
      </c>
      <c r="U48" s="0" t="n">
        <v>1834.83</v>
      </c>
      <c r="V48" s="0" t="n">
        <v>174548.573</v>
      </c>
      <c r="W48" s="0" t="n">
        <v>196.608</v>
      </c>
      <c r="X48" s="0" t="n">
        <v>532.349</v>
      </c>
      <c r="Y48" s="0" t="n">
        <v>60.276</v>
      </c>
      <c r="Z48" s="0" t="n">
        <v>641.551</v>
      </c>
      <c r="AA48" s="0" t="n">
        <f aca="false">H48*x_c_F+I48*x_c_CC+J48*x_c_DC+K48*x_c_HCC+L48*x_c_PLT+M48*x_c_SVRn+N48*x_c_SVRcc+O48*x_c_LT+P48*x_c_LT1</f>
        <v>293171669.244897</v>
      </c>
      <c r="AB48" s="0" t="n">
        <f aca="false">C48*x_c_DAA</f>
        <v>109976320</v>
      </c>
      <c r="AC48" s="0" t="n">
        <f aca="false">C48*x_c_MON</f>
        <v>27857107.6100244</v>
      </c>
      <c r="AD48" s="0" t="n">
        <f aca="false">D48*(1-x_testy)</f>
        <v>0</v>
      </c>
      <c r="AE48" s="0" t="n">
        <f aca="false">E48*(1-x_testy)</f>
        <v>0</v>
      </c>
      <c r="AF48" s="0" t="n">
        <f aca="false">F48*x_NAV</f>
        <v>0</v>
      </c>
      <c r="AG48" s="0" t="n">
        <f aca="false">G48*x_FIX*(1-x_testy)</f>
        <v>0</v>
      </c>
      <c r="AH48" s="0" t="n">
        <f aca="false">x_z_F*U48+(1-x_AGRI)*x_EMP*x_WLOSS*(x_PEN_K74*Q48+x_PEN_C22*R48)</f>
        <v>14025024.7222127</v>
      </c>
      <c r="AI48" s="0" t="n">
        <f aca="false">x_AGRI*x_EMP*x_WLOSS*(x_PEN_K74*Q48+x_PEN_C22*R48)</f>
        <v>677689.452620576</v>
      </c>
      <c r="AJ48" s="0" t="n">
        <f aca="false">x_EMP*x_WAGE*(x_WLOSS*(Q48+R48)+S48)+U48*x_ABS_D*x_WAGE/365</f>
        <v>279532420.022787</v>
      </c>
      <c r="AK48" s="0" t="n">
        <f aca="false">AJ48*x_R_FUS</f>
        <v>88444057.69521</v>
      </c>
      <c r="AL48" s="0" t="n">
        <f aca="false">AJ48*x_R_NFZ</f>
        <v>21708767.2713897</v>
      </c>
      <c r="AM48" s="0" t="n">
        <f aca="false">AJ48*x_R_PIT</f>
        <v>18584482.0081278</v>
      </c>
      <c r="AN48" s="0" t="n">
        <f aca="false">AJ48*x_R_FP</f>
        <v>7128076.71058108</v>
      </c>
      <c r="AO48" s="0" t="n">
        <f aca="false">AA48+AB48+AC48+AD48+AF48</f>
        <v>431005096.854921</v>
      </c>
      <c r="AP48" s="0" t="n">
        <f aca="false">AO48+AE48+AG48+AH48+AI48+AK48+AL48+AM48+AN48</f>
        <v>581573194.715063</v>
      </c>
      <c r="AQ48" s="0" t="n">
        <f aca="false">AO48+AE48+AG48+AJ48</f>
        <v>710537516.877708</v>
      </c>
      <c r="AR48" s="0" t="n">
        <f aca="false">AB48+AC48+AD48+AF48</f>
        <v>137833427.610024</v>
      </c>
      <c r="AS48" s="0" t="n">
        <f aca="false">AR48+AE48+AG48</f>
        <v>137833427.610024</v>
      </c>
    </row>
    <row r="49" customFormat="false" ht="15" hidden="false" customHeight="false" outlineLevel="0" collapsed="false">
      <c r="A49" s="0" t="n">
        <v>2072</v>
      </c>
      <c r="B49" s="0" t="n">
        <v>46</v>
      </c>
      <c r="C49" s="0" t="n">
        <v>4832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2270.303</v>
      </c>
      <c r="I49" s="0" t="n">
        <v>206.309</v>
      </c>
      <c r="J49" s="0" t="n">
        <v>1057.533</v>
      </c>
      <c r="K49" s="0" t="n">
        <v>1821.218</v>
      </c>
      <c r="L49" s="0" t="n">
        <v>673.883</v>
      </c>
      <c r="M49" s="0" t="n">
        <v>139527.186</v>
      </c>
      <c r="N49" s="0" t="n">
        <v>7855.881</v>
      </c>
      <c r="O49" s="0" t="n">
        <v>59.997</v>
      </c>
      <c r="P49" s="0" t="n">
        <v>60.137</v>
      </c>
      <c r="Q49" s="0" t="n">
        <v>632.42</v>
      </c>
      <c r="R49" s="0" t="n">
        <v>932.639</v>
      </c>
      <c r="S49" s="0" t="n">
        <v>2592.081</v>
      </c>
      <c r="T49" s="0" t="n">
        <v>2476.611</v>
      </c>
      <c r="U49" s="0" t="n">
        <v>1833.937</v>
      </c>
      <c r="V49" s="0" t="n">
        <v>175938.322</v>
      </c>
      <c r="W49" s="0" t="n">
        <v>195.664</v>
      </c>
      <c r="X49" s="0" t="n">
        <v>529.915</v>
      </c>
      <c r="Y49" s="0" t="n">
        <v>59.997</v>
      </c>
      <c r="Z49" s="0" t="n">
        <v>638.427</v>
      </c>
      <c r="AA49" s="0" t="n">
        <f aca="false">H49*x_c_F+I49*x_c_CC+J49*x_c_DC+K49*x_c_HCC+L49*x_c_PLT+M49*x_c_SVRn+N49*x_c_SVRcc+O49*x_c_LT+P49*x_c_LT1</f>
        <v>293291506.719906</v>
      </c>
      <c r="AB49" s="0" t="n">
        <f aca="false">C49*x_c_DAA</f>
        <v>109976320</v>
      </c>
      <c r="AC49" s="0" t="n">
        <f aca="false">C49*x_c_MON</f>
        <v>27857107.6100244</v>
      </c>
      <c r="AD49" s="0" t="n">
        <f aca="false">D49*(1-x_testy)</f>
        <v>0</v>
      </c>
      <c r="AE49" s="0" t="n">
        <f aca="false">E49*(1-x_testy)</f>
        <v>0</v>
      </c>
      <c r="AF49" s="0" t="n">
        <f aca="false">F49*x_NAV</f>
        <v>0</v>
      </c>
      <c r="AG49" s="0" t="n">
        <f aca="false">G49*x_FIX*(1-x_testy)</f>
        <v>0</v>
      </c>
      <c r="AH49" s="0" t="n">
        <f aca="false">x_z_F*U49+(1-x_AGRI)*x_EMP*x_WLOSS*(x_PEN_K74*Q49+x_PEN_C22*R49)</f>
        <v>13949852.0763935</v>
      </c>
      <c r="AI49" s="0" t="n">
        <f aca="false">x_AGRI*x_EMP*x_WLOSS*(x_PEN_K74*Q49+x_PEN_C22*R49)</f>
        <v>672842.036079852</v>
      </c>
      <c r="AJ49" s="0" t="n">
        <f aca="false">x_EMP*x_WAGE*(x_WLOSS*(Q49+R49)+S49)+U49*x_ABS_D*x_WAGE/365</f>
        <v>277615829.943017</v>
      </c>
      <c r="AK49" s="0" t="n">
        <f aca="false">AJ49*x_R_FUS</f>
        <v>87837648.5939707</v>
      </c>
      <c r="AL49" s="0" t="n">
        <f aca="false">AJ49*x_R_NFZ</f>
        <v>21559922.9692047</v>
      </c>
      <c r="AM49" s="0" t="n">
        <f aca="false">AJ49*x_R_PIT</f>
        <v>18457059.1000746</v>
      </c>
      <c r="AN49" s="0" t="n">
        <f aca="false">AJ49*x_R_FP</f>
        <v>7079203.66354694</v>
      </c>
      <c r="AO49" s="0" t="n">
        <f aca="false">AA49+AB49+AC49+AD49+AF49</f>
        <v>431124934.32993</v>
      </c>
      <c r="AP49" s="0" t="n">
        <f aca="false">AO49+AE49+AG49+AH49+AI49+AK49+AL49+AM49+AN49</f>
        <v>580681462.7692</v>
      </c>
      <c r="AQ49" s="0" t="n">
        <f aca="false">AO49+AE49+AG49+AJ49</f>
        <v>708740764.272948</v>
      </c>
      <c r="AR49" s="0" t="n">
        <f aca="false">AB49+AC49+AD49+AF49</f>
        <v>137833427.610024</v>
      </c>
      <c r="AS49" s="0" t="n">
        <f aca="false">AR49+AE49+AG49</f>
        <v>137833427.610024</v>
      </c>
    </row>
    <row r="50" customFormat="false" ht="15" hidden="false" customHeight="false" outlineLevel="0" collapsed="false">
      <c r="A50" s="0" t="n">
        <v>2073</v>
      </c>
      <c r="B50" s="0" t="n">
        <v>47</v>
      </c>
      <c r="C50" s="0" t="n">
        <v>4832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2270.642</v>
      </c>
      <c r="I50" s="0" t="n">
        <v>205.633</v>
      </c>
      <c r="J50" s="0" t="n">
        <v>1052.8</v>
      </c>
      <c r="K50" s="0" t="n">
        <v>1813.566</v>
      </c>
      <c r="L50" s="0" t="n">
        <v>665.49</v>
      </c>
      <c r="M50" s="0" t="n">
        <v>141570.689</v>
      </c>
      <c r="N50" s="0" t="n">
        <v>7849.707</v>
      </c>
      <c r="O50" s="0" t="n">
        <v>59.756</v>
      </c>
      <c r="P50" s="0" t="n">
        <v>59.877</v>
      </c>
      <c r="Q50" s="0" t="n">
        <v>628.006</v>
      </c>
      <c r="R50" s="0" t="n">
        <v>926.361</v>
      </c>
      <c r="S50" s="0" t="n">
        <v>2574.936</v>
      </c>
      <c r="T50" s="0" t="n">
        <v>2476.274</v>
      </c>
      <c r="U50" s="0" t="n">
        <v>1833.256</v>
      </c>
      <c r="V50" s="0" t="n">
        <v>177333.419</v>
      </c>
      <c r="W50" s="0" t="n">
        <v>194.748</v>
      </c>
      <c r="X50" s="0" t="n">
        <v>527.595</v>
      </c>
      <c r="Y50" s="0" t="n">
        <v>59.756</v>
      </c>
      <c r="Z50" s="0" t="n">
        <v>635.702</v>
      </c>
      <c r="AA50" s="0" t="n">
        <f aca="false">H50*x_c_F+I50*x_c_CC+J50*x_c_DC+K50*x_c_HCC+L50*x_c_PLT+M50*x_c_SVRn+N50*x_c_SVRcc+O50*x_c_LT+P50*x_c_LT1</f>
        <v>293595346.261601</v>
      </c>
      <c r="AB50" s="0" t="n">
        <f aca="false">C50*x_c_DAA</f>
        <v>109976320</v>
      </c>
      <c r="AC50" s="0" t="n">
        <f aca="false">C50*x_c_MON</f>
        <v>27857107.6100244</v>
      </c>
      <c r="AD50" s="0" t="n">
        <f aca="false">D50*(1-x_testy)</f>
        <v>0</v>
      </c>
      <c r="AE50" s="0" t="n">
        <f aca="false">E50*(1-x_testy)</f>
        <v>0</v>
      </c>
      <c r="AF50" s="0" t="n">
        <f aca="false">F50*x_NAV</f>
        <v>0</v>
      </c>
      <c r="AG50" s="0" t="n">
        <f aca="false">G50*x_FIX*(1-x_testy)</f>
        <v>0</v>
      </c>
      <c r="AH50" s="0" t="n">
        <f aca="false">x_z_F*U50+(1-x_AGRI)*x_EMP*x_WLOSS*(x_PEN_K74*Q50+x_PEN_C22*R50)</f>
        <v>13878985.9022905</v>
      </c>
      <c r="AI50" s="0" t="n">
        <f aca="false">x_AGRI*x_EMP*x_WLOSS*(x_PEN_K74*Q50+x_PEN_C22*R50)</f>
        <v>668250.460061375</v>
      </c>
      <c r="AJ50" s="0" t="n">
        <f aca="false">x_EMP*x_WAGE*(x_WLOSS*(Q50+R50)+S50)+U50*x_ABS_D*x_WAGE/365</f>
        <v>275802073.242522</v>
      </c>
      <c r="AK50" s="0" t="n">
        <f aca="false">AJ50*x_R_FUS</f>
        <v>87263775.973934</v>
      </c>
      <c r="AL50" s="0" t="n">
        <f aca="false">AJ50*x_R_NFZ</f>
        <v>21419064.8100875</v>
      </c>
      <c r="AM50" s="0" t="n">
        <f aca="false">AJ50*x_R_PIT</f>
        <v>18336472.9842862</v>
      </c>
      <c r="AN50" s="0" t="n">
        <f aca="false">AJ50*x_R_FP</f>
        <v>7032952.86768431</v>
      </c>
      <c r="AO50" s="0" t="n">
        <f aca="false">AA50+AB50+AC50+AD50+AF50</f>
        <v>431428773.871626</v>
      </c>
      <c r="AP50" s="0" t="n">
        <f aca="false">AO50+AE50+AG50+AH50+AI50+AK50+AL50+AM50+AN50</f>
        <v>580028276.86997</v>
      </c>
      <c r="AQ50" s="0" t="n">
        <f aca="false">AO50+AE50+AG50+AJ50</f>
        <v>707230847.114148</v>
      </c>
      <c r="AR50" s="0" t="n">
        <f aca="false">AB50+AC50+AD50+AF50</f>
        <v>137833427.610024</v>
      </c>
      <c r="AS50" s="0" t="n">
        <f aca="false">AR50+AE50+AG50</f>
        <v>137833427.610024</v>
      </c>
    </row>
    <row r="51" customFormat="false" ht="15" hidden="false" customHeight="false" outlineLevel="0" collapsed="false">
      <c r="A51" s="0" t="n">
        <v>2074</v>
      </c>
      <c r="B51" s="0" t="n">
        <v>48</v>
      </c>
      <c r="C51" s="0" t="n">
        <v>4832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2271.033</v>
      </c>
      <c r="I51" s="0" t="n">
        <v>204.904</v>
      </c>
      <c r="J51" s="0" t="n">
        <v>1048.52</v>
      </c>
      <c r="K51" s="0" t="n">
        <v>1806.398</v>
      </c>
      <c r="L51" s="0" t="n">
        <v>658.82</v>
      </c>
      <c r="M51" s="0" t="n">
        <v>143593.352</v>
      </c>
      <c r="N51" s="0" t="n">
        <v>7851.768</v>
      </c>
      <c r="O51" s="0" t="n">
        <v>59.533</v>
      </c>
      <c r="P51" s="0" t="n">
        <v>59.644</v>
      </c>
      <c r="Q51" s="0" t="n">
        <v>623.828</v>
      </c>
      <c r="R51" s="0" t="n">
        <v>920.416</v>
      </c>
      <c r="S51" s="0" t="n">
        <v>2558.726</v>
      </c>
      <c r="T51" s="0" t="n">
        <v>2475.936</v>
      </c>
      <c r="U51" s="0" t="n">
        <v>1832.803</v>
      </c>
      <c r="V51" s="0" t="n">
        <v>178719.896</v>
      </c>
      <c r="W51" s="0" t="n">
        <v>193.824</v>
      </c>
      <c r="X51" s="0" t="n">
        <v>525.29</v>
      </c>
      <c r="Y51" s="0" t="n">
        <v>59.533</v>
      </c>
      <c r="Z51" s="0" t="n">
        <v>633.183</v>
      </c>
      <c r="AA51" s="0" t="n">
        <f aca="false">H51*x_c_F+I51*x_c_CC+J51*x_c_DC+K51*x_c_HCC+L51*x_c_PLT+M51*x_c_SVRn+N51*x_c_SVRcc+O51*x_c_LT+P51*x_c_LT1</f>
        <v>294009676.189879</v>
      </c>
      <c r="AB51" s="0" t="n">
        <f aca="false">C51*x_c_DAA</f>
        <v>109976320</v>
      </c>
      <c r="AC51" s="0" t="n">
        <f aca="false">C51*x_c_MON</f>
        <v>27857107.6100244</v>
      </c>
      <c r="AD51" s="0" t="n">
        <f aca="false">D51*(1-x_testy)</f>
        <v>0</v>
      </c>
      <c r="AE51" s="0" t="n">
        <f aca="false">E51*(1-x_testy)</f>
        <v>0</v>
      </c>
      <c r="AF51" s="0" t="n">
        <f aca="false">F51*x_NAV</f>
        <v>0</v>
      </c>
      <c r="AG51" s="0" t="n">
        <f aca="false">G51*x_FIX*(1-x_testy)</f>
        <v>0</v>
      </c>
      <c r="AH51" s="0" t="n">
        <f aca="false">x_z_F*U51+(1-x_AGRI)*x_EMP*x_WLOSS*(x_PEN_K74*Q51+x_PEN_C22*R51)</f>
        <v>13812284.3755847</v>
      </c>
      <c r="AI51" s="0" t="n">
        <f aca="false">x_AGRI*x_EMP*x_WLOSS*(x_PEN_K74*Q51+x_PEN_C22*R51)</f>
        <v>663903.175986112</v>
      </c>
      <c r="AJ51" s="0" t="n">
        <f aca="false">x_EMP*x_WAGE*(x_WLOSS*(Q51+R51)+S51)+U51*x_ABS_D*x_WAGE/365</f>
        <v>274087329.051912</v>
      </c>
      <c r="AK51" s="0" t="n">
        <f aca="false">AJ51*x_R_FUS</f>
        <v>86721230.9120248</v>
      </c>
      <c r="AL51" s="0" t="n">
        <f aca="false">AJ51*x_R_NFZ</f>
        <v>21285896.0615005</v>
      </c>
      <c r="AM51" s="0" t="n">
        <f aca="false">AJ51*x_R_PIT</f>
        <v>18222469.6334178</v>
      </c>
      <c r="AN51" s="0" t="n">
        <f aca="false">AJ51*x_R_FP</f>
        <v>6989226.89082375</v>
      </c>
      <c r="AO51" s="0" t="n">
        <f aca="false">AA51+AB51+AC51+AD51+AF51</f>
        <v>431843103.799903</v>
      </c>
      <c r="AP51" s="0" t="n">
        <f aca="false">AO51+AE51+AG51+AH51+AI51+AK51+AL51+AM51+AN51</f>
        <v>579538114.849241</v>
      </c>
      <c r="AQ51" s="0" t="n">
        <f aca="false">AO51+AE51+AG51+AJ51</f>
        <v>705930432.851815</v>
      </c>
      <c r="AR51" s="0" t="n">
        <f aca="false">AB51+AC51+AD51+AF51</f>
        <v>137833427.610024</v>
      </c>
      <c r="AS51" s="0" t="n">
        <f aca="false">AR51+AE51+AG51</f>
        <v>137833427.610024</v>
      </c>
    </row>
    <row r="52" customFormat="false" ht="15" hidden="false" customHeight="false" outlineLevel="0" collapsed="false">
      <c r="A52" s="0" t="n">
        <v>2075</v>
      </c>
      <c r="B52" s="0" t="n">
        <v>49</v>
      </c>
      <c r="C52" s="0" t="n">
        <v>4832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2271.489</v>
      </c>
      <c r="I52" s="0" t="n">
        <v>204.107</v>
      </c>
      <c r="J52" s="0" t="n">
        <v>1044.371</v>
      </c>
      <c r="K52" s="0" t="n">
        <v>1799.285</v>
      </c>
      <c r="L52" s="0" t="n">
        <v>653.433</v>
      </c>
      <c r="M52" s="0" t="n">
        <v>145579.101</v>
      </c>
      <c r="N52" s="0" t="n">
        <v>7858.827</v>
      </c>
      <c r="O52" s="0" t="n">
        <v>59.309</v>
      </c>
      <c r="P52" s="0" t="n">
        <v>59.421</v>
      </c>
      <c r="Q52" s="0" t="n">
        <v>619.875</v>
      </c>
      <c r="R52" s="0" t="n">
        <v>914.784</v>
      </c>
      <c r="S52" s="0" t="n">
        <v>2543.413</v>
      </c>
      <c r="T52" s="0" t="n">
        <v>2475.596</v>
      </c>
      <c r="U52" s="0" t="n">
        <v>1832.581</v>
      </c>
      <c r="V52" s="0" t="n">
        <v>180081.987</v>
      </c>
      <c r="W52" s="0" t="n">
        <v>192.859</v>
      </c>
      <c r="X52" s="0" t="n">
        <v>522.913</v>
      </c>
      <c r="Y52" s="0" t="n">
        <v>59.309</v>
      </c>
      <c r="Z52" s="0" t="n">
        <v>630.688</v>
      </c>
      <c r="AA52" s="0" t="n">
        <f aca="false">H52*x_c_F+I52*x_c_CC+J52*x_c_DC+K52*x_c_HCC+L52*x_c_PLT+M52*x_c_SVRn+N52*x_c_SVRcc+O52*x_c_LT+P52*x_c_LT1</f>
        <v>294461643.118463</v>
      </c>
      <c r="AB52" s="0" t="n">
        <f aca="false">C52*x_c_DAA</f>
        <v>109976320</v>
      </c>
      <c r="AC52" s="0" t="n">
        <f aca="false">C52*x_c_MON</f>
        <v>27857107.6100244</v>
      </c>
      <c r="AD52" s="0" t="n">
        <f aca="false">D52*(1-x_testy)</f>
        <v>0</v>
      </c>
      <c r="AE52" s="0" t="n">
        <f aca="false">E52*(1-x_testy)</f>
        <v>0</v>
      </c>
      <c r="AF52" s="0" t="n">
        <f aca="false">F52*x_NAV</f>
        <v>0</v>
      </c>
      <c r="AG52" s="0" t="n">
        <f aca="false">G52*x_FIX*(1-x_testy)</f>
        <v>0</v>
      </c>
      <c r="AH52" s="0" t="n">
        <f aca="false">x_z_F*U52+(1-x_AGRI)*x_EMP*x_WLOSS*(x_PEN_K74*Q52+x_PEN_C22*R52)</f>
        <v>13749550.7807637</v>
      </c>
      <c r="AI52" s="0" t="n">
        <f aca="false">x_AGRI*x_EMP*x_WLOSS*(x_PEN_K74*Q52+x_PEN_C22*R52)</f>
        <v>659786.773661735</v>
      </c>
      <c r="AJ52" s="0" t="n">
        <f aca="false">x_EMP*x_WAGE*(x_WLOSS*(Q52+R52)+S52)+U52*x_ABS_D*x_WAGE/365</f>
        <v>272467351.608162</v>
      </c>
      <c r="AK52" s="0" t="n">
        <f aca="false">AJ52*x_R_FUS</f>
        <v>86208670.0488226</v>
      </c>
      <c r="AL52" s="0" t="n">
        <f aca="false">AJ52*x_R_NFZ</f>
        <v>21160086.9932415</v>
      </c>
      <c r="AM52" s="0" t="n">
        <f aca="false">AJ52*x_R_PIT</f>
        <v>18114766.7714225</v>
      </c>
      <c r="AN52" s="0" t="n">
        <f aca="false">AJ52*x_R_FP</f>
        <v>6947917.46600814</v>
      </c>
      <c r="AO52" s="0" t="n">
        <f aca="false">AA52+AB52+AC52+AD52+AF52</f>
        <v>432295070.728487</v>
      </c>
      <c r="AP52" s="0" t="n">
        <f aca="false">AO52+AE52+AG52+AH52+AI52+AK52+AL52+AM52+AN52</f>
        <v>579135849.562407</v>
      </c>
      <c r="AQ52" s="0" t="n">
        <f aca="false">AO52+AE52+AG52+AJ52</f>
        <v>704762422.336649</v>
      </c>
      <c r="AR52" s="0" t="n">
        <f aca="false">AB52+AC52+AD52+AF52</f>
        <v>137833427.610024</v>
      </c>
      <c r="AS52" s="0" t="n">
        <f aca="false">AR52+AE52+AG52</f>
        <v>137833427.610024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592</v>
      </c>
    </row>
    <row r="2" customFormat="false" ht="28.35" hidden="false" customHeight="false" outlineLevel="0" collapsed="false">
      <c r="A2" s="3" t="s">
        <v>318</v>
      </c>
      <c r="B2" s="3" t="s">
        <v>548</v>
      </c>
      <c r="C2" s="3" t="s">
        <v>549</v>
      </c>
      <c r="D2" s="3" t="s">
        <v>550</v>
      </c>
      <c r="E2" s="3" t="s">
        <v>551</v>
      </c>
      <c r="F2" s="3" t="s">
        <v>552</v>
      </c>
      <c r="G2" s="3" t="s">
        <v>553</v>
      </c>
      <c r="H2" s="3" t="s">
        <v>554</v>
      </c>
      <c r="I2" s="3" t="s">
        <v>555</v>
      </c>
      <c r="J2" s="3" t="s">
        <v>556</v>
      </c>
      <c r="K2" s="3" t="s">
        <v>557</v>
      </c>
      <c r="L2" s="3" t="s">
        <v>558</v>
      </c>
      <c r="M2" s="3" t="s">
        <v>559</v>
      </c>
      <c r="N2" s="3" t="s">
        <v>560</v>
      </c>
      <c r="O2" s="3" t="s">
        <v>561</v>
      </c>
      <c r="P2" s="3" t="s">
        <v>562</v>
      </c>
      <c r="Q2" s="3" t="s">
        <v>563</v>
      </c>
      <c r="R2" s="3" t="s">
        <v>564</v>
      </c>
      <c r="S2" s="3" t="s">
        <v>565</v>
      </c>
      <c r="T2" s="3" t="s">
        <v>566</v>
      </c>
      <c r="U2" s="3" t="s">
        <v>567</v>
      </c>
      <c r="V2" s="3" t="s">
        <v>568</v>
      </c>
      <c r="W2" s="3" t="s">
        <v>569</v>
      </c>
      <c r="X2" s="3" t="s">
        <v>570</v>
      </c>
      <c r="Y2" s="3" t="s">
        <v>571</v>
      </c>
      <c r="Z2" s="3" t="s">
        <v>572</v>
      </c>
      <c r="AA2" s="3" t="s">
        <v>573</v>
      </c>
      <c r="AB2" s="3" t="s">
        <v>574</v>
      </c>
      <c r="AC2" s="3" t="s">
        <v>575</v>
      </c>
      <c r="AD2" s="3" t="s">
        <v>576</v>
      </c>
      <c r="AE2" s="3" t="s">
        <v>577</v>
      </c>
      <c r="AF2" s="3" t="s">
        <v>578</v>
      </c>
      <c r="AG2" s="3" t="s">
        <v>579</v>
      </c>
      <c r="AH2" s="3" t="s">
        <v>252</v>
      </c>
      <c r="AI2" s="3" t="s">
        <v>303</v>
      </c>
      <c r="AJ2" s="3" t="s">
        <v>580</v>
      </c>
      <c r="AK2" s="3" t="s">
        <v>581</v>
      </c>
      <c r="AL2" s="3" t="s">
        <v>582</v>
      </c>
      <c r="AM2" s="3" t="s">
        <v>583</v>
      </c>
      <c r="AN2" s="3" t="s">
        <v>584</v>
      </c>
      <c r="AO2" s="3" t="s">
        <v>129</v>
      </c>
      <c r="AP2" s="3" t="s">
        <v>585</v>
      </c>
      <c r="AQ2" s="3" t="s">
        <v>586</v>
      </c>
      <c r="AR2" s="3" t="s">
        <v>587</v>
      </c>
      <c r="AS2" s="3" t="s">
        <v>588</v>
      </c>
    </row>
    <row r="3" customFormat="false" ht="15" hidden="false" customHeight="false" outlineLevel="0" collapsed="false">
      <c r="A3" s="0" t="n">
        <v>2026</v>
      </c>
      <c r="B3" s="0" t="n">
        <v>0</v>
      </c>
      <c r="C3" s="0" t="n">
        <v>5255.342</v>
      </c>
      <c r="D3" s="0" t="n">
        <v>0</v>
      </c>
      <c r="E3" s="0" t="n">
        <v>666666.667</v>
      </c>
      <c r="F3" s="0" t="n">
        <v>0</v>
      </c>
      <c r="G3" s="0" t="n">
        <v>0</v>
      </c>
      <c r="H3" s="0" t="n">
        <v>2598.107</v>
      </c>
      <c r="I3" s="0" t="n">
        <v>233.09</v>
      </c>
      <c r="J3" s="0" t="n">
        <v>1579.13</v>
      </c>
      <c r="K3" s="0" t="n">
        <v>2524.31</v>
      </c>
      <c r="L3" s="0" t="n">
        <v>1540.438</v>
      </c>
      <c r="M3" s="0" t="n">
        <v>7115.529</v>
      </c>
      <c r="N3" s="0" t="n">
        <v>631.905</v>
      </c>
      <c r="O3" s="0" t="n">
        <v>89.046</v>
      </c>
      <c r="P3" s="0" t="n">
        <v>44.523</v>
      </c>
      <c r="Q3" s="0" t="n">
        <v>2134.57</v>
      </c>
      <c r="R3" s="0" t="n">
        <v>1702.953</v>
      </c>
      <c r="S3" s="0" t="n">
        <v>312.377</v>
      </c>
      <c r="T3" s="0" t="n">
        <v>2831.198</v>
      </c>
      <c r="U3" s="0" t="n">
        <v>1568.309</v>
      </c>
      <c r="V3" s="0" t="n">
        <v>113437.829</v>
      </c>
      <c r="W3" s="0" t="n">
        <v>265.295</v>
      </c>
      <c r="X3" s="0" t="n">
        <v>710.527</v>
      </c>
      <c r="Y3" s="0" t="n">
        <v>89.046</v>
      </c>
      <c r="Z3" s="0" t="n">
        <v>922.327</v>
      </c>
      <c r="AA3" s="0" t="n">
        <f aca="false">H3*x_c_F+I3*x_c_CC+J3*x_c_DC+K3*x_c_HCC+L3*x_c_PLT+M3*x_c_SVRn+N3*x_c_SVRcc+O3*x_c_LT+P3*x_c_LT1</f>
        <v>283907881.479222</v>
      </c>
      <c r="AB3" s="0" t="n">
        <f aca="false">C3*x_c_DAA</f>
        <v>119611583.92</v>
      </c>
      <c r="AC3" s="0" t="n">
        <f aca="false">C3*x_c_MON</f>
        <v>30297729.2262998</v>
      </c>
      <c r="AD3" s="0" t="n">
        <f aca="false">D3*(1-x_testy)</f>
        <v>0</v>
      </c>
      <c r="AE3" s="0" t="n">
        <f aca="false">E3*(1-x_testy)</f>
        <v>666666.667</v>
      </c>
      <c r="AF3" s="0" t="n">
        <f aca="false">F3*x_NAV</f>
        <v>0</v>
      </c>
      <c r="AG3" s="0" t="n">
        <f aca="false">G3*x_FIX*(1-x_testy)</f>
        <v>0</v>
      </c>
      <c r="AH3" s="0" t="n">
        <f aca="false">x_z_F*U3+(1-x_AGRI)*x_EMP*x_WLOSS*(x_PEN_K74*Q3+x_PEN_C22*R3)</f>
        <v>27705019.6718128</v>
      </c>
      <c r="AI3" s="0" t="n">
        <f aca="false">x_AGRI*x_EMP*x_WLOSS*(x_PEN_K74*Q3+x_PEN_C22*R3)</f>
        <v>1618128.80086018</v>
      </c>
      <c r="AJ3" s="0" t="n">
        <f aca="false">x_EMP*x_WAGE*(x_WLOSS*(Q3+R3)+S3)+U3*x_ABS_D*x_WAGE/365</f>
        <v>156848054.531867</v>
      </c>
      <c r="AK3" s="0" t="n">
        <f aca="false">AJ3*x_R_FUS</f>
        <v>49626724.4538827</v>
      </c>
      <c r="AL3" s="0" t="n">
        <f aca="false">AJ3*x_R_NFZ</f>
        <v>12180976.7629993</v>
      </c>
      <c r="AM3" s="0" t="n">
        <f aca="false">AJ3*x_R_PIT</f>
        <v>10427913.3247575</v>
      </c>
      <c r="AN3" s="0" t="n">
        <f aca="false">AJ3*x_R_FP</f>
        <v>3999625.39056261</v>
      </c>
      <c r="AO3" s="0" t="n">
        <f aca="false">AA3+AB3+AC3+AD3+AF3</f>
        <v>433817194.625522</v>
      </c>
      <c r="AP3" s="0" t="n">
        <f aca="false">AO3+AE3+AG3+AH3+AI3+AK3+AL3+AM3+AN3</f>
        <v>540042249.697397</v>
      </c>
      <c r="AQ3" s="0" t="n">
        <f aca="false">AO3+AE3+AG3+AJ3</f>
        <v>591331915.824389</v>
      </c>
      <c r="AR3" s="0" t="n">
        <f aca="false">AB3+AC3+AD3+AF3</f>
        <v>149909313.1463</v>
      </c>
      <c r="AS3" s="0" t="n">
        <f aca="false">AR3+AE3+AG3</f>
        <v>150575979.8133</v>
      </c>
    </row>
    <row r="4" customFormat="false" ht="15" hidden="false" customHeight="false" outlineLevel="0" collapsed="false">
      <c r="A4" s="0" t="n">
        <v>2027</v>
      </c>
      <c r="B4" s="0" t="n">
        <v>1</v>
      </c>
      <c r="C4" s="0" t="n">
        <v>5606.997</v>
      </c>
      <c r="D4" s="0" t="n">
        <v>0</v>
      </c>
      <c r="E4" s="0" t="n">
        <v>1333333.333</v>
      </c>
      <c r="F4" s="0" t="n">
        <v>0</v>
      </c>
      <c r="G4" s="0" t="n">
        <v>0</v>
      </c>
      <c r="H4" s="0" t="n">
        <v>2707.185</v>
      </c>
      <c r="I4" s="0" t="n">
        <v>257.606</v>
      </c>
      <c r="J4" s="0" t="n">
        <v>1563.283</v>
      </c>
      <c r="K4" s="0" t="n">
        <v>2519.483</v>
      </c>
      <c r="L4" s="0" t="n">
        <v>1489.389</v>
      </c>
      <c r="M4" s="0" t="n">
        <v>11955.248</v>
      </c>
      <c r="N4" s="0" t="n">
        <v>1093.52</v>
      </c>
      <c r="O4" s="0" t="n">
        <v>87.887</v>
      </c>
      <c r="P4" s="0" t="n">
        <v>88.466</v>
      </c>
      <c r="Q4" s="0" t="n">
        <v>2137.46</v>
      </c>
      <c r="R4" s="0" t="n">
        <v>1715.624</v>
      </c>
      <c r="S4" s="0" t="n">
        <v>939.861</v>
      </c>
      <c r="T4" s="0" t="n">
        <v>2964.79</v>
      </c>
      <c r="U4" s="0" t="n">
        <v>1690.615</v>
      </c>
      <c r="V4" s="0" t="n">
        <v>114603.629</v>
      </c>
      <c r="W4" s="0" t="n">
        <v>274.089</v>
      </c>
      <c r="X4" s="0" t="n">
        <v>738.756</v>
      </c>
      <c r="Y4" s="0" t="n">
        <v>87.887</v>
      </c>
      <c r="Z4" s="0" t="n">
        <v>925.413</v>
      </c>
      <c r="AA4" s="0" t="n">
        <f aca="false">H4*x_c_F+I4*x_c_CC+J4*x_c_DC+K4*x_c_HCC+L4*x_c_PLT+M4*x_c_SVRn+N4*x_c_SVRcc+O4*x_c_LT+P4*x_c_LT1</f>
        <v>288071468.454898</v>
      </c>
      <c r="AB4" s="0" t="n">
        <f aca="false">C4*x_c_DAA</f>
        <v>127615251.72</v>
      </c>
      <c r="AC4" s="0" t="n">
        <f aca="false">C4*x_c_MON</f>
        <v>32325065.9764246</v>
      </c>
      <c r="AD4" s="0" t="n">
        <f aca="false">D4*(1-x_testy)</f>
        <v>0</v>
      </c>
      <c r="AE4" s="0" t="n">
        <f aca="false">E4*(1-x_testy)</f>
        <v>1333333.333</v>
      </c>
      <c r="AF4" s="0" t="n">
        <f aca="false">F4*x_NAV</f>
        <v>0</v>
      </c>
      <c r="AG4" s="0" t="n">
        <f aca="false">G4*x_FIX*(1-x_testy)</f>
        <v>0</v>
      </c>
      <c r="AH4" s="0" t="n">
        <f aca="false">x_z_F*U4+(1-x_AGRI)*x_EMP*x_WLOSS*(x_PEN_K74*Q4+x_PEN_C22*R4)</f>
        <v>28060470.4085041</v>
      </c>
      <c r="AI4" s="0" t="n">
        <f aca="false">x_AGRI*x_EMP*x_WLOSS*(x_PEN_K74*Q4+x_PEN_C22*R4)</f>
        <v>1625003.06886261</v>
      </c>
      <c r="AJ4" s="0" t="n">
        <f aca="false">x_EMP*x_WAGE*(x_WLOSS*(Q4+R4)+S4)+U4*x_ABS_D*x_WAGE/365</f>
        <v>211216244.306968</v>
      </c>
      <c r="AK4" s="0" t="n">
        <f aca="false">AJ4*x_R_FUS</f>
        <v>66828819.6987248</v>
      </c>
      <c r="AL4" s="0" t="n">
        <f aca="false">AJ4*x_R_NFZ</f>
        <v>16403264.7491235</v>
      </c>
      <c r="AM4" s="0" t="n">
        <f aca="false">AJ4*x_R_PIT</f>
        <v>14042537.505407</v>
      </c>
      <c r="AN4" s="0" t="n">
        <f aca="false">AJ4*x_R_FP</f>
        <v>5386014.22982769</v>
      </c>
      <c r="AO4" s="0" t="n">
        <f aca="false">AA4+AB4+AC4+AD4+AF4</f>
        <v>448011786.151323</v>
      </c>
      <c r="AP4" s="0" t="n">
        <f aca="false">AO4+AE4+AG4+AH4+AI4+AK4+AL4+AM4+AN4</f>
        <v>581691229.144772</v>
      </c>
      <c r="AQ4" s="0" t="n">
        <f aca="false">AO4+AE4+AG4+AJ4</f>
        <v>660561363.791291</v>
      </c>
      <c r="AR4" s="0" t="n">
        <f aca="false">AB4+AC4+AD4+AF4</f>
        <v>159940317.696425</v>
      </c>
      <c r="AS4" s="0" t="n">
        <f aca="false">AR4+AE4+AG4</f>
        <v>161273651.029425</v>
      </c>
    </row>
    <row r="5" customFormat="false" ht="15" hidden="false" customHeight="false" outlineLevel="0" collapsed="false">
      <c r="A5" s="0" t="n">
        <v>2028</v>
      </c>
      <c r="B5" s="0" t="n">
        <v>2</v>
      </c>
      <c r="C5" s="0" t="n">
        <v>5797.642</v>
      </c>
      <c r="D5" s="0" t="n">
        <v>0</v>
      </c>
      <c r="E5" s="0" t="n">
        <v>2000000</v>
      </c>
      <c r="F5" s="0" t="n">
        <v>0</v>
      </c>
      <c r="G5" s="0" t="n">
        <v>0</v>
      </c>
      <c r="H5" s="0" t="n">
        <v>2677.754</v>
      </c>
      <c r="I5" s="0" t="n">
        <v>270.762</v>
      </c>
      <c r="J5" s="0" t="n">
        <v>1558.935</v>
      </c>
      <c r="K5" s="0" t="n">
        <v>2543.268</v>
      </c>
      <c r="L5" s="0" t="n">
        <v>1475.755</v>
      </c>
      <c r="M5" s="0" t="n">
        <v>16573.871</v>
      </c>
      <c r="N5" s="0" t="n">
        <v>1565.518</v>
      </c>
      <c r="O5" s="0" t="n">
        <v>87.521</v>
      </c>
      <c r="P5" s="0" t="n">
        <v>87.704</v>
      </c>
      <c r="Q5" s="0" t="n">
        <v>2145.232</v>
      </c>
      <c r="R5" s="0" t="n">
        <v>1751.394</v>
      </c>
      <c r="S5" s="0" t="n">
        <v>1572.438</v>
      </c>
      <c r="T5" s="0" t="n">
        <v>2948.516</v>
      </c>
      <c r="U5" s="0" t="n">
        <v>1726.425</v>
      </c>
      <c r="V5" s="0" t="n">
        <v>115858.783</v>
      </c>
      <c r="W5" s="0" t="n">
        <v>284.414</v>
      </c>
      <c r="X5" s="0" t="n">
        <v>767.511</v>
      </c>
      <c r="Y5" s="0" t="n">
        <v>87.521</v>
      </c>
      <c r="Z5" s="0" t="n">
        <v>926.051</v>
      </c>
      <c r="AA5" s="0" t="n">
        <f aca="false">H5*x_c_F+I5*x_c_CC+J5*x_c_DC+K5*x_c_HCC+L5*x_c_PLT+M5*x_c_SVRn+N5*x_c_SVRcc+O5*x_c_LT+P5*x_c_LT1</f>
        <v>292999243.995705</v>
      </c>
      <c r="AB5" s="0" t="n">
        <f aca="false">C5*x_c_DAA</f>
        <v>131954331.92</v>
      </c>
      <c r="AC5" s="0" t="n">
        <f aca="false">C5*x_c_MON</f>
        <v>33424159.1635755</v>
      </c>
      <c r="AD5" s="0" t="n">
        <f aca="false">D5*(1-x_testy)</f>
        <v>0</v>
      </c>
      <c r="AE5" s="0" t="n">
        <f aca="false">E5*(1-x_testy)</f>
        <v>2000000</v>
      </c>
      <c r="AF5" s="0" t="n">
        <f aca="false">F5*x_NAV</f>
        <v>0</v>
      </c>
      <c r="AG5" s="0" t="n">
        <f aca="false">G5*x_FIX*(1-x_testy)</f>
        <v>0</v>
      </c>
      <c r="AH5" s="0" t="n">
        <f aca="false">x_z_F*U5+(1-x_AGRI)*x_EMP*x_WLOSS*(x_PEN_K74*Q5+x_PEN_C22*R5)</f>
        <v>28425361.0851478</v>
      </c>
      <c r="AI5" s="0" t="n">
        <f aca="false">x_AGRI*x_EMP*x_WLOSS*(x_PEN_K74*Q5+x_PEN_C22*R5)</f>
        <v>1644255.36840352</v>
      </c>
      <c r="AJ5" s="0" t="n">
        <f aca="false">x_EMP*x_WAGE*(x_WLOSS*(Q5+R5)+S5)+U5*x_ABS_D*x_WAGE/365</f>
        <v>266680452.884696</v>
      </c>
      <c r="AK5" s="0" t="n">
        <f aca="false">AJ5*x_R_FUS</f>
        <v>84377695.2927179</v>
      </c>
      <c r="AL5" s="0" t="n">
        <f aca="false">AJ5*x_R_NFZ</f>
        <v>20710670.6514784</v>
      </c>
      <c r="AM5" s="0" t="n">
        <f aca="false">AJ5*x_R_PIT</f>
        <v>17730029.5906678</v>
      </c>
      <c r="AN5" s="0" t="n">
        <f aca="false">AJ5*x_R_FP</f>
        <v>6800351.54855976</v>
      </c>
      <c r="AO5" s="0" t="n">
        <f aca="false">AA5+AB5+AC5+AD5+AF5</f>
        <v>458377735.07928</v>
      </c>
      <c r="AP5" s="0" t="n">
        <f aca="false">AO5+AE5+AG5+AH5+AI5+AK5+AL5+AM5+AN5</f>
        <v>620066098.616255</v>
      </c>
      <c r="AQ5" s="0" t="n">
        <f aca="false">AO5+AE5+AG5+AJ5</f>
        <v>727058187.963976</v>
      </c>
      <c r="AR5" s="0" t="n">
        <f aca="false">AB5+AC5+AD5+AF5</f>
        <v>165378491.083576</v>
      </c>
      <c r="AS5" s="0" t="n">
        <f aca="false">AR5+AE5+AG5</f>
        <v>167378491.083576</v>
      </c>
    </row>
    <row r="6" customFormat="false" ht="15" hidden="false" customHeight="false" outlineLevel="0" collapsed="false">
      <c r="A6" s="0" t="n">
        <v>2029</v>
      </c>
      <c r="B6" s="0" t="n">
        <v>3</v>
      </c>
      <c r="C6" s="0" t="n">
        <v>5552.364</v>
      </c>
      <c r="D6" s="0" t="n">
        <v>0</v>
      </c>
      <c r="E6" s="0" t="n">
        <v>2000000</v>
      </c>
      <c r="F6" s="0" t="n">
        <v>0</v>
      </c>
      <c r="G6" s="0" t="n">
        <v>0</v>
      </c>
      <c r="H6" s="0" t="n">
        <v>2563.507</v>
      </c>
      <c r="I6" s="0" t="n">
        <v>275.508</v>
      </c>
      <c r="J6" s="0" t="n">
        <v>1565.332</v>
      </c>
      <c r="K6" s="0" t="n">
        <v>2587.857</v>
      </c>
      <c r="L6" s="0" t="n">
        <v>1461.147</v>
      </c>
      <c r="M6" s="0" t="n">
        <v>20839.819</v>
      </c>
      <c r="N6" s="0" t="n">
        <v>2030.629</v>
      </c>
      <c r="O6" s="0" t="n">
        <v>87.84</v>
      </c>
      <c r="P6" s="0" t="n">
        <v>87.68</v>
      </c>
      <c r="Q6" s="0" t="n">
        <v>2161.989</v>
      </c>
      <c r="R6" s="0" t="n">
        <v>1804.222</v>
      </c>
      <c r="S6" s="0" t="n">
        <v>2212.679</v>
      </c>
      <c r="T6" s="0" t="n">
        <v>2839.015</v>
      </c>
      <c r="U6" s="0" t="n">
        <v>1704.469</v>
      </c>
      <c r="V6" s="0" t="n">
        <v>117171.504</v>
      </c>
      <c r="W6" s="0" t="n">
        <v>295.843</v>
      </c>
      <c r="X6" s="0" t="n">
        <v>796.633</v>
      </c>
      <c r="Y6" s="0" t="n">
        <v>87.84</v>
      </c>
      <c r="Z6" s="0" t="n">
        <v>934.429</v>
      </c>
      <c r="AA6" s="0" t="n">
        <f aca="false">H6*x_c_F+I6*x_c_CC+J6*x_c_DC+K6*x_c_HCC+L6*x_c_PLT+M6*x_c_SVRn+N6*x_c_SVRcc+O6*x_c_LT+P6*x_c_LT1</f>
        <v>299136710.129301</v>
      </c>
      <c r="AB6" s="0" t="n">
        <f aca="false">C6*x_c_DAA</f>
        <v>126371804.64</v>
      </c>
      <c r="AC6" s="0" t="n">
        <f aca="false">C6*x_c_MON</f>
        <v>32010099.6353529</v>
      </c>
      <c r="AD6" s="0" t="n">
        <f aca="false">D6*(1-x_testy)</f>
        <v>0</v>
      </c>
      <c r="AE6" s="0" t="n">
        <f aca="false">E6*(1-x_testy)</f>
        <v>2000000</v>
      </c>
      <c r="AF6" s="0" t="n">
        <f aca="false">F6*x_NAV</f>
        <v>0</v>
      </c>
      <c r="AG6" s="0" t="n">
        <f aca="false">G6*x_FIX*(1-x_testy)</f>
        <v>0</v>
      </c>
      <c r="AH6" s="0" t="n">
        <f aca="false">x_z_F*U6+(1-x_AGRI)*x_EMP*x_WLOSS*(x_PEN_K74*Q6+x_PEN_C22*R6)</f>
        <v>28842141.9997361</v>
      </c>
      <c r="AI6" s="0" t="n">
        <f aca="false">x_AGRI*x_EMP*x_WLOSS*(x_PEN_K74*Q6+x_PEN_C22*R6)</f>
        <v>1674787.42044267</v>
      </c>
      <c r="AJ6" s="0" t="n">
        <f aca="false">x_EMP*x_WAGE*(x_WLOSS*(Q6+R6)+S6)+U6*x_ABS_D*x_WAGE/365</f>
        <v>323480842.734462</v>
      </c>
      <c r="AK6" s="0" t="n">
        <f aca="false">AJ6*x_R_FUS</f>
        <v>102349338.641184</v>
      </c>
      <c r="AL6" s="0" t="n">
        <f aca="false">AJ6*x_R_NFZ</f>
        <v>25121845.7276011</v>
      </c>
      <c r="AM6" s="0" t="n">
        <f aca="false">AJ6*x_R_PIT</f>
        <v>21506356.5839073</v>
      </c>
      <c r="AN6" s="0" t="n">
        <f aca="false">AJ6*x_R_FP</f>
        <v>8248761.48972879</v>
      </c>
      <c r="AO6" s="0" t="n">
        <f aca="false">AA6+AB6+AC6+AD6+AF6</f>
        <v>457518614.404654</v>
      </c>
      <c r="AP6" s="0" t="n">
        <f aca="false">AO6+AE6+AG6+AH6+AI6+AK6+AL6+AM6+AN6</f>
        <v>647261846.267254</v>
      </c>
      <c r="AQ6" s="0" t="n">
        <f aca="false">AO6+AE6+AG6+AJ6</f>
        <v>782999457.139117</v>
      </c>
      <c r="AR6" s="0" t="n">
        <f aca="false">AB6+AC6+AD6+AF6</f>
        <v>158381904.275353</v>
      </c>
      <c r="AS6" s="0" t="n">
        <f aca="false">AR6+AE6+AG6</f>
        <v>160381904.275353</v>
      </c>
    </row>
    <row r="7" customFormat="false" ht="15" hidden="false" customHeight="false" outlineLevel="0" collapsed="false">
      <c r="A7" s="0" t="n">
        <v>2030</v>
      </c>
      <c r="B7" s="0" t="n">
        <v>4</v>
      </c>
      <c r="C7" s="0" t="n">
        <v>5369.388</v>
      </c>
      <c r="D7" s="0" t="n">
        <v>0</v>
      </c>
      <c r="E7" s="0" t="n">
        <v>2000000</v>
      </c>
      <c r="F7" s="0" t="n">
        <v>0</v>
      </c>
      <c r="G7" s="0" t="n">
        <v>0</v>
      </c>
      <c r="H7" s="0" t="n">
        <v>2475.175</v>
      </c>
      <c r="I7" s="0" t="n">
        <v>281.769</v>
      </c>
      <c r="J7" s="0" t="n">
        <v>1581.138</v>
      </c>
      <c r="K7" s="0" t="n">
        <v>2646.738</v>
      </c>
      <c r="L7" s="0" t="n">
        <v>1446.195</v>
      </c>
      <c r="M7" s="0" t="n">
        <v>24856.949</v>
      </c>
      <c r="N7" s="0" t="n">
        <v>2491.337</v>
      </c>
      <c r="O7" s="0" t="n">
        <v>88.741</v>
      </c>
      <c r="P7" s="0" t="n">
        <v>88.29</v>
      </c>
      <c r="Q7" s="0" t="n">
        <v>2187.098</v>
      </c>
      <c r="R7" s="0" t="n">
        <v>1869.186</v>
      </c>
      <c r="S7" s="0" t="n">
        <v>2865.652</v>
      </c>
      <c r="T7" s="0" t="n">
        <v>2756.945</v>
      </c>
      <c r="U7" s="0" t="n">
        <v>1694.364</v>
      </c>
      <c r="V7" s="0" t="n">
        <v>118525.409</v>
      </c>
      <c r="W7" s="0" t="n">
        <v>307.422</v>
      </c>
      <c r="X7" s="0" t="n">
        <v>824.495</v>
      </c>
      <c r="Y7" s="0" t="n">
        <v>88.741</v>
      </c>
      <c r="Z7" s="0" t="n">
        <v>948.66</v>
      </c>
      <c r="AA7" s="0" t="n">
        <f aca="false">H7*x_c_F+I7*x_c_CC+J7*x_c_DC+K7*x_c_HCC+L7*x_c_PLT+M7*x_c_SVRn+N7*x_c_SVRcc+O7*x_c_LT+P7*x_c_LT1</f>
        <v>306481993.083547</v>
      </c>
      <c r="AB7" s="0" t="n">
        <f aca="false">C7*x_c_DAA</f>
        <v>122207270.88</v>
      </c>
      <c r="AC7" s="0" t="n">
        <f aca="false">C7*x_c_MON</f>
        <v>30955219.2292992</v>
      </c>
      <c r="AD7" s="0" t="n">
        <f aca="false">D7*(1-x_testy)</f>
        <v>0</v>
      </c>
      <c r="AE7" s="0" t="n">
        <f aca="false">E7*(1-x_testy)</f>
        <v>2000000</v>
      </c>
      <c r="AF7" s="0" t="n">
        <f aca="false">F7*x_NAV</f>
        <v>0</v>
      </c>
      <c r="AG7" s="0" t="n">
        <f aca="false">G7*x_FIX*(1-x_testy)</f>
        <v>0</v>
      </c>
      <c r="AH7" s="0" t="n">
        <f aca="false">x_z_F*U7+(1-x_AGRI)*x_EMP*x_WLOSS*(x_PEN_K74*Q7+x_PEN_C22*R7)</f>
        <v>29416485.4342924</v>
      </c>
      <c r="AI7" s="0" t="n">
        <f aca="false">x_AGRI*x_EMP*x_WLOSS*(x_PEN_K74*Q7+x_PEN_C22*R7)</f>
        <v>1714123.60274036</v>
      </c>
      <c r="AJ7" s="0" t="n">
        <f aca="false">x_EMP*x_WAGE*(x_WLOSS*(Q7+R7)+S7)+U7*x_ABS_D*x_WAGE/365</f>
        <v>382072183.254891</v>
      </c>
      <c r="AK7" s="0" t="n">
        <f aca="false">AJ7*x_R_FUS</f>
        <v>120887638.781847</v>
      </c>
      <c r="AL7" s="0" t="n">
        <f aca="false">AJ7*x_R_NFZ</f>
        <v>29672107.8237581</v>
      </c>
      <c r="AM7" s="0" t="n">
        <f aca="false">AJ7*x_R_PIT</f>
        <v>25401753.4528831</v>
      </c>
      <c r="AN7" s="0" t="n">
        <f aca="false">AJ7*x_R_FP</f>
        <v>9742840.67299971</v>
      </c>
      <c r="AO7" s="0" t="n">
        <f aca="false">AA7+AB7+AC7+AD7+AF7</f>
        <v>459644483.192846</v>
      </c>
      <c r="AP7" s="0" t="n">
        <f aca="false">AO7+AE7+AG7+AH7+AI7+AK7+AL7+AM7+AN7</f>
        <v>678479432.961367</v>
      </c>
      <c r="AQ7" s="0" t="n">
        <f aca="false">AO7+AE7+AG7+AJ7</f>
        <v>843716666.447737</v>
      </c>
      <c r="AR7" s="0" t="n">
        <f aca="false">AB7+AC7+AD7+AF7</f>
        <v>153162490.109299</v>
      </c>
      <c r="AS7" s="0" t="n">
        <f aca="false">AR7+AE7+AG7</f>
        <v>155162490.109299</v>
      </c>
    </row>
    <row r="8" customFormat="false" ht="15" hidden="false" customHeight="false" outlineLevel="0" collapsed="false">
      <c r="A8" s="0" t="n">
        <v>2031</v>
      </c>
      <c r="B8" s="0" t="n">
        <v>5</v>
      </c>
      <c r="C8" s="0" t="n">
        <v>5232.888</v>
      </c>
      <c r="D8" s="0" t="n">
        <v>0</v>
      </c>
      <c r="E8" s="0" t="n">
        <v>2000000</v>
      </c>
      <c r="F8" s="0" t="n">
        <v>0</v>
      </c>
      <c r="G8" s="0" t="n">
        <v>0</v>
      </c>
      <c r="H8" s="0" t="n">
        <v>2406.594</v>
      </c>
      <c r="I8" s="0" t="n">
        <v>288.76</v>
      </c>
      <c r="J8" s="0" t="n">
        <v>1604.414</v>
      </c>
      <c r="K8" s="0" t="n">
        <v>2713.844</v>
      </c>
      <c r="L8" s="0" t="n">
        <v>1431.431</v>
      </c>
      <c r="M8" s="0" t="n">
        <v>28691.697</v>
      </c>
      <c r="N8" s="0" t="n">
        <v>2948.544</v>
      </c>
      <c r="O8" s="0" t="n">
        <v>90.094</v>
      </c>
      <c r="P8" s="0" t="n">
        <v>89.418</v>
      </c>
      <c r="Q8" s="0" t="n">
        <v>2219.499</v>
      </c>
      <c r="R8" s="0" t="n">
        <v>1941.889</v>
      </c>
      <c r="S8" s="0" t="n">
        <v>3534.934</v>
      </c>
      <c r="T8" s="0" t="n">
        <v>2695.355</v>
      </c>
      <c r="U8" s="0" t="n">
        <v>1693.33</v>
      </c>
      <c r="V8" s="0" t="n">
        <v>119905.41</v>
      </c>
      <c r="W8" s="0" t="n">
        <v>318.443</v>
      </c>
      <c r="X8" s="0" t="n">
        <v>849.906</v>
      </c>
      <c r="Y8" s="0" t="n">
        <v>90.094</v>
      </c>
      <c r="Z8" s="0" t="n">
        <v>966.845</v>
      </c>
      <c r="AA8" s="0" t="n">
        <f aca="false">H8*x_c_F+I8*x_c_CC+J8*x_c_DC+K8*x_c_HCC+L8*x_c_PLT+M8*x_c_SVRn+N8*x_c_SVRcc+O8*x_c_LT+P8*x_c_LT1</f>
        <v>314606072.732052</v>
      </c>
      <c r="AB8" s="0" t="n">
        <f aca="false">C8*x_c_DAA</f>
        <v>119100530.88</v>
      </c>
      <c r="AC8" s="0" t="n">
        <f aca="false">C8*x_c_MON</f>
        <v>30168278.9998355</v>
      </c>
      <c r="AD8" s="0" t="n">
        <f aca="false">D8*(1-x_testy)</f>
        <v>0</v>
      </c>
      <c r="AE8" s="0" t="n">
        <f aca="false">E8*(1-x_testy)</f>
        <v>2000000</v>
      </c>
      <c r="AF8" s="0" t="n">
        <f aca="false">F8*x_NAV</f>
        <v>0</v>
      </c>
      <c r="AG8" s="0" t="n">
        <f aca="false">G8*x_FIX*(1-x_testy)</f>
        <v>0</v>
      </c>
      <c r="AH8" s="0" t="n">
        <f aca="false">x_z_F*U8+(1-x_AGRI)*x_EMP*x_WLOSS*(x_PEN_K74*Q8+x_PEN_C22*R8)</f>
        <v>30106242.6195765</v>
      </c>
      <c r="AI8" s="0" t="n">
        <f aca="false">x_AGRI*x_EMP*x_WLOSS*(x_PEN_K74*Q8+x_PEN_C22*R8)</f>
        <v>1759855.74085211</v>
      </c>
      <c r="AJ8" s="0" t="n">
        <f aca="false">x_EMP*x_WAGE*(x_WLOSS*(Q8+R8)+S8)+U8*x_ABS_D*x_WAGE/365</f>
        <v>442572669.450421</v>
      </c>
      <c r="AK8" s="0" t="n">
        <f aca="false">AJ8*x_R_FUS</f>
        <v>140029992.614113</v>
      </c>
      <c r="AL8" s="0" t="n">
        <f aca="false">AJ8*x_R_NFZ</f>
        <v>34370636.0821891</v>
      </c>
      <c r="AM8" s="0" t="n">
        <f aca="false">AJ8*x_R_PIT</f>
        <v>29424078.2948179</v>
      </c>
      <c r="AN8" s="0" t="n">
        <f aca="false">AJ8*x_R_FP</f>
        <v>11285603.0709857</v>
      </c>
      <c r="AO8" s="0" t="n">
        <f aca="false">AA8+AB8+AC8+AD8+AF8</f>
        <v>463874882.611888</v>
      </c>
      <c r="AP8" s="0" t="n">
        <f aca="false">AO8+AE8+AG8+AH8+AI8+AK8+AL8+AM8+AN8</f>
        <v>712851291.034422</v>
      </c>
      <c r="AQ8" s="0" t="n">
        <f aca="false">AO8+AE8+AG8+AJ8</f>
        <v>908447552.062309</v>
      </c>
      <c r="AR8" s="0" t="n">
        <f aca="false">AB8+AC8+AD8+AF8</f>
        <v>149268809.879836</v>
      </c>
      <c r="AS8" s="0" t="n">
        <f aca="false">AR8+AE8+AG8</f>
        <v>151268809.879836</v>
      </c>
    </row>
    <row r="9" customFormat="false" ht="15" hidden="false" customHeight="false" outlineLevel="0" collapsed="false">
      <c r="A9" s="0" t="n">
        <v>2032</v>
      </c>
      <c r="B9" s="0" t="n">
        <v>6</v>
      </c>
      <c r="C9" s="0" t="n">
        <v>5131.06</v>
      </c>
      <c r="D9" s="0" t="n">
        <v>0</v>
      </c>
      <c r="E9" s="0" t="n">
        <v>2000000</v>
      </c>
      <c r="F9" s="0" t="n">
        <v>0</v>
      </c>
      <c r="G9" s="0" t="n">
        <v>0</v>
      </c>
      <c r="H9" s="0" t="n">
        <v>2353.167</v>
      </c>
      <c r="I9" s="0" t="n">
        <v>295.878</v>
      </c>
      <c r="J9" s="0" t="n">
        <v>1632.909</v>
      </c>
      <c r="K9" s="0" t="n">
        <v>2783.763</v>
      </c>
      <c r="L9" s="0" t="n">
        <v>1417.236</v>
      </c>
      <c r="M9" s="0" t="n">
        <v>32386.413</v>
      </c>
      <c r="N9" s="0" t="n">
        <v>3401.9</v>
      </c>
      <c r="O9" s="0" t="n">
        <v>91.753</v>
      </c>
      <c r="P9" s="0" t="n">
        <v>90.924</v>
      </c>
      <c r="Q9" s="0" t="n">
        <v>2257.849</v>
      </c>
      <c r="R9" s="0" t="n">
        <v>2018.512</v>
      </c>
      <c r="S9" s="0" t="n">
        <v>4222.64</v>
      </c>
      <c r="T9" s="0" t="n">
        <v>2649.045</v>
      </c>
      <c r="U9" s="0" t="n">
        <v>1699.155</v>
      </c>
      <c r="V9" s="0" t="n">
        <v>121296.748</v>
      </c>
      <c r="W9" s="0" t="n">
        <v>328.379</v>
      </c>
      <c r="X9" s="0" t="n">
        <v>871.99</v>
      </c>
      <c r="Y9" s="0" t="n">
        <v>91.753</v>
      </c>
      <c r="Z9" s="0" t="n">
        <v>987.155</v>
      </c>
      <c r="AA9" s="0" t="n">
        <f aca="false">H9*x_c_F+I9*x_c_CC+J9*x_c_DC+K9*x_c_HCC+L9*x_c_PLT+M9*x_c_SVRn+N9*x_c_SVRcc+O9*x_c_LT+P9*x_c_LT1</f>
        <v>323091494.386612</v>
      </c>
      <c r="AB9" s="0" t="n">
        <f aca="false">C9*x_c_DAA</f>
        <v>116782925.6</v>
      </c>
      <c r="AC9" s="0" t="n">
        <f aca="false">C9*x_c_MON</f>
        <v>29581227.3537855</v>
      </c>
      <c r="AD9" s="0" t="n">
        <f aca="false">D9*(1-x_testy)</f>
        <v>0</v>
      </c>
      <c r="AE9" s="0" t="n">
        <f aca="false">E9*(1-x_testy)</f>
        <v>2000000</v>
      </c>
      <c r="AF9" s="0" t="n">
        <f aca="false">F9*x_NAV</f>
        <v>0</v>
      </c>
      <c r="AG9" s="0" t="n">
        <f aca="false">G9*x_FIX*(1-x_testy)</f>
        <v>0</v>
      </c>
      <c r="AH9" s="0" t="n">
        <f aca="false">x_z_F*U9+(1-x_AGRI)*x_EMP*x_WLOSS*(x_PEN_K74*Q9+x_PEN_C22*R9)</f>
        <v>30872681.4291002</v>
      </c>
      <c r="AI9" s="0" t="n">
        <f aca="false">x_AGRI*x_EMP*x_WLOSS*(x_PEN_K74*Q9+x_PEN_C22*R9)</f>
        <v>1809724.30750118</v>
      </c>
      <c r="AJ9" s="0" t="n">
        <f aca="false">x_EMP*x_WAGE*(x_WLOSS*(Q9+R9)+S9)+U9*x_ABS_D*x_WAGE/365</f>
        <v>504987169.722658</v>
      </c>
      <c r="AK9" s="0" t="n">
        <f aca="false">AJ9*x_R_FUS</f>
        <v>159777940.500249</v>
      </c>
      <c r="AL9" s="0" t="n">
        <f aca="false">AJ9*x_R_NFZ</f>
        <v>39217808.5878314</v>
      </c>
      <c r="AM9" s="0" t="n">
        <f aca="false">AJ9*x_R_PIT</f>
        <v>33573654.7813704</v>
      </c>
      <c r="AN9" s="0" t="n">
        <f aca="false">AJ9*x_R_FP</f>
        <v>12877172.8279278</v>
      </c>
      <c r="AO9" s="0" t="n">
        <f aca="false">AA9+AB9+AC9+AD9+AF9</f>
        <v>469455647.340398</v>
      </c>
      <c r="AP9" s="0" t="n">
        <f aca="false">AO9+AE9+AG9+AH9+AI9+AK9+AL9+AM9+AN9</f>
        <v>749584629.774378</v>
      </c>
      <c r="AQ9" s="0" t="n">
        <f aca="false">AO9+AE9+AG9+AJ9</f>
        <v>976442817.063056</v>
      </c>
      <c r="AR9" s="0" t="n">
        <f aca="false">AB9+AC9+AD9+AF9</f>
        <v>146364152.953786</v>
      </c>
      <c r="AS9" s="0" t="n">
        <f aca="false">AR9+AE9+AG9</f>
        <v>148364152.953786</v>
      </c>
    </row>
    <row r="10" customFormat="false" ht="15" hidden="false" customHeight="false" outlineLevel="0" collapsed="false">
      <c r="A10" s="0" t="n">
        <v>2033</v>
      </c>
      <c r="B10" s="0" t="n">
        <v>7</v>
      </c>
      <c r="C10" s="0" t="n">
        <v>5055.097</v>
      </c>
      <c r="D10" s="0" t="n">
        <v>0</v>
      </c>
      <c r="E10" s="0" t="n">
        <v>2000000</v>
      </c>
      <c r="F10" s="0" t="n">
        <v>0</v>
      </c>
      <c r="G10" s="0" t="n">
        <v>0</v>
      </c>
      <c r="H10" s="0" t="n">
        <v>2311.468</v>
      </c>
      <c r="I10" s="0" t="n">
        <v>302.661</v>
      </c>
      <c r="J10" s="0" t="n">
        <v>1664.312</v>
      </c>
      <c r="K10" s="0" t="n">
        <v>2851.9</v>
      </c>
      <c r="L10" s="0" t="n">
        <v>1403.852</v>
      </c>
      <c r="M10" s="0" t="n">
        <v>35967.6</v>
      </c>
      <c r="N10" s="0" t="n">
        <v>3850.137</v>
      </c>
      <c r="O10" s="0" t="n">
        <v>93.575</v>
      </c>
      <c r="P10" s="0" t="n">
        <v>92.664</v>
      </c>
      <c r="Q10" s="0" t="n">
        <v>2300.67</v>
      </c>
      <c r="R10" s="0" t="n">
        <v>2095.841</v>
      </c>
      <c r="S10" s="0" t="n">
        <v>4929.589</v>
      </c>
      <c r="T10" s="0" t="n">
        <v>2614.129</v>
      </c>
      <c r="U10" s="0" t="n">
        <v>1710.082</v>
      </c>
      <c r="V10" s="0" t="n">
        <v>122686.702</v>
      </c>
      <c r="W10" s="0" t="n">
        <v>336.864</v>
      </c>
      <c r="X10" s="0" t="n">
        <v>890.174</v>
      </c>
      <c r="Y10" s="0" t="n">
        <v>93.575</v>
      </c>
      <c r="Z10" s="0" t="n">
        <v>1007.992</v>
      </c>
      <c r="AA10" s="0" t="n">
        <f aca="false">H10*x_c_F+I10*x_c_CC+J10*x_c_DC+K10*x_c_HCC+L10*x_c_PLT+M10*x_c_SVRn+N10*x_c_SVRcc+O10*x_c_LT+P10*x_c_LT1</f>
        <v>331559520.8592</v>
      </c>
      <c r="AB10" s="0" t="n">
        <f aca="false">C10*x_c_DAA</f>
        <v>115054007.72</v>
      </c>
      <c r="AC10" s="0" t="n">
        <f aca="false">C10*x_c_MON</f>
        <v>29143290.7922416</v>
      </c>
      <c r="AD10" s="0" t="n">
        <f aca="false">D10*(1-x_testy)</f>
        <v>0</v>
      </c>
      <c r="AE10" s="0" t="n">
        <f aca="false">E10*(1-x_testy)</f>
        <v>2000000</v>
      </c>
      <c r="AF10" s="0" t="n">
        <f aca="false">F10*x_NAV</f>
        <v>0</v>
      </c>
      <c r="AG10" s="0" t="n">
        <f aca="false">G10*x_FIX*(1-x_testy)</f>
        <v>0</v>
      </c>
      <c r="AH10" s="0" t="n">
        <f aca="false">x_z_F*U10+(1-x_AGRI)*x_EMP*x_WLOSS*(x_PEN_K74*Q10+x_PEN_C22*R10)</f>
        <v>31681328.8566379</v>
      </c>
      <c r="AI10" s="0" t="n">
        <f aca="false">x_AGRI*x_EMP*x_WLOSS*(x_PEN_K74*Q10+x_PEN_C22*R10)</f>
        <v>1861689.46446272</v>
      </c>
      <c r="AJ10" s="0" t="n">
        <f aca="false">x_EMP*x_WAGE*(x_WLOSS*(Q10+R10)+S10)+U10*x_ABS_D*x_WAGE/365</f>
        <v>569226775.198914</v>
      </c>
      <c r="AK10" s="0" t="n">
        <f aca="false">AJ10*x_R_FUS</f>
        <v>180103351.672937</v>
      </c>
      <c r="AL10" s="0" t="n">
        <f aca="false">AJ10*x_R_NFZ</f>
        <v>44206720.5887229</v>
      </c>
      <c r="AM10" s="0" t="n">
        <f aca="false">AJ10*x_R_PIT</f>
        <v>37844571.8795925</v>
      </c>
      <c r="AN10" s="0" t="n">
        <f aca="false">AJ10*x_R_FP</f>
        <v>14515282.7675723</v>
      </c>
      <c r="AO10" s="0" t="n">
        <f aca="false">AA10+AB10+AC10+AD10+AF10</f>
        <v>475756819.371442</v>
      </c>
      <c r="AP10" s="0" t="n">
        <f aca="false">AO10+AE10+AG10+AH10+AI10+AK10+AL10+AM10+AN10</f>
        <v>787969764.601366</v>
      </c>
      <c r="AQ10" s="0" t="n">
        <f aca="false">AO10+AE10+AG10+AJ10</f>
        <v>1046983594.57036</v>
      </c>
      <c r="AR10" s="0" t="n">
        <f aca="false">AB10+AC10+AD10+AF10</f>
        <v>144197298.512242</v>
      </c>
      <c r="AS10" s="0" t="n">
        <f aca="false">AR10+AE10+AG10</f>
        <v>146197298.512242</v>
      </c>
    </row>
    <row r="11" customFormat="false" ht="15" hidden="false" customHeight="false" outlineLevel="0" collapsed="false">
      <c r="A11" s="0" t="n">
        <v>2034</v>
      </c>
      <c r="B11" s="0" t="n">
        <v>8</v>
      </c>
      <c r="C11" s="0" t="n">
        <v>4998.429</v>
      </c>
      <c r="D11" s="0" t="n">
        <v>0</v>
      </c>
      <c r="E11" s="0" t="n">
        <v>2000000</v>
      </c>
      <c r="F11" s="0" t="n">
        <v>0</v>
      </c>
      <c r="G11" s="0" t="n">
        <v>0</v>
      </c>
      <c r="H11" s="0" t="n">
        <v>2278.948</v>
      </c>
      <c r="I11" s="0" t="n">
        <v>308.756</v>
      </c>
      <c r="J11" s="0" t="n">
        <v>1696.398</v>
      </c>
      <c r="K11" s="0" t="n">
        <v>2914.495</v>
      </c>
      <c r="L11" s="0" t="n">
        <v>1391.371</v>
      </c>
      <c r="M11" s="0" t="n">
        <v>39451.348</v>
      </c>
      <c r="N11" s="0" t="n">
        <v>4291.263</v>
      </c>
      <c r="O11" s="0" t="n">
        <v>95.423</v>
      </c>
      <c r="P11" s="0" t="n">
        <v>94.499</v>
      </c>
      <c r="Q11" s="0" t="n">
        <v>2346.449</v>
      </c>
      <c r="R11" s="0" t="n">
        <v>2171.246</v>
      </c>
      <c r="S11" s="0" t="n">
        <v>5655.42</v>
      </c>
      <c r="T11" s="0" t="n">
        <v>2587.705</v>
      </c>
      <c r="U11" s="0" t="n">
        <v>1724.72</v>
      </c>
      <c r="V11" s="0" t="n">
        <v>124064.586</v>
      </c>
      <c r="W11" s="0" t="n">
        <v>343.652</v>
      </c>
      <c r="X11" s="0" t="n">
        <v>904.088</v>
      </c>
      <c r="Y11" s="0" t="n">
        <v>95.423</v>
      </c>
      <c r="Z11" s="0" t="n">
        <v>1027.941</v>
      </c>
      <c r="AA11" s="0" t="n">
        <f aca="false">H11*x_c_F+I11*x_c_CC+J11*x_c_DC+K11*x_c_HCC+L11*x_c_PLT+M11*x_c_SVRn+N11*x_c_SVRcc+O11*x_c_LT+P11*x_c_LT1</f>
        <v>339677824.823073</v>
      </c>
      <c r="AB11" s="0" t="n">
        <f aca="false">C11*x_c_DAA</f>
        <v>113764244.04</v>
      </c>
      <c r="AC11" s="0" t="n">
        <f aca="false">C11*x_c_MON</f>
        <v>28816592.4118515</v>
      </c>
      <c r="AD11" s="0" t="n">
        <f aca="false">D11*(1-x_testy)</f>
        <v>0</v>
      </c>
      <c r="AE11" s="0" t="n">
        <f aca="false">E11*(1-x_testy)</f>
        <v>2000000</v>
      </c>
      <c r="AF11" s="0" t="n">
        <f aca="false">F11*x_NAV</f>
        <v>0</v>
      </c>
      <c r="AG11" s="0" t="n">
        <f aca="false">G11*x_FIX*(1-x_testy)</f>
        <v>0</v>
      </c>
      <c r="AH11" s="0" t="n">
        <f aca="false">x_z_F*U11+(1-x_AGRI)*x_EMP*x_WLOSS*(x_PEN_K74*Q11+x_PEN_C22*R11)</f>
        <v>32502245.9908712</v>
      </c>
      <c r="AI11" s="0" t="n">
        <f aca="false">x_AGRI*x_EMP*x_WLOSS*(x_PEN_K74*Q11+x_PEN_C22*R11)</f>
        <v>1913961.33220204</v>
      </c>
      <c r="AJ11" s="0" t="n">
        <f aca="false">x_EMP*x_WAGE*(x_WLOSS*(Q11+R11)+S11)+U11*x_ABS_D*x_WAGE/365</f>
        <v>635121014.309514</v>
      </c>
      <c r="AK11" s="0" t="n">
        <f aca="false">AJ11*x_R_FUS</f>
        <v>200952288.92753</v>
      </c>
      <c r="AL11" s="0" t="n">
        <f aca="false">AJ11*x_R_NFZ</f>
        <v>49324133.0922912</v>
      </c>
      <c r="AM11" s="0" t="n">
        <f aca="false">AJ11*x_R_PIT</f>
        <v>42225495.9280101</v>
      </c>
      <c r="AN11" s="0" t="n">
        <f aca="false">AJ11*x_R_FP</f>
        <v>16195585.8648926</v>
      </c>
      <c r="AO11" s="0" t="n">
        <f aca="false">AA11+AB11+AC11+AD11+AF11</f>
        <v>482258661.274924</v>
      </c>
      <c r="AP11" s="0" t="n">
        <f aca="false">AO11+AE11+AG11+AH11+AI11+AK11+AL11+AM11+AN11</f>
        <v>827372372.410722</v>
      </c>
      <c r="AQ11" s="0" t="n">
        <f aca="false">AO11+AE11+AG11+AJ11</f>
        <v>1119379675.58444</v>
      </c>
      <c r="AR11" s="0" t="n">
        <f aca="false">AB11+AC11+AD11+AF11</f>
        <v>142580836.451852</v>
      </c>
      <c r="AS11" s="0" t="n">
        <f aca="false">AR11+AE11+AG11</f>
        <v>144580836.451852</v>
      </c>
    </row>
    <row r="12" customFormat="false" ht="15" hidden="false" customHeight="false" outlineLevel="0" collapsed="false">
      <c r="A12" s="0" t="n">
        <v>2035</v>
      </c>
      <c r="B12" s="0" t="n">
        <v>9</v>
      </c>
      <c r="C12" s="0" t="n">
        <v>4956.155</v>
      </c>
      <c r="D12" s="0" t="n">
        <v>0</v>
      </c>
      <c r="E12" s="0" t="n">
        <v>2000000</v>
      </c>
      <c r="F12" s="0" t="n">
        <v>0</v>
      </c>
      <c r="G12" s="0" t="n">
        <v>0</v>
      </c>
      <c r="H12" s="0" t="n">
        <v>2233.411</v>
      </c>
      <c r="I12" s="0" t="n">
        <v>311.045</v>
      </c>
      <c r="J12" s="0" t="n">
        <v>1727.151</v>
      </c>
      <c r="K12" s="0" t="n">
        <v>2968.625</v>
      </c>
      <c r="L12" s="0" t="n">
        <v>1379.757</v>
      </c>
      <c r="M12" s="0" t="n">
        <v>42808.232</v>
      </c>
      <c r="N12" s="0" t="n">
        <v>4717.248</v>
      </c>
      <c r="O12" s="0" t="n">
        <v>97.182</v>
      </c>
      <c r="P12" s="0" t="n">
        <v>96.303</v>
      </c>
      <c r="Q12" s="0" t="n">
        <v>2393.702</v>
      </c>
      <c r="R12" s="0" t="n">
        <v>2242.639</v>
      </c>
      <c r="S12" s="0" t="n">
        <v>6398.749</v>
      </c>
      <c r="T12" s="0" t="n">
        <v>2544.456</v>
      </c>
      <c r="U12" s="0" t="n">
        <v>1726.125</v>
      </c>
      <c r="V12" s="0" t="n">
        <v>125419.768</v>
      </c>
      <c r="W12" s="0" t="n">
        <v>348.614</v>
      </c>
      <c r="X12" s="0" t="n">
        <v>913.592</v>
      </c>
      <c r="Y12" s="0" t="n">
        <v>97.182</v>
      </c>
      <c r="Z12" s="0" t="n">
        <v>1045.883</v>
      </c>
      <c r="AA12" s="0" t="n">
        <f aca="false">H12*x_c_F+I12*x_c_CC+J12*x_c_DC+K12*x_c_HCC+L12*x_c_PLT+M12*x_c_SVRn+N12*x_c_SVRcc+O12*x_c_LT+P12*x_c_LT1</f>
        <v>347057027.8787</v>
      </c>
      <c r="AB12" s="0" t="n">
        <f aca="false">C12*x_c_DAA</f>
        <v>112802087.8</v>
      </c>
      <c r="AC12" s="0" t="n">
        <f aca="false">C12*x_c_MON</f>
        <v>28572877.3110431</v>
      </c>
      <c r="AD12" s="0" t="n">
        <f aca="false">D12*(1-x_testy)</f>
        <v>0</v>
      </c>
      <c r="AE12" s="0" t="n">
        <f aca="false">E12*(1-x_testy)</f>
        <v>2000000</v>
      </c>
      <c r="AF12" s="0" t="n">
        <f aca="false">F12*x_NAV</f>
        <v>0</v>
      </c>
      <c r="AG12" s="0" t="n">
        <f aca="false">G12*x_FIX*(1-x_testy)</f>
        <v>0</v>
      </c>
      <c r="AH12" s="0" t="n">
        <f aca="false">x_z_F*U12+(1-x_AGRI)*x_EMP*x_WLOSS*(x_PEN_K74*Q12+x_PEN_C22*R12)</f>
        <v>33277397.8932091</v>
      </c>
      <c r="AI12" s="0" t="n">
        <f aca="false">x_AGRI*x_EMP*x_WLOSS*(x_PEN_K74*Q12+x_PEN_C22*R12)</f>
        <v>1965006.45791612</v>
      </c>
      <c r="AJ12" s="0" t="n">
        <f aca="false">x_EMP*x_WAGE*(x_WLOSS*(Q12+R12)+S12)+U12*x_ABS_D*x_WAGE/365</f>
        <v>702385198.363954</v>
      </c>
      <c r="AK12" s="0" t="n">
        <f aca="false">AJ12*x_R_FUS</f>
        <v>222234676.762355</v>
      </c>
      <c r="AL12" s="0" t="n">
        <f aca="false">AJ12*x_R_NFZ</f>
        <v>54547936.890143</v>
      </c>
      <c r="AM12" s="0" t="n">
        <f aca="false">AJ12*x_R_PIT</f>
        <v>46697499.6342322</v>
      </c>
      <c r="AN12" s="0" t="n">
        <f aca="false">AJ12*x_R_FP</f>
        <v>17910822.5582808</v>
      </c>
      <c r="AO12" s="0" t="n">
        <f aca="false">AA12+AB12+AC12+AD12+AF12</f>
        <v>488431992.989744</v>
      </c>
      <c r="AP12" s="0" t="n">
        <f aca="false">AO12+AE12+AG12+AH12+AI12+AK12+AL12+AM12+AN12</f>
        <v>867065333.18588</v>
      </c>
      <c r="AQ12" s="0" t="n">
        <f aca="false">AO12+AE12+AG12+AJ12</f>
        <v>1192817191.3537</v>
      </c>
      <c r="AR12" s="0" t="n">
        <f aca="false">AB12+AC12+AD12+AF12</f>
        <v>141374965.111043</v>
      </c>
      <c r="AS12" s="0" t="n">
        <f aca="false">AR12+AE12+AG12</f>
        <v>143374965.111043</v>
      </c>
    </row>
    <row r="13" customFormat="false" ht="15" hidden="false" customHeight="false" outlineLevel="0" collapsed="false">
      <c r="A13" s="0" t="n">
        <v>2036</v>
      </c>
      <c r="B13" s="0" t="n">
        <v>10</v>
      </c>
      <c r="C13" s="0" t="n">
        <v>4832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2198.942</v>
      </c>
      <c r="I13" s="0" t="n">
        <v>312.9</v>
      </c>
      <c r="J13" s="0" t="n">
        <v>1754.89</v>
      </c>
      <c r="K13" s="0" t="n">
        <v>3012.321</v>
      </c>
      <c r="L13" s="0" t="n">
        <v>1368.839</v>
      </c>
      <c r="M13" s="0" t="n">
        <v>46062.489</v>
      </c>
      <c r="N13" s="0" t="n">
        <v>5126.734</v>
      </c>
      <c r="O13" s="0" t="n">
        <v>98.744</v>
      </c>
      <c r="P13" s="0" t="n">
        <v>97.963</v>
      </c>
      <c r="Q13" s="0" t="n">
        <v>2441.11</v>
      </c>
      <c r="R13" s="0" t="n">
        <v>2308.595</v>
      </c>
      <c r="S13" s="0" t="n">
        <v>7157.314</v>
      </c>
      <c r="T13" s="0" t="n">
        <v>2511.842</v>
      </c>
      <c r="U13" s="0" t="n">
        <v>1733.198</v>
      </c>
      <c r="V13" s="0" t="n">
        <v>126745.524</v>
      </c>
      <c r="W13" s="0" t="n">
        <v>351.872</v>
      </c>
      <c r="X13" s="0" t="n">
        <v>919.084</v>
      </c>
      <c r="Y13" s="0" t="n">
        <v>98.744</v>
      </c>
      <c r="Z13" s="0" t="n">
        <v>1060.862</v>
      </c>
      <c r="AA13" s="0" t="n">
        <f aca="false">H13*x_c_F+I13*x_c_CC+J13*x_c_DC+K13*x_c_HCC+L13*x_c_PLT+M13*x_c_SVRn+N13*x_c_SVRcc+O13*x_c_LT+P13*x_c_LT1</f>
        <v>353595807.959815</v>
      </c>
      <c r="AB13" s="0" t="n">
        <f aca="false">C13*x_c_DAA</f>
        <v>109976320</v>
      </c>
      <c r="AC13" s="0" t="n">
        <f aca="false">C13*x_c_MON</f>
        <v>27857107.6100244</v>
      </c>
      <c r="AD13" s="0" t="n">
        <f aca="false">D13*(1-x_testy)</f>
        <v>0</v>
      </c>
      <c r="AE13" s="0" t="n">
        <f aca="false">E13*(1-x_testy)</f>
        <v>0</v>
      </c>
      <c r="AF13" s="0" t="n">
        <f aca="false">F13*x_NAV</f>
        <v>0</v>
      </c>
      <c r="AG13" s="0" t="n">
        <f aca="false">G13*x_FIX*(1-x_testy)</f>
        <v>0</v>
      </c>
      <c r="AH13" s="0" t="n">
        <f aca="false">x_z_F*U13+(1-x_AGRI)*x_EMP*x_WLOSS*(x_PEN_K74*Q13+x_PEN_C22*R13)</f>
        <v>34027968.2740269</v>
      </c>
      <c r="AI13" s="0" t="n">
        <f aca="false">x_AGRI*x_EMP*x_WLOSS*(x_PEN_K74*Q13+x_PEN_C22*R13)</f>
        <v>2013656.55930939</v>
      </c>
      <c r="AJ13" s="0" t="n">
        <f aca="false">x_EMP*x_WAGE*(x_WLOSS*(Q13+R13)+S13)+U13*x_ABS_D*x_WAGE/365</f>
        <v>770792172.620296</v>
      </c>
      <c r="AK13" s="0" t="n">
        <f aca="false">AJ13*x_R_FUS</f>
        <v>243878643.417062</v>
      </c>
      <c r="AL13" s="0" t="n">
        <f aca="false">AJ13*x_R_NFZ</f>
        <v>59860490.9178648</v>
      </c>
      <c r="AM13" s="0" t="n">
        <f aca="false">AJ13*x_R_PIT</f>
        <v>51245480.802906</v>
      </c>
      <c r="AN13" s="0" t="n">
        <f aca="false">AJ13*x_R_FP</f>
        <v>19655200.4018175</v>
      </c>
      <c r="AO13" s="0" t="n">
        <f aca="false">AA13+AB13+AC13+AD13+AF13</f>
        <v>491429235.569839</v>
      </c>
      <c r="AP13" s="0" t="n">
        <f aca="false">AO13+AE13+AG13+AH13+AI13+AK13+AL13+AM13+AN13</f>
        <v>902110675.942825</v>
      </c>
      <c r="AQ13" s="0" t="n">
        <f aca="false">AO13+AE13+AG13+AJ13</f>
        <v>1262221408.19014</v>
      </c>
      <c r="AR13" s="0" t="n">
        <f aca="false">AB13+AC13+AD13+AF13</f>
        <v>137833427.610024</v>
      </c>
      <c r="AS13" s="0" t="n">
        <f aca="false">AR13+AE13+AG13</f>
        <v>137833427.610024</v>
      </c>
    </row>
    <row r="14" customFormat="false" ht="15" hidden="false" customHeight="false" outlineLevel="0" collapsed="false">
      <c r="A14" s="0" t="n">
        <v>2037</v>
      </c>
      <c r="B14" s="0" t="n">
        <v>11</v>
      </c>
      <c r="C14" s="0" t="n">
        <v>4832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2193.393</v>
      </c>
      <c r="I14" s="0" t="n">
        <v>316.901</v>
      </c>
      <c r="J14" s="0" t="n">
        <v>1778.137</v>
      </c>
      <c r="K14" s="0" t="n">
        <v>3044.075</v>
      </c>
      <c r="L14" s="0" t="n">
        <v>1358.326</v>
      </c>
      <c r="M14" s="0" t="n">
        <v>49266.657</v>
      </c>
      <c r="N14" s="0" t="n">
        <v>5523.249</v>
      </c>
      <c r="O14" s="0" t="n">
        <v>100.037</v>
      </c>
      <c r="P14" s="0" t="n">
        <v>99.39</v>
      </c>
      <c r="Q14" s="0" t="n">
        <v>2487.421</v>
      </c>
      <c r="R14" s="0" t="n">
        <v>2368.003</v>
      </c>
      <c r="S14" s="0" t="n">
        <v>7928.112</v>
      </c>
      <c r="T14" s="0" t="n">
        <v>2510.293</v>
      </c>
      <c r="U14" s="0" t="n">
        <v>1760.208</v>
      </c>
      <c r="V14" s="0" t="n">
        <v>128036.805</v>
      </c>
      <c r="W14" s="0" t="n">
        <v>353.153</v>
      </c>
      <c r="X14" s="0" t="n">
        <v>920.007</v>
      </c>
      <c r="Y14" s="0" t="n">
        <v>100.037</v>
      </c>
      <c r="Z14" s="0" t="n">
        <v>1072.33</v>
      </c>
      <c r="AA14" s="0" t="n">
        <f aca="false">H14*x_c_F+I14*x_c_CC+J14*x_c_DC+K14*x_c_HCC+L14*x_c_PLT+M14*x_c_SVRn+N14*x_c_SVRcc+O14*x_c_LT+P14*x_c_LT1</f>
        <v>359243140.569417</v>
      </c>
      <c r="AB14" s="0" t="n">
        <f aca="false">C14*x_c_DAA</f>
        <v>109976320</v>
      </c>
      <c r="AC14" s="0" t="n">
        <f aca="false">C14*x_c_MON</f>
        <v>27857107.6100244</v>
      </c>
      <c r="AD14" s="0" t="n">
        <f aca="false">D14*(1-x_testy)</f>
        <v>0</v>
      </c>
      <c r="AE14" s="0" t="n">
        <f aca="false">E14*(1-x_testy)</f>
        <v>0</v>
      </c>
      <c r="AF14" s="0" t="n">
        <f aca="false">F14*x_NAV</f>
        <v>0</v>
      </c>
      <c r="AG14" s="0" t="n">
        <f aca="false">G14*x_FIX*(1-x_testy)</f>
        <v>0</v>
      </c>
      <c r="AH14" s="0" t="n">
        <f aca="false">x_z_F*U14+(1-x_AGRI)*x_EMP*x_WLOSS*(x_PEN_K74*Q14+x_PEN_C22*R14)</f>
        <v>34768167.3612688</v>
      </c>
      <c r="AI14" s="0" t="n">
        <f aca="false">x_AGRI*x_EMP*x_WLOSS*(x_PEN_K74*Q14+x_PEN_C22*R14)</f>
        <v>2058911.86962396</v>
      </c>
      <c r="AJ14" s="0" t="n">
        <f aca="false">x_EMP*x_WAGE*(x_WLOSS*(Q14+R14)+S14)+U14*x_ABS_D*x_WAGE/365</f>
        <v>840050468.995178</v>
      </c>
      <c r="AK14" s="0" t="n">
        <f aca="false">AJ14*x_R_FUS</f>
        <v>265791968.390074</v>
      </c>
      <c r="AL14" s="0" t="n">
        <f aca="false">AJ14*x_R_NFZ</f>
        <v>65239159.4726345</v>
      </c>
      <c r="AM14" s="0" t="n">
        <f aca="false">AJ14*x_R_PIT</f>
        <v>55850061.4193069</v>
      </c>
      <c r="AN14" s="0" t="n">
        <f aca="false">AJ14*x_R_FP</f>
        <v>21421286.959377</v>
      </c>
      <c r="AO14" s="0" t="n">
        <f aca="false">AA14+AB14+AC14+AD14+AF14</f>
        <v>497076568.179442</v>
      </c>
      <c r="AP14" s="0" t="n">
        <f aca="false">AO14+AE14+AG14+AH14+AI14+AK14+AL14+AM14+AN14</f>
        <v>942206123.651727</v>
      </c>
      <c r="AQ14" s="0" t="n">
        <f aca="false">AO14+AE14+AG14+AJ14</f>
        <v>1337127037.17462</v>
      </c>
      <c r="AR14" s="0" t="n">
        <f aca="false">AB14+AC14+AD14+AF14</f>
        <v>137833427.610024</v>
      </c>
      <c r="AS14" s="0" t="n">
        <f aca="false">AR14+AE14+AG14</f>
        <v>137833427.610024</v>
      </c>
    </row>
    <row r="15" customFormat="false" ht="15" hidden="false" customHeight="false" outlineLevel="0" collapsed="false">
      <c r="A15" s="0" t="n">
        <v>2038</v>
      </c>
      <c r="B15" s="0" t="n">
        <v>12</v>
      </c>
      <c r="C15" s="0" t="n">
        <v>4832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2189.413</v>
      </c>
      <c r="I15" s="0" t="n">
        <v>319.295</v>
      </c>
      <c r="J15" s="0" t="n">
        <v>1795.6</v>
      </c>
      <c r="K15" s="0" t="n">
        <v>3062.705</v>
      </c>
      <c r="L15" s="0" t="n">
        <v>1347.864</v>
      </c>
      <c r="M15" s="0" t="n">
        <v>52410.658</v>
      </c>
      <c r="N15" s="0" t="n">
        <v>5902.831</v>
      </c>
      <c r="O15" s="0" t="n">
        <v>100.985</v>
      </c>
      <c r="P15" s="0" t="n">
        <v>100.511</v>
      </c>
      <c r="Q15" s="0" t="n">
        <v>1642.649</v>
      </c>
      <c r="R15" s="0" t="n">
        <v>1583.127</v>
      </c>
      <c r="S15" s="0" t="n">
        <v>5525.304</v>
      </c>
      <c r="T15" s="0" t="n">
        <v>2508.708</v>
      </c>
      <c r="U15" s="0" t="n">
        <v>1501.198</v>
      </c>
      <c r="V15" s="0" t="n">
        <v>129289.253</v>
      </c>
      <c r="W15" s="0" t="n">
        <v>352.548</v>
      </c>
      <c r="X15" s="0" t="n">
        <v>916.626</v>
      </c>
      <c r="Y15" s="0" t="n">
        <v>100.985</v>
      </c>
      <c r="Z15" s="0" t="n">
        <v>1079.681</v>
      </c>
      <c r="AA15" s="0" t="n">
        <f aca="false">H15*x_c_F+I15*x_c_CC+J15*x_c_DC+K15*x_c_HCC+L15*x_c_PLT+M15*x_c_SVRn+N15*x_c_SVRcc+O15*x_c_LT+P15*x_c_LT1</f>
        <v>363742272.538885</v>
      </c>
      <c r="AB15" s="0" t="n">
        <f aca="false">C15*x_c_DAA</f>
        <v>109976320</v>
      </c>
      <c r="AC15" s="0" t="n">
        <f aca="false">C15*x_c_MON</f>
        <v>27857107.6100244</v>
      </c>
      <c r="AD15" s="0" t="n">
        <f aca="false">D15*(1-x_testy)</f>
        <v>0</v>
      </c>
      <c r="AE15" s="0" t="n">
        <f aca="false">E15*(1-x_testy)</f>
        <v>0</v>
      </c>
      <c r="AF15" s="0" t="n">
        <f aca="false">F15*x_NAV</f>
        <v>0</v>
      </c>
      <c r="AG15" s="0" t="n">
        <f aca="false">G15*x_FIX*(1-x_testy)</f>
        <v>0</v>
      </c>
      <c r="AH15" s="0" t="n">
        <f aca="false">x_z_F*U15+(1-x_AGRI)*x_EMP*x_WLOSS*(x_PEN_K74*Q15+x_PEN_C22*R15)</f>
        <v>23789003.8636118</v>
      </c>
      <c r="AI15" s="0" t="n">
        <f aca="false">x_AGRI*x_EMP*x_WLOSS*(x_PEN_K74*Q15+x_PEN_C22*R15)</f>
        <v>1368407.48392565</v>
      </c>
      <c r="AJ15" s="0" t="n">
        <f aca="false">x_EMP*x_WAGE*(x_WLOSS*(Q15+R15)+S15)+U15*x_ABS_D*x_WAGE/365</f>
        <v>581084237.839512</v>
      </c>
      <c r="AK15" s="0" t="n">
        <f aca="false">AJ15*x_R_FUS</f>
        <v>183855052.852422</v>
      </c>
      <c r="AL15" s="0" t="n">
        <f aca="false">AJ15*x_R_NFZ</f>
        <v>45127582.9948543</v>
      </c>
      <c r="AM15" s="0" t="n">
        <f aca="false">AJ15*x_R_PIT</f>
        <v>38632905.4871514</v>
      </c>
      <c r="AN15" s="0" t="n">
        <f aca="false">AJ15*x_R_FP</f>
        <v>14817648.0649075</v>
      </c>
      <c r="AO15" s="0" t="n">
        <f aca="false">AA15+AB15+AC15+AD15+AF15</f>
        <v>501575700.148909</v>
      </c>
      <c r="AP15" s="0" t="n">
        <f aca="false">AO15+AE15+AG15+AH15+AI15+AK15+AL15+AM15+AN15</f>
        <v>809166300.895782</v>
      </c>
      <c r="AQ15" s="0" t="n">
        <f aca="false">AO15+AE15+AG15+AJ15</f>
        <v>1082659937.98842</v>
      </c>
      <c r="AR15" s="0" t="n">
        <f aca="false">AB15+AC15+AD15+AF15</f>
        <v>137833427.610024</v>
      </c>
      <c r="AS15" s="0" t="n">
        <f aca="false">AR15+AE15+AG15</f>
        <v>137833427.610024</v>
      </c>
    </row>
    <row r="16" customFormat="false" ht="15" hidden="false" customHeight="false" outlineLevel="0" collapsed="false">
      <c r="A16" s="0" t="n">
        <v>2039</v>
      </c>
      <c r="B16" s="0" t="n">
        <v>13</v>
      </c>
      <c r="C16" s="0" t="n">
        <v>4832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2186.964</v>
      </c>
      <c r="I16" s="0" t="n">
        <v>320.13</v>
      </c>
      <c r="J16" s="0" t="n">
        <v>1806.335</v>
      </c>
      <c r="K16" s="0" t="n">
        <v>3067.69</v>
      </c>
      <c r="L16" s="0" t="n">
        <v>1337.036</v>
      </c>
      <c r="M16" s="0" t="n">
        <v>55489.426</v>
      </c>
      <c r="N16" s="0" t="n">
        <v>6261.608</v>
      </c>
      <c r="O16" s="0" t="n">
        <v>101.537</v>
      </c>
      <c r="P16" s="0" t="n">
        <v>101.261</v>
      </c>
      <c r="Q16" s="0" t="n">
        <v>787.03</v>
      </c>
      <c r="R16" s="0" t="n">
        <v>786.322</v>
      </c>
      <c r="S16" s="0" t="n">
        <v>2869.164</v>
      </c>
      <c r="T16" s="0" t="n">
        <v>2507.094</v>
      </c>
      <c r="U16" s="0" t="n">
        <v>1256.721</v>
      </c>
      <c r="V16" s="0" t="n">
        <v>130501.228</v>
      </c>
      <c r="W16" s="0" t="n">
        <v>350.185</v>
      </c>
      <c r="X16" s="0" t="n">
        <v>909.279</v>
      </c>
      <c r="Y16" s="0" t="n">
        <v>101.537</v>
      </c>
      <c r="Z16" s="0" t="n">
        <v>1082.566</v>
      </c>
      <c r="AA16" s="0" t="n">
        <f aca="false">H16*x_c_F+I16*x_c_CC+J16*x_c_DC+K16*x_c_HCC+L16*x_c_PLT+M16*x_c_SVRn+N16*x_c_SVRcc+O16*x_c_LT+P16*x_c_LT1</f>
        <v>366996003.141425</v>
      </c>
      <c r="AB16" s="0" t="n">
        <f aca="false">C16*x_c_DAA</f>
        <v>109976320</v>
      </c>
      <c r="AC16" s="0" t="n">
        <f aca="false">C16*x_c_MON</f>
        <v>27857107.6100244</v>
      </c>
      <c r="AD16" s="0" t="n">
        <f aca="false">D16*(1-x_testy)</f>
        <v>0</v>
      </c>
      <c r="AE16" s="0" t="n">
        <f aca="false">E16*(1-x_testy)</f>
        <v>0</v>
      </c>
      <c r="AF16" s="0" t="n">
        <f aca="false">F16*x_NAV</f>
        <v>0</v>
      </c>
      <c r="AG16" s="0" t="n">
        <f aca="false">G16*x_FIX*(1-x_testy)</f>
        <v>0</v>
      </c>
      <c r="AH16" s="0" t="n">
        <f aca="false">x_z_F*U16+(1-x_AGRI)*x_EMP*x_WLOSS*(x_PEN_K74*Q16+x_PEN_C22*R16)</f>
        <v>12692928.3900827</v>
      </c>
      <c r="AI16" s="0" t="n">
        <f aca="false">x_AGRI*x_EMP*x_WLOSS*(x_PEN_K74*Q16+x_PEN_C22*R16)</f>
        <v>668200.530066362</v>
      </c>
      <c r="AJ16" s="0" t="n">
        <f aca="false">x_EMP*x_WAGE*(x_WLOSS*(Q16+R16)+S16)+U16*x_ABS_D*x_WAGE/365</f>
        <v>299815992.574769</v>
      </c>
      <c r="AK16" s="0" t="n">
        <f aca="false">AJ16*x_R_FUS</f>
        <v>94861780.0506571</v>
      </c>
      <c r="AL16" s="0" t="n">
        <f aca="false">AJ16*x_R_NFZ</f>
        <v>23284009.7993492</v>
      </c>
      <c r="AM16" s="0" t="n">
        <f aca="false">AJ16*x_R_PIT</f>
        <v>19933018.5718728</v>
      </c>
      <c r="AN16" s="0" t="n">
        <f aca="false">AJ16*x_R_FP</f>
        <v>7645307.81065662</v>
      </c>
      <c r="AO16" s="0" t="n">
        <f aca="false">AA16+AB16+AC16+AD16+AF16</f>
        <v>504829430.75145</v>
      </c>
      <c r="AP16" s="0" t="n">
        <f aca="false">AO16+AE16+AG16+AH16+AI16+AK16+AL16+AM16+AN16</f>
        <v>663914675.904134</v>
      </c>
      <c r="AQ16" s="0" t="n">
        <f aca="false">AO16+AE16+AG16+AJ16</f>
        <v>804645423.326219</v>
      </c>
      <c r="AR16" s="0" t="n">
        <f aca="false">AB16+AC16+AD16+AF16</f>
        <v>137833427.610024</v>
      </c>
      <c r="AS16" s="0" t="n">
        <f aca="false">AR16+AE16+AG16</f>
        <v>137833427.610024</v>
      </c>
    </row>
    <row r="17" customFormat="false" ht="15" hidden="false" customHeight="false" outlineLevel="0" collapsed="false">
      <c r="A17" s="0" t="n">
        <v>2040</v>
      </c>
      <c r="B17" s="0" t="n">
        <v>14</v>
      </c>
      <c r="C17" s="0" t="n">
        <v>4832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2185.972</v>
      </c>
      <c r="I17" s="0" t="n">
        <v>319.487</v>
      </c>
      <c r="J17" s="0" t="n">
        <v>1809.791</v>
      </c>
      <c r="K17" s="0" t="n">
        <v>3059.15</v>
      </c>
      <c r="L17" s="0" t="n">
        <v>1325.435</v>
      </c>
      <c r="M17" s="0" t="n">
        <v>58501.029</v>
      </c>
      <c r="N17" s="0" t="n">
        <v>6596.099</v>
      </c>
      <c r="O17" s="0" t="n">
        <v>101.667</v>
      </c>
      <c r="P17" s="0" t="n">
        <v>101.602</v>
      </c>
      <c r="Q17" s="0" t="n">
        <v>811.339</v>
      </c>
      <c r="R17" s="0" t="n">
        <v>818.894</v>
      </c>
      <c r="S17" s="0" t="n">
        <v>3143.608</v>
      </c>
      <c r="T17" s="0" t="n">
        <v>2505.459</v>
      </c>
      <c r="U17" s="0" t="n">
        <v>1311.652</v>
      </c>
      <c r="V17" s="0" t="n">
        <v>131674.35</v>
      </c>
      <c r="W17" s="0" t="n">
        <v>346.242</v>
      </c>
      <c r="X17" s="0" t="n">
        <v>898.4</v>
      </c>
      <c r="Y17" s="0" t="n">
        <v>101.667</v>
      </c>
      <c r="Z17" s="0" t="n">
        <v>1080.893</v>
      </c>
      <c r="AA17" s="0" t="n">
        <f aca="false">H17*x_c_F+I17*x_c_CC+J17*x_c_DC+K17*x_c_HCC+L17*x_c_PLT+M17*x_c_SVRn+N17*x_c_SVRcc+O17*x_c_LT+P17*x_c_LT1</f>
        <v>368967771.655561</v>
      </c>
      <c r="AB17" s="0" t="n">
        <f aca="false">C17*x_c_DAA</f>
        <v>109976320</v>
      </c>
      <c r="AC17" s="0" t="n">
        <f aca="false">C17*x_c_MON</f>
        <v>27857107.6100244</v>
      </c>
      <c r="AD17" s="0" t="n">
        <f aca="false">D17*(1-x_testy)</f>
        <v>0</v>
      </c>
      <c r="AE17" s="0" t="n">
        <f aca="false">E17*(1-x_testy)</f>
        <v>0</v>
      </c>
      <c r="AF17" s="0" t="n">
        <f aca="false">F17*x_NAV</f>
        <v>0</v>
      </c>
      <c r="AG17" s="0" t="n">
        <f aca="false">G17*x_FIX*(1-x_testy)</f>
        <v>0</v>
      </c>
      <c r="AH17" s="0" t="n">
        <f aca="false">x_z_F*U17+(1-x_AGRI)*x_EMP*x_WLOSS*(x_PEN_K74*Q17+x_PEN_C22*R17)</f>
        <v>13174739.6010946</v>
      </c>
      <c r="AI17" s="0" t="n">
        <f aca="false">x_AGRI*x_EMP*x_WLOSS*(x_PEN_K74*Q17+x_PEN_C22*R17)</f>
        <v>692582.671534907</v>
      </c>
      <c r="AJ17" s="0" t="n">
        <f aca="false">x_EMP*x_WAGE*(x_WLOSS*(Q17+R17)+S17)+U17*x_ABS_D*x_WAGE/365</f>
        <v>325238377.353607</v>
      </c>
      <c r="AK17" s="0" t="n">
        <f aca="false">AJ17*x_R_FUS</f>
        <v>102905422.594681</v>
      </c>
      <c r="AL17" s="0" t="n">
        <f aca="false">AJ17*x_R_NFZ</f>
        <v>25258337.6236585</v>
      </c>
      <c r="AM17" s="0" t="n">
        <f aca="false">AJ17*x_R_PIT</f>
        <v>21623204.8210653</v>
      </c>
      <c r="AN17" s="0" t="n">
        <f aca="false">AJ17*x_R_FP</f>
        <v>8293578.62251699</v>
      </c>
      <c r="AO17" s="0" t="n">
        <f aca="false">AA17+AB17+AC17+AD17+AF17</f>
        <v>506801199.265585</v>
      </c>
      <c r="AP17" s="0" t="n">
        <f aca="false">AO17+AE17+AG17+AH17+AI17+AK17+AL17+AM17+AN17</f>
        <v>678749065.200137</v>
      </c>
      <c r="AQ17" s="0" t="n">
        <f aca="false">AO17+AE17+AG17+AJ17</f>
        <v>832039576.619193</v>
      </c>
      <c r="AR17" s="0" t="n">
        <f aca="false">AB17+AC17+AD17+AF17</f>
        <v>137833427.610024</v>
      </c>
      <c r="AS17" s="0" t="n">
        <f aca="false">AR17+AE17+AG17</f>
        <v>137833427.610024</v>
      </c>
    </row>
    <row r="18" customFormat="false" ht="15" hidden="false" customHeight="false" outlineLevel="0" collapsed="false">
      <c r="A18" s="0" t="n">
        <v>2041</v>
      </c>
      <c r="B18" s="0" t="n">
        <v>15</v>
      </c>
      <c r="C18" s="0" t="n">
        <v>4832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2186.333</v>
      </c>
      <c r="I18" s="0" t="n">
        <v>317.482</v>
      </c>
      <c r="J18" s="0" t="n">
        <v>1805.839</v>
      </c>
      <c r="K18" s="0" t="n">
        <v>3037.841</v>
      </c>
      <c r="L18" s="0" t="n">
        <v>1312.739</v>
      </c>
      <c r="M18" s="0" t="n">
        <v>61446.524</v>
      </c>
      <c r="N18" s="0" t="n">
        <v>6903.582</v>
      </c>
      <c r="O18" s="0" t="n">
        <v>101.374</v>
      </c>
      <c r="P18" s="0" t="n">
        <v>101.52</v>
      </c>
      <c r="Q18" s="0" t="n">
        <v>836.78</v>
      </c>
      <c r="R18" s="0" t="n">
        <v>852.701</v>
      </c>
      <c r="S18" s="0" t="n">
        <v>3428.134</v>
      </c>
      <c r="T18" s="0" t="n">
        <v>2503.815</v>
      </c>
      <c r="U18" s="0" t="n">
        <v>1365.206</v>
      </c>
      <c r="V18" s="0" t="n">
        <v>132814.479</v>
      </c>
      <c r="W18" s="0" t="n">
        <v>340.938</v>
      </c>
      <c r="X18" s="0" t="n">
        <v>884.509</v>
      </c>
      <c r="Y18" s="0" t="n">
        <v>101.374</v>
      </c>
      <c r="Z18" s="0" t="n">
        <v>1074.84</v>
      </c>
      <c r="AA18" s="0" t="n">
        <f aca="false">H18*x_c_F+I18*x_c_CC+J18*x_c_DC+K18*x_c_HCC+L18*x_c_PLT+M18*x_c_SVRn+N18*x_c_SVRcc+O18*x_c_LT+P18*x_c_LT1</f>
        <v>369685055.68328</v>
      </c>
      <c r="AB18" s="0" t="n">
        <f aca="false">C18*x_c_DAA</f>
        <v>109976320</v>
      </c>
      <c r="AC18" s="0" t="n">
        <f aca="false">C18*x_c_MON</f>
        <v>27857107.6100244</v>
      </c>
      <c r="AD18" s="0" t="n">
        <f aca="false">D18*(1-x_testy)</f>
        <v>0</v>
      </c>
      <c r="AE18" s="0" t="n">
        <f aca="false">E18*(1-x_testy)</f>
        <v>0</v>
      </c>
      <c r="AF18" s="0" t="n">
        <f aca="false">F18*x_NAV</f>
        <v>0</v>
      </c>
      <c r="AG18" s="0" t="n">
        <f aca="false">G18*x_FIX*(1-x_testy)</f>
        <v>0</v>
      </c>
      <c r="AH18" s="0" t="n">
        <f aca="false">x_z_F*U18+(1-x_AGRI)*x_EMP*x_WLOSS*(x_PEN_K74*Q18+x_PEN_C22*R18)</f>
        <v>13668971.1777166</v>
      </c>
      <c r="AI18" s="0" t="n">
        <f aca="false">x_AGRI*x_EMP*x_WLOSS*(x_PEN_K74*Q18+x_PEN_C22*R18)</f>
        <v>717972.897906525</v>
      </c>
      <c r="AJ18" s="0" t="n">
        <f aca="false">x_EMP*x_WAGE*(x_WLOSS*(Q18+R18)+S18)+U18*x_ABS_D*x_WAGE/365</f>
        <v>351593789.06938</v>
      </c>
      <c r="AK18" s="0" t="n">
        <f aca="false">AJ18*x_R_FUS</f>
        <v>111244274.861552</v>
      </c>
      <c r="AL18" s="0" t="n">
        <f aca="false">AJ18*x_R_NFZ</f>
        <v>27305125.2529172</v>
      </c>
      <c r="AM18" s="0" t="n">
        <f aca="false">AJ18*x_R_PIT</f>
        <v>23375422.5953351</v>
      </c>
      <c r="AN18" s="0" t="n">
        <f aca="false">AJ18*x_R_FP</f>
        <v>8965641.6212692</v>
      </c>
      <c r="AO18" s="0" t="n">
        <f aca="false">AA18+AB18+AC18+AD18+AF18</f>
        <v>507518483.293305</v>
      </c>
      <c r="AP18" s="0" t="n">
        <f aca="false">AO18+AE18+AG18+AH18+AI18+AK18+AL18+AM18+AN18</f>
        <v>692795891.700001</v>
      </c>
      <c r="AQ18" s="0" t="n">
        <f aca="false">AO18+AE18+AG18+AJ18</f>
        <v>859112272.362685</v>
      </c>
      <c r="AR18" s="0" t="n">
        <f aca="false">AB18+AC18+AD18+AF18</f>
        <v>137833427.610024</v>
      </c>
      <c r="AS18" s="0" t="n">
        <f aca="false">AR18+AE18+AG18</f>
        <v>137833427.610024</v>
      </c>
    </row>
    <row r="19" customFormat="false" ht="15" hidden="false" customHeight="false" outlineLevel="0" collapsed="false">
      <c r="A19" s="0" t="n">
        <v>2042</v>
      </c>
      <c r="B19" s="0" t="n">
        <v>16</v>
      </c>
      <c r="C19" s="0" t="n">
        <v>4832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2187.917</v>
      </c>
      <c r="I19" s="0" t="n">
        <v>314.254</v>
      </c>
      <c r="J19" s="0" t="n">
        <v>1794.519</v>
      </c>
      <c r="K19" s="0" t="n">
        <v>3004.713</v>
      </c>
      <c r="L19" s="0" t="n">
        <v>1298.427</v>
      </c>
      <c r="M19" s="0" t="n">
        <v>64323.065</v>
      </c>
      <c r="N19" s="0" t="n">
        <v>7181.222</v>
      </c>
      <c r="O19" s="0" t="n">
        <v>100.655</v>
      </c>
      <c r="P19" s="0" t="n">
        <v>101.014</v>
      </c>
      <c r="Q19" s="0" t="n">
        <v>863.399</v>
      </c>
      <c r="R19" s="0" t="n">
        <v>887.85</v>
      </c>
      <c r="S19" s="0" t="n">
        <v>3722.971</v>
      </c>
      <c r="T19" s="0" t="n">
        <v>2502.171</v>
      </c>
      <c r="U19" s="0" t="n">
        <v>1417.169</v>
      </c>
      <c r="V19" s="0" t="n">
        <v>133923.708</v>
      </c>
      <c r="W19" s="0" t="n">
        <v>334.46</v>
      </c>
      <c r="X19" s="0" t="n">
        <v>868.033</v>
      </c>
      <c r="Y19" s="0" t="n">
        <v>100.655</v>
      </c>
      <c r="Z19" s="0" t="n">
        <v>1064.491</v>
      </c>
      <c r="AA19" s="0" t="n">
        <f aca="false">H19*x_c_F+I19*x_c_CC+J19*x_c_DC+K19*x_c_HCC+L19*x_c_PLT+M19*x_c_SVRn+N19*x_c_SVRcc+O19*x_c_LT+P19*x_c_LT1</f>
        <v>369181538.337706</v>
      </c>
      <c r="AB19" s="0" t="n">
        <f aca="false">C19*x_c_DAA</f>
        <v>109976320</v>
      </c>
      <c r="AC19" s="0" t="n">
        <f aca="false">C19*x_c_MON</f>
        <v>27857107.6100244</v>
      </c>
      <c r="AD19" s="0" t="n">
        <f aca="false">D19*(1-x_testy)</f>
        <v>0</v>
      </c>
      <c r="AE19" s="0" t="n">
        <f aca="false">E19*(1-x_testy)</f>
        <v>0</v>
      </c>
      <c r="AF19" s="0" t="n">
        <f aca="false">F19*x_NAV</f>
        <v>0</v>
      </c>
      <c r="AG19" s="0" t="n">
        <f aca="false">G19*x_FIX*(1-x_testy)</f>
        <v>0</v>
      </c>
      <c r="AH19" s="0" t="n">
        <f aca="false">x_z_F*U19+(1-x_AGRI)*x_EMP*x_WLOSS*(x_PEN_K74*Q19+x_PEN_C22*R19)</f>
        <v>14176191.2879602</v>
      </c>
      <c r="AI19" s="0" t="n">
        <f aca="false">x_AGRI*x_EMP*x_WLOSS*(x_PEN_K74*Q19+x_PEN_C22*R19)</f>
        <v>744437.844773628</v>
      </c>
      <c r="AJ19" s="0" t="n">
        <f aca="false">x_EMP*x_WAGE*(x_WLOSS*(Q19+R19)+S19)+U19*x_ABS_D*x_WAGE/365</f>
        <v>378906131.691445</v>
      </c>
      <c r="AK19" s="0" t="n">
        <f aca="false">AJ19*x_R_FUS</f>
        <v>119885900.067173</v>
      </c>
      <c r="AL19" s="0" t="n">
        <f aca="false">AJ19*x_R_NFZ</f>
        <v>29426229.0932893</v>
      </c>
      <c r="AM19" s="0" t="n">
        <f aca="false">AJ19*x_R_PIT</f>
        <v>25191261.1303365</v>
      </c>
      <c r="AN19" s="0" t="n">
        <f aca="false">AJ19*x_R_FP</f>
        <v>9662106.35813185</v>
      </c>
      <c r="AO19" s="0" t="n">
        <f aca="false">AA19+AB19+AC19+AD19+AF19</f>
        <v>507014965.947731</v>
      </c>
      <c r="AP19" s="0" t="n">
        <f aca="false">AO19+AE19+AG19+AH19+AI19+AK19+AL19+AM19+AN19</f>
        <v>706101091.729396</v>
      </c>
      <c r="AQ19" s="0" t="n">
        <f aca="false">AO19+AE19+AG19+AJ19</f>
        <v>885921097.639176</v>
      </c>
      <c r="AR19" s="0" t="n">
        <f aca="false">AB19+AC19+AD19+AF19</f>
        <v>137833427.610024</v>
      </c>
      <c r="AS19" s="0" t="n">
        <f aca="false">AR19+AE19+AG19</f>
        <v>137833427.610024</v>
      </c>
    </row>
    <row r="20" customFormat="false" ht="15" hidden="false" customHeight="false" outlineLevel="0" collapsed="false">
      <c r="A20" s="0" t="n">
        <v>2043</v>
      </c>
      <c r="B20" s="0" t="n">
        <v>17</v>
      </c>
      <c r="C20" s="0" t="n">
        <v>4832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2190.532</v>
      </c>
      <c r="I20" s="0" t="n">
        <v>310.021</v>
      </c>
      <c r="J20" s="0" t="n">
        <v>1776.883</v>
      </c>
      <c r="K20" s="0" t="n">
        <v>2962.127</v>
      </c>
      <c r="L20" s="0" t="n">
        <v>1282.933</v>
      </c>
      <c r="M20" s="0" t="n">
        <v>67148.998</v>
      </c>
      <c r="N20" s="0" t="n">
        <v>7430.272</v>
      </c>
      <c r="O20" s="0" t="n">
        <v>99.629</v>
      </c>
      <c r="P20" s="0" t="n">
        <v>100.142</v>
      </c>
      <c r="Q20" s="0" t="n">
        <v>891.236</v>
      </c>
      <c r="R20" s="0" t="n">
        <v>924.398</v>
      </c>
      <c r="S20" s="0" t="n">
        <v>4028.329</v>
      </c>
      <c r="T20" s="0" t="n">
        <v>2500.553</v>
      </c>
      <c r="U20" s="0" t="n">
        <v>1467.158</v>
      </c>
      <c r="V20" s="0" t="n">
        <v>135032.21</v>
      </c>
      <c r="W20" s="0" t="n">
        <v>327.264</v>
      </c>
      <c r="X20" s="0" t="n">
        <v>850.084</v>
      </c>
      <c r="Y20" s="0" t="n">
        <v>99.629</v>
      </c>
      <c r="Z20" s="0" t="n">
        <v>1051.21</v>
      </c>
      <c r="AA20" s="0" t="n">
        <f aca="false">H20*x_c_F+I20*x_c_CC+J20*x_c_DC+K20*x_c_HCC+L20*x_c_PLT+M20*x_c_SVRn+N20*x_c_SVRcc+O20*x_c_LT+P20*x_c_LT1</f>
        <v>367697313.491065</v>
      </c>
      <c r="AB20" s="0" t="n">
        <f aca="false">C20*x_c_DAA</f>
        <v>109976320</v>
      </c>
      <c r="AC20" s="0" t="n">
        <f aca="false">C20*x_c_MON</f>
        <v>27857107.6100244</v>
      </c>
      <c r="AD20" s="0" t="n">
        <f aca="false">D20*(1-x_testy)</f>
        <v>0</v>
      </c>
      <c r="AE20" s="0" t="n">
        <f aca="false">E20*(1-x_testy)</f>
        <v>0</v>
      </c>
      <c r="AF20" s="0" t="n">
        <f aca="false">F20*x_NAV</f>
        <v>0</v>
      </c>
      <c r="AG20" s="0" t="n">
        <f aca="false">G20*x_FIX*(1-x_testy)</f>
        <v>0</v>
      </c>
      <c r="AH20" s="0" t="n">
        <f aca="false">x_z_F*U20+(1-x_AGRI)*x_EMP*x_WLOSS*(x_PEN_K74*Q20+x_PEN_C22*R20)</f>
        <v>14696242.7669017</v>
      </c>
      <c r="AI20" s="0" t="n">
        <f aca="false">x_AGRI*x_EMP*x_WLOSS*(x_PEN_K74*Q20+x_PEN_C22*R20)</f>
        <v>772019.170273928</v>
      </c>
      <c r="AJ20" s="0" t="n">
        <f aca="false">x_EMP*x_WAGE*(x_WLOSS*(Q20+R20)+S20)+U20*x_ABS_D*x_WAGE/365</f>
        <v>407195359.855708</v>
      </c>
      <c r="AK20" s="0" t="n">
        <f aca="false">AJ20*x_R_FUS</f>
        <v>128836611.858346</v>
      </c>
      <c r="AL20" s="0" t="n">
        <f aca="false">AJ20*x_R_NFZ</f>
        <v>31623198.8417541</v>
      </c>
      <c r="AM20" s="0" t="n">
        <f aca="false">AJ20*x_R_PIT</f>
        <v>27072047.0935522</v>
      </c>
      <c r="AN20" s="0" t="n">
        <f aca="false">AJ20*x_R_FP</f>
        <v>10383481.6763206</v>
      </c>
      <c r="AO20" s="0" t="n">
        <f aca="false">AA20+AB20+AC20+AD20+AF20</f>
        <v>505530741.10109</v>
      </c>
      <c r="AP20" s="0" t="n">
        <f aca="false">AO20+AE20+AG20+AH20+AI20+AK20+AL20+AM20+AN20</f>
        <v>718914342.508238</v>
      </c>
      <c r="AQ20" s="0" t="n">
        <f aca="false">AO20+AE20+AG20+AJ20</f>
        <v>912726100.956797</v>
      </c>
      <c r="AR20" s="0" t="n">
        <f aca="false">AB20+AC20+AD20+AF20</f>
        <v>137833427.610024</v>
      </c>
      <c r="AS20" s="0" t="n">
        <f aca="false">AR20+AE20+AG20</f>
        <v>137833427.610024</v>
      </c>
    </row>
    <row r="21" customFormat="false" ht="15" hidden="false" customHeight="false" outlineLevel="0" collapsed="false">
      <c r="A21" s="0" t="n">
        <v>2044</v>
      </c>
      <c r="B21" s="0" t="n">
        <v>18</v>
      </c>
      <c r="C21" s="0" t="n">
        <v>4832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2193.966</v>
      </c>
      <c r="I21" s="0" t="n">
        <v>305.016</v>
      </c>
      <c r="J21" s="0" t="n">
        <v>1754.137</v>
      </c>
      <c r="K21" s="0" t="n">
        <v>2912.545</v>
      </c>
      <c r="L21" s="0" t="n">
        <v>1266.665</v>
      </c>
      <c r="M21" s="0" t="n">
        <v>69941.882</v>
      </c>
      <c r="N21" s="0" t="n">
        <v>7652.628</v>
      </c>
      <c r="O21" s="0" t="n">
        <v>98.308</v>
      </c>
      <c r="P21" s="0" t="n">
        <v>98.968</v>
      </c>
      <c r="Q21" s="0" t="n">
        <v>920.335</v>
      </c>
      <c r="R21" s="0" t="n">
        <v>962.368</v>
      </c>
      <c r="S21" s="0" t="n">
        <v>4344.48</v>
      </c>
      <c r="T21" s="0" t="n">
        <v>2498.982</v>
      </c>
      <c r="U21" s="0" t="n">
        <v>1514.812</v>
      </c>
      <c r="V21" s="0" t="n">
        <v>136167.855</v>
      </c>
      <c r="W21" s="0" t="n">
        <v>319.536</v>
      </c>
      <c r="X21" s="0" t="n">
        <v>831.067</v>
      </c>
      <c r="Y21" s="0" t="n">
        <v>98.308</v>
      </c>
      <c r="Z21" s="0" t="n">
        <v>1035.204</v>
      </c>
      <c r="AA21" s="0" t="n">
        <f aca="false">H21*x_c_F+I21*x_c_CC+J21*x_c_DC+K21*x_c_HCC+L21*x_c_PLT+M21*x_c_SVRn+N21*x_c_SVRcc+O21*x_c_LT+P21*x_c_LT1</f>
        <v>365445685.55619</v>
      </c>
      <c r="AB21" s="0" t="n">
        <f aca="false">C21*x_c_DAA</f>
        <v>109976320</v>
      </c>
      <c r="AC21" s="0" t="n">
        <f aca="false">C21*x_c_MON</f>
        <v>27857107.6100244</v>
      </c>
      <c r="AD21" s="0" t="n">
        <f aca="false">D21*(1-x_testy)</f>
        <v>0</v>
      </c>
      <c r="AE21" s="0" t="n">
        <f aca="false">E21*(1-x_testy)</f>
        <v>0</v>
      </c>
      <c r="AF21" s="0" t="n">
        <f aca="false">F21*x_NAV</f>
        <v>0</v>
      </c>
      <c r="AG21" s="0" t="n">
        <f aca="false">G21*x_FIX*(1-x_testy)</f>
        <v>0</v>
      </c>
      <c r="AH21" s="0" t="n">
        <f aca="false">x_z_F*U21+(1-x_AGRI)*x_EMP*x_WLOSS*(x_PEN_K74*Q21+x_PEN_C22*R21)</f>
        <v>15228805.3194788</v>
      </c>
      <c r="AI21" s="0" t="n">
        <f aca="false">x_AGRI*x_EMP*x_WLOSS*(x_PEN_K74*Q21+x_PEN_C22*R21)</f>
        <v>800744.760343438</v>
      </c>
      <c r="AJ21" s="0" t="n">
        <f aca="false">x_EMP*x_WAGE*(x_WLOSS*(Q21+R21)+S21)+U21*x_ABS_D*x_WAGE/365</f>
        <v>436485797.026143</v>
      </c>
      <c r="AK21" s="0" t="n">
        <f aca="false">AJ21*x_R_FUS</f>
        <v>138104106.179072</v>
      </c>
      <c r="AL21" s="0" t="n">
        <f aca="false">AJ21*x_R_NFZ</f>
        <v>33897923.4828473</v>
      </c>
      <c r="AM21" s="0" t="n">
        <f aca="false">AJ21*x_R_PIT</f>
        <v>29019397.6103895</v>
      </c>
      <c r="AN21" s="0" t="n">
        <f aca="false">AJ21*x_R_FP</f>
        <v>11130387.8241666</v>
      </c>
      <c r="AO21" s="0" t="n">
        <f aca="false">AA21+AB21+AC21+AD21+AF21</f>
        <v>503279113.166214</v>
      </c>
      <c r="AP21" s="0" t="n">
        <f aca="false">AO21+AE21+AG21+AH21+AI21+AK21+AL21+AM21+AN21</f>
        <v>731460478.342512</v>
      </c>
      <c r="AQ21" s="0" t="n">
        <f aca="false">AO21+AE21+AG21+AJ21</f>
        <v>939764910.192357</v>
      </c>
      <c r="AR21" s="0" t="n">
        <f aca="false">AB21+AC21+AD21+AF21</f>
        <v>137833427.610024</v>
      </c>
      <c r="AS21" s="0" t="n">
        <f aca="false">AR21+AE21+AG21</f>
        <v>137833427.610024</v>
      </c>
    </row>
    <row r="22" customFormat="false" ht="15" hidden="false" customHeight="false" outlineLevel="0" collapsed="false">
      <c r="A22" s="0" t="n">
        <v>2045</v>
      </c>
      <c r="B22" s="0" t="n">
        <v>19</v>
      </c>
      <c r="C22" s="0" t="n">
        <v>4832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2198.022</v>
      </c>
      <c r="I22" s="0" t="n">
        <v>299.452</v>
      </c>
      <c r="J22" s="0" t="n">
        <v>1727.047</v>
      </c>
      <c r="K22" s="0" t="n">
        <v>2857.642</v>
      </c>
      <c r="L22" s="0" t="n">
        <v>1249.362</v>
      </c>
      <c r="M22" s="0" t="n">
        <v>72703.649</v>
      </c>
      <c r="N22" s="0" t="n">
        <v>7848.448</v>
      </c>
      <c r="O22" s="0" t="n">
        <v>96.764</v>
      </c>
      <c r="P22" s="0" t="n">
        <v>97.536</v>
      </c>
      <c r="Q22" s="0" t="n">
        <v>950.718</v>
      </c>
      <c r="R22" s="0" t="n">
        <v>1001.722</v>
      </c>
      <c r="S22" s="0" t="n">
        <v>4671.654</v>
      </c>
      <c r="T22" s="0" t="n">
        <v>2497.474</v>
      </c>
      <c r="U22" s="0" t="n">
        <v>1559.898</v>
      </c>
      <c r="V22" s="0" t="n">
        <v>137336.47</v>
      </c>
      <c r="W22" s="0" t="n">
        <v>311.565</v>
      </c>
      <c r="X22" s="0" t="n">
        <v>811.65</v>
      </c>
      <c r="Y22" s="0" t="n">
        <v>96.764</v>
      </c>
      <c r="Z22" s="0" t="n">
        <v>1017.249</v>
      </c>
      <c r="AA22" s="0" t="n">
        <f aca="false">H22*x_c_F+I22*x_c_CC+J22*x_c_DC+K22*x_c_HCC+L22*x_c_PLT+M22*x_c_SVRn+N22*x_c_SVRcc+O22*x_c_LT+P22*x_c_LT1</f>
        <v>362566480.557058</v>
      </c>
      <c r="AB22" s="0" t="n">
        <f aca="false">C22*x_c_DAA</f>
        <v>109976320</v>
      </c>
      <c r="AC22" s="0" t="n">
        <f aca="false">C22*x_c_MON</f>
        <v>27857107.6100244</v>
      </c>
      <c r="AD22" s="0" t="n">
        <f aca="false">D22*(1-x_testy)</f>
        <v>0</v>
      </c>
      <c r="AE22" s="0" t="n">
        <f aca="false">E22*(1-x_testy)</f>
        <v>0</v>
      </c>
      <c r="AF22" s="0" t="n">
        <f aca="false">F22*x_NAV</f>
        <v>0</v>
      </c>
      <c r="AG22" s="0" t="n">
        <f aca="false">G22*x_FIX*(1-x_testy)</f>
        <v>0</v>
      </c>
      <c r="AH22" s="0" t="n">
        <f aca="false">x_z_F*U22+(1-x_AGRI)*x_EMP*x_WLOSS*(x_PEN_K74*Q22+x_PEN_C22*R22)</f>
        <v>15773272.486531</v>
      </c>
      <c r="AI22" s="0" t="n">
        <f aca="false">x_AGRI*x_EMP*x_WLOSS*(x_PEN_K74*Q22+x_PEN_C22*R22)</f>
        <v>830606.191910718</v>
      </c>
      <c r="AJ22" s="0" t="n">
        <f aca="false">x_EMP*x_WAGE*(x_WLOSS*(Q22+R22)+S22)+U22*x_ABS_D*x_WAGE/365</f>
        <v>466795844.998172</v>
      </c>
      <c r="AK22" s="0" t="n">
        <f aca="false">AJ22*x_R_FUS</f>
        <v>147694205.357422</v>
      </c>
      <c r="AL22" s="0" t="n">
        <f aca="false">AJ22*x_R_NFZ</f>
        <v>36251832.118403</v>
      </c>
      <c r="AM22" s="0" t="n">
        <f aca="false">AJ22*x_R_PIT</f>
        <v>31034536.1090142</v>
      </c>
      <c r="AN22" s="0" t="n">
        <f aca="false">AJ22*x_R_FP</f>
        <v>11903294.0474534</v>
      </c>
      <c r="AO22" s="0" t="n">
        <f aca="false">AA22+AB22+AC22+AD22+AF22</f>
        <v>500399908.167082</v>
      </c>
      <c r="AP22" s="0" t="n">
        <f aca="false">AO22+AE22+AG22+AH22+AI22+AK22+AL22+AM22+AN22</f>
        <v>743887654.477816</v>
      </c>
      <c r="AQ22" s="0" t="n">
        <f aca="false">AO22+AE22+AG22+AJ22</f>
        <v>967195753.165254</v>
      </c>
      <c r="AR22" s="0" t="n">
        <f aca="false">AB22+AC22+AD22+AF22</f>
        <v>137833427.610024</v>
      </c>
      <c r="AS22" s="0" t="n">
        <f aca="false">AR22+AE22+AG22</f>
        <v>137833427.610024</v>
      </c>
    </row>
    <row r="23" customFormat="false" ht="15" hidden="false" customHeight="false" outlineLevel="0" collapsed="false">
      <c r="A23" s="0" t="n">
        <v>2046</v>
      </c>
      <c r="B23" s="0" t="n">
        <v>20</v>
      </c>
      <c r="C23" s="0" t="n">
        <v>4832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2202.49</v>
      </c>
      <c r="I23" s="0" t="n">
        <v>293.551</v>
      </c>
      <c r="J23" s="0" t="n">
        <v>1696.792</v>
      </c>
      <c r="K23" s="0" t="n">
        <v>2799.549</v>
      </c>
      <c r="L23" s="0" t="n">
        <v>1231.282</v>
      </c>
      <c r="M23" s="0" t="n">
        <v>75446.205</v>
      </c>
      <c r="N23" s="0" t="n">
        <v>8020.12</v>
      </c>
      <c r="O23" s="0" t="n">
        <v>95.059</v>
      </c>
      <c r="P23" s="0" t="n">
        <v>95.912</v>
      </c>
      <c r="Q23" s="0" t="n">
        <v>982.374</v>
      </c>
      <c r="R23" s="0" t="n">
        <v>1042.362</v>
      </c>
      <c r="S23" s="0" t="n">
        <v>5009.991</v>
      </c>
      <c r="T23" s="0" t="n">
        <v>2496.041</v>
      </c>
      <c r="U23" s="0" t="n">
        <v>1602.177</v>
      </c>
      <c r="V23" s="0" t="n">
        <v>138554.021</v>
      </c>
      <c r="W23" s="0" t="n">
        <v>303.581</v>
      </c>
      <c r="X23" s="0" t="n">
        <v>792.357</v>
      </c>
      <c r="Y23" s="0" t="n">
        <v>95.059</v>
      </c>
      <c r="Z23" s="0" t="n">
        <v>998.01</v>
      </c>
      <c r="AA23" s="0" t="n">
        <f aca="false">H23*x_c_F+I23*x_c_CC+J23*x_c_DC+K23*x_c_HCC+L23*x_c_PLT+M23*x_c_SVRn+N23*x_c_SVRcc+O23*x_c_LT+P23*x_c_LT1</f>
        <v>359262000.233646</v>
      </c>
      <c r="AB23" s="0" t="n">
        <f aca="false">C23*x_c_DAA</f>
        <v>109976320</v>
      </c>
      <c r="AC23" s="0" t="n">
        <f aca="false">C23*x_c_MON</f>
        <v>27857107.6100244</v>
      </c>
      <c r="AD23" s="0" t="n">
        <f aca="false">D23*(1-x_testy)</f>
        <v>0</v>
      </c>
      <c r="AE23" s="0" t="n">
        <f aca="false">E23*(1-x_testy)</f>
        <v>0</v>
      </c>
      <c r="AF23" s="0" t="n">
        <f aca="false">F23*x_NAV</f>
        <v>0</v>
      </c>
      <c r="AG23" s="0" t="n">
        <f aca="false">G23*x_FIX*(1-x_testy)</f>
        <v>0</v>
      </c>
      <c r="AH23" s="0" t="n">
        <f aca="false">x_z_F*U23+(1-x_AGRI)*x_EMP*x_WLOSS*(x_PEN_K74*Q23+x_PEN_C22*R23)</f>
        <v>16328416.8237611</v>
      </c>
      <c r="AI23" s="0" t="n">
        <f aca="false">x_AGRI*x_EMP*x_WLOSS*(x_PEN_K74*Q23+x_PEN_C22*R23)</f>
        <v>861554.811327348</v>
      </c>
      <c r="AJ23" s="0" t="n">
        <f aca="false">x_EMP*x_WAGE*(x_WLOSS*(Q23+R23)+S23)+U23*x_ABS_D*x_WAGE/365</f>
        <v>498133170.46897</v>
      </c>
      <c r="AK23" s="0" t="n">
        <f aca="false">AJ23*x_R_FUS</f>
        <v>157609335.136382</v>
      </c>
      <c r="AL23" s="0" t="n">
        <f aca="false">AJ23*x_R_NFZ</f>
        <v>38685520.1517907</v>
      </c>
      <c r="AM23" s="0" t="n">
        <f aca="false">AJ23*x_R_PIT</f>
        <v>33117972.3034542</v>
      </c>
      <c r="AN23" s="0" t="n">
        <f aca="false">AJ23*x_R_FP</f>
        <v>12702395.8469587</v>
      </c>
      <c r="AO23" s="0" t="n">
        <f aca="false">AA23+AB23+AC23+AD23+AF23</f>
        <v>497095427.84367</v>
      </c>
      <c r="AP23" s="0" t="n">
        <f aca="false">AO23+AE23+AG23+AH23+AI23+AK23+AL23+AM23+AN23</f>
        <v>756400622.917344</v>
      </c>
      <c r="AQ23" s="0" t="n">
        <f aca="false">AO23+AE23+AG23+AJ23</f>
        <v>995228598.31264</v>
      </c>
      <c r="AR23" s="0" t="n">
        <f aca="false">AB23+AC23+AD23+AF23</f>
        <v>137833427.610024</v>
      </c>
      <c r="AS23" s="0" t="n">
        <f aca="false">AR23+AE23+AG23</f>
        <v>137833427.610024</v>
      </c>
    </row>
    <row r="24" customFormat="false" ht="15" hidden="false" customHeight="false" outlineLevel="0" collapsed="false">
      <c r="A24" s="0" t="n">
        <v>2047</v>
      </c>
      <c r="B24" s="0" t="n">
        <v>21</v>
      </c>
      <c r="C24" s="0" t="n">
        <v>4832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2207.187</v>
      </c>
      <c r="I24" s="0" t="n">
        <v>287.507</v>
      </c>
      <c r="J24" s="0" t="n">
        <v>1664.445</v>
      </c>
      <c r="K24" s="0" t="n">
        <v>2740.089</v>
      </c>
      <c r="L24" s="0" t="n">
        <v>1212.654</v>
      </c>
      <c r="M24" s="0" t="n">
        <v>78179.085</v>
      </c>
      <c r="N24" s="0" t="n">
        <v>8170.127</v>
      </c>
      <c r="O24" s="0" t="n">
        <v>93.252</v>
      </c>
      <c r="P24" s="0" t="n">
        <v>94.155</v>
      </c>
      <c r="Q24" s="0" t="n">
        <v>1015.263</v>
      </c>
      <c r="R24" s="0" t="n">
        <v>1084.14</v>
      </c>
      <c r="S24" s="0" t="n">
        <v>5359.555</v>
      </c>
      <c r="T24" s="0" t="n">
        <v>2494.694</v>
      </c>
      <c r="U24" s="0" t="n">
        <v>1641.506</v>
      </c>
      <c r="V24" s="0" t="n">
        <v>139830.458</v>
      </c>
      <c r="W24" s="0" t="n">
        <v>295.771</v>
      </c>
      <c r="X24" s="0" t="n">
        <v>773.607</v>
      </c>
      <c r="Y24" s="0" t="n">
        <v>93.252</v>
      </c>
      <c r="Z24" s="0" t="n">
        <v>978.106</v>
      </c>
      <c r="AA24" s="0" t="n">
        <f aca="false">H24*x_c_F+I24*x_c_CC+J24*x_c_DC+K24*x_c_HCC+L24*x_c_PLT+M24*x_c_SVRn+N24*x_c_SVRcc+O24*x_c_LT+P24*x_c_LT1</f>
        <v>355709717.316783</v>
      </c>
      <c r="AB24" s="0" t="n">
        <f aca="false">C24*x_c_DAA</f>
        <v>109976320</v>
      </c>
      <c r="AC24" s="0" t="n">
        <f aca="false">C24*x_c_MON</f>
        <v>27857107.6100244</v>
      </c>
      <c r="AD24" s="0" t="n">
        <f aca="false">D24*(1-x_testy)</f>
        <v>0</v>
      </c>
      <c r="AE24" s="0" t="n">
        <f aca="false">E24*(1-x_testy)</f>
        <v>0</v>
      </c>
      <c r="AF24" s="0" t="n">
        <f aca="false">F24*x_NAV</f>
        <v>0</v>
      </c>
      <c r="AG24" s="0" t="n">
        <f aca="false">G24*x_FIX*(1-x_testy)</f>
        <v>0</v>
      </c>
      <c r="AH24" s="0" t="n">
        <f aca="false">x_z_F*U24+(1-x_AGRI)*x_EMP*x_WLOSS*(x_PEN_K74*Q24+x_PEN_C22*R24)</f>
        <v>16892692.0232658</v>
      </c>
      <c r="AI24" s="0" t="n">
        <f aca="false">x_AGRI*x_EMP*x_WLOSS*(x_PEN_K74*Q24+x_PEN_C22*R24)</f>
        <v>893507.843090172</v>
      </c>
      <c r="AJ24" s="0" t="n">
        <f aca="false">x_EMP*x_WAGE*(x_WLOSS*(Q24+R24)+S24)+U24*x_ABS_D*x_WAGE/365</f>
        <v>530496656.539805</v>
      </c>
      <c r="AK24" s="0" t="n">
        <f aca="false">AJ24*x_R_FUS</f>
        <v>167849142.129194</v>
      </c>
      <c r="AL24" s="0" t="n">
        <f aca="false">AJ24*x_R_NFZ</f>
        <v>41198900.8435378</v>
      </c>
      <c r="AM24" s="0" t="n">
        <f aca="false">AJ24*x_R_PIT</f>
        <v>35269631.9376201</v>
      </c>
      <c r="AN24" s="0" t="n">
        <f aca="false">AJ24*x_R_FP</f>
        <v>13527664.741765</v>
      </c>
      <c r="AO24" s="0" t="n">
        <f aca="false">AA24+AB24+AC24+AD24+AF24</f>
        <v>493543144.926807</v>
      </c>
      <c r="AP24" s="0" t="n">
        <f aca="false">AO24+AE24+AG24+AH24+AI24+AK24+AL24+AM24+AN24</f>
        <v>769174684.445281</v>
      </c>
      <c r="AQ24" s="0" t="n">
        <f aca="false">AO24+AE24+AG24+AJ24</f>
        <v>1024039801.46661</v>
      </c>
      <c r="AR24" s="0" t="n">
        <f aca="false">AB24+AC24+AD24+AF24</f>
        <v>137833427.610024</v>
      </c>
      <c r="AS24" s="0" t="n">
        <f aca="false">AR24+AE24+AG24</f>
        <v>137833427.610024</v>
      </c>
    </row>
    <row r="25" customFormat="false" ht="15" hidden="false" customHeight="false" outlineLevel="0" collapsed="false">
      <c r="A25" s="0" t="n">
        <v>2048</v>
      </c>
      <c r="B25" s="0" t="n">
        <v>22</v>
      </c>
      <c r="C25" s="0" t="n">
        <v>4832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2211.95</v>
      </c>
      <c r="I25" s="0" t="n">
        <v>281.486</v>
      </c>
      <c r="J25" s="0" t="n">
        <v>1630.978</v>
      </c>
      <c r="K25" s="0" t="n">
        <v>2680.802</v>
      </c>
      <c r="L25" s="0" t="n">
        <v>1193.706</v>
      </c>
      <c r="M25" s="0" t="n">
        <v>80910.382</v>
      </c>
      <c r="N25" s="0" t="n">
        <v>8301.102</v>
      </c>
      <c r="O25" s="0" t="n">
        <v>91.395</v>
      </c>
      <c r="P25" s="0" t="n">
        <v>92.323</v>
      </c>
      <c r="Q25" s="0" t="n">
        <v>1049.322</v>
      </c>
      <c r="R25" s="0" t="n">
        <v>1126.867</v>
      </c>
      <c r="S25" s="0" t="n">
        <v>5720.34</v>
      </c>
      <c r="T25" s="0" t="n">
        <v>2493.436</v>
      </c>
      <c r="U25" s="0" t="n">
        <v>1677.82</v>
      </c>
      <c r="V25" s="0" t="n">
        <v>141172.13</v>
      </c>
      <c r="W25" s="0" t="n">
        <v>288.273</v>
      </c>
      <c r="X25" s="0" t="n">
        <v>755.705</v>
      </c>
      <c r="Y25" s="0" t="n">
        <v>91.395</v>
      </c>
      <c r="Z25" s="0" t="n">
        <v>958.057</v>
      </c>
      <c r="AA25" s="0" t="n">
        <f aca="false">H25*x_c_F+I25*x_c_CC+J25*x_c_DC+K25*x_c_HCC+L25*x_c_PLT+M25*x_c_SVRn+N25*x_c_SVRcc+O25*x_c_LT+P25*x_c_LT1</f>
        <v>352064440.848131</v>
      </c>
      <c r="AB25" s="0" t="n">
        <f aca="false">C25*x_c_DAA</f>
        <v>109976320</v>
      </c>
      <c r="AC25" s="0" t="n">
        <f aca="false">C25*x_c_MON</f>
        <v>27857107.6100244</v>
      </c>
      <c r="AD25" s="0" t="n">
        <f aca="false">D25*(1-x_testy)</f>
        <v>0</v>
      </c>
      <c r="AE25" s="0" t="n">
        <f aca="false">E25*(1-x_testy)</f>
        <v>0</v>
      </c>
      <c r="AF25" s="0" t="n">
        <f aca="false">F25*x_NAV</f>
        <v>0</v>
      </c>
      <c r="AG25" s="0" t="n">
        <f aca="false">G25*x_FIX*(1-x_testy)</f>
        <v>0</v>
      </c>
      <c r="AH25" s="0" t="n">
        <f aca="false">x_z_F*U25+(1-x_AGRI)*x_EMP*x_WLOSS*(x_PEN_K74*Q25+x_PEN_C22*R25)</f>
        <v>17464293.5204635</v>
      </c>
      <c r="AI25" s="0" t="n">
        <f aca="false">x_AGRI*x_EMP*x_WLOSS*(x_PEN_K74*Q25+x_PEN_C22*R25)</f>
        <v>926354.841889585</v>
      </c>
      <c r="AJ25" s="0" t="n">
        <f aca="false">x_EMP*x_WAGE*(x_WLOSS*(Q25+R25)+S25)+U25*x_ABS_D*x_WAGE/365</f>
        <v>563877352.37838</v>
      </c>
      <c r="AK25" s="0" t="n">
        <f aca="false">AJ25*x_R_FUS</f>
        <v>178410794.292519</v>
      </c>
      <c r="AL25" s="0" t="n">
        <f aca="false">AJ25*x_R_NFZ</f>
        <v>43791279.0630574</v>
      </c>
      <c r="AM25" s="0" t="n">
        <f aca="false">AJ25*x_R_PIT</f>
        <v>37488919.9228213</v>
      </c>
      <c r="AN25" s="0" t="n">
        <f aca="false">AJ25*x_R_FP</f>
        <v>14378872.4856487</v>
      </c>
      <c r="AO25" s="0" t="n">
        <f aca="false">AA25+AB25+AC25+AD25+AF25</f>
        <v>489897868.458155</v>
      </c>
      <c r="AP25" s="0" t="n">
        <f aca="false">AO25+AE25+AG25+AH25+AI25+AK25+AL25+AM25+AN25</f>
        <v>782358382.584555</v>
      </c>
      <c r="AQ25" s="0" t="n">
        <f aca="false">AO25+AE25+AG25+AJ25</f>
        <v>1053775220.83654</v>
      </c>
      <c r="AR25" s="0" t="n">
        <f aca="false">AB25+AC25+AD25+AF25</f>
        <v>137833427.610024</v>
      </c>
      <c r="AS25" s="0" t="n">
        <f aca="false">AR25+AE25+AG25</f>
        <v>137833427.610024</v>
      </c>
    </row>
    <row r="26" customFormat="false" ht="15" hidden="false" customHeight="false" outlineLevel="0" collapsed="false">
      <c r="A26" s="0" t="n">
        <v>2049</v>
      </c>
      <c r="B26" s="0" t="n">
        <v>23</v>
      </c>
      <c r="C26" s="0" t="n">
        <v>4832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2216.655</v>
      </c>
      <c r="I26" s="0" t="n">
        <v>275.613</v>
      </c>
      <c r="J26" s="0" t="n">
        <v>1597.164</v>
      </c>
      <c r="K26" s="0" t="n">
        <v>2622.823</v>
      </c>
      <c r="L26" s="0" t="n">
        <v>1174.602</v>
      </c>
      <c r="M26" s="0" t="n">
        <v>83644.975</v>
      </c>
      <c r="N26" s="0" t="n">
        <v>8415.313</v>
      </c>
      <c r="O26" s="0" t="n">
        <v>89.527</v>
      </c>
      <c r="P26" s="0" t="n">
        <v>90.461</v>
      </c>
      <c r="Q26" s="0" t="n">
        <v>1084.459</v>
      </c>
      <c r="R26" s="0" t="n">
        <v>1170.322</v>
      </c>
      <c r="S26" s="0" t="n">
        <v>6092.263</v>
      </c>
      <c r="T26" s="0" t="n">
        <v>2492.269</v>
      </c>
      <c r="U26" s="0" t="n">
        <v>1711.146</v>
      </c>
      <c r="V26" s="0" t="n">
        <v>142579.67</v>
      </c>
      <c r="W26" s="0" t="n">
        <v>281.167</v>
      </c>
      <c r="X26" s="0" t="n">
        <v>738.814</v>
      </c>
      <c r="Y26" s="0" t="n">
        <v>89.527</v>
      </c>
      <c r="Z26" s="0" t="n">
        <v>938.225</v>
      </c>
      <c r="AA26" s="0" t="n">
        <f aca="false">H26*x_c_F+I26*x_c_CC+J26*x_c_DC+K26*x_c_HCC+L26*x_c_PLT+M26*x_c_SVRn+N26*x_c_SVRcc+O26*x_c_LT+P26*x_c_LT1</f>
        <v>348441734.679732</v>
      </c>
      <c r="AB26" s="0" t="n">
        <f aca="false">C26*x_c_DAA</f>
        <v>109976320</v>
      </c>
      <c r="AC26" s="0" t="n">
        <f aca="false">C26*x_c_MON</f>
        <v>27857107.6100244</v>
      </c>
      <c r="AD26" s="0" t="n">
        <f aca="false">D26*(1-x_testy)</f>
        <v>0</v>
      </c>
      <c r="AE26" s="0" t="n">
        <f aca="false">E26*(1-x_testy)</f>
        <v>0</v>
      </c>
      <c r="AF26" s="0" t="n">
        <f aca="false">F26*x_NAV</f>
        <v>0</v>
      </c>
      <c r="AG26" s="0" t="n">
        <f aca="false">G26*x_FIX*(1-x_testy)</f>
        <v>0</v>
      </c>
      <c r="AH26" s="0" t="n">
        <f aca="false">x_z_F*U26+(1-x_AGRI)*x_EMP*x_WLOSS*(x_PEN_K74*Q26+x_PEN_C22*R26)</f>
        <v>18041212.7095519</v>
      </c>
      <c r="AI26" s="0" t="n">
        <f aca="false">x_AGRI*x_EMP*x_WLOSS*(x_PEN_K74*Q26+x_PEN_C22*R26)</f>
        <v>959959.373666505</v>
      </c>
      <c r="AJ26" s="0" t="n">
        <f aca="false">x_EMP*x_WAGE*(x_WLOSS*(Q26+R26)+S26)+U26*x_ABS_D*x_WAGE/365</f>
        <v>598258015.713453</v>
      </c>
      <c r="AK26" s="0" t="n">
        <f aca="false">AJ26*x_R_FUS</f>
        <v>189288836.171737</v>
      </c>
      <c r="AL26" s="0" t="n">
        <f aca="false">AJ26*x_R_NFZ</f>
        <v>46461315.7583225</v>
      </c>
      <c r="AM26" s="0" t="n">
        <f aca="false">AJ26*x_R_PIT</f>
        <v>39774689.9208991</v>
      </c>
      <c r="AN26" s="0" t="n">
        <f aca="false">AJ26*x_R_FP</f>
        <v>15255579.4006931</v>
      </c>
      <c r="AO26" s="0" t="n">
        <f aca="false">AA26+AB26+AC26+AD26+AF26</f>
        <v>486275162.289756</v>
      </c>
      <c r="AP26" s="0" t="n">
        <f aca="false">AO26+AE26+AG26+AH26+AI26+AK26+AL26+AM26+AN26</f>
        <v>796056755.624626</v>
      </c>
      <c r="AQ26" s="0" t="n">
        <f aca="false">AO26+AE26+AG26+AJ26</f>
        <v>1084533178.00321</v>
      </c>
      <c r="AR26" s="0" t="n">
        <f aca="false">AB26+AC26+AD26+AF26</f>
        <v>137833427.610024</v>
      </c>
      <c r="AS26" s="0" t="n">
        <f aca="false">AR26+AE26+AG26</f>
        <v>137833427.610024</v>
      </c>
    </row>
    <row r="27" customFormat="false" ht="15" hidden="false" customHeight="false" outlineLevel="0" collapsed="false">
      <c r="A27" s="0" t="n">
        <v>2050</v>
      </c>
      <c r="B27" s="0" t="n">
        <v>24</v>
      </c>
      <c r="C27" s="0" t="n">
        <v>4832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2221.213</v>
      </c>
      <c r="I27" s="0" t="n">
        <v>269.973</v>
      </c>
      <c r="J27" s="0" t="n">
        <v>1563.592</v>
      </c>
      <c r="K27" s="0" t="n">
        <v>2566.93</v>
      </c>
      <c r="L27" s="0" t="n">
        <v>1155.455</v>
      </c>
      <c r="M27" s="0" t="n">
        <v>86385.049</v>
      </c>
      <c r="N27" s="0" t="n">
        <v>8514.659</v>
      </c>
      <c r="O27" s="0" t="n">
        <v>87.68</v>
      </c>
      <c r="P27" s="0" t="n">
        <v>88.604</v>
      </c>
      <c r="Q27" s="0" t="n">
        <v>1120.545</v>
      </c>
      <c r="R27" s="0" t="n">
        <v>1214.243</v>
      </c>
      <c r="S27" s="0" t="n">
        <v>6475.027</v>
      </c>
      <c r="T27" s="0" t="n">
        <v>2491.186</v>
      </c>
      <c r="U27" s="0" t="n">
        <v>1741.578</v>
      </c>
      <c r="V27" s="0" t="n">
        <v>144049.565</v>
      </c>
      <c r="W27" s="0" t="n">
        <v>274.498</v>
      </c>
      <c r="X27" s="0" t="n">
        <v>723.021</v>
      </c>
      <c r="Y27" s="0" t="n">
        <v>87.68</v>
      </c>
      <c r="Z27" s="0" t="n">
        <v>918.899</v>
      </c>
      <c r="AA27" s="0" t="n">
        <f aca="false">H27*x_c_F+I27*x_c_CC+J27*x_c_DC+K27*x_c_HCC+L27*x_c_PLT+M27*x_c_SVRn+N27*x_c_SVRcc+O27*x_c_LT+P27*x_c_LT1</f>
        <v>344924120.624524</v>
      </c>
      <c r="AB27" s="0" t="n">
        <f aca="false">C27*x_c_DAA</f>
        <v>109976320</v>
      </c>
      <c r="AC27" s="0" t="n">
        <f aca="false">C27*x_c_MON</f>
        <v>27857107.6100244</v>
      </c>
      <c r="AD27" s="0" t="n">
        <f aca="false">D27*(1-x_testy)</f>
        <v>0</v>
      </c>
      <c r="AE27" s="0" t="n">
        <f aca="false">E27*(1-x_testy)</f>
        <v>0</v>
      </c>
      <c r="AF27" s="0" t="n">
        <f aca="false">F27*x_NAV</f>
        <v>0</v>
      </c>
      <c r="AG27" s="0" t="n">
        <f aca="false">G27*x_FIX*(1-x_testy)</f>
        <v>0</v>
      </c>
      <c r="AH27" s="0" t="n">
        <f aca="false">x_z_F*U27+(1-x_AGRI)*x_EMP*x_WLOSS*(x_PEN_K74*Q27+x_PEN_C22*R27)</f>
        <v>18621075.9025153</v>
      </c>
      <c r="AI27" s="0" t="n">
        <f aca="false">x_AGRI*x_EMP*x_WLOSS*(x_PEN_K74*Q27+x_PEN_C22*R27)</f>
        <v>994151.768398854</v>
      </c>
      <c r="AJ27" s="0" t="n">
        <f aca="false">x_EMP*x_WAGE*(x_WLOSS*(Q27+R27)+S27)+U27*x_ABS_D*x_WAGE/365</f>
        <v>633600802.277185</v>
      </c>
      <c r="AK27" s="0" t="n">
        <f aca="false">AJ27*x_R_FUS</f>
        <v>200471293.840501</v>
      </c>
      <c r="AL27" s="0" t="n">
        <f aca="false">AJ27*x_R_NFZ</f>
        <v>49206071.9056484</v>
      </c>
      <c r="AM27" s="0" t="n">
        <f aca="false">AJ27*x_R_PIT</f>
        <v>42124425.8869714</v>
      </c>
      <c r="AN27" s="0" t="n">
        <f aca="false">AJ27*x_R_FP</f>
        <v>16156820.4580682</v>
      </c>
      <c r="AO27" s="0" t="n">
        <f aca="false">AA27+AB27+AC27+AD27+AF27</f>
        <v>482757548.234548</v>
      </c>
      <c r="AP27" s="0" t="n">
        <f aca="false">AO27+AE27+AG27+AH27+AI27+AK27+AL27+AM27+AN27</f>
        <v>810331387.996651</v>
      </c>
      <c r="AQ27" s="0" t="n">
        <f aca="false">AO27+AE27+AG27+AJ27</f>
        <v>1116358350.51173</v>
      </c>
      <c r="AR27" s="0" t="n">
        <f aca="false">AB27+AC27+AD27+AF27</f>
        <v>137833427.610024</v>
      </c>
      <c r="AS27" s="0" t="n">
        <f aca="false">AR27+AE27+AG27</f>
        <v>137833427.610024</v>
      </c>
    </row>
    <row r="28" customFormat="false" ht="15" hidden="false" customHeight="false" outlineLevel="0" collapsed="false">
      <c r="A28" s="0" t="n">
        <v>2051</v>
      </c>
      <c r="B28" s="0" t="n">
        <v>25</v>
      </c>
      <c r="C28" s="0" t="n">
        <v>4832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2225.566</v>
      </c>
      <c r="I28" s="0" t="n">
        <v>264.616</v>
      </c>
      <c r="J28" s="0" t="n">
        <v>1530.668</v>
      </c>
      <c r="K28" s="0" t="n">
        <v>2513.57</v>
      </c>
      <c r="L28" s="0" t="n">
        <v>1136.317</v>
      </c>
      <c r="M28" s="0" t="n">
        <v>89130.044</v>
      </c>
      <c r="N28" s="0" t="n">
        <v>8600.549</v>
      </c>
      <c r="O28" s="0" t="n">
        <v>85.871</v>
      </c>
      <c r="P28" s="0" t="n">
        <v>86.775</v>
      </c>
      <c r="Q28" s="0" t="n">
        <v>1157.415</v>
      </c>
      <c r="R28" s="0" t="n">
        <v>1258.345</v>
      </c>
      <c r="S28" s="0" t="n">
        <v>6868.168</v>
      </c>
      <c r="T28" s="0" t="n">
        <v>2490.182</v>
      </c>
      <c r="U28" s="0" t="n">
        <v>1769.263</v>
      </c>
      <c r="V28" s="0" t="n">
        <v>145574.831</v>
      </c>
      <c r="W28" s="0" t="n">
        <v>268.268</v>
      </c>
      <c r="X28" s="0" t="n">
        <v>708.307</v>
      </c>
      <c r="Y28" s="0" t="n">
        <v>85.871</v>
      </c>
      <c r="Z28" s="0" t="n">
        <v>900.217</v>
      </c>
      <c r="AA28" s="0" t="n">
        <f aca="false">H28*x_c_F+I28*x_c_CC+J28*x_c_DC+K28*x_c_HCC+L28*x_c_PLT+M28*x_c_SVRn+N28*x_c_SVRcc+O28*x_c_LT+P28*x_c_LT1</f>
        <v>341559228.580779</v>
      </c>
      <c r="AB28" s="0" t="n">
        <f aca="false">C28*x_c_DAA</f>
        <v>109976320</v>
      </c>
      <c r="AC28" s="0" t="n">
        <f aca="false">C28*x_c_MON</f>
        <v>27857107.6100244</v>
      </c>
      <c r="AD28" s="0" t="n">
        <f aca="false">D28*(1-x_testy)</f>
        <v>0</v>
      </c>
      <c r="AE28" s="0" t="n">
        <f aca="false">E28*(1-x_testy)</f>
        <v>0</v>
      </c>
      <c r="AF28" s="0" t="n">
        <f aca="false">F28*x_NAV</f>
        <v>0</v>
      </c>
      <c r="AG28" s="0" t="n">
        <f aca="false">G28*x_FIX*(1-x_testy)</f>
        <v>0</v>
      </c>
      <c r="AH28" s="0" t="n">
        <f aca="false">x_z_F*U28+(1-x_AGRI)*x_EMP*x_WLOSS*(x_PEN_K74*Q28+x_PEN_C22*R28)</f>
        <v>19201244.6074845</v>
      </c>
      <c r="AI28" s="0" t="n">
        <f aca="false">x_AGRI*x_EMP*x_WLOSS*(x_PEN_K74*Q28+x_PEN_C22*R28)</f>
        <v>1028737.65078943</v>
      </c>
      <c r="AJ28" s="0" t="n">
        <f aca="false">x_EMP*x_WAGE*(x_WLOSS*(Q28+R28)+S28)+U28*x_ABS_D*x_WAGE/365</f>
        <v>669851853.823184</v>
      </c>
      <c r="AK28" s="0" t="n">
        <f aca="false">AJ28*x_R_FUS</f>
        <v>211941126.549655</v>
      </c>
      <c r="AL28" s="0" t="n">
        <f aca="false">AJ28*x_R_NFZ</f>
        <v>52021364.8197623</v>
      </c>
      <c r="AM28" s="0" t="n">
        <f aca="false">AJ28*x_R_PIT</f>
        <v>44534547.1000221</v>
      </c>
      <c r="AN28" s="0" t="n">
        <f aca="false">AJ28*x_R_FP</f>
        <v>17081222.2724912</v>
      </c>
      <c r="AO28" s="0" t="n">
        <f aca="false">AA28+AB28+AC28+AD28+AF28</f>
        <v>479392656.190803</v>
      </c>
      <c r="AP28" s="0" t="n">
        <f aca="false">AO28+AE28+AG28+AH28+AI28+AK28+AL28+AM28+AN28</f>
        <v>825200899.191008</v>
      </c>
      <c r="AQ28" s="0" t="n">
        <f aca="false">AO28+AE28+AG28+AJ28</f>
        <v>1149244510.01399</v>
      </c>
      <c r="AR28" s="0" t="n">
        <f aca="false">AB28+AC28+AD28+AF28</f>
        <v>137833427.610024</v>
      </c>
      <c r="AS28" s="0" t="n">
        <f aca="false">AR28+AE28+AG28</f>
        <v>137833427.610024</v>
      </c>
    </row>
    <row r="29" customFormat="false" ht="15" hidden="false" customHeight="false" outlineLevel="0" collapsed="false">
      <c r="A29" s="0" t="n">
        <v>2052</v>
      </c>
      <c r="B29" s="0" t="n">
        <v>26</v>
      </c>
      <c r="C29" s="0" t="n">
        <v>4832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2229.687</v>
      </c>
      <c r="I29" s="0" t="n">
        <v>259.56</v>
      </c>
      <c r="J29" s="0" t="n">
        <v>1498.623</v>
      </c>
      <c r="K29" s="0" t="n">
        <v>2462.898</v>
      </c>
      <c r="L29" s="0" t="n">
        <v>1117.17</v>
      </c>
      <c r="M29" s="0" t="n">
        <v>91876.693</v>
      </c>
      <c r="N29" s="0" t="n">
        <v>8673.796</v>
      </c>
      <c r="O29" s="0" t="n">
        <v>84.111</v>
      </c>
      <c r="P29" s="0" t="n">
        <v>84.991</v>
      </c>
      <c r="Q29" s="0" t="n">
        <v>1194.905</v>
      </c>
      <c r="R29" s="0" t="n">
        <v>1302.346</v>
      </c>
      <c r="S29" s="0" t="n">
        <v>7271.208</v>
      </c>
      <c r="T29" s="0" t="n">
        <v>2489.248</v>
      </c>
      <c r="U29" s="0" t="n">
        <v>1794.392</v>
      </c>
      <c r="V29" s="0" t="n">
        <v>147145.438</v>
      </c>
      <c r="W29" s="0" t="n">
        <v>262.458</v>
      </c>
      <c r="X29" s="0" t="n">
        <v>694.605</v>
      </c>
      <c r="Y29" s="0" t="n">
        <v>84.111</v>
      </c>
      <c r="Z29" s="0" t="n">
        <v>882.253</v>
      </c>
      <c r="AA29" s="0" t="n">
        <f aca="false">H29*x_c_F+I29*x_c_CC+J29*x_c_DC+K29*x_c_HCC+L29*x_c_PLT+M29*x_c_SVRn+N29*x_c_SVRcc+O29*x_c_LT+P29*x_c_LT1</f>
        <v>338365227.174842</v>
      </c>
      <c r="AB29" s="0" t="n">
        <f aca="false">C29*x_c_DAA</f>
        <v>109976320</v>
      </c>
      <c r="AC29" s="0" t="n">
        <f aca="false">C29*x_c_MON</f>
        <v>27857107.6100244</v>
      </c>
      <c r="AD29" s="0" t="n">
        <f aca="false">D29*(1-x_testy)</f>
        <v>0</v>
      </c>
      <c r="AE29" s="0" t="n">
        <f aca="false">E29*(1-x_testy)</f>
        <v>0</v>
      </c>
      <c r="AF29" s="0" t="n">
        <f aca="false">F29*x_NAV</f>
        <v>0</v>
      </c>
      <c r="AG29" s="0" t="n">
        <f aca="false">G29*x_FIX*(1-x_testy)</f>
        <v>0</v>
      </c>
      <c r="AH29" s="0" t="n">
        <f aca="false">x_z_F*U29+(1-x_AGRI)*x_EMP*x_WLOSS*(x_PEN_K74*Q29+x_PEN_C22*R29)</f>
        <v>19779197.3151899</v>
      </c>
      <c r="AI29" s="0" t="n">
        <f aca="false">x_AGRI*x_EMP*x_WLOSS*(x_PEN_K74*Q29+x_PEN_C22*R29)</f>
        <v>1063524.39864117</v>
      </c>
      <c r="AJ29" s="0" t="n">
        <f aca="false">x_EMP*x_WAGE*(x_WLOSS*(Q29+R29)+S29)+U29*x_ABS_D*x_WAGE/365</f>
        <v>706956378.629646</v>
      </c>
      <c r="AK29" s="0" t="n">
        <f aca="false">AJ29*x_R_FUS</f>
        <v>223680998.19842</v>
      </c>
      <c r="AL29" s="0" t="n">
        <f aca="false">AJ29*x_R_NFZ</f>
        <v>54902939.320757</v>
      </c>
      <c r="AM29" s="0" t="n">
        <f aca="false">AJ29*x_R_PIT</f>
        <v>47001410.7776936</v>
      </c>
      <c r="AN29" s="0" t="n">
        <f aca="false">AJ29*x_R_FP</f>
        <v>18027387.655056</v>
      </c>
      <c r="AO29" s="0" t="n">
        <f aca="false">AA29+AB29+AC29+AD29+AF29</f>
        <v>476198654.784867</v>
      </c>
      <c r="AP29" s="0" t="n">
        <f aca="false">AO29+AE29+AG29+AH29+AI29+AK29+AL29+AM29+AN29</f>
        <v>840654112.450624</v>
      </c>
      <c r="AQ29" s="0" t="n">
        <f aca="false">AO29+AE29+AG29+AJ29</f>
        <v>1183155033.41451</v>
      </c>
      <c r="AR29" s="0" t="n">
        <f aca="false">AB29+AC29+AD29+AF29</f>
        <v>137833427.610024</v>
      </c>
      <c r="AS29" s="0" t="n">
        <f aca="false">AR29+AE29+AG29</f>
        <v>137833427.610024</v>
      </c>
    </row>
    <row r="30" customFormat="false" ht="15" hidden="false" customHeight="false" outlineLevel="0" collapsed="false">
      <c r="A30" s="0" t="n">
        <v>2053</v>
      </c>
      <c r="B30" s="0" t="n">
        <v>27</v>
      </c>
      <c r="C30" s="0" t="n">
        <v>4832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2233.57</v>
      </c>
      <c r="I30" s="0" t="n">
        <v>254.802</v>
      </c>
      <c r="J30" s="0" t="n">
        <v>1467.542</v>
      </c>
      <c r="K30" s="0" t="n">
        <v>2414.84</v>
      </c>
      <c r="L30" s="0" t="n">
        <v>1097.929</v>
      </c>
      <c r="M30" s="0" t="n">
        <v>94619.144</v>
      </c>
      <c r="N30" s="0" t="n">
        <v>8734.617</v>
      </c>
      <c r="O30" s="0" t="n">
        <v>82.402</v>
      </c>
      <c r="P30" s="0" t="n">
        <v>83.257</v>
      </c>
      <c r="Q30" s="0" t="n">
        <v>1232.818</v>
      </c>
      <c r="R30" s="0" t="n">
        <v>1345.952</v>
      </c>
      <c r="S30" s="0" t="n">
        <v>7683.435</v>
      </c>
      <c r="T30" s="0" t="n">
        <v>2488.373</v>
      </c>
      <c r="U30" s="0" t="n">
        <v>1817.17</v>
      </c>
      <c r="V30" s="0" t="n">
        <v>148749.099</v>
      </c>
      <c r="W30" s="0" t="n">
        <v>257.023</v>
      </c>
      <c r="X30" s="0" t="n">
        <v>681.794</v>
      </c>
      <c r="Y30" s="0" t="n">
        <v>82.402</v>
      </c>
      <c r="Z30" s="0" t="n">
        <v>864.973</v>
      </c>
      <c r="AA30" s="0" t="n">
        <f aca="false">H30*x_c_F+I30*x_c_CC+J30*x_c_DC+K30*x_c_HCC+L30*x_c_PLT+M30*x_c_SVRn+N30*x_c_SVRcc+O30*x_c_LT+P30*x_c_LT1</f>
        <v>335334195.442899</v>
      </c>
      <c r="AB30" s="0" t="n">
        <f aca="false">C30*x_c_DAA</f>
        <v>109976320</v>
      </c>
      <c r="AC30" s="0" t="n">
        <f aca="false">C30*x_c_MON</f>
        <v>27857107.6100244</v>
      </c>
      <c r="AD30" s="0" t="n">
        <f aca="false">D30*(1-x_testy)</f>
        <v>0</v>
      </c>
      <c r="AE30" s="0" t="n">
        <f aca="false">E30*(1-x_testy)</f>
        <v>0</v>
      </c>
      <c r="AF30" s="0" t="n">
        <f aca="false">F30*x_NAV</f>
        <v>0</v>
      </c>
      <c r="AG30" s="0" t="n">
        <f aca="false">G30*x_FIX*(1-x_testy)</f>
        <v>0</v>
      </c>
      <c r="AH30" s="0" t="n">
        <f aca="false">x_z_F*U30+(1-x_AGRI)*x_EMP*x_WLOSS*(x_PEN_K74*Q30+x_PEN_C22*R30)</f>
        <v>20352160.7720556</v>
      </c>
      <c r="AI30" s="0" t="n">
        <f aca="false">x_AGRI*x_EMP*x_WLOSS*(x_PEN_K74*Q30+x_PEN_C22*R30)</f>
        <v>1098300.84746073</v>
      </c>
      <c r="AJ30" s="0" t="n">
        <f aca="false">x_EMP*x_WAGE*(x_WLOSS*(Q30+R30)+S30)+U30*x_ABS_D*x_WAGE/365</f>
        <v>744838202.22592</v>
      </c>
      <c r="AK30" s="0" t="n">
        <f aca="false">AJ30*x_R_FUS</f>
        <v>235666807.184281</v>
      </c>
      <c r="AL30" s="0" t="n">
        <f aca="false">AJ30*x_R_NFZ</f>
        <v>57844879.6230672</v>
      </c>
      <c r="AM30" s="0" t="n">
        <f aca="false">AJ30*x_R_PIT</f>
        <v>49519952.5232365</v>
      </c>
      <c r="AN30" s="0" t="n">
        <f aca="false">AJ30*x_R_FP</f>
        <v>18993374.156761</v>
      </c>
      <c r="AO30" s="0" t="n">
        <f aca="false">AA30+AB30+AC30+AD30+AF30</f>
        <v>473167623.052924</v>
      </c>
      <c r="AP30" s="0" t="n">
        <f aca="false">AO30+AE30+AG30+AH30+AI30+AK30+AL30+AM30+AN30</f>
        <v>856643098.159786</v>
      </c>
      <c r="AQ30" s="0" t="n">
        <f aca="false">AO30+AE30+AG30+AJ30</f>
        <v>1218005825.27884</v>
      </c>
      <c r="AR30" s="0" t="n">
        <f aca="false">AB30+AC30+AD30+AF30</f>
        <v>137833427.610024</v>
      </c>
      <c r="AS30" s="0" t="n">
        <f aca="false">AR30+AE30+AG30</f>
        <v>137833427.610024</v>
      </c>
    </row>
    <row r="31" customFormat="false" ht="15" hidden="false" customHeight="false" outlineLevel="0" collapsed="false">
      <c r="A31" s="0" t="n">
        <v>2054</v>
      </c>
      <c r="B31" s="0" t="n">
        <v>28</v>
      </c>
      <c r="C31" s="0" t="n">
        <v>4832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2237.226</v>
      </c>
      <c r="I31" s="0" t="n">
        <v>250.323</v>
      </c>
      <c r="J31" s="0" t="n">
        <v>1437.394</v>
      </c>
      <c r="K31" s="0" t="n">
        <v>2369.151</v>
      </c>
      <c r="L31" s="0" t="n">
        <v>1078.44</v>
      </c>
      <c r="M31" s="0" t="n">
        <v>97349.055</v>
      </c>
      <c r="N31" s="0" t="n">
        <v>8782.631</v>
      </c>
      <c r="O31" s="0" t="n">
        <v>80.741</v>
      </c>
      <c r="P31" s="0" t="n">
        <v>81.572</v>
      </c>
      <c r="Q31" s="0" t="n">
        <v>1270.945</v>
      </c>
      <c r="R31" s="0" t="n">
        <v>1388.871</v>
      </c>
      <c r="S31" s="0" t="n">
        <v>8104.002</v>
      </c>
      <c r="T31" s="0" t="n">
        <v>2487.548</v>
      </c>
      <c r="U31" s="0" t="n">
        <v>1837.808</v>
      </c>
      <c r="V31" s="0" t="n">
        <v>150371.721</v>
      </c>
      <c r="W31" s="0" t="n">
        <v>251.915</v>
      </c>
      <c r="X31" s="0" t="n">
        <v>669.741</v>
      </c>
      <c r="Y31" s="0" t="n">
        <v>80.741</v>
      </c>
      <c r="Z31" s="0" t="n">
        <v>848.314</v>
      </c>
      <c r="AA31" s="0" t="n">
        <f aca="false">H31*x_c_F+I31*x_c_CC+J31*x_c_DC+K31*x_c_HCC+L31*x_c_PLT+M31*x_c_SVRn+N31*x_c_SVRcc+O31*x_c_LT+P31*x_c_LT1</f>
        <v>332437972.706934</v>
      </c>
      <c r="AB31" s="0" t="n">
        <f aca="false">C31*x_c_DAA</f>
        <v>109976320</v>
      </c>
      <c r="AC31" s="0" t="n">
        <f aca="false">C31*x_c_MON</f>
        <v>27857107.6100244</v>
      </c>
      <c r="AD31" s="0" t="n">
        <f aca="false">D31*(1-x_testy)</f>
        <v>0</v>
      </c>
      <c r="AE31" s="0" t="n">
        <f aca="false">E31*(1-x_testy)</f>
        <v>0</v>
      </c>
      <c r="AF31" s="0" t="n">
        <f aca="false">F31*x_NAV</f>
        <v>0</v>
      </c>
      <c r="AG31" s="0" t="n">
        <f aca="false">G31*x_FIX*(1-x_testy)</f>
        <v>0</v>
      </c>
      <c r="AH31" s="0" t="n">
        <f aca="false">x_z_F*U31+(1-x_AGRI)*x_EMP*x_WLOSS*(x_PEN_K74*Q31+x_PEN_C22*R31)</f>
        <v>20917315.5512427</v>
      </c>
      <c r="AI31" s="0" t="n">
        <f aca="false">x_AGRI*x_EMP*x_WLOSS*(x_PEN_K74*Q31+x_PEN_C22*R31)</f>
        <v>1132851.96544177</v>
      </c>
      <c r="AJ31" s="0" t="n">
        <f aca="false">x_EMP*x_WAGE*(x_WLOSS*(Q31+R31)+S31)+U31*x_ABS_D*x_WAGE/365</f>
        <v>783409330.284486</v>
      </c>
      <c r="AK31" s="0" t="n">
        <f aca="false">AJ31*x_R_FUS</f>
        <v>247870712.102011</v>
      </c>
      <c r="AL31" s="0" t="n">
        <f aca="false">AJ31*x_R_NFZ</f>
        <v>60840351.9992234</v>
      </c>
      <c r="AM31" s="0" t="n">
        <f aca="false">AJ31*x_R_PIT</f>
        <v>52084322.1064826</v>
      </c>
      <c r="AN31" s="0" t="n">
        <f aca="false">AJ31*x_R_FP</f>
        <v>19976937.9222544</v>
      </c>
      <c r="AO31" s="0" t="n">
        <f aca="false">AA31+AB31+AC31+AD31+AF31</f>
        <v>470271400.316958</v>
      </c>
      <c r="AP31" s="0" t="n">
        <f aca="false">AO31+AE31+AG31+AH31+AI31+AK31+AL31+AM31+AN31</f>
        <v>873093891.963614</v>
      </c>
      <c r="AQ31" s="0" t="n">
        <f aca="false">AO31+AE31+AG31+AJ31</f>
        <v>1253680730.60144</v>
      </c>
      <c r="AR31" s="0" t="n">
        <f aca="false">AB31+AC31+AD31+AF31</f>
        <v>137833427.610024</v>
      </c>
      <c r="AS31" s="0" t="n">
        <f aca="false">AR31+AE31+AG31</f>
        <v>137833427.610024</v>
      </c>
    </row>
    <row r="32" customFormat="false" ht="15" hidden="false" customHeight="false" outlineLevel="0" collapsed="false">
      <c r="A32" s="0" t="n">
        <v>2055</v>
      </c>
      <c r="B32" s="0" t="n">
        <v>29</v>
      </c>
      <c r="C32" s="0" t="n">
        <v>4832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2240.666</v>
      </c>
      <c r="I32" s="0" t="n">
        <v>246.099</v>
      </c>
      <c r="J32" s="0" t="n">
        <v>1408.096</v>
      </c>
      <c r="K32" s="0" t="n">
        <v>2325.533</v>
      </c>
      <c r="L32" s="0" t="n">
        <v>1058.519</v>
      </c>
      <c r="M32" s="0" t="n">
        <v>100056.865</v>
      </c>
      <c r="N32" s="0" t="n">
        <v>8817.151</v>
      </c>
      <c r="O32" s="0" t="n">
        <v>79.123</v>
      </c>
      <c r="P32" s="0" t="n">
        <v>79.932</v>
      </c>
      <c r="Q32" s="0" t="n">
        <v>1309.07</v>
      </c>
      <c r="R32" s="0" t="n">
        <v>1430.827</v>
      </c>
      <c r="S32" s="0" t="n">
        <v>8531.949</v>
      </c>
      <c r="T32" s="0" t="n">
        <v>2486.766</v>
      </c>
      <c r="U32" s="0" t="n">
        <v>1856.498</v>
      </c>
      <c r="V32" s="0" t="n">
        <v>151999.303</v>
      </c>
      <c r="W32" s="0" t="n">
        <v>247.087</v>
      </c>
      <c r="X32" s="0" t="n">
        <v>658.32</v>
      </c>
      <c r="Y32" s="0" t="n">
        <v>79.123</v>
      </c>
      <c r="Z32" s="0" t="n">
        <v>832.185</v>
      </c>
      <c r="AA32" s="0" t="n">
        <f aca="false">H32*x_c_F+I32*x_c_CC+J32*x_c_DC+K32*x_c_HCC+L32*x_c_PLT+M32*x_c_SVRn+N32*x_c_SVRcc+O32*x_c_LT+P32*x_c_LT1</f>
        <v>329640732.716673</v>
      </c>
      <c r="AB32" s="0" t="n">
        <f aca="false">C32*x_c_DAA</f>
        <v>109976320</v>
      </c>
      <c r="AC32" s="0" t="n">
        <f aca="false">C32*x_c_MON</f>
        <v>27857107.6100244</v>
      </c>
      <c r="AD32" s="0" t="n">
        <f aca="false">D32*(1-x_testy)</f>
        <v>0</v>
      </c>
      <c r="AE32" s="0" t="n">
        <f aca="false">E32*(1-x_testy)</f>
        <v>0</v>
      </c>
      <c r="AF32" s="0" t="n">
        <f aca="false">F32*x_NAV</f>
        <v>0</v>
      </c>
      <c r="AG32" s="0" t="n">
        <f aca="false">G32*x_FIX*(1-x_testy)</f>
        <v>0</v>
      </c>
      <c r="AH32" s="0" t="n">
        <f aca="false">x_z_F*U32+(1-x_AGRI)*x_EMP*x_WLOSS*(x_PEN_K74*Q32+x_PEN_C22*R32)</f>
        <v>21471870.4326382</v>
      </c>
      <c r="AI32" s="0" t="n">
        <f aca="false">x_AGRI*x_EMP*x_WLOSS*(x_PEN_K74*Q32+x_PEN_C22*R32)</f>
        <v>1166967.16712658</v>
      </c>
      <c r="AJ32" s="0" t="n">
        <f aca="false">x_EMP*x_WAGE*(x_WLOSS*(Q32+R32)+S32)+U32*x_ABS_D*x_WAGE/365</f>
        <v>822572372.815376</v>
      </c>
      <c r="AK32" s="0" t="n">
        <f aca="false">AJ32*x_R_FUS</f>
        <v>260261898.758785</v>
      </c>
      <c r="AL32" s="0" t="n">
        <f aca="false">AJ32*x_R_NFZ</f>
        <v>63881793.0452149</v>
      </c>
      <c r="AM32" s="0" t="n">
        <f aca="false">AJ32*x_R_PIT</f>
        <v>54688044.6344081</v>
      </c>
      <c r="AN32" s="0" t="n">
        <f aca="false">AJ32*x_R_FP</f>
        <v>20975595.5067921</v>
      </c>
      <c r="AO32" s="0" t="n">
        <f aca="false">AA32+AB32+AC32+AD32+AF32</f>
        <v>467474160.326698</v>
      </c>
      <c r="AP32" s="0" t="n">
        <f aca="false">AO32+AE32+AG32+AH32+AI32+AK32+AL32+AM32+AN32</f>
        <v>889920329.871662</v>
      </c>
      <c r="AQ32" s="0" t="n">
        <f aca="false">AO32+AE32+AG32+AJ32</f>
        <v>1290046533.14207</v>
      </c>
      <c r="AR32" s="0" t="n">
        <f aca="false">AB32+AC32+AD32+AF32</f>
        <v>137833427.610024</v>
      </c>
      <c r="AS32" s="0" t="n">
        <f aca="false">AR32+AE32+AG32</f>
        <v>137833427.610024</v>
      </c>
    </row>
    <row r="33" customFormat="false" ht="15" hidden="false" customHeight="false" outlineLevel="0" collapsed="false">
      <c r="A33" s="0" t="n">
        <v>2056</v>
      </c>
      <c r="B33" s="0" t="n">
        <v>30</v>
      </c>
      <c r="C33" s="0" t="n">
        <v>4832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2243.911</v>
      </c>
      <c r="I33" s="0" t="n">
        <v>242.107</v>
      </c>
      <c r="J33" s="0" t="n">
        <v>1379.516</v>
      </c>
      <c r="K33" s="0" t="n">
        <v>2283.627</v>
      </c>
      <c r="L33" s="0" t="n">
        <v>1037.932</v>
      </c>
      <c r="M33" s="0" t="n">
        <v>102730.961</v>
      </c>
      <c r="N33" s="0" t="n">
        <v>8837.019</v>
      </c>
      <c r="O33" s="0" t="n">
        <v>77.538</v>
      </c>
      <c r="P33" s="0" t="n">
        <v>78.331</v>
      </c>
      <c r="Q33" s="0" t="n">
        <v>1346.957</v>
      </c>
      <c r="R33" s="0" t="n">
        <v>1471.545</v>
      </c>
      <c r="S33" s="0" t="n">
        <v>8966.05</v>
      </c>
      <c r="T33" s="0" t="n">
        <v>2486.018</v>
      </c>
      <c r="U33" s="0" t="n">
        <v>1873.419</v>
      </c>
      <c r="V33" s="0" t="n">
        <v>153616.809</v>
      </c>
      <c r="W33" s="0" t="n">
        <v>242.49</v>
      </c>
      <c r="X33" s="0" t="n">
        <v>647.398</v>
      </c>
      <c r="Y33" s="0" t="n">
        <v>77.538</v>
      </c>
      <c r="Z33" s="0" t="n">
        <v>816.456</v>
      </c>
      <c r="AA33" s="0" t="n">
        <f aca="false">H33*x_c_F+I33*x_c_CC+J33*x_c_DC+K33*x_c_HCC+L33*x_c_PLT+M33*x_c_SVRn+N33*x_c_SVRcc+O33*x_c_LT+P33*x_c_LT1</f>
        <v>326896018.15993</v>
      </c>
      <c r="AB33" s="0" t="n">
        <f aca="false">C33*x_c_DAA</f>
        <v>109976320</v>
      </c>
      <c r="AC33" s="0" t="n">
        <f aca="false">C33*x_c_MON</f>
        <v>27857107.6100244</v>
      </c>
      <c r="AD33" s="0" t="n">
        <f aca="false">D33*(1-x_testy)</f>
        <v>0</v>
      </c>
      <c r="AE33" s="0" t="n">
        <f aca="false">E33*(1-x_testy)</f>
        <v>0</v>
      </c>
      <c r="AF33" s="0" t="n">
        <f aca="false">F33*x_NAV</f>
        <v>0</v>
      </c>
      <c r="AG33" s="0" t="n">
        <f aca="false">G33*x_FIX*(1-x_testy)</f>
        <v>0</v>
      </c>
      <c r="AH33" s="0" t="n">
        <f aca="false">x_z_F*U33+(1-x_AGRI)*x_EMP*x_WLOSS*(x_PEN_K74*Q33+x_PEN_C22*R33)</f>
        <v>22012894.0044304</v>
      </c>
      <c r="AI33" s="0" t="n">
        <f aca="false">x_AGRI*x_EMP*x_WLOSS*(x_PEN_K74*Q33+x_PEN_C22*R33)</f>
        <v>1200428.36724444</v>
      </c>
      <c r="AJ33" s="0" t="n">
        <f aca="false">x_EMP*x_WAGE*(x_WLOSS*(Q33+R33)+S33)+U33*x_ABS_D*x_WAGE/365</f>
        <v>862206600.453439</v>
      </c>
      <c r="AK33" s="0" t="n">
        <f aca="false">AJ33*x_R_FUS</f>
        <v>272802168.383468</v>
      </c>
      <c r="AL33" s="0" t="n">
        <f aca="false">AJ33*x_R_NFZ</f>
        <v>66959826.7978145</v>
      </c>
      <c r="AM33" s="0" t="n">
        <f aca="false">AJ33*x_R_PIT</f>
        <v>57323093.5149121</v>
      </c>
      <c r="AN33" s="0" t="n">
        <f aca="false">AJ33*x_R_FP</f>
        <v>21986268.3115627</v>
      </c>
      <c r="AO33" s="0" t="n">
        <f aca="false">AA33+AB33+AC33+AD33+AF33</f>
        <v>464729445.769955</v>
      </c>
      <c r="AP33" s="0" t="n">
        <f aca="false">AO33+AE33+AG33+AH33+AI33+AK33+AL33+AM33+AN33</f>
        <v>907014125.149387</v>
      </c>
      <c r="AQ33" s="0" t="n">
        <f aca="false">AO33+AE33+AG33+AJ33</f>
        <v>1326936046.22339</v>
      </c>
      <c r="AR33" s="0" t="n">
        <f aca="false">AB33+AC33+AD33+AF33</f>
        <v>137833427.610024</v>
      </c>
      <c r="AS33" s="0" t="n">
        <f aca="false">AR33+AE33+AG33</f>
        <v>137833427.610024</v>
      </c>
    </row>
    <row r="34" customFormat="false" ht="15" hidden="false" customHeight="false" outlineLevel="0" collapsed="false">
      <c r="A34" s="0" t="n">
        <v>2057</v>
      </c>
      <c r="B34" s="0" t="n">
        <v>31</v>
      </c>
      <c r="C34" s="0" t="n">
        <v>4832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2247.021</v>
      </c>
      <c r="I34" s="0" t="n">
        <v>238.271</v>
      </c>
      <c r="J34" s="0" t="n">
        <v>1349.901</v>
      </c>
      <c r="K34" s="0" t="n">
        <v>2240.929</v>
      </c>
      <c r="L34" s="0" t="n">
        <v>1013.778</v>
      </c>
      <c r="M34" s="0" t="n">
        <v>105274.196</v>
      </c>
      <c r="N34" s="0" t="n">
        <v>8824.217</v>
      </c>
      <c r="O34" s="0" t="n">
        <v>75.789</v>
      </c>
      <c r="P34" s="0" t="n">
        <v>76.663</v>
      </c>
      <c r="Q34" s="0" t="n">
        <v>1384.36</v>
      </c>
      <c r="R34" s="0" t="n">
        <v>1510.763</v>
      </c>
      <c r="S34" s="0" t="n">
        <v>9404.86</v>
      </c>
      <c r="T34" s="0" t="n">
        <v>2485.292</v>
      </c>
      <c r="U34" s="0" t="n">
        <v>1888.825</v>
      </c>
      <c r="V34" s="0" t="n">
        <v>155127.134</v>
      </c>
      <c r="W34" s="0" t="n">
        <v>237.785</v>
      </c>
      <c r="X34" s="0" t="n">
        <v>635.994</v>
      </c>
      <c r="Y34" s="0" t="n">
        <v>75.789</v>
      </c>
      <c r="Z34" s="0" t="n">
        <v>799.07</v>
      </c>
      <c r="AA34" s="0" t="n">
        <f aca="false">H34*x_c_F+I34*x_c_CC+J34*x_c_DC+K34*x_c_HCC+L34*x_c_PLT+M34*x_c_SVRn+N34*x_c_SVRcc+O34*x_c_LT+P34*x_c_LT1</f>
        <v>323740839.331305</v>
      </c>
      <c r="AB34" s="0" t="n">
        <f aca="false">C34*x_c_DAA</f>
        <v>109976320</v>
      </c>
      <c r="AC34" s="0" t="n">
        <f aca="false">C34*x_c_MON</f>
        <v>27857107.6100244</v>
      </c>
      <c r="AD34" s="0" t="n">
        <f aca="false">D34*(1-x_testy)</f>
        <v>0</v>
      </c>
      <c r="AE34" s="0" t="n">
        <f aca="false">E34*(1-x_testy)</f>
        <v>0</v>
      </c>
      <c r="AF34" s="0" t="n">
        <f aca="false">F34*x_NAV</f>
        <v>0</v>
      </c>
      <c r="AG34" s="0" t="n">
        <f aca="false">G34*x_FIX*(1-x_testy)</f>
        <v>0</v>
      </c>
      <c r="AH34" s="0" t="n">
        <f aca="false">x_z_F*U34+(1-x_AGRI)*x_EMP*x_WLOSS*(x_PEN_K74*Q34+x_PEN_C22*R34)</f>
        <v>22537637.7639657</v>
      </c>
      <c r="AI34" s="0" t="n">
        <f aca="false">x_AGRI*x_EMP*x_WLOSS*(x_PEN_K74*Q34+x_PEN_C22*R34)</f>
        <v>1233019.37860785</v>
      </c>
      <c r="AJ34" s="0" t="n">
        <f aca="false">x_EMP*x_WAGE*(x_WLOSS*(Q34+R34)+S34)+U34*x_ABS_D*x_WAGE/365</f>
        <v>902172930.28533</v>
      </c>
      <c r="AK34" s="0" t="n">
        <f aca="false">AJ34*x_R_FUS</f>
        <v>285447515.142278</v>
      </c>
      <c r="AL34" s="0" t="n">
        <f aca="false">AJ34*x_R_NFZ</f>
        <v>70063651.938889</v>
      </c>
      <c r="AM34" s="0" t="n">
        <f aca="false">AJ34*x_R_PIT</f>
        <v>59980221.9354049</v>
      </c>
      <c r="AN34" s="0" t="n">
        <f aca="false">AJ34*x_R_FP</f>
        <v>23005409.7222759</v>
      </c>
      <c r="AO34" s="0" t="n">
        <f aca="false">AA34+AB34+AC34+AD34+AF34</f>
        <v>461574266.941329</v>
      </c>
      <c r="AP34" s="0" t="n">
        <f aca="false">AO34+AE34+AG34+AH34+AI34+AK34+AL34+AM34+AN34</f>
        <v>923841722.822751</v>
      </c>
      <c r="AQ34" s="0" t="n">
        <f aca="false">AO34+AE34+AG34+AJ34</f>
        <v>1363747197.22666</v>
      </c>
      <c r="AR34" s="0" t="n">
        <f aca="false">AB34+AC34+AD34+AF34</f>
        <v>137833427.610024</v>
      </c>
      <c r="AS34" s="0" t="n">
        <f aca="false">AR34+AE34+AG34</f>
        <v>137833427.610024</v>
      </c>
    </row>
    <row r="35" customFormat="false" ht="15" hidden="false" customHeight="false" outlineLevel="0" collapsed="false">
      <c r="A35" s="0" t="n">
        <v>2058</v>
      </c>
      <c r="B35" s="0" t="n">
        <v>32</v>
      </c>
      <c r="C35" s="0" t="n">
        <v>4832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2249.937</v>
      </c>
      <c r="I35" s="0" t="n">
        <v>234.659</v>
      </c>
      <c r="J35" s="0" t="n">
        <v>1321.429</v>
      </c>
      <c r="K35" s="0" t="n">
        <v>2200.237</v>
      </c>
      <c r="L35" s="0" t="n">
        <v>989.463</v>
      </c>
      <c r="M35" s="0" t="n">
        <v>107789.083</v>
      </c>
      <c r="N35" s="0" t="n">
        <v>8800.273</v>
      </c>
      <c r="O35" s="0" t="n">
        <v>74.332</v>
      </c>
      <c r="P35" s="0" t="n">
        <v>75.06</v>
      </c>
      <c r="Q35" s="0" t="n">
        <v>1421.03</v>
      </c>
      <c r="R35" s="0" t="n">
        <v>1548.238</v>
      </c>
      <c r="S35" s="0" t="n">
        <v>9846.725</v>
      </c>
      <c r="T35" s="0" t="n">
        <v>2484.595</v>
      </c>
      <c r="U35" s="0" t="n">
        <v>1902.686</v>
      </c>
      <c r="V35" s="0" t="n">
        <v>156629.4</v>
      </c>
      <c r="W35" s="0" t="n">
        <v>233.679</v>
      </c>
      <c r="X35" s="0" t="n">
        <v>626.165</v>
      </c>
      <c r="Y35" s="0" t="n">
        <v>74.332</v>
      </c>
      <c r="Z35" s="0" t="n">
        <v>784.679</v>
      </c>
      <c r="AA35" s="0" t="n">
        <f aca="false">H35*x_c_F+I35*x_c_CC+J35*x_c_DC+K35*x_c_HCC+L35*x_c_PLT+M35*x_c_SVRn+N35*x_c_SVRcc+O35*x_c_LT+P35*x_c_LT1</f>
        <v>320783286.43164</v>
      </c>
      <c r="AB35" s="0" t="n">
        <f aca="false">C35*x_c_DAA</f>
        <v>109976320</v>
      </c>
      <c r="AC35" s="0" t="n">
        <f aca="false">C35*x_c_MON</f>
        <v>27857107.6100244</v>
      </c>
      <c r="AD35" s="0" t="n">
        <f aca="false">D35*(1-x_testy)</f>
        <v>0</v>
      </c>
      <c r="AE35" s="0" t="n">
        <f aca="false">E35*(1-x_testy)</f>
        <v>0</v>
      </c>
      <c r="AF35" s="0" t="n">
        <f aca="false">F35*x_NAV</f>
        <v>0</v>
      </c>
      <c r="AG35" s="0" t="n">
        <f aca="false">G35*x_FIX*(1-x_testy)</f>
        <v>0</v>
      </c>
      <c r="AH35" s="0" t="n">
        <f aca="false">x_z_F*U35+(1-x_AGRI)*x_EMP*x_WLOSS*(x_PEN_K74*Q35+x_PEN_C22*R35)</f>
        <v>23042881.1678933</v>
      </c>
      <c r="AI35" s="0" t="n">
        <f aca="false">x_AGRI*x_EMP*x_WLOSS*(x_PEN_K74*Q35+x_PEN_C22*R35)</f>
        <v>1264531.40622593</v>
      </c>
      <c r="AJ35" s="0" t="n">
        <f aca="false">x_EMP*x_WAGE*(x_WLOSS*(Q35+R35)+S35)+U35*x_ABS_D*x_WAGE/365</f>
        <v>942314149.438624</v>
      </c>
      <c r="AK35" s="0" t="n">
        <f aca="false">AJ35*x_R_FUS</f>
        <v>298148196.882381</v>
      </c>
      <c r="AL35" s="0" t="n">
        <f aca="false">AJ35*x_R_NFZ</f>
        <v>73181059.1595529</v>
      </c>
      <c r="AM35" s="0" t="n">
        <f aca="false">AJ35*x_R_PIT</f>
        <v>62648977.7279455</v>
      </c>
      <c r="AN35" s="0" t="n">
        <f aca="false">AJ35*x_R_FP</f>
        <v>24029010.8106849</v>
      </c>
      <c r="AO35" s="0" t="n">
        <f aca="false">AA35+AB35+AC35+AD35+AF35</f>
        <v>458616714.041665</v>
      </c>
      <c r="AP35" s="0" t="n">
        <f aca="false">AO35+AE35+AG35+AH35+AI35+AK35+AL35+AM35+AN35</f>
        <v>940931371.196348</v>
      </c>
      <c r="AQ35" s="0" t="n">
        <f aca="false">AO35+AE35+AG35+AJ35</f>
        <v>1400930863.48029</v>
      </c>
      <c r="AR35" s="0" t="n">
        <f aca="false">AB35+AC35+AD35+AF35</f>
        <v>137833427.610024</v>
      </c>
      <c r="AS35" s="0" t="n">
        <f aca="false">AR35+AE35+AG35</f>
        <v>137833427.610024</v>
      </c>
    </row>
    <row r="36" customFormat="false" ht="15" hidden="false" customHeight="false" outlineLevel="0" collapsed="false">
      <c r="A36" s="0" t="n">
        <v>2059</v>
      </c>
      <c r="B36" s="0" t="n">
        <v>33</v>
      </c>
      <c r="C36" s="0" t="n">
        <v>4832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2252.627</v>
      </c>
      <c r="I36" s="0" t="n">
        <v>231.303</v>
      </c>
      <c r="J36" s="0" t="n">
        <v>1295.408</v>
      </c>
      <c r="K36" s="0" t="n">
        <v>2163.179</v>
      </c>
      <c r="L36" s="0" t="n">
        <v>967.152</v>
      </c>
      <c r="M36" s="0" t="n">
        <v>110339.003</v>
      </c>
      <c r="N36" s="0" t="n">
        <v>8778.888</v>
      </c>
      <c r="O36" s="0" t="n">
        <v>72.867</v>
      </c>
      <c r="P36" s="0" t="n">
        <v>73.599</v>
      </c>
      <c r="Q36" s="0" t="n">
        <v>1078.069</v>
      </c>
      <c r="R36" s="0" t="n">
        <v>1310.803</v>
      </c>
      <c r="S36" s="0" t="n">
        <v>6487.648</v>
      </c>
      <c r="T36" s="0" t="n">
        <v>2483.93</v>
      </c>
      <c r="U36" s="0" t="n">
        <v>1875.347</v>
      </c>
      <c r="V36" s="0" t="n">
        <v>158184.428</v>
      </c>
      <c r="W36" s="0" t="n">
        <v>229.672</v>
      </c>
      <c r="X36" s="0" t="n">
        <v>616.471</v>
      </c>
      <c r="Y36" s="0" t="n">
        <v>72.867</v>
      </c>
      <c r="Z36" s="0" t="n">
        <v>770.174</v>
      </c>
      <c r="AA36" s="0" t="n">
        <f aca="false">H36*x_c_F+I36*x_c_CC+J36*x_c_DC+K36*x_c_HCC+L36*x_c_PLT+M36*x_c_SVRn+N36*x_c_SVRcc+O36*x_c_LT+P36*x_c_LT1</f>
        <v>318195411.913461</v>
      </c>
      <c r="AB36" s="0" t="n">
        <f aca="false">C36*x_c_DAA</f>
        <v>109976320</v>
      </c>
      <c r="AC36" s="0" t="n">
        <f aca="false">C36*x_c_MON</f>
        <v>27857107.6100244</v>
      </c>
      <c r="AD36" s="0" t="n">
        <f aca="false">D36*(1-x_testy)</f>
        <v>0</v>
      </c>
      <c r="AE36" s="0" t="n">
        <f aca="false">E36*(1-x_testy)</f>
        <v>0</v>
      </c>
      <c r="AF36" s="0" t="n">
        <f aca="false">F36*x_NAV</f>
        <v>0</v>
      </c>
      <c r="AG36" s="0" t="n">
        <f aca="false">G36*x_FIX*(1-x_testy)</f>
        <v>0</v>
      </c>
      <c r="AH36" s="0" t="n">
        <f aca="false">x_z_F*U36+(1-x_AGRI)*x_EMP*x_WLOSS*(x_PEN_K74*Q36+x_PEN_C22*R36)</f>
        <v>19300671.1234812</v>
      </c>
      <c r="AI36" s="0" t="n">
        <f aca="false">x_AGRI*x_EMP*x_WLOSS*(x_PEN_K74*Q36+x_PEN_C22*R36)</f>
        <v>1020893.6407286</v>
      </c>
      <c r="AJ36" s="0" t="n">
        <f aca="false">x_EMP*x_WAGE*(x_WLOSS*(Q36+R36)+S36)+U36*x_ABS_D*x_WAGE/365</f>
        <v>636840058.084576</v>
      </c>
      <c r="AK36" s="0" t="n">
        <f aca="false">AJ36*x_R_FUS</f>
        <v>201496194.37796</v>
      </c>
      <c r="AL36" s="0" t="n">
        <f aca="false">AJ36*x_R_NFZ</f>
        <v>49457635.7509062</v>
      </c>
      <c r="AM36" s="0" t="n">
        <f aca="false">AJ36*x_R_PIT</f>
        <v>42339785.1331986</v>
      </c>
      <c r="AN36" s="0" t="n">
        <f aca="false">AJ36*x_R_FP</f>
        <v>16239421.4811567</v>
      </c>
      <c r="AO36" s="0" t="n">
        <f aca="false">AA36+AB36+AC36+AD36+AF36</f>
        <v>456028839.523485</v>
      </c>
      <c r="AP36" s="0" t="n">
        <f aca="false">AO36+AE36+AG36+AH36+AI36+AK36+AL36+AM36+AN36</f>
        <v>785883441.030916</v>
      </c>
      <c r="AQ36" s="0" t="n">
        <f aca="false">AO36+AE36+AG36+AJ36</f>
        <v>1092868897.60806</v>
      </c>
      <c r="AR36" s="0" t="n">
        <f aca="false">AB36+AC36+AD36+AF36</f>
        <v>137833427.610024</v>
      </c>
      <c r="AS36" s="0" t="n">
        <f aca="false">AR36+AE36+AG36</f>
        <v>137833427.610024</v>
      </c>
    </row>
    <row r="37" customFormat="false" ht="15" hidden="false" customHeight="false" outlineLevel="0" collapsed="false">
      <c r="A37" s="0" t="n">
        <v>2060</v>
      </c>
      <c r="B37" s="0" t="n">
        <v>34</v>
      </c>
      <c r="C37" s="0" t="n">
        <v>4832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2255.162</v>
      </c>
      <c r="I37" s="0" t="n">
        <v>228.122</v>
      </c>
      <c r="J37" s="0" t="n">
        <v>1269.433</v>
      </c>
      <c r="K37" s="0" t="n">
        <v>2126.433</v>
      </c>
      <c r="L37" s="0" t="n">
        <v>942.919</v>
      </c>
      <c r="M37" s="0" t="n">
        <v>112793.06</v>
      </c>
      <c r="N37" s="0" t="n">
        <v>8735.576</v>
      </c>
      <c r="O37" s="0" t="n">
        <v>71.408</v>
      </c>
      <c r="P37" s="0" t="n">
        <v>72.137</v>
      </c>
      <c r="Q37" s="0" t="n">
        <v>713.37</v>
      </c>
      <c r="R37" s="0" t="n">
        <v>1049.701</v>
      </c>
      <c r="S37" s="0" t="n">
        <v>2894.477</v>
      </c>
      <c r="T37" s="0" t="n">
        <v>2483.283</v>
      </c>
      <c r="U37" s="0" t="n">
        <v>1841.292</v>
      </c>
      <c r="V37" s="0" t="n">
        <v>159664.65</v>
      </c>
      <c r="W37" s="0" t="n">
        <v>225.787</v>
      </c>
      <c r="X37" s="0" t="n">
        <v>606.971</v>
      </c>
      <c r="Y37" s="0" t="n">
        <v>71.408</v>
      </c>
      <c r="Z37" s="0" t="n">
        <v>755.69</v>
      </c>
      <c r="AA37" s="0" t="n">
        <f aca="false">H37*x_c_F+I37*x_c_CC+J37*x_c_DC+K37*x_c_HCC+L37*x_c_PLT+M37*x_c_SVRn+N37*x_c_SVRcc+O37*x_c_LT+P37*x_c_LT1</f>
        <v>315450626.540726</v>
      </c>
      <c r="AB37" s="0" t="n">
        <f aca="false">C37*x_c_DAA</f>
        <v>109976320</v>
      </c>
      <c r="AC37" s="0" t="n">
        <f aca="false">C37*x_c_MON</f>
        <v>27857107.6100244</v>
      </c>
      <c r="AD37" s="0" t="n">
        <f aca="false">D37*(1-x_testy)</f>
        <v>0</v>
      </c>
      <c r="AE37" s="0" t="n">
        <f aca="false">E37*(1-x_testy)</f>
        <v>0</v>
      </c>
      <c r="AF37" s="0" t="n">
        <f aca="false">F37*x_NAV</f>
        <v>0</v>
      </c>
      <c r="AG37" s="0" t="n">
        <f aca="false">G37*x_FIX*(1-x_testy)</f>
        <v>0</v>
      </c>
      <c r="AH37" s="0" t="n">
        <f aca="false">x_z_F*U37+(1-x_AGRI)*x_EMP*x_WLOSS*(x_PEN_K74*Q37+x_PEN_C22*R37)</f>
        <v>15252113.6699988</v>
      </c>
      <c r="AI37" s="0" t="n">
        <f aca="false">x_AGRI*x_EMP*x_WLOSS*(x_PEN_K74*Q37+x_PEN_C22*R37)</f>
        <v>757919.546557975</v>
      </c>
      <c r="AJ37" s="0" t="n">
        <f aca="false">x_EMP*x_WAGE*(x_WLOSS*(Q37+R37)+S37)+U37*x_ABS_D*x_WAGE/365</f>
        <v>309901096.03578</v>
      </c>
      <c r="AK37" s="0" t="n">
        <f aca="false">AJ37*x_R_FUS</f>
        <v>98052706.7857208</v>
      </c>
      <c r="AL37" s="0" t="n">
        <f aca="false">AJ37*x_R_NFZ</f>
        <v>24067229.0192347</v>
      </c>
      <c r="AM37" s="0" t="n">
        <f aca="false">AJ37*x_R_PIT</f>
        <v>20603518.3436201</v>
      </c>
      <c r="AN37" s="0" t="n">
        <f aca="false">AJ37*x_R_FP</f>
        <v>7902477.94891239</v>
      </c>
      <c r="AO37" s="0" t="n">
        <f aca="false">AA37+AB37+AC37+AD37+AF37</f>
        <v>453284054.150751</v>
      </c>
      <c r="AP37" s="0" t="n">
        <f aca="false">AO37+AE37+AG37+AH37+AI37+AK37+AL37+AM37+AN37</f>
        <v>619920019.464795</v>
      </c>
      <c r="AQ37" s="0" t="n">
        <f aca="false">AO37+AE37+AG37+AJ37</f>
        <v>763185150.186531</v>
      </c>
      <c r="AR37" s="0" t="n">
        <f aca="false">AB37+AC37+AD37+AF37</f>
        <v>137833427.610024</v>
      </c>
      <c r="AS37" s="0" t="n">
        <f aca="false">AR37+AE37+AG37</f>
        <v>137833427.610024</v>
      </c>
    </row>
    <row r="38" customFormat="false" ht="15" hidden="false" customHeight="false" outlineLevel="0" collapsed="false">
      <c r="A38" s="0" t="n">
        <v>2061</v>
      </c>
      <c r="B38" s="0" t="n">
        <v>35</v>
      </c>
      <c r="C38" s="0" t="n">
        <v>4832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2257.517</v>
      </c>
      <c r="I38" s="0" t="n">
        <v>225.142</v>
      </c>
      <c r="J38" s="0" t="n">
        <v>1243.835</v>
      </c>
      <c r="K38" s="0" t="n">
        <v>2090.389</v>
      </c>
      <c r="L38" s="0" t="n">
        <v>917.046</v>
      </c>
      <c r="M38" s="0" t="n">
        <v>115152.437</v>
      </c>
      <c r="N38" s="0" t="n">
        <v>8672.409</v>
      </c>
      <c r="O38" s="0" t="n">
        <v>69.977</v>
      </c>
      <c r="P38" s="0" t="n">
        <v>70.692</v>
      </c>
      <c r="Q38" s="0" t="n">
        <v>706.189</v>
      </c>
      <c r="R38" s="0" t="n">
        <v>1039.04</v>
      </c>
      <c r="S38" s="0" t="n">
        <v>2869.224</v>
      </c>
      <c r="T38" s="0" t="n">
        <v>2482.659</v>
      </c>
      <c r="U38" s="0" t="n">
        <v>1840.853</v>
      </c>
      <c r="V38" s="0" t="n">
        <v>161073.275</v>
      </c>
      <c r="W38" s="0" t="n">
        <v>222.064</v>
      </c>
      <c r="X38" s="0" t="n">
        <v>597.768</v>
      </c>
      <c r="Y38" s="0" t="n">
        <v>69.977</v>
      </c>
      <c r="Z38" s="0" t="n">
        <v>741.438</v>
      </c>
      <c r="AA38" s="0" t="n">
        <f aca="false">H38*x_c_F+I38*x_c_CC+J38*x_c_DC+K38*x_c_HCC+L38*x_c_PLT+M38*x_c_SVRn+N38*x_c_SVRcc+O38*x_c_LT+P38*x_c_LT1</f>
        <v>312603259.58169</v>
      </c>
      <c r="AB38" s="0" t="n">
        <f aca="false">C38*x_c_DAA</f>
        <v>109976320</v>
      </c>
      <c r="AC38" s="0" t="n">
        <f aca="false">C38*x_c_MON</f>
        <v>27857107.6100244</v>
      </c>
      <c r="AD38" s="0" t="n">
        <f aca="false">D38*(1-x_testy)</f>
        <v>0</v>
      </c>
      <c r="AE38" s="0" t="n">
        <f aca="false">E38*(1-x_testy)</f>
        <v>0</v>
      </c>
      <c r="AF38" s="0" t="n">
        <f aca="false">F38*x_NAV</f>
        <v>0</v>
      </c>
      <c r="AG38" s="0" t="n">
        <f aca="false">G38*x_FIX*(1-x_testy)</f>
        <v>0</v>
      </c>
      <c r="AH38" s="0" t="n">
        <f aca="false">x_z_F*U38+(1-x_AGRI)*x_EMP*x_WLOSS*(x_PEN_K74*Q38+x_PEN_C22*R38)</f>
        <v>15135139.7053821</v>
      </c>
      <c r="AI38" s="0" t="n">
        <f aca="false">x_AGRI*x_EMP*x_WLOSS*(x_PEN_K74*Q38+x_PEN_C22*R38)</f>
        <v>750247.448327684</v>
      </c>
      <c r="AJ38" s="0" t="n">
        <f aca="false">x_EMP*x_WAGE*(x_WLOSS*(Q38+R38)+S38)+U38*x_ABS_D*x_WAGE/365</f>
        <v>307162727.886132</v>
      </c>
      <c r="AK38" s="0" t="n">
        <f aca="false">AJ38*x_R_FUS</f>
        <v>97186287.103172</v>
      </c>
      <c r="AL38" s="0" t="n">
        <f aca="false">AJ38*x_R_NFZ</f>
        <v>23854564.6103649</v>
      </c>
      <c r="AM38" s="0" t="n">
        <f aca="false">AJ38*x_R_PIT</f>
        <v>20421460.1995071</v>
      </c>
      <c r="AN38" s="0" t="n">
        <f aca="false">AJ38*x_R_FP</f>
        <v>7832649.56109635</v>
      </c>
      <c r="AO38" s="0" t="n">
        <f aca="false">AA38+AB38+AC38+AD38+AF38</f>
        <v>450436687.191715</v>
      </c>
      <c r="AP38" s="0" t="n">
        <f aca="false">AO38+AE38+AG38+AH38+AI38+AK38+AL38+AM38+AN38</f>
        <v>615617035.819565</v>
      </c>
      <c r="AQ38" s="0" t="n">
        <f aca="false">AO38+AE38+AG38+AJ38</f>
        <v>757599415.077846</v>
      </c>
      <c r="AR38" s="0" t="n">
        <f aca="false">AB38+AC38+AD38+AF38</f>
        <v>137833427.610024</v>
      </c>
      <c r="AS38" s="0" t="n">
        <f aca="false">AR38+AE38+AG38</f>
        <v>137833427.610024</v>
      </c>
    </row>
    <row r="39" customFormat="false" ht="15" hidden="false" customHeight="false" outlineLevel="0" collapsed="false">
      <c r="A39" s="0" t="n">
        <v>2062</v>
      </c>
      <c r="B39" s="0" t="n">
        <v>36</v>
      </c>
      <c r="C39" s="0" t="n">
        <v>4832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2259.662</v>
      </c>
      <c r="I39" s="0" t="n">
        <v>222.396</v>
      </c>
      <c r="J39" s="0" t="n">
        <v>1219.017</v>
      </c>
      <c r="K39" s="0" t="n">
        <v>2055.552</v>
      </c>
      <c r="L39" s="0" t="n">
        <v>889.978</v>
      </c>
      <c r="M39" s="0" t="n">
        <v>117423.557</v>
      </c>
      <c r="N39" s="0" t="n">
        <v>8592.743</v>
      </c>
      <c r="O39" s="0" t="n">
        <v>68.601</v>
      </c>
      <c r="P39" s="0" t="n">
        <v>69.289</v>
      </c>
      <c r="Q39" s="0" t="n">
        <v>699.117</v>
      </c>
      <c r="R39" s="0" t="n">
        <v>1028.632</v>
      </c>
      <c r="S39" s="0" t="n">
        <v>2843.875</v>
      </c>
      <c r="T39" s="0" t="n">
        <v>2482.058</v>
      </c>
      <c r="U39" s="0" t="n">
        <v>1840.392</v>
      </c>
      <c r="V39" s="0" t="n">
        <v>162418.978</v>
      </c>
      <c r="W39" s="0" t="n">
        <v>218.548</v>
      </c>
      <c r="X39" s="0" t="n">
        <v>588.981</v>
      </c>
      <c r="Y39" s="0" t="n">
        <v>68.601</v>
      </c>
      <c r="Z39" s="0" t="n">
        <v>727.647</v>
      </c>
      <c r="AA39" s="0" t="n">
        <f aca="false">H39*x_c_F+I39*x_c_CC+J39*x_c_DC+K39*x_c_HCC+L39*x_c_PLT+M39*x_c_SVRn+N39*x_c_SVRcc+O39*x_c_LT+P39*x_c_LT1</f>
        <v>309730149.210716</v>
      </c>
      <c r="AB39" s="0" t="n">
        <f aca="false">C39*x_c_DAA</f>
        <v>109976320</v>
      </c>
      <c r="AC39" s="0" t="n">
        <f aca="false">C39*x_c_MON</f>
        <v>27857107.6100244</v>
      </c>
      <c r="AD39" s="0" t="n">
        <f aca="false">D39*(1-x_testy)</f>
        <v>0</v>
      </c>
      <c r="AE39" s="0" t="n">
        <f aca="false">E39*(1-x_testy)</f>
        <v>0</v>
      </c>
      <c r="AF39" s="0" t="n">
        <f aca="false">F39*x_NAV</f>
        <v>0</v>
      </c>
      <c r="AG39" s="0" t="n">
        <f aca="false">G39*x_FIX*(1-x_testy)</f>
        <v>0</v>
      </c>
      <c r="AH39" s="0" t="n">
        <f aca="false">x_z_F*U39+(1-x_AGRI)*x_EMP*x_WLOSS*(x_PEN_K74*Q39+x_PEN_C22*R39)</f>
        <v>15020505.6302486</v>
      </c>
      <c r="AI39" s="0" t="n">
        <f aca="false">x_AGRI*x_EMP*x_WLOSS*(x_PEN_K74*Q39+x_PEN_C22*R39)</f>
        <v>742733.001914636</v>
      </c>
      <c r="AJ39" s="0" t="n">
        <f aca="false">x_EMP*x_WAGE*(x_WLOSS*(Q39+R39)+S39)+U39*x_ABS_D*x_WAGE/365</f>
        <v>304427958.91051</v>
      </c>
      <c r="AK39" s="0" t="n">
        <f aca="false">AJ39*x_R_FUS</f>
        <v>96321006.1992852</v>
      </c>
      <c r="AL39" s="0" t="n">
        <f aca="false">AJ39*x_R_NFZ</f>
        <v>23642179.7169491</v>
      </c>
      <c r="AM39" s="0" t="n">
        <f aca="false">AJ39*x_R_PIT</f>
        <v>20239641.3435057</v>
      </c>
      <c r="AN39" s="0" t="n">
        <f aca="false">AJ39*x_R_FP</f>
        <v>7762912.95221799</v>
      </c>
      <c r="AO39" s="0" t="n">
        <f aca="false">AA39+AB39+AC39+AD39+AF39</f>
        <v>447563576.82074</v>
      </c>
      <c r="AP39" s="0" t="n">
        <f aca="false">AO39+AE39+AG39+AH39+AI39+AK39+AL39+AM39+AN39</f>
        <v>611292555.664861</v>
      </c>
      <c r="AQ39" s="0" t="n">
        <f aca="false">AO39+AE39+AG39+AJ39</f>
        <v>751991535.73125</v>
      </c>
      <c r="AR39" s="0" t="n">
        <f aca="false">AB39+AC39+AD39+AF39</f>
        <v>137833427.610024</v>
      </c>
      <c r="AS39" s="0" t="n">
        <f aca="false">AR39+AE39+AG39</f>
        <v>137833427.610024</v>
      </c>
    </row>
    <row r="40" customFormat="false" ht="15" hidden="false" customHeight="false" outlineLevel="0" collapsed="false">
      <c r="A40" s="0" t="n">
        <v>2063</v>
      </c>
      <c r="B40" s="0" t="n">
        <v>37</v>
      </c>
      <c r="C40" s="0" t="n">
        <v>4832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2261.564</v>
      </c>
      <c r="I40" s="0" t="n">
        <v>219.921</v>
      </c>
      <c r="J40" s="0" t="n">
        <v>1195.433</v>
      </c>
      <c r="K40" s="0" t="n">
        <v>2022.496</v>
      </c>
      <c r="L40" s="0" t="n">
        <v>862.313</v>
      </c>
      <c r="M40" s="0" t="n">
        <v>119618.09</v>
      </c>
      <c r="N40" s="0" t="n">
        <v>8501.149</v>
      </c>
      <c r="O40" s="0" t="n">
        <v>67.305</v>
      </c>
      <c r="P40" s="0" t="n">
        <v>67.953</v>
      </c>
      <c r="Q40" s="0" t="n">
        <v>692.181</v>
      </c>
      <c r="R40" s="0" t="n">
        <v>1018.505</v>
      </c>
      <c r="S40" s="0" t="n">
        <v>2818.567</v>
      </c>
      <c r="T40" s="0" t="n">
        <v>2481.485</v>
      </c>
      <c r="U40" s="0" t="n">
        <v>1839.856</v>
      </c>
      <c r="V40" s="0" t="n">
        <v>163715.617</v>
      </c>
      <c r="W40" s="0" t="n">
        <v>215.291</v>
      </c>
      <c r="X40" s="0" t="n">
        <v>580.756</v>
      </c>
      <c r="Y40" s="0" t="n">
        <v>67.305</v>
      </c>
      <c r="Z40" s="0" t="n">
        <v>714.592</v>
      </c>
      <c r="AA40" s="0" t="n">
        <f aca="false">H40*x_c_F+I40*x_c_CC+J40*x_c_DC+K40*x_c_HCC+L40*x_c_PLT+M40*x_c_SVRn+N40*x_c_SVRcc+O40*x_c_LT+P40*x_c_LT1</f>
        <v>306924125.31753</v>
      </c>
      <c r="AB40" s="0" t="n">
        <f aca="false">C40*x_c_DAA</f>
        <v>109976320</v>
      </c>
      <c r="AC40" s="0" t="n">
        <f aca="false">C40*x_c_MON</f>
        <v>27857107.6100244</v>
      </c>
      <c r="AD40" s="0" t="n">
        <f aca="false">D40*(1-x_testy)</f>
        <v>0</v>
      </c>
      <c r="AE40" s="0" t="n">
        <f aca="false">E40*(1-x_testy)</f>
        <v>0</v>
      </c>
      <c r="AF40" s="0" t="n">
        <f aca="false">F40*x_NAV</f>
        <v>0</v>
      </c>
      <c r="AG40" s="0" t="n">
        <f aca="false">G40*x_FIX*(1-x_testy)</f>
        <v>0</v>
      </c>
      <c r="AH40" s="0" t="n">
        <f aca="false">x_z_F*U40+(1-x_AGRI)*x_EMP*x_WLOSS*(x_PEN_K74*Q40+x_PEN_C22*R40)</f>
        <v>14908456.2925384</v>
      </c>
      <c r="AI40" s="0" t="n">
        <f aca="false">x_AGRI*x_EMP*x_WLOSS*(x_PEN_K74*Q40+x_PEN_C22*R40)</f>
        <v>735399.593546371</v>
      </c>
      <c r="AJ40" s="0" t="n">
        <f aca="false">x_EMP*x_WAGE*(x_WLOSS*(Q40+R40)+S40)+U40*x_ABS_D*x_WAGE/365</f>
        <v>301710114.346738</v>
      </c>
      <c r="AK40" s="0" t="n">
        <f aca="false">AJ40*x_R_FUS</f>
        <v>95461080.1793077</v>
      </c>
      <c r="AL40" s="0" t="n">
        <f aca="false">AJ40*x_R_NFZ</f>
        <v>23431109.190282</v>
      </c>
      <c r="AM40" s="0" t="n">
        <f aca="false">AJ40*x_R_PIT</f>
        <v>20058947.6930441</v>
      </c>
      <c r="AN40" s="0" t="n">
        <f aca="false">AJ40*x_R_FP</f>
        <v>7693607.91584181</v>
      </c>
      <c r="AO40" s="0" t="n">
        <f aca="false">AA40+AB40+AC40+AD40+AF40</f>
        <v>444757552.927554</v>
      </c>
      <c r="AP40" s="0" t="n">
        <f aca="false">AO40+AE40+AG40+AH40+AI40+AK40+AL40+AM40+AN40</f>
        <v>607046153.792115</v>
      </c>
      <c r="AQ40" s="0" t="n">
        <f aca="false">AO40+AE40+AG40+AJ40</f>
        <v>746467667.274292</v>
      </c>
      <c r="AR40" s="0" t="n">
        <f aca="false">AB40+AC40+AD40+AF40</f>
        <v>137833427.610024</v>
      </c>
      <c r="AS40" s="0" t="n">
        <f aca="false">AR40+AE40+AG40</f>
        <v>137833427.610024</v>
      </c>
    </row>
    <row r="41" customFormat="false" ht="15" hidden="false" customHeight="false" outlineLevel="0" collapsed="false">
      <c r="A41" s="0" t="n">
        <v>2064</v>
      </c>
      <c r="B41" s="0" t="n">
        <v>38</v>
      </c>
      <c r="C41" s="0" t="n">
        <v>4832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2263.199</v>
      </c>
      <c r="I41" s="0" t="n">
        <v>217.745</v>
      </c>
      <c r="J41" s="0" t="n">
        <v>1173.543</v>
      </c>
      <c r="K41" s="0" t="n">
        <v>1991.82</v>
      </c>
      <c r="L41" s="0" t="n">
        <v>834.767</v>
      </c>
      <c r="M41" s="0" t="n">
        <v>121752.479</v>
      </c>
      <c r="N41" s="0" t="n">
        <v>8403.212</v>
      </c>
      <c r="O41" s="0" t="n">
        <v>66.115</v>
      </c>
      <c r="P41" s="0" t="n">
        <v>66.71</v>
      </c>
      <c r="Q41" s="0" t="n">
        <v>685.415</v>
      </c>
      <c r="R41" s="0" t="n">
        <v>1008.692</v>
      </c>
      <c r="S41" s="0" t="n">
        <v>2793.524</v>
      </c>
      <c r="T41" s="0" t="n">
        <v>2480.944</v>
      </c>
      <c r="U41" s="0" t="n">
        <v>1839.198</v>
      </c>
      <c r="V41" s="0" t="n">
        <v>164981.333</v>
      </c>
      <c r="W41" s="0" t="n">
        <v>212.342</v>
      </c>
      <c r="X41" s="0" t="n">
        <v>573.231</v>
      </c>
      <c r="Y41" s="0" t="n">
        <v>66.115</v>
      </c>
      <c r="Z41" s="0" t="n">
        <v>702.529</v>
      </c>
      <c r="AA41" s="0" t="n">
        <f aca="false">H41*x_c_F+I41*x_c_CC+J41*x_c_DC+K41*x_c_HCC+L41*x_c_PLT+M41*x_c_SVRn+N41*x_c_SVRcc+O41*x_c_LT+P41*x_c_LT1</f>
        <v>304289517.69973</v>
      </c>
      <c r="AB41" s="0" t="n">
        <f aca="false">C41*x_c_DAA</f>
        <v>109976320</v>
      </c>
      <c r="AC41" s="0" t="n">
        <f aca="false">C41*x_c_MON</f>
        <v>27857107.6100244</v>
      </c>
      <c r="AD41" s="0" t="n">
        <f aca="false">D41*(1-x_testy)</f>
        <v>0</v>
      </c>
      <c r="AE41" s="0" t="n">
        <f aca="false">E41*(1-x_testy)</f>
        <v>0</v>
      </c>
      <c r="AF41" s="0" t="n">
        <f aca="false">F41*x_NAV</f>
        <v>0</v>
      </c>
      <c r="AG41" s="0" t="n">
        <f aca="false">G41*x_FIX*(1-x_testy)</f>
        <v>0</v>
      </c>
      <c r="AH41" s="0" t="n">
        <f aca="false">x_z_F*U41+(1-x_AGRI)*x_EMP*x_WLOSS*(x_PEN_K74*Q41+x_PEN_C22*R41)</f>
        <v>14799325.1603603</v>
      </c>
      <c r="AI41" s="0" t="n">
        <f aca="false">x_AGRI*x_EMP*x_WLOSS*(x_PEN_K74*Q41+x_PEN_C22*R41)</f>
        <v>728275.651724602</v>
      </c>
      <c r="AJ41" s="0" t="n">
        <f aca="false">x_EMP*x_WAGE*(x_WLOSS*(Q41+R41)+S41)+U41*x_ABS_D*x_WAGE/365</f>
        <v>299030347.497724</v>
      </c>
      <c r="AK41" s="0" t="n">
        <f aca="false">AJ41*x_R_FUS</f>
        <v>94613201.9482799</v>
      </c>
      <c r="AL41" s="0" t="n">
        <f aca="false">AJ41*x_R_NFZ</f>
        <v>23222995.8170208</v>
      </c>
      <c r="AM41" s="0" t="n">
        <f aca="false">AJ41*x_R_PIT</f>
        <v>19880785.60799</v>
      </c>
      <c r="AN41" s="0" t="n">
        <f aca="false">AJ41*x_R_FP</f>
        <v>7625273.86119197</v>
      </c>
      <c r="AO41" s="0" t="n">
        <f aca="false">AA41+AB41+AC41+AD41+AF41</f>
        <v>442122945.309754</v>
      </c>
      <c r="AP41" s="0" t="n">
        <f aca="false">AO41+AE41+AG41+AH41+AI41+AK41+AL41+AM41+AN41</f>
        <v>602992803.356322</v>
      </c>
      <c r="AQ41" s="0" t="n">
        <f aca="false">AO41+AE41+AG41+AJ41</f>
        <v>741153292.807479</v>
      </c>
      <c r="AR41" s="0" t="n">
        <f aca="false">AB41+AC41+AD41+AF41</f>
        <v>137833427.610024</v>
      </c>
      <c r="AS41" s="0" t="n">
        <f aca="false">AR41+AE41+AG41</f>
        <v>137833427.610024</v>
      </c>
    </row>
    <row r="42" customFormat="false" ht="15" hidden="false" customHeight="false" outlineLevel="0" collapsed="false">
      <c r="A42" s="0" t="n">
        <v>2065</v>
      </c>
      <c r="B42" s="0" t="n">
        <v>39</v>
      </c>
      <c r="C42" s="0" t="n">
        <v>4832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2264.553</v>
      </c>
      <c r="I42" s="0" t="n">
        <v>215.881</v>
      </c>
      <c r="J42" s="0" t="n">
        <v>1153.735</v>
      </c>
      <c r="K42" s="0" t="n">
        <v>1964.025</v>
      </c>
      <c r="L42" s="0" t="n">
        <v>808.076</v>
      </c>
      <c r="M42" s="0" t="n">
        <v>123844.878</v>
      </c>
      <c r="N42" s="0" t="n">
        <v>8304.731</v>
      </c>
      <c r="O42" s="0" t="n">
        <v>65.052</v>
      </c>
      <c r="P42" s="0" t="n">
        <v>65.584</v>
      </c>
      <c r="Q42" s="0" t="n">
        <v>678.848</v>
      </c>
      <c r="R42" s="0" t="n">
        <v>999.216</v>
      </c>
      <c r="S42" s="0" t="n">
        <v>2768.931</v>
      </c>
      <c r="T42" s="0" t="n">
        <v>2480.434</v>
      </c>
      <c r="U42" s="0" t="n">
        <v>1838.392</v>
      </c>
      <c r="V42" s="0" t="n">
        <v>166234.954</v>
      </c>
      <c r="W42" s="0" t="n">
        <v>209.732</v>
      </c>
      <c r="X42" s="0" t="n">
        <v>566.501</v>
      </c>
      <c r="Y42" s="0" t="n">
        <v>65.052</v>
      </c>
      <c r="Z42" s="0" t="n">
        <v>691.659</v>
      </c>
      <c r="AA42" s="0" t="n">
        <f aca="false">H42*x_c_F+I42*x_c_CC+J42*x_c_DC+K42*x_c_HCC+L42*x_c_PLT+M42*x_c_SVRn+N42*x_c_SVRcc+O42*x_c_LT+P42*x_c_LT1</f>
        <v>301923602.302891</v>
      </c>
      <c r="AB42" s="0" t="n">
        <f aca="false">C42*x_c_DAA</f>
        <v>109976320</v>
      </c>
      <c r="AC42" s="0" t="n">
        <f aca="false">C42*x_c_MON</f>
        <v>27857107.6100244</v>
      </c>
      <c r="AD42" s="0" t="n">
        <f aca="false">D42*(1-x_testy)</f>
        <v>0</v>
      </c>
      <c r="AE42" s="0" t="n">
        <f aca="false">E42*(1-x_testy)</f>
        <v>0</v>
      </c>
      <c r="AF42" s="0" t="n">
        <f aca="false">F42*x_NAV</f>
        <v>0</v>
      </c>
      <c r="AG42" s="0" t="n">
        <f aca="false">G42*x_FIX*(1-x_testy)</f>
        <v>0</v>
      </c>
      <c r="AH42" s="0" t="n">
        <f aca="false">x_z_F*U42+(1-x_AGRI)*x_EMP*x_WLOSS*(x_PEN_K74*Q42+x_PEN_C22*R42)</f>
        <v>14693390.4417656</v>
      </c>
      <c r="AI42" s="0" t="n">
        <f aca="false">x_AGRI*x_EMP*x_WLOSS*(x_PEN_K74*Q42+x_PEN_C22*R42)</f>
        <v>721383.098646186</v>
      </c>
      <c r="AJ42" s="0" t="n">
        <f aca="false">x_EMP*x_WAGE*(x_WLOSS*(Q42+R42)+S42)+U42*x_ABS_D*x_WAGE/365</f>
        <v>296406057.220037</v>
      </c>
      <c r="AK42" s="0" t="n">
        <f aca="false">AJ42*x_R_FUS</f>
        <v>93782876.5044196</v>
      </c>
      <c r="AL42" s="0" t="n">
        <f aca="false">AJ42*x_R_NFZ</f>
        <v>23019190.8097653</v>
      </c>
      <c r="AM42" s="0" t="n">
        <f aca="false">AJ42*x_R_PIT</f>
        <v>19706311.8369483</v>
      </c>
      <c r="AN42" s="0" t="n">
        <f aca="false">AJ42*x_R_FP</f>
        <v>7558354.45911093</v>
      </c>
      <c r="AO42" s="0" t="n">
        <f aca="false">AA42+AB42+AC42+AD42+AF42</f>
        <v>439757029.912915</v>
      </c>
      <c r="AP42" s="0" t="n">
        <f aca="false">AO42+AE42+AG42+AH42+AI42+AK42+AL42+AM42+AN42</f>
        <v>599238537.063571</v>
      </c>
      <c r="AQ42" s="0" t="n">
        <f aca="false">AO42+AE42+AG42+AJ42</f>
        <v>736163087.132952</v>
      </c>
      <c r="AR42" s="0" t="n">
        <f aca="false">AB42+AC42+AD42+AF42</f>
        <v>137833427.610024</v>
      </c>
      <c r="AS42" s="0" t="n">
        <f aca="false">AR42+AE42+AG42</f>
        <v>137833427.610024</v>
      </c>
    </row>
    <row r="43" customFormat="false" ht="15" hidden="false" customHeight="false" outlineLevel="0" collapsed="false">
      <c r="A43" s="0" t="n">
        <v>2066</v>
      </c>
      <c r="B43" s="0" t="n">
        <v>40</v>
      </c>
      <c r="C43" s="0" t="n">
        <v>4832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2265.635</v>
      </c>
      <c r="I43" s="0" t="n">
        <v>214.323</v>
      </c>
      <c r="J43" s="0" t="n">
        <v>1136.266</v>
      </c>
      <c r="K43" s="0" t="n">
        <v>1939.438</v>
      </c>
      <c r="L43" s="0" t="n">
        <v>782.906</v>
      </c>
      <c r="M43" s="0" t="n">
        <v>125912.742</v>
      </c>
      <c r="N43" s="0" t="n">
        <v>8211.073</v>
      </c>
      <c r="O43" s="0" t="n">
        <v>64.126</v>
      </c>
      <c r="P43" s="0" t="n">
        <v>64.589</v>
      </c>
      <c r="Q43" s="0" t="n">
        <v>672.501</v>
      </c>
      <c r="R43" s="0" t="n">
        <v>990.095</v>
      </c>
      <c r="S43" s="0" t="n">
        <v>2744.935</v>
      </c>
      <c r="T43" s="0" t="n">
        <v>2479.958</v>
      </c>
      <c r="U43" s="0" t="n">
        <v>1837.441</v>
      </c>
      <c r="V43" s="0" t="n">
        <v>167493.446</v>
      </c>
      <c r="W43" s="0" t="n">
        <v>207.467</v>
      </c>
      <c r="X43" s="0" t="n">
        <v>560.606</v>
      </c>
      <c r="Y43" s="0" t="n">
        <v>64.126</v>
      </c>
      <c r="Z43" s="0" t="n">
        <v>682.107</v>
      </c>
      <c r="AA43" s="0" t="n">
        <f aca="false">H43*x_c_F+I43*x_c_CC+J43*x_c_DC+K43*x_c_HCC+L43*x_c_PLT+M43*x_c_SVRn+N43*x_c_SVRcc+O43*x_c_LT+P43*x_c_LT1</f>
        <v>299902230.072335</v>
      </c>
      <c r="AB43" s="0" t="n">
        <f aca="false">C43*x_c_DAA</f>
        <v>109976320</v>
      </c>
      <c r="AC43" s="0" t="n">
        <f aca="false">C43*x_c_MON</f>
        <v>27857107.6100244</v>
      </c>
      <c r="AD43" s="0" t="n">
        <f aca="false">D43*(1-x_testy)</f>
        <v>0</v>
      </c>
      <c r="AE43" s="0" t="n">
        <f aca="false">E43*(1-x_testy)</f>
        <v>0</v>
      </c>
      <c r="AF43" s="0" t="n">
        <f aca="false">F43*x_NAV</f>
        <v>0</v>
      </c>
      <c r="AG43" s="0" t="n">
        <f aca="false">G43*x_FIX*(1-x_testy)</f>
        <v>0</v>
      </c>
      <c r="AH43" s="0" t="n">
        <f aca="false">x_z_F*U43+(1-x_AGRI)*x_EMP*x_WLOSS*(x_PEN_K74*Q43+x_PEN_C22*R43)</f>
        <v>14590907.6663289</v>
      </c>
      <c r="AI43" s="0" t="n">
        <f aca="false">x_AGRI*x_EMP*x_WLOSS*(x_PEN_K74*Q43+x_PEN_C22*R43)</f>
        <v>714738.416651193</v>
      </c>
      <c r="AJ43" s="0" t="n">
        <f aca="false">x_EMP*x_WAGE*(x_WLOSS*(Q43+R43)+S43)+U43*x_ABS_D*x_WAGE/365</f>
        <v>293851062.146567</v>
      </c>
      <c r="AK43" s="0" t="n">
        <f aca="false">AJ43*x_R_FUS</f>
        <v>92974476.0631738</v>
      </c>
      <c r="AL43" s="0" t="n">
        <f aca="false">AJ43*x_R_NFZ</f>
        <v>22820767.3373645</v>
      </c>
      <c r="AM43" s="0" t="n">
        <f aca="false">AJ43*x_R_PIT</f>
        <v>19536445.1003105</v>
      </c>
      <c r="AN43" s="0" t="n">
        <f aca="false">AJ43*x_R_FP</f>
        <v>7493202.08473746</v>
      </c>
      <c r="AO43" s="0" t="n">
        <f aca="false">AA43+AB43+AC43+AD43+AF43</f>
        <v>437735657.68236</v>
      </c>
      <c r="AP43" s="0" t="n">
        <f aca="false">AO43+AE43+AG43+AH43+AI43+AK43+AL43+AM43+AN43</f>
        <v>595866194.350926</v>
      </c>
      <c r="AQ43" s="0" t="n">
        <f aca="false">AO43+AE43+AG43+AJ43</f>
        <v>731586719.828927</v>
      </c>
      <c r="AR43" s="0" t="n">
        <f aca="false">AB43+AC43+AD43+AF43</f>
        <v>137833427.610024</v>
      </c>
      <c r="AS43" s="0" t="n">
        <f aca="false">AR43+AE43+AG43</f>
        <v>137833427.610024</v>
      </c>
    </row>
    <row r="44" customFormat="false" ht="15" hidden="false" customHeight="false" outlineLevel="0" collapsed="false">
      <c r="A44" s="0" t="n">
        <v>2067</v>
      </c>
      <c r="B44" s="0" t="n">
        <v>41</v>
      </c>
      <c r="C44" s="0" t="n">
        <v>4832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2266.472</v>
      </c>
      <c r="I44" s="0" t="n">
        <v>213.039</v>
      </c>
      <c r="J44" s="0" t="n">
        <v>1121.226</v>
      </c>
      <c r="K44" s="0" t="n">
        <v>1918.152</v>
      </c>
      <c r="L44" s="0" t="n">
        <v>759.778</v>
      </c>
      <c r="M44" s="0" t="n">
        <v>127970.061</v>
      </c>
      <c r="N44" s="0" t="n">
        <v>8126.499</v>
      </c>
      <c r="O44" s="0" t="n">
        <v>63.338</v>
      </c>
      <c r="P44" s="0" t="n">
        <v>63.732</v>
      </c>
      <c r="Q44" s="0" t="n">
        <v>666.39</v>
      </c>
      <c r="R44" s="0" t="n">
        <v>981.341</v>
      </c>
      <c r="S44" s="0" t="n">
        <v>2721.654</v>
      </c>
      <c r="T44" s="0" t="n">
        <v>2479.512</v>
      </c>
      <c r="U44" s="0" t="n">
        <v>1836.38</v>
      </c>
      <c r="V44" s="0" t="n">
        <v>168769.196</v>
      </c>
      <c r="W44" s="0" t="n">
        <v>205.529</v>
      </c>
      <c r="X44" s="0" t="n">
        <v>555.519</v>
      </c>
      <c r="Y44" s="0" t="n">
        <v>63.338</v>
      </c>
      <c r="Z44" s="0" t="n">
        <v>673.892</v>
      </c>
      <c r="AA44" s="0" t="n">
        <f aca="false">H44*x_c_F+I44*x_c_CC+J44*x_c_DC+K44*x_c_HCC+L44*x_c_PLT+M44*x_c_SVRn+N44*x_c_SVRcc+O44*x_c_LT+P44*x_c_LT1</f>
        <v>298270255.404956</v>
      </c>
      <c r="AB44" s="0" t="n">
        <f aca="false">C44*x_c_DAA</f>
        <v>109976320</v>
      </c>
      <c r="AC44" s="0" t="n">
        <f aca="false">C44*x_c_MON</f>
        <v>27857107.6100244</v>
      </c>
      <c r="AD44" s="0" t="n">
        <f aca="false">D44*(1-x_testy)</f>
        <v>0</v>
      </c>
      <c r="AE44" s="0" t="n">
        <f aca="false">E44*(1-x_testy)</f>
        <v>0</v>
      </c>
      <c r="AF44" s="0" t="n">
        <f aca="false">F44*x_NAV</f>
        <v>0</v>
      </c>
      <c r="AG44" s="0" t="n">
        <f aca="false">G44*x_FIX*(1-x_testy)</f>
        <v>0</v>
      </c>
      <c r="AH44" s="0" t="n">
        <f aca="false">x_z_F*U44+(1-x_AGRI)*x_EMP*x_WLOSS*(x_PEN_K74*Q44+x_PEN_C22*R44)</f>
        <v>14492127.0620982</v>
      </c>
      <c r="AI44" s="0" t="n">
        <f aca="false">x_AGRI*x_EMP*x_WLOSS*(x_PEN_K74*Q44+x_PEN_C22*R44)</f>
        <v>708353.389131557</v>
      </c>
      <c r="AJ44" s="0" t="n">
        <f aca="false">x_EMP*x_WAGE*(x_WLOSS*(Q44+R44)+S44)+U44*x_ABS_D*x_WAGE/365</f>
        <v>291376442.306142</v>
      </c>
      <c r="AK44" s="0" t="n">
        <f aca="false">AJ44*x_R_FUS</f>
        <v>92191506.3456634</v>
      </c>
      <c r="AL44" s="0" t="n">
        <f aca="false">AJ44*x_R_NFZ</f>
        <v>22628585.8859373</v>
      </c>
      <c r="AM44" s="0" t="n">
        <f aca="false">AJ44*x_R_PIT</f>
        <v>19371922.0446392</v>
      </c>
      <c r="AN44" s="0" t="n">
        <f aca="false">AJ44*x_R_FP</f>
        <v>7430099.27880663</v>
      </c>
      <c r="AO44" s="0" t="n">
        <f aca="false">AA44+AB44+AC44+AD44+AF44</f>
        <v>436103683.014981</v>
      </c>
      <c r="AP44" s="0" t="n">
        <f aca="false">AO44+AE44+AG44+AH44+AI44+AK44+AL44+AM44+AN44</f>
        <v>592926277.021257</v>
      </c>
      <c r="AQ44" s="0" t="n">
        <f aca="false">AO44+AE44+AG44+AJ44</f>
        <v>727480125.321123</v>
      </c>
      <c r="AR44" s="0" t="n">
        <f aca="false">AB44+AC44+AD44+AF44</f>
        <v>137833427.610024</v>
      </c>
      <c r="AS44" s="0" t="n">
        <f aca="false">AR44+AE44+AG44</f>
        <v>137833427.610024</v>
      </c>
    </row>
    <row r="45" customFormat="false" ht="15" hidden="false" customHeight="false" outlineLevel="0" collapsed="false">
      <c r="A45" s="0" t="n">
        <v>2068</v>
      </c>
      <c r="B45" s="0" t="n">
        <v>42</v>
      </c>
      <c r="C45" s="0" t="n">
        <v>4832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2267.107</v>
      </c>
      <c r="I45" s="0" t="n">
        <v>211.985</v>
      </c>
      <c r="J45" s="0" t="n">
        <v>1108.559</v>
      </c>
      <c r="K45" s="0" t="n">
        <v>1900.058</v>
      </c>
      <c r="L45" s="0" t="n">
        <v>739.061</v>
      </c>
      <c r="M45" s="0" t="n">
        <v>130027.212</v>
      </c>
      <c r="N45" s="0" t="n">
        <v>8054.135</v>
      </c>
      <c r="O45" s="0" t="n">
        <v>62.683</v>
      </c>
      <c r="P45" s="0" t="n">
        <v>63.011</v>
      </c>
      <c r="Q45" s="0" t="n">
        <v>660.525</v>
      </c>
      <c r="R45" s="0" t="n">
        <v>972.963</v>
      </c>
      <c r="S45" s="0" t="n">
        <v>2699.178</v>
      </c>
      <c r="T45" s="0" t="n">
        <v>2479.092</v>
      </c>
      <c r="U45" s="0" t="n">
        <v>1835.26</v>
      </c>
      <c r="V45" s="0" t="n">
        <v>170070.194</v>
      </c>
      <c r="W45" s="0" t="n">
        <v>203.882</v>
      </c>
      <c r="X45" s="0" t="n">
        <v>551.169</v>
      </c>
      <c r="Y45" s="0" t="n">
        <v>62.683</v>
      </c>
      <c r="Z45" s="0" t="n">
        <v>666.976</v>
      </c>
      <c r="AA45" s="0" t="n">
        <f aca="false">H45*x_c_F+I45*x_c_CC+J45*x_c_DC+K45*x_c_HCC+L45*x_c_PLT+M45*x_c_SVRn+N45*x_c_SVRcc+O45*x_c_LT+P45*x_c_LT1</f>
        <v>297044538.354813</v>
      </c>
      <c r="AB45" s="0" t="n">
        <f aca="false">C45*x_c_DAA</f>
        <v>109976320</v>
      </c>
      <c r="AC45" s="0" t="n">
        <f aca="false">C45*x_c_MON</f>
        <v>27857107.6100244</v>
      </c>
      <c r="AD45" s="0" t="n">
        <f aca="false">D45*(1-x_testy)</f>
        <v>0</v>
      </c>
      <c r="AE45" s="0" t="n">
        <f aca="false">E45*(1-x_testy)</f>
        <v>0</v>
      </c>
      <c r="AF45" s="0" t="n">
        <f aca="false">F45*x_NAV</f>
        <v>0</v>
      </c>
      <c r="AG45" s="0" t="n">
        <f aca="false">G45*x_FIX*(1-x_testy)</f>
        <v>0</v>
      </c>
      <c r="AH45" s="0" t="n">
        <f aca="false">x_z_F*U45+(1-x_AGRI)*x_EMP*x_WLOSS*(x_PEN_K74*Q45+x_PEN_C22*R45)</f>
        <v>14397275.1537182</v>
      </c>
      <c r="AI45" s="0" t="n">
        <f aca="false">x_AGRI*x_EMP*x_WLOSS*(x_PEN_K74*Q45+x_PEN_C22*R45)</f>
        <v>702236.058466007</v>
      </c>
      <c r="AJ45" s="0" t="n">
        <f aca="false">x_EMP*x_WAGE*(x_WLOSS*(Q45+R45)+S45)+U45*x_ABS_D*x_WAGE/365</f>
        <v>288990642.848675</v>
      </c>
      <c r="AK45" s="0" t="n">
        <f aca="false">AJ45*x_R_FUS</f>
        <v>91436639.3973208</v>
      </c>
      <c r="AL45" s="0" t="n">
        <f aca="false">AJ45*x_R_NFZ</f>
        <v>22443302.314271</v>
      </c>
      <c r="AM45" s="0" t="n">
        <f aca="false">AJ45*x_R_PIT</f>
        <v>19213304.1387495</v>
      </c>
      <c r="AN45" s="0" t="n">
        <f aca="false">AJ45*x_R_FP</f>
        <v>7369261.39264122</v>
      </c>
      <c r="AO45" s="0" t="n">
        <f aca="false">AA45+AB45+AC45+AD45+AF45</f>
        <v>434877965.964837</v>
      </c>
      <c r="AP45" s="0" t="n">
        <f aca="false">AO45+AE45+AG45+AH45+AI45+AK45+AL45+AM45+AN45</f>
        <v>590439984.420004</v>
      </c>
      <c r="AQ45" s="0" t="n">
        <f aca="false">AO45+AE45+AG45+AJ45</f>
        <v>723868608.813512</v>
      </c>
      <c r="AR45" s="0" t="n">
        <f aca="false">AB45+AC45+AD45+AF45</f>
        <v>137833427.610024</v>
      </c>
      <c r="AS45" s="0" t="n">
        <f aca="false">AR45+AE45+AG45</f>
        <v>137833427.610024</v>
      </c>
    </row>
    <row r="46" customFormat="false" ht="15" hidden="false" customHeight="false" outlineLevel="0" collapsed="false">
      <c r="A46" s="0" t="n">
        <v>2069</v>
      </c>
      <c r="B46" s="0" t="n">
        <v>43</v>
      </c>
      <c r="C46" s="0" t="n">
        <v>4832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2267.589</v>
      </c>
      <c r="I46" s="0" t="n">
        <v>211.105</v>
      </c>
      <c r="J46" s="0" t="n">
        <v>1098.086</v>
      </c>
      <c r="K46" s="0" t="n">
        <v>1884.884</v>
      </c>
      <c r="L46" s="0" t="n">
        <v>720.98</v>
      </c>
      <c r="M46" s="0" t="n">
        <v>132090.936</v>
      </c>
      <c r="N46" s="0" t="n">
        <v>7995.98</v>
      </c>
      <c r="O46" s="0" t="n">
        <v>62.148</v>
      </c>
      <c r="P46" s="0" t="n">
        <v>62.415</v>
      </c>
      <c r="Q46" s="0" t="n">
        <v>654.914</v>
      </c>
      <c r="R46" s="0" t="n">
        <v>964.963</v>
      </c>
      <c r="S46" s="0" t="n">
        <v>2677.58</v>
      </c>
      <c r="T46" s="0" t="n">
        <v>2478.694</v>
      </c>
      <c r="U46" s="0" t="n">
        <v>1834.143</v>
      </c>
      <c r="V46" s="0" t="n">
        <v>171400.406</v>
      </c>
      <c r="W46" s="0" t="n">
        <v>202.477</v>
      </c>
      <c r="X46" s="0" t="n">
        <v>547.451</v>
      </c>
      <c r="Y46" s="0" t="n">
        <v>62.148</v>
      </c>
      <c r="Z46" s="0" t="n">
        <v>661.242</v>
      </c>
      <c r="AA46" s="0" t="n">
        <f aca="false">H46*x_c_F+I46*x_c_CC+J46*x_c_DC+K46*x_c_HCC+L46*x_c_PLT+M46*x_c_SVRn+N46*x_c_SVRcc+O46*x_c_LT+P46*x_c_LT1</f>
        <v>296216359.317961</v>
      </c>
      <c r="AB46" s="0" t="n">
        <f aca="false">C46*x_c_DAA</f>
        <v>109976320</v>
      </c>
      <c r="AC46" s="0" t="n">
        <f aca="false">C46*x_c_MON</f>
        <v>27857107.6100244</v>
      </c>
      <c r="AD46" s="0" t="n">
        <f aca="false">D46*(1-x_testy)</f>
        <v>0</v>
      </c>
      <c r="AE46" s="0" t="n">
        <f aca="false">E46*(1-x_testy)</f>
        <v>0</v>
      </c>
      <c r="AF46" s="0" t="n">
        <f aca="false">F46*x_NAV</f>
        <v>0</v>
      </c>
      <c r="AG46" s="0" t="n">
        <f aca="false">G46*x_FIX*(1-x_testy)</f>
        <v>0</v>
      </c>
      <c r="AH46" s="0" t="n">
        <f aca="false">x_z_F*U46+(1-x_AGRI)*x_EMP*x_WLOSS*(x_PEN_K74*Q46+x_PEN_C22*R46)</f>
        <v>14306541.1994991</v>
      </c>
      <c r="AI46" s="0" t="n">
        <f aca="false">x_AGRI*x_EMP*x_WLOSS*(x_PEN_K74*Q46+x_PEN_C22*R46)</f>
        <v>696390.508993788</v>
      </c>
      <c r="AJ46" s="0" t="n">
        <f aca="false">x_EMP*x_WAGE*(x_WLOSS*(Q46+R46)+S46)+U46*x_ABS_D*x_WAGE/365</f>
        <v>286700397.223579</v>
      </c>
      <c r="AK46" s="0" t="n">
        <f aca="false">AJ46*x_R_FUS</f>
        <v>90712005.6815404</v>
      </c>
      <c r="AL46" s="0" t="n">
        <f aca="false">AJ46*x_R_NFZ</f>
        <v>22265439.5487804</v>
      </c>
      <c r="AM46" s="0" t="n">
        <f aca="false">AJ46*x_R_PIT</f>
        <v>19061039.0504627</v>
      </c>
      <c r="AN46" s="0" t="n">
        <f aca="false">AJ46*x_R_FP</f>
        <v>7310860.12920127</v>
      </c>
      <c r="AO46" s="0" t="n">
        <f aca="false">AA46+AB46+AC46+AD46+AF46</f>
        <v>434049786.927986</v>
      </c>
      <c r="AP46" s="0" t="n">
        <f aca="false">AO46+AE46+AG46+AH46+AI46+AK46+AL46+AM46+AN46</f>
        <v>588402063.046463</v>
      </c>
      <c r="AQ46" s="0" t="n">
        <f aca="false">AO46+AE46+AG46+AJ46</f>
        <v>720750184.151565</v>
      </c>
      <c r="AR46" s="0" t="n">
        <f aca="false">AB46+AC46+AD46+AF46</f>
        <v>137833427.610024</v>
      </c>
      <c r="AS46" s="0" t="n">
        <f aca="false">AR46+AE46+AG46</f>
        <v>137833427.610024</v>
      </c>
    </row>
    <row r="47" customFormat="false" ht="15" hidden="false" customHeight="false" outlineLevel="0" collapsed="false">
      <c r="A47" s="0" t="n">
        <v>2070</v>
      </c>
      <c r="B47" s="0" t="n">
        <v>44</v>
      </c>
      <c r="C47" s="0" t="n">
        <v>4832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2267.972</v>
      </c>
      <c r="I47" s="0" t="n">
        <v>210.34</v>
      </c>
      <c r="J47" s="0" t="n">
        <v>1089.528</v>
      </c>
      <c r="K47" s="0" t="n">
        <v>1872.222</v>
      </c>
      <c r="L47" s="0" t="n">
        <v>705.598</v>
      </c>
      <c r="M47" s="0" t="n">
        <v>134163.497</v>
      </c>
      <c r="N47" s="0" t="n">
        <v>7952.774</v>
      </c>
      <c r="O47" s="0" t="n">
        <v>61.714</v>
      </c>
      <c r="P47" s="0" t="n">
        <v>61.931</v>
      </c>
      <c r="Q47" s="0" t="n">
        <v>649.564</v>
      </c>
      <c r="R47" s="0" t="n">
        <v>957.341</v>
      </c>
      <c r="S47" s="0" t="n">
        <v>2656.927</v>
      </c>
      <c r="T47" s="0" t="n">
        <v>2478.312</v>
      </c>
      <c r="U47" s="0" t="n">
        <v>1833.091</v>
      </c>
      <c r="V47" s="0" t="n">
        <v>172759.205</v>
      </c>
      <c r="W47" s="0" t="n">
        <v>201.258</v>
      </c>
      <c r="X47" s="0" t="n">
        <v>544.236</v>
      </c>
      <c r="Y47" s="0" t="n">
        <v>61.714</v>
      </c>
      <c r="Z47" s="0" t="n">
        <v>656.53</v>
      </c>
      <c r="AA47" s="0" t="n">
        <f aca="false">H47*x_c_F+I47*x_c_CC+J47*x_c_DC+K47*x_c_HCC+L47*x_c_PLT+M47*x_c_SVRn+N47*x_c_SVRcc+O47*x_c_LT+P47*x_c_LT1</f>
        <v>295753147.685189</v>
      </c>
      <c r="AB47" s="0" t="n">
        <f aca="false">C47*x_c_DAA</f>
        <v>109976320</v>
      </c>
      <c r="AC47" s="0" t="n">
        <f aca="false">C47*x_c_MON</f>
        <v>27857107.6100244</v>
      </c>
      <c r="AD47" s="0" t="n">
        <f aca="false">D47*(1-x_testy)</f>
        <v>0</v>
      </c>
      <c r="AE47" s="0" t="n">
        <f aca="false">E47*(1-x_testy)</f>
        <v>0</v>
      </c>
      <c r="AF47" s="0" t="n">
        <f aca="false">F47*x_NAV</f>
        <v>0</v>
      </c>
      <c r="AG47" s="0" t="n">
        <f aca="false">G47*x_FIX*(1-x_testy)</f>
        <v>0</v>
      </c>
      <c r="AH47" s="0" t="n">
        <f aca="false">x_z_F*U47+(1-x_AGRI)*x_EMP*x_WLOSS*(x_PEN_K74*Q47+x_PEN_C22*R47)</f>
        <v>14220094.7709318</v>
      </c>
      <c r="AI47" s="0" t="n">
        <f aca="false">x_AGRI*x_EMP*x_WLOSS*(x_PEN_K74*Q47+x_PEN_C22*R47)</f>
        <v>690819.523793172</v>
      </c>
      <c r="AJ47" s="0" t="n">
        <f aca="false">x_EMP*x_WAGE*(x_WLOSS*(Q47+R47)+S47)+U47*x_ABS_D*x_WAGE/365</f>
        <v>284511829.122817</v>
      </c>
      <c r="AK47" s="0" t="n">
        <f aca="false">AJ47*x_R_FUS</f>
        <v>90019542.7344593</v>
      </c>
      <c r="AL47" s="0" t="n">
        <f aca="false">AJ47*x_R_NFZ</f>
        <v>22095473.1615071</v>
      </c>
      <c r="AM47" s="0" t="n">
        <f aca="false">AJ47*x_R_PIT</f>
        <v>18915533.9083798</v>
      </c>
      <c r="AN47" s="0" t="n">
        <f aca="false">AJ47*x_R_FP</f>
        <v>7255051.64263183</v>
      </c>
      <c r="AO47" s="0" t="n">
        <f aca="false">AA47+AB47+AC47+AD47+AF47</f>
        <v>433586575.295213</v>
      </c>
      <c r="AP47" s="0" t="n">
        <f aca="false">AO47+AE47+AG47+AH47+AI47+AK47+AL47+AM47+AN47</f>
        <v>586783091.036917</v>
      </c>
      <c r="AQ47" s="0" t="n">
        <f aca="false">AO47+AE47+AG47+AJ47</f>
        <v>718098404.418031</v>
      </c>
      <c r="AR47" s="0" t="n">
        <f aca="false">AB47+AC47+AD47+AF47</f>
        <v>137833427.610024</v>
      </c>
      <c r="AS47" s="0" t="n">
        <f aca="false">AR47+AE47+AG47</f>
        <v>137833427.610024</v>
      </c>
    </row>
    <row r="48" customFormat="false" ht="15" hidden="false" customHeight="false" outlineLevel="0" collapsed="false">
      <c r="A48" s="0" t="n">
        <v>2071</v>
      </c>
      <c r="B48" s="0" t="n">
        <v>45</v>
      </c>
      <c r="C48" s="0" t="n">
        <v>4832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2268.307</v>
      </c>
      <c r="I48" s="0" t="n">
        <v>209.634</v>
      </c>
      <c r="J48" s="0" t="n">
        <v>1082.536</v>
      </c>
      <c r="K48" s="0" t="n">
        <v>1861.576</v>
      </c>
      <c r="L48" s="0" t="n">
        <v>692.83</v>
      </c>
      <c r="M48" s="0" t="n">
        <v>136242.669</v>
      </c>
      <c r="N48" s="0" t="n">
        <v>7924.084</v>
      </c>
      <c r="O48" s="0" t="n">
        <v>61.362</v>
      </c>
      <c r="P48" s="0" t="n">
        <v>61.538</v>
      </c>
      <c r="Q48" s="0" t="n">
        <v>644.475</v>
      </c>
      <c r="R48" s="0" t="n">
        <v>950.094</v>
      </c>
      <c r="S48" s="0" t="n">
        <v>2637.258</v>
      </c>
      <c r="T48" s="0" t="n">
        <v>2477.941</v>
      </c>
      <c r="U48" s="0" t="n">
        <v>1832.162</v>
      </c>
      <c r="V48" s="0" t="n">
        <v>174141.746</v>
      </c>
      <c r="W48" s="0" t="n">
        <v>200.166</v>
      </c>
      <c r="X48" s="0" t="n">
        <v>541.385</v>
      </c>
      <c r="Y48" s="0" t="n">
        <v>61.362</v>
      </c>
      <c r="Z48" s="0" t="n">
        <v>652.636</v>
      </c>
      <c r="AA48" s="0" t="n">
        <f aca="false">H48*x_c_F+I48*x_c_CC+J48*x_c_DC+K48*x_c_HCC+L48*x_c_PLT+M48*x_c_SVRn+N48*x_c_SVRcc+O48*x_c_LT+P48*x_c_LT1</f>
        <v>295604495.037911</v>
      </c>
      <c r="AB48" s="0" t="n">
        <f aca="false">C48*x_c_DAA</f>
        <v>109976320</v>
      </c>
      <c r="AC48" s="0" t="n">
        <f aca="false">C48*x_c_MON</f>
        <v>27857107.6100244</v>
      </c>
      <c r="AD48" s="0" t="n">
        <f aca="false">D48*(1-x_testy)</f>
        <v>0</v>
      </c>
      <c r="AE48" s="0" t="n">
        <f aca="false">E48*(1-x_testy)</f>
        <v>0</v>
      </c>
      <c r="AF48" s="0" t="n">
        <f aca="false">F48*x_NAV</f>
        <v>0</v>
      </c>
      <c r="AG48" s="0" t="n">
        <f aca="false">G48*x_FIX*(1-x_testy)</f>
        <v>0</v>
      </c>
      <c r="AH48" s="0" t="n">
        <f aca="false">x_z_F*U48+(1-x_AGRI)*x_EMP*x_WLOSS*(x_PEN_K74*Q48+x_PEN_C22*R48)</f>
        <v>14138034.6029315</v>
      </c>
      <c r="AI48" s="0" t="n">
        <f aca="false">x_AGRI*x_EMP*x_WLOSS*(x_PEN_K74*Q48+x_PEN_C22*R48)</f>
        <v>685521.747346618</v>
      </c>
      <c r="AJ48" s="0" t="n">
        <f aca="false">x_EMP*x_WAGE*(x_WLOSS*(Q48+R48)+S48)+U48*x_ABS_D*x_WAGE/365</f>
        <v>282428335.880007</v>
      </c>
      <c r="AK48" s="0" t="n">
        <f aca="false">AJ48*x_R_FUS</f>
        <v>89360325.4724343</v>
      </c>
      <c r="AL48" s="0" t="n">
        <f aca="false">AJ48*x_R_NFZ</f>
        <v>21933666.9927772</v>
      </c>
      <c r="AM48" s="0" t="n">
        <f aca="false">AJ48*x_R_PIT</f>
        <v>18777014.5814199</v>
      </c>
      <c r="AN48" s="0" t="n">
        <f aca="false">AJ48*x_R_FP</f>
        <v>7201922.56494019</v>
      </c>
      <c r="AO48" s="0" t="n">
        <f aca="false">AA48+AB48+AC48+AD48+AF48</f>
        <v>433437922.647935</v>
      </c>
      <c r="AP48" s="0" t="n">
        <f aca="false">AO48+AE48+AG48+AH48+AI48+AK48+AL48+AM48+AN48</f>
        <v>585534408.609785</v>
      </c>
      <c r="AQ48" s="0" t="n">
        <f aca="false">AO48+AE48+AG48+AJ48</f>
        <v>715866258.527942</v>
      </c>
      <c r="AR48" s="0" t="n">
        <f aca="false">AB48+AC48+AD48+AF48</f>
        <v>137833427.610024</v>
      </c>
      <c r="AS48" s="0" t="n">
        <f aca="false">AR48+AE48+AG48</f>
        <v>137833427.610024</v>
      </c>
    </row>
    <row r="49" customFormat="false" ht="15" hidden="false" customHeight="false" outlineLevel="0" collapsed="false">
      <c r="A49" s="0" t="n">
        <v>2072</v>
      </c>
      <c r="B49" s="0" t="n">
        <v>46</v>
      </c>
      <c r="C49" s="0" t="n">
        <v>4832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2268.639</v>
      </c>
      <c r="I49" s="0" t="n">
        <v>208.938</v>
      </c>
      <c r="J49" s="0" t="n">
        <v>1076.733</v>
      </c>
      <c r="K49" s="0" t="n">
        <v>1852.422</v>
      </c>
      <c r="L49" s="0" t="n">
        <v>682.478</v>
      </c>
      <c r="M49" s="0" t="n">
        <v>138322.772</v>
      </c>
      <c r="N49" s="0" t="n">
        <v>7908.603</v>
      </c>
      <c r="O49" s="0" t="n">
        <v>61.069</v>
      </c>
      <c r="P49" s="0" t="n">
        <v>61.215</v>
      </c>
      <c r="Q49" s="0" t="n">
        <v>639.641</v>
      </c>
      <c r="R49" s="0" t="n">
        <v>943.211</v>
      </c>
      <c r="S49" s="0" t="n">
        <v>2618.565</v>
      </c>
      <c r="T49" s="0" t="n">
        <v>2477.577</v>
      </c>
      <c r="U49" s="0" t="n">
        <v>1831.401</v>
      </c>
      <c r="V49" s="0" t="n">
        <v>175540.213</v>
      </c>
      <c r="W49" s="0" t="n">
        <v>199.151</v>
      </c>
      <c r="X49" s="0" t="n">
        <v>538.773</v>
      </c>
      <c r="Y49" s="0" t="n">
        <v>61.069</v>
      </c>
      <c r="Z49" s="0" t="n">
        <v>649.36</v>
      </c>
      <c r="AA49" s="0" t="n">
        <f aca="false">H49*x_c_F+I49*x_c_CC+J49*x_c_DC+K49*x_c_HCC+L49*x_c_PLT+M49*x_c_SVRn+N49*x_c_SVRcc+O49*x_c_LT+P49*x_c_LT1</f>
        <v>295708274.396096</v>
      </c>
      <c r="AB49" s="0" t="n">
        <f aca="false">C49*x_c_DAA</f>
        <v>109976320</v>
      </c>
      <c r="AC49" s="0" t="n">
        <f aca="false">C49*x_c_MON</f>
        <v>27857107.6100244</v>
      </c>
      <c r="AD49" s="0" t="n">
        <f aca="false">D49*(1-x_testy)</f>
        <v>0</v>
      </c>
      <c r="AE49" s="0" t="n">
        <f aca="false">E49*(1-x_testy)</f>
        <v>0</v>
      </c>
      <c r="AF49" s="0" t="n">
        <f aca="false">F49*x_NAV</f>
        <v>0</v>
      </c>
      <c r="AG49" s="0" t="n">
        <f aca="false">G49*x_FIX*(1-x_testy)</f>
        <v>0</v>
      </c>
      <c r="AH49" s="0" t="n">
        <f aca="false">x_z_F*U49+(1-x_AGRI)*x_EMP*x_WLOSS*(x_PEN_K74*Q49+x_PEN_C22*R49)</f>
        <v>14060341.9262699</v>
      </c>
      <c r="AI49" s="0" t="n">
        <f aca="false">x_AGRI*x_EMP*x_WLOSS*(x_PEN_K74*Q49+x_PEN_C22*R49)</f>
        <v>680489.823927476</v>
      </c>
      <c r="AJ49" s="0" t="n">
        <f aca="false">x_EMP*x_WAGE*(x_WLOSS*(Q49+R49)+S49)+U49*x_ABS_D*x_WAGE/365</f>
        <v>280448811.158526</v>
      </c>
      <c r="AK49" s="0" t="n">
        <f aca="false">AJ49*x_R_FUS</f>
        <v>88734003.8505575</v>
      </c>
      <c r="AL49" s="0" t="n">
        <f aca="false">AJ49*x_R_NFZ</f>
        <v>21779935.1233823</v>
      </c>
      <c r="AM49" s="0" t="n">
        <f aca="false">AJ49*x_R_PIT</f>
        <v>18645407.5157063</v>
      </c>
      <c r="AN49" s="0" t="n">
        <f aca="false">AJ49*x_R_FP</f>
        <v>7151444.68454241</v>
      </c>
      <c r="AO49" s="0" t="n">
        <f aca="false">AA49+AB49+AC49+AD49+AF49</f>
        <v>433541702.00612</v>
      </c>
      <c r="AP49" s="0" t="n">
        <f aca="false">AO49+AE49+AG49+AH49+AI49+AK49+AL49+AM49+AN49</f>
        <v>584593324.930506</v>
      </c>
      <c r="AQ49" s="0" t="n">
        <f aca="false">AO49+AE49+AG49+AJ49</f>
        <v>713990513.164646</v>
      </c>
      <c r="AR49" s="0" t="n">
        <f aca="false">AB49+AC49+AD49+AF49</f>
        <v>137833427.610024</v>
      </c>
      <c r="AS49" s="0" t="n">
        <f aca="false">AR49+AE49+AG49</f>
        <v>137833427.610024</v>
      </c>
    </row>
    <row r="50" customFormat="false" ht="15" hidden="false" customHeight="false" outlineLevel="0" collapsed="false">
      <c r="A50" s="0" t="n">
        <v>2073</v>
      </c>
      <c r="B50" s="0" t="n">
        <v>47</v>
      </c>
      <c r="C50" s="0" t="n">
        <v>4832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2269.003</v>
      </c>
      <c r="I50" s="0" t="n">
        <v>208.214</v>
      </c>
      <c r="J50" s="0" t="n">
        <v>1071.736</v>
      </c>
      <c r="K50" s="0" t="n">
        <v>1844.233</v>
      </c>
      <c r="L50" s="0" t="n">
        <v>674.233</v>
      </c>
      <c r="M50" s="0" t="n">
        <v>140394.107</v>
      </c>
      <c r="N50" s="0" t="n">
        <v>7904.144</v>
      </c>
      <c r="O50" s="0" t="n">
        <v>60.813</v>
      </c>
      <c r="P50" s="0" t="n">
        <v>60.941</v>
      </c>
      <c r="Q50" s="0" t="n">
        <v>635.056</v>
      </c>
      <c r="R50" s="0" t="n">
        <v>936.678</v>
      </c>
      <c r="S50" s="0" t="n">
        <v>2600.832</v>
      </c>
      <c r="T50" s="0" t="n">
        <v>2477.216</v>
      </c>
      <c r="U50" s="0" t="n">
        <v>1830.842</v>
      </c>
      <c r="V50" s="0" t="n">
        <v>176943.466</v>
      </c>
      <c r="W50" s="0" t="n">
        <v>198.162</v>
      </c>
      <c r="X50" s="0" t="n">
        <v>536.272</v>
      </c>
      <c r="Y50" s="0" t="n">
        <v>60.813</v>
      </c>
      <c r="Z50" s="0" t="n">
        <v>646.477</v>
      </c>
      <c r="AA50" s="0" t="n">
        <f aca="false">H50*x_c_F+I50*x_c_CC+J50*x_c_DC+K50*x_c_HCC+L50*x_c_PLT+M50*x_c_SVRn+N50*x_c_SVRcc+O50*x_c_LT+P50*x_c_LT1</f>
        <v>295994034.586886</v>
      </c>
      <c r="AB50" s="0" t="n">
        <f aca="false">C50*x_c_DAA</f>
        <v>109976320</v>
      </c>
      <c r="AC50" s="0" t="n">
        <f aca="false">C50*x_c_MON</f>
        <v>27857107.6100244</v>
      </c>
      <c r="AD50" s="0" t="n">
        <f aca="false">D50*(1-x_testy)</f>
        <v>0</v>
      </c>
      <c r="AE50" s="0" t="n">
        <f aca="false">E50*(1-x_testy)</f>
        <v>0</v>
      </c>
      <c r="AF50" s="0" t="n">
        <f aca="false">F50*x_NAV</f>
        <v>0</v>
      </c>
      <c r="AG50" s="0" t="n">
        <f aca="false">G50*x_FIX*(1-x_testy)</f>
        <v>0</v>
      </c>
      <c r="AH50" s="0" t="n">
        <f aca="false">x_z_F*U50+(1-x_AGRI)*x_EMP*x_WLOSS*(x_PEN_K74*Q50+x_PEN_C22*R50)</f>
        <v>13986954.8490776</v>
      </c>
      <c r="AI50" s="0" t="n">
        <f aca="false">x_AGRI*x_EMP*x_WLOSS*(x_PEN_K74*Q50+x_PEN_C22*R50)</f>
        <v>675715.042291553</v>
      </c>
      <c r="AJ50" s="0" t="n">
        <f aca="false">x_EMP*x_WAGE*(x_WLOSS*(Q50+R50)+S50)+U50*x_ABS_D*x_WAGE/365</f>
        <v>278571336.031956</v>
      </c>
      <c r="AK50" s="0" t="n">
        <f aca="false">AJ50*x_R_FUS</f>
        <v>88139970.7205108</v>
      </c>
      <c r="AL50" s="0" t="n">
        <f aca="false">AJ50*x_R_NFZ</f>
        <v>21634128.5275777</v>
      </c>
      <c r="AM50" s="0" t="n">
        <f aca="false">AJ50*x_R_PIT</f>
        <v>18520585.1330016</v>
      </c>
      <c r="AN50" s="0" t="n">
        <f aca="false">AJ50*x_R_FP</f>
        <v>7103569.06881487</v>
      </c>
      <c r="AO50" s="0" t="n">
        <f aca="false">AA50+AB50+AC50+AD50+AF50</f>
        <v>433827462.196911</v>
      </c>
      <c r="AP50" s="0" t="n">
        <f aca="false">AO50+AE50+AG50+AH50+AI50+AK50+AL50+AM50+AN50</f>
        <v>583888385.538185</v>
      </c>
      <c r="AQ50" s="0" t="n">
        <f aca="false">AO50+AE50+AG50+AJ50</f>
        <v>712398798.228867</v>
      </c>
      <c r="AR50" s="0" t="n">
        <f aca="false">AB50+AC50+AD50+AF50</f>
        <v>137833427.610024</v>
      </c>
      <c r="AS50" s="0" t="n">
        <f aca="false">AR50+AE50+AG50</f>
        <v>137833427.610024</v>
      </c>
    </row>
    <row r="51" customFormat="false" ht="15" hidden="false" customHeight="false" outlineLevel="0" collapsed="false">
      <c r="A51" s="0" t="n">
        <v>2074</v>
      </c>
      <c r="B51" s="0" t="n">
        <v>48</v>
      </c>
      <c r="C51" s="0" t="n">
        <v>4832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2269.422</v>
      </c>
      <c r="I51" s="0" t="n">
        <v>207.434</v>
      </c>
      <c r="J51" s="0" t="n">
        <v>1067.176</v>
      </c>
      <c r="K51" s="0" t="n">
        <v>1836.514</v>
      </c>
      <c r="L51" s="0" t="n">
        <v>667.701</v>
      </c>
      <c r="M51" s="0" t="n">
        <v>142443.441</v>
      </c>
      <c r="N51" s="0" t="n">
        <v>7907.831</v>
      </c>
      <c r="O51" s="0" t="n">
        <v>60.574</v>
      </c>
      <c r="P51" s="0" t="n">
        <v>60.694</v>
      </c>
      <c r="Q51" s="0" t="n">
        <v>630.708</v>
      </c>
      <c r="R51" s="0" t="n">
        <v>930.481</v>
      </c>
      <c r="S51" s="0" t="n">
        <v>2584.032</v>
      </c>
      <c r="T51" s="0" t="n">
        <v>2476.856</v>
      </c>
      <c r="U51" s="0" t="n">
        <v>1830.503</v>
      </c>
      <c r="V51" s="0" t="n">
        <v>178337.633</v>
      </c>
      <c r="W51" s="0" t="n">
        <v>197.163</v>
      </c>
      <c r="X51" s="0" t="n">
        <v>533.784</v>
      </c>
      <c r="Y51" s="0" t="n">
        <v>60.574</v>
      </c>
      <c r="Z51" s="0" t="n">
        <v>643.793</v>
      </c>
      <c r="AA51" s="0" t="n">
        <f aca="false">H51*x_c_F+I51*x_c_CC+J51*x_c_DC+K51*x_c_HCC+L51*x_c_PLT+M51*x_c_SVRn+N51*x_c_SVRcc+O51*x_c_LT+P51*x_c_LT1</f>
        <v>296387492.839227</v>
      </c>
      <c r="AB51" s="0" t="n">
        <f aca="false">C51*x_c_DAA</f>
        <v>109976320</v>
      </c>
      <c r="AC51" s="0" t="n">
        <f aca="false">C51*x_c_MON</f>
        <v>27857107.6100244</v>
      </c>
      <c r="AD51" s="0" t="n">
        <f aca="false">D51*(1-x_testy)</f>
        <v>0</v>
      </c>
      <c r="AE51" s="0" t="n">
        <f aca="false">E51*(1-x_testy)</f>
        <v>0</v>
      </c>
      <c r="AF51" s="0" t="n">
        <f aca="false">F51*x_NAV</f>
        <v>0</v>
      </c>
      <c r="AG51" s="0" t="n">
        <f aca="false">G51*x_FIX*(1-x_testy)</f>
        <v>0</v>
      </c>
      <c r="AH51" s="0" t="n">
        <f aca="false">x_z_F*U51+(1-x_AGRI)*x_EMP*x_WLOSS*(x_PEN_K74*Q51+x_PEN_C22*R51)</f>
        <v>13917742.4947384</v>
      </c>
      <c r="AI51" s="0" t="n">
        <f aca="false">x_AGRI*x_EMP*x_WLOSS*(x_PEN_K74*Q51+x_PEN_C22*R51)</f>
        <v>671186.305698996</v>
      </c>
      <c r="AJ51" s="0" t="n">
        <f aca="false">x_EMP*x_WAGE*(x_WLOSS*(Q51+R51)+S51)+U51*x_ABS_D*x_WAGE/365</f>
        <v>276792810.321127</v>
      </c>
      <c r="AK51" s="0" t="n">
        <f aca="false">AJ51*x_R_FUS</f>
        <v>87577245.1856047</v>
      </c>
      <c r="AL51" s="0" t="n">
        <f aca="false">AJ51*x_R_NFZ</f>
        <v>21496006.4423491</v>
      </c>
      <c r="AM51" s="0" t="n">
        <f aca="false">AJ51*x_R_PIT</f>
        <v>18402341.320455</v>
      </c>
      <c r="AN51" s="0" t="n">
        <f aca="false">AJ51*x_R_FP</f>
        <v>7058216.66318875</v>
      </c>
      <c r="AO51" s="0" t="n">
        <f aca="false">AA51+AB51+AC51+AD51+AF51</f>
        <v>434220920.449251</v>
      </c>
      <c r="AP51" s="0" t="n">
        <f aca="false">AO51+AE51+AG51+AH51+AI51+AK51+AL51+AM51+AN51</f>
        <v>583343658.861286</v>
      </c>
      <c r="AQ51" s="0" t="n">
        <f aca="false">AO51+AE51+AG51+AJ51</f>
        <v>711013730.770378</v>
      </c>
      <c r="AR51" s="0" t="n">
        <f aca="false">AB51+AC51+AD51+AF51</f>
        <v>137833427.610024</v>
      </c>
      <c r="AS51" s="0" t="n">
        <f aca="false">AR51+AE51+AG51</f>
        <v>137833427.610024</v>
      </c>
    </row>
    <row r="52" customFormat="false" ht="15" hidden="false" customHeight="false" outlineLevel="0" collapsed="false">
      <c r="A52" s="0" t="n">
        <v>2075</v>
      </c>
      <c r="B52" s="0" t="n">
        <v>49</v>
      </c>
      <c r="C52" s="0" t="n">
        <v>4832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2269.909</v>
      </c>
      <c r="I52" s="0" t="n">
        <v>206.584</v>
      </c>
      <c r="J52" s="0" t="n">
        <v>1062.729</v>
      </c>
      <c r="K52" s="0" t="n">
        <v>1828.829</v>
      </c>
      <c r="L52" s="0" t="n">
        <v>662.44</v>
      </c>
      <c r="M52" s="0" t="n">
        <v>144454.983</v>
      </c>
      <c r="N52" s="0" t="n">
        <v>7916.399</v>
      </c>
      <c r="O52" s="0" t="n">
        <v>60.334</v>
      </c>
      <c r="P52" s="0" t="n">
        <v>60.454</v>
      </c>
      <c r="Q52" s="0" t="n">
        <v>626.588</v>
      </c>
      <c r="R52" s="0" t="n">
        <v>924.601</v>
      </c>
      <c r="S52" s="0" t="n">
        <v>2568.132</v>
      </c>
      <c r="T52" s="0" t="n">
        <v>2476.493</v>
      </c>
      <c r="U52" s="0" t="n">
        <v>1830.387</v>
      </c>
      <c r="V52" s="0" t="n">
        <v>179707.101</v>
      </c>
      <c r="W52" s="0" t="n">
        <v>196.122</v>
      </c>
      <c r="X52" s="0" t="n">
        <v>531.219</v>
      </c>
      <c r="Y52" s="0" t="n">
        <v>60.334</v>
      </c>
      <c r="Z52" s="0" t="n">
        <v>641.121</v>
      </c>
      <c r="AA52" s="0" t="n">
        <f aca="false">H52*x_c_F+I52*x_c_CC+J52*x_c_DC+K52*x_c_HCC+L52*x_c_PLT+M52*x_c_SVRn+N52*x_c_SVRcc+O52*x_c_LT+P52*x_c_LT1</f>
        <v>296815558.212352</v>
      </c>
      <c r="AB52" s="0" t="n">
        <f aca="false">C52*x_c_DAA</f>
        <v>109976320</v>
      </c>
      <c r="AC52" s="0" t="n">
        <f aca="false">C52*x_c_MON</f>
        <v>27857107.6100244</v>
      </c>
      <c r="AD52" s="0" t="n">
        <f aca="false">D52*(1-x_testy)</f>
        <v>0</v>
      </c>
      <c r="AE52" s="0" t="n">
        <f aca="false">E52*(1-x_testy)</f>
        <v>0</v>
      </c>
      <c r="AF52" s="0" t="n">
        <f aca="false">F52*x_NAV</f>
        <v>0</v>
      </c>
      <c r="AG52" s="0" t="n">
        <f aca="false">G52*x_FIX*(1-x_testy)</f>
        <v>0</v>
      </c>
      <c r="AH52" s="0" t="n">
        <f aca="false">x_z_F*U52+(1-x_AGRI)*x_EMP*x_WLOSS*(x_PEN_K74*Q52+x_PEN_C22*R52)</f>
        <v>13852527.0137096</v>
      </c>
      <c r="AI52" s="0" t="n">
        <f aca="false">x_AGRI*x_EMP*x_WLOSS*(x_PEN_K74*Q52+x_PEN_C22*R52)</f>
        <v>666891.450961878</v>
      </c>
      <c r="AJ52" s="0" t="n">
        <f aca="false">x_EMP*x_WAGE*(x_WLOSS*(Q52+R52)+S52)+U52*x_ABS_D*x_WAGE/365</f>
        <v>275109512.759976</v>
      </c>
      <c r="AK52" s="0" t="n">
        <f aca="false">AJ52*x_R_FUS</f>
        <v>87044649.8372566</v>
      </c>
      <c r="AL52" s="0" t="n">
        <f aca="false">AJ52*x_R_NFZ</f>
        <v>21365279.8704525</v>
      </c>
      <c r="AM52" s="0" t="n">
        <f aca="false">AJ52*x_R_PIT</f>
        <v>18290428.6727664</v>
      </c>
      <c r="AN52" s="0" t="n">
        <f aca="false">AJ52*x_R_FP</f>
        <v>7015292.5753794</v>
      </c>
      <c r="AO52" s="0" t="n">
        <f aca="false">AA52+AB52+AC52+AD52+AF52</f>
        <v>434648985.822376</v>
      </c>
      <c r="AP52" s="0" t="n">
        <f aca="false">AO52+AE52+AG52+AH52+AI52+AK52+AL52+AM52+AN52</f>
        <v>582884055.242903</v>
      </c>
      <c r="AQ52" s="0" t="n">
        <f aca="false">AO52+AE52+AG52+AJ52</f>
        <v>709758498.582353</v>
      </c>
      <c r="AR52" s="0" t="n">
        <f aca="false">AB52+AC52+AD52+AF52</f>
        <v>137833427.610024</v>
      </c>
      <c r="AS52" s="0" t="n">
        <f aca="false">AR52+AE52+AG52</f>
        <v>137833427.610024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593</v>
      </c>
    </row>
    <row r="2" customFormat="false" ht="28.35" hidden="false" customHeight="false" outlineLevel="0" collapsed="false">
      <c r="A2" s="3" t="s">
        <v>318</v>
      </c>
      <c r="B2" s="3" t="s">
        <v>548</v>
      </c>
      <c r="C2" s="3" t="s">
        <v>549</v>
      </c>
      <c r="D2" s="3" t="s">
        <v>550</v>
      </c>
      <c r="E2" s="3" t="s">
        <v>551</v>
      </c>
      <c r="F2" s="3" t="s">
        <v>552</v>
      </c>
      <c r="G2" s="3" t="s">
        <v>553</v>
      </c>
      <c r="H2" s="3" t="s">
        <v>554</v>
      </c>
      <c r="I2" s="3" t="s">
        <v>555</v>
      </c>
      <c r="J2" s="3" t="s">
        <v>556</v>
      </c>
      <c r="K2" s="3" t="s">
        <v>557</v>
      </c>
      <c r="L2" s="3" t="s">
        <v>558</v>
      </c>
      <c r="M2" s="3" t="s">
        <v>559</v>
      </c>
      <c r="N2" s="3" t="s">
        <v>560</v>
      </c>
      <c r="O2" s="3" t="s">
        <v>561</v>
      </c>
      <c r="P2" s="3" t="s">
        <v>562</v>
      </c>
      <c r="Q2" s="3" t="s">
        <v>563</v>
      </c>
      <c r="R2" s="3" t="s">
        <v>564</v>
      </c>
      <c r="S2" s="3" t="s">
        <v>565</v>
      </c>
      <c r="T2" s="3" t="s">
        <v>566</v>
      </c>
      <c r="U2" s="3" t="s">
        <v>567</v>
      </c>
      <c r="V2" s="3" t="s">
        <v>568</v>
      </c>
      <c r="W2" s="3" t="s">
        <v>569</v>
      </c>
      <c r="X2" s="3" t="s">
        <v>570</v>
      </c>
      <c r="Y2" s="3" t="s">
        <v>571</v>
      </c>
      <c r="Z2" s="3" t="s">
        <v>572</v>
      </c>
      <c r="AA2" s="3" t="s">
        <v>573</v>
      </c>
      <c r="AB2" s="3" t="s">
        <v>574</v>
      </c>
      <c r="AC2" s="3" t="s">
        <v>575</v>
      </c>
      <c r="AD2" s="3" t="s">
        <v>576</v>
      </c>
      <c r="AE2" s="3" t="s">
        <v>577</v>
      </c>
      <c r="AF2" s="3" t="s">
        <v>578</v>
      </c>
      <c r="AG2" s="3" t="s">
        <v>579</v>
      </c>
      <c r="AH2" s="3" t="s">
        <v>252</v>
      </c>
      <c r="AI2" s="3" t="s">
        <v>303</v>
      </c>
      <c r="AJ2" s="3" t="s">
        <v>580</v>
      </c>
      <c r="AK2" s="3" t="s">
        <v>581</v>
      </c>
      <c r="AL2" s="3" t="s">
        <v>582</v>
      </c>
      <c r="AM2" s="3" t="s">
        <v>583</v>
      </c>
      <c r="AN2" s="3" t="s">
        <v>584</v>
      </c>
      <c r="AO2" s="3" t="s">
        <v>129</v>
      </c>
      <c r="AP2" s="3" t="s">
        <v>585</v>
      </c>
      <c r="AQ2" s="3" t="s">
        <v>586</v>
      </c>
      <c r="AR2" s="3" t="s">
        <v>587</v>
      </c>
      <c r="AS2" s="3" t="s">
        <v>588</v>
      </c>
    </row>
    <row r="3" customFormat="false" ht="15" hidden="false" customHeight="false" outlineLevel="0" collapsed="false">
      <c r="A3" s="0" t="n">
        <v>2026</v>
      </c>
      <c r="B3" s="0" t="n">
        <v>0</v>
      </c>
      <c r="C3" s="0" t="n">
        <v>6604.08</v>
      </c>
      <c r="D3" s="0" t="n">
        <v>83333333.333</v>
      </c>
      <c r="E3" s="0" t="n">
        <v>666666.667</v>
      </c>
      <c r="F3" s="0" t="n">
        <v>3087.2475</v>
      </c>
      <c r="G3" s="0" t="n">
        <v>1</v>
      </c>
      <c r="H3" s="0" t="n">
        <v>3495.035</v>
      </c>
      <c r="I3" s="0" t="n">
        <v>314.13</v>
      </c>
      <c r="J3" s="0" t="n">
        <v>1578.231</v>
      </c>
      <c r="K3" s="0" t="n">
        <v>2522.145</v>
      </c>
      <c r="L3" s="0" t="n">
        <v>1540.438</v>
      </c>
      <c r="M3" s="0" t="n">
        <v>9464.322</v>
      </c>
      <c r="N3" s="0" t="n">
        <v>841.774</v>
      </c>
      <c r="O3" s="0" t="n">
        <v>89.046</v>
      </c>
      <c r="P3" s="0" t="n">
        <v>44.523</v>
      </c>
      <c r="Q3" s="0" t="n">
        <v>2133.961</v>
      </c>
      <c r="R3" s="0" t="n">
        <v>1701.486</v>
      </c>
      <c r="S3" s="0" t="n">
        <v>312.377</v>
      </c>
      <c r="T3" s="0" t="n">
        <v>3809.166</v>
      </c>
      <c r="U3" s="0" t="n">
        <v>2112.518</v>
      </c>
      <c r="V3" s="0" t="n">
        <v>113580.74</v>
      </c>
      <c r="W3" s="0" t="n">
        <v>263.497</v>
      </c>
      <c r="X3" s="0" t="n">
        <v>706.196</v>
      </c>
      <c r="Y3" s="0" t="n">
        <v>89.046</v>
      </c>
      <c r="Z3" s="0" t="n">
        <v>922.327</v>
      </c>
      <c r="AA3" s="0" t="n">
        <f aca="false">H3*x_c_F+I3*x_c_CC+J3*x_c_DC+K3*x_c_HCC+L3*x_c_PLT+M3*x_c_SVRn+N3*x_c_SVRcc+O3*x_c_LT+P3*x_c_LT1</f>
        <v>288862990.022303</v>
      </c>
      <c r="AB3" s="0" t="n">
        <f aca="false">C3*x_c_DAA</f>
        <v>150308860.8</v>
      </c>
      <c r="AC3" s="0" t="n">
        <f aca="false">C3*x_c_MON</f>
        <v>38073378.9787272</v>
      </c>
      <c r="AD3" s="0" t="n">
        <f aca="false">D3*(1-x_testy)</f>
        <v>83333333.333</v>
      </c>
      <c r="AE3" s="0" t="n">
        <f aca="false">E3*(1-x_testy)</f>
        <v>666666.667</v>
      </c>
      <c r="AF3" s="0" t="n">
        <f aca="false">F3*x_NAV</f>
        <v>6195901.84409246</v>
      </c>
      <c r="AG3" s="0" t="n">
        <f aca="false">G3*x_FIX*(1-x_testy)</f>
        <v>1223620.54528</v>
      </c>
      <c r="AH3" s="0" t="n">
        <f aca="false">x_z_F*U3+(1-x_AGRI)*x_EMP*x_WLOSS*(x_PEN_K74*Q3+x_PEN_C22*R3)</f>
        <v>28810171.1449123</v>
      </c>
      <c r="AI3" s="0" t="n">
        <f aca="false">x_AGRI*x_EMP*x_WLOSS*(x_PEN_K74*Q3+x_PEN_C22*R3)</f>
        <v>1617223.8249724</v>
      </c>
      <c r="AJ3" s="0" t="n">
        <f aca="false">x_EMP*x_WAGE*(x_WLOSS*(Q3+R3)+S3)+U3*x_ABS_D*x_WAGE/365</f>
        <v>158378661.511653</v>
      </c>
      <c r="AK3" s="0" t="n">
        <f aca="false">AJ3*x_R_FUS</f>
        <v>50111008.5022872</v>
      </c>
      <c r="AL3" s="0" t="n">
        <f aca="false">AJ3*x_R_NFZ</f>
        <v>12299845.2316565</v>
      </c>
      <c r="AM3" s="0" t="n">
        <f aca="false">AJ3*x_R_PIT</f>
        <v>10529674.4652901</v>
      </c>
      <c r="AN3" s="0" t="n">
        <f aca="false">AJ3*x_R_FP</f>
        <v>4038655.86854716</v>
      </c>
      <c r="AO3" s="0" t="n">
        <f aca="false">AA3+AB3+AC3+AD3+AF3</f>
        <v>566774464.978123</v>
      </c>
      <c r="AP3" s="0" t="n">
        <f aca="false">AO3+AE3+AG3+AH3+AI3+AK3+AL3+AM3+AN3</f>
        <v>676071331.228069</v>
      </c>
      <c r="AQ3" s="0" t="n">
        <f aca="false">AO3+AE3+AG3+AJ3</f>
        <v>727043413.702057</v>
      </c>
      <c r="AR3" s="0" t="n">
        <f aca="false">AB3+AC3+AD3+AF3</f>
        <v>277911474.95582</v>
      </c>
      <c r="AS3" s="0" t="n">
        <f aca="false">AR3+AE3+AG3</f>
        <v>279801762.1681</v>
      </c>
    </row>
    <row r="4" customFormat="false" ht="15" hidden="false" customHeight="false" outlineLevel="0" collapsed="false">
      <c r="A4" s="0" t="n">
        <v>2027</v>
      </c>
      <c r="B4" s="0" t="n">
        <v>1</v>
      </c>
      <c r="C4" s="0" t="n">
        <v>8213.934</v>
      </c>
      <c r="D4" s="0" t="n">
        <v>166666666.667</v>
      </c>
      <c r="E4" s="0" t="n">
        <v>1333333.333</v>
      </c>
      <c r="F4" s="0" t="n">
        <v>5891.8719</v>
      </c>
      <c r="G4" s="0" t="n">
        <v>1</v>
      </c>
      <c r="H4" s="0" t="n">
        <v>4116.374</v>
      </c>
      <c r="I4" s="0" t="n">
        <v>391.935</v>
      </c>
      <c r="J4" s="0" t="n">
        <v>1558.839</v>
      </c>
      <c r="K4" s="0" t="n">
        <v>2508.909</v>
      </c>
      <c r="L4" s="0" t="n">
        <v>1489.389</v>
      </c>
      <c r="M4" s="0" t="n">
        <v>17064.208</v>
      </c>
      <c r="N4" s="0" t="n">
        <v>1564.733</v>
      </c>
      <c r="O4" s="0" t="n">
        <v>87.773</v>
      </c>
      <c r="P4" s="0" t="n">
        <v>88.409</v>
      </c>
      <c r="Q4" s="0" t="n">
        <v>2134.377</v>
      </c>
      <c r="R4" s="0" t="n">
        <v>1708.38</v>
      </c>
      <c r="S4" s="0" t="n">
        <v>939.398</v>
      </c>
      <c r="T4" s="0" t="n">
        <v>4508.309</v>
      </c>
      <c r="U4" s="0" t="n">
        <v>2573.588</v>
      </c>
      <c r="V4" s="0" t="n">
        <v>114922.497</v>
      </c>
      <c r="W4" s="0" t="n">
        <v>268.47</v>
      </c>
      <c r="X4" s="0" t="n">
        <v>725.015</v>
      </c>
      <c r="Y4" s="0" t="n">
        <v>87.773</v>
      </c>
      <c r="Z4" s="0" t="n">
        <v>924.058</v>
      </c>
      <c r="AA4" s="0" t="n">
        <f aca="false">H4*x_c_F+I4*x_c_CC+J4*x_c_DC+K4*x_c_HCC+L4*x_c_PLT+M4*x_c_SVRn+N4*x_c_SVRcc+O4*x_c_LT+P4*x_c_LT1</f>
        <v>296603425.697969</v>
      </c>
      <c r="AB4" s="0" t="n">
        <f aca="false">C4*x_c_DAA</f>
        <v>186949137.84</v>
      </c>
      <c r="AC4" s="0" t="n">
        <f aca="false">C4*x_c_MON</f>
        <v>47354396.3865145</v>
      </c>
      <c r="AD4" s="0" t="n">
        <f aca="false">D4*(1-x_testy)</f>
        <v>166666666.667</v>
      </c>
      <c r="AE4" s="0" t="n">
        <f aca="false">E4*(1-x_testy)</f>
        <v>1333333.333</v>
      </c>
      <c r="AF4" s="0" t="n">
        <f aca="false">F4*x_NAV</f>
        <v>11824597.7915171</v>
      </c>
      <c r="AG4" s="0" t="n">
        <f aca="false">G4*x_FIX*(1-x_testy)</f>
        <v>1223620.54528</v>
      </c>
      <c r="AH4" s="0" t="n">
        <f aca="false">x_z_F*U4+(1-x_AGRI)*x_EMP*x_WLOSS*(x_PEN_K74*Q4+x_PEN_C22*R4)</f>
        <v>29807716.8866158</v>
      </c>
      <c r="AI4" s="0" t="n">
        <f aca="false">x_AGRI*x_EMP*x_WLOSS*(x_PEN_K74*Q4+x_PEN_C22*R4)</f>
        <v>1620504.19864997</v>
      </c>
      <c r="AJ4" s="0" t="n">
        <f aca="false">x_EMP*x_WAGE*(x_WLOSS*(Q4+R4)+S4)+U4*x_ABS_D*x_WAGE/365</f>
        <v>213432392.22116</v>
      </c>
      <c r="AK4" s="0" t="n">
        <f aca="false">AJ4*x_R_FUS</f>
        <v>67530008.898775</v>
      </c>
      <c r="AL4" s="0" t="n">
        <f aca="false">AJ4*x_R_NFZ</f>
        <v>16575373.0122875</v>
      </c>
      <c r="AM4" s="0" t="n">
        <f aca="false">AJ4*x_R_PIT</f>
        <v>14189876.2686005</v>
      </c>
      <c r="AN4" s="0" t="n">
        <f aca="false">AJ4*x_R_FP</f>
        <v>5442526.00163958</v>
      </c>
      <c r="AO4" s="0" t="n">
        <f aca="false">AA4+AB4+AC4+AD4+AF4</f>
        <v>709398224.383</v>
      </c>
      <c r="AP4" s="0" t="n">
        <f aca="false">AO4+AE4+AG4+AH4+AI4+AK4+AL4+AM4+AN4</f>
        <v>847121183.527849</v>
      </c>
      <c r="AQ4" s="0" t="n">
        <f aca="false">AO4+AE4+AG4+AJ4</f>
        <v>925387570.48244</v>
      </c>
      <c r="AR4" s="0" t="n">
        <f aca="false">AB4+AC4+AD4+AF4</f>
        <v>412794798.685032</v>
      </c>
      <c r="AS4" s="0" t="n">
        <f aca="false">AR4+AE4+AG4</f>
        <v>415351752.563312</v>
      </c>
    </row>
    <row r="5" customFormat="false" ht="15" hidden="false" customHeight="false" outlineLevel="0" collapsed="false">
      <c r="A5" s="0" t="n">
        <v>2028</v>
      </c>
      <c r="B5" s="0" t="n">
        <v>2</v>
      </c>
      <c r="C5" s="0" t="n">
        <v>9529.999</v>
      </c>
      <c r="D5" s="0" t="n">
        <v>250000000</v>
      </c>
      <c r="E5" s="0" t="n">
        <v>2000000</v>
      </c>
      <c r="F5" s="0" t="n">
        <v>8184.668</v>
      </c>
      <c r="G5" s="0" t="n">
        <v>1</v>
      </c>
      <c r="H5" s="0" t="n">
        <v>4271.595</v>
      </c>
      <c r="I5" s="0" t="n">
        <v>430.674</v>
      </c>
      <c r="J5" s="0" t="n">
        <v>1546.642</v>
      </c>
      <c r="K5" s="0" t="n">
        <v>2514.484</v>
      </c>
      <c r="L5" s="0" t="n">
        <v>1475.709</v>
      </c>
      <c r="M5" s="0" t="n">
        <v>24784.803</v>
      </c>
      <c r="N5" s="0" t="n">
        <v>2343.371</v>
      </c>
      <c r="O5" s="0" t="n">
        <v>87.074</v>
      </c>
      <c r="P5" s="0" t="n">
        <v>87.423</v>
      </c>
      <c r="Q5" s="0" t="n">
        <v>2136.479</v>
      </c>
      <c r="R5" s="0" t="n">
        <v>1731.424</v>
      </c>
      <c r="S5" s="0" t="n">
        <v>1569.682</v>
      </c>
      <c r="T5" s="0" t="n">
        <v>4702.269</v>
      </c>
      <c r="U5" s="0" t="n">
        <v>2755.558</v>
      </c>
      <c r="V5" s="0" t="n">
        <v>116388.799</v>
      </c>
      <c r="W5" s="0" t="n">
        <v>272.721</v>
      </c>
      <c r="X5" s="0" t="n">
        <v>738.709</v>
      </c>
      <c r="Y5" s="0" t="n">
        <v>87.074</v>
      </c>
      <c r="Z5" s="0" t="n">
        <v>920.763</v>
      </c>
      <c r="AA5" s="0" t="n">
        <f aca="false">H5*x_c_F+I5*x_c_CC+J5*x_c_DC+K5*x_c_HCC+L5*x_c_PLT+M5*x_c_SVRn+N5*x_c_SVRcc+O5*x_c_LT+P5*x_c_LT1</f>
        <v>303543100.699771</v>
      </c>
      <c r="AB5" s="0" t="n">
        <f aca="false">C5*x_c_DAA</f>
        <v>216902777.24</v>
      </c>
      <c r="AC5" s="0" t="n">
        <f aca="false">C5*x_c_MON</f>
        <v>54941682.0501707</v>
      </c>
      <c r="AD5" s="0" t="n">
        <f aca="false">D5*(1-x_testy)</f>
        <v>250000000</v>
      </c>
      <c r="AE5" s="0" t="n">
        <f aca="false">E5*(1-x_testy)</f>
        <v>2000000</v>
      </c>
      <c r="AF5" s="0" t="n">
        <f aca="false">F5*x_NAV</f>
        <v>16426088.1430739</v>
      </c>
      <c r="AG5" s="0" t="n">
        <f aca="false">G5*x_FIX*(1-x_testy)</f>
        <v>1223620.54528</v>
      </c>
      <c r="AH5" s="0" t="n">
        <f aca="false">x_z_F*U5+(1-x_AGRI)*x_EMP*x_WLOSS*(x_PEN_K74*Q5+x_PEN_C22*R5)</f>
        <v>30352000.066096</v>
      </c>
      <c r="AI5" s="0" t="n">
        <f aca="false">x_AGRI*x_EMP*x_WLOSS*(x_PEN_K74*Q5+x_PEN_C22*R5)</f>
        <v>1631752.09937672</v>
      </c>
      <c r="AJ5" s="0" t="n">
        <f aca="false">x_EMP*x_WAGE*(x_WLOSS*(Q5+R5)+S5)+U5*x_ABS_D*x_WAGE/365</f>
        <v>268528299.640754</v>
      </c>
      <c r="AK5" s="0" t="n">
        <f aca="false">AJ5*x_R_FUS</f>
        <v>84962354.0063346</v>
      </c>
      <c r="AL5" s="0" t="n">
        <f aca="false">AJ5*x_R_NFZ</f>
        <v>20854176.2784006</v>
      </c>
      <c r="AM5" s="0" t="n">
        <f aca="false">AJ5*x_R_PIT</f>
        <v>17852882.1556366</v>
      </c>
      <c r="AN5" s="0" t="n">
        <f aca="false">AJ5*x_R_FP</f>
        <v>6847471.64083923</v>
      </c>
      <c r="AO5" s="0" t="n">
        <f aca="false">AA5+AB5+AC5+AD5+AF5</f>
        <v>841813648.133015</v>
      </c>
      <c r="AP5" s="0" t="n">
        <f aca="false">AO5+AE5+AG5+AH5+AI5+AK5+AL5+AM5+AN5</f>
        <v>1007537904.92498</v>
      </c>
      <c r="AQ5" s="0" t="n">
        <f aca="false">AO5+AE5+AG5+AJ5</f>
        <v>1113565568.31905</v>
      </c>
      <c r="AR5" s="0" t="n">
        <f aca="false">AB5+AC5+AD5+AF5</f>
        <v>538270547.433245</v>
      </c>
      <c r="AS5" s="0" t="n">
        <f aca="false">AR5+AE5+AG5</f>
        <v>541494167.978525</v>
      </c>
    </row>
    <row r="6" customFormat="false" ht="15" hidden="false" customHeight="false" outlineLevel="0" collapsed="false">
      <c r="A6" s="0" t="n">
        <v>2029</v>
      </c>
      <c r="B6" s="0" t="n">
        <v>3</v>
      </c>
      <c r="C6" s="0" t="n">
        <v>9077.689</v>
      </c>
      <c r="D6" s="0" t="n">
        <v>250000000</v>
      </c>
      <c r="E6" s="0" t="n">
        <v>2000000</v>
      </c>
      <c r="F6" s="0" t="n">
        <v>7396.6702</v>
      </c>
      <c r="G6" s="0" t="n">
        <v>1</v>
      </c>
      <c r="H6" s="0" t="n">
        <v>4061.567</v>
      </c>
      <c r="I6" s="0" t="n">
        <v>433.853</v>
      </c>
      <c r="J6" s="0" t="n">
        <v>1540.259</v>
      </c>
      <c r="K6" s="0" t="n">
        <v>2530.349</v>
      </c>
      <c r="L6" s="0" t="n">
        <v>1460.876</v>
      </c>
      <c r="M6" s="0" t="n">
        <v>31916.153</v>
      </c>
      <c r="N6" s="0" t="n">
        <v>3102.976</v>
      </c>
      <c r="O6" s="0" t="n">
        <v>86.744</v>
      </c>
      <c r="P6" s="0" t="n">
        <v>86.909</v>
      </c>
      <c r="Q6" s="0" t="n">
        <v>2143.653</v>
      </c>
      <c r="R6" s="0" t="n">
        <v>1763.817</v>
      </c>
      <c r="S6" s="0" t="n">
        <v>2203.578</v>
      </c>
      <c r="T6" s="0" t="n">
        <v>4495.42</v>
      </c>
      <c r="U6" s="0" t="n">
        <v>2703.279</v>
      </c>
      <c r="V6" s="0" t="n">
        <v>117916.442</v>
      </c>
      <c r="W6" s="0" t="n">
        <v>277.503</v>
      </c>
      <c r="X6" s="0" t="n">
        <v>751.298</v>
      </c>
      <c r="Y6" s="0" t="n">
        <v>86.744</v>
      </c>
      <c r="Z6" s="0" t="n">
        <v>921.558</v>
      </c>
      <c r="AA6" s="0" t="n">
        <f aca="false">H6*x_c_F+I6*x_c_CC+J6*x_c_DC+K6*x_c_HCC+L6*x_c_PLT+M6*x_c_SVRn+N6*x_c_SVRcc+O6*x_c_LT+P6*x_c_LT1</f>
        <v>309660245.069268</v>
      </c>
      <c r="AB6" s="0" t="n">
        <f aca="false">C6*x_c_DAA</f>
        <v>206608201.64</v>
      </c>
      <c r="AC6" s="0" t="n">
        <f aca="false">C6*x_c_MON</f>
        <v>52334056.1513524</v>
      </c>
      <c r="AD6" s="0" t="n">
        <f aca="false">D6*(1-x_testy)</f>
        <v>250000000</v>
      </c>
      <c r="AE6" s="0" t="n">
        <f aca="false">E6*(1-x_testy)</f>
        <v>2000000</v>
      </c>
      <c r="AF6" s="0" t="n">
        <f aca="false">F6*x_NAV</f>
        <v>14844628.5995288</v>
      </c>
      <c r="AG6" s="0" t="n">
        <f aca="false">G6*x_FIX*(1-x_testy)</f>
        <v>1223620.54528</v>
      </c>
      <c r="AH6" s="0" t="n">
        <f aca="false">x_z_F*U6+(1-x_AGRI)*x_EMP*x_WLOSS*(x_PEN_K74*Q6+x_PEN_C22*R6)</f>
        <v>30509106.19204</v>
      </c>
      <c r="AI6" s="0" t="n">
        <f aca="false">x_AGRI*x_EMP*x_WLOSS*(x_PEN_K74*Q6+x_PEN_C22*R6)</f>
        <v>1649240.78360346</v>
      </c>
      <c r="AJ6" s="0" t="n">
        <f aca="false">x_EMP*x_WAGE*(x_WLOSS*(Q6+R6)+S6)+U6*x_ABS_D*x_WAGE/365</f>
        <v>323716106.768879</v>
      </c>
      <c r="AK6" s="0" t="n">
        <f aca="false">AJ6*x_R_FUS</f>
        <v>102423776.181673</v>
      </c>
      <c r="AL6" s="0" t="n">
        <f aca="false">AJ6*x_R_NFZ</f>
        <v>25140116.5677779</v>
      </c>
      <c r="AM6" s="0" t="n">
        <f aca="false">AJ6*x_R_PIT</f>
        <v>21521997.918871</v>
      </c>
      <c r="AN6" s="0" t="n">
        <f aca="false">AJ6*x_R_FP</f>
        <v>8254760.72260642</v>
      </c>
      <c r="AO6" s="0" t="n">
        <f aca="false">AA6+AB6+AC6+AD6+AF6</f>
        <v>833447131.46015</v>
      </c>
      <c r="AP6" s="0" t="n">
        <f aca="false">AO6+AE6+AG6+AH6+AI6+AK6+AL6+AM6+AN6</f>
        <v>1026169750.372</v>
      </c>
      <c r="AQ6" s="0" t="n">
        <f aca="false">AO6+AE6+AG6+AJ6</f>
        <v>1160386858.77431</v>
      </c>
      <c r="AR6" s="0" t="n">
        <f aca="false">AB6+AC6+AD6+AF6</f>
        <v>523786886.390881</v>
      </c>
      <c r="AS6" s="0" t="n">
        <f aca="false">AR6+AE6+AG6</f>
        <v>527010506.936161</v>
      </c>
    </row>
    <row r="7" customFormat="false" ht="15" hidden="false" customHeight="false" outlineLevel="0" collapsed="false">
      <c r="A7" s="0" t="n">
        <v>2030</v>
      </c>
      <c r="B7" s="0" t="n">
        <v>4</v>
      </c>
      <c r="C7" s="0" t="n">
        <v>8714.493</v>
      </c>
      <c r="D7" s="0" t="n">
        <v>250000000</v>
      </c>
      <c r="E7" s="0" t="n">
        <v>2000000</v>
      </c>
      <c r="F7" s="0" t="n">
        <v>6763.9258</v>
      </c>
      <c r="G7" s="0" t="n">
        <v>1</v>
      </c>
      <c r="H7" s="0" t="n">
        <v>3888.759</v>
      </c>
      <c r="I7" s="0" t="n">
        <v>437.961</v>
      </c>
      <c r="J7" s="0" t="n">
        <v>1538.692</v>
      </c>
      <c r="K7" s="0" t="n">
        <v>2551.668</v>
      </c>
      <c r="L7" s="0" t="n">
        <v>1445.316</v>
      </c>
      <c r="M7" s="0" t="n">
        <v>38594.608</v>
      </c>
      <c r="N7" s="0" t="n">
        <v>3845.07</v>
      </c>
      <c r="O7" s="0" t="n">
        <v>86.713</v>
      </c>
      <c r="P7" s="0" t="n">
        <v>86.728</v>
      </c>
      <c r="Q7" s="0" t="n">
        <v>2155.19</v>
      </c>
      <c r="R7" s="0" t="n">
        <v>1801.538</v>
      </c>
      <c r="S7" s="0" t="n">
        <v>2843.664</v>
      </c>
      <c r="T7" s="0" t="n">
        <v>4326.72</v>
      </c>
      <c r="U7" s="0" t="n">
        <v>2666.051</v>
      </c>
      <c r="V7" s="0" t="n">
        <v>119491.047</v>
      </c>
      <c r="W7" s="0" t="n">
        <v>281.868</v>
      </c>
      <c r="X7" s="0" t="n">
        <v>761.307</v>
      </c>
      <c r="Y7" s="0" t="n">
        <v>86.713</v>
      </c>
      <c r="Z7" s="0" t="n">
        <v>925.074</v>
      </c>
      <c r="AA7" s="0" t="n">
        <f aca="false">H7*x_c_F+I7*x_c_CC+J7*x_c_DC+K7*x_c_HCC+L7*x_c_PLT+M7*x_c_SVRn+N7*x_c_SVRcc+O7*x_c_LT+P7*x_c_LT1</f>
        <v>316092385.621805</v>
      </c>
      <c r="AB7" s="0" t="n">
        <f aca="false">C7*x_c_DAA</f>
        <v>198341860.68</v>
      </c>
      <c r="AC7" s="0" t="n">
        <f aca="false">C7*x_c_MON</f>
        <v>50240184.0372111</v>
      </c>
      <c r="AD7" s="0" t="n">
        <f aca="false">D7*(1-x_testy)</f>
        <v>250000000</v>
      </c>
      <c r="AE7" s="0" t="n">
        <f aca="false">E7*(1-x_testy)</f>
        <v>2000000</v>
      </c>
      <c r="AF7" s="0" t="n">
        <f aca="false">F7*x_NAV</f>
        <v>13574752.3765181</v>
      </c>
      <c r="AG7" s="0" t="n">
        <f aca="false">G7*x_FIX*(1-x_testy)</f>
        <v>1223620.54528</v>
      </c>
      <c r="AH7" s="0" t="n">
        <f aca="false">x_z_F*U7+(1-x_AGRI)*x_EMP*x_WLOSS*(x_PEN_K74*Q7+x_PEN_C22*R7)</f>
        <v>30759821.0080202</v>
      </c>
      <c r="AI7" s="0" t="n">
        <f aca="false">x_AGRI*x_EMP*x_WLOSS*(x_PEN_K74*Q7+x_PEN_C22*R7)</f>
        <v>1670871.51991389</v>
      </c>
      <c r="AJ7" s="0" t="n">
        <f aca="false">x_EMP*x_WAGE*(x_WLOSS*(Q7+R7)+S7)+U7*x_ABS_D*x_WAGE/365</f>
        <v>379793088.076413</v>
      </c>
      <c r="AK7" s="0" t="n">
        <f aca="false">AJ7*x_R_FUS</f>
        <v>120166533.067377</v>
      </c>
      <c r="AL7" s="0" t="n">
        <f aca="false">AJ7*x_R_NFZ</f>
        <v>29495111.0131023</v>
      </c>
      <c r="AM7" s="0" t="n">
        <f aca="false">AJ7*x_R_PIT</f>
        <v>25250229.6928278</v>
      </c>
      <c r="AN7" s="0" t="n">
        <f aca="false">AJ7*x_R_FP</f>
        <v>9684723.74594854</v>
      </c>
      <c r="AO7" s="0" t="n">
        <f aca="false">AA7+AB7+AC7+AD7+AF7</f>
        <v>828249182.715534</v>
      </c>
      <c r="AP7" s="0" t="n">
        <f aca="false">AO7+AE7+AG7+AH7+AI7+AK7+AL7+AM7+AN7</f>
        <v>1048500093.308</v>
      </c>
      <c r="AQ7" s="0" t="n">
        <f aca="false">AO7+AE7+AG7+AJ7</f>
        <v>1211265891.33723</v>
      </c>
      <c r="AR7" s="0" t="n">
        <f aca="false">AB7+AC7+AD7+AF7</f>
        <v>512156797.093729</v>
      </c>
      <c r="AS7" s="0" t="n">
        <f aca="false">AR7+AE7+AG7</f>
        <v>515380417.639009</v>
      </c>
    </row>
    <row r="8" customFormat="false" ht="15" hidden="false" customHeight="false" outlineLevel="0" collapsed="false">
      <c r="A8" s="0" t="n">
        <v>2031</v>
      </c>
      <c r="B8" s="0" t="n">
        <v>5</v>
      </c>
      <c r="C8" s="0" t="n">
        <v>8418.221</v>
      </c>
      <c r="D8" s="0" t="n">
        <v>250000000</v>
      </c>
      <c r="E8" s="0" t="n">
        <v>2000000</v>
      </c>
      <c r="F8" s="0" t="n">
        <v>6247.7724</v>
      </c>
      <c r="G8" s="0" t="n">
        <v>1</v>
      </c>
      <c r="H8" s="0" t="n">
        <v>3744.928</v>
      </c>
      <c r="I8" s="0" t="n">
        <v>441.818</v>
      </c>
      <c r="J8" s="0" t="n">
        <v>1540.326</v>
      </c>
      <c r="K8" s="0" t="n">
        <v>2573.768</v>
      </c>
      <c r="L8" s="0" t="n">
        <v>1429.341</v>
      </c>
      <c r="M8" s="0" t="n">
        <v>44910.926</v>
      </c>
      <c r="N8" s="0" t="n">
        <v>4568.819</v>
      </c>
      <c r="O8" s="0" t="n">
        <v>86.88</v>
      </c>
      <c r="P8" s="0" t="n">
        <v>86.796</v>
      </c>
      <c r="Q8" s="0" t="n">
        <v>2169.987</v>
      </c>
      <c r="R8" s="0" t="n">
        <v>1840.956</v>
      </c>
      <c r="S8" s="0" t="n">
        <v>3491.288</v>
      </c>
      <c r="T8" s="0" t="n">
        <v>4186.746</v>
      </c>
      <c r="U8" s="0" t="n">
        <v>2640.169</v>
      </c>
      <c r="V8" s="0" t="n">
        <v>121098.246</v>
      </c>
      <c r="W8" s="0" t="n">
        <v>285.178</v>
      </c>
      <c r="X8" s="0" t="n">
        <v>767.784</v>
      </c>
      <c r="Y8" s="0" t="n">
        <v>86.88</v>
      </c>
      <c r="Z8" s="0" t="n">
        <v>929.846</v>
      </c>
      <c r="AA8" s="0" t="n">
        <f aca="false">H8*x_c_F+I8*x_c_CC+J8*x_c_DC+K8*x_c_HCC+L8*x_c_PLT+M8*x_c_SVRn+N8*x_c_SVRcc+O8*x_c_LT+P8*x_c_LT1</f>
        <v>322510332.241414</v>
      </c>
      <c r="AB8" s="0" t="n">
        <f aca="false">C8*x_c_DAA</f>
        <v>191598709.96</v>
      </c>
      <c r="AC8" s="0" t="n">
        <f aca="false">C8*x_c_MON</f>
        <v>48532137.4755726</v>
      </c>
      <c r="AD8" s="0" t="n">
        <f aca="false">D8*(1-x_testy)</f>
        <v>250000000</v>
      </c>
      <c r="AE8" s="0" t="n">
        <f aca="false">E8*(1-x_testy)</f>
        <v>2000000</v>
      </c>
      <c r="AF8" s="0" t="n">
        <f aca="false">F8*x_NAV</f>
        <v>12538866.5905892</v>
      </c>
      <c r="AG8" s="0" t="n">
        <f aca="false">G8*x_FIX*(1-x_testy)</f>
        <v>1223620.54528</v>
      </c>
      <c r="AH8" s="0" t="n">
        <f aca="false">x_z_F*U8+(1-x_AGRI)*x_EMP*x_WLOSS*(x_PEN_K74*Q8+x_PEN_C22*R8)</f>
        <v>31065071.6758401</v>
      </c>
      <c r="AI8" s="0" t="n">
        <f aca="false">x_AGRI*x_EMP*x_WLOSS*(x_PEN_K74*Q8+x_PEN_C22*R8)</f>
        <v>1694565.14662371</v>
      </c>
      <c r="AJ8" s="0" t="n">
        <f aca="false">x_EMP*x_WAGE*(x_WLOSS*(Q8+R8)+S8)+U8*x_ABS_D*x_WAGE/365</f>
        <v>436708340.718815</v>
      </c>
      <c r="AK8" s="0" t="n">
        <f aca="false">AJ8*x_R_FUS</f>
        <v>138174519.003433</v>
      </c>
      <c r="AL8" s="0" t="n">
        <f aca="false">AJ8*x_R_NFZ</f>
        <v>33915206.4485639</v>
      </c>
      <c r="AM8" s="0" t="n">
        <f aca="false">AJ8*x_R_PIT</f>
        <v>29034193.2439412</v>
      </c>
      <c r="AN8" s="0" t="n">
        <f aca="false">AJ8*x_R_FP</f>
        <v>11136062.6883298</v>
      </c>
      <c r="AO8" s="0" t="n">
        <f aca="false">AA8+AB8+AC8+AD8+AF8</f>
        <v>825180046.267576</v>
      </c>
      <c r="AP8" s="0" t="n">
        <f aca="false">AO8+AE8+AG8+AH8+AI8+AK8+AL8+AM8+AN8</f>
        <v>1073423285.01959</v>
      </c>
      <c r="AQ8" s="0" t="n">
        <f aca="false">AO8+AE8+AG8+AJ8</f>
        <v>1265112007.53167</v>
      </c>
      <c r="AR8" s="0" t="n">
        <f aca="false">AB8+AC8+AD8+AF8</f>
        <v>502669714.026162</v>
      </c>
      <c r="AS8" s="0" t="n">
        <f aca="false">AR8+AE8+AG8</f>
        <v>505893334.571442</v>
      </c>
    </row>
    <row r="9" customFormat="false" ht="15" hidden="false" customHeight="false" outlineLevel="0" collapsed="false">
      <c r="A9" s="0" t="n">
        <v>2032</v>
      </c>
      <c r="B9" s="0" t="n">
        <v>6</v>
      </c>
      <c r="C9" s="0" t="n">
        <v>8172.548</v>
      </c>
      <c r="D9" s="0" t="n">
        <v>250000000</v>
      </c>
      <c r="E9" s="0" t="n">
        <v>2000000</v>
      </c>
      <c r="F9" s="0" t="n">
        <v>5819.7695</v>
      </c>
      <c r="G9" s="0" t="n">
        <v>1</v>
      </c>
      <c r="H9" s="0" t="n">
        <v>3623.954</v>
      </c>
      <c r="I9" s="0" t="n">
        <v>444.568</v>
      </c>
      <c r="J9" s="0" t="n">
        <v>1543.272</v>
      </c>
      <c r="K9" s="0" t="n">
        <v>2592.517</v>
      </c>
      <c r="L9" s="0" t="n">
        <v>1413.155</v>
      </c>
      <c r="M9" s="0" t="n">
        <v>50926.171</v>
      </c>
      <c r="N9" s="0" t="n">
        <v>5271.635</v>
      </c>
      <c r="O9" s="0" t="n">
        <v>87.122</v>
      </c>
      <c r="P9" s="0" t="n">
        <v>87.001</v>
      </c>
      <c r="Q9" s="0" t="n">
        <v>2186.711</v>
      </c>
      <c r="R9" s="0" t="n">
        <v>1878.964</v>
      </c>
      <c r="S9" s="0" t="n">
        <v>4146.575</v>
      </c>
      <c r="T9" s="0" t="n">
        <v>4068.522</v>
      </c>
      <c r="U9" s="0" t="n">
        <v>2622.723</v>
      </c>
      <c r="V9" s="0" t="n">
        <v>122723.432</v>
      </c>
      <c r="W9" s="0" t="n">
        <v>287.013</v>
      </c>
      <c r="X9" s="0" t="n">
        <v>770.15</v>
      </c>
      <c r="Y9" s="0" t="n">
        <v>87.122</v>
      </c>
      <c r="Z9" s="0" t="n">
        <v>934.437</v>
      </c>
      <c r="AA9" s="0" t="n">
        <f aca="false">H9*x_c_F+I9*x_c_CC+J9*x_c_DC+K9*x_c_HCC+L9*x_c_PLT+M9*x_c_SVRn+N9*x_c_SVRcc+O9*x_c_LT+P9*x_c_LT1</f>
        <v>328586703.178692</v>
      </c>
      <c r="AB9" s="0" t="n">
        <f aca="false">C9*x_c_DAA</f>
        <v>186007192.48</v>
      </c>
      <c r="AC9" s="0" t="n">
        <f aca="false">C9*x_c_MON</f>
        <v>47115800.721045</v>
      </c>
      <c r="AD9" s="0" t="n">
        <f aca="false">D9*(1-x_testy)</f>
        <v>250000000</v>
      </c>
      <c r="AE9" s="0" t="n">
        <f aca="false">E9*(1-x_testy)</f>
        <v>2000000</v>
      </c>
      <c r="AF9" s="0" t="n">
        <f aca="false">F9*x_NAV</f>
        <v>11679893.0365133</v>
      </c>
      <c r="AG9" s="0" t="n">
        <f aca="false">G9*x_FIX*(1-x_testy)</f>
        <v>1223620.54528</v>
      </c>
      <c r="AH9" s="0" t="n">
        <f aca="false">x_z_F*U9+(1-x_AGRI)*x_EMP*x_WLOSS*(x_PEN_K74*Q9+x_PEN_C22*R9)</f>
        <v>31389618.3499488</v>
      </c>
      <c r="AI9" s="0" t="n">
        <f aca="false">x_AGRI*x_EMP*x_WLOSS*(x_PEN_K74*Q9+x_PEN_C22*R9)</f>
        <v>1718387.82177892</v>
      </c>
      <c r="AJ9" s="0" t="n">
        <f aca="false">x_EMP*x_WAGE*(x_WLOSS*(Q9+R9)+S9)+U9*x_ABS_D*x_WAGE/365</f>
        <v>494318646.563438</v>
      </c>
      <c r="AK9" s="0" t="n">
        <f aca="false">AJ9*x_R_FUS</f>
        <v>156402419.772672</v>
      </c>
      <c r="AL9" s="0" t="n">
        <f aca="false">AJ9*x_R_NFZ</f>
        <v>38389280.4107632</v>
      </c>
      <c r="AM9" s="0" t="n">
        <f aca="false">AJ9*x_R_PIT</f>
        <v>32864366.8329827</v>
      </c>
      <c r="AN9" s="0" t="n">
        <f aca="false">AJ9*x_R_FP</f>
        <v>12605125.4873677</v>
      </c>
      <c r="AO9" s="0" t="n">
        <f aca="false">AA9+AB9+AC9+AD9+AF9</f>
        <v>823389589.41625</v>
      </c>
      <c r="AP9" s="0" t="n">
        <f aca="false">AO9+AE9+AG9+AH9+AI9+AK9+AL9+AM9+AN9</f>
        <v>1099982408.63704</v>
      </c>
      <c r="AQ9" s="0" t="n">
        <f aca="false">AO9+AE9+AG9+AJ9</f>
        <v>1320931856.52497</v>
      </c>
      <c r="AR9" s="0" t="n">
        <f aca="false">AB9+AC9+AD9+AF9</f>
        <v>494802886.237558</v>
      </c>
      <c r="AS9" s="0" t="n">
        <f aca="false">AR9+AE9+AG9</f>
        <v>498026506.782838</v>
      </c>
    </row>
    <row r="10" customFormat="false" ht="15" hidden="false" customHeight="false" outlineLevel="0" collapsed="false">
      <c r="A10" s="0" t="n">
        <v>2033</v>
      </c>
      <c r="B10" s="0" t="n">
        <v>7</v>
      </c>
      <c r="C10" s="0" t="n">
        <v>7965.32</v>
      </c>
      <c r="D10" s="0" t="n">
        <v>250000000</v>
      </c>
      <c r="E10" s="0" t="n">
        <v>2000000</v>
      </c>
      <c r="F10" s="0" t="n">
        <v>5458.7465</v>
      </c>
      <c r="G10" s="0" t="n">
        <v>1</v>
      </c>
      <c r="H10" s="0" t="n">
        <v>3521.292</v>
      </c>
      <c r="I10" s="0" t="n">
        <v>445.611</v>
      </c>
      <c r="J10" s="0" t="n">
        <v>1545.645</v>
      </c>
      <c r="K10" s="0" t="n">
        <v>2604.55</v>
      </c>
      <c r="L10" s="0" t="n">
        <v>1396.853</v>
      </c>
      <c r="M10" s="0" t="n">
        <v>56681.808</v>
      </c>
      <c r="N10" s="0" t="n">
        <v>5949.773</v>
      </c>
      <c r="O10" s="0" t="n">
        <v>87.326</v>
      </c>
      <c r="P10" s="0" t="n">
        <v>87.224</v>
      </c>
      <c r="Q10" s="0" t="n">
        <v>2203.965</v>
      </c>
      <c r="R10" s="0" t="n">
        <v>1913.056</v>
      </c>
      <c r="S10" s="0" t="n">
        <v>4808.585</v>
      </c>
      <c r="T10" s="0" t="n">
        <v>3966.902</v>
      </c>
      <c r="U10" s="0" t="n">
        <v>2611.423</v>
      </c>
      <c r="V10" s="0" t="n">
        <v>124353.702</v>
      </c>
      <c r="W10" s="0" t="n">
        <v>287.143</v>
      </c>
      <c r="X10" s="0" t="n">
        <v>768.159</v>
      </c>
      <c r="Y10" s="0" t="n">
        <v>87.326</v>
      </c>
      <c r="Z10" s="0" t="n">
        <v>937.628</v>
      </c>
      <c r="AA10" s="0" t="n">
        <f aca="false">H10*x_c_F+I10*x_c_CC+J10*x_c_DC+K10*x_c_HCC+L10*x_c_PLT+M10*x_c_SVRn+N10*x_c_SVRcc+O10*x_c_LT+P10*x_c_LT1</f>
        <v>334032922.955287</v>
      </c>
      <c r="AB10" s="0" t="n">
        <f aca="false">C10*x_c_DAA</f>
        <v>181290683.2</v>
      </c>
      <c r="AC10" s="0" t="n">
        <f aca="false">C10*x_c_MON</f>
        <v>45921104.3849916</v>
      </c>
      <c r="AD10" s="0" t="n">
        <f aca="false">D10*(1-x_testy)</f>
        <v>250000000</v>
      </c>
      <c r="AE10" s="0" t="n">
        <f aca="false">E10*(1-x_testy)</f>
        <v>2000000</v>
      </c>
      <c r="AF10" s="0" t="n">
        <f aca="false">F10*x_NAV</f>
        <v>10955343.718242</v>
      </c>
      <c r="AG10" s="0" t="n">
        <f aca="false">G10*x_FIX*(1-x_testy)</f>
        <v>1223620.54528</v>
      </c>
      <c r="AH10" s="0" t="n">
        <f aca="false">x_z_F*U10+(1-x_AGRI)*x_EMP*x_WLOSS*(x_PEN_K74*Q10+x_PEN_C22*R10)</f>
        <v>31703219.253941</v>
      </c>
      <c r="AI10" s="0" t="n">
        <f aca="false">x_AGRI*x_EMP*x_WLOSS*(x_PEN_K74*Q10+x_PEN_C22*R10)</f>
        <v>1740651.81348604</v>
      </c>
      <c r="AJ10" s="0" t="n">
        <f aca="false">x_EMP*x_WAGE*(x_WLOSS*(Q10+R10)+S10)+U10*x_ABS_D*x_WAGE/365</f>
        <v>552409383.057734</v>
      </c>
      <c r="AK10" s="0" t="n">
        <f aca="false">AJ10*x_R_FUS</f>
        <v>174782328.799467</v>
      </c>
      <c r="AL10" s="0" t="n">
        <f aca="false">AJ10*x_R_NFZ</f>
        <v>42900665.0976467</v>
      </c>
      <c r="AM10" s="0" t="n">
        <f aca="false">AJ10*x_R_PIT</f>
        <v>36726481.4568576</v>
      </c>
      <c r="AN10" s="0" t="n">
        <f aca="false">AJ10*x_R_FP</f>
        <v>14086439.2679722</v>
      </c>
      <c r="AO10" s="0" t="n">
        <f aca="false">AA10+AB10+AC10+AD10+AF10</f>
        <v>822200054.25852</v>
      </c>
      <c r="AP10" s="0" t="n">
        <f aca="false">AO10+AE10+AG10+AH10+AI10+AK10+AL10+AM10+AN10</f>
        <v>1127363460.49317</v>
      </c>
      <c r="AQ10" s="0" t="n">
        <f aca="false">AO10+AE10+AG10+AJ10</f>
        <v>1377833057.86153</v>
      </c>
      <c r="AR10" s="0" t="n">
        <f aca="false">AB10+AC10+AD10+AF10</f>
        <v>488167131.303234</v>
      </c>
      <c r="AS10" s="0" t="n">
        <f aca="false">AR10+AE10+AG10</f>
        <v>491390751.848514</v>
      </c>
    </row>
    <row r="11" customFormat="false" ht="15" hidden="false" customHeight="false" outlineLevel="0" collapsed="false">
      <c r="A11" s="0" t="n">
        <v>2034</v>
      </c>
      <c r="B11" s="0" t="n">
        <v>8</v>
      </c>
      <c r="C11" s="0" t="n">
        <v>7787.68</v>
      </c>
      <c r="D11" s="0" t="n">
        <v>250000000</v>
      </c>
      <c r="E11" s="0" t="n">
        <v>2000000</v>
      </c>
      <c r="F11" s="0" t="n">
        <v>5149.2682</v>
      </c>
      <c r="G11" s="0" t="n">
        <v>1</v>
      </c>
      <c r="H11" s="0" t="n">
        <v>3433.541</v>
      </c>
      <c r="I11" s="0" t="n">
        <v>444.551</v>
      </c>
      <c r="J11" s="0" t="n">
        <v>1545.724</v>
      </c>
      <c r="K11" s="0" t="n">
        <v>2607.337</v>
      </c>
      <c r="L11" s="0" t="n">
        <v>1380.416</v>
      </c>
      <c r="M11" s="0" t="n">
        <v>62206.216</v>
      </c>
      <c r="N11" s="0" t="n">
        <v>6598.711</v>
      </c>
      <c r="O11" s="0" t="n">
        <v>87.388</v>
      </c>
      <c r="P11" s="0" t="n">
        <v>87.357</v>
      </c>
      <c r="Q11" s="0" t="n">
        <v>2220.393</v>
      </c>
      <c r="R11" s="0" t="n">
        <v>1941.325</v>
      </c>
      <c r="S11" s="0" t="n">
        <v>5475.437</v>
      </c>
      <c r="T11" s="0" t="n">
        <v>3878.093</v>
      </c>
      <c r="U11" s="0" t="n">
        <v>2604.48</v>
      </c>
      <c r="V11" s="0" t="n">
        <v>125977.982</v>
      </c>
      <c r="W11" s="0" t="n">
        <v>285.468</v>
      </c>
      <c r="X11" s="0" t="n">
        <v>761.785</v>
      </c>
      <c r="Y11" s="0" t="n">
        <v>87.388</v>
      </c>
      <c r="Z11" s="0" t="n">
        <v>938.388</v>
      </c>
      <c r="AA11" s="0" t="n">
        <f aca="false">H11*x_c_F+I11*x_c_CC+J11*x_c_DC+K11*x_c_HCC+L11*x_c_PLT+M11*x_c_SVRn+N11*x_c_SVRcc+O11*x_c_LT+P11*x_c_LT1</f>
        <v>338610215.349153</v>
      </c>
      <c r="AB11" s="0" t="n">
        <f aca="false">C11*x_c_DAA</f>
        <v>177247596.8</v>
      </c>
      <c r="AC11" s="0" t="n">
        <f aca="false">C11*x_c_MON</f>
        <v>44896986.7120105</v>
      </c>
      <c r="AD11" s="0" t="n">
        <f aca="false">D11*(1-x_testy)</f>
        <v>250000000</v>
      </c>
      <c r="AE11" s="0" t="n">
        <f aca="false">E11*(1-x_testy)</f>
        <v>2000000</v>
      </c>
      <c r="AF11" s="0" t="n">
        <f aca="false">F11*x_NAV</f>
        <v>10334241.2087488</v>
      </c>
      <c r="AG11" s="0" t="n">
        <f aca="false">G11*x_FIX*(1-x_testy)</f>
        <v>1223620.54528</v>
      </c>
      <c r="AH11" s="0" t="n">
        <f aca="false">x_z_F*U11+(1-x_AGRI)*x_EMP*x_WLOSS*(x_PEN_K74*Q11+x_PEN_C22*R11)</f>
        <v>31981003.9351049</v>
      </c>
      <c r="AI11" s="0" t="n">
        <f aca="false">x_AGRI*x_EMP*x_WLOSS*(x_PEN_K74*Q11+x_PEN_C22*R11)</f>
        <v>1759956.34240786</v>
      </c>
      <c r="AJ11" s="0" t="n">
        <f aca="false">x_EMP*x_WAGE*(x_WLOSS*(Q11+R11)+S11)+U11*x_ABS_D*x_WAGE/365</f>
        <v>610708117.324641</v>
      </c>
      <c r="AK11" s="0" t="n">
        <f aca="false">AJ11*x_R_FUS</f>
        <v>193228048.321516</v>
      </c>
      <c r="AL11" s="0" t="n">
        <f aca="false">AJ11*x_R_NFZ</f>
        <v>47428203.0995489</v>
      </c>
      <c r="AM11" s="0" t="n">
        <f aca="false">AJ11*x_R_PIT</f>
        <v>40602424.640806</v>
      </c>
      <c r="AN11" s="0" t="n">
        <f aca="false">AJ11*x_R_FP</f>
        <v>15573056.9917783</v>
      </c>
      <c r="AO11" s="0" t="n">
        <f aca="false">AA11+AB11+AC11+AD11+AF11</f>
        <v>821089040.069913</v>
      </c>
      <c r="AP11" s="0" t="n">
        <f aca="false">AO11+AE11+AG11+AH11+AI11+AK11+AL11+AM11+AN11</f>
        <v>1154885353.94635</v>
      </c>
      <c r="AQ11" s="0" t="n">
        <f aca="false">AO11+AE11+AG11+AJ11</f>
        <v>1435020777.93983</v>
      </c>
      <c r="AR11" s="0" t="n">
        <f aca="false">AB11+AC11+AD11+AF11</f>
        <v>482478824.720759</v>
      </c>
      <c r="AS11" s="0" t="n">
        <f aca="false">AR11+AE11+AG11</f>
        <v>485702445.266039</v>
      </c>
    </row>
    <row r="12" customFormat="false" ht="15" hidden="false" customHeight="false" outlineLevel="0" collapsed="false">
      <c r="A12" s="0" t="n">
        <v>2035</v>
      </c>
      <c r="B12" s="0" t="n">
        <v>9</v>
      </c>
      <c r="C12" s="0" t="n">
        <v>7632.985</v>
      </c>
      <c r="D12" s="0" t="n">
        <v>250000000</v>
      </c>
      <c r="E12" s="0" t="n">
        <v>2000000</v>
      </c>
      <c r="F12" s="0" t="n">
        <v>4879.7654</v>
      </c>
      <c r="G12" s="0" t="n">
        <v>1</v>
      </c>
      <c r="H12" s="0" t="n">
        <v>2796.276</v>
      </c>
      <c r="I12" s="0" t="n">
        <v>366.965</v>
      </c>
      <c r="J12" s="0" t="n">
        <v>1542.062</v>
      </c>
      <c r="K12" s="0" t="n">
        <v>2599.173</v>
      </c>
      <c r="L12" s="0" t="n">
        <v>1363.732</v>
      </c>
      <c r="M12" s="0" t="n">
        <v>66378.419</v>
      </c>
      <c r="N12" s="0" t="n">
        <v>7062.811</v>
      </c>
      <c r="O12" s="0" t="n">
        <v>87.224</v>
      </c>
      <c r="P12" s="0" t="n">
        <v>87.306</v>
      </c>
      <c r="Q12" s="0" t="n">
        <v>2234.749</v>
      </c>
      <c r="R12" s="0" t="n">
        <v>1962.42</v>
      </c>
      <c r="S12" s="0" t="n">
        <v>6144.487</v>
      </c>
      <c r="T12" s="0" t="n">
        <v>3163.241</v>
      </c>
      <c r="U12" s="0" t="n">
        <v>2161.065</v>
      </c>
      <c r="V12" s="0" t="n">
        <v>127516.561</v>
      </c>
      <c r="W12" s="0" t="n">
        <v>282.009</v>
      </c>
      <c r="X12" s="0" t="n">
        <v>751.22</v>
      </c>
      <c r="Y12" s="0" t="n">
        <v>87.224</v>
      </c>
      <c r="Z12" s="0" t="n">
        <v>935.989</v>
      </c>
      <c r="AA12" s="0" t="n">
        <f aca="false">H12*x_c_F+I12*x_c_CC+J12*x_c_DC+K12*x_c_HCC+L12*x_c_PLT+M12*x_c_SVRn+N12*x_c_SVRcc+O12*x_c_LT+P12*x_c_LT1</f>
        <v>338961684.633268</v>
      </c>
      <c r="AB12" s="0" t="n">
        <f aca="false">C12*x_c_DAA</f>
        <v>173726738.6</v>
      </c>
      <c r="AC12" s="0" t="n">
        <f aca="false">C12*x_c_MON</f>
        <v>44005149.9442678</v>
      </c>
      <c r="AD12" s="0" t="n">
        <f aca="false">D12*(1-x_testy)</f>
        <v>250000000</v>
      </c>
      <c r="AE12" s="0" t="n">
        <f aca="false">E12*(1-x_testy)</f>
        <v>2000000</v>
      </c>
      <c r="AF12" s="0" t="n">
        <f aca="false">F12*x_NAV</f>
        <v>9793366.88768834</v>
      </c>
      <c r="AG12" s="0" t="n">
        <f aca="false">G12*x_FIX*(1-x_testy)</f>
        <v>1223620.54528</v>
      </c>
      <c r="AH12" s="0" t="n">
        <f aca="false">x_z_F*U12+(1-x_AGRI)*x_EMP*x_WLOSS*(x_PEN_K74*Q12+x_PEN_C22*R12)</f>
        <v>31299939.1099178</v>
      </c>
      <c r="AI12" s="0" t="n">
        <f aca="false">x_AGRI*x_EMP*x_WLOSS*(x_PEN_K74*Q12+x_PEN_C22*R12)</f>
        <v>1775195.58587877</v>
      </c>
      <c r="AJ12" s="0" t="n">
        <f aca="false">x_EMP*x_WAGE*(x_WLOSS*(Q12+R12)+S12)+U12*x_ABS_D*x_WAGE/365</f>
        <v>667609527.380814</v>
      </c>
      <c r="AK12" s="0" t="n">
        <f aca="false">AJ12*x_R_FUS</f>
        <v>211231654.463289</v>
      </c>
      <c r="AL12" s="0" t="n">
        <f aca="false">AJ12*x_R_NFZ</f>
        <v>51847223.5059214</v>
      </c>
      <c r="AM12" s="0" t="n">
        <f aca="false">AJ12*x_R_PIT</f>
        <v>44385467.8790102</v>
      </c>
      <c r="AN12" s="0" t="n">
        <f aca="false">AJ12*x_R_FP</f>
        <v>17024042.9482108</v>
      </c>
      <c r="AO12" s="0" t="n">
        <f aca="false">AA12+AB12+AC12+AD12+AF12</f>
        <v>816486940.065224</v>
      </c>
      <c r="AP12" s="0" t="n">
        <f aca="false">AO12+AE12+AG12+AH12+AI12+AK12+AL12+AM12+AN12</f>
        <v>1177274084.10273</v>
      </c>
      <c r="AQ12" s="0" t="n">
        <f aca="false">AO12+AE12+AG12+AJ12</f>
        <v>1487320087.99132</v>
      </c>
      <c r="AR12" s="0" t="n">
        <f aca="false">AB12+AC12+AD12+AF12</f>
        <v>477525255.431956</v>
      </c>
      <c r="AS12" s="0" t="n">
        <f aca="false">AR12+AE12+AG12</f>
        <v>480748875.977236</v>
      </c>
    </row>
    <row r="13" customFormat="false" ht="15" hidden="false" customHeight="false" outlineLevel="0" collapsed="false">
      <c r="A13" s="0" t="n">
        <v>2036</v>
      </c>
      <c r="B13" s="0" t="n">
        <v>10</v>
      </c>
      <c r="C13" s="0" t="n">
        <v>4832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2198.346</v>
      </c>
      <c r="I13" s="0" t="n">
        <v>290.88</v>
      </c>
      <c r="J13" s="0" t="n">
        <v>1536.081</v>
      </c>
      <c r="K13" s="0" t="n">
        <v>2585.016</v>
      </c>
      <c r="L13" s="0" t="n">
        <v>1346.591</v>
      </c>
      <c r="M13" s="0" t="n">
        <v>69287.214</v>
      </c>
      <c r="N13" s="0" t="n">
        <v>7349.548</v>
      </c>
      <c r="O13" s="0" t="n">
        <v>86.764</v>
      </c>
      <c r="P13" s="0" t="n">
        <v>86.994</v>
      </c>
      <c r="Q13" s="0" t="n">
        <v>2247.943</v>
      </c>
      <c r="R13" s="0" t="n">
        <v>1980.121</v>
      </c>
      <c r="S13" s="0" t="n">
        <v>6812.487</v>
      </c>
      <c r="T13" s="0" t="n">
        <v>2489.226</v>
      </c>
      <c r="U13" s="0" t="n">
        <v>1734.75</v>
      </c>
      <c r="V13" s="0" t="n">
        <v>128961.653</v>
      </c>
      <c r="W13" s="0" t="n">
        <v>281.984</v>
      </c>
      <c r="X13" s="0" t="n">
        <v>748.618</v>
      </c>
      <c r="Y13" s="0" t="n">
        <v>86.764</v>
      </c>
      <c r="Z13" s="0" t="n">
        <v>929.883</v>
      </c>
      <c r="AA13" s="0" t="n">
        <f aca="false">H13*x_c_F+I13*x_c_CC+J13*x_c_DC+K13*x_c_HCC+L13*x_c_PLT+M13*x_c_SVRn+N13*x_c_SVRcc+O13*x_c_LT+P13*x_c_LT1</f>
        <v>337630997.987029</v>
      </c>
      <c r="AB13" s="0" t="n">
        <f aca="false">C13*x_c_DAA</f>
        <v>109976320</v>
      </c>
      <c r="AC13" s="0" t="n">
        <f aca="false">C13*x_c_MON</f>
        <v>27857107.6100244</v>
      </c>
      <c r="AD13" s="0" t="n">
        <f aca="false">D13*(1-x_testy)</f>
        <v>0</v>
      </c>
      <c r="AE13" s="0" t="n">
        <f aca="false">E13*(1-x_testy)</f>
        <v>0</v>
      </c>
      <c r="AF13" s="0" t="n">
        <f aca="false">F13*x_NAV</f>
        <v>0</v>
      </c>
      <c r="AG13" s="0" t="n">
        <f aca="false">G13*x_FIX*(1-x_testy)</f>
        <v>0</v>
      </c>
      <c r="AH13" s="0" t="n">
        <f aca="false">x_z_F*U13+(1-x_AGRI)*x_EMP*x_WLOSS*(x_PEN_K74*Q13+x_PEN_C22*R13)</f>
        <v>30623839.8020915</v>
      </c>
      <c r="AI13" s="0" t="n">
        <f aca="false">x_AGRI*x_EMP*x_WLOSS*(x_PEN_K74*Q13+x_PEN_C22*R13)</f>
        <v>1788439.29617718</v>
      </c>
      <c r="AJ13" s="0" t="n">
        <f aca="false">x_EMP*x_WAGE*(x_WLOSS*(Q13+R13)+S13)+U13*x_ABS_D*x_WAGE/365</f>
        <v>724322518.676407</v>
      </c>
      <c r="AK13" s="0" t="n">
        <f aca="false">AJ13*x_R_FUS</f>
        <v>229175644.909215</v>
      </c>
      <c r="AL13" s="0" t="n">
        <f aca="false">AJ13*x_R_NFZ</f>
        <v>56251611.1229285</v>
      </c>
      <c r="AM13" s="0" t="n">
        <f aca="false">AJ13*x_R_PIT</f>
        <v>48155984.2515803</v>
      </c>
      <c r="AN13" s="0" t="n">
        <f aca="false">AJ13*x_R_FP</f>
        <v>18470224.2262484</v>
      </c>
      <c r="AO13" s="0" t="n">
        <f aca="false">AA13+AB13+AC13+AD13+AF13</f>
        <v>475464425.597053</v>
      </c>
      <c r="AP13" s="0" t="n">
        <f aca="false">AO13+AE13+AG13+AH13+AI13+AK13+AL13+AM13+AN13</f>
        <v>859930169.205294</v>
      </c>
      <c r="AQ13" s="0" t="n">
        <f aca="false">AO13+AE13+AG13+AJ13</f>
        <v>1199786944.27346</v>
      </c>
      <c r="AR13" s="0" t="n">
        <f aca="false">AB13+AC13+AD13+AF13</f>
        <v>137833427.610024</v>
      </c>
      <c r="AS13" s="0" t="n">
        <f aca="false">AR13+AE13+AG13</f>
        <v>137833427.610024</v>
      </c>
    </row>
    <row r="14" customFormat="false" ht="15" hidden="false" customHeight="false" outlineLevel="0" collapsed="false">
      <c r="A14" s="0" t="n">
        <v>2037</v>
      </c>
      <c r="B14" s="0" t="n">
        <v>11</v>
      </c>
      <c r="C14" s="0" t="n">
        <v>4832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2196.777</v>
      </c>
      <c r="I14" s="0" t="n">
        <v>290.893</v>
      </c>
      <c r="J14" s="0" t="n">
        <v>1529.036</v>
      </c>
      <c r="K14" s="0" t="n">
        <v>2568.721</v>
      </c>
      <c r="L14" s="0" t="n">
        <v>1328.695</v>
      </c>
      <c r="M14" s="0" t="n">
        <v>72145.817</v>
      </c>
      <c r="N14" s="0" t="n">
        <v>7617.745</v>
      </c>
      <c r="O14" s="0" t="n">
        <v>86.283</v>
      </c>
      <c r="P14" s="0" t="n">
        <v>86.524</v>
      </c>
      <c r="Q14" s="0" t="n">
        <v>2260.898</v>
      </c>
      <c r="R14" s="0" t="n">
        <v>1997.498</v>
      </c>
      <c r="S14" s="0" t="n">
        <v>7477.152</v>
      </c>
      <c r="T14" s="0" t="n">
        <v>2487.67</v>
      </c>
      <c r="U14" s="0" t="n">
        <v>1763.022</v>
      </c>
      <c r="V14" s="0" t="n">
        <v>130374.829</v>
      </c>
      <c r="W14" s="0" t="n">
        <v>280.421</v>
      </c>
      <c r="X14" s="0" t="n">
        <v>742.572</v>
      </c>
      <c r="Y14" s="0" t="n">
        <v>86.283</v>
      </c>
      <c r="Z14" s="0" t="n">
        <v>923.492</v>
      </c>
      <c r="AA14" s="0" t="n">
        <f aca="false">H14*x_c_F+I14*x_c_CC+J14*x_c_DC+K14*x_c_HCC+L14*x_c_PLT+M14*x_c_SVRn+N14*x_c_SVRcc+O14*x_c_LT+P14*x_c_LT1</f>
        <v>338203913.287149</v>
      </c>
      <c r="AB14" s="0" t="n">
        <f aca="false">C14*x_c_DAA</f>
        <v>109976320</v>
      </c>
      <c r="AC14" s="0" t="n">
        <f aca="false">C14*x_c_MON</f>
        <v>27857107.6100244</v>
      </c>
      <c r="AD14" s="0" t="n">
        <f aca="false">D14*(1-x_testy)</f>
        <v>0</v>
      </c>
      <c r="AE14" s="0" t="n">
        <f aca="false">E14*(1-x_testy)</f>
        <v>0</v>
      </c>
      <c r="AF14" s="0" t="n">
        <f aca="false">F14*x_NAV</f>
        <v>0</v>
      </c>
      <c r="AG14" s="0" t="n">
        <f aca="false">G14*x_FIX*(1-x_testy)</f>
        <v>0</v>
      </c>
      <c r="AH14" s="0" t="n">
        <f aca="false">x_z_F*U14+(1-x_AGRI)*x_EMP*x_WLOSS*(x_PEN_K74*Q14+x_PEN_C22*R14)</f>
        <v>30878676.4913998</v>
      </c>
      <c r="AI14" s="0" t="n">
        <f aca="false">x_AGRI*x_EMP*x_WLOSS*(x_PEN_K74*Q14+x_PEN_C22*R14)</f>
        <v>1801441.58833717</v>
      </c>
      <c r="AJ14" s="0" t="n">
        <f aca="false">x_EMP*x_WAGE*(x_WLOSS*(Q14+R14)+S14)+U14*x_ABS_D*x_WAGE/365</f>
        <v>782068040.635142</v>
      </c>
      <c r="AK14" s="0" t="n">
        <f aca="false">AJ14*x_R_FUS</f>
        <v>247446328.056959</v>
      </c>
      <c r="AL14" s="0" t="n">
        <f aca="false">AJ14*x_R_NFZ</f>
        <v>60736186.1037657</v>
      </c>
      <c r="AM14" s="0" t="n">
        <f aca="false">AJ14*x_R_PIT</f>
        <v>51995147.572259</v>
      </c>
      <c r="AN14" s="0" t="n">
        <f aca="false">AJ14*x_R_FP</f>
        <v>19942735.0361961</v>
      </c>
      <c r="AO14" s="0" t="n">
        <f aca="false">AA14+AB14+AC14+AD14+AF14</f>
        <v>476037340.897174</v>
      </c>
      <c r="AP14" s="0" t="n">
        <f aca="false">AO14+AE14+AG14+AH14+AI14+AK14+AL14+AM14+AN14</f>
        <v>888837855.74609</v>
      </c>
      <c r="AQ14" s="0" t="n">
        <f aca="false">AO14+AE14+AG14+AJ14</f>
        <v>1258105381.53232</v>
      </c>
      <c r="AR14" s="0" t="n">
        <f aca="false">AB14+AC14+AD14+AF14</f>
        <v>137833427.610024</v>
      </c>
      <c r="AS14" s="0" t="n">
        <f aca="false">AR14+AE14+AG14</f>
        <v>137833427.610024</v>
      </c>
    </row>
    <row r="15" customFormat="false" ht="15" hidden="false" customHeight="false" outlineLevel="0" collapsed="false">
      <c r="A15" s="0" t="n">
        <v>2038</v>
      </c>
      <c r="B15" s="0" t="n">
        <v>12</v>
      </c>
      <c r="C15" s="0" t="n">
        <v>4832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2196.747</v>
      </c>
      <c r="I15" s="0" t="n">
        <v>289.356</v>
      </c>
      <c r="J15" s="0" t="n">
        <v>1519.529</v>
      </c>
      <c r="K15" s="0" t="n">
        <v>2547.486</v>
      </c>
      <c r="L15" s="0" t="n">
        <v>1309.85</v>
      </c>
      <c r="M15" s="0" t="n">
        <v>74942.602</v>
      </c>
      <c r="N15" s="0" t="n">
        <v>7863.773</v>
      </c>
      <c r="O15" s="0" t="n">
        <v>85.682</v>
      </c>
      <c r="P15" s="0" t="n">
        <v>85.983</v>
      </c>
      <c r="Q15" s="0" t="n">
        <v>1478.668</v>
      </c>
      <c r="R15" s="0" t="n">
        <v>1320.425</v>
      </c>
      <c r="S15" s="0" t="n">
        <v>5174.684</v>
      </c>
      <c r="T15" s="0" t="n">
        <v>2486.103</v>
      </c>
      <c r="U15" s="0" t="n">
        <v>1530.842</v>
      </c>
      <c r="V15" s="0" t="n">
        <v>131749.68</v>
      </c>
      <c r="W15" s="0" t="n">
        <v>277.44</v>
      </c>
      <c r="X15" s="0" t="n">
        <v>733.401</v>
      </c>
      <c r="Y15" s="0" t="n">
        <v>85.682</v>
      </c>
      <c r="Z15" s="0" t="n">
        <v>915.743</v>
      </c>
      <c r="AA15" s="0" t="n">
        <f aca="false">H15*x_c_F+I15*x_c_CC+J15*x_c_DC+K15*x_c_HCC+L15*x_c_PLT+M15*x_c_SVRn+N15*x_c_SVRcc+O15*x_c_LT+P15*x_c_LT1</f>
        <v>338244638.636253</v>
      </c>
      <c r="AB15" s="0" t="n">
        <f aca="false">C15*x_c_DAA</f>
        <v>109976320</v>
      </c>
      <c r="AC15" s="0" t="n">
        <f aca="false">C15*x_c_MON</f>
        <v>27857107.6100244</v>
      </c>
      <c r="AD15" s="0" t="n">
        <f aca="false">D15*(1-x_testy)</f>
        <v>0</v>
      </c>
      <c r="AE15" s="0" t="n">
        <f aca="false">E15*(1-x_testy)</f>
        <v>0</v>
      </c>
      <c r="AF15" s="0" t="n">
        <f aca="false">F15*x_NAV</f>
        <v>0</v>
      </c>
      <c r="AG15" s="0" t="n">
        <f aca="false">G15*x_FIX*(1-x_testy)</f>
        <v>0</v>
      </c>
      <c r="AH15" s="0" t="n">
        <f aca="false">x_z_F*U15+(1-x_AGRI)*x_EMP*x_WLOSS*(x_PEN_K74*Q15+x_PEN_C22*R15)</f>
        <v>21067795.0085561</v>
      </c>
      <c r="AI15" s="0" t="n">
        <f aca="false">x_AGRI*x_EMP*x_WLOSS*(x_PEN_K74*Q15+x_PEN_C22*R15)</f>
        <v>1184512.43345154</v>
      </c>
      <c r="AJ15" s="0" t="n">
        <f aca="false">x_EMP*x_WAGE*(x_WLOSS*(Q15+R15)+S15)+U15*x_ABS_D*x_WAGE/365</f>
        <v>537311305.212441</v>
      </c>
      <c r="AK15" s="0" t="n">
        <f aca="false">AJ15*x_R_FUS</f>
        <v>170005296.969216</v>
      </c>
      <c r="AL15" s="0" t="n">
        <f aca="false">AJ15*x_R_NFZ</f>
        <v>41728133.2741034</v>
      </c>
      <c r="AM15" s="0" t="n">
        <f aca="false">AJ15*x_R_PIT</f>
        <v>35722698.2246647</v>
      </c>
      <c r="AN15" s="0" t="n">
        <f aca="false">AJ15*x_R_FP</f>
        <v>13701438.2829173</v>
      </c>
      <c r="AO15" s="0" t="n">
        <f aca="false">AA15+AB15+AC15+AD15+AF15</f>
        <v>476078066.246277</v>
      </c>
      <c r="AP15" s="0" t="n">
        <f aca="false">AO15+AE15+AG15+AH15+AI15+AK15+AL15+AM15+AN15</f>
        <v>759487940.439187</v>
      </c>
      <c r="AQ15" s="0" t="n">
        <f aca="false">AO15+AE15+AG15+AJ15</f>
        <v>1013389371.45872</v>
      </c>
      <c r="AR15" s="0" t="n">
        <f aca="false">AB15+AC15+AD15+AF15</f>
        <v>137833427.610024</v>
      </c>
      <c r="AS15" s="0" t="n">
        <f aca="false">AR15+AE15+AG15</f>
        <v>137833427.610024</v>
      </c>
    </row>
    <row r="16" customFormat="false" ht="15" hidden="false" customHeight="false" outlineLevel="0" collapsed="false">
      <c r="A16" s="0" t="n">
        <v>2039</v>
      </c>
      <c r="B16" s="0" t="n">
        <v>13</v>
      </c>
      <c r="C16" s="0" t="n">
        <v>4832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2198.146</v>
      </c>
      <c r="I16" s="0" t="n">
        <v>286.389</v>
      </c>
      <c r="J16" s="0" t="n">
        <v>1506.56</v>
      </c>
      <c r="K16" s="0" t="n">
        <v>2519.684</v>
      </c>
      <c r="L16" s="0" t="n">
        <v>1289.923</v>
      </c>
      <c r="M16" s="0" t="n">
        <v>77671.31</v>
      </c>
      <c r="N16" s="0" t="n">
        <v>8084.245</v>
      </c>
      <c r="O16" s="0" t="n">
        <v>84.893</v>
      </c>
      <c r="P16" s="0" t="n">
        <v>85.288</v>
      </c>
      <c r="Q16" s="0" t="n">
        <v>696.446</v>
      </c>
      <c r="R16" s="0" t="n">
        <v>644.402</v>
      </c>
      <c r="S16" s="0" t="n">
        <v>2653.014</v>
      </c>
      <c r="T16" s="0" t="n">
        <v>2484.535</v>
      </c>
      <c r="U16" s="0" t="n">
        <v>1314.271</v>
      </c>
      <c r="V16" s="0" t="n">
        <v>133082.912</v>
      </c>
      <c r="W16" s="0" t="n">
        <v>273.193</v>
      </c>
      <c r="X16" s="0" t="n">
        <v>721.471</v>
      </c>
      <c r="Y16" s="0" t="n">
        <v>84.893</v>
      </c>
      <c r="Z16" s="0" t="n">
        <v>905.935</v>
      </c>
      <c r="AA16" s="0" t="n">
        <f aca="false">H16*x_c_F+I16*x_c_CC+J16*x_c_DC+K16*x_c_HCC+L16*x_c_PLT+M16*x_c_SVRn+N16*x_c_SVRcc+O16*x_c_LT+P16*x_c_LT1</f>
        <v>337588534.533985</v>
      </c>
      <c r="AB16" s="0" t="n">
        <f aca="false">C16*x_c_DAA</f>
        <v>109976320</v>
      </c>
      <c r="AC16" s="0" t="n">
        <f aca="false">C16*x_c_MON</f>
        <v>27857107.6100244</v>
      </c>
      <c r="AD16" s="0" t="n">
        <f aca="false">D16*(1-x_testy)</f>
        <v>0</v>
      </c>
      <c r="AE16" s="0" t="n">
        <f aca="false">E16*(1-x_testy)</f>
        <v>0</v>
      </c>
      <c r="AF16" s="0" t="n">
        <f aca="false">F16*x_NAV</f>
        <v>0</v>
      </c>
      <c r="AG16" s="0" t="n">
        <f aca="false">G16*x_FIX*(1-x_testy)</f>
        <v>0</v>
      </c>
      <c r="AH16" s="0" t="n">
        <f aca="false">x_z_F*U16+(1-x_AGRI)*x_EMP*x_WLOSS*(x_PEN_K74*Q16+x_PEN_C22*R16)</f>
        <v>11296229.9763884</v>
      </c>
      <c r="AI16" s="0" t="n">
        <f aca="false">x_AGRI*x_EMP*x_WLOSS*(x_PEN_K74*Q16+x_PEN_C22*R16)</f>
        <v>568060.890366511</v>
      </c>
      <c r="AJ16" s="0" t="n">
        <f aca="false">x_EMP*x_WAGE*(x_WLOSS*(Q16+R16)+S16)+U16*x_ABS_D*x_WAGE/365</f>
        <v>273945779.488483</v>
      </c>
      <c r="AK16" s="0" t="n">
        <f aca="false">AJ16*x_R_FUS</f>
        <v>86676444.6301561</v>
      </c>
      <c r="AL16" s="0" t="n">
        <f aca="false">AJ16*x_R_NFZ</f>
        <v>21274903.1808551</v>
      </c>
      <c r="AM16" s="0" t="n">
        <f aca="false">AJ16*x_R_PIT</f>
        <v>18213058.8276352</v>
      </c>
      <c r="AN16" s="0" t="n">
        <f aca="false">AJ16*x_R_FP</f>
        <v>6985617.37695632</v>
      </c>
      <c r="AO16" s="0" t="n">
        <f aca="false">AA16+AB16+AC16+AD16+AF16</f>
        <v>475421962.144009</v>
      </c>
      <c r="AP16" s="0" t="n">
        <f aca="false">AO16+AE16+AG16+AH16+AI16+AK16+AL16+AM16+AN16</f>
        <v>620436277.026367</v>
      </c>
      <c r="AQ16" s="0" t="n">
        <f aca="false">AO16+AE16+AG16+AJ16</f>
        <v>749367741.632493</v>
      </c>
      <c r="AR16" s="0" t="n">
        <f aca="false">AB16+AC16+AD16+AF16</f>
        <v>137833427.610024</v>
      </c>
      <c r="AS16" s="0" t="n">
        <f aca="false">AR16+AE16+AG16</f>
        <v>137833427.610024</v>
      </c>
    </row>
    <row r="17" customFormat="false" ht="15" hidden="false" customHeight="false" outlineLevel="0" collapsed="false">
      <c r="A17" s="0" t="n">
        <v>2040</v>
      </c>
      <c r="B17" s="0" t="n">
        <v>14</v>
      </c>
      <c r="C17" s="0" t="n">
        <v>4832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2200.834</v>
      </c>
      <c r="I17" s="0" t="n">
        <v>282.146</v>
      </c>
      <c r="J17" s="0" t="n">
        <v>1489.531</v>
      </c>
      <c r="K17" s="0" t="n">
        <v>2484.644</v>
      </c>
      <c r="L17" s="0" t="n">
        <v>1268.761</v>
      </c>
      <c r="M17" s="0" t="n">
        <v>80329.419</v>
      </c>
      <c r="N17" s="0" t="n">
        <v>8276.383</v>
      </c>
      <c r="O17" s="0" t="n">
        <v>83.879</v>
      </c>
      <c r="P17" s="0" t="n">
        <v>84.386</v>
      </c>
      <c r="Q17" s="0" t="n">
        <v>709.487</v>
      </c>
      <c r="R17" s="0" t="n">
        <v>663.796</v>
      </c>
      <c r="S17" s="0" t="n">
        <v>2880.091</v>
      </c>
      <c r="T17" s="0" t="n">
        <v>2482.98</v>
      </c>
      <c r="U17" s="0" t="n">
        <v>1371.817</v>
      </c>
      <c r="V17" s="0" t="n">
        <v>134374.751</v>
      </c>
      <c r="W17" s="0" t="n">
        <v>267.866</v>
      </c>
      <c r="X17" s="0" t="n">
        <v>707.216</v>
      </c>
      <c r="Y17" s="0" t="n">
        <v>83.879</v>
      </c>
      <c r="Z17" s="0" t="n">
        <v>893.726</v>
      </c>
      <c r="AA17" s="0" t="n">
        <f aca="false">H17*x_c_F+I17*x_c_CC+J17*x_c_DC+K17*x_c_HCC+L17*x_c_PLT+M17*x_c_SVRn+N17*x_c_SVRcc+O17*x_c_LT+P17*x_c_LT1</f>
        <v>336153806.597638</v>
      </c>
      <c r="AB17" s="0" t="n">
        <f aca="false">C17*x_c_DAA</f>
        <v>109976320</v>
      </c>
      <c r="AC17" s="0" t="n">
        <f aca="false">C17*x_c_MON</f>
        <v>27857107.6100244</v>
      </c>
      <c r="AD17" s="0" t="n">
        <f aca="false">D17*(1-x_testy)</f>
        <v>0</v>
      </c>
      <c r="AE17" s="0" t="n">
        <f aca="false">E17*(1-x_testy)</f>
        <v>0</v>
      </c>
      <c r="AF17" s="0" t="n">
        <f aca="false">F17*x_NAV</f>
        <v>0</v>
      </c>
      <c r="AG17" s="0" t="n">
        <f aca="false">G17*x_FIX*(1-x_testy)</f>
        <v>0</v>
      </c>
      <c r="AH17" s="0" t="n">
        <f aca="false">x_z_F*U17+(1-x_AGRI)*x_EMP*x_WLOSS*(x_PEN_K74*Q17+x_PEN_C22*R17)</f>
        <v>11625556.5585691</v>
      </c>
      <c r="AI17" s="0" t="n">
        <f aca="false">x_AGRI*x_EMP*x_WLOSS*(x_PEN_K74*Q17+x_PEN_C22*R17)</f>
        <v>582008.734258444</v>
      </c>
      <c r="AJ17" s="0" t="n">
        <f aca="false">x_EMP*x_WAGE*(x_WLOSS*(Q17+R17)+S17)+U17*x_ABS_D*x_WAGE/365</f>
        <v>294537157.596792</v>
      </c>
      <c r="AK17" s="0" t="n">
        <f aca="false">AJ17*x_R_FUS</f>
        <v>93191556.6636251</v>
      </c>
      <c r="AL17" s="0" t="n">
        <f aca="false">AJ17*x_R_NFZ</f>
        <v>22874050.1961245</v>
      </c>
      <c r="AM17" s="0" t="n">
        <f aca="false">AJ17*x_R_PIT</f>
        <v>19582059.5894975</v>
      </c>
      <c r="AN17" s="0" t="n">
        <f aca="false">AJ17*x_R_FP</f>
        <v>7510697.51871821</v>
      </c>
      <c r="AO17" s="0" t="n">
        <f aca="false">AA17+AB17+AC17+AD17+AF17</f>
        <v>473987234.207662</v>
      </c>
      <c r="AP17" s="0" t="n">
        <f aca="false">AO17+AE17+AG17+AH17+AI17+AK17+AL17+AM17+AN17</f>
        <v>629353163.468455</v>
      </c>
      <c r="AQ17" s="0" t="n">
        <f aca="false">AO17+AE17+AG17+AJ17</f>
        <v>768524391.804454</v>
      </c>
      <c r="AR17" s="0" t="n">
        <f aca="false">AB17+AC17+AD17+AF17</f>
        <v>137833427.610024</v>
      </c>
      <c r="AS17" s="0" t="n">
        <f aca="false">AR17+AE17+AG17</f>
        <v>137833427.610024</v>
      </c>
    </row>
    <row r="18" customFormat="false" ht="15" hidden="false" customHeight="false" outlineLevel="0" collapsed="false">
      <c r="A18" s="0" t="n">
        <v>2041</v>
      </c>
      <c r="B18" s="0" t="n">
        <v>15</v>
      </c>
      <c r="C18" s="0" t="n">
        <v>4832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2204.642</v>
      </c>
      <c r="I18" s="0" t="n">
        <v>276.808</v>
      </c>
      <c r="J18" s="0" t="n">
        <v>1468.257</v>
      </c>
      <c r="K18" s="0" t="n">
        <v>2442.512</v>
      </c>
      <c r="L18" s="0" t="n">
        <v>1246.27</v>
      </c>
      <c r="M18" s="0" t="n">
        <v>82918.339</v>
      </c>
      <c r="N18" s="0" t="n">
        <v>8438.429</v>
      </c>
      <c r="O18" s="0" t="n">
        <v>82.631</v>
      </c>
      <c r="P18" s="0" t="n">
        <v>83.255</v>
      </c>
      <c r="Q18" s="0" t="n">
        <v>723.471</v>
      </c>
      <c r="R18" s="0" t="n">
        <v>684.595</v>
      </c>
      <c r="S18" s="0" t="n">
        <v>3112.745</v>
      </c>
      <c r="T18" s="0" t="n">
        <v>2481.45</v>
      </c>
      <c r="U18" s="0" t="n">
        <v>1426.913</v>
      </c>
      <c r="V18" s="0" t="n">
        <v>135629.992</v>
      </c>
      <c r="W18" s="0" t="n">
        <v>261.667</v>
      </c>
      <c r="X18" s="0" t="n">
        <v>691.125</v>
      </c>
      <c r="Y18" s="0" t="n">
        <v>82.631</v>
      </c>
      <c r="Z18" s="0" t="n">
        <v>879.096</v>
      </c>
      <c r="AA18" s="0" t="n">
        <f aca="false">H18*x_c_F+I18*x_c_CC+J18*x_c_DC+K18*x_c_HCC+L18*x_c_PLT+M18*x_c_SVRn+N18*x_c_SVRcc+O18*x_c_LT+P18*x_c_LT1</f>
        <v>333935704.144895</v>
      </c>
      <c r="AB18" s="0" t="n">
        <f aca="false">C18*x_c_DAA</f>
        <v>109976320</v>
      </c>
      <c r="AC18" s="0" t="n">
        <f aca="false">C18*x_c_MON</f>
        <v>27857107.6100244</v>
      </c>
      <c r="AD18" s="0" t="n">
        <f aca="false">D18*(1-x_testy)</f>
        <v>0</v>
      </c>
      <c r="AE18" s="0" t="n">
        <f aca="false">E18*(1-x_testy)</f>
        <v>0</v>
      </c>
      <c r="AF18" s="0" t="n">
        <f aca="false">F18*x_NAV</f>
        <v>0</v>
      </c>
      <c r="AG18" s="0" t="n">
        <f aca="false">G18*x_FIX*(1-x_testy)</f>
        <v>0</v>
      </c>
      <c r="AH18" s="0" t="n">
        <f aca="false">x_z_F*U18+(1-x_AGRI)*x_EMP*x_WLOSS*(x_PEN_K74*Q18+x_PEN_C22*R18)</f>
        <v>11965122.7771989</v>
      </c>
      <c r="AI18" s="0" t="n">
        <f aca="false">x_AGRI*x_EMP*x_WLOSS*(x_PEN_K74*Q18+x_PEN_C22*R18)</f>
        <v>596966.332600811</v>
      </c>
      <c r="AJ18" s="0" t="n">
        <f aca="false">x_EMP*x_WAGE*(x_WLOSS*(Q18+R18)+S18)+U18*x_ABS_D*x_WAGE/365</f>
        <v>315673690.407141</v>
      </c>
      <c r="AK18" s="0" t="n">
        <f aca="false">AJ18*x_R_FUS</f>
        <v>99879155.6448194</v>
      </c>
      <c r="AL18" s="0" t="n">
        <f aca="false">AJ18*x_R_NFZ</f>
        <v>24515534.470709</v>
      </c>
      <c r="AM18" s="0" t="n">
        <f aca="false">AJ18*x_R_PIT</f>
        <v>20987304.5113427</v>
      </c>
      <c r="AN18" s="0" t="n">
        <f aca="false">AJ18*x_R_FP</f>
        <v>8049679.10538209</v>
      </c>
      <c r="AO18" s="0" t="n">
        <f aca="false">AA18+AB18+AC18+AD18+AF18</f>
        <v>471769131.754919</v>
      </c>
      <c r="AP18" s="0" t="n">
        <f aca="false">AO18+AE18+AG18+AH18+AI18+AK18+AL18+AM18+AN18</f>
        <v>637762894.596972</v>
      </c>
      <c r="AQ18" s="0" t="n">
        <f aca="false">AO18+AE18+AG18+AJ18</f>
        <v>787442822.16206</v>
      </c>
      <c r="AR18" s="0" t="n">
        <f aca="false">AB18+AC18+AD18+AF18</f>
        <v>137833427.610024</v>
      </c>
      <c r="AS18" s="0" t="n">
        <f aca="false">AR18+AE18+AG18</f>
        <v>137833427.610024</v>
      </c>
    </row>
    <row r="19" customFormat="false" ht="15" hidden="false" customHeight="false" outlineLevel="0" collapsed="false">
      <c r="A19" s="0" t="n">
        <v>2042</v>
      </c>
      <c r="B19" s="0" t="n">
        <v>16</v>
      </c>
      <c r="C19" s="0" t="n">
        <v>4832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2209.379</v>
      </c>
      <c r="I19" s="0" t="n">
        <v>270.582</v>
      </c>
      <c r="J19" s="0" t="n">
        <v>1442.735</v>
      </c>
      <c r="K19" s="0" t="n">
        <v>2393.79</v>
      </c>
      <c r="L19" s="0" t="n">
        <v>1222.146</v>
      </c>
      <c r="M19" s="0" t="n">
        <v>85433.663</v>
      </c>
      <c r="N19" s="0" t="n">
        <v>8568.467</v>
      </c>
      <c r="O19" s="0" t="n">
        <v>81.139</v>
      </c>
      <c r="P19" s="0" t="n">
        <v>81.885</v>
      </c>
      <c r="Q19" s="0" t="n">
        <v>738.437</v>
      </c>
      <c r="R19" s="0" t="n">
        <v>706.829</v>
      </c>
      <c r="S19" s="0" t="n">
        <v>3351.28</v>
      </c>
      <c r="T19" s="0" t="n">
        <v>2479.961</v>
      </c>
      <c r="U19" s="0" t="n">
        <v>1479.37</v>
      </c>
      <c r="V19" s="0" t="n">
        <v>136848.672</v>
      </c>
      <c r="W19" s="0" t="n">
        <v>254.783</v>
      </c>
      <c r="X19" s="0" t="n">
        <v>673.606</v>
      </c>
      <c r="Y19" s="0" t="n">
        <v>81.139</v>
      </c>
      <c r="Z19" s="0" t="n">
        <v>862.019</v>
      </c>
      <c r="AA19" s="0" t="n">
        <f aca="false">H19*x_c_F+I19*x_c_CC+J19*x_c_DC+K19*x_c_HCC+L19*x_c_PLT+M19*x_c_SVRn+N19*x_c_SVRcc+O19*x_c_LT+P19*x_c_LT1</f>
        <v>330944781.373446</v>
      </c>
      <c r="AB19" s="0" t="n">
        <f aca="false">C19*x_c_DAA</f>
        <v>109976320</v>
      </c>
      <c r="AC19" s="0" t="n">
        <f aca="false">C19*x_c_MON</f>
        <v>27857107.6100244</v>
      </c>
      <c r="AD19" s="0" t="n">
        <f aca="false">D19*(1-x_testy)</f>
        <v>0</v>
      </c>
      <c r="AE19" s="0" t="n">
        <f aca="false">E19*(1-x_testy)</f>
        <v>0</v>
      </c>
      <c r="AF19" s="0" t="n">
        <f aca="false">F19*x_NAV</f>
        <v>0</v>
      </c>
      <c r="AG19" s="0" t="n">
        <f aca="false">G19*x_FIX*(1-x_testy)</f>
        <v>0</v>
      </c>
      <c r="AH19" s="0" t="n">
        <f aca="false">x_z_F*U19+(1-x_AGRI)*x_EMP*x_WLOSS*(x_PEN_K74*Q19+x_PEN_C22*R19)</f>
        <v>12314979.7291793</v>
      </c>
      <c r="AI19" s="0" t="n">
        <f aca="false">x_AGRI*x_EMP*x_WLOSS*(x_PEN_K74*Q19+x_PEN_C22*R19)</f>
        <v>612962.746290835</v>
      </c>
      <c r="AJ19" s="0" t="n">
        <f aca="false">x_EMP*x_WAGE*(x_WLOSS*(Q19+R19)+S19)+U19*x_ABS_D*x_WAGE/365</f>
        <v>337383000.414392</v>
      </c>
      <c r="AK19" s="0" t="n">
        <f aca="false">AJ19*x_R_FUS</f>
        <v>106747981.331114</v>
      </c>
      <c r="AL19" s="0" t="n">
        <f aca="false">AJ19*x_R_NFZ</f>
        <v>26201501.1951821</v>
      </c>
      <c r="AM19" s="0" t="n">
        <f aca="false">AJ19*x_R_PIT</f>
        <v>22430630.0519213</v>
      </c>
      <c r="AN19" s="0" t="n">
        <f aca="false">AJ19*x_R_FP</f>
        <v>8603266.510567</v>
      </c>
      <c r="AO19" s="0" t="n">
        <f aca="false">AA19+AB19+AC19+AD19+AF19</f>
        <v>468778208.983471</v>
      </c>
      <c r="AP19" s="0" t="n">
        <f aca="false">AO19+AE19+AG19+AH19+AI19+AK19+AL19+AM19+AN19</f>
        <v>645689530.547725</v>
      </c>
      <c r="AQ19" s="0" t="n">
        <f aca="false">AO19+AE19+AG19+AJ19</f>
        <v>806161209.397863</v>
      </c>
      <c r="AR19" s="0" t="n">
        <f aca="false">AB19+AC19+AD19+AF19</f>
        <v>137833427.610024</v>
      </c>
      <c r="AS19" s="0" t="n">
        <f aca="false">AR19+AE19+AG19</f>
        <v>137833427.610024</v>
      </c>
    </row>
    <row r="20" customFormat="false" ht="15" hidden="false" customHeight="false" outlineLevel="0" collapsed="false">
      <c r="A20" s="0" t="n">
        <v>2043</v>
      </c>
      <c r="B20" s="0" t="n">
        <v>17</v>
      </c>
      <c r="C20" s="0" t="n">
        <v>4832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2214.812</v>
      </c>
      <c r="I20" s="0" t="n">
        <v>263.726</v>
      </c>
      <c r="J20" s="0" t="n">
        <v>1413.789</v>
      </c>
      <c r="K20" s="0" t="n">
        <v>2340.198</v>
      </c>
      <c r="L20" s="0" t="n">
        <v>1196.966</v>
      </c>
      <c r="M20" s="0" t="n">
        <v>87900.323</v>
      </c>
      <c r="N20" s="0" t="n">
        <v>8669.52</v>
      </c>
      <c r="O20" s="0" t="n">
        <v>79.495</v>
      </c>
      <c r="P20" s="0" t="n">
        <v>80.317</v>
      </c>
      <c r="Q20" s="0" t="n">
        <v>754.429</v>
      </c>
      <c r="R20" s="0" t="n">
        <v>730.527</v>
      </c>
      <c r="S20" s="0" t="n">
        <v>3595.97</v>
      </c>
      <c r="T20" s="0" t="n">
        <v>2478.538</v>
      </c>
      <c r="U20" s="0" t="n">
        <v>1528.888</v>
      </c>
      <c r="V20" s="0" t="n">
        <v>138062.147</v>
      </c>
      <c r="W20" s="0" t="n">
        <v>247.577</v>
      </c>
      <c r="X20" s="0" t="n">
        <v>655.55</v>
      </c>
      <c r="Y20" s="0" t="n">
        <v>79.495</v>
      </c>
      <c r="Z20" s="0" t="n">
        <v>843.535</v>
      </c>
      <c r="AA20" s="0" t="n">
        <f aca="false">H20*x_c_F+I20*x_c_CC+J20*x_c_DC+K20*x_c_HCC+L20*x_c_PLT+M20*x_c_SVRn+N20*x_c_SVRcc+O20*x_c_LT+P20*x_c_LT1</f>
        <v>327380164.891478</v>
      </c>
      <c r="AB20" s="0" t="n">
        <f aca="false">C20*x_c_DAA</f>
        <v>109976320</v>
      </c>
      <c r="AC20" s="0" t="n">
        <f aca="false">C20*x_c_MON</f>
        <v>27857107.6100244</v>
      </c>
      <c r="AD20" s="0" t="n">
        <f aca="false">D20*(1-x_testy)</f>
        <v>0</v>
      </c>
      <c r="AE20" s="0" t="n">
        <f aca="false">E20*(1-x_testy)</f>
        <v>0</v>
      </c>
      <c r="AF20" s="0" t="n">
        <f aca="false">F20*x_NAV</f>
        <v>0</v>
      </c>
      <c r="AG20" s="0" t="n">
        <f aca="false">G20*x_FIX*(1-x_testy)</f>
        <v>0</v>
      </c>
      <c r="AH20" s="0" t="n">
        <f aca="false">x_z_F*U20+(1-x_AGRI)*x_EMP*x_WLOSS*(x_PEN_K74*Q20+x_PEN_C22*R20)</f>
        <v>12674973.5450887</v>
      </c>
      <c r="AI20" s="0" t="n">
        <f aca="false">x_AGRI*x_EMP*x_WLOSS*(x_PEN_K74*Q20+x_PEN_C22*R20)</f>
        <v>630028.572299614</v>
      </c>
      <c r="AJ20" s="0" t="n">
        <f aca="false">x_EMP*x_WAGE*(x_WLOSS*(Q20+R20)+S20)+U20*x_ABS_D*x_WAGE/365</f>
        <v>359689957.173698</v>
      </c>
      <c r="AK20" s="0" t="n">
        <f aca="false">AJ20*x_R_FUS</f>
        <v>113805902.449758</v>
      </c>
      <c r="AL20" s="0" t="n">
        <f aca="false">AJ20*x_R_NFZ</f>
        <v>27933881.7640666</v>
      </c>
      <c r="AM20" s="0" t="n">
        <f aca="false">AJ20*x_R_PIT</f>
        <v>23913689.6430615</v>
      </c>
      <c r="AN20" s="0" t="n">
        <f aca="false">AJ20*x_R_FP</f>
        <v>9172093.9079293</v>
      </c>
      <c r="AO20" s="0" t="n">
        <f aca="false">AA20+AB20+AC20+AD20+AF20</f>
        <v>465213592.501503</v>
      </c>
      <c r="AP20" s="0" t="n">
        <f aca="false">AO20+AE20+AG20+AH20+AI20+AK20+AL20+AM20+AN20</f>
        <v>653344162.383707</v>
      </c>
      <c r="AQ20" s="0" t="n">
        <f aca="false">AO20+AE20+AG20+AJ20</f>
        <v>824903549.675201</v>
      </c>
      <c r="AR20" s="0" t="n">
        <f aca="false">AB20+AC20+AD20+AF20</f>
        <v>137833427.610024</v>
      </c>
      <c r="AS20" s="0" t="n">
        <f aca="false">AR20+AE20+AG20</f>
        <v>137833427.610024</v>
      </c>
    </row>
    <row r="21" customFormat="false" ht="15" hidden="false" customHeight="false" outlineLevel="0" collapsed="false">
      <c r="A21" s="0" t="n">
        <v>2044</v>
      </c>
      <c r="B21" s="0" t="n">
        <v>18</v>
      </c>
      <c r="C21" s="0" t="n">
        <v>4832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2220.698</v>
      </c>
      <c r="I21" s="0" t="n">
        <v>256.505</v>
      </c>
      <c r="J21" s="0" t="n">
        <v>1382.367</v>
      </c>
      <c r="K21" s="0" t="n">
        <v>2283.586</v>
      </c>
      <c r="L21" s="0" t="n">
        <v>1171.261</v>
      </c>
      <c r="M21" s="0" t="n">
        <v>90341.641</v>
      </c>
      <c r="N21" s="0" t="n">
        <v>8745.155</v>
      </c>
      <c r="O21" s="0" t="n">
        <v>77.708</v>
      </c>
      <c r="P21" s="0" t="n">
        <v>78.602</v>
      </c>
      <c r="Q21" s="0" t="n">
        <v>771.502</v>
      </c>
      <c r="R21" s="0" t="n">
        <v>755.704</v>
      </c>
      <c r="S21" s="0" t="n">
        <v>3847.139</v>
      </c>
      <c r="T21" s="0" t="n">
        <v>2477.203</v>
      </c>
      <c r="U21" s="0" t="n">
        <v>1575.202</v>
      </c>
      <c r="V21" s="0" t="n">
        <v>139299.231</v>
      </c>
      <c r="W21" s="0" t="n">
        <v>240.218</v>
      </c>
      <c r="X21" s="0" t="n">
        <v>637.312</v>
      </c>
      <c r="Y21" s="0" t="n">
        <v>77.708</v>
      </c>
      <c r="Z21" s="0" t="n">
        <v>823.77</v>
      </c>
      <c r="AA21" s="0" t="n">
        <f aca="false">H21*x_c_F+I21*x_c_CC+J21*x_c_DC+K21*x_c_HCC+L21*x_c_PLT+M21*x_c_SVRn+N21*x_c_SVRcc+O21*x_c_LT+P21*x_c_LT1</f>
        <v>323422466.512965</v>
      </c>
      <c r="AB21" s="0" t="n">
        <f aca="false">C21*x_c_DAA</f>
        <v>109976320</v>
      </c>
      <c r="AC21" s="0" t="n">
        <f aca="false">C21*x_c_MON</f>
        <v>27857107.6100244</v>
      </c>
      <c r="AD21" s="0" t="n">
        <f aca="false">D21*(1-x_testy)</f>
        <v>0</v>
      </c>
      <c r="AE21" s="0" t="n">
        <f aca="false">E21*(1-x_testy)</f>
        <v>0</v>
      </c>
      <c r="AF21" s="0" t="n">
        <f aca="false">F21*x_NAV</f>
        <v>0</v>
      </c>
      <c r="AG21" s="0" t="n">
        <f aca="false">G21*x_FIX*(1-x_testy)</f>
        <v>0</v>
      </c>
      <c r="AH21" s="0" t="n">
        <f aca="false">x_z_F*U21+(1-x_AGRI)*x_EMP*x_WLOSS*(x_PEN_K74*Q21+x_PEN_C22*R21)</f>
        <v>13044992.775225</v>
      </c>
      <c r="AI21" s="0" t="n">
        <f aca="false">x_AGRI*x_EMP*x_WLOSS*(x_PEN_K74*Q21+x_PEN_C22*R21)</f>
        <v>648192.455258426</v>
      </c>
      <c r="AJ21" s="0" t="n">
        <f aca="false">x_EMP*x_WAGE*(x_WLOSS*(Q21+R21)+S21)+U21*x_ABS_D*x_WAGE/365</f>
        <v>382623697.879107</v>
      </c>
      <c r="AK21" s="0" t="n">
        <f aca="false">AJ21*x_R_FUS</f>
        <v>121062138.008949</v>
      </c>
      <c r="AL21" s="0" t="n">
        <f aca="false">AJ21*x_R_NFZ</f>
        <v>29714939.0009893</v>
      </c>
      <c r="AM21" s="0" t="n">
        <f aca="false">AJ21*x_R_PIT</f>
        <v>25438420.4470376</v>
      </c>
      <c r="AN21" s="0" t="n">
        <f aca="false">AJ21*x_R_FP</f>
        <v>9756904.29591722</v>
      </c>
      <c r="AO21" s="0" t="n">
        <f aca="false">AA21+AB21+AC21+AD21+AF21</f>
        <v>461255894.122989</v>
      </c>
      <c r="AP21" s="0" t="n">
        <f aca="false">AO21+AE21+AG21+AH21+AI21+AK21+AL21+AM21+AN21</f>
        <v>660921481.106366</v>
      </c>
      <c r="AQ21" s="0" t="n">
        <f aca="false">AO21+AE21+AG21+AJ21</f>
        <v>843879592.002096</v>
      </c>
      <c r="AR21" s="0" t="n">
        <f aca="false">AB21+AC21+AD21+AF21</f>
        <v>137833427.610024</v>
      </c>
      <c r="AS21" s="0" t="n">
        <f aca="false">AR21+AE21+AG21</f>
        <v>137833427.610024</v>
      </c>
    </row>
    <row r="22" customFormat="false" ht="15" hidden="false" customHeight="false" outlineLevel="0" collapsed="false">
      <c r="A22" s="0" t="n">
        <v>2045</v>
      </c>
      <c r="B22" s="0" t="n">
        <v>19</v>
      </c>
      <c r="C22" s="0" t="n">
        <v>4832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2226.819</v>
      </c>
      <c r="I22" s="0" t="n">
        <v>249.151</v>
      </c>
      <c r="J22" s="0" t="n">
        <v>1349.063</v>
      </c>
      <c r="K22" s="0" t="n">
        <v>2225.217</v>
      </c>
      <c r="L22" s="0" t="n">
        <v>1144.891</v>
      </c>
      <c r="M22" s="0" t="n">
        <v>92758.453</v>
      </c>
      <c r="N22" s="0" t="n">
        <v>8796.471</v>
      </c>
      <c r="O22" s="0" t="n">
        <v>75.832</v>
      </c>
      <c r="P22" s="0" t="n">
        <v>76.77</v>
      </c>
      <c r="Q22" s="0" t="n">
        <v>789.699</v>
      </c>
      <c r="R22" s="0" t="n">
        <v>782.348</v>
      </c>
      <c r="S22" s="0" t="n">
        <v>4105.08</v>
      </c>
      <c r="T22" s="0" t="n">
        <v>2475.97</v>
      </c>
      <c r="U22" s="0" t="n">
        <v>1618.17</v>
      </c>
      <c r="V22" s="0" t="n">
        <v>140563.947</v>
      </c>
      <c r="W22" s="0" t="n">
        <v>232.935</v>
      </c>
      <c r="X22" s="0" t="n">
        <v>619.418</v>
      </c>
      <c r="Y22" s="0" t="n">
        <v>75.832</v>
      </c>
      <c r="Z22" s="0" t="n">
        <v>803.317</v>
      </c>
      <c r="AA22" s="0" t="n">
        <f aca="false">H22*x_c_F+I22*x_c_CC+J22*x_c_DC+K22*x_c_HCC+L22*x_c_PLT+M22*x_c_SVRn+N22*x_c_SVRcc+O22*x_c_LT+P22*x_c_LT1</f>
        <v>319181454.469268</v>
      </c>
      <c r="AB22" s="0" t="n">
        <f aca="false">C22*x_c_DAA</f>
        <v>109976320</v>
      </c>
      <c r="AC22" s="0" t="n">
        <f aca="false">C22*x_c_MON</f>
        <v>27857107.6100244</v>
      </c>
      <c r="AD22" s="0" t="n">
        <f aca="false">D22*(1-x_testy)</f>
        <v>0</v>
      </c>
      <c r="AE22" s="0" t="n">
        <f aca="false">E22*(1-x_testy)</f>
        <v>0</v>
      </c>
      <c r="AF22" s="0" t="n">
        <f aca="false">F22*x_NAV</f>
        <v>0</v>
      </c>
      <c r="AG22" s="0" t="n">
        <f aca="false">G22*x_FIX*(1-x_testy)</f>
        <v>0</v>
      </c>
      <c r="AH22" s="0" t="n">
        <f aca="false">x_z_F*U22+(1-x_AGRI)*x_EMP*x_WLOSS*(x_PEN_K74*Q22+x_PEN_C22*R22)</f>
        <v>13424922.0969007</v>
      </c>
      <c r="AI22" s="0" t="n">
        <f aca="false">x_AGRI*x_EMP*x_WLOSS*(x_PEN_K74*Q22+x_PEN_C22*R22)</f>
        <v>667466.069149349</v>
      </c>
      <c r="AJ22" s="0" t="n">
        <f aca="false">x_EMP*x_WAGE*(x_WLOSS*(Q22+R22)+S22)+U22*x_ABS_D*x_WAGE/365</f>
        <v>406209801.42063</v>
      </c>
      <c r="AK22" s="0" t="n">
        <f aca="false">AJ22*x_R_FUS</f>
        <v>128524781.169487</v>
      </c>
      <c r="AL22" s="0" t="n">
        <f aca="false">AJ22*x_R_NFZ</f>
        <v>31546659.3881275</v>
      </c>
      <c r="AM22" s="0" t="n">
        <f aca="false">AJ22*x_R_PIT</f>
        <v>27006523.05522</v>
      </c>
      <c r="AN22" s="0" t="n">
        <f aca="false">AJ22*x_R_FP</f>
        <v>10358349.9362261</v>
      </c>
      <c r="AO22" s="0" t="n">
        <f aca="false">AA22+AB22+AC22+AD22+AF22</f>
        <v>457014882.079292</v>
      </c>
      <c r="AP22" s="0" t="n">
        <f aca="false">AO22+AE22+AG22+AH22+AI22+AK22+AL22+AM22+AN22</f>
        <v>668543583.794403</v>
      </c>
      <c r="AQ22" s="0" t="n">
        <f aca="false">AO22+AE22+AG22+AJ22</f>
        <v>863224683.499922</v>
      </c>
      <c r="AR22" s="0" t="n">
        <f aca="false">AB22+AC22+AD22+AF22</f>
        <v>137833427.610024</v>
      </c>
      <c r="AS22" s="0" t="n">
        <f aca="false">AR22+AE22+AG22</f>
        <v>137833427.610024</v>
      </c>
    </row>
    <row r="23" customFormat="false" ht="15" hidden="false" customHeight="false" outlineLevel="0" collapsed="false">
      <c r="A23" s="0" t="n">
        <v>2046</v>
      </c>
      <c r="B23" s="0" t="n">
        <v>20</v>
      </c>
      <c r="C23" s="0" t="n">
        <v>4832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2232.965</v>
      </c>
      <c r="I23" s="0" t="n">
        <v>241.884</v>
      </c>
      <c r="J23" s="0" t="n">
        <v>1314.785</v>
      </c>
      <c r="K23" s="0" t="n">
        <v>2166.696</v>
      </c>
      <c r="L23" s="0" t="n">
        <v>1118.185</v>
      </c>
      <c r="M23" s="0" t="n">
        <v>95165.368</v>
      </c>
      <c r="N23" s="0" t="n">
        <v>8827.049</v>
      </c>
      <c r="O23" s="0" t="n">
        <v>73.912</v>
      </c>
      <c r="P23" s="0" t="n">
        <v>74.872</v>
      </c>
      <c r="Q23" s="0" t="n">
        <v>809.039</v>
      </c>
      <c r="R23" s="0" t="n">
        <v>810.402</v>
      </c>
      <c r="S23" s="0" t="n">
        <v>4370.014</v>
      </c>
      <c r="T23" s="0" t="n">
        <v>2474.85</v>
      </c>
      <c r="U23" s="0" t="n">
        <v>1657.679</v>
      </c>
      <c r="V23" s="0" t="n">
        <v>141872.285</v>
      </c>
      <c r="W23" s="0" t="n">
        <v>225.903</v>
      </c>
      <c r="X23" s="0" t="n">
        <v>602.257</v>
      </c>
      <c r="Y23" s="0" t="n">
        <v>73.912</v>
      </c>
      <c r="Z23" s="0" t="n">
        <v>782.678</v>
      </c>
      <c r="AA23" s="0" t="n">
        <f aca="false">H23*x_c_F+I23*x_c_CC+J23*x_c_DC+K23*x_c_HCC+L23*x_c_PLT+M23*x_c_SVRn+N23*x_c_SVRcc+O23*x_c_LT+P23*x_c_LT1</f>
        <v>314822087.540087</v>
      </c>
      <c r="AB23" s="0" t="n">
        <f aca="false">C23*x_c_DAA</f>
        <v>109976320</v>
      </c>
      <c r="AC23" s="0" t="n">
        <f aca="false">C23*x_c_MON</f>
        <v>27857107.6100244</v>
      </c>
      <c r="AD23" s="0" t="n">
        <f aca="false">D23*(1-x_testy)</f>
        <v>0</v>
      </c>
      <c r="AE23" s="0" t="n">
        <f aca="false">E23*(1-x_testy)</f>
        <v>0</v>
      </c>
      <c r="AF23" s="0" t="n">
        <f aca="false">F23*x_NAV</f>
        <v>0</v>
      </c>
      <c r="AG23" s="0" t="n">
        <f aca="false">G23*x_FIX*(1-x_testy)</f>
        <v>0</v>
      </c>
      <c r="AH23" s="0" t="n">
        <f aca="false">x_z_F*U23+(1-x_AGRI)*x_EMP*x_WLOSS*(x_PEN_K74*Q23+x_PEN_C22*R23)</f>
        <v>13814253.8327269</v>
      </c>
      <c r="AI23" s="0" t="n">
        <f aca="false">x_AGRI*x_EMP*x_WLOSS*(x_PEN_K74*Q23+x_PEN_C22*R23)</f>
        <v>687831.213208681</v>
      </c>
      <c r="AJ23" s="0" t="n">
        <f aca="false">x_EMP*x_WAGE*(x_WLOSS*(Q23+R23)+S23)+U23*x_ABS_D*x_WAGE/365</f>
        <v>430465534.643795</v>
      </c>
      <c r="AK23" s="0" t="n">
        <f aca="false">AJ23*x_R_FUS</f>
        <v>136199295.161297</v>
      </c>
      <c r="AL23" s="0" t="n">
        <f aca="false">AJ23*x_R_NFZ</f>
        <v>33430383.8859717</v>
      </c>
      <c r="AM23" s="0" t="n">
        <f aca="false">AJ23*x_R_PIT</f>
        <v>28619145.4395685</v>
      </c>
      <c r="AN23" s="0" t="n">
        <f aca="false">AJ23*x_R_FP</f>
        <v>10976871.1334168</v>
      </c>
      <c r="AO23" s="0" t="n">
        <f aca="false">AA23+AB23+AC23+AD23+AF23</f>
        <v>452655515.150112</v>
      </c>
      <c r="AP23" s="0" t="n">
        <f aca="false">AO23+AE23+AG23+AH23+AI23+AK23+AL23+AM23+AN23</f>
        <v>676383295.816301</v>
      </c>
      <c r="AQ23" s="0" t="n">
        <f aca="false">AO23+AE23+AG23+AJ23</f>
        <v>883121049.793907</v>
      </c>
      <c r="AR23" s="0" t="n">
        <f aca="false">AB23+AC23+AD23+AF23</f>
        <v>137833427.610024</v>
      </c>
      <c r="AS23" s="0" t="n">
        <f aca="false">AR23+AE23+AG23</f>
        <v>137833427.610024</v>
      </c>
    </row>
    <row r="24" customFormat="false" ht="15" hidden="false" customHeight="false" outlineLevel="0" collapsed="false">
      <c r="A24" s="0" t="n">
        <v>2047</v>
      </c>
      <c r="B24" s="0" t="n">
        <v>21</v>
      </c>
      <c r="C24" s="0" t="n">
        <v>4832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2238.965</v>
      </c>
      <c r="I24" s="0" t="n">
        <v>234.881</v>
      </c>
      <c r="J24" s="0" t="n">
        <v>1280.338</v>
      </c>
      <c r="K24" s="0" t="n">
        <v>2109.361</v>
      </c>
      <c r="L24" s="0" t="n">
        <v>1091.424</v>
      </c>
      <c r="M24" s="0" t="n">
        <v>97573.625</v>
      </c>
      <c r="N24" s="0" t="n">
        <v>8840.325</v>
      </c>
      <c r="O24" s="0" t="n">
        <v>71.994</v>
      </c>
      <c r="P24" s="0" t="n">
        <v>72.953</v>
      </c>
      <c r="Q24" s="0" t="n">
        <v>829.524</v>
      </c>
      <c r="R24" s="0" t="n">
        <v>839.771</v>
      </c>
      <c r="S24" s="0" t="n">
        <v>4642.114</v>
      </c>
      <c r="T24" s="0" t="n">
        <v>2473.847</v>
      </c>
      <c r="U24" s="0" t="n">
        <v>1693.726</v>
      </c>
      <c r="V24" s="0" t="n">
        <v>143234.161</v>
      </c>
      <c r="W24" s="0" t="n">
        <v>219.252</v>
      </c>
      <c r="X24" s="0" t="n">
        <v>586.117</v>
      </c>
      <c r="Y24" s="0" t="n">
        <v>71.994</v>
      </c>
      <c r="Z24" s="0" t="n">
        <v>762.313</v>
      </c>
      <c r="AA24" s="0" t="n">
        <f aca="false">H24*x_c_F+I24*x_c_CC+J24*x_c_DC+K24*x_c_HCC+L24*x_c_PLT+M24*x_c_SVRn+N24*x_c_SVRcc+O24*x_c_LT+P24*x_c_LT1</f>
        <v>310486627.787566</v>
      </c>
      <c r="AB24" s="0" t="n">
        <f aca="false">C24*x_c_DAA</f>
        <v>109976320</v>
      </c>
      <c r="AC24" s="0" t="n">
        <f aca="false">C24*x_c_MON</f>
        <v>27857107.6100244</v>
      </c>
      <c r="AD24" s="0" t="n">
        <f aca="false">D24*(1-x_testy)</f>
        <v>0</v>
      </c>
      <c r="AE24" s="0" t="n">
        <f aca="false">E24*(1-x_testy)</f>
        <v>0</v>
      </c>
      <c r="AF24" s="0" t="n">
        <f aca="false">F24*x_NAV</f>
        <v>0</v>
      </c>
      <c r="AG24" s="0" t="n">
        <f aca="false">G24*x_FIX*(1-x_testy)</f>
        <v>0</v>
      </c>
      <c r="AH24" s="0" t="n">
        <f aca="false">x_z_F*U24+(1-x_AGRI)*x_EMP*x_WLOSS*(x_PEN_K74*Q24+x_PEN_C22*R24)</f>
        <v>14212344.435558</v>
      </c>
      <c r="AI24" s="0" t="n">
        <f aca="false">x_AGRI*x_EMP*x_WLOSS*(x_PEN_K74*Q24+x_PEN_C22*R24)</f>
        <v>709245.757879476</v>
      </c>
      <c r="AJ24" s="0" t="n">
        <f aca="false">x_EMP*x_WAGE*(x_WLOSS*(Q24+R24)+S24)+U24*x_ABS_D*x_WAGE/365</f>
        <v>455402594.771563</v>
      </c>
      <c r="AK24" s="0" t="n">
        <f aca="false">AJ24*x_R_FUS</f>
        <v>144089380.985723</v>
      </c>
      <c r="AL24" s="0" t="n">
        <f aca="false">AJ24*x_R_NFZ</f>
        <v>35367020.9125544</v>
      </c>
      <c r="AM24" s="0" t="n">
        <f aca="false">AJ24*x_R_PIT</f>
        <v>30277065.280288</v>
      </c>
      <c r="AN24" s="0" t="n">
        <f aca="false">AJ24*x_R_FP</f>
        <v>11612766.1666749</v>
      </c>
      <c r="AO24" s="0" t="n">
        <f aca="false">AA24+AB24+AC24+AD24+AF24</f>
        <v>448320055.39759</v>
      </c>
      <c r="AP24" s="0" t="n">
        <f aca="false">AO24+AE24+AG24+AH24+AI24+AK24+AL24+AM24+AN24</f>
        <v>684587878.936267</v>
      </c>
      <c r="AQ24" s="0" t="n">
        <f aca="false">AO24+AE24+AG24+AJ24</f>
        <v>903722650.169153</v>
      </c>
      <c r="AR24" s="0" t="n">
        <f aca="false">AB24+AC24+AD24+AF24</f>
        <v>137833427.610024</v>
      </c>
      <c r="AS24" s="0" t="n">
        <f aca="false">AR24+AE24+AG24</f>
        <v>137833427.610024</v>
      </c>
    </row>
    <row r="25" customFormat="false" ht="15" hidden="false" customHeight="false" outlineLevel="0" collapsed="false">
      <c r="A25" s="0" t="n">
        <v>2048</v>
      </c>
      <c r="B25" s="0" t="n">
        <v>22</v>
      </c>
      <c r="C25" s="0" t="n">
        <v>4832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2244.684</v>
      </c>
      <c r="I25" s="0" t="n">
        <v>228.276</v>
      </c>
      <c r="J25" s="0" t="n">
        <v>1246.427</v>
      </c>
      <c r="K25" s="0" t="n">
        <v>2054.296</v>
      </c>
      <c r="L25" s="0" t="n">
        <v>1064.869</v>
      </c>
      <c r="M25" s="0" t="n">
        <v>99992.477</v>
      </c>
      <c r="N25" s="0" t="n">
        <v>8839.667</v>
      </c>
      <c r="O25" s="0" t="n">
        <v>70.116</v>
      </c>
      <c r="P25" s="0" t="n">
        <v>71.055</v>
      </c>
      <c r="Q25" s="0" t="n">
        <v>851.135</v>
      </c>
      <c r="R25" s="0" t="n">
        <v>870.329</v>
      </c>
      <c r="S25" s="0" t="n">
        <v>4921.505</v>
      </c>
      <c r="T25" s="0" t="n">
        <v>2472.96</v>
      </c>
      <c r="U25" s="0" t="n">
        <v>1726.383</v>
      </c>
      <c r="V25" s="0" t="n">
        <v>144655.934</v>
      </c>
      <c r="W25" s="0" t="n">
        <v>213.07</v>
      </c>
      <c r="X25" s="0" t="n">
        <v>571.185</v>
      </c>
      <c r="Y25" s="0" t="n">
        <v>70.116</v>
      </c>
      <c r="Z25" s="0" t="n">
        <v>742.594</v>
      </c>
      <c r="AA25" s="0" t="n">
        <f aca="false">H25*x_c_F+I25*x_c_CC+J25*x_c_DC+K25*x_c_HCC+L25*x_c_PLT+M25*x_c_SVRn+N25*x_c_SVRcc+O25*x_c_LT+P25*x_c_LT1</f>
        <v>306294509.282396</v>
      </c>
      <c r="AB25" s="0" t="n">
        <f aca="false">C25*x_c_DAA</f>
        <v>109976320</v>
      </c>
      <c r="AC25" s="0" t="n">
        <f aca="false">C25*x_c_MON</f>
        <v>27857107.6100244</v>
      </c>
      <c r="AD25" s="0" t="n">
        <f aca="false">D25*(1-x_testy)</f>
        <v>0</v>
      </c>
      <c r="AE25" s="0" t="n">
        <f aca="false">E25*(1-x_testy)</f>
        <v>0</v>
      </c>
      <c r="AF25" s="0" t="n">
        <f aca="false">F25*x_NAV</f>
        <v>0</v>
      </c>
      <c r="AG25" s="0" t="n">
        <f aca="false">G25*x_FIX*(1-x_testy)</f>
        <v>0</v>
      </c>
      <c r="AH25" s="0" t="n">
        <f aca="false">x_z_F*U25+(1-x_AGRI)*x_EMP*x_WLOSS*(x_PEN_K74*Q25+x_PEN_C22*R25)</f>
        <v>14618366.3228255</v>
      </c>
      <c r="AI25" s="0" t="n">
        <f aca="false">x_AGRI*x_EMP*x_WLOSS*(x_PEN_K74*Q25+x_PEN_C22*R25)</f>
        <v>731645.217355372</v>
      </c>
      <c r="AJ25" s="0" t="n">
        <f aca="false">x_EMP*x_WAGE*(x_WLOSS*(Q25+R25)+S25)+U25*x_ABS_D*x_WAGE/365</f>
        <v>481027104.789961</v>
      </c>
      <c r="AK25" s="0" t="n">
        <f aca="false">AJ25*x_R_FUS</f>
        <v>152196975.955544</v>
      </c>
      <c r="AL25" s="0" t="n">
        <f aca="false">AJ25*x_R_NFZ</f>
        <v>37357045.9850932</v>
      </c>
      <c r="AM25" s="0" t="n">
        <f aca="false">AJ25*x_R_PIT</f>
        <v>31980689.6590459</v>
      </c>
      <c r="AN25" s="0" t="n">
        <f aca="false">AJ25*x_R_FP</f>
        <v>12266191.172144</v>
      </c>
      <c r="AO25" s="0" t="n">
        <f aca="false">AA25+AB25+AC25+AD25+AF25</f>
        <v>444127936.892421</v>
      </c>
      <c r="AP25" s="0" t="n">
        <f aca="false">AO25+AE25+AG25+AH25+AI25+AK25+AL25+AM25+AN25</f>
        <v>693278851.204428</v>
      </c>
      <c r="AQ25" s="0" t="n">
        <f aca="false">AO25+AE25+AG25+AJ25</f>
        <v>925155041.682382</v>
      </c>
      <c r="AR25" s="0" t="n">
        <f aca="false">AB25+AC25+AD25+AF25</f>
        <v>137833427.610024</v>
      </c>
      <c r="AS25" s="0" t="n">
        <f aca="false">AR25+AE25+AG25</f>
        <v>137833427.610024</v>
      </c>
    </row>
    <row r="26" customFormat="false" ht="15" hidden="false" customHeight="false" outlineLevel="0" collapsed="false">
      <c r="A26" s="0" t="n">
        <v>2049</v>
      </c>
      <c r="B26" s="0" t="n">
        <v>23</v>
      </c>
      <c r="C26" s="0" t="n">
        <v>4832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2250.031</v>
      </c>
      <c r="I26" s="0" t="n">
        <v>222.151</v>
      </c>
      <c r="J26" s="0" t="n">
        <v>1213.582</v>
      </c>
      <c r="K26" s="0" t="n">
        <v>2002.241</v>
      </c>
      <c r="L26" s="0" t="n">
        <v>1038.704</v>
      </c>
      <c r="M26" s="0" t="n">
        <v>102427.007</v>
      </c>
      <c r="N26" s="0" t="n">
        <v>8827.847</v>
      </c>
      <c r="O26" s="0" t="n">
        <v>68.302</v>
      </c>
      <c r="P26" s="0" t="n">
        <v>69.209</v>
      </c>
      <c r="Q26" s="0" t="n">
        <v>873.834</v>
      </c>
      <c r="R26" s="0" t="n">
        <v>901.921</v>
      </c>
      <c r="S26" s="0" t="n">
        <v>5208.267</v>
      </c>
      <c r="T26" s="0" t="n">
        <v>2472.182</v>
      </c>
      <c r="U26" s="0" t="n">
        <v>1755.811</v>
      </c>
      <c r="V26" s="0" t="n">
        <v>146138.17</v>
      </c>
      <c r="W26" s="0" t="n">
        <v>207.396</v>
      </c>
      <c r="X26" s="0" t="n">
        <v>557.531</v>
      </c>
      <c r="Y26" s="0" t="n">
        <v>68.302</v>
      </c>
      <c r="Z26" s="0" t="n">
        <v>723.761</v>
      </c>
      <c r="AA26" s="0" t="n">
        <f aca="false">H26*x_c_F+I26*x_c_CC+J26*x_c_DC+K26*x_c_HCC+L26*x_c_PLT+M26*x_c_SVRn+N26*x_c_SVRcc+O26*x_c_LT+P26*x_c_LT1</f>
        <v>302328266.256279</v>
      </c>
      <c r="AB26" s="0" t="n">
        <f aca="false">C26*x_c_DAA</f>
        <v>109976320</v>
      </c>
      <c r="AC26" s="0" t="n">
        <f aca="false">C26*x_c_MON</f>
        <v>27857107.6100244</v>
      </c>
      <c r="AD26" s="0" t="n">
        <f aca="false">D26*(1-x_testy)</f>
        <v>0</v>
      </c>
      <c r="AE26" s="0" t="n">
        <f aca="false">E26*(1-x_testy)</f>
        <v>0</v>
      </c>
      <c r="AF26" s="0" t="n">
        <f aca="false">F26*x_NAV</f>
        <v>0</v>
      </c>
      <c r="AG26" s="0" t="n">
        <f aca="false">G26*x_FIX*(1-x_testy)</f>
        <v>0</v>
      </c>
      <c r="AH26" s="0" t="n">
        <f aca="false">x_z_F*U26+(1-x_AGRI)*x_EMP*x_WLOSS*(x_PEN_K74*Q26+x_PEN_C22*R26)</f>
        <v>15031362.3610902</v>
      </c>
      <c r="AI26" s="0" t="n">
        <f aca="false">x_AGRI*x_EMP*x_WLOSS*(x_PEN_K74*Q26+x_PEN_C22*R26)</f>
        <v>754944.448424167</v>
      </c>
      <c r="AJ26" s="0" t="n">
        <f aca="false">x_EMP*x_WAGE*(x_WLOSS*(Q26+R26)+S26)+U26*x_ABS_D*x_WAGE/365</f>
        <v>507340041.279112</v>
      </c>
      <c r="AK26" s="0" t="n">
        <f aca="false">AJ26*x_R_FUS</f>
        <v>160522389.060711</v>
      </c>
      <c r="AL26" s="0" t="n">
        <f aca="false">AJ26*x_R_NFZ</f>
        <v>39400534.9457771</v>
      </c>
      <c r="AM26" s="0" t="n">
        <f aca="false">AJ26*x_R_PIT</f>
        <v>33730083.5029648</v>
      </c>
      <c r="AN26" s="0" t="n">
        <f aca="false">AJ26*x_R_FP</f>
        <v>12937171.0526174</v>
      </c>
      <c r="AO26" s="0" t="n">
        <f aca="false">AA26+AB26+AC26+AD26+AF26</f>
        <v>440161693.866304</v>
      </c>
      <c r="AP26" s="0" t="n">
        <f aca="false">AO26+AE26+AG26+AH26+AI26+AK26+AL26+AM26+AN26</f>
        <v>702538179.237888</v>
      </c>
      <c r="AQ26" s="0" t="n">
        <f aca="false">AO26+AE26+AG26+AJ26</f>
        <v>947501735.145416</v>
      </c>
      <c r="AR26" s="0" t="n">
        <f aca="false">AB26+AC26+AD26+AF26</f>
        <v>137833427.610024</v>
      </c>
      <c r="AS26" s="0" t="n">
        <f aca="false">AR26+AE26+AG26</f>
        <v>137833427.610024</v>
      </c>
    </row>
    <row r="27" customFormat="false" ht="15" hidden="false" customHeight="false" outlineLevel="0" collapsed="false">
      <c r="A27" s="0" t="n">
        <v>2050</v>
      </c>
      <c r="B27" s="0" t="n">
        <v>24</v>
      </c>
      <c r="C27" s="0" t="n">
        <v>4832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2254.955</v>
      </c>
      <c r="I27" s="0" t="n">
        <v>216.547</v>
      </c>
      <c r="J27" s="0" t="n">
        <v>1182.176</v>
      </c>
      <c r="K27" s="0" t="n">
        <v>1953.636</v>
      </c>
      <c r="L27" s="0" t="n">
        <v>1013.054</v>
      </c>
      <c r="M27" s="0" t="n">
        <v>104878.924</v>
      </c>
      <c r="N27" s="0" t="n">
        <v>8807.078</v>
      </c>
      <c r="O27" s="0" t="n">
        <v>66.573</v>
      </c>
      <c r="P27" s="0" t="n">
        <v>67.438</v>
      </c>
      <c r="Q27" s="0" t="n">
        <v>897.546</v>
      </c>
      <c r="R27" s="0" t="n">
        <v>934.355</v>
      </c>
      <c r="S27" s="0" t="n">
        <v>5502.314</v>
      </c>
      <c r="T27" s="0" t="n">
        <v>2471.503</v>
      </c>
      <c r="U27" s="0" t="n">
        <v>1782.223</v>
      </c>
      <c r="V27" s="0" t="n">
        <v>147677.279</v>
      </c>
      <c r="W27" s="0" t="n">
        <v>202.237</v>
      </c>
      <c r="X27" s="0" t="n">
        <v>545.154</v>
      </c>
      <c r="Y27" s="0" t="n">
        <v>66.573</v>
      </c>
      <c r="Z27" s="0" t="n">
        <v>705.989</v>
      </c>
      <c r="AA27" s="0" t="n">
        <f aca="false">H27*x_c_F+I27*x_c_CC+J27*x_c_DC+K27*x_c_HCC+L27*x_c_PLT+M27*x_c_SVRn+N27*x_c_SVRcc+O27*x_c_LT+P27*x_c_LT1</f>
        <v>298641747.448893</v>
      </c>
      <c r="AB27" s="0" t="n">
        <f aca="false">C27*x_c_DAA</f>
        <v>109976320</v>
      </c>
      <c r="AC27" s="0" t="n">
        <f aca="false">C27*x_c_MON</f>
        <v>27857107.6100244</v>
      </c>
      <c r="AD27" s="0" t="n">
        <f aca="false">D27*(1-x_testy)</f>
        <v>0</v>
      </c>
      <c r="AE27" s="0" t="n">
        <f aca="false">E27*(1-x_testy)</f>
        <v>0</v>
      </c>
      <c r="AF27" s="0" t="n">
        <f aca="false">F27*x_NAV</f>
        <v>0</v>
      </c>
      <c r="AG27" s="0" t="n">
        <f aca="false">G27*x_FIX*(1-x_testy)</f>
        <v>0</v>
      </c>
      <c r="AH27" s="0" t="n">
        <f aca="false">x_z_F*U27+(1-x_AGRI)*x_EMP*x_WLOSS*(x_PEN_K74*Q27+x_PEN_C22*R27)</f>
        <v>15450006.8396589</v>
      </c>
      <c r="AI27" s="0" t="n">
        <f aca="false">x_AGRI*x_EMP*x_WLOSS*(x_PEN_K74*Q27+x_PEN_C22*R27)</f>
        <v>779026.879267394</v>
      </c>
      <c r="AJ27" s="0" t="n">
        <f aca="false">x_EMP*x_WAGE*(x_WLOSS*(Q27+R27)+S27)+U27*x_ABS_D*x_WAGE/365</f>
        <v>534325958.191147</v>
      </c>
      <c r="AK27" s="0" t="n">
        <f aca="false">AJ27*x_R_FUS</f>
        <v>169060733.171679</v>
      </c>
      <c r="AL27" s="0" t="n">
        <f aca="false">AJ27*x_R_NFZ</f>
        <v>41496288.2390827</v>
      </c>
      <c r="AM27" s="0" t="n">
        <f aca="false">AJ27*x_R_PIT</f>
        <v>35524219.8943131</v>
      </c>
      <c r="AN27" s="0" t="n">
        <f aca="false">AJ27*x_R_FP</f>
        <v>13625311.9338743</v>
      </c>
      <c r="AO27" s="0" t="n">
        <f aca="false">AA27+AB27+AC27+AD27+AF27</f>
        <v>436475175.058917</v>
      </c>
      <c r="AP27" s="0" t="n">
        <f aca="false">AO27+AE27+AG27+AH27+AI27+AK27+AL27+AM27+AN27</f>
        <v>712410762.016793</v>
      </c>
      <c r="AQ27" s="0" t="n">
        <f aca="false">AO27+AE27+AG27+AJ27</f>
        <v>970801133.250065</v>
      </c>
      <c r="AR27" s="0" t="n">
        <f aca="false">AB27+AC27+AD27+AF27</f>
        <v>137833427.610024</v>
      </c>
      <c r="AS27" s="0" t="n">
        <f aca="false">AR27+AE27+AG27</f>
        <v>137833427.610024</v>
      </c>
    </row>
    <row r="28" customFormat="false" ht="15" hidden="false" customHeight="false" outlineLevel="0" collapsed="false">
      <c r="A28" s="0" t="n">
        <v>2051</v>
      </c>
      <c r="B28" s="0" t="n">
        <v>25</v>
      </c>
      <c r="C28" s="0" t="n">
        <v>4832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2259.439</v>
      </c>
      <c r="I28" s="0" t="n">
        <v>211.472</v>
      </c>
      <c r="J28" s="0" t="n">
        <v>1152.433</v>
      </c>
      <c r="K28" s="0" t="n">
        <v>1908.656</v>
      </c>
      <c r="L28" s="0" t="n">
        <v>987.979</v>
      </c>
      <c r="M28" s="0" t="n">
        <v>107346.583</v>
      </c>
      <c r="N28" s="0" t="n">
        <v>8778.934</v>
      </c>
      <c r="O28" s="0" t="n">
        <v>64.938</v>
      </c>
      <c r="P28" s="0" t="n">
        <v>65.755</v>
      </c>
      <c r="Q28" s="0" t="n">
        <v>922.175</v>
      </c>
      <c r="R28" s="0" t="n">
        <v>967.418</v>
      </c>
      <c r="S28" s="0" t="n">
        <v>5803.436</v>
      </c>
      <c r="T28" s="0" t="n">
        <v>2470.91</v>
      </c>
      <c r="U28" s="0" t="n">
        <v>1805.862</v>
      </c>
      <c r="V28" s="0" t="n">
        <v>149266.181</v>
      </c>
      <c r="W28" s="0" t="n">
        <v>197.573</v>
      </c>
      <c r="X28" s="0" t="n">
        <v>533.984</v>
      </c>
      <c r="Y28" s="0" t="n">
        <v>64.938</v>
      </c>
      <c r="Z28" s="0" t="n">
        <v>689.332</v>
      </c>
      <c r="AA28" s="0" t="n">
        <f aca="false">H28*x_c_F+I28*x_c_CC+J28*x_c_DC+K28*x_c_HCC+L28*x_c_PLT+M28*x_c_SVRn+N28*x_c_SVRcc+O28*x_c_LT+P28*x_c_LT1</f>
        <v>295258909.018532</v>
      </c>
      <c r="AB28" s="0" t="n">
        <f aca="false">C28*x_c_DAA</f>
        <v>109976320</v>
      </c>
      <c r="AC28" s="0" t="n">
        <f aca="false">C28*x_c_MON</f>
        <v>27857107.6100244</v>
      </c>
      <c r="AD28" s="0" t="n">
        <f aca="false">D28*(1-x_testy)</f>
        <v>0</v>
      </c>
      <c r="AE28" s="0" t="n">
        <f aca="false">E28*(1-x_testy)</f>
        <v>0</v>
      </c>
      <c r="AF28" s="0" t="n">
        <f aca="false">F28*x_NAV</f>
        <v>0</v>
      </c>
      <c r="AG28" s="0" t="n">
        <f aca="false">G28*x_FIX*(1-x_testy)</f>
        <v>0</v>
      </c>
      <c r="AH28" s="0" t="n">
        <f aca="false">x_z_F*U28+(1-x_AGRI)*x_EMP*x_WLOSS*(x_PEN_K74*Q28+x_PEN_C22*R28)</f>
        <v>15872765.8555137</v>
      </c>
      <c r="AI28" s="0" t="n">
        <f aca="false">x_AGRI*x_EMP*x_WLOSS*(x_PEN_K74*Q28+x_PEN_C22*R28)</f>
        <v>803758.100208971</v>
      </c>
      <c r="AJ28" s="0" t="n">
        <f aca="false">x_EMP*x_WAGE*(x_WLOSS*(Q28+R28)+S28)+U28*x_ABS_D*x_WAGE/365</f>
        <v>561957550.576165</v>
      </c>
      <c r="AK28" s="0" t="n">
        <f aca="false">AJ28*x_R_FUS</f>
        <v>177803369.002299</v>
      </c>
      <c r="AL28" s="0" t="n">
        <f aca="false">AJ28*x_R_NFZ</f>
        <v>43642185.3352956</v>
      </c>
      <c r="AM28" s="0" t="n">
        <f aca="false">AJ28*x_R_PIT</f>
        <v>37361283.4860548</v>
      </c>
      <c r="AN28" s="0" t="n">
        <f aca="false">AJ28*x_R_FP</f>
        <v>14329917.5396922</v>
      </c>
      <c r="AO28" s="0" t="n">
        <f aca="false">AA28+AB28+AC28+AD28+AF28</f>
        <v>433092336.628557</v>
      </c>
      <c r="AP28" s="0" t="n">
        <f aca="false">AO28+AE28+AG28+AH28+AI28+AK28+AL28+AM28+AN28</f>
        <v>722905615.94762</v>
      </c>
      <c r="AQ28" s="0" t="n">
        <f aca="false">AO28+AE28+AG28+AJ28</f>
        <v>995049887.204722</v>
      </c>
      <c r="AR28" s="0" t="n">
        <f aca="false">AB28+AC28+AD28+AF28</f>
        <v>137833427.610024</v>
      </c>
      <c r="AS28" s="0" t="n">
        <f aca="false">AR28+AE28+AG28</f>
        <v>137833427.610024</v>
      </c>
    </row>
    <row r="29" customFormat="false" ht="15" hidden="false" customHeight="false" outlineLevel="0" collapsed="false">
      <c r="A29" s="0" t="n">
        <v>2052</v>
      </c>
      <c r="B29" s="0" t="n">
        <v>26</v>
      </c>
      <c r="C29" s="0" t="n">
        <v>4832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2263.489</v>
      </c>
      <c r="I29" s="0" t="n">
        <v>206.903</v>
      </c>
      <c r="J29" s="0" t="n">
        <v>1124.436</v>
      </c>
      <c r="K29" s="0" t="n">
        <v>1867.246</v>
      </c>
      <c r="L29" s="0" t="n">
        <v>963.471</v>
      </c>
      <c r="M29" s="0" t="n">
        <v>109825.076</v>
      </c>
      <c r="N29" s="0" t="n">
        <v>8744.291</v>
      </c>
      <c r="O29" s="0" t="n">
        <v>63.4</v>
      </c>
      <c r="P29" s="0" t="n">
        <v>64.169</v>
      </c>
      <c r="Q29" s="0" t="n">
        <v>947.615</v>
      </c>
      <c r="R29" s="0" t="n">
        <v>1000.89</v>
      </c>
      <c r="S29" s="0" t="n">
        <v>6111.424</v>
      </c>
      <c r="T29" s="0" t="n">
        <v>2470.391</v>
      </c>
      <c r="U29" s="0" t="n">
        <v>1826.995</v>
      </c>
      <c r="V29" s="0" t="n">
        <v>150894.722</v>
      </c>
      <c r="W29" s="0" t="n">
        <v>193.363</v>
      </c>
      <c r="X29" s="0" t="n">
        <v>523.911</v>
      </c>
      <c r="Y29" s="0" t="n">
        <v>63.4</v>
      </c>
      <c r="Z29" s="0" t="n">
        <v>673.795</v>
      </c>
      <c r="AA29" s="0" t="n">
        <f aca="false">H29*x_c_F+I29*x_c_CC+J29*x_c_DC+K29*x_c_HCC+L29*x_c_PLT+M29*x_c_SVRn+N29*x_c_SVRcc+O29*x_c_LT+P29*x_c_LT1</f>
        <v>292178279.11527</v>
      </c>
      <c r="AB29" s="0" t="n">
        <f aca="false">C29*x_c_DAA</f>
        <v>109976320</v>
      </c>
      <c r="AC29" s="0" t="n">
        <f aca="false">C29*x_c_MON</f>
        <v>27857107.6100244</v>
      </c>
      <c r="AD29" s="0" t="n">
        <f aca="false">D29*(1-x_testy)</f>
        <v>0</v>
      </c>
      <c r="AE29" s="0" t="n">
        <f aca="false">E29*(1-x_testy)</f>
        <v>0</v>
      </c>
      <c r="AF29" s="0" t="n">
        <f aca="false">F29*x_NAV</f>
        <v>0</v>
      </c>
      <c r="AG29" s="0" t="n">
        <f aca="false">G29*x_FIX*(1-x_testy)</f>
        <v>0</v>
      </c>
      <c r="AH29" s="0" t="n">
        <f aca="false">x_z_F*U29+(1-x_AGRI)*x_EMP*x_WLOSS*(x_PEN_K74*Q29+x_PEN_C22*R29)</f>
        <v>16298046.8457671</v>
      </c>
      <c r="AI29" s="0" t="n">
        <f aca="false">x_AGRI*x_EMP*x_WLOSS*(x_PEN_K74*Q29+x_PEN_C22*R29)</f>
        <v>828996.562872448</v>
      </c>
      <c r="AJ29" s="0" t="n">
        <f aca="false">x_EMP*x_WAGE*(x_WLOSS*(Q29+R29)+S29)+U29*x_ABS_D*x_WAGE/365</f>
        <v>590207112.80673</v>
      </c>
      <c r="AK29" s="0" t="n">
        <f aca="false">AJ29*x_R_FUS</f>
        <v>186741530.492049</v>
      </c>
      <c r="AL29" s="0" t="n">
        <f aca="false">AJ29*x_R_NFZ</f>
        <v>45836074.5876835</v>
      </c>
      <c r="AM29" s="0" t="n">
        <f aca="false">AJ29*x_R_PIT</f>
        <v>39239432.2924387</v>
      </c>
      <c r="AN29" s="0" t="n">
        <f aca="false">AJ29*x_R_FP</f>
        <v>15050281.3765716</v>
      </c>
      <c r="AO29" s="0" t="n">
        <f aca="false">AA29+AB29+AC29+AD29+AF29</f>
        <v>430011706.725295</v>
      </c>
      <c r="AP29" s="0" t="n">
        <f aca="false">AO29+AE29+AG29+AH29+AI29+AK29+AL29+AM29+AN29</f>
        <v>734006068.882677</v>
      </c>
      <c r="AQ29" s="0" t="n">
        <f aca="false">AO29+AE29+AG29+AJ29</f>
        <v>1020218819.53202</v>
      </c>
      <c r="AR29" s="0" t="n">
        <f aca="false">AB29+AC29+AD29+AF29</f>
        <v>137833427.610024</v>
      </c>
      <c r="AS29" s="0" t="n">
        <f aca="false">AR29+AE29+AG29</f>
        <v>137833427.610024</v>
      </c>
    </row>
    <row r="30" customFormat="false" ht="15" hidden="false" customHeight="false" outlineLevel="0" collapsed="false">
      <c r="A30" s="0" t="n">
        <v>2053</v>
      </c>
      <c r="B30" s="0" t="n">
        <v>27</v>
      </c>
      <c r="C30" s="0" t="n">
        <v>4832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2267.13</v>
      </c>
      <c r="I30" s="0" t="n">
        <v>202.802</v>
      </c>
      <c r="J30" s="0" t="n">
        <v>1098.16</v>
      </c>
      <c r="K30" s="0" t="n">
        <v>1829.185</v>
      </c>
      <c r="L30" s="0" t="n">
        <v>939.459</v>
      </c>
      <c r="M30" s="0" t="n">
        <v>112306.438</v>
      </c>
      <c r="N30" s="0" t="n">
        <v>8703.375</v>
      </c>
      <c r="O30" s="0" t="n">
        <v>61.955</v>
      </c>
      <c r="P30" s="0" t="n">
        <v>62.677</v>
      </c>
      <c r="Q30" s="0" t="n">
        <v>973.735</v>
      </c>
      <c r="R30" s="0" t="n">
        <v>1034.542</v>
      </c>
      <c r="S30" s="0" t="n">
        <v>6425.889</v>
      </c>
      <c r="T30" s="0" t="n">
        <v>2469.932</v>
      </c>
      <c r="U30" s="0" t="n">
        <v>1845.881</v>
      </c>
      <c r="V30" s="0" t="n">
        <v>152550.42</v>
      </c>
      <c r="W30" s="0" t="n">
        <v>189.556</v>
      </c>
      <c r="X30" s="0" t="n">
        <v>514.795</v>
      </c>
      <c r="Y30" s="0" t="n">
        <v>61.955</v>
      </c>
      <c r="Z30" s="0" t="n">
        <v>659.301</v>
      </c>
      <c r="AA30" s="0" t="n">
        <f aca="false">H30*x_c_F+I30*x_c_CC+J30*x_c_DC+K30*x_c_HCC+L30*x_c_PLT+M30*x_c_SVRn+N30*x_c_SVRcc+O30*x_c_LT+P30*x_c_LT1</f>
        <v>289377346.556668</v>
      </c>
      <c r="AB30" s="0" t="n">
        <f aca="false">C30*x_c_DAA</f>
        <v>109976320</v>
      </c>
      <c r="AC30" s="0" t="n">
        <f aca="false">C30*x_c_MON</f>
        <v>27857107.6100244</v>
      </c>
      <c r="AD30" s="0" t="n">
        <f aca="false">D30*(1-x_testy)</f>
        <v>0</v>
      </c>
      <c r="AE30" s="0" t="n">
        <f aca="false">E30*(1-x_testy)</f>
        <v>0</v>
      </c>
      <c r="AF30" s="0" t="n">
        <f aca="false">F30*x_NAV</f>
        <v>0</v>
      </c>
      <c r="AG30" s="0" t="n">
        <f aca="false">G30*x_FIX*(1-x_testy)</f>
        <v>0</v>
      </c>
      <c r="AH30" s="0" t="n">
        <f aca="false">x_z_F*U30+(1-x_AGRI)*x_EMP*x_WLOSS*(x_PEN_K74*Q30+x_PEN_C22*R30)</f>
        <v>16724028.9012694</v>
      </c>
      <c r="AI30" s="0" t="n">
        <f aca="false">x_AGRI*x_EMP*x_WLOSS*(x_PEN_K74*Q30+x_PEN_C22*R30)</f>
        <v>854586.712763493</v>
      </c>
      <c r="AJ30" s="0" t="n">
        <f aca="false">x_EMP*x_WAGE*(x_WLOSS*(Q30+R30)+S30)+U30*x_ABS_D*x_WAGE/365</f>
        <v>619030455.996854</v>
      </c>
      <c r="AK30" s="0" t="n">
        <f aca="false">AJ30*x_R_FUS</f>
        <v>195861236.277405</v>
      </c>
      <c r="AL30" s="0" t="n">
        <f aca="false">AJ30*x_R_NFZ</f>
        <v>48074524.2431717</v>
      </c>
      <c r="AM30" s="0" t="n">
        <f aca="false">AJ30*x_R_PIT</f>
        <v>41155728.451887</v>
      </c>
      <c r="AN30" s="0" t="n">
        <f aca="false">AJ30*x_R_FP</f>
        <v>15785276.6279198</v>
      </c>
      <c r="AO30" s="0" t="n">
        <f aca="false">AA30+AB30+AC30+AD30+AF30</f>
        <v>427210774.166692</v>
      </c>
      <c r="AP30" s="0" t="n">
        <f aca="false">AO30+AE30+AG30+AH30+AI30+AK30+AL30+AM30+AN30</f>
        <v>745666155.381109</v>
      </c>
      <c r="AQ30" s="0" t="n">
        <f aca="false">AO30+AE30+AG30+AJ30</f>
        <v>1046241230.16355</v>
      </c>
      <c r="AR30" s="0" t="n">
        <f aca="false">AB30+AC30+AD30+AF30</f>
        <v>137833427.610024</v>
      </c>
      <c r="AS30" s="0" t="n">
        <f aca="false">AR30+AE30+AG30</f>
        <v>137833427.610024</v>
      </c>
    </row>
    <row r="31" customFormat="false" ht="15" hidden="false" customHeight="false" outlineLevel="0" collapsed="false">
      <c r="A31" s="0" t="n">
        <v>2054</v>
      </c>
      <c r="B31" s="0" t="n">
        <v>28</v>
      </c>
      <c r="C31" s="0" t="n">
        <v>4832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2270.395</v>
      </c>
      <c r="I31" s="0" t="n">
        <v>199.126</v>
      </c>
      <c r="J31" s="0" t="n">
        <v>1073.5</v>
      </c>
      <c r="K31" s="0" t="n">
        <v>1794.141</v>
      </c>
      <c r="L31" s="0" t="n">
        <v>915.81</v>
      </c>
      <c r="M31" s="0" t="n">
        <v>114779.759</v>
      </c>
      <c r="N31" s="0" t="n">
        <v>8655.798</v>
      </c>
      <c r="O31" s="0" t="n">
        <v>60.597</v>
      </c>
      <c r="P31" s="0" t="n">
        <v>61.276</v>
      </c>
      <c r="Q31" s="0" t="n">
        <v>1000.39</v>
      </c>
      <c r="R31" s="0" t="n">
        <v>1068.137</v>
      </c>
      <c r="S31" s="0" t="n">
        <v>6746.341</v>
      </c>
      <c r="T31" s="0" t="n">
        <v>2469.522</v>
      </c>
      <c r="U31" s="0" t="n">
        <v>1862.763</v>
      </c>
      <c r="V31" s="0" t="n">
        <v>154218.845</v>
      </c>
      <c r="W31" s="0" t="n">
        <v>186.098</v>
      </c>
      <c r="X31" s="0" t="n">
        <v>506.498</v>
      </c>
      <c r="Y31" s="0" t="n">
        <v>60.597</v>
      </c>
      <c r="Z31" s="0" t="n">
        <v>645.752</v>
      </c>
      <c r="AA31" s="0" t="n">
        <f aca="false">H31*x_c_F+I31*x_c_CC+J31*x_c_DC+K31*x_c_HCC+L31*x_c_PLT+M31*x_c_SVRn+N31*x_c_SVRcc+O31*x_c_LT+P31*x_c_LT1</f>
        <v>286819030.175679</v>
      </c>
      <c r="AB31" s="0" t="n">
        <f aca="false">C31*x_c_DAA</f>
        <v>109976320</v>
      </c>
      <c r="AC31" s="0" t="n">
        <f aca="false">C31*x_c_MON</f>
        <v>27857107.6100244</v>
      </c>
      <c r="AD31" s="0" t="n">
        <f aca="false">D31*(1-x_testy)</f>
        <v>0</v>
      </c>
      <c r="AE31" s="0" t="n">
        <f aca="false">E31*(1-x_testy)</f>
        <v>0</v>
      </c>
      <c r="AF31" s="0" t="n">
        <f aca="false">F31*x_NAV</f>
        <v>0</v>
      </c>
      <c r="AG31" s="0" t="n">
        <f aca="false">G31*x_FIX*(1-x_testy)</f>
        <v>0</v>
      </c>
      <c r="AH31" s="0" t="n">
        <f aca="false">x_z_F*U31+(1-x_AGRI)*x_EMP*x_WLOSS*(x_PEN_K74*Q31+x_PEN_C22*R31)</f>
        <v>17148719.320687</v>
      </c>
      <c r="AI31" s="0" t="n">
        <f aca="false">x_AGRI*x_EMP*x_WLOSS*(x_PEN_K74*Q31+x_PEN_C22*R31)</f>
        <v>880363.814517779</v>
      </c>
      <c r="AJ31" s="0" t="n">
        <f aca="false">x_EMP*x_WAGE*(x_WLOSS*(Q31+R31)+S31)+U31*x_ABS_D*x_WAGE/365</f>
        <v>648374012.859609</v>
      </c>
      <c r="AK31" s="0" t="n">
        <f aca="false">AJ31*x_R_FUS</f>
        <v>205145537.66878</v>
      </c>
      <c r="AL31" s="0" t="n">
        <f aca="false">AJ31*x_R_NFZ</f>
        <v>50353374.2126901</v>
      </c>
      <c r="AM31" s="0" t="n">
        <f aca="false">AJ31*x_R_PIT</f>
        <v>43106610.5875831</v>
      </c>
      <c r="AN31" s="0" t="n">
        <f aca="false">AJ31*x_R_FP</f>
        <v>16533537.32792</v>
      </c>
      <c r="AO31" s="0" t="n">
        <f aca="false">AA31+AB31+AC31+AD31+AF31</f>
        <v>424652457.785704</v>
      </c>
      <c r="AP31" s="0" t="n">
        <f aca="false">AO31+AE31+AG31+AH31+AI31+AK31+AL31+AM31+AN31</f>
        <v>757820600.717882</v>
      </c>
      <c r="AQ31" s="0" t="n">
        <f aca="false">AO31+AE31+AG31+AJ31</f>
        <v>1073026470.64531</v>
      </c>
      <c r="AR31" s="0" t="n">
        <f aca="false">AB31+AC31+AD31+AF31</f>
        <v>137833427.610024</v>
      </c>
      <c r="AS31" s="0" t="n">
        <f aca="false">AR31+AE31+AG31</f>
        <v>137833427.610024</v>
      </c>
    </row>
    <row r="32" customFormat="false" ht="15" hidden="false" customHeight="false" outlineLevel="0" collapsed="false">
      <c r="A32" s="0" t="n">
        <v>2055</v>
      </c>
      <c r="B32" s="0" t="n">
        <v>29</v>
      </c>
      <c r="C32" s="0" t="n">
        <v>4832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2273.318</v>
      </c>
      <c r="I32" s="0" t="n">
        <v>195.832</v>
      </c>
      <c r="J32" s="0" t="n">
        <v>1050.32</v>
      </c>
      <c r="K32" s="0" t="n">
        <v>1761.757</v>
      </c>
      <c r="L32" s="0" t="n">
        <v>892.368</v>
      </c>
      <c r="M32" s="0" t="n">
        <v>117232.797</v>
      </c>
      <c r="N32" s="0" t="n">
        <v>8600.884</v>
      </c>
      <c r="O32" s="0" t="n">
        <v>59.318</v>
      </c>
      <c r="P32" s="0" t="n">
        <v>59.958</v>
      </c>
      <c r="Q32" s="0" t="n">
        <v>1027.427</v>
      </c>
      <c r="R32" s="0" t="n">
        <v>1101.45</v>
      </c>
      <c r="S32" s="0" t="n">
        <v>7072.202</v>
      </c>
      <c r="T32" s="0" t="n">
        <v>2469.15</v>
      </c>
      <c r="U32" s="0" t="n">
        <v>1877.854</v>
      </c>
      <c r="V32" s="0" t="n">
        <v>155885.53</v>
      </c>
      <c r="W32" s="0" t="n">
        <v>182.943</v>
      </c>
      <c r="X32" s="0" t="n">
        <v>498.892</v>
      </c>
      <c r="Y32" s="0" t="n">
        <v>59.318</v>
      </c>
      <c r="Z32" s="0" t="n">
        <v>633.039</v>
      </c>
      <c r="AA32" s="0" t="n">
        <f aca="false">H32*x_c_F+I32*x_c_CC+J32*x_c_DC+K32*x_c_HCC+L32*x_c_PLT+M32*x_c_SVRn+N32*x_c_SVRcc+O32*x_c_LT+P32*x_c_LT1</f>
        <v>284460860.764536</v>
      </c>
      <c r="AB32" s="0" t="n">
        <f aca="false">C32*x_c_DAA</f>
        <v>109976320</v>
      </c>
      <c r="AC32" s="0" t="n">
        <f aca="false">C32*x_c_MON</f>
        <v>27857107.6100244</v>
      </c>
      <c r="AD32" s="0" t="n">
        <f aca="false">D32*(1-x_testy)</f>
        <v>0</v>
      </c>
      <c r="AE32" s="0" t="n">
        <f aca="false">E32*(1-x_testy)</f>
        <v>0</v>
      </c>
      <c r="AF32" s="0" t="n">
        <f aca="false">F32*x_NAV</f>
        <v>0</v>
      </c>
      <c r="AG32" s="0" t="n">
        <f aca="false">G32*x_FIX*(1-x_testy)</f>
        <v>0</v>
      </c>
      <c r="AH32" s="0" t="n">
        <f aca="false">x_z_F*U32+(1-x_AGRI)*x_EMP*x_WLOSS*(x_PEN_K74*Q32+x_PEN_C22*R32)</f>
        <v>17570097.635841</v>
      </c>
      <c r="AI32" s="0" t="n">
        <f aca="false">x_AGRI*x_EMP*x_WLOSS*(x_PEN_K74*Q32+x_PEN_C22*R32)</f>
        <v>906165.374180267</v>
      </c>
      <c r="AJ32" s="0" t="n">
        <f aca="false">x_EMP*x_WAGE*(x_WLOSS*(Q32+R32)+S32)+U32*x_ABS_D*x_WAGE/365</f>
        <v>678176755.989014</v>
      </c>
      <c r="AK32" s="0" t="n">
        <f aca="false">AJ32*x_R_FUS</f>
        <v>214575125.594924</v>
      </c>
      <c r="AL32" s="0" t="n">
        <f aca="false">AJ32*x_R_NFZ</f>
        <v>52667885.0468628</v>
      </c>
      <c r="AM32" s="0" t="n">
        <f aca="false">AJ32*x_R_PIT</f>
        <v>45088021.3428583</v>
      </c>
      <c r="AN32" s="0" t="n">
        <f aca="false">AJ32*x_R_FP</f>
        <v>17293507.2777199</v>
      </c>
      <c r="AO32" s="0" t="n">
        <f aca="false">AA32+AB32+AC32+AD32+AF32</f>
        <v>422294288.37456</v>
      </c>
      <c r="AP32" s="0" t="n">
        <f aca="false">AO32+AE32+AG32+AH32+AI32+AK32+AL32+AM32+AN32</f>
        <v>770395090.646947</v>
      </c>
      <c r="AQ32" s="0" t="n">
        <f aca="false">AO32+AE32+AG32+AJ32</f>
        <v>1100471044.36357</v>
      </c>
      <c r="AR32" s="0" t="n">
        <f aca="false">AB32+AC32+AD32+AF32</f>
        <v>137833427.610024</v>
      </c>
      <c r="AS32" s="0" t="n">
        <f aca="false">AR32+AE32+AG32</f>
        <v>137833427.610024</v>
      </c>
    </row>
    <row r="33" customFormat="false" ht="15" hidden="false" customHeight="false" outlineLevel="0" collapsed="false">
      <c r="A33" s="0" t="n">
        <v>2056</v>
      </c>
      <c r="B33" s="0" t="n">
        <v>30</v>
      </c>
      <c r="C33" s="0" t="n">
        <v>4832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2275.93</v>
      </c>
      <c r="I33" s="0" t="n">
        <v>192.881</v>
      </c>
      <c r="J33" s="0" t="n">
        <v>1028.455</v>
      </c>
      <c r="K33" s="0" t="n">
        <v>1731.653</v>
      </c>
      <c r="L33" s="0" t="n">
        <v>868.933</v>
      </c>
      <c r="M33" s="0" t="n">
        <v>119650.928</v>
      </c>
      <c r="N33" s="0" t="n">
        <v>8537.522</v>
      </c>
      <c r="O33" s="0" t="n">
        <v>58.107</v>
      </c>
      <c r="P33" s="0" t="n">
        <v>58.713</v>
      </c>
      <c r="Q33" s="0" t="n">
        <v>1054.675</v>
      </c>
      <c r="R33" s="0" t="n">
        <v>1134.25</v>
      </c>
      <c r="S33" s="0" t="n">
        <v>7402.682</v>
      </c>
      <c r="T33" s="0" t="n">
        <v>2468.81</v>
      </c>
      <c r="U33" s="0" t="n">
        <v>1891.337</v>
      </c>
      <c r="V33" s="0" t="n">
        <v>157534.693</v>
      </c>
      <c r="W33" s="0" t="n">
        <v>180.043</v>
      </c>
      <c r="X33" s="0" t="n">
        <v>491.854</v>
      </c>
      <c r="Y33" s="0" t="n">
        <v>58.107</v>
      </c>
      <c r="Z33" s="0" t="n">
        <v>621.027</v>
      </c>
      <c r="AA33" s="0" t="n">
        <f aca="false">H33*x_c_F+I33*x_c_CC+J33*x_c_DC+K33*x_c_HCC+L33*x_c_PLT+M33*x_c_SVRn+N33*x_c_SVRcc+O33*x_c_LT+P33*x_c_LT1</f>
        <v>282253239.327338</v>
      </c>
      <c r="AB33" s="0" t="n">
        <f aca="false">C33*x_c_DAA</f>
        <v>109976320</v>
      </c>
      <c r="AC33" s="0" t="n">
        <f aca="false">C33*x_c_MON</f>
        <v>27857107.6100244</v>
      </c>
      <c r="AD33" s="0" t="n">
        <f aca="false">D33*(1-x_testy)</f>
        <v>0</v>
      </c>
      <c r="AE33" s="0" t="n">
        <f aca="false">E33*(1-x_testy)</f>
        <v>0</v>
      </c>
      <c r="AF33" s="0" t="n">
        <f aca="false">F33*x_NAV</f>
        <v>0</v>
      </c>
      <c r="AG33" s="0" t="n">
        <f aca="false">G33*x_FIX*(1-x_testy)</f>
        <v>0</v>
      </c>
      <c r="AH33" s="0" t="n">
        <f aca="false">x_z_F*U33+(1-x_AGRI)*x_EMP*x_WLOSS*(x_PEN_K74*Q33+x_PEN_C22*R33)</f>
        <v>17985932.4152946</v>
      </c>
      <c r="AI33" s="0" t="n">
        <f aca="false">x_AGRI*x_EMP*x_WLOSS*(x_PEN_K74*Q33+x_PEN_C22*R33)</f>
        <v>931819.030273848</v>
      </c>
      <c r="AJ33" s="0" t="n">
        <f aca="false">x_EMP*x_WAGE*(x_WLOSS*(Q33+R33)+S33)+U33*x_ABS_D*x_WAGE/365</f>
        <v>708358709.077139</v>
      </c>
      <c r="AK33" s="0" t="n">
        <f aca="false">AJ33*x_R_FUS</f>
        <v>224124695.552007</v>
      </c>
      <c r="AL33" s="0" t="n">
        <f aca="false">AJ33*x_R_NFZ</f>
        <v>55011845.7056397</v>
      </c>
      <c r="AM33" s="0" t="n">
        <f aca="false">AJ33*x_R_PIT</f>
        <v>47094643.558953</v>
      </c>
      <c r="AN33" s="0" t="n">
        <f aca="false">AJ33*x_R_FP</f>
        <v>18063147.081467</v>
      </c>
      <c r="AO33" s="0" t="n">
        <f aca="false">AA33+AB33+AC33+AD33+AF33</f>
        <v>420086666.937363</v>
      </c>
      <c r="AP33" s="0" t="n">
        <f aca="false">AO33+AE33+AG33+AH33+AI33+AK33+AL33+AM33+AN33</f>
        <v>783298750.280998</v>
      </c>
      <c r="AQ33" s="0" t="n">
        <f aca="false">AO33+AE33+AG33+AJ33</f>
        <v>1128445376.0145</v>
      </c>
      <c r="AR33" s="0" t="n">
        <f aca="false">AB33+AC33+AD33+AF33</f>
        <v>137833427.610024</v>
      </c>
      <c r="AS33" s="0" t="n">
        <f aca="false">AR33+AE33+AG33</f>
        <v>137833427.610024</v>
      </c>
    </row>
    <row r="34" customFormat="false" ht="15" hidden="false" customHeight="false" outlineLevel="0" collapsed="false">
      <c r="A34" s="0" t="n">
        <v>2057</v>
      </c>
      <c r="B34" s="0" t="n">
        <v>31</v>
      </c>
      <c r="C34" s="0" t="n">
        <v>4832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2278.273</v>
      </c>
      <c r="I34" s="0" t="n">
        <v>190.22</v>
      </c>
      <c r="J34" s="0" t="n">
        <v>1006.646</v>
      </c>
      <c r="K34" s="0" t="n">
        <v>1701.961</v>
      </c>
      <c r="L34" s="0" t="n">
        <v>843.077</v>
      </c>
      <c r="M34" s="0" t="n">
        <v>121911.861</v>
      </c>
      <c r="N34" s="0" t="n">
        <v>8448.035</v>
      </c>
      <c r="O34" s="0" t="n">
        <v>56.826</v>
      </c>
      <c r="P34" s="0" t="n">
        <v>57.466</v>
      </c>
      <c r="Q34" s="0" t="n">
        <v>1081.95</v>
      </c>
      <c r="R34" s="0" t="n">
        <v>1166.318</v>
      </c>
      <c r="S34" s="0" t="n">
        <v>7736.816</v>
      </c>
      <c r="T34" s="0" t="n">
        <v>2468.493</v>
      </c>
      <c r="U34" s="0" t="n">
        <v>1903.41</v>
      </c>
      <c r="V34" s="0" t="n">
        <v>159054.553</v>
      </c>
      <c r="W34" s="0" t="n">
        <v>177.159</v>
      </c>
      <c r="X34" s="0" t="n">
        <v>484.652</v>
      </c>
      <c r="Y34" s="0" t="n">
        <v>56.826</v>
      </c>
      <c r="Z34" s="0" t="n">
        <v>608.217</v>
      </c>
      <c r="AA34" s="0" t="n">
        <f aca="false">H34*x_c_F+I34*x_c_CC+J34*x_c_DC+K34*x_c_HCC+L34*x_c_PLT+M34*x_c_SVRn+N34*x_c_SVRcc+O34*x_c_LT+P34*x_c_LT1</f>
        <v>279804429.395577</v>
      </c>
      <c r="AB34" s="0" t="n">
        <f aca="false">C34*x_c_DAA</f>
        <v>109976320</v>
      </c>
      <c r="AC34" s="0" t="n">
        <f aca="false">C34*x_c_MON</f>
        <v>27857107.6100244</v>
      </c>
      <c r="AD34" s="0" t="n">
        <f aca="false">D34*(1-x_testy)</f>
        <v>0</v>
      </c>
      <c r="AE34" s="0" t="n">
        <f aca="false">E34*(1-x_testy)</f>
        <v>0</v>
      </c>
      <c r="AF34" s="0" t="n">
        <f aca="false">F34*x_NAV</f>
        <v>0</v>
      </c>
      <c r="AG34" s="0" t="n">
        <f aca="false">G34*x_FIX*(1-x_testy)</f>
        <v>0</v>
      </c>
      <c r="AH34" s="0" t="n">
        <f aca="false">x_z_F*U34+(1-x_AGRI)*x_EMP*x_WLOSS*(x_PEN_K74*Q34+x_PEN_C22*R34)</f>
        <v>18394026.9013629</v>
      </c>
      <c r="AI34" s="0" t="n">
        <f aca="false">x_AGRI*x_EMP*x_WLOSS*(x_PEN_K74*Q34+x_PEN_C22*R34)</f>
        <v>957152.674817644</v>
      </c>
      <c r="AJ34" s="0" t="n">
        <f aca="false">x_EMP*x_WAGE*(x_WLOSS*(Q34+R34)+S34)+U34*x_ABS_D*x_WAGE/365</f>
        <v>738824986.559652</v>
      </c>
      <c r="AK34" s="0" t="n">
        <f aca="false">AJ34*x_R_FUS</f>
        <v>233764225.747474</v>
      </c>
      <c r="AL34" s="0" t="n">
        <f aca="false">AJ34*x_R_NFZ</f>
        <v>57377887.2812091</v>
      </c>
      <c r="AM34" s="0" t="n">
        <f aca="false">AJ34*x_R_PIT</f>
        <v>49120168.8475124</v>
      </c>
      <c r="AN34" s="0" t="n">
        <f aca="false">AJ34*x_R_FP</f>
        <v>18840037.1572711</v>
      </c>
      <c r="AO34" s="0" t="n">
        <f aca="false">AA34+AB34+AC34+AD34+AF34</f>
        <v>417637857.005601</v>
      </c>
      <c r="AP34" s="0" t="n">
        <f aca="false">AO34+AE34+AG34+AH34+AI34+AK34+AL34+AM34+AN34</f>
        <v>796091355.615248</v>
      </c>
      <c r="AQ34" s="0" t="n">
        <f aca="false">AO34+AE34+AG34+AJ34</f>
        <v>1156462843.56525</v>
      </c>
      <c r="AR34" s="0" t="n">
        <f aca="false">AB34+AC34+AD34+AF34</f>
        <v>137833427.610024</v>
      </c>
      <c r="AS34" s="0" t="n">
        <f aca="false">AR34+AE34+AG34</f>
        <v>137833427.610024</v>
      </c>
    </row>
    <row r="35" customFormat="false" ht="15" hidden="false" customHeight="false" outlineLevel="0" collapsed="false">
      <c r="A35" s="0" t="n">
        <v>2058</v>
      </c>
      <c r="B35" s="0" t="n">
        <v>32</v>
      </c>
      <c r="C35" s="0" t="n">
        <v>4832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2280.344</v>
      </c>
      <c r="I35" s="0" t="n">
        <v>187.854</v>
      </c>
      <c r="J35" s="0" t="n">
        <v>986.317</v>
      </c>
      <c r="K35" s="0" t="n">
        <v>1674.527</v>
      </c>
      <c r="L35" s="0" t="n">
        <v>817.663</v>
      </c>
      <c r="M35" s="0" t="n">
        <v>124145.09</v>
      </c>
      <c r="N35" s="0" t="n">
        <v>8353.732</v>
      </c>
      <c r="O35" s="0" t="n">
        <v>55.783</v>
      </c>
      <c r="P35" s="0" t="n">
        <v>56.304</v>
      </c>
      <c r="Q35" s="0" t="n">
        <v>1109.062</v>
      </c>
      <c r="R35" s="0" t="n">
        <v>1197.444</v>
      </c>
      <c r="S35" s="0" t="n">
        <v>8073.47</v>
      </c>
      <c r="T35" s="0" t="n">
        <v>2468.198</v>
      </c>
      <c r="U35" s="0" t="n">
        <v>1914.137</v>
      </c>
      <c r="V35" s="0" t="n">
        <v>160561.306</v>
      </c>
      <c r="W35" s="0" t="n">
        <v>174.753</v>
      </c>
      <c r="X35" s="0" t="n">
        <v>478.735</v>
      </c>
      <c r="Y35" s="0" t="n">
        <v>55.783</v>
      </c>
      <c r="Z35" s="0" t="n">
        <v>597.874</v>
      </c>
      <c r="AA35" s="0" t="n">
        <f aca="false">H35*x_c_F+I35*x_c_CC+J35*x_c_DC+K35*x_c_HCC+L35*x_c_PLT+M35*x_c_SVRn+N35*x_c_SVRcc+O35*x_c_LT+P35*x_c_LT1</f>
        <v>277594654.732202</v>
      </c>
      <c r="AB35" s="0" t="n">
        <f aca="false">C35*x_c_DAA</f>
        <v>109976320</v>
      </c>
      <c r="AC35" s="0" t="n">
        <f aca="false">C35*x_c_MON</f>
        <v>27857107.6100244</v>
      </c>
      <c r="AD35" s="0" t="n">
        <f aca="false">D35*(1-x_testy)</f>
        <v>0</v>
      </c>
      <c r="AE35" s="0" t="n">
        <f aca="false">E35*(1-x_testy)</f>
        <v>0</v>
      </c>
      <c r="AF35" s="0" t="n">
        <f aca="false">F35*x_NAV</f>
        <v>0</v>
      </c>
      <c r="AG35" s="0" t="n">
        <f aca="false">G35*x_FIX*(1-x_testy)</f>
        <v>0</v>
      </c>
      <c r="AH35" s="0" t="n">
        <f aca="false">x_z_F*U35+(1-x_AGRI)*x_EMP*x_WLOSS*(x_PEN_K74*Q35+x_PEN_C22*R35)</f>
        <v>18791934.2776396</v>
      </c>
      <c r="AI35" s="0" t="n">
        <f aca="false">x_AGRI*x_EMP*x_WLOSS*(x_PEN_K74*Q35+x_PEN_C22*R35)</f>
        <v>981995.880887744</v>
      </c>
      <c r="AJ35" s="0" t="n">
        <f aca="false">x_EMP*x_WAGE*(x_WLOSS*(Q35+R35)+S35)+U35*x_ABS_D*x_WAGE/365</f>
        <v>769465998.432699</v>
      </c>
      <c r="AK35" s="0" t="n">
        <f aca="false">AJ35*x_R_FUS</f>
        <v>243459041.904106</v>
      </c>
      <c r="AL35" s="0" t="n">
        <f aca="false">AJ35*x_R_NFZ</f>
        <v>59757498.9042818</v>
      </c>
      <c r="AM35" s="0" t="n">
        <f aca="false">AJ35*x_R_PIT</f>
        <v>51157311.2076689</v>
      </c>
      <c r="AN35" s="0" t="n">
        <f aca="false">AJ35*x_R_FP</f>
        <v>19621382.9600338</v>
      </c>
      <c r="AO35" s="0" t="n">
        <f aca="false">AA35+AB35+AC35+AD35+AF35</f>
        <v>415428082.342226</v>
      </c>
      <c r="AP35" s="0" t="n">
        <f aca="false">AO35+AE35+AG35+AH35+AI35+AK35+AL35+AM35+AN35</f>
        <v>809197247.476844</v>
      </c>
      <c r="AQ35" s="0" t="n">
        <f aca="false">AO35+AE35+AG35+AJ35</f>
        <v>1184894080.77492</v>
      </c>
      <c r="AR35" s="0" t="n">
        <f aca="false">AB35+AC35+AD35+AF35</f>
        <v>137833427.610024</v>
      </c>
      <c r="AS35" s="0" t="n">
        <f aca="false">AR35+AE35+AG35</f>
        <v>137833427.610024</v>
      </c>
    </row>
    <row r="36" customFormat="false" ht="15" hidden="false" customHeight="false" outlineLevel="0" collapsed="false">
      <c r="A36" s="0" t="n">
        <v>2059</v>
      </c>
      <c r="B36" s="0" t="n">
        <v>33</v>
      </c>
      <c r="C36" s="0" t="n">
        <v>4832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2282.149</v>
      </c>
      <c r="I36" s="0" t="n">
        <v>185.777</v>
      </c>
      <c r="J36" s="0" t="n">
        <v>968.302</v>
      </c>
      <c r="K36" s="0" t="n">
        <v>1650.407</v>
      </c>
      <c r="L36" s="0" t="n">
        <v>794.499</v>
      </c>
      <c r="M36" s="0" t="n">
        <v>126431.03</v>
      </c>
      <c r="N36" s="0" t="n">
        <v>8268.171</v>
      </c>
      <c r="O36" s="0" t="n">
        <v>54.77</v>
      </c>
      <c r="P36" s="0" t="n">
        <v>55.277</v>
      </c>
      <c r="Q36" s="0" t="n">
        <v>843.25</v>
      </c>
      <c r="R36" s="0" t="n">
        <v>1026.35</v>
      </c>
      <c r="S36" s="0" t="n">
        <v>5270.281</v>
      </c>
      <c r="T36" s="0" t="n">
        <v>2467.926</v>
      </c>
      <c r="U36" s="0" t="n">
        <v>1894.092</v>
      </c>
      <c r="V36" s="0" t="n">
        <v>162126.953</v>
      </c>
      <c r="W36" s="0" t="n">
        <v>172.485</v>
      </c>
      <c r="X36" s="0" t="n">
        <v>473.063</v>
      </c>
      <c r="Y36" s="0" t="n">
        <v>54.77</v>
      </c>
      <c r="Z36" s="0" t="n">
        <v>587.767</v>
      </c>
      <c r="AA36" s="0" t="n">
        <f aca="false">H36*x_c_F+I36*x_c_CC+J36*x_c_DC+K36*x_c_HCC+L36*x_c_PLT+M36*x_c_SVRn+N36*x_c_SVRcc+O36*x_c_LT+P36*x_c_LT1</f>
        <v>275780295.266132</v>
      </c>
      <c r="AB36" s="0" t="n">
        <f aca="false">C36*x_c_DAA</f>
        <v>109976320</v>
      </c>
      <c r="AC36" s="0" t="n">
        <f aca="false">C36*x_c_MON</f>
        <v>27857107.6100244</v>
      </c>
      <c r="AD36" s="0" t="n">
        <f aca="false">D36*(1-x_testy)</f>
        <v>0</v>
      </c>
      <c r="AE36" s="0" t="n">
        <f aca="false">E36*(1-x_testy)</f>
        <v>0</v>
      </c>
      <c r="AF36" s="0" t="n">
        <f aca="false">F36*x_NAV</f>
        <v>0</v>
      </c>
      <c r="AG36" s="0" t="n">
        <f aca="false">G36*x_FIX*(1-x_testy)</f>
        <v>0</v>
      </c>
      <c r="AH36" s="0" t="n">
        <f aca="false">x_z_F*U36+(1-x_AGRI)*x_EMP*x_WLOSS*(x_PEN_K74*Q36+x_PEN_C22*R36)</f>
        <v>15982274.0956044</v>
      </c>
      <c r="AI36" s="0" t="n">
        <f aca="false">x_AGRI*x_EMP*x_WLOSS*(x_PEN_K74*Q36+x_PEN_C22*R36)</f>
        <v>799006.679282875</v>
      </c>
      <c r="AJ36" s="0" t="n">
        <f aca="false">x_EMP*x_WAGE*(x_WLOSS*(Q36+R36)+S36)+U36*x_ABS_D*x_WAGE/365</f>
        <v>516105259.293449</v>
      </c>
      <c r="AK36" s="0" t="n">
        <f aca="false">AJ36*x_R_FUS</f>
        <v>163295704.040447</v>
      </c>
      <c r="AL36" s="0" t="n">
        <f aca="false">AJ36*x_R_NFZ</f>
        <v>40081250.5419885</v>
      </c>
      <c r="AM36" s="0" t="n">
        <f aca="false">AJ36*x_R_PIT</f>
        <v>34312831.7812199</v>
      </c>
      <c r="AN36" s="0" t="n">
        <f aca="false">AJ36*x_R_FP</f>
        <v>13160684.1119829</v>
      </c>
      <c r="AO36" s="0" t="n">
        <f aca="false">AA36+AB36+AC36+AD36+AF36</f>
        <v>413613722.876156</v>
      </c>
      <c r="AP36" s="0" t="n">
        <f aca="false">AO36+AE36+AG36+AH36+AI36+AK36+AL36+AM36+AN36</f>
        <v>681245474.126682</v>
      </c>
      <c r="AQ36" s="0" t="n">
        <f aca="false">AO36+AE36+AG36+AJ36</f>
        <v>929718982.169605</v>
      </c>
      <c r="AR36" s="0" t="n">
        <f aca="false">AB36+AC36+AD36+AF36</f>
        <v>137833427.610024</v>
      </c>
      <c r="AS36" s="0" t="n">
        <f aca="false">AR36+AE36+AG36</f>
        <v>137833427.610024</v>
      </c>
    </row>
    <row r="37" customFormat="false" ht="15" hidden="false" customHeight="false" outlineLevel="0" collapsed="false">
      <c r="A37" s="0" t="n">
        <v>2060</v>
      </c>
      <c r="B37" s="0" t="n">
        <v>34</v>
      </c>
      <c r="C37" s="0" t="n">
        <v>4832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2283.723</v>
      </c>
      <c r="I37" s="0" t="n">
        <v>183.948</v>
      </c>
      <c r="J37" s="0" t="n">
        <v>950.915</v>
      </c>
      <c r="K37" s="0" t="n">
        <v>1627.204</v>
      </c>
      <c r="L37" s="0" t="n">
        <v>770.294</v>
      </c>
      <c r="M37" s="0" t="n">
        <v>128605.315</v>
      </c>
      <c r="N37" s="0" t="n">
        <v>8167.294</v>
      </c>
      <c r="O37" s="0" t="n">
        <v>53.794</v>
      </c>
      <c r="P37" s="0" t="n">
        <v>54.282</v>
      </c>
      <c r="Q37" s="0" t="n">
        <v>564.79</v>
      </c>
      <c r="R37" s="0" t="n">
        <v>840.563</v>
      </c>
      <c r="S37" s="0" t="n">
        <v>2304.601</v>
      </c>
      <c r="T37" s="0" t="n">
        <v>2467.671</v>
      </c>
      <c r="U37" s="0" t="n">
        <v>1869.138</v>
      </c>
      <c r="V37" s="0" t="n">
        <v>163603.629</v>
      </c>
      <c r="W37" s="0" t="n">
        <v>170.361</v>
      </c>
      <c r="X37" s="0" t="n">
        <v>467.654</v>
      </c>
      <c r="Y37" s="0" t="n">
        <v>53.794</v>
      </c>
      <c r="Z37" s="0" t="n">
        <v>577.96</v>
      </c>
      <c r="AA37" s="0" t="n">
        <f aca="false">H37*x_c_F+I37*x_c_CC+J37*x_c_DC+K37*x_c_HCC+L37*x_c_PLT+M37*x_c_SVRn+N37*x_c_SVRcc+O37*x_c_LT+P37*x_c_LT1</f>
        <v>273906379.897732</v>
      </c>
      <c r="AB37" s="0" t="n">
        <f aca="false">C37*x_c_DAA</f>
        <v>109976320</v>
      </c>
      <c r="AC37" s="0" t="n">
        <f aca="false">C37*x_c_MON</f>
        <v>27857107.6100244</v>
      </c>
      <c r="AD37" s="0" t="n">
        <f aca="false">D37*(1-x_testy)</f>
        <v>0</v>
      </c>
      <c r="AE37" s="0" t="n">
        <f aca="false">E37*(1-x_testy)</f>
        <v>0</v>
      </c>
      <c r="AF37" s="0" t="n">
        <f aca="false">F37*x_NAV</f>
        <v>0</v>
      </c>
      <c r="AG37" s="0" t="n">
        <f aca="false">G37*x_FIX*(1-x_testy)</f>
        <v>0</v>
      </c>
      <c r="AH37" s="0" t="n">
        <f aca="false">x_z_F*U37+(1-x_AGRI)*x_EMP*x_WLOSS*(x_PEN_K74*Q37+x_PEN_C22*R37)</f>
        <v>12986003.5153316</v>
      </c>
      <c r="AI37" s="0" t="n">
        <f aca="false">x_AGRI*x_EMP*x_WLOSS*(x_PEN_K74*Q37+x_PEN_C22*R37)</f>
        <v>604349.97974036</v>
      </c>
      <c r="AJ37" s="0" t="n">
        <f aca="false">x_EMP*x_WAGE*(x_WLOSS*(Q37+R37)+S37)+U37*x_ABS_D*x_WAGE/365</f>
        <v>247981126.098401</v>
      </c>
      <c r="AK37" s="0" t="n">
        <f aca="false">AJ37*x_R_FUS</f>
        <v>78461228.297534</v>
      </c>
      <c r="AL37" s="0" t="n">
        <f aca="false">AJ37*x_R_NFZ</f>
        <v>19258462.2339279</v>
      </c>
      <c r="AM37" s="0" t="n">
        <f aca="false">AJ37*x_R_PIT</f>
        <v>16486820.297822</v>
      </c>
      <c r="AN37" s="0" t="n">
        <f aca="false">AJ37*x_R_FP</f>
        <v>6323518.71550922</v>
      </c>
      <c r="AO37" s="0" t="n">
        <f aca="false">AA37+AB37+AC37+AD37+AF37</f>
        <v>411739807.507756</v>
      </c>
      <c r="AP37" s="0" t="n">
        <f aca="false">AO37+AE37+AG37+AH37+AI37+AK37+AL37+AM37+AN37</f>
        <v>545860190.547621</v>
      </c>
      <c r="AQ37" s="0" t="n">
        <f aca="false">AO37+AE37+AG37+AJ37</f>
        <v>659720933.606157</v>
      </c>
      <c r="AR37" s="0" t="n">
        <f aca="false">AB37+AC37+AD37+AF37</f>
        <v>137833427.610024</v>
      </c>
      <c r="AS37" s="0" t="n">
        <f aca="false">AR37+AE37+AG37</f>
        <v>137833427.610024</v>
      </c>
    </row>
    <row r="38" customFormat="false" ht="15" hidden="false" customHeight="false" outlineLevel="0" collapsed="false">
      <c r="A38" s="0" t="n">
        <v>2061</v>
      </c>
      <c r="B38" s="0" t="n">
        <v>35</v>
      </c>
      <c r="C38" s="0" t="n">
        <v>4832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2285.064</v>
      </c>
      <c r="I38" s="0" t="n">
        <v>182.369</v>
      </c>
      <c r="J38" s="0" t="n">
        <v>934.332</v>
      </c>
      <c r="K38" s="0" t="n">
        <v>1605.102</v>
      </c>
      <c r="L38" s="0" t="n">
        <v>745.287</v>
      </c>
      <c r="M38" s="0" t="n">
        <v>130669.894</v>
      </c>
      <c r="N38" s="0" t="n">
        <v>8053.175</v>
      </c>
      <c r="O38" s="0" t="n">
        <v>52.867</v>
      </c>
      <c r="P38" s="0" t="n">
        <v>53.331</v>
      </c>
      <c r="Q38" s="0" t="n">
        <v>566.467</v>
      </c>
      <c r="R38" s="0" t="n">
        <v>841.713</v>
      </c>
      <c r="S38" s="0" t="n">
        <v>2317.55</v>
      </c>
      <c r="T38" s="0" t="n">
        <v>2467.433</v>
      </c>
      <c r="U38" s="0" t="n">
        <v>1869.251</v>
      </c>
      <c r="V38" s="0" t="n">
        <v>164994.583</v>
      </c>
      <c r="W38" s="0" t="n">
        <v>168.396</v>
      </c>
      <c r="X38" s="0" t="n">
        <v>462.556</v>
      </c>
      <c r="Y38" s="0" t="n">
        <v>52.867</v>
      </c>
      <c r="Z38" s="0" t="n">
        <v>568.574</v>
      </c>
      <c r="AA38" s="0" t="n">
        <f aca="false">H38*x_c_F+I38*x_c_CC+J38*x_c_DC+K38*x_c_HCC+L38*x_c_PLT+M38*x_c_SVRn+N38*x_c_SVRcc+O38*x_c_LT+P38*x_c_LT1</f>
        <v>272006817.123658</v>
      </c>
      <c r="AB38" s="0" t="n">
        <f aca="false">C38*x_c_DAA</f>
        <v>109976320</v>
      </c>
      <c r="AC38" s="0" t="n">
        <f aca="false">C38*x_c_MON</f>
        <v>27857107.6100244</v>
      </c>
      <c r="AD38" s="0" t="n">
        <f aca="false">D38*(1-x_testy)</f>
        <v>0</v>
      </c>
      <c r="AE38" s="0" t="n">
        <f aca="false">E38*(1-x_testy)</f>
        <v>0</v>
      </c>
      <c r="AF38" s="0" t="n">
        <f aca="false">F38*x_NAV</f>
        <v>0</v>
      </c>
      <c r="AG38" s="0" t="n">
        <f aca="false">G38*x_FIX*(1-x_testy)</f>
        <v>0</v>
      </c>
      <c r="AH38" s="0" t="n">
        <f aca="false">x_z_F*U38+(1-x_AGRI)*x_EMP*x_WLOSS*(x_PEN_K74*Q38+x_PEN_C22*R38)</f>
        <v>13004184.3280604</v>
      </c>
      <c r="AI38" s="0" t="n">
        <f aca="false">x_AGRI*x_EMP*x_WLOSS*(x_PEN_K74*Q38+x_PEN_C22*R38)</f>
        <v>605536.34083572</v>
      </c>
      <c r="AJ38" s="0" t="n">
        <f aca="false">x_EMP*x_WAGE*(x_WLOSS*(Q38+R38)+S38)+U38*x_ABS_D*x_WAGE/365</f>
        <v>249178028.073535</v>
      </c>
      <c r="AK38" s="0" t="n">
        <f aca="false">AJ38*x_R_FUS</f>
        <v>78839928.0824665</v>
      </c>
      <c r="AL38" s="0" t="n">
        <f aca="false">AJ38*x_R_NFZ</f>
        <v>19351414.8382188</v>
      </c>
      <c r="AM38" s="0" t="n">
        <f aca="false">AJ38*x_R_PIT</f>
        <v>16566395.3368123</v>
      </c>
      <c r="AN38" s="0" t="n">
        <f aca="false">AJ38*x_R_FP</f>
        <v>6354039.71587515</v>
      </c>
      <c r="AO38" s="0" t="n">
        <f aca="false">AA38+AB38+AC38+AD38+AF38</f>
        <v>409840244.733682</v>
      </c>
      <c r="AP38" s="0" t="n">
        <f aca="false">AO38+AE38+AG38+AH38+AI38+AK38+AL38+AM38+AN38</f>
        <v>544561743.375951</v>
      </c>
      <c r="AQ38" s="0" t="n">
        <f aca="false">AO38+AE38+AG38+AJ38</f>
        <v>659018272.807217</v>
      </c>
      <c r="AR38" s="0" t="n">
        <f aca="false">AB38+AC38+AD38+AF38</f>
        <v>137833427.610024</v>
      </c>
      <c r="AS38" s="0" t="n">
        <f aca="false">AR38+AE38+AG38</f>
        <v>137833427.610024</v>
      </c>
    </row>
    <row r="39" customFormat="false" ht="15" hidden="false" customHeight="false" outlineLevel="0" collapsed="false">
      <c r="A39" s="0" t="n">
        <v>2062</v>
      </c>
      <c r="B39" s="0" t="n">
        <v>36</v>
      </c>
      <c r="C39" s="0" t="n">
        <v>4832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2286.167</v>
      </c>
      <c r="I39" s="0" t="n">
        <v>181.046</v>
      </c>
      <c r="J39" s="0" t="n">
        <v>918.778</v>
      </c>
      <c r="K39" s="0" t="n">
        <v>1584.372</v>
      </c>
      <c r="L39" s="0" t="n">
        <v>719.846</v>
      </c>
      <c r="M39" s="0" t="n">
        <v>132633.177</v>
      </c>
      <c r="N39" s="0" t="n">
        <v>7929.02</v>
      </c>
      <c r="O39" s="0" t="n">
        <v>52.004</v>
      </c>
      <c r="P39" s="0" t="n">
        <v>52.436</v>
      </c>
      <c r="Q39" s="0" t="n">
        <v>567.921</v>
      </c>
      <c r="R39" s="0" t="n">
        <v>842.521</v>
      </c>
      <c r="S39" s="0" t="n">
        <v>2329.908</v>
      </c>
      <c r="T39" s="0" t="n">
        <v>2467.214</v>
      </c>
      <c r="U39" s="0" t="n">
        <v>1869.115</v>
      </c>
      <c r="V39" s="0" t="n">
        <v>166309.175</v>
      </c>
      <c r="W39" s="0" t="n">
        <v>166.612</v>
      </c>
      <c r="X39" s="0" t="n">
        <v>457.833</v>
      </c>
      <c r="Y39" s="0" t="n">
        <v>52.004</v>
      </c>
      <c r="Z39" s="0" t="n">
        <v>559.743</v>
      </c>
      <c r="AA39" s="0" t="n">
        <f aca="false">H39*x_c_F+I39*x_c_CC+J39*x_c_DC+K39*x_c_HCC+L39*x_c_PLT+M39*x_c_SVRn+N39*x_c_SVRcc+O39*x_c_LT+P39*x_c_LT1</f>
        <v>270134070.476401</v>
      </c>
      <c r="AB39" s="0" t="n">
        <f aca="false">C39*x_c_DAA</f>
        <v>109976320</v>
      </c>
      <c r="AC39" s="0" t="n">
        <f aca="false">C39*x_c_MON</f>
        <v>27857107.6100244</v>
      </c>
      <c r="AD39" s="0" t="n">
        <f aca="false">D39*(1-x_testy)</f>
        <v>0</v>
      </c>
      <c r="AE39" s="0" t="n">
        <f aca="false">E39*(1-x_testy)</f>
        <v>0</v>
      </c>
      <c r="AF39" s="0" t="n">
        <f aca="false">F39*x_NAV</f>
        <v>0</v>
      </c>
      <c r="AG39" s="0" t="n">
        <f aca="false">G39*x_FIX*(1-x_testy)</f>
        <v>0</v>
      </c>
      <c r="AH39" s="0" t="n">
        <f aca="false">x_z_F*U39+(1-x_AGRI)*x_EMP*x_WLOSS*(x_PEN_K74*Q39+x_PEN_C22*R39)</f>
        <v>13018173.9918689</v>
      </c>
      <c r="AI39" s="0" t="n">
        <f aca="false">x_AGRI*x_EMP*x_WLOSS*(x_PEN_K74*Q39+x_PEN_C22*R39)</f>
        <v>606479.512009175</v>
      </c>
      <c r="AJ39" s="0" t="n">
        <f aca="false">x_EMP*x_WAGE*(x_WLOSS*(Q39+R39)+S39)+U39*x_ABS_D*x_WAGE/365</f>
        <v>250305316.388221</v>
      </c>
      <c r="AK39" s="0" t="n">
        <f aca="false">AJ39*x_R_FUS</f>
        <v>79196602.1052333</v>
      </c>
      <c r="AL39" s="0" t="n">
        <f aca="false">AJ39*x_R_NFZ</f>
        <v>19438961.1760257</v>
      </c>
      <c r="AM39" s="0" t="n">
        <f aca="false">AJ39*x_R_PIT</f>
        <v>16641342.1690994</v>
      </c>
      <c r="AN39" s="0" t="n">
        <f aca="false">AJ39*x_R_FP</f>
        <v>6382785.56789965</v>
      </c>
      <c r="AO39" s="0" t="n">
        <f aca="false">AA39+AB39+AC39+AD39+AF39</f>
        <v>407967498.086425</v>
      </c>
      <c r="AP39" s="0" t="n">
        <f aca="false">AO39+AE39+AG39+AH39+AI39+AK39+AL39+AM39+AN39</f>
        <v>543251842.608561</v>
      </c>
      <c r="AQ39" s="0" t="n">
        <f aca="false">AO39+AE39+AG39+AJ39</f>
        <v>658272814.474646</v>
      </c>
      <c r="AR39" s="0" t="n">
        <f aca="false">AB39+AC39+AD39+AF39</f>
        <v>137833427.610024</v>
      </c>
      <c r="AS39" s="0" t="n">
        <f aca="false">AR39+AE39+AG39</f>
        <v>137833427.610024</v>
      </c>
    </row>
    <row r="40" customFormat="false" ht="15" hidden="false" customHeight="false" outlineLevel="0" collapsed="false">
      <c r="A40" s="0" t="n">
        <v>2063</v>
      </c>
      <c r="B40" s="0" t="n">
        <v>37</v>
      </c>
      <c r="C40" s="0" t="n">
        <v>4832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2287.029</v>
      </c>
      <c r="I40" s="0" t="n">
        <v>179.985</v>
      </c>
      <c r="J40" s="0" t="n">
        <v>904.509</v>
      </c>
      <c r="K40" s="0" t="n">
        <v>1565.338</v>
      </c>
      <c r="L40" s="0" t="n">
        <v>694.452</v>
      </c>
      <c r="M40" s="0" t="n">
        <v>134510.003</v>
      </c>
      <c r="N40" s="0" t="n">
        <v>7799.064</v>
      </c>
      <c r="O40" s="0" t="n">
        <v>51.221</v>
      </c>
      <c r="P40" s="0" t="n">
        <v>51.613</v>
      </c>
      <c r="Q40" s="0" t="n">
        <v>568.933</v>
      </c>
      <c r="R40" s="0" t="n">
        <v>842.759</v>
      </c>
      <c r="S40" s="0" t="n">
        <v>2340.314</v>
      </c>
      <c r="T40" s="0" t="n">
        <v>2467.014</v>
      </c>
      <c r="U40" s="0" t="n">
        <v>1868.664</v>
      </c>
      <c r="V40" s="0" t="n">
        <v>167562.605</v>
      </c>
      <c r="W40" s="0" t="n">
        <v>165.035</v>
      </c>
      <c r="X40" s="0" t="n">
        <v>453.568</v>
      </c>
      <c r="Y40" s="0" t="n">
        <v>51.221</v>
      </c>
      <c r="Z40" s="0" t="n">
        <v>551.631</v>
      </c>
      <c r="AA40" s="0" t="n">
        <f aca="false">H40*x_c_F+I40*x_c_CC+J40*x_c_DC+K40*x_c_HCC+L40*x_c_PLT+M40*x_c_SVRn+N40*x_c_SVRcc+O40*x_c_LT+P40*x_c_LT1</f>
        <v>268355382.877866</v>
      </c>
      <c r="AB40" s="0" t="n">
        <f aca="false">C40*x_c_DAA</f>
        <v>109976320</v>
      </c>
      <c r="AC40" s="0" t="n">
        <f aca="false">C40*x_c_MON</f>
        <v>27857107.6100244</v>
      </c>
      <c r="AD40" s="0" t="n">
        <f aca="false">D40*(1-x_testy)</f>
        <v>0</v>
      </c>
      <c r="AE40" s="0" t="n">
        <f aca="false">E40*(1-x_testy)</f>
        <v>0</v>
      </c>
      <c r="AF40" s="0" t="n">
        <f aca="false">F40*x_NAV</f>
        <v>0</v>
      </c>
      <c r="AG40" s="0" t="n">
        <f aca="false">G40*x_FIX*(1-x_testy)</f>
        <v>0</v>
      </c>
      <c r="AH40" s="0" t="n">
        <f aca="false">x_z_F*U40+(1-x_AGRI)*x_EMP*x_WLOSS*(x_PEN_K74*Q40+x_PEN_C22*R40)</f>
        <v>13024960.9403155</v>
      </c>
      <c r="AI40" s="0" t="n">
        <f aca="false">x_AGRI*x_EMP*x_WLOSS*(x_PEN_K74*Q40+x_PEN_C22*R40)</f>
        <v>606989.40333586</v>
      </c>
      <c r="AJ40" s="0" t="n">
        <f aca="false">x_EMP*x_WAGE*(x_WLOSS*(Q40+R40)+S40)+U40*x_ABS_D*x_WAGE/365</f>
        <v>251232126.665102</v>
      </c>
      <c r="AK40" s="0" t="n">
        <f aca="false">AJ40*x_R_FUS</f>
        <v>79489844.8768384</v>
      </c>
      <c r="AL40" s="0" t="n">
        <f aca="false">AJ40*x_R_NFZ</f>
        <v>19510938.1889385</v>
      </c>
      <c r="AM40" s="0" t="n">
        <f aca="false">AJ40*x_R_PIT</f>
        <v>16702960.384669</v>
      </c>
      <c r="AN40" s="0" t="n">
        <f aca="false">AJ40*x_R_FP</f>
        <v>6406419.22996011</v>
      </c>
      <c r="AO40" s="0" t="n">
        <f aca="false">AA40+AB40+AC40+AD40+AF40</f>
        <v>406188810.48789</v>
      </c>
      <c r="AP40" s="0" t="n">
        <f aca="false">AO40+AE40+AG40+AH40+AI40+AK40+AL40+AM40+AN40</f>
        <v>541930923.511948</v>
      </c>
      <c r="AQ40" s="0" t="n">
        <f aca="false">AO40+AE40+AG40+AJ40</f>
        <v>657420937.152992</v>
      </c>
      <c r="AR40" s="0" t="n">
        <f aca="false">AB40+AC40+AD40+AF40</f>
        <v>137833427.610024</v>
      </c>
      <c r="AS40" s="0" t="n">
        <f aca="false">AR40+AE40+AG40</f>
        <v>137833427.610024</v>
      </c>
    </row>
    <row r="41" customFormat="false" ht="15" hidden="false" customHeight="false" outlineLevel="0" collapsed="false">
      <c r="A41" s="0" t="n">
        <v>2064</v>
      </c>
      <c r="B41" s="0" t="n">
        <v>38</v>
      </c>
      <c r="C41" s="0" t="n">
        <v>4832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2287.65</v>
      </c>
      <c r="I41" s="0" t="n">
        <v>179.186</v>
      </c>
      <c r="J41" s="0" t="n">
        <v>891.784</v>
      </c>
      <c r="K41" s="0" t="n">
        <v>1548.341</v>
      </c>
      <c r="L41" s="0" t="n">
        <v>669.669</v>
      </c>
      <c r="M41" s="0" t="n">
        <v>136321.038</v>
      </c>
      <c r="N41" s="0" t="n">
        <v>7668.37</v>
      </c>
      <c r="O41" s="0" t="n">
        <v>50.532</v>
      </c>
      <c r="P41" s="0" t="n">
        <v>50.877</v>
      </c>
      <c r="Q41" s="0" t="n">
        <v>569.451</v>
      </c>
      <c r="R41" s="0" t="n">
        <v>842.386</v>
      </c>
      <c r="S41" s="0" t="n">
        <v>2348.386</v>
      </c>
      <c r="T41" s="0" t="n">
        <v>2466.836</v>
      </c>
      <c r="U41" s="0" t="n">
        <v>1867.886</v>
      </c>
      <c r="V41" s="0" t="n">
        <v>168775.023</v>
      </c>
      <c r="W41" s="0" t="n">
        <v>163.688</v>
      </c>
      <c r="X41" s="0" t="n">
        <v>449.837</v>
      </c>
      <c r="Y41" s="0" t="n">
        <v>50.532</v>
      </c>
      <c r="Z41" s="0" t="n">
        <v>544.394</v>
      </c>
      <c r="AA41" s="0" t="n">
        <f aca="false">H41*x_c_F+I41*x_c_CC+J41*x_c_DC+K41*x_c_HCC+L41*x_c_PLT+M41*x_c_SVRn+N41*x_c_SVRcc+O41*x_c_LT+P41*x_c_LT1</f>
        <v>266746838.69239</v>
      </c>
      <c r="AB41" s="0" t="n">
        <f aca="false">C41*x_c_DAA</f>
        <v>109976320</v>
      </c>
      <c r="AC41" s="0" t="n">
        <f aca="false">C41*x_c_MON</f>
        <v>27857107.6100244</v>
      </c>
      <c r="AD41" s="0" t="n">
        <f aca="false">D41*(1-x_testy)</f>
        <v>0</v>
      </c>
      <c r="AE41" s="0" t="n">
        <f aca="false">E41*(1-x_testy)</f>
        <v>0</v>
      </c>
      <c r="AF41" s="0" t="n">
        <f aca="false">F41*x_NAV</f>
        <v>0</v>
      </c>
      <c r="AG41" s="0" t="n">
        <f aca="false">G41*x_FIX*(1-x_testy)</f>
        <v>0</v>
      </c>
      <c r="AH41" s="0" t="n">
        <f aca="false">x_z_F*U41+(1-x_AGRI)*x_EMP*x_WLOSS*(x_PEN_K74*Q41+x_PEN_C22*R41)</f>
        <v>13023927.4489625</v>
      </c>
      <c r="AI41" s="0" t="n">
        <f aca="false">x_AGRI*x_EMP*x_WLOSS*(x_PEN_K74*Q41+x_PEN_C22*R41)</f>
        <v>607026.815113628</v>
      </c>
      <c r="AJ41" s="0" t="n">
        <f aca="false">x_EMP*x_WAGE*(x_WLOSS*(Q41+R41)+S41)+U41*x_ABS_D*x_WAGE/365</f>
        <v>251922810.11831</v>
      </c>
      <c r="AK41" s="0" t="n">
        <f aca="false">AJ41*x_R_FUS</f>
        <v>79708377.1214334</v>
      </c>
      <c r="AL41" s="0" t="n">
        <f aca="false">AJ41*x_R_NFZ</f>
        <v>19564577.3565981</v>
      </c>
      <c r="AM41" s="0" t="n">
        <f aca="false">AJ41*x_R_PIT</f>
        <v>16748879.903444</v>
      </c>
      <c r="AN41" s="0" t="n">
        <f aca="false">AJ41*x_R_FP</f>
        <v>6424031.65801692</v>
      </c>
      <c r="AO41" s="0" t="n">
        <f aca="false">AA41+AB41+AC41+AD41+AF41</f>
        <v>404580266.302414</v>
      </c>
      <c r="AP41" s="0" t="n">
        <f aca="false">AO41+AE41+AG41+AH41+AI41+AK41+AL41+AM41+AN41</f>
        <v>540657086.605982</v>
      </c>
      <c r="AQ41" s="0" t="n">
        <f aca="false">AO41+AE41+AG41+AJ41</f>
        <v>656503076.420724</v>
      </c>
      <c r="AR41" s="0" t="n">
        <f aca="false">AB41+AC41+AD41+AF41</f>
        <v>137833427.610024</v>
      </c>
      <c r="AS41" s="0" t="n">
        <f aca="false">AR41+AE41+AG41</f>
        <v>137833427.610024</v>
      </c>
    </row>
    <row r="42" customFormat="false" ht="15" hidden="false" customHeight="false" outlineLevel="0" collapsed="false">
      <c r="A42" s="0" t="n">
        <v>2065</v>
      </c>
      <c r="B42" s="0" t="n">
        <v>39</v>
      </c>
      <c r="C42" s="0" t="n">
        <v>4832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2288.044</v>
      </c>
      <c r="I42" s="0" t="n">
        <v>178.635</v>
      </c>
      <c r="J42" s="0" t="n">
        <v>880.81</v>
      </c>
      <c r="K42" s="0" t="n">
        <v>1533.657</v>
      </c>
      <c r="L42" s="0" t="n">
        <v>646.066</v>
      </c>
      <c r="M42" s="0" t="n">
        <v>138089.027</v>
      </c>
      <c r="N42" s="0" t="n">
        <v>7542.071</v>
      </c>
      <c r="O42" s="0" t="n">
        <v>49.947</v>
      </c>
      <c r="P42" s="0" t="n">
        <v>50.239</v>
      </c>
      <c r="Q42" s="0" t="n">
        <v>569.419</v>
      </c>
      <c r="R42" s="0" t="n">
        <v>841.362</v>
      </c>
      <c r="S42" s="0" t="n">
        <v>2353.7</v>
      </c>
      <c r="T42" s="0" t="n">
        <v>2466.679</v>
      </c>
      <c r="U42" s="0" t="n">
        <v>1866.784</v>
      </c>
      <c r="V42" s="0" t="n">
        <v>169967.667</v>
      </c>
      <c r="W42" s="0" t="n">
        <v>162.582</v>
      </c>
      <c r="X42" s="0" t="n">
        <v>446.689</v>
      </c>
      <c r="Y42" s="0" t="n">
        <v>49.947</v>
      </c>
      <c r="Z42" s="0" t="n">
        <v>538.144</v>
      </c>
      <c r="AA42" s="0" t="n">
        <f aca="false">H42*x_c_F+I42*x_c_CC+J42*x_c_DC+K42*x_c_HCC+L42*x_c_PLT+M42*x_c_SVRn+N42*x_c_SVRcc+O42*x_c_LT+P42*x_c_LT1</f>
        <v>265379524.094631</v>
      </c>
      <c r="AB42" s="0" t="n">
        <f aca="false">C42*x_c_DAA</f>
        <v>109976320</v>
      </c>
      <c r="AC42" s="0" t="n">
        <f aca="false">C42*x_c_MON</f>
        <v>27857107.6100244</v>
      </c>
      <c r="AD42" s="0" t="n">
        <f aca="false">D42*(1-x_testy)</f>
        <v>0</v>
      </c>
      <c r="AE42" s="0" t="n">
        <f aca="false">E42*(1-x_testy)</f>
        <v>0</v>
      </c>
      <c r="AF42" s="0" t="n">
        <f aca="false">F42*x_NAV</f>
        <v>0</v>
      </c>
      <c r="AG42" s="0" t="n">
        <f aca="false">G42*x_FIX*(1-x_testy)</f>
        <v>0</v>
      </c>
      <c r="AH42" s="0" t="n">
        <f aca="false">x_z_F*U42+(1-x_AGRI)*x_EMP*x_WLOSS*(x_PEN_K74*Q42+x_PEN_C22*R42)</f>
        <v>13014469.4077005</v>
      </c>
      <c r="AI42" s="0" t="n">
        <f aca="false">x_AGRI*x_EMP*x_WLOSS*(x_PEN_K74*Q42+x_PEN_C22*R42)</f>
        <v>606551.409149072</v>
      </c>
      <c r="AJ42" s="0" t="n">
        <f aca="false">x_EMP*x_WAGE*(x_WLOSS*(Q42+R42)+S42)+U42*x_ABS_D*x_WAGE/365</f>
        <v>252338082.887814</v>
      </c>
      <c r="AK42" s="0" t="n">
        <f aca="false">AJ42*x_R_FUS</f>
        <v>79839769.4257045</v>
      </c>
      <c r="AL42" s="0" t="n">
        <f aca="false">AJ42*x_R_NFZ</f>
        <v>19596827.8551505</v>
      </c>
      <c r="AM42" s="0" t="n">
        <f aca="false">AJ42*x_R_PIT</f>
        <v>16776488.9704448</v>
      </c>
      <c r="AN42" s="0" t="n">
        <f aca="false">AJ42*x_R_FP</f>
        <v>6434621.11363926</v>
      </c>
      <c r="AO42" s="0" t="n">
        <f aca="false">AA42+AB42+AC42+AD42+AF42</f>
        <v>403212951.704655</v>
      </c>
      <c r="AP42" s="0" t="n">
        <f aca="false">AO42+AE42+AG42+AH42+AI42+AK42+AL42+AM42+AN42</f>
        <v>539481679.886444</v>
      </c>
      <c r="AQ42" s="0" t="n">
        <f aca="false">AO42+AE42+AG42+AJ42</f>
        <v>655551034.59247</v>
      </c>
      <c r="AR42" s="0" t="n">
        <f aca="false">AB42+AC42+AD42+AF42</f>
        <v>137833427.610024</v>
      </c>
      <c r="AS42" s="0" t="n">
        <f aca="false">AR42+AE42+AG42</f>
        <v>137833427.610024</v>
      </c>
    </row>
    <row r="43" customFormat="false" ht="15" hidden="false" customHeight="false" outlineLevel="0" collapsed="false">
      <c r="A43" s="0" t="n">
        <v>2066</v>
      </c>
      <c r="B43" s="0" t="n">
        <v>40</v>
      </c>
      <c r="C43" s="0" t="n">
        <v>4832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2288.239</v>
      </c>
      <c r="I43" s="0" t="n">
        <v>178.303</v>
      </c>
      <c r="J43" s="0" t="n">
        <v>871.699</v>
      </c>
      <c r="K43" s="0" t="n">
        <v>1521.438</v>
      </c>
      <c r="L43" s="0" t="n">
        <v>624.148</v>
      </c>
      <c r="M43" s="0" t="n">
        <v>139835.847</v>
      </c>
      <c r="N43" s="0" t="n">
        <v>7424.792</v>
      </c>
      <c r="O43" s="0" t="n">
        <v>49.47</v>
      </c>
      <c r="P43" s="0" t="n">
        <v>49.709</v>
      </c>
      <c r="Q43" s="0" t="n">
        <v>568.782</v>
      </c>
      <c r="R43" s="0" t="n">
        <v>839.647</v>
      </c>
      <c r="S43" s="0" t="n">
        <v>2355.792</v>
      </c>
      <c r="T43" s="0" t="n">
        <v>2466.542</v>
      </c>
      <c r="U43" s="0" t="n">
        <v>1865.383</v>
      </c>
      <c r="V43" s="0" t="n">
        <v>171160.072</v>
      </c>
      <c r="W43" s="0" t="n">
        <v>161.712</v>
      </c>
      <c r="X43" s="0" t="n">
        <v>444.132</v>
      </c>
      <c r="Y43" s="0" t="n">
        <v>49.47</v>
      </c>
      <c r="Z43" s="0" t="n">
        <v>532.943</v>
      </c>
      <c r="AA43" s="0" t="n">
        <f aca="false">H43*x_c_F+I43*x_c_CC+J43*x_c_DC+K43*x_c_HCC+L43*x_c_PLT+M43*x_c_SVRn+N43*x_c_SVRcc+O43*x_c_LT+P43*x_c_LT1</f>
        <v>264308910.669732</v>
      </c>
      <c r="AB43" s="0" t="n">
        <f aca="false">C43*x_c_DAA</f>
        <v>109976320</v>
      </c>
      <c r="AC43" s="0" t="n">
        <f aca="false">C43*x_c_MON</f>
        <v>27857107.6100244</v>
      </c>
      <c r="AD43" s="0" t="n">
        <f aca="false">D43*(1-x_testy)</f>
        <v>0</v>
      </c>
      <c r="AE43" s="0" t="n">
        <f aca="false">E43*(1-x_testy)</f>
        <v>0</v>
      </c>
      <c r="AF43" s="0" t="n">
        <f aca="false">F43*x_NAV</f>
        <v>0</v>
      </c>
      <c r="AG43" s="0" t="n">
        <f aca="false">G43*x_FIX*(1-x_testy)</f>
        <v>0</v>
      </c>
      <c r="AH43" s="0" t="n">
        <f aca="false">x_z_F*U43+(1-x_AGRI)*x_EMP*x_WLOSS*(x_PEN_K74*Q43+x_PEN_C22*R43)</f>
        <v>12996033.9514055</v>
      </c>
      <c r="AI43" s="0" t="n">
        <f aca="false">x_AGRI*x_EMP*x_WLOSS*(x_PEN_K74*Q43+x_PEN_C22*R43)</f>
        <v>605523.244831394</v>
      </c>
      <c r="AJ43" s="0" t="n">
        <f aca="false">x_EMP*x_WAGE*(x_WLOSS*(Q43+R43)+S43)+U43*x_ABS_D*x_WAGE/365</f>
        <v>252435348.048184</v>
      </c>
      <c r="AK43" s="0" t="n">
        <f aca="false">AJ43*x_R_FUS</f>
        <v>79870544.1224455</v>
      </c>
      <c r="AL43" s="0" t="n">
        <f aca="false">AJ43*x_R_NFZ</f>
        <v>19604381.56477</v>
      </c>
      <c r="AM43" s="0" t="n">
        <f aca="false">AJ43*x_R_PIT</f>
        <v>16782955.5642759</v>
      </c>
      <c r="AN43" s="0" t="n">
        <f aca="false">AJ43*x_R_FP</f>
        <v>6437101.3752287</v>
      </c>
      <c r="AO43" s="0" t="n">
        <f aca="false">AA43+AB43+AC43+AD43+AF43</f>
        <v>402142338.279756</v>
      </c>
      <c r="AP43" s="0" t="n">
        <f aca="false">AO43+AE43+AG43+AH43+AI43+AK43+AL43+AM43+AN43</f>
        <v>538438878.102713</v>
      </c>
      <c r="AQ43" s="0" t="n">
        <f aca="false">AO43+AE43+AG43+AJ43</f>
        <v>654577686.327941</v>
      </c>
      <c r="AR43" s="0" t="n">
        <f aca="false">AB43+AC43+AD43+AF43</f>
        <v>137833427.610024</v>
      </c>
      <c r="AS43" s="0" t="n">
        <f aca="false">AR43+AE43+AG43</f>
        <v>137833427.610024</v>
      </c>
    </row>
    <row r="44" customFormat="false" ht="15" hidden="false" customHeight="false" outlineLevel="0" collapsed="false">
      <c r="A44" s="0" t="n">
        <v>2067</v>
      </c>
      <c r="B44" s="0" t="n">
        <v>41</v>
      </c>
      <c r="C44" s="0" t="n">
        <v>4832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2288.272</v>
      </c>
      <c r="I44" s="0" t="n">
        <v>178.15</v>
      </c>
      <c r="J44" s="0" t="n">
        <v>864.451</v>
      </c>
      <c r="K44" s="0" t="n">
        <v>1511.677</v>
      </c>
      <c r="L44" s="0" t="n">
        <v>604.293</v>
      </c>
      <c r="M44" s="0" t="n">
        <v>141579.15</v>
      </c>
      <c r="N44" s="0" t="n">
        <v>7320.072</v>
      </c>
      <c r="O44" s="0" t="n">
        <v>49.099</v>
      </c>
      <c r="P44" s="0" t="n">
        <v>49.285</v>
      </c>
      <c r="Q44" s="0" t="n">
        <v>567.482</v>
      </c>
      <c r="R44" s="0" t="n">
        <v>837.204</v>
      </c>
      <c r="S44" s="0" t="n">
        <v>2354.153</v>
      </c>
      <c r="T44" s="0" t="n">
        <v>2466.422</v>
      </c>
      <c r="U44" s="0" t="n">
        <v>1863.729</v>
      </c>
      <c r="V44" s="0" t="n">
        <v>172367.039</v>
      </c>
      <c r="W44" s="0" t="n">
        <v>161.055</v>
      </c>
      <c r="X44" s="0" t="n">
        <v>442.126</v>
      </c>
      <c r="Y44" s="0" t="n">
        <v>49.099</v>
      </c>
      <c r="Z44" s="0" t="n">
        <v>528.774</v>
      </c>
      <c r="AA44" s="0" t="n">
        <f aca="false">H44*x_c_F+I44*x_c_CC+J44*x_c_DC+K44*x_c_HCC+L44*x_c_PLT+M44*x_c_SVRn+N44*x_c_SVRcc+O44*x_c_LT+P44*x_c_LT1</f>
        <v>263566189.725145</v>
      </c>
      <c r="AB44" s="0" t="n">
        <f aca="false">C44*x_c_DAA</f>
        <v>109976320</v>
      </c>
      <c r="AC44" s="0" t="n">
        <f aca="false">C44*x_c_MON</f>
        <v>27857107.6100244</v>
      </c>
      <c r="AD44" s="0" t="n">
        <f aca="false">D44*(1-x_testy)</f>
        <v>0</v>
      </c>
      <c r="AE44" s="0" t="n">
        <f aca="false">E44*(1-x_testy)</f>
        <v>0</v>
      </c>
      <c r="AF44" s="0" t="n">
        <f aca="false">F44*x_NAV</f>
        <v>0</v>
      </c>
      <c r="AG44" s="0" t="n">
        <f aca="false">G44*x_FIX*(1-x_testy)</f>
        <v>0</v>
      </c>
      <c r="AH44" s="0" t="n">
        <f aca="false">x_z_F*U44+(1-x_AGRI)*x_EMP*x_WLOSS*(x_PEN_K74*Q44+x_PEN_C22*R44)</f>
        <v>12968113.851541</v>
      </c>
      <c r="AI44" s="0" t="n">
        <f aca="false">x_AGRI*x_EMP*x_WLOSS*(x_PEN_K74*Q44+x_PEN_C22*R44)</f>
        <v>603902.544319509</v>
      </c>
      <c r="AJ44" s="0" t="n">
        <f aca="false">x_EMP*x_WAGE*(x_WLOSS*(Q44+R44)+S44)+U44*x_ABS_D*x_WAGE/365</f>
        <v>252168233.63724</v>
      </c>
      <c r="AK44" s="0" t="n">
        <f aca="false">AJ44*x_R_FUS</f>
        <v>79786029.1228228</v>
      </c>
      <c r="AL44" s="0" t="n">
        <f aca="false">AJ44*x_R_NFZ</f>
        <v>19583637.1925017</v>
      </c>
      <c r="AM44" s="0" t="n">
        <f aca="false">AJ44*x_R_PIT</f>
        <v>16765196.6833422</v>
      </c>
      <c r="AN44" s="0" t="n">
        <f aca="false">AJ44*x_R_FP</f>
        <v>6430289.95774963</v>
      </c>
      <c r="AO44" s="0" t="n">
        <f aca="false">AA44+AB44+AC44+AD44+AF44</f>
        <v>401399617.33517</v>
      </c>
      <c r="AP44" s="0" t="n">
        <f aca="false">AO44+AE44+AG44+AH44+AI44+AK44+AL44+AM44+AN44</f>
        <v>537536786.687446</v>
      </c>
      <c r="AQ44" s="0" t="n">
        <f aca="false">AO44+AE44+AG44+AJ44</f>
        <v>653567850.97241</v>
      </c>
      <c r="AR44" s="0" t="n">
        <f aca="false">AB44+AC44+AD44+AF44</f>
        <v>137833427.610024</v>
      </c>
      <c r="AS44" s="0" t="n">
        <f aca="false">AR44+AE44+AG44</f>
        <v>137833427.610024</v>
      </c>
    </row>
    <row r="45" customFormat="false" ht="15" hidden="false" customHeight="false" outlineLevel="0" collapsed="false">
      <c r="A45" s="0" t="n">
        <v>2068</v>
      </c>
      <c r="B45" s="0" t="n">
        <v>42</v>
      </c>
      <c r="C45" s="0" t="n">
        <v>4832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2288.189</v>
      </c>
      <c r="I45" s="0" t="n">
        <v>178.125</v>
      </c>
      <c r="J45" s="0" t="n">
        <v>858.963</v>
      </c>
      <c r="K45" s="0" t="n">
        <v>1504.226</v>
      </c>
      <c r="L45" s="0" t="n">
        <v>586.756</v>
      </c>
      <c r="M45" s="0" t="n">
        <v>143332.205</v>
      </c>
      <c r="N45" s="0" t="n">
        <v>7230.363</v>
      </c>
      <c r="O45" s="0" t="n">
        <v>48.827</v>
      </c>
      <c r="P45" s="0" t="n">
        <v>48.963</v>
      </c>
      <c r="Q45" s="0" t="n">
        <v>565.458</v>
      </c>
      <c r="R45" s="0" t="n">
        <v>833.996</v>
      </c>
      <c r="S45" s="0" t="n">
        <v>2348.226</v>
      </c>
      <c r="T45" s="0" t="n">
        <v>2466.314</v>
      </c>
      <c r="U45" s="0" t="n">
        <v>1861.877</v>
      </c>
      <c r="V45" s="0" t="n">
        <v>173598.763</v>
      </c>
      <c r="W45" s="0" t="n">
        <v>160.579</v>
      </c>
      <c r="X45" s="0" t="n">
        <v>440.611</v>
      </c>
      <c r="Y45" s="0" t="n">
        <v>48.827</v>
      </c>
      <c r="Z45" s="0" t="n">
        <v>525.584</v>
      </c>
      <c r="AA45" s="0" t="n">
        <f aca="false">H45*x_c_F+I45*x_c_CC+J45*x_c_DC+K45*x_c_HCC+L45*x_c_PLT+M45*x_c_SVRn+N45*x_c_SVRcc+O45*x_c_LT+P45*x_c_LT1</f>
        <v>263160412.559692</v>
      </c>
      <c r="AB45" s="0" t="n">
        <f aca="false">C45*x_c_DAA</f>
        <v>109976320</v>
      </c>
      <c r="AC45" s="0" t="n">
        <f aca="false">C45*x_c_MON</f>
        <v>27857107.6100244</v>
      </c>
      <c r="AD45" s="0" t="n">
        <f aca="false">D45*(1-x_testy)</f>
        <v>0</v>
      </c>
      <c r="AE45" s="0" t="n">
        <f aca="false">E45*(1-x_testy)</f>
        <v>0</v>
      </c>
      <c r="AF45" s="0" t="n">
        <f aca="false">F45*x_NAV</f>
        <v>0</v>
      </c>
      <c r="AG45" s="0" t="n">
        <f aca="false">G45*x_FIX*(1-x_testy)</f>
        <v>0</v>
      </c>
      <c r="AH45" s="0" t="n">
        <f aca="false">x_z_F*U45+(1-x_AGRI)*x_EMP*x_WLOSS*(x_PEN_K74*Q45+x_PEN_C22*R45)</f>
        <v>12930202.3376093</v>
      </c>
      <c r="AI45" s="0" t="n">
        <f aca="false">x_AGRI*x_EMP*x_WLOSS*(x_PEN_K74*Q45+x_PEN_C22*R45)</f>
        <v>601648.337024499</v>
      </c>
      <c r="AJ45" s="0" t="n">
        <f aca="false">x_EMP*x_WAGE*(x_WLOSS*(Q45+R45)+S45)+U45*x_ABS_D*x_WAGE/365</f>
        <v>251486203.431317</v>
      </c>
      <c r="AK45" s="0" t="n">
        <f aca="false">AJ45*x_R_FUS</f>
        <v>79570234.7656687</v>
      </c>
      <c r="AL45" s="0" t="n">
        <f aca="false">AJ45*x_R_NFZ</f>
        <v>19530670.0446795</v>
      </c>
      <c r="AM45" s="0" t="n">
        <f aca="false">AJ45*x_R_PIT</f>
        <v>16719852.468564</v>
      </c>
      <c r="AN45" s="0" t="n">
        <f aca="false">AJ45*x_R_FP</f>
        <v>6412898.18749858</v>
      </c>
      <c r="AO45" s="0" t="n">
        <f aca="false">AA45+AB45+AC45+AD45+AF45</f>
        <v>400993840.169717</v>
      </c>
      <c r="AP45" s="0" t="n">
        <f aca="false">AO45+AE45+AG45+AH45+AI45+AK45+AL45+AM45+AN45</f>
        <v>536759346.310761</v>
      </c>
      <c r="AQ45" s="0" t="n">
        <f aca="false">AO45+AE45+AG45+AJ45</f>
        <v>652480043.601033</v>
      </c>
      <c r="AR45" s="0" t="n">
        <f aca="false">AB45+AC45+AD45+AF45</f>
        <v>137833427.610024</v>
      </c>
      <c r="AS45" s="0" t="n">
        <f aca="false">AR45+AE45+AG45</f>
        <v>137833427.610024</v>
      </c>
    </row>
    <row r="46" customFormat="false" ht="15" hidden="false" customHeight="false" outlineLevel="0" collapsed="false">
      <c r="A46" s="0" t="n">
        <v>2069</v>
      </c>
      <c r="B46" s="0" t="n">
        <v>43</v>
      </c>
      <c r="C46" s="0" t="n">
        <v>4832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2288.036</v>
      </c>
      <c r="I46" s="0" t="n">
        <v>178.178</v>
      </c>
      <c r="J46" s="0" t="n">
        <v>855.06</v>
      </c>
      <c r="K46" s="0" t="n">
        <v>1498.837</v>
      </c>
      <c r="L46" s="0" t="n">
        <v>571.673</v>
      </c>
      <c r="M46" s="0" t="n">
        <v>145103.865</v>
      </c>
      <c r="N46" s="0" t="n">
        <v>7157.088</v>
      </c>
      <c r="O46" s="0" t="n">
        <v>48.641</v>
      </c>
      <c r="P46" s="0" t="n">
        <v>48.734</v>
      </c>
      <c r="Q46" s="0" t="n">
        <v>562.65</v>
      </c>
      <c r="R46" s="0" t="n">
        <v>829.983</v>
      </c>
      <c r="S46" s="0" t="n">
        <v>2337.408</v>
      </c>
      <c r="T46" s="0" t="n">
        <v>2466.214</v>
      </c>
      <c r="U46" s="0" t="n">
        <v>1859.883</v>
      </c>
      <c r="V46" s="0" t="n">
        <v>174861.15</v>
      </c>
      <c r="W46" s="0" t="n">
        <v>160.247</v>
      </c>
      <c r="X46" s="0" t="n">
        <v>439.501</v>
      </c>
      <c r="Y46" s="0" t="n">
        <v>48.641</v>
      </c>
      <c r="Z46" s="0" t="n">
        <v>523.269</v>
      </c>
      <c r="AA46" s="0" t="n">
        <f aca="false">H46*x_c_F+I46*x_c_CC+J46*x_c_DC+K46*x_c_HCC+L46*x_c_PLT+M46*x_c_SVRn+N46*x_c_SVRcc+O46*x_c_LT+P46*x_c_LT1</f>
        <v>263081447.195263</v>
      </c>
      <c r="AB46" s="0" t="n">
        <f aca="false">C46*x_c_DAA</f>
        <v>109976320</v>
      </c>
      <c r="AC46" s="0" t="n">
        <f aca="false">C46*x_c_MON</f>
        <v>27857107.6100244</v>
      </c>
      <c r="AD46" s="0" t="n">
        <f aca="false">D46*(1-x_testy)</f>
        <v>0</v>
      </c>
      <c r="AE46" s="0" t="n">
        <f aca="false">E46*(1-x_testy)</f>
        <v>0</v>
      </c>
      <c r="AF46" s="0" t="n">
        <f aca="false">F46*x_NAV</f>
        <v>0</v>
      </c>
      <c r="AG46" s="0" t="n">
        <f aca="false">G46*x_FIX*(1-x_testy)</f>
        <v>0</v>
      </c>
      <c r="AH46" s="0" t="n">
        <f aca="false">x_z_F*U46+(1-x_AGRI)*x_EMP*x_WLOSS*(x_PEN_K74*Q46+x_PEN_C22*R46)</f>
        <v>12881780.2023909</v>
      </c>
      <c r="AI46" s="0" t="n">
        <f aca="false">x_AGRI*x_EMP*x_WLOSS*(x_PEN_K74*Q46+x_PEN_C22*R46)</f>
        <v>598718.694422514</v>
      </c>
      <c r="AJ46" s="0" t="n">
        <f aca="false">x_EMP*x_WAGE*(x_WLOSS*(Q46+R46)+S46)+U46*x_ABS_D*x_WAGE/365</f>
        <v>250334736.698574</v>
      </c>
      <c r="AK46" s="0" t="n">
        <f aca="false">AJ46*x_R_FUS</f>
        <v>79205910.6914288</v>
      </c>
      <c r="AL46" s="0" t="n">
        <f aca="false">AJ46*x_R_NFZ</f>
        <v>19441245.986748</v>
      </c>
      <c r="AM46" s="0" t="n">
        <f aca="false">AJ46*x_R_PIT</f>
        <v>16643298.1541275</v>
      </c>
      <c r="AN46" s="0" t="n">
        <f aca="false">AJ46*x_R_FP</f>
        <v>6383535.78581364</v>
      </c>
      <c r="AO46" s="0" t="n">
        <f aca="false">AA46+AB46+AC46+AD46+AF46</f>
        <v>400914874.805288</v>
      </c>
      <c r="AP46" s="0" t="n">
        <f aca="false">AO46+AE46+AG46+AH46+AI46+AK46+AL46+AM46+AN46</f>
        <v>536069364.320219</v>
      </c>
      <c r="AQ46" s="0" t="n">
        <f aca="false">AO46+AE46+AG46+AJ46</f>
        <v>651249611.503862</v>
      </c>
      <c r="AR46" s="0" t="n">
        <f aca="false">AB46+AC46+AD46+AF46</f>
        <v>137833427.610024</v>
      </c>
      <c r="AS46" s="0" t="n">
        <f aca="false">AR46+AE46+AG46</f>
        <v>137833427.610024</v>
      </c>
    </row>
    <row r="47" customFormat="false" ht="15" hidden="false" customHeight="false" outlineLevel="0" collapsed="false">
      <c r="A47" s="0" t="n">
        <v>2070</v>
      </c>
      <c r="B47" s="0" t="n">
        <v>44</v>
      </c>
      <c r="C47" s="0" t="n">
        <v>4832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2287.856</v>
      </c>
      <c r="I47" s="0" t="n">
        <v>178.261</v>
      </c>
      <c r="J47" s="0" t="n">
        <v>852.502</v>
      </c>
      <c r="K47" s="0" t="n">
        <v>1495.178</v>
      </c>
      <c r="L47" s="0" t="n">
        <v>559.052</v>
      </c>
      <c r="M47" s="0" t="n">
        <v>146897.554</v>
      </c>
      <c r="N47" s="0" t="n">
        <v>7100.55</v>
      </c>
      <c r="O47" s="0" t="n">
        <v>48.527</v>
      </c>
      <c r="P47" s="0" t="n">
        <v>48.584</v>
      </c>
      <c r="Q47" s="0" t="n">
        <v>559.555</v>
      </c>
      <c r="R47" s="0" t="n">
        <v>825.726</v>
      </c>
      <c r="S47" s="0" t="n">
        <v>2324.488</v>
      </c>
      <c r="T47" s="0" t="n">
        <v>2466.118</v>
      </c>
      <c r="U47" s="0" t="n">
        <v>1857.946</v>
      </c>
      <c r="V47" s="0" t="n">
        <v>176155.086</v>
      </c>
      <c r="W47" s="0" t="n">
        <v>160.018</v>
      </c>
      <c r="X47" s="0" t="n">
        <v>438.702</v>
      </c>
      <c r="Y47" s="0" t="n">
        <v>48.527</v>
      </c>
      <c r="Z47" s="0" t="n">
        <v>521.694</v>
      </c>
      <c r="AA47" s="0" t="n">
        <f aca="false">H47*x_c_F+I47*x_c_CC+J47*x_c_DC+K47*x_c_HCC+L47*x_c_PLT+M47*x_c_SVRn+N47*x_c_SVRcc+O47*x_c_LT+P47*x_c_LT1</f>
        <v>263301665.725277</v>
      </c>
      <c r="AB47" s="0" t="n">
        <f aca="false">C47*x_c_DAA</f>
        <v>109976320</v>
      </c>
      <c r="AC47" s="0" t="n">
        <f aca="false">C47*x_c_MON</f>
        <v>27857107.6100244</v>
      </c>
      <c r="AD47" s="0" t="n">
        <f aca="false">D47*(1-x_testy)</f>
        <v>0</v>
      </c>
      <c r="AE47" s="0" t="n">
        <f aca="false">E47*(1-x_testy)</f>
        <v>0</v>
      </c>
      <c r="AF47" s="0" t="n">
        <f aca="false">F47*x_NAV</f>
        <v>0</v>
      </c>
      <c r="AG47" s="0" t="n">
        <f aca="false">G47*x_FIX*(1-x_testy)</f>
        <v>0</v>
      </c>
      <c r="AH47" s="0" t="n">
        <f aca="false">x_z_F*U47+(1-x_AGRI)*x_EMP*x_WLOSS*(x_PEN_K74*Q47+x_PEN_C22*R47)</f>
        <v>12830080.9802824</v>
      </c>
      <c r="AI47" s="0" t="n">
        <f aca="false">x_AGRI*x_EMP*x_WLOSS*(x_PEN_K74*Q47+x_PEN_C22*R47)</f>
        <v>595564.69685127</v>
      </c>
      <c r="AJ47" s="0" t="n">
        <f aca="false">x_EMP*x_WAGE*(x_WLOSS*(Q47+R47)+S47)+U47*x_ABS_D*x_WAGE/365</f>
        <v>248986839.418536</v>
      </c>
      <c r="AK47" s="0" t="n">
        <f aca="false">AJ47*x_R_FUS</f>
        <v>78779435.9920248</v>
      </c>
      <c r="AL47" s="0" t="n">
        <f aca="false">AJ47*x_R_NFZ</f>
        <v>19336566.9360829</v>
      </c>
      <c r="AM47" s="0" t="n">
        <f aca="false">AJ47*x_R_PIT</f>
        <v>16553684.3170362</v>
      </c>
      <c r="AN47" s="0" t="n">
        <f aca="false">AJ47*x_R_FP</f>
        <v>6349164.40517267</v>
      </c>
      <c r="AO47" s="0" t="n">
        <f aca="false">AA47+AB47+AC47+AD47+AF47</f>
        <v>401135093.335301</v>
      </c>
      <c r="AP47" s="0" t="n">
        <f aca="false">AO47+AE47+AG47+AH47+AI47+AK47+AL47+AM47+AN47</f>
        <v>535579590.662752</v>
      </c>
      <c r="AQ47" s="0" t="n">
        <f aca="false">AO47+AE47+AG47+AJ47</f>
        <v>650121932.753838</v>
      </c>
      <c r="AR47" s="0" t="n">
        <f aca="false">AB47+AC47+AD47+AF47</f>
        <v>137833427.610024</v>
      </c>
      <c r="AS47" s="0" t="n">
        <f aca="false">AR47+AE47+AG47</f>
        <v>137833427.610024</v>
      </c>
    </row>
    <row r="48" customFormat="false" ht="15" hidden="false" customHeight="false" outlineLevel="0" collapsed="false">
      <c r="A48" s="0" t="n">
        <v>2071</v>
      </c>
      <c r="B48" s="0" t="n">
        <v>45</v>
      </c>
      <c r="C48" s="0" t="n">
        <v>4832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2287.688</v>
      </c>
      <c r="I48" s="0" t="n">
        <v>178.333</v>
      </c>
      <c r="J48" s="0" t="n">
        <v>851.014</v>
      </c>
      <c r="K48" s="0" t="n">
        <v>1492.868</v>
      </c>
      <c r="L48" s="0" t="n">
        <v>548.787</v>
      </c>
      <c r="M48" s="0" t="n">
        <v>148711.256</v>
      </c>
      <c r="N48" s="0" t="n">
        <v>7060.028</v>
      </c>
      <c r="O48" s="0" t="n">
        <v>48.469</v>
      </c>
      <c r="P48" s="0" t="n">
        <v>48.498</v>
      </c>
      <c r="Q48" s="0" t="n">
        <v>556.696</v>
      </c>
      <c r="R48" s="0" t="n">
        <v>821.793</v>
      </c>
      <c r="S48" s="0" t="n">
        <v>2312.556</v>
      </c>
      <c r="T48" s="0" t="n">
        <v>2466.021</v>
      </c>
      <c r="U48" s="0" t="n">
        <v>1856.246</v>
      </c>
      <c r="V48" s="0" t="n">
        <v>177476.717</v>
      </c>
      <c r="W48" s="0" t="n">
        <v>159.851</v>
      </c>
      <c r="X48" s="0" t="n">
        <v>438.117</v>
      </c>
      <c r="Y48" s="0" t="n">
        <v>48.469</v>
      </c>
      <c r="Z48" s="0" t="n">
        <v>520.701</v>
      </c>
      <c r="AA48" s="0" t="n">
        <f aca="false">H48*x_c_F+I48*x_c_CC+J48*x_c_DC+K48*x_c_HCC+L48*x_c_PLT+M48*x_c_SVRn+N48*x_c_SVRcc+O48*x_c_LT+P48*x_c_LT1</f>
        <v>263779259.661423</v>
      </c>
      <c r="AB48" s="0" t="n">
        <f aca="false">C48*x_c_DAA</f>
        <v>109976320</v>
      </c>
      <c r="AC48" s="0" t="n">
        <f aca="false">C48*x_c_MON</f>
        <v>27857107.6100244</v>
      </c>
      <c r="AD48" s="0" t="n">
        <f aca="false">D48*(1-x_testy)</f>
        <v>0</v>
      </c>
      <c r="AE48" s="0" t="n">
        <f aca="false">E48*(1-x_testy)</f>
        <v>0</v>
      </c>
      <c r="AF48" s="0" t="n">
        <f aca="false">F48*x_NAV</f>
        <v>0</v>
      </c>
      <c r="AG48" s="0" t="n">
        <f aca="false">G48*x_FIX*(1-x_testy)</f>
        <v>0</v>
      </c>
      <c r="AH48" s="0" t="n">
        <f aca="false">x_z_F*U48+(1-x_AGRI)*x_EMP*x_WLOSS*(x_PEN_K74*Q48+x_PEN_C22*R48)</f>
        <v>12782503.3857248</v>
      </c>
      <c r="AI48" s="0" t="n">
        <f aca="false">x_AGRI*x_EMP*x_WLOSS*(x_PEN_K74*Q48+x_PEN_C22*R48)</f>
        <v>592650.924670612</v>
      </c>
      <c r="AJ48" s="0" t="n">
        <f aca="false">x_EMP*x_WAGE*(x_WLOSS*(Q48+R48)+S48)+U48*x_ABS_D*x_WAGE/365</f>
        <v>247742205.30743</v>
      </c>
      <c r="AK48" s="0" t="n">
        <f aca="false">AJ48*x_R_FUS</f>
        <v>78385633.7592708</v>
      </c>
      <c r="AL48" s="0" t="n">
        <f aca="false">AJ48*x_R_NFZ</f>
        <v>19239907.4063803</v>
      </c>
      <c r="AM48" s="0" t="n">
        <f aca="false">AJ48*x_R_PIT</f>
        <v>16470935.8464199</v>
      </c>
      <c r="AN48" s="0" t="n">
        <f aca="false">AJ48*x_R_FP</f>
        <v>6317426.23533946</v>
      </c>
      <c r="AO48" s="0" t="n">
        <f aca="false">AA48+AB48+AC48+AD48+AF48</f>
        <v>401612687.271447</v>
      </c>
      <c r="AP48" s="0" t="n">
        <f aca="false">AO48+AE48+AG48+AH48+AI48+AK48+AL48+AM48+AN48</f>
        <v>535401744.829253</v>
      </c>
      <c r="AQ48" s="0" t="n">
        <f aca="false">AO48+AE48+AG48+AJ48</f>
        <v>649354892.578877</v>
      </c>
      <c r="AR48" s="0" t="n">
        <f aca="false">AB48+AC48+AD48+AF48</f>
        <v>137833427.610024</v>
      </c>
      <c r="AS48" s="0" t="n">
        <f aca="false">AR48+AE48+AG48</f>
        <v>137833427.610024</v>
      </c>
    </row>
    <row r="49" customFormat="false" ht="15" hidden="false" customHeight="false" outlineLevel="0" collapsed="false">
      <c r="A49" s="0" t="n">
        <v>2072</v>
      </c>
      <c r="B49" s="0" t="n">
        <v>46</v>
      </c>
      <c r="C49" s="0" t="n">
        <v>4832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2287.559</v>
      </c>
      <c r="I49" s="0" t="n">
        <v>178.362</v>
      </c>
      <c r="J49" s="0" t="n">
        <v>850.31</v>
      </c>
      <c r="K49" s="0" t="n">
        <v>1491.52</v>
      </c>
      <c r="L49" s="0" t="n">
        <v>540.685</v>
      </c>
      <c r="M49" s="0" t="n">
        <v>150538.764</v>
      </c>
      <c r="N49" s="0" t="n">
        <v>7034.071</v>
      </c>
      <c r="O49" s="0" t="n">
        <v>48.45</v>
      </c>
      <c r="P49" s="0" t="n">
        <v>48.459</v>
      </c>
      <c r="Q49" s="0" t="n">
        <v>554.062</v>
      </c>
      <c r="R49" s="0" t="n">
        <v>818.166</v>
      </c>
      <c r="S49" s="0" t="n">
        <v>2301.574</v>
      </c>
      <c r="T49" s="0" t="n">
        <v>2465.92</v>
      </c>
      <c r="U49" s="0" t="n">
        <v>1854.8</v>
      </c>
      <c r="V49" s="0" t="n">
        <v>178818.754</v>
      </c>
      <c r="W49" s="0" t="n">
        <v>159.713</v>
      </c>
      <c r="X49" s="0" t="n">
        <v>437.662</v>
      </c>
      <c r="Y49" s="0" t="n">
        <v>48.45</v>
      </c>
      <c r="Z49" s="0" t="n">
        <v>520.138</v>
      </c>
      <c r="AA49" s="0" t="n">
        <f aca="false">H49*x_c_F+I49*x_c_CC+J49*x_c_DC+K49*x_c_HCC+L49*x_c_PLT+M49*x_c_SVRn+N49*x_c_SVRcc+O49*x_c_LT+P49*x_c_LT1</f>
        <v>264464088.140379</v>
      </c>
      <c r="AB49" s="0" t="n">
        <f aca="false">C49*x_c_DAA</f>
        <v>109976320</v>
      </c>
      <c r="AC49" s="0" t="n">
        <f aca="false">C49*x_c_MON</f>
        <v>27857107.6100244</v>
      </c>
      <c r="AD49" s="0" t="n">
        <f aca="false">D49*(1-x_testy)</f>
        <v>0</v>
      </c>
      <c r="AE49" s="0" t="n">
        <f aca="false">E49*(1-x_testy)</f>
        <v>0</v>
      </c>
      <c r="AF49" s="0" t="n">
        <f aca="false">F49*x_NAV</f>
        <v>0</v>
      </c>
      <c r="AG49" s="0" t="n">
        <f aca="false">G49*x_FIX*(1-x_testy)</f>
        <v>0</v>
      </c>
      <c r="AH49" s="0" t="n">
        <f aca="false">x_z_F*U49+(1-x_AGRI)*x_EMP*x_WLOSS*(x_PEN_K74*Q49+x_PEN_C22*R49)</f>
        <v>12738893.1576773</v>
      </c>
      <c r="AI49" s="0" t="n">
        <f aca="false">x_AGRI*x_EMP*x_WLOSS*(x_PEN_K74*Q49+x_PEN_C22*R49)</f>
        <v>589964.871366576</v>
      </c>
      <c r="AJ49" s="0" t="n">
        <f aca="false">x_EMP*x_WAGE*(x_WLOSS*(Q49+R49)+S49)+U49*x_ABS_D*x_WAGE/365</f>
        <v>246596695.188786</v>
      </c>
      <c r="AK49" s="0" t="n">
        <f aca="false">AJ49*x_R_FUS</f>
        <v>78023194.357732</v>
      </c>
      <c r="AL49" s="0" t="n">
        <f aca="false">AJ49*x_R_NFZ</f>
        <v>19150945.9450563</v>
      </c>
      <c r="AM49" s="0" t="n">
        <f aca="false">AJ49*x_R_PIT</f>
        <v>16394777.5525507</v>
      </c>
      <c r="AN49" s="0" t="n">
        <f aca="false">AJ49*x_R_FP</f>
        <v>6288215.72731405</v>
      </c>
      <c r="AO49" s="0" t="n">
        <f aca="false">AA49+AB49+AC49+AD49+AF49</f>
        <v>402297515.750403</v>
      </c>
      <c r="AP49" s="0" t="n">
        <f aca="false">AO49+AE49+AG49+AH49+AI49+AK49+AL49+AM49+AN49</f>
        <v>535483507.3621</v>
      </c>
      <c r="AQ49" s="0" t="n">
        <f aca="false">AO49+AE49+AG49+AJ49</f>
        <v>648894210.93919</v>
      </c>
      <c r="AR49" s="0" t="n">
        <f aca="false">AB49+AC49+AD49+AF49</f>
        <v>137833427.610024</v>
      </c>
      <c r="AS49" s="0" t="n">
        <f aca="false">AR49+AE49+AG49</f>
        <v>137833427.610024</v>
      </c>
    </row>
    <row r="50" customFormat="false" ht="15" hidden="false" customHeight="false" outlineLevel="0" collapsed="false">
      <c r="A50" s="0" t="n">
        <v>2073</v>
      </c>
      <c r="B50" s="0" t="n">
        <v>47</v>
      </c>
      <c r="C50" s="0" t="n">
        <v>4832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2287.487</v>
      </c>
      <c r="I50" s="0" t="n">
        <v>178.326</v>
      </c>
      <c r="J50" s="0" t="n">
        <v>850.11</v>
      </c>
      <c r="K50" s="0" t="n">
        <v>1490.758</v>
      </c>
      <c r="L50" s="0" t="n">
        <v>534.472</v>
      </c>
      <c r="M50" s="0" t="n">
        <v>152369.011</v>
      </c>
      <c r="N50" s="0" t="n">
        <v>7020.49</v>
      </c>
      <c r="O50" s="0" t="n">
        <v>48.454</v>
      </c>
      <c r="P50" s="0" t="n">
        <v>48.452</v>
      </c>
      <c r="Q50" s="0" t="n">
        <v>551.639</v>
      </c>
      <c r="R50" s="0" t="n">
        <v>814.825</v>
      </c>
      <c r="S50" s="0" t="n">
        <v>2291.498</v>
      </c>
      <c r="T50" s="0" t="n">
        <v>2465.813</v>
      </c>
      <c r="U50" s="0" t="n">
        <v>1853.615</v>
      </c>
      <c r="V50" s="0" t="n">
        <v>180169.971</v>
      </c>
      <c r="W50" s="0" t="n">
        <v>159.573</v>
      </c>
      <c r="X50" s="0" t="n">
        <v>437.252</v>
      </c>
      <c r="Y50" s="0" t="n">
        <v>48.454</v>
      </c>
      <c r="Z50" s="0" t="n">
        <v>519.841</v>
      </c>
      <c r="AA50" s="0" t="n">
        <f aca="false">H50*x_c_F+I50*x_c_CC+J50*x_c_DC+K50*x_c_HCC+L50*x_c_PLT+M50*x_c_SVRn+N50*x_c_SVRcc+O50*x_c_LT+P50*x_c_LT1</f>
        <v>265299703.077273</v>
      </c>
      <c r="AB50" s="0" t="n">
        <f aca="false">C50*x_c_DAA</f>
        <v>109976320</v>
      </c>
      <c r="AC50" s="0" t="n">
        <f aca="false">C50*x_c_MON</f>
        <v>27857107.6100244</v>
      </c>
      <c r="AD50" s="0" t="n">
        <f aca="false">D50*(1-x_testy)</f>
        <v>0</v>
      </c>
      <c r="AE50" s="0" t="n">
        <f aca="false">E50*(1-x_testy)</f>
        <v>0</v>
      </c>
      <c r="AF50" s="0" t="n">
        <f aca="false">F50*x_NAV</f>
        <v>0</v>
      </c>
      <c r="AG50" s="0" t="n">
        <f aca="false">G50*x_FIX*(1-x_testy)</f>
        <v>0</v>
      </c>
      <c r="AH50" s="0" t="n">
        <f aca="false">x_z_F*U50+(1-x_AGRI)*x_EMP*x_WLOSS*(x_PEN_K74*Q50+x_PEN_C22*R50)</f>
        <v>12699043.7591335</v>
      </c>
      <c r="AI50" s="0" t="n">
        <f aca="false">x_AGRI*x_EMP*x_WLOSS*(x_PEN_K74*Q50+x_PEN_C22*R50)</f>
        <v>587491.933999002</v>
      </c>
      <c r="AJ50" s="0" t="n">
        <f aca="false">x_EMP*x_WAGE*(x_WLOSS*(Q50+R50)+S50)+U50*x_ABS_D*x_WAGE/365</f>
        <v>245545465.291717</v>
      </c>
      <c r="AK50" s="0" t="n">
        <f aca="false">AJ50*x_R_FUS</f>
        <v>77690585.2182992</v>
      </c>
      <c r="AL50" s="0" t="n">
        <f aca="false">AJ50*x_R_NFZ</f>
        <v>19069306.38002</v>
      </c>
      <c r="AM50" s="0" t="n">
        <f aca="false">AJ50*x_R_PIT</f>
        <v>16324887.4013228</v>
      </c>
      <c r="AN50" s="0" t="n">
        <f aca="false">AJ50*x_R_FP</f>
        <v>6261409.36493878</v>
      </c>
      <c r="AO50" s="0" t="n">
        <f aca="false">AA50+AB50+AC50+AD50+AF50</f>
        <v>403133130.687297</v>
      </c>
      <c r="AP50" s="0" t="n">
        <f aca="false">AO50+AE50+AG50+AH50+AI50+AK50+AL50+AM50+AN50</f>
        <v>535765854.74501</v>
      </c>
      <c r="AQ50" s="0" t="n">
        <f aca="false">AO50+AE50+AG50+AJ50</f>
        <v>648678595.979014</v>
      </c>
      <c r="AR50" s="0" t="n">
        <f aca="false">AB50+AC50+AD50+AF50</f>
        <v>137833427.610024</v>
      </c>
      <c r="AS50" s="0" t="n">
        <f aca="false">AR50+AE50+AG50</f>
        <v>137833427.610024</v>
      </c>
    </row>
    <row r="51" customFormat="false" ht="15" hidden="false" customHeight="false" outlineLevel="0" collapsed="false">
      <c r="A51" s="0" t="n">
        <v>2074</v>
      </c>
      <c r="B51" s="0" t="n">
        <v>48</v>
      </c>
      <c r="C51" s="0" t="n">
        <v>4832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2287.484</v>
      </c>
      <c r="I51" s="0" t="n">
        <v>178.216</v>
      </c>
      <c r="J51" s="0" t="n">
        <v>850.152</v>
      </c>
      <c r="K51" s="0" t="n">
        <v>1490.231</v>
      </c>
      <c r="L51" s="0" t="n">
        <v>529.811</v>
      </c>
      <c r="M51" s="0" t="n">
        <v>154186.654</v>
      </c>
      <c r="N51" s="0" t="n">
        <v>7016.53</v>
      </c>
      <c r="O51" s="0" t="n">
        <v>48.467</v>
      </c>
      <c r="P51" s="0" t="n">
        <v>48.46</v>
      </c>
      <c r="Q51" s="0" t="n">
        <v>549.413</v>
      </c>
      <c r="R51" s="0" t="n">
        <v>811.749</v>
      </c>
      <c r="S51" s="0" t="n">
        <v>2282.278</v>
      </c>
      <c r="T51" s="0" t="n">
        <v>2465.699</v>
      </c>
      <c r="U51" s="0" t="n">
        <v>1852.686</v>
      </c>
      <c r="V51" s="0" t="n">
        <v>181515.797</v>
      </c>
      <c r="W51" s="0" t="n">
        <v>159.409</v>
      </c>
      <c r="X51" s="0" t="n">
        <v>436.822</v>
      </c>
      <c r="Y51" s="0" t="n">
        <v>48.467</v>
      </c>
      <c r="Z51" s="0" t="n">
        <v>519.667</v>
      </c>
      <c r="AA51" s="0" t="n">
        <f aca="false">H51*x_c_F+I51*x_c_CC+J51*x_c_DC+K51*x_c_HCC+L51*x_c_PLT+M51*x_c_SVRn+N51*x_c_SVRcc+O51*x_c_LT+P51*x_c_LT1</f>
        <v>266226024.926442</v>
      </c>
      <c r="AB51" s="0" t="n">
        <f aca="false">C51*x_c_DAA</f>
        <v>109976320</v>
      </c>
      <c r="AC51" s="0" t="n">
        <f aca="false">C51*x_c_MON</f>
        <v>27857107.6100244</v>
      </c>
      <c r="AD51" s="0" t="n">
        <f aca="false">D51*(1-x_testy)</f>
        <v>0</v>
      </c>
      <c r="AE51" s="0" t="n">
        <f aca="false">E51*(1-x_testy)</f>
        <v>0</v>
      </c>
      <c r="AF51" s="0" t="n">
        <f aca="false">F51*x_NAV</f>
        <v>0</v>
      </c>
      <c r="AG51" s="0" t="n">
        <f aca="false">G51*x_FIX*(1-x_testy)</f>
        <v>0</v>
      </c>
      <c r="AH51" s="0" t="n">
        <f aca="false">x_z_F*U51+(1-x_AGRI)*x_EMP*x_WLOSS*(x_PEN_K74*Q51+x_PEN_C22*R51)</f>
        <v>12662717.1463181</v>
      </c>
      <c r="AI51" s="0" t="n">
        <f aca="false">x_AGRI*x_EMP*x_WLOSS*(x_PEN_K74*Q51+x_PEN_C22*R51)</f>
        <v>585217.05778855</v>
      </c>
      <c r="AJ51" s="0" t="n">
        <f aca="false">x_EMP*x_WAGE*(x_WLOSS*(Q51+R51)+S51)+U51*x_ABS_D*x_WAGE/365</f>
        <v>244583092.302129</v>
      </c>
      <c r="AK51" s="0" t="n">
        <f aca="false">AJ51*x_R_FUS</f>
        <v>77386090.4043938</v>
      </c>
      <c r="AL51" s="0" t="n">
        <f aca="false">AJ51*x_R_NFZ</f>
        <v>18994567.5312757</v>
      </c>
      <c r="AM51" s="0" t="n">
        <f aca="false">AJ51*x_R_PIT</f>
        <v>16260904.8281793</v>
      </c>
      <c r="AN51" s="0" t="n">
        <f aca="false">AJ51*x_R_FP</f>
        <v>6236868.8537043</v>
      </c>
      <c r="AO51" s="0" t="n">
        <f aca="false">AA51+AB51+AC51+AD51+AF51</f>
        <v>404059452.536466</v>
      </c>
      <c r="AP51" s="0" t="n">
        <f aca="false">AO51+AE51+AG51+AH51+AI51+AK51+AL51+AM51+AN51</f>
        <v>536185818.358126</v>
      </c>
      <c r="AQ51" s="0" t="n">
        <f aca="false">AO51+AE51+AG51+AJ51</f>
        <v>648642544.838596</v>
      </c>
      <c r="AR51" s="0" t="n">
        <f aca="false">AB51+AC51+AD51+AF51</f>
        <v>137833427.610024</v>
      </c>
      <c r="AS51" s="0" t="n">
        <f aca="false">AR51+AE51+AG51</f>
        <v>137833427.610024</v>
      </c>
    </row>
    <row r="52" customFormat="false" ht="15" hidden="false" customHeight="false" outlineLevel="0" collapsed="false">
      <c r="A52" s="0" t="n">
        <v>2075</v>
      </c>
      <c r="B52" s="0" t="n">
        <v>49</v>
      </c>
      <c r="C52" s="0" t="n">
        <v>4832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2287.551</v>
      </c>
      <c r="I52" s="0" t="n">
        <v>178.026</v>
      </c>
      <c r="J52" s="0" t="n">
        <v>850.206</v>
      </c>
      <c r="K52" s="0" t="n">
        <v>1489.635</v>
      </c>
      <c r="L52" s="0" t="n">
        <v>526.333</v>
      </c>
      <c r="M52" s="0" t="n">
        <v>155973.268</v>
      </c>
      <c r="N52" s="0" t="n">
        <v>7019.134</v>
      </c>
      <c r="O52" s="0" t="n">
        <v>48.475</v>
      </c>
      <c r="P52" s="0" t="n">
        <v>48.471</v>
      </c>
      <c r="Q52" s="0" t="n">
        <v>547.369</v>
      </c>
      <c r="R52" s="0" t="n">
        <v>808.915</v>
      </c>
      <c r="S52" s="0" t="n">
        <v>2273.855</v>
      </c>
      <c r="T52" s="0" t="n">
        <v>2465.576</v>
      </c>
      <c r="U52" s="0" t="n">
        <v>1852</v>
      </c>
      <c r="V52" s="0" t="n">
        <v>182839.404</v>
      </c>
      <c r="W52" s="0" t="n">
        <v>159.202</v>
      </c>
      <c r="X52" s="0" t="n">
        <v>436.314</v>
      </c>
      <c r="Y52" s="0" t="n">
        <v>48.475</v>
      </c>
      <c r="Z52" s="0" t="n">
        <v>519.481</v>
      </c>
      <c r="AA52" s="0" t="n">
        <f aca="false">H52*x_c_F+I52*x_c_CC+J52*x_c_DC+K52*x_c_HCC+L52*x_c_PLT+M52*x_c_SVRn+N52*x_c_SVRcc+O52*x_c_LT+P52*x_c_LT1</f>
        <v>267182996.843709</v>
      </c>
      <c r="AB52" s="0" t="n">
        <f aca="false">C52*x_c_DAA</f>
        <v>109976320</v>
      </c>
      <c r="AC52" s="0" t="n">
        <f aca="false">C52*x_c_MON</f>
        <v>27857107.6100244</v>
      </c>
      <c r="AD52" s="0" t="n">
        <f aca="false">D52*(1-x_testy)</f>
        <v>0</v>
      </c>
      <c r="AE52" s="0" t="n">
        <f aca="false">E52*(1-x_testy)</f>
        <v>0</v>
      </c>
      <c r="AF52" s="0" t="n">
        <f aca="false">F52*x_NAV</f>
        <v>0</v>
      </c>
      <c r="AG52" s="0" t="n">
        <f aca="false">G52*x_FIX*(1-x_testy)</f>
        <v>0</v>
      </c>
      <c r="AH52" s="0" t="n">
        <f aca="false">x_z_F*U52+(1-x_AGRI)*x_EMP*x_WLOSS*(x_PEN_K74*Q52+x_PEN_C22*R52)</f>
        <v>12629639.1413835</v>
      </c>
      <c r="AI52" s="0" t="n">
        <f aca="false">x_AGRI*x_EMP*x_WLOSS*(x_PEN_K74*Q52+x_PEN_C22*R52)</f>
        <v>583123.88669491</v>
      </c>
      <c r="AJ52" s="0" t="n">
        <f aca="false">x_EMP*x_WAGE*(x_WLOSS*(Q52+R52)+S52)+U52*x_ABS_D*x_WAGE/365</f>
        <v>243703263.867839</v>
      </c>
      <c r="AK52" s="0" t="n">
        <f aca="false">AJ52*x_R_FUS</f>
        <v>77107712.6877844</v>
      </c>
      <c r="AL52" s="0" t="n">
        <f aca="false">AJ52*x_R_NFZ</f>
        <v>18926239.1752403</v>
      </c>
      <c r="AM52" s="0" t="n">
        <f aca="false">AJ52*x_R_PIT</f>
        <v>16202410.1616001</v>
      </c>
      <c r="AN52" s="0" t="n">
        <f aca="false">AJ52*x_R_FP</f>
        <v>6214433.2286299</v>
      </c>
      <c r="AO52" s="0" t="n">
        <f aca="false">AA52+AB52+AC52+AD52+AF52</f>
        <v>405016424.453733</v>
      </c>
      <c r="AP52" s="0" t="n">
        <f aca="false">AO52+AE52+AG52+AH52+AI52+AK52+AL52+AM52+AN52</f>
        <v>536679982.735066</v>
      </c>
      <c r="AQ52" s="0" t="n">
        <f aca="false">AO52+AE52+AG52+AJ52</f>
        <v>648719688.321573</v>
      </c>
      <c r="AR52" s="0" t="n">
        <f aca="false">AB52+AC52+AD52+AF52</f>
        <v>137833427.610024</v>
      </c>
      <c r="AS52" s="0" t="n">
        <f aca="false">AR52+AE52+AG52</f>
        <v>137833427.610024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594</v>
      </c>
    </row>
    <row r="2" customFormat="false" ht="28.35" hidden="false" customHeight="false" outlineLevel="0" collapsed="false">
      <c r="A2" s="3" t="s">
        <v>318</v>
      </c>
      <c r="B2" s="3" t="s">
        <v>548</v>
      </c>
      <c r="C2" s="3" t="s">
        <v>549</v>
      </c>
      <c r="D2" s="3" t="s">
        <v>550</v>
      </c>
      <c r="E2" s="3" t="s">
        <v>551</v>
      </c>
      <c r="F2" s="3" t="s">
        <v>552</v>
      </c>
      <c r="G2" s="3" t="s">
        <v>553</v>
      </c>
      <c r="H2" s="3" t="s">
        <v>554</v>
      </c>
      <c r="I2" s="3" t="s">
        <v>555</v>
      </c>
      <c r="J2" s="3" t="s">
        <v>556</v>
      </c>
      <c r="K2" s="3" t="s">
        <v>557</v>
      </c>
      <c r="L2" s="3" t="s">
        <v>558</v>
      </c>
      <c r="M2" s="3" t="s">
        <v>559</v>
      </c>
      <c r="N2" s="3" t="s">
        <v>560</v>
      </c>
      <c r="O2" s="3" t="s">
        <v>561</v>
      </c>
      <c r="P2" s="3" t="s">
        <v>562</v>
      </c>
      <c r="Q2" s="3" t="s">
        <v>563</v>
      </c>
      <c r="R2" s="3" t="s">
        <v>564</v>
      </c>
      <c r="S2" s="3" t="s">
        <v>565</v>
      </c>
      <c r="T2" s="3" t="s">
        <v>566</v>
      </c>
      <c r="U2" s="3" t="s">
        <v>567</v>
      </c>
      <c r="V2" s="3" t="s">
        <v>568</v>
      </c>
      <c r="W2" s="3" t="s">
        <v>569</v>
      </c>
      <c r="X2" s="3" t="s">
        <v>570</v>
      </c>
      <c r="Y2" s="3" t="s">
        <v>571</v>
      </c>
      <c r="Z2" s="3" t="s">
        <v>572</v>
      </c>
      <c r="AA2" s="3" t="s">
        <v>573</v>
      </c>
      <c r="AB2" s="3" t="s">
        <v>574</v>
      </c>
      <c r="AC2" s="3" t="s">
        <v>575</v>
      </c>
      <c r="AD2" s="3" t="s">
        <v>576</v>
      </c>
      <c r="AE2" s="3" t="s">
        <v>577</v>
      </c>
      <c r="AF2" s="3" t="s">
        <v>578</v>
      </c>
      <c r="AG2" s="3" t="s">
        <v>579</v>
      </c>
      <c r="AH2" s="3" t="s">
        <v>252</v>
      </c>
      <c r="AI2" s="3" t="s">
        <v>303</v>
      </c>
      <c r="AJ2" s="3" t="s">
        <v>580</v>
      </c>
      <c r="AK2" s="3" t="s">
        <v>581</v>
      </c>
      <c r="AL2" s="3" t="s">
        <v>582</v>
      </c>
      <c r="AM2" s="3" t="s">
        <v>583</v>
      </c>
      <c r="AN2" s="3" t="s">
        <v>584</v>
      </c>
      <c r="AO2" s="3" t="s">
        <v>129</v>
      </c>
      <c r="AP2" s="3" t="s">
        <v>585</v>
      </c>
      <c r="AQ2" s="3" t="s">
        <v>586</v>
      </c>
      <c r="AR2" s="3" t="s">
        <v>587</v>
      </c>
      <c r="AS2" s="3" t="s">
        <v>588</v>
      </c>
    </row>
    <row r="3" customFormat="false" ht="15" hidden="false" customHeight="false" outlineLevel="0" collapsed="false">
      <c r="A3" s="0" t="n">
        <v>2026</v>
      </c>
      <c r="B3" s="0" t="n">
        <v>0</v>
      </c>
      <c r="C3" s="0" t="n">
        <v>3382.4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2481.186</v>
      </c>
      <c r="I3" s="0" t="n">
        <v>223.146</v>
      </c>
      <c r="J3" s="0" t="n">
        <v>1580.379</v>
      </c>
      <c r="K3" s="0" t="n">
        <v>2527.318</v>
      </c>
      <c r="L3" s="0" t="n">
        <v>1540.438</v>
      </c>
      <c r="M3" s="0" t="n">
        <v>4502.128</v>
      </c>
      <c r="N3" s="0" t="n">
        <v>397.514</v>
      </c>
      <c r="O3" s="0" t="n">
        <v>89.046</v>
      </c>
      <c r="P3" s="0" t="n">
        <v>44.523</v>
      </c>
      <c r="Q3" s="0" t="n">
        <v>2135.415</v>
      </c>
      <c r="R3" s="0" t="n">
        <v>1704.99</v>
      </c>
      <c r="S3" s="0" t="n">
        <v>312.377</v>
      </c>
      <c r="T3" s="0" t="n">
        <v>2704.332</v>
      </c>
      <c r="U3" s="0" t="n">
        <v>1499.75</v>
      </c>
      <c r="V3" s="0" t="n">
        <v>113275.597</v>
      </c>
      <c r="W3" s="0" t="n">
        <v>267.792</v>
      </c>
      <c r="X3" s="0" t="n">
        <v>716.541</v>
      </c>
      <c r="Y3" s="0" t="n">
        <v>89.046</v>
      </c>
      <c r="Z3" s="0" t="n">
        <v>922.327</v>
      </c>
      <c r="AA3" s="0" t="n">
        <f aca="false">H3*x_c_F+I3*x_c_CC+J3*x_c_DC+K3*x_c_HCC+L3*x_c_PLT+M3*x_c_SVRn+N3*x_c_SVRcc+O3*x_c_LT+P3*x_c_LT1</f>
        <v>281476894.304363</v>
      </c>
      <c r="AB3" s="0" t="n">
        <f aca="false">C3*x_c_DAA</f>
        <v>76983424</v>
      </c>
      <c r="AC3" s="0" t="n">
        <f aca="false">C3*x_c_MON</f>
        <v>19499975.3270171</v>
      </c>
      <c r="AD3" s="0" t="n">
        <f aca="false">D3*(1-x_testy)</f>
        <v>0</v>
      </c>
      <c r="AE3" s="0" t="n">
        <f aca="false">E3*(1-x_testy)</f>
        <v>0</v>
      </c>
      <c r="AF3" s="0" t="n">
        <f aca="false">F3*x_NAV</f>
        <v>0</v>
      </c>
      <c r="AG3" s="0" t="n">
        <f aca="false">G3*x_FIX*(1-x_testy)</f>
        <v>0</v>
      </c>
      <c r="AH3" s="0" t="n">
        <f aca="false">x_z_F*U3+(1-x_AGRI)*x_EMP*x_WLOSS*(x_PEN_K74*Q3+x_PEN_C22*R3)</f>
        <v>27583076.1861728</v>
      </c>
      <c r="AI3" s="0" t="n">
        <f aca="false">x_AGRI*x_EMP*x_WLOSS*(x_PEN_K74*Q3+x_PEN_C22*R3)</f>
        <v>1619385.15457699</v>
      </c>
      <c r="AJ3" s="0" t="n">
        <f aca="false">x_EMP*x_WAGE*(x_WLOSS*(Q3+R3)+S3)+U3*x_ABS_D*x_WAGE/365</f>
        <v>156741001.759116</v>
      </c>
      <c r="AK3" s="0" t="n">
        <f aca="false">AJ3*x_R_FUS</f>
        <v>49592852.9565844</v>
      </c>
      <c r="AL3" s="0" t="n">
        <f aca="false">AJ3*x_R_NFZ</f>
        <v>12172662.9376147</v>
      </c>
      <c r="AM3" s="0" t="n">
        <f aca="false">AJ3*x_R_PIT</f>
        <v>10420796.0096033</v>
      </c>
      <c r="AN3" s="0" t="n">
        <f aca="false">AJ3*x_R_FP</f>
        <v>3996895.54485746</v>
      </c>
      <c r="AO3" s="0" t="n">
        <f aca="false">AA3+AB3+AC3+AD3+AF3</f>
        <v>377960293.63138</v>
      </c>
      <c r="AP3" s="0" t="n">
        <f aca="false">AO3+AE3+AG3+AH3+AI3+AK3+AL3+AM3+AN3</f>
        <v>483345962.42079</v>
      </c>
      <c r="AQ3" s="0" t="n">
        <f aca="false">AO3+AE3+AG3+AJ3</f>
        <v>534701295.390496</v>
      </c>
      <c r="AR3" s="0" t="n">
        <f aca="false">AB3+AC3+AD3+AF3</f>
        <v>96483399.3270171</v>
      </c>
      <c r="AS3" s="0" t="n">
        <f aca="false">AR3+AE3+AG3</f>
        <v>96483399.3270171</v>
      </c>
    </row>
    <row r="4" customFormat="false" ht="15" hidden="false" customHeight="false" outlineLevel="0" collapsed="false">
      <c r="A4" s="0" t="n">
        <v>2027</v>
      </c>
      <c r="B4" s="0" t="n">
        <v>1</v>
      </c>
      <c r="C4" s="0" t="n">
        <v>3382.4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2960.678</v>
      </c>
      <c r="I4" s="0" t="n">
        <v>282.666</v>
      </c>
      <c r="J4" s="0" t="n">
        <v>1568.432</v>
      </c>
      <c r="K4" s="0" t="n">
        <v>2531.672</v>
      </c>
      <c r="L4" s="0" t="n">
        <v>1489.389</v>
      </c>
      <c r="M4" s="0" t="n">
        <v>7443.396</v>
      </c>
      <c r="N4" s="0" t="n">
        <v>670.859</v>
      </c>
      <c r="O4" s="0" t="n">
        <v>88.045</v>
      </c>
      <c r="P4" s="0" t="n">
        <v>88.546</v>
      </c>
      <c r="Q4" s="0" t="n">
        <v>2141.06</v>
      </c>
      <c r="R4" s="0" t="n">
        <v>1724.023</v>
      </c>
      <c r="S4" s="0" t="n">
        <v>940.503</v>
      </c>
      <c r="T4" s="0" t="n">
        <v>3243.344</v>
      </c>
      <c r="U4" s="0" t="n">
        <v>1851.393</v>
      </c>
      <c r="V4" s="0" t="n">
        <v>114303.361</v>
      </c>
      <c r="W4" s="0" t="n">
        <v>279.845</v>
      </c>
      <c r="X4" s="0" t="n">
        <v>752.844</v>
      </c>
      <c r="Y4" s="0" t="n">
        <v>88.045</v>
      </c>
      <c r="Z4" s="0" t="n">
        <v>927.293</v>
      </c>
      <c r="AA4" s="0" t="n">
        <f aca="false">H4*x_c_F+I4*x_c_CC+J4*x_c_DC+K4*x_c_HCC+L4*x_c_PLT+M4*x_c_SVRn+N4*x_c_SVRcc+O4*x_c_LT+P4*x_c_LT1</f>
        <v>285953810.91896</v>
      </c>
      <c r="AB4" s="0" t="n">
        <f aca="false">C4*x_c_DAA</f>
        <v>76983424</v>
      </c>
      <c r="AC4" s="0" t="n">
        <f aca="false">C4*x_c_MON</f>
        <v>19499975.3270171</v>
      </c>
      <c r="AD4" s="0" t="n">
        <f aca="false">D4*(1-x_testy)</f>
        <v>0</v>
      </c>
      <c r="AE4" s="0" t="n">
        <f aca="false">E4*(1-x_testy)</f>
        <v>0</v>
      </c>
      <c r="AF4" s="0" t="n">
        <f aca="false">F4*x_NAV</f>
        <v>0</v>
      </c>
      <c r="AG4" s="0" t="n">
        <f aca="false">G4*x_FIX*(1-x_testy)</f>
        <v>0</v>
      </c>
      <c r="AH4" s="0" t="n">
        <f aca="false">x_z_F*U4+(1-x_AGRI)*x_EMP*x_WLOSS*(x_PEN_K74*Q4+x_PEN_C22*R4)</f>
        <v>28470083.7428314</v>
      </c>
      <c r="AI4" s="0" t="n">
        <f aca="false">x_AGRI*x_EMP*x_WLOSS*(x_PEN_K74*Q4+x_PEN_C22*R4)</f>
        <v>1630229.36353849</v>
      </c>
      <c r="AJ4" s="0" t="n">
        <f aca="false">x_EMP*x_WAGE*(x_WLOSS*(Q4+R4)+S4)+U4*x_ABS_D*x_WAGE/365</f>
        <v>212135995.56297</v>
      </c>
      <c r="AK4" s="0" t="n">
        <f aca="false">AJ4*x_R_FUS</f>
        <v>67119828.9961238</v>
      </c>
      <c r="AL4" s="0" t="n">
        <f aca="false">AJ4*x_R_NFZ</f>
        <v>16474693.5514158</v>
      </c>
      <c r="AM4" s="0" t="n">
        <f aca="false">AJ4*x_R_PIT</f>
        <v>14103686.4078052</v>
      </c>
      <c r="AN4" s="0" t="n">
        <f aca="false">AJ4*x_R_FP</f>
        <v>5409467.88685574</v>
      </c>
      <c r="AO4" s="0" t="n">
        <f aca="false">AA4+AB4+AC4+AD4+AF4</f>
        <v>382437210.245977</v>
      </c>
      <c r="AP4" s="0" t="n">
        <f aca="false">AO4+AE4+AG4+AH4+AI4+AK4+AL4+AM4+AN4</f>
        <v>515645200.194548</v>
      </c>
      <c r="AQ4" s="0" t="n">
        <f aca="false">AO4+AE4+AG4+AJ4</f>
        <v>594573205.808947</v>
      </c>
      <c r="AR4" s="0" t="n">
        <f aca="false">AB4+AC4+AD4+AF4</f>
        <v>96483399.3270171</v>
      </c>
      <c r="AS4" s="0" t="n">
        <f aca="false">AR4+AE4+AG4</f>
        <v>96483399.3270171</v>
      </c>
    </row>
    <row r="5" customFormat="false" ht="15" hidden="false" customHeight="false" outlineLevel="0" collapsed="false">
      <c r="A5" s="0" t="n">
        <v>2028</v>
      </c>
      <c r="B5" s="0" t="n">
        <v>2</v>
      </c>
      <c r="C5" s="0" t="n">
        <v>3382.4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3382.55</v>
      </c>
      <c r="I5" s="0" t="n">
        <v>344.014</v>
      </c>
      <c r="J5" s="0" t="n">
        <v>1570.839</v>
      </c>
      <c r="K5" s="0" t="n">
        <v>2570.839</v>
      </c>
      <c r="L5" s="0" t="n">
        <v>1475.819</v>
      </c>
      <c r="M5" s="0" t="n">
        <v>10329.516</v>
      </c>
      <c r="N5" s="0" t="n">
        <v>952.649</v>
      </c>
      <c r="O5" s="0" t="n">
        <v>88.012</v>
      </c>
      <c r="P5" s="0" t="n">
        <v>88.029</v>
      </c>
      <c r="Q5" s="0" t="n">
        <v>2153.879</v>
      </c>
      <c r="R5" s="0" t="n">
        <v>1770.834</v>
      </c>
      <c r="S5" s="0" t="n">
        <v>1575.742</v>
      </c>
      <c r="T5" s="0" t="n">
        <v>3726.564</v>
      </c>
      <c r="U5" s="0" t="n">
        <v>2185.507</v>
      </c>
      <c r="V5" s="0" t="n">
        <v>115402.132</v>
      </c>
      <c r="W5" s="0" t="n">
        <v>294.036</v>
      </c>
      <c r="X5" s="0" t="n">
        <v>791.242</v>
      </c>
      <c r="Y5" s="0" t="n">
        <v>88.012</v>
      </c>
      <c r="Z5" s="0" t="n">
        <v>931.837</v>
      </c>
      <c r="AA5" s="0" t="n">
        <f aca="false">H5*x_c_F+I5*x_c_CC+J5*x_c_DC+K5*x_c_HCC+L5*x_c_PLT+M5*x_c_SVRn+N5*x_c_SVRcc+O5*x_c_LT+P5*x_c_LT1</f>
        <v>292113503.804358</v>
      </c>
      <c r="AB5" s="0" t="n">
        <f aca="false">C5*x_c_DAA</f>
        <v>76983424</v>
      </c>
      <c r="AC5" s="0" t="n">
        <f aca="false">C5*x_c_MON</f>
        <v>19499975.3270171</v>
      </c>
      <c r="AD5" s="0" t="n">
        <f aca="false">D5*(1-x_testy)</f>
        <v>0</v>
      </c>
      <c r="AE5" s="0" t="n">
        <f aca="false">E5*(1-x_testy)</f>
        <v>0</v>
      </c>
      <c r="AF5" s="0" t="n">
        <f aca="false">F5*x_NAV</f>
        <v>0</v>
      </c>
      <c r="AG5" s="0" t="n">
        <f aca="false">G5*x_FIX*(1-x_testy)</f>
        <v>0</v>
      </c>
      <c r="AH5" s="0" t="n">
        <f aca="false">x_z_F*U5+(1-x_AGRI)*x_EMP*x_WLOSS*(x_PEN_K74*Q5+x_PEN_C22*R5)</f>
        <v>29554092.5500432</v>
      </c>
      <c r="AI5" s="0" t="n">
        <f aca="false">x_AGRI*x_EMP*x_WLOSS*(x_PEN_K74*Q5+x_PEN_C22*R5)</f>
        <v>1656477.01890786</v>
      </c>
      <c r="AJ5" s="0" t="n">
        <f aca="false">x_EMP*x_WAGE*(x_WLOSS*(Q5+R5)+S5)+U5*x_ABS_D*x_WAGE/365</f>
        <v>269229989.083298</v>
      </c>
      <c r="AK5" s="0" t="n">
        <f aca="false">AJ5*x_R_FUS</f>
        <v>85184368.5459554</v>
      </c>
      <c r="AL5" s="0" t="n">
        <f aca="false">AJ5*x_R_NFZ</f>
        <v>20908670.182198</v>
      </c>
      <c r="AM5" s="0" t="n">
        <f aca="false">AJ5*x_R_PIT</f>
        <v>17899533.3985199</v>
      </c>
      <c r="AN5" s="0" t="n">
        <f aca="false">AJ5*x_R_FP</f>
        <v>6865364.72162409</v>
      </c>
      <c r="AO5" s="0" t="n">
        <f aca="false">AA5+AB5+AC5+AD5+AF5</f>
        <v>388596903.131375</v>
      </c>
      <c r="AP5" s="0" t="n">
        <f aca="false">AO5+AE5+AG5+AH5+AI5+AK5+AL5+AM5+AN5</f>
        <v>550665409.548624</v>
      </c>
      <c r="AQ5" s="0" t="n">
        <f aca="false">AO5+AE5+AG5+AJ5</f>
        <v>657826892.214673</v>
      </c>
      <c r="AR5" s="0" t="n">
        <f aca="false">AB5+AC5+AD5+AF5</f>
        <v>96483399.3270171</v>
      </c>
      <c r="AS5" s="0" t="n">
        <f aca="false">AR5+AE5+AG5</f>
        <v>96483399.3270171</v>
      </c>
    </row>
    <row r="6" customFormat="false" ht="15" hidden="false" customHeight="false" outlineLevel="0" collapsed="false">
      <c r="A6" s="0" t="n">
        <v>2029</v>
      </c>
      <c r="B6" s="0" t="n">
        <v>3</v>
      </c>
      <c r="C6" s="0" t="n">
        <v>3382.4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3751.943</v>
      </c>
      <c r="I6" s="0" t="n">
        <v>406.368</v>
      </c>
      <c r="J6" s="0" t="n">
        <v>1586.611</v>
      </c>
      <c r="K6" s="0" t="n">
        <v>2635.939</v>
      </c>
      <c r="L6" s="0" t="n">
        <v>1461.47</v>
      </c>
      <c r="M6" s="0" t="n">
        <v>13158.115</v>
      </c>
      <c r="N6" s="0" t="n">
        <v>1243.075</v>
      </c>
      <c r="O6" s="0" t="n">
        <v>88.838</v>
      </c>
      <c r="P6" s="0" t="n">
        <v>88.425</v>
      </c>
      <c r="Q6" s="0" t="n">
        <v>2178.091</v>
      </c>
      <c r="R6" s="0" t="n">
        <v>1839.014</v>
      </c>
      <c r="S6" s="0" t="n">
        <v>2222.173</v>
      </c>
      <c r="T6" s="0" t="n">
        <v>4158.311</v>
      </c>
      <c r="U6" s="0" t="n">
        <v>2501.145</v>
      </c>
      <c r="V6" s="0" t="n">
        <v>116547.836</v>
      </c>
      <c r="W6" s="0" t="n">
        <v>309.291</v>
      </c>
      <c r="X6" s="0" t="n">
        <v>829.89</v>
      </c>
      <c r="Y6" s="0" t="n">
        <v>88.838</v>
      </c>
      <c r="Z6" s="0" t="n">
        <v>946.096</v>
      </c>
      <c r="AA6" s="0" t="n">
        <f aca="false">H6*x_c_F+I6*x_c_CC+J6*x_c_DC+K6*x_c_HCC+L6*x_c_PLT+M6*x_c_SVRn+N6*x_c_SVRcc+O6*x_c_LT+P6*x_c_LT1</f>
        <v>300296926.218181</v>
      </c>
      <c r="AB6" s="0" t="n">
        <f aca="false">C6*x_c_DAA</f>
        <v>76983424</v>
      </c>
      <c r="AC6" s="0" t="n">
        <f aca="false">C6*x_c_MON</f>
        <v>19499975.3270171</v>
      </c>
      <c r="AD6" s="0" t="n">
        <f aca="false">D6*(1-x_testy)</f>
        <v>0</v>
      </c>
      <c r="AE6" s="0" t="n">
        <f aca="false">E6*(1-x_testy)</f>
        <v>0</v>
      </c>
      <c r="AF6" s="0" t="n">
        <f aca="false">F6*x_NAV</f>
        <v>0</v>
      </c>
      <c r="AG6" s="0" t="n">
        <f aca="false">G6*x_FIX*(1-x_testy)</f>
        <v>0</v>
      </c>
      <c r="AH6" s="0" t="n">
        <f aca="false">x_z_F*U6+(1-x_AGRI)*x_EMP*x_WLOSS*(x_PEN_K74*Q6+x_PEN_C22*R6)</f>
        <v>30814721.9025215</v>
      </c>
      <c r="AI6" s="0" t="n">
        <f aca="false">x_AGRI*x_EMP*x_WLOSS*(x_PEN_K74*Q6+x_PEN_C22*R6)</f>
        <v>1696909.68440915</v>
      </c>
      <c r="AJ6" s="0" t="n">
        <f aca="false">x_EMP*x_WAGE*(x_WLOSS*(Q6+R6)+S6)+U6*x_ABS_D*x_WAGE/365</f>
        <v>328296296.156572</v>
      </c>
      <c r="AK6" s="0" t="n">
        <f aca="false">AJ6*x_R_FUS</f>
        <v>103872948.103939</v>
      </c>
      <c r="AL6" s="0" t="n">
        <f aca="false">AJ6*x_R_NFZ</f>
        <v>25495818.6558155</v>
      </c>
      <c r="AM6" s="0" t="n">
        <f aca="false">AJ6*x_R_PIT</f>
        <v>21826508.0263657</v>
      </c>
      <c r="AN6" s="0" t="n">
        <f aca="false">AJ6*x_R_FP</f>
        <v>8371555.55199258</v>
      </c>
      <c r="AO6" s="0" t="n">
        <f aca="false">AA6+AB6+AC6+AD6+AF6</f>
        <v>396780325.545198</v>
      </c>
      <c r="AP6" s="0" t="n">
        <f aca="false">AO6+AE6+AG6+AH6+AI6+AK6+AL6+AM6+AN6</f>
        <v>588858787.470242</v>
      </c>
      <c r="AQ6" s="0" t="n">
        <f aca="false">AO6+AE6+AG6+AJ6</f>
        <v>725076621.70177</v>
      </c>
      <c r="AR6" s="0" t="n">
        <f aca="false">AB6+AC6+AD6+AF6</f>
        <v>96483399.3270171</v>
      </c>
      <c r="AS6" s="0" t="n">
        <f aca="false">AR6+AE6+AG6</f>
        <v>96483399.3270171</v>
      </c>
    </row>
    <row r="7" customFormat="false" ht="15" hidden="false" customHeight="false" outlineLevel="0" collapsed="false">
      <c r="A7" s="0" t="n">
        <v>2030</v>
      </c>
      <c r="B7" s="0" t="n">
        <v>4</v>
      </c>
      <c r="C7" s="0" t="n">
        <v>3382.4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4073.491</v>
      </c>
      <c r="I7" s="0" t="n">
        <v>468.558</v>
      </c>
      <c r="J7" s="0" t="n">
        <v>1613.946</v>
      </c>
      <c r="K7" s="0" t="n">
        <v>2718.953</v>
      </c>
      <c r="L7" s="0" t="n">
        <v>1447.102</v>
      </c>
      <c r="M7" s="0" t="n">
        <v>15927.63</v>
      </c>
      <c r="N7" s="0" t="n">
        <v>1541.544</v>
      </c>
      <c r="O7" s="0" t="n">
        <v>90.383</v>
      </c>
      <c r="P7" s="0" t="n">
        <v>89.611</v>
      </c>
      <c r="Q7" s="0" t="n">
        <v>2212.965</v>
      </c>
      <c r="R7" s="0" t="n">
        <v>1922.845</v>
      </c>
      <c r="S7" s="0" t="n">
        <v>2886.272</v>
      </c>
      <c r="T7" s="0" t="n">
        <v>4542.049</v>
      </c>
      <c r="U7" s="0" t="n">
        <v>2797.361</v>
      </c>
      <c r="V7" s="0" t="n">
        <v>117725.48</v>
      </c>
      <c r="W7" s="0" t="n">
        <v>324.759</v>
      </c>
      <c r="X7" s="0" t="n">
        <v>867.346</v>
      </c>
      <c r="Y7" s="0" t="n">
        <v>90.383</v>
      </c>
      <c r="Z7" s="0" t="n">
        <v>967.623</v>
      </c>
      <c r="AA7" s="0" t="n">
        <f aca="false">H7*x_c_F+I7*x_c_CC+J7*x_c_DC+K7*x_c_HCC+L7*x_c_PLT+M7*x_c_SVRn+N7*x_c_SVRcc+O7*x_c_LT+P7*x_c_LT1</f>
        <v>309942408.743115</v>
      </c>
      <c r="AB7" s="0" t="n">
        <f aca="false">C7*x_c_DAA</f>
        <v>76983424</v>
      </c>
      <c r="AC7" s="0" t="n">
        <f aca="false">C7*x_c_MON</f>
        <v>19499975.3270171</v>
      </c>
      <c r="AD7" s="0" t="n">
        <f aca="false">D7*(1-x_testy)</f>
        <v>0</v>
      </c>
      <c r="AE7" s="0" t="n">
        <f aca="false">E7*(1-x_testy)</f>
        <v>0</v>
      </c>
      <c r="AF7" s="0" t="n">
        <f aca="false">F7*x_NAV</f>
        <v>0</v>
      </c>
      <c r="AG7" s="0" t="n">
        <f aca="false">G7*x_FIX*(1-x_testy)</f>
        <v>0</v>
      </c>
      <c r="AH7" s="0" t="n">
        <f aca="false">x_z_F*U7+(1-x_AGRI)*x_EMP*x_WLOSS*(x_PEN_K74*Q7+x_PEN_C22*R7)</f>
        <v>32206542.3018789</v>
      </c>
      <c r="AI7" s="0" t="n">
        <f aca="false">x_AGRI*x_EMP*x_WLOSS*(x_PEN_K74*Q7+x_PEN_C22*R7)</f>
        <v>1748653.11071901</v>
      </c>
      <c r="AJ7" s="0" t="n">
        <f aca="false">x_EMP*x_WAGE*(x_WLOSS*(Q7+R7)+S7)+U7*x_ABS_D*x_WAGE/365</f>
        <v>389673199.484127</v>
      </c>
      <c r="AK7" s="0" t="n">
        <f aca="false">AJ7*x_R_FUS</f>
        <v>123292600.316778</v>
      </c>
      <c r="AL7" s="0" t="n">
        <f aca="false">AJ7*x_R_NFZ</f>
        <v>30262410.3451368</v>
      </c>
      <c r="AM7" s="0" t="n">
        <f aca="false">AJ7*x_R_PIT</f>
        <v>25907100.7372668</v>
      </c>
      <c r="AN7" s="0" t="n">
        <f aca="false">AJ7*x_R_FP</f>
        <v>9936666.58684524</v>
      </c>
      <c r="AO7" s="0" t="n">
        <f aca="false">AA7+AB7+AC7+AD7+AF7</f>
        <v>406425808.070132</v>
      </c>
      <c r="AP7" s="0" t="n">
        <f aca="false">AO7+AE7+AG7+AH7+AI7+AK7+AL7+AM7+AN7</f>
        <v>629779781.468757</v>
      </c>
      <c r="AQ7" s="0" t="n">
        <f aca="false">AO7+AE7+AG7+AJ7</f>
        <v>796099007.554259</v>
      </c>
      <c r="AR7" s="0" t="n">
        <f aca="false">AB7+AC7+AD7+AF7</f>
        <v>96483399.3270171</v>
      </c>
      <c r="AS7" s="0" t="n">
        <f aca="false">AR7+AE7+AG7</f>
        <v>96483399.3270171</v>
      </c>
    </row>
    <row r="8" customFormat="false" ht="15" hidden="false" customHeight="false" outlineLevel="0" collapsed="false">
      <c r="A8" s="0" t="n">
        <v>2031</v>
      </c>
      <c r="B8" s="0" t="n">
        <v>5</v>
      </c>
      <c r="C8" s="0" t="n">
        <v>3382.4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4351.442</v>
      </c>
      <c r="I8" s="0" t="n">
        <v>529.278</v>
      </c>
      <c r="J8" s="0" t="n">
        <v>1650.603</v>
      </c>
      <c r="K8" s="0" t="n">
        <v>2812.886</v>
      </c>
      <c r="L8" s="0" t="n">
        <v>1433.353</v>
      </c>
      <c r="M8" s="0" t="n">
        <v>18637.299</v>
      </c>
      <c r="N8" s="0" t="n">
        <v>1846.864</v>
      </c>
      <c r="O8" s="0" t="n">
        <v>92.488</v>
      </c>
      <c r="P8" s="0" t="n">
        <v>91.435</v>
      </c>
      <c r="Q8" s="0" t="n">
        <v>2257.376</v>
      </c>
      <c r="R8" s="0" t="n">
        <v>2017.356</v>
      </c>
      <c r="S8" s="0" t="n">
        <v>3572.774</v>
      </c>
      <c r="T8" s="0" t="n">
        <v>4880.72</v>
      </c>
      <c r="U8" s="0" t="n">
        <v>3073.326</v>
      </c>
      <c r="V8" s="0" t="n">
        <v>118924.35</v>
      </c>
      <c r="W8" s="0" t="n">
        <v>339.789</v>
      </c>
      <c r="X8" s="0" t="n">
        <v>902.532</v>
      </c>
      <c r="Y8" s="0" t="n">
        <v>92.488</v>
      </c>
      <c r="Z8" s="0" t="n">
        <v>994.173</v>
      </c>
      <c r="AA8" s="0" t="n">
        <f aca="false">H8*x_c_F+I8*x_c_CC+J8*x_c_DC+K8*x_c_HCC+L8*x_c_PLT+M8*x_c_SVRn+N8*x_c_SVRcc+O8*x_c_LT+P8*x_c_LT1</f>
        <v>320529941.593483</v>
      </c>
      <c r="AB8" s="0" t="n">
        <f aca="false">C8*x_c_DAA</f>
        <v>76983424</v>
      </c>
      <c r="AC8" s="0" t="n">
        <f aca="false">C8*x_c_MON</f>
        <v>19499975.3270171</v>
      </c>
      <c r="AD8" s="0" t="n">
        <f aca="false">D8*(1-x_testy)</f>
        <v>0</v>
      </c>
      <c r="AE8" s="0" t="n">
        <f aca="false">E8*(1-x_testy)</f>
        <v>0</v>
      </c>
      <c r="AF8" s="0" t="n">
        <f aca="false">F8*x_NAV</f>
        <v>0</v>
      </c>
      <c r="AG8" s="0" t="n">
        <f aca="false">G8*x_FIX*(1-x_testy)</f>
        <v>0</v>
      </c>
      <c r="AH8" s="0" t="n">
        <f aca="false">x_z_F*U8+(1-x_AGRI)*x_EMP*x_WLOSS*(x_PEN_K74*Q8+x_PEN_C22*R8)</f>
        <v>33687101.2744741</v>
      </c>
      <c r="AI8" s="0" t="n">
        <f aca="false">x_AGRI*x_EMP*x_WLOSS*(x_PEN_K74*Q8+x_PEN_C22*R8)</f>
        <v>1809013.9248336</v>
      </c>
      <c r="AJ8" s="0" t="n">
        <f aca="false">x_EMP*x_WAGE*(x_WLOSS*(Q8+R8)+S8)+U8*x_ABS_D*x_WAGE/365</f>
        <v>453562441.148939</v>
      </c>
      <c r="AK8" s="0" t="n">
        <f aca="false">AJ8*x_R_FUS</f>
        <v>143507156.379524</v>
      </c>
      <c r="AL8" s="0" t="n">
        <f aca="false">AJ8*x_R_NFZ</f>
        <v>35224112.7420677</v>
      </c>
      <c r="AM8" s="0" t="n">
        <f aca="false">AJ8*x_R_PIT</f>
        <v>30154724.1869398</v>
      </c>
      <c r="AN8" s="0" t="n">
        <f aca="false">AJ8*x_R_FP</f>
        <v>11565842.2492979</v>
      </c>
      <c r="AO8" s="0" t="n">
        <f aca="false">AA8+AB8+AC8+AD8+AF8</f>
        <v>417013340.9205</v>
      </c>
      <c r="AP8" s="0" t="n">
        <f aca="false">AO8+AE8+AG8+AH8+AI8+AK8+AL8+AM8+AN8</f>
        <v>672961291.677637</v>
      </c>
      <c r="AQ8" s="0" t="n">
        <f aca="false">AO8+AE8+AG8+AJ8</f>
        <v>870575782.069438</v>
      </c>
      <c r="AR8" s="0" t="n">
        <f aca="false">AB8+AC8+AD8+AF8</f>
        <v>96483399.3270171</v>
      </c>
      <c r="AS8" s="0" t="n">
        <f aca="false">AR8+AE8+AG8</f>
        <v>96483399.3270171</v>
      </c>
    </row>
    <row r="9" customFormat="false" ht="15" hidden="false" customHeight="false" outlineLevel="0" collapsed="false">
      <c r="A9" s="0" t="n">
        <v>2032</v>
      </c>
      <c r="B9" s="0" t="n">
        <v>6</v>
      </c>
      <c r="C9" s="0" t="n">
        <v>3382.4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4589.564</v>
      </c>
      <c r="I9" s="0" t="n">
        <v>587.216</v>
      </c>
      <c r="J9" s="0" t="n">
        <v>1694.123</v>
      </c>
      <c r="K9" s="0" t="n">
        <v>2911.749</v>
      </c>
      <c r="L9" s="0" t="n">
        <v>1420.677</v>
      </c>
      <c r="M9" s="0" t="n">
        <v>21286.685</v>
      </c>
      <c r="N9" s="0" t="n">
        <v>2157.352</v>
      </c>
      <c r="O9" s="0" t="n">
        <v>94.991</v>
      </c>
      <c r="P9" s="0" t="n">
        <v>93.74</v>
      </c>
      <c r="Q9" s="0" t="n">
        <v>2309.928</v>
      </c>
      <c r="R9" s="0" t="n">
        <v>2118.294</v>
      </c>
      <c r="S9" s="0" t="n">
        <v>4284.777</v>
      </c>
      <c r="T9" s="0" t="n">
        <v>5176.78</v>
      </c>
      <c r="U9" s="0" t="n">
        <v>3328.299</v>
      </c>
      <c r="V9" s="0" t="n">
        <v>120134.044</v>
      </c>
      <c r="W9" s="0" t="n">
        <v>353.878</v>
      </c>
      <c r="X9" s="0" t="n">
        <v>934.626</v>
      </c>
      <c r="Y9" s="0" t="n">
        <v>94.991</v>
      </c>
      <c r="Z9" s="0" t="n">
        <v>1023.696</v>
      </c>
      <c r="AA9" s="0" t="n">
        <f aca="false">H9*x_c_F+I9*x_c_CC+J9*x_c_DC+K9*x_c_HCC+L9*x_c_PLT+M9*x_c_SVRn+N9*x_c_SVRcc+O9*x_c_LT+P9*x_c_LT1</f>
        <v>331589120.192669</v>
      </c>
      <c r="AB9" s="0" t="n">
        <f aca="false">C9*x_c_DAA</f>
        <v>76983424</v>
      </c>
      <c r="AC9" s="0" t="n">
        <f aca="false">C9*x_c_MON</f>
        <v>19499975.3270171</v>
      </c>
      <c r="AD9" s="0" t="n">
        <f aca="false">D9*(1-x_testy)</f>
        <v>0</v>
      </c>
      <c r="AE9" s="0" t="n">
        <f aca="false">E9*(1-x_testy)</f>
        <v>0</v>
      </c>
      <c r="AF9" s="0" t="n">
        <f aca="false">F9*x_NAV</f>
        <v>0</v>
      </c>
      <c r="AG9" s="0" t="n">
        <f aca="false">G9*x_FIX*(1-x_testy)</f>
        <v>0</v>
      </c>
      <c r="AH9" s="0" t="n">
        <f aca="false">x_z_F*U9+(1-x_AGRI)*x_EMP*x_WLOSS*(x_PEN_K74*Q9+x_PEN_C22*R9)</f>
        <v>35217405.3592605</v>
      </c>
      <c r="AI9" s="0" t="n">
        <f aca="false">x_AGRI*x_EMP*x_WLOSS*(x_PEN_K74*Q9+x_PEN_C22*R9)</f>
        <v>1875515.42939339</v>
      </c>
      <c r="AJ9" s="0" t="n">
        <f aca="false">x_EMP*x_WAGE*(x_WLOSS*(Q9+R9)+S9)+U9*x_ABS_D*x_WAGE/365</f>
        <v>520041081.28336</v>
      </c>
      <c r="AK9" s="0" t="n">
        <f aca="false">AJ9*x_R_FUS</f>
        <v>164540998.118055</v>
      </c>
      <c r="AL9" s="0" t="n">
        <f aca="false">AJ9*x_R_NFZ</f>
        <v>40386910.413547</v>
      </c>
      <c r="AM9" s="0" t="n">
        <f aca="false">AJ9*x_R_PIT</f>
        <v>34574501.6546204</v>
      </c>
      <c r="AN9" s="0" t="n">
        <f aca="false">AJ9*x_R_FP</f>
        <v>13261047.5727257</v>
      </c>
      <c r="AO9" s="0" t="n">
        <f aca="false">AA9+AB9+AC9+AD9+AF9</f>
        <v>428072519.519686</v>
      </c>
      <c r="AP9" s="0" t="n">
        <f aca="false">AO9+AE9+AG9+AH9+AI9+AK9+AL9+AM9+AN9</f>
        <v>717928898.067289</v>
      </c>
      <c r="AQ9" s="0" t="n">
        <f aca="false">AO9+AE9+AG9+AJ9</f>
        <v>948113600.803047</v>
      </c>
      <c r="AR9" s="0" t="n">
        <f aca="false">AB9+AC9+AD9+AF9</f>
        <v>96483399.3270171</v>
      </c>
      <c r="AS9" s="0" t="n">
        <f aca="false">AR9+AE9+AG9</f>
        <v>96483399.3270171</v>
      </c>
    </row>
    <row r="10" customFormat="false" ht="15" hidden="false" customHeight="false" outlineLevel="0" collapsed="false">
      <c r="A10" s="0" t="n">
        <v>2033</v>
      </c>
      <c r="B10" s="0" t="n">
        <v>7</v>
      </c>
      <c r="C10" s="0" t="n">
        <v>3382.4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4791.213</v>
      </c>
      <c r="I10" s="0" t="n">
        <v>641.159</v>
      </c>
      <c r="J10" s="0" t="n">
        <v>1742.029</v>
      </c>
      <c r="K10" s="0" t="n">
        <v>3010.558</v>
      </c>
      <c r="L10" s="0" t="n">
        <v>1409.366</v>
      </c>
      <c r="M10" s="0" t="n">
        <v>23875.725</v>
      </c>
      <c r="N10" s="0" t="n">
        <v>2470.98</v>
      </c>
      <c r="O10" s="0" t="n">
        <v>97.739</v>
      </c>
      <c r="P10" s="0" t="n">
        <v>96.365</v>
      </c>
      <c r="Q10" s="0" t="n">
        <v>2369.079</v>
      </c>
      <c r="R10" s="0" t="n">
        <v>2222.092</v>
      </c>
      <c r="S10" s="0" t="n">
        <v>5023.933</v>
      </c>
      <c r="T10" s="0" t="n">
        <v>5432.372</v>
      </c>
      <c r="U10" s="0" t="n">
        <v>3561.64</v>
      </c>
      <c r="V10" s="0" t="n">
        <v>121345.817</v>
      </c>
      <c r="W10" s="0" t="n">
        <v>366.663</v>
      </c>
      <c r="X10" s="0" t="n">
        <v>963.068</v>
      </c>
      <c r="Y10" s="0" t="n">
        <v>97.739</v>
      </c>
      <c r="Z10" s="0" t="n">
        <v>1054.451</v>
      </c>
      <c r="AA10" s="0" t="n">
        <f aca="false">H10*x_c_F+I10*x_c_CC+J10*x_c_DC+K10*x_c_HCC+L10*x_c_PLT+M10*x_c_SVRn+N10*x_c_SVRcc+O10*x_c_LT+P10*x_c_LT1</f>
        <v>342708755.647083</v>
      </c>
      <c r="AB10" s="0" t="n">
        <f aca="false">C10*x_c_DAA</f>
        <v>76983424</v>
      </c>
      <c r="AC10" s="0" t="n">
        <f aca="false">C10*x_c_MON</f>
        <v>19499975.3270171</v>
      </c>
      <c r="AD10" s="0" t="n">
        <f aca="false">D10*(1-x_testy)</f>
        <v>0</v>
      </c>
      <c r="AE10" s="0" t="n">
        <f aca="false">E10*(1-x_testy)</f>
        <v>0</v>
      </c>
      <c r="AF10" s="0" t="n">
        <f aca="false">F10*x_NAV</f>
        <v>0</v>
      </c>
      <c r="AG10" s="0" t="n">
        <f aca="false">G10*x_FIX*(1-x_testy)</f>
        <v>0</v>
      </c>
      <c r="AH10" s="0" t="n">
        <f aca="false">x_z_F*U10+(1-x_AGRI)*x_EMP*x_WLOSS*(x_PEN_K74*Q10+x_PEN_C22*R10)</f>
        <v>36762479.9661237</v>
      </c>
      <c r="AI10" s="0" t="n">
        <f aca="false">x_AGRI*x_EMP*x_WLOSS*(x_PEN_K74*Q10+x_PEN_C22*R10)</f>
        <v>1945932.8416557</v>
      </c>
      <c r="AJ10" s="0" t="n">
        <f aca="false">x_EMP*x_WAGE*(x_WLOSS*(Q10+R10)+S10)+U10*x_ABS_D*x_WAGE/365</f>
        <v>589080865.038693</v>
      </c>
      <c r="AK10" s="0" t="n">
        <f aca="false">AJ10*x_R_FUS</f>
        <v>186385185.698242</v>
      </c>
      <c r="AL10" s="0" t="n">
        <f aca="false">AJ10*x_R_NFZ</f>
        <v>45748609.0597699</v>
      </c>
      <c r="AM10" s="0" t="n">
        <f aca="false">AJ10*x_R_PIT</f>
        <v>39164554.6400359</v>
      </c>
      <c r="AN10" s="0" t="n">
        <f aca="false">AJ10*x_R_FP</f>
        <v>15021562.0584867</v>
      </c>
      <c r="AO10" s="0" t="n">
        <f aca="false">AA10+AB10+AC10+AD10+AF10</f>
        <v>439192154.9741</v>
      </c>
      <c r="AP10" s="0" t="n">
        <f aca="false">AO10+AE10+AG10+AH10+AI10+AK10+AL10+AM10+AN10</f>
        <v>764220479.238415</v>
      </c>
      <c r="AQ10" s="0" t="n">
        <f aca="false">AO10+AE10+AG10+AJ10</f>
        <v>1028273020.01279</v>
      </c>
      <c r="AR10" s="0" t="n">
        <f aca="false">AB10+AC10+AD10+AF10</f>
        <v>96483399.3270171</v>
      </c>
      <c r="AS10" s="0" t="n">
        <f aca="false">AR10+AE10+AG10</f>
        <v>96483399.3270171</v>
      </c>
    </row>
    <row r="11" customFormat="false" ht="15" hidden="false" customHeight="false" outlineLevel="0" collapsed="false">
      <c r="A11" s="0" t="n">
        <v>2034</v>
      </c>
      <c r="B11" s="0" t="n">
        <v>8</v>
      </c>
      <c r="C11" s="0" t="n">
        <v>3382.4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4959.353</v>
      </c>
      <c r="I11" s="0" t="n">
        <v>690.048</v>
      </c>
      <c r="J11" s="0" t="n">
        <v>1791.954</v>
      </c>
      <c r="K11" s="0" t="n">
        <v>3105.268</v>
      </c>
      <c r="L11" s="0" t="n">
        <v>1399.546</v>
      </c>
      <c r="M11" s="0" t="n">
        <v>26404.443</v>
      </c>
      <c r="N11" s="0" t="n">
        <v>2785.456</v>
      </c>
      <c r="O11" s="0" t="n">
        <v>100.583</v>
      </c>
      <c r="P11" s="0" t="n">
        <v>99.161</v>
      </c>
      <c r="Q11" s="0" t="n">
        <v>2433.242</v>
      </c>
      <c r="R11" s="0" t="n">
        <v>2325.822</v>
      </c>
      <c r="S11" s="0" t="n">
        <v>5790.585</v>
      </c>
      <c r="T11" s="0" t="n">
        <v>5649.4</v>
      </c>
      <c r="U11" s="0" t="n">
        <v>3772.811</v>
      </c>
      <c r="V11" s="0" t="n">
        <v>122552.187</v>
      </c>
      <c r="W11" s="0" t="n">
        <v>377.886</v>
      </c>
      <c r="X11" s="0" t="n">
        <v>987.473</v>
      </c>
      <c r="Y11" s="0" t="n">
        <v>100.583</v>
      </c>
      <c r="Z11" s="0" t="n">
        <v>1084.911</v>
      </c>
      <c r="AA11" s="0" t="n">
        <f aca="false">H11*x_c_F+I11*x_c_CC+J11*x_c_DC+K11*x_c_HCC+L11*x_c_PLT+M11*x_c_SVRn+N11*x_c_SVRcc+O11*x_c_LT+P11*x_c_LT1</f>
        <v>353534359.403071</v>
      </c>
      <c r="AB11" s="0" t="n">
        <f aca="false">C11*x_c_DAA</f>
        <v>76983424</v>
      </c>
      <c r="AC11" s="0" t="n">
        <f aca="false">C11*x_c_MON</f>
        <v>19499975.3270171</v>
      </c>
      <c r="AD11" s="0" t="n">
        <f aca="false">D11*(1-x_testy)</f>
        <v>0</v>
      </c>
      <c r="AE11" s="0" t="n">
        <f aca="false">E11*(1-x_testy)</f>
        <v>0</v>
      </c>
      <c r="AF11" s="0" t="n">
        <f aca="false">F11*x_NAV</f>
        <v>0</v>
      </c>
      <c r="AG11" s="0" t="n">
        <f aca="false">G11*x_FIX*(1-x_testy)</f>
        <v>0</v>
      </c>
      <c r="AH11" s="0" t="n">
        <f aca="false">x_z_F*U11+(1-x_AGRI)*x_EMP*x_WLOSS*(x_PEN_K74*Q11+x_PEN_C22*R11)</f>
        <v>38291657.6640341</v>
      </c>
      <c r="AI11" s="0" t="n">
        <f aca="false">x_AGRI*x_EMP*x_WLOSS*(x_PEN_K74*Q11+x_PEN_C22*R11)</f>
        <v>2018312.21289682</v>
      </c>
      <c r="AJ11" s="0" t="n">
        <f aca="false">x_EMP*x_WAGE*(x_WLOSS*(Q11+R11)+S11)+U11*x_ABS_D*x_WAGE/365</f>
        <v>660561673.710913</v>
      </c>
      <c r="AK11" s="0" t="n">
        <f aca="false">AJ11*x_R_FUS</f>
        <v>209001713.562133</v>
      </c>
      <c r="AL11" s="0" t="n">
        <f aca="false">AJ11*x_R_NFZ</f>
        <v>51299880.1420632</v>
      </c>
      <c r="AM11" s="0" t="n">
        <f aca="false">AJ11*x_R_PIT</f>
        <v>43916897.1503859</v>
      </c>
      <c r="AN11" s="0" t="n">
        <f aca="false">AJ11*x_R_FP</f>
        <v>16844322.6796283</v>
      </c>
      <c r="AO11" s="0" t="n">
        <f aca="false">AA11+AB11+AC11+AD11+AF11</f>
        <v>450017758.730088</v>
      </c>
      <c r="AP11" s="0" t="n">
        <f aca="false">AO11+AE11+AG11+AH11+AI11+AK11+AL11+AM11+AN11</f>
        <v>811390542.141229</v>
      </c>
      <c r="AQ11" s="0" t="n">
        <f aca="false">AO11+AE11+AG11+AJ11</f>
        <v>1110579432.441</v>
      </c>
      <c r="AR11" s="0" t="n">
        <f aca="false">AB11+AC11+AD11+AF11</f>
        <v>96483399.3270171</v>
      </c>
      <c r="AS11" s="0" t="n">
        <f aca="false">AR11+AE11+AG11</f>
        <v>96483399.3270171</v>
      </c>
    </row>
    <row r="12" customFormat="false" ht="15" hidden="false" customHeight="false" outlineLevel="0" collapsed="false">
      <c r="A12" s="0" t="n">
        <v>2035</v>
      </c>
      <c r="B12" s="0" t="n">
        <v>9</v>
      </c>
      <c r="C12" s="0" t="n">
        <v>3382.4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5096.613</v>
      </c>
      <c r="I12" s="0" t="n">
        <v>733.024</v>
      </c>
      <c r="J12" s="0" t="n">
        <v>1841.734</v>
      </c>
      <c r="K12" s="0" t="n">
        <v>3192.708</v>
      </c>
      <c r="L12" s="0" t="n">
        <v>1391.204</v>
      </c>
      <c r="M12" s="0" t="n">
        <v>28873.036</v>
      </c>
      <c r="N12" s="0" t="n">
        <v>3098.339</v>
      </c>
      <c r="O12" s="0" t="n">
        <v>103.4</v>
      </c>
      <c r="P12" s="0" t="n">
        <v>101.992</v>
      </c>
      <c r="Q12" s="0" t="n">
        <v>2500.843</v>
      </c>
      <c r="R12" s="0" t="n">
        <v>2427.13</v>
      </c>
      <c r="S12" s="0" t="n">
        <v>6583.946</v>
      </c>
      <c r="T12" s="0" t="n">
        <v>5829.637</v>
      </c>
      <c r="U12" s="0" t="n">
        <v>3961.383</v>
      </c>
      <c r="V12" s="0" t="n">
        <v>123747.06</v>
      </c>
      <c r="W12" s="0" t="n">
        <v>387.39</v>
      </c>
      <c r="X12" s="0" t="n">
        <v>1007.655</v>
      </c>
      <c r="Y12" s="0" t="n">
        <v>103.4</v>
      </c>
      <c r="Z12" s="0" t="n">
        <v>1113.872</v>
      </c>
      <c r="AA12" s="0" t="n">
        <f aca="false">H12*x_c_F+I12*x_c_CC+J12*x_c_DC+K12*x_c_HCC+L12*x_c_PLT+M12*x_c_SVRn+N12*x_c_SVRcc+O12*x_c_LT+P12*x_c_LT1</f>
        <v>363774969.304453</v>
      </c>
      <c r="AB12" s="0" t="n">
        <f aca="false">C12*x_c_DAA</f>
        <v>76983424</v>
      </c>
      <c r="AC12" s="0" t="n">
        <f aca="false">C12*x_c_MON</f>
        <v>19499975.3270171</v>
      </c>
      <c r="AD12" s="0" t="n">
        <f aca="false">D12*(1-x_testy)</f>
        <v>0</v>
      </c>
      <c r="AE12" s="0" t="n">
        <f aca="false">E12*(1-x_testy)</f>
        <v>0</v>
      </c>
      <c r="AF12" s="0" t="n">
        <f aca="false">F12*x_NAV</f>
        <v>0</v>
      </c>
      <c r="AG12" s="0" t="n">
        <f aca="false">G12*x_FIX*(1-x_testy)</f>
        <v>0</v>
      </c>
      <c r="AH12" s="0" t="n">
        <f aca="false">x_z_F*U12+(1-x_AGRI)*x_EMP*x_WLOSS*(x_PEN_K74*Q12+x_PEN_C22*R12)</f>
        <v>39778497.1119009</v>
      </c>
      <c r="AI12" s="0" t="n">
        <f aca="false">x_AGRI*x_EMP*x_WLOSS*(x_PEN_K74*Q12+x_PEN_C22*R12)</f>
        <v>2090964.11865673</v>
      </c>
      <c r="AJ12" s="0" t="n">
        <f aca="false">x_EMP*x_WAGE*(x_WLOSS*(Q12+R12)+S12)+U12*x_ABS_D*x_WAGE/365</f>
        <v>734286577.80974</v>
      </c>
      <c r="AK12" s="0" t="n">
        <f aca="false">AJ12*x_R_FUS</f>
        <v>232328273.219002</v>
      </c>
      <c r="AL12" s="0" t="n">
        <f aca="false">AJ12*x_R_NFZ</f>
        <v>57025429.9192822</v>
      </c>
      <c r="AM12" s="0" t="n">
        <f aca="false">AJ12*x_R_PIT</f>
        <v>48818436.4912033</v>
      </c>
      <c r="AN12" s="0" t="n">
        <f aca="false">AJ12*x_R_FP</f>
        <v>18724307.7341484</v>
      </c>
      <c r="AO12" s="0" t="n">
        <f aca="false">AA12+AB12+AC12+AD12+AF12</f>
        <v>460258368.63147</v>
      </c>
      <c r="AP12" s="0" t="n">
        <f aca="false">AO12+AE12+AG12+AH12+AI12+AK12+AL12+AM12+AN12</f>
        <v>859024277.225663</v>
      </c>
      <c r="AQ12" s="0" t="n">
        <f aca="false">AO12+AE12+AG12+AJ12</f>
        <v>1194544946.44121</v>
      </c>
      <c r="AR12" s="0" t="n">
        <f aca="false">AB12+AC12+AD12+AF12</f>
        <v>96483399.3270171</v>
      </c>
      <c r="AS12" s="0" t="n">
        <f aca="false">AR12+AE12+AG12</f>
        <v>96483399.3270171</v>
      </c>
    </row>
    <row r="13" customFormat="false" ht="15" hidden="false" customHeight="false" outlineLevel="0" collapsed="false">
      <c r="A13" s="0" t="n">
        <v>2036</v>
      </c>
      <c r="B13" s="0" t="n">
        <v>10</v>
      </c>
      <c r="C13" s="0" t="n">
        <v>3382.4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5205.286</v>
      </c>
      <c r="I13" s="0" t="n">
        <v>769.434</v>
      </c>
      <c r="J13" s="0" t="n">
        <v>1889.437</v>
      </c>
      <c r="K13" s="0" t="n">
        <v>3270.447</v>
      </c>
      <c r="L13" s="0" t="n">
        <v>1384.181</v>
      </c>
      <c r="M13" s="0" t="n">
        <v>31281.424</v>
      </c>
      <c r="N13" s="0" t="n">
        <v>3407.049</v>
      </c>
      <c r="O13" s="0" t="n">
        <v>106.074</v>
      </c>
      <c r="P13" s="0" t="n">
        <v>104.737</v>
      </c>
      <c r="Q13" s="0" t="n">
        <v>2570.382</v>
      </c>
      <c r="R13" s="0" t="n">
        <v>2524.174</v>
      </c>
      <c r="S13" s="0" t="n">
        <v>7402.236</v>
      </c>
      <c r="T13" s="0" t="n">
        <v>5974.72</v>
      </c>
      <c r="U13" s="0" t="n">
        <v>4127.049</v>
      </c>
      <c r="V13" s="0" t="n">
        <v>124924.608</v>
      </c>
      <c r="W13" s="0" t="n">
        <v>395.076</v>
      </c>
      <c r="X13" s="0" t="n">
        <v>1023.513</v>
      </c>
      <c r="Y13" s="0" t="n">
        <v>106.074</v>
      </c>
      <c r="Z13" s="0" t="n">
        <v>1140.287</v>
      </c>
      <c r="AA13" s="0" t="n">
        <f aca="false">H13*x_c_F+I13*x_c_CC+J13*x_c_DC+K13*x_c_HCC+L13*x_c_PLT+M13*x_c_SVRn+N13*x_c_SVRcc+O13*x_c_LT+P13*x_c_LT1</f>
        <v>373188387.832605</v>
      </c>
      <c r="AB13" s="0" t="n">
        <f aca="false">C13*x_c_DAA</f>
        <v>76983424</v>
      </c>
      <c r="AC13" s="0" t="n">
        <f aca="false">C13*x_c_MON</f>
        <v>19499975.3270171</v>
      </c>
      <c r="AD13" s="0" t="n">
        <f aca="false">D13*(1-x_testy)</f>
        <v>0</v>
      </c>
      <c r="AE13" s="0" t="n">
        <f aca="false">E13*(1-x_testy)</f>
        <v>0</v>
      </c>
      <c r="AF13" s="0" t="n">
        <f aca="false">F13*x_NAV</f>
        <v>0</v>
      </c>
      <c r="AG13" s="0" t="n">
        <f aca="false">G13*x_FIX*(1-x_testy)</f>
        <v>0</v>
      </c>
      <c r="AH13" s="0" t="n">
        <f aca="false">x_z_F*U13+(1-x_AGRI)*x_EMP*x_WLOSS*(x_PEN_K74*Q13+x_PEN_C22*R13)</f>
        <v>41200752.8776545</v>
      </c>
      <c r="AI13" s="0" t="n">
        <f aca="false">x_AGRI*x_EMP*x_WLOSS*(x_PEN_K74*Q13+x_PEN_C22*R13)</f>
        <v>2162459.89724905</v>
      </c>
      <c r="AJ13" s="0" t="n">
        <f aca="false">x_EMP*x_WAGE*(x_WLOSS*(Q13+R13)+S13)+U13*x_ABS_D*x_WAGE/365</f>
        <v>809993523.200498</v>
      </c>
      <c r="AK13" s="0" t="n">
        <f aca="false">AJ13*x_R_FUS</f>
        <v>256281950.740638</v>
      </c>
      <c r="AL13" s="0" t="n">
        <f aca="false">AJ13*x_R_NFZ</f>
        <v>62904907.0052739</v>
      </c>
      <c r="AM13" s="0" t="n">
        <f aca="false">AJ13*x_R_PIT</f>
        <v>53851750.2098416</v>
      </c>
      <c r="AN13" s="0" t="n">
        <f aca="false">AJ13*x_R_FP</f>
        <v>20654834.8416127</v>
      </c>
      <c r="AO13" s="0" t="n">
        <f aca="false">AA13+AB13+AC13+AD13+AF13</f>
        <v>469671787.159622</v>
      </c>
      <c r="AP13" s="0" t="n">
        <f aca="false">AO13+AE13+AG13+AH13+AI13+AK13+AL13+AM13+AN13</f>
        <v>906728442.731891</v>
      </c>
      <c r="AQ13" s="0" t="n">
        <f aca="false">AO13+AE13+AG13+AJ13</f>
        <v>1279665310.36012</v>
      </c>
      <c r="AR13" s="0" t="n">
        <f aca="false">AB13+AC13+AD13+AF13</f>
        <v>96483399.3270171</v>
      </c>
      <c r="AS13" s="0" t="n">
        <f aca="false">AR13+AE13+AG13</f>
        <v>96483399.3270171</v>
      </c>
    </row>
    <row r="14" customFormat="false" ht="15" hidden="false" customHeight="false" outlineLevel="0" collapsed="false">
      <c r="A14" s="0" t="n">
        <v>2037</v>
      </c>
      <c r="B14" s="0" t="n">
        <v>11</v>
      </c>
      <c r="C14" s="0" t="n">
        <v>3382.4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5287.306</v>
      </c>
      <c r="I14" s="0" t="n">
        <v>798.818</v>
      </c>
      <c r="J14" s="0" t="n">
        <v>1933.378</v>
      </c>
      <c r="K14" s="0" t="n">
        <v>3336.679</v>
      </c>
      <c r="L14" s="0" t="n">
        <v>1378.183</v>
      </c>
      <c r="M14" s="0" t="n">
        <v>33629.044</v>
      </c>
      <c r="N14" s="0" t="n">
        <v>3708.913</v>
      </c>
      <c r="O14" s="0" t="n">
        <v>108.51</v>
      </c>
      <c r="P14" s="0" t="n">
        <v>107.292</v>
      </c>
      <c r="Q14" s="0" t="n">
        <v>2640.436</v>
      </c>
      <c r="R14" s="0" t="n">
        <v>2615.539</v>
      </c>
      <c r="S14" s="0" t="n">
        <v>8242.77</v>
      </c>
      <c r="T14" s="0" t="n">
        <v>6086.125</v>
      </c>
      <c r="U14" s="0" t="n">
        <v>4269.576</v>
      </c>
      <c r="V14" s="0" t="n">
        <v>126078.213</v>
      </c>
      <c r="W14" s="0" t="n">
        <v>400.913</v>
      </c>
      <c r="X14" s="0" t="n">
        <v>1035.066</v>
      </c>
      <c r="Y14" s="0" t="n">
        <v>108.51</v>
      </c>
      <c r="Z14" s="0" t="n">
        <v>1163.383</v>
      </c>
      <c r="AA14" s="0" t="n">
        <f aca="false">H14*x_c_F+I14*x_c_CC+J14*x_c_DC+K14*x_c_HCC+L14*x_c_PLT+M14*x_c_SVRn+N14*x_c_SVRcc+O14*x_c_LT+P14*x_c_LT1</f>
        <v>381579327.366183</v>
      </c>
      <c r="AB14" s="0" t="n">
        <f aca="false">C14*x_c_DAA</f>
        <v>76983424</v>
      </c>
      <c r="AC14" s="0" t="n">
        <f aca="false">C14*x_c_MON</f>
        <v>19499975.3270171</v>
      </c>
      <c r="AD14" s="0" t="n">
        <f aca="false">D14*(1-x_testy)</f>
        <v>0</v>
      </c>
      <c r="AE14" s="0" t="n">
        <f aca="false">E14*(1-x_testy)</f>
        <v>0</v>
      </c>
      <c r="AF14" s="0" t="n">
        <f aca="false">F14*x_NAV</f>
        <v>0</v>
      </c>
      <c r="AG14" s="0" t="n">
        <f aca="false">G14*x_FIX*(1-x_testy)</f>
        <v>0</v>
      </c>
      <c r="AH14" s="0" t="n">
        <f aca="false">x_z_F*U14+(1-x_AGRI)*x_EMP*x_WLOSS*(x_PEN_K74*Q14+x_PEN_C22*R14)</f>
        <v>42539713.7492393</v>
      </c>
      <c r="AI14" s="0" t="n">
        <f aca="false">x_AGRI*x_EMP*x_WLOSS*(x_PEN_K74*Q14+x_PEN_C22*R14)</f>
        <v>2231594.43617858</v>
      </c>
      <c r="AJ14" s="0" t="n">
        <f aca="false">x_EMP*x_WAGE*(x_WLOSS*(Q14+R14)+S14)+U14*x_ABS_D*x_WAGE/365</f>
        <v>887360009.049061</v>
      </c>
      <c r="AK14" s="0" t="n">
        <f aca="false">AJ14*x_R_FUS</f>
        <v>280760706.863123</v>
      </c>
      <c r="AL14" s="0" t="n">
        <f aca="false">AJ14*x_R_NFZ</f>
        <v>68913265.6627592</v>
      </c>
      <c r="AM14" s="0" t="n">
        <f aca="false">AJ14*x_R_PIT</f>
        <v>58995397.1047795</v>
      </c>
      <c r="AN14" s="0" t="n">
        <f aca="false">AJ14*x_R_FP</f>
        <v>22627680.2307511</v>
      </c>
      <c r="AO14" s="0" t="n">
        <f aca="false">AA14+AB14+AC14+AD14+AF14</f>
        <v>478062726.6932</v>
      </c>
      <c r="AP14" s="0" t="n">
        <f aca="false">AO14+AE14+AG14+AH14+AI14+AK14+AL14+AM14+AN14</f>
        <v>954131084.740031</v>
      </c>
      <c r="AQ14" s="0" t="n">
        <f aca="false">AO14+AE14+AG14+AJ14</f>
        <v>1365422735.74226</v>
      </c>
      <c r="AR14" s="0" t="n">
        <f aca="false">AB14+AC14+AD14+AF14</f>
        <v>96483399.3270171</v>
      </c>
      <c r="AS14" s="0" t="n">
        <f aca="false">AR14+AE14+AG14</f>
        <v>96483399.3270171</v>
      </c>
    </row>
    <row r="15" customFormat="false" ht="15" hidden="false" customHeight="false" outlineLevel="0" collapsed="false">
      <c r="A15" s="0" t="n">
        <v>2038</v>
      </c>
      <c r="B15" s="0" t="n">
        <v>12</v>
      </c>
      <c r="C15" s="0" t="n">
        <v>3382.4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5344.396</v>
      </c>
      <c r="I15" s="0" t="n">
        <v>820.931</v>
      </c>
      <c r="J15" s="0" t="n">
        <v>1972.171</v>
      </c>
      <c r="K15" s="0" t="n">
        <v>3390.203</v>
      </c>
      <c r="L15" s="0" t="n">
        <v>1372.842</v>
      </c>
      <c r="M15" s="0" t="n">
        <v>35915.26</v>
      </c>
      <c r="N15" s="0" t="n">
        <v>4001.266</v>
      </c>
      <c r="O15" s="0" t="n">
        <v>110.631</v>
      </c>
      <c r="P15" s="0" t="n">
        <v>109.57</v>
      </c>
      <c r="Q15" s="0" t="n">
        <v>1755.917</v>
      </c>
      <c r="R15" s="0" t="n">
        <v>1764.011</v>
      </c>
      <c r="S15" s="0" t="n">
        <v>5770.056</v>
      </c>
      <c r="T15" s="0" t="n">
        <v>6165.327</v>
      </c>
      <c r="U15" s="0" t="n">
        <v>3653.265</v>
      </c>
      <c r="V15" s="0" t="n">
        <v>127203.111</v>
      </c>
      <c r="W15" s="0" t="n">
        <v>404.915</v>
      </c>
      <c r="X15" s="0" t="n">
        <v>1042.418</v>
      </c>
      <c r="Y15" s="0" t="n">
        <v>110.631</v>
      </c>
      <c r="Z15" s="0" t="n">
        <v>1182.558</v>
      </c>
      <c r="AA15" s="0" t="n">
        <f aca="false">H15*x_c_F+I15*x_c_CC+J15*x_c_DC+K15*x_c_HCC+L15*x_c_PLT+M15*x_c_SVRn+N15*x_c_SVRcc+O15*x_c_LT+P15*x_c_LT1</f>
        <v>388801087.51986</v>
      </c>
      <c r="AB15" s="0" t="n">
        <f aca="false">C15*x_c_DAA</f>
        <v>76983424</v>
      </c>
      <c r="AC15" s="0" t="n">
        <f aca="false">C15*x_c_MON</f>
        <v>19499975.3270171</v>
      </c>
      <c r="AD15" s="0" t="n">
        <f aca="false">D15*(1-x_testy)</f>
        <v>0</v>
      </c>
      <c r="AE15" s="0" t="n">
        <f aca="false">E15*(1-x_testy)</f>
        <v>0</v>
      </c>
      <c r="AF15" s="0" t="n">
        <f aca="false">F15*x_NAV</f>
        <v>0</v>
      </c>
      <c r="AG15" s="0" t="n">
        <f aca="false">G15*x_FIX*(1-x_testy)</f>
        <v>0</v>
      </c>
      <c r="AH15" s="0" t="n">
        <f aca="false">x_z_F*U15+(1-x_AGRI)*x_EMP*x_WLOSS*(x_PEN_K74*Q15+x_PEN_C22*R15)</f>
        <v>30131267.2525287</v>
      </c>
      <c r="AI15" s="0" t="n">
        <f aca="false">x_AGRI*x_EMP*x_WLOSS*(x_PEN_K74*Q15+x_PEN_C22*R15)</f>
        <v>1495171.34939517</v>
      </c>
      <c r="AJ15" s="0" t="n">
        <f aca="false">x_EMP*x_WAGE*(x_WLOSS*(Q15+R15)+S15)+U15*x_ABS_D*x_WAGE/365</f>
        <v>617901424.239312</v>
      </c>
      <c r="AK15" s="0" t="n">
        <f aca="false">AJ15*x_R_FUS</f>
        <v>195504010.629318</v>
      </c>
      <c r="AL15" s="0" t="n">
        <f aca="false">AJ15*x_R_NFZ</f>
        <v>47986842.5078492</v>
      </c>
      <c r="AM15" s="0" t="n">
        <f aca="false">AJ15*x_R_PIT</f>
        <v>41080665.7082419</v>
      </c>
      <c r="AN15" s="0" t="n">
        <f aca="false">AJ15*x_R_FP</f>
        <v>15756486.3181024</v>
      </c>
      <c r="AO15" s="0" t="n">
        <f aca="false">AA15+AB15+AC15+AD15+AF15</f>
        <v>485284486.846877</v>
      </c>
      <c r="AP15" s="0" t="n">
        <f aca="false">AO15+AE15+AG15+AH15+AI15+AK15+AL15+AM15+AN15</f>
        <v>817238930.612312</v>
      </c>
      <c r="AQ15" s="0" t="n">
        <f aca="false">AO15+AE15+AG15+AJ15</f>
        <v>1103185911.08619</v>
      </c>
      <c r="AR15" s="0" t="n">
        <f aca="false">AB15+AC15+AD15+AF15</f>
        <v>96483399.3270171</v>
      </c>
      <c r="AS15" s="0" t="n">
        <f aca="false">AR15+AE15+AG15</f>
        <v>96483399.3270171</v>
      </c>
    </row>
    <row r="16" customFormat="false" ht="15" hidden="false" customHeight="false" outlineLevel="0" collapsed="false">
      <c r="A16" s="0" t="n">
        <v>2039</v>
      </c>
      <c r="B16" s="0" t="n">
        <v>13</v>
      </c>
      <c r="C16" s="0" t="n">
        <v>3382.4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5378.071</v>
      </c>
      <c r="I16" s="0" t="n">
        <v>835.716</v>
      </c>
      <c r="J16" s="0" t="n">
        <v>2004.713</v>
      </c>
      <c r="K16" s="0" t="n">
        <v>3430.318</v>
      </c>
      <c r="L16" s="0" t="n">
        <v>1367.713</v>
      </c>
      <c r="M16" s="0" t="n">
        <v>38139.131</v>
      </c>
      <c r="N16" s="0" t="n">
        <v>4281.468</v>
      </c>
      <c r="O16" s="0" t="n">
        <v>112.378</v>
      </c>
      <c r="P16" s="0" t="n">
        <v>111.505</v>
      </c>
      <c r="Q16" s="0" t="n">
        <v>853.319</v>
      </c>
      <c r="R16" s="0" t="n">
        <v>891.283</v>
      </c>
      <c r="S16" s="0" t="n">
        <v>3022.939</v>
      </c>
      <c r="T16" s="0" t="n">
        <v>6213.786</v>
      </c>
      <c r="U16" s="0" t="n">
        <v>3045.633</v>
      </c>
      <c r="V16" s="0" t="n">
        <v>128294.985</v>
      </c>
      <c r="W16" s="0" t="n">
        <v>407.138</v>
      </c>
      <c r="X16" s="0" t="n">
        <v>1045.751</v>
      </c>
      <c r="Y16" s="0" t="n">
        <v>112.378</v>
      </c>
      <c r="Z16" s="0" t="n">
        <v>1197.413</v>
      </c>
      <c r="AA16" s="0" t="n">
        <f aca="false">H16*x_c_F+I16*x_c_CC+J16*x_c_DC+K16*x_c_HCC+L16*x_c_PLT+M16*x_c_SVRn+N16*x_c_SVRcc+O16*x_c_LT+P16*x_c_LT1</f>
        <v>394748525.606695</v>
      </c>
      <c r="AB16" s="0" t="n">
        <f aca="false">C16*x_c_DAA</f>
        <v>76983424</v>
      </c>
      <c r="AC16" s="0" t="n">
        <f aca="false">C16*x_c_MON</f>
        <v>19499975.3270171</v>
      </c>
      <c r="AD16" s="0" t="n">
        <f aca="false">D16*(1-x_testy)</f>
        <v>0</v>
      </c>
      <c r="AE16" s="0" t="n">
        <f aca="false">E16*(1-x_testy)</f>
        <v>0</v>
      </c>
      <c r="AF16" s="0" t="n">
        <f aca="false">F16*x_NAV</f>
        <v>0</v>
      </c>
      <c r="AG16" s="0" t="n">
        <f aca="false">G16*x_FIX*(1-x_testy)</f>
        <v>0</v>
      </c>
      <c r="AH16" s="0" t="n">
        <f aca="false">x_z_F*U16+(1-x_AGRI)*x_EMP*x_WLOSS*(x_PEN_K74*Q16+x_PEN_C22*R16)</f>
        <v>17486997.2004282</v>
      </c>
      <c r="AI16" s="0" t="n">
        <f aca="false">x_AGRI*x_EMP*x_WLOSS*(x_PEN_K74*Q16+x_PEN_C22*R16)</f>
        <v>741981.375968534</v>
      </c>
      <c r="AJ16" s="0" t="n">
        <f aca="false">x_EMP*x_WAGE*(x_WLOSS*(Q16+R16)+S16)+U16*x_ABS_D*x_WAGE/365</f>
        <v>323786938.022257</v>
      </c>
      <c r="AK16" s="0" t="n">
        <f aca="false">AJ16*x_R_FUS</f>
        <v>102446187.190242</v>
      </c>
      <c r="AL16" s="0" t="n">
        <f aca="false">AJ16*x_R_NFZ</f>
        <v>25145617.3937465</v>
      </c>
      <c r="AM16" s="0" t="n">
        <f aca="false">AJ16*x_R_PIT</f>
        <v>21526707.0762342</v>
      </c>
      <c r="AN16" s="0" t="n">
        <f aca="false">AJ16*x_R_FP</f>
        <v>8256566.91956755</v>
      </c>
      <c r="AO16" s="0" t="n">
        <f aca="false">AA16+AB16+AC16+AD16+AF16</f>
        <v>491231924.933713</v>
      </c>
      <c r="AP16" s="0" t="n">
        <f aca="false">AO16+AE16+AG16+AH16+AI16+AK16+AL16+AM16+AN16</f>
        <v>666835982.0899</v>
      </c>
      <c r="AQ16" s="0" t="n">
        <f aca="false">AO16+AE16+AG16+AJ16</f>
        <v>815018862.955969</v>
      </c>
      <c r="AR16" s="0" t="n">
        <f aca="false">AB16+AC16+AD16+AF16</f>
        <v>96483399.3270171</v>
      </c>
      <c r="AS16" s="0" t="n">
        <f aca="false">AR16+AE16+AG16</f>
        <v>96483399.3270171</v>
      </c>
    </row>
    <row r="17" customFormat="false" ht="15" hidden="false" customHeight="false" outlineLevel="0" collapsed="false">
      <c r="A17" s="0" t="n">
        <v>2040</v>
      </c>
      <c r="B17" s="0" t="n">
        <v>14</v>
      </c>
      <c r="C17" s="0" t="n">
        <v>3382.4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5389.767</v>
      </c>
      <c r="I17" s="0" t="n">
        <v>843.321</v>
      </c>
      <c r="J17" s="0" t="n">
        <v>2030.25</v>
      </c>
      <c r="K17" s="0" t="n">
        <v>3456.868</v>
      </c>
      <c r="L17" s="0" t="n">
        <v>1362.355</v>
      </c>
      <c r="M17" s="0" t="n">
        <v>40300.372</v>
      </c>
      <c r="N17" s="0" t="n">
        <v>4547.105</v>
      </c>
      <c r="O17" s="0" t="n">
        <v>113.716</v>
      </c>
      <c r="P17" s="0" t="n">
        <v>113.047</v>
      </c>
      <c r="Q17" s="0" t="n">
        <v>888.159</v>
      </c>
      <c r="R17" s="0" t="n">
        <v>938.25</v>
      </c>
      <c r="S17" s="0" t="n">
        <v>3332.364</v>
      </c>
      <c r="T17" s="0" t="n">
        <v>6233.087</v>
      </c>
      <c r="U17" s="0" t="n">
        <v>3185.906</v>
      </c>
      <c r="V17" s="0" t="n">
        <v>129352.322</v>
      </c>
      <c r="W17" s="0" t="n">
        <v>407.697</v>
      </c>
      <c r="X17" s="0" t="n">
        <v>1045.364</v>
      </c>
      <c r="Y17" s="0" t="n">
        <v>113.716</v>
      </c>
      <c r="Z17" s="0" t="n">
        <v>1207.768</v>
      </c>
      <c r="AA17" s="0" t="n">
        <f aca="false">H17*x_c_F+I17*x_c_CC+J17*x_c_DC+K17*x_c_HCC+L17*x_c_PLT+M17*x_c_SVRn+N17*x_c_SVRcc+O17*x_c_LT+P17*x_c_LT1</f>
        <v>399368085.518063</v>
      </c>
      <c r="AB17" s="0" t="n">
        <f aca="false">C17*x_c_DAA</f>
        <v>76983424</v>
      </c>
      <c r="AC17" s="0" t="n">
        <f aca="false">C17*x_c_MON</f>
        <v>19499975.3270171</v>
      </c>
      <c r="AD17" s="0" t="n">
        <f aca="false">D17*(1-x_testy)</f>
        <v>0</v>
      </c>
      <c r="AE17" s="0" t="n">
        <f aca="false">E17*(1-x_testy)</f>
        <v>0</v>
      </c>
      <c r="AF17" s="0" t="n">
        <f aca="false">F17*x_NAV</f>
        <v>0</v>
      </c>
      <c r="AG17" s="0" t="n">
        <f aca="false">G17*x_FIX*(1-x_testy)</f>
        <v>0</v>
      </c>
      <c r="AH17" s="0" t="n">
        <f aca="false">x_z_F*U17+(1-x_AGRI)*x_EMP*x_WLOSS*(x_PEN_K74*Q17+x_PEN_C22*R17)</f>
        <v>18306010.611308</v>
      </c>
      <c r="AI17" s="0" t="n">
        <f aca="false">x_AGRI*x_EMP*x_WLOSS*(x_PEN_K74*Q17+x_PEN_C22*R17)</f>
        <v>777054.684912755</v>
      </c>
      <c r="AJ17" s="0" t="n">
        <f aca="false">x_EMP*x_WAGE*(x_WLOSS*(Q17+R17)+S17)+U17*x_ABS_D*x_WAGE/365</f>
        <v>353258368.73524</v>
      </c>
      <c r="AK17" s="0" t="n">
        <f aca="false">AJ17*x_R_FUS</f>
        <v>111770947.86783</v>
      </c>
      <c r="AL17" s="0" t="n">
        <f aca="false">AJ17*x_R_NFZ</f>
        <v>27434398.1743475</v>
      </c>
      <c r="AM17" s="0" t="n">
        <f aca="false">AJ17*x_R_PIT</f>
        <v>23486090.7992191</v>
      </c>
      <c r="AN17" s="0" t="n">
        <f aca="false">AJ17*x_R_FP</f>
        <v>9008088.40274862</v>
      </c>
      <c r="AO17" s="0" t="n">
        <f aca="false">AA17+AB17+AC17+AD17+AF17</f>
        <v>495851484.84508</v>
      </c>
      <c r="AP17" s="0" t="n">
        <f aca="false">AO17+AE17+AG17+AH17+AI17+AK17+AL17+AM17+AN17</f>
        <v>686634075.385445</v>
      </c>
      <c r="AQ17" s="0" t="n">
        <f aca="false">AO17+AE17+AG17+AJ17</f>
        <v>849109853.58032</v>
      </c>
      <c r="AR17" s="0" t="n">
        <f aca="false">AB17+AC17+AD17+AF17</f>
        <v>96483399.3270171</v>
      </c>
      <c r="AS17" s="0" t="n">
        <f aca="false">AR17+AE17+AG17</f>
        <v>96483399.3270171</v>
      </c>
    </row>
    <row r="18" customFormat="false" ht="15" hidden="false" customHeight="false" outlineLevel="0" collapsed="false">
      <c r="A18" s="0" t="n">
        <v>2041</v>
      </c>
      <c r="B18" s="0" t="n">
        <v>15</v>
      </c>
      <c r="C18" s="0" t="n">
        <v>3382.4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5380.964</v>
      </c>
      <c r="I18" s="0" t="n">
        <v>844.106</v>
      </c>
      <c r="J18" s="0" t="n">
        <v>2048.435</v>
      </c>
      <c r="K18" s="0" t="n">
        <v>3470.299</v>
      </c>
      <c r="L18" s="0" t="n">
        <v>1356.405</v>
      </c>
      <c r="M18" s="0" t="n">
        <v>42400.439</v>
      </c>
      <c r="N18" s="0" t="n">
        <v>4796.228</v>
      </c>
      <c r="O18" s="0" t="n">
        <v>114.633</v>
      </c>
      <c r="P18" s="0" t="n">
        <v>114.174</v>
      </c>
      <c r="Q18" s="0" t="n">
        <v>925.088</v>
      </c>
      <c r="R18" s="0" t="n">
        <v>987.602</v>
      </c>
      <c r="S18" s="0" t="n">
        <v>3656.713</v>
      </c>
      <c r="T18" s="0" t="n">
        <v>6225.07</v>
      </c>
      <c r="U18" s="0" t="n">
        <v>3309.635</v>
      </c>
      <c r="V18" s="0" t="n">
        <v>130378.13</v>
      </c>
      <c r="W18" s="0" t="n">
        <v>406.756</v>
      </c>
      <c r="X18" s="0" t="n">
        <v>1041.663</v>
      </c>
      <c r="Y18" s="0" t="n">
        <v>114.633</v>
      </c>
      <c r="Z18" s="0" t="n">
        <v>1213.701</v>
      </c>
      <c r="AA18" s="0" t="n">
        <f aca="false">H18*x_c_F+I18*x_c_CC+J18*x_c_DC+K18*x_c_HCC+L18*x_c_PLT+M18*x_c_SVRn+N18*x_c_SVRcc+O18*x_c_LT+P18*x_c_LT1</f>
        <v>402666730.681806</v>
      </c>
      <c r="AB18" s="0" t="n">
        <f aca="false">C18*x_c_DAA</f>
        <v>76983424</v>
      </c>
      <c r="AC18" s="0" t="n">
        <f aca="false">C18*x_c_MON</f>
        <v>19499975.3270171</v>
      </c>
      <c r="AD18" s="0" t="n">
        <f aca="false">D18*(1-x_testy)</f>
        <v>0</v>
      </c>
      <c r="AE18" s="0" t="n">
        <f aca="false">E18*(1-x_testy)</f>
        <v>0</v>
      </c>
      <c r="AF18" s="0" t="n">
        <f aca="false">F18*x_NAV</f>
        <v>0</v>
      </c>
      <c r="AG18" s="0" t="n">
        <f aca="false">G18*x_FIX*(1-x_testy)</f>
        <v>0</v>
      </c>
      <c r="AH18" s="0" t="n">
        <f aca="false">x_z_F*U18+(1-x_AGRI)*x_EMP*x_WLOSS*(x_PEN_K74*Q18+x_PEN_C22*R18)</f>
        <v>19119880.1185658</v>
      </c>
      <c r="AI18" s="0" t="n">
        <f aca="false">x_AGRI*x_EMP*x_WLOSS*(x_PEN_K74*Q18+x_PEN_C22*R18)</f>
        <v>814036.180375953</v>
      </c>
      <c r="AJ18" s="0" t="n">
        <f aca="false">x_EMP*x_WAGE*(x_WLOSS*(Q18+R18)+S18)+U18*x_ABS_D*x_WAGE/365</f>
        <v>384100071.464062</v>
      </c>
      <c r="AK18" s="0" t="n">
        <f aca="false">AJ18*x_R_FUS</f>
        <v>121529262.611229</v>
      </c>
      <c r="AL18" s="0" t="n">
        <f aca="false">AJ18*x_R_NFZ</f>
        <v>29829595.6499705</v>
      </c>
      <c r="AM18" s="0" t="n">
        <f aca="false">AJ18*x_R_PIT</f>
        <v>25536575.92512</v>
      </c>
      <c r="AN18" s="0" t="n">
        <f aca="false">AJ18*x_R_FP</f>
        <v>9794551.82233357</v>
      </c>
      <c r="AO18" s="0" t="n">
        <f aca="false">AA18+AB18+AC18+AD18+AF18</f>
        <v>499150130.008823</v>
      </c>
      <c r="AP18" s="0" t="n">
        <f aca="false">AO18+AE18+AG18+AH18+AI18+AK18+AL18+AM18+AN18</f>
        <v>705774032.316418</v>
      </c>
      <c r="AQ18" s="0" t="n">
        <f aca="false">AO18+AE18+AG18+AJ18</f>
        <v>883250201.472885</v>
      </c>
      <c r="AR18" s="0" t="n">
        <f aca="false">AB18+AC18+AD18+AF18</f>
        <v>96483399.3270171</v>
      </c>
      <c r="AS18" s="0" t="n">
        <f aca="false">AR18+AE18+AG18</f>
        <v>96483399.3270171</v>
      </c>
    </row>
    <row r="19" customFormat="false" ht="15" hidden="false" customHeight="false" outlineLevel="0" collapsed="false">
      <c r="A19" s="0" t="n">
        <v>2042</v>
      </c>
      <c r="B19" s="0" t="n">
        <v>16</v>
      </c>
      <c r="C19" s="0" t="n">
        <v>3382.4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5353.176</v>
      </c>
      <c r="I19" s="0" t="n">
        <v>838.605</v>
      </c>
      <c r="J19" s="0" t="n">
        <v>2059.116</v>
      </c>
      <c r="K19" s="0" t="n">
        <v>3471.31</v>
      </c>
      <c r="L19" s="0" t="n">
        <v>1349.305</v>
      </c>
      <c r="M19" s="0" t="n">
        <v>44438.505</v>
      </c>
      <c r="N19" s="0" t="n">
        <v>5026.887</v>
      </c>
      <c r="O19" s="0" t="n">
        <v>115.116</v>
      </c>
      <c r="P19" s="0" t="n">
        <v>114.874</v>
      </c>
      <c r="Q19" s="0" t="n">
        <v>964.216</v>
      </c>
      <c r="R19" s="0" t="n">
        <v>1039.542</v>
      </c>
      <c r="S19" s="0" t="n">
        <v>3996.584</v>
      </c>
      <c r="T19" s="0" t="n">
        <v>6191.781</v>
      </c>
      <c r="U19" s="0" t="n">
        <v>3415.909</v>
      </c>
      <c r="V19" s="0" t="n">
        <v>131374.588</v>
      </c>
      <c r="W19" s="0" t="n">
        <v>404.469</v>
      </c>
      <c r="X19" s="0" t="n">
        <v>1035.013</v>
      </c>
      <c r="Y19" s="0" t="n">
        <v>115.116</v>
      </c>
      <c r="Z19" s="0" t="n">
        <v>1215.231</v>
      </c>
      <c r="AA19" s="0" t="n">
        <f aca="false">H19*x_c_F+I19*x_c_CC+J19*x_c_DC+K19*x_c_HCC+L19*x_c_PLT+M19*x_c_SVRn+N19*x_c_SVRcc+O19*x_c_LT+P19*x_c_LT1</f>
        <v>404664431.396645</v>
      </c>
      <c r="AB19" s="0" t="n">
        <f aca="false">C19*x_c_DAA</f>
        <v>76983424</v>
      </c>
      <c r="AC19" s="0" t="n">
        <f aca="false">C19*x_c_MON</f>
        <v>19499975.3270171</v>
      </c>
      <c r="AD19" s="0" t="n">
        <f aca="false">D19*(1-x_testy)</f>
        <v>0</v>
      </c>
      <c r="AE19" s="0" t="n">
        <f aca="false">E19*(1-x_testy)</f>
        <v>0</v>
      </c>
      <c r="AF19" s="0" t="n">
        <f aca="false">F19*x_NAV</f>
        <v>0</v>
      </c>
      <c r="AG19" s="0" t="n">
        <f aca="false">G19*x_FIX*(1-x_testy)</f>
        <v>0</v>
      </c>
      <c r="AH19" s="0" t="n">
        <f aca="false">x_z_F*U19+(1-x_AGRI)*x_EMP*x_WLOSS*(x_PEN_K74*Q19+x_PEN_C22*R19)</f>
        <v>19928782.131268</v>
      </c>
      <c r="AI19" s="0" t="n">
        <f aca="false">x_AGRI*x_EMP*x_WLOSS*(x_PEN_K74*Q19+x_PEN_C22*R19)</f>
        <v>853061.319798947</v>
      </c>
      <c r="AJ19" s="0" t="n">
        <f aca="false">x_EMP*x_WAGE*(x_WLOSS*(Q19+R19)+S19)+U19*x_ABS_D*x_WAGE/365</f>
        <v>416370600.974149</v>
      </c>
      <c r="AK19" s="0" t="n">
        <f aca="false">AJ19*x_R_FUS</f>
        <v>131739658.148221</v>
      </c>
      <c r="AL19" s="0" t="n">
        <f aca="false">AJ19*x_R_NFZ</f>
        <v>32335757.2422534</v>
      </c>
      <c r="AM19" s="0" t="n">
        <f aca="false">AJ19*x_R_PIT</f>
        <v>27682055.4191411</v>
      </c>
      <c r="AN19" s="0" t="n">
        <f aca="false">AJ19*x_R_FP</f>
        <v>10617450.3248408</v>
      </c>
      <c r="AO19" s="0" t="n">
        <f aca="false">AA19+AB19+AC19+AD19+AF19</f>
        <v>501147830.723662</v>
      </c>
      <c r="AP19" s="0" t="n">
        <f aca="false">AO19+AE19+AG19+AH19+AI19+AK19+AL19+AM19+AN19</f>
        <v>724304595.309185</v>
      </c>
      <c r="AQ19" s="0" t="n">
        <f aca="false">AO19+AE19+AG19+AJ19</f>
        <v>917518431.697811</v>
      </c>
      <c r="AR19" s="0" t="n">
        <f aca="false">AB19+AC19+AD19+AF19</f>
        <v>96483399.3270171</v>
      </c>
      <c r="AS19" s="0" t="n">
        <f aca="false">AR19+AE19+AG19</f>
        <v>96483399.3270171</v>
      </c>
    </row>
    <row r="20" customFormat="false" ht="15" hidden="false" customHeight="false" outlineLevel="0" collapsed="false">
      <c r="A20" s="0" t="n">
        <v>2043</v>
      </c>
      <c r="B20" s="0" t="n">
        <v>17</v>
      </c>
      <c r="C20" s="0" t="n">
        <v>3382.4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5308.516</v>
      </c>
      <c r="I20" s="0" t="n">
        <v>827.704</v>
      </c>
      <c r="J20" s="0" t="n">
        <v>2063.128</v>
      </c>
      <c r="K20" s="0" t="n">
        <v>3461.961</v>
      </c>
      <c r="L20" s="0" t="n">
        <v>1341.431</v>
      </c>
      <c r="M20" s="0" t="n">
        <v>46427.657</v>
      </c>
      <c r="N20" s="0" t="n">
        <v>5239.597</v>
      </c>
      <c r="O20" s="0" t="n">
        <v>115.27</v>
      </c>
      <c r="P20" s="0" t="n">
        <v>115.193</v>
      </c>
      <c r="Q20" s="0" t="n">
        <v>1005.653</v>
      </c>
      <c r="R20" s="0" t="n">
        <v>1094.225</v>
      </c>
      <c r="S20" s="0" t="n">
        <v>4352.582</v>
      </c>
      <c r="T20" s="0" t="n">
        <v>6136.22</v>
      </c>
      <c r="U20" s="0" t="n">
        <v>3504.227</v>
      </c>
      <c r="V20" s="0" t="n">
        <v>132366.577</v>
      </c>
      <c r="W20" s="0" t="n">
        <v>401.249</v>
      </c>
      <c r="X20" s="0" t="n">
        <v>1026.433</v>
      </c>
      <c r="Y20" s="0" t="n">
        <v>115.27</v>
      </c>
      <c r="Z20" s="0" t="n">
        <v>1213.559</v>
      </c>
      <c r="AA20" s="0" t="n">
        <f aca="false">H20*x_c_F+I20*x_c_CC+J20*x_c_DC+K20*x_c_HCC+L20*x_c_PLT+M20*x_c_SVRn+N20*x_c_SVRcc+O20*x_c_LT+P20*x_c_LT1</f>
        <v>405576419.570875</v>
      </c>
      <c r="AB20" s="0" t="n">
        <f aca="false">C20*x_c_DAA</f>
        <v>76983424</v>
      </c>
      <c r="AC20" s="0" t="n">
        <f aca="false">C20*x_c_MON</f>
        <v>19499975.3270171</v>
      </c>
      <c r="AD20" s="0" t="n">
        <f aca="false">D20*(1-x_testy)</f>
        <v>0</v>
      </c>
      <c r="AE20" s="0" t="n">
        <f aca="false">E20*(1-x_testy)</f>
        <v>0</v>
      </c>
      <c r="AF20" s="0" t="n">
        <f aca="false">F20*x_NAV</f>
        <v>0</v>
      </c>
      <c r="AG20" s="0" t="n">
        <f aca="false">G20*x_FIX*(1-x_testy)</f>
        <v>0</v>
      </c>
      <c r="AH20" s="0" t="n">
        <f aca="false">x_z_F*U20+(1-x_AGRI)*x_EMP*x_WLOSS*(x_PEN_K74*Q20+x_PEN_C22*R20)</f>
        <v>20733407.8574948</v>
      </c>
      <c r="AI20" s="0" t="n">
        <f aca="false">x_AGRI*x_EMP*x_WLOSS*(x_PEN_K74*Q20+x_PEN_C22*R20)</f>
        <v>894243.872341883</v>
      </c>
      <c r="AJ20" s="0" t="n">
        <f aca="false">x_EMP*x_WAGE*(x_WLOSS*(Q20+R20)+S20)+U20*x_ABS_D*x_WAGE/365</f>
        <v>450128742.074792</v>
      </c>
      <c r="AK20" s="0" t="n">
        <f aca="false">AJ20*x_R_FUS</f>
        <v>142420733.992464</v>
      </c>
      <c r="AL20" s="0" t="n">
        <f aca="false">AJ20*x_R_NFZ</f>
        <v>34957448.2382704</v>
      </c>
      <c r="AM20" s="0" t="n">
        <f aca="false">AJ20*x_R_PIT</f>
        <v>29926437.5407626</v>
      </c>
      <c r="AN20" s="0" t="n">
        <f aca="false">AJ20*x_R_FP</f>
        <v>11478282.9229072</v>
      </c>
      <c r="AO20" s="0" t="n">
        <f aca="false">AA20+AB20+AC20+AD20+AF20</f>
        <v>502059818.897892</v>
      </c>
      <c r="AP20" s="0" t="n">
        <f aca="false">AO20+AE20+AG20+AH20+AI20+AK20+AL20+AM20+AN20</f>
        <v>742470373.322133</v>
      </c>
      <c r="AQ20" s="0" t="n">
        <f aca="false">AO20+AE20+AG20+AJ20</f>
        <v>952188560.972684</v>
      </c>
      <c r="AR20" s="0" t="n">
        <f aca="false">AB20+AC20+AD20+AF20</f>
        <v>96483399.3270171</v>
      </c>
      <c r="AS20" s="0" t="n">
        <f aca="false">AR20+AE20+AG20</f>
        <v>96483399.3270171</v>
      </c>
    </row>
    <row r="21" customFormat="false" ht="15" hidden="false" customHeight="false" outlineLevel="0" collapsed="false">
      <c r="A21" s="0" t="n">
        <v>2044</v>
      </c>
      <c r="B21" s="0" t="n">
        <v>18</v>
      </c>
      <c r="C21" s="0" t="n">
        <v>3382.4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5249.324</v>
      </c>
      <c r="I21" s="0" t="n">
        <v>812.424</v>
      </c>
      <c r="J21" s="0" t="n">
        <v>2061.506</v>
      </c>
      <c r="K21" s="0" t="n">
        <v>3444.508</v>
      </c>
      <c r="L21" s="0" t="n">
        <v>1333.139</v>
      </c>
      <c r="M21" s="0" t="n">
        <v>48380.726</v>
      </c>
      <c r="N21" s="0" t="n">
        <v>5435.334</v>
      </c>
      <c r="O21" s="0" t="n">
        <v>115.105</v>
      </c>
      <c r="P21" s="0" t="n">
        <v>115.188</v>
      </c>
      <c r="Q21" s="0" t="n">
        <v>1049.515</v>
      </c>
      <c r="R21" s="0" t="n">
        <v>1151.764</v>
      </c>
      <c r="S21" s="0" t="n">
        <v>4725.404</v>
      </c>
      <c r="T21" s="0" t="n">
        <v>6061.748</v>
      </c>
      <c r="U21" s="0" t="n">
        <v>3574.63</v>
      </c>
      <c r="V21" s="0" t="n">
        <v>133378.108</v>
      </c>
      <c r="W21" s="0" t="n">
        <v>397.288</v>
      </c>
      <c r="X21" s="0" t="n">
        <v>1016.347</v>
      </c>
      <c r="Y21" s="0" t="n">
        <v>115.105</v>
      </c>
      <c r="Z21" s="0" t="n">
        <v>1208.881</v>
      </c>
      <c r="AA21" s="0" t="n">
        <f aca="false">H21*x_c_F+I21*x_c_CC+J21*x_c_DC+K21*x_c_HCC+L21*x_c_PLT+M21*x_c_SVRn+N21*x_c_SVRcc+O21*x_c_LT+P21*x_c_LT1</f>
        <v>405603692.470708</v>
      </c>
      <c r="AB21" s="0" t="n">
        <f aca="false">C21*x_c_DAA</f>
        <v>76983424</v>
      </c>
      <c r="AC21" s="0" t="n">
        <f aca="false">C21*x_c_MON</f>
        <v>19499975.3270171</v>
      </c>
      <c r="AD21" s="0" t="n">
        <f aca="false">D21*(1-x_testy)</f>
        <v>0</v>
      </c>
      <c r="AE21" s="0" t="n">
        <f aca="false">E21*(1-x_testy)</f>
        <v>0</v>
      </c>
      <c r="AF21" s="0" t="n">
        <f aca="false">F21*x_NAV</f>
        <v>0</v>
      </c>
      <c r="AG21" s="0" t="n">
        <f aca="false">G21*x_FIX*(1-x_testy)</f>
        <v>0</v>
      </c>
      <c r="AH21" s="0" t="n">
        <f aca="false">x_z_F*U21+(1-x_AGRI)*x_EMP*x_WLOSS*(x_PEN_K74*Q21+x_PEN_C22*R21)</f>
        <v>21535311.7895913</v>
      </c>
      <c r="AI21" s="0" t="n">
        <f aca="false">x_AGRI*x_EMP*x_WLOSS*(x_PEN_K74*Q21+x_PEN_C22*R21)</f>
        <v>937681.015414981</v>
      </c>
      <c r="AJ21" s="0" t="n">
        <f aca="false">x_EMP*x_WAGE*(x_WLOSS*(Q21+R21)+S21)+U21*x_ABS_D*x_WAGE/365</f>
        <v>485441537.275197</v>
      </c>
      <c r="AK21" s="0" t="n">
        <f aca="false">AJ21*x_R_FUS</f>
        <v>153593702.393872</v>
      </c>
      <c r="AL21" s="0" t="n">
        <f aca="false">AJ21*x_R_NFZ</f>
        <v>37699875.2263291</v>
      </c>
      <c r="AM21" s="0" t="n">
        <f aca="false">AJ21*x_R_PIT</f>
        <v>32274179.5558216</v>
      </c>
      <c r="AN21" s="0" t="n">
        <f aca="false">AJ21*x_R_FP</f>
        <v>12378759.2005175</v>
      </c>
      <c r="AO21" s="0" t="n">
        <f aca="false">AA21+AB21+AC21+AD21+AF21</f>
        <v>502087091.797725</v>
      </c>
      <c r="AP21" s="0" t="n">
        <f aca="false">AO21+AE21+AG21+AH21+AI21+AK21+AL21+AM21+AN21</f>
        <v>760506600.979272</v>
      </c>
      <c r="AQ21" s="0" t="n">
        <f aca="false">AO21+AE21+AG21+AJ21</f>
        <v>987528629.072922</v>
      </c>
      <c r="AR21" s="0" t="n">
        <f aca="false">AB21+AC21+AD21+AF21</f>
        <v>96483399.3270171</v>
      </c>
      <c r="AS21" s="0" t="n">
        <f aca="false">AR21+AE21+AG21</f>
        <v>96483399.3270171</v>
      </c>
    </row>
    <row r="22" customFormat="false" ht="15" hidden="false" customHeight="false" outlineLevel="0" collapsed="false">
      <c r="A22" s="0" t="n">
        <v>2045</v>
      </c>
      <c r="B22" s="0" t="n">
        <v>19</v>
      </c>
      <c r="C22" s="0" t="n">
        <v>3382.4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5177.753</v>
      </c>
      <c r="I22" s="0" t="n">
        <v>793.73</v>
      </c>
      <c r="J22" s="0" t="n">
        <v>2054.955</v>
      </c>
      <c r="K22" s="0" t="n">
        <v>3420.612</v>
      </c>
      <c r="L22" s="0" t="n">
        <v>1324.129</v>
      </c>
      <c r="M22" s="0" t="n">
        <v>50300.678</v>
      </c>
      <c r="N22" s="0" t="n">
        <v>5614.162</v>
      </c>
      <c r="O22" s="0" t="n">
        <v>114.685</v>
      </c>
      <c r="P22" s="0" t="n">
        <v>114.895</v>
      </c>
      <c r="Q22" s="0" t="n">
        <v>1095.9</v>
      </c>
      <c r="R22" s="0" t="n">
        <v>1212.212</v>
      </c>
      <c r="S22" s="0" t="n">
        <v>5115.729</v>
      </c>
      <c r="T22" s="0" t="n">
        <v>5971.484</v>
      </c>
      <c r="U22" s="0" t="n">
        <v>3627.619</v>
      </c>
      <c r="V22" s="0" t="n">
        <v>134417.026</v>
      </c>
      <c r="W22" s="0" t="n">
        <v>392.88</v>
      </c>
      <c r="X22" s="0" t="n">
        <v>1005.445</v>
      </c>
      <c r="Y22" s="0" t="n">
        <v>114.685</v>
      </c>
      <c r="Z22" s="0" t="n">
        <v>1201.937</v>
      </c>
      <c r="AA22" s="0" t="n">
        <f aca="false">H22*x_c_F+I22*x_c_CC+J22*x_c_DC+K22*x_c_HCC+L22*x_c_PLT+M22*x_c_SVRn+N22*x_c_SVRcc+O22*x_c_LT+P22*x_c_LT1</f>
        <v>404891136.303551</v>
      </c>
      <c r="AB22" s="0" t="n">
        <f aca="false">C22*x_c_DAA</f>
        <v>76983424</v>
      </c>
      <c r="AC22" s="0" t="n">
        <f aca="false">C22*x_c_MON</f>
        <v>19499975.3270171</v>
      </c>
      <c r="AD22" s="0" t="n">
        <f aca="false">D22*(1-x_testy)</f>
        <v>0</v>
      </c>
      <c r="AE22" s="0" t="n">
        <f aca="false">E22*(1-x_testy)</f>
        <v>0</v>
      </c>
      <c r="AF22" s="0" t="n">
        <f aca="false">F22*x_NAV</f>
        <v>0</v>
      </c>
      <c r="AG22" s="0" t="n">
        <f aca="false">G22*x_FIX*(1-x_testy)</f>
        <v>0</v>
      </c>
      <c r="AH22" s="0" t="n">
        <f aca="false">x_z_F*U22+(1-x_AGRI)*x_EMP*x_WLOSS*(x_PEN_K74*Q22+x_PEN_C22*R22)</f>
        <v>22336475.7128502</v>
      </c>
      <c r="AI22" s="0" t="n">
        <f aca="false">x_AGRI*x_EMP*x_WLOSS*(x_PEN_K74*Q22+x_PEN_C22*R22)</f>
        <v>983435.659590631</v>
      </c>
      <c r="AJ22" s="0" t="n">
        <f aca="false">x_EMP*x_WAGE*(x_WLOSS*(Q22+R22)+S22)+U22*x_ABS_D*x_WAGE/365</f>
        <v>522373292.540922</v>
      </c>
      <c r="AK22" s="0" t="n">
        <f aca="false">AJ22*x_R_FUS</f>
        <v>165278909.759948</v>
      </c>
      <c r="AL22" s="0" t="n">
        <f aca="false">AJ22*x_R_NFZ</f>
        <v>40568032.2720205</v>
      </c>
      <c r="AM22" s="0" t="n">
        <f aca="false">AJ22*x_R_PIT</f>
        <v>34729556.7933116</v>
      </c>
      <c r="AN22" s="0" t="n">
        <f aca="false">AJ22*x_R_FP</f>
        <v>13320518.9597935</v>
      </c>
      <c r="AO22" s="0" t="n">
        <f aca="false">AA22+AB22+AC22+AD22+AF22</f>
        <v>501374535.630568</v>
      </c>
      <c r="AP22" s="0" t="n">
        <f aca="false">AO22+AE22+AG22+AH22+AI22+AK22+AL22+AM22+AN22</f>
        <v>778591464.788082</v>
      </c>
      <c r="AQ22" s="0" t="n">
        <f aca="false">AO22+AE22+AG22+AJ22</f>
        <v>1023747828.17149</v>
      </c>
      <c r="AR22" s="0" t="n">
        <f aca="false">AB22+AC22+AD22+AF22</f>
        <v>96483399.3270171</v>
      </c>
      <c r="AS22" s="0" t="n">
        <f aca="false">AR22+AE22+AG22</f>
        <v>96483399.3270171</v>
      </c>
    </row>
    <row r="23" customFormat="false" ht="15" hidden="false" customHeight="false" outlineLevel="0" collapsed="false">
      <c r="A23" s="0" t="n">
        <v>2046</v>
      </c>
      <c r="B23" s="0" t="n">
        <v>20</v>
      </c>
      <c r="C23" s="0" t="n">
        <v>3382.4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5096.071</v>
      </c>
      <c r="I23" s="0" t="n">
        <v>772.622</v>
      </c>
      <c r="J23" s="0" t="n">
        <v>2044.587</v>
      </c>
      <c r="K23" s="0" t="n">
        <v>3392.379</v>
      </c>
      <c r="L23" s="0" t="n">
        <v>1314.611</v>
      </c>
      <c r="M23" s="0" t="n">
        <v>52196.809</v>
      </c>
      <c r="N23" s="0" t="n">
        <v>5777.475</v>
      </c>
      <c r="O23" s="0" t="n">
        <v>114.069</v>
      </c>
      <c r="P23" s="0" t="n">
        <v>114.377</v>
      </c>
      <c r="Q23" s="0" t="n">
        <v>1144.868</v>
      </c>
      <c r="R23" s="0" t="n">
        <v>1275.542</v>
      </c>
      <c r="S23" s="0" t="n">
        <v>5524.157</v>
      </c>
      <c r="T23" s="0" t="n">
        <v>5868.692</v>
      </c>
      <c r="U23" s="0" t="n">
        <v>3664.088</v>
      </c>
      <c r="V23" s="0" t="n">
        <v>135497.953</v>
      </c>
      <c r="W23" s="0" t="n">
        <v>388.265</v>
      </c>
      <c r="X23" s="0" t="n">
        <v>994.275</v>
      </c>
      <c r="Y23" s="0" t="n">
        <v>114.069</v>
      </c>
      <c r="Z23" s="0" t="n">
        <v>1193.366</v>
      </c>
      <c r="AA23" s="0" t="n">
        <f aca="false">H23*x_c_F+I23*x_c_CC+J23*x_c_DC+K23*x_c_HCC+L23*x_c_PLT+M23*x_c_SVRn+N23*x_c_SVRcc+O23*x_c_LT+P23*x_c_LT1</f>
        <v>403642801.800612</v>
      </c>
      <c r="AB23" s="0" t="n">
        <f aca="false">C23*x_c_DAA</f>
        <v>76983424</v>
      </c>
      <c r="AC23" s="0" t="n">
        <f aca="false">C23*x_c_MON</f>
        <v>19499975.3270171</v>
      </c>
      <c r="AD23" s="0" t="n">
        <f aca="false">D23*(1-x_testy)</f>
        <v>0</v>
      </c>
      <c r="AE23" s="0" t="n">
        <f aca="false">E23*(1-x_testy)</f>
        <v>0</v>
      </c>
      <c r="AF23" s="0" t="n">
        <f aca="false">F23*x_NAV</f>
        <v>0</v>
      </c>
      <c r="AG23" s="0" t="n">
        <f aca="false">G23*x_FIX*(1-x_testy)</f>
        <v>0</v>
      </c>
      <c r="AH23" s="0" t="n">
        <f aca="false">x_z_F*U23+(1-x_AGRI)*x_EMP*x_WLOSS*(x_PEN_K74*Q23+x_PEN_C22*R23)</f>
        <v>23138913.9411751</v>
      </c>
      <c r="AI23" s="0" t="n">
        <f aca="false">x_AGRI*x_EMP*x_WLOSS*(x_PEN_K74*Q23+x_PEN_C22*R23)</f>
        <v>1031519.46016758</v>
      </c>
      <c r="AJ23" s="0" t="n">
        <f aca="false">x_EMP*x_WAGE*(x_WLOSS*(Q23+R23)+S23)+U23*x_ABS_D*x_WAGE/365</f>
        <v>560978870.338295</v>
      </c>
      <c r="AK23" s="0" t="n">
        <f aca="false">AJ23*x_R_FUS</f>
        <v>177493714.575037</v>
      </c>
      <c r="AL23" s="0" t="n">
        <f aca="false">AJ23*x_R_NFZ</f>
        <v>43566180.0493423</v>
      </c>
      <c r="AM23" s="0" t="n">
        <f aca="false">AJ23*x_R_PIT</f>
        <v>37296216.7389815</v>
      </c>
      <c r="AN23" s="0" t="n">
        <f aca="false">AJ23*x_R_FP</f>
        <v>14304961.1936265</v>
      </c>
      <c r="AO23" s="0" t="n">
        <f aca="false">AA23+AB23+AC23+AD23+AF23</f>
        <v>500126201.127629</v>
      </c>
      <c r="AP23" s="0" t="n">
        <f aca="false">AO23+AE23+AG23+AH23+AI23+AK23+AL23+AM23+AN23</f>
        <v>796957707.085958</v>
      </c>
      <c r="AQ23" s="0" t="n">
        <f aca="false">AO23+AE23+AG23+AJ23</f>
        <v>1061105071.46592</v>
      </c>
      <c r="AR23" s="0" t="n">
        <f aca="false">AB23+AC23+AD23+AF23</f>
        <v>96483399.3270171</v>
      </c>
      <c r="AS23" s="0" t="n">
        <f aca="false">AR23+AE23+AG23</f>
        <v>96483399.3270171</v>
      </c>
    </row>
    <row r="24" customFormat="false" ht="15" hidden="false" customHeight="false" outlineLevel="0" collapsed="false">
      <c r="A24" s="0" t="n">
        <v>2047</v>
      </c>
      <c r="B24" s="0" t="n">
        <v>21</v>
      </c>
      <c r="C24" s="0" t="n">
        <v>3382.4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5006.406</v>
      </c>
      <c r="I24" s="0" t="n">
        <v>749.989</v>
      </c>
      <c r="J24" s="0" t="n">
        <v>2031.445</v>
      </c>
      <c r="K24" s="0" t="n">
        <v>3361.658</v>
      </c>
      <c r="L24" s="0" t="n">
        <v>1304.769</v>
      </c>
      <c r="M24" s="0" t="n">
        <v>54076.687</v>
      </c>
      <c r="N24" s="0" t="n">
        <v>5926.739</v>
      </c>
      <c r="O24" s="0" t="n">
        <v>113.316</v>
      </c>
      <c r="P24" s="0" t="n">
        <v>113.693</v>
      </c>
      <c r="Q24" s="0" t="n">
        <v>1196.448</v>
      </c>
      <c r="R24" s="0" t="n">
        <v>1341.665</v>
      </c>
      <c r="S24" s="0" t="n">
        <v>5951.23</v>
      </c>
      <c r="T24" s="0" t="n">
        <v>5756.395</v>
      </c>
      <c r="U24" s="0" t="n">
        <v>3685.286</v>
      </c>
      <c r="V24" s="0" t="n">
        <v>136629.943</v>
      </c>
      <c r="W24" s="0" t="n">
        <v>383.65</v>
      </c>
      <c r="X24" s="0" t="n">
        <v>983.303</v>
      </c>
      <c r="Y24" s="0" t="n">
        <v>113.316</v>
      </c>
      <c r="Z24" s="0" t="n">
        <v>1183.787</v>
      </c>
      <c r="AA24" s="0" t="n">
        <f aca="false">H24*x_c_F+I24*x_c_CC+J24*x_c_DC+K24*x_c_HCC+L24*x_c_PLT+M24*x_c_SVRn+N24*x_c_SVRcc+O24*x_c_LT+P24*x_c_LT1</f>
        <v>402042439.473517</v>
      </c>
      <c r="AB24" s="0" t="n">
        <f aca="false">C24*x_c_DAA</f>
        <v>76983424</v>
      </c>
      <c r="AC24" s="0" t="n">
        <f aca="false">C24*x_c_MON</f>
        <v>19499975.3270171</v>
      </c>
      <c r="AD24" s="0" t="n">
        <f aca="false">D24*(1-x_testy)</f>
        <v>0</v>
      </c>
      <c r="AE24" s="0" t="n">
        <f aca="false">E24*(1-x_testy)</f>
        <v>0</v>
      </c>
      <c r="AF24" s="0" t="n">
        <f aca="false">F24*x_NAV</f>
        <v>0</v>
      </c>
      <c r="AG24" s="0" t="n">
        <f aca="false">G24*x_FIX*(1-x_testy)</f>
        <v>0</v>
      </c>
      <c r="AH24" s="0" t="n">
        <f aca="false">x_z_F*U24+(1-x_AGRI)*x_EMP*x_WLOSS*(x_PEN_K74*Q24+x_PEN_C22*R24)</f>
        <v>23944760.3439219</v>
      </c>
      <c r="AI24" s="0" t="n">
        <f aca="false">x_AGRI*x_EMP*x_WLOSS*(x_PEN_K74*Q24+x_PEN_C22*R24)</f>
        <v>1081903.73335444</v>
      </c>
      <c r="AJ24" s="0" t="n">
        <f aca="false">x_EMP*x_WAGE*(x_WLOSS*(Q24+R24)+S24)+U24*x_ABS_D*x_WAGE/365</f>
        <v>601306186.771213</v>
      </c>
      <c r="AK24" s="0" t="n">
        <f aca="false">AJ24*x_R_FUS</f>
        <v>190253277.494412</v>
      </c>
      <c r="AL24" s="0" t="n">
        <f aca="false">AJ24*x_R_NFZ</f>
        <v>46698039.7708392</v>
      </c>
      <c r="AM24" s="0" t="n">
        <f aca="false">AJ24*x_R_PIT</f>
        <v>39977345.0554127</v>
      </c>
      <c r="AN24" s="0" t="n">
        <f aca="false">AJ24*x_R_FP</f>
        <v>15333307.7626659</v>
      </c>
      <c r="AO24" s="0" t="n">
        <f aca="false">AA24+AB24+AC24+AD24+AF24</f>
        <v>498525838.800534</v>
      </c>
      <c r="AP24" s="0" t="n">
        <f aca="false">AO24+AE24+AG24+AH24+AI24+AK24+AL24+AM24+AN24</f>
        <v>815814472.96114</v>
      </c>
      <c r="AQ24" s="0" t="n">
        <f aca="false">AO24+AE24+AG24+AJ24</f>
        <v>1099832025.57175</v>
      </c>
      <c r="AR24" s="0" t="n">
        <f aca="false">AB24+AC24+AD24+AF24</f>
        <v>96483399.3270171</v>
      </c>
      <c r="AS24" s="0" t="n">
        <f aca="false">AR24+AE24+AG24</f>
        <v>96483399.3270171</v>
      </c>
    </row>
    <row r="25" customFormat="false" ht="15" hidden="false" customHeight="false" outlineLevel="0" collapsed="false">
      <c r="A25" s="0" t="n">
        <v>2048</v>
      </c>
      <c r="B25" s="0" t="n">
        <v>22</v>
      </c>
      <c r="C25" s="0" t="n">
        <v>3382.4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4910.766</v>
      </c>
      <c r="I25" s="0" t="n">
        <v>726.606</v>
      </c>
      <c r="J25" s="0" t="n">
        <v>2016.506</v>
      </c>
      <c r="K25" s="0" t="n">
        <v>3330.073</v>
      </c>
      <c r="L25" s="0" t="n">
        <v>1294.788</v>
      </c>
      <c r="M25" s="0" t="n">
        <v>55946.78</v>
      </c>
      <c r="N25" s="0" t="n">
        <v>6063.545</v>
      </c>
      <c r="O25" s="0" t="n">
        <v>112.479</v>
      </c>
      <c r="P25" s="0" t="n">
        <v>112.898</v>
      </c>
      <c r="Q25" s="0" t="n">
        <v>1250.636</v>
      </c>
      <c r="R25" s="0" t="n">
        <v>1410.435</v>
      </c>
      <c r="S25" s="0" t="n">
        <v>6397.425</v>
      </c>
      <c r="T25" s="0" t="n">
        <v>5637.372</v>
      </c>
      <c r="U25" s="0" t="n">
        <v>3692.709</v>
      </c>
      <c r="V25" s="0" t="n">
        <v>137818.773</v>
      </c>
      <c r="W25" s="0" t="n">
        <v>379.2</v>
      </c>
      <c r="X25" s="0" t="n">
        <v>972.895</v>
      </c>
      <c r="Y25" s="0" t="n">
        <v>112.479</v>
      </c>
      <c r="Z25" s="0" t="n">
        <v>1173.734</v>
      </c>
      <c r="AA25" s="0" t="n">
        <f aca="false">H25*x_c_F+I25*x_c_CC+J25*x_c_DC+K25*x_c_HCC+L25*x_c_PLT+M25*x_c_SVRn+N25*x_c_SVRcc+O25*x_c_LT+P25*x_c_LT1</f>
        <v>400254940.109704</v>
      </c>
      <c r="AB25" s="0" t="n">
        <f aca="false">C25*x_c_DAA</f>
        <v>76983424</v>
      </c>
      <c r="AC25" s="0" t="n">
        <f aca="false">C25*x_c_MON</f>
        <v>19499975.3270171</v>
      </c>
      <c r="AD25" s="0" t="n">
        <f aca="false">D25*(1-x_testy)</f>
        <v>0</v>
      </c>
      <c r="AE25" s="0" t="n">
        <f aca="false">E25*(1-x_testy)</f>
        <v>0</v>
      </c>
      <c r="AF25" s="0" t="n">
        <f aca="false">F25*x_NAV</f>
        <v>0</v>
      </c>
      <c r="AG25" s="0" t="n">
        <f aca="false">G25*x_FIX*(1-x_testy)</f>
        <v>0</v>
      </c>
      <c r="AH25" s="0" t="n">
        <f aca="false">x_z_F*U25+(1-x_AGRI)*x_EMP*x_WLOSS*(x_PEN_K74*Q25+x_PEN_C22*R25)</f>
        <v>24756068.4573515</v>
      </c>
      <c r="AI25" s="0" t="n">
        <f aca="false">x_AGRI*x_EMP*x_WLOSS*(x_PEN_K74*Q25+x_PEN_C22*R25)</f>
        <v>1134520.92030039</v>
      </c>
      <c r="AJ25" s="0" t="n">
        <f aca="false">x_EMP*x_WAGE*(x_WLOSS*(Q25+R25)+S25)+U25*x_ABS_D*x_WAGE/365</f>
        <v>643395395.713396</v>
      </c>
      <c r="AK25" s="0" t="n">
        <f aca="false">AJ25*x_R_FUS</f>
        <v>203570303.203719</v>
      </c>
      <c r="AL25" s="0" t="n">
        <f aca="false">AJ25*x_R_NFZ</f>
        <v>49966729.8264981</v>
      </c>
      <c r="AM25" s="0" t="n">
        <f aca="false">AJ25*x_R_PIT</f>
        <v>42775611.3397262</v>
      </c>
      <c r="AN25" s="0" t="n">
        <f aca="false">AJ25*x_R_FP</f>
        <v>16406582.5906916</v>
      </c>
      <c r="AO25" s="0" t="n">
        <f aca="false">AA25+AB25+AC25+AD25+AF25</f>
        <v>496738339.436721</v>
      </c>
      <c r="AP25" s="0" t="n">
        <f aca="false">AO25+AE25+AG25+AH25+AI25+AK25+AL25+AM25+AN25</f>
        <v>835348155.775007</v>
      </c>
      <c r="AQ25" s="0" t="n">
        <f aca="false">AO25+AE25+AG25+AJ25</f>
        <v>1140133735.15012</v>
      </c>
      <c r="AR25" s="0" t="n">
        <f aca="false">AB25+AC25+AD25+AF25</f>
        <v>96483399.3270171</v>
      </c>
      <c r="AS25" s="0" t="n">
        <f aca="false">AR25+AE25+AG25</f>
        <v>96483399.3270171</v>
      </c>
    </row>
    <row r="26" customFormat="false" ht="15" hidden="false" customHeight="false" outlineLevel="0" collapsed="false">
      <c r="A26" s="0" t="n">
        <v>2049</v>
      </c>
      <c r="B26" s="0" t="n">
        <v>23</v>
      </c>
      <c r="C26" s="0" t="n">
        <v>3382.4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4810.944</v>
      </c>
      <c r="I26" s="0" t="n">
        <v>703.087</v>
      </c>
      <c r="J26" s="0" t="n">
        <v>2000.57</v>
      </c>
      <c r="K26" s="0" t="n">
        <v>3298.868</v>
      </c>
      <c r="L26" s="0" t="n">
        <v>1284.791</v>
      </c>
      <c r="M26" s="0" t="n">
        <v>57811.185</v>
      </c>
      <c r="N26" s="0" t="n">
        <v>6189.254</v>
      </c>
      <c r="O26" s="0" t="n">
        <v>111.596</v>
      </c>
      <c r="P26" s="0" t="n">
        <v>112.037</v>
      </c>
      <c r="Q26" s="0" t="n">
        <v>1307.396</v>
      </c>
      <c r="R26" s="0" t="n">
        <v>1481.652</v>
      </c>
      <c r="S26" s="0" t="n">
        <v>6863.149</v>
      </c>
      <c r="T26" s="0" t="n">
        <v>5514.031</v>
      </c>
      <c r="U26" s="0" t="n">
        <v>3688.012</v>
      </c>
      <c r="V26" s="0" t="n">
        <v>139064.909</v>
      </c>
      <c r="W26" s="0" t="n">
        <v>375.02</v>
      </c>
      <c r="X26" s="0" t="n">
        <v>963.27</v>
      </c>
      <c r="Y26" s="0" t="n">
        <v>111.596</v>
      </c>
      <c r="Z26" s="0" t="n">
        <v>1163.59</v>
      </c>
      <c r="AA26" s="0" t="n">
        <f aca="false">H26*x_c_F+I26*x_c_CC+J26*x_c_DC+K26*x_c_HCC+L26*x_c_PLT+M26*x_c_SVRn+N26*x_c_SVRcc+O26*x_c_LT+P26*x_c_LT1</f>
        <v>398406923.586116</v>
      </c>
      <c r="AB26" s="0" t="n">
        <f aca="false">C26*x_c_DAA</f>
        <v>76983424</v>
      </c>
      <c r="AC26" s="0" t="n">
        <f aca="false">C26*x_c_MON</f>
        <v>19499975.3270171</v>
      </c>
      <c r="AD26" s="0" t="n">
        <f aca="false">D26*(1-x_testy)</f>
        <v>0</v>
      </c>
      <c r="AE26" s="0" t="n">
        <f aca="false">E26*(1-x_testy)</f>
        <v>0</v>
      </c>
      <c r="AF26" s="0" t="n">
        <f aca="false">F26*x_NAV</f>
        <v>0</v>
      </c>
      <c r="AG26" s="0" t="n">
        <f aca="false">G26*x_FIX*(1-x_testy)</f>
        <v>0</v>
      </c>
      <c r="AH26" s="0" t="n">
        <f aca="false">x_z_F*U26+(1-x_AGRI)*x_EMP*x_WLOSS*(x_PEN_K74*Q26+x_PEN_C22*R26)</f>
        <v>25574657.0875573</v>
      </c>
      <c r="AI26" s="0" t="n">
        <f aca="false">x_AGRI*x_EMP*x_WLOSS*(x_PEN_K74*Q26+x_PEN_C22*R26)</f>
        <v>1189266.34019533</v>
      </c>
      <c r="AJ26" s="0" t="n">
        <f aca="false">x_EMP*x_WAGE*(x_WLOSS*(Q26+R26)+S26)+U26*x_ABS_D*x_WAGE/365</f>
        <v>687278334.941061</v>
      </c>
      <c r="AK26" s="0" t="n">
        <f aca="false">AJ26*x_R_FUS</f>
        <v>217454865.175352</v>
      </c>
      <c r="AL26" s="0" t="n">
        <f aca="false">AJ26*x_R_NFZ</f>
        <v>53374722.7698577</v>
      </c>
      <c r="AM26" s="0" t="n">
        <f aca="false">AJ26*x_R_PIT</f>
        <v>45693132.3001708</v>
      </c>
      <c r="AN26" s="0" t="n">
        <f aca="false">AJ26*x_R_FP</f>
        <v>17525597.540997</v>
      </c>
      <c r="AO26" s="0" t="n">
        <f aca="false">AA26+AB26+AC26+AD26+AF26</f>
        <v>494890322.913133</v>
      </c>
      <c r="AP26" s="0" t="n">
        <f aca="false">AO26+AE26+AG26+AH26+AI26+AK26+AL26+AM26+AN26</f>
        <v>855702564.127263</v>
      </c>
      <c r="AQ26" s="0" t="n">
        <f aca="false">AO26+AE26+AG26+AJ26</f>
        <v>1182168657.85419</v>
      </c>
      <c r="AR26" s="0" t="n">
        <f aca="false">AB26+AC26+AD26+AF26</f>
        <v>96483399.3270171</v>
      </c>
      <c r="AS26" s="0" t="n">
        <f aca="false">AR26+AE26+AG26</f>
        <v>96483399.3270171</v>
      </c>
    </row>
    <row r="27" customFormat="false" ht="15" hidden="false" customHeight="false" outlineLevel="0" collapsed="false">
      <c r="A27" s="0" t="n">
        <v>2050</v>
      </c>
      <c r="B27" s="0" t="n">
        <v>24</v>
      </c>
      <c r="C27" s="0" t="n">
        <v>3382.4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4708.514</v>
      </c>
      <c r="I27" s="0" t="n">
        <v>679.894</v>
      </c>
      <c r="J27" s="0" t="n">
        <v>1984.269</v>
      </c>
      <c r="K27" s="0" t="n">
        <v>3268.948</v>
      </c>
      <c r="L27" s="0" t="n">
        <v>1274.85</v>
      </c>
      <c r="M27" s="0" t="n">
        <v>59672.03</v>
      </c>
      <c r="N27" s="0" t="n">
        <v>6305.008</v>
      </c>
      <c r="O27" s="0" t="n">
        <v>110.702</v>
      </c>
      <c r="P27" s="0" t="n">
        <v>111.149</v>
      </c>
      <c r="Q27" s="0" t="n">
        <v>1366.638</v>
      </c>
      <c r="R27" s="0" t="n">
        <v>1555.055</v>
      </c>
      <c r="S27" s="0" t="n">
        <v>7348.573</v>
      </c>
      <c r="T27" s="0" t="n">
        <v>5388.408</v>
      </c>
      <c r="U27" s="0" t="n">
        <v>3672.883</v>
      </c>
      <c r="V27" s="0" t="n">
        <v>140365.016</v>
      </c>
      <c r="W27" s="0" t="n">
        <v>371.182</v>
      </c>
      <c r="X27" s="0" t="n">
        <v>954.574</v>
      </c>
      <c r="Y27" s="0" t="n">
        <v>110.702</v>
      </c>
      <c r="Z27" s="0" t="n">
        <v>1153.676</v>
      </c>
      <c r="AA27" s="0" t="n">
        <f aca="false">H27*x_c_F+I27*x_c_CC+J27*x_c_DC+K27*x_c_HCC+L27*x_c_PLT+M27*x_c_SVRn+N27*x_c_SVRcc+O27*x_c_LT+P27*x_c_LT1</f>
        <v>396594446.455353</v>
      </c>
      <c r="AB27" s="0" t="n">
        <f aca="false">C27*x_c_DAA</f>
        <v>76983424</v>
      </c>
      <c r="AC27" s="0" t="n">
        <f aca="false">C27*x_c_MON</f>
        <v>19499975.3270171</v>
      </c>
      <c r="AD27" s="0" t="n">
        <f aca="false">D27*(1-x_testy)</f>
        <v>0</v>
      </c>
      <c r="AE27" s="0" t="n">
        <f aca="false">E27*(1-x_testy)</f>
        <v>0</v>
      </c>
      <c r="AF27" s="0" t="n">
        <f aca="false">F27*x_NAV</f>
        <v>0</v>
      </c>
      <c r="AG27" s="0" t="n">
        <f aca="false">G27*x_FIX*(1-x_testy)</f>
        <v>0</v>
      </c>
      <c r="AH27" s="0" t="n">
        <f aca="false">x_z_F*U27+(1-x_AGRI)*x_EMP*x_WLOSS*(x_PEN_K74*Q27+x_PEN_C22*R27)</f>
        <v>26401671.0841214</v>
      </c>
      <c r="AI27" s="0" t="n">
        <f aca="false">x_AGRI*x_EMP*x_WLOSS*(x_PEN_K74*Q27+x_PEN_C22*R27)</f>
        <v>1245986.28057815</v>
      </c>
      <c r="AJ27" s="0" t="n">
        <f aca="false">x_EMP*x_WAGE*(x_WLOSS*(Q27+R27)+S27)+U27*x_ABS_D*x_WAGE/365</f>
        <v>732963053.565964</v>
      </c>
      <c r="AK27" s="0" t="n">
        <f aca="false">AJ27*x_R_FUS</f>
        <v>231909510.148271</v>
      </c>
      <c r="AL27" s="0" t="n">
        <f aca="false">AJ27*x_R_NFZ</f>
        <v>56922643.7029863</v>
      </c>
      <c r="AM27" s="0" t="n">
        <f aca="false">AJ27*x_R_PIT</f>
        <v>48730443.075292</v>
      </c>
      <c r="AN27" s="0" t="n">
        <f aca="false">AJ27*x_R_FP</f>
        <v>18690557.8659321</v>
      </c>
      <c r="AO27" s="0" t="n">
        <f aca="false">AA27+AB27+AC27+AD27+AF27</f>
        <v>493077845.78237</v>
      </c>
      <c r="AP27" s="0" t="n">
        <f aca="false">AO27+AE27+AG27+AH27+AI27+AK27+AL27+AM27+AN27</f>
        <v>876978657.939551</v>
      </c>
      <c r="AQ27" s="0" t="n">
        <f aca="false">AO27+AE27+AG27+AJ27</f>
        <v>1226040899.34833</v>
      </c>
      <c r="AR27" s="0" t="n">
        <f aca="false">AB27+AC27+AD27+AF27</f>
        <v>96483399.3270171</v>
      </c>
      <c r="AS27" s="0" t="n">
        <f aca="false">AR27+AE27+AG27</f>
        <v>96483399.3270171</v>
      </c>
    </row>
    <row r="28" customFormat="false" ht="15" hidden="false" customHeight="false" outlineLevel="0" collapsed="false">
      <c r="A28" s="0" t="n">
        <v>2051</v>
      </c>
      <c r="B28" s="0" t="n">
        <v>25</v>
      </c>
      <c r="C28" s="0" t="n">
        <v>3382.4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4604.825</v>
      </c>
      <c r="I28" s="0" t="n">
        <v>657.354</v>
      </c>
      <c r="J28" s="0" t="n">
        <v>1968.064</v>
      </c>
      <c r="K28" s="0" t="n">
        <v>3240.894</v>
      </c>
      <c r="L28" s="0" t="n">
        <v>1264.979</v>
      </c>
      <c r="M28" s="0" t="n">
        <v>61529.414</v>
      </c>
      <c r="N28" s="0" t="n">
        <v>6411.634</v>
      </c>
      <c r="O28" s="0" t="n">
        <v>109.817</v>
      </c>
      <c r="P28" s="0" t="n">
        <v>110.259</v>
      </c>
      <c r="Q28" s="0" t="n">
        <v>1428.224</v>
      </c>
      <c r="R28" s="0" t="n">
        <v>1630.331</v>
      </c>
      <c r="S28" s="0" t="n">
        <v>7853.679</v>
      </c>
      <c r="T28" s="0" t="n">
        <v>5262.18</v>
      </c>
      <c r="U28" s="0" t="n">
        <v>3648.978</v>
      </c>
      <c r="V28" s="0" t="n">
        <v>141712.591</v>
      </c>
      <c r="W28" s="0" t="n">
        <v>367.712</v>
      </c>
      <c r="X28" s="0" t="n">
        <v>946.836</v>
      </c>
      <c r="Y28" s="0" t="n">
        <v>109.817</v>
      </c>
      <c r="Z28" s="0" t="n">
        <v>1144.159</v>
      </c>
      <c r="AA28" s="0" t="n">
        <f aca="false">H28*x_c_F+I28*x_c_CC+J28*x_c_DC+K28*x_c_HCC+L28*x_c_PLT+M28*x_c_SVRn+N28*x_c_SVRcc+O28*x_c_LT+P28*x_c_LT1</f>
        <v>394878948.98203</v>
      </c>
      <c r="AB28" s="0" t="n">
        <f aca="false">C28*x_c_DAA</f>
        <v>76983424</v>
      </c>
      <c r="AC28" s="0" t="n">
        <f aca="false">C28*x_c_MON</f>
        <v>19499975.3270171</v>
      </c>
      <c r="AD28" s="0" t="n">
        <f aca="false">D28*(1-x_testy)</f>
        <v>0</v>
      </c>
      <c r="AE28" s="0" t="n">
        <f aca="false">E28*(1-x_testy)</f>
        <v>0</v>
      </c>
      <c r="AF28" s="0" t="n">
        <f aca="false">F28*x_NAV</f>
        <v>0</v>
      </c>
      <c r="AG28" s="0" t="n">
        <f aca="false">G28*x_FIX*(1-x_testy)</f>
        <v>0</v>
      </c>
      <c r="AH28" s="0" t="n">
        <f aca="false">x_z_F*U28+(1-x_AGRI)*x_EMP*x_WLOSS*(x_PEN_K74*Q28+x_PEN_C22*R28)</f>
        <v>27237545.3194315</v>
      </c>
      <c r="AI28" s="0" t="n">
        <f aca="false">x_AGRI*x_EMP*x_WLOSS*(x_PEN_K74*Q28+x_PEN_C22*R28)</f>
        <v>1304484.44938508</v>
      </c>
      <c r="AJ28" s="0" t="n">
        <f aca="false">x_EMP*x_WAGE*(x_WLOSS*(Q28+R28)+S28)+U28*x_ABS_D*x_WAGE/365</f>
        <v>780438119.320231</v>
      </c>
      <c r="AK28" s="0" t="n">
        <f aca="false">AJ28*x_R_FUS</f>
        <v>246930620.952921</v>
      </c>
      <c r="AL28" s="0" t="n">
        <f aca="false">AJ28*x_R_NFZ</f>
        <v>60609604.7845284</v>
      </c>
      <c r="AM28" s="0" t="n">
        <f aca="false">AJ28*x_R_PIT</f>
        <v>51886783.6002047</v>
      </c>
      <c r="AN28" s="0" t="n">
        <f aca="false">AJ28*x_R_FP</f>
        <v>19901172.0426659</v>
      </c>
      <c r="AO28" s="0" t="n">
        <f aca="false">AA28+AB28+AC28+AD28+AF28</f>
        <v>491362348.309047</v>
      </c>
      <c r="AP28" s="0" t="n">
        <f aca="false">AO28+AE28+AG28+AH28+AI28+AK28+AL28+AM28+AN28</f>
        <v>899232559.458183</v>
      </c>
      <c r="AQ28" s="0" t="n">
        <f aca="false">AO28+AE28+AG28+AJ28</f>
        <v>1271800467.62928</v>
      </c>
      <c r="AR28" s="0" t="n">
        <f aca="false">AB28+AC28+AD28+AF28</f>
        <v>96483399.3270171</v>
      </c>
      <c r="AS28" s="0" t="n">
        <f aca="false">AR28+AE28+AG28</f>
        <v>96483399.3270171</v>
      </c>
    </row>
    <row r="29" customFormat="false" ht="15" hidden="false" customHeight="false" outlineLevel="0" collapsed="false">
      <c r="A29" s="0" t="n">
        <v>2052</v>
      </c>
      <c r="B29" s="0" t="n">
        <v>26</v>
      </c>
      <c r="C29" s="0" t="n">
        <v>3382.4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4500.992</v>
      </c>
      <c r="I29" s="0" t="n">
        <v>635.67</v>
      </c>
      <c r="J29" s="0" t="n">
        <v>1952.236</v>
      </c>
      <c r="K29" s="0" t="n">
        <v>3214.976</v>
      </c>
      <c r="L29" s="0" t="n">
        <v>1255.119</v>
      </c>
      <c r="M29" s="0" t="n">
        <v>63381.407</v>
      </c>
      <c r="N29" s="0" t="n">
        <v>6509.573</v>
      </c>
      <c r="O29" s="0" t="n">
        <v>108.954</v>
      </c>
      <c r="P29" s="0" t="n">
        <v>109.385</v>
      </c>
      <c r="Q29" s="0" t="n">
        <v>1492.003</v>
      </c>
      <c r="R29" s="0" t="n">
        <v>1707.157</v>
      </c>
      <c r="S29" s="0" t="n">
        <v>8378.421</v>
      </c>
      <c r="T29" s="0" t="n">
        <v>5136.663</v>
      </c>
      <c r="U29" s="0" t="n">
        <v>3617.856</v>
      </c>
      <c r="V29" s="0" t="n">
        <v>143098.289</v>
      </c>
      <c r="W29" s="0" t="n">
        <v>364.608</v>
      </c>
      <c r="X29" s="0" t="n">
        <v>940.03</v>
      </c>
      <c r="Y29" s="0" t="n">
        <v>108.954</v>
      </c>
      <c r="Z29" s="0" t="n">
        <v>1135.147</v>
      </c>
      <c r="AA29" s="0" t="n">
        <f aca="false">H29*x_c_F+I29*x_c_CC+J29*x_c_DC+K29*x_c_HCC+L29*x_c_PLT+M29*x_c_SVRn+N29*x_c_SVRcc+O29*x_c_LT+P29*x_c_LT1</f>
        <v>393290347.036942</v>
      </c>
      <c r="AB29" s="0" t="n">
        <f aca="false">C29*x_c_DAA</f>
        <v>76983424</v>
      </c>
      <c r="AC29" s="0" t="n">
        <f aca="false">C29*x_c_MON</f>
        <v>19499975.3270171</v>
      </c>
      <c r="AD29" s="0" t="n">
        <f aca="false">D29*(1-x_testy)</f>
        <v>0</v>
      </c>
      <c r="AE29" s="0" t="n">
        <f aca="false">E29*(1-x_testy)</f>
        <v>0</v>
      </c>
      <c r="AF29" s="0" t="n">
        <f aca="false">F29*x_NAV</f>
        <v>0</v>
      </c>
      <c r="AG29" s="0" t="n">
        <f aca="false">G29*x_FIX*(1-x_testy)</f>
        <v>0</v>
      </c>
      <c r="AH29" s="0" t="n">
        <f aca="false">x_z_F*U29+(1-x_AGRI)*x_EMP*x_WLOSS*(x_PEN_K74*Q29+x_PEN_C22*R29)</f>
        <v>28082368.6885166</v>
      </c>
      <c r="AI29" s="0" t="n">
        <f aca="false">x_AGRI*x_EMP*x_WLOSS*(x_PEN_K74*Q29+x_PEN_C22*R29)</f>
        <v>1364554.86758659</v>
      </c>
      <c r="AJ29" s="0" t="n">
        <f aca="false">x_EMP*x_WAGE*(x_WLOSS*(Q29+R29)+S29)+U29*x_ABS_D*x_WAGE/365</f>
        <v>829688674.89024</v>
      </c>
      <c r="AK29" s="0" t="n">
        <f aca="false">AJ29*x_R_FUS</f>
        <v>262513496.735272</v>
      </c>
      <c r="AL29" s="0" t="n">
        <f aca="false">AJ29*x_R_NFZ</f>
        <v>64434452.1806509</v>
      </c>
      <c r="AM29" s="0" t="n">
        <f aca="false">AJ29*x_R_PIT</f>
        <v>55161166.0986874</v>
      </c>
      <c r="AN29" s="0" t="n">
        <f aca="false">AJ29*x_R_FP</f>
        <v>21157061.2097011</v>
      </c>
      <c r="AO29" s="0" t="n">
        <f aca="false">AA29+AB29+AC29+AD29+AF29</f>
        <v>489773746.363959</v>
      </c>
      <c r="AP29" s="0" t="n">
        <f aca="false">AO29+AE29+AG29+AH29+AI29+AK29+AL29+AM29+AN29</f>
        <v>922486846.144374</v>
      </c>
      <c r="AQ29" s="0" t="n">
        <f aca="false">AO29+AE29+AG29+AJ29</f>
        <v>1319462421.2542</v>
      </c>
      <c r="AR29" s="0" t="n">
        <f aca="false">AB29+AC29+AD29+AF29</f>
        <v>96483399.3270171</v>
      </c>
      <c r="AS29" s="0" t="n">
        <f aca="false">AR29+AE29+AG29</f>
        <v>96483399.3270171</v>
      </c>
    </row>
    <row r="30" customFormat="false" ht="15" hidden="false" customHeight="false" outlineLevel="0" collapsed="false">
      <c r="A30" s="0" t="n">
        <v>2053</v>
      </c>
      <c r="B30" s="0" t="n">
        <v>27</v>
      </c>
      <c r="C30" s="0" t="n">
        <v>3382.4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4397.908</v>
      </c>
      <c r="I30" s="0" t="n">
        <v>614.947</v>
      </c>
      <c r="J30" s="0" t="n">
        <v>1936.91</v>
      </c>
      <c r="K30" s="0" t="n">
        <v>3191.21</v>
      </c>
      <c r="L30" s="0" t="n">
        <v>1245.143</v>
      </c>
      <c r="M30" s="0" t="n">
        <v>65224.163</v>
      </c>
      <c r="N30" s="0" t="n">
        <v>6598.859</v>
      </c>
      <c r="O30" s="0" t="n">
        <v>108.117</v>
      </c>
      <c r="P30" s="0" t="n">
        <v>108.536</v>
      </c>
      <c r="Q30" s="0" t="n">
        <v>1557.777</v>
      </c>
      <c r="R30" s="0" t="n">
        <v>1785.168</v>
      </c>
      <c r="S30" s="0" t="n">
        <v>8922.471</v>
      </c>
      <c r="T30" s="0" t="n">
        <v>5012.855</v>
      </c>
      <c r="U30" s="0" t="n">
        <v>3580.92</v>
      </c>
      <c r="V30" s="0" t="n">
        <v>144510.718</v>
      </c>
      <c r="W30" s="0" t="n">
        <v>361.839</v>
      </c>
      <c r="X30" s="0" t="n">
        <v>934.056</v>
      </c>
      <c r="Y30" s="0" t="n">
        <v>108.117</v>
      </c>
      <c r="Z30" s="0" t="n">
        <v>1126.62</v>
      </c>
      <c r="AA30" s="0" t="n">
        <f aca="false">H30*x_c_F+I30*x_c_CC+J30*x_c_DC+K30*x_c_HCC+L30*x_c_PLT+M30*x_c_SVRn+N30*x_c_SVRcc+O30*x_c_LT+P30*x_c_LT1</f>
        <v>391830616.076429</v>
      </c>
      <c r="AB30" s="0" t="n">
        <f aca="false">C30*x_c_DAA</f>
        <v>76983424</v>
      </c>
      <c r="AC30" s="0" t="n">
        <f aca="false">C30*x_c_MON</f>
        <v>19499975.3270171</v>
      </c>
      <c r="AD30" s="0" t="n">
        <f aca="false">D30*(1-x_testy)</f>
        <v>0</v>
      </c>
      <c r="AE30" s="0" t="n">
        <f aca="false">E30*(1-x_testy)</f>
        <v>0</v>
      </c>
      <c r="AF30" s="0" t="n">
        <f aca="false">F30*x_NAV</f>
        <v>0</v>
      </c>
      <c r="AG30" s="0" t="n">
        <f aca="false">G30*x_FIX*(1-x_testy)</f>
        <v>0</v>
      </c>
      <c r="AH30" s="0" t="n">
        <f aca="false">x_z_F*U30+(1-x_AGRI)*x_EMP*x_WLOSS*(x_PEN_K74*Q30+x_PEN_C22*R30)</f>
        <v>28935339.550727</v>
      </c>
      <c r="AI30" s="0" t="n">
        <f aca="false">x_AGRI*x_EMP*x_WLOSS*(x_PEN_K74*Q30+x_PEN_C22*R30)</f>
        <v>1425953.89252488</v>
      </c>
      <c r="AJ30" s="0" t="n">
        <f aca="false">x_EMP*x_WAGE*(x_WLOSS*(Q30+R30)+S30)+U30*x_ABS_D*x_WAGE/365</f>
        <v>880672448.166482</v>
      </c>
      <c r="AK30" s="0" t="n">
        <f aca="false">AJ30*x_R_FUS</f>
        <v>278644762.599875</v>
      </c>
      <c r="AL30" s="0" t="n">
        <f aca="false">AJ30*x_R_NFZ</f>
        <v>68393902.9970572</v>
      </c>
      <c r="AM30" s="0" t="n">
        <f aca="false">AJ30*x_R_PIT</f>
        <v>58550780.1444627</v>
      </c>
      <c r="AN30" s="0" t="n">
        <f aca="false">AJ30*x_R_FP</f>
        <v>22457147.4282453</v>
      </c>
      <c r="AO30" s="0" t="n">
        <f aca="false">AA30+AB30+AC30+AD30+AF30</f>
        <v>488314015.403446</v>
      </c>
      <c r="AP30" s="0" t="n">
        <f aca="false">AO30+AE30+AG30+AH30+AI30+AK30+AL30+AM30+AN30</f>
        <v>946721902.016339</v>
      </c>
      <c r="AQ30" s="0" t="n">
        <f aca="false">AO30+AE30+AG30+AJ30</f>
        <v>1368986463.56993</v>
      </c>
      <c r="AR30" s="0" t="n">
        <f aca="false">AB30+AC30+AD30+AF30</f>
        <v>96483399.3270171</v>
      </c>
      <c r="AS30" s="0" t="n">
        <f aca="false">AR30+AE30+AG30</f>
        <v>96483399.3270171</v>
      </c>
    </row>
    <row r="31" customFormat="false" ht="15" hidden="false" customHeight="false" outlineLevel="0" collapsed="false">
      <c r="A31" s="0" t="n">
        <v>2054</v>
      </c>
      <c r="B31" s="0" t="n">
        <v>28</v>
      </c>
      <c r="C31" s="0" t="n">
        <v>3382.4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4296.253</v>
      </c>
      <c r="I31" s="0" t="n">
        <v>595.217</v>
      </c>
      <c r="J31" s="0" t="n">
        <v>1922.075</v>
      </c>
      <c r="K31" s="0" t="n">
        <v>3169.406</v>
      </c>
      <c r="L31" s="0" t="n">
        <v>1234.849</v>
      </c>
      <c r="M31" s="0" t="n">
        <v>67051.982</v>
      </c>
      <c r="N31" s="0" t="n">
        <v>6679.099</v>
      </c>
      <c r="O31" s="0" t="n">
        <v>107.304</v>
      </c>
      <c r="P31" s="0" t="n">
        <v>107.71</v>
      </c>
      <c r="Q31" s="0" t="n">
        <v>1625.314</v>
      </c>
      <c r="R31" s="0" t="n">
        <v>1863.984</v>
      </c>
      <c r="S31" s="0" t="n">
        <v>9485.321</v>
      </c>
      <c r="T31" s="0" t="n">
        <v>4891.47</v>
      </c>
      <c r="U31" s="0" t="n">
        <v>3539.393</v>
      </c>
      <c r="V31" s="0" t="n">
        <v>145936.873</v>
      </c>
      <c r="W31" s="0" t="n">
        <v>359.362</v>
      </c>
      <c r="X31" s="0" t="n">
        <v>928.79</v>
      </c>
      <c r="Y31" s="0" t="n">
        <v>107.304</v>
      </c>
      <c r="Z31" s="0" t="n">
        <v>1118.525</v>
      </c>
      <c r="AA31" s="0" t="n">
        <f aca="false">H31*x_c_F+I31*x_c_CC+J31*x_c_DC+K31*x_c_HCC+L31*x_c_PLT+M31*x_c_SVRn+N31*x_c_SVRcc+O31*x_c_LT+P31*x_c_LT1</f>
        <v>390478026.781096</v>
      </c>
      <c r="AB31" s="0" t="n">
        <f aca="false">C31*x_c_DAA</f>
        <v>76983424</v>
      </c>
      <c r="AC31" s="0" t="n">
        <f aca="false">C31*x_c_MON</f>
        <v>19499975.3270171</v>
      </c>
      <c r="AD31" s="0" t="n">
        <f aca="false">D31*(1-x_testy)</f>
        <v>0</v>
      </c>
      <c r="AE31" s="0" t="n">
        <f aca="false">E31*(1-x_testy)</f>
        <v>0</v>
      </c>
      <c r="AF31" s="0" t="n">
        <f aca="false">F31*x_NAV</f>
        <v>0</v>
      </c>
      <c r="AG31" s="0" t="n">
        <f aca="false">G31*x_FIX*(1-x_testy)</f>
        <v>0</v>
      </c>
      <c r="AH31" s="0" t="n">
        <f aca="false">x_z_F*U31+(1-x_AGRI)*x_EMP*x_WLOSS*(x_PEN_K74*Q31+x_PEN_C22*R31)</f>
        <v>29794979.1525144</v>
      </c>
      <c r="AI31" s="0" t="n">
        <f aca="false">x_AGRI*x_EMP*x_WLOSS*(x_PEN_K74*Q31+x_PEN_C22*R31)</f>
        <v>1488417.58614568</v>
      </c>
      <c r="AJ31" s="0" t="n">
        <f aca="false">x_EMP*x_WAGE*(x_WLOSS*(Q31+R31)+S31)+U31*x_ABS_D*x_WAGE/365</f>
        <v>933329687.576175</v>
      </c>
      <c r="AK31" s="0" t="n">
        <f aca="false">AJ31*x_R_FUS</f>
        <v>295305513.149102</v>
      </c>
      <c r="AL31" s="0" t="n">
        <f aca="false">AJ31*x_R_NFZ</f>
        <v>72483316.8668533</v>
      </c>
      <c r="AM31" s="0" t="n">
        <f aca="false">AJ31*x_R_PIT</f>
        <v>62051653.2035781</v>
      </c>
      <c r="AN31" s="0" t="n">
        <f aca="false">AJ31*x_R_FP</f>
        <v>23799907.0331925</v>
      </c>
      <c r="AO31" s="0" t="n">
        <f aca="false">AA31+AB31+AC31+AD31+AF31</f>
        <v>486961426.108114</v>
      </c>
      <c r="AP31" s="0" t="n">
        <f aca="false">AO31+AE31+AG31+AH31+AI31+AK31+AL31+AM31+AN31</f>
        <v>971885213.099499</v>
      </c>
      <c r="AQ31" s="0" t="n">
        <f aca="false">AO31+AE31+AG31+AJ31</f>
        <v>1420291113.68429</v>
      </c>
      <c r="AR31" s="0" t="n">
        <f aca="false">AB31+AC31+AD31+AF31</f>
        <v>96483399.3270171</v>
      </c>
      <c r="AS31" s="0" t="n">
        <f aca="false">AR31+AE31+AG31</f>
        <v>96483399.3270171</v>
      </c>
    </row>
    <row r="32" customFormat="false" ht="15" hidden="false" customHeight="false" outlineLevel="0" collapsed="false">
      <c r="A32" s="0" t="n">
        <v>2055</v>
      </c>
      <c r="B32" s="0" t="n">
        <v>29</v>
      </c>
      <c r="C32" s="0" t="n">
        <v>3382.4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4196.542</v>
      </c>
      <c r="I32" s="0" t="n">
        <v>576.474</v>
      </c>
      <c r="J32" s="0" t="n">
        <v>1907.661</v>
      </c>
      <c r="K32" s="0" t="n">
        <v>3149.288</v>
      </c>
      <c r="L32" s="0" t="n">
        <v>1224.005</v>
      </c>
      <c r="M32" s="0" t="n">
        <v>68858.227</v>
      </c>
      <c r="N32" s="0" t="n">
        <v>6749.673</v>
      </c>
      <c r="O32" s="0" t="n">
        <v>106.509</v>
      </c>
      <c r="P32" s="0" t="n">
        <v>106.906</v>
      </c>
      <c r="Q32" s="0" t="n">
        <v>1694.364</v>
      </c>
      <c r="R32" s="0" t="n">
        <v>1943.22</v>
      </c>
      <c r="S32" s="0" t="n">
        <v>10066.295</v>
      </c>
      <c r="T32" s="0" t="n">
        <v>4773.016</v>
      </c>
      <c r="U32" s="0" t="n">
        <v>3494.316</v>
      </c>
      <c r="V32" s="0" t="n">
        <v>147363.927</v>
      </c>
      <c r="W32" s="0" t="n">
        <v>357.131</v>
      </c>
      <c r="X32" s="0" t="n">
        <v>924.105</v>
      </c>
      <c r="Y32" s="0" t="n">
        <v>106.509</v>
      </c>
      <c r="Z32" s="0" t="n">
        <v>1110.774</v>
      </c>
      <c r="AA32" s="0" t="n">
        <f aca="false">H32*x_c_F+I32*x_c_CC+J32*x_c_DC+K32*x_c_HCC+L32*x_c_PLT+M32*x_c_SVRn+N32*x_c_SVRcc+O32*x_c_LT+P32*x_c_LT1</f>
        <v>389200209.201814</v>
      </c>
      <c r="AB32" s="0" t="n">
        <f aca="false">C32*x_c_DAA</f>
        <v>76983424</v>
      </c>
      <c r="AC32" s="0" t="n">
        <f aca="false">C32*x_c_MON</f>
        <v>19499975.3270171</v>
      </c>
      <c r="AD32" s="0" t="n">
        <f aca="false">D32*(1-x_testy)</f>
        <v>0</v>
      </c>
      <c r="AE32" s="0" t="n">
        <f aca="false">E32*(1-x_testy)</f>
        <v>0</v>
      </c>
      <c r="AF32" s="0" t="n">
        <f aca="false">F32*x_NAV</f>
        <v>0</v>
      </c>
      <c r="AG32" s="0" t="n">
        <f aca="false">G32*x_FIX*(1-x_testy)</f>
        <v>0</v>
      </c>
      <c r="AH32" s="0" t="n">
        <f aca="false">x_z_F*U32+(1-x_AGRI)*x_EMP*x_WLOSS*(x_PEN_K74*Q32+x_PEN_C22*R32)</f>
        <v>30659292.1151567</v>
      </c>
      <c r="AI32" s="0" t="n">
        <f aca="false">x_AGRI*x_EMP*x_WLOSS*(x_PEN_K74*Q32+x_PEN_C22*R32)</f>
        <v>1551672.59471184</v>
      </c>
      <c r="AJ32" s="0" t="n">
        <f aca="false">x_EMP*x_WAGE*(x_WLOSS*(Q32+R32)+S32)+U32*x_ABS_D*x_WAGE/365</f>
        <v>987585030.353415</v>
      </c>
      <c r="AK32" s="0" t="n">
        <f aca="false">AJ32*x_R_FUS</f>
        <v>312471903.603821</v>
      </c>
      <c r="AL32" s="0" t="n">
        <f aca="false">AJ32*x_R_NFZ</f>
        <v>76696841.0422766</v>
      </c>
      <c r="AM32" s="0" t="n">
        <f aca="false">AJ32*x_R_PIT</f>
        <v>65658774.8448039</v>
      </c>
      <c r="AN32" s="0" t="n">
        <f aca="false">AJ32*x_R_FP</f>
        <v>25183418.2740121</v>
      </c>
      <c r="AO32" s="0" t="n">
        <f aca="false">AA32+AB32+AC32+AD32+AF32</f>
        <v>485683608.528831</v>
      </c>
      <c r="AP32" s="0" t="n">
        <f aca="false">AO32+AE32+AG32+AH32+AI32+AK32+AL32+AM32+AN32</f>
        <v>997905511.003613</v>
      </c>
      <c r="AQ32" s="0" t="n">
        <f aca="false">AO32+AE32+AG32+AJ32</f>
        <v>1473268638.88225</v>
      </c>
      <c r="AR32" s="0" t="n">
        <f aca="false">AB32+AC32+AD32+AF32</f>
        <v>96483399.3270171</v>
      </c>
      <c r="AS32" s="0" t="n">
        <f aca="false">AR32+AE32+AG32</f>
        <v>96483399.3270171</v>
      </c>
    </row>
    <row r="33" customFormat="false" ht="15" hidden="false" customHeight="false" outlineLevel="0" collapsed="false">
      <c r="A33" s="0" t="n">
        <v>2056</v>
      </c>
      <c r="B33" s="0" t="n">
        <v>30</v>
      </c>
      <c r="C33" s="0" t="n">
        <v>3382.4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4099.129</v>
      </c>
      <c r="I33" s="0" t="n">
        <v>558.674</v>
      </c>
      <c r="J33" s="0" t="n">
        <v>1893.517</v>
      </c>
      <c r="K33" s="0" t="n">
        <v>3130.477</v>
      </c>
      <c r="L33" s="0" t="n">
        <v>1212.316</v>
      </c>
      <c r="M33" s="0" t="n">
        <v>70634.725</v>
      </c>
      <c r="N33" s="0" t="n">
        <v>6809.59</v>
      </c>
      <c r="O33" s="0" t="n">
        <v>105.721</v>
      </c>
      <c r="P33" s="0" t="n">
        <v>106.115</v>
      </c>
      <c r="Q33" s="0" t="n">
        <v>1764.634</v>
      </c>
      <c r="R33" s="0" t="n">
        <v>2022.47</v>
      </c>
      <c r="S33" s="0" t="n">
        <v>10664.368</v>
      </c>
      <c r="T33" s="0" t="n">
        <v>4657.802</v>
      </c>
      <c r="U33" s="0" t="n">
        <v>3446.543</v>
      </c>
      <c r="V33" s="0" t="n">
        <v>148778.213</v>
      </c>
      <c r="W33" s="0" t="n">
        <v>355.089</v>
      </c>
      <c r="X33" s="0" t="n">
        <v>919.846</v>
      </c>
      <c r="Y33" s="0" t="n">
        <v>105.721</v>
      </c>
      <c r="Z33" s="0" t="n">
        <v>1103.218</v>
      </c>
      <c r="AA33" s="0" t="n">
        <f aca="false">H33*x_c_F+I33*x_c_CC+J33*x_c_DC+K33*x_c_HCC+L33*x_c_PLT+M33*x_c_SVRn+N33*x_c_SVRcc+O33*x_c_LT+P33*x_c_LT1</f>
        <v>387950117.31138</v>
      </c>
      <c r="AB33" s="0" t="n">
        <f aca="false">C33*x_c_DAA</f>
        <v>76983424</v>
      </c>
      <c r="AC33" s="0" t="n">
        <f aca="false">C33*x_c_MON</f>
        <v>19499975.3270171</v>
      </c>
      <c r="AD33" s="0" t="n">
        <f aca="false">D33*(1-x_testy)</f>
        <v>0</v>
      </c>
      <c r="AE33" s="0" t="n">
        <f aca="false">E33*(1-x_testy)</f>
        <v>0</v>
      </c>
      <c r="AF33" s="0" t="n">
        <f aca="false">F33*x_NAV</f>
        <v>0</v>
      </c>
      <c r="AG33" s="0" t="n">
        <f aca="false">G33*x_FIX*(1-x_testy)</f>
        <v>0</v>
      </c>
      <c r="AH33" s="0" t="n">
        <f aca="false">x_z_F*U33+(1-x_AGRI)*x_EMP*x_WLOSS*(x_PEN_K74*Q33+x_PEN_C22*R33)</f>
        <v>31525496.4049888</v>
      </c>
      <c r="AI33" s="0" t="n">
        <f aca="false">x_AGRI*x_EMP*x_WLOSS*(x_PEN_K74*Q33+x_PEN_C22*R33)</f>
        <v>1615418.97981117</v>
      </c>
      <c r="AJ33" s="0" t="n">
        <f aca="false">x_EMP*x_WAGE*(x_WLOSS*(Q33+R33)+S33)+U33*x_ABS_D*x_WAGE/365</f>
        <v>1043330713.71181</v>
      </c>
      <c r="AK33" s="0" t="n">
        <f aca="false">AJ33*x_R_FUS</f>
        <v>330109837.818417</v>
      </c>
      <c r="AL33" s="0" t="n">
        <f aca="false">AJ33*x_R_NFZ</f>
        <v>81026106.557573</v>
      </c>
      <c r="AM33" s="0" t="n">
        <f aca="false">AJ33*x_R_PIT</f>
        <v>69364980.5483157</v>
      </c>
      <c r="AN33" s="0" t="n">
        <f aca="false">AJ33*x_R_FP</f>
        <v>26604933.1996512</v>
      </c>
      <c r="AO33" s="0" t="n">
        <f aca="false">AA33+AB33+AC33+AD33+AF33</f>
        <v>484433516.638397</v>
      </c>
      <c r="AP33" s="0" t="n">
        <f aca="false">AO33+AE33+AG33+AH33+AI33+AK33+AL33+AM33+AN33</f>
        <v>1024680290.14715</v>
      </c>
      <c r="AQ33" s="0" t="n">
        <f aca="false">AO33+AE33+AG33+AJ33</f>
        <v>1527764230.35021</v>
      </c>
      <c r="AR33" s="0" t="n">
        <f aca="false">AB33+AC33+AD33+AF33</f>
        <v>96483399.3270171</v>
      </c>
      <c r="AS33" s="0" t="n">
        <f aca="false">AR33+AE33+AG33</f>
        <v>96483399.3270171</v>
      </c>
    </row>
    <row r="34" customFormat="false" ht="15" hidden="false" customHeight="false" outlineLevel="0" collapsed="false">
      <c r="A34" s="0" t="n">
        <v>2057</v>
      </c>
      <c r="B34" s="0" t="n">
        <v>31</v>
      </c>
      <c r="C34" s="0" t="n">
        <v>3382.4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4003.778</v>
      </c>
      <c r="I34" s="0" t="n">
        <v>541.471</v>
      </c>
      <c r="J34" s="0" t="n">
        <v>1877.181</v>
      </c>
      <c r="K34" s="0" t="n">
        <v>3109.498</v>
      </c>
      <c r="L34" s="0" t="n">
        <v>1196.483</v>
      </c>
      <c r="M34" s="0" t="n">
        <v>72311.683</v>
      </c>
      <c r="N34" s="0" t="n">
        <v>6844.937</v>
      </c>
      <c r="O34" s="0" t="n">
        <v>104.666</v>
      </c>
      <c r="P34" s="0" t="n">
        <v>105.193</v>
      </c>
      <c r="Q34" s="0" t="n">
        <v>1835.8</v>
      </c>
      <c r="R34" s="0" t="n">
        <v>2101.327</v>
      </c>
      <c r="S34" s="0" t="n">
        <v>11278.205</v>
      </c>
      <c r="T34" s="0" t="n">
        <v>4545.25</v>
      </c>
      <c r="U34" s="0" t="n">
        <v>3396.605</v>
      </c>
      <c r="V34" s="0" t="n">
        <v>150097.552</v>
      </c>
      <c r="W34" s="0" t="n">
        <v>352.688</v>
      </c>
      <c r="X34" s="0" t="n">
        <v>914.564</v>
      </c>
      <c r="Y34" s="0" t="n">
        <v>104.666</v>
      </c>
      <c r="Z34" s="0" t="n">
        <v>1093.066</v>
      </c>
      <c r="AA34" s="0" t="n">
        <f aca="false">H34*x_c_F+I34*x_c_CC+J34*x_c_DC+K34*x_c_HCC+L34*x_c_PLT+M34*x_c_SVRn+N34*x_c_SVRcc+O34*x_c_LT+P34*x_c_LT1</f>
        <v>386175700.154548</v>
      </c>
      <c r="AB34" s="0" t="n">
        <f aca="false">C34*x_c_DAA</f>
        <v>76983424</v>
      </c>
      <c r="AC34" s="0" t="n">
        <f aca="false">C34*x_c_MON</f>
        <v>19499975.3270171</v>
      </c>
      <c r="AD34" s="0" t="n">
        <f aca="false">D34*(1-x_testy)</f>
        <v>0</v>
      </c>
      <c r="AE34" s="0" t="n">
        <f aca="false">E34*(1-x_testy)</f>
        <v>0</v>
      </c>
      <c r="AF34" s="0" t="n">
        <f aca="false">F34*x_NAV</f>
        <v>0</v>
      </c>
      <c r="AG34" s="0" t="n">
        <f aca="false">G34*x_FIX*(1-x_testy)</f>
        <v>0</v>
      </c>
      <c r="AH34" s="0" t="n">
        <f aca="false">x_z_F*U34+(1-x_AGRI)*x_EMP*x_WLOSS*(x_PEN_K74*Q34+x_PEN_C22*R34)</f>
        <v>32389952.6283753</v>
      </c>
      <c r="AI34" s="0" t="n">
        <f aca="false">x_AGRI*x_EMP*x_WLOSS*(x_PEN_K74*Q34+x_PEN_C22*R34)</f>
        <v>1679344.02613136</v>
      </c>
      <c r="AJ34" s="0" t="n">
        <f aca="false">x_EMP*x_WAGE*(x_WLOSS*(Q34+R34)+S34)+U34*x_ABS_D*x_WAGE/365</f>
        <v>1100430547.92578</v>
      </c>
      <c r="AK34" s="0" t="n">
        <f aca="false">AJ34*x_R_FUS</f>
        <v>348176225.363716</v>
      </c>
      <c r="AL34" s="0" t="n">
        <f aca="false">AJ34*x_R_NFZ</f>
        <v>85460536.7824637</v>
      </c>
      <c r="AM34" s="0" t="n">
        <f aca="false">AJ34*x_R_PIT</f>
        <v>73161215.8527215</v>
      </c>
      <c r="AN34" s="0" t="n">
        <f aca="false">AJ34*x_R_FP</f>
        <v>28060978.9721073</v>
      </c>
      <c r="AO34" s="0" t="n">
        <f aca="false">AA34+AB34+AC34+AD34+AF34</f>
        <v>482659099.481565</v>
      </c>
      <c r="AP34" s="0" t="n">
        <f aca="false">AO34+AE34+AG34+AH34+AI34+AK34+AL34+AM34+AN34</f>
        <v>1051587353.10708</v>
      </c>
      <c r="AQ34" s="0" t="n">
        <f aca="false">AO34+AE34+AG34+AJ34</f>
        <v>1583089647.40734</v>
      </c>
      <c r="AR34" s="0" t="n">
        <f aca="false">AB34+AC34+AD34+AF34</f>
        <v>96483399.3270171</v>
      </c>
      <c r="AS34" s="0" t="n">
        <f aca="false">AR34+AE34+AG34</f>
        <v>96483399.3270171</v>
      </c>
    </row>
    <row r="35" customFormat="false" ht="15" hidden="false" customHeight="false" outlineLevel="0" collapsed="false">
      <c r="A35" s="0" t="n">
        <v>2058</v>
      </c>
      <c r="B35" s="0" t="n">
        <v>32</v>
      </c>
      <c r="C35" s="0" t="n">
        <v>3382.4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3910.95</v>
      </c>
      <c r="I35" s="0" t="n">
        <v>525.196</v>
      </c>
      <c r="J35" s="0" t="n">
        <v>1861.73</v>
      </c>
      <c r="K35" s="0" t="n">
        <v>3090.38</v>
      </c>
      <c r="L35" s="0" t="n">
        <v>1180.285</v>
      </c>
      <c r="M35" s="0" t="n">
        <v>73963.086</v>
      </c>
      <c r="N35" s="0" t="n">
        <v>6871.937</v>
      </c>
      <c r="O35" s="0" t="n">
        <v>103.978</v>
      </c>
      <c r="P35" s="0" t="n">
        <v>104.322</v>
      </c>
      <c r="Q35" s="0" t="n">
        <v>1907.517</v>
      </c>
      <c r="R35" s="0" t="n">
        <v>2179.379</v>
      </c>
      <c r="S35" s="0" t="n">
        <v>11906.162</v>
      </c>
      <c r="T35" s="0" t="n">
        <v>4436.146</v>
      </c>
      <c r="U35" s="0" t="n">
        <v>3344.969</v>
      </c>
      <c r="V35" s="0" t="n">
        <v>151404.911</v>
      </c>
      <c r="W35" s="0" t="n">
        <v>351.116</v>
      </c>
      <c r="X35" s="0" t="n">
        <v>911.384</v>
      </c>
      <c r="Y35" s="0" t="n">
        <v>103.978</v>
      </c>
      <c r="Z35" s="0" t="n">
        <v>1086.656</v>
      </c>
      <c r="AA35" s="0" t="n">
        <f aca="false">H35*x_c_F+I35*x_c_CC+J35*x_c_DC+K35*x_c_HCC+L35*x_c_PLT+M35*x_c_SVRn+N35*x_c_SVRcc+O35*x_c_LT+P35*x_c_LT1</f>
        <v>384624911.043322</v>
      </c>
      <c r="AB35" s="0" t="n">
        <f aca="false">C35*x_c_DAA</f>
        <v>76983424</v>
      </c>
      <c r="AC35" s="0" t="n">
        <f aca="false">C35*x_c_MON</f>
        <v>19499975.3270171</v>
      </c>
      <c r="AD35" s="0" t="n">
        <f aca="false">D35*(1-x_testy)</f>
        <v>0</v>
      </c>
      <c r="AE35" s="0" t="n">
        <f aca="false">E35*(1-x_testy)</f>
        <v>0</v>
      </c>
      <c r="AF35" s="0" t="n">
        <f aca="false">F35*x_NAV</f>
        <v>0</v>
      </c>
      <c r="AG35" s="0" t="n">
        <f aca="false">G35*x_FIX*(1-x_testy)</f>
        <v>0</v>
      </c>
      <c r="AH35" s="0" t="n">
        <f aca="false">x_z_F*U35+(1-x_AGRI)*x_EMP*x_WLOSS*(x_PEN_K74*Q35+x_PEN_C22*R35)</f>
        <v>33248729.3183672</v>
      </c>
      <c r="AI35" s="0" t="n">
        <f aca="false">x_AGRI*x_EMP*x_WLOSS*(x_PEN_K74*Q35+x_PEN_C22*R35)</f>
        <v>1743124.40992941</v>
      </c>
      <c r="AJ35" s="0" t="n">
        <f aca="false">x_EMP*x_WAGE*(x_WLOSS*(Q35+R35)+S35)+U35*x_ABS_D*x_WAGE/365</f>
        <v>1158720958.7657</v>
      </c>
      <c r="AK35" s="0" t="n">
        <f aca="false">AJ35*x_R_FUS</f>
        <v>366619311.353469</v>
      </c>
      <c r="AL35" s="0" t="n">
        <f aca="false">AJ35*x_R_NFZ</f>
        <v>89987428.3787033</v>
      </c>
      <c r="AM35" s="0" t="n">
        <f aca="false">AJ35*x_R_PIT</f>
        <v>77036605.6605037</v>
      </c>
      <c r="AN35" s="0" t="n">
        <f aca="false">AJ35*x_R_FP</f>
        <v>29547384.4485254</v>
      </c>
      <c r="AO35" s="0" t="n">
        <f aca="false">AA35+AB35+AC35+AD35+AF35</f>
        <v>481108310.370339</v>
      </c>
      <c r="AP35" s="0" t="n">
        <f aca="false">AO35+AE35+AG35+AH35+AI35+AK35+AL35+AM35+AN35</f>
        <v>1079290893.93984</v>
      </c>
      <c r="AQ35" s="0" t="n">
        <f aca="false">AO35+AE35+AG35+AJ35</f>
        <v>1639829269.13604</v>
      </c>
      <c r="AR35" s="0" t="n">
        <f aca="false">AB35+AC35+AD35+AF35</f>
        <v>96483399.3270171</v>
      </c>
      <c r="AS35" s="0" t="n">
        <f aca="false">AR35+AE35+AG35</f>
        <v>96483399.3270171</v>
      </c>
    </row>
    <row r="36" customFormat="false" ht="15" hidden="false" customHeight="false" outlineLevel="0" collapsed="false">
      <c r="A36" s="0" t="n">
        <v>2059</v>
      </c>
      <c r="B36" s="0" t="n">
        <v>33</v>
      </c>
      <c r="C36" s="0" t="n">
        <v>3382.4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3821.256</v>
      </c>
      <c r="I36" s="0" t="n">
        <v>510.06</v>
      </c>
      <c r="J36" s="0" t="n">
        <v>1849.032</v>
      </c>
      <c r="K36" s="0" t="n">
        <v>3075.499</v>
      </c>
      <c r="L36" s="0" t="n">
        <v>1166.119</v>
      </c>
      <c r="M36" s="0" t="n">
        <v>75634.594</v>
      </c>
      <c r="N36" s="0" t="n">
        <v>6900.863</v>
      </c>
      <c r="O36" s="0" t="n">
        <v>103.241</v>
      </c>
      <c r="P36" s="0" t="n">
        <v>103.609</v>
      </c>
      <c r="Q36" s="0" t="n">
        <v>1480.899</v>
      </c>
      <c r="R36" s="0" t="n">
        <v>1869.032</v>
      </c>
      <c r="S36" s="0" t="n">
        <v>8043.357</v>
      </c>
      <c r="T36" s="0" t="n">
        <v>4331.315</v>
      </c>
      <c r="U36" s="0" t="n">
        <v>3203.49</v>
      </c>
      <c r="V36" s="0" t="n">
        <v>152750.488</v>
      </c>
      <c r="W36" s="0" t="n">
        <v>349.549</v>
      </c>
      <c r="X36" s="0" t="n">
        <v>908.136</v>
      </c>
      <c r="Y36" s="0" t="n">
        <v>103.241</v>
      </c>
      <c r="Z36" s="0" t="n">
        <v>1079.784</v>
      </c>
      <c r="AA36" s="0" t="n">
        <f aca="false">H36*x_c_F+I36*x_c_CC+J36*x_c_DC+K36*x_c_HCC+L36*x_c_PLT+M36*x_c_SVRn+N36*x_c_SVRcc+O36*x_c_LT+P36*x_c_LT1</f>
        <v>383478617.93154</v>
      </c>
      <c r="AB36" s="0" t="n">
        <f aca="false">C36*x_c_DAA</f>
        <v>76983424</v>
      </c>
      <c r="AC36" s="0" t="n">
        <f aca="false">C36*x_c_MON</f>
        <v>19499975.3270171</v>
      </c>
      <c r="AD36" s="0" t="n">
        <f aca="false">D36*(1-x_testy)</f>
        <v>0</v>
      </c>
      <c r="AE36" s="0" t="n">
        <f aca="false">E36*(1-x_testy)</f>
        <v>0</v>
      </c>
      <c r="AF36" s="0" t="n">
        <f aca="false">F36*x_NAV</f>
        <v>0</v>
      </c>
      <c r="AG36" s="0" t="n">
        <f aca="false">G36*x_FIX*(1-x_testy)</f>
        <v>0</v>
      </c>
      <c r="AH36" s="0" t="n">
        <f aca="false">x_z_F*U36+(1-x_AGRI)*x_EMP*x_WLOSS*(x_PEN_K74*Q36+x_PEN_C22*R36)</f>
        <v>28270239.5021171</v>
      </c>
      <c r="AI36" s="0" t="n">
        <f aca="false">x_AGRI*x_EMP*x_WLOSS*(x_PEN_K74*Q36+x_PEN_C22*R36)</f>
        <v>1433281.57765511</v>
      </c>
      <c r="AJ36" s="0" t="n">
        <f aca="false">x_EMP*x_WAGE*(x_WLOSS*(Q36+R36)+S36)+U36*x_ABS_D*x_WAGE/365</f>
        <v>804838758.005635</v>
      </c>
      <c r="AK36" s="0" t="n">
        <f aca="false">AJ36*x_R_FUS</f>
        <v>254650983.032983</v>
      </c>
      <c r="AL36" s="0" t="n">
        <f aca="false">AJ36*x_R_NFZ</f>
        <v>62504582.7854756</v>
      </c>
      <c r="AM36" s="0" t="n">
        <f aca="false">AJ36*x_R_PIT</f>
        <v>53509039.9044958</v>
      </c>
      <c r="AN36" s="0" t="n">
        <f aca="false">AJ36*x_R_FP</f>
        <v>20523388.3291437</v>
      </c>
      <c r="AO36" s="0" t="n">
        <f aca="false">AA36+AB36+AC36+AD36+AF36</f>
        <v>479962017.258557</v>
      </c>
      <c r="AP36" s="0" t="n">
        <f aca="false">AO36+AE36+AG36+AH36+AI36+AK36+AL36+AM36+AN36</f>
        <v>900853532.390428</v>
      </c>
      <c r="AQ36" s="0" t="n">
        <f aca="false">AO36+AE36+AG36+AJ36</f>
        <v>1284800775.26419</v>
      </c>
      <c r="AR36" s="0" t="n">
        <f aca="false">AB36+AC36+AD36+AF36</f>
        <v>96483399.3270171</v>
      </c>
      <c r="AS36" s="0" t="n">
        <f aca="false">AR36+AE36+AG36</f>
        <v>96483399.3270171</v>
      </c>
    </row>
    <row r="37" customFormat="false" ht="15" hidden="false" customHeight="false" outlineLevel="0" collapsed="false">
      <c r="A37" s="0" t="n">
        <v>2060</v>
      </c>
      <c r="B37" s="0" t="n">
        <v>34</v>
      </c>
      <c r="C37" s="0" t="n">
        <v>3382.4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3734.477</v>
      </c>
      <c r="I37" s="0" t="n">
        <v>495.642</v>
      </c>
      <c r="J37" s="0" t="n">
        <v>1835.687</v>
      </c>
      <c r="K37" s="0" t="n">
        <v>3060.148</v>
      </c>
      <c r="L37" s="0" t="n">
        <v>1149.544</v>
      </c>
      <c r="M37" s="0" t="n">
        <v>77231.933</v>
      </c>
      <c r="N37" s="0" t="n">
        <v>6912.799</v>
      </c>
      <c r="O37" s="0" t="n">
        <v>102.474</v>
      </c>
      <c r="P37" s="0" t="n">
        <v>102.858</v>
      </c>
      <c r="Q37" s="0" t="n">
        <v>1016.995</v>
      </c>
      <c r="R37" s="0" t="n">
        <v>1518.024</v>
      </c>
      <c r="S37" s="0" t="n">
        <v>3858.267</v>
      </c>
      <c r="T37" s="0" t="n">
        <v>4230.118</v>
      </c>
      <c r="U37" s="0" t="n">
        <v>3050.049</v>
      </c>
      <c r="V37" s="0" t="n">
        <v>154026.828</v>
      </c>
      <c r="W37" s="0" t="n">
        <v>348.023</v>
      </c>
      <c r="X37" s="0" t="n">
        <v>904.909</v>
      </c>
      <c r="Y37" s="0" t="n">
        <v>102.474</v>
      </c>
      <c r="Z37" s="0" t="n">
        <v>1072.618</v>
      </c>
      <c r="AA37" s="0" t="n">
        <f aca="false">H37*x_c_F+I37*x_c_CC+J37*x_c_DC+K37*x_c_HCC+L37*x_c_PLT+M37*x_c_SVRn+N37*x_c_SVRcc+O37*x_c_LT+P37*x_c_LT1</f>
        <v>382122977.786781</v>
      </c>
      <c r="AB37" s="0" t="n">
        <f aca="false">C37*x_c_DAA</f>
        <v>76983424</v>
      </c>
      <c r="AC37" s="0" t="n">
        <f aca="false">C37*x_c_MON</f>
        <v>19499975.3270171</v>
      </c>
      <c r="AD37" s="0" t="n">
        <f aca="false">D37*(1-x_testy)</f>
        <v>0</v>
      </c>
      <c r="AE37" s="0" t="n">
        <f aca="false">E37*(1-x_testy)</f>
        <v>0</v>
      </c>
      <c r="AF37" s="0" t="n">
        <f aca="false">F37*x_NAV</f>
        <v>0</v>
      </c>
      <c r="AG37" s="0" t="n">
        <f aca="false">G37*x_FIX*(1-x_testy)</f>
        <v>0</v>
      </c>
      <c r="AH37" s="0" t="n">
        <f aca="false">x_z_F*U37+(1-x_AGRI)*x_EMP*x_WLOSS*(x_PEN_K74*Q37+x_PEN_C22*R37)</f>
        <v>22764926.0397999</v>
      </c>
      <c r="AI37" s="0" t="n">
        <f aca="false">x_AGRI*x_EMP*x_WLOSS*(x_PEN_K74*Q37+x_PEN_C22*R37)</f>
        <v>1090242.24724507</v>
      </c>
      <c r="AJ37" s="0" t="n">
        <f aca="false">x_EMP*x_WAGE*(x_WLOSS*(Q37+R37)+S37)+U37*x_ABS_D*x_WAGE/365</f>
        <v>420891920.497432</v>
      </c>
      <c r="AK37" s="0" t="n">
        <f aca="false">AJ37*x_R_FUS</f>
        <v>133170203.645387</v>
      </c>
      <c r="AL37" s="0" t="n">
        <f aca="false">AJ37*x_R_NFZ</f>
        <v>32686887.4377511</v>
      </c>
      <c r="AM37" s="0" t="n">
        <f aca="false">AJ37*x_R_PIT</f>
        <v>27982651.6123361</v>
      </c>
      <c r="AN37" s="0" t="n">
        <f aca="false">AJ37*x_R_FP</f>
        <v>10732743.9726845</v>
      </c>
      <c r="AO37" s="0" t="n">
        <f aca="false">AA37+AB37+AC37+AD37+AF37</f>
        <v>478606377.113798</v>
      </c>
      <c r="AP37" s="0" t="n">
        <f aca="false">AO37+AE37+AG37+AH37+AI37+AK37+AL37+AM37+AN37</f>
        <v>707034032.069002</v>
      </c>
      <c r="AQ37" s="0" t="n">
        <f aca="false">AO37+AE37+AG37+AJ37</f>
        <v>899498297.61123</v>
      </c>
      <c r="AR37" s="0" t="n">
        <f aca="false">AB37+AC37+AD37+AF37</f>
        <v>96483399.3270171</v>
      </c>
      <c r="AS37" s="0" t="n">
        <f aca="false">AR37+AE37+AG37</f>
        <v>96483399.3270171</v>
      </c>
    </row>
    <row r="38" customFormat="false" ht="15" hidden="false" customHeight="false" outlineLevel="0" collapsed="false">
      <c r="A38" s="0" t="n">
        <v>2061</v>
      </c>
      <c r="B38" s="0" t="n">
        <v>35</v>
      </c>
      <c r="C38" s="0" t="n">
        <v>3382.4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3650.654</v>
      </c>
      <c r="I38" s="0" t="n">
        <v>481.986</v>
      </c>
      <c r="J38" s="0" t="n">
        <v>1822.134</v>
      </c>
      <c r="K38" s="0" t="n">
        <v>3044.868</v>
      </c>
      <c r="L38" s="0" t="n">
        <v>1130.826</v>
      </c>
      <c r="M38" s="0" t="n">
        <v>78756.082</v>
      </c>
      <c r="N38" s="0" t="n">
        <v>6909.041</v>
      </c>
      <c r="O38" s="0" t="n">
        <v>101.708</v>
      </c>
      <c r="P38" s="0" t="n">
        <v>102.091</v>
      </c>
      <c r="Q38" s="0" t="n">
        <v>1014.402</v>
      </c>
      <c r="R38" s="0" t="n">
        <v>1514.373</v>
      </c>
      <c r="S38" s="0" t="n">
        <v>3848.493</v>
      </c>
      <c r="T38" s="0" t="n">
        <v>4132.64</v>
      </c>
      <c r="U38" s="0" t="n">
        <v>2975.35</v>
      </c>
      <c r="V38" s="0" t="n">
        <v>155237.53</v>
      </c>
      <c r="W38" s="0" t="n">
        <v>346.604</v>
      </c>
      <c r="X38" s="0" t="n">
        <v>901.855</v>
      </c>
      <c r="Y38" s="0" t="n">
        <v>101.708</v>
      </c>
      <c r="Z38" s="0" t="n">
        <v>1065.441</v>
      </c>
      <c r="AA38" s="0" t="n">
        <f aca="false">H38*x_c_F+I38*x_c_CC+J38*x_c_DC+K38*x_c_HCC+L38*x_c_PLT+M38*x_c_SVRn+N38*x_c_SVRcc+O38*x_c_LT+P38*x_c_LT1</f>
        <v>380624575.813671</v>
      </c>
      <c r="AB38" s="0" t="n">
        <f aca="false">C38*x_c_DAA</f>
        <v>76983424</v>
      </c>
      <c r="AC38" s="0" t="n">
        <f aca="false">C38*x_c_MON</f>
        <v>19499975.3270171</v>
      </c>
      <c r="AD38" s="0" t="n">
        <f aca="false">D38*(1-x_testy)</f>
        <v>0</v>
      </c>
      <c r="AE38" s="0" t="n">
        <f aca="false">E38*(1-x_testy)</f>
        <v>0</v>
      </c>
      <c r="AF38" s="0" t="n">
        <f aca="false">F38*x_NAV</f>
        <v>0</v>
      </c>
      <c r="AG38" s="0" t="n">
        <f aca="false">G38*x_FIX*(1-x_testy)</f>
        <v>0</v>
      </c>
      <c r="AH38" s="0" t="n">
        <f aca="false">x_z_F*U38+(1-x_AGRI)*x_EMP*x_WLOSS*(x_PEN_K74*Q38+x_PEN_C22*R38)</f>
        <v>22570797.0398538</v>
      </c>
      <c r="AI38" s="0" t="n">
        <f aca="false">x_AGRI*x_EMP*x_WLOSS*(x_PEN_K74*Q38+x_PEN_C22*R38)</f>
        <v>1087561.65068772</v>
      </c>
      <c r="AJ38" s="0" t="n">
        <f aca="false">x_EMP*x_WAGE*(x_WLOSS*(Q38+R38)+S38)+U38*x_ABS_D*x_WAGE/365</f>
        <v>419634788.385586</v>
      </c>
      <c r="AK38" s="0" t="n">
        <f aca="false">AJ38*x_R_FUS</f>
        <v>132772447.045199</v>
      </c>
      <c r="AL38" s="0" t="n">
        <f aca="false">AJ38*x_R_NFZ</f>
        <v>32589257.300813</v>
      </c>
      <c r="AM38" s="0" t="n">
        <f aca="false">AJ38*x_R_PIT</f>
        <v>27899072.2224659</v>
      </c>
      <c r="AN38" s="0" t="n">
        <f aca="false">AJ38*x_R_FP</f>
        <v>10700687.1038324</v>
      </c>
      <c r="AO38" s="0" t="n">
        <f aca="false">AA38+AB38+AC38+AD38+AF38</f>
        <v>477107975.140689</v>
      </c>
      <c r="AP38" s="0" t="n">
        <f aca="false">AO38+AE38+AG38+AH38+AI38+AK38+AL38+AM38+AN38</f>
        <v>704727797.503541</v>
      </c>
      <c r="AQ38" s="0" t="n">
        <f aca="false">AO38+AE38+AG38+AJ38</f>
        <v>896742763.526274</v>
      </c>
      <c r="AR38" s="0" t="n">
        <f aca="false">AB38+AC38+AD38+AF38</f>
        <v>96483399.3270171</v>
      </c>
      <c r="AS38" s="0" t="n">
        <f aca="false">AR38+AE38+AG38</f>
        <v>96483399.3270171</v>
      </c>
    </row>
    <row r="39" customFormat="false" ht="15" hidden="false" customHeight="false" outlineLevel="0" collapsed="false">
      <c r="A39" s="0" t="n">
        <v>2062</v>
      </c>
      <c r="B39" s="0" t="n">
        <v>36</v>
      </c>
      <c r="C39" s="0" t="n">
        <v>3382.4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3569.921</v>
      </c>
      <c r="I39" s="0" t="n">
        <v>469.164</v>
      </c>
      <c r="J39" s="0" t="n">
        <v>1808.948</v>
      </c>
      <c r="K39" s="0" t="n">
        <v>3030.388</v>
      </c>
      <c r="L39" s="0" t="n">
        <v>1110.446</v>
      </c>
      <c r="M39" s="0" t="n">
        <v>80211.897</v>
      </c>
      <c r="N39" s="0" t="n">
        <v>6891.94</v>
      </c>
      <c r="O39" s="0" t="n">
        <v>100.978</v>
      </c>
      <c r="P39" s="0" t="n">
        <v>101.343</v>
      </c>
      <c r="Q39" s="0" t="n">
        <v>1011.958</v>
      </c>
      <c r="R39" s="0" t="n">
        <v>1510.958</v>
      </c>
      <c r="S39" s="0" t="n">
        <v>3839.13</v>
      </c>
      <c r="T39" s="0" t="n">
        <v>4039.084</v>
      </c>
      <c r="U39" s="0" t="n">
        <v>2903.779</v>
      </c>
      <c r="V39" s="0" t="n">
        <v>156391.027</v>
      </c>
      <c r="W39" s="0" t="n">
        <v>345.364</v>
      </c>
      <c r="X39" s="0" t="n">
        <v>899.158</v>
      </c>
      <c r="Y39" s="0" t="n">
        <v>100.978</v>
      </c>
      <c r="Z39" s="0" t="n">
        <v>1058.581</v>
      </c>
      <c r="AA39" s="0" t="n">
        <f aca="false">H39*x_c_F+I39*x_c_CC+J39*x_c_DC+K39*x_c_HCC+L39*x_c_PLT+M39*x_c_SVRn+N39*x_c_SVRcc+O39*x_c_LT+P39*x_c_LT1</f>
        <v>379078789.744293</v>
      </c>
      <c r="AB39" s="0" t="n">
        <f aca="false">C39*x_c_DAA</f>
        <v>76983424</v>
      </c>
      <c r="AC39" s="0" t="n">
        <f aca="false">C39*x_c_MON</f>
        <v>19499975.3270171</v>
      </c>
      <c r="AD39" s="0" t="n">
        <f aca="false">D39*(1-x_testy)</f>
        <v>0</v>
      </c>
      <c r="AE39" s="0" t="n">
        <f aca="false">E39*(1-x_testy)</f>
        <v>0</v>
      </c>
      <c r="AF39" s="0" t="n">
        <f aca="false">F39*x_NAV</f>
        <v>0</v>
      </c>
      <c r="AG39" s="0" t="n">
        <f aca="false">G39*x_FIX*(1-x_testy)</f>
        <v>0</v>
      </c>
      <c r="AH39" s="0" t="n">
        <f aca="false">x_z_F*U39+(1-x_AGRI)*x_EMP*x_WLOSS*(x_PEN_K74*Q39+x_PEN_C22*R39)</f>
        <v>22385608.4267081</v>
      </c>
      <c r="AI39" s="0" t="n">
        <f aca="false">x_AGRI*x_EMP*x_WLOSS*(x_PEN_K74*Q39+x_PEN_C22*R39)</f>
        <v>1085046.92798596</v>
      </c>
      <c r="AJ39" s="0" t="n">
        <f aca="false">x_EMP*x_WAGE*(x_WLOSS*(Q39+R39)+S39)+U39*x_ABS_D*x_WAGE/365</f>
        <v>418434488.139816</v>
      </c>
      <c r="AK39" s="0" t="n">
        <f aca="false">AJ39*x_R_FUS</f>
        <v>132392672.047438</v>
      </c>
      <c r="AL39" s="0" t="n">
        <f aca="false">AJ39*x_R_NFZ</f>
        <v>32496040.7834263</v>
      </c>
      <c r="AM39" s="0" t="n">
        <f aca="false">AJ39*x_R_PIT</f>
        <v>27819271.2522599</v>
      </c>
      <c r="AN39" s="0" t="n">
        <f aca="false">AJ39*x_R_FP</f>
        <v>10670079.4475653</v>
      </c>
      <c r="AO39" s="0" t="n">
        <f aca="false">AA39+AB39+AC39+AD39+AF39</f>
        <v>475562189.07131</v>
      </c>
      <c r="AP39" s="0" t="n">
        <f aca="false">AO39+AE39+AG39+AH39+AI39+AK39+AL39+AM39+AN39</f>
        <v>702410907.956694</v>
      </c>
      <c r="AQ39" s="0" t="n">
        <f aca="false">AO39+AE39+AG39+AJ39</f>
        <v>893996677.211127</v>
      </c>
      <c r="AR39" s="0" t="n">
        <f aca="false">AB39+AC39+AD39+AF39</f>
        <v>96483399.3270171</v>
      </c>
      <c r="AS39" s="0" t="n">
        <f aca="false">AR39+AE39+AG39</f>
        <v>96483399.3270171</v>
      </c>
    </row>
    <row r="40" customFormat="false" ht="15" hidden="false" customHeight="false" outlineLevel="0" collapsed="false">
      <c r="A40" s="0" t="n">
        <v>2063</v>
      </c>
      <c r="B40" s="0" t="n">
        <v>37</v>
      </c>
      <c r="C40" s="0" t="n">
        <v>3382.4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3492.519</v>
      </c>
      <c r="I40" s="0" t="n">
        <v>457.271</v>
      </c>
      <c r="J40" s="0" t="n">
        <v>1796.806</v>
      </c>
      <c r="K40" s="0" t="n">
        <v>3017.579</v>
      </c>
      <c r="L40" s="0" t="n">
        <v>1089.081</v>
      </c>
      <c r="M40" s="0" t="n">
        <v>81608.133</v>
      </c>
      <c r="N40" s="0" t="n">
        <v>6864.879</v>
      </c>
      <c r="O40" s="0" t="n">
        <v>100.325</v>
      </c>
      <c r="P40" s="0" t="n">
        <v>100.652</v>
      </c>
      <c r="Q40" s="0" t="n">
        <v>1009.666</v>
      </c>
      <c r="R40" s="0" t="n">
        <v>1507.782</v>
      </c>
      <c r="S40" s="0" t="n">
        <v>3830.222</v>
      </c>
      <c r="T40" s="0" t="n">
        <v>3949.789</v>
      </c>
      <c r="U40" s="0" t="n">
        <v>2835.434</v>
      </c>
      <c r="V40" s="0" t="n">
        <v>157500.283</v>
      </c>
      <c r="W40" s="0" t="n">
        <v>344.398</v>
      </c>
      <c r="X40" s="0" t="n">
        <v>897.052</v>
      </c>
      <c r="Y40" s="0" t="n">
        <v>100.325</v>
      </c>
      <c r="Z40" s="0" t="n">
        <v>1052.442</v>
      </c>
      <c r="AA40" s="0" t="n">
        <f aca="false">H40*x_c_F+I40*x_c_CC+J40*x_c_DC+K40*x_c_HCC+L40*x_c_PLT+M40*x_c_SVRn+N40*x_c_SVRcc+O40*x_c_LT+P40*x_c_LT1</f>
        <v>377605854.2895</v>
      </c>
      <c r="AB40" s="0" t="n">
        <f aca="false">C40*x_c_DAA</f>
        <v>76983424</v>
      </c>
      <c r="AC40" s="0" t="n">
        <f aca="false">C40*x_c_MON</f>
        <v>19499975.3270171</v>
      </c>
      <c r="AD40" s="0" t="n">
        <f aca="false">D40*(1-x_testy)</f>
        <v>0</v>
      </c>
      <c r="AE40" s="0" t="n">
        <f aca="false">E40*(1-x_testy)</f>
        <v>0</v>
      </c>
      <c r="AF40" s="0" t="n">
        <f aca="false">F40*x_NAV</f>
        <v>0</v>
      </c>
      <c r="AG40" s="0" t="n">
        <f aca="false">G40*x_FIX*(1-x_testy)</f>
        <v>0</v>
      </c>
      <c r="AH40" s="0" t="n">
        <f aca="false">x_z_F*U40+(1-x_AGRI)*x_EMP*x_WLOSS*(x_PEN_K74*Q40+x_PEN_C22*R40)</f>
        <v>22209600.2320002</v>
      </c>
      <c r="AI40" s="0" t="n">
        <f aca="false">x_AGRI*x_EMP*x_WLOSS*(x_PEN_K74*Q40+x_PEN_C22*R40)</f>
        <v>1082700.62740515</v>
      </c>
      <c r="AJ40" s="0" t="n">
        <f aca="false">x_EMP*x_WAGE*(x_WLOSS*(Q40+R40)+S40)+U40*x_ABS_D*x_WAGE/365</f>
        <v>417295255.475573</v>
      </c>
      <c r="AK40" s="0" t="n">
        <f aca="false">AJ40*x_R_FUS</f>
        <v>132032218.832471</v>
      </c>
      <c r="AL40" s="0" t="n">
        <f aca="false">AJ40*x_R_NFZ</f>
        <v>32407566.8354885</v>
      </c>
      <c r="AM40" s="0" t="n">
        <f aca="false">AJ40*x_R_PIT</f>
        <v>27743530.3097604</v>
      </c>
      <c r="AN40" s="0" t="n">
        <f aca="false">AJ40*x_R_FP</f>
        <v>10641029.0146271</v>
      </c>
      <c r="AO40" s="0" t="n">
        <f aca="false">AA40+AB40+AC40+AD40+AF40</f>
        <v>474089253.616517</v>
      </c>
      <c r="AP40" s="0" t="n">
        <f aca="false">AO40+AE40+AG40+AH40+AI40+AK40+AL40+AM40+AN40</f>
        <v>700205899.468269</v>
      </c>
      <c r="AQ40" s="0" t="n">
        <f aca="false">AO40+AE40+AG40+AJ40</f>
        <v>891384509.09209</v>
      </c>
      <c r="AR40" s="0" t="n">
        <f aca="false">AB40+AC40+AD40+AF40</f>
        <v>96483399.3270171</v>
      </c>
      <c r="AS40" s="0" t="n">
        <f aca="false">AR40+AE40+AG40</f>
        <v>96483399.3270171</v>
      </c>
    </row>
    <row r="41" customFormat="false" ht="15" hidden="false" customHeight="false" outlineLevel="0" collapsed="false">
      <c r="A41" s="0" t="n">
        <v>2064</v>
      </c>
      <c r="B41" s="0" t="n">
        <v>38</v>
      </c>
      <c r="C41" s="0" t="n">
        <v>3382.4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3418.799</v>
      </c>
      <c r="I41" s="0" t="n">
        <v>446.411</v>
      </c>
      <c r="J41" s="0" t="n">
        <v>1786.44</v>
      </c>
      <c r="K41" s="0" t="n">
        <v>3007.387</v>
      </c>
      <c r="L41" s="0" t="n">
        <v>1067.58</v>
      </c>
      <c r="M41" s="0" t="n">
        <v>82957.108</v>
      </c>
      <c r="N41" s="0" t="n">
        <v>6832.154</v>
      </c>
      <c r="O41" s="0" t="n">
        <v>99.791</v>
      </c>
      <c r="P41" s="0" t="n">
        <v>100.058</v>
      </c>
      <c r="Q41" s="0" t="n">
        <v>1007.533</v>
      </c>
      <c r="R41" s="0" t="n">
        <v>1504.847</v>
      </c>
      <c r="S41" s="0" t="n">
        <v>3821.813</v>
      </c>
      <c r="T41" s="0" t="n">
        <v>3865.211</v>
      </c>
      <c r="U41" s="0" t="n">
        <v>2770.509</v>
      </c>
      <c r="V41" s="0" t="n">
        <v>158581.869</v>
      </c>
      <c r="W41" s="0" t="n">
        <v>343.797</v>
      </c>
      <c r="X41" s="0" t="n">
        <v>895.764</v>
      </c>
      <c r="Y41" s="0" t="n">
        <v>99.791</v>
      </c>
      <c r="Z41" s="0" t="n">
        <v>1047.421</v>
      </c>
      <c r="AA41" s="0" t="n">
        <f aca="false">H41*x_c_F+I41*x_c_CC+J41*x_c_DC+K41*x_c_HCC+L41*x_c_PLT+M41*x_c_SVRn+N41*x_c_SVRcc+O41*x_c_LT+P41*x_c_LT1</f>
        <v>376342676.003565</v>
      </c>
      <c r="AB41" s="0" t="n">
        <f aca="false">C41*x_c_DAA</f>
        <v>76983424</v>
      </c>
      <c r="AC41" s="0" t="n">
        <f aca="false">C41*x_c_MON</f>
        <v>19499975.3270171</v>
      </c>
      <c r="AD41" s="0" t="n">
        <f aca="false">D41*(1-x_testy)</f>
        <v>0</v>
      </c>
      <c r="AE41" s="0" t="n">
        <f aca="false">E41*(1-x_testy)</f>
        <v>0</v>
      </c>
      <c r="AF41" s="0" t="n">
        <f aca="false">F41*x_NAV</f>
        <v>0</v>
      </c>
      <c r="AG41" s="0" t="n">
        <f aca="false">G41*x_FIX*(1-x_testy)</f>
        <v>0</v>
      </c>
      <c r="AH41" s="0" t="n">
        <f aca="false">x_z_F*U41+(1-x_AGRI)*x_EMP*x_WLOSS*(x_PEN_K74*Q41+x_PEN_C22*R41)</f>
        <v>22043227.0786731</v>
      </c>
      <c r="AI41" s="0" t="n">
        <f aca="false">x_AGRI*x_EMP*x_WLOSS*(x_PEN_K74*Q41+x_PEN_C22*R41)</f>
        <v>1080526.43570194</v>
      </c>
      <c r="AJ41" s="0" t="n">
        <f aca="false">x_EMP*x_WAGE*(x_WLOSS*(Q41+R41)+S41)+U41*x_ABS_D*x_WAGE/365</f>
        <v>416221706.292871</v>
      </c>
      <c r="AK41" s="0" t="n">
        <f aca="false">AJ41*x_R_FUS</f>
        <v>131692547.871064</v>
      </c>
      <c r="AL41" s="0" t="n">
        <f aca="false">AJ41*x_R_NFZ</f>
        <v>32324193.9324106</v>
      </c>
      <c r="AM41" s="0" t="n">
        <f aca="false">AJ41*x_R_PIT</f>
        <v>27672156.2792663</v>
      </c>
      <c r="AN41" s="0" t="n">
        <f aca="false">AJ41*x_R_FP</f>
        <v>10613653.5104682</v>
      </c>
      <c r="AO41" s="0" t="n">
        <f aca="false">AA41+AB41+AC41+AD41+AF41</f>
        <v>472826075.330582</v>
      </c>
      <c r="AP41" s="0" t="n">
        <f aca="false">AO41+AE41+AG41+AH41+AI41+AK41+AL41+AM41+AN41</f>
        <v>698252380.438167</v>
      </c>
      <c r="AQ41" s="0" t="n">
        <f aca="false">AO41+AE41+AG41+AJ41</f>
        <v>889047781.623453</v>
      </c>
      <c r="AR41" s="0" t="n">
        <f aca="false">AB41+AC41+AD41+AF41</f>
        <v>96483399.3270171</v>
      </c>
      <c r="AS41" s="0" t="n">
        <f aca="false">AR41+AE41+AG41</f>
        <v>96483399.3270171</v>
      </c>
    </row>
    <row r="42" customFormat="false" ht="15" hidden="false" customHeight="false" outlineLevel="0" collapsed="false">
      <c r="A42" s="0" t="n">
        <v>2065</v>
      </c>
      <c r="B42" s="0" t="n">
        <v>39</v>
      </c>
      <c r="C42" s="0" t="n">
        <v>3382.4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3349.189</v>
      </c>
      <c r="I42" s="0" t="n">
        <v>436.672</v>
      </c>
      <c r="J42" s="0" t="n">
        <v>1778.509</v>
      </c>
      <c r="K42" s="0" t="n">
        <v>3000.649</v>
      </c>
      <c r="L42" s="0" t="n">
        <v>1046.839</v>
      </c>
      <c r="M42" s="0" t="n">
        <v>84272.441</v>
      </c>
      <c r="N42" s="0" t="n">
        <v>6798.349</v>
      </c>
      <c r="O42" s="0" t="n">
        <v>99.41</v>
      </c>
      <c r="P42" s="0" t="n">
        <v>99.601</v>
      </c>
      <c r="Q42" s="0" t="n">
        <v>1005.561</v>
      </c>
      <c r="R42" s="0" t="n">
        <v>1502.152</v>
      </c>
      <c r="S42" s="0" t="n">
        <v>3813.935</v>
      </c>
      <c r="T42" s="0" t="n">
        <v>3785.861</v>
      </c>
      <c r="U42" s="0" t="n">
        <v>2709.279</v>
      </c>
      <c r="V42" s="0" t="n">
        <v>159652.646</v>
      </c>
      <c r="W42" s="0" t="n">
        <v>343.629</v>
      </c>
      <c r="X42" s="0" t="n">
        <v>895.474</v>
      </c>
      <c r="Y42" s="0" t="n">
        <v>99.41</v>
      </c>
      <c r="Z42" s="0" t="n">
        <v>1043.847</v>
      </c>
      <c r="AA42" s="0" t="n">
        <f aca="false">H42*x_c_F+I42*x_c_CC+J42*x_c_DC+K42*x_c_HCC+L42*x_c_PLT+M42*x_c_SVRn+N42*x_c_SVRcc+O42*x_c_LT+P42*x_c_LT1</f>
        <v>375418467.116901</v>
      </c>
      <c r="AB42" s="0" t="n">
        <f aca="false">C42*x_c_DAA</f>
        <v>76983424</v>
      </c>
      <c r="AC42" s="0" t="n">
        <f aca="false">C42*x_c_MON</f>
        <v>19499975.3270171</v>
      </c>
      <c r="AD42" s="0" t="n">
        <f aca="false">D42*(1-x_testy)</f>
        <v>0</v>
      </c>
      <c r="AE42" s="0" t="n">
        <f aca="false">E42*(1-x_testy)</f>
        <v>0</v>
      </c>
      <c r="AF42" s="0" t="n">
        <f aca="false">F42*x_NAV</f>
        <v>0</v>
      </c>
      <c r="AG42" s="0" t="n">
        <f aca="false">G42*x_FIX*(1-x_testy)</f>
        <v>0</v>
      </c>
      <c r="AH42" s="0" t="n">
        <f aca="false">x_z_F*U42+(1-x_AGRI)*x_EMP*x_WLOSS*(x_PEN_K74*Q42+x_PEN_C22*R42)</f>
        <v>21887059.5352365</v>
      </c>
      <c r="AI42" s="0" t="n">
        <f aca="false">x_AGRI*x_EMP*x_WLOSS*(x_PEN_K74*Q42+x_PEN_C22*R42)</f>
        <v>1078524.69620236</v>
      </c>
      <c r="AJ42" s="0" t="n">
        <f aca="false">x_EMP*x_WAGE*(x_WLOSS*(Q42+R42)+S42)+U42*x_ABS_D*x_WAGE/365</f>
        <v>415217409.44293</v>
      </c>
      <c r="AK42" s="0" t="n">
        <f aca="false">AJ42*x_R_FUS</f>
        <v>131374788.347743</v>
      </c>
      <c r="AL42" s="0" t="n">
        <f aca="false">AJ42*x_R_NFZ</f>
        <v>32246199.2347474</v>
      </c>
      <c r="AM42" s="0" t="n">
        <f aca="false">AJ42*x_R_PIT</f>
        <v>27605386.4329028</v>
      </c>
      <c r="AN42" s="0" t="n">
        <f aca="false">AJ42*x_R_FP</f>
        <v>10588043.9407947</v>
      </c>
      <c r="AO42" s="0" t="n">
        <f aca="false">AA42+AB42+AC42+AD42+AF42</f>
        <v>471901866.443919</v>
      </c>
      <c r="AP42" s="0" t="n">
        <f aca="false">AO42+AE42+AG42+AH42+AI42+AK42+AL42+AM42+AN42</f>
        <v>696681868.631545</v>
      </c>
      <c r="AQ42" s="0" t="n">
        <f aca="false">AO42+AE42+AG42+AJ42</f>
        <v>887119275.886849</v>
      </c>
      <c r="AR42" s="0" t="n">
        <f aca="false">AB42+AC42+AD42+AF42</f>
        <v>96483399.3270171</v>
      </c>
      <c r="AS42" s="0" t="n">
        <f aca="false">AR42+AE42+AG42</f>
        <v>96483399.3270171</v>
      </c>
    </row>
    <row r="43" customFormat="false" ht="15" hidden="false" customHeight="false" outlineLevel="0" collapsed="false">
      <c r="A43" s="0" t="n">
        <v>2066</v>
      </c>
      <c r="B43" s="0" t="n">
        <v>40</v>
      </c>
      <c r="C43" s="0" t="n">
        <v>3382.4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3284.139</v>
      </c>
      <c r="I43" s="0" t="n">
        <v>428.109</v>
      </c>
      <c r="J43" s="0" t="n">
        <v>1773.512</v>
      </c>
      <c r="K43" s="0" t="n">
        <v>2997.982</v>
      </c>
      <c r="L43" s="0" t="n">
        <v>1027.695</v>
      </c>
      <c r="M43" s="0" t="n">
        <v>85567.266</v>
      </c>
      <c r="N43" s="0" t="n">
        <v>6767.824</v>
      </c>
      <c r="O43" s="0" t="n">
        <v>99.205</v>
      </c>
      <c r="P43" s="0" t="n">
        <v>99.307</v>
      </c>
      <c r="Q43" s="0" t="n">
        <v>1003.752</v>
      </c>
      <c r="R43" s="0" t="n">
        <v>1499.698</v>
      </c>
      <c r="S43" s="0" t="n">
        <v>3806.616</v>
      </c>
      <c r="T43" s="0" t="n">
        <v>3712.247</v>
      </c>
      <c r="U43" s="0" t="n">
        <v>2652.065</v>
      </c>
      <c r="V43" s="0" t="n">
        <v>160727.459</v>
      </c>
      <c r="W43" s="0" t="n">
        <v>343.932</v>
      </c>
      <c r="X43" s="0" t="n">
        <v>896.285</v>
      </c>
      <c r="Y43" s="0" t="n">
        <v>99.205</v>
      </c>
      <c r="Z43" s="0" t="n">
        <v>1041.954</v>
      </c>
      <c r="AA43" s="0" t="n">
        <f aca="false">H43*x_c_F+I43*x_c_CC+J43*x_c_DC+K43*x_c_HCC+L43*x_c_PLT+M43*x_c_SVRn+N43*x_c_SVRcc+O43*x_c_LT+P43*x_c_LT1</f>
        <v>374938379.843375</v>
      </c>
      <c r="AB43" s="0" t="n">
        <f aca="false">C43*x_c_DAA</f>
        <v>76983424</v>
      </c>
      <c r="AC43" s="0" t="n">
        <f aca="false">C43*x_c_MON</f>
        <v>19499975.3270171</v>
      </c>
      <c r="AD43" s="0" t="n">
        <f aca="false">D43*(1-x_testy)</f>
        <v>0</v>
      </c>
      <c r="AE43" s="0" t="n">
        <f aca="false">E43*(1-x_testy)</f>
        <v>0</v>
      </c>
      <c r="AF43" s="0" t="n">
        <f aca="false">F43*x_NAV</f>
        <v>0</v>
      </c>
      <c r="AG43" s="0" t="n">
        <f aca="false">G43*x_FIX*(1-x_testy)</f>
        <v>0</v>
      </c>
      <c r="AH43" s="0" t="n">
        <f aca="false">x_z_F*U43+(1-x_AGRI)*x_EMP*x_WLOSS*(x_PEN_K74*Q43+x_PEN_C22*R43)</f>
        <v>21741776.4136833</v>
      </c>
      <c r="AI43" s="0" t="n">
        <f aca="false">x_AGRI*x_EMP*x_WLOSS*(x_PEN_K74*Q43+x_PEN_C22*R43)</f>
        <v>1076696.65591082</v>
      </c>
      <c r="AJ43" s="0" t="n">
        <f aca="false">x_EMP*x_WAGE*(x_WLOSS*(Q43+R43)+S43)+U43*x_ABS_D*x_WAGE/365</f>
        <v>414285793.318251</v>
      </c>
      <c r="AK43" s="0" t="n">
        <f aca="false">AJ43*x_R_FUS</f>
        <v>131080025.005895</v>
      </c>
      <c r="AL43" s="0" t="n">
        <f aca="false">AJ43*x_R_NFZ</f>
        <v>32173848.9948887</v>
      </c>
      <c r="AM43" s="0" t="n">
        <f aca="false">AJ43*x_R_PIT</f>
        <v>27543448.7045128</v>
      </c>
      <c r="AN43" s="0" t="n">
        <f aca="false">AJ43*x_R_FP</f>
        <v>10564287.7296154</v>
      </c>
      <c r="AO43" s="0" t="n">
        <f aca="false">AA43+AB43+AC43+AD43+AF43</f>
        <v>471421779.170392</v>
      </c>
      <c r="AP43" s="0" t="n">
        <f aca="false">AO43+AE43+AG43+AH43+AI43+AK43+AL43+AM43+AN43</f>
        <v>695601862.674898</v>
      </c>
      <c r="AQ43" s="0" t="n">
        <f aca="false">AO43+AE43+AG43+AJ43</f>
        <v>885707572.488643</v>
      </c>
      <c r="AR43" s="0" t="n">
        <f aca="false">AB43+AC43+AD43+AF43</f>
        <v>96483399.3270171</v>
      </c>
      <c r="AS43" s="0" t="n">
        <f aca="false">AR43+AE43+AG43</f>
        <v>96483399.3270171</v>
      </c>
    </row>
    <row r="44" customFormat="false" ht="15" hidden="false" customHeight="false" outlineLevel="0" collapsed="false">
      <c r="A44" s="0" t="n">
        <v>2067</v>
      </c>
      <c r="B44" s="0" t="n">
        <v>41</v>
      </c>
      <c r="C44" s="0" t="n">
        <v>3382.4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3224.074</v>
      </c>
      <c r="I44" s="0" t="n">
        <v>420.731</v>
      </c>
      <c r="J44" s="0" t="n">
        <v>1771.713</v>
      </c>
      <c r="K44" s="0" t="n">
        <v>2999.67</v>
      </c>
      <c r="L44" s="0" t="n">
        <v>1010.826</v>
      </c>
      <c r="M44" s="0" t="n">
        <v>86852.16</v>
      </c>
      <c r="N44" s="0" t="n">
        <v>6744.157</v>
      </c>
      <c r="O44" s="0" t="n">
        <v>99.183</v>
      </c>
      <c r="P44" s="0" t="n">
        <v>99.194</v>
      </c>
      <c r="Q44" s="0" t="n">
        <v>1002.107</v>
      </c>
      <c r="R44" s="0" t="n">
        <v>1497.484</v>
      </c>
      <c r="S44" s="0" t="n">
        <v>3799.877</v>
      </c>
      <c r="T44" s="0" t="n">
        <v>3644.805</v>
      </c>
      <c r="U44" s="0" t="n">
        <v>2599.191</v>
      </c>
      <c r="V44" s="0" t="n">
        <v>161816.753</v>
      </c>
      <c r="W44" s="0" t="n">
        <v>344.701</v>
      </c>
      <c r="X44" s="0" t="n">
        <v>898.196</v>
      </c>
      <c r="Y44" s="0" t="n">
        <v>99.183</v>
      </c>
      <c r="Z44" s="0" t="n">
        <v>1041.821</v>
      </c>
      <c r="AA44" s="0" t="n">
        <f aca="false">H44*x_c_F+I44*x_c_CC+J44*x_c_DC+K44*x_c_HCC+L44*x_c_PLT+M44*x_c_SVRn+N44*x_c_SVRcc+O44*x_c_LT+P44*x_c_LT1</f>
        <v>374967431.799008</v>
      </c>
      <c r="AB44" s="0" t="n">
        <f aca="false">C44*x_c_DAA</f>
        <v>76983424</v>
      </c>
      <c r="AC44" s="0" t="n">
        <f aca="false">C44*x_c_MON</f>
        <v>19499975.3270171</v>
      </c>
      <c r="AD44" s="0" t="n">
        <f aca="false">D44*(1-x_testy)</f>
        <v>0</v>
      </c>
      <c r="AE44" s="0" t="n">
        <f aca="false">E44*(1-x_testy)</f>
        <v>0</v>
      </c>
      <c r="AF44" s="0" t="n">
        <f aca="false">F44*x_NAV</f>
        <v>0</v>
      </c>
      <c r="AG44" s="0" t="n">
        <f aca="false">G44*x_FIX*(1-x_testy)</f>
        <v>0</v>
      </c>
      <c r="AH44" s="0" t="n">
        <f aca="false">x_z_F*U44+(1-x_AGRI)*x_EMP*x_WLOSS*(x_PEN_K74*Q44+x_PEN_C22*R44)</f>
        <v>21608043.006907</v>
      </c>
      <c r="AI44" s="0" t="n">
        <f aca="false">x_AGRI*x_EMP*x_WLOSS*(x_PEN_K74*Q44+x_PEN_C22*R44)</f>
        <v>1075042.26057074</v>
      </c>
      <c r="AJ44" s="0" t="n">
        <f aca="false">x_EMP*x_WAGE*(x_WLOSS*(Q44+R44)+S44)+U44*x_ABS_D*x_WAGE/365</f>
        <v>413429600.105581</v>
      </c>
      <c r="AK44" s="0" t="n">
        <f aca="false">AJ44*x_R_FUS</f>
        <v>130809125.473406</v>
      </c>
      <c r="AL44" s="0" t="n">
        <f aca="false">AJ44*x_R_NFZ</f>
        <v>32107356.1737995</v>
      </c>
      <c r="AM44" s="0" t="n">
        <f aca="false">AJ44*x_R_PIT</f>
        <v>27486525.4061167</v>
      </c>
      <c r="AN44" s="0" t="n">
        <f aca="false">AJ44*x_R_FP</f>
        <v>10542454.8026923</v>
      </c>
      <c r="AO44" s="0" t="n">
        <f aca="false">AA44+AB44+AC44+AD44+AF44</f>
        <v>471450831.126025</v>
      </c>
      <c r="AP44" s="0" t="n">
        <f aca="false">AO44+AE44+AG44+AH44+AI44+AK44+AL44+AM44+AN44</f>
        <v>695079378.249517</v>
      </c>
      <c r="AQ44" s="0" t="n">
        <f aca="false">AO44+AE44+AG44+AJ44</f>
        <v>884880431.231606</v>
      </c>
      <c r="AR44" s="0" t="n">
        <f aca="false">AB44+AC44+AD44+AF44</f>
        <v>96483399.3270171</v>
      </c>
      <c r="AS44" s="0" t="n">
        <f aca="false">AR44+AE44+AG44</f>
        <v>96483399.3270171</v>
      </c>
    </row>
    <row r="45" customFormat="false" ht="15" hidden="false" customHeight="false" outlineLevel="0" collapsed="false">
      <c r="A45" s="0" t="n">
        <v>2068</v>
      </c>
      <c r="B45" s="0" t="n">
        <v>42</v>
      </c>
      <c r="C45" s="0" t="n">
        <v>3382.4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3169.347</v>
      </c>
      <c r="I45" s="0" t="n">
        <v>414.514</v>
      </c>
      <c r="J45" s="0" t="n">
        <v>1773.16</v>
      </c>
      <c r="K45" s="0" t="n">
        <v>3005.696</v>
      </c>
      <c r="L45" s="0" t="n">
        <v>996.741</v>
      </c>
      <c r="M45" s="0" t="n">
        <v>88135.026</v>
      </c>
      <c r="N45" s="0" t="n">
        <v>6730.08</v>
      </c>
      <c r="O45" s="0" t="n">
        <v>99.344</v>
      </c>
      <c r="P45" s="0" t="n">
        <v>99.264</v>
      </c>
      <c r="Q45" s="0" t="n">
        <v>1000.628</v>
      </c>
      <c r="R45" s="0" t="n">
        <v>1495.509</v>
      </c>
      <c r="S45" s="0" t="n">
        <v>3793.735</v>
      </c>
      <c r="T45" s="0" t="n">
        <v>3583.861</v>
      </c>
      <c r="U45" s="0" t="n">
        <v>2550.937</v>
      </c>
      <c r="V45" s="0" t="n">
        <v>162926.787</v>
      </c>
      <c r="W45" s="0" t="n">
        <v>345.903</v>
      </c>
      <c r="X45" s="0" t="n">
        <v>901.144</v>
      </c>
      <c r="Y45" s="0" t="n">
        <v>99.344</v>
      </c>
      <c r="Z45" s="0" t="n">
        <v>1043.445</v>
      </c>
      <c r="AA45" s="0" t="n">
        <f aca="false">H45*x_c_F+I45*x_c_CC+J45*x_c_DC+K45*x_c_HCC+L45*x_c_PLT+M45*x_c_SVRn+N45*x_c_SVRcc+O45*x_c_LT+P45*x_c_LT1</f>
        <v>375534932.912787</v>
      </c>
      <c r="AB45" s="0" t="n">
        <f aca="false">C45*x_c_DAA</f>
        <v>76983424</v>
      </c>
      <c r="AC45" s="0" t="n">
        <f aca="false">C45*x_c_MON</f>
        <v>19499975.3270171</v>
      </c>
      <c r="AD45" s="0" t="n">
        <f aca="false">D45*(1-x_testy)</f>
        <v>0</v>
      </c>
      <c r="AE45" s="0" t="n">
        <f aca="false">E45*(1-x_testy)</f>
        <v>0</v>
      </c>
      <c r="AF45" s="0" t="n">
        <f aca="false">F45*x_NAV</f>
        <v>0</v>
      </c>
      <c r="AG45" s="0" t="n">
        <f aca="false">G45*x_FIX*(1-x_testy)</f>
        <v>0</v>
      </c>
      <c r="AH45" s="0" t="n">
        <f aca="false">x_z_F*U45+(1-x_AGRI)*x_EMP*x_WLOSS*(x_PEN_K74*Q45+x_PEN_C22*R45)</f>
        <v>21486440.1629502</v>
      </c>
      <c r="AI45" s="0" t="n">
        <f aca="false">x_AGRI*x_EMP*x_WLOSS*(x_PEN_K74*Q45+x_PEN_C22*R45)</f>
        <v>1073561.85350816</v>
      </c>
      <c r="AJ45" s="0" t="n">
        <f aca="false">x_EMP*x_WAGE*(x_WLOSS*(Q45+R45)+S45)+U45*x_ABS_D*x_WAGE/365</f>
        <v>412651134.435765</v>
      </c>
      <c r="AK45" s="0" t="n">
        <f aca="false">AJ45*x_R_FUS</f>
        <v>130562818.935476</v>
      </c>
      <c r="AL45" s="0" t="n">
        <f aca="false">AJ45*x_R_NFZ</f>
        <v>32046899.7514159</v>
      </c>
      <c r="AM45" s="0" t="n">
        <f aca="false">AJ45*x_R_PIT</f>
        <v>27434769.7591922</v>
      </c>
      <c r="AN45" s="0" t="n">
        <f aca="false">AJ45*x_R_FP</f>
        <v>10522603.928112</v>
      </c>
      <c r="AO45" s="0" t="n">
        <f aca="false">AA45+AB45+AC45+AD45+AF45</f>
        <v>472018332.239804</v>
      </c>
      <c r="AP45" s="0" t="n">
        <f aca="false">AO45+AE45+AG45+AH45+AI45+AK45+AL45+AM45+AN45</f>
        <v>695145426.630459</v>
      </c>
      <c r="AQ45" s="0" t="n">
        <f aca="false">AO45+AE45+AG45+AJ45</f>
        <v>884669466.675569</v>
      </c>
      <c r="AR45" s="0" t="n">
        <f aca="false">AB45+AC45+AD45+AF45</f>
        <v>96483399.3270171</v>
      </c>
      <c r="AS45" s="0" t="n">
        <f aca="false">AR45+AE45+AG45</f>
        <v>96483399.3270171</v>
      </c>
    </row>
    <row r="46" customFormat="false" ht="15" hidden="false" customHeight="false" outlineLevel="0" collapsed="false">
      <c r="A46" s="0" t="n">
        <v>2069</v>
      </c>
      <c r="B46" s="0" t="n">
        <v>43</v>
      </c>
      <c r="C46" s="0" t="n">
        <v>3382.4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3120.213</v>
      </c>
      <c r="I46" s="0" t="n">
        <v>409.4</v>
      </c>
      <c r="J46" s="0" t="n">
        <v>1777.709</v>
      </c>
      <c r="K46" s="0" t="n">
        <v>3015.785</v>
      </c>
      <c r="L46" s="0" t="n">
        <v>985.773</v>
      </c>
      <c r="M46" s="0" t="n">
        <v>89421.059</v>
      </c>
      <c r="N46" s="0" t="n">
        <v>6727.463</v>
      </c>
      <c r="O46" s="0" t="n">
        <v>99.675</v>
      </c>
      <c r="P46" s="0" t="n">
        <v>99.509</v>
      </c>
      <c r="Q46" s="0" t="n">
        <v>999.313</v>
      </c>
      <c r="R46" s="0" t="n">
        <v>1493.77</v>
      </c>
      <c r="S46" s="0" t="n">
        <v>3788.197</v>
      </c>
      <c r="T46" s="0" t="n">
        <v>3529.613</v>
      </c>
      <c r="U46" s="0" t="n">
        <v>2507.51</v>
      </c>
      <c r="V46" s="0" t="n">
        <v>164060.061</v>
      </c>
      <c r="W46" s="0" t="n">
        <v>347.478</v>
      </c>
      <c r="X46" s="0" t="n">
        <v>904.996</v>
      </c>
      <c r="Y46" s="0" t="n">
        <v>99.675</v>
      </c>
      <c r="Z46" s="0" t="n">
        <v>1046.702</v>
      </c>
      <c r="AA46" s="0" t="n">
        <f aca="false">H46*x_c_F+I46*x_c_CC+J46*x_c_DC+K46*x_c_HCC+L46*x_c_PLT+M46*x_c_SVRn+N46*x_c_SVRcc+O46*x_c_LT+P46*x_c_LT1</f>
        <v>376635481.617352</v>
      </c>
      <c r="AB46" s="0" t="n">
        <f aca="false">C46*x_c_DAA</f>
        <v>76983424</v>
      </c>
      <c r="AC46" s="0" t="n">
        <f aca="false">C46*x_c_MON</f>
        <v>19499975.3270171</v>
      </c>
      <c r="AD46" s="0" t="n">
        <f aca="false">D46*(1-x_testy)</f>
        <v>0</v>
      </c>
      <c r="AE46" s="0" t="n">
        <f aca="false">E46*(1-x_testy)</f>
        <v>0</v>
      </c>
      <c r="AF46" s="0" t="n">
        <f aca="false">F46*x_NAV</f>
        <v>0</v>
      </c>
      <c r="AG46" s="0" t="n">
        <f aca="false">G46*x_FIX*(1-x_testy)</f>
        <v>0</v>
      </c>
      <c r="AH46" s="0" t="n">
        <f aca="false">x_z_F*U46+(1-x_AGRI)*x_EMP*x_WLOSS*(x_PEN_K74*Q46+x_PEN_C22*R46)</f>
        <v>21377360.9167332</v>
      </c>
      <c r="AI46" s="0" t="n">
        <f aca="false">x_AGRI*x_EMP*x_WLOSS*(x_PEN_K74*Q46+x_PEN_C22*R46)</f>
        <v>1072253.28404032</v>
      </c>
      <c r="AJ46" s="0" t="n">
        <f aca="false">x_EMP*x_WAGE*(x_WLOSS*(Q46+R46)+S46)+U46*x_ABS_D*x_WAGE/365</f>
        <v>411951437.515788</v>
      </c>
      <c r="AK46" s="0" t="n">
        <f aca="false">AJ46*x_R_FUS</f>
        <v>130341434.829995</v>
      </c>
      <c r="AL46" s="0" t="n">
        <f aca="false">AJ46*x_R_NFZ</f>
        <v>31992560.5889136</v>
      </c>
      <c r="AM46" s="0" t="n">
        <f aca="false">AJ46*x_R_PIT</f>
        <v>27388250.9875256</v>
      </c>
      <c r="AN46" s="0" t="n">
        <f aca="false">AJ46*x_R_FP</f>
        <v>10504761.6566526</v>
      </c>
      <c r="AO46" s="0" t="n">
        <f aca="false">AA46+AB46+AC46+AD46+AF46</f>
        <v>473118880.944369</v>
      </c>
      <c r="AP46" s="0" t="n">
        <f aca="false">AO46+AE46+AG46+AH46+AI46+AK46+AL46+AM46+AN46</f>
        <v>695795503.208229</v>
      </c>
      <c r="AQ46" s="0" t="n">
        <f aca="false">AO46+AE46+AG46+AJ46</f>
        <v>885070318.460157</v>
      </c>
      <c r="AR46" s="0" t="n">
        <f aca="false">AB46+AC46+AD46+AF46</f>
        <v>96483399.3270171</v>
      </c>
      <c r="AS46" s="0" t="n">
        <f aca="false">AR46+AE46+AG46</f>
        <v>96483399.3270171</v>
      </c>
    </row>
    <row r="47" customFormat="false" ht="15" hidden="false" customHeight="false" outlineLevel="0" collapsed="false">
      <c r="A47" s="0" t="n">
        <v>2070</v>
      </c>
      <c r="B47" s="0" t="n">
        <v>44</v>
      </c>
      <c r="C47" s="0" t="n">
        <v>3382.4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3076.807</v>
      </c>
      <c r="I47" s="0" t="n">
        <v>405.306</v>
      </c>
      <c r="J47" s="0" t="n">
        <v>1785.035</v>
      </c>
      <c r="K47" s="0" t="n">
        <v>3029.422</v>
      </c>
      <c r="L47" s="0" t="n">
        <v>978.057</v>
      </c>
      <c r="M47" s="0" t="n">
        <v>90712.112</v>
      </c>
      <c r="N47" s="0" t="n">
        <v>6737.16</v>
      </c>
      <c r="O47" s="0" t="n">
        <v>100.153</v>
      </c>
      <c r="P47" s="0" t="n">
        <v>99.914</v>
      </c>
      <c r="Q47" s="0" t="n">
        <v>998.162</v>
      </c>
      <c r="R47" s="0" t="n">
        <v>1492.265</v>
      </c>
      <c r="S47" s="0" t="n">
        <v>3783.267</v>
      </c>
      <c r="T47" s="0" t="n">
        <v>3482.113</v>
      </c>
      <c r="U47" s="0" t="n">
        <v>2469.024</v>
      </c>
      <c r="V47" s="0" t="n">
        <v>165214.899</v>
      </c>
      <c r="W47" s="0" t="n">
        <v>349.349</v>
      </c>
      <c r="X47" s="0" t="n">
        <v>909.572</v>
      </c>
      <c r="Y47" s="0" t="n">
        <v>100.153</v>
      </c>
      <c r="Z47" s="0" t="n">
        <v>1051.388</v>
      </c>
      <c r="AA47" s="0" t="n">
        <f aca="false">H47*x_c_F+I47*x_c_CC+J47*x_c_DC+K47*x_c_HCC+L47*x_c_PLT+M47*x_c_SVRn+N47*x_c_SVRcc+O47*x_c_LT+P47*x_c_LT1</f>
        <v>378229940.713688</v>
      </c>
      <c r="AB47" s="0" t="n">
        <f aca="false">C47*x_c_DAA</f>
        <v>76983424</v>
      </c>
      <c r="AC47" s="0" t="n">
        <f aca="false">C47*x_c_MON</f>
        <v>19499975.3270171</v>
      </c>
      <c r="AD47" s="0" t="n">
        <f aca="false">D47*(1-x_testy)</f>
        <v>0</v>
      </c>
      <c r="AE47" s="0" t="n">
        <f aca="false">E47*(1-x_testy)</f>
        <v>0</v>
      </c>
      <c r="AF47" s="0" t="n">
        <f aca="false">F47*x_NAV</f>
        <v>0</v>
      </c>
      <c r="AG47" s="0" t="n">
        <f aca="false">G47*x_FIX*(1-x_testy)</f>
        <v>0</v>
      </c>
      <c r="AH47" s="0" t="n">
        <f aca="false">x_z_F*U47+(1-x_AGRI)*x_EMP*x_WLOSS*(x_PEN_K74*Q47+x_PEN_C22*R47)</f>
        <v>21281025.9698309</v>
      </c>
      <c r="AI47" s="0" t="n">
        <f aca="false">x_AGRI*x_EMP*x_WLOSS*(x_PEN_K74*Q47+x_PEN_C22*R47)</f>
        <v>1071115.64848887</v>
      </c>
      <c r="AJ47" s="0" t="n">
        <f aca="false">x_EMP*x_WAGE*(x_WLOSS*(Q47+R47)+S47)+U47*x_ABS_D*x_WAGE/365</f>
        <v>411331119.787802</v>
      </c>
      <c r="AK47" s="0" t="n">
        <f aca="false">AJ47*x_R_FUS</f>
        <v>130145166.300861</v>
      </c>
      <c r="AL47" s="0" t="n">
        <f aca="false">AJ47*x_R_NFZ</f>
        <v>31944386.0938405</v>
      </c>
      <c r="AM47" s="0" t="n">
        <f aca="false">AJ47*x_R_PIT</f>
        <v>27347009.675859</v>
      </c>
      <c r="AN47" s="0" t="n">
        <f aca="false">AJ47*x_R_FP</f>
        <v>10488943.554589</v>
      </c>
      <c r="AO47" s="0" t="n">
        <f aca="false">AA47+AB47+AC47+AD47+AF47</f>
        <v>474713340.040705</v>
      </c>
      <c r="AP47" s="0" t="n">
        <f aca="false">AO47+AE47+AG47+AH47+AI47+AK47+AL47+AM47+AN47</f>
        <v>696990987.284174</v>
      </c>
      <c r="AQ47" s="0" t="n">
        <f aca="false">AO47+AE47+AG47+AJ47</f>
        <v>886044459.828507</v>
      </c>
      <c r="AR47" s="0" t="n">
        <f aca="false">AB47+AC47+AD47+AF47</f>
        <v>96483399.3270171</v>
      </c>
      <c r="AS47" s="0" t="n">
        <f aca="false">AR47+AE47+AG47</f>
        <v>96483399.3270171</v>
      </c>
    </row>
    <row r="48" customFormat="false" ht="15" hidden="false" customHeight="false" outlineLevel="0" collapsed="false">
      <c r="A48" s="0" t="n">
        <v>2071</v>
      </c>
      <c r="B48" s="0" t="n">
        <v>45</v>
      </c>
      <c r="C48" s="0" t="n">
        <v>3382.4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3039.133</v>
      </c>
      <c r="I48" s="0" t="n">
        <v>402.132</v>
      </c>
      <c r="J48" s="0" t="n">
        <v>1794.678</v>
      </c>
      <c r="K48" s="0" t="n">
        <v>3045.914</v>
      </c>
      <c r="L48" s="0" t="n">
        <v>973.534</v>
      </c>
      <c r="M48" s="0" t="n">
        <v>92006.685</v>
      </c>
      <c r="N48" s="0" t="n">
        <v>6759.036</v>
      </c>
      <c r="O48" s="0" t="n">
        <v>100.75</v>
      </c>
      <c r="P48" s="0" t="n">
        <v>100.452</v>
      </c>
      <c r="Q48" s="0" t="n">
        <v>997.173</v>
      </c>
      <c r="R48" s="0" t="n">
        <v>1490.99</v>
      </c>
      <c r="S48" s="0" t="n">
        <v>3778.942</v>
      </c>
      <c r="T48" s="0" t="n">
        <v>3441.265</v>
      </c>
      <c r="U48" s="0" t="n">
        <v>2435.488</v>
      </c>
      <c r="V48" s="0" t="n">
        <v>166385.915</v>
      </c>
      <c r="W48" s="0" t="n">
        <v>351.422</v>
      </c>
      <c r="X48" s="0" t="n">
        <v>914.657</v>
      </c>
      <c r="Y48" s="0" t="n">
        <v>100.75</v>
      </c>
      <c r="Z48" s="0" t="n">
        <v>1057.22</v>
      </c>
      <c r="AA48" s="0" t="n">
        <f aca="false">H48*x_c_F+I48*x_c_CC+J48*x_c_DC+K48*x_c_HCC+L48*x_c_PLT+M48*x_c_SVRn+N48*x_c_SVRcc+O48*x_c_LT+P48*x_c_LT1</f>
        <v>380251848.396552</v>
      </c>
      <c r="AB48" s="0" t="n">
        <f aca="false">C48*x_c_DAA</f>
        <v>76983424</v>
      </c>
      <c r="AC48" s="0" t="n">
        <f aca="false">C48*x_c_MON</f>
        <v>19499975.3270171</v>
      </c>
      <c r="AD48" s="0" t="n">
        <f aca="false">D48*(1-x_testy)</f>
        <v>0</v>
      </c>
      <c r="AE48" s="0" t="n">
        <f aca="false">E48*(1-x_testy)</f>
        <v>0</v>
      </c>
      <c r="AF48" s="0" t="n">
        <f aca="false">F48*x_NAV</f>
        <v>0</v>
      </c>
      <c r="AG48" s="0" t="n">
        <f aca="false">G48*x_FIX*(1-x_testy)</f>
        <v>0</v>
      </c>
      <c r="AH48" s="0" t="n">
        <f aca="false">x_z_F*U48+(1-x_AGRI)*x_EMP*x_WLOSS*(x_PEN_K74*Q48+x_PEN_C22*R48)</f>
        <v>21197414.4517643</v>
      </c>
      <c r="AI48" s="0" t="n">
        <f aca="false">x_AGRI*x_EMP*x_WLOSS*(x_PEN_K74*Q48+x_PEN_C22*R48)</f>
        <v>1070146.34433185</v>
      </c>
      <c r="AJ48" s="0" t="n">
        <f aca="false">x_EMP*x_WAGE*(x_WLOSS*(Q48+R48)+S48)+U48*x_ABS_D*x_WAGE/365</f>
        <v>410789755.517889</v>
      </c>
      <c r="AK48" s="0" t="n">
        <f aca="false">AJ48*x_R_FUS</f>
        <v>129973878.64586</v>
      </c>
      <c r="AL48" s="0" t="n">
        <f aca="false">AJ48*x_R_NFZ</f>
        <v>31902343.2032748</v>
      </c>
      <c r="AM48" s="0" t="n">
        <f aca="false">AJ48*x_R_PIT</f>
        <v>27311017.5196246</v>
      </c>
      <c r="AN48" s="0" t="n">
        <f aca="false">AJ48*x_R_FP</f>
        <v>10475138.7657062</v>
      </c>
      <c r="AO48" s="0" t="n">
        <f aca="false">AA48+AB48+AC48+AD48+AF48</f>
        <v>476735247.723569</v>
      </c>
      <c r="AP48" s="0" t="n">
        <f aca="false">AO48+AE48+AG48+AH48+AI48+AK48+AL48+AM48+AN48</f>
        <v>698665186.654131</v>
      </c>
      <c r="AQ48" s="0" t="n">
        <f aca="false">AO48+AE48+AG48+AJ48</f>
        <v>887525003.241458</v>
      </c>
      <c r="AR48" s="0" t="n">
        <f aca="false">AB48+AC48+AD48+AF48</f>
        <v>96483399.3270171</v>
      </c>
      <c r="AS48" s="0" t="n">
        <f aca="false">AR48+AE48+AG48</f>
        <v>96483399.3270171</v>
      </c>
    </row>
    <row r="49" customFormat="false" ht="15" hidden="false" customHeight="false" outlineLevel="0" collapsed="false">
      <c r="A49" s="0" t="n">
        <v>2072</v>
      </c>
      <c r="B49" s="0" t="n">
        <v>46</v>
      </c>
      <c r="C49" s="0" t="n">
        <v>3382.4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3007.074</v>
      </c>
      <c r="I49" s="0" t="n">
        <v>399.768</v>
      </c>
      <c r="J49" s="0" t="n">
        <v>1806.095</v>
      </c>
      <c r="K49" s="0" t="n">
        <v>3064.474</v>
      </c>
      <c r="L49" s="0" t="n">
        <v>971.994</v>
      </c>
      <c r="M49" s="0" t="n">
        <v>93300.695</v>
      </c>
      <c r="N49" s="0" t="n">
        <v>6792.192</v>
      </c>
      <c r="O49" s="0" t="n">
        <v>101.435</v>
      </c>
      <c r="P49" s="0" t="n">
        <v>101.093</v>
      </c>
      <c r="Q49" s="0" t="n">
        <v>996.341</v>
      </c>
      <c r="R49" s="0" t="n">
        <v>1489.937</v>
      </c>
      <c r="S49" s="0" t="n">
        <v>3775.215</v>
      </c>
      <c r="T49" s="0" t="n">
        <v>3406.842</v>
      </c>
      <c r="U49" s="0" t="n">
        <v>2406.804</v>
      </c>
      <c r="V49" s="0" t="n">
        <v>167565.209</v>
      </c>
      <c r="W49" s="0" t="n">
        <v>353.608</v>
      </c>
      <c r="X49" s="0" t="n">
        <v>920.041</v>
      </c>
      <c r="Y49" s="0" t="n">
        <v>101.435</v>
      </c>
      <c r="Z49" s="0" t="n">
        <v>1063.901</v>
      </c>
      <c r="AA49" s="0" t="n">
        <f aca="false">H49*x_c_F+I49*x_c_CC+J49*x_c_DC+K49*x_c_HCC+L49*x_c_PLT+M49*x_c_SVRn+N49*x_c_SVRcc+O49*x_c_LT+P49*x_c_LT1</f>
        <v>382617275.184516</v>
      </c>
      <c r="AB49" s="0" t="n">
        <f aca="false">C49*x_c_DAA</f>
        <v>76983424</v>
      </c>
      <c r="AC49" s="0" t="n">
        <f aca="false">C49*x_c_MON</f>
        <v>19499975.3270171</v>
      </c>
      <c r="AD49" s="0" t="n">
        <f aca="false">D49*(1-x_testy)</f>
        <v>0</v>
      </c>
      <c r="AE49" s="0" t="n">
        <f aca="false">E49*(1-x_testy)</f>
        <v>0</v>
      </c>
      <c r="AF49" s="0" t="n">
        <f aca="false">F49*x_NAV</f>
        <v>0</v>
      </c>
      <c r="AG49" s="0" t="n">
        <f aca="false">G49*x_FIX*(1-x_testy)</f>
        <v>0</v>
      </c>
      <c r="AH49" s="0" t="n">
        <f aca="false">x_z_F*U49+(1-x_AGRI)*x_EMP*x_WLOSS*(x_PEN_K74*Q49+x_PEN_C22*R49)</f>
        <v>21126240.1213684</v>
      </c>
      <c r="AI49" s="0" t="n">
        <f aca="false">x_AGRI*x_EMP*x_WLOSS*(x_PEN_K74*Q49+x_PEN_C22*R49)</f>
        <v>1069339.76894277</v>
      </c>
      <c r="AJ49" s="0" t="n">
        <f aca="false">x_EMP*x_WAGE*(x_WLOSS*(Q49+R49)+S49)+U49*x_ABS_D*x_WAGE/365</f>
        <v>410326034.508234</v>
      </c>
      <c r="AK49" s="0" t="n">
        <f aca="false">AJ49*x_R_FUS</f>
        <v>129827157.318405</v>
      </c>
      <c r="AL49" s="0" t="n">
        <f aca="false">AJ49*x_R_NFZ</f>
        <v>31866330.165944</v>
      </c>
      <c r="AM49" s="0" t="n">
        <f aca="false">AJ49*x_R_PIT</f>
        <v>27280187.4114031</v>
      </c>
      <c r="AN49" s="0" t="n">
        <f aca="false">AJ49*x_R_FP</f>
        <v>10463313.87996</v>
      </c>
      <c r="AO49" s="0" t="n">
        <f aca="false">AA49+AB49+AC49+AD49+AF49</f>
        <v>479100674.511533</v>
      </c>
      <c r="AP49" s="0" t="n">
        <f aca="false">AO49+AE49+AG49+AH49+AI49+AK49+AL49+AM49+AN49</f>
        <v>700733243.177556</v>
      </c>
      <c r="AQ49" s="0" t="n">
        <f aca="false">AO49+AE49+AG49+AJ49</f>
        <v>889426709.019767</v>
      </c>
      <c r="AR49" s="0" t="n">
        <f aca="false">AB49+AC49+AD49+AF49</f>
        <v>96483399.3270171</v>
      </c>
      <c r="AS49" s="0" t="n">
        <f aca="false">AR49+AE49+AG49</f>
        <v>96483399.3270171</v>
      </c>
    </row>
    <row r="50" customFormat="false" ht="15" hidden="false" customHeight="false" outlineLevel="0" collapsed="false">
      <c r="A50" s="0" t="n">
        <v>2073</v>
      </c>
      <c r="B50" s="0" t="n">
        <v>47</v>
      </c>
      <c r="C50" s="0" t="n">
        <v>3382.4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2980.396</v>
      </c>
      <c r="I50" s="0" t="n">
        <v>398.099</v>
      </c>
      <c r="J50" s="0" t="n">
        <v>1818.688</v>
      </c>
      <c r="K50" s="0" t="n">
        <v>3084.259</v>
      </c>
      <c r="L50" s="0" t="n">
        <v>973.072</v>
      </c>
      <c r="M50" s="0" t="n">
        <v>94587.058</v>
      </c>
      <c r="N50" s="0" t="n">
        <v>6834.919</v>
      </c>
      <c r="O50" s="0" t="n">
        <v>102.171</v>
      </c>
      <c r="P50" s="0" t="n">
        <v>101.803</v>
      </c>
      <c r="Q50" s="0" t="n">
        <v>995.662</v>
      </c>
      <c r="R50" s="0" t="n">
        <v>1489.1</v>
      </c>
      <c r="S50" s="0" t="n">
        <v>3772.072</v>
      </c>
      <c r="T50" s="0" t="n">
        <v>3378.495</v>
      </c>
      <c r="U50" s="0" t="n">
        <v>2382.782</v>
      </c>
      <c r="V50" s="0" t="n">
        <v>168742.194</v>
      </c>
      <c r="W50" s="0" t="n">
        <v>355.813</v>
      </c>
      <c r="X50" s="0" t="n">
        <v>925.497</v>
      </c>
      <c r="Y50" s="0" t="n">
        <v>102.171</v>
      </c>
      <c r="Z50" s="0" t="n">
        <v>1071.081</v>
      </c>
      <c r="AA50" s="0" t="n">
        <f aca="false">H50*x_c_F+I50*x_c_CC+J50*x_c_DC+K50*x_c_HCC+L50*x_c_PLT+M50*x_c_SVRn+N50*x_c_SVRcc+O50*x_c_LT+P50*x_c_LT1</f>
        <v>385226172.927888</v>
      </c>
      <c r="AB50" s="0" t="n">
        <f aca="false">C50*x_c_DAA</f>
        <v>76983424</v>
      </c>
      <c r="AC50" s="0" t="n">
        <f aca="false">C50*x_c_MON</f>
        <v>19499975.3270171</v>
      </c>
      <c r="AD50" s="0" t="n">
        <f aca="false">D50*(1-x_testy)</f>
        <v>0</v>
      </c>
      <c r="AE50" s="0" t="n">
        <f aca="false">E50*(1-x_testy)</f>
        <v>0</v>
      </c>
      <c r="AF50" s="0" t="n">
        <f aca="false">F50*x_NAV</f>
        <v>0</v>
      </c>
      <c r="AG50" s="0" t="n">
        <f aca="false">G50*x_FIX*(1-x_testy)</f>
        <v>0</v>
      </c>
      <c r="AH50" s="0" t="n">
        <f aca="false">x_z_F*U50+(1-x_AGRI)*x_EMP*x_WLOSS*(x_PEN_K74*Q50+x_PEN_C22*R50)</f>
        <v>21067047.2808886</v>
      </c>
      <c r="AI50" s="0" t="n">
        <f aca="false">x_AGRI*x_EMP*x_WLOSS*(x_PEN_K74*Q50+x_PEN_C22*R50)</f>
        <v>1068691.6209561</v>
      </c>
      <c r="AJ50" s="0" t="n">
        <f aca="false">x_EMP*x_WAGE*(x_WLOSS*(Q50+R50)+S50)+U50*x_ABS_D*x_WAGE/365</f>
        <v>409937877.691623</v>
      </c>
      <c r="AK50" s="0" t="n">
        <f aca="false">AJ50*x_R_FUS</f>
        <v>129704344.501629</v>
      </c>
      <c r="AL50" s="0" t="n">
        <f aca="false">AJ50*x_R_NFZ</f>
        <v>31836185.5194091</v>
      </c>
      <c r="AM50" s="0" t="n">
        <f aca="false">AJ50*x_R_PIT</f>
        <v>27254381.1261284</v>
      </c>
      <c r="AN50" s="0" t="n">
        <f aca="false">AJ50*x_R_FP</f>
        <v>10453415.8811364</v>
      </c>
      <c r="AO50" s="0" t="n">
        <f aca="false">AA50+AB50+AC50+AD50+AF50</f>
        <v>481709572.254905</v>
      </c>
      <c r="AP50" s="0" t="n">
        <f aca="false">AO50+AE50+AG50+AH50+AI50+AK50+AL50+AM50+AN50</f>
        <v>703093638.185054</v>
      </c>
      <c r="AQ50" s="0" t="n">
        <f aca="false">AO50+AE50+AG50+AJ50</f>
        <v>891647449.946528</v>
      </c>
      <c r="AR50" s="0" t="n">
        <f aca="false">AB50+AC50+AD50+AF50</f>
        <v>96483399.3270171</v>
      </c>
      <c r="AS50" s="0" t="n">
        <f aca="false">AR50+AE50+AG50</f>
        <v>96483399.3270171</v>
      </c>
    </row>
    <row r="51" customFormat="false" ht="15" hidden="false" customHeight="false" outlineLevel="0" collapsed="false">
      <c r="A51" s="0" t="n">
        <v>2074</v>
      </c>
      <c r="B51" s="0" t="n">
        <v>48</v>
      </c>
      <c r="C51" s="0" t="n">
        <v>3382.4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2958.77</v>
      </c>
      <c r="I51" s="0" t="n">
        <v>397.011</v>
      </c>
      <c r="J51" s="0" t="n">
        <v>1831.847</v>
      </c>
      <c r="K51" s="0" t="n">
        <v>3104.426</v>
      </c>
      <c r="L51" s="0" t="n">
        <v>976.275</v>
      </c>
      <c r="M51" s="0" t="n">
        <v>95856.05</v>
      </c>
      <c r="N51" s="0" t="n">
        <v>6884.845</v>
      </c>
      <c r="O51" s="0" t="n">
        <v>102.925</v>
      </c>
      <c r="P51" s="0" t="n">
        <v>102.548</v>
      </c>
      <c r="Q51" s="0" t="n">
        <v>995.129</v>
      </c>
      <c r="R51" s="0" t="n">
        <v>1488.467</v>
      </c>
      <c r="S51" s="0" t="n">
        <v>3769.491</v>
      </c>
      <c r="T51" s="0" t="n">
        <v>3355.781</v>
      </c>
      <c r="U51" s="0" t="n">
        <v>2363.148</v>
      </c>
      <c r="V51" s="0" t="n">
        <v>169904.227</v>
      </c>
      <c r="W51" s="0" t="n">
        <v>357.958</v>
      </c>
      <c r="X51" s="0" t="n">
        <v>930.83</v>
      </c>
      <c r="Y51" s="0" t="n">
        <v>102.925</v>
      </c>
      <c r="Z51" s="0" t="n">
        <v>1078.439</v>
      </c>
      <c r="AA51" s="0" t="n">
        <f aca="false">H51*x_c_F+I51*x_c_CC+J51*x_c_DC+K51*x_c_HCC+L51*x_c_PLT+M51*x_c_SVRn+N51*x_c_SVRcc+O51*x_c_LT+P51*x_c_LT1</f>
        <v>387971870.745823</v>
      </c>
      <c r="AB51" s="0" t="n">
        <f aca="false">C51*x_c_DAA</f>
        <v>76983424</v>
      </c>
      <c r="AC51" s="0" t="n">
        <f aca="false">C51*x_c_MON</f>
        <v>19499975.3270171</v>
      </c>
      <c r="AD51" s="0" t="n">
        <f aca="false">D51*(1-x_testy)</f>
        <v>0</v>
      </c>
      <c r="AE51" s="0" t="n">
        <f aca="false">E51*(1-x_testy)</f>
        <v>0</v>
      </c>
      <c r="AF51" s="0" t="n">
        <f aca="false">F51*x_NAV</f>
        <v>0</v>
      </c>
      <c r="AG51" s="0" t="n">
        <f aca="false">G51*x_FIX*(1-x_testy)</f>
        <v>0</v>
      </c>
      <c r="AH51" s="0" t="n">
        <f aca="false">x_z_F*U51+(1-x_AGRI)*x_EMP*x_WLOSS*(x_PEN_K74*Q51+x_PEN_C22*R51)</f>
        <v>21019148.4759572</v>
      </c>
      <c r="AI51" s="0" t="n">
        <f aca="false">x_AGRI*x_EMP*x_WLOSS*(x_PEN_K74*Q51+x_PEN_C22*R51)</f>
        <v>1068193.6952234</v>
      </c>
      <c r="AJ51" s="0" t="n">
        <f aca="false">x_EMP*x_WAGE*(x_WLOSS*(Q51+R51)+S51)+U51*x_ABS_D*x_WAGE/365</f>
        <v>409621982.592094</v>
      </c>
      <c r="AK51" s="0" t="n">
        <f aca="false">AJ51*x_R_FUS</f>
        <v>129604395.292139</v>
      </c>
      <c r="AL51" s="0" t="n">
        <f aca="false">AJ51*x_R_NFZ</f>
        <v>31811652.7900846</v>
      </c>
      <c r="AM51" s="0" t="n">
        <f aca="false">AJ51*x_R_PIT</f>
        <v>27233379.1014145</v>
      </c>
      <c r="AN51" s="0" t="n">
        <f aca="false">AJ51*x_R_FP</f>
        <v>10445360.5560984</v>
      </c>
      <c r="AO51" s="0" t="n">
        <f aca="false">AA51+AB51+AC51+AD51+AF51</f>
        <v>484455270.07284</v>
      </c>
      <c r="AP51" s="0" t="n">
        <f aca="false">AO51+AE51+AG51+AH51+AI51+AK51+AL51+AM51+AN51</f>
        <v>705637399.983757</v>
      </c>
      <c r="AQ51" s="0" t="n">
        <f aca="false">AO51+AE51+AG51+AJ51</f>
        <v>894077252.664934</v>
      </c>
      <c r="AR51" s="0" t="n">
        <f aca="false">AB51+AC51+AD51+AF51</f>
        <v>96483399.3270171</v>
      </c>
      <c r="AS51" s="0" t="n">
        <f aca="false">AR51+AE51+AG51</f>
        <v>96483399.3270171</v>
      </c>
    </row>
    <row r="52" customFormat="false" ht="15" hidden="false" customHeight="false" outlineLevel="0" collapsed="false">
      <c r="A52" s="0" t="n">
        <v>2075</v>
      </c>
      <c r="B52" s="0" t="n">
        <v>49</v>
      </c>
      <c r="C52" s="0" t="n">
        <v>3382.4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2941.792</v>
      </c>
      <c r="I52" s="0" t="n">
        <v>396.397</v>
      </c>
      <c r="J52" s="0" t="n">
        <v>1844.997</v>
      </c>
      <c r="K52" s="0" t="n">
        <v>3124.199</v>
      </c>
      <c r="L52" s="0" t="n">
        <v>981.031</v>
      </c>
      <c r="M52" s="0" t="n">
        <v>97096.04</v>
      </c>
      <c r="N52" s="0" t="n">
        <v>6939.173</v>
      </c>
      <c r="O52" s="0" t="n">
        <v>103.665</v>
      </c>
      <c r="P52" s="0" t="n">
        <v>103.295</v>
      </c>
      <c r="Q52" s="0" t="n">
        <v>994.735</v>
      </c>
      <c r="R52" s="0" t="n">
        <v>1488.028</v>
      </c>
      <c r="S52" s="0" t="n">
        <v>3767.446</v>
      </c>
      <c r="T52" s="0" t="n">
        <v>3338.189</v>
      </c>
      <c r="U52" s="0" t="n">
        <v>2347.561</v>
      </c>
      <c r="V52" s="0" t="n">
        <v>171037.57</v>
      </c>
      <c r="W52" s="0" t="n">
        <v>359.971</v>
      </c>
      <c r="X52" s="0" t="n">
        <v>935.864</v>
      </c>
      <c r="Y52" s="0" t="n">
        <v>103.665</v>
      </c>
      <c r="Z52" s="0" t="n">
        <v>1085.654</v>
      </c>
      <c r="AA52" s="0" t="n">
        <f aca="false">H52*x_c_F+I52*x_c_CC+J52*x_c_DC+K52*x_c_HCC+L52*x_c_PLT+M52*x_c_SVRn+N52*x_c_SVRcc+O52*x_c_LT+P52*x_c_LT1</f>
        <v>390747906.100607</v>
      </c>
      <c r="AB52" s="0" t="n">
        <f aca="false">C52*x_c_DAA</f>
        <v>76983424</v>
      </c>
      <c r="AC52" s="0" t="n">
        <f aca="false">C52*x_c_MON</f>
        <v>19499975.3270171</v>
      </c>
      <c r="AD52" s="0" t="n">
        <f aca="false">D52*(1-x_testy)</f>
        <v>0</v>
      </c>
      <c r="AE52" s="0" t="n">
        <f aca="false">E52*(1-x_testy)</f>
        <v>0</v>
      </c>
      <c r="AF52" s="0" t="n">
        <f aca="false">F52*x_NAV</f>
        <v>0</v>
      </c>
      <c r="AG52" s="0" t="n">
        <f aca="false">G52*x_FIX*(1-x_testy)</f>
        <v>0</v>
      </c>
      <c r="AH52" s="0" t="n">
        <f aca="false">x_z_F*U52+(1-x_AGRI)*x_EMP*x_WLOSS*(x_PEN_K74*Q52+x_PEN_C22*R52)</f>
        <v>20981732.1782426</v>
      </c>
      <c r="AI52" s="0" t="n">
        <f aca="false">x_AGRI*x_EMP*x_WLOSS*(x_PEN_K74*Q52+x_PEN_C22*R52)</f>
        <v>1067838.6902746</v>
      </c>
      <c r="AJ52" s="0" t="n">
        <f aca="false">x_EMP*x_WAGE*(x_WLOSS*(Q52+R52)+S52)+U52*x_ABS_D*x_WAGE/365</f>
        <v>409374574.349168</v>
      </c>
      <c r="AK52" s="0" t="n">
        <f aca="false">AJ52*x_R_FUS</f>
        <v>129526115.324077</v>
      </c>
      <c r="AL52" s="0" t="n">
        <f aca="false">AJ52*x_R_NFZ</f>
        <v>31792438.8185307</v>
      </c>
      <c r="AM52" s="0" t="n">
        <f aca="false">AJ52*x_R_PIT</f>
        <v>27216930.3687811</v>
      </c>
      <c r="AN52" s="0" t="n">
        <f aca="false">AJ52*x_R_FP</f>
        <v>10439051.6459038</v>
      </c>
      <c r="AO52" s="0" t="n">
        <f aca="false">AA52+AB52+AC52+AD52+AF52</f>
        <v>487231305.427625</v>
      </c>
      <c r="AP52" s="0" t="n">
        <f aca="false">AO52+AE52+AG52+AH52+AI52+AK52+AL52+AM52+AN52</f>
        <v>708255412.453434</v>
      </c>
      <c r="AQ52" s="0" t="n">
        <f aca="false">AO52+AE52+AG52+AJ52</f>
        <v>896605879.776793</v>
      </c>
      <c r="AR52" s="0" t="n">
        <f aca="false">AB52+AC52+AD52+AF52</f>
        <v>96483399.3270171</v>
      </c>
      <c r="AS52" s="0" t="n">
        <f aca="false">AR52+AE52+AG52</f>
        <v>96483399.3270171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595</v>
      </c>
    </row>
    <row r="2" customFormat="false" ht="28.35" hidden="false" customHeight="false" outlineLevel="0" collapsed="false">
      <c r="A2" s="3" t="s">
        <v>318</v>
      </c>
      <c r="B2" s="3" t="s">
        <v>548</v>
      </c>
      <c r="C2" s="3" t="s">
        <v>549</v>
      </c>
      <c r="D2" s="3" t="s">
        <v>550</v>
      </c>
      <c r="E2" s="3" t="s">
        <v>551</v>
      </c>
      <c r="F2" s="3" t="s">
        <v>552</v>
      </c>
      <c r="G2" s="3" t="s">
        <v>553</v>
      </c>
      <c r="H2" s="3" t="s">
        <v>554</v>
      </c>
      <c r="I2" s="3" t="s">
        <v>555</v>
      </c>
      <c r="J2" s="3" t="s">
        <v>556</v>
      </c>
      <c r="K2" s="3" t="s">
        <v>557</v>
      </c>
      <c r="L2" s="3" t="s">
        <v>558</v>
      </c>
      <c r="M2" s="3" t="s">
        <v>559</v>
      </c>
      <c r="N2" s="3" t="s">
        <v>560</v>
      </c>
      <c r="O2" s="3" t="s">
        <v>561</v>
      </c>
      <c r="P2" s="3" t="s">
        <v>562</v>
      </c>
      <c r="Q2" s="3" t="s">
        <v>563</v>
      </c>
      <c r="R2" s="3" t="s">
        <v>564</v>
      </c>
      <c r="S2" s="3" t="s">
        <v>565</v>
      </c>
      <c r="T2" s="3" t="s">
        <v>566</v>
      </c>
      <c r="U2" s="3" t="s">
        <v>567</v>
      </c>
      <c r="V2" s="3" t="s">
        <v>568</v>
      </c>
      <c r="W2" s="3" t="s">
        <v>569</v>
      </c>
      <c r="X2" s="3" t="s">
        <v>570</v>
      </c>
      <c r="Y2" s="3" t="s">
        <v>571</v>
      </c>
      <c r="Z2" s="3" t="s">
        <v>572</v>
      </c>
      <c r="AA2" s="3" t="s">
        <v>573</v>
      </c>
      <c r="AB2" s="3" t="s">
        <v>574</v>
      </c>
      <c r="AC2" s="3" t="s">
        <v>575</v>
      </c>
      <c r="AD2" s="3" t="s">
        <v>576</v>
      </c>
      <c r="AE2" s="3" t="s">
        <v>577</v>
      </c>
      <c r="AF2" s="3" t="s">
        <v>578</v>
      </c>
      <c r="AG2" s="3" t="s">
        <v>579</v>
      </c>
      <c r="AH2" s="3" t="s">
        <v>252</v>
      </c>
      <c r="AI2" s="3" t="s">
        <v>303</v>
      </c>
      <c r="AJ2" s="3" t="s">
        <v>580</v>
      </c>
      <c r="AK2" s="3" t="s">
        <v>581</v>
      </c>
      <c r="AL2" s="3" t="s">
        <v>582</v>
      </c>
      <c r="AM2" s="3" t="s">
        <v>583</v>
      </c>
      <c r="AN2" s="3" t="s">
        <v>584</v>
      </c>
      <c r="AO2" s="3" t="s">
        <v>129</v>
      </c>
      <c r="AP2" s="3" t="s">
        <v>585</v>
      </c>
      <c r="AQ2" s="3" t="s">
        <v>586</v>
      </c>
      <c r="AR2" s="3" t="s">
        <v>587</v>
      </c>
      <c r="AS2" s="3" t="s">
        <v>588</v>
      </c>
    </row>
    <row r="3" customFormat="false" ht="15" hidden="false" customHeight="false" outlineLevel="0" collapsed="false">
      <c r="A3" s="0" t="n">
        <v>2026</v>
      </c>
      <c r="B3" s="0" t="n">
        <v>0</v>
      </c>
      <c r="C3" s="0" t="n">
        <v>5213.16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2581.318</v>
      </c>
      <c r="I3" s="0" t="n">
        <v>231.61</v>
      </c>
      <c r="J3" s="0" t="n">
        <v>1579.158</v>
      </c>
      <c r="K3" s="0" t="n">
        <v>2524.378</v>
      </c>
      <c r="L3" s="0" t="n">
        <v>1540.438</v>
      </c>
      <c r="M3" s="0" t="n">
        <v>7100.45</v>
      </c>
      <c r="N3" s="0" t="n">
        <v>627.462</v>
      </c>
      <c r="O3" s="0" t="n">
        <v>89.046</v>
      </c>
      <c r="P3" s="0" t="n">
        <v>44.523</v>
      </c>
      <c r="Q3" s="0" t="n">
        <v>2134.589</v>
      </c>
      <c r="R3" s="0" t="n">
        <v>1702.999</v>
      </c>
      <c r="S3" s="0" t="n">
        <v>312.377</v>
      </c>
      <c r="T3" s="0" t="n">
        <v>2812.928</v>
      </c>
      <c r="U3" s="0" t="n">
        <v>1558.451</v>
      </c>
      <c r="V3" s="0" t="n">
        <v>113433.469</v>
      </c>
      <c r="W3" s="0" t="n">
        <v>265.352</v>
      </c>
      <c r="X3" s="0" t="n">
        <v>710.662</v>
      </c>
      <c r="Y3" s="0" t="n">
        <v>89.046</v>
      </c>
      <c r="Z3" s="0" t="n">
        <v>922.327</v>
      </c>
      <c r="AA3" s="0" t="n">
        <f aca="false">H3*x_c_F+I3*x_c_CC+J3*x_c_DC+K3*x_c_HCC+L3*x_c_PLT+M3*x_c_SVRn+N3*x_c_SVRcc+O3*x_c_LT+P3*x_c_LT1</f>
        <v>283833546.178008</v>
      </c>
      <c r="AB3" s="0" t="n">
        <f aca="false">C3*x_c_DAA</f>
        <v>118651521.6</v>
      </c>
      <c r="AC3" s="0" t="n">
        <f aca="false">C3*x_c_MON</f>
        <v>30054544.517441</v>
      </c>
      <c r="AD3" s="0" t="n">
        <f aca="false">D3*(1-x_testy)</f>
        <v>0</v>
      </c>
      <c r="AE3" s="0" t="n">
        <f aca="false">E3*(1-x_testy)</f>
        <v>0</v>
      </c>
      <c r="AF3" s="0" t="n">
        <f aca="false">F3*x_NAV</f>
        <v>0</v>
      </c>
      <c r="AG3" s="0" t="n">
        <f aca="false">G3*x_FIX*(1-x_testy)</f>
        <v>0</v>
      </c>
      <c r="AH3" s="0" t="n">
        <f aca="false">x_z_F*U3+(1-x_AGRI)*x_EMP*x_WLOSS*(x_PEN_K74*Q3+x_PEN_C22*R3)</f>
        <v>27685181.2810934</v>
      </c>
      <c r="AI3" s="0" t="n">
        <f aca="false">x_AGRI*x_EMP*x_WLOSS*(x_PEN_K74*Q3+x_PEN_C22*R3)</f>
        <v>1618157.13953208</v>
      </c>
      <c r="AJ3" s="0" t="n">
        <f aca="false">x_EMP*x_WAGE*(x_WLOSS*(Q3+R3)+S3)+U3*x_ABS_D*x_WAGE/365</f>
        <v>156821225.225424</v>
      </c>
      <c r="AK3" s="0" t="n">
        <f aca="false">AJ3*x_R_FUS</f>
        <v>49618235.661324</v>
      </c>
      <c r="AL3" s="0" t="n">
        <f aca="false">AJ3*x_R_NFZ</f>
        <v>12178893.1722316</v>
      </c>
      <c r="AM3" s="0" t="n">
        <f aca="false">AJ3*x_R_PIT</f>
        <v>10426129.6004837</v>
      </c>
      <c r="AN3" s="0" t="n">
        <f aca="false">AJ3*x_R_FP</f>
        <v>3998941.2432483</v>
      </c>
      <c r="AO3" s="0" t="n">
        <f aca="false">AA3+AB3+AC3+AD3+AF3</f>
        <v>432539612.295449</v>
      </c>
      <c r="AP3" s="0" t="n">
        <f aca="false">AO3+AE3+AG3+AH3+AI3+AK3+AL3+AM3+AN3</f>
        <v>538065150.393362</v>
      </c>
      <c r="AQ3" s="0" t="n">
        <f aca="false">AO3+AE3+AG3+AJ3</f>
        <v>589360837.520873</v>
      </c>
      <c r="AR3" s="0" t="n">
        <f aca="false">AB3+AC3+AD3+AF3</f>
        <v>148706066.117441</v>
      </c>
      <c r="AS3" s="0" t="n">
        <f aca="false">AR3+AE3+AG3</f>
        <v>148706066.117441</v>
      </c>
    </row>
    <row r="4" customFormat="false" ht="15" hidden="false" customHeight="false" outlineLevel="0" collapsed="false">
      <c r="A4" s="0" t="n">
        <v>2027</v>
      </c>
      <c r="B4" s="0" t="n">
        <v>1</v>
      </c>
      <c r="C4" s="0" t="n">
        <v>5576.635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2728.1</v>
      </c>
      <c r="I4" s="0" t="n">
        <v>259.776</v>
      </c>
      <c r="J4" s="0" t="n">
        <v>1563.329</v>
      </c>
      <c r="K4" s="0" t="n">
        <v>2519.58</v>
      </c>
      <c r="L4" s="0" t="n">
        <v>1489.389</v>
      </c>
      <c r="M4" s="0" t="n">
        <v>12106.359</v>
      </c>
      <c r="N4" s="0" t="n">
        <v>1093.455</v>
      </c>
      <c r="O4" s="0" t="n">
        <v>87.89</v>
      </c>
      <c r="P4" s="0" t="n">
        <v>88.468</v>
      </c>
      <c r="Q4" s="0" t="n">
        <v>2137.52</v>
      </c>
      <c r="R4" s="0" t="n">
        <v>1715.76</v>
      </c>
      <c r="S4" s="0" t="n">
        <v>939.875</v>
      </c>
      <c r="T4" s="0" t="n">
        <v>2987.876</v>
      </c>
      <c r="U4" s="0" t="n">
        <v>1705.223</v>
      </c>
      <c r="V4" s="0" t="n">
        <v>114593.877</v>
      </c>
      <c r="W4" s="0" t="n">
        <v>274.078</v>
      </c>
      <c r="X4" s="0" t="n">
        <v>738.717</v>
      </c>
      <c r="Y4" s="0" t="n">
        <v>87.89</v>
      </c>
      <c r="Z4" s="0" t="n">
        <v>925.455</v>
      </c>
      <c r="AA4" s="0" t="n">
        <f aca="false">H4*x_c_F+I4*x_c_CC+J4*x_c_DC+K4*x_c_HCC+L4*x_c_PLT+M4*x_c_SVRn+N4*x_c_SVRcc+O4*x_c_LT+P4*x_c_LT1</f>
        <v>288245578.892978</v>
      </c>
      <c r="AB4" s="0" t="n">
        <f aca="false">C4*x_c_DAA</f>
        <v>126924212.6</v>
      </c>
      <c r="AC4" s="0" t="n">
        <f aca="false">C4*x_c_MON</f>
        <v>32150025.1028204</v>
      </c>
      <c r="AD4" s="0" t="n">
        <f aca="false">D4*(1-x_testy)</f>
        <v>0</v>
      </c>
      <c r="AE4" s="0" t="n">
        <f aca="false">E4*(1-x_testy)</f>
        <v>0</v>
      </c>
      <c r="AF4" s="0" t="n">
        <f aca="false">F4*x_NAV</f>
        <v>0</v>
      </c>
      <c r="AG4" s="0" t="n">
        <f aca="false">G4*x_FIX*(1-x_testy)</f>
        <v>0</v>
      </c>
      <c r="AH4" s="0" t="n">
        <f aca="false">x_z_F*U4+(1-x_AGRI)*x_EMP*x_WLOSS*(x_PEN_K74*Q4+x_PEN_C22*R4)</f>
        <v>28091793.6757071</v>
      </c>
      <c r="AI4" s="0" t="n">
        <f aca="false">x_AGRI*x_EMP*x_WLOSS*(x_PEN_K74*Q4+x_PEN_C22*R4)</f>
        <v>1625088.3739478</v>
      </c>
      <c r="AJ4" s="0" t="n">
        <f aca="false">x_EMP*x_WAGE*(x_WLOSS*(Q4+R4)+S4)+U4*x_ABS_D*x_WAGE/365</f>
        <v>211266762.815471</v>
      </c>
      <c r="AK4" s="0" t="n">
        <f aca="false">AJ4*x_R_FUS</f>
        <v>66844803.7548152</v>
      </c>
      <c r="AL4" s="0" t="n">
        <f aca="false">AJ4*x_R_NFZ</f>
        <v>16407188.0670123</v>
      </c>
      <c r="AM4" s="0" t="n">
        <f aca="false">AJ4*x_R_PIT</f>
        <v>14045896.1867087</v>
      </c>
      <c r="AN4" s="0" t="n">
        <f aca="false">AJ4*x_R_FP</f>
        <v>5387302.45179452</v>
      </c>
      <c r="AO4" s="0" t="n">
        <f aca="false">AA4+AB4+AC4+AD4+AF4</f>
        <v>447319816.595799</v>
      </c>
      <c r="AP4" s="0" t="n">
        <f aca="false">AO4+AE4+AG4+AH4+AI4+AK4+AL4+AM4+AN4</f>
        <v>579721889.105784</v>
      </c>
      <c r="AQ4" s="0" t="n">
        <f aca="false">AO4+AE4+AG4+AJ4</f>
        <v>658586579.41127</v>
      </c>
      <c r="AR4" s="0" t="n">
        <f aca="false">AB4+AC4+AD4+AF4</f>
        <v>159074237.70282</v>
      </c>
      <c r="AS4" s="0" t="n">
        <f aca="false">AR4+AE4+AG4</f>
        <v>159074237.70282</v>
      </c>
    </row>
    <row r="5" customFormat="false" ht="15" hidden="false" customHeight="false" outlineLevel="0" collapsed="false">
      <c r="A5" s="0" t="n">
        <v>2028</v>
      </c>
      <c r="B5" s="0" t="n">
        <v>2</v>
      </c>
      <c r="C5" s="0" t="n">
        <v>5921.215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2782.017</v>
      </c>
      <c r="I5" s="0" t="n">
        <v>281.64</v>
      </c>
      <c r="J5" s="0" t="n">
        <v>1558.707</v>
      </c>
      <c r="K5" s="0" t="n">
        <v>2542.654</v>
      </c>
      <c r="L5" s="0" t="n">
        <v>1475.757</v>
      </c>
      <c r="M5" s="0" t="n">
        <v>17159.078</v>
      </c>
      <c r="N5" s="0" t="n">
        <v>1586.693</v>
      </c>
      <c r="O5" s="0" t="n">
        <v>87.523</v>
      </c>
      <c r="P5" s="0" t="n">
        <v>87.707</v>
      </c>
      <c r="Q5" s="0" t="n">
        <v>2145.234</v>
      </c>
      <c r="R5" s="0" t="n">
        <v>1751.363</v>
      </c>
      <c r="S5" s="0" t="n">
        <v>1572.496</v>
      </c>
      <c r="T5" s="0" t="n">
        <v>3063.657</v>
      </c>
      <c r="U5" s="0" t="n">
        <v>1797.2</v>
      </c>
      <c r="V5" s="0" t="n">
        <v>115841.091</v>
      </c>
      <c r="W5" s="0" t="n">
        <v>283.892</v>
      </c>
      <c r="X5" s="0" t="n">
        <v>766.181</v>
      </c>
      <c r="Y5" s="0" t="n">
        <v>87.523</v>
      </c>
      <c r="Z5" s="0" t="n">
        <v>926.072</v>
      </c>
      <c r="AA5" s="0" t="n">
        <f aca="false">H5*x_c_F+I5*x_c_CC+J5*x_c_DC+K5*x_c_HCC+L5*x_c_PLT+M5*x_c_SVRn+N5*x_c_SVRcc+O5*x_c_LT+P5*x_c_LT1</f>
        <v>293741434.149062</v>
      </c>
      <c r="AB5" s="0" t="n">
        <f aca="false">C5*x_c_DAA</f>
        <v>134766853.4</v>
      </c>
      <c r="AC5" s="0" t="n">
        <f aca="false">C5*x_c_MON</f>
        <v>34136573.5590005</v>
      </c>
      <c r="AD5" s="0" t="n">
        <f aca="false">D5*(1-x_testy)</f>
        <v>0</v>
      </c>
      <c r="AE5" s="0" t="n">
        <f aca="false">E5*(1-x_testy)</f>
        <v>0</v>
      </c>
      <c r="AF5" s="0" t="n">
        <f aca="false">F5*x_NAV</f>
        <v>0</v>
      </c>
      <c r="AG5" s="0" t="n">
        <f aca="false">G5*x_FIX*(1-x_testy)</f>
        <v>0</v>
      </c>
      <c r="AH5" s="0" t="n">
        <f aca="false">x_z_F*U5+(1-x_AGRI)*x_EMP*x_WLOSS*(x_PEN_K74*Q5+x_PEN_C22*R5)</f>
        <v>28570667.9932582</v>
      </c>
      <c r="AI5" s="0" t="n">
        <f aca="false">x_AGRI*x_EMP*x_WLOSS*(x_PEN_K74*Q5+x_PEN_C22*R5)</f>
        <v>1644242.15655414</v>
      </c>
      <c r="AJ5" s="0" t="n">
        <f aca="false">x_EMP*x_WAGE*(x_WLOSS*(Q5+R5)+S5)+U5*x_ABS_D*x_WAGE/365</f>
        <v>266892343.012544</v>
      </c>
      <c r="AK5" s="0" t="n">
        <f aca="false">AJ5*x_R_FUS</f>
        <v>84444737.329169</v>
      </c>
      <c r="AL5" s="0" t="n">
        <f aca="false">AJ5*x_R_NFZ</f>
        <v>20727126.2506972</v>
      </c>
      <c r="AM5" s="0" t="n">
        <f aca="false">AJ5*x_R_PIT</f>
        <v>17744116.9307637</v>
      </c>
      <c r="AN5" s="0" t="n">
        <f aca="false">AJ5*x_R_FP</f>
        <v>6805754.74681988</v>
      </c>
      <c r="AO5" s="0" t="n">
        <f aca="false">AA5+AB5+AC5+AD5+AF5</f>
        <v>462644861.108062</v>
      </c>
      <c r="AP5" s="0" t="n">
        <f aca="false">AO5+AE5+AG5+AH5+AI5+AK5+AL5+AM5+AN5</f>
        <v>622581506.515324</v>
      </c>
      <c r="AQ5" s="0" t="n">
        <f aca="false">AO5+AE5+AG5+AJ5</f>
        <v>729537204.120606</v>
      </c>
      <c r="AR5" s="0" t="n">
        <f aca="false">AB5+AC5+AD5+AF5</f>
        <v>168903426.959001</v>
      </c>
      <c r="AS5" s="0" t="n">
        <f aca="false">AR5+AE5+AG5</f>
        <v>168903426.959001</v>
      </c>
    </row>
    <row r="6" customFormat="false" ht="15" hidden="false" customHeight="false" outlineLevel="0" collapsed="false">
      <c r="A6" s="0" t="n">
        <v>2029</v>
      </c>
      <c r="B6" s="0" t="n">
        <v>3</v>
      </c>
      <c r="C6" s="0" t="n">
        <v>5892.245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2750.261</v>
      </c>
      <c r="I6" s="0" t="n">
        <v>295.954</v>
      </c>
      <c r="J6" s="0" t="n">
        <v>1564.041</v>
      </c>
      <c r="K6" s="0" t="n">
        <v>2584.625</v>
      </c>
      <c r="L6" s="0" t="n">
        <v>1461.15</v>
      </c>
      <c r="M6" s="0" t="n">
        <v>22088.431</v>
      </c>
      <c r="N6" s="0" t="n">
        <v>2091.139</v>
      </c>
      <c r="O6" s="0" t="n">
        <v>87.808</v>
      </c>
      <c r="P6" s="0" t="n">
        <v>87.666</v>
      </c>
      <c r="Q6" s="0" t="n">
        <v>2161.57</v>
      </c>
      <c r="R6" s="0" t="n">
        <v>1803.154</v>
      </c>
      <c r="S6" s="0" t="n">
        <v>2212.729</v>
      </c>
      <c r="T6" s="0" t="n">
        <v>3046.215</v>
      </c>
      <c r="U6" s="0" t="n">
        <v>1834.537</v>
      </c>
      <c r="V6" s="0" t="n">
        <v>117143.129</v>
      </c>
      <c r="W6" s="0" t="n">
        <v>294.143</v>
      </c>
      <c r="X6" s="0" t="n">
        <v>792.343</v>
      </c>
      <c r="Y6" s="0" t="n">
        <v>87.808</v>
      </c>
      <c r="Z6" s="0" t="n">
        <v>934.044</v>
      </c>
      <c r="AA6" s="0" t="n">
        <f aca="false">H6*x_c_F+I6*x_c_CC+J6*x_c_DC+K6*x_c_HCC+L6*x_c_PLT+M6*x_c_SVRn+N6*x_c_SVRcc+O6*x_c_LT+P6*x_c_LT1</f>
        <v>300492752.924081</v>
      </c>
      <c r="AB6" s="0" t="n">
        <f aca="false">C6*x_c_DAA</f>
        <v>134107496.2</v>
      </c>
      <c r="AC6" s="0" t="n">
        <f aca="false">C6*x_c_MON</f>
        <v>33969557.7461979</v>
      </c>
      <c r="AD6" s="0" t="n">
        <f aca="false">D6*(1-x_testy)</f>
        <v>0</v>
      </c>
      <c r="AE6" s="0" t="n">
        <f aca="false">E6*(1-x_testy)</f>
        <v>0</v>
      </c>
      <c r="AF6" s="0" t="n">
        <f aca="false">F6*x_NAV</f>
        <v>0</v>
      </c>
      <c r="AG6" s="0" t="n">
        <f aca="false">G6*x_FIX*(1-x_testy)</f>
        <v>0</v>
      </c>
      <c r="AH6" s="0" t="n">
        <f aca="false">x_z_F*U6+(1-x_AGRI)*x_EMP*x_WLOSS*(x_PEN_K74*Q6+x_PEN_C22*R6)</f>
        <v>29099728.6293595</v>
      </c>
      <c r="AI6" s="0" t="n">
        <f aca="false">x_AGRI*x_EMP*x_WLOSS*(x_PEN_K74*Q6+x_PEN_C22*R6)</f>
        <v>1674138.26908396</v>
      </c>
      <c r="AJ6" s="0" t="n">
        <f aca="false">x_EMP*x_WAGE*(x_WLOSS*(Q6+R6)+S6)+U6*x_ABS_D*x_WAGE/365</f>
        <v>323818495.295046</v>
      </c>
      <c r="AK6" s="0" t="n">
        <f aca="false">AJ6*x_R_FUS</f>
        <v>102456171.911353</v>
      </c>
      <c r="AL6" s="0" t="n">
        <f aca="false">AJ6*x_R_NFZ</f>
        <v>25148068.1631086</v>
      </c>
      <c r="AM6" s="0" t="n">
        <f aca="false">AJ6*x_R_PIT</f>
        <v>21528805.1354444</v>
      </c>
      <c r="AN6" s="0" t="n">
        <f aca="false">AJ6*x_R_FP</f>
        <v>8257371.63002367</v>
      </c>
      <c r="AO6" s="0" t="n">
        <f aca="false">AA6+AB6+AC6+AD6+AF6</f>
        <v>468569806.870278</v>
      </c>
      <c r="AP6" s="0" t="n">
        <f aca="false">AO6+AE6+AG6+AH6+AI6+AK6+AL6+AM6+AN6</f>
        <v>656734090.608651</v>
      </c>
      <c r="AQ6" s="0" t="n">
        <f aca="false">AO6+AE6+AG6+AJ6</f>
        <v>792388302.165324</v>
      </c>
      <c r="AR6" s="0" t="n">
        <f aca="false">AB6+AC6+AD6+AF6</f>
        <v>168077053.946198</v>
      </c>
      <c r="AS6" s="0" t="n">
        <f aca="false">AR6+AE6+AG6</f>
        <v>168077053.946198</v>
      </c>
    </row>
    <row r="7" customFormat="false" ht="15" hidden="false" customHeight="false" outlineLevel="0" collapsed="false">
      <c r="A7" s="0" t="n">
        <v>2030</v>
      </c>
      <c r="B7" s="0" t="n">
        <v>4</v>
      </c>
      <c r="C7" s="0" t="n">
        <v>5864.531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2719.483</v>
      </c>
      <c r="I7" s="0" t="n">
        <v>309.91</v>
      </c>
      <c r="J7" s="0" t="n">
        <v>1577.536</v>
      </c>
      <c r="K7" s="0" t="n">
        <v>2638.027</v>
      </c>
      <c r="L7" s="0" t="n">
        <v>1446.187</v>
      </c>
      <c r="M7" s="0" t="n">
        <v>26894.042</v>
      </c>
      <c r="N7" s="0" t="n">
        <v>2605.141</v>
      </c>
      <c r="O7" s="0" t="n">
        <v>88.61</v>
      </c>
      <c r="P7" s="0" t="n">
        <v>88.209</v>
      </c>
      <c r="Q7" s="0" t="n">
        <v>2185.593</v>
      </c>
      <c r="R7" s="0" t="n">
        <v>1865.614</v>
      </c>
      <c r="S7" s="0" t="n">
        <v>2865.368</v>
      </c>
      <c r="T7" s="0" t="n">
        <v>3029.393</v>
      </c>
      <c r="U7" s="0" t="n">
        <v>1870.053</v>
      </c>
      <c r="V7" s="0" t="n">
        <v>118486.298</v>
      </c>
      <c r="W7" s="0" t="n">
        <v>303.985</v>
      </c>
      <c r="X7" s="0" t="n">
        <v>815.855</v>
      </c>
      <c r="Y7" s="0" t="n">
        <v>88.61</v>
      </c>
      <c r="Z7" s="0" t="n">
        <v>947.075</v>
      </c>
      <c r="AA7" s="0" t="n">
        <f aca="false">H7*x_c_F+I7*x_c_CC+J7*x_c_DC+K7*x_c_HCC+L7*x_c_PLT+M7*x_c_SVRn+N7*x_c_SVRcc+O7*x_c_LT+P7*x_c_LT1</f>
        <v>308255280.973472</v>
      </c>
      <c r="AB7" s="0" t="n">
        <f aca="false">C7*x_c_DAA</f>
        <v>133476725.56</v>
      </c>
      <c r="AC7" s="0" t="n">
        <f aca="false">C7*x_c_MON</f>
        <v>33809782.9365323</v>
      </c>
      <c r="AD7" s="0" t="n">
        <f aca="false">D7*(1-x_testy)</f>
        <v>0</v>
      </c>
      <c r="AE7" s="0" t="n">
        <f aca="false">E7*(1-x_testy)</f>
        <v>0</v>
      </c>
      <c r="AF7" s="0" t="n">
        <f aca="false">F7*x_NAV</f>
        <v>0</v>
      </c>
      <c r="AG7" s="0" t="n">
        <f aca="false">G7*x_FIX*(1-x_testy)</f>
        <v>0</v>
      </c>
      <c r="AH7" s="0" t="n">
        <f aca="false">x_z_F*U7+(1-x_AGRI)*x_EMP*x_WLOSS*(x_PEN_K74*Q7+x_PEN_C22*R7)</f>
        <v>29744215.1785556</v>
      </c>
      <c r="AI7" s="0" t="n">
        <f aca="false">x_AGRI*x_EMP*x_WLOSS*(x_PEN_K74*Q7+x_PEN_C22*R7)</f>
        <v>1711911.27135835</v>
      </c>
      <c r="AJ7" s="0" t="n">
        <f aca="false">x_EMP*x_WAGE*(x_WLOSS*(Q7+R7)+S7)+U7*x_ABS_D*x_WAGE/365</f>
        <v>382397859.681216</v>
      </c>
      <c r="AK7" s="0" t="n">
        <f aca="false">AJ7*x_R_FUS</f>
        <v>120990682.803137</v>
      </c>
      <c r="AL7" s="0" t="n">
        <f aca="false">AJ7*x_R_NFZ</f>
        <v>29697400.1807029</v>
      </c>
      <c r="AM7" s="0" t="n">
        <f aca="false">AJ7*x_R_PIT</f>
        <v>25423405.7810281</v>
      </c>
      <c r="AN7" s="0" t="n">
        <f aca="false">AJ7*x_R_FP</f>
        <v>9751145.421871</v>
      </c>
      <c r="AO7" s="0" t="n">
        <f aca="false">AA7+AB7+AC7+AD7+AF7</f>
        <v>475541789.470004</v>
      </c>
      <c r="AP7" s="0" t="n">
        <f aca="false">AO7+AE7+AG7+AH7+AI7+AK7+AL7+AM7+AN7</f>
        <v>692860550.106657</v>
      </c>
      <c r="AQ7" s="0" t="n">
        <f aca="false">AO7+AE7+AG7+AJ7</f>
        <v>857939649.15122</v>
      </c>
      <c r="AR7" s="0" t="n">
        <f aca="false">AB7+AC7+AD7+AF7</f>
        <v>167286508.496532</v>
      </c>
      <c r="AS7" s="0" t="n">
        <f aca="false">AR7+AE7+AG7</f>
        <v>167286508.496532</v>
      </c>
    </row>
    <row r="8" customFormat="false" ht="15" hidden="false" customHeight="false" outlineLevel="0" collapsed="false">
      <c r="A8" s="0" t="n">
        <v>2031</v>
      </c>
      <c r="B8" s="0" t="n">
        <v>5</v>
      </c>
      <c r="C8" s="0" t="n">
        <v>5837.956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2690.204</v>
      </c>
      <c r="I8" s="0" t="n">
        <v>322.932</v>
      </c>
      <c r="J8" s="0" t="n">
        <v>1596.984</v>
      </c>
      <c r="K8" s="0" t="n">
        <v>2696.394</v>
      </c>
      <c r="L8" s="0" t="n">
        <v>1431.36</v>
      </c>
      <c r="M8" s="0" t="n">
        <v>31576.919</v>
      </c>
      <c r="N8" s="0" t="n">
        <v>3125.977</v>
      </c>
      <c r="O8" s="0" t="n">
        <v>89.777</v>
      </c>
      <c r="P8" s="0" t="n">
        <v>89.193</v>
      </c>
      <c r="Q8" s="0" t="n">
        <v>2215.991</v>
      </c>
      <c r="R8" s="0" t="n">
        <v>1933.958</v>
      </c>
      <c r="S8" s="0" t="n">
        <v>3533.522</v>
      </c>
      <c r="T8" s="0" t="n">
        <v>3013.136</v>
      </c>
      <c r="U8" s="0" t="n">
        <v>1903.771</v>
      </c>
      <c r="V8" s="0" t="n">
        <v>119860.719</v>
      </c>
      <c r="W8" s="0" t="n">
        <v>312.807</v>
      </c>
      <c r="X8" s="0" t="n">
        <v>835.793</v>
      </c>
      <c r="Y8" s="0" t="n">
        <v>89.777</v>
      </c>
      <c r="Z8" s="0" t="n">
        <v>963.061</v>
      </c>
      <c r="AA8" s="0" t="n">
        <f aca="false">H8*x_c_F+I8*x_c_CC+J8*x_c_DC+K8*x_c_HCC+L8*x_c_PLT+M8*x_c_SVRn+N8*x_c_SVRcc+O8*x_c_LT+P8*x_c_LT1</f>
        <v>316530870.193019</v>
      </c>
      <c r="AB8" s="0" t="n">
        <f aca="false">C8*x_c_DAA</f>
        <v>132871878.56</v>
      </c>
      <c r="AC8" s="0" t="n">
        <f aca="false">C8*x_c_MON</f>
        <v>33656574.609807</v>
      </c>
      <c r="AD8" s="0" t="n">
        <f aca="false">D8*(1-x_testy)</f>
        <v>0</v>
      </c>
      <c r="AE8" s="0" t="n">
        <f aca="false">E8*(1-x_testy)</f>
        <v>0</v>
      </c>
      <c r="AF8" s="0" t="n">
        <f aca="false">F8*x_NAV</f>
        <v>0</v>
      </c>
      <c r="AG8" s="0" t="n">
        <f aca="false">G8*x_FIX*(1-x_testy)</f>
        <v>0</v>
      </c>
      <c r="AH8" s="0" t="n">
        <f aca="false">x_z_F*U8+(1-x_AGRI)*x_EMP*x_WLOSS*(x_PEN_K74*Q8+x_PEN_C22*R8)</f>
        <v>30463573.4625891</v>
      </c>
      <c r="AI8" s="0" t="n">
        <f aca="false">x_AGRI*x_EMP*x_WLOSS*(x_PEN_K74*Q8+x_PEN_C22*R8)</f>
        <v>1754877.48451294</v>
      </c>
      <c r="AJ8" s="0" t="n">
        <f aca="false">x_EMP*x_WAGE*(x_WLOSS*(Q8+R8)+S8)+U8*x_ABS_D*x_WAGE/365</f>
        <v>442696014.626641</v>
      </c>
      <c r="AK8" s="0" t="n">
        <f aca="false">AJ8*x_R_FUS</f>
        <v>140069019.027869</v>
      </c>
      <c r="AL8" s="0" t="n">
        <f aca="false">AJ8*x_R_NFZ</f>
        <v>34380215.1919196</v>
      </c>
      <c r="AM8" s="0" t="n">
        <f aca="false">AJ8*x_R_PIT</f>
        <v>29432278.7969567</v>
      </c>
      <c r="AN8" s="0" t="n">
        <f aca="false">AJ8*x_R_FP</f>
        <v>11288748.3729793</v>
      </c>
      <c r="AO8" s="0" t="n">
        <f aca="false">AA8+AB8+AC8+AD8+AF8</f>
        <v>483059323.362826</v>
      </c>
      <c r="AP8" s="0" t="n">
        <f aca="false">AO8+AE8+AG8+AH8+AI8+AK8+AL8+AM8+AN8</f>
        <v>730448035.699652</v>
      </c>
      <c r="AQ8" s="0" t="n">
        <f aca="false">AO8+AE8+AG8+AJ8</f>
        <v>925755337.989467</v>
      </c>
      <c r="AR8" s="0" t="n">
        <f aca="false">AB8+AC8+AD8+AF8</f>
        <v>166528453.169807</v>
      </c>
      <c r="AS8" s="0" t="n">
        <f aca="false">AR8+AE8+AG8</f>
        <v>166528453.169807</v>
      </c>
    </row>
    <row r="9" customFormat="false" ht="15" hidden="false" customHeight="false" outlineLevel="0" collapsed="false">
      <c r="A9" s="0" t="n">
        <v>2032</v>
      </c>
      <c r="B9" s="0" t="n">
        <v>6</v>
      </c>
      <c r="C9" s="0" t="n">
        <v>5812.447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2662.817</v>
      </c>
      <c r="I9" s="0" t="n">
        <v>334.582</v>
      </c>
      <c r="J9" s="0" t="n">
        <v>1620.016</v>
      </c>
      <c r="K9" s="0" t="n">
        <v>2754.305</v>
      </c>
      <c r="L9" s="0" t="n">
        <v>1416.993</v>
      </c>
      <c r="M9" s="0" t="n">
        <v>36138.643</v>
      </c>
      <c r="N9" s="0" t="n">
        <v>3650.07</v>
      </c>
      <c r="O9" s="0" t="n">
        <v>91.153</v>
      </c>
      <c r="P9" s="0" t="n">
        <v>90.465</v>
      </c>
      <c r="Q9" s="0" t="n">
        <v>2251.22</v>
      </c>
      <c r="R9" s="0" t="n">
        <v>2004.149</v>
      </c>
      <c r="S9" s="0" t="n">
        <v>4218.711</v>
      </c>
      <c r="T9" s="0" t="n">
        <v>2997.399</v>
      </c>
      <c r="U9" s="0" t="n">
        <v>1935.739</v>
      </c>
      <c r="V9" s="0" t="n">
        <v>121256.469</v>
      </c>
      <c r="W9" s="0" t="n">
        <v>320.177</v>
      </c>
      <c r="X9" s="0" t="n">
        <v>851.541</v>
      </c>
      <c r="Y9" s="0" t="n">
        <v>91.153</v>
      </c>
      <c r="Z9" s="0" t="n">
        <v>980.102</v>
      </c>
      <c r="AA9" s="0" t="n">
        <f aca="false">H9*x_c_F+I9*x_c_CC+J9*x_c_DC+K9*x_c_HCC+L9*x_c_PLT+M9*x_c_SVRn+N9*x_c_SVRcc+O9*x_c_LT+P9*x_c_LT1</f>
        <v>324875364.884453</v>
      </c>
      <c r="AB9" s="0" t="n">
        <f aca="false">C9*x_c_DAA</f>
        <v>132291293.72</v>
      </c>
      <c r="AC9" s="0" t="n">
        <f aca="false">C9*x_c_MON</f>
        <v>33509511.9115404</v>
      </c>
      <c r="AD9" s="0" t="n">
        <f aca="false">D9*(1-x_testy)</f>
        <v>0</v>
      </c>
      <c r="AE9" s="0" t="n">
        <f aca="false">E9*(1-x_testy)</f>
        <v>0</v>
      </c>
      <c r="AF9" s="0" t="n">
        <f aca="false">F9*x_NAV</f>
        <v>0</v>
      </c>
      <c r="AG9" s="0" t="n">
        <f aca="false">G9*x_FIX*(1-x_testy)</f>
        <v>0</v>
      </c>
      <c r="AH9" s="0" t="n">
        <f aca="false">x_z_F*U9+(1-x_AGRI)*x_EMP*x_WLOSS*(x_PEN_K74*Q9+x_PEN_C22*R9)</f>
        <v>31221018.4569321</v>
      </c>
      <c r="AI9" s="0" t="n">
        <f aca="false">x_AGRI*x_EMP*x_WLOSS*(x_PEN_K74*Q9+x_PEN_C22*R9)</f>
        <v>1800598.9662249</v>
      </c>
      <c r="AJ9" s="0" t="n">
        <f aca="false">x_EMP*x_WAGE*(x_WLOSS*(Q9+R9)+S9)+U9*x_ABS_D*x_WAGE/365</f>
        <v>504660022.557521</v>
      </c>
      <c r="AK9" s="0" t="n">
        <f aca="false">AJ9*x_R_FUS</f>
        <v>159674431.1372</v>
      </c>
      <c r="AL9" s="0" t="n">
        <f aca="false">AJ9*x_R_NFZ</f>
        <v>39192402.0118396</v>
      </c>
      <c r="AM9" s="0" t="n">
        <f aca="false">AJ9*x_R_PIT</f>
        <v>33551904.6723705</v>
      </c>
      <c r="AN9" s="0" t="n">
        <f aca="false">AJ9*x_R_FP</f>
        <v>12868830.5752168</v>
      </c>
      <c r="AO9" s="0" t="n">
        <f aca="false">AA9+AB9+AC9+AD9+AF9</f>
        <v>490676170.515993</v>
      </c>
      <c r="AP9" s="0" t="n">
        <f aca="false">AO9+AE9+AG9+AH9+AI9+AK9+AL9+AM9+AN9</f>
        <v>768985356.335777</v>
      </c>
      <c r="AQ9" s="0" t="n">
        <f aca="false">AO9+AE9+AG9+AJ9</f>
        <v>995336193.073514</v>
      </c>
      <c r="AR9" s="0" t="n">
        <f aca="false">AB9+AC9+AD9+AF9</f>
        <v>165800805.63154</v>
      </c>
      <c r="AS9" s="0" t="n">
        <f aca="false">AR9+AE9+AG9</f>
        <v>165800805.63154</v>
      </c>
    </row>
    <row r="10" customFormat="false" ht="15" hidden="false" customHeight="false" outlineLevel="0" collapsed="false">
      <c r="A10" s="0" t="n">
        <v>2033</v>
      </c>
      <c r="B10" s="0" t="n">
        <v>7</v>
      </c>
      <c r="C10" s="0" t="n">
        <v>5787.908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2637.604</v>
      </c>
      <c r="I10" s="0" t="n">
        <v>344.541</v>
      </c>
      <c r="J10" s="0" t="n">
        <v>1644.32</v>
      </c>
      <c r="K10" s="0" t="n">
        <v>2807.41</v>
      </c>
      <c r="L10" s="0" t="n">
        <v>1403.264</v>
      </c>
      <c r="M10" s="0" t="n">
        <v>40581.419</v>
      </c>
      <c r="N10" s="0" t="n">
        <v>4173.275</v>
      </c>
      <c r="O10" s="0" t="n">
        <v>92.597</v>
      </c>
      <c r="P10" s="0" t="n">
        <v>91.875</v>
      </c>
      <c r="Q10" s="0" t="n">
        <v>2289.652</v>
      </c>
      <c r="R10" s="0" t="n">
        <v>2072.888</v>
      </c>
      <c r="S10" s="0" t="n">
        <v>4921.085</v>
      </c>
      <c r="T10" s="0" t="n">
        <v>2982.145</v>
      </c>
      <c r="U10" s="0" t="n">
        <v>1965.997</v>
      </c>
      <c r="V10" s="0" t="n">
        <v>122665.004</v>
      </c>
      <c r="W10" s="0" t="n">
        <v>325.824</v>
      </c>
      <c r="X10" s="0" t="n">
        <v>862.768</v>
      </c>
      <c r="Y10" s="0" t="n">
        <v>92.597</v>
      </c>
      <c r="Z10" s="0" t="n">
        <v>996.632</v>
      </c>
      <c r="AA10" s="0" t="n">
        <f aca="false">H10*x_c_F+I10*x_c_CC+J10*x_c_DC+K10*x_c_HCC+L10*x_c_PLT+M10*x_c_SVRn+N10*x_c_SVRcc+O10*x_c_LT+P10*x_c_LT1</f>
        <v>332912770.169855</v>
      </c>
      <c r="AB10" s="0" t="n">
        <f aca="false">C10*x_c_DAA</f>
        <v>131732786.08</v>
      </c>
      <c r="AC10" s="0" t="n">
        <f aca="false">C10*x_c_MON</f>
        <v>33368041.3892634</v>
      </c>
      <c r="AD10" s="0" t="n">
        <f aca="false">D10*(1-x_testy)</f>
        <v>0</v>
      </c>
      <c r="AE10" s="0" t="n">
        <f aca="false">E10*(1-x_testy)</f>
        <v>0</v>
      </c>
      <c r="AF10" s="0" t="n">
        <f aca="false">F10*x_NAV</f>
        <v>0</v>
      </c>
      <c r="AG10" s="0" t="n">
        <f aca="false">G10*x_FIX*(1-x_testy)</f>
        <v>0</v>
      </c>
      <c r="AH10" s="0" t="n">
        <f aca="false">x_z_F*U10+(1-x_AGRI)*x_EMP*x_WLOSS*(x_PEN_K74*Q10+x_PEN_C22*R10)</f>
        <v>31984288.3129129</v>
      </c>
      <c r="AI10" s="0" t="n">
        <f aca="false">x_AGRI*x_EMP*x_WLOSS*(x_PEN_K74*Q10+x_PEN_C22*R10)</f>
        <v>1846937.83454747</v>
      </c>
      <c r="AJ10" s="0" t="n">
        <f aca="false">x_EMP*x_WAGE*(x_WLOSS*(Q10+R10)+S10)+U10*x_ABS_D*x_WAGE/365</f>
        <v>568141521.931336</v>
      </c>
      <c r="AK10" s="0" t="n">
        <f aca="false">AJ10*x_R_FUS</f>
        <v>179759977.539075</v>
      </c>
      <c r="AL10" s="0" t="n">
        <f aca="false">AJ10*x_R_NFZ</f>
        <v>44122438.7347095</v>
      </c>
      <c r="AM10" s="0" t="n">
        <f aca="false">AJ10*x_R_PIT</f>
        <v>37772419.7126849</v>
      </c>
      <c r="AN10" s="0" t="n">
        <f aca="false">AJ10*x_R_FP</f>
        <v>14487608.8092491</v>
      </c>
      <c r="AO10" s="0" t="n">
        <f aca="false">AA10+AB10+AC10+AD10+AF10</f>
        <v>498013597.639118</v>
      </c>
      <c r="AP10" s="0" t="n">
        <f aca="false">AO10+AE10+AG10+AH10+AI10+AK10+AL10+AM10+AN10</f>
        <v>807987268.582297</v>
      </c>
      <c r="AQ10" s="0" t="n">
        <f aca="false">AO10+AE10+AG10+AJ10</f>
        <v>1066155119.57045</v>
      </c>
      <c r="AR10" s="0" t="n">
        <f aca="false">AB10+AC10+AD10+AF10</f>
        <v>165100827.469263</v>
      </c>
      <c r="AS10" s="0" t="n">
        <f aca="false">AR10+AE10+AG10</f>
        <v>165100827.469263</v>
      </c>
    </row>
    <row r="11" customFormat="false" ht="15" hidden="false" customHeight="false" outlineLevel="0" collapsed="false">
      <c r="A11" s="0" t="n">
        <v>2034</v>
      </c>
      <c r="B11" s="0" t="n">
        <v>8</v>
      </c>
      <c r="C11" s="0" t="n">
        <v>5764.307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2614.751</v>
      </c>
      <c r="I11" s="0" t="n">
        <v>352.597</v>
      </c>
      <c r="J11" s="0" t="n">
        <v>1667.77</v>
      </c>
      <c r="K11" s="0" t="n">
        <v>2852.363</v>
      </c>
      <c r="L11" s="0" t="n">
        <v>1390.202</v>
      </c>
      <c r="M11" s="0" t="n">
        <v>44907.583</v>
      </c>
      <c r="N11" s="0" t="n">
        <v>4691.051</v>
      </c>
      <c r="O11" s="0" t="n">
        <v>93.976</v>
      </c>
      <c r="P11" s="0" t="n">
        <v>93.286</v>
      </c>
      <c r="Q11" s="0" t="n">
        <v>2329.669</v>
      </c>
      <c r="R11" s="0" t="n">
        <v>2137.573</v>
      </c>
      <c r="S11" s="0" t="n">
        <v>5639.581</v>
      </c>
      <c r="T11" s="0" t="n">
        <v>2967.348</v>
      </c>
      <c r="U11" s="0" t="n">
        <v>1994.584</v>
      </c>
      <c r="V11" s="0" t="n">
        <v>124078.802</v>
      </c>
      <c r="W11" s="0" t="n">
        <v>329.595</v>
      </c>
      <c r="X11" s="0" t="n">
        <v>869.342</v>
      </c>
      <c r="Y11" s="0" t="n">
        <v>93.976</v>
      </c>
      <c r="Z11" s="0" t="n">
        <v>1011.33</v>
      </c>
      <c r="AA11" s="0" t="n">
        <f aca="false">H11*x_c_F+I11*x_c_CC+J11*x_c_DC+K11*x_c_HCC+L11*x_c_PLT+M11*x_c_SVRn+N11*x_c_SVRcc+O11*x_c_LT+P11*x_c_LT1</f>
        <v>340331498.073213</v>
      </c>
      <c r="AB11" s="0" t="n">
        <f aca="false">C11*x_c_DAA</f>
        <v>131195627.32</v>
      </c>
      <c r="AC11" s="0" t="n">
        <f aca="false">C11*x_c_MON</f>
        <v>33231978.5588197</v>
      </c>
      <c r="AD11" s="0" t="n">
        <f aca="false">D11*(1-x_testy)</f>
        <v>0</v>
      </c>
      <c r="AE11" s="0" t="n">
        <f aca="false">E11*(1-x_testy)</f>
        <v>0</v>
      </c>
      <c r="AF11" s="0" t="n">
        <f aca="false">F11*x_NAV</f>
        <v>0</v>
      </c>
      <c r="AG11" s="0" t="n">
        <f aca="false">G11*x_FIX*(1-x_testy)</f>
        <v>0</v>
      </c>
      <c r="AH11" s="0" t="n">
        <f aca="false">x_z_F*U11+(1-x_AGRI)*x_EMP*x_WLOSS*(x_PEN_K74*Q11+x_PEN_C22*R11)</f>
        <v>32725943.8913638</v>
      </c>
      <c r="AI11" s="0" t="n">
        <f aca="false">x_AGRI*x_EMP*x_WLOSS*(x_PEN_K74*Q11+x_PEN_C22*R11)</f>
        <v>1892075.11526894</v>
      </c>
      <c r="AJ11" s="0" t="n">
        <f aca="false">x_EMP*x_WAGE*(x_WLOSS*(Q11+R11)+S11)+U11*x_ABS_D*x_WAGE/365</f>
        <v>632911868.465268</v>
      </c>
      <c r="AK11" s="0" t="n">
        <f aca="false">AJ11*x_R_FUS</f>
        <v>200253315.182411</v>
      </c>
      <c r="AL11" s="0" t="n">
        <f aca="false">AJ11*x_R_NFZ</f>
        <v>49152568.6168812</v>
      </c>
      <c r="AM11" s="0" t="n">
        <f aca="false">AJ11*x_R_PIT</f>
        <v>42078622.6916521</v>
      </c>
      <c r="AN11" s="0" t="n">
        <f aca="false">AJ11*x_R_FP</f>
        <v>16139252.6458643</v>
      </c>
      <c r="AO11" s="0" t="n">
        <f aca="false">AA11+AB11+AC11+AD11+AF11</f>
        <v>504759103.952033</v>
      </c>
      <c r="AP11" s="0" t="n">
        <f aca="false">AO11+AE11+AG11+AH11+AI11+AK11+AL11+AM11+AN11</f>
        <v>847000882.095474</v>
      </c>
      <c r="AQ11" s="0" t="n">
        <f aca="false">AO11+AE11+AG11+AJ11</f>
        <v>1137670972.4173</v>
      </c>
      <c r="AR11" s="0" t="n">
        <f aca="false">AB11+AC11+AD11+AF11</f>
        <v>164427605.87882</v>
      </c>
      <c r="AS11" s="0" t="n">
        <f aca="false">AR11+AE11+AG11</f>
        <v>164427605.87882</v>
      </c>
    </row>
    <row r="12" customFormat="false" ht="15" hidden="false" customHeight="false" outlineLevel="0" collapsed="false">
      <c r="A12" s="0" t="n">
        <v>2035</v>
      </c>
      <c r="B12" s="0" t="n">
        <v>9</v>
      </c>
      <c r="C12" s="0" t="n">
        <v>5741.579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2401.903</v>
      </c>
      <c r="I12" s="0" t="n">
        <v>331.735</v>
      </c>
      <c r="J12" s="0" t="n">
        <v>1688.516</v>
      </c>
      <c r="K12" s="0" t="n">
        <v>2886.756</v>
      </c>
      <c r="L12" s="0" t="n">
        <v>1377.714</v>
      </c>
      <c r="M12" s="0" t="n">
        <v>48741.965</v>
      </c>
      <c r="N12" s="0" t="n">
        <v>5145.901</v>
      </c>
      <c r="O12" s="0" t="n">
        <v>95.185</v>
      </c>
      <c r="P12" s="0" t="n">
        <v>94.581</v>
      </c>
      <c r="Q12" s="0" t="n">
        <v>2369.737</v>
      </c>
      <c r="R12" s="0" t="n">
        <v>2196.226</v>
      </c>
      <c r="S12" s="0" t="n">
        <v>6372.126</v>
      </c>
      <c r="T12" s="0" t="n">
        <v>2733.637</v>
      </c>
      <c r="U12" s="0" t="n">
        <v>1870.026</v>
      </c>
      <c r="V12" s="0" t="n">
        <v>125467.855</v>
      </c>
      <c r="W12" s="0" t="n">
        <v>331.444</v>
      </c>
      <c r="X12" s="0" t="n">
        <v>871.328</v>
      </c>
      <c r="Y12" s="0" t="n">
        <v>95.185</v>
      </c>
      <c r="Z12" s="0" t="n">
        <v>1023.22</v>
      </c>
      <c r="AA12" s="0" t="n">
        <f aca="false">H12*x_c_F+I12*x_c_CC+J12*x_c_DC+K12*x_c_HCC+L12*x_c_PLT+M12*x_c_SVRn+N12*x_c_SVRcc+O12*x_c_LT+P12*x_c_LT1</f>
        <v>345799225.88181</v>
      </c>
      <c r="AB12" s="0" t="n">
        <f aca="false">C12*x_c_DAA</f>
        <v>130678338.04</v>
      </c>
      <c r="AC12" s="0" t="n">
        <f aca="false">C12*x_c_MON</f>
        <v>33100948.6867666</v>
      </c>
      <c r="AD12" s="0" t="n">
        <f aca="false">D12*(1-x_testy)</f>
        <v>0</v>
      </c>
      <c r="AE12" s="0" t="n">
        <f aca="false">E12*(1-x_testy)</f>
        <v>0</v>
      </c>
      <c r="AF12" s="0" t="n">
        <f aca="false">F12*x_NAV</f>
        <v>0</v>
      </c>
      <c r="AG12" s="0" t="n">
        <f aca="false">G12*x_FIX*(1-x_testy)</f>
        <v>0</v>
      </c>
      <c r="AH12" s="0" t="n">
        <f aca="false">x_z_F*U12+(1-x_AGRI)*x_EMP*x_WLOSS*(x_PEN_K74*Q12+x_PEN_C22*R12)</f>
        <v>33111820.3327548</v>
      </c>
      <c r="AI12" s="0" t="n">
        <f aca="false">x_AGRI*x_EMP*x_WLOSS*(x_PEN_K74*Q12+x_PEN_C22*R12)</f>
        <v>1934507.17876563</v>
      </c>
      <c r="AJ12" s="0" t="n">
        <f aca="false">x_EMP*x_WAGE*(x_WLOSS*(Q12+R12)+S12)+U12*x_ABS_D*x_WAGE/365</f>
        <v>698234424.938031</v>
      </c>
      <c r="AK12" s="0" t="n">
        <f aca="false">AJ12*x_R_FUS</f>
        <v>220921372.050393</v>
      </c>
      <c r="AL12" s="0" t="n">
        <f aca="false">AJ12*x_R_NFZ</f>
        <v>54225583.6751124</v>
      </c>
      <c r="AM12" s="0" t="n">
        <f aca="false">AJ12*x_R_PIT</f>
        <v>46421538.8921916</v>
      </c>
      <c r="AN12" s="0" t="n">
        <f aca="false">AJ12*x_R_FP</f>
        <v>17804977.8359198</v>
      </c>
      <c r="AO12" s="0" t="n">
        <f aca="false">AA12+AB12+AC12+AD12+AF12</f>
        <v>509578512.608577</v>
      </c>
      <c r="AP12" s="0" t="n">
        <f aca="false">AO12+AE12+AG12+AH12+AI12+AK12+AL12+AM12+AN12</f>
        <v>883998312.573714</v>
      </c>
      <c r="AQ12" s="0" t="n">
        <f aca="false">AO12+AE12+AG12+AJ12</f>
        <v>1207812937.54661</v>
      </c>
      <c r="AR12" s="0" t="n">
        <f aca="false">AB12+AC12+AD12+AF12</f>
        <v>163779286.726767</v>
      </c>
      <c r="AS12" s="0" t="n">
        <f aca="false">AR12+AE12+AG12</f>
        <v>163779286.726767</v>
      </c>
    </row>
    <row r="13" customFormat="false" ht="15" hidden="false" customHeight="false" outlineLevel="0" collapsed="false">
      <c r="A13" s="0" t="n">
        <v>2036</v>
      </c>
      <c r="B13" s="0" t="n">
        <v>10</v>
      </c>
      <c r="C13" s="0" t="n">
        <v>4832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2197.105</v>
      </c>
      <c r="I13" s="0" t="n">
        <v>309.251</v>
      </c>
      <c r="J13" s="0" t="n">
        <v>1705.908</v>
      </c>
      <c r="K13" s="0" t="n">
        <v>2911.047</v>
      </c>
      <c r="L13" s="0" t="n">
        <v>1365.586</v>
      </c>
      <c r="M13" s="0" t="n">
        <v>52100.495</v>
      </c>
      <c r="N13" s="0" t="n">
        <v>5535.595</v>
      </c>
      <c r="O13" s="0" t="n">
        <v>96.13</v>
      </c>
      <c r="P13" s="0" t="n">
        <v>95.658</v>
      </c>
      <c r="Q13" s="0" t="n">
        <v>2409.161</v>
      </c>
      <c r="R13" s="0" t="n">
        <v>2249.068</v>
      </c>
      <c r="S13" s="0" t="n">
        <v>7115.807</v>
      </c>
      <c r="T13" s="0" t="n">
        <v>2506.356</v>
      </c>
      <c r="U13" s="0" t="n">
        <v>1745.465</v>
      </c>
      <c r="V13" s="0" t="n">
        <v>126825.319</v>
      </c>
      <c r="W13" s="0" t="n">
        <v>333.187</v>
      </c>
      <c r="X13" s="0" t="n">
        <v>873.034</v>
      </c>
      <c r="Y13" s="0" t="n">
        <v>96.13</v>
      </c>
      <c r="Z13" s="0" t="n">
        <v>1031.517</v>
      </c>
      <c r="AA13" s="0" t="n">
        <f aca="false">H13*x_c_F+I13*x_c_CC+J13*x_c_DC+K13*x_c_HCC+L13*x_c_PLT+M13*x_c_SVRn+N13*x_c_SVRcc+O13*x_c_LT+P13*x_c_LT1</f>
        <v>350026868.997597</v>
      </c>
      <c r="AB13" s="0" t="n">
        <f aca="false">C13*x_c_DAA</f>
        <v>109976320</v>
      </c>
      <c r="AC13" s="0" t="n">
        <f aca="false">C13*x_c_MON</f>
        <v>27857107.6100244</v>
      </c>
      <c r="AD13" s="0" t="n">
        <f aca="false">D13*(1-x_testy)</f>
        <v>0</v>
      </c>
      <c r="AE13" s="0" t="n">
        <f aca="false">E13*(1-x_testy)</f>
        <v>0</v>
      </c>
      <c r="AF13" s="0" t="n">
        <f aca="false">F13*x_NAV</f>
        <v>0</v>
      </c>
      <c r="AG13" s="0" t="n">
        <f aca="false">G13*x_FIX*(1-x_testy)</f>
        <v>0</v>
      </c>
      <c r="AH13" s="0" t="n">
        <f aca="false">x_z_F*U13+(1-x_AGRI)*x_EMP*x_WLOSS*(x_PEN_K74*Q13+x_PEN_C22*R13)</f>
        <v>33454093.5664601</v>
      </c>
      <c r="AI13" s="0" t="n">
        <f aca="false">x_AGRI*x_EMP*x_WLOSS*(x_PEN_K74*Q13+x_PEN_C22*R13)</f>
        <v>1974057.56158227</v>
      </c>
      <c r="AJ13" s="0" t="n">
        <f aca="false">x_EMP*x_WAGE*(x_WLOSS*(Q13+R13)+S13)+U13*x_ABS_D*x_WAGE/365</f>
        <v>764295151.573966</v>
      </c>
      <c r="AK13" s="0" t="n">
        <f aca="false">AJ13*x_R_FUS</f>
        <v>241822985.958003</v>
      </c>
      <c r="AL13" s="0" t="n">
        <f aca="false">AJ13*x_R_NFZ</f>
        <v>59355925.7663858</v>
      </c>
      <c r="AM13" s="0" t="n">
        <f aca="false">AJ13*x_R_PIT</f>
        <v>50813531.7261867</v>
      </c>
      <c r="AN13" s="0" t="n">
        <f aca="false">AJ13*x_R_FP</f>
        <v>19489526.3651361</v>
      </c>
      <c r="AO13" s="0" t="n">
        <f aca="false">AA13+AB13+AC13+AD13+AF13</f>
        <v>487860296.607622</v>
      </c>
      <c r="AP13" s="0" t="n">
        <f aca="false">AO13+AE13+AG13+AH13+AI13+AK13+AL13+AM13+AN13</f>
        <v>894770417.551375</v>
      </c>
      <c r="AQ13" s="0" t="n">
        <f aca="false">AO13+AE13+AG13+AJ13</f>
        <v>1252155448.18159</v>
      </c>
      <c r="AR13" s="0" t="n">
        <f aca="false">AB13+AC13+AD13+AF13</f>
        <v>137833427.610024</v>
      </c>
      <c r="AS13" s="0" t="n">
        <f aca="false">AR13+AE13+AG13</f>
        <v>137833427.610024</v>
      </c>
    </row>
    <row r="14" customFormat="false" ht="15" hidden="false" customHeight="false" outlineLevel="0" collapsed="false">
      <c r="A14" s="0" t="n">
        <v>2037</v>
      </c>
      <c r="B14" s="0" t="n">
        <v>11</v>
      </c>
      <c r="C14" s="0" t="n">
        <v>4832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2192.396</v>
      </c>
      <c r="I14" s="0" t="n">
        <v>312.245</v>
      </c>
      <c r="J14" s="0" t="n">
        <v>1719.478</v>
      </c>
      <c r="K14" s="0" t="n">
        <v>2925.845</v>
      </c>
      <c r="L14" s="0" t="n">
        <v>1353.496</v>
      </c>
      <c r="M14" s="0" t="n">
        <v>55375.24</v>
      </c>
      <c r="N14" s="0" t="n">
        <v>5911.053</v>
      </c>
      <c r="O14" s="0" t="n">
        <v>96.856</v>
      </c>
      <c r="P14" s="0" t="n">
        <v>96.493</v>
      </c>
      <c r="Q14" s="0" t="n">
        <v>2447.363</v>
      </c>
      <c r="R14" s="0" t="n">
        <v>2296.446</v>
      </c>
      <c r="S14" s="0" t="n">
        <v>7867.498</v>
      </c>
      <c r="T14" s="0" t="n">
        <v>2504.64</v>
      </c>
      <c r="U14" s="0" t="n">
        <v>1772.488</v>
      </c>
      <c r="V14" s="0" t="n">
        <v>128166.754</v>
      </c>
      <c r="W14" s="0" t="n">
        <v>333.194</v>
      </c>
      <c r="X14" s="0" t="n">
        <v>870.786</v>
      </c>
      <c r="Y14" s="0" t="n">
        <v>96.856</v>
      </c>
      <c r="Z14" s="0" t="n">
        <v>1037.02</v>
      </c>
      <c r="AA14" s="0" t="n">
        <f aca="false">H14*x_c_F+I14*x_c_CC+J14*x_c_DC+K14*x_c_HCC+L14*x_c_PLT+M14*x_c_SVRn+N14*x_c_SVRcc+O14*x_c_LT+P14*x_c_LT1</f>
        <v>354143158.293732</v>
      </c>
      <c r="AB14" s="0" t="n">
        <f aca="false">C14*x_c_DAA</f>
        <v>109976320</v>
      </c>
      <c r="AC14" s="0" t="n">
        <f aca="false">C14*x_c_MON</f>
        <v>27857107.6100244</v>
      </c>
      <c r="AD14" s="0" t="n">
        <f aca="false">D14*(1-x_testy)</f>
        <v>0</v>
      </c>
      <c r="AE14" s="0" t="n">
        <f aca="false">E14*(1-x_testy)</f>
        <v>0</v>
      </c>
      <c r="AF14" s="0" t="n">
        <f aca="false">F14*x_NAV</f>
        <v>0</v>
      </c>
      <c r="AG14" s="0" t="n">
        <f aca="false">G14*x_FIX*(1-x_testy)</f>
        <v>0</v>
      </c>
      <c r="AH14" s="0" t="n">
        <f aca="false">x_z_F*U14+(1-x_AGRI)*x_EMP*x_WLOSS*(x_PEN_K74*Q14+x_PEN_C22*R14)</f>
        <v>34063307.6688471</v>
      </c>
      <c r="AI14" s="0" t="n">
        <f aca="false">x_AGRI*x_EMP*x_WLOSS*(x_PEN_K74*Q14+x_PEN_C22*R14)</f>
        <v>2010653.24916577</v>
      </c>
      <c r="AJ14" s="0" t="n">
        <f aca="false">x_EMP*x_WAGE*(x_WLOSS*(Q14+R14)+S14)+U14*x_ABS_D*x_WAGE/365</f>
        <v>831265234.216529</v>
      </c>
      <c r="AK14" s="0" t="n">
        <f aca="false">AJ14*x_R_FUS</f>
        <v>263012320.10611</v>
      </c>
      <c r="AL14" s="0" t="n">
        <f aca="false">AJ14*x_R_NFZ</f>
        <v>64556889.3544899</v>
      </c>
      <c r="AM14" s="0" t="n">
        <f aca="false">AJ14*x_R_PIT</f>
        <v>55265982.3430135</v>
      </c>
      <c r="AN14" s="0" t="n">
        <f aca="false">AJ14*x_R_FP</f>
        <v>21197263.4725215</v>
      </c>
      <c r="AO14" s="0" t="n">
        <f aca="false">AA14+AB14+AC14+AD14+AF14</f>
        <v>491976585.903756</v>
      </c>
      <c r="AP14" s="0" t="n">
        <f aca="false">AO14+AE14+AG14+AH14+AI14+AK14+AL14+AM14+AN14</f>
        <v>932083002.097904</v>
      </c>
      <c r="AQ14" s="0" t="n">
        <f aca="false">AO14+AE14+AG14+AJ14</f>
        <v>1323241820.12029</v>
      </c>
      <c r="AR14" s="0" t="n">
        <f aca="false">AB14+AC14+AD14+AF14</f>
        <v>137833427.610024</v>
      </c>
      <c r="AS14" s="0" t="n">
        <f aca="false">AR14+AE14+AG14</f>
        <v>137833427.610024</v>
      </c>
    </row>
    <row r="15" customFormat="false" ht="15" hidden="false" customHeight="false" outlineLevel="0" collapsed="false">
      <c r="A15" s="0" t="n">
        <v>2038</v>
      </c>
      <c r="B15" s="0" t="n">
        <v>12</v>
      </c>
      <c r="C15" s="0" t="n">
        <v>4832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2189.313</v>
      </c>
      <c r="I15" s="0" t="n">
        <v>313.615</v>
      </c>
      <c r="J15" s="0" t="n">
        <v>1728.076</v>
      </c>
      <c r="K15" s="0" t="n">
        <v>2929.894</v>
      </c>
      <c r="L15" s="0" t="n">
        <v>1341.114</v>
      </c>
      <c r="M15" s="0" t="n">
        <v>58565.782</v>
      </c>
      <c r="N15" s="0" t="n">
        <v>6268.357</v>
      </c>
      <c r="O15" s="0" t="n">
        <v>97.291</v>
      </c>
      <c r="P15" s="0" t="n">
        <v>97.073</v>
      </c>
      <c r="Q15" s="0" t="n">
        <v>1613.586</v>
      </c>
      <c r="R15" s="0" t="n">
        <v>1532.299</v>
      </c>
      <c r="S15" s="0" t="n">
        <v>5477.165</v>
      </c>
      <c r="T15" s="0" t="n">
        <v>2502.928</v>
      </c>
      <c r="U15" s="0" t="n">
        <v>1518.453</v>
      </c>
      <c r="V15" s="0" t="n">
        <v>129486.108</v>
      </c>
      <c r="W15" s="0" t="n">
        <v>331.552</v>
      </c>
      <c r="X15" s="0" t="n">
        <v>864.84</v>
      </c>
      <c r="Y15" s="0" t="n">
        <v>97.291</v>
      </c>
      <c r="Z15" s="0" t="n">
        <v>1039.138</v>
      </c>
      <c r="AA15" s="0" t="n">
        <f aca="false">H15*x_c_F+I15*x_c_CC+J15*x_c_DC+K15*x_c_HCC+L15*x_c_PLT+M15*x_c_SVRn+N15*x_c_SVRcc+O15*x_c_LT+P15*x_c_LT1</f>
        <v>357267298.087884</v>
      </c>
      <c r="AB15" s="0" t="n">
        <f aca="false">C15*x_c_DAA</f>
        <v>109976320</v>
      </c>
      <c r="AC15" s="0" t="n">
        <f aca="false">C15*x_c_MON</f>
        <v>27857107.6100244</v>
      </c>
      <c r="AD15" s="0" t="n">
        <f aca="false">D15*(1-x_testy)</f>
        <v>0</v>
      </c>
      <c r="AE15" s="0" t="n">
        <f aca="false">E15*(1-x_testy)</f>
        <v>0</v>
      </c>
      <c r="AF15" s="0" t="n">
        <f aca="false">F15*x_NAV</f>
        <v>0</v>
      </c>
      <c r="AG15" s="0" t="n">
        <f aca="false">G15*x_FIX*(1-x_testy)</f>
        <v>0</v>
      </c>
      <c r="AH15" s="0" t="n">
        <f aca="false">x_z_F*U15+(1-x_AGRI)*x_EMP*x_WLOSS*(x_PEN_K74*Q15+x_PEN_C22*R15)</f>
        <v>23302208.8271813</v>
      </c>
      <c r="AI15" s="0" t="n">
        <f aca="false">x_AGRI*x_EMP*x_WLOSS*(x_PEN_K74*Q15+x_PEN_C22*R15)</f>
        <v>1333886.45864482</v>
      </c>
      <c r="AJ15" s="0" t="n">
        <f aca="false">x_EMP*x_WAGE*(x_WLOSS*(Q15+R15)+S15)+U15*x_ABS_D*x_WAGE/365</f>
        <v>574415615.407672</v>
      </c>
      <c r="AK15" s="0" t="n">
        <f aca="false">AJ15*x_R_FUS</f>
        <v>181745100.714987</v>
      </c>
      <c r="AL15" s="0" t="n">
        <f aca="false">AJ15*x_R_NFZ</f>
        <v>44609691.1081752</v>
      </c>
      <c r="AM15" s="0" t="n">
        <f aca="false">AJ15*x_R_PIT</f>
        <v>38189547.6340858</v>
      </c>
      <c r="AN15" s="0" t="n">
        <f aca="false">AJ15*x_R_FP</f>
        <v>14647598.1928956</v>
      </c>
      <c r="AO15" s="0" t="n">
        <f aca="false">AA15+AB15+AC15+AD15+AF15</f>
        <v>495100725.697909</v>
      </c>
      <c r="AP15" s="0" t="n">
        <f aca="false">AO15+AE15+AG15+AH15+AI15+AK15+AL15+AM15+AN15</f>
        <v>798928758.633879</v>
      </c>
      <c r="AQ15" s="0" t="n">
        <f aca="false">AO15+AE15+AG15+AJ15</f>
        <v>1069516341.10558</v>
      </c>
      <c r="AR15" s="0" t="n">
        <f aca="false">AB15+AC15+AD15+AF15</f>
        <v>137833427.610024</v>
      </c>
      <c r="AS15" s="0" t="n">
        <f aca="false">AR15+AE15+AG15</f>
        <v>137833427.610024</v>
      </c>
    </row>
    <row r="16" customFormat="false" ht="15" hidden="false" customHeight="false" outlineLevel="0" collapsed="false">
      <c r="A16" s="0" t="n">
        <v>2039</v>
      </c>
      <c r="B16" s="0" t="n">
        <v>13</v>
      </c>
      <c r="C16" s="0" t="n">
        <v>4832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2187.788</v>
      </c>
      <c r="I16" s="0" t="n">
        <v>313.435</v>
      </c>
      <c r="J16" s="0" t="n">
        <v>1730.874</v>
      </c>
      <c r="K16" s="0" t="n">
        <v>2922.607</v>
      </c>
      <c r="L16" s="0" t="n">
        <v>1328.102</v>
      </c>
      <c r="M16" s="0" t="n">
        <v>61671.184</v>
      </c>
      <c r="N16" s="0" t="n">
        <v>6603.736</v>
      </c>
      <c r="O16" s="0" t="n">
        <v>97.389</v>
      </c>
      <c r="P16" s="0" t="n">
        <v>97.34</v>
      </c>
      <c r="Q16" s="0" t="n">
        <v>771.773</v>
      </c>
      <c r="R16" s="0" t="n">
        <v>760.224</v>
      </c>
      <c r="S16" s="0" t="n">
        <v>2840.053</v>
      </c>
      <c r="T16" s="0" t="n">
        <v>2501.223</v>
      </c>
      <c r="U16" s="0" t="n">
        <v>1279.398</v>
      </c>
      <c r="V16" s="0" t="n">
        <v>130777.76</v>
      </c>
      <c r="W16" s="0" t="n">
        <v>328.389</v>
      </c>
      <c r="X16" s="0" t="n">
        <v>855.516</v>
      </c>
      <c r="Y16" s="0" t="n">
        <v>97.389</v>
      </c>
      <c r="Z16" s="0" t="n">
        <v>1037.519</v>
      </c>
      <c r="AA16" s="0" t="n">
        <f aca="false">H16*x_c_F+I16*x_c_CC+J16*x_c_DC+K16*x_c_HCC+L16*x_c_PLT+M16*x_c_SVRn+N16*x_c_SVRcc+O16*x_c_LT+P16*x_c_LT1</f>
        <v>359307449.146861</v>
      </c>
      <c r="AB16" s="0" t="n">
        <f aca="false">C16*x_c_DAA</f>
        <v>109976320</v>
      </c>
      <c r="AC16" s="0" t="n">
        <f aca="false">C16*x_c_MON</f>
        <v>27857107.6100244</v>
      </c>
      <c r="AD16" s="0" t="n">
        <f aca="false">D16*(1-x_testy)</f>
        <v>0</v>
      </c>
      <c r="AE16" s="0" t="n">
        <f aca="false">E16*(1-x_testy)</f>
        <v>0</v>
      </c>
      <c r="AF16" s="0" t="n">
        <f aca="false">F16*x_NAV</f>
        <v>0</v>
      </c>
      <c r="AG16" s="0" t="n">
        <f aca="false">G16*x_FIX*(1-x_testy)</f>
        <v>0</v>
      </c>
      <c r="AH16" s="0" t="n">
        <f aca="false">x_z_F*U16+(1-x_AGRI)*x_EMP*x_WLOSS*(x_PEN_K74*Q16+x_PEN_C22*R16)</f>
        <v>12469375.6717758</v>
      </c>
      <c r="AI16" s="0" t="n">
        <f aca="false">x_AGRI*x_EMP*x_WLOSS*(x_PEN_K74*Q16+x_PEN_C22*R16)</f>
        <v>650342.513242544</v>
      </c>
      <c r="AJ16" s="0" t="n">
        <f aca="false">x_EMP*x_WAGE*(x_WLOSS*(Q16+R16)+S16)+U16*x_ABS_D*x_WAGE/365</f>
        <v>296046974.494431</v>
      </c>
      <c r="AK16" s="0" t="n">
        <f aca="false">AJ16*x_R_FUS</f>
        <v>93669262.730038</v>
      </c>
      <c r="AL16" s="0" t="n">
        <f aca="false">AJ16*x_R_NFZ</f>
        <v>22991304.086212</v>
      </c>
      <c r="AM16" s="0" t="n">
        <f aca="false">AJ16*x_R_PIT</f>
        <v>19682438.5185944</v>
      </c>
      <c r="AN16" s="0" t="n">
        <f aca="false">AJ16*x_R_FP</f>
        <v>7549197.84960799</v>
      </c>
      <c r="AO16" s="0" t="n">
        <f aca="false">AA16+AB16+AC16+AD16+AF16</f>
        <v>497140876.756886</v>
      </c>
      <c r="AP16" s="0" t="n">
        <f aca="false">AO16+AE16+AG16+AH16+AI16+AK16+AL16+AM16+AN16</f>
        <v>654152798.126356</v>
      </c>
      <c r="AQ16" s="0" t="n">
        <f aca="false">AO16+AE16+AG16+AJ16</f>
        <v>793187851.251317</v>
      </c>
      <c r="AR16" s="0" t="n">
        <f aca="false">AB16+AC16+AD16+AF16</f>
        <v>137833427.610024</v>
      </c>
      <c r="AS16" s="0" t="n">
        <f aca="false">AR16+AE16+AG16</f>
        <v>137833427.610024</v>
      </c>
    </row>
    <row r="17" customFormat="false" ht="15" hidden="false" customHeight="false" outlineLevel="0" collapsed="false">
      <c r="A17" s="0" t="n">
        <v>2040</v>
      </c>
      <c r="B17" s="0" t="n">
        <v>14</v>
      </c>
      <c r="C17" s="0" t="n">
        <v>4832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2187.717</v>
      </c>
      <c r="I17" s="0" t="n">
        <v>311.811</v>
      </c>
      <c r="J17" s="0" t="n">
        <v>1727.403</v>
      </c>
      <c r="K17" s="0" t="n">
        <v>2904.028</v>
      </c>
      <c r="L17" s="0" t="n">
        <v>1314.128</v>
      </c>
      <c r="M17" s="0" t="n">
        <v>64691.548</v>
      </c>
      <c r="N17" s="0" t="n">
        <v>6913.871</v>
      </c>
      <c r="O17" s="0" t="n">
        <v>97.127</v>
      </c>
      <c r="P17" s="0" t="n">
        <v>97.258</v>
      </c>
      <c r="Q17" s="0" t="n">
        <v>793.475</v>
      </c>
      <c r="R17" s="0" t="n">
        <v>789.203</v>
      </c>
      <c r="S17" s="0" t="n">
        <v>3105.879</v>
      </c>
      <c r="T17" s="0" t="n">
        <v>2499.529</v>
      </c>
      <c r="U17" s="0" t="n">
        <v>1334.805</v>
      </c>
      <c r="V17" s="0" t="n">
        <v>132038.965</v>
      </c>
      <c r="W17" s="0" t="n">
        <v>323.874</v>
      </c>
      <c r="X17" s="0" t="n">
        <v>843.222</v>
      </c>
      <c r="Y17" s="0" t="n">
        <v>97.127</v>
      </c>
      <c r="Z17" s="0" t="n">
        <v>1032.065</v>
      </c>
      <c r="AA17" s="0" t="n">
        <f aca="false">H17*x_c_F+I17*x_c_CC+J17*x_c_DC+K17*x_c_HCC+L17*x_c_PLT+M17*x_c_SVRn+N17*x_c_SVRcc+O17*x_c_LT+P17*x_c_LT1</f>
        <v>360228996.974281</v>
      </c>
      <c r="AB17" s="0" t="n">
        <f aca="false">C17*x_c_DAA</f>
        <v>109976320</v>
      </c>
      <c r="AC17" s="0" t="n">
        <f aca="false">C17*x_c_MON</f>
        <v>27857107.6100244</v>
      </c>
      <c r="AD17" s="0" t="n">
        <f aca="false">D17*(1-x_testy)</f>
        <v>0</v>
      </c>
      <c r="AE17" s="0" t="n">
        <f aca="false">E17*(1-x_testy)</f>
        <v>0</v>
      </c>
      <c r="AF17" s="0" t="n">
        <f aca="false">F17*x_NAV</f>
        <v>0</v>
      </c>
      <c r="AG17" s="0" t="n">
        <f aca="false">G17*x_FIX*(1-x_testy)</f>
        <v>0</v>
      </c>
      <c r="AH17" s="0" t="n">
        <f aca="false">x_z_F*U17+(1-x_AGRI)*x_EMP*x_WLOSS*(x_PEN_K74*Q17+x_PEN_C22*R17)</f>
        <v>12911922.9335804</v>
      </c>
      <c r="AI17" s="0" t="n">
        <f aca="false">x_AGRI*x_EMP*x_WLOSS*(x_PEN_K74*Q17+x_PEN_C22*R17)</f>
        <v>672064.698669675</v>
      </c>
      <c r="AJ17" s="0" t="n">
        <f aca="false">x_EMP*x_WAGE*(x_WLOSS*(Q17+R17)+S17)+U17*x_ABS_D*x_WAGE/365</f>
        <v>320533047.251907</v>
      </c>
      <c r="AK17" s="0" t="n">
        <f aca="false">AJ17*x_R_FUS</f>
        <v>101416656.150503</v>
      </c>
      <c r="AL17" s="0" t="n">
        <f aca="false">AJ17*x_R_NFZ</f>
        <v>24892916.9826303</v>
      </c>
      <c r="AM17" s="0" t="n">
        <f aca="false">AJ17*x_R_PIT</f>
        <v>21310374.8365854</v>
      </c>
      <c r="AN17" s="0" t="n">
        <f aca="false">AJ17*x_R_FP</f>
        <v>8173592.70492362</v>
      </c>
      <c r="AO17" s="0" t="n">
        <f aca="false">AA17+AB17+AC17+AD17+AF17</f>
        <v>498062424.584305</v>
      </c>
      <c r="AP17" s="0" t="n">
        <f aca="false">AO17+AE17+AG17+AH17+AI17+AK17+AL17+AM17+AN17</f>
        <v>667439952.891198</v>
      </c>
      <c r="AQ17" s="0" t="n">
        <f aca="false">AO17+AE17+AG17+AJ17</f>
        <v>818595471.836212</v>
      </c>
      <c r="AR17" s="0" t="n">
        <f aca="false">AB17+AC17+AD17+AF17</f>
        <v>137833427.610024</v>
      </c>
      <c r="AS17" s="0" t="n">
        <f aca="false">AR17+AE17+AG17</f>
        <v>137833427.610024</v>
      </c>
    </row>
    <row r="18" customFormat="false" ht="15" hidden="false" customHeight="false" outlineLevel="0" collapsed="false">
      <c r="A18" s="0" t="n">
        <v>2041</v>
      </c>
      <c r="B18" s="0" t="n">
        <v>15</v>
      </c>
      <c r="C18" s="0" t="n">
        <v>4832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2188.972</v>
      </c>
      <c r="I18" s="0" t="n">
        <v>308.881</v>
      </c>
      <c r="J18" s="0" t="n">
        <v>1717.582</v>
      </c>
      <c r="K18" s="0" t="n">
        <v>2874.808</v>
      </c>
      <c r="L18" s="0" t="n">
        <v>1298.944</v>
      </c>
      <c r="M18" s="0" t="n">
        <v>67629.683</v>
      </c>
      <c r="N18" s="0" t="n">
        <v>7196.267</v>
      </c>
      <c r="O18" s="0" t="n">
        <v>96.506</v>
      </c>
      <c r="P18" s="0" t="n">
        <v>96.817</v>
      </c>
      <c r="Q18" s="0" t="n">
        <v>816.161</v>
      </c>
      <c r="R18" s="0" t="n">
        <v>819.301</v>
      </c>
      <c r="S18" s="0" t="n">
        <v>3380.581</v>
      </c>
      <c r="T18" s="0" t="n">
        <v>2497.853</v>
      </c>
      <c r="U18" s="0" t="n">
        <v>1388.416</v>
      </c>
      <c r="V18" s="0" t="n">
        <v>133271.711</v>
      </c>
      <c r="W18" s="0" t="n">
        <v>318.208</v>
      </c>
      <c r="X18" s="0" t="n">
        <v>828.438</v>
      </c>
      <c r="Y18" s="0" t="n">
        <v>96.506</v>
      </c>
      <c r="Z18" s="0" t="n">
        <v>1022.931</v>
      </c>
      <c r="AA18" s="0" t="n">
        <f aca="false">H18*x_c_F+I18*x_c_CC+J18*x_c_DC+K18*x_c_HCC+L18*x_c_PLT+M18*x_c_SVRn+N18*x_c_SVRcc+O18*x_c_LT+P18*x_c_LT1</f>
        <v>360058654.889366</v>
      </c>
      <c r="AB18" s="0" t="n">
        <f aca="false">C18*x_c_DAA</f>
        <v>109976320</v>
      </c>
      <c r="AC18" s="0" t="n">
        <f aca="false">C18*x_c_MON</f>
        <v>27857107.6100244</v>
      </c>
      <c r="AD18" s="0" t="n">
        <f aca="false">D18*(1-x_testy)</f>
        <v>0</v>
      </c>
      <c r="AE18" s="0" t="n">
        <f aca="false">E18*(1-x_testy)</f>
        <v>0</v>
      </c>
      <c r="AF18" s="0" t="n">
        <f aca="false">F18*x_NAV</f>
        <v>0</v>
      </c>
      <c r="AG18" s="0" t="n">
        <f aca="false">G18*x_FIX*(1-x_testy)</f>
        <v>0</v>
      </c>
      <c r="AH18" s="0" t="n">
        <f aca="false">x_z_F*U18+(1-x_AGRI)*x_EMP*x_WLOSS*(x_PEN_K74*Q18+x_PEN_C22*R18)</f>
        <v>13364345.9469968</v>
      </c>
      <c r="AI18" s="0" t="n">
        <f aca="false">x_AGRI*x_EMP*x_WLOSS*(x_PEN_K74*Q18+x_PEN_C22*R18)</f>
        <v>694683.713428588</v>
      </c>
      <c r="AJ18" s="0" t="n">
        <f aca="false">x_EMP*x_WAGE*(x_WLOSS*(Q18+R18)+S18)+U18*x_ABS_D*x_WAGE/365</f>
        <v>345839450.90898</v>
      </c>
      <c r="AK18" s="0" t="n">
        <f aca="false">AJ18*x_R_FUS</f>
        <v>109423602.267601</v>
      </c>
      <c r="AL18" s="0" t="n">
        <f aca="false">AJ18*x_R_NFZ</f>
        <v>26858237.5970423</v>
      </c>
      <c r="AM18" s="0" t="n">
        <f aca="false">AJ18*x_R_PIT</f>
        <v>22992850.1767158</v>
      </c>
      <c r="AN18" s="0" t="n">
        <f aca="false">AJ18*x_R_FP</f>
        <v>8818905.998179</v>
      </c>
      <c r="AO18" s="0" t="n">
        <f aca="false">AA18+AB18+AC18+AD18+AF18</f>
        <v>497892082.49939</v>
      </c>
      <c r="AP18" s="0" t="n">
        <f aca="false">AO18+AE18+AG18+AH18+AI18+AK18+AL18+AM18+AN18</f>
        <v>680044708.199354</v>
      </c>
      <c r="AQ18" s="0" t="n">
        <f aca="false">AO18+AE18+AG18+AJ18</f>
        <v>843731533.408371</v>
      </c>
      <c r="AR18" s="0" t="n">
        <f aca="false">AB18+AC18+AD18+AF18</f>
        <v>137833427.610024</v>
      </c>
      <c r="AS18" s="0" t="n">
        <f aca="false">AR18+AE18+AG18</f>
        <v>137833427.610024</v>
      </c>
    </row>
    <row r="19" customFormat="false" ht="15" hidden="false" customHeight="false" outlineLevel="0" collapsed="false">
      <c r="A19" s="0" t="n">
        <v>2042</v>
      </c>
      <c r="B19" s="0" t="n">
        <v>16</v>
      </c>
      <c r="C19" s="0" t="n">
        <v>4832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2191.396</v>
      </c>
      <c r="I19" s="0" t="n">
        <v>304.811</v>
      </c>
      <c r="J19" s="0" t="n">
        <v>1701.532</v>
      </c>
      <c r="K19" s="0" t="n">
        <v>2835.883</v>
      </c>
      <c r="L19" s="0" t="n">
        <v>1282.122</v>
      </c>
      <c r="M19" s="0" t="n">
        <v>70484.761</v>
      </c>
      <c r="N19" s="0" t="n">
        <v>7448.551</v>
      </c>
      <c r="O19" s="0" t="n">
        <v>95.53</v>
      </c>
      <c r="P19" s="0" t="n">
        <v>96.018</v>
      </c>
      <c r="Q19" s="0" t="n">
        <v>839.867</v>
      </c>
      <c r="R19" s="0" t="n">
        <v>850.608</v>
      </c>
      <c r="S19" s="0" t="n">
        <v>3664.348</v>
      </c>
      <c r="T19" s="0" t="n">
        <v>2496.207</v>
      </c>
      <c r="U19" s="0" t="n">
        <v>1440.033</v>
      </c>
      <c r="V19" s="0" t="n">
        <v>134476.429</v>
      </c>
      <c r="W19" s="0" t="n">
        <v>311.589</v>
      </c>
      <c r="X19" s="0" t="n">
        <v>811.605</v>
      </c>
      <c r="Y19" s="0" t="n">
        <v>95.53</v>
      </c>
      <c r="Z19" s="0" t="n">
        <v>1010.255</v>
      </c>
      <c r="AA19" s="0" t="n">
        <f aca="false">H19*x_c_F+I19*x_c_CC+J19*x_c_DC+K19*x_c_HCC+L19*x_c_PLT+M19*x_c_SVRn+N19*x_c_SVRcc+O19*x_c_LT+P19*x_c_LT1</f>
        <v>358838707.501184</v>
      </c>
      <c r="AB19" s="0" t="n">
        <f aca="false">C19*x_c_DAA</f>
        <v>109976320</v>
      </c>
      <c r="AC19" s="0" t="n">
        <f aca="false">C19*x_c_MON</f>
        <v>27857107.6100244</v>
      </c>
      <c r="AD19" s="0" t="n">
        <f aca="false">D19*(1-x_testy)</f>
        <v>0</v>
      </c>
      <c r="AE19" s="0" t="n">
        <f aca="false">E19*(1-x_testy)</f>
        <v>0</v>
      </c>
      <c r="AF19" s="0" t="n">
        <f aca="false">F19*x_NAV</f>
        <v>0</v>
      </c>
      <c r="AG19" s="0" t="n">
        <f aca="false">G19*x_FIX*(1-x_testy)</f>
        <v>0</v>
      </c>
      <c r="AH19" s="0" t="n">
        <f aca="false">x_z_F*U19+(1-x_AGRI)*x_EMP*x_WLOSS*(x_PEN_K74*Q19+x_PEN_C22*R19)</f>
        <v>13827069.4140189</v>
      </c>
      <c r="AI19" s="0" t="n">
        <f aca="false">x_AGRI*x_EMP*x_WLOSS*(x_PEN_K74*Q19+x_PEN_C22*R19)</f>
        <v>718254.536019516</v>
      </c>
      <c r="AJ19" s="0" t="n">
        <f aca="false">x_EMP*x_WAGE*(x_WLOSS*(Q19+R19)+S19)+U19*x_ABS_D*x_WAGE/365</f>
        <v>371985842.263166</v>
      </c>
      <c r="AK19" s="0" t="n">
        <f aca="false">AJ19*x_R_FUS</f>
        <v>117696320.492066</v>
      </c>
      <c r="AL19" s="0" t="n">
        <f aca="false">AJ19*x_R_NFZ</f>
        <v>28888792.4959997</v>
      </c>
      <c r="AM19" s="0" t="n">
        <f aca="false">AJ19*x_R_PIT</f>
        <v>24731171.4049286</v>
      </c>
      <c r="AN19" s="0" t="n">
        <f aca="false">AJ19*x_R_FP</f>
        <v>9485638.97771072</v>
      </c>
      <c r="AO19" s="0" t="n">
        <f aca="false">AA19+AB19+AC19+AD19+AF19</f>
        <v>496672135.111208</v>
      </c>
      <c r="AP19" s="0" t="n">
        <f aca="false">AO19+AE19+AG19+AH19+AI19+AK19+AL19+AM19+AN19</f>
        <v>692019382.431951</v>
      </c>
      <c r="AQ19" s="0" t="n">
        <f aca="false">AO19+AE19+AG19+AJ19</f>
        <v>868657977.374374</v>
      </c>
      <c r="AR19" s="0" t="n">
        <f aca="false">AB19+AC19+AD19+AF19</f>
        <v>137833427.610024</v>
      </c>
      <c r="AS19" s="0" t="n">
        <f aca="false">AR19+AE19+AG19</f>
        <v>137833427.610024</v>
      </c>
    </row>
    <row r="20" customFormat="false" ht="15" hidden="false" customHeight="false" outlineLevel="0" collapsed="false">
      <c r="A20" s="0" t="n">
        <v>2043</v>
      </c>
      <c r="B20" s="0" t="n">
        <v>17</v>
      </c>
      <c r="C20" s="0" t="n">
        <v>4832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2194.786</v>
      </c>
      <c r="I20" s="0" t="n">
        <v>299.822</v>
      </c>
      <c r="J20" s="0" t="n">
        <v>1680.163</v>
      </c>
      <c r="K20" s="0" t="n">
        <v>2789.241</v>
      </c>
      <c r="L20" s="0" t="n">
        <v>1264.13</v>
      </c>
      <c r="M20" s="0" t="n">
        <v>73277.451</v>
      </c>
      <c r="N20" s="0" t="n">
        <v>7671.991</v>
      </c>
      <c r="O20" s="0" t="n">
        <v>94.292</v>
      </c>
      <c r="P20" s="0" t="n">
        <v>94.911</v>
      </c>
      <c r="Q20" s="0" t="n">
        <v>864.63</v>
      </c>
      <c r="R20" s="0" t="n">
        <v>883.177</v>
      </c>
      <c r="S20" s="0" t="n">
        <v>3957.351</v>
      </c>
      <c r="T20" s="0" t="n">
        <v>2494.607</v>
      </c>
      <c r="U20" s="0" t="n">
        <v>1489.349</v>
      </c>
      <c r="V20" s="0" t="n">
        <v>135678.765</v>
      </c>
      <c r="W20" s="0" t="n">
        <v>304.375</v>
      </c>
      <c r="X20" s="0" t="n">
        <v>793.601</v>
      </c>
      <c r="Y20" s="0" t="n">
        <v>94.292</v>
      </c>
      <c r="Z20" s="0" t="n">
        <v>995.124</v>
      </c>
      <c r="AA20" s="0" t="n">
        <f aca="false">H20*x_c_F+I20*x_c_CC+J20*x_c_DC+K20*x_c_HCC+L20*x_c_PLT+M20*x_c_SVRn+N20*x_c_SVRcc+O20*x_c_LT+P20*x_c_LT1</f>
        <v>356776464.269484</v>
      </c>
      <c r="AB20" s="0" t="n">
        <f aca="false">C20*x_c_DAA</f>
        <v>109976320</v>
      </c>
      <c r="AC20" s="0" t="n">
        <f aca="false">C20*x_c_MON</f>
        <v>27857107.6100244</v>
      </c>
      <c r="AD20" s="0" t="n">
        <f aca="false">D20*(1-x_testy)</f>
        <v>0</v>
      </c>
      <c r="AE20" s="0" t="n">
        <f aca="false">E20*(1-x_testy)</f>
        <v>0</v>
      </c>
      <c r="AF20" s="0" t="n">
        <f aca="false">F20*x_NAV</f>
        <v>0</v>
      </c>
      <c r="AG20" s="0" t="n">
        <f aca="false">G20*x_FIX*(1-x_testy)</f>
        <v>0</v>
      </c>
      <c r="AH20" s="0" t="n">
        <f aca="false">x_z_F*U20+(1-x_AGRI)*x_EMP*x_WLOSS*(x_PEN_K74*Q20+x_PEN_C22*R20)</f>
        <v>14300047.029947</v>
      </c>
      <c r="AI20" s="0" t="n">
        <f aca="false">x_AGRI*x_EMP*x_WLOSS*(x_PEN_K74*Q20+x_PEN_C22*R20)</f>
        <v>742815.824475621</v>
      </c>
      <c r="AJ20" s="0" t="n">
        <f aca="false">x_EMP*x_WAGE*(x_WLOSS*(Q20+R20)+S20)+U20*x_ABS_D*x_WAGE/365</f>
        <v>398988844.912851</v>
      </c>
      <c r="AK20" s="0" t="n">
        <f aca="false">AJ20*x_R_FUS</f>
        <v>126240070.530426</v>
      </c>
      <c r="AL20" s="0" t="n">
        <f aca="false">AJ20*x_R_NFZ</f>
        <v>30985872.6847769</v>
      </c>
      <c r="AM20" s="0" t="n">
        <f aca="false">AJ20*x_R_PIT</f>
        <v>26526443.7274292</v>
      </c>
      <c r="AN20" s="0" t="n">
        <f aca="false">AJ20*x_R_FP</f>
        <v>10174215.5452777</v>
      </c>
      <c r="AO20" s="0" t="n">
        <f aca="false">AA20+AB20+AC20+AD20+AF20</f>
        <v>494609891.879508</v>
      </c>
      <c r="AP20" s="0" t="n">
        <f aca="false">AO20+AE20+AG20+AH20+AI20+AK20+AL20+AM20+AN20</f>
        <v>703579357.221841</v>
      </c>
      <c r="AQ20" s="0" t="n">
        <f aca="false">AO20+AE20+AG20+AJ20</f>
        <v>893598736.79236</v>
      </c>
      <c r="AR20" s="0" t="n">
        <f aca="false">AB20+AC20+AD20+AF20</f>
        <v>137833427.610024</v>
      </c>
      <c r="AS20" s="0" t="n">
        <f aca="false">AR20+AE20+AG20</f>
        <v>137833427.610024</v>
      </c>
    </row>
    <row r="21" customFormat="false" ht="15" hidden="false" customHeight="false" outlineLevel="0" collapsed="false">
      <c r="A21" s="0" t="n">
        <v>2044</v>
      </c>
      <c r="B21" s="0" t="n">
        <v>18</v>
      </c>
      <c r="C21" s="0" t="n">
        <v>4832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2198.924</v>
      </c>
      <c r="I21" s="0" t="n">
        <v>294.151</v>
      </c>
      <c r="J21" s="0" t="n">
        <v>1654.528</v>
      </c>
      <c r="K21" s="0" t="n">
        <v>2736.994</v>
      </c>
      <c r="L21" s="0" t="n">
        <v>1245.406</v>
      </c>
      <c r="M21" s="0" t="n">
        <v>76027.799</v>
      </c>
      <c r="N21" s="0" t="n">
        <v>7868.558</v>
      </c>
      <c r="O21" s="0" t="n">
        <v>92.815</v>
      </c>
      <c r="P21" s="0" t="n">
        <v>93.554</v>
      </c>
      <c r="Q21" s="0" t="n">
        <v>890.492</v>
      </c>
      <c r="R21" s="0" t="n">
        <v>917.038</v>
      </c>
      <c r="S21" s="0" t="n">
        <v>4259.822</v>
      </c>
      <c r="T21" s="0" t="n">
        <v>2493.075</v>
      </c>
      <c r="U21" s="0" t="n">
        <v>1536.074</v>
      </c>
      <c r="V21" s="0" t="n">
        <v>136903.397</v>
      </c>
      <c r="W21" s="0" t="n">
        <v>296.769</v>
      </c>
      <c r="X21" s="0" t="n">
        <v>774.864</v>
      </c>
      <c r="Y21" s="0" t="n">
        <v>92.815</v>
      </c>
      <c r="Z21" s="0" t="n">
        <v>977.806</v>
      </c>
      <c r="AA21" s="0" t="n">
        <f aca="false">H21*x_c_F+I21*x_c_CC+J21*x_c_DC+K21*x_c_HCC+L21*x_c_PLT+M21*x_c_SVRn+N21*x_c_SVRcc+O21*x_c_LT+P21*x_c_LT1</f>
        <v>354066629.893124</v>
      </c>
      <c r="AB21" s="0" t="n">
        <f aca="false">C21*x_c_DAA</f>
        <v>109976320</v>
      </c>
      <c r="AC21" s="0" t="n">
        <f aca="false">C21*x_c_MON</f>
        <v>27857107.6100244</v>
      </c>
      <c r="AD21" s="0" t="n">
        <f aca="false">D21*(1-x_testy)</f>
        <v>0</v>
      </c>
      <c r="AE21" s="0" t="n">
        <f aca="false">E21*(1-x_testy)</f>
        <v>0</v>
      </c>
      <c r="AF21" s="0" t="n">
        <f aca="false">F21*x_NAV</f>
        <v>0</v>
      </c>
      <c r="AG21" s="0" t="n">
        <f aca="false">G21*x_FIX*(1-x_testy)</f>
        <v>0</v>
      </c>
      <c r="AH21" s="0" t="n">
        <f aca="false">x_z_F*U21+(1-x_AGRI)*x_EMP*x_WLOSS*(x_PEN_K74*Q21+x_PEN_C22*R21)</f>
        <v>14783140.2902349</v>
      </c>
      <c r="AI21" s="0" t="n">
        <f aca="false">x_AGRI*x_EMP*x_WLOSS*(x_PEN_K74*Q21+x_PEN_C22*R21)</f>
        <v>768397.832441957</v>
      </c>
      <c r="AJ21" s="0" t="n">
        <f aca="false">x_EMP*x_WAGE*(x_WLOSS*(Q21+R21)+S21)+U21*x_ABS_D*x_WAGE/365</f>
        <v>426869744.115047</v>
      </c>
      <c r="AK21" s="0" t="n">
        <f aca="false">AJ21*x_R_FUS</f>
        <v>135061587.038001</v>
      </c>
      <c r="AL21" s="0" t="n">
        <f aca="false">AJ21*x_R_NFZ</f>
        <v>33151131.1977187</v>
      </c>
      <c r="AM21" s="0" t="n">
        <f aca="false">AJ21*x_R_PIT</f>
        <v>28380082.2769448</v>
      </c>
      <c r="AN21" s="0" t="n">
        <f aca="false">AJ21*x_R_FP</f>
        <v>10885178.4749337</v>
      </c>
      <c r="AO21" s="0" t="n">
        <f aca="false">AA21+AB21+AC21+AD21+AF21</f>
        <v>491900057.503149</v>
      </c>
      <c r="AP21" s="0" t="n">
        <f aca="false">AO21+AE21+AG21+AH21+AI21+AK21+AL21+AM21+AN21</f>
        <v>714929574.613424</v>
      </c>
      <c r="AQ21" s="0" t="n">
        <f aca="false">AO21+AE21+AG21+AJ21</f>
        <v>918769801.618196</v>
      </c>
      <c r="AR21" s="0" t="n">
        <f aca="false">AB21+AC21+AD21+AF21</f>
        <v>137833427.610024</v>
      </c>
      <c r="AS21" s="0" t="n">
        <f aca="false">AR21+AE21+AG21</f>
        <v>137833427.610024</v>
      </c>
    </row>
    <row r="22" customFormat="false" ht="15" hidden="false" customHeight="false" outlineLevel="0" collapsed="false">
      <c r="A22" s="0" t="n">
        <v>2045</v>
      </c>
      <c r="B22" s="0" t="n">
        <v>19</v>
      </c>
      <c r="C22" s="0" t="n">
        <v>4832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2203.599</v>
      </c>
      <c r="I22" s="0" t="n">
        <v>288.021</v>
      </c>
      <c r="J22" s="0" t="n">
        <v>1625.396</v>
      </c>
      <c r="K22" s="0" t="n">
        <v>2680.749</v>
      </c>
      <c r="L22" s="0" t="n">
        <v>1225.752</v>
      </c>
      <c r="M22" s="0" t="n">
        <v>78740.188</v>
      </c>
      <c r="N22" s="0" t="n">
        <v>8038.889</v>
      </c>
      <c r="O22" s="0" t="n">
        <v>91.159</v>
      </c>
      <c r="P22" s="0" t="n">
        <v>91.987</v>
      </c>
      <c r="Q22" s="0" t="n">
        <v>917.481</v>
      </c>
      <c r="R22" s="0" t="n">
        <v>952.17</v>
      </c>
      <c r="S22" s="0" t="n">
        <v>4571.955</v>
      </c>
      <c r="T22" s="0" t="n">
        <v>2491.62</v>
      </c>
      <c r="U22" s="0" t="n">
        <v>1580.004</v>
      </c>
      <c r="V22" s="0" t="n">
        <v>138156.835</v>
      </c>
      <c r="W22" s="0" t="n">
        <v>289.024</v>
      </c>
      <c r="X22" s="0" t="n">
        <v>755.981</v>
      </c>
      <c r="Y22" s="0" t="n">
        <v>91.159</v>
      </c>
      <c r="Z22" s="0" t="n">
        <v>958.991</v>
      </c>
      <c r="AA22" s="0" t="n">
        <f aca="false">H22*x_c_F+I22*x_c_CC+J22*x_c_DC+K22*x_c_HCC+L22*x_c_PLT+M22*x_c_SVRn+N22*x_c_SVRcc+O22*x_c_LT+P22*x_c_LT1</f>
        <v>350845333.114846</v>
      </c>
      <c r="AB22" s="0" t="n">
        <f aca="false">C22*x_c_DAA</f>
        <v>109976320</v>
      </c>
      <c r="AC22" s="0" t="n">
        <f aca="false">C22*x_c_MON</f>
        <v>27857107.6100244</v>
      </c>
      <c r="AD22" s="0" t="n">
        <f aca="false">D22*(1-x_testy)</f>
        <v>0</v>
      </c>
      <c r="AE22" s="0" t="n">
        <f aca="false">E22*(1-x_testy)</f>
        <v>0</v>
      </c>
      <c r="AF22" s="0" t="n">
        <f aca="false">F22*x_NAV</f>
        <v>0</v>
      </c>
      <c r="AG22" s="0" t="n">
        <f aca="false">G22*x_FIX*(1-x_testy)</f>
        <v>0</v>
      </c>
      <c r="AH22" s="0" t="n">
        <f aca="false">x_z_F*U22+(1-x_AGRI)*x_EMP*x_WLOSS*(x_PEN_K74*Q22+x_PEN_C22*R22)</f>
        <v>15275954.6573769</v>
      </c>
      <c r="AI22" s="0" t="n">
        <f aca="false">x_AGRI*x_EMP*x_WLOSS*(x_PEN_K74*Q22+x_PEN_C22*R22)</f>
        <v>795002.20360882</v>
      </c>
      <c r="AJ22" s="0" t="n">
        <f aca="false">x_EMP*x_WAGE*(x_WLOSS*(Q22+R22)+S22)+U22*x_ABS_D*x_WAGE/365</f>
        <v>455644710.296565</v>
      </c>
      <c r="AK22" s="0" t="n">
        <f aca="false">AJ22*x_R_FUS</f>
        <v>144165986.337833</v>
      </c>
      <c r="AL22" s="0" t="n">
        <f aca="false">AJ22*x_R_NFZ</f>
        <v>35385823.8463415</v>
      </c>
      <c r="AM22" s="0" t="n">
        <f aca="false">AJ22*x_R_PIT</f>
        <v>30293162.1309428</v>
      </c>
      <c r="AN22" s="0" t="n">
        <f aca="false">AJ22*x_R_FP</f>
        <v>11618940.1125624</v>
      </c>
      <c r="AO22" s="0" t="n">
        <f aca="false">AA22+AB22+AC22+AD22+AF22</f>
        <v>488678760.724871</v>
      </c>
      <c r="AP22" s="0" t="n">
        <f aca="false">AO22+AE22+AG22+AH22+AI22+AK22+AL22+AM22+AN22</f>
        <v>726213630.013536</v>
      </c>
      <c r="AQ22" s="0" t="n">
        <f aca="false">AO22+AE22+AG22+AJ22</f>
        <v>944323471.021435</v>
      </c>
      <c r="AR22" s="0" t="n">
        <f aca="false">AB22+AC22+AD22+AF22</f>
        <v>137833427.610024</v>
      </c>
      <c r="AS22" s="0" t="n">
        <f aca="false">AR22+AE22+AG22</f>
        <v>137833427.610024</v>
      </c>
    </row>
    <row r="23" customFormat="false" ht="15" hidden="false" customHeight="false" outlineLevel="0" collapsed="false">
      <c r="A23" s="0" t="n">
        <v>2046</v>
      </c>
      <c r="B23" s="0" t="n">
        <v>20</v>
      </c>
      <c r="C23" s="0" t="n">
        <v>4832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2208.605</v>
      </c>
      <c r="I23" s="0" t="n">
        <v>281.651</v>
      </c>
      <c r="J23" s="0" t="n">
        <v>1593.813</v>
      </c>
      <c r="K23" s="0" t="n">
        <v>2622.367</v>
      </c>
      <c r="L23" s="0" t="n">
        <v>1205.446</v>
      </c>
      <c r="M23" s="0" t="n">
        <v>81428.606</v>
      </c>
      <c r="N23" s="0" t="n">
        <v>8185.492</v>
      </c>
      <c r="O23" s="0" t="n">
        <v>89.381</v>
      </c>
      <c r="P23" s="0" t="n">
        <v>90.27</v>
      </c>
      <c r="Q23" s="0" t="n">
        <v>945.593</v>
      </c>
      <c r="R23" s="0" t="n">
        <v>988.5</v>
      </c>
      <c r="S23" s="0" t="n">
        <v>4893.858</v>
      </c>
      <c r="T23" s="0" t="n">
        <v>2490.256</v>
      </c>
      <c r="U23" s="0" t="n">
        <v>1620.965</v>
      </c>
      <c r="V23" s="0" t="n">
        <v>139453.774</v>
      </c>
      <c r="W23" s="0" t="n">
        <v>281.342</v>
      </c>
      <c r="X23" s="0" t="n">
        <v>737.402</v>
      </c>
      <c r="Y23" s="0" t="n">
        <v>89.381</v>
      </c>
      <c r="Z23" s="0" t="n">
        <v>939.259</v>
      </c>
      <c r="AA23" s="0" t="n">
        <f aca="false">H23*x_c_F+I23*x_c_CC+J23*x_c_DC+K23*x_c_HCC+L23*x_c_PLT+M23*x_c_SVRn+N23*x_c_SVRcc+O23*x_c_LT+P23*x_c_LT1</f>
        <v>347295731.48349</v>
      </c>
      <c r="AB23" s="0" t="n">
        <f aca="false">C23*x_c_DAA</f>
        <v>109976320</v>
      </c>
      <c r="AC23" s="0" t="n">
        <f aca="false">C23*x_c_MON</f>
        <v>27857107.6100244</v>
      </c>
      <c r="AD23" s="0" t="n">
        <f aca="false">D23*(1-x_testy)</f>
        <v>0</v>
      </c>
      <c r="AE23" s="0" t="n">
        <f aca="false">E23*(1-x_testy)</f>
        <v>0</v>
      </c>
      <c r="AF23" s="0" t="n">
        <f aca="false">F23*x_NAV</f>
        <v>0</v>
      </c>
      <c r="AG23" s="0" t="n">
        <f aca="false">G23*x_FIX*(1-x_testy)</f>
        <v>0</v>
      </c>
      <c r="AH23" s="0" t="n">
        <f aca="false">x_z_F*U23+(1-x_AGRI)*x_EMP*x_WLOSS*(x_PEN_K74*Q23+x_PEN_C22*R23)</f>
        <v>15777609.3235252</v>
      </c>
      <c r="AI23" s="0" t="n">
        <f aca="false">x_AGRI*x_EMP*x_WLOSS*(x_PEN_K74*Q23+x_PEN_C22*R23)</f>
        <v>822594.363385579</v>
      </c>
      <c r="AJ23" s="0" t="n">
        <f aca="false">x_EMP*x_WAGE*(x_WLOSS*(Q23+R23)+S23)+U23*x_ABS_D*x_WAGE/365</f>
        <v>485319920.157725</v>
      </c>
      <c r="AK23" s="0" t="n">
        <f aca="false">AJ23*x_R_FUS</f>
        <v>153555222.737904</v>
      </c>
      <c r="AL23" s="0" t="n">
        <f aca="false">AJ23*x_R_NFZ</f>
        <v>37690430.3193691</v>
      </c>
      <c r="AM23" s="0" t="n">
        <f aca="false">AJ23*x_R_PIT</f>
        <v>32266093.9422411</v>
      </c>
      <c r="AN23" s="0" t="n">
        <f aca="false">AJ23*x_R_FP</f>
        <v>12375657.964022</v>
      </c>
      <c r="AO23" s="0" t="n">
        <f aca="false">AA23+AB23+AC23+AD23+AF23</f>
        <v>485129159.093515</v>
      </c>
      <c r="AP23" s="0" t="n">
        <f aca="false">AO23+AE23+AG23+AH23+AI23+AK23+AL23+AM23+AN23</f>
        <v>737616767.743962</v>
      </c>
      <c r="AQ23" s="0" t="n">
        <f aca="false">AO23+AE23+AG23+AJ23</f>
        <v>970449079.25124</v>
      </c>
      <c r="AR23" s="0" t="n">
        <f aca="false">AB23+AC23+AD23+AF23</f>
        <v>137833427.610024</v>
      </c>
      <c r="AS23" s="0" t="n">
        <f aca="false">AR23+AE23+AG23</f>
        <v>137833427.610024</v>
      </c>
    </row>
    <row r="24" customFormat="false" ht="15" hidden="false" customHeight="false" outlineLevel="0" collapsed="false">
      <c r="A24" s="0" t="n">
        <v>2047</v>
      </c>
      <c r="B24" s="0" t="n">
        <v>21</v>
      </c>
      <c r="C24" s="0" t="n">
        <v>4832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2213.761</v>
      </c>
      <c r="I24" s="0" t="n">
        <v>275.227</v>
      </c>
      <c r="J24" s="0" t="n">
        <v>1560.718</v>
      </c>
      <c r="K24" s="0" t="n">
        <v>2563.418</v>
      </c>
      <c r="L24" s="0" t="n">
        <v>1184.727</v>
      </c>
      <c r="M24" s="0" t="n">
        <v>84104.158</v>
      </c>
      <c r="N24" s="0" t="n">
        <v>8310.91</v>
      </c>
      <c r="O24" s="0" t="n">
        <v>87.532</v>
      </c>
      <c r="P24" s="0" t="n">
        <v>88.456</v>
      </c>
      <c r="Q24" s="0" t="n">
        <v>974.804</v>
      </c>
      <c r="R24" s="0" t="n">
        <v>1025.909</v>
      </c>
      <c r="S24" s="0" t="n">
        <v>5225.58</v>
      </c>
      <c r="T24" s="0" t="n">
        <v>2488.988</v>
      </c>
      <c r="U24" s="0" t="n">
        <v>1658.877</v>
      </c>
      <c r="V24" s="0" t="n">
        <v>140803.303</v>
      </c>
      <c r="W24" s="0" t="n">
        <v>273.881</v>
      </c>
      <c r="X24" s="0" t="n">
        <v>719.479</v>
      </c>
      <c r="Y24" s="0" t="n">
        <v>87.532</v>
      </c>
      <c r="Z24" s="0" t="n">
        <v>919.147</v>
      </c>
      <c r="AA24" s="0" t="n">
        <f aca="false">H24*x_c_F+I24*x_c_CC+J24*x_c_DC+K24*x_c_HCC+L24*x_c_PLT+M24*x_c_SVRn+N24*x_c_SVRcc+O24*x_c_LT+P24*x_c_LT1</f>
        <v>343575347.169978</v>
      </c>
      <c r="AB24" s="0" t="n">
        <f aca="false">C24*x_c_DAA</f>
        <v>109976320</v>
      </c>
      <c r="AC24" s="0" t="n">
        <f aca="false">C24*x_c_MON</f>
        <v>27857107.6100244</v>
      </c>
      <c r="AD24" s="0" t="n">
        <f aca="false">D24*(1-x_testy)</f>
        <v>0</v>
      </c>
      <c r="AE24" s="0" t="n">
        <f aca="false">E24*(1-x_testy)</f>
        <v>0</v>
      </c>
      <c r="AF24" s="0" t="n">
        <f aca="false">F24*x_NAV</f>
        <v>0</v>
      </c>
      <c r="AG24" s="0" t="n">
        <f aca="false">G24*x_FIX*(1-x_testy)</f>
        <v>0</v>
      </c>
      <c r="AH24" s="0" t="n">
        <f aca="false">x_z_F*U24+(1-x_AGRI)*x_EMP*x_WLOSS*(x_PEN_K74*Q24+x_PEN_C22*R24)</f>
        <v>16286981.9843321</v>
      </c>
      <c r="AI24" s="0" t="n">
        <f aca="false">x_AGRI*x_EMP*x_WLOSS*(x_PEN_K74*Q24+x_PEN_C22*R24)</f>
        <v>851111.000927082</v>
      </c>
      <c r="AJ24" s="0" t="n">
        <f aca="false">x_EMP*x_WAGE*(x_WLOSS*(Q24+R24)+S24)+U24*x_ABS_D*x_WAGE/365</f>
        <v>515894635.866018</v>
      </c>
      <c r="AK24" s="0" t="n">
        <f aca="false">AJ24*x_R_FUS</f>
        <v>163229062.788008</v>
      </c>
      <c r="AL24" s="0" t="n">
        <f aca="false">AJ24*x_R_NFZ</f>
        <v>40064893.3159908</v>
      </c>
      <c r="AM24" s="0" t="n">
        <f aca="false">AJ24*x_R_PIT</f>
        <v>34298828.6566548</v>
      </c>
      <c r="AN24" s="0" t="n">
        <f aca="false">AJ24*x_R_FP</f>
        <v>13155313.2145835</v>
      </c>
      <c r="AO24" s="0" t="n">
        <f aca="false">AA24+AB24+AC24+AD24+AF24</f>
        <v>481408774.780002</v>
      </c>
      <c r="AP24" s="0" t="n">
        <f aca="false">AO24+AE24+AG24+AH24+AI24+AK24+AL24+AM24+AN24</f>
        <v>749294965.740499</v>
      </c>
      <c r="AQ24" s="0" t="n">
        <f aca="false">AO24+AE24+AG24+AJ24</f>
        <v>997303410.64602</v>
      </c>
      <c r="AR24" s="0" t="n">
        <f aca="false">AB24+AC24+AD24+AF24</f>
        <v>137833427.610024</v>
      </c>
      <c r="AS24" s="0" t="n">
        <f aca="false">AR24+AE24+AG24</f>
        <v>137833427.610024</v>
      </c>
    </row>
    <row r="25" customFormat="false" ht="15" hidden="false" customHeight="false" outlineLevel="0" collapsed="false">
      <c r="A25" s="0" t="n">
        <v>2048</v>
      </c>
      <c r="B25" s="0" t="n">
        <v>22</v>
      </c>
      <c r="C25" s="0" t="n">
        <v>4832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2218.913</v>
      </c>
      <c r="I25" s="0" t="n">
        <v>268.905</v>
      </c>
      <c r="J25" s="0" t="n">
        <v>1526.954</v>
      </c>
      <c r="K25" s="0" t="n">
        <v>2505.214</v>
      </c>
      <c r="L25" s="0" t="n">
        <v>1163.824</v>
      </c>
      <c r="M25" s="0" t="n">
        <v>86776.118</v>
      </c>
      <c r="N25" s="0" t="n">
        <v>8417.78</v>
      </c>
      <c r="O25" s="0" t="n">
        <v>85.657</v>
      </c>
      <c r="P25" s="0" t="n">
        <v>86.594</v>
      </c>
      <c r="Q25" s="0" t="n">
        <v>1005.065</v>
      </c>
      <c r="R25" s="0" t="n">
        <v>1064.242</v>
      </c>
      <c r="S25" s="0" t="n">
        <v>5567.105</v>
      </c>
      <c r="T25" s="0" t="n">
        <v>2487.818</v>
      </c>
      <c r="U25" s="0" t="n">
        <v>1693.727</v>
      </c>
      <c r="V25" s="0" t="n">
        <v>142211.273</v>
      </c>
      <c r="W25" s="0" t="n">
        <v>266.758</v>
      </c>
      <c r="X25" s="0" t="n">
        <v>702.464</v>
      </c>
      <c r="Y25" s="0" t="n">
        <v>85.657</v>
      </c>
      <c r="Z25" s="0" t="n">
        <v>899.101</v>
      </c>
      <c r="AA25" s="0" t="n">
        <f aca="false">H25*x_c_F+I25*x_c_CC+J25*x_c_DC+K25*x_c_HCC+L25*x_c_PLT+M25*x_c_SVRn+N25*x_c_SVRcc+O25*x_c_LT+P25*x_c_LT1</f>
        <v>339820233.344562</v>
      </c>
      <c r="AB25" s="0" t="n">
        <f aca="false">C25*x_c_DAA</f>
        <v>109976320</v>
      </c>
      <c r="AC25" s="0" t="n">
        <f aca="false">C25*x_c_MON</f>
        <v>27857107.6100244</v>
      </c>
      <c r="AD25" s="0" t="n">
        <f aca="false">D25*(1-x_testy)</f>
        <v>0</v>
      </c>
      <c r="AE25" s="0" t="n">
        <f aca="false">E25*(1-x_testy)</f>
        <v>0</v>
      </c>
      <c r="AF25" s="0" t="n">
        <f aca="false">F25*x_NAV</f>
        <v>0</v>
      </c>
      <c r="AG25" s="0" t="n">
        <f aca="false">G25*x_FIX*(1-x_testy)</f>
        <v>0</v>
      </c>
      <c r="AH25" s="0" t="n">
        <f aca="false">x_z_F*U25+(1-x_AGRI)*x_EMP*x_WLOSS*(x_PEN_K74*Q25+x_PEN_C22*R25)</f>
        <v>16802691.6131662</v>
      </c>
      <c r="AI25" s="0" t="n">
        <f aca="false">x_AGRI*x_EMP*x_WLOSS*(x_PEN_K74*Q25+x_PEN_C22*R25)</f>
        <v>880462.599612416</v>
      </c>
      <c r="AJ25" s="0" t="n">
        <f aca="false">x_EMP*x_WAGE*(x_WLOSS*(Q25+R25)+S25)+U25*x_ABS_D*x_WAGE/365</f>
        <v>547360777.840966</v>
      </c>
      <c r="AK25" s="0" t="n">
        <f aca="false">AJ25*x_R_FUS</f>
        <v>173184950.108882</v>
      </c>
      <c r="AL25" s="0" t="n">
        <f aca="false">AJ25*x_R_NFZ</f>
        <v>42508585.3679073</v>
      </c>
      <c r="AM25" s="0" t="n">
        <f aca="false">AJ25*x_R_PIT</f>
        <v>36390829.1099508</v>
      </c>
      <c r="AN25" s="0" t="n">
        <f aca="false">AJ25*x_R_FP</f>
        <v>13957699.8349446</v>
      </c>
      <c r="AO25" s="0" t="n">
        <f aca="false">AA25+AB25+AC25+AD25+AF25</f>
        <v>477653660.954587</v>
      </c>
      <c r="AP25" s="0" t="n">
        <f aca="false">AO25+AE25+AG25+AH25+AI25+AK25+AL25+AM25+AN25</f>
        <v>761378879.58905</v>
      </c>
      <c r="AQ25" s="0" t="n">
        <f aca="false">AO25+AE25+AG25+AJ25</f>
        <v>1025014438.79555</v>
      </c>
      <c r="AR25" s="0" t="n">
        <f aca="false">AB25+AC25+AD25+AF25</f>
        <v>137833427.610024</v>
      </c>
      <c r="AS25" s="0" t="n">
        <f aca="false">AR25+AE25+AG25</f>
        <v>137833427.610024</v>
      </c>
    </row>
    <row r="26" customFormat="false" ht="15" hidden="false" customHeight="false" outlineLevel="0" collapsed="false">
      <c r="A26" s="0" t="n">
        <v>2049</v>
      </c>
      <c r="B26" s="0" t="n">
        <v>23</v>
      </c>
      <c r="C26" s="0" t="n">
        <v>4832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2223.946</v>
      </c>
      <c r="I26" s="0" t="n">
        <v>262.796</v>
      </c>
      <c r="J26" s="0" t="n">
        <v>1493.183</v>
      </c>
      <c r="K26" s="0" t="n">
        <v>2448.705</v>
      </c>
      <c r="L26" s="0" t="n">
        <v>1142.895</v>
      </c>
      <c r="M26" s="0" t="n">
        <v>89450.062</v>
      </c>
      <c r="N26" s="0" t="n">
        <v>8508.336</v>
      </c>
      <c r="O26" s="0" t="n">
        <v>83.788</v>
      </c>
      <c r="P26" s="0" t="n">
        <v>84.722</v>
      </c>
      <c r="Q26" s="0" t="n">
        <v>1036.308</v>
      </c>
      <c r="R26" s="0" t="n">
        <v>1103.314</v>
      </c>
      <c r="S26" s="0" t="n">
        <v>5918.36</v>
      </c>
      <c r="T26" s="0" t="n">
        <v>2486.743</v>
      </c>
      <c r="U26" s="0" t="n">
        <v>1725.587</v>
      </c>
      <c r="V26" s="0" t="n">
        <v>143678.109</v>
      </c>
      <c r="W26" s="0" t="n">
        <v>260.037</v>
      </c>
      <c r="X26" s="0" t="n">
        <v>686.484</v>
      </c>
      <c r="Y26" s="0" t="n">
        <v>83.788</v>
      </c>
      <c r="Z26" s="0" t="n">
        <v>879.424</v>
      </c>
      <c r="AA26" s="0" t="n">
        <f aca="false">H26*x_c_F+I26*x_c_CC+J26*x_c_DC+K26*x_c_HCC+L26*x_c_PLT+M26*x_c_SVRn+N26*x_c_SVRcc+O26*x_c_LT+P26*x_c_LT1</f>
        <v>336129677.353432</v>
      </c>
      <c r="AB26" s="0" t="n">
        <f aca="false">C26*x_c_DAA</f>
        <v>109976320</v>
      </c>
      <c r="AC26" s="0" t="n">
        <f aca="false">C26*x_c_MON</f>
        <v>27857107.6100244</v>
      </c>
      <c r="AD26" s="0" t="n">
        <f aca="false">D26*(1-x_testy)</f>
        <v>0</v>
      </c>
      <c r="AE26" s="0" t="n">
        <f aca="false">E26*(1-x_testy)</f>
        <v>0</v>
      </c>
      <c r="AF26" s="0" t="n">
        <f aca="false">F26*x_NAV</f>
        <v>0</v>
      </c>
      <c r="AG26" s="0" t="n">
        <f aca="false">G26*x_FIX*(1-x_testy)</f>
        <v>0</v>
      </c>
      <c r="AH26" s="0" t="n">
        <f aca="false">x_z_F*U26+(1-x_AGRI)*x_EMP*x_WLOSS*(x_PEN_K74*Q26+x_PEN_C22*R26)</f>
        <v>17323212.5730094</v>
      </c>
      <c r="AI26" s="0" t="n">
        <f aca="false">x_AGRI*x_EMP*x_WLOSS*(x_PEN_K74*Q26+x_PEN_C22*R26)</f>
        <v>910538.53357565</v>
      </c>
      <c r="AJ26" s="0" t="n">
        <f aca="false">x_EMP*x_WAGE*(x_WLOSS*(Q26+R26)+S26)+U26*x_ABS_D*x_WAGE/365</f>
        <v>579704052.489214</v>
      </c>
      <c r="AK26" s="0" t="n">
        <f aca="false">AJ26*x_R_FUS</f>
        <v>183418362.207587</v>
      </c>
      <c r="AL26" s="0" t="n">
        <f aca="false">AJ26*x_R_NFZ</f>
        <v>45020396.4203648</v>
      </c>
      <c r="AM26" s="0" t="n">
        <f aca="false">AJ26*x_R_PIT</f>
        <v>38541145.0043837</v>
      </c>
      <c r="AN26" s="0" t="n">
        <f aca="false">AJ26*x_R_FP</f>
        <v>14782453.3384749</v>
      </c>
      <c r="AO26" s="0" t="n">
        <f aca="false">AA26+AB26+AC26+AD26+AF26</f>
        <v>473963104.963456</v>
      </c>
      <c r="AP26" s="0" t="n">
        <f aca="false">AO26+AE26+AG26+AH26+AI26+AK26+AL26+AM26+AN26</f>
        <v>773959213.040852</v>
      </c>
      <c r="AQ26" s="0" t="n">
        <f aca="false">AO26+AE26+AG26+AJ26</f>
        <v>1053667157.45267</v>
      </c>
      <c r="AR26" s="0" t="n">
        <f aca="false">AB26+AC26+AD26+AF26</f>
        <v>137833427.610024</v>
      </c>
      <c r="AS26" s="0" t="n">
        <f aca="false">AR26+AE26+AG26</f>
        <v>137833427.610024</v>
      </c>
    </row>
    <row r="27" customFormat="false" ht="15" hidden="false" customHeight="false" outlineLevel="0" collapsed="false">
      <c r="A27" s="0" t="n">
        <v>2050</v>
      </c>
      <c r="B27" s="0" t="n">
        <v>24</v>
      </c>
      <c r="C27" s="0" t="n">
        <v>4832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2228.778</v>
      </c>
      <c r="I27" s="0" t="n">
        <v>256.978</v>
      </c>
      <c r="J27" s="0" t="n">
        <v>1459.902</v>
      </c>
      <c r="K27" s="0" t="n">
        <v>2394.527</v>
      </c>
      <c r="L27" s="0" t="n">
        <v>1122.042</v>
      </c>
      <c r="M27" s="0" t="n">
        <v>92128.548</v>
      </c>
      <c r="N27" s="0" t="n">
        <v>8584.431</v>
      </c>
      <c r="O27" s="0" t="n">
        <v>81.953</v>
      </c>
      <c r="P27" s="0" t="n">
        <v>82.871</v>
      </c>
      <c r="Q27" s="0" t="n">
        <v>1068.424</v>
      </c>
      <c r="R27" s="0" t="n">
        <v>1142.899</v>
      </c>
      <c r="S27" s="0" t="n">
        <v>6279.07</v>
      </c>
      <c r="T27" s="0" t="n">
        <v>2485.756</v>
      </c>
      <c r="U27" s="0" t="n">
        <v>1754.586</v>
      </c>
      <c r="V27" s="0" t="n">
        <v>145200.366</v>
      </c>
      <c r="W27" s="0" t="n">
        <v>253.752</v>
      </c>
      <c r="X27" s="0" t="n">
        <v>671.597</v>
      </c>
      <c r="Y27" s="0" t="n">
        <v>81.953</v>
      </c>
      <c r="Z27" s="0" t="n">
        <v>860.359</v>
      </c>
      <c r="AA27" s="0" t="n">
        <f aca="false">H27*x_c_F+I27*x_c_CC+J27*x_c_DC+K27*x_c_HCC+L27*x_c_PLT+M27*x_c_SVRn+N27*x_c_SVRcc+O27*x_c_LT+P27*x_c_LT1</f>
        <v>332573784.35934</v>
      </c>
      <c r="AB27" s="0" t="n">
        <f aca="false">C27*x_c_DAA</f>
        <v>109976320</v>
      </c>
      <c r="AC27" s="0" t="n">
        <f aca="false">C27*x_c_MON</f>
        <v>27857107.6100244</v>
      </c>
      <c r="AD27" s="0" t="n">
        <f aca="false">D27*(1-x_testy)</f>
        <v>0</v>
      </c>
      <c r="AE27" s="0" t="n">
        <f aca="false">E27*(1-x_testy)</f>
        <v>0</v>
      </c>
      <c r="AF27" s="0" t="n">
        <f aca="false">F27*x_NAV</f>
        <v>0</v>
      </c>
      <c r="AG27" s="0" t="n">
        <f aca="false">G27*x_FIX*(1-x_testy)</f>
        <v>0</v>
      </c>
      <c r="AH27" s="0" t="n">
        <f aca="false">x_z_F*U27+(1-x_AGRI)*x_EMP*x_WLOSS*(x_PEN_K74*Q27+x_PEN_C22*R27)</f>
        <v>17846609.525404</v>
      </c>
      <c r="AI27" s="0" t="n">
        <f aca="false">x_AGRI*x_EMP*x_WLOSS*(x_PEN_K74*Q27+x_PEN_C22*R27)</f>
        <v>941193.350657417</v>
      </c>
      <c r="AJ27" s="0" t="n">
        <f aca="false">x_EMP*x_WAGE*(x_WLOSS*(Q27+R27)+S27)+U27*x_ABS_D*x_WAGE/365</f>
        <v>612890427.046718</v>
      </c>
      <c r="AK27" s="0" t="n">
        <f aca="false">AJ27*x_R_FUS</f>
        <v>193918531.117582</v>
      </c>
      <c r="AL27" s="0" t="n">
        <f aca="false">AJ27*x_R_NFZ</f>
        <v>47597683.4548752</v>
      </c>
      <c r="AM27" s="0" t="n">
        <f aca="false">AJ27*x_R_PIT</f>
        <v>40747513.6997524</v>
      </c>
      <c r="AN27" s="0" t="n">
        <f aca="false">AJ27*x_R_FP</f>
        <v>15628705.8896913</v>
      </c>
      <c r="AO27" s="0" t="n">
        <f aca="false">AA27+AB27+AC27+AD27+AF27</f>
        <v>470407211.969365</v>
      </c>
      <c r="AP27" s="0" t="n">
        <f aca="false">AO27+AE27+AG27+AH27+AI27+AK27+AL27+AM27+AN27</f>
        <v>787087449.007327</v>
      </c>
      <c r="AQ27" s="0" t="n">
        <f aca="false">AO27+AE27+AG27+AJ27</f>
        <v>1083297639.01608</v>
      </c>
      <c r="AR27" s="0" t="n">
        <f aca="false">AB27+AC27+AD27+AF27</f>
        <v>137833427.610024</v>
      </c>
      <c r="AS27" s="0" t="n">
        <f aca="false">AR27+AE27+AG27</f>
        <v>137833427.610024</v>
      </c>
    </row>
    <row r="28" customFormat="false" ht="15" hidden="false" customHeight="false" outlineLevel="0" collapsed="false">
      <c r="A28" s="0" t="n">
        <v>2051</v>
      </c>
      <c r="B28" s="0" t="n">
        <v>25</v>
      </c>
      <c r="C28" s="0" t="n">
        <v>4832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2233.358</v>
      </c>
      <c r="I28" s="0" t="n">
        <v>251.492</v>
      </c>
      <c r="J28" s="0" t="n">
        <v>1427.449</v>
      </c>
      <c r="K28" s="0" t="n">
        <v>2343.033</v>
      </c>
      <c r="L28" s="0" t="n">
        <v>1101.307</v>
      </c>
      <c r="M28" s="0" t="n">
        <v>94811.107</v>
      </c>
      <c r="N28" s="0" t="n">
        <v>8647.432</v>
      </c>
      <c r="O28" s="0" t="n">
        <v>80.166</v>
      </c>
      <c r="P28" s="0" t="n">
        <v>81.059</v>
      </c>
      <c r="Q28" s="0" t="n">
        <v>1101.276</v>
      </c>
      <c r="R28" s="0" t="n">
        <v>1182.751</v>
      </c>
      <c r="S28" s="0" t="n">
        <v>6648.815</v>
      </c>
      <c r="T28" s="0" t="n">
        <v>2484.85</v>
      </c>
      <c r="U28" s="0" t="n">
        <v>1780.893</v>
      </c>
      <c r="V28" s="0" t="n">
        <v>146771.333</v>
      </c>
      <c r="W28" s="0" t="n">
        <v>247.902</v>
      </c>
      <c r="X28" s="0" t="n">
        <v>657.776</v>
      </c>
      <c r="Y28" s="0" t="n">
        <v>80.166</v>
      </c>
      <c r="Z28" s="0" t="n">
        <v>842.014</v>
      </c>
      <c r="AA28" s="0" t="n">
        <f aca="false">H28*x_c_F+I28*x_c_CC+J28*x_c_DC+K28*x_c_HCC+L28*x_c_PLT+M28*x_c_SVRn+N28*x_c_SVRcc+O28*x_c_LT+P28*x_c_LT1</f>
        <v>329191373.836657</v>
      </c>
      <c r="AB28" s="0" t="n">
        <f aca="false">C28*x_c_DAA</f>
        <v>109976320</v>
      </c>
      <c r="AC28" s="0" t="n">
        <f aca="false">C28*x_c_MON</f>
        <v>27857107.6100244</v>
      </c>
      <c r="AD28" s="0" t="n">
        <f aca="false">D28*(1-x_testy)</f>
        <v>0</v>
      </c>
      <c r="AE28" s="0" t="n">
        <f aca="false">E28*(1-x_testy)</f>
        <v>0</v>
      </c>
      <c r="AF28" s="0" t="n">
        <f aca="false">F28*x_NAV</f>
        <v>0</v>
      </c>
      <c r="AG28" s="0" t="n">
        <f aca="false">G28*x_FIX*(1-x_testy)</f>
        <v>0</v>
      </c>
      <c r="AH28" s="0" t="n">
        <f aca="false">x_z_F*U28+(1-x_AGRI)*x_EMP*x_WLOSS*(x_PEN_K74*Q28+x_PEN_C22*R28)</f>
        <v>18370724.2292419</v>
      </c>
      <c r="AI28" s="0" t="n">
        <f aca="false">x_AGRI*x_EMP*x_WLOSS*(x_PEN_K74*Q28+x_PEN_C22*R28)</f>
        <v>972261.429601652</v>
      </c>
      <c r="AJ28" s="0" t="n">
        <f aca="false">x_EMP*x_WAGE*(x_WLOSS*(Q28+R28)+S28)+U28*x_ABS_D*x_WAGE/365</f>
        <v>646872052.362052</v>
      </c>
      <c r="AK28" s="0" t="n">
        <f aca="false">AJ28*x_R_FUS</f>
        <v>204670317.367353</v>
      </c>
      <c r="AL28" s="0" t="n">
        <f aca="false">AJ28*x_R_NFZ</f>
        <v>50236730.4584893</v>
      </c>
      <c r="AM28" s="0" t="n">
        <f aca="false">AJ28*x_R_PIT</f>
        <v>43006753.984755</v>
      </c>
      <c r="AN28" s="0" t="n">
        <f aca="false">AJ28*x_R_FP</f>
        <v>16495237.3352323</v>
      </c>
      <c r="AO28" s="0" t="n">
        <f aca="false">AA28+AB28+AC28+AD28+AF28</f>
        <v>467024801.446682</v>
      </c>
      <c r="AP28" s="0" t="n">
        <f aca="false">AO28+AE28+AG28+AH28+AI28+AK28+AL28+AM28+AN28</f>
        <v>800776826.251355</v>
      </c>
      <c r="AQ28" s="0" t="n">
        <f aca="false">AO28+AE28+AG28+AJ28</f>
        <v>1113896853.80873</v>
      </c>
      <c r="AR28" s="0" t="n">
        <f aca="false">AB28+AC28+AD28+AF28</f>
        <v>137833427.610024</v>
      </c>
      <c r="AS28" s="0" t="n">
        <f aca="false">AR28+AE28+AG28</f>
        <v>137833427.610024</v>
      </c>
    </row>
    <row r="29" customFormat="false" ht="15" hidden="false" customHeight="false" outlineLevel="0" collapsed="false">
      <c r="A29" s="0" t="n">
        <v>2052</v>
      </c>
      <c r="B29" s="0" t="n">
        <v>26</v>
      </c>
      <c r="C29" s="0" t="n">
        <v>4832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2237.663</v>
      </c>
      <c r="I29" s="0" t="n">
        <v>246.351</v>
      </c>
      <c r="J29" s="0" t="n">
        <v>1396.015</v>
      </c>
      <c r="K29" s="0" t="n">
        <v>2294.323</v>
      </c>
      <c r="L29" s="0" t="n">
        <v>1080.664</v>
      </c>
      <c r="M29" s="0" t="n">
        <v>97494.278</v>
      </c>
      <c r="N29" s="0" t="n">
        <v>8698.135</v>
      </c>
      <c r="O29" s="0" t="n">
        <v>78.436</v>
      </c>
      <c r="P29" s="0" t="n">
        <v>79.301</v>
      </c>
      <c r="Q29" s="0" t="n">
        <v>1134.726</v>
      </c>
      <c r="R29" s="0" t="n">
        <v>1222.622</v>
      </c>
      <c r="S29" s="0" t="n">
        <v>7027.172</v>
      </c>
      <c r="T29" s="0" t="n">
        <v>2484.014</v>
      </c>
      <c r="U29" s="0" t="n">
        <v>1804.709</v>
      </c>
      <c r="V29" s="0" t="n">
        <v>148381.346</v>
      </c>
      <c r="W29" s="0" t="n">
        <v>242.464</v>
      </c>
      <c r="X29" s="0" t="n">
        <v>644.952</v>
      </c>
      <c r="Y29" s="0" t="n">
        <v>78.436</v>
      </c>
      <c r="Z29" s="0" t="n">
        <v>824.446</v>
      </c>
      <c r="AA29" s="0" t="n">
        <f aca="false">H29*x_c_F+I29*x_c_CC+J29*x_c_DC+K29*x_c_HCC+L29*x_c_PLT+M29*x_c_SVRn+N29*x_c_SVRcc+O29*x_c_LT+P29*x_c_LT1</f>
        <v>325995217.778166</v>
      </c>
      <c r="AB29" s="0" t="n">
        <f aca="false">C29*x_c_DAA</f>
        <v>109976320</v>
      </c>
      <c r="AC29" s="0" t="n">
        <f aca="false">C29*x_c_MON</f>
        <v>27857107.6100244</v>
      </c>
      <c r="AD29" s="0" t="n">
        <f aca="false">D29*(1-x_testy)</f>
        <v>0</v>
      </c>
      <c r="AE29" s="0" t="n">
        <f aca="false">E29*(1-x_testy)</f>
        <v>0</v>
      </c>
      <c r="AF29" s="0" t="n">
        <f aca="false">F29*x_NAV</f>
        <v>0</v>
      </c>
      <c r="AG29" s="0" t="n">
        <f aca="false">G29*x_FIX*(1-x_testy)</f>
        <v>0</v>
      </c>
      <c r="AH29" s="0" t="n">
        <f aca="false">x_z_F*U29+(1-x_AGRI)*x_EMP*x_WLOSS*(x_PEN_K74*Q29+x_PEN_C22*R29)</f>
        <v>18893444.5456077</v>
      </c>
      <c r="AI29" s="0" t="n">
        <f aca="false">x_AGRI*x_EMP*x_WLOSS*(x_PEN_K74*Q29+x_PEN_C22*R29)</f>
        <v>1003575.84789131</v>
      </c>
      <c r="AJ29" s="0" t="n">
        <f aca="false">x_EMP*x_WAGE*(x_WLOSS*(Q29+R29)+S29)+U29*x_ABS_D*x_WAGE/365</f>
        <v>681600819.304494</v>
      </c>
      <c r="AK29" s="0" t="n">
        <f aca="false">AJ29*x_R_FUS</f>
        <v>215658499.227942</v>
      </c>
      <c r="AL29" s="0" t="n">
        <f aca="false">AJ29*x_R_NFZ</f>
        <v>52933801.2280063</v>
      </c>
      <c r="AM29" s="0" t="n">
        <f aca="false">AJ29*x_R_PIT</f>
        <v>45315667.3635812</v>
      </c>
      <c r="AN29" s="0" t="n">
        <f aca="false">AJ29*x_R_FP</f>
        <v>17380820.8922646</v>
      </c>
      <c r="AO29" s="0" t="n">
        <f aca="false">AA29+AB29+AC29+AD29+AF29</f>
        <v>463828645.38819</v>
      </c>
      <c r="AP29" s="0" t="n">
        <f aca="false">AO29+AE29+AG29+AH29+AI29+AK29+AL29+AM29+AN29</f>
        <v>815014454.493483</v>
      </c>
      <c r="AQ29" s="0" t="n">
        <f aca="false">AO29+AE29+AG29+AJ29</f>
        <v>1145429464.69268</v>
      </c>
      <c r="AR29" s="0" t="n">
        <f aca="false">AB29+AC29+AD29+AF29</f>
        <v>137833427.610024</v>
      </c>
      <c r="AS29" s="0" t="n">
        <f aca="false">AR29+AE29+AG29</f>
        <v>137833427.610024</v>
      </c>
    </row>
    <row r="30" customFormat="false" ht="15" hidden="false" customHeight="false" outlineLevel="0" collapsed="false">
      <c r="A30" s="0" t="n">
        <v>2053</v>
      </c>
      <c r="B30" s="0" t="n">
        <v>27</v>
      </c>
      <c r="C30" s="0" t="n">
        <v>4832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2241.69</v>
      </c>
      <c r="I30" s="0" t="n">
        <v>241.549</v>
      </c>
      <c r="J30" s="0" t="n">
        <v>1365.665</v>
      </c>
      <c r="K30" s="0" t="n">
        <v>2248.309</v>
      </c>
      <c r="L30" s="0" t="n">
        <v>1060.024</v>
      </c>
      <c r="M30" s="0" t="n">
        <v>100171.839</v>
      </c>
      <c r="N30" s="0" t="n">
        <v>8736.775</v>
      </c>
      <c r="O30" s="0" t="n">
        <v>76.764</v>
      </c>
      <c r="P30" s="0" t="n">
        <v>77.6</v>
      </c>
      <c r="Q30" s="0" t="n">
        <v>1168.607</v>
      </c>
      <c r="R30" s="0" t="n">
        <v>1262.253</v>
      </c>
      <c r="S30" s="0" t="n">
        <v>7413.503</v>
      </c>
      <c r="T30" s="0" t="n">
        <v>2483.239</v>
      </c>
      <c r="U30" s="0" t="n">
        <v>1826.246</v>
      </c>
      <c r="V30" s="0" t="n">
        <v>150018.545</v>
      </c>
      <c r="W30" s="0" t="n">
        <v>237.4</v>
      </c>
      <c r="X30" s="0" t="n">
        <v>633.011</v>
      </c>
      <c r="Y30" s="0" t="n">
        <v>76.764</v>
      </c>
      <c r="Z30" s="0" t="n">
        <v>807.618</v>
      </c>
      <c r="AA30" s="0" t="n">
        <f aca="false">H30*x_c_F+I30*x_c_CC+J30*x_c_DC+K30*x_c_HCC+L30*x_c_PLT+M30*x_c_SVRn+N30*x_c_SVRcc+O30*x_c_LT+P30*x_c_LT1</f>
        <v>322975403.814597</v>
      </c>
      <c r="AB30" s="0" t="n">
        <f aca="false">C30*x_c_DAA</f>
        <v>109976320</v>
      </c>
      <c r="AC30" s="0" t="n">
        <f aca="false">C30*x_c_MON</f>
        <v>27857107.6100244</v>
      </c>
      <c r="AD30" s="0" t="n">
        <f aca="false">D30*(1-x_testy)</f>
        <v>0</v>
      </c>
      <c r="AE30" s="0" t="n">
        <f aca="false">E30*(1-x_testy)</f>
        <v>0</v>
      </c>
      <c r="AF30" s="0" t="n">
        <f aca="false">F30*x_NAV</f>
        <v>0</v>
      </c>
      <c r="AG30" s="0" t="n">
        <f aca="false">G30*x_FIX*(1-x_testy)</f>
        <v>0</v>
      </c>
      <c r="AH30" s="0" t="n">
        <f aca="false">x_z_F*U30+(1-x_AGRI)*x_EMP*x_WLOSS*(x_PEN_K74*Q30+x_PEN_C22*R30)</f>
        <v>19412431.3196098</v>
      </c>
      <c r="AI30" s="0" t="n">
        <f aca="false">x_AGRI*x_EMP*x_WLOSS*(x_PEN_K74*Q30+x_PEN_C22*R30)</f>
        <v>1034953.18288267</v>
      </c>
      <c r="AJ30" s="0" t="n">
        <f aca="false">x_EMP*x_WAGE*(x_WLOSS*(Q30+R30)+S30)+U30*x_ABS_D*x_WAGE/365</f>
        <v>717009010.789122</v>
      </c>
      <c r="AK30" s="0" t="n">
        <f aca="false">AJ30*x_R_FUS</f>
        <v>226861651.013678</v>
      </c>
      <c r="AL30" s="0" t="n">
        <f aca="false">AJ30*x_R_NFZ</f>
        <v>55683636.786894</v>
      </c>
      <c r="AM30" s="0" t="n">
        <f aca="false">AJ30*x_R_PIT</f>
        <v>47669751.7217847</v>
      </c>
      <c r="AN30" s="0" t="n">
        <f aca="false">AJ30*x_R_FP</f>
        <v>18283729.7751226</v>
      </c>
      <c r="AO30" s="0" t="n">
        <f aca="false">AA30+AB30+AC30+AD30+AF30</f>
        <v>460808831.424622</v>
      </c>
      <c r="AP30" s="0" t="n">
        <f aca="false">AO30+AE30+AG30+AH30+AI30+AK30+AL30+AM30+AN30</f>
        <v>829754985.224594</v>
      </c>
      <c r="AQ30" s="0" t="n">
        <f aca="false">AO30+AE30+AG30+AJ30</f>
        <v>1177817842.21374</v>
      </c>
      <c r="AR30" s="0" t="n">
        <f aca="false">AB30+AC30+AD30+AF30</f>
        <v>137833427.610024</v>
      </c>
      <c r="AS30" s="0" t="n">
        <f aca="false">AR30+AE30+AG30</f>
        <v>137833427.610024</v>
      </c>
    </row>
    <row r="31" customFormat="false" ht="15" hidden="false" customHeight="false" outlineLevel="0" collapsed="false">
      <c r="A31" s="0" t="n">
        <v>2054</v>
      </c>
      <c r="B31" s="0" t="n">
        <v>28</v>
      </c>
      <c r="C31" s="0" t="n">
        <v>4832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2245.448</v>
      </c>
      <c r="I31" s="0" t="n">
        <v>237.067</v>
      </c>
      <c r="J31" s="0" t="n">
        <v>1336.369</v>
      </c>
      <c r="K31" s="0" t="n">
        <v>2204.761</v>
      </c>
      <c r="L31" s="0" t="n">
        <v>1039.237</v>
      </c>
      <c r="M31" s="0" t="n">
        <v>102834.925</v>
      </c>
      <c r="N31" s="0" t="n">
        <v>8763.039</v>
      </c>
      <c r="O31" s="0" t="n">
        <v>75.147</v>
      </c>
      <c r="P31" s="0" t="n">
        <v>75.955</v>
      </c>
      <c r="Q31" s="0" t="n">
        <v>1202.737</v>
      </c>
      <c r="R31" s="0" t="n">
        <v>1301.384</v>
      </c>
      <c r="S31" s="0" t="n">
        <v>7807.051</v>
      </c>
      <c r="T31" s="0" t="n">
        <v>2482.515</v>
      </c>
      <c r="U31" s="0" t="n">
        <v>1845.712</v>
      </c>
      <c r="V31" s="0" t="n">
        <v>151669.255</v>
      </c>
      <c r="W31" s="0" t="n">
        <v>232.665</v>
      </c>
      <c r="X31" s="0" t="n">
        <v>621.833</v>
      </c>
      <c r="Y31" s="0" t="n">
        <v>75.147</v>
      </c>
      <c r="Z31" s="0" t="n">
        <v>791.472</v>
      </c>
      <c r="AA31" s="0" t="n">
        <f aca="false">H31*x_c_F+I31*x_c_CC+J31*x_c_DC+K31*x_c_HCC+L31*x_c_PLT+M31*x_c_SVRn+N31*x_c_SVRcc+O31*x_c_LT+P31*x_c_LT1</f>
        <v>320104719.56423</v>
      </c>
      <c r="AB31" s="0" t="n">
        <f aca="false">C31*x_c_DAA</f>
        <v>109976320</v>
      </c>
      <c r="AC31" s="0" t="n">
        <f aca="false">C31*x_c_MON</f>
        <v>27857107.6100244</v>
      </c>
      <c r="AD31" s="0" t="n">
        <f aca="false">D31*(1-x_testy)</f>
        <v>0</v>
      </c>
      <c r="AE31" s="0" t="n">
        <f aca="false">E31*(1-x_testy)</f>
        <v>0</v>
      </c>
      <c r="AF31" s="0" t="n">
        <f aca="false">F31*x_NAV</f>
        <v>0</v>
      </c>
      <c r="AG31" s="0" t="n">
        <f aca="false">G31*x_FIX*(1-x_testy)</f>
        <v>0</v>
      </c>
      <c r="AH31" s="0" t="n">
        <f aca="false">x_z_F*U31+(1-x_AGRI)*x_EMP*x_WLOSS*(x_PEN_K74*Q31+x_PEN_C22*R31)</f>
        <v>19925240.1112385</v>
      </c>
      <c r="AI31" s="0" t="n">
        <f aca="false">x_AGRI*x_EMP*x_WLOSS*(x_PEN_K74*Q31+x_PEN_C22*R31)</f>
        <v>1066203.59635367</v>
      </c>
      <c r="AJ31" s="0" t="n">
        <f aca="false">x_EMP*x_WAGE*(x_WLOSS*(Q31+R31)+S31)+U31*x_ABS_D*x_WAGE/365</f>
        <v>753018228.279012</v>
      </c>
      <c r="AK31" s="0" t="n">
        <f aca="false">AJ31*x_R_FUS</f>
        <v>238254967.427479</v>
      </c>
      <c r="AL31" s="0" t="n">
        <f aca="false">AJ31*x_R_NFZ</f>
        <v>58480148.6263763</v>
      </c>
      <c r="AM31" s="0" t="n">
        <f aca="false">AJ31*x_R_PIT</f>
        <v>50063794.7974075</v>
      </c>
      <c r="AN31" s="0" t="n">
        <f aca="false">AJ31*x_R_FP</f>
        <v>19201964.8211148</v>
      </c>
      <c r="AO31" s="0" t="n">
        <f aca="false">AA31+AB31+AC31+AD31+AF31</f>
        <v>457938147.174255</v>
      </c>
      <c r="AP31" s="0" t="n">
        <f aca="false">AO31+AE31+AG31+AH31+AI31+AK31+AL31+AM31+AN31</f>
        <v>844930466.554225</v>
      </c>
      <c r="AQ31" s="0" t="n">
        <f aca="false">AO31+AE31+AG31+AJ31</f>
        <v>1210956375.45327</v>
      </c>
      <c r="AR31" s="0" t="n">
        <f aca="false">AB31+AC31+AD31+AF31</f>
        <v>137833427.610024</v>
      </c>
      <c r="AS31" s="0" t="n">
        <f aca="false">AR31+AE31+AG31</f>
        <v>137833427.610024</v>
      </c>
    </row>
    <row r="32" customFormat="false" ht="15" hidden="false" customHeight="false" outlineLevel="0" collapsed="false">
      <c r="A32" s="0" t="n">
        <v>2055</v>
      </c>
      <c r="B32" s="0" t="n">
        <v>29</v>
      </c>
      <c r="C32" s="0" t="n">
        <v>4832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2248.951</v>
      </c>
      <c r="I32" s="0" t="n">
        <v>232.883</v>
      </c>
      <c r="J32" s="0" t="n">
        <v>1308.057</v>
      </c>
      <c r="K32" s="0" t="n">
        <v>2163.407</v>
      </c>
      <c r="L32" s="0" t="n">
        <v>1018.128</v>
      </c>
      <c r="M32" s="0" t="n">
        <v>105473.399</v>
      </c>
      <c r="N32" s="0" t="n">
        <v>8776.351</v>
      </c>
      <c r="O32" s="0" t="n">
        <v>73.581</v>
      </c>
      <c r="P32" s="0" t="n">
        <v>74.364</v>
      </c>
      <c r="Q32" s="0" t="n">
        <v>1236.931</v>
      </c>
      <c r="R32" s="0" t="n">
        <v>1339.766</v>
      </c>
      <c r="S32" s="0" t="n">
        <v>8206.961</v>
      </c>
      <c r="T32" s="0" t="n">
        <v>2481.834</v>
      </c>
      <c r="U32" s="0" t="n">
        <v>1863.296</v>
      </c>
      <c r="V32" s="0" t="n">
        <v>153319.824</v>
      </c>
      <c r="W32" s="0" t="n">
        <v>228.219</v>
      </c>
      <c r="X32" s="0" t="n">
        <v>611.304</v>
      </c>
      <c r="Y32" s="0" t="n">
        <v>73.581</v>
      </c>
      <c r="Z32" s="0" t="n">
        <v>775.927</v>
      </c>
      <c r="AA32" s="0" t="n">
        <f aca="false">H32*x_c_F+I32*x_c_CC+J32*x_c_DC+K32*x_c_HCC+L32*x_c_PLT+M32*x_c_SVRn+N32*x_c_SVRcc+O32*x_c_LT+P32*x_c_LT1</f>
        <v>317349903.269783</v>
      </c>
      <c r="AB32" s="0" t="n">
        <f aca="false">C32*x_c_DAA</f>
        <v>109976320</v>
      </c>
      <c r="AC32" s="0" t="n">
        <f aca="false">C32*x_c_MON</f>
        <v>27857107.6100244</v>
      </c>
      <c r="AD32" s="0" t="n">
        <f aca="false">D32*(1-x_testy)</f>
        <v>0</v>
      </c>
      <c r="AE32" s="0" t="n">
        <f aca="false">E32*(1-x_testy)</f>
        <v>0</v>
      </c>
      <c r="AF32" s="0" t="n">
        <f aca="false">F32*x_NAV</f>
        <v>0</v>
      </c>
      <c r="AG32" s="0" t="n">
        <f aca="false">G32*x_FIX*(1-x_testy)</f>
        <v>0</v>
      </c>
      <c r="AH32" s="0" t="n">
        <f aca="false">x_z_F*U32+(1-x_AGRI)*x_EMP*x_WLOSS*(x_PEN_K74*Q32+x_PEN_C22*R32)</f>
        <v>20429444.5679228</v>
      </c>
      <c r="AI32" s="0" t="n">
        <f aca="false">x_AGRI*x_EMP*x_WLOSS*(x_PEN_K74*Q32+x_PEN_C22*R32)</f>
        <v>1097141.02756539</v>
      </c>
      <c r="AJ32" s="0" t="n">
        <f aca="false">x_EMP*x_WAGE*(x_WLOSS*(Q32+R32)+S32)+U32*x_ABS_D*x_WAGE/365</f>
        <v>789541923.750654</v>
      </c>
      <c r="AK32" s="0" t="n">
        <f aca="false">AJ32*x_R_FUS</f>
        <v>249811064.674707</v>
      </c>
      <c r="AL32" s="0" t="n">
        <f aca="false">AJ32*x_R_NFZ</f>
        <v>61316615.3403995</v>
      </c>
      <c r="AM32" s="0" t="n">
        <f aca="false">AJ32*x_R_PIT</f>
        <v>52492042.5166084</v>
      </c>
      <c r="AN32" s="0" t="n">
        <f aca="false">AJ32*x_R_FP</f>
        <v>20133319.0556417</v>
      </c>
      <c r="AO32" s="0" t="n">
        <f aca="false">AA32+AB32+AC32+AD32+AF32</f>
        <v>455183330.879807</v>
      </c>
      <c r="AP32" s="0" t="n">
        <f aca="false">AO32+AE32+AG32+AH32+AI32+AK32+AL32+AM32+AN32</f>
        <v>860462958.062652</v>
      </c>
      <c r="AQ32" s="0" t="n">
        <f aca="false">AO32+AE32+AG32+AJ32</f>
        <v>1244725254.63046</v>
      </c>
      <c r="AR32" s="0" t="n">
        <f aca="false">AB32+AC32+AD32+AF32</f>
        <v>137833427.610024</v>
      </c>
      <c r="AS32" s="0" t="n">
        <f aca="false">AR32+AE32+AG32</f>
        <v>137833427.610024</v>
      </c>
    </row>
    <row r="33" customFormat="false" ht="15" hidden="false" customHeight="false" outlineLevel="0" collapsed="false">
      <c r="A33" s="0" t="n">
        <v>2056</v>
      </c>
      <c r="B33" s="0" t="n">
        <v>30</v>
      </c>
      <c r="C33" s="0" t="n">
        <v>4832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2252.217</v>
      </c>
      <c r="I33" s="0" t="n">
        <v>228.971</v>
      </c>
      <c r="J33" s="0" t="n">
        <v>1280.618</v>
      </c>
      <c r="K33" s="0" t="n">
        <v>2123.928</v>
      </c>
      <c r="L33" s="0" t="n">
        <v>996.478</v>
      </c>
      <c r="M33" s="0" t="n">
        <v>108074.981</v>
      </c>
      <c r="N33" s="0" t="n">
        <v>8775.704</v>
      </c>
      <c r="O33" s="0" t="n">
        <v>72.059</v>
      </c>
      <c r="P33" s="0" t="n">
        <v>72.82</v>
      </c>
      <c r="Q33" s="0" t="n">
        <v>1270.979</v>
      </c>
      <c r="R33" s="0" t="n">
        <v>1377.15</v>
      </c>
      <c r="S33" s="0" t="n">
        <v>8612.128</v>
      </c>
      <c r="T33" s="0" t="n">
        <v>2481.188</v>
      </c>
      <c r="U33" s="0" t="n">
        <v>1879.17</v>
      </c>
      <c r="V33" s="0" t="n">
        <v>154955.439</v>
      </c>
      <c r="W33" s="0" t="n">
        <v>224.016</v>
      </c>
      <c r="X33" s="0" t="n">
        <v>601.305</v>
      </c>
      <c r="Y33" s="0" t="n">
        <v>72.059</v>
      </c>
      <c r="Z33" s="0" t="n">
        <v>760.868</v>
      </c>
      <c r="AA33" s="0" t="n">
        <f aca="false">H33*x_c_F+I33*x_c_CC+J33*x_c_DC+K33*x_c_HCC+L33*x_c_PLT+M33*x_c_SVRn+N33*x_c_SVRcc+O33*x_c_LT+P33*x_c_LT1</f>
        <v>314668829.628702</v>
      </c>
      <c r="AB33" s="0" t="n">
        <f aca="false">C33*x_c_DAA</f>
        <v>109976320</v>
      </c>
      <c r="AC33" s="0" t="n">
        <f aca="false">C33*x_c_MON</f>
        <v>27857107.6100244</v>
      </c>
      <c r="AD33" s="0" t="n">
        <f aca="false">D33*(1-x_testy)</f>
        <v>0</v>
      </c>
      <c r="AE33" s="0" t="n">
        <f aca="false">E33*(1-x_testy)</f>
        <v>0</v>
      </c>
      <c r="AF33" s="0" t="n">
        <f aca="false">F33*x_NAV</f>
        <v>0</v>
      </c>
      <c r="AG33" s="0" t="n">
        <f aca="false">G33*x_FIX*(1-x_testy)</f>
        <v>0</v>
      </c>
      <c r="AH33" s="0" t="n">
        <f aca="false">x_z_F*U33+(1-x_AGRI)*x_EMP*x_WLOSS*(x_PEN_K74*Q33+x_PEN_C22*R33)</f>
        <v>20922433.0106762</v>
      </c>
      <c r="AI33" s="0" t="n">
        <f aca="false">x_AGRI*x_EMP*x_WLOSS*(x_PEN_K74*Q33+x_PEN_C22*R33)</f>
        <v>1127569.47621367</v>
      </c>
      <c r="AJ33" s="0" t="n">
        <f aca="false">x_EMP*x_WAGE*(x_WLOSS*(Q33+R33)+S33)+U33*x_ABS_D*x_WAGE/365</f>
        <v>826471365.834598</v>
      </c>
      <c r="AK33" s="0" t="n">
        <f aca="false">AJ33*x_R_FUS</f>
        <v>261495540.150067</v>
      </c>
      <c r="AL33" s="0" t="n">
        <f aca="false">AJ33*x_R_NFZ</f>
        <v>64184592.7420807</v>
      </c>
      <c r="AM33" s="0" t="n">
        <f aca="false">AJ33*x_R_PIT</f>
        <v>54947265.9641188</v>
      </c>
      <c r="AN33" s="0" t="n">
        <f aca="false">AJ33*x_R_FP</f>
        <v>21075019.8287822</v>
      </c>
      <c r="AO33" s="0" t="n">
        <f aca="false">AA33+AB33+AC33+AD33+AF33</f>
        <v>452502257.238726</v>
      </c>
      <c r="AP33" s="0" t="n">
        <f aca="false">AO33+AE33+AG33+AH33+AI33+AK33+AL33+AM33+AN33</f>
        <v>876254678.410665</v>
      </c>
      <c r="AQ33" s="0" t="n">
        <f aca="false">AO33+AE33+AG33+AJ33</f>
        <v>1278973623.07332</v>
      </c>
      <c r="AR33" s="0" t="n">
        <f aca="false">AB33+AC33+AD33+AF33</f>
        <v>137833427.610024</v>
      </c>
      <c r="AS33" s="0" t="n">
        <f aca="false">AR33+AE33+AG33</f>
        <v>137833427.610024</v>
      </c>
    </row>
    <row r="34" customFormat="false" ht="15" hidden="false" customHeight="false" outlineLevel="0" collapsed="false">
      <c r="A34" s="0" t="n">
        <v>2057</v>
      </c>
      <c r="B34" s="0" t="n">
        <v>31</v>
      </c>
      <c r="C34" s="0" t="n">
        <v>4832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2255.294</v>
      </c>
      <c r="I34" s="0" t="n">
        <v>225.273</v>
      </c>
      <c r="J34" s="0" t="n">
        <v>1252.575</v>
      </c>
      <c r="K34" s="0" t="n">
        <v>2084.193</v>
      </c>
      <c r="L34" s="0" t="n">
        <v>971.616</v>
      </c>
      <c r="M34" s="0" t="n">
        <v>110537.053</v>
      </c>
      <c r="N34" s="0" t="n">
        <v>8744.328</v>
      </c>
      <c r="O34" s="0" t="n">
        <v>70.413</v>
      </c>
      <c r="P34" s="0" t="n">
        <v>71.236</v>
      </c>
      <c r="Q34" s="0" t="n">
        <v>1304.667</v>
      </c>
      <c r="R34" s="0" t="n">
        <v>1413.298</v>
      </c>
      <c r="S34" s="0" t="n">
        <v>9021.249</v>
      </c>
      <c r="T34" s="0" t="n">
        <v>2480.567</v>
      </c>
      <c r="U34" s="0" t="n">
        <v>1893.559</v>
      </c>
      <c r="V34" s="0" t="n">
        <v>156477.429</v>
      </c>
      <c r="W34" s="0" t="n">
        <v>219.773</v>
      </c>
      <c r="X34" s="0" t="n">
        <v>590.998</v>
      </c>
      <c r="Y34" s="0" t="n">
        <v>70.413</v>
      </c>
      <c r="Z34" s="0" t="n">
        <v>744.537</v>
      </c>
      <c r="AA34" s="0" t="n">
        <f aca="false">H34*x_c_F+I34*x_c_CC+J34*x_c_DC+K34*x_c_HCC+L34*x_c_PLT+M34*x_c_SVRn+N34*x_c_SVRcc+O34*x_c_LT+P34*x_c_LT1</f>
        <v>311645232.789797</v>
      </c>
      <c r="AB34" s="0" t="n">
        <f aca="false">C34*x_c_DAA</f>
        <v>109976320</v>
      </c>
      <c r="AC34" s="0" t="n">
        <f aca="false">C34*x_c_MON</f>
        <v>27857107.6100244</v>
      </c>
      <c r="AD34" s="0" t="n">
        <f aca="false">D34*(1-x_testy)</f>
        <v>0</v>
      </c>
      <c r="AE34" s="0" t="n">
        <f aca="false">E34*(1-x_testy)</f>
        <v>0</v>
      </c>
      <c r="AF34" s="0" t="n">
        <f aca="false">F34*x_NAV</f>
        <v>0</v>
      </c>
      <c r="AG34" s="0" t="n">
        <f aca="false">G34*x_FIX*(1-x_testy)</f>
        <v>0</v>
      </c>
      <c r="AH34" s="0" t="n">
        <f aca="false">x_z_F*U34+(1-x_AGRI)*x_EMP*x_WLOSS*(x_PEN_K74*Q34+x_PEN_C22*R34)</f>
        <v>21401753.8581868</v>
      </c>
      <c r="AI34" s="0" t="n">
        <f aca="false">x_AGRI*x_EMP*x_WLOSS*(x_PEN_K74*Q34+x_PEN_C22*R34)</f>
        <v>1157296.32189489</v>
      </c>
      <c r="AJ34" s="0" t="n">
        <f aca="false">x_EMP*x_WAGE*(x_WLOSS*(Q34+R34)+S34)+U34*x_ABS_D*x_WAGE/365</f>
        <v>863681326.386792</v>
      </c>
      <c r="AK34" s="0" t="n">
        <f aca="false">AJ34*x_R_FUS</f>
        <v>273268771.668781</v>
      </c>
      <c r="AL34" s="0" t="n">
        <f aca="false">AJ34*x_R_NFZ</f>
        <v>67074355.4885247</v>
      </c>
      <c r="AM34" s="0" t="n">
        <f aca="false">AJ34*x_R_PIT</f>
        <v>57421139.450239</v>
      </c>
      <c r="AN34" s="0" t="n">
        <f aca="false">AJ34*x_R_FP</f>
        <v>22023873.8228632</v>
      </c>
      <c r="AO34" s="0" t="n">
        <f aca="false">AA34+AB34+AC34+AD34+AF34</f>
        <v>449478660.399822</v>
      </c>
      <c r="AP34" s="0" t="n">
        <f aca="false">AO34+AE34+AG34+AH34+AI34+AK34+AL34+AM34+AN34</f>
        <v>891825851.010311</v>
      </c>
      <c r="AQ34" s="0" t="n">
        <f aca="false">AO34+AE34+AG34+AJ34</f>
        <v>1313159986.78661</v>
      </c>
      <c r="AR34" s="0" t="n">
        <f aca="false">AB34+AC34+AD34+AF34</f>
        <v>137833427.610024</v>
      </c>
      <c r="AS34" s="0" t="n">
        <f aca="false">AR34+AE34+AG34</f>
        <v>137833427.610024</v>
      </c>
    </row>
    <row r="35" customFormat="false" ht="15" hidden="false" customHeight="false" outlineLevel="0" collapsed="false">
      <c r="A35" s="0" t="n">
        <v>2058</v>
      </c>
      <c r="B35" s="0" t="n">
        <v>32</v>
      </c>
      <c r="C35" s="0" t="n">
        <v>4832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2258.141</v>
      </c>
      <c r="I35" s="0" t="n">
        <v>221.833</v>
      </c>
      <c r="J35" s="0" t="n">
        <v>1225.763</v>
      </c>
      <c r="K35" s="0" t="n">
        <v>2046.544</v>
      </c>
      <c r="L35" s="0" t="n">
        <v>946.686</v>
      </c>
      <c r="M35" s="0" t="n">
        <v>112967.92</v>
      </c>
      <c r="N35" s="0" t="n">
        <v>8702.47</v>
      </c>
      <c r="O35" s="0" t="n">
        <v>69.029</v>
      </c>
      <c r="P35" s="0" t="n">
        <v>69.721</v>
      </c>
      <c r="Q35" s="0" t="n">
        <v>1337.77</v>
      </c>
      <c r="R35" s="0" t="n">
        <v>1447.985</v>
      </c>
      <c r="S35" s="0" t="n">
        <v>9432.826</v>
      </c>
      <c r="T35" s="0" t="n">
        <v>2479.974</v>
      </c>
      <c r="U35" s="0" t="n">
        <v>1906.469</v>
      </c>
      <c r="V35" s="0" t="n">
        <v>157986.947</v>
      </c>
      <c r="W35" s="0" t="n">
        <v>216.073</v>
      </c>
      <c r="X35" s="0" t="n">
        <v>582.12</v>
      </c>
      <c r="Y35" s="0" t="n">
        <v>69.029</v>
      </c>
      <c r="Z35" s="0" t="n">
        <v>730.899</v>
      </c>
      <c r="AA35" s="0" t="n">
        <f aca="false">H35*x_c_F+I35*x_c_CC+J35*x_c_DC+K35*x_c_HCC+L35*x_c_PLT+M35*x_c_SVRn+N35*x_c_SVRcc+O35*x_c_LT+P35*x_c_LT1</f>
        <v>308818878.355894</v>
      </c>
      <c r="AB35" s="0" t="n">
        <f aca="false">C35*x_c_DAA</f>
        <v>109976320</v>
      </c>
      <c r="AC35" s="0" t="n">
        <f aca="false">C35*x_c_MON</f>
        <v>27857107.6100244</v>
      </c>
      <c r="AD35" s="0" t="n">
        <f aca="false">D35*(1-x_testy)</f>
        <v>0</v>
      </c>
      <c r="AE35" s="0" t="n">
        <f aca="false">E35*(1-x_testy)</f>
        <v>0</v>
      </c>
      <c r="AF35" s="0" t="n">
        <f aca="false">F35*x_NAV</f>
        <v>0</v>
      </c>
      <c r="AG35" s="0" t="n">
        <f aca="false">G35*x_FIX*(1-x_testy)</f>
        <v>0</v>
      </c>
      <c r="AH35" s="0" t="n">
        <f aca="false">x_z_F*U35+(1-x_AGRI)*x_EMP*x_WLOSS*(x_PEN_K74*Q35+x_PEN_C22*R35)</f>
        <v>21864527.9867168</v>
      </c>
      <c r="AI35" s="0" t="n">
        <f aca="false">x_AGRI*x_EMP*x_WLOSS*(x_PEN_K74*Q35+x_PEN_C22*R35)</f>
        <v>1186130.44470607</v>
      </c>
      <c r="AJ35" s="0" t="n">
        <f aca="false">x_EMP*x_WAGE*(x_WLOSS*(Q35+R35)+S35)+U35*x_ABS_D*x_WAGE/365</f>
        <v>901029373.64071</v>
      </c>
      <c r="AK35" s="0" t="n">
        <f aca="false">AJ35*x_R_FUS</f>
        <v>285085693.819921</v>
      </c>
      <c r="AL35" s="0" t="n">
        <f aca="false">AJ35*x_R_NFZ</f>
        <v>69974842.1863112</v>
      </c>
      <c r="AM35" s="0" t="n">
        <f aca="false">AJ35*x_R_PIT</f>
        <v>59904193.5166423</v>
      </c>
      <c r="AN35" s="0" t="n">
        <f aca="false">AJ35*x_R_FP</f>
        <v>22976249.0278381</v>
      </c>
      <c r="AO35" s="0" t="n">
        <f aca="false">AA35+AB35+AC35+AD35+AF35</f>
        <v>446652305.965918</v>
      </c>
      <c r="AP35" s="0" t="n">
        <f aca="false">AO35+AE35+AG35+AH35+AI35+AK35+AL35+AM35+AN35</f>
        <v>907643942.948053</v>
      </c>
      <c r="AQ35" s="0" t="n">
        <f aca="false">AO35+AE35+AG35+AJ35</f>
        <v>1347681679.60663</v>
      </c>
      <c r="AR35" s="0" t="n">
        <f aca="false">AB35+AC35+AD35+AF35</f>
        <v>137833427.610024</v>
      </c>
      <c r="AS35" s="0" t="n">
        <f aca="false">AR35+AE35+AG35</f>
        <v>137833427.610024</v>
      </c>
    </row>
    <row r="36" customFormat="false" ht="15" hidden="false" customHeight="false" outlineLevel="0" collapsed="false">
      <c r="A36" s="0" t="n">
        <v>2059</v>
      </c>
      <c r="B36" s="0" t="n">
        <v>33</v>
      </c>
      <c r="C36" s="0" t="n">
        <v>4832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2260.739</v>
      </c>
      <c r="I36" s="0" t="n">
        <v>218.673</v>
      </c>
      <c r="J36" s="0" t="n">
        <v>1201.281</v>
      </c>
      <c r="K36" s="0" t="n">
        <v>2012.343</v>
      </c>
      <c r="L36" s="0" t="n">
        <v>923.685</v>
      </c>
      <c r="M36" s="0" t="n">
        <v>115434.628</v>
      </c>
      <c r="N36" s="0" t="n">
        <v>8663.045</v>
      </c>
      <c r="O36" s="0" t="n">
        <v>67.652</v>
      </c>
      <c r="P36" s="0" t="n">
        <v>68.341</v>
      </c>
      <c r="Q36" s="0" t="n">
        <v>1013.328</v>
      </c>
      <c r="R36" s="0" t="n">
        <v>1228.394</v>
      </c>
      <c r="S36" s="0" t="n">
        <v>6187.082</v>
      </c>
      <c r="T36" s="0" t="n">
        <v>2479.412</v>
      </c>
      <c r="U36" s="0" t="n">
        <v>1881.929</v>
      </c>
      <c r="V36" s="0" t="n">
        <v>159546.253</v>
      </c>
      <c r="W36" s="0" t="n">
        <v>212.501</v>
      </c>
      <c r="X36" s="0" t="n">
        <v>573.446</v>
      </c>
      <c r="Y36" s="0" t="n">
        <v>67.652</v>
      </c>
      <c r="Z36" s="0" t="n">
        <v>717.299</v>
      </c>
      <c r="AA36" s="0" t="n">
        <f aca="false">H36*x_c_F+I36*x_c_CC+J36*x_c_DC+K36*x_c_HCC+L36*x_c_PLT+M36*x_c_SVRn+N36*x_c_SVRcc+O36*x_c_LT+P36*x_c_LT1</f>
        <v>306350958.070113</v>
      </c>
      <c r="AB36" s="0" t="n">
        <f aca="false">C36*x_c_DAA</f>
        <v>109976320</v>
      </c>
      <c r="AC36" s="0" t="n">
        <f aca="false">C36*x_c_MON</f>
        <v>27857107.6100244</v>
      </c>
      <c r="AD36" s="0" t="n">
        <f aca="false">D36*(1-x_testy)</f>
        <v>0</v>
      </c>
      <c r="AE36" s="0" t="n">
        <f aca="false">E36*(1-x_testy)</f>
        <v>0</v>
      </c>
      <c r="AF36" s="0" t="n">
        <f aca="false">F36*x_NAV</f>
        <v>0</v>
      </c>
      <c r="AG36" s="0" t="n">
        <f aca="false">G36*x_FIX*(1-x_testy)</f>
        <v>0</v>
      </c>
      <c r="AH36" s="0" t="n">
        <f aca="false">x_z_F*U36+(1-x_AGRI)*x_EMP*x_WLOSS*(x_PEN_K74*Q36+x_PEN_C22*R36)</f>
        <v>18361444.566174</v>
      </c>
      <c r="AI36" s="0" t="n">
        <f aca="false">x_AGRI*x_EMP*x_WLOSS*(x_PEN_K74*Q36+x_PEN_C22*R36)</f>
        <v>957918.12991014</v>
      </c>
      <c r="AJ36" s="0" t="n">
        <f aca="false">x_EMP*x_WAGE*(x_WLOSS*(Q36+R36)+S36)+U36*x_ABS_D*x_WAGE/365</f>
        <v>606416546.855011</v>
      </c>
      <c r="AK36" s="0" t="n">
        <f aca="false">AJ36*x_R_FUS</f>
        <v>191870195.424925</v>
      </c>
      <c r="AL36" s="0" t="n">
        <f aca="false">AJ36*x_R_NFZ</f>
        <v>47094915.445307</v>
      </c>
      <c r="AM36" s="0" t="n">
        <f aca="false">AJ36*x_R_PIT</f>
        <v>40317103.1236348</v>
      </c>
      <c r="AN36" s="0" t="n">
        <f aca="false">AJ36*x_R_FP</f>
        <v>15463621.9448028</v>
      </c>
      <c r="AO36" s="0" t="n">
        <f aca="false">AA36+AB36+AC36+AD36+AF36</f>
        <v>444184385.680138</v>
      </c>
      <c r="AP36" s="0" t="n">
        <f aca="false">AO36+AE36+AG36+AH36+AI36+AK36+AL36+AM36+AN36</f>
        <v>758249584.314892</v>
      </c>
      <c r="AQ36" s="0" t="n">
        <f aca="false">AO36+AE36+AG36+AJ36</f>
        <v>1050600932.53515</v>
      </c>
      <c r="AR36" s="0" t="n">
        <f aca="false">AB36+AC36+AD36+AF36</f>
        <v>137833427.610024</v>
      </c>
      <c r="AS36" s="0" t="n">
        <f aca="false">AR36+AE36+AG36</f>
        <v>137833427.610024</v>
      </c>
    </row>
    <row r="37" customFormat="false" ht="15" hidden="false" customHeight="false" outlineLevel="0" collapsed="false">
      <c r="A37" s="0" t="n">
        <v>2060</v>
      </c>
      <c r="B37" s="0" t="n">
        <v>34</v>
      </c>
      <c r="C37" s="0" t="n">
        <v>4832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2263.142</v>
      </c>
      <c r="I37" s="0" t="n">
        <v>215.729</v>
      </c>
      <c r="J37" s="0" t="n">
        <v>1177.107</v>
      </c>
      <c r="K37" s="0" t="n">
        <v>1978.775</v>
      </c>
      <c r="L37" s="0" t="n">
        <v>899.002</v>
      </c>
      <c r="M37" s="0" t="n">
        <v>117799.125</v>
      </c>
      <c r="N37" s="0" t="n">
        <v>8603.275</v>
      </c>
      <c r="O37" s="0" t="n">
        <v>66.296</v>
      </c>
      <c r="P37" s="0" t="n">
        <v>66.974</v>
      </c>
      <c r="Q37" s="0" t="n">
        <v>670.099</v>
      </c>
      <c r="R37" s="0" t="n">
        <v>988.189</v>
      </c>
      <c r="S37" s="0" t="n">
        <v>2727.059</v>
      </c>
      <c r="T37" s="0" t="n">
        <v>2478.871</v>
      </c>
      <c r="U37" s="0" t="n">
        <v>1851.257</v>
      </c>
      <c r="V37" s="0" t="n">
        <v>161025.494</v>
      </c>
      <c r="W37" s="0" t="n">
        <v>209.073</v>
      </c>
      <c r="X37" s="0" t="n">
        <v>565.022</v>
      </c>
      <c r="Y37" s="0" t="n">
        <v>66.296</v>
      </c>
      <c r="Z37" s="0" t="n">
        <v>703.852</v>
      </c>
      <c r="AA37" s="0" t="n">
        <f aca="false">H37*x_c_F+I37*x_c_CC+J37*x_c_DC+K37*x_c_HCC+L37*x_c_PLT+M37*x_c_SVRn+N37*x_c_SVRcc+O37*x_c_LT+P37*x_c_LT1</f>
        <v>303765027.778938</v>
      </c>
      <c r="AB37" s="0" t="n">
        <f aca="false">C37*x_c_DAA</f>
        <v>109976320</v>
      </c>
      <c r="AC37" s="0" t="n">
        <f aca="false">C37*x_c_MON</f>
        <v>27857107.6100244</v>
      </c>
      <c r="AD37" s="0" t="n">
        <f aca="false">D37*(1-x_testy)</f>
        <v>0</v>
      </c>
      <c r="AE37" s="0" t="n">
        <f aca="false">E37*(1-x_testy)</f>
        <v>0</v>
      </c>
      <c r="AF37" s="0" t="n">
        <f aca="false">F37*x_NAV</f>
        <v>0</v>
      </c>
      <c r="AG37" s="0" t="n">
        <f aca="false">G37*x_FIX*(1-x_testy)</f>
        <v>0</v>
      </c>
      <c r="AH37" s="0" t="n">
        <f aca="false">x_z_F*U37+(1-x_AGRI)*x_EMP*x_WLOSS*(x_PEN_K74*Q37+x_PEN_C22*R37)</f>
        <v>14591834.7402346</v>
      </c>
      <c r="AI37" s="0" t="n">
        <f aca="false">x_AGRI*x_EMP*x_WLOSS*(x_PEN_K74*Q37+x_PEN_C22*R37)</f>
        <v>712922.217742724</v>
      </c>
      <c r="AJ37" s="0" t="n">
        <f aca="false">x_EMP*x_WAGE*(x_WLOSS*(Q37+R37)+S37)+U37*x_ABS_D*x_WAGE/365</f>
        <v>292226521.374496</v>
      </c>
      <c r="AK37" s="0" t="n">
        <f aca="false">AJ37*x_R_FUS</f>
        <v>92460471.3628905</v>
      </c>
      <c r="AL37" s="0" t="n">
        <f aca="false">AJ37*x_R_NFZ</f>
        <v>22694603.8764647</v>
      </c>
      <c r="AM37" s="0" t="n">
        <f aca="false">AJ37*x_R_PIT</f>
        <v>19428438.8492017</v>
      </c>
      <c r="AN37" s="0" t="n">
        <f aca="false">AJ37*x_R_FP</f>
        <v>7451776.29504965</v>
      </c>
      <c r="AO37" s="0" t="n">
        <f aca="false">AA37+AB37+AC37+AD37+AF37</f>
        <v>441598455.388962</v>
      </c>
      <c r="AP37" s="0" t="n">
        <f aca="false">AO37+AE37+AG37+AH37+AI37+AK37+AL37+AM37+AN37</f>
        <v>598938502.730546</v>
      </c>
      <c r="AQ37" s="0" t="n">
        <f aca="false">AO37+AE37+AG37+AJ37</f>
        <v>733824976.763458</v>
      </c>
      <c r="AR37" s="0" t="n">
        <f aca="false">AB37+AC37+AD37+AF37</f>
        <v>137833427.610024</v>
      </c>
      <c r="AS37" s="0" t="n">
        <f aca="false">AR37+AE37+AG37</f>
        <v>137833427.610024</v>
      </c>
    </row>
    <row r="38" customFormat="false" ht="15" hidden="false" customHeight="false" outlineLevel="0" collapsed="false">
      <c r="A38" s="0" t="n">
        <v>2061</v>
      </c>
      <c r="B38" s="0" t="n">
        <v>35</v>
      </c>
      <c r="C38" s="0" t="n">
        <v>4832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2265.331</v>
      </c>
      <c r="I38" s="0" t="n">
        <v>213.02</v>
      </c>
      <c r="J38" s="0" t="n">
        <v>1153.522</v>
      </c>
      <c r="K38" s="0" t="n">
        <v>1946.16</v>
      </c>
      <c r="L38" s="0" t="n">
        <v>872.914</v>
      </c>
      <c r="M38" s="0" t="n">
        <v>120062.928</v>
      </c>
      <c r="N38" s="0" t="n">
        <v>8525.279</v>
      </c>
      <c r="O38" s="0" t="n">
        <v>64.98</v>
      </c>
      <c r="P38" s="0" t="n">
        <v>65.638</v>
      </c>
      <c r="Q38" s="0" t="n">
        <v>665.373</v>
      </c>
      <c r="R38" s="0" t="n">
        <v>980.987</v>
      </c>
      <c r="S38" s="0" t="n">
        <v>2711.358</v>
      </c>
      <c r="T38" s="0" t="n">
        <v>2478.351</v>
      </c>
      <c r="U38" s="0" t="n">
        <v>1851.048</v>
      </c>
      <c r="V38" s="0" t="n">
        <v>162427.875</v>
      </c>
      <c r="W38" s="0" t="n">
        <v>205.821</v>
      </c>
      <c r="X38" s="0" t="n">
        <v>556.93</v>
      </c>
      <c r="Y38" s="0" t="n">
        <v>64.98</v>
      </c>
      <c r="Z38" s="0" t="n">
        <v>690.739</v>
      </c>
      <c r="AA38" s="0" t="n">
        <f aca="false">H38*x_c_F+I38*x_c_CC+J38*x_c_DC+K38*x_c_HCC+L38*x_c_PLT+M38*x_c_SVRn+N38*x_c_SVRcc+O38*x_c_LT+P38*x_c_LT1</f>
        <v>301109237.670985</v>
      </c>
      <c r="AB38" s="0" t="n">
        <f aca="false">C38*x_c_DAA</f>
        <v>109976320</v>
      </c>
      <c r="AC38" s="0" t="n">
        <f aca="false">C38*x_c_MON</f>
        <v>27857107.6100244</v>
      </c>
      <c r="AD38" s="0" t="n">
        <f aca="false">D38*(1-x_testy)</f>
        <v>0</v>
      </c>
      <c r="AE38" s="0" t="n">
        <f aca="false">E38*(1-x_testy)</f>
        <v>0</v>
      </c>
      <c r="AF38" s="0" t="n">
        <f aca="false">F38*x_NAV</f>
        <v>0</v>
      </c>
      <c r="AG38" s="0" t="n">
        <f aca="false">G38*x_FIX*(1-x_testy)</f>
        <v>0</v>
      </c>
      <c r="AH38" s="0" t="n">
        <f aca="false">x_z_F*U38+(1-x_AGRI)*x_EMP*x_WLOSS*(x_PEN_K74*Q38+x_PEN_C22*R38)</f>
        <v>14513745.8995955</v>
      </c>
      <c r="AI38" s="0" t="n">
        <f aca="false">x_AGRI*x_EMP*x_WLOSS*(x_PEN_K74*Q38+x_PEN_C22*R38)</f>
        <v>707789.09654686</v>
      </c>
      <c r="AJ38" s="0" t="n">
        <f aca="false">x_EMP*x_WAGE*(x_WLOSS*(Q38+R38)+S38)+U38*x_ABS_D*x_WAGE/365</f>
        <v>290496811.136613</v>
      </c>
      <c r="AK38" s="0" t="n">
        <f aca="false">AJ38*x_R_FUS</f>
        <v>91913191.0436245</v>
      </c>
      <c r="AL38" s="0" t="n">
        <f aca="false">AJ38*x_R_NFZ</f>
        <v>22560272.8496805</v>
      </c>
      <c r="AM38" s="0" t="n">
        <f aca="false">AJ38*x_R_PIT</f>
        <v>19313440.4930447</v>
      </c>
      <c r="AN38" s="0" t="n">
        <f aca="false">AJ38*x_R_FP</f>
        <v>7407668.68398364</v>
      </c>
      <c r="AO38" s="0" t="n">
        <f aca="false">AA38+AB38+AC38+AD38+AF38</f>
        <v>438942665.28101</v>
      </c>
      <c r="AP38" s="0" t="n">
        <f aca="false">AO38+AE38+AG38+AH38+AI38+AK38+AL38+AM38+AN38</f>
        <v>595358773.347486</v>
      </c>
      <c r="AQ38" s="0" t="n">
        <f aca="false">AO38+AE38+AG38+AJ38</f>
        <v>729439476.417623</v>
      </c>
      <c r="AR38" s="0" t="n">
        <f aca="false">AB38+AC38+AD38+AF38</f>
        <v>137833427.610024</v>
      </c>
      <c r="AS38" s="0" t="n">
        <f aca="false">AR38+AE38+AG38</f>
        <v>137833427.610024</v>
      </c>
    </row>
    <row r="39" customFormat="false" ht="15" hidden="false" customHeight="false" outlineLevel="0" collapsed="false">
      <c r="A39" s="0" t="n">
        <v>2062</v>
      </c>
      <c r="B39" s="0" t="n">
        <v>36</v>
      </c>
      <c r="C39" s="0" t="n">
        <v>4832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2267.285</v>
      </c>
      <c r="I39" s="0" t="n">
        <v>210.57</v>
      </c>
      <c r="J39" s="0" t="n">
        <v>1130.878</v>
      </c>
      <c r="K39" s="0" t="n">
        <v>1914.924</v>
      </c>
      <c r="L39" s="0" t="n">
        <v>845.852</v>
      </c>
      <c r="M39" s="0" t="n">
        <v>122233.211</v>
      </c>
      <c r="N39" s="0" t="n">
        <v>8432.415</v>
      </c>
      <c r="O39" s="0" t="n">
        <v>63.725</v>
      </c>
      <c r="P39" s="0" t="n">
        <v>64.352</v>
      </c>
      <c r="Q39" s="0" t="n">
        <v>660.756</v>
      </c>
      <c r="R39" s="0" t="n">
        <v>973.942</v>
      </c>
      <c r="S39" s="0" t="n">
        <v>2696.071</v>
      </c>
      <c r="T39" s="0" t="n">
        <v>2477.855</v>
      </c>
      <c r="U39" s="0" t="n">
        <v>1850.711</v>
      </c>
      <c r="V39" s="0" t="n">
        <v>163762.311</v>
      </c>
      <c r="W39" s="0" t="n">
        <v>202.78</v>
      </c>
      <c r="X39" s="0" t="n">
        <v>549.271</v>
      </c>
      <c r="Y39" s="0" t="n">
        <v>63.725</v>
      </c>
      <c r="Z39" s="0" t="n">
        <v>678.159</v>
      </c>
      <c r="AA39" s="0" t="n">
        <f aca="false">H39*x_c_F+I39*x_c_CC+J39*x_c_DC+K39*x_c_HCC+L39*x_c_PLT+M39*x_c_SVRn+N39*x_c_SVRcc+O39*x_c_LT+P39*x_c_LT1</f>
        <v>298452193.35643</v>
      </c>
      <c r="AB39" s="0" t="n">
        <f aca="false">C39*x_c_DAA</f>
        <v>109976320</v>
      </c>
      <c r="AC39" s="0" t="n">
        <f aca="false">C39*x_c_MON</f>
        <v>27857107.6100244</v>
      </c>
      <c r="AD39" s="0" t="n">
        <f aca="false">D39*(1-x_testy)</f>
        <v>0</v>
      </c>
      <c r="AE39" s="0" t="n">
        <f aca="false">E39*(1-x_testy)</f>
        <v>0</v>
      </c>
      <c r="AF39" s="0" t="n">
        <f aca="false">F39*x_NAV</f>
        <v>0</v>
      </c>
      <c r="AG39" s="0" t="n">
        <f aca="false">G39*x_FIX*(1-x_testy)</f>
        <v>0</v>
      </c>
      <c r="AH39" s="0" t="n">
        <f aca="false">x_z_F*U39+(1-x_AGRI)*x_EMP*x_WLOSS*(x_PEN_K74*Q39+x_PEN_C22*R39)</f>
        <v>14437122.7769426</v>
      </c>
      <c r="AI39" s="0" t="n">
        <f aca="false">x_AGRI*x_EMP*x_WLOSS*(x_PEN_K74*Q39+x_PEN_C22*R39)</f>
        <v>702770.250606893</v>
      </c>
      <c r="AJ39" s="0" t="n">
        <f aca="false">x_EMP*x_WAGE*(x_WLOSS*(Q39+R39)+S39)+U39*x_ABS_D*x_WAGE/365</f>
        <v>288810729.334697</v>
      </c>
      <c r="AK39" s="0" t="n">
        <f aca="false">AJ39*x_R_FUS</f>
        <v>91379714.7614982</v>
      </c>
      <c r="AL39" s="0" t="n">
        <f aca="false">AJ39*x_R_NFZ</f>
        <v>22429330.0508619</v>
      </c>
      <c r="AM39" s="0" t="n">
        <f aca="false">AJ39*x_R_PIT</f>
        <v>19201342.7374091</v>
      </c>
      <c r="AN39" s="0" t="n">
        <f aca="false">AJ39*x_R_FP</f>
        <v>7364673.59803478</v>
      </c>
      <c r="AO39" s="0" t="n">
        <f aca="false">AA39+AB39+AC39+AD39+AF39</f>
        <v>436285620.966454</v>
      </c>
      <c r="AP39" s="0" t="n">
        <f aca="false">AO39+AE39+AG39+AH39+AI39+AK39+AL39+AM39+AN39</f>
        <v>591800575.141808</v>
      </c>
      <c r="AQ39" s="0" t="n">
        <f aca="false">AO39+AE39+AG39+AJ39</f>
        <v>725096350.301151</v>
      </c>
      <c r="AR39" s="0" t="n">
        <f aca="false">AB39+AC39+AD39+AF39</f>
        <v>137833427.610024</v>
      </c>
      <c r="AS39" s="0" t="n">
        <f aca="false">AR39+AE39+AG39</f>
        <v>137833427.610024</v>
      </c>
    </row>
    <row r="40" customFormat="false" ht="15" hidden="false" customHeight="false" outlineLevel="0" collapsed="false">
      <c r="A40" s="0" t="n">
        <v>2063</v>
      </c>
      <c r="B40" s="0" t="n">
        <v>37</v>
      </c>
      <c r="C40" s="0" t="n">
        <v>4832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2268.979</v>
      </c>
      <c r="I40" s="0" t="n">
        <v>208.407</v>
      </c>
      <c r="J40" s="0" t="n">
        <v>1109.563</v>
      </c>
      <c r="K40" s="0" t="n">
        <v>1885.557</v>
      </c>
      <c r="L40" s="0" t="n">
        <v>818.384</v>
      </c>
      <c r="M40" s="0" t="n">
        <v>124322.803</v>
      </c>
      <c r="N40" s="0" t="n">
        <v>8329.199</v>
      </c>
      <c r="O40" s="0" t="n">
        <v>62.555</v>
      </c>
      <c r="P40" s="0" t="n">
        <v>63.14</v>
      </c>
      <c r="Q40" s="0" t="n">
        <v>656.166</v>
      </c>
      <c r="R40" s="0" t="n">
        <v>966.966</v>
      </c>
      <c r="S40" s="0" t="n">
        <v>2680.722</v>
      </c>
      <c r="T40" s="0" t="n">
        <v>2477.386</v>
      </c>
      <c r="U40" s="0" t="n">
        <v>1850.189</v>
      </c>
      <c r="V40" s="0" t="n">
        <v>165043.144</v>
      </c>
      <c r="W40" s="0" t="n">
        <v>199.994</v>
      </c>
      <c r="X40" s="0" t="n">
        <v>542.168</v>
      </c>
      <c r="Y40" s="0" t="n">
        <v>62.555</v>
      </c>
      <c r="Z40" s="0" t="n">
        <v>666.35</v>
      </c>
      <c r="AA40" s="0" t="n">
        <f aca="false">H40*x_c_F+I40*x_c_CC+J40*x_c_DC+K40*x_c_HCC+L40*x_c_PLT+M40*x_c_SVRn+N40*x_c_SVRcc+O40*x_c_LT+P40*x_c_LT1</f>
        <v>295879440.886421</v>
      </c>
      <c r="AB40" s="0" t="n">
        <f aca="false">C40*x_c_DAA</f>
        <v>109976320</v>
      </c>
      <c r="AC40" s="0" t="n">
        <f aca="false">C40*x_c_MON</f>
        <v>27857107.6100244</v>
      </c>
      <c r="AD40" s="0" t="n">
        <f aca="false">D40*(1-x_testy)</f>
        <v>0</v>
      </c>
      <c r="AE40" s="0" t="n">
        <f aca="false">E40*(1-x_testy)</f>
        <v>0</v>
      </c>
      <c r="AF40" s="0" t="n">
        <f aca="false">F40*x_NAV</f>
        <v>0</v>
      </c>
      <c r="AG40" s="0" t="n">
        <f aca="false">G40*x_FIX*(1-x_testy)</f>
        <v>0</v>
      </c>
      <c r="AH40" s="0" t="n">
        <f aca="false">x_z_F*U40+(1-x_AGRI)*x_EMP*x_WLOSS*(x_PEN_K74*Q40+x_PEN_C22*R40)</f>
        <v>14360753.3940281</v>
      </c>
      <c r="AI40" s="0" t="n">
        <f aca="false">x_AGRI*x_EMP*x_WLOSS*(x_PEN_K74*Q40+x_PEN_C22*R40)</f>
        <v>697793.316300873</v>
      </c>
      <c r="AJ40" s="0" t="n">
        <f aca="false">x_EMP*x_WAGE*(x_WLOSS*(Q40+R40)+S40)+U40*x_ABS_D*x_WAGE/365</f>
        <v>287121960.188248</v>
      </c>
      <c r="AK40" s="0" t="n">
        <f aca="false">AJ40*x_R_FUS</f>
        <v>90845388.2035618</v>
      </c>
      <c r="AL40" s="0" t="n">
        <f aca="false">AJ40*x_R_NFZ</f>
        <v>22298178.5501796</v>
      </c>
      <c r="AM40" s="0" t="n">
        <f aca="false">AJ40*x_R_PIT</f>
        <v>19089066.3158924</v>
      </c>
      <c r="AN40" s="0" t="n">
        <f aca="false">AJ40*x_R_FP</f>
        <v>7321609.98480033</v>
      </c>
      <c r="AO40" s="0" t="n">
        <f aca="false">AA40+AB40+AC40+AD40+AF40</f>
        <v>433712868.496445</v>
      </c>
      <c r="AP40" s="0" t="n">
        <f aca="false">AO40+AE40+AG40+AH40+AI40+AK40+AL40+AM40+AN40</f>
        <v>588325658.261208</v>
      </c>
      <c r="AQ40" s="0" t="n">
        <f aca="false">AO40+AE40+AG40+AJ40</f>
        <v>720834828.684693</v>
      </c>
      <c r="AR40" s="0" t="n">
        <f aca="false">AB40+AC40+AD40+AF40</f>
        <v>137833427.610024</v>
      </c>
      <c r="AS40" s="0" t="n">
        <f aca="false">AR40+AE40+AG40</f>
        <v>137833427.610024</v>
      </c>
    </row>
    <row r="41" customFormat="false" ht="15" hidden="false" customHeight="false" outlineLevel="0" collapsed="false">
      <c r="A41" s="0" t="n">
        <v>2064</v>
      </c>
      <c r="B41" s="0" t="n">
        <v>38</v>
      </c>
      <c r="C41" s="0" t="n">
        <v>4832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2270.397</v>
      </c>
      <c r="I41" s="0" t="n">
        <v>206.549</v>
      </c>
      <c r="J41" s="0" t="n">
        <v>1089.975</v>
      </c>
      <c r="K41" s="0" t="n">
        <v>1858.569</v>
      </c>
      <c r="L41" s="0" t="n">
        <v>791.19</v>
      </c>
      <c r="M41" s="0" t="n">
        <v>126349.671</v>
      </c>
      <c r="N41" s="0" t="n">
        <v>8221.103</v>
      </c>
      <c r="O41" s="0" t="n">
        <v>61.492</v>
      </c>
      <c r="P41" s="0" t="n">
        <v>62.023</v>
      </c>
      <c r="Q41" s="0" t="n">
        <v>651.583</v>
      </c>
      <c r="R41" s="0" t="n">
        <v>960.041</v>
      </c>
      <c r="S41" s="0" t="n">
        <v>2665.186</v>
      </c>
      <c r="T41" s="0" t="n">
        <v>2476.947</v>
      </c>
      <c r="U41" s="0" t="n">
        <v>1849.45</v>
      </c>
      <c r="V41" s="0" t="n">
        <v>166289.248</v>
      </c>
      <c r="W41" s="0" t="n">
        <v>197.503</v>
      </c>
      <c r="X41" s="0" t="n">
        <v>535.738</v>
      </c>
      <c r="Y41" s="0" t="n">
        <v>61.492</v>
      </c>
      <c r="Z41" s="0" t="n">
        <v>655.535</v>
      </c>
      <c r="AA41" s="0" t="n">
        <f aca="false">H41*x_c_F+I41*x_c_CC+J41*x_c_DC+K41*x_c_HCC+L41*x_c_PLT+M41*x_c_SVRn+N41*x_c_SVRcc+O41*x_c_LT+P41*x_c_LT1</f>
        <v>293486434.108814</v>
      </c>
      <c r="AB41" s="0" t="n">
        <f aca="false">C41*x_c_DAA</f>
        <v>109976320</v>
      </c>
      <c r="AC41" s="0" t="n">
        <f aca="false">C41*x_c_MON</f>
        <v>27857107.6100244</v>
      </c>
      <c r="AD41" s="0" t="n">
        <f aca="false">D41*(1-x_testy)</f>
        <v>0</v>
      </c>
      <c r="AE41" s="0" t="n">
        <f aca="false">E41*(1-x_testy)</f>
        <v>0</v>
      </c>
      <c r="AF41" s="0" t="n">
        <f aca="false">F41*x_NAV</f>
        <v>0</v>
      </c>
      <c r="AG41" s="0" t="n">
        <f aca="false">G41*x_FIX*(1-x_testy)</f>
        <v>0</v>
      </c>
      <c r="AH41" s="0" t="n">
        <f aca="false">x_z_F*U41+(1-x_AGRI)*x_EMP*x_WLOSS*(x_PEN_K74*Q41+x_PEN_C22*R41)</f>
        <v>14284328.6150258</v>
      </c>
      <c r="AI41" s="0" t="n">
        <f aca="false">x_AGRI*x_EMP*x_WLOSS*(x_PEN_K74*Q41+x_PEN_C22*R41)</f>
        <v>692842.208871341</v>
      </c>
      <c r="AJ41" s="0" t="n">
        <f aca="false">x_EMP*x_WAGE*(x_WLOSS*(Q41+R41)+S41)+U41*x_ABS_D*x_WAGE/365</f>
        <v>285418508.342172</v>
      </c>
      <c r="AK41" s="0" t="n">
        <f aca="false">AJ41*x_R_FUS</f>
        <v>90306416.0394633</v>
      </c>
      <c r="AL41" s="0" t="n">
        <f aca="false">AJ41*x_R_NFZ</f>
        <v>22165886.7763614</v>
      </c>
      <c r="AM41" s="0" t="n">
        <f aca="false">AJ41*x_R_PIT</f>
        <v>18975813.7272212</v>
      </c>
      <c r="AN41" s="0" t="n">
        <f aca="false">AJ41*x_R_FP</f>
        <v>7278171.96272539</v>
      </c>
      <c r="AO41" s="0" t="n">
        <f aca="false">AA41+AB41+AC41+AD41+AF41</f>
        <v>431319861.718839</v>
      </c>
      <c r="AP41" s="0" t="n">
        <f aca="false">AO41+AE41+AG41+AH41+AI41+AK41+AL41+AM41+AN41</f>
        <v>585023321.048507</v>
      </c>
      <c r="AQ41" s="0" t="n">
        <f aca="false">AO41+AE41+AG41+AJ41</f>
        <v>716738370.061011</v>
      </c>
      <c r="AR41" s="0" t="n">
        <f aca="false">AB41+AC41+AD41+AF41</f>
        <v>137833427.610024</v>
      </c>
      <c r="AS41" s="0" t="n">
        <f aca="false">AR41+AE41+AG41</f>
        <v>137833427.610024</v>
      </c>
    </row>
    <row r="42" customFormat="false" ht="15" hidden="false" customHeight="false" outlineLevel="0" collapsed="false">
      <c r="A42" s="0" t="n">
        <v>2065</v>
      </c>
      <c r="B42" s="0" t="n">
        <v>39</v>
      </c>
      <c r="C42" s="0" t="n">
        <v>4832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2271.536</v>
      </c>
      <c r="I42" s="0" t="n">
        <v>205.001</v>
      </c>
      <c r="J42" s="0" t="n">
        <v>1072.439</v>
      </c>
      <c r="K42" s="0" t="n">
        <v>1834.383</v>
      </c>
      <c r="L42" s="0" t="n">
        <v>764.962</v>
      </c>
      <c r="M42" s="0" t="n">
        <v>128333.631</v>
      </c>
      <c r="N42" s="0" t="n">
        <v>8113.763</v>
      </c>
      <c r="O42" s="0" t="n">
        <v>60.552</v>
      </c>
      <c r="P42" s="0" t="n">
        <v>61.022</v>
      </c>
      <c r="Q42" s="0" t="n">
        <v>646.989</v>
      </c>
      <c r="R42" s="0" t="n">
        <v>953.153</v>
      </c>
      <c r="S42" s="0" t="n">
        <v>2649.334</v>
      </c>
      <c r="T42" s="0" t="n">
        <v>2476.538</v>
      </c>
      <c r="U42" s="0" t="n">
        <v>1848.483</v>
      </c>
      <c r="V42" s="0" t="n">
        <v>167520.34</v>
      </c>
      <c r="W42" s="0" t="n">
        <v>195.33</v>
      </c>
      <c r="X42" s="0" t="n">
        <v>530.058</v>
      </c>
      <c r="Y42" s="0" t="n">
        <v>60.552</v>
      </c>
      <c r="Z42" s="0" t="n">
        <v>645.886</v>
      </c>
      <c r="AA42" s="0" t="n">
        <f aca="false">H42*x_c_F+I42*x_c_CC+J42*x_c_DC+K42*x_c_HCC+L42*x_c_PLT+M42*x_c_SVRn+N42*x_c_SVRcc+O42*x_c_LT+P42*x_c_LT1</f>
        <v>291361711.939967</v>
      </c>
      <c r="AB42" s="0" t="n">
        <f aca="false">C42*x_c_DAA</f>
        <v>109976320</v>
      </c>
      <c r="AC42" s="0" t="n">
        <f aca="false">C42*x_c_MON</f>
        <v>27857107.6100244</v>
      </c>
      <c r="AD42" s="0" t="n">
        <f aca="false">D42*(1-x_testy)</f>
        <v>0</v>
      </c>
      <c r="AE42" s="0" t="n">
        <f aca="false">E42*(1-x_testy)</f>
        <v>0</v>
      </c>
      <c r="AF42" s="0" t="n">
        <f aca="false">F42*x_NAV</f>
        <v>0</v>
      </c>
      <c r="AG42" s="0" t="n">
        <f aca="false">G42*x_FIX*(1-x_testy)</f>
        <v>0</v>
      </c>
      <c r="AH42" s="0" t="n">
        <f aca="false">x_z_F*U42+(1-x_AGRI)*x_EMP*x_WLOSS*(x_PEN_K74*Q42+x_PEN_C22*R42)</f>
        <v>14207621.851787</v>
      </c>
      <c r="AI42" s="0" t="n">
        <f aca="false">x_AGRI*x_EMP*x_WLOSS*(x_PEN_K74*Q42+x_PEN_C22*R42)</f>
        <v>687903.446082781</v>
      </c>
      <c r="AJ42" s="0" t="n">
        <f aca="false">x_EMP*x_WAGE*(x_WLOSS*(Q42+R42)+S42)+U42*x_ABS_D*x_WAGE/365</f>
        <v>283688295.473752</v>
      </c>
      <c r="AK42" s="0" t="n">
        <f aca="false">AJ42*x_R_FUS</f>
        <v>89758976.6878951</v>
      </c>
      <c r="AL42" s="0" t="n">
        <f aca="false">AJ42*x_R_NFZ</f>
        <v>22031516.714787</v>
      </c>
      <c r="AM42" s="0" t="n">
        <f aca="false">AJ42*x_R_PIT</f>
        <v>18860781.9540881</v>
      </c>
      <c r="AN42" s="0" t="n">
        <f aca="false">AJ42*x_R_FP</f>
        <v>7234051.53458067</v>
      </c>
      <c r="AO42" s="0" t="n">
        <f aca="false">AA42+AB42+AC42+AD42+AF42</f>
        <v>429195139.549991</v>
      </c>
      <c r="AP42" s="0" t="n">
        <f aca="false">AO42+AE42+AG42+AH42+AI42+AK42+AL42+AM42+AN42</f>
        <v>581975991.739212</v>
      </c>
      <c r="AQ42" s="0" t="n">
        <f aca="false">AO42+AE42+AG42+AJ42</f>
        <v>712883435.023743</v>
      </c>
      <c r="AR42" s="0" t="n">
        <f aca="false">AB42+AC42+AD42+AF42</f>
        <v>137833427.610024</v>
      </c>
      <c r="AS42" s="0" t="n">
        <f aca="false">AR42+AE42+AG42</f>
        <v>137833427.610024</v>
      </c>
    </row>
    <row r="43" customFormat="false" ht="15" hidden="false" customHeight="false" outlineLevel="0" collapsed="false">
      <c r="A43" s="0" t="n">
        <v>2066</v>
      </c>
      <c r="B43" s="0" t="n">
        <v>40</v>
      </c>
      <c r="C43" s="0" t="n">
        <v>4832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2272.41</v>
      </c>
      <c r="I43" s="0" t="n">
        <v>203.748</v>
      </c>
      <c r="J43" s="0" t="n">
        <v>1057.164</v>
      </c>
      <c r="K43" s="0" t="n">
        <v>1813.261</v>
      </c>
      <c r="L43" s="0" t="n">
        <v>740.324</v>
      </c>
      <c r="M43" s="0" t="n">
        <v>130293.743</v>
      </c>
      <c r="N43" s="0" t="n">
        <v>8012.361</v>
      </c>
      <c r="O43" s="0" t="n">
        <v>59.744</v>
      </c>
      <c r="P43" s="0" t="n">
        <v>60.148</v>
      </c>
      <c r="Q43" s="0" t="n">
        <v>642.366</v>
      </c>
      <c r="R43" s="0" t="n">
        <v>946.288</v>
      </c>
      <c r="S43" s="0" t="n">
        <v>2633.027</v>
      </c>
      <c r="T43" s="0" t="n">
        <v>2476.158</v>
      </c>
      <c r="U43" s="0" t="n">
        <v>1847.305</v>
      </c>
      <c r="V43" s="0" t="n">
        <v>168754.334</v>
      </c>
      <c r="W43" s="0" t="n">
        <v>193.477</v>
      </c>
      <c r="X43" s="0" t="n">
        <v>525.156</v>
      </c>
      <c r="Y43" s="0" t="n">
        <v>59.744</v>
      </c>
      <c r="Z43" s="0" t="n">
        <v>637.504</v>
      </c>
      <c r="AA43" s="0" t="n">
        <f aca="false">H43*x_c_F+I43*x_c_CC+J43*x_c_DC+K43*x_c_HCC+L43*x_c_PLT+M43*x_c_SVRn+N43*x_c_SVRcc+O43*x_c_LT+P43*x_c_LT1</f>
        <v>289574793.223886</v>
      </c>
      <c r="AB43" s="0" t="n">
        <f aca="false">C43*x_c_DAA</f>
        <v>109976320</v>
      </c>
      <c r="AC43" s="0" t="n">
        <f aca="false">C43*x_c_MON</f>
        <v>27857107.6100244</v>
      </c>
      <c r="AD43" s="0" t="n">
        <f aca="false">D43*(1-x_testy)</f>
        <v>0</v>
      </c>
      <c r="AE43" s="0" t="n">
        <f aca="false">E43*(1-x_testy)</f>
        <v>0</v>
      </c>
      <c r="AF43" s="0" t="n">
        <f aca="false">F43*x_NAV</f>
        <v>0</v>
      </c>
      <c r="AG43" s="0" t="n">
        <f aca="false">G43*x_FIX*(1-x_testy)</f>
        <v>0</v>
      </c>
      <c r="AH43" s="0" t="n">
        <f aca="false">x_z_F*U43+(1-x_AGRI)*x_EMP*x_WLOSS*(x_PEN_K74*Q43+x_PEN_C22*R43)</f>
        <v>14130464.0815481</v>
      </c>
      <c r="AI43" s="0" t="n">
        <f aca="false">x_AGRI*x_EMP*x_WLOSS*(x_PEN_K74*Q43+x_PEN_C22*R43)</f>
        <v>682963.545699676</v>
      </c>
      <c r="AJ43" s="0" t="n">
        <f aca="false">x_EMP*x_WAGE*(x_WLOSS*(Q43+R43)+S43)+U43*x_ABS_D*x_WAGE/365</f>
        <v>281918472.902464</v>
      </c>
      <c r="AK43" s="0" t="n">
        <f aca="false">AJ43*x_R_FUS</f>
        <v>89199004.8263396</v>
      </c>
      <c r="AL43" s="0" t="n">
        <f aca="false">AJ43*x_R_NFZ</f>
        <v>21894070.5240783</v>
      </c>
      <c r="AM43" s="0" t="n">
        <f aca="false">AJ43*x_R_PIT</f>
        <v>18743116.7625837</v>
      </c>
      <c r="AN43" s="0" t="n">
        <f aca="false">AJ43*x_R_FP</f>
        <v>7188921.05901283</v>
      </c>
      <c r="AO43" s="0" t="n">
        <f aca="false">AA43+AB43+AC43+AD43+AF43</f>
        <v>427408220.83391</v>
      </c>
      <c r="AP43" s="0" t="n">
        <f aca="false">AO43+AE43+AG43+AH43+AI43+AK43+AL43+AM43+AN43</f>
        <v>579246761.633172</v>
      </c>
      <c r="AQ43" s="0" t="n">
        <f aca="false">AO43+AE43+AG43+AJ43</f>
        <v>709326693.736374</v>
      </c>
      <c r="AR43" s="0" t="n">
        <f aca="false">AB43+AC43+AD43+AF43</f>
        <v>137833427.610024</v>
      </c>
      <c r="AS43" s="0" t="n">
        <f aca="false">AR43+AE43+AG43</f>
        <v>137833427.610024</v>
      </c>
    </row>
    <row r="44" customFormat="false" ht="15" hidden="false" customHeight="false" outlineLevel="0" collapsed="false">
      <c r="A44" s="0" t="n">
        <v>2067</v>
      </c>
      <c r="B44" s="0" t="n">
        <v>41</v>
      </c>
      <c r="C44" s="0" t="n">
        <v>4832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2273.052</v>
      </c>
      <c r="I44" s="0" t="n">
        <v>202.754</v>
      </c>
      <c r="J44" s="0" t="n">
        <v>1044.205</v>
      </c>
      <c r="K44" s="0" t="n">
        <v>1795.257</v>
      </c>
      <c r="L44" s="0" t="n">
        <v>717.755</v>
      </c>
      <c r="M44" s="0" t="n">
        <v>132245.345</v>
      </c>
      <c r="N44" s="0" t="n">
        <v>7920.971</v>
      </c>
      <c r="O44" s="0" t="n">
        <v>59.068</v>
      </c>
      <c r="P44" s="0" t="n">
        <v>59.406</v>
      </c>
      <c r="Q44" s="0" t="n">
        <v>637.697</v>
      </c>
      <c r="R44" s="0" t="n">
        <v>939.436</v>
      </c>
      <c r="S44" s="0" t="n">
        <v>2616.116</v>
      </c>
      <c r="T44" s="0" t="n">
        <v>2475.806</v>
      </c>
      <c r="U44" s="0" t="n">
        <v>1845.957</v>
      </c>
      <c r="V44" s="0" t="n">
        <v>170004.512</v>
      </c>
      <c r="W44" s="0" t="n">
        <v>191.923</v>
      </c>
      <c r="X44" s="0" t="n">
        <v>520.999</v>
      </c>
      <c r="Y44" s="0" t="n">
        <v>59.068</v>
      </c>
      <c r="Z44" s="0" t="n">
        <v>630.395</v>
      </c>
      <c r="AA44" s="0" t="n">
        <f aca="false">H44*x_c_F+I44*x_c_CC+J44*x_c_DC+K44*x_c_HCC+L44*x_c_PLT+M44*x_c_SVRn+N44*x_c_SVRcc+O44*x_c_LT+P44*x_c_LT1</f>
        <v>288165984.641768</v>
      </c>
      <c r="AB44" s="0" t="n">
        <f aca="false">C44*x_c_DAA</f>
        <v>109976320</v>
      </c>
      <c r="AC44" s="0" t="n">
        <f aca="false">C44*x_c_MON</f>
        <v>27857107.6100244</v>
      </c>
      <c r="AD44" s="0" t="n">
        <f aca="false">D44*(1-x_testy)</f>
        <v>0</v>
      </c>
      <c r="AE44" s="0" t="n">
        <f aca="false">E44*(1-x_testy)</f>
        <v>0</v>
      </c>
      <c r="AF44" s="0" t="n">
        <f aca="false">F44*x_NAV</f>
        <v>0</v>
      </c>
      <c r="AG44" s="0" t="n">
        <f aca="false">G44*x_FIX*(1-x_testy)</f>
        <v>0</v>
      </c>
      <c r="AH44" s="0" t="n">
        <f aca="false">x_z_F*U44+(1-x_AGRI)*x_EMP*x_WLOSS*(x_PEN_K74*Q44+x_PEN_C22*R44)</f>
        <v>14052768.9819025</v>
      </c>
      <c r="AI44" s="0" t="n">
        <f aca="false">x_AGRI*x_EMP*x_WLOSS*(x_PEN_K74*Q44+x_PEN_C22*R44)</f>
        <v>678011.230425843</v>
      </c>
      <c r="AJ44" s="0" t="n">
        <f aca="false">x_EMP*x_WAGE*(x_WLOSS*(Q44+R44)+S44)+U44*x_ABS_D*x_WAGE/365</f>
        <v>280095573.497907</v>
      </c>
      <c r="AK44" s="0" t="n">
        <f aca="false">AJ44*x_R_FUS</f>
        <v>88622239.4547376</v>
      </c>
      <c r="AL44" s="0" t="n">
        <f aca="false">AJ44*x_R_NFZ</f>
        <v>21752502.3334209</v>
      </c>
      <c r="AM44" s="0" t="n">
        <f aca="false">AJ44*x_R_PIT</f>
        <v>18621922.801669</v>
      </c>
      <c r="AN44" s="0" t="n">
        <f aca="false">AJ44*x_R_FP</f>
        <v>7142437.12419662</v>
      </c>
      <c r="AO44" s="0" t="n">
        <f aca="false">AA44+AB44+AC44+AD44+AF44</f>
        <v>425999412.251792</v>
      </c>
      <c r="AP44" s="0" t="n">
        <f aca="false">AO44+AE44+AG44+AH44+AI44+AK44+AL44+AM44+AN44</f>
        <v>576869294.178145</v>
      </c>
      <c r="AQ44" s="0" t="n">
        <f aca="false">AO44+AE44+AG44+AJ44</f>
        <v>706094985.749699</v>
      </c>
      <c r="AR44" s="0" t="n">
        <f aca="false">AB44+AC44+AD44+AF44</f>
        <v>137833427.610024</v>
      </c>
      <c r="AS44" s="0" t="n">
        <f aca="false">AR44+AE44+AG44</f>
        <v>137833427.610024</v>
      </c>
    </row>
    <row r="45" customFormat="false" ht="15" hidden="false" customHeight="false" outlineLevel="0" collapsed="false">
      <c r="A45" s="0" t="n">
        <v>2068</v>
      </c>
      <c r="B45" s="0" t="n">
        <v>42</v>
      </c>
      <c r="C45" s="0" t="n">
        <v>4832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2273.505</v>
      </c>
      <c r="I45" s="0" t="n">
        <v>201.971</v>
      </c>
      <c r="J45" s="0" t="n">
        <v>1033.487</v>
      </c>
      <c r="K45" s="0" t="n">
        <v>1780.238</v>
      </c>
      <c r="L45" s="0" t="n">
        <v>697.595</v>
      </c>
      <c r="M45" s="0" t="n">
        <v>134199.895</v>
      </c>
      <c r="N45" s="0" t="n">
        <v>7842.54</v>
      </c>
      <c r="O45" s="0" t="n">
        <v>58.517</v>
      </c>
      <c r="P45" s="0" t="n">
        <v>58.792</v>
      </c>
      <c r="Q45" s="0" t="n">
        <v>632.963</v>
      </c>
      <c r="R45" s="0" t="n">
        <v>932.583</v>
      </c>
      <c r="S45" s="0" t="n">
        <v>2598.442</v>
      </c>
      <c r="T45" s="0" t="n">
        <v>2475.476</v>
      </c>
      <c r="U45" s="0" t="n">
        <v>1844.497</v>
      </c>
      <c r="V45" s="0" t="n">
        <v>171279.673</v>
      </c>
      <c r="W45" s="0" t="n">
        <v>190.633</v>
      </c>
      <c r="X45" s="0" t="n">
        <v>517.516</v>
      </c>
      <c r="Y45" s="0" t="n">
        <v>58.517</v>
      </c>
      <c r="Z45" s="0" t="n">
        <v>624.512</v>
      </c>
      <c r="AA45" s="0" t="n">
        <f aca="false">H45*x_c_F+I45*x_c_CC+J45*x_c_DC+K45*x_c_HCC+L45*x_c_PLT+M45*x_c_SVRn+N45*x_c_SVRcc+O45*x_c_LT+P45*x_c_LT1</f>
        <v>287148741.771607</v>
      </c>
      <c r="AB45" s="0" t="n">
        <f aca="false">C45*x_c_DAA</f>
        <v>109976320</v>
      </c>
      <c r="AC45" s="0" t="n">
        <f aca="false">C45*x_c_MON</f>
        <v>27857107.6100244</v>
      </c>
      <c r="AD45" s="0" t="n">
        <f aca="false">D45*(1-x_testy)</f>
        <v>0</v>
      </c>
      <c r="AE45" s="0" t="n">
        <f aca="false">E45*(1-x_testy)</f>
        <v>0</v>
      </c>
      <c r="AF45" s="0" t="n">
        <f aca="false">F45*x_NAV</f>
        <v>0</v>
      </c>
      <c r="AG45" s="0" t="n">
        <f aca="false">G45*x_FIX*(1-x_testy)</f>
        <v>0</v>
      </c>
      <c r="AH45" s="0" t="n">
        <f aca="false">x_z_F*U45+(1-x_AGRI)*x_EMP*x_WLOSS*(x_PEN_K74*Q45+x_PEN_C22*R45)</f>
        <v>13974445.8072177</v>
      </c>
      <c r="AI45" s="0" t="n">
        <f aca="false">x_AGRI*x_EMP*x_WLOSS*(x_PEN_K74*Q45+x_PEN_C22*R45)</f>
        <v>673032.620443157</v>
      </c>
      <c r="AJ45" s="0" t="n">
        <f aca="false">x_EMP*x_WAGE*(x_WLOSS*(Q45+R45)+S45)+U45*x_ABS_D*x_WAGE/365</f>
        <v>278205131.071497</v>
      </c>
      <c r="AK45" s="0" t="n">
        <f aca="false">AJ45*x_R_FUS</f>
        <v>88024103.4710217</v>
      </c>
      <c r="AL45" s="0" t="n">
        <f aca="false">AJ45*x_R_NFZ</f>
        <v>21605688.6841435</v>
      </c>
      <c r="AM45" s="0" t="n">
        <f aca="false">AJ45*x_R_PIT</f>
        <v>18496238.2987475</v>
      </c>
      <c r="AN45" s="0" t="n">
        <f aca="false">AJ45*x_R_FP</f>
        <v>7094230.84232318</v>
      </c>
      <c r="AO45" s="0" t="n">
        <f aca="false">AA45+AB45+AC45+AD45+AF45</f>
        <v>424982169.381631</v>
      </c>
      <c r="AP45" s="0" t="n">
        <f aca="false">AO45+AE45+AG45+AH45+AI45+AK45+AL45+AM45+AN45</f>
        <v>574849909.105528</v>
      </c>
      <c r="AQ45" s="0" t="n">
        <f aca="false">AO45+AE45+AG45+AJ45</f>
        <v>703187300.453128</v>
      </c>
      <c r="AR45" s="0" t="n">
        <f aca="false">AB45+AC45+AD45+AF45</f>
        <v>137833427.610024</v>
      </c>
      <c r="AS45" s="0" t="n">
        <f aca="false">AR45+AE45+AG45</f>
        <v>137833427.610024</v>
      </c>
    </row>
    <row r="46" customFormat="false" ht="15" hidden="false" customHeight="false" outlineLevel="0" collapsed="false">
      <c r="A46" s="0" t="n">
        <v>2069</v>
      </c>
      <c r="B46" s="0" t="n">
        <v>43</v>
      </c>
      <c r="C46" s="0" t="n">
        <v>4832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2273.821</v>
      </c>
      <c r="I46" s="0" t="n">
        <v>201.343</v>
      </c>
      <c r="J46" s="0" t="n">
        <v>1024.824</v>
      </c>
      <c r="K46" s="0" t="n">
        <v>1767.933</v>
      </c>
      <c r="L46" s="0" t="n">
        <v>680.042</v>
      </c>
      <c r="M46" s="0" t="n">
        <v>136164.939</v>
      </c>
      <c r="N46" s="0" t="n">
        <v>7778.914</v>
      </c>
      <c r="O46" s="0" t="n">
        <v>58.078</v>
      </c>
      <c r="P46" s="0" t="n">
        <v>58.297</v>
      </c>
      <c r="Q46" s="0" t="n">
        <v>628.147</v>
      </c>
      <c r="R46" s="0" t="n">
        <v>925.72</v>
      </c>
      <c r="S46" s="0" t="n">
        <v>2579.834</v>
      </c>
      <c r="T46" s="0" t="n">
        <v>2475.164</v>
      </c>
      <c r="U46" s="0" t="n">
        <v>1842.988</v>
      </c>
      <c r="V46" s="0" t="n">
        <v>172584.489</v>
      </c>
      <c r="W46" s="0" t="n">
        <v>189.559</v>
      </c>
      <c r="X46" s="0" t="n">
        <v>514.605</v>
      </c>
      <c r="Y46" s="0" t="n">
        <v>58.078</v>
      </c>
      <c r="Z46" s="0" t="n">
        <v>619.739</v>
      </c>
      <c r="AA46" s="0" t="n">
        <f aca="false">H46*x_c_F+I46*x_c_CC+J46*x_c_DC+K46*x_c_HCC+L46*x_c_PLT+M46*x_c_SVRn+N46*x_c_SVRcc+O46*x_c_LT+P46*x_c_LT1</f>
        <v>286513601.339835</v>
      </c>
      <c r="AB46" s="0" t="n">
        <f aca="false">C46*x_c_DAA</f>
        <v>109976320</v>
      </c>
      <c r="AC46" s="0" t="n">
        <f aca="false">C46*x_c_MON</f>
        <v>27857107.6100244</v>
      </c>
      <c r="AD46" s="0" t="n">
        <f aca="false">D46*(1-x_testy)</f>
        <v>0</v>
      </c>
      <c r="AE46" s="0" t="n">
        <f aca="false">E46*(1-x_testy)</f>
        <v>0</v>
      </c>
      <c r="AF46" s="0" t="n">
        <f aca="false">F46*x_NAV</f>
        <v>0</v>
      </c>
      <c r="AG46" s="0" t="n">
        <f aca="false">G46*x_FIX*(1-x_testy)</f>
        <v>0</v>
      </c>
      <c r="AH46" s="0" t="n">
        <f aca="false">x_z_F*U46+(1-x_AGRI)*x_EMP*x_WLOSS*(x_PEN_K74*Q46+x_PEN_C22*R46)</f>
        <v>13895460.3009221</v>
      </c>
      <c r="AI46" s="0" t="n">
        <f aca="false">x_AGRI*x_EMP*x_WLOSS*(x_PEN_K74*Q46+x_PEN_C22*R46)</f>
        <v>668016.890294615</v>
      </c>
      <c r="AJ46" s="0" t="n">
        <f aca="false">x_EMP*x_WAGE*(x_WLOSS*(Q46+R46)+S46)+U46*x_ABS_D*x_WAGE/365</f>
        <v>276231900.116265</v>
      </c>
      <c r="AK46" s="0" t="n">
        <f aca="false">AJ46*x_R_FUS</f>
        <v>87399773.1967863</v>
      </c>
      <c r="AL46" s="0" t="n">
        <f aca="false">AJ46*x_R_NFZ</f>
        <v>21452445.5949293</v>
      </c>
      <c r="AM46" s="0" t="n">
        <f aca="false">AJ46*x_R_PIT</f>
        <v>18365049.6688834</v>
      </c>
      <c r="AN46" s="0" t="n">
        <f aca="false">AJ46*x_R_FP</f>
        <v>7043913.45296476</v>
      </c>
      <c r="AO46" s="0" t="n">
        <f aca="false">AA46+AB46+AC46+AD46+AF46</f>
        <v>424347028.949859</v>
      </c>
      <c r="AP46" s="0" t="n">
        <f aca="false">AO46+AE46+AG46+AH46+AI46+AK46+AL46+AM46+AN46</f>
        <v>573171688.05464</v>
      </c>
      <c r="AQ46" s="0" t="n">
        <f aca="false">AO46+AE46+AG46+AJ46</f>
        <v>700578929.066124</v>
      </c>
      <c r="AR46" s="0" t="n">
        <f aca="false">AB46+AC46+AD46+AF46</f>
        <v>137833427.610024</v>
      </c>
      <c r="AS46" s="0" t="n">
        <f aca="false">AR46+AE46+AG46</f>
        <v>137833427.610024</v>
      </c>
    </row>
    <row r="47" customFormat="false" ht="15" hidden="false" customHeight="false" outlineLevel="0" collapsed="false">
      <c r="A47" s="0" t="n">
        <v>2070</v>
      </c>
      <c r="B47" s="0" t="n">
        <v>44</v>
      </c>
      <c r="C47" s="0" t="n">
        <v>4832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2274.053</v>
      </c>
      <c r="I47" s="0" t="n">
        <v>200.813</v>
      </c>
      <c r="J47" s="0" t="n">
        <v>1017.944</v>
      </c>
      <c r="K47" s="0" t="n">
        <v>1757.947</v>
      </c>
      <c r="L47" s="0" t="n">
        <v>665.144</v>
      </c>
      <c r="M47" s="0" t="n">
        <v>138143.209</v>
      </c>
      <c r="N47" s="0" t="n">
        <v>7730.718</v>
      </c>
      <c r="O47" s="0" t="n">
        <v>57.734</v>
      </c>
      <c r="P47" s="0" t="n">
        <v>57.906</v>
      </c>
      <c r="Q47" s="0" t="n">
        <v>623.418</v>
      </c>
      <c r="R47" s="0" t="n">
        <v>919.038</v>
      </c>
      <c r="S47" s="0" t="n">
        <v>2561.233</v>
      </c>
      <c r="T47" s="0" t="n">
        <v>2474.866</v>
      </c>
      <c r="U47" s="0" t="n">
        <v>1841.544</v>
      </c>
      <c r="V47" s="0" t="n">
        <v>173918.876</v>
      </c>
      <c r="W47" s="0" t="n">
        <v>188.649</v>
      </c>
      <c r="X47" s="0" t="n">
        <v>512.146</v>
      </c>
      <c r="Y47" s="0" t="n">
        <v>57.734</v>
      </c>
      <c r="Z47" s="0" t="n">
        <v>615.922</v>
      </c>
      <c r="AA47" s="0" t="n">
        <f aca="false">H47*x_c_F+I47*x_c_CC+J47*x_c_DC+K47*x_c_HCC+L47*x_c_PLT+M47*x_c_SVRn+N47*x_c_SVRcc+O47*x_c_LT+P47*x_c_LT1</f>
        <v>286229030.054705</v>
      </c>
      <c r="AB47" s="0" t="n">
        <f aca="false">C47*x_c_DAA</f>
        <v>109976320</v>
      </c>
      <c r="AC47" s="0" t="n">
        <f aca="false">C47*x_c_MON</f>
        <v>27857107.6100244</v>
      </c>
      <c r="AD47" s="0" t="n">
        <f aca="false">D47*(1-x_testy)</f>
        <v>0</v>
      </c>
      <c r="AE47" s="0" t="n">
        <f aca="false">E47*(1-x_testy)</f>
        <v>0</v>
      </c>
      <c r="AF47" s="0" t="n">
        <f aca="false">F47*x_NAV</f>
        <v>0</v>
      </c>
      <c r="AG47" s="0" t="n">
        <f aca="false">G47*x_FIX*(1-x_testy)</f>
        <v>0</v>
      </c>
      <c r="AH47" s="0" t="n">
        <f aca="false">x_z_F*U47+(1-x_AGRI)*x_EMP*x_WLOSS*(x_PEN_K74*Q47+x_PEN_C22*R47)</f>
        <v>13818369.0330551</v>
      </c>
      <c r="AI47" s="0" t="n">
        <f aca="false">x_AGRI*x_EMP*x_WLOSS*(x_PEN_K74*Q47+x_PEN_C22*R47)</f>
        <v>663117.532724878</v>
      </c>
      <c r="AJ47" s="0" t="n">
        <f aca="false">x_EMP*x_WAGE*(x_WLOSS*(Q47+R47)+S47)+U47*x_ABS_D*x_WAGE/365</f>
        <v>274268228.957859</v>
      </c>
      <c r="AK47" s="0" t="n">
        <f aca="false">AJ47*x_R_FUS</f>
        <v>86778467.6422666</v>
      </c>
      <c r="AL47" s="0" t="n">
        <f aca="false">AJ47*x_R_NFZ</f>
        <v>21299944.9290963</v>
      </c>
      <c r="AM47" s="0" t="n">
        <f aca="false">AJ47*x_R_PIT</f>
        <v>18234496.6142134</v>
      </c>
      <c r="AN47" s="0" t="n">
        <f aca="false">AJ47*x_R_FP</f>
        <v>6993839.83842541</v>
      </c>
      <c r="AO47" s="0" t="n">
        <f aca="false">AA47+AB47+AC47+AD47+AF47</f>
        <v>424062457.664729</v>
      </c>
      <c r="AP47" s="0" t="n">
        <f aca="false">AO47+AE47+AG47+AH47+AI47+AK47+AL47+AM47+AN47</f>
        <v>571850693.254511</v>
      </c>
      <c r="AQ47" s="0" t="n">
        <f aca="false">AO47+AE47+AG47+AJ47</f>
        <v>698330686.622588</v>
      </c>
      <c r="AR47" s="0" t="n">
        <f aca="false">AB47+AC47+AD47+AF47</f>
        <v>137833427.610024</v>
      </c>
      <c r="AS47" s="0" t="n">
        <f aca="false">AR47+AE47+AG47</f>
        <v>137833427.610024</v>
      </c>
    </row>
    <row r="48" customFormat="false" ht="15" hidden="false" customHeight="false" outlineLevel="0" collapsed="false">
      <c r="A48" s="0" t="n">
        <v>2071</v>
      </c>
      <c r="B48" s="0" t="n">
        <v>45</v>
      </c>
      <c r="C48" s="0" t="n">
        <v>4832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2274.248</v>
      </c>
      <c r="I48" s="0" t="n">
        <v>200.327</v>
      </c>
      <c r="J48" s="0" t="n">
        <v>1012.515</v>
      </c>
      <c r="K48" s="0" t="n">
        <v>1749.811</v>
      </c>
      <c r="L48" s="0" t="n">
        <v>652.807</v>
      </c>
      <c r="M48" s="0" t="n">
        <v>140132.616</v>
      </c>
      <c r="N48" s="0" t="n">
        <v>7697.441</v>
      </c>
      <c r="O48" s="0" t="n">
        <v>57.465</v>
      </c>
      <c r="P48" s="0" t="n">
        <v>57.599</v>
      </c>
      <c r="Q48" s="0" t="n">
        <v>618.953</v>
      </c>
      <c r="R48" s="0" t="n">
        <v>912.726</v>
      </c>
      <c r="S48" s="0" t="n">
        <v>2543.655</v>
      </c>
      <c r="T48" s="0" t="n">
        <v>2474.575</v>
      </c>
      <c r="U48" s="0" t="n">
        <v>1840.267</v>
      </c>
      <c r="V48" s="0" t="n">
        <v>175278.337</v>
      </c>
      <c r="W48" s="0" t="n">
        <v>187.85</v>
      </c>
      <c r="X48" s="0" t="n">
        <v>510.012</v>
      </c>
      <c r="Y48" s="0" t="n">
        <v>57.465</v>
      </c>
      <c r="Z48" s="0" t="n">
        <v>612.867</v>
      </c>
      <c r="AA48" s="0" t="n">
        <f aca="false">H48*x_c_F+I48*x_c_CC+J48*x_c_DC+K48*x_c_HCC+L48*x_c_PLT+M48*x_c_SVRn+N48*x_c_SVRcc+O48*x_c_LT+P48*x_c_LT1</f>
        <v>286245912.334835</v>
      </c>
      <c r="AB48" s="0" t="n">
        <f aca="false">C48*x_c_DAA</f>
        <v>109976320</v>
      </c>
      <c r="AC48" s="0" t="n">
        <f aca="false">C48*x_c_MON</f>
        <v>27857107.6100244</v>
      </c>
      <c r="AD48" s="0" t="n">
        <f aca="false">D48*(1-x_testy)</f>
        <v>0</v>
      </c>
      <c r="AE48" s="0" t="n">
        <f aca="false">E48*(1-x_testy)</f>
        <v>0</v>
      </c>
      <c r="AF48" s="0" t="n">
        <f aca="false">F48*x_NAV</f>
        <v>0</v>
      </c>
      <c r="AG48" s="0" t="n">
        <f aca="false">G48*x_FIX*(1-x_testy)</f>
        <v>0</v>
      </c>
      <c r="AH48" s="0" t="n">
        <f aca="false">x_z_F*U48+(1-x_AGRI)*x_EMP*x_WLOSS*(x_PEN_K74*Q48+x_PEN_C22*R48)</f>
        <v>13745738.3513188</v>
      </c>
      <c r="AI48" s="0" t="n">
        <f aca="false">x_AGRI*x_EMP*x_WLOSS*(x_PEN_K74*Q48+x_PEN_C22*R48)</f>
        <v>658490.31746113</v>
      </c>
      <c r="AJ48" s="0" t="n">
        <f aca="false">x_EMP*x_WAGE*(x_WLOSS*(Q48+R48)+S48)+U48*x_ABS_D*x_WAGE/365</f>
        <v>272413021.598976</v>
      </c>
      <c r="AK48" s="0" t="n">
        <f aca="false">AJ48*x_R_FUS</f>
        <v>86191480.0339159</v>
      </c>
      <c r="AL48" s="0" t="n">
        <f aca="false">AJ48*x_R_NFZ</f>
        <v>21155867.6703981</v>
      </c>
      <c r="AM48" s="0" t="n">
        <f aca="false">AJ48*x_R_PIT</f>
        <v>18111154.6856468</v>
      </c>
      <c r="AN48" s="0" t="n">
        <f aca="false">AJ48*x_R_FP</f>
        <v>6946532.05077388</v>
      </c>
      <c r="AO48" s="0" t="n">
        <f aca="false">AA48+AB48+AC48+AD48+AF48</f>
        <v>424079339.94486</v>
      </c>
      <c r="AP48" s="0" t="n">
        <f aca="false">AO48+AE48+AG48+AH48+AI48+AK48+AL48+AM48+AN48</f>
        <v>570888603.054374</v>
      </c>
      <c r="AQ48" s="0" t="n">
        <f aca="false">AO48+AE48+AG48+AJ48</f>
        <v>696492361.543836</v>
      </c>
      <c r="AR48" s="0" t="n">
        <f aca="false">AB48+AC48+AD48+AF48</f>
        <v>137833427.610024</v>
      </c>
      <c r="AS48" s="0" t="n">
        <f aca="false">AR48+AE48+AG48</f>
        <v>137833427.610024</v>
      </c>
    </row>
    <row r="49" customFormat="false" ht="15" hidden="false" customHeight="false" outlineLevel="0" collapsed="false">
      <c r="A49" s="0" t="n">
        <v>2072</v>
      </c>
      <c r="B49" s="0" t="n">
        <v>46</v>
      </c>
      <c r="C49" s="0" t="n">
        <v>4832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2274.448</v>
      </c>
      <c r="I49" s="0" t="n">
        <v>199.84</v>
      </c>
      <c r="J49" s="0" t="n">
        <v>1008.183</v>
      </c>
      <c r="K49" s="0" t="n">
        <v>1743.038</v>
      </c>
      <c r="L49" s="0" t="n">
        <v>642.834</v>
      </c>
      <c r="M49" s="0" t="n">
        <v>142127.351</v>
      </c>
      <c r="N49" s="0" t="n">
        <v>7677.746</v>
      </c>
      <c r="O49" s="0" t="n">
        <v>57.251</v>
      </c>
      <c r="P49" s="0" t="n">
        <v>57.358</v>
      </c>
      <c r="Q49" s="0" t="n">
        <v>614.739</v>
      </c>
      <c r="R49" s="0" t="n">
        <v>906.769</v>
      </c>
      <c r="S49" s="0" t="n">
        <v>2527.077</v>
      </c>
      <c r="T49" s="0" t="n">
        <v>2474.288</v>
      </c>
      <c r="U49" s="0" t="n">
        <v>1839.194</v>
      </c>
      <c r="V49" s="0" t="n">
        <v>176655.244</v>
      </c>
      <c r="W49" s="0" t="n">
        <v>187.115</v>
      </c>
      <c r="X49" s="0" t="n">
        <v>508.086</v>
      </c>
      <c r="Y49" s="0" t="n">
        <v>57.251</v>
      </c>
      <c r="Z49" s="0" t="n">
        <v>610.387</v>
      </c>
      <c r="AA49" s="0" t="n">
        <f aca="false">H49*x_c_F+I49*x_c_CC+J49*x_c_DC+K49*x_c_HCC+L49*x_c_PLT+M49*x_c_SVRn+N49*x_c_SVRcc+O49*x_c_LT+P49*x_c_LT1</f>
        <v>286505917.72648</v>
      </c>
      <c r="AB49" s="0" t="n">
        <f aca="false">C49*x_c_DAA</f>
        <v>109976320</v>
      </c>
      <c r="AC49" s="0" t="n">
        <f aca="false">C49*x_c_MON</f>
        <v>27857107.6100244</v>
      </c>
      <c r="AD49" s="0" t="n">
        <f aca="false">D49*(1-x_testy)</f>
        <v>0</v>
      </c>
      <c r="AE49" s="0" t="n">
        <f aca="false">E49*(1-x_testy)</f>
        <v>0</v>
      </c>
      <c r="AF49" s="0" t="n">
        <f aca="false">F49*x_NAV</f>
        <v>0</v>
      </c>
      <c r="AG49" s="0" t="n">
        <f aca="false">G49*x_FIX*(1-x_testy)</f>
        <v>0</v>
      </c>
      <c r="AH49" s="0" t="n">
        <f aca="false">x_z_F*U49+(1-x_AGRI)*x_EMP*x_WLOSS*(x_PEN_K74*Q49+x_PEN_C22*R49)</f>
        <v>13677463.5903929</v>
      </c>
      <c r="AI49" s="0" t="n">
        <f aca="false">x_AGRI*x_EMP*x_WLOSS*(x_PEN_K74*Q49+x_PEN_C22*R49)</f>
        <v>654123.298341725</v>
      </c>
      <c r="AJ49" s="0" t="n">
        <f aca="false">x_EMP*x_WAGE*(x_WLOSS*(Q49+R49)+S49)+U49*x_ABS_D*x_WAGE/365</f>
        <v>270663509.249936</v>
      </c>
      <c r="AK49" s="0" t="n">
        <f aca="false">AJ49*x_R_FUS</f>
        <v>85637934.3266796</v>
      </c>
      <c r="AL49" s="0" t="n">
        <f aca="false">AJ49*x_R_NFZ</f>
        <v>21019998.7918592</v>
      </c>
      <c r="AM49" s="0" t="n">
        <f aca="false">AJ49*x_R_PIT</f>
        <v>17994839.8024891</v>
      </c>
      <c r="AN49" s="0" t="n">
        <f aca="false">AJ49*x_R_FP</f>
        <v>6901919.48587336</v>
      </c>
      <c r="AO49" s="0" t="n">
        <f aca="false">AA49+AB49+AC49+AD49+AF49</f>
        <v>424339345.336504</v>
      </c>
      <c r="AP49" s="0" t="n">
        <f aca="false">AO49+AE49+AG49+AH49+AI49+AK49+AL49+AM49+AN49</f>
        <v>570225624.63214</v>
      </c>
      <c r="AQ49" s="0" t="n">
        <f aca="false">AO49+AE49+AG49+AJ49</f>
        <v>695002854.58644</v>
      </c>
      <c r="AR49" s="0" t="n">
        <f aca="false">AB49+AC49+AD49+AF49</f>
        <v>137833427.610024</v>
      </c>
      <c r="AS49" s="0" t="n">
        <f aca="false">AR49+AE49+AG49</f>
        <v>137833427.610024</v>
      </c>
    </row>
    <row r="50" customFormat="false" ht="15" hidden="false" customHeight="false" outlineLevel="0" collapsed="false">
      <c r="A50" s="0" t="n">
        <v>2073</v>
      </c>
      <c r="B50" s="0" t="n">
        <v>47</v>
      </c>
      <c r="C50" s="0" t="n">
        <v>4832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2274.683</v>
      </c>
      <c r="I50" s="0" t="n">
        <v>199.319</v>
      </c>
      <c r="J50" s="0" t="n">
        <v>1004.591</v>
      </c>
      <c r="K50" s="0" t="n">
        <v>1737.14</v>
      </c>
      <c r="L50" s="0" t="n">
        <v>634.925</v>
      </c>
      <c r="M50" s="0" t="n">
        <v>144117.294</v>
      </c>
      <c r="N50" s="0" t="n">
        <v>7669.45</v>
      </c>
      <c r="O50" s="0" t="n">
        <v>57.072</v>
      </c>
      <c r="P50" s="0" t="n">
        <v>57.162</v>
      </c>
      <c r="Q50" s="0" t="n">
        <v>610.769</v>
      </c>
      <c r="R50" s="0" t="n">
        <v>901.15</v>
      </c>
      <c r="S50" s="0" t="n">
        <v>2511.465</v>
      </c>
      <c r="T50" s="0" t="n">
        <v>2474.002</v>
      </c>
      <c r="U50" s="0" t="n">
        <v>1838.35</v>
      </c>
      <c r="V50" s="0" t="n">
        <v>178038.424</v>
      </c>
      <c r="W50" s="0" t="n">
        <v>186.399</v>
      </c>
      <c r="X50" s="0" t="n">
        <v>506.255</v>
      </c>
      <c r="Y50" s="0" t="n">
        <v>57.072</v>
      </c>
      <c r="Z50" s="0" t="n">
        <v>608.273</v>
      </c>
      <c r="AA50" s="0" t="n">
        <f aca="false">H50*x_c_F+I50*x_c_CC+J50*x_c_DC+K50*x_c_HCC+L50*x_c_PLT+M50*x_c_SVRn+N50*x_c_SVRcc+O50*x_c_LT+P50*x_c_LT1</f>
        <v>286942254.111878</v>
      </c>
      <c r="AB50" s="0" t="n">
        <f aca="false">C50*x_c_DAA</f>
        <v>109976320</v>
      </c>
      <c r="AC50" s="0" t="n">
        <f aca="false">C50*x_c_MON</f>
        <v>27857107.6100244</v>
      </c>
      <c r="AD50" s="0" t="n">
        <f aca="false">D50*(1-x_testy)</f>
        <v>0</v>
      </c>
      <c r="AE50" s="0" t="n">
        <f aca="false">E50*(1-x_testy)</f>
        <v>0</v>
      </c>
      <c r="AF50" s="0" t="n">
        <f aca="false">F50*x_NAV</f>
        <v>0</v>
      </c>
      <c r="AG50" s="0" t="n">
        <f aca="false">G50*x_FIX*(1-x_testy)</f>
        <v>0</v>
      </c>
      <c r="AH50" s="0" t="n">
        <f aca="false">x_z_F*U50+(1-x_AGRI)*x_EMP*x_WLOSS*(x_PEN_K74*Q50+x_PEN_C22*R50)</f>
        <v>13613437.8325397</v>
      </c>
      <c r="AI50" s="0" t="n">
        <f aca="false">x_AGRI*x_EMP*x_WLOSS*(x_PEN_K74*Q50+x_PEN_C22*R50)</f>
        <v>650006.011022321</v>
      </c>
      <c r="AJ50" s="0" t="n">
        <f aca="false">x_EMP*x_WAGE*(x_WLOSS*(Q50+R50)+S50)+U50*x_ABS_D*x_WAGE/365</f>
        <v>269016080.932915</v>
      </c>
      <c r="AK50" s="0" t="n">
        <f aca="false">AJ50*x_R_FUS</f>
        <v>85116688.0071742</v>
      </c>
      <c r="AL50" s="0" t="n">
        <f aca="false">AJ50*x_R_NFZ</f>
        <v>20892057.8613311</v>
      </c>
      <c r="AM50" s="0" t="n">
        <f aca="false">AJ50*x_R_PIT</f>
        <v>17885311.891863</v>
      </c>
      <c r="AN50" s="0" t="n">
        <f aca="false">AJ50*x_R_FP</f>
        <v>6859910.06378932</v>
      </c>
      <c r="AO50" s="0" t="n">
        <f aca="false">AA50+AB50+AC50+AD50+AF50</f>
        <v>424775681.721902</v>
      </c>
      <c r="AP50" s="0" t="n">
        <f aca="false">AO50+AE50+AG50+AH50+AI50+AK50+AL50+AM50+AN50</f>
        <v>569793093.389622</v>
      </c>
      <c r="AQ50" s="0" t="n">
        <f aca="false">AO50+AE50+AG50+AJ50</f>
        <v>693791762.654817</v>
      </c>
      <c r="AR50" s="0" t="n">
        <f aca="false">AB50+AC50+AD50+AF50</f>
        <v>137833427.610024</v>
      </c>
      <c r="AS50" s="0" t="n">
        <f aca="false">AR50+AE50+AG50</f>
        <v>137833427.610024</v>
      </c>
    </row>
    <row r="51" customFormat="false" ht="15" hidden="false" customHeight="false" outlineLevel="0" collapsed="false">
      <c r="A51" s="0" t="n">
        <v>2074</v>
      </c>
      <c r="B51" s="0" t="n">
        <v>48</v>
      </c>
      <c r="C51" s="0" t="n">
        <v>4832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2274.974</v>
      </c>
      <c r="I51" s="0" t="n">
        <v>198.739</v>
      </c>
      <c r="J51" s="0" t="n">
        <v>1001.4</v>
      </c>
      <c r="K51" s="0" t="n">
        <v>1731.661</v>
      </c>
      <c r="L51" s="0" t="n">
        <v>628.702</v>
      </c>
      <c r="M51" s="0" t="n">
        <v>146088.529</v>
      </c>
      <c r="N51" s="0" t="n">
        <v>7669.722</v>
      </c>
      <c r="O51" s="0" t="n">
        <v>56.908</v>
      </c>
      <c r="P51" s="0" t="n">
        <v>56.99</v>
      </c>
      <c r="Q51" s="0" t="n">
        <v>607.028</v>
      </c>
      <c r="R51" s="0" t="n">
        <v>895.851</v>
      </c>
      <c r="S51" s="0" t="n">
        <v>2496.783</v>
      </c>
      <c r="T51" s="0" t="n">
        <v>2473.713</v>
      </c>
      <c r="U51" s="0" t="n">
        <v>1837.746</v>
      </c>
      <c r="V51" s="0" t="n">
        <v>179413.766</v>
      </c>
      <c r="W51" s="0" t="n">
        <v>185.669</v>
      </c>
      <c r="X51" s="0" t="n">
        <v>504.428</v>
      </c>
      <c r="Y51" s="0" t="n">
        <v>56.908</v>
      </c>
      <c r="Z51" s="0" t="n">
        <v>606.346</v>
      </c>
      <c r="AA51" s="0" t="n">
        <f aca="false">H51*x_c_F+I51*x_c_CC+J51*x_c_DC+K51*x_c_HCC+L51*x_c_PLT+M51*x_c_SVRn+N51*x_c_SVRcc+O51*x_c_LT+P51*x_c_LT1</f>
        <v>287483904.264108</v>
      </c>
      <c r="AB51" s="0" t="n">
        <f aca="false">C51*x_c_DAA</f>
        <v>109976320</v>
      </c>
      <c r="AC51" s="0" t="n">
        <f aca="false">C51*x_c_MON</f>
        <v>27857107.6100244</v>
      </c>
      <c r="AD51" s="0" t="n">
        <f aca="false">D51*(1-x_testy)</f>
        <v>0</v>
      </c>
      <c r="AE51" s="0" t="n">
        <f aca="false">E51*(1-x_testy)</f>
        <v>0</v>
      </c>
      <c r="AF51" s="0" t="n">
        <f aca="false">F51*x_NAV</f>
        <v>0</v>
      </c>
      <c r="AG51" s="0" t="n">
        <f aca="false">G51*x_FIX*(1-x_testy)</f>
        <v>0</v>
      </c>
      <c r="AH51" s="0" t="n">
        <f aca="false">x_z_F*U51+(1-x_AGRI)*x_EMP*x_WLOSS*(x_PEN_K74*Q51+x_PEN_C22*R51)</f>
        <v>13553470.4211181</v>
      </c>
      <c r="AI51" s="0" t="n">
        <f aca="false">x_AGRI*x_EMP*x_WLOSS*(x_PEN_K74*Q51+x_PEN_C22*R51)</f>
        <v>646124.358658509</v>
      </c>
      <c r="AJ51" s="0" t="n">
        <f aca="false">x_EMP*x_WAGE*(x_WLOSS*(Q51+R51)+S51)+U51*x_ABS_D*x_WAGE/365</f>
        <v>267466619.442037</v>
      </c>
      <c r="AK51" s="0" t="n">
        <f aca="false">AJ51*x_R_FUS</f>
        <v>84626438.3914604</v>
      </c>
      <c r="AL51" s="0" t="n">
        <f aca="false">AJ51*x_R_NFZ</f>
        <v>20771725.132488</v>
      </c>
      <c r="AM51" s="0" t="n">
        <f aca="false">AJ51*x_R_PIT</f>
        <v>17782297.2247372</v>
      </c>
      <c r="AN51" s="0" t="n">
        <f aca="false">AJ51*x_R_FP</f>
        <v>6820398.79577193</v>
      </c>
      <c r="AO51" s="0" t="n">
        <f aca="false">AA51+AB51+AC51+AD51+AF51</f>
        <v>425317331.874132</v>
      </c>
      <c r="AP51" s="0" t="n">
        <f aca="false">AO51+AE51+AG51+AH51+AI51+AK51+AL51+AM51+AN51</f>
        <v>569517786.198367</v>
      </c>
      <c r="AQ51" s="0" t="n">
        <f aca="false">AO51+AE51+AG51+AJ51</f>
        <v>692783951.316169</v>
      </c>
      <c r="AR51" s="0" t="n">
        <f aca="false">AB51+AC51+AD51+AF51</f>
        <v>137833427.610024</v>
      </c>
      <c r="AS51" s="0" t="n">
        <f aca="false">AR51+AE51+AG51</f>
        <v>137833427.610024</v>
      </c>
    </row>
    <row r="52" customFormat="false" ht="15" hidden="false" customHeight="false" outlineLevel="0" collapsed="false">
      <c r="A52" s="0" t="n">
        <v>2075</v>
      </c>
      <c r="B52" s="0" t="n">
        <v>49</v>
      </c>
      <c r="C52" s="0" t="n">
        <v>4832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2275.333</v>
      </c>
      <c r="I52" s="0" t="n">
        <v>198.088</v>
      </c>
      <c r="J52" s="0" t="n">
        <v>998.311</v>
      </c>
      <c r="K52" s="0" t="n">
        <v>1726.201</v>
      </c>
      <c r="L52" s="0" t="n">
        <v>623.744</v>
      </c>
      <c r="M52" s="0" t="n">
        <v>148024.397</v>
      </c>
      <c r="N52" s="0" t="n">
        <v>7675.367</v>
      </c>
      <c r="O52" s="0" t="n">
        <v>56.743</v>
      </c>
      <c r="P52" s="0" t="n">
        <v>56.826</v>
      </c>
      <c r="Q52" s="0" t="n">
        <v>603.504</v>
      </c>
      <c r="R52" s="0" t="n">
        <v>890.852</v>
      </c>
      <c r="S52" s="0" t="n">
        <v>2482.983</v>
      </c>
      <c r="T52" s="0" t="n">
        <v>2473.42</v>
      </c>
      <c r="U52" s="0" t="n">
        <v>1837.38</v>
      </c>
      <c r="V52" s="0" t="n">
        <v>180765.245</v>
      </c>
      <c r="W52" s="0" t="n">
        <v>184.898</v>
      </c>
      <c r="X52" s="0" t="n">
        <v>502.526</v>
      </c>
      <c r="Y52" s="0" t="n">
        <v>56.743</v>
      </c>
      <c r="Z52" s="0" t="n">
        <v>604.432</v>
      </c>
      <c r="AA52" s="0" t="n">
        <f aca="false">H52*x_c_F+I52*x_c_CC+J52*x_c_DC+K52*x_c_HCC+L52*x_c_PLT+M52*x_c_SVRn+N52*x_c_SVRcc+O52*x_c_LT+P52*x_c_LT1</f>
        <v>288061703.68694</v>
      </c>
      <c r="AB52" s="0" t="n">
        <f aca="false">C52*x_c_DAA</f>
        <v>109976320</v>
      </c>
      <c r="AC52" s="0" t="n">
        <f aca="false">C52*x_c_MON</f>
        <v>27857107.6100244</v>
      </c>
      <c r="AD52" s="0" t="n">
        <f aca="false">D52*(1-x_testy)</f>
        <v>0</v>
      </c>
      <c r="AE52" s="0" t="n">
        <f aca="false">E52*(1-x_testy)</f>
        <v>0</v>
      </c>
      <c r="AF52" s="0" t="n">
        <f aca="false">F52*x_NAV</f>
        <v>0</v>
      </c>
      <c r="AG52" s="0" t="n">
        <f aca="false">G52*x_FIX*(1-x_testy)</f>
        <v>0</v>
      </c>
      <c r="AH52" s="0" t="n">
        <f aca="false">x_z_F*U52+(1-x_AGRI)*x_EMP*x_WLOSS*(x_PEN_K74*Q52+x_PEN_C22*R52)</f>
        <v>13497348.3460425</v>
      </c>
      <c r="AI52" s="0" t="n">
        <f aca="false">x_AGRI*x_EMP*x_WLOSS*(x_PEN_K74*Q52+x_PEN_C22*R52)</f>
        <v>642464.53347535</v>
      </c>
      <c r="AJ52" s="0" t="n">
        <f aca="false">x_EMP*x_WAGE*(x_WLOSS*(Q52+R52)+S52)+U52*x_ABS_D*x_WAGE/365</f>
        <v>266009978.990888</v>
      </c>
      <c r="AK52" s="0" t="n">
        <f aca="false">AJ52*x_R_FUS</f>
        <v>84165557.3527169</v>
      </c>
      <c r="AL52" s="0" t="n">
        <f aca="false">AJ52*x_R_NFZ</f>
        <v>20658600.9784113</v>
      </c>
      <c r="AM52" s="0" t="n">
        <f aca="false">AJ52*x_R_PIT</f>
        <v>17685453.6877533</v>
      </c>
      <c r="AN52" s="0" t="n">
        <f aca="false">AJ52*x_R_FP</f>
        <v>6783254.46426764</v>
      </c>
      <c r="AO52" s="0" t="n">
        <f aca="false">AA52+AB52+AC52+AD52+AF52</f>
        <v>425895131.296965</v>
      </c>
      <c r="AP52" s="0" t="n">
        <f aca="false">AO52+AE52+AG52+AH52+AI52+AK52+AL52+AM52+AN52</f>
        <v>569327810.659632</v>
      </c>
      <c r="AQ52" s="0" t="n">
        <f aca="false">AO52+AE52+AG52+AJ52</f>
        <v>691905110.287852</v>
      </c>
      <c r="AR52" s="0" t="n">
        <f aca="false">AB52+AC52+AD52+AF52</f>
        <v>137833427.610024</v>
      </c>
      <c r="AS52" s="0" t="n">
        <f aca="false">AR52+AE52+AG52</f>
        <v>137833427.610024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596</v>
      </c>
    </row>
    <row r="2" customFormat="false" ht="15" hidden="false" customHeight="false" outlineLevel="0" collapsed="false">
      <c r="A2" s="1" t="s">
        <v>597</v>
      </c>
      <c r="B2" s="0" t="n">
        <f aca="false">x_H</f>
        <v>20</v>
      </c>
    </row>
    <row r="3" customFormat="false" ht="15" hidden="false" customHeight="false" outlineLevel="0" collapsed="false">
      <c r="A3" s="1" t="s">
        <v>598</v>
      </c>
      <c r="B3" s="0" t="n">
        <f aca="false">SUM(H13:H62)</f>
        <v>-1803594625.46485</v>
      </c>
    </row>
    <row r="4" customFormat="false" ht="15" hidden="false" customHeight="false" outlineLevel="0" collapsed="false">
      <c r="A4" s="1" t="s">
        <v>599</v>
      </c>
      <c r="B4" s="0" t="n">
        <f aca="false">SUM(F13:F62)</f>
        <v>1035518492.58339</v>
      </c>
    </row>
    <row r="5" customFormat="false" ht="15" hidden="false" customHeight="false" outlineLevel="0" collapsed="false">
      <c r="A5" s="1" t="s">
        <v>600</v>
      </c>
      <c r="B5" s="0" t="n">
        <f aca="false">B3-B4</f>
        <v>-2839113118.04824</v>
      </c>
    </row>
    <row r="6" customFormat="false" ht="15" hidden="false" customHeight="false" outlineLevel="0" collapsed="false">
      <c r="A6" s="1" t="s">
        <v>601</v>
      </c>
      <c r="B6" s="0" t="n">
        <f aca="false">IF(B3=0,"—",(B5-B3)/ABS(B3))</f>
        <v>-0.57414148277166</v>
      </c>
    </row>
    <row r="7" customFormat="false" ht="15" hidden="false" customHeight="false" outlineLevel="0" collapsed="false">
      <c r="A7" s="1" t="s">
        <v>602</v>
      </c>
      <c r="B7" s="0" t="str">
        <f aca="false">IFERROR(INDEX(A13:A62,MATCH(1,M13:M62,0)),"brak w horyzoncie")</f>
        <v>brak w horyzoncie</v>
      </c>
    </row>
    <row r="8" customFormat="false" ht="15" hidden="false" customHeight="false" outlineLevel="0" collapsed="false">
      <c r="A8" s="1" t="s">
        <v>603</v>
      </c>
      <c r="B8" s="0" t="str">
        <f aca="false">IFERROR(INDEX(A13:A62,MATCH(1,N13:N62,0)),"brak w horyzoncie")</f>
        <v>brak w horyzoncie</v>
      </c>
    </row>
    <row r="9" customFormat="false" ht="15" hidden="false" customHeight="false" outlineLevel="0" collapsed="false">
      <c r="A9" s="1" t="s">
        <v>604</v>
      </c>
      <c r="B9" s="0" t="n">
        <f aca="false">SUM(E13:E62)</f>
        <v>-144712911.993685</v>
      </c>
    </row>
    <row r="10" customFormat="false" ht="15" hidden="false" customHeight="false" outlineLevel="0" collapsed="false">
      <c r="A10" s="1" t="s">
        <v>605</v>
      </c>
      <c r="B10" s="0" t="n">
        <f aca="false">IFERROR(B4/SUM(P13:P62),"—")</f>
        <v>-19245.3252211213</v>
      </c>
    </row>
    <row r="11" customFormat="false" ht="15" hidden="false" customHeight="false" outlineLevel="0" collapsed="false">
      <c r="A11" s="1" t="s">
        <v>606</v>
      </c>
      <c r="B11" s="0" t="n">
        <f aca="false">IFERROR(B9/SUM(P13:P62),"—")</f>
        <v>2689.51938083299</v>
      </c>
    </row>
    <row r="12" customFormat="false" ht="55.2" hidden="false" customHeight="false" outlineLevel="0" collapsed="false">
      <c r="A12" s="3" t="s">
        <v>318</v>
      </c>
      <c r="B12" s="3" t="s">
        <v>548</v>
      </c>
      <c r="C12" s="3" t="s">
        <v>607</v>
      </c>
      <c r="D12" s="3" t="s">
        <v>608</v>
      </c>
      <c r="E12" s="3" t="s">
        <v>609</v>
      </c>
      <c r="F12" s="3" t="s">
        <v>610</v>
      </c>
      <c r="G12" s="3" t="s">
        <v>611</v>
      </c>
      <c r="H12" s="3" t="s">
        <v>612</v>
      </c>
      <c r="I12" s="3" t="s">
        <v>613</v>
      </c>
      <c r="J12" s="3" t="s">
        <v>614</v>
      </c>
      <c r="K12" s="3" t="s">
        <v>615</v>
      </c>
      <c r="L12" s="3" t="s">
        <v>616</v>
      </c>
      <c r="M12" s="3" t="s">
        <v>617</v>
      </c>
      <c r="N12" s="3" t="s">
        <v>618</v>
      </c>
      <c r="O12" s="3" t="s">
        <v>619</v>
      </c>
      <c r="P12" s="3" t="s">
        <v>620</v>
      </c>
    </row>
    <row r="13" customFormat="false" ht="15" hidden="false" customHeight="false" outlineLevel="0" collapsed="false">
      <c r="A13" s="0" t="n">
        <v>2026</v>
      </c>
      <c r="B13" s="0" t="n">
        <v>0</v>
      </c>
      <c r="C13" s="0" t="n">
        <f aca="false">IF(B13&lt;x_H,(1+x_dk)^(-B13),0)</f>
        <v>1</v>
      </c>
      <c r="D13" s="0" t="n">
        <f aca="false">IF(B13&lt;x_H,(1+x_de)^(-B13),0)</f>
        <v>1</v>
      </c>
      <c r="E13" s="0" t="n">
        <f aca="false">(L_S0!AO3-L_S1!AO3)*C13</f>
        <v>-131768415.598007</v>
      </c>
      <c r="F13" s="0" t="n">
        <f aca="false">(L_S0!AP3-L_S1!AP3)*C13</f>
        <v>-124832780.480276</v>
      </c>
      <c r="G13" s="0" t="n">
        <f aca="false">(L_S0!AQ3-L_S1!AQ3)*C13</f>
        <v>-125820706.008647</v>
      </c>
      <c r="H13" s="0" t="n">
        <f aca="false">(L_S0!AS3-L_S1!AS3)*C13</f>
        <v>-137833427.610024</v>
      </c>
      <c r="I13" s="0" t="n">
        <f aca="false">E13</f>
        <v>-131768415.598007</v>
      </c>
      <c r="J13" s="0" t="n">
        <f aca="false">F13</f>
        <v>-124832780.480276</v>
      </c>
      <c r="K13" s="0" t="n">
        <f aca="false">G13</f>
        <v>-125820706.008647</v>
      </c>
      <c r="L13" s="0" t="n">
        <f aca="false">J13</f>
        <v>-124832780.480276</v>
      </c>
      <c r="M13" s="0" t="n">
        <v>0</v>
      </c>
      <c r="N13" s="0" t="n">
        <v>0</v>
      </c>
      <c r="O13" s="0" t="n">
        <f aca="false">I13</f>
        <v>-131768415.598007</v>
      </c>
      <c r="P13" s="0" t="n">
        <f aca="false">(L_S0!V3-L_S1!V3)*D13</f>
        <v>-391.087</v>
      </c>
    </row>
    <row r="14" customFormat="false" ht="15" hidden="false" customHeight="false" outlineLevel="0" collapsed="false">
      <c r="A14" s="0" t="n">
        <v>2027</v>
      </c>
      <c r="B14" s="0" t="n">
        <v>1</v>
      </c>
      <c r="C14" s="0" t="n">
        <f aca="false">IF(B14&lt;x_H,(1+x_dk)^(-B14),0)</f>
        <v>0.952380952380952</v>
      </c>
      <c r="D14" s="0" t="n">
        <f aca="false">IF(B14&lt;x_H,(1+x_de)^(-B14),0)</f>
        <v>0.966183574879227</v>
      </c>
      <c r="E14" s="0" t="n">
        <f aca="false">(L_S0!AO4-L_S1!AO4)*C14</f>
        <v>-115386322.816273</v>
      </c>
      <c r="F14" s="0" t="n">
        <f aca="false">(L_S0!AP4-L_S1!AP4)*C14</f>
        <v>-100626304.352777</v>
      </c>
      <c r="G14" s="0" t="n">
        <f aca="false">(L_S0!AQ4-L_S1!AQ4)*C14</f>
        <v>-102484075.420265</v>
      </c>
      <c r="H14" s="0" t="n">
        <f aca="false">(L_S0!AS4-L_S1!AS4)*C14</f>
        <v>-131269931.057166</v>
      </c>
      <c r="I14" s="0" t="n">
        <f aca="false">I13+E14</f>
        <v>-247154738.41428</v>
      </c>
      <c r="J14" s="0" t="n">
        <f aca="false">J13+F14</f>
        <v>-225459084.833053</v>
      </c>
      <c r="K14" s="0" t="n">
        <f aca="false">K13+G14</f>
        <v>-228304781.428912</v>
      </c>
      <c r="L14" s="0" t="n">
        <f aca="false">MAX(L13,J14)</f>
        <v>-124832780.480276</v>
      </c>
      <c r="M14" s="0" t="n">
        <f aca="false">IF(AND(B14&lt;x_H,J14&lt;=0,L13&gt;0),1,0)</f>
        <v>0</v>
      </c>
      <c r="N14" s="0" t="n">
        <f aca="false">IF(AND(B14&lt;x_H,I14&lt;=0,O13&gt;0),1,0)</f>
        <v>0</v>
      </c>
      <c r="O14" s="0" t="n">
        <f aca="false">MAX(O13,I14)</f>
        <v>-131768415.598007</v>
      </c>
      <c r="P14" s="0" t="n">
        <f aca="false">(L_S0!V4-L_S1!V4)*D14</f>
        <v>-642.270531400966</v>
      </c>
    </row>
    <row r="15" customFormat="false" ht="15" hidden="false" customHeight="false" outlineLevel="0" collapsed="false">
      <c r="A15" s="0" t="n">
        <v>2028</v>
      </c>
      <c r="B15" s="0" t="n">
        <v>2</v>
      </c>
      <c r="C15" s="0" t="n">
        <f aca="false">IF(B15&lt;x_H,(1+x_dk)^(-B15),0)</f>
        <v>0.90702947845805</v>
      </c>
      <c r="D15" s="0" t="n">
        <f aca="false">IF(B15&lt;x_H,(1+x_de)^(-B15),0)</f>
        <v>0.933510700366403</v>
      </c>
      <c r="E15" s="0" t="n">
        <f aca="false">(L_S0!AO5-L_S1!AO5)*C15</f>
        <v>-99298386.6622205</v>
      </c>
      <c r="F15" s="0" t="n">
        <f aca="false">(L_S0!AP5-L_S1!AP5)*C15</f>
        <v>-76726362.0500487</v>
      </c>
      <c r="G15" s="0" t="n">
        <f aca="false">(L_S0!AQ5-L_S1!AQ5)*C15</f>
        <v>-79084870.591273</v>
      </c>
      <c r="H15" s="0" t="n">
        <f aca="false">(L_S0!AS5-L_S1!AS5)*C15</f>
        <v>-125018981.959206</v>
      </c>
      <c r="I15" s="0" t="n">
        <f aca="false">I14+E15</f>
        <v>-346453125.076501</v>
      </c>
      <c r="J15" s="0" t="n">
        <f aca="false">J14+F15</f>
        <v>-302185446.883102</v>
      </c>
      <c r="K15" s="0" t="n">
        <f aca="false">K14+G15</f>
        <v>-307389652.020185</v>
      </c>
      <c r="L15" s="0" t="n">
        <f aca="false">MAX(L14,J15)</f>
        <v>-124832780.480276</v>
      </c>
      <c r="M15" s="0" t="n">
        <f aca="false">IF(AND(B15&lt;x_H,J15&lt;=0,L14&gt;0),1,0)</f>
        <v>0</v>
      </c>
      <c r="N15" s="0" t="n">
        <f aca="false">IF(AND(B15&lt;x_H,I15&lt;=0,O14&gt;0),1,0)</f>
        <v>0</v>
      </c>
      <c r="O15" s="0" t="n">
        <f aca="false">MAX(O14,I15)</f>
        <v>-131768415.598007</v>
      </c>
      <c r="P15" s="0" t="n">
        <f aca="false">(L_S0!V5-L_S1!V5)*D15</f>
        <v>-890.925809237086</v>
      </c>
    </row>
    <row r="16" customFormat="false" ht="15" hidden="false" customHeight="false" outlineLevel="0" collapsed="false">
      <c r="A16" s="0" t="n">
        <v>2029</v>
      </c>
      <c r="B16" s="0" t="n">
        <v>3</v>
      </c>
      <c r="C16" s="0" t="n">
        <f aca="false">IF(B16&lt;x_H,(1+x_dk)^(-B16),0)</f>
        <v>0.863837598531476</v>
      </c>
      <c r="D16" s="0" t="n">
        <f aca="false">IF(B16&lt;x_H,(1+x_de)^(-B16),0)</f>
        <v>0.901942705668022</v>
      </c>
      <c r="E16" s="0" t="n">
        <f aca="false">(L_S0!AO6-L_S1!AO6)*C16</f>
        <v>-83573026.8636561</v>
      </c>
      <c r="F16" s="0" t="n">
        <f aca="false">(L_S0!AP6-L_S1!AP6)*C16</f>
        <v>-53162170.4443511</v>
      </c>
      <c r="G16" s="0" t="n">
        <f aca="false">(L_S0!AQ6-L_S1!AQ6)*C16</f>
        <v>-55573010.1251696</v>
      </c>
      <c r="H16" s="0" t="n">
        <f aca="false">(L_S0!AS6-L_S1!AS6)*C16</f>
        <v>-119065697.104006</v>
      </c>
      <c r="I16" s="0" t="n">
        <f aca="false">I15+E16</f>
        <v>-430026151.940157</v>
      </c>
      <c r="J16" s="0" t="n">
        <f aca="false">J15+F16</f>
        <v>-355347617.327453</v>
      </c>
      <c r="K16" s="0" t="n">
        <f aca="false">K15+G16</f>
        <v>-362962662.145354</v>
      </c>
      <c r="L16" s="0" t="n">
        <f aca="false">MAX(L15,J16)</f>
        <v>-124832780.480276</v>
      </c>
      <c r="M16" s="0" t="n">
        <f aca="false">IF(AND(B16&lt;x_H,J16&lt;=0,L15&gt;0),1,0)</f>
        <v>0</v>
      </c>
      <c r="N16" s="0" t="n">
        <f aca="false">IF(AND(B16&lt;x_H,I16&lt;=0,O15&gt;0),1,0)</f>
        <v>0</v>
      </c>
      <c r="O16" s="0" t="n">
        <f aca="false">MAX(O15,I16)</f>
        <v>-131768415.598007</v>
      </c>
      <c r="P16" s="0" t="n">
        <f aca="false">(L_S0!V6-L_S1!V6)*D16</f>
        <v>-1139.2465373574</v>
      </c>
    </row>
    <row r="17" customFormat="false" ht="15" hidden="false" customHeight="false" outlineLevel="0" collapsed="false">
      <c r="A17" s="0" t="n">
        <v>2030</v>
      </c>
      <c r="B17" s="0" t="n">
        <v>4</v>
      </c>
      <c r="C17" s="0" t="n">
        <f aca="false">IF(B17&lt;x_H,(1+x_dk)^(-B17),0)</f>
        <v>0.822702474791882</v>
      </c>
      <c r="D17" s="0" t="n">
        <f aca="false">IF(B17&lt;x_H,(1+x_de)^(-B17),0)</f>
        <v>0.871442227698572</v>
      </c>
      <c r="E17" s="0" t="n">
        <f aca="false">(L_S0!AO7-L_S1!AO7)*C17</f>
        <v>-68270380.2645175</v>
      </c>
      <c r="F17" s="0" t="n">
        <f aca="false">(L_S0!AP7-L_S1!AP7)*C17</f>
        <v>-29963662.9166092</v>
      </c>
      <c r="G17" s="0" t="n">
        <f aca="false">(L_S0!AQ7-L_S1!AQ7)*C17</f>
        <v>-31918816.3377675</v>
      </c>
      <c r="H17" s="0" t="n">
        <f aca="false">(L_S0!AS7-L_S1!AS7)*C17</f>
        <v>-113395902.003815</v>
      </c>
      <c r="I17" s="0" t="n">
        <f aca="false">I16+E17</f>
        <v>-498296532.204674</v>
      </c>
      <c r="J17" s="0" t="n">
        <f aca="false">J16+F17</f>
        <v>-385311280.244062</v>
      </c>
      <c r="K17" s="0" t="n">
        <f aca="false">K16+G17</f>
        <v>-394881478.483122</v>
      </c>
      <c r="L17" s="0" t="n">
        <f aca="false">MAX(L16,J17)</f>
        <v>-124832780.480276</v>
      </c>
      <c r="M17" s="0" t="n">
        <f aca="false">IF(AND(B17&lt;x_H,J17&lt;=0,L16&gt;0),1,0)</f>
        <v>0</v>
      </c>
      <c r="N17" s="0" t="n">
        <f aca="false">IF(AND(B17&lt;x_H,I17&lt;=0,O16&gt;0),1,0)</f>
        <v>0</v>
      </c>
      <c r="O17" s="0" t="n">
        <f aca="false">MAX(O16,I17)</f>
        <v>-131768415.598007</v>
      </c>
      <c r="P17" s="0" t="n">
        <f aca="false">(L_S0!V7-L_S1!V7)*D17</f>
        <v>-1388.25888381527</v>
      </c>
    </row>
    <row r="18" customFormat="false" ht="15" hidden="false" customHeight="false" outlineLevel="0" collapsed="false">
      <c r="A18" s="0" t="n">
        <v>2031</v>
      </c>
      <c r="B18" s="0" t="n">
        <v>5</v>
      </c>
      <c r="C18" s="0" t="n">
        <f aca="false">IF(B18&lt;x_H,(1+x_dk)^(-B18),0)</f>
        <v>0.783526166468459</v>
      </c>
      <c r="D18" s="0" t="n">
        <f aca="false">IF(B18&lt;x_H,(1+x_de)^(-B18),0)</f>
        <v>0.841973166858524</v>
      </c>
      <c r="E18" s="0" t="n">
        <f aca="false">(L_S0!AO8-L_S1!AO8)*C18</f>
        <v>-53448385.5829928</v>
      </c>
      <c r="F18" s="0" t="n">
        <f aca="false">(L_S0!AP8-L_S1!AP8)*C18</f>
        <v>-7167757.44953903</v>
      </c>
      <c r="G18" s="0" t="n">
        <f aca="false">(L_S0!AQ8-L_S1!AQ8)*C18</f>
        <v>-8117452.76187966</v>
      </c>
      <c r="H18" s="0" t="n">
        <f aca="false">(L_S0!AS8-L_S1!AS8)*C18</f>
        <v>-107996097.14649</v>
      </c>
      <c r="I18" s="0" t="n">
        <f aca="false">I17+E18</f>
        <v>-551744917.787667</v>
      </c>
      <c r="J18" s="0" t="n">
        <f aca="false">J17+F18</f>
        <v>-392479037.693601</v>
      </c>
      <c r="K18" s="0" t="n">
        <f aca="false">K17+G18</f>
        <v>-402998931.245001</v>
      </c>
      <c r="L18" s="0" t="n">
        <f aca="false">MAX(L17,J18)</f>
        <v>-124832780.480276</v>
      </c>
      <c r="M18" s="0" t="n">
        <f aca="false">IF(AND(B18&lt;x_H,J18&lt;=0,L17&gt;0),1,0)</f>
        <v>0</v>
      </c>
      <c r="N18" s="0" t="n">
        <f aca="false">IF(AND(B18&lt;x_H,I18&lt;=0,O17&gt;0),1,0)</f>
        <v>0</v>
      </c>
      <c r="O18" s="0" t="n">
        <f aca="false">MAX(O17,I18)</f>
        <v>-131768415.598007</v>
      </c>
      <c r="P18" s="0" t="n">
        <f aca="false">(L_S0!V8-L_S1!V8)*D18</f>
        <v>-1638.22466483713</v>
      </c>
    </row>
    <row r="19" customFormat="false" ht="15" hidden="false" customHeight="false" outlineLevel="0" collapsed="false">
      <c r="A19" s="0" t="n">
        <v>2032</v>
      </c>
      <c r="B19" s="0" t="n">
        <v>6</v>
      </c>
      <c r="C19" s="0" t="n">
        <f aca="false">IF(B19&lt;x_H,(1+x_dk)^(-B19),0)</f>
        <v>0.746215396636628</v>
      </c>
      <c r="D19" s="0" t="n">
        <f aca="false">IF(B19&lt;x_H,(1+x_de)^(-B19),0)</f>
        <v>0.813500644307753</v>
      </c>
      <c r="E19" s="0" t="n">
        <f aca="false">(L_S0!AO9-L_S1!AO9)*C19</f>
        <v>-39169912.8609562</v>
      </c>
      <c r="F19" s="0" t="n">
        <f aca="false">(L_S0!AP9-L_S1!AP9)*C19</f>
        <v>15172727.3727322</v>
      </c>
      <c r="G19" s="0" t="n">
        <f aca="false">(L_S0!AQ9-L_S1!AQ9)*C19</f>
        <v>15803208.421332</v>
      </c>
      <c r="H19" s="0" t="n">
        <f aca="false">(L_S0!AS9-L_S1!AS9)*C19</f>
        <v>-102853425.8538</v>
      </c>
      <c r="I19" s="0" t="n">
        <f aca="false">I18+E19</f>
        <v>-590914830.648623</v>
      </c>
      <c r="J19" s="0" t="n">
        <f aca="false">J18+F19</f>
        <v>-377306310.320869</v>
      </c>
      <c r="K19" s="0" t="n">
        <f aca="false">K18+G19</f>
        <v>-387195722.823669</v>
      </c>
      <c r="L19" s="0" t="n">
        <f aca="false">MAX(L18,J19)</f>
        <v>-124832780.480276</v>
      </c>
      <c r="M19" s="0" t="n">
        <f aca="false">IF(AND(B19&lt;x_H,J19&lt;=0,L18&gt;0),1,0)</f>
        <v>0</v>
      </c>
      <c r="N19" s="0" t="n">
        <f aca="false">IF(AND(B19&lt;x_H,I19&lt;=0,O18&gt;0),1,0)</f>
        <v>0</v>
      </c>
      <c r="O19" s="0" t="n">
        <f aca="false">MAX(O18,I19)</f>
        <v>-131768415.598007</v>
      </c>
      <c r="P19" s="0" t="n">
        <f aca="false">(L_S0!V9-L_S1!V9)*D19</f>
        <v>-1888.87365402332</v>
      </c>
    </row>
    <row r="20" customFormat="false" ht="15" hidden="false" customHeight="false" outlineLevel="0" collapsed="false">
      <c r="A20" s="0" t="n">
        <v>2033</v>
      </c>
      <c r="B20" s="0" t="n">
        <v>7</v>
      </c>
      <c r="C20" s="0" t="n">
        <f aca="false">IF(B20&lt;x_H,(1+x_dk)^(-B20),0)</f>
        <v>0.710681330130121</v>
      </c>
      <c r="D20" s="0" t="n">
        <f aca="false">IF(B20&lt;x_H,(1+x_de)^(-B20),0)</f>
        <v>0.785990960683819</v>
      </c>
      <c r="E20" s="0" t="n">
        <f aca="false">(L_S0!AO10-L_S1!AO10)*C20</f>
        <v>-25499608.694018</v>
      </c>
      <c r="F20" s="0" t="n">
        <f aca="false">(L_S0!AP10-L_S1!AP10)*C20</f>
        <v>36992569.9212344</v>
      </c>
      <c r="G20" s="0" t="n">
        <f aca="false">(L_S0!AQ10-L_S1!AQ10)*C20</f>
        <v>39787089.8269303</v>
      </c>
      <c r="H20" s="0" t="n">
        <f aca="false">(L_S0!AS10-L_S1!AS10)*C20</f>
        <v>-97955643.6702859</v>
      </c>
      <c r="I20" s="0" t="n">
        <f aca="false">I19+E20</f>
        <v>-616414439.342641</v>
      </c>
      <c r="J20" s="0" t="n">
        <f aca="false">J19+F20</f>
        <v>-340313740.399635</v>
      </c>
      <c r="K20" s="0" t="n">
        <f aca="false">K19+G20</f>
        <v>-347408632.996739</v>
      </c>
      <c r="L20" s="0" t="n">
        <f aca="false">MAX(L19,J20)</f>
        <v>-124832780.480276</v>
      </c>
      <c r="M20" s="0" t="n">
        <f aca="false">IF(AND(B20&lt;x_H,J20&lt;=0,L19&gt;0),1,0)</f>
        <v>0</v>
      </c>
      <c r="N20" s="0" t="n">
        <f aca="false">IF(AND(B20&lt;x_H,I20&lt;=0,O19&gt;0),1,0)</f>
        <v>0</v>
      </c>
      <c r="O20" s="0" t="n">
        <f aca="false">MAX(O19,I20)</f>
        <v>-131768415.598007</v>
      </c>
      <c r="P20" s="0" t="n">
        <f aca="false">(L_S0!V10-L_S1!V10)*D20</f>
        <v>-2139.5923675441</v>
      </c>
    </row>
    <row r="21" customFormat="false" ht="15" hidden="false" customHeight="false" outlineLevel="0" collapsed="false">
      <c r="A21" s="0" t="n">
        <v>2034</v>
      </c>
      <c r="B21" s="0" t="n">
        <v>8</v>
      </c>
      <c r="C21" s="0" t="n">
        <f aca="false">IF(B21&lt;x_H,(1+x_dk)^(-B21),0)</f>
        <v>0.676839362028687</v>
      </c>
      <c r="D21" s="0" t="n">
        <f aca="false">IF(B21&lt;x_H,(1+x_de)^(-B21),0)</f>
        <v>0.759411556216251</v>
      </c>
      <c r="E21" s="0" t="n">
        <f aca="false">(L_S0!AO11-L_S1!AO11)*C21</f>
        <v>-12502245.132689</v>
      </c>
      <c r="F21" s="0" t="n">
        <f aca="false">(L_S0!AP11-L_S1!AP11)*C21</f>
        <v>58215633.562695</v>
      </c>
      <c r="G21" s="0" t="n">
        <f aca="false">(L_S0!AQ11-L_S1!AQ11)*C21</f>
        <v>63752256.5493105</v>
      </c>
      <c r="H21" s="0" t="n">
        <f aca="false">(L_S0!AS11-L_S1!AS11)*C21</f>
        <v>-93291089.2097961</v>
      </c>
      <c r="I21" s="0" t="n">
        <f aca="false">I20+E21</f>
        <v>-628916684.47533</v>
      </c>
      <c r="J21" s="0" t="n">
        <f aca="false">J20+F21</f>
        <v>-282098106.83694</v>
      </c>
      <c r="K21" s="0" t="n">
        <f aca="false">K20+G21</f>
        <v>-283656376.447429</v>
      </c>
      <c r="L21" s="0" t="n">
        <f aca="false">MAX(L20,J21)</f>
        <v>-124832780.480276</v>
      </c>
      <c r="M21" s="0" t="n">
        <f aca="false">IF(AND(B21&lt;x_H,J21&lt;=0,L20&gt;0),1,0)</f>
        <v>0</v>
      </c>
      <c r="N21" s="0" t="n">
        <f aca="false">IF(AND(B21&lt;x_H,I21&lt;=0,O20&gt;0),1,0)</f>
        <v>0</v>
      </c>
      <c r="O21" s="0" t="n">
        <f aca="false">MAX(O20,I21)</f>
        <v>-131768415.598007</v>
      </c>
      <c r="P21" s="0" t="n">
        <f aca="false">(L_S0!V11-L_S1!V11)*D21</f>
        <v>-2389.50440927712</v>
      </c>
    </row>
    <row r="22" customFormat="false" ht="15" hidden="false" customHeight="false" outlineLevel="0" collapsed="false">
      <c r="A22" s="0" t="n">
        <v>2035</v>
      </c>
      <c r="B22" s="0" t="n">
        <v>9</v>
      </c>
      <c r="C22" s="0" t="n">
        <f aca="false">IF(B22&lt;x_H,(1+x_dk)^(-B22),0)</f>
        <v>0.644608916217797</v>
      </c>
      <c r="D22" s="0" t="n">
        <f aca="false">IF(B22&lt;x_H,(1+x_de)^(-B22),0)</f>
        <v>0.733730972189614</v>
      </c>
      <c r="E22" s="0" t="n">
        <f aca="false">(L_S0!AO12-L_S1!AO12)*C22</f>
        <v>-238135.3958455</v>
      </c>
      <c r="F22" s="0" t="n">
        <f aca="false">(L_S0!AP12-L_S1!AP12)*C22</f>
        <v>78760338.2350112</v>
      </c>
      <c r="G22" s="0" t="n">
        <f aca="false">(L_S0!AQ12-L_S1!AQ12)*C22</f>
        <v>87597485.7551553</v>
      </c>
      <c r="H22" s="0" t="n">
        <f aca="false">(L_S0!AS12-L_S1!AS12)*C22</f>
        <v>-88848656.390282</v>
      </c>
      <c r="I22" s="0" t="n">
        <f aca="false">I21+E22</f>
        <v>-629154819.871176</v>
      </c>
      <c r="J22" s="0" t="n">
        <f aca="false">J21+F22</f>
        <v>-203337768.601928</v>
      </c>
      <c r="K22" s="0" t="n">
        <f aca="false">K21+G22</f>
        <v>-196058890.692273</v>
      </c>
      <c r="L22" s="0" t="n">
        <f aca="false">MAX(L21,J22)</f>
        <v>-124832780.480276</v>
      </c>
      <c r="M22" s="0" t="n">
        <f aca="false">IF(AND(B22&lt;x_H,J22&lt;=0,L21&gt;0),1,0)</f>
        <v>0</v>
      </c>
      <c r="N22" s="0" t="n">
        <f aca="false">IF(AND(B22&lt;x_H,I22&lt;=0,O21&gt;0),1,0)</f>
        <v>0</v>
      </c>
      <c r="O22" s="0" t="n">
        <f aca="false">MAX(O21,I22)</f>
        <v>-131768415.598007</v>
      </c>
      <c r="P22" s="0" t="n">
        <f aca="false">(L_S0!V12-L_S1!V12)*D22</f>
        <v>-2637.56473765917</v>
      </c>
    </row>
    <row r="23" customFormat="false" ht="15" hidden="false" customHeight="false" outlineLevel="0" collapsed="false">
      <c r="A23" s="0" t="n">
        <v>2036</v>
      </c>
      <c r="B23" s="0" t="n">
        <v>10</v>
      </c>
      <c r="C23" s="0" t="n">
        <f aca="false">IF(B23&lt;x_H,(1+x_dk)^(-B23),0)</f>
        <v>0.613913253540759</v>
      </c>
      <c r="D23" s="0" t="n">
        <f aca="false">IF(B23&lt;x_H,(1+x_de)^(-B23),0)</f>
        <v>0.708918813709772</v>
      </c>
      <c r="E23" s="0" t="n">
        <f aca="false">(L_S0!AO13-L_S1!AO13)*C23</f>
        <v>11236645.5461674</v>
      </c>
      <c r="F23" s="0" t="n">
        <f aca="false">(L_S0!AP13-L_S1!AP13)*C23</f>
        <v>98540433.4804375</v>
      </c>
      <c r="G23" s="0" t="n">
        <f aca="false">(L_S0!AQ13-L_S1!AQ13)*C23</f>
        <v>111204380.362948</v>
      </c>
      <c r="H23" s="0" t="n">
        <f aca="false">(L_S0!AS13-L_S1!AS13)*C23</f>
        <v>-84617767.9907448</v>
      </c>
      <c r="I23" s="0" t="n">
        <f aca="false">I22+E23</f>
        <v>-617918174.325008</v>
      </c>
      <c r="J23" s="0" t="n">
        <f aca="false">J22+F23</f>
        <v>-104797335.121491</v>
      </c>
      <c r="K23" s="0" t="n">
        <f aca="false">K22+G23</f>
        <v>-84854510.329325</v>
      </c>
      <c r="L23" s="0" t="n">
        <f aca="false">MAX(L22,J23)</f>
        <v>-104797335.121491</v>
      </c>
      <c r="M23" s="0" t="n">
        <f aca="false">IF(AND(B23&lt;x_H,J23&lt;=0,L22&gt;0),1,0)</f>
        <v>0</v>
      </c>
      <c r="N23" s="0" t="n">
        <f aca="false">IF(AND(B23&lt;x_H,I23&lt;=0,O22&gt;0),1,0)</f>
        <v>0</v>
      </c>
      <c r="O23" s="0" t="n">
        <f aca="false">MAX(O22,I23)</f>
        <v>-131768415.598007</v>
      </c>
      <c r="P23" s="0" t="n">
        <f aca="false">(L_S0!V13-L_S1!V13)*D23</f>
        <v>-2882.55251139565</v>
      </c>
    </row>
    <row r="24" customFormat="false" ht="15" hidden="false" customHeight="false" outlineLevel="0" collapsed="false">
      <c r="A24" s="0" t="n">
        <v>2037</v>
      </c>
      <c r="B24" s="0" t="n">
        <v>11</v>
      </c>
      <c r="C24" s="0" t="n">
        <f aca="false">IF(B24&lt;x_H,(1+x_dk)^(-B24),0)</f>
        <v>0.584679289086437</v>
      </c>
      <c r="D24" s="0" t="n">
        <f aca="false">IF(B24&lt;x_H,(1+x_de)^(-B24),0)</f>
        <v>0.684945713729249</v>
      </c>
      <c r="E24" s="0" t="n">
        <f aca="false">(L_S0!AO14-L_S1!AO14)*C24</f>
        <v>21873415.8422805</v>
      </c>
      <c r="F24" s="0" t="n">
        <f aca="false">(L_S0!AP14-L_S1!AP14)*C24</f>
        <v>117468818.145316</v>
      </c>
      <c r="G24" s="0" t="n">
        <f aca="false">(L_S0!AQ14-L_S1!AQ14)*C24</f>
        <v>134442508.747434</v>
      </c>
      <c r="H24" s="0" t="n">
        <f aca="false">(L_S0!AS14-L_S1!AS14)*C24</f>
        <v>-80588350.467376</v>
      </c>
      <c r="I24" s="0" t="n">
        <f aca="false">I23+E24</f>
        <v>-596044758.482728</v>
      </c>
      <c r="J24" s="0" t="n">
        <f aca="false">J23+F24</f>
        <v>12671483.023825</v>
      </c>
      <c r="K24" s="0" t="n">
        <f aca="false">K23+G24</f>
        <v>49587998.418109</v>
      </c>
      <c r="L24" s="0" t="n">
        <f aca="false">MAX(L23,J24)</f>
        <v>12671483.023825</v>
      </c>
      <c r="M24" s="0" t="n">
        <f aca="false">IF(AND(B24&lt;x_H,J24&lt;=0,L23&gt;0),1,0)</f>
        <v>0</v>
      </c>
      <c r="N24" s="0" t="n">
        <f aca="false">IF(AND(B24&lt;x_H,I24&lt;=0,O23&gt;0),1,0)</f>
        <v>0</v>
      </c>
      <c r="O24" s="0" t="n">
        <f aca="false">MAX(O23,I24)</f>
        <v>-131768415.598007</v>
      </c>
      <c r="P24" s="0" t="n">
        <f aca="false">(L_S0!V14-L_S1!V14)*D24</f>
        <v>-3123.08738061416</v>
      </c>
    </row>
    <row r="25" customFormat="false" ht="15" hidden="false" customHeight="false" outlineLevel="0" collapsed="false">
      <c r="A25" s="0" t="n">
        <v>2038</v>
      </c>
      <c r="B25" s="0" t="n">
        <v>12</v>
      </c>
      <c r="C25" s="0" t="n">
        <f aca="false">IF(B25&lt;x_H,(1+x_dk)^(-B25),0)</f>
        <v>0.556837418177559</v>
      </c>
      <c r="D25" s="0" t="n">
        <f aca="false">IF(B25&lt;x_H,(1+x_de)^(-B25),0)</f>
        <v>0.661783298289129</v>
      </c>
      <c r="E25" s="0" t="n">
        <f aca="false">(L_S0!AO15-L_S1!AO15)*C25</f>
        <v>31634524.2535831</v>
      </c>
      <c r="F25" s="0" t="n">
        <f aca="false">(L_S0!AP15-L_S1!AP15)*C25</f>
        <v>108342639.7741</v>
      </c>
      <c r="G25" s="0" t="n">
        <f aca="false">(L_S0!AQ15-L_S1!AQ15)*C25</f>
        <v>119740327.145181</v>
      </c>
      <c r="H25" s="0" t="n">
        <f aca="false">(L_S0!AS15-L_S1!AS15)*C25</f>
        <v>-76750809.9689295</v>
      </c>
      <c r="I25" s="0" t="n">
        <f aca="false">I24+E25</f>
        <v>-564410234.229145</v>
      </c>
      <c r="J25" s="0" t="n">
        <f aca="false">J24+F25</f>
        <v>121014122.797925</v>
      </c>
      <c r="K25" s="0" t="n">
        <f aca="false">K24+G25</f>
        <v>169328325.56329</v>
      </c>
      <c r="L25" s="0" t="n">
        <f aca="false">MAX(L24,J25)</f>
        <v>121014122.797925</v>
      </c>
      <c r="M25" s="0" t="n">
        <f aca="false">IF(AND(B25&lt;x_H,J25&lt;=0,L24&gt;0),1,0)</f>
        <v>0</v>
      </c>
      <c r="N25" s="0" t="n">
        <f aca="false">IF(AND(B25&lt;x_H,I25&lt;=0,O24&gt;0),1,0)</f>
        <v>0</v>
      </c>
      <c r="O25" s="0" t="n">
        <f aca="false">MAX(O24,I25)</f>
        <v>-131768415.598007</v>
      </c>
      <c r="P25" s="0" t="n">
        <f aca="false">(L_S0!V15-L_S1!V15)*D25</f>
        <v>-3357.68727339636</v>
      </c>
    </row>
    <row r="26" customFormat="false" ht="15" hidden="false" customHeight="false" outlineLevel="0" collapsed="false">
      <c r="A26" s="0" t="n">
        <v>2039</v>
      </c>
      <c r="B26" s="0" t="n">
        <v>13</v>
      </c>
      <c r="C26" s="0" t="n">
        <f aca="false">IF(B26&lt;x_H,(1+x_dk)^(-B26),0)</f>
        <v>0.530321350645295</v>
      </c>
      <c r="D26" s="0" t="n">
        <f aca="false">IF(B26&lt;x_H,(1+x_de)^(-B26),0)</f>
        <v>0.639404152936357</v>
      </c>
      <c r="E26" s="0" t="n">
        <f aca="false">(L_S0!AO16-L_S1!AO16)*C26</f>
        <v>40492514.8111994</v>
      </c>
      <c r="F26" s="0" t="n">
        <f aca="false">(L_S0!AP16-L_S1!AP16)*C26</f>
        <v>97717628.8766889</v>
      </c>
      <c r="G26" s="0" t="n">
        <f aca="false">(L_S0!AQ16-L_S1!AQ16)*C26</f>
        <v>102479989.778393</v>
      </c>
      <c r="H26" s="0" t="n">
        <f aca="false">(L_S0!AS16-L_S1!AS16)*C26</f>
        <v>-73096009.4942186</v>
      </c>
      <c r="I26" s="0" t="n">
        <f aca="false">I25+E26</f>
        <v>-523917719.417945</v>
      </c>
      <c r="J26" s="0" t="n">
        <f aca="false">J25+F26</f>
        <v>218731751.674614</v>
      </c>
      <c r="K26" s="0" t="n">
        <f aca="false">K25+G26</f>
        <v>271808315.341682</v>
      </c>
      <c r="L26" s="0" t="n">
        <f aca="false">MAX(L25,J26)</f>
        <v>218731751.674614</v>
      </c>
      <c r="M26" s="0" t="n">
        <f aca="false">IF(AND(B26&lt;x_H,J26&lt;=0,L25&gt;0),1,0)</f>
        <v>0</v>
      </c>
      <c r="N26" s="0" t="n">
        <f aca="false">IF(AND(B26&lt;x_H,I26&lt;=0,O25&gt;0),1,0)</f>
        <v>0</v>
      </c>
      <c r="O26" s="0" t="n">
        <f aca="false">MAX(O25,I26)</f>
        <v>-131768415.598007</v>
      </c>
      <c r="P26" s="0" t="n">
        <f aca="false">(L_S0!V16-L_S1!V16)*D26</f>
        <v>-3584.78293740097</v>
      </c>
    </row>
    <row r="27" customFormat="false" ht="15" hidden="false" customHeight="false" outlineLevel="0" collapsed="false">
      <c r="A27" s="0" t="n">
        <v>2040</v>
      </c>
      <c r="B27" s="0" t="n">
        <v>14</v>
      </c>
      <c r="C27" s="0" t="n">
        <f aca="false">IF(B27&lt;x_H,(1+x_dk)^(-B27),0)</f>
        <v>0.505067952995519</v>
      </c>
      <c r="D27" s="0" t="n">
        <f aca="false">IF(B27&lt;x_H,(1+x_de)^(-B27),0)</f>
        <v>0.617781790276673</v>
      </c>
      <c r="E27" s="0" t="n">
        <f aca="false">(L_S0!AO17-L_S1!AO17)*C27</f>
        <v>48435329.2551112</v>
      </c>
      <c r="F27" s="0" t="n">
        <f aca="false">(L_S0!AP17-L_S1!AP17)*C27</f>
        <v>110227719.886236</v>
      </c>
      <c r="G27" s="0" t="n">
        <f aca="false">(L_S0!AQ17-L_S1!AQ17)*C27</f>
        <v>116612190.213183</v>
      </c>
      <c r="H27" s="0" t="n">
        <f aca="false">(L_S0!AS17-L_S1!AS17)*C27</f>
        <v>-69615247.137351</v>
      </c>
      <c r="I27" s="0" t="n">
        <f aca="false">I26+E27</f>
        <v>-475482390.162834</v>
      </c>
      <c r="J27" s="0" t="n">
        <f aca="false">J26+F27</f>
        <v>328959471.56085</v>
      </c>
      <c r="K27" s="0" t="n">
        <f aca="false">K26+G27</f>
        <v>388420505.554865</v>
      </c>
      <c r="L27" s="0" t="n">
        <f aca="false">MAX(L26,J27)</f>
        <v>328959471.56085</v>
      </c>
      <c r="M27" s="0" t="n">
        <f aca="false">IF(AND(B27&lt;x_H,J27&lt;=0,L26&gt;0),1,0)</f>
        <v>0</v>
      </c>
      <c r="N27" s="0" t="n">
        <f aca="false">IF(AND(B27&lt;x_H,I27&lt;=0,O26&gt;0),1,0)</f>
        <v>0</v>
      </c>
      <c r="O27" s="0" t="n">
        <f aca="false">MAX(O26,I27)</f>
        <v>-131768415.598007</v>
      </c>
      <c r="P27" s="0" t="n">
        <f aca="false">(L_S0!V17-L_S1!V17)*D27</f>
        <v>-3802.90654880489</v>
      </c>
    </row>
    <row r="28" customFormat="false" ht="15" hidden="false" customHeight="false" outlineLevel="0" collapsed="false">
      <c r="A28" s="0" t="n">
        <v>2041</v>
      </c>
      <c r="B28" s="0" t="n">
        <v>15</v>
      </c>
      <c r="C28" s="0" t="n">
        <f aca="false">IF(B28&lt;x_H,(1+x_dk)^(-B28),0)</f>
        <v>0.48101709809097</v>
      </c>
      <c r="D28" s="0" t="n">
        <f aca="false">IF(B28&lt;x_H,(1+x_de)^(-B28),0)</f>
        <v>0.596890618624805</v>
      </c>
      <c r="E28" s="0" t="n">
        <f aca="false">(L_S0!AO18-L_S1!AO18)*C28</f>
        <v>55468333.45088</v>
      </c>
      <c r="F28" s="0" t="n">
        <f aca="false">(L_S0!AP18-L_S1!AP18)*C28</f>
        <v>121785791.125126</v>
      </c>
      <c r="G28" s="0" t="n">
        <f aca="false">(L_S0!AQ18-L_S1!AQ18)*C28</f>
        <v>129979032.163789</v>
      </c>
      <c r="H28" s="0" t="n">
        <f aca="false">(L_S0!AS18-L_S1!AS18)*C28</f>
        <v>-66300235.3689057</v>
      </c>
      <c r="I28" s="0" t="n">
        <f aca="false">I27+E28</f>
        <v>-420014056.711954</v>
      </c>
      <c r="J28" s="0" t="n">
        <f aca="false">J27+F28</f>
        <v>450745262.685976</v>
      </c>
      <c r="K28" s="0" t="n">
        <f aca="false">K27+G28</f>
        <v>518399537.718655</v>
      </c>
      <c r="L28" s="0" t="n">
        <f aca="false">MAX(L27,J28)</f>
        <v>450745262.685976</v>
      </c>
      <c r="M28" s="0" t="n">
        <f aca="false">IF(AND(B28&lt;x_H,J28&lt;=0,L27&gt;0),1,0)</f>
        <v>0</v>
      </c>
      <c r="N28" s="0" t="n">
        <f aca="false">IF(AND(B28&lt;x_H,I28&lt;=0,O27&gt;0),1,0)</f>
        <v>0</v>
      </c>
      <c r="O28" s="0" t="n">
        <f aca="false">MAX(O27,I28)</f>
        <v>-131768415.598007</v>
      </c>
      <c r="P28" s="0" t="n">
        <f aca="false">(L_S0!V18-L_S1!V18)*D28</f>
        <v>-4010.90440191083</v>
      </c>
    </row>
    <row r="29" customFormat="false" ht="15" hidden="false" customHeight="false" outlineLevel="0" collapsed="false">
      <c r="A29" s="0" t="n">
        <v>2042</v>
      </c>
      <c r="B29" s="0" t="n">
        <v>16</v>
      </c>
      <c r="C29" s="0" t="n">
        <f aca="false">IF(B29&lt;x_H,(1+x_dk)^(-B29),0)</f>
        <v>0.4581115219914</v>
      </c>
      <c r="D29" s="0" t="n">
        <f aca="false">IF(B29&lt;x_H,(1+x_de)^(-B29),0)</f>
        <v>0.576705911714788</v>
      </c>
      <c r="E29" s="0" t="n">
        <f aca="false">(L_S0!AO19-L_S1!AO19)*C29</f>
        <v>61606108.8088041</v>
      </c>
      <c r="F29" s="0" t="n">
        <f aca="false">(L_S0!AP19-L_S1!AP19)*C29</f>
        <v>132399639.004419</v>
      </c>
      <c r="G29" s="0" t="n">
        <f aca="false">(L_S0!AQ19-L_S1!AQ19)*C29</f>
        <v>142585186.080081</v>
      </c>
      <c r="H29" s="0" t="n">
        <f aca="false">(L_S0!AS19-L_S1!AS19)*C29</f>
        <v>-63143081.3037197</v>
      </c>
      <c r="I29" s="0" t="n">
        <f aca="false">I28+E29</f>
        <v>-358407947.90315</v>
      </c>
      <c r="J29" s="0" t="n">
        <f aca="false">J28+F29</f>
        <v>583144901.690396</v>
      </c>
      <c r="K29" s="0" t="n">
        <f aca="false">K28+G29</f>
        <v>660984723.798736</v>
      </c>
      <c r="L29" s="0" t="n">
        <f aca="false">MAX(L28,J29)</f>
        <v>583144901.690396</v>
      </c>
      <c r="M29" s="0" t="n">
        <f aca="false">IF(AND(B29&lt;x_H,J29&lt;=0,L28&gt;0),1,0)</f>
        <v>0</v>
      </c>
      <c r="N29" s="0" t="n">
        <f aca="false">IF(AND(B29&lt;x_H,I29&lt;=0,O28&gt;0),1,0)</f>
        <v>0</v>
      </c>
      <c r="O29" s="0" t="n">
        <f aca="false">MAX(O28,I29)</f>
        <v>-131768415.598007</v>
      </c>
      <c r="P29" s="0" t="n">
        <f aca="false">(L_S0!V19-L_S1!V19)*D29</f>
        <v>-4206.89546077403</v>
      </c>
    </row>
    <row r="30" customFormat="false" ht="15" hidden="false" customHeight="false" outlineLevel="0" collapsed="false">
      <c r="A30" s="0" t="n">
        <v>2043</v>
      </c>
      <c r="B30" s="0" t="n">
        <v>17</v>
      </c>
      <c r="C30" s="0" t="n">
        <f aca="false">IF(B30&lt;x_H,(1+x_dk)^(-B30),0)</f>
        <v>0.436296687610857</v>
      </c>
      <c r="D30" s="0" t="n">
        <f aca="false">IF(B30&lt;x_H,(1+x_de)^(-B30),0)</f>
        <v>0.557203779434577</v>
      </c>
      <c r="E30" s="0" t="n">
        <f aca="false">(L_S0!AO20-L_S1!AO20)*C30</f>
        <v>66915566.737144</v>
      </c>
      <c r="F30" s="0" t="n">
        <f aca="false">(L_S0!AP20-L_S1!AP20)*C30</f>
        <v>142131040.141614</v>
      </c>
      <c r="G30" s="0" t="n">
        <f aca="false">(L_S0!AQ20-L_S1!AQ20)*C30</f>
        <v>154488277.029372</v>
      </c>
      <c r="H30" s="0" t="n">
        <f aca="false">(L_S0!AS20-L_S1!AS20)*C30</f>
        <v>-60136267.9083045</v>
      </c>
      <c r="I30" s="0" t="n">
        <f aca="false">I29+E30</f>
        <v>-291492381.166006</v>
      </c>
      <c r="J30" s="0" t="n">
        <f aca="false">J29+F30</f>
        <v>725275941.83201</v>
      </c>
      <c r="K30" s="0" t="n">
        <f aca="false">K29+G30</f>
        <v>815473000.828108</v>
      </c>
      <c r="L30" s="0" t="n">
        <f aca="false">MAX(L29,J30)</f>
        <v>725275941.83201</v>
      </c>
      <c r="M30" s="0" t="n">
        <f aca="false">IF(AND(B30&lt;x_H,J30&lt;=0,L29&gt;0),1,0)</f>
        <v>0</v>
      </c>
      <c r="N30" s="0" t="n">
        <f aca="false">IF(AND(B30&lt;x_H,I30&lt;=0,O29&gt;0),1,0)</f>
        <v>0</v>
      </c>
      <c r="O30" s="0" t="n">
        <f aca="false">MAX(O29,I30)</f>
        <v>-131768415.598007</v>
      </c>
      <c r="P30" s="0" t="n">
        <f aca="false">(L_S0!V20-L_S1!V20)*D30</f>
        <v>-4392.10307101511</v>
      </c>
    </row>
    <row r="31" customFormat="false" ht="15" hidden="false" customHeight="false" outlineLevel="0" collapsed="false">
      <c r="A31" s="0" t="n">
        <v>2044</v>
      </c>
      <c r="B31" s="0" t="n">
        <v>18</v>
      </c>
      <c r="C31" s="0" t="n">
        <f aca="false">IF(B31&lt;x_H,(1+x_dk)^(-B31),0)</f>
        <v>0.415520654867483</v>
      </c>
      <c r="D31" s="0" t="n">
        <f aca="false">IF(B31&lt;x_H,(1+x_de)^(-B31),0)</f>
        <v>0.538361139550316</v>
      </c>
      <c r="E31" s="0" t="n">
        <f aca="false">(L_S0!AO21-L_S1!AO21)*C31</f>
        <v>71465102.1585618</v>
      </c>
      <c r="F31" s="0" t="n">
        <f aca="false">(L_S0!AP21-L_S1!AP21)*C31</f>
        <v>151044911.272861</v>
      </c>
      <c r="G31" s="0" t="n">
        <f aca="false">(L_S0!AQ21-L_S1!AQ21)*C31</f>
        <v>165748365.609799</v>
      </c>
      <c r="H31" s="0" t="n">
        <f aca="false">(L_S0!AS21-L_S1!AS21)*C31</f>
        <v>-57272636.1031471</v>
      </c>
      <c r="I31" s="0" t="n">
        <f aca="false">I30+E31</f>
        <v>-220027279.007444</v>
      </c>
      <c r="J31" s="0" t="n">
        <f aca="false">J30+F31</f>
        <v>876320853.104871</v>
      </c>
      <c r="K31" s="0" t="n">
        <f aca="false">K30+G31</f>
        <v>981221366.437907</v>
      </c>
      <c r="L31" s="0" t="n">
        <f aca="false">MAX(L30,J31)</f>
        <v>876320853.104871</v>
      </c>
      <c r="M31" s="0" t="n">
        <f aca="false">IF(AND(B31&lt;x_H,J31&lt;=0,L30&gt;0),1,0)</f>
        <v>0</v>
      </c>
      <c r="N31" s="0" t="n">
        <f aca="false">IF(AND(B31&lt;x_H,I31&lt;=0,O30&gt;0),1,0)</f>
        <v>0</v>
      </c>
      <c r="O31" s="0" t="n">
        <f aca="false">MAX(O30,I31)</f>
        <v>-131768415.598007</v>
      </c>
      <c r="P31" s="0" t="n">
        <f aca="false">(L_S0!V21-L_S1!V21)*D31</f>
        <v>-4567.56465689507</v>
      </c>
    </row>
    <row r="32" customFormat="false" ht="15" hidden="false" customHeight="false" outlineLevel="0" collapsed="false">
      <c r="A32" s="0" t="n">
        <v>2045</v>
      </c>
      <c r="B32" s="0" t="n">
        <v>19</v>
      </c>
      <c r="C32" s="0" t="n">
        <f aca="false">IF(B32&lt;x_H,(1+x_dk)^(-B32),0)</f>
        <v>0.39573395701665</v>
      </c>
      <c r="D32" s="0" t="n">
        <f aca="false">IF(B32&lt;x_H,(1+x_de)^(-B32),0)</f>
        <v>0.520155690386779</v>
      </c>
      <c r="E32" s="0" t="n">
        <f aca="false">(L_S0!AO22-L_S1!AO22)*C32</f>
        <v>75314367.0137591</v>
      </c>
      <c r="F32" s="0" t="n">
        <f aca="false">(L_S0!AP22-L_S1!AP22)*C32</f>
        <v>159197639.478515</v>
      </c>
      <c r="G32" s="0" t="n">
        <f aca="false">(L_S0!AQ22-L_S1!AQ22)*C32</f>
        <v>176415785.740264</v>
      </c>
      <c r="H32" s="0" t="n">
        <f aca="false">(L_S0!AS22-L_S1!AS22)*C32</f>
        <v>-54545367.717283</v>
      </c>
      <c r="I32" s="0" t="n">
        <f aca="false">I31+E32</f>
        <v>-144712911.993685</v>
      </c>
      <c r="J32" s="0" t="n">
        <f aca="false">J31+F32</f>
        <v>1035518492.58339</v>
      </c>
      <c r="K32" s="0" t="n">
        <f aca="false">K31+G32</f>
        <v>1157637152.17817</v>
      </c>
      <c r="L32" s="0" t="n">
        <f aca="false">MAX(L31,J32)</f>
        <v>1035518492.58339</v>
      </c>
      <c r="M32" s="0" t="n">
        <f aca="false">IF(AND(B32&lt;x_H,J32&lt;=0,L31&gt;0),1,0)</f>
        <v>0</v>
      </c>
      <c r="N32" s="0" t="n">
        <f aca="false">IF(AND(B32&lt;x_H,I32&lt;=0,O31&gt;0),1,0)</f>
        <v>0</v>
      </c>
      <c r="O32" s="0" t="n">
        <f aca="false">MAX(O31,I32)</f>
        <v>-131768415.598007</v>
      </c>
      <c r="P32" s="0" t="n">
        <f aca="false">(L_S0!V22-L_S1!V22)*D32</f>
        <v>-4732.20221898264</v>
      </c>
    </row>
    <row r="33" customFormat="false" ht="15" hidden="false" customHeight="false" outlineLevel="0" collapsed="false">
      <c r="A33" s="0" t="n">
        <v>2046</v>
      </c>
      <c r="B33" s="0" t="n">
        <v>20</v>
      </c>
      <c r="C33" s="0" t="n">
        <f aca="false">IF(B33&lt;x_H,(1+x_dk)^(-B33),0)</f>
        <v>0</v>
      </c>
      <c r="D33" s="0" t="n">
        <f aca="false">IF(B33&lt;x_H,(1+x_de)^(-B33),0)</f>
        <v>0</v>
      </c>
      <c r="E33" s="0" t="n">
        <f aca="false">(L_S0!AO23-L_S1!AO23)*C33</f>
        <v>0</v>
      </c>
      <c r="F33" s="0" t="n">
        <f aca="false">(L_S0!AP23-L_S1!AP23)*C33</f>
        <v>0</v>
      </c>
      <c r="G33" s="0" t="n">
        <f aca="false">(L_S0!AQ23-L_S1!AQ23)*C33</f>
        <v>0</v>
      </c>
      <c r="H33" s="0" t="n">
        <f aca="false">(L_S0!AS23-L_S1!AS23)*C33</f>
        <v>-0</v>
      </c>
      <c r="I33" s="0" t="n">
        <f aca="false">I32+E33</f>
        <v>-144712911.993685</v>
      </c>
      <c r="J33" s="0" t="n">
        <f aca="false">J32+F33</f>
        <v>1035518492.58339</v>
      </c>
      <c r="K33" s="0" t="n">
        <f aca="false">K32+G33</f>
        <v>1157637152.17817</v>
      </c>
      <c r="L33" s="0" t="n">
        <f aca="false">MAX(L32,J33)</f>
        <v>1035518492.58339</v>
      </c>
      <c r="M33" s="0" t="n">
        <f aca="false">IF(AND(B33&lt;x_H,J33&lt;=0,L32&gt;0),1,0)</f>
        <v>0</v>
      </c>
      <c r="N33" s="0" t="n">
        <f aca="false">IF(AND(B33&lt;x_H,I33&lt;=0,O32&gt;0),1,0)</f>
        <v>0</v>
      </c>
      <c r="O33" s="0" t="n">
        <f aca="false">MAX(O32,I33)</f>
        <v>-131768415.598007</v>
      </c>
      <c r="P33" s="0" t="n">
        <f aca="false">(L_S0!V23-L_S1!V23)*D33</f>
        <v>-0</v>
      </c>
    </row>
    <row r="34" customFormat="false" ht="15" hidden="false" customHeight="false" outlineLevel="0" collapsed="false">
      <c r="A34" s="0" t="n">
        <v>2047</v>
      </c>
      <c r="B34" s="0" t="n">
        <v>21</v>
      </c>
      <c r="C34" s="0" t="n">
        <f aca="false">IF(B34&lt;x_H,(1+x_dk)^(-B34),0)</f>
        <v>0</v>
      </c>
      <c r="D34" s="0" t="n">
        <f aca="false">IF(B34&lt;x_H,(1+x_de)^(-B34),0)</f>
        <v>0</v>
      </c>
      <c r="E34" s="0" t="n">
        <f aca="false">(L_S0!AO24-L_S1!AO24)*C34</f>
        <v>0</v>
      </c>
      <c r="F34" s="0" t="n">
        <f aca="false">(L_S0!AP24-L_S1!AP24)*C34</f>
        <v>0</v>
      </c>
      <c r="G34" s="0" t="n">
        <f aca="false">(L_S0!AQ24-L_S1!AQ24)*C34</f>
        <v>0</v>
      </c>
      <c r="H34" s="0" t="n">
        <f aca="false">(L_S0!AS24-L_S1!AS24)*C34</f>
        <v>-0</v>
      </c>
      <c r="I34" s="0" t="n">
        <f aca="false">I33+E34</f>
        <v>-144712911.993685</v>
      </c>
      <c r="J34" s="0" t="n">
        <f aca="false">J33+F34</f>
        <v>1035518492.58339</v>
      </c>
      <c r="K34" s="0" t="n">
        <f aca="false">K33+G34</f>
        <v>1157637152.17817</v>
      </c>
      <c r="L34" s="0" t="n">
        <f aca="false">MAX(L33,J34)</f>
        <v>1035518492.58339</v>
      </c>
      <c r="M34" s="0" t="n">
        <f aca="false">IF(AND(B34&lt;x_H,J34&lt;=0,L33&gt;0),1,0)</f>
        <v>0</v>
      </c>
      <c r="N34" s="0" t="n">
        <f aca="false">IF(AND(B34&lt;x_H,I34&lt;=0,O33&gt;0),1,0)</f>
        <v>0</v>
      </c>
      <c r="O34" s="0" t="n">
        <f aca="false">MAX(O33,I34)</f>
        <v>-131768415.598007</v>
      </c>
      <c r="P34" s="0" t="n">
        <f aca="false">(L_S0!V24-L_S1!V24)*D34</f>
        <v>-0</v>
      </c>
    </row>
    <row r="35" customFormat="false" ht="15" hidden="false" customHeight="false" outlineLevel="0" collapsed="false">
      <c r="A35" s="0" t="n">
        <v>2048</v>
      </c>
      <c r="B35" s="0" t="n">
        <v>22</v>
      </c>
      <c r="C35" s="0" t="n">
        <f aca="false">IF(B35&lt;x_H,(1+x_dk)^(-B35),0)</f>
        <v>0</v>
      </c>
      <c r="D35" s="0" t="n">
        <f aca="false">IF(B35&lt;x_H,(1+x_de)^(-B35),0)</f>
        <v>0</v>
      </c>
      <c r="E35" s="0" t="n">
        <f aca="false">(L_S0!AO25-L_S1!AO25)*C35</f>
        <v>0</v>
      </c>
      <c r="F35" s="0" t="n">
        <f aca="false">(L_S0!AP25-L_S1!AP25)*C35</f>
        <v>0</v>
      </c>
      <c r="G35" s="0" t="n">
        <f aca="false">(L_S0!AQ25-L_S1!AQ25)*C35</f>
        <v>0</v>
      </c>
      <c r="H35" s="0" t="n">
        <f aca="false">(L_S0!AS25-L_S1!AS25)*C35</f>
        <v>-0</v>
      </c>
      <c r="I35" s="0" t="n">
        <f aca="false">I34+E35</f>
        <v>-144712911.993685</v>
      </c>
      <c r="J35" s="0" t="n">
        <f aca="false">J34+F35</f>
        <v>1035518492.58339</v>
      </c>
      <c r="K35" s="0" t="n">
        <f aca="false">K34+G35</f>
        <v>1157637152.17817</v>
      </c>
      <c r="L35" s="0" t="n">
        <f aca="false">MAX(L34,J35)</f>
        <v>1035518492.58339</v>
      </c>
      <c r="M35" s="0" t="n">
        <f aca="false">IF(AND(B35&lt;x_H,J35&lt;=0,L34&gt;0),1,0)</f>
        <v>0</v>
      </c>
      <c r="N35" s="0" t="n">
        <f aca="false">IF(AND(B35&lt;x_H,I35&lt;=0,O34&gt;0),1,0)</f>
        <v>0</v>
      </c>
      <c r="O35" s="0" t="n">
        <f aca="false">MAX(O34,I35)</f>
        <v>-131768415.598007</v>
      </c>
      <c r="P35" s="0" t="n">
        <f aca="false">(L_S0!V25-L_S1!V25)*D35</f>
        <v>-0</v>
      </c>
    </row>
    <row r="36" customFormat="false" ht="15" hidden="false" customHeight="false" outlineLevel="0" collapsed="false">
      <c r="A36" s="0" t="n">
        <v>2049</v>
      </c>
      <c r="B36" s="0" t="n">
        <v>23</v>
      </c>
      <c r="C36" s="0" t="n">
        <f aca="false">IF(B36&lt;x_H,(1+x_dk)^(-B36),0)</f>
        <v>0</v>
      </c>
      <c r="D36" s="0" t="n">
        <f aca="false">IF(B36&lt;x_H,(1+x_de)^(-B36),0)</f>
        <v>0</v>
      </c>
      <c r="E36" s="0" t="n">
        <f aca="false">(L_S0!AO26-L_S1!AO26)*C36</f>
        <v>0</v>
      </c>
      <c r="F36" s="0" t="n">
        <f aca="false">(L_S0!AP26-L_S1!AP26)*C36</f>
        <v>0</v>
      </c>
      <c r="G36" s="0" t="n">
        <f aca="false">(L_S0!AQ26-L_S1!AQ26)*C36</f>
        <v>0</v>
      </c>
      <c r="H36" s="0" t="n">
        <f aca="false">(L_S0!AS26-L_S1!AS26)*C36</f>
        <v>-0</v>
      </c>
      <c r="I36" s="0" t="n">
        <f aca="false">I35+E36</f>
        <v>-144712911.993685</v>
      </c>
      <c r="J36" s="0" t="n">
        <f aca="false">J35+F36</f>
        <v>1035518492.58339</v>
      </c>
      <c r="K36" s="0" t="n">
        <f aca="false">K35+G36</f>
        <v>1157637152.17817</v>
      </c>
      <c r="L36" s="0" t="n">
        <f aca="false">MAX(L35,J36)</f>
        <v>1035518492.58339</v>
      </c>
      <c r="M36" s="0" t="n">
        <f aca="false">IF(AND(B36&lt;x_H,J36&lt;=0,L35&gt;0),1,0)</f>
        <v>0</v>
      </c>
      <c r="N36" s="0" t="n">
        <f aca="false">IF(AND(B36&lt;x_H,I36&lt;=0,O35&gt;0),1,0)</f>
        <v>0</v>
      </c>
      <c r="O36" s="0" t="n">
        <f aca="false">MAX(O35,I36)</f>
        <v>-131768415.598007</v>
      </c>
      <c r="P36" s="0" t="n">
        <f aca="false">(L_S0!V26-L_S1!V26)*D36</f>
        <v>-0</v>
      </c>
    </row>
    <row r="37" customFormat="false" ht="15" hidden="false" customHeight="false" outlineLevel="0" collapsed="false">
      <c r="A37" s="0" t="n">
        <v>2050</v>
      </c>
      <c r="B37" s="0" t="n">
        <v>24</v>
      </c>
      <c r="C37" s="0" t="n">
        <f aca="false">IF(B37&lt;x_H,(1+x_dk)^(-B37),0)</f>
        <v>0</v>
      </c>
      <c r="D37" s="0" t="n">
        <f aca="false">IF(B37&lt;x_H,(1+x_de)^(-B37),0)</f>
        <v>0</v>
      </c>
      <c r="E37" s="0" t="n">
        <f aca="false">(L_S0!AO27-L_S1!AO27)*C37</f>
        <v>0</v>
      </c>
      <c r="F37" s="0" t="n">
        <f aca="false">(L_S0!AP27-L_S1!AP27)*C37</f>
        <v>0</v>
      </c>
      <c r="G37" s="0" t="n">
        <f aca="false">(L_S0!AQ27-L_S1!AQ27)*C37</f>
        <v>0</v>
      </c>
      <c r="H37" s="0" t="n">
        <f aca="false">(L_S0!AS27-L_S1!AS27)*C37</f>
        <v>-0</v>
      </c>
      <c r="I37" s="0" t="n">
        <f aca="false">I36+E37</f>
        <v>-144712911.993685</v>
      </c>
      <c r="J37" s="0" t="n">
        <f aca="false">J36+F37</f>
        <v>1035518492.58339</v>
      </c>
      <c r="K37" s="0" t="n">
        <f aca="false">K36+G37</f>
        <v>1157637152.17817</v>
      </c>
      <c r="L37" s="0" t="n">
        <f aca="false">MAX(L36,J37)</f>
        <v>1035518492.58339</v>
      </c>
      <c r="M37" s="0" t="n">
        <f aca="false">IF(AND(B37&lt;x_H,J37&lt;=0,L36&gt;0),1,0)</f>
        <v>0</v>
      </c>
      <c r="N37" s="0" t="n">
        <f aca="false">IF(AND(B37&lt;x_H,I37&lt;=0,O36&gt;0),1,0)</f>
        <v>0</v>
      </c>
      <c r="O37" s="0" t="n">
        <f aca="false">MAX(O36,I37)</f>
        <v>-131768415.598007</v>
      </c>
      <c r="P37" s="0" t="n">
        <f aca="false">(L_S0!V27-L_S1!V27)*D37</f>
        <v>-0</v>
      </c>
    </row>
    <row r="38" customFormat="false" ht="15" hidden="false" customHeight="false" outlineLevel="0" collapsed="false">
      <c r="A38" s="0" t="n">
        <v>2051</v>
      </c>
      <c r="B38" s="0" t="n">
        <v>25</v>
      </c>
      <c r="C38" s="0" t="n">
        <f aca="false">IF(B38&lt;x_H,(1+x_dk)^(-B38),0)</f>
        <v>0</v>
      </c>
      <c r="D38" s="0" t="n">
        <f aca="false">IF(B38&lt;x_H,(1+x_de)^(-B38),0)</f>
        <v>0</v>
      </c>
      <c r="E38" s="0" t="n">
        <f aca="false">(L_S0!AO28-L_S1!AO28)*C38</f>
        <v>0</v>
      </c>
      <c r="F38" s="0" t="n">
        <f aca="false">(L_S0!AP28-L_S1!AP28)*C38</f>
        <v>0</v>
      </c>
      <c r="G38" s="0" t="n">
        <f aca="false">(L_S0!AQ28-L_S1!AQ28)*C38</f>
        <v>0</v>
      </c>
      <c r="H38" s="0" t="n">
        <f aca="false">(L_S0!AS28-L_S1!AS28)*C38</f>
        <v>-0</v>
      </c>
      <c r="I38" s="0" t="n">
        <f aca="false">I37+E38</f>
        <v>-144712911.993685</v>
      </c>
      <c r="J38" s="0" t="n">
        <f aca="false">J37+F38</f>
        <v>1035518492.58339</v>
      </c>
      <c r="K38" s="0" t="n">
        <f aca="false">K37+G38</f>
        <v>1157637152.17817</v>
      </c>
      <c r="L38" s="0" t="n">
        <f aca="false">MAX(L37,J38)</f>
        <v>1035518492.58339</v>
      </c>
      <c r="M38" s="0" t="n">
        <f aca="false">IF(AND(B38&lt;x_H,J38&lt;=0,L37&gt;0),1,0)</f>
        <v>0</v>
      </c>
      <c r="N38" s="0" t="n">
        <f aca="false">IF(AND(B38&lt;x_H,I38&lt;=0,O37&gt;0),1,0)</f>
        <v>0</v>
      </c>
      <c r="O38" s="0" t="n">
        <f aca="false">MAX(O37,I38)</f>
        <v>-131768415.598007</v>
      </c>
      <c r="P38" s="0" t="n">
        <f aca="false">(L_S0!V28-L_S1!V28)*D38</f>
        <v>-0</v>
      </c>
    </row>
    <row r="39" customFormat="false" ht="15" hidden="false" customHeight="false" outlineLevel="0" collapsed="false">
      <c r="A39" s="0" t="n">
        <v>2052</v>
      </c>
      <c r="B39" s="0" t="n">
        <v>26</v>
      </c>
      <c r="C39" s="0" t="n">
        <f aca="false">IF(B39&lt;x_H,(1+x_dk)^(-B39),0)</f>
        <v>0</v>
      </c>
      <c r="D39" s="0" t="n">
        <f aca="false">IF(B39&lt;x_H,(1+x_de)^(-B39),0)</f>
        <v>0</v>
      </c>
      <c r="E39" s="0" t="n">
        <f aca="false">(L_S0!AO29-L_S1!AO29)*C39</f>
        <v>0</v>
      </c>
      <c r="F39" s="0" t="n">
        <f aca="false">(L_S0!AP29-L_S1!AP29)*C39</f>
        <v>0</v>
      </c>
      <c r="G39" s="0" t="n">
        <f aca="false">(L_S0!AQ29-L_S1!AQ29)*C39</f>
        <v>0</v>
      </c>
      <c r="H39" s="0" t="n">
        <f aca="false">(L_S0!AS29-L_S1!AS29)*C39</f>
        <v>-0</v>
      </c>
      <c r="I39" s="0" t="n">
        <f aca="false">I38+E39</f>
        <v>-144712911.993685</v>
      </c>
      <c r="J39" s="0" t="n">
        <f aca="false">J38+F39</f>
        <v>1035518492.58339</v>
      </c>
      <c r="K39" s="0" t="n">
        <f aca="false">K38+G39</f>
        <v>1157637152.17817</v>
      </c>
      <c r="L39" s="0" t="n">
        <f aca="false">MAX(L38,J39)</f>
        <v>1035518492.58339</v>
      </c>
      <c r="M39" s="0" t="n">
        <f aca="false">IF(AND(B39&lt;x_H,J39&lt;=0,L38&gt;0),1,0)</f>
        <v>0</v>
      </c>
      <c r="N39" s="0" t="n">
        <f aca="false">IF(AND(B39&lt;x_H,I39&lt;=0,O38&gt;0),1,0)</f>
        <v>0</v>
      </c>
      <c r="O39" s="0" t="n">
        <f aca="false">MAX(O38,I39)</f>
        <v>-131768415.598007</v>
      </c>
      <c r="P39" s="0" t="n">
        <f aca="false">(L_S0!V29-L_S1!V29)*D39</f>
        <v>-0</v>
      </c>
    </row>
    <row r="40" customFormat="false" ht="15" hidden="false" customHeight="false" outlineLevel="0" collapsed="false">
      <c r="A40" s="0" t="n">
        <v>2053</v>
      </c>
      <c r="B40" s="0" t="n">
        <v>27</v>
      </c>
      <c r="C40" s="0" t="n">
        <f aca="false">IF(B40&lt;x_H,(1+x_dk)^(-B40),0)</f>
        <v>0</v>
      </c>
      <c r="D40" s="0" t="n">
        <f aca="false">IF(B40&lt;x_H,(1+x_de)^(-B40),0)</f>
        <v>0</v>
      </c>
      <c r="E40" s="0" t="n">
        <f aca="false">(L_S0!AO30-L_S1!AO30)*C40</f>
        <v>0</v>
      </c>
      <c r="F40" s="0" t="n">
        <f aca="false">(L_S0!AP30-L_S1!AP30)*C40</f>
        <v>0</v>
      </c>
      <c r="G40" s="0" t="n">
        <f aca="false">(L_S0!AQ30-L_S1!AQ30)*C40</f>
        <v>0</v>
      </c>
      <c r="H40" s="0" t="n">
        <f aca="false">(L_S0!AS30-L_S1!AS30)*C40</f>
        <v>-0</v>
      </c>
      <c r="I40" s="0" t="n">
        <f aca="false">I39+E40</f>
        <v>-144712911.993685</v>
      </c>
      <c r="J40" s="0" t="n">
        <f aca="false">J39+F40</f>
        <v>1035518492.58339</v>
      </c>
      <c r="K40" s="0" t="n">
        <f aca="false">K39+G40</f>
        <v>1157637152.17817</v>
      </c>
      <c r="L40" s="0" t="n">
        <f aca="false">MAX(L39,J40)</f>
        <v>1035518492.58339</v>
      </c>
      <c r="M40" s="0" t="n">
        <f aca="false">IF(AND(B40&lt;x_H,J40&lt;=0,L39&gt;0),1,0)</f>
        <v>0</v>
      </c>
      <c r="N40" s="0" t="n">
        <f aca="false">IF(AND(B40&lt;x_H,I40&lt;=0,O39&gt;0),1,0)</f>
        <v>0</v>
      </c>
      <c r="O40" s="0" t="n">
        <f aca="false">MAX(O39,I40)</f>
        <v>-131768415.598007</v>
      </c>
      <c r="P40" s="0" t="n">
        <f aca="false">(L_S0!V30-L_S1!V30)*D40</f>
        <v>-0</v>
      </c>
    </row>
    <row r="41" customFormat="false" ht="15" hidden="false" customHeight="false" outlineLevel="0" collapsed="false">
      <c r="A41" s="0" t="n">
        <v>2054</v>
      </c>
      <c r="B41" s="0" t="n">
        <v>28</v>
      </c>
      <c r="C41" s="0" t="n">
        <f aca="false">IF(B41&lt;x_H,(1+x_dk)^(-B41),0)</f>
        <v>0</v>
      </c>
      <c r="D41" s="0" t="n">
        <f aca="false">IF(B41&lt;x_H,(1+x_de)^(-B41),0)</f>
        <v>0</v>
      </c>
      <c r="E41" s="0" t="n">
        <f aca="false">(L_S0!AO31-L_S1!AO31)*C41</f>
        <v>0</v>
      </c>
      <c r="F41" s="0" t="n">
        <f aca="false">(L_S0!AP31-L_S1!AP31)*C41</f>
        <v>0</v>
      </c>
      <c r="G41" s="0" t="n">
        <f aca="false">(L_S0!AQ31-L_S1!AQ31)*C41</f>
        <v>0</v>
      </c>
      <c r="H41" s="0" t="n">
        <f aca="false">(L_S0!AS31-L_S1!AS31)*C41</f>
        <v>-0</v>
      </c>
      <c r="I41" s="0" t="n">
        <f aca="false">I40+E41</f>
        <v>-144712911.993685</v>
      </c>
      <c r="J41" s="0" t="n">
        <f aca="false">J40+F41</f>
        <v>1035518492.58339</v>
      </c>
      <c r="K41" s="0" t="n">
        <f aca="false">K40+G41</f>
        <v>1157637152.17817</v>
      </c>
      <c r="L41" s="0" t="n">
        <f aca="false">MAX(L40,J41)</f>
        <v>1035518492.58339</v>
      </c>
      <c r="M41" s="0" t="n">
        <f aca="false">IF(AND(B41&lt;x_H,J41&lt;=0,L40&gt;0),1,0)</f>
        <v>0</v>
      </c>
      <c r="N41" s="0" t="n">
        <f aca="false">IF(AND(B41&lt;x_H,I41&lt;=0,O40&gt;0),1,0)</f>
        <v>0</v>
      </c>
      <c r="O41" s="0" t="n">
        <f aca="false">MAX(O40,I41)</f>
        <v>-131768415.598007</v>
      </c>
      <c r="P41" s="0" t="n">
        <f aca="false">(L_S0!V31-L_S1!V31)*D41</f>
        <v>-0</v>
      </c>
    </row>
    <row r="42" customFormat="false" ht="15" hidden="false" customHeight="false" outlineLevel="0" collapsed="false">
      <c r="A42" s="0" t="n">
        <v>2055</v>
      </c>
      <c r="B42" s="0" t="n">
        <v>29</v>
      </c>
      <c r="C42" s="0" t="n">
        <f aca="false">IF(B42&lt;x_H,(1+x_dk)^(-B42),0)</f>
        <v>0</v>
      </c>
      <c r="D42" s="0" t="n">
        <f aca="false">IF(B42&lt;x_H,(1+x_de)^(-B42),0)</f>
        <v>0</v>
      </c>
      <c r="E42" s="0" t="n">
        <f aca="false">(L_S0!AO32-L_S1!AO32)*C42</f>
        <v>0</v>
      </c>
      <c r="F42" s="0" t="n">
        <f aca="false">(L_S0!AP32-L_S1!AP32)*C42</f>
        <v>0</v>
      </c>
      <c r="G42" s="0" t="n">
        <f aca="false">(L_S0!AQ32-L_S1!AQ32)*C42</f>
        <v>0</v>
      </c>
      <c r="H42" s="0" t="n">
        <f aca="false">(L_S0!AS32-L_S1!AS32)*C42</f>
        <v>-0</v>
      </c>
      <c r="I42" s="0" t="n">
        <f aca="false">I41+E42</f>
        <v>-144712911.993685</v>
      </c>
      <c r="J42" s="0" t="n">
        <f aca="false">J41+F42</f>
        <v>1035518492.58339</v>
      </c>
      <c r="K42" s="0" t="n">
        <f aca="false">K41+G42</f>
        <v>1157637152.17817</v>
      </c>
      <c r="L42" s="0" t="n">
        <f aca="false">MAX(L41,J42)</f>
        <v>1035518492.58339</v>
      </c>
      <c r="M42" s="0" t="n">
        <f aca="false">IF(AND(B42&lt;x_H,J42&lt;=0,L41&gt;0),1,0)</f>
        <v>0</v>
      </c>
      <c r="N42" s="0" t="n">
        <f aca="false">IF(AND(B42&lt;x_H,I42&lt;=0,O41&gt;0),1,0)</f>
        <v>0</v>
      </c>
      <c r="O42" s="0" t="n">
        <f aca="false">MAX(O41,I42)</f>
        <v>-131768415.598007</v>
      </c>
      <c r="P42" s="0" t="n">
        <f aca="false">(L_S0!V32-L_S1!V32)*D42</f>
        <v>-0</v>
      </c>
    </row>
    <row r="43" customFormat="false" ht="15" hidden="false" customHeight="false" outlineLevel="0" collapsed="false">
      <c r="A43" s="0" t="n">
        <v>2056</v>
      </c>
      <c r="B43" s="0" t="n">
        <v>30</v>
      </c>
      <c r="C43" s="0" t="n">
        <f aca="false">IF(B43&lt;x_H,(1+x_dk)^(-B43),0)</f>
        <v>0</v>
      </c>
      <c r="D43" s="0" t="n">
        <f aca="false">IF(B43&lt;x_H,(1+x_de)^(-B43),0)</f>
        <v>0</v>
      </c>
      <c r="E43" s="0" t="n">
        <f aca="false">(L_S0!AO33-L_S1!AO33)*C43</f>
        <v>0</v>
      </c>
      <c r="F43" s="0" t="n">
        <f aca="false">(L_S0!AP33-L_S1!AP33)*C43</f>
        <v>0</v>
      </c>
      <c r="G43" s="0" t="n">
        <f aca="false">(L_S0!AQ33-L_S1!AQ33)*C43</f>
        <v>0</v>
      </c>
      <c r="H43" s="0" t="n">
        <f aca="false">(L_S0!AS33-L_S1!AS33)*C43</f>
        <v>-0</v>
      </c>
      <c r="I43" s="0" t="n">
        <f aca="false">I42+E43</f>
        <v>-144712911.993685</v>
      </c>
      <c r="J43" s="0" t="n">
        <f aca="false">J42+F43</f>
        <v>1035518492.58339</v>
      </c>
      <c r="K43" s="0" t="n">
        <f aca="false">K42+G43</f>
        <v>1157637152.17817</v>
      </c>
      <c r="L43" s="0" t="n">
        <f aca="false">MAX(L42,J43)</f>
        <v>1035518492.58339</v>
      </c>
      <c r="M43" s="0" t="n">
        <f aca="false">IF(AND(B43&lt;x_H,J43&lt;=0,L42&gt;0),1,0)</f>
        <v>0</v>
      </c>
      <c r="N43" s="0" t="n">
        <f aca="false">IF(AND(B43&lt;x_H,I43&lt;=0,O42&gt;0),1,0)</f>
        <v>0</v>
      </c>
      <c r="O43" s="0" t="n">
        <f aca="false">MAX(O42,I43)</f>
        <v>-131768415.598007</v>
      </c>
      <c r="P43" s="0" t="n">
        <f aca="false">(L_S0!V33-L_S1!V33)*D43</f>
        <v>-0</v>
      </c>
    </row>
    <row r="44" customFormat="false" ht="15" hidden="false" customHeight="false" outlineLevel="0" collapsed="false">
      <c r="A44" s="0" t="n">
        <v>2057</v>
      </c>
      <c r="B44" s="0" t="n">
        <v>31</v>
      </c>
      <c r="C44" s="0" t="n">
        <f aca="false">IF(B44&lt;x_H,(1+x_dk)^(-B44),0)</f>
        <v>0</v>
      </c>
      <c r="D44" s="0" t="n">
        <f aca="false">IF(B44&lt;x_H,(1+x_de)^(-B44),0)</f>
        <v>0</v>
      </c>
      <c r="E44" s="0" t="n">
        <f aca="false">(L_S0!AO34-L_S1!AO34)*C44</f>
        <v>0</v>
      </c>
      <c r="F44" s="0" t="n">
        <f aca="false">(L_S0!AP34-L_S1!AP34)*C44</f>
        <v>0</v>
      </c>
      <c r="G44" s="0" t="n">
        <f aca="false">(L_S0!AQ34-L_S1!AQ34)*C44</f>
        <v>0</v>
      </c>
      <c r="H44" s="0" t="n">
        <f aca="false">(L_S0!AS34-L_S1!AS34)*C44</f>
        <v>-0</v>
      </c>
      <c r="I44" s="0" t="n">
        <f aca="false">I43+E44</f>
        <v>-144712911.993685</v>
      </c>
      <c r="J44" s="0" t="n">
        <f aca="false">J43+F44</f>
        <v>1035518492.58339</v>
      </c>
      <c r="K44" s="0" t="n">
        <f aca="false">K43+G44</f>
        <v>1157637152.17817</v>
      </c>
      <c r="L44" s="0" t="n">
        <f aca="false">MAX(L43,J44)</f>
        <v>1035518492.58339</v>
      </c>
      <c r="M44" s="0" t="n">
        <f aca="false">IF(AND(B44&lt;x_H,J44&lt;=0,L43&gt;0),1,0)</f>
        <v>0</v>
      </c>
      <c r="N44" s="0" t="n">
        <f aca="false">IF(AND(B44&lt;x_H,I44&lt;=0,O43&gt;0),1,0)</f>
        <v>0</v>
      </c>
      <c r="O44" s="0" t="n">
        <f aca="false">MAX(O43,I44)</f>
        <v>-131768415.598007</v>
      </c>
      <c r="P44" s="0" t="n">
        <f aca="false">(L_S0!V34-L_S1!V34)*D44</f>
        <v>-0</v>
      </c>
    </row>
    <row r="45" customFormat="false" ht="15" hidden="false" customHeight="false" outlineLevel="0" collapsed="false">
      <c r="A45" s="0" t="n">
        <v>2058</v>
      </c>
      <c r="B45" s="0" t="n">
        <v>32</v>
      </c>
      <c r="C45" s="0" t="n">
        <f aca="false">IF(B45&lt;x_H,(1+x_dk)^(-B45),0)</f>
        <v>0</v>
      </c>
      <c r="D45" s="0" t="n">
        <f aca="false">IF(B45&lt;x_H,(1+x_de)^(-B45),0)</f>
        <v>0</v>
      </c>
      <c r="E45" s="0" t="n">
        <f aca="false">(L_S0!AO35-L_S1!AO35)*C45</f>
        <v>0</v>
      </c>
      <c r="F45" s="0" t="n">
        <f aca="false">(L_S0!AP35-L_S1!AP35)*C45</f>
        <v>0</v>
      </c>
      <c r="G45" s="0" t="n">
        <f aca="false">(L_S0!AQ35-L_S1!AQ35)*C45</f>
        <v>0</v>
      </c>
      <c r="H45" s="0" t="n">
        <f aca="false">(L_S0!AS35-L_S1!AS35)*C45</f>
        <v>-0</v>
      </c>
      <c r="I45" s="0" t="n">
        <f aca="false">I44+E45</f>
        <v>-144712911.993685</v>
      </c>
      <c r="J45" s="0" t="n">
        <f aca="false">J44+F45</f>
        <v>1035518492.58339</v>
      </c>
      <c r="K45" s="0" t="n">
        <f aca="false">K44+G45</f>
        <v>1157637152.17817</v>
      </c>
      <c r="L45" s="0" t="n">
        <f aca="false">MAX(L44,J45)</f>
        <v>1035518492.58339</v>
      </c>
      <c r="M45" s="0" t="n">
        <f aca="false">IF(AND(B45&lt;x_H,J45&lt;=0,L44&gt;0),1,0)</f>
        <v>0</v>
      </c>
      <c r="N45" s="0" t="n">
        <f aca="false">IF(AND(B45&lt;x_H,I45&lt;=0,O44&gt;0),1,0)</f>
        <v>0</v>
      </c>
      <c r="O45" s="0" t="n">
        <f aca="false">MAX(O44,I45)</f>
        <v>-131768415.598007</v>
      </c>
      <c r="P45" s="0" t="n">
        <f aca="false">(L_S0!V35-L_S1!V35)*D45</f>
        <v>-0</v>
      </c>
    </row>
    <row r="46" customFormat="false" ht="15" hidden="false" customHeight="false" outlineLevel="0" collapsed="false">
      <c r="A46" s="0" t="n">
        <v>2059</v>
      </c>
      <c r="B46" s="0" t="n">
        <v>33</v>
      </c>
      <c r="C46" s="0" t="n">
        <f aca="false">IF(B46&lt;x_H,(1+x_dk)^(-B46),0)</f>
        <v>0</v>
      </c>
      <c r="D46" s="0" t="n">
        <f aca="false">IF(B46&lt;x_H,(1+x_de)^(-B46),0)</f>
        <v>0</v>
      </c>
      <c r="E46" s="0" t="n">
        <f aca="false">(L_S0!AO36-L_S1!AO36)*C46</f>
        <v>0</v>
      </c>
      <c r="F46" s="0" t="n">
        <f aca="false">(L_S0!AP36-L_S1!AP36)*C46</f>
        <v>0</v>
      </c>
      <c r="G46" s="0" t="n">
        <f aca="false">(L_S0!AQ36-L_S1!AQ36)*C46</f>
        <v>0</v>
      </c>
      <c r="H46" s="0" t="n">
        <f aca="false">(L_S0!AS36-L_S1!AS36)*C46</f>
        <v>-0</v>
      </c>
      <c r="I46" s="0" t="n">
        <f aca="false">I45+E46</f>
        <v>-144712911.993685</v>
      </c>
      <c r="J46" s="0" t="n">
        <f aca="false">J45+F46</f>
        <v>1035518492.58339</v>
      </c>
      <c r="K46" s="0" t="n">
        <f aca="false">K45+G46</f>
        <v>1157637152.17817</v>
      </c>
      <c r="L46" s="0" t="n">
        <f aca="false">MAX(L45,J46)</f>
        <v>1035518492.58339</v>
      </c>
      <c r="M46" s="0" t="n">
        <f aca="false">IF(AND(B46&lt;x_H,J46&lt;=0,L45&gt;0),1,0)</f>
        <v>0</v>
      </c>
      <c r="N46" s="0" t="n">
        <f aca="false">IF(AND(B46&lt;x_H,I46&lt;=0,O45&gt;0),1,0)</f>
        <v>0</v>
      </c>
      <c r="O46" s="0" t="n">
        <f aca="false">MAX(O45,I46)</f>
        <v>-131768415.598007</v>
      </c>
      <c r="P46" s="0" t="n">
        <f aca="false">(L_S0!V36-L_S1!V36)*D46</f>
        <v>-0</v>
      </c>
    </row>
    <row r="47" customFormat="false" ht="15" hidden="false" customHeight="false" outlineLevel="0" collapsed="false">
      <c r="A47" s="0" t="n">
        <v>2060</v>
      </c>
      <c r="B47" s="0" t="n">
        <v>34</v>
      </c>
      <c r="C47" s="0" t="n">
        <f aca="false">IF(B47&lt;x_H,(1+x_dk)^(-B47),0)</f>
        <v>0</v>
      </c>
      <c r="D47" s="0" t="n">
        <f aca="false">IF(B47&lt;x_H,(1+x_de)^(-B47),0)</f>
        <v>0</v>
      </c>
      <c r="E47" s="0" t="n">
        <f aca="false">(L_S0!AO37-L_S1!AO37)*C47</f>
        <v>0</v>
      </c>
      <c r="F47" s="0" t="n">
        <f aca="false">(L_S0!AP37-L_S1!AP37)*C47</f>
        <v>0</v>
      </c>
      <c r="G47" s="0" t="n">
        <f aca="false">(L_S0!AQ37-L_S1!AQ37)*C47</f>
        <v>0</v>
      </c>
      <c r="H47" s="0" t="n">
        <f aca="false">(L_S0!AS37-L_S1!AS37)*C47</f>
        <v>-0</v>
      </c>
      <c r="I47" s="0" t="n">
        <f aca="false">I46+E47</f>
        <v>-144712911.993685</v>
      </c>
      <c r="J47" s="0" t="n">
        <f aca="false">J46+F47</f>
        <v>1035518492.58339</v>
      </c>
      <c r="K47" s="0" t="n">
        <f aca="false">K46+G47</f>
        <v>1157637152.17817</v>
      </c>
      <c r="L47" s="0" t="n">
        <f aca="false">MAX(L46,J47)</f>
        <v>1035518492.58339</v>
      </c>
      <c r="M47" s="0" t="n">
        <f aca="false">IF(AND(B47&lt;x_H,J47&lt;=0,L46&gt;0),1,0)</f>
        <v>0</v>
      </c>
      <c r="N47" s="0" t="n">
        <f aca="false">IF(AND(B47&lt;x_H,I47&lt;=0,O46&gt;0),1,0)</f>
        <v>0</v>
      </c>
      <c r="O47" s="0" t="n">
        <f aca="false">MAX(O46,I47)</f>
        <v>-131768415.598007</v>
      </c>
      <c r="P47" s="0" t="n">
        <f aca="false">(L_S0!V37-L_S1!V37)*D47</f>
        <v>-0</v>
      </c>
    </row>
    <row r="48" customFormat="false" ht="15" hidden="false" customHeight="false" outlineLevel="0" collapsed="false">
      <c r="A48" s="0" t="n">
        <v>2061</v>
      </c>
      <c r="B48" s="0" t="n">
        <v>35</v>
      </c>
      <c r="C48" s="0" t="n">
        <f aca="false">IF(B48&lt;x_H,(1+x_dk)^(-B48),0)</f>
        <v>0</v>
      </c>
      <c r="D48" s="0" t="n">
        <f aca="false">IF(B48&lt;x_H,(1+x_de)^(-B48),0)</f>
        <v>0</v>
      </c>
      <c r="E48" s="0" t="n">
        <f aca="false">(L_S0!AO38-L_S1!AO38)*C48</f>
        <v>0</v>
      </c>
      <c r="F48" s="0" t="n">
        <f aca="false">(L_S0!AP38-L_S1!AP38)*C48</f>
        <v>0</v>
      </c>
      <c r="G48" s="0" t="n">
        <f aca="false">(L_S0!AQ38-L_S1!AQ38)*C48</f>
        <v>0</v>
      </c>
      <c r="H48" s="0" t="n">
        <f aca="false">(L_S0!AS38-L_S1!AS38)*C48</f>
        <v>-0</v>
      </c>
      <c r="I48" s="0" t="n">
        <f aca="false">I47+E48</f>
        <v>-144712911.993685</v>
      </c>
      <c r="J48" s="0" t="n">
        <f aca="false">J47+F48</f>
        <v>1035518492.58339</v>
      </c>
      <c r="K48" s="0" t="n">
        <f aca="false">K47+G48</f>
        <v>1157637152.17817</v>
      </c>
      <c r="L48" s="0" t="n">
        <f aca="false">MAX(L47,J48)</f>
        <v>1035518492.58339</v>
      </c>
      <c r="M48" s="0" t="n">
        <f aca="false">IF(AND(B48&lt;x_H,J48&lt;=0,L47&gt;0),1,0)</f>
        <v>0</v>
      </c>
      <c r="N48" s="0" t="n">
        <f aca="false">IF(AND(B48&lt;x_H,I48&lt;=0,O47&gt;0),1,0)</f>
        <v>0</v>
      </c>
      <c r="O48" s="0" t="n">
        <f aca="false">MAX(O47,I48)</f>
        <v>-131768415.598007</v>
      </c>
      <c r="P48" s="0" t="n">
        <f aca="false">(L_S0!V38-L_S1!V38)*D48</f>
        <v>-0</v>
      </c>
    </row>
    <row r="49" customFormat="false" ht="15" hidden="false" customHeight="false" outlineLevel="0" collapsed="false">
      <c r="A49" s="0" t="n">
        <v>2062</v>
      </c>
      <c r="B49" s="0" t="n">
        <v>36</v>
      </c>
      <c r="C49" s="0" t="n">
        <f aca="false">IF(B49&lt;x_H,(1+x_dk)^(-B49),0)</f>
        <v>0</v>
      </c>
      <c r="D49" s="0" t="n">
        <f aca="false">IF(B49&lt;x_H,(1+x_de)^(-B49),0)</f>
        <v>0</v>
      </c>
      <c r="E49" s="0" t="n">
        <f aca="false">(L_S0!AO39-L_S1!AO39)*C49</f>
        <v>0</v>
      </c>
      <c r="F49" s="0" t="n">
        <f aca="false">(L_S0!AP39-L_S1!AP39)*C49</f>
        <v>0</v>
      </c>
      <c r="G49" s="0" t="n">
        <f aca="false">(L_S0!AQ39-L_S1!AQ39)*C49</f>
        <v>0</v>
      </c>
      <c r="H49" s="0" t="n">
        <f aca="false">(L_S0!AS39-L_S1!AS39)*C49</f>
        <v>-0</v>
      </c>
      <c r="I49" s="0" t="n">
        <f aca="false">I48+E49</f>
        <v>-144712911.993685</v>
      </c>
      <c r="J49" s="0" t="n">
        <f aca="false">J48+F49</f>
        <v>1035518492.58339</v>
      </c>
      <c r="K49" s="0" t="n">
        <f aca="false">K48+G49</f>
        <v>1157637152.17817</v>
      </c>
      <c r="L49" s="0" t="n">
        <f aca="false">MAX(L48,J49)</f>
        <v>1035518492.58339</v>
      </c>
      <c r="M49" s="0" t="n">
        <f aca="false">IF(AND(B49&lt;x_H,J49&lt;=0,L48&gt;0),1,0)</f>
        <v>0</v>
      </c>
      <c r="N49" s="0" t="n">
        <f aca="false">IF(AND(B49&lt;x_H,I49&lt;=0,O48&gt;0),1,0)</f>
        <v>0</v>
      </c>
      <c r="O49" s="0" t="n">
        <f aca="false">MAX(O48,I49)</f>
        <v>-131768415.598007</v>
      </c>
      <c r="P49" s="0" t="n">
        <f aca="false">(L_S0!V39-L_S1!V39)*D49</f>
        <v>-0</v>
      </c>
    </row>
    <row r="50" customFormat="false" ht="15" hidden="false" customHeight="false" outlineLevel="0" collapsed="false">
      <c r="A50" s="0" t="n">
        <v>2063</v>
      </c>
      <c r="B50" s="0" t="n">
        <v>37</v>
      </c>
      <c r="C50" s="0" t="n">
        <f aca="false">IF(B50&lt;x_H,(1+x_dk)^(-B50),0)</f>
        <v>0</v>
      </c>
      <c r="D50" s="0" t="n">
        <f aca="false">IF(B50&lt;x_H,(1+x_de)^(-B50),0)</f>
        <v>0</v>
      </c>
      <c r="E50" s="0" t="n">
        <f aca="false">(L_S0!AO40-L_S1!AO40)*C50</f>
        <v>0</v>
      </c>
      <c r="F50" s="0" t="n">
        <f aca="false">(L_S0!AP40-L_S1!AP40)*C50</f>
        <v>0</v>
      </c>
      <c r="G50" s="0" t="n">
        <f aca="false">(L_S0!AQ40-L_S1!AQ40)*C50</f>
        <v>0</v>
      </c>
      <c r="H50" s="0" t="n">
        <f aca="false">(L_S0!AS40-L_S1!AS40)*C50</f>
        <v>-0</v>
      </c>
      <c r="I50" s="0" t="n">
        <f aca="false">I49+E50</f>
        <v>-144712911.993685</v>
      </c>
      <c r="J50" s="0" t="n">
        <f aca="false">J49+F50</f>
        <v>1035518492.58339</v>
      </c>
      <c r="K50" s="0" t="n">
        <f aca="false">K49+G50</f>
        <v>1157637152.17817</v>
      </c>
      <c r="L50" s="0" t="n">
        <f aca="false">MAX(L49,J50)</f>
        <v>1035518492.58339</v>
      </c>
      <c r="M50" s="0" t="n">
        <f aca="false">IF(AND(B50&lt;x_H,J50&lt;=0,L49&gt;0),1,0)</f>
        <v>0</v>
      </c>
      <c r="N50" s="0" t="n">
        <f aca="false">IF(AND(B50&lt;x_H,I50&lt;=0,O49&gt;0),1,0)</f>
        <v>0</v>
      </c>
      <c r="O50" s="0" t="n">
        <f aca="false">MAX(O49,I50)</f>
        <v>-131768415.598007</v>
      </c>
      <c r="P50" s="0" t="n">
        <f aca="false">(L_S0!V40-L_S1!V40)*D50</f>
        <v>-0</v>
      </c>
    </row>
    <row r="51" customFormat="false" ht="15" hidden="false" customHeight="false" outlineLevel="0" collapsed="false">
      <c r="A51" s="0" t="n">
        <v>2064</v>
      </c>
      <c r="B51" s="0" t="n">
        <v>38</v>
      </c>
      <c r="C51" s="0" t="n">
        <f aca="false">IF(B51&lt;x_H,(1+x_dk)^(-B51),0)</f>
        <v>0</v>
      </c>
      <c r="D51" s="0" t="n">
        <f aca="false">IF(B51&lt;x_H,(1+x_de)^(-B51),0)</f>
        <v>0</v>
      </c>
      <c r="E51" s="0" t="n">
        <f aca="false">(L_S0!AO41-L_S1!AO41)*C51</f>
        <v>0</v>
      </c>
      <c r="F51" s="0" t="n">
        <f aca="false">(L_S0!AP41-L_S1!AP41)*C51</f>
        <v>0</v>
      </c>
      <c r="G51" s="0" t="n">
        <f aca="false">(L_S0!AQ41-L_S1!AQ41)*C51</f>
        <v>0</v>
      </c>
      <c r="H51" s="0" t="n">
        <f aca="false">(L_S0!AS41-L_S1!AS41)*C51</f>
        <v>-0</v>
      </c>
      <c r="I51" s="0" t="n">
        <f aca="false">I50+E51</f>
        <v>-144712911.993685</v>
      </c>
      <c r="J51" s="0" t="n">
        <f aca="false">J50+F51</f>
        <v>1035518492.58339</v>
      </c>
      <c r="K51" s="0" t="n">
        <f aca="false">K50+G51</f>
        <v>1157637152.17817</v>
      </c>
      <c r="L51" s="0" t="n">
        <f aca="false">MAX(L50,J51)</f>
        <v>1035518492.58339</v>
      </c>
      <c r="M51" s="0" t="n">
        <f aca="false">IF(AND(B51&lt;x_H,J51&lt;=0,L50&gt;0),1,0)</f>
        <v>0</v>
      </c>
      <c r="N51" s="0" t="n">
        <f aca="false">IF(AND(B51&lt;x_H,I51&lt;=0,O50&gt;0),1,0)</f>
        <v>0</v>
      </c>
      <c r="O51" s="0" t="n">
        <f aca="false">MAX(O50,I51)</f>
        <v>-131768415.598007</v>
      </c>
      <c r="P51" s="0" t="n">
        <f aca="false">(L_S0!V41-L_S1!V41)*D51</f>
        <v>-0</v>
      </c>
    </row>
    <row r="52" customFormat="false" ht="15" hidden="false" customHeight="false" outlineLevel="0" collapsed="false">
      <c r="A52" s="0" t="n">
        <v>2065</v>
      </c>
      <c r="B52" s="0" t="n">
        <v>39</v>
      </c>
      <c r="C52" s="0" t="n">
        <f aca="false">IF(B52&lt;x_H,(1+x_dk)^(-B52),0)</f>
        <v>0</v>
      </c>
      <c r="D52" s="0" t="n">
        <f aca="false">IF(B52&lt;x_H,(1+x_de)^(-B52),0)</f>
        <v>0</v>
      </c>
      <c r="E52" s="0" t="n">
        <f aca="false">(L_S0!AO42-L_S1!AO42)*C52</f>
        <v>0</v>
      </c>
      <c r="F52" s="0" t="n">
        <f aca="false">(L_S0!AP42-L_S1!AP42)*C52</f>
        <v>0</v>
      </c>
      <c r="G52" s="0" t="n">
        <f aca="false">(L_S0!AQ42-L_S1!AQ42)*C52</f>
        <v>0</v>
      </c>
      <c r="H52" s="0" t="n">
        <f aca="false">(L_S0!AS42-L_S1!AS42)*C52</f>
        <v>-0</v>
      </c>
      <c r="I52" s="0" t="n">
        <f aca="false">I51+E52</f>
        <v>-144712911.993685</v>
      </c>
      <c r="J52" s="0" t="n">
        <f aca="false">J51+F52</f>
        <v>1035518492.58339</v>
      </c>
      <c r="K52" s="0" t="n">
        <f aca="false">K51+G52</f>
        <v>1157637152.17817</v>
      </c>
      <c r="L52" s="0" t="n">
        <f aca="false">MAX(L51,J52)</f>
        <v>1035518492.58339</v>
      </c>
      <c r="M52" s="0" t="n">
        <f aca="false">IF(AND(B52&lt;x_H,J52&lt;=0,L51&gt;0),1,0)</f>
        <v>0</v>
      </c>
      <c r="N52" s="0" t="n">
        <f aca="false">IF(AND(B52&lt;x_H,I52&lt;=0,O51&gt;0),1,0)</f>
        <v>0</v>
      </c>
      <c r="O52" s="0" t="n">
        <f aca="false">MAX(O51,I52)</f>
        <v>-131768415.598007</v>
      </c>
      <c r="P52" s="0" t="n">
        <f aca="false">(L_S0!V42-L_S1!V42)*D52</f>
        <v>-0</v>
      </c>
    </row>
    <row r="53" customFormat="false" ht="15" hidden="false" customHeight="false" outlineLevel="0" collapsed="false">
      <c r="A53" s="0" t="n">
        <v>2066</v>
      </c>
      <c r="B53" s="0" t="n">
        <v>40</v>
      </c>
      <c r="C53" s="0" t="n">
        <f aca="false">IF(B53&lt;x_H,(1+x_dk)^(-B53),0)</f>
        <v>0</v>
      </c>
      <c r="D53" s="0" t="n">
        <f aca="false">IF(B53&lt;x_H,(1+x_de)^(-B53),0)</f>
        <v>0</v>
      </c>
      <c r="E53" s="0" t="n">
        <f aca="false">(L_S0!AO43-L_S1!AO43)*C53</f>
        <v>0</v>
      </c>
      <c r="F53" s="0" t="n">
        <f aca="false">(L_S0!AP43-L_S1!AP43)*C53</f>
        <v>0</v>
      </c>
      <c r="G53" s="0" t="n">
        <f aca="false">(L_S0!AQ43-L_S1!AQ43)*C53</f>
        <v>0</v>
      </c>
      <c r="H53" s="0" t="n">
        <f aca="false">(L_S0!AS43-L_S1!AS43)*C53</f>
        <v>-0</v>
      </c>
      <c r="I53" s="0" t="n">
        <f aca="false">I52+E53</f>
        <v>-144712911.993685</v>
      </c>
      <c r="J53" s="0" t="n">
        <f aca="false">J52+F53</f>
        <v>1035518492.58339</v>
      </c>
      <c r="K53" s="0" t="n">
        <f aca="false">K52+G53</f>
        <v>1157637152.17817</v>
      </c>
      <c r="L53" s="0" t="n">
        <f aca="false">MAX(L52,J53)</f>
        <v>1035518492.58339</v>
      </c>
      <c r="M53" s="0" t="n">
        <f aca="false">IF(AND(B53&lt;x_H,J53&lt;=0,L52&gt;0),1,0)</f>
        <v>0</v>
      </c>
      <c r="N53" s="0" t="n">
        <f aca="false">IF(AND(B53&lt;x_H,I53&lt;=0,O52&gt;0),1,0)</f>
        <v>0</v>
      </c>
      <c r="O53" s="0" t="n">
        <f aca="false">MAX(O52,I53)</f>
        <v>-131768415.598007</v>
      </c>
      <c r="P53" s="0" t="n">
        <f aca="false">(L_S0!V43-L_S1!V43)*D53</f>
        <v>-0</v>
      </c>
    </row>
    <row r="54" customFormat="false" ht="15" hidden="false" customHeight="false" outlineLevel="0" collapsed="false">
      <c r="A54" s="0" t="n">
        <v>2067</v>
      </c>
      <c r="B54" s="0" t="n">
        <v>41</v>
      </c>
      <c r="C54" s="0" t="n">
        <f aca="false">IF(B54&lt;x_H,(1+x_dk)^(-B54),0)</f>
        <v>0</v>
      </c>
      <c r="D54" s="0" t="n">
        <f aca="false">IF(B54&lt;x_H,(1+x_de)^(-B54),0)</f>
        <v>0</v>
      </c>
      <c r="E54" s="0" t="n">
        <f aca="false">(L_S0!AO44-L_S1!AO44)*C54</f>
        <v>0</v>
      </c>
      <c r="F54" s="0" t="n">
        <f aca="false">(L_S0!AP44-L_S1!AP44)*C54</f>
        <v>0</v>
      </c>
      <c r="G54" s="0" t="n">
        <f aca="false">(L_S0!AQ44-L_S1!AQ44)*C54</f>
        <v>0</v>
      </c>
      <c r="H54" s="0" t="n">
        <f aca="false">(L_S0!AS44-L_S1!AS44)*C54</f>
        <v>-0</v>
      </c>
      <c r="I54" s="0" t="n">
        <f aca="false">I53+E54</f>
        <v>-144712911.993685</v>
      </c>
      <c r="J54" s="0" t="n">
        <f aca="false">J53+F54</f>
        <v>1035518492.58339</v>
      </c>
      <c r="K54" s="0" t="n">
        <f aca="false">K53+G54</f>
        <v>1157637152.17817</v>
      </c>
      <c r="L54" s="0" t="n">
        <f aca="false">MAX(L53,J54)</f>
        <v>1035518492.58339</v>
      </c>
      <c r="M54" s="0" t="n">
        <f aca="false">IF(AND(B54&lt;x_H,J54&lt;=0,L53&gt;0),1,0)</f>
        <v>0</v>
      </c>
      <c r="N54" s="0" t="n">
        <f aca="false">IF(AND(B54&lt;x_H,I54&lt;=0,O53&gt;0),1,0)</f>
        <v>0</v>
      </c>
      <c r="O54" s="0" t="n">
        <f aca="false">MAX(O53,I54)</f>
        <v>-131768415.598007</v>
      </c>
      <c r="P54" s="0" t="n">
        <f aca="false">(L_S0!V44-L_S1!V44)*D54</f>
        <v>-0</v>
      </c>
    </row>
    <row r="55" customFormat="false" ht="15" hidden="false" customHeight="false" outlineLevel="0" collapsed="false">
      <c r="A55" s="0" t="n">
        <v>2068</v>
      </c>
      <c r="B55" s="0" t="n">
        <v>42</v>
      </c>
      <c r="C55" s="0" t="n">
        <f aca="false">IF(B55&lt;x_H,(1+x_dk)^(-B55),0)</f>
        <v>0</v>
      </c>
      <c r="D55" s="0" t="n">
        <f aca="false">IF(B55&lt;x_H,(1+x_de)^(-B55),0)</f>
        <v>0</v>
      </c>
      <c r="E55" s="0" t="n">
        <f aca="false">(L_S0!AO45-L_S1!AO45)*C55</f>
        <v>0</v>
      </c>
      <c r="F55" s="0" t="n">
        <f aca="false">(L_S0!AP45-L_S1!AP45)*C55</f>
        <v>0</v>
      </c>
      <c r="G55" s="0" t="n">
        <f aca="false">(L_S0!AQ45-L_S1!AQ45)*C55</f>
        <v>0</v>
      </c>
      <c r="H55" s="0" t="n">
        <f aca="false">(L_S0!AS45-L_S1!AS45)*C55</f>
        <v>-0</v>
      </c>
      <c r="I55" s="0" t="n">
        <f aca="false">I54+E55</f>
        <v>-144712911.993685</v>
      </c>
      <c r="J55" s="0" t="n">
        <f aca="false">J54+F55</f>
        <v>1035518492.58339</v>
      </c>
      <c r="K55" s="0" t="n">
        <f aca="false">K54+G55</f>
        <v>1157637152.17817</v>
      </c>
      <c r="L55" s="0" t="n">
        <f aca="false">MAX(L54,J55)</f>
        <v>1035518492.58339</v>
      </c>
      <c r="M55" s="0" t="n">
        <f aca="false">IF(AND(B55&lt;x_H,J55&lt;=0,L54&gt;0),1,0)</f>
        <v>0</v>
      </c>
      <c r="N55" s="0" t="n">
        <f aca="false">IF(AND(B55&lt;x_H,I55&lt;=0,O54&gt;0),1,0)</f>
        <v>0</v>
      </c>
      <c r="O55" s="0" t="n">
        <f aca="false">MAX(O54,I55)</f>
        <v>-131768415.598007</v>
      </c>
      <c r="P55" s="0" t="n">
        <f aca="false">(L_S0!V45-L_S1!V45)*D55</f>
        <v>-0</v>
      </c>
    </row>
    <row r="56" customFormat="false" ht="15" hidden="false" customHeight="false" outlineLevel="0" collapsed="false">
      <c r="A56" s="0" t="n">
        <v>2069</v>
      </c>
      <c r="B56" s="0" t="n">
        <v>43</v>
      </c>
      <c r="C56" s="0" t="n">
        <f aca="false">IF(B56&lt;x_H,(1+x_dk)^(-B56),0)</f>
        <v>0</v>
      </c>
      <c r="D56" s="0" t="n">
        <f aca="false">IF(B56&lt;x_H,(1+x_de)^(-B56),0)</f>
        <v>0</v>
      </c>
      <c r="E56" s="0" t="n">
        <f aca="false">(L_S0!AO46-L_S1!AO46)*C56</f>
        <v>0</v>
      </c>
      <c r="F56" s="0" t="n">
        <f aca="false">(L_S0!AP46-L_S1!AP46)*C56</f>
        <v>0</v>
      </c>
      <c r="G56" s="0" t="n">
        <f aca="false">(L_S0!AQ46-L_S1!AQ46)*C56</f>
        <v>0</v>
      </c>
      <c r="H56" s="0" t="n">
        <f aca="false">(L_S0!AS46-L_S1!AS46)*C56</f>
        <v>-0</v>
      </c>
      <c r="I56" s="0" t="n">
        <f aca="false">I55+E56</f>
        <v>-144712911.993685</v>
      </c>
      <c r="J56" s="0" t="n">
        <f aca="false">J55+F56</f>
        <v>1035518492.58339</v>
      </c>
      <c r="K56" s="0" t="n">
        <f aca="false">K55+G56</f>
        <v>1157637152.17817</v>
      </c>
      <c r="L56" s="0" t="n">
        <f aca="false">MAX(L55,J56)</f>
        <v>1035518492.58339</v>
      </c>
      <c r="M56" s="0" t="n">
        <f aca="false">IF(AND(B56&lt;x_H,J56&lt;=0,L55&gt;0),1,0)</f>
        <v>0</v>
      </c>
      <c r="N56" s="0" t="n">
        <f aca="false">IF(AND(B56&lt;x_H,I56&lt;=0,O55&gt;0),1,0)</f>
        <v>0</v>
      </c>
      <c r="O56" s="0" t="n">
        <f aca="false">MAX(O55,I56)</f>
        <v>-131768415.598007</v>
      </c>
      <c r="P56" s="0" t="n">
        <f aca="false">(L_S0!V46-L_S1!V46)*D56</f>
        <v>-0</v>
      </c>
    </row>
    <row r="57" customFormat="false" ht="15" hidden="false" customHeight="false" outlineLevel="0" collapsed="false">
      <c r="A57" s="0" t="n">
        <v>2070</v>
      </c>
      <c r="B57" s="0" t="n">
        <v>44</v>
      </c>
      <c r="C57" s="0" t="n">
        <f aca="false">IF(B57&lt;x_H,(1+x_dk)^(-B57),0)</f>
        <v>0</v>
      </c>
      <c r="D57" s="0" t="n">
        <f aca="false">IF(B57&lt;x_H,(1+x_de)^(-B57),0)</f>
        <v>0</v>
      </c>
      <c r="E57" s="0" t="n">
        <f aca="false">(L_S0!AO47-L_S1!AO47)*C57</f>
        <v>0</v>
      </c>
      <c r="F57" s="0" t="n">
        <f aca="false">(L_S0!AP47-L_S1!AP47)*C57</f>
        <v>0</v>
      </c>
      <c r="G57" s="0" t="n">
        <f aca="false">(L_S0!AQ47-L_S1!AQ47)*C57</f>
        <v>0</v>
      </c>
      <c r="H57" s="0" t="n">
        <f aca="false">(L_S0!AS47-L_S1!AS47)*C57</f>
        <v>-0</v>
      </c>
      <c r="I57" s="0" t="n">
        <f aca="false">I56+E57</f>
        <v>-144712911.993685</v>
      </c>
      <c r="J57" s="0" t="n">
        <f aca="false">J56+F57</f>
        <v>1035518492.58339</v>
      </c>
      <c r="K57" s="0" t="n">
        <f aca="false">K56+G57</f>
        <v>1157637152.17817</v>
      </c>
      <c r="L57" s="0" t="n">
        <f aca="false">MAX(L56,J57)</f>
        <v>1035518492.58339</v>
      </c>
      <c r="M57" s="0" t="n">
        <f aca="false">IF(AND(B57&lt;x_H,J57&lt;=0,L56&gt;0),1,0)</f>
        <v>0</v>
      </c>
      <c r="N57" s="0" t="n">
        <f aca="false">IF(AND(B57&lt;x_H,I57&lt;=0,O56&gt;0),1,0)</f>
        <v>0</v>
      </c>
      <c r="O57" s="0" t="n">
        <f aca="false">MAX(O56,I57)</f>
        <v>-131768415.598007</v>
      </c>
      <c r="P57" s="0" t="n">
        <f aca="false">(L_S0!V47-L_S1!V47)*D57</f>
        <v>-0</v>
      </c>
    </row>
    <row r="58" customFormat="false" ht="15" hidden="false" customHeight="false" outlineLevel="0" collapsed="false">
      <c r="A58" s="0" t="n">
        <v>2071</v>
      </c>
      <c r="B58" s="0" t="n">
        <v>45</v>
      </c>
      <c r="C58" s="0" t="n">
        <f aca="false">IF(B58&lt;x_H,(1+x_dk)^(-B58),0)</f>
        <v>0</v>
      </c>
      <c r="D58" s="0" t="n">
        <f aca="false">IF(B58&lt;x_H,(1+x_de)^(-B58),0)</f>
        <v>0</v>
      </c>
      <c r="E58" s="0" t="n">
        <f aca="false">(L_S0!AO48-L_S1!AO48)*C58</f>
        <v>0</v>
      </c>
      <c r="F58" s="0" t="n">
        <f aca="false">(L_S0!AP48-L_S1!AP48)*C58</f>
        <v>0</v>
      </c>
      <c r="G58" s="0" t="n">
        <f aca="false">(L_S0!AQ48-L_S1!AQ48)*C58</f>
        <v>0</v>
      </c>
      <c r="H58" s="0" t="n">
        <f aca="false">(L_S0!AS48-L_S1!AS48)*C58</f>
        <v>-0</v>
      </c>
      <c r="I58" s="0" t="n">
        <f aca="false">I57+E58</f>
        <v>-144712911.993685</v>
      </c>
      <c r="J58" s="0" t="n">
        <f aca="false">J57+F58</f>
        <v>1035518492.58339</v>
      </c>
      <c r="K58" s="0" t="n">
        <f aca="false">K57+G58</f>
        <v>1157637152.17817</v>
      </c>
      <c r="L58" s="0" t="n">
        <f aca="false">MAX(L57,J58)</f>
        <v>1035518492.58339</v>
      </c>
      <c r="M58" s="0" t="n">
        <f aca="false">IF(AND(B58&lt;x_H,J58&lt;=0,L57&gt;0),1,0)</f>
        <v>0</v>
      </c>
      <c r="N58" s="0" t="n">
        <f aca="false">IF(AND(B58&lt;x_H,I58&lt;=0,O57&gt;0),1,0)</f>
        <v>0</v>
      </c>
      <c r="O58" s="0" t="n">
        <f aca="false">MAX(O57,I58)</f>
        <v>-131768415.598007</v>
      </c>
      <c r="P58" s="0" t="n">
        <f aca="false">(L_S0!V48-L_S1!V48)*D58</f>
        <v>-0</v>
      </c>
    </row>
    <row r="59" customFormat="false" ht="15" hidden="false" customHeight="false" outlineLevel="0" collapsed="false">
      <c r="A59" s="0" t="n">
        <v>2072</v>
      </c>
      <c r="B59" s="0" t="n">
        <v>46</v>
      </c>
      <c r="C59" s="0" t="n">
        <f aca="false">IF(B59&lt;x_H,(1+x_dk)^(-B59),0)</f>
        <v>0</v>
      </c>
      <c r="D59" s="0" t="n">
        <f aca="false">IF(B59&lt;x_H,(1+x_de)^(-B59),0)</f>
        <v>0</v>
      </c>
      <c r="E59" s="0" t="n">
        <f aca="false">(L_S0!AO49-L_S1!AO49)*C59</f>
        <v>0</v>
      </c>
      <c r="F59" s="0" t="n">
        <f aca="false">(L_S0!AP49-L_S1!AP49)*C59</f>
        <v>0</v>
      </c>
      <c r="G59" s="0" t="n">
        <f aca="false">(L_S0!AQ49-L_S1!AQ49)*C59</f>
        <v>0</v>
      </c>
      <c r="H59" s="0" t="n">
        <f aca="false">(L_S0!AS49-L_S1!AS49)*C59</f>
        <v>-0</v>
      </c>
      <c r="I59" s="0" t="n">
        <f aca="false">I58+E59</f>
        <v>-144712911.993685</v>
      </c>
      <c r="J59" s="0" t="n">
        <f aca="false">J58+F59</f>
        <v>1035518492.58339</v>
      </c>
      <c r="K59" s="0" t="n">
        <f aca="false">K58+G59</f>
        <v>1157637152.17817</v>
      </c>
      <c r="L59" s="0" t="n">
        <f aca="false">MAX(L58,J59)</f>
        <v>1035518492.58339</v>
      </c>
      <c r="M59" s="0" t="n">
        <f aca="false">IF(AND(B59&lt;x_H,J59&lt;=0,L58&gt;0),1,0)</f>
        <v>0</v>
      </c>
      <c r="N59" s="0" t="n">
        <f aca="false">IF(AND(B59&lt;x_H,I59&lt;=0,O58&gt;0),1,0)</f>
        <v>0</v>
      </c>
      <c r="O59" s="0" t="n">
        <f aca="false">MAX(O58,I59)</f>
        <v>-131768415.598007</v>
      </c>
      <c r="P59" s="0" t="n">
        <f aca="false">(L_S0!V49-L_S1!V49)*D59</f>
        <v>-0</v>
      </c>
    </row>
    <row r="60" customFormat="false" ht="15" hidden="false" customHeight="false" outlineLevel="0" collapsed="false">
      <c r="A60" s="0" t="n">
        <v>2073</v>
      </c>
      <c r="B60" s="0" t="n">
        <v>47</v>
      </c>
      <c r="C60" s="0" t="n">
        <f aca="false">IF(B60&lt;x_H,(1+x_dk)^(-B60),0)</f>
        <v>0</v>
      </c>
      <c r="D60" s="0" t="n">
        <f aca="false">IF(B60&lt;x_H,(1+x_de)^(-B60),0)</f>
        <v>0</v>
      </c>
      <c r="E60" s="0" t="n">
        <f aca="false">(L_S0!AO50-L_S1!AO50)*C60</f>
        <v>0</v>
      </c>
      <c r="F60" s="0" t="n">
        <f aca="false">(L_S0!AP50-L_S1!AP50)*C60</f>
        <v>0</v>
      </c>
      <c r="G60" s="0" t="n">
        <f aca="false">(L_S0!AQ50-L_S1!AQ50)*C60</f>
        <v>0</v>
      </c>
      <c r="H60" s="0" t="n">
        <f aca="false">(L_S0!AS50-L_S1!AS50)*C60</f>
        <v>-0</v>
      </c>
      <c r="I60" s="0" t="n">
        <f aca="false">I59+E60</f>
        <v>-144712911.993685</v>
      </c>
      <c r="J60" s="0" t="n">
        <f aca="false">J59+F60</f>
        <v>1035518492.58339</v>
      </c>
      <c r="K60" s="0" t="n">
        <f aca="false">K59+G60</f>
        <v>1157637152.17817</v>
      </c>
      <c r="L60" s="0" t="n">
        <f aca="false">MAX(L59,J60)</f>
        <v>1035518492.58339</v>
      </c>
      <c r="M60" s="0" t="n">
        <f aca="false">IF(AND(B60&lt;x_H,J60&lt;=0,L59&gt;0),1,0)</f>
        <v>0</v>
      </c>
      <c r="N60" s="0" t="n">
        <f aca="false">IF(AND(B60&lt;x_H,I60&lt;=0,O59&gt;0),1,0)</f>
        <v>0</v>
      </c>
      <c r="O60" s="0" t="n">
        <f aca="false">MAX(O59,I60)</f>
        <v>-131768415.598007</v>
      </c>
      <c r="P60" s="0" t="n">
        <f aca="false">(L_S0!V50-L_S1!V50)*D60</f>
        <v>-0</v>
      </c>
    </row>
    <row r="61" customFormat="false" ht="15" hidden="false" customHeight="false" outlineLevel="0" collapsed="false">
      <c r="A61" s="0" t="n">
        <v>2074</v>
      </c>
      <c r="B61" s="0" t="n">
        <v>48</v>
      </c>
      <c r="C61" s="0" t="n">
        <f aca="false">IF(B61&lt;x_H,(1+x_dk)^(-B61),0)</f>
        <v>0</v>
      </c>
      <c r="D61" s="0" t="n">
        <f aca="false">IF(B61&lt;x_H,(1+x_de)^(-B61),0)</f>
        <v>0</v>
      </c>
      <c r="E61" s="0" t="n">
        <f aca="false">(L_S0!AO51-L_S1!AO51)*C61</f>
        <v>0</v>
      </c>
      <c r="F61" s="0" t="n">
        <f aca="false">(L_S0!AP51-L_S1!AP51)*C61</f>
        <v>0</v>
      </c>
      <c r="G61" s="0" t="n">
        <f aca="false">(L_S0!AQ51-L_S1!AQ51)*C61</f>
        <v>0</v>
      </c>
      <c r="H61" s="0" t="n">
        <f aca="false">(L_S0!AS51-L_S1!AS51)*C61</f>
        <v>-0</v>
      </c>
      <c r="I61" s="0" t="n">
        <f aca="false">I60+E61</f>
        <v>-144712911.993685</v>
      </c>
      <c r="J61" s="0" t="n">
        <f aca="false">J60+F61</f>
        <v>1035518492.58339</v>
      </c>
      <c r="K61" s="0" t="n">
        <f aca="false">K60+G61</f>
        <v>1157637152.17817</v>
      </c>
      <c r="L61" s="0" t="n">
        <f aca="false">MAX(L60,J61)</f>
        <v>1035518492.58339</v>
      </c>
      <c r="M61" s="0" t="n">
        <f aca="false">IF(AND(B61&lt;x_H,J61&lt;=0,L60&gt;0),1,0)</f>
        <v>0</v>
      </c>
      <c r="N61" s="0" t="n">
        <f aca="false">IF(AND(B61&lt;x_H,I61&lt;=0,O60&gt;0),1,0)</f>
        <v>0</v>
      </c>
      <c r="O61" s="0" t="n">
        <f aca="false">MAX(O60,I61)</f>
        <v>-131768415.598007</v>
      </c>
      <c r="P61" s="0" t="n">
        <f aca="false">(L_S0!V51-L_S1!V51)*D61</f>
        <v>-0</v>
      </c>
    </row>
    <row r="62" customFormat="false" ht="15" hidden="false" customHeight="false" outlineLevel="0" collapsed="false">
      <c r="A62" s="0" t="n">
        <v>2075</v>
      </c>
      <c r="B62" s="0" t="n">
        <v>49</v>
      </c>
      <c r="C62" s="0" t="n">
        <f aca="false">IF(B62&lt;x_H,(1+x_dk)^(-B62),0)</f>
        <v>0</v>
      </c>
      <c r="D62" s="0" t="n">
        <f aca="false">IF(B62&lt;x_H,(1+x_de)^(-B62),0)</f>
        <v>0</v>
      </c>
      <c r="E62" s="0" t="n">
        <f aca="false">(L_S0!AO52-L_S1!AO52)*C62</f>
        <v>0</v>
      </c>
      <c r="F62" s="0" t="n">
        <f aca="false">(L_S0!AP52-L_S1!AP52)*C62</f>
        <v>0</v>
      </c>
      <c r="G62" s="0" t="n">
        <f aca="false">(L_S0!AQ52-L_S1!AQ52)*C62</f>
        <v>0</v>
      </c>
      <c r="H62" s="0" t="n">
        <f aca="false">(L_S0!AS52-L_S1!AS52)*C62</f>
        <v>-0</v>
      </c>
      <c r="I62" s="0" t="n">
        <f aca="false">I61+E62</f>
        <v>-144712911.993685</v>
      </c>
      <c r="J62" s="0" t="n">
        <f aca="false">J61+F62</f>
        <v>1035518492.58339</v>
      </c>
      <c r="K62" s="0" t="n">
        <f aca="false">K61+G62</f>
        <v>1157637152.17817</v>
      </c>
      <c r="L62" s="0" t="n">
        <f aca="false">MAX(L61,J62)</f>
        <v>1035518492.58339</v>
      </c>
      <c r="M62" s="0" t="n">
        <f aca="false">IF(AND(B62&lt;x_H,J62&lt;=0,L61&gt;0),1,0)</f>
        <v>0</v>
      </c>
      <c r="N62" s="0" t="n">
        <f aca="false">IF(AND(B62&lt;x_H,I62&lt;=0,O61&gt;0),1,0)</f>
        <v>0</v>
      </c>
      <c r="O62" s="0" t="n">
        <f aca="false">MAX(O61,I62)</f>
        <v>-131768415.598007</v>
      </c>
      <c r="P62" s="0" t="n">
        <f aca="false">(L_S0!V52-L_S1!V52)*D62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621</v>
      </c>
    </row>
    <row r="2" customFormat="false" ht="15" hidden="false" customHeight="false" outlineLevel="0" collapsed="false">
      <c r="A2" s="1" t="s">
        <v>597</v>
      </c>
      <c r="B2" s="0" t="n">
        <f aca="false">x_H</f>
        <v>20</v>
      </c>
    </row>
    <row r="3" customFormat="false" ht="15" hidden="false" customHeight="false" outlineLevel="0" collapsed="false">
      <c r="A3" s="1" t="s">
        <v>598</v>
      </c>
      <c r="B3" s="0" t="n">
        <f aca="false">SUM(H13:H62)</f>
        <v>573202064.831132</v>
      </c>
    </row>
    <row r="4" customFormat="false" ht="15" hidden="false" customHeight="false" outlineLevel="0" collapsed="false">
      <c r="A4" s="1" t="s">
        <v>599</v>
      </c>
      <c r="B4" s="0" t="n">
        <f aca="false">SUM(F13:F62)</f>
        <v>494421994.710771</v>
      </c>
    </row>
    <row r="5" customFormat="false" ht="15" hidden="false" customHeight="false" outlineLevel="0" collapsed="false">
      <c r="A5" s="1" t="s">
        <v>600</v>
      </c>
      <c r="B5" s="0" t="n">
        <f aca="false">B3-B4</f>
        <v>78780070.1203606</v>
      </c>
    </row>
    <row r="6" customFormat="false" ht="15" hidden="false" customHeight="false" outlineLevel="0" collapsed="false">
      <c r="A6" s="1" t="s">
        <v>601</v>
      </c>
      <c r="B6" s="0" t="n">
        <f aca="false">IF(B3=0,"—",(B5-B3)/ABS(B3))</f>
        <v>-0.862561433473605</v>
      </c>
    </row>
    <row r="7" customFormat="false" ht="15" hidden="false" customHeight="false" outlineLevel="0" collapsed="false">
      <c r="A7" s="1" t="s">
        <v>602</v>
      </c>
      <c r="B7" s="0" t="str">
        <f aca="false">IFERROR(INDEX(A13:A62,MATCH(1,M13:M62,0)),"brak w horyzoncie")</f>
        <v>brak w horyzoncie</v>
      </c>
    </row>
    <row r="8" customFormat="false" ht="15" hidden="false" customHeight="false" outlineLevel="0" collapsed="false">
      <c r="A8" s="1" t="s">
        <v>603</v>
      </c>
      <c r="B8" s="0" t="str">
        <f aca="false">IFERROR(INDEX(A13:A62,MATCH(1,N13:N62,0)),"brak w horyzoncie")</f>
        <v>brak w horyzoncie</v>
      </c>
    </row>
    <row r="9" customFormat="false" ht="15" hidden="false" customHeight="false" outlineLevel="0" collapsed="false">
      <c r="A9" s="1" t="s">
        <v>604</v>
      </c>
      <c r="B9" s="0" t="n">
        <f aca="false">SUM(E13:E62)</f>
        <v>528309206.973209</v>
      </c>
    </row>
    <row r="10" customFormat="false" ht="15" hidden="false" customHeight="false" outlineLevel="0" collapsed="false">
      <c r="A10" s="1" t="s">
        <v>605</v>
      </c>
      <c r="B10" s="0" t="n">
        <f aca="false">IFERROR(B4/SUM(P13:P62),"—")</f>
        <v>63119.874028694</v>
      </c>
    </row>
    <row r="11" customFormat="false" ht="15" hidden="false" customHeight="false" outlineLevel="0" collapsed="false">
      <c r="A11" s="1" t="s">
        <v>606</v>
      </c>
      <c r="B11" s="0" t="n">
        <f aca="false">IFERROR(B9/SUM(P13:P62),"—")</f>
        <v>67446.0500323323</v>
      </c>
    </row>
    <row r="12" customFormat="false" ht="55.2" hidden="false" customHeight="false" outlineLevel="0" collapsed="false">
      <c r="A12" s="3" t="s">
        <v>318</v>
      </c>
      <c r="B12" s="3" t="s">
        <v>548</v>
      </c>
      <c r="C12" s="3" t="s">
        <v>607</v>
      </c>
      <c r="D12" s="3" t="s">
        <v>608</v>
      </c>
      <c r="E12" s="3" t="s">
        <v>609</v>
      </c>
      <c r="F12" s="3" t="s">
        <v>610</v>
      </c>
      <c r="G12" s="3" t="s">
        <v>611</v>
      </c>
      <c r="H12" s="3" t="s">
        <v>612</v>
      </c>
      <c r="I12" s="3" t="s">
        <v>613</v>
      </c>
      <c r="J12" s="3" t="s">
        <v>614</v>
      </c>
      <c r="K12" s="3" t="s">
        <v>615</v>
      </c>
      <c r="L12" s="3" t="s">
        <v>616</v>
      </c>
      <c r="M12" s="3" t="s">
        <v>617</v>
      </c>
      <c r="N12" s="3" t="s">
        <v>618</v>
      </c>
      <c r="O12" s="3" t="s">
        <v>619</v>
      </c>
      <c r="P12" s="3" t="s">
        <v>620</v>
      </c>
    </row>
    <row r="13" customFormat="false" ht="15" hidden="false" customHeight="false" outlineLevel="0" collapsed="false">
      <c r="A13" s="0" t="n">
        <v>2026</v>
      </c>
      <c r="B13" s="0" t="n">
        <v>0</v>
      </c>
      <c r="C13" s="0" t="n">
        <f aca="false">IF(B13&lt;x_H,(1+x_dk)^(-B13),0)</f>
        <v>1</v>
      </c>
      <c r="D13" s="0" t="n">
        <f aca="false">IF(B13&lt;x_H,(1+x_de)^(-B13),0)</f>
        <v>1</v>
      </c>
      <c r="E13" s="0" t="n">
        <f aca="false">(L_I1!AO3-L_S1!AO3)*C13</f>
        <v>28967828.6798008</v>
      </c>
      <c r="F13" s="0" t="n">
        <f aca="false">(L_I1!AP3-L_S1!AP3)*C13</f>
        <v>30728724.0332409</v>
      </c>
      <c r="G13" s="0" t="n">
        <f aca="false">(L_I1!AQ3-L_S1!AQ3)*C13</f>
        <v>30636635.6929499</v>
      </c>
      <c r="H13" s="0" t="n">
        <f aca="false">(L_I1!AS3-L_S1!AS3)*C13</f>
        <v>28762925.7196966</v>
      </c>
      <c r="I13" s="0" t="n">
        <f aca="false">E13</f>
        <v>28967828.6798008</v>
      </c>
      <c r="J13" s="0" t="n">
        <f aca="false">F13</f>
        <v>30728724.0332409</v>
      </c>
      <c r="K13" s="0" t="n">
        <f aca="false">G13</f>
        <v>30636635.6929499</v>
      </c>
      <c r="L13" s="0" t="n">
        <f aca="false">J13</f>
        <v>30728724.0332409</v>
      </c>
      <c r="M13" s="0" t="n">
        <v>0</v>
      </c>
      <c r="N13" s="0" t="n">
        <v>0</v>
      </c>
      <c r="O13" s="0" t="n">
        <f aca="false">I13</f>
        <v>28967828.6798008</v>
      </c>
      <c r="P13" s="0" t="n">
        <f aca="false">(L_I1!V3-L_S1!V3)*D13</f>
        <v>40.5460000000021</v>
      </c>
    </row>
    <row r="14" customFormat="false" ht="15" hidden="false" customHeight="false" outlineLevel="0" collapsed="false">
      <c r="A14" s="0" t="n">
        <v>2027</v>
      </c>
      <c r="B14" s="0" t="n">
        <v>1</v>
      </c>
      <c r="C14" s="0" t="n">
        <f aca="false">IF(B14&lt;x_H,(1+x_dk)^(-B14),0)</f>
        <v>0.952380952380952</v>
      </c>
      <c r="D14" s="0" t="n">
        <f aca="false">IF(B14&lt;x_H,(1+x_de)^(-B14),0)</f>
        <v>0.966183574879227</v>
      </c>
      <c r="E14" s="0" t="n">
        <f aca="false">(L_I1!AO4-L_S1!AO4)*C14</f>
        <v>54366779.0378631</v>
      </c>
      <c r="F14" s="0" t="n">
        <f aca="false">(L_I1!AP4-L_S1!AP4)*C14</f>
        <v>56337596.911501</v>
      </c>
      <c r="G14" s="0" t="n">
        <f aca="false">(L_I1!AQ4-L_S1!AQ4)*C14</f>
        <v>56167590.9730786</v>
      </c>
      <c r="H14" s="0" t="n">
        <f aca="false">(L_I1!AS4-L_S1!AS4)*C14</f>
        <v>53140727.591501</v>
      </c>
      <c r="I14" s="0" t="n">
        <f aca="false">I13+E14</f>
        <v>83334607.7176639</v>
      </c>
      <c r="J14" s="0" t="n">
        <f aca="false">J13+F14</f>
        <v>87066320.9447418</v>
      </c>
      <c r="K14" s="0" t="n">
        <f aca="false">K13+G14</f>
        <v>86804226.6660285</v>
      </c>
      <c r="L14" s="0" t="n">
        <f aca="false">MAX(L13,J14)</f>
        <v>87066320.9447418</v>
      </c>
      <c r="M14" s="0" t="n">
        <f aca="false">IF(AND(B14&lt;x_H,J14&lt;=0,L13&gt;0),1,0)</f>
        <v>0</v>
      </c>
      <c r="N14" s="0" t="n">
        <f aca="false">IF(AND(B14&lt;x_H,I14&lt;=0,O13&gt;0),1,0)</f>
        <v>0</v>
      </c>
      <c r="O14" s="0" t="n">
        <f aca="false">MAX(O13,I14)</f>
        <v>83334607.7176639</v>
      </c>
      <c r="P14" s="0" t="n">
        <f aca="false">(L_I1!V4-L_S1!V4)*D14</f>
        <v>88.0077294685882</v>
      </c>
    </row>
    <row r="15" customFormat="false" ht="15" hidden="false" customHeight="false" outlineLevel="0" collapsed="false">
      <c r="A15" s="0" t="n">
        <v>2028</v>
      </c>
      <c r="B15" s="0" t="n">
        <v>2</v>
      </c>
      <c r="C15" s="0" t="n">
        <f aca="false">IF(B15&lt;x_H,(1+x_dk)^(-B15),0)</f>
        <v>0.90702947845805</v>
      </c>
      <c r="D15" s="0" t="n">
        <f aca="false">IF(B15&lt;x_H,(1+x_de)^(-B15),0)</f>
        <v>0.933510700366403</v>
      </c>
      <c r="E15" s="0" t="n">
        <f aca="false">(L_I1!AO5-L_S1!AO5)*C15</f>
        <v>76411357.314424</v>
      </c>
      <c r="F15" s="0" t="n">
        <f aca="false">(L_I1!AP5-L_S1!AP5)*C15</f>
        <v>78319143.7905752</v>
      </c>
      <c r="G15" s="0" t="n">
        <f aca="false">(L_I1!AQ5-L_S1!AQ5)*C15</f>
        <v>78058252.1910824</v>
      </c>
      <c r="H15" s="0" t="n">
        <f aca="false">(L_I1!AS5-L_S1!AS5)*C15</f>
        <v>74642739.1331122</v>
      </c>
      <c r="I15" s="0" t="n">
        <f aca="false">I14+E15</f>
        <v>159745965.032088</v>
      </c>
      <c r="J15" s="0" t="n">
        <f aca="false">J14+F15</f>
        <v>165385464.735317</v>
      </c>
      <c r="K15" s="0" t="n">
        <f aca="false">K14+G15</f>
        <v>164862478.857111</v>
      </c>
      <c r="L15" s="0" t="n">
        <f aca="false">MAX(L14,J15)</f>
        <v>165385464.735317</v>
      </c>
      <c r="M15" s="0" t="n">
        <f aca="false">IF(AND(B15&lt;x_H,J15&lt;=0,L14&gt;0),1,0)</f>
        <v>0</v>
      </c>
      <c r="N15" s="0" t="n">
        <f aca="false">IF(AND(B15&lt;x_H,I15&lt;=0,O14&gt;0),1,0)</f>
        <v>0</v>
      </c>
      <c r="O15" s="0" t="n">
        <f aca="false">MAX(O14,I15)</f>
        <v>159745965.032088</v>
      </c>
      <c r="P15" s="0" t="n">
        <f aca="false">(L_I1!V5-L_S1!V5)*D15</f>
        <v>142.478004154126</v>
      </c>
    </row>
    <row r="16" customFormat="false" ht="15" hidden="false" customHeight="false" outlineLevel="0" collapsed="false">
      <c r="A16" s="0" t="n">
        <v>2029</v>
      </c>
      <c r="B16" s="0" t="n">
        <v>3</v>
      </c>
      <c r="C16" s="0" t="n">
        <f aca="false">IF(B16&lt;x_H,(1+x_dk)^(-B16),0)</f>
        <v>0.863837598531476</v>
      </c>
      <c r="D16" s="0" t="n">
        <f aca="false">IF(B16&lt;x_H,(1+x_de)^(-B16),0)</f>
        <v>0.901942705668022</v>
      </c>
      <c r="E16" s="0" t="n">
        <f aca="false">(L_I1!AO6-L_S1!AO6)*C16</f>
        <v>72123239.6651928</v>
      </c>
      <c r="F16" s="0" t="n">
        <f aca="false">(L_I1!AP6-L_S1!AP6)*C16</f>
        <v>73698877.9048122</v>
      </c>
      <c r="G16" s="0" t="n">
        <f aca="false">(L_I1!AQ6-L_S1!AQ6)*C16</f>
        <v>73307253.4229232</v>
      </c>
      <c r="H16" s="0" t="n">
        <f aca="false">(L_I1!AS6-L_S1!AS6)*C16</f>
        <v>70374470.9050457</v>
      </c>
      <c r="I16" s="0" t="n">
        <f aca="false">I15+E16</f>
        <v>231869204.697281</v>
      </c>
      <c r="J16" s="0" t="n">
        <f aca="false">J15+F16</f>
        <v>239084342.640129</v>
      </c>
      <c r="K16" s="0" t="n">
        <f aca="false">K15+G16</f>
        <v>238169732.280034</v>
      </c>
      <c r="L16" s="0" t="n">
        <f aca="false">MAX(L15,J16)</f>
        <v>239084342.640129</v>
      </c>
      <c r="M16" s="0" t="n">
        <f aca="false">IF(AND(B16&lt;x_H,J16&lt;=0,L15&gt;0),1,0)</f>
        <v>0</v>
      </c>
      <c r="N16" s="0" t="n">
        <f aca="false">IF(AND(B16&lt;x_H,I16&lt;=0,O15&gt;0),1,0)</f>
        <v>0</v>
      </c>
      <c r="O16" s="0" t="n">
        <f aca="false">MAX(O15,I16)</f>
        <v>231869204.697281</v>
      </c>
      <c r="P16" s="0" t="n">
        <f aca="false">(L_I1!V6-L_S1!V6)*D16</f>
        <v>195.093815006819</v>
      </c>
    </row>
    <row r="17" customFormat="false" ht="15" hidden="false" customHeight="false" outlineLevel="0" collapsed="false">
      <c r="A17" s="0" t="n">
        <v>2030</v>
      </c>
      <c r="B17" s="0" t="n">
        <v>4</v>
      </c>
      <c r="C17" s="0" t="n">
        <f aca="false">IF(B17&lt;x_H,(1+x_dk)^(-B17),0)</f>
        <v>0.822702474791882</v>
      </c>
      <c r="D17" s="0" t="n">
        <f aca="false">IF(B17&lt;x_H,(1+x_de)^(-B17),0)</f>
        <v>0.871442227698572</v>
      </c>
      <c r="E17" s="0" t="n">
        <f aca="false">(L_I1!AO7-L_S1!AO7)*C17</f>
        <v>67878477.6573966</v>
      </c>
      <c r="F17" s="0" t="n">
        <f aca="false">(L_I1!AP7-L_S1!AP7)*C17</f>
        <v>69019311.6151168</v>
      </c>
      <c r="G17" s="0" t="n">
        <f aca="false">(L_I1!AQ7-L_S1!AQ7)*C17</f>
        <v>68413470.2830306</v>
      </c>
      <c r="H17" s="0" t="n">
        <f aca="false">(L_I1!AS7-L_S1!AS7)*C17</f>
        <v>66372921.9259777</v>
      </c>
      <c r="I17" s="0" t="n">
        <f aca="false">I16+E17</f>
        <v>299747682.354677</v>
      </c>
      <c r="J17" s="0" t="n">
        <f aca="false">J16+F17</f>
        <v>308103654.255246</v>
      </c>
      <c r="K17" s="0" t="n">
        <f aca="false">K16+G17</f>
        <v>306583202.563065</v>
      </c>
      <c r="L17" s="0" t="n">
        <f aca="false">MAX(L16,J17)</f>
        <v>308103654.255246</v>
      </c>
      <c r="M17" s="0" t="n">
        <f aca="false">IF(AND(B17&lt;x_H,J17&lt;=0,L16&gt;0),1,0)</f>
        <v>0</v>
      </c>
      <c r="N17" s="0" t="n">
        <f aca="false">IF(AND(B17&lt;x_H,I17&lt;=0,O16&gt;0),1,0)</f>
        <v>0</v>
      </c>
      <c r="O17" s="0" t="n">
        <f aca="false">MAX(O16,I17)</f>
        <v>299747682.354677</v>
      </c>
      <c r="P17" s="0" t="n">
        <f aca="false">(L_I1!V7-L_S1!V7)*D17</f>
        <v>246.421204495228</v>
      </c>
    </row>
    <row r="18" customFormat="false" ht="15" hidden="false" customHeight="false" outlineLevel="0" collapsed="false">
      <c r="A18" s="0" t="n">
        <v>2031</v>
      </c>
      <c r="B18" s="0" t="n">
        <v>5</v>
      </c>
      <c r="C18" s="0" t="n">
        <f aca="false">IF(B18&lt;x_H,(1+x_dk)^(-B18),0)</f>
        <v>0.783526166468459</v>
      </c>
      <c r="D18" s="0" t="n">
        <f aca="false">IF(B18&lt;x_H,(1+x_de)^(-B18),0)</f>
        <v>0.841973166858524</v>
      </c>
      <c r="E18" s="0" t="n">
        <f aca="false">(L_I1!AO8-L_S1!AO8)*C18</f>
        <v>63704539.4578432</v>
      </c>
      <c r="F18" s="0" t="n">
        <f aca="false">(L_I1!AP8-L_S1!AP8)*C18</f>
        <v>64303614.1393645</v>
      </c>
      <c r="G18" s="0" t="n">
        <f aca="false">(L_I1!AQ8-L_S1!AQ8)*C18</f>
        <v>63389533.7005731</v>
      </c>
      <c r="H18" s="0" t="n">
        <f aca="false">(L_I1!AS8-L_S1!AS8)*C18</f>
        <v>62618350.4120492</v>
      </c>
      <c r="I18" s="0" t="n">
        <f aca="false">I17+E18</f>
        <v>363452221.81252</v>
      </c>
      <c r="J18" s="0" t="n">
        <f aca="false">J17+F18</f>
        <v>372407268.39461</v>
      </c>
      <c r="K18" s="0" t="n">
        <f aca="false">K17+G18</f>
        <v>369972736.263638</v>
      </c>
      <c r="L18" s="0" t="n">
        <f aca="false">MAX(L17,J18)</f>
        <v>372407268.39461</v>
      </c>
      <c r="M18" s="0" t="n">
        <f aca="false">IF(AND(B18&lt;x_H,J18&lt;=0,L17&gt;0),1,0)</f>
        <v>0</v>
      </c>
      <c r="N18" s="0" t="n">
        <f aca="false">IF(AND(B18&lt;x_H,I18&lt;=0,O17&gt;0),1,0)</f>
        <v>0</v>
      </c>
      <c r="O18" s="0" t="n">
        <f aca="false">MAX(O17,I18)</f>
        <v>363452221.81252</v>
      </c>
      <c r="P18" s="0" t="n">
        <f aca="false">(L_I1!V8-L_S1!V8)*D18</f>
        <v>296.749232793446</v>
      </c>
    </row>
    <row r="19" customFormat="false" ht="15" hidden="false" customHeight="false" outlineLevel="0" collapsed="false">
      <c r="A19" s="0" t="n">
        <v>2032</v>
      </c>
      <c r="B19" s="0" t="n">
        <v>6</v>
      </c>
      <c r="C19" s="0" t="n">
        <f aca="false">IF(B19&lt;x_H,(1+x_dk)^(-B19),0)</f>
        <v>0.746215396636628</v>
      </c>
      <c r="D19" s="0" t="n">
        <f aca="false">IF(B19&lt;x_H,(1+x_de)^(-B19),0)</f>
        <v>0.813500644307753</v>
      </c>
      <c r="E19" s="0" t="n">
        <f aca="false">(L_I1!AO9-L_S1!AO9)*C19</f>
        <v>59625411.7602529</v>
      </c>
      <c r="F19" s="0" t="n">
        <f aca="false">(L_I1!AP9-L_S1!AP9)*C19</f>
        <v>59575411.0925818</v>
      </c>
      <c r="G19" s="0" t="n">
        <f aca="false">(L_I1!AQ9-L_S1!AQ9)*C19</f>
        <v>58253225.9246271</v>
      </c>
      <c r="H19" s="0" t="n">
        <f aca="false">(L_I1!AS9-L_S1!AS9)*C19</f>
        <v>59093542.4055723</v>
      </c>
      <c r="I19" s="0" t="n">
        <f aca="false">I18+E19</f>
        <v>423077633.572773</v>
      </c>
      <c r="J19" s="0" t="n">
        <f aca="false">J18+F19</f>
        <v>431982679.487192</v>
      </c>
      <c r="K19" s="0" t="n">
        <f aca="false">K18+G19</f>
        <v>428225962.188265</v>
      </c>
      <c r="L19" s="0" t="n">
        <f aca="false">MAX(L18,J19)</f>
        <v>431982679.487192</v>
      </c>
      <c r="M19" s="0" t="n">
        <f aca="false">IF(AND(B19&lt;x_H,J19&lt;=0,L18&gt;0),1,0)</f>
        <v>0</v>
      </c>
      <c r="N19" s="0" t="n">
        <f aca="false">IF(AND(B19&lt;x_H,I19&lt;=0,O18&gt;0),1,0)</f>
        <v>0</v>
      </c>
      <c r="O19" s="0" t="n">
        <f aca="false">MAX(O18,I19)</f>
        <v>423077633.572773</v>
      </c>
      <c r="P19" s="0" t="n">
        <f aca="false">(L_I1!V9-L_S1!V9)*D19</f>
        <v>346.181945182589</v>
      </c>
    </row>
    <row r="20" customFormat="false" ht="15" hidden="false" customHeight="false" outlineLevel="0" collapsed="false">
      <c r="A20" s="0" t="n">
        <v>2033</v>
      </c>
      <c r="B20" s="0" t="n">
        <v>7</v>
      </c>
      <c r="C20" s="0" t="n">
        <f aca="false">IF(B20&lt;x_H,(1+x_dk)^(-B20),0)</f>
        <v>0.710681330130121</v>
      </c>
      <c r="D20" s="0" t="n">
        <f aca="false">IF(B20&lt;x_H,(1+x_de)^(-B20),0)</f>
        <v>0.785990960683819</v>
      </c>
      <c r="E20" s="0" t="n">
        <f aca="false">(L_I1!AO10-L_S1!AO10)*C20</f>
        <v>55663095.8966222</v>
      </c>
      <c r="F20" s="0" t="n">
        <f aca="false">(L_I1!AP10-L_S1!AP10)*C20</f>
        <v>54860113.7578798</v>
      </c>
      <c r="G20" s="0" t="n">
        <f aca="false">(L_I1!AQ10-L_S1!AQ10)*C20</f>
        <v>53028408.4386356</v>
      </c>
      <c r="H20" s="0" t="n">
        <f aca="false">(L_I1!AS10-L_S1!AS10)*C20</f>
        <v>55782102.7843541</v>
      </c>
      <c r="I20" s="0" t="n">
        <f aca="false">I19+E20</f>
        <v>478740729.469395</v>
      </c>
      <c r="J20" s="0" t="n">
        <f aca="false">J19+F20</f>
        <v>486842793.245072</v>
      </c>
      <c r="K20" s="0" t="n">
        <f aca="false">K19+G20</f>
        <v>481254370.626901</v>
      </c>
      <c r="L20" s="0" t="n">
        <f aca="false">MAX(L19,J20)</f>
        <v>486842793.245072</v>
      </c>
      <c r="M20" s="0" t="n">
        <f aca="false">IF(AND(B20&lt;x_H,J20&lt;=0,L19&gt;0),1,0)</f>
        <v>0</v>
      </c>
      <c r="N20" s="0" t="n">
        <f aca="false">IF(AND(B20&lt;x_H,I20&lt;=0,O19&gt;0),1,0)</f>
        <v>0</v>
      </c>
      <c r="O20" s="0" t="n">
        <f aca="false">MAX(O19,I20)</f>
        <v>478740729.469395</v>
      </c>
      <c r="P20" s="0" t="n">
        <f aca="false">(L_I1!V10-L_S1!V10)*D20</f>
        <v>394.695578789869</v>
      </c>
    </row>
    <row r="21" customFormat="false" ht="15" hidden="false" customHeight="false" outlineLevel="0" collapsed="false">
      <c r="A21" s="0" t="n">
        <v>2034</v>
      </c>
      <c r="B21" s="0" t="n">
        <v>8</v>
      </c>
      <c r="C21" s="0" t="n">
        <f aca="false">IF(B21&lt;x_H,(1+x_dk)^(-B21),0)</f>
        <v>0.676839362028687</v>
      </c>
      <c r="D21" s="0" t="n">
        <f aca="false">IF(B21&lt;x_H,(1+x_de)^(-B21),0)</f>
        <v>0.759411556216251</v>
      </c>
      <c r="E21" s="0" t="n">
        <f aca="false">(L_I1!AO11-L_S1!AO11)*C21</f>
        <v>51836538.1649911</v>
      </c>
      <c r="F21" s="0" t="n">
        <f aca="false">(L_I1!AP11-L_S1!AP11)*C21</f>
        <v>50183374.6069824</v>
      </c>
      <c r="G21" s="0" t="n">
        <f aca="false">(L_I1!AQ11-L_S1!AQ11)*C21</f>
        <v>47742948.2874805</v>
      </c>
      <c r="H21" s="0" t="n">
        <f aca="false">(L_I1!AS11-L_S1!AS11)*C21</f>
        <v>52670149.3037955</v>
      </c>
      <c r="I21" s="0" t="n">
        <f aca="false">I20+E21</f>
        <v>530577267.634387</v>
      </c>
      <c r="J21" s="0" t="n">
        <f aca="false">J20+F21</f>
        <v>537026167.852054</v>
      </c>
      <c r="K21" s="0" t="n">
        <f aca="false">K20+G21</f>
        <v>528997318.914381</v>
      </c>
      <c r="L21" s="0" t="n">
        <f aca="false">MAX(L20,J21)</f>
        <v>537026167.852054</v>
      </c>
      <c r="M21" s="0" t="n">
        <f aca="false">IF(AND(B21&lt;x_H,J21&lt;=0,L20&gt;0),1,0)</f>
        <v>0</v>
      </c>
      <c r="N21" s="0" t="n">
        <f aca="false">IF(AND(B21&lt;x_H,I21&lt;=0,O20&gt;0),1,0)</f>
        <v>0</v>
      </c>
      <c r="O21" s="0" t="n">
        <f aca="false">MAX(O20,I21)</f>
        <v>530577267.634387</v>
      </c>
      <c r="P21" s="0" t="n">
        <f aca="false">(L_I1!V11-L_S1!V11)*D21</f>
        <v>442.183326249587</v>
      </c>
    </row>
    <row r="22" customFormat="false" ht="15" hidden="false" customHeight="false" outlineLevel="0" collapsed="false">
      <c r="A22" s="0" t="n">
        <v>2035</v>
      </c>
      <c r="B22" s="0" t="n">
        <v>9</v>
      </c>
      <c r="C22" s="0" t="n">
        <f aca="false">IF(B22&lt;x_H,(1+x_dk)^(-B22),0)</f>
        <v>0.644608916217797</v>
      </c>
      <c r="D22" s="0" t="n">
        <f aca="false">IF(B22&lt;x_H,(1+x_de)^(-B22),0)</f>
        <v>0.733730972189614</v>
      </c>
      <c r="E22" s="0" t="n">
        <f aca="false">(L_I1!AO12-L_S1!AO12)*C22</f>
        <v>47459871.0825811</v>
      </c>
      <c r="F22" s="0" t="n">
        <f aca="false">(L_I1!AP12-L_S1!AP12)*C22</f>
        <v>44528544.7088159</v>
      </c>
      <c r="G22" s="0" t="n">
        <f aca="false">(L_I1!AQ12-L_S1!AQ12)*C22</f>
        <v>41438944.5718154</v>
      </c>
      <c r="H22" s="0" t="n">
        <f aca="false">(L_I1!AS12-L_S1!AS12)*C22</f>
        <v>49744134.6500275</v>
      </c>
      <c r="I22" s="0" t="n">
        <f aca="false">I21+E22</f>
        <v>578037138.716968</v>
      </c>
      <c r="J22" s="0" t="n">
        <f aca="false">J21+F22</f>
        <v>581554712.56087</v>
      </c>
      <c r="K22" s="0" t="n">
        <f aca="false">K21+G22</f>
        <v>570436263.486197</v>
      </c>
      <c r="L22" s="0" t="n">
        <f aca="false">MAX(L21,J22)</f>
        <v>581554712.56087</v>
      </c>
      <c r="M22" s="0" t="n">
        <f aca="false">IF(AND(B22&lt;x_H,J22&lt;=0,L21&gt;0),1,0)</f>
        <v>0</v>
      </c>
      <c r="N22" s="0" t="n">
        <f aca="false">IF(AND(B22&lt;x_H,I22&lt;=0,O21&gt;0),1,0)</f>
        <v>0</v>
      </c>
      <c r="O22" s="0" t="n">
        <f aca="false">MAX(O21,I22)</f>
        <v>578037138.716968</v>
      </c>
      <c r="P22" s="0" t="n">
        <f aca="false">(L_I1!V12-L_S1!V12)*D22</f>
        <v>471.110313968644</v>
      </c>
    </row>
    <row r="23" customFormat="false" ht="15" hidden="false" customHeight="false" outlineLevel="0" collapsed="false">
      <c r="A23" s="0" t="n">
        <v>2036</v>
      </c>
      <c r="B23" s="0" t="n">
        <v>10</v>
      </c>
      <c r="C23" s="0" t="n">
        <f aca="false">IF(B23&lt;x_H,(1+x_dk)^(-B23),0)</f>
        <v>0.613913253540759</v>
      </c>
      <c r="D23" s="0" t="n">
        <f aca="false">IF(B23&lt;x_H,(1+x_de)^(-B23),0)</f>
        <v>0.708918813709772</v>
      </c>
      <c r="E23" s="0" t="n">
        <f aca="false">(L_I1!AO13-L_S1!AO13)*C23</f>
        <v>-3042094.82724111</v>
      </c>
      <c r="F23" s="0" t="n">
        <f aca="false">(L_I1!AP13-L_S1!AP13)*C23</f>
        <v>-8009894.25146782</v>
      </c>
      <c r="G23" s="0" t="n">
        <f aca="false">(L_I1!AQ13-L_S1!AQ13)*C23</f>
        <v>-11825685.7406762</v>
      </c>
      <c r="H23" s="0" t="n">
        <f aca="false">(L_I1!AS13-L_S1!AS13)*C23</f>
        <v>0</v>
      </c>
      <c r="I23" s="0" t="n">
        <f aca="false">I22+E23</f>
        <v>574995043.889727</v>
      </c>
      <c r="J23" s="0" t="n">
        <f aca="false">J22+F23</f>
        <v>573544818.309403</v>
      </c>
      <c r="K23" s="0" t="n">
        <f aca="false">K22+G23</f>
        <v>558610577.74552</v>
      </c>
      <c r="L23" s="0" t="n">
        <f aca="false">MAX(L22,J23)</f>
        <v>581554712.56087</v>
      </c>
      <c r="M23" s="0" t="n">
        <f aca="false">IF(AND(B23&lt;x_H,J23&lt;=0,L22&gt;0),1,0)</f>
        <v>0</v>
      </c>
      <c r="N23" s="0" t="n">
        <f aca="false">IF(AND(B23&lt;x_H,I23&lt;=0,O22&gt;0),1,0)</f>
        <v>0</v>
      </c>
      <c r="O23" s="0" t="n">
        <f aca="false">MAX(O22,I23)</f>
        <v>578037138.716968</v>
      </c>
      <c r="P23" s="0" t="n">
        <f aca="false">(L_I1!V13-L_S1!V13)*D23</f>
        <v>482.631219454799</v>
      </c>
    </row>
    <row r="24" customFormat="false" ht="15" hidden="false" customHeight="false" outlineLevel="0" collapsed="false">
      <c r="A24" s="0" t="n">
        <v>2037</v>
      </c>
      <c r="B24" s="0" t="n">
        <v>11</v>
      </c>
      <c r="C24" s="0" t="n">
        <f aca="false">IF(B24&lt;x_H,(1+x_dk)^(-B24),0)</f>
        <v>0.584679289086437</v>
      </c>
      <c r="D24" s="0" t="n">
        <f aca="false">IF(B24&lt;x_H,(1+x_de)^(-B24),0)</f>
        <v>0.684945713729249</v>
      </c>
      <c r="E24" s="0" t="n">
        <f aca="false">(L_I1!AO14-L_S1!AO14)*C24</f>
        <v>-3871885.06187633</v>
      </c>
      <c r="F24" s="0" t="n">
        <f aca="false">(L_I1!AP14-L_S1!AP14)*C24</f>
        <v>-9742537.831757</v>
      </c>
      <c r="G24" s="0" t="n">
        <f aca="false">(L_I1!AQ14-L_S1!AQ14)*C24</f>
        <v>-14376374.741438</v>
      </c>
      <c r="H24" s="0" t="n">
        <f aca="false">(L_I1!AS14-L_S1!AS14)*C24</f>
        <v>0</v>
      </c>
      <c r="I24" s="0" t="n">
        <f aca="false">I23+E24</f>
        <v>571123158.82785</v>
      </c>
      <c r="J24" s="0" t="n">
        <f aca="false">J23+F24</f>
        <v>563802280.477646</v>
      </c>
      <c r="K24" s="0" t="n">
        <f aca="false">K23+G24</f>
        <v>544234203.004082</v>
      </c>
      <c r="L24" s="0" t="n">
        <f aca="false">MAX(L23,J24)</f>
        <v>581554712.56087</v>
      </c>
      <c r="M24" s="0" t="n">
        <f aca="false">IF(AND(B24&lt;x_H,J24&lt;=0,L23&gt;0),1,0)</f>
        <v>0</v>
      </c>
      <c r="N24" s="0" t="n">
        <f aca="false">IF(AND(B24&lt;x_H,I24&lt;=0,O23&gt;0),1,0)</f>
        <v>0</v>
      </c>
      <c r="O24" s="0" t="n">
        <f aca="false">MAX(O23,I24)</f>
        <v>578037138.716968</v>
      </c>
      <c r="P24" s="0" t="n">
        <f aca="false">(L_I1!V14-L_S1!V14)*D24</f>
        <v>493.839010141654</v>
      </c>
    </row>
    <row r="25" customFormat="false" ht="15" hidden="false" customHeight="false" outlineLevel="0" collapsed="false">
      <c r="A25" s="0" t="n">
        <v>2038</v>
      </c>
      <c r="B25" s="0" t="n">
        <v>12</v>
      </c>
      <c r="C25" s="0" t="n">
        <f aca="false">IF(B25&lt;x_H,(1+x_dk)^(-B25),0)</f>
        <v>0.556837418177559</v>
      </c>
      <c r="D25" s="0" t="n">
        <f aca="false">IF(B25&lt;x_H,(1+x_de)^(-B25),0)</f>
        <v>0.661783298289129</v>
      </c>
      <c r="E25" s="0" t="n">
        <f aca="false">(L_I1!AO15-L_S1!AO15)*C25</f>
        <v>-4504110.16631807</v>
      </c>
      <c r="F25" s="0" t="n">
        <f aca="false">(L_I1!AP15-L_S1!AP15)*C25</f>
        <v>-8700974.52270534</v>
      </c>
      <c r="G25" s="0" t="n">
        <f aca="false">(L_I1!AQ15-L_S1!AQ15)*C25</f>
        <v>-12084148.765679</v>
      </c>
      <c r="H25" s="0" t="n">
        <f aca="false">(L_I1!AS15-L_S1!AS15)*C25</f>
        <v>0</v>
      </c>
      <c r="I25" s="0" t="n">
        <f aca="false">I24+E25</f>
        <v>566619048.661532</v>
      </c>
      <c r="J25" s="0" t="n">
        <f aca="false">J24+F25</f>
        <v>555101305.95494</v>
      </c>
      <c r="K25" s="0" t="n">
        <f aca="false">K24+G25</f>
        <v>532150054.238403</v>
      </c>
      <c r="L25" s="0" t="n">
        <f aca="false">MAX(L24,J25)</f>
        <v>581554712.56087</v>
      </c>
      <c r="M25" s="0" t="n">
        <f aca="false">IF(AND(B25&lt;x_H,J25&lt;=0,L24&gt;0),1,0)</f>
        <v>0</v>
      </c>
      <c r="N25" s="0" t="n">
        <f aca="false">IF(AND(B25&lt;x_H,I25&lt;=0,O24&gt;0),1,0)</f>
        <v>0</v>
      </c>
      <c r="O25" s="0" t="n">
        <f aca="false">MAX(O24,I25)</f>
        <v>578037138.716968</v>
      </c>
      <c r="P25" s="0" t="n">
        <f aca="false">(L_I1!V15-L_S1!V15)*D25</f>
        <v>504.180267584868</v>
      </c>
    </row>
    <row r="26" customFormat="false" ht="15" hidden="false" customHeight="false" outlineLevel="0" collapsed="false">
      <c r="A26" s="0" t="n">
        <v>2039</v>
      </c>
      <c r="B26" s="0" t="n">
        <v>13</v>
      </c>
      <c r="C26" s="0" t="n">
        <f aca="false">IF(B26&lt;x_H,(1+x_dk)^(-B26),0)</f>
        <v>0.530321350645295</v>
      </c>
      <c r="D26" s="0" t="n">
        <f aca="false">IF(B26&lt;x_H,(1+x_de)^(-B26),0)</f>
        <v>0.639404152936357</v>
      </c>
      <c r="E26" s="0" t="n">
        <f aca="false">(L_I1!AO16-L_S1!AO16)*C26</f>
        <v>-4972984.39780689</v>
      </c>
      <c r="F26" s="0" t="n">
        <f aca="false">(L_I1!AP16-L_S1!AP16)*C26</f>
        <v>-7310339.17094528</v>
      </c>
      <c r="G26" s="0" t="n">
        <f aca="false">(L_I1!AQ16-L_S1!AQ16)*C26</f>
        <v>-9260633.13531122</v>
      </c>
      <c r="H26" s="0" t="n">
        <f aca="false">(L_I1!AS16-L_S1!AS16)*C26</f>
        <v>0</v>
      </c>
      <c r="I26" s="0" t="n">
        <f aca="false">I25+E26</f>
        <v>561646064.263725</v>
      </c>
      <c r="J26" s="0" t="n">
        <f aca="false">J25+F26</f>
        <v>547790966.783995</v>
      </c>
      <c r="K26" s="0" t="n">
        <f aca="false">K25+G26</f>
        <v>522889421.103092</v>
      </c>
      <c r="L26" s="0" t="n">
        <f aca="false">MAX(L25,J26)</f>
        <v>581554712.56087</v>
      </c>
      <c r="M26" s="0" t="n">
        <f aca="false">IF(AND(B26&lt;x_H,J26&lt;=0,L25&gt;0),1,0)</f>
        <v>0</v>
      </c>
      <c r="N26" s="0" t="n">
        <f aca="false">IF(AND(B26&lt;x_H,I26&lt;=0,O25&gt;0),1,0)</f>
        <v>0</v>
      </c>
      <c r="O26" s="0" t="n">
        <f aca="false">MAX(O25,I26)</f>
        <v>578037138.716968</v>
      </c>
      <c r="P26" s="0" t="n">
        <f aca="false">(L_I1!V16-L_S1!V16)*D26</f>
        <v>513.24268011633</v>
      </c>
    </row>
    <row r="27" customFormat="false" ht="15" hidden="false" customHeight="false" outlineLevel="0" collapsed="false">
      <c r="A27" s="0" t="n">
        <v>2040</v>
      </c>
      <c r="B27" s="0" t="n">
        <v>14</v>
      </c>
      <c r="C27" s="0" t="n">
        <f aca="false">IF(B27&lt;x_H,(1+x_dk)^(-B27),0)</f>
        <v>0.505067952995519</v>
      </c>
      <c r="D27" s="0" t="n">
        <f aca="false">IF(B27&lt;x_H,(1+x_de)^(-B27),0)</f>
        <v>0.617781790276673</v>
      </c>
      <c r="E27" s="0" t="n">
        <f aca="false">(L_I1!AO17-L_S1!AO17)*C27</f>
        <v>-5304446.2190012</v>
      </c>
      <c r="F27" s="0" t="n">
        <f aca="false">(L_I1!AP17-L_S1!AP17)*C27</f>
        <v>-7936564.61760558</v>
      </c>
      <c r="G27" s="0" t="n">
        <f aca="false">(L_I1!AQ17-L_S1!AQ17)*C27</f>
        <v>-10167984.8397177</v>
      </c>
      <c r="H27" s="0" t="n">
        <f aca="false">(L_I1!AS17-L_S1!AS17)*C27</f>
        <v>0</v>
      </c>
      <c r="I27" s="0" t="n">
        <f aca="false">I26+E27</f>
        <v>556341618.044724</v>
      </c>
      <c r="J27" s="0" t="n">
        <f aca="false">J26+F27</f>
        <v>539854402.166389</v>
      </c>
      <c r="K27" s="0" t="n">
        <f aca="false">K26+G27</f>
        <v>512721436.263375</v>
      </c>
      <c r="L27" s="0" t="n">
        <f aca="false">MAX(L26,J27)</f>
        <v>581554712.56087</v>
      </c>
      <c r="M27" s="0" t="n">
        <f aca="false">IF(AND(B27&lt;x_H,J27&lt;=0,L26&gt;0),1,0)</f>
        <v>0</v>
      </c>
      <c r="N27" s="0" t="n">
        <f aca="false">IF(AND(B27&lt;x_H,I27&lt;=0,O26&gt;0),1,0)</f>
        <v>0</v>
      </c>
      <c r="O27" s="0" t="n">
        <f aca="false">MAX(O26,I27)</f>
        <v>578037138.716968</v>
      </c>
      <c r="P27" s="0" t="n">
        <f aca="false">(L_I1!V17-L_S1!V17)*D27</f>
        <v>520.745568914326</v>
      </c>
    </row>
    <row r="28" customFormat="false" ht="15" hidden="false" customHeight="false" outlineLevel="0" collapsed="false">
      <c r="A28" s="0" t="n">
        <v>2041</v>
      </c>
      <c r="B28" s="0" t="n">
        <v>15</v>
      </c>
      <c r="C28" s="0" t="n">
        <f aca="false">IF(B28&lt;x_H,(1+x_dk)^(-B28),0)</f>
        <v>0.48101709809097</v>
      </c>
      <c r="D28" s="0" t="n">
        <f aca="false">IF(B28&lt;x_H,(1+x_de)^(-B28),0)</f>
        <v>0.596890618624805</v>
      </c>
      <c r="E28" s="0" t="n">
        <f aca="false">(L_I1!AO18-L_S1!AO18)*C28</f>
        <v>-5520320.80902553</v>
      </c>
      <c r="F28" s="0" t="n">
        <f aca="false">(L_I1!AP18-L_S1!AP18)*C28</f>
        <v>-8443848.48008019</v>
      </c>
      <c r="G28" s="0" t="n">
        <f aca="false">(L_I1!AQ18-L_S1!AQ18)*C28</f>
        <v>-10956303.2495745</v>
      </c>
      <c r="H28" s="0" t="n">
        <f aca="false">(L_I1!AS18-L_S1!AS18)*C28</f>
        <v>0</v>
      </c>
      <c r="I28" s="0" t="n">
        <f aca="false">I27+E28</f>
        <v>550821297.235699</v>
      </c>
      <c r="J28" s="0" t="n">
        <f aca="false">J27+F28</f>
        <v>531410553.686309</v>
      </c>
      <c r="K28" s="0" t="n">
        <f aca="false">K27+G28</f>
        <v>501765133.0138</v>
      </c>
      <c r="L28" s="0" t="n">
        <f aca="false">MAX(L27,J28)</f>
        <v>581554712.56087</v>
      </c>
      <c r="M28" s="0" t="n">
        <f aca="false">IF(AND(B28&lt;x_H,J28&lt;=0,L27&gt;0),1,0)</f>
        <v>0</v>
      </c>
      <c r="N28" s="0" t="n">
        <f aca="false">IF(AND(B28&lt;x_H,I28&lt;=0,O27&gt;0),1,0)</f>
        <v>0</v>
      </c>
      <c r="O28" s="0" t="n">
        <f aca="false">MAX(O27,I28)</f>
        <v>578037138.716968</v>
      </c>
      <c r="P28" s="0" t="n">
        <f aca="false">(L_I1!V18-L_S1!V18)*D28</f>
        <v>526.533330735648</v>
      </c>
    </row>
    <row r="29" customFormat="false" ht="15" hidden="false" customHeight="false" outlineLevel="0" collapsed="false">
      <c r="A29" s="0" t="n">
        <v>2042</v>
      </c>
      <c r="B29" s="0" t="n">
        <v>16</v>
      </c>
      <c r="C29" s="0" t="n">
        <f aca="false">IF(B29&lt;x_H,(1+x_dk)^(-B29),0)</f>
        <v>0.4581115219914</v>
      </c>
      <c r="D29" s="0" t="n">
        <f aca="false">IF(B29&lt;x_H,(1+x_de)^(-B29),0)</f>
        <v>0.576705911714788</v>
      </c>
      <c r="E29" s="0" t="n">
        <f aca="false">(L_I1!AO19-L_S1!AO19)*C29</f>
        <v>-5637114.54772307</v>
      </c>
      <c r="F29" s="0" t="n">
        <f aca="false">(L_I1!AP19-L_S1!AP19)*C29</f>
        <v>-8846787.86340381</v>
      </c>
      <c r="G29" s="0" t="n">
        <f aca="false">(L_I1!AQ19-L_S1!AQ19)*C29</f>
        <v>-11637758.9253915</v>
      </c>
      <c r="H29" s="0" t="n">
        <f aca="false">(L_I1!AS19-L_S1!AS19)*C29</f>
        <v>0</v>
      </c>
      <c r="I29" s="0" t="n">
        <f aca="false">I28+E29</f>
        <v>545184182.687976</v>
      </c>
      <c r="J29" s="0" t="n">
        <f aca="false">J28+F29</f>
        <v>522563765.822905</v>
      </c>
      <c r="K29" s="0" t="n">
        <f aca="false">K28+G29</f>
        <v>490127374.088408</v>
      </c>
      <c r="L29" s="0" t="n">
        <f aca="false">MAX(L28,J29)</f>
        <v>581554712.56087</v>
      </c>
      <c r="M29" s="0" t="n">
        <f aca="false">IF(AND(B29&lt;x_H,J29&lt;=0,L28&gt;0),1,0)</f>
        <v>0</v>
      </c>
      <c r="N29" s="0" t="n">
        <f aca="false">IF(AND(B29&lt;x_H,I29&lt;=0,O28&gt;0),1,0)</f>
        <v>0</v>
      </c>
      <c r="O29" s="0" t="n">
        <f aca="false">MAX(O28,I29)</f>
        <v>578037138.716968</v>
      </c>
      <c r="P29" s="0" t="n">
        <f aca="false">(L_I1!V19-L_S1!V19)*D29</f>
        <v>530.349137119339</v>
      </c>
    </row>
    <row r="30" customFormat="false" ht="15" hidden="false" customHeight="false" outlineLevel="0" collapsed="false">
      <c r="A30" s="0" t="n">
        <v>2043</v>
      </c>
      <c r="B30" s="0" t="n">
        <v>17</v>
      </c>
      <c r="C30" s="0" t="n">
        <f aca="false">IF(B30&lt;x_H,(1+x_dk)^(-B30),0)</f>
        <v>0.436296687610857</v>
      </c>
      <c r="D30" s="0" t="n">
        <f aca="false">IF(B30&lt;x_H,(1+x_de)^(-B30),0)</f>
        <v>0.557203779434577</v>
      </c>
      <c r="E30" s="0" t="n">
        <f aca="false">(L_I1!AO20-L_S1!AO20)*C30</f>
        <v>-5673372.87450204</v>
      </c>
      <c r="F30" s="0" t="n">
        <f aca="false">(L_I1!AP20-L_S1!AP20)*C30</f>
        <v>-9162076.98758601</v>
      </c>
      <c r="G30" s="0" t="n">
        <f aca="false">(L_I1!AQ20-L_S1!AQ20)*C30</f>
        <v>-12226884.1033319</v>
      </c>
      <c r="H30" s="0" t="n">
        <f aca="false">(L_I1!AS20-L_S1!AS20)*C30</f>
        <v>0</v>
      </c>
      <c r="I30" s="0" t="n">
        <f aca="false">I29+E30</f>
        <v>539510809.813474</v>
      </c>
      <c r="J30" s="0" t="n">
        <f aca="false">J29+F30</f>
        <v>513401688.835319</v>
      </c>
      <c r="K30" s="0" t="n">
        <f aca="false">K29+G30</f>
        <v>477900489.985077</v>
      </c>
      <c r="L30" s="0" t="n">
        <f aca="false">MAX(L29,J30)</f>
        <v>581554712.56087</v>
      </c>
      <c r="M30" s="0" t="n">
        <f aca="false">IF(AND(B30&lt;x_H,J30&lt;=0,L29&gt;0),1,0)</f>
        <v>0</v>
      </c>
      <c r="N30" s="0" t="n">
        <f aca="false">IF(AND(B30&lt;x_H,I30&lt;=0,O29&gt;0),1,0)</f>
        <v>0</v>
      </c>
      <c r="O30" s="0" t="n">
        <f aca="false">MAX(O29,I30)</f>
        <v>578037138.716968</v>
      </c>
      <c r="P30" s="0" t="n">
        <f aca="false">(L_I1!V20-L_S1!V20)*D30</f>
        <v>532.493463428004</v>
      </c>
    </row>
    <row r="31" customFormat="false" ht="15" hidden="false" customHeight="false" outlineLevel="0" collapsed="false">
      <c r="A31" s="0" t="n">
        <v>2044</v>
      </c>
      <c r="B31" s="0" t="n">
        <v>18</v>
      </c>
      <c r="C31" s="0" t="n">
        <f aca="false">IF(B31&lt;x_H,(1+x_dk)^(-B31),0)</f>
        <v>0.415520654867483</v>
      </c>
      <c r="D31" s="0" t="n">
        <f aca="false">IF(B31&lt;x_H,(1+x_de)^(-B31),0)</f>
        <v>0.538361139550316</v>
      </c>
      <c r="E31" s="0" t="n">
        <f aca="false">(L_I1!AO21-L_S1!AO21)*C31</f>
        <v>-5642938.99120837</v>
      </c>
      <c r="F31" s="0" t="n">
        <f aca="false">(L_I1!AP21-L_S1!AP21)*C31</f>
        <v>-9401953.57325986</v>
      </c>
      <c r="G31" s="0" t="n">
        <f aca="false">(L_I1!AQ21-L_S1!AQ21)*C31</f>
        <v>-12734102.7600227</v>
      </c>
      <c r="H31" s="0" t="n">
        <f aca="false">(L_I1!AS21-L_S1!AS21)*C31</f>
        <v>0</v>
      </c>
      <c r="I31" s="0" t="n">
        <f aca="false">I30+E31</f>
        <v>533867870.822265</v>
      </c>
      <c r="J31" s="0" t="n">
        <f aca="false">J30+F31</f>
        <v>503999735.26206</v>
      </c>
      <c r="K31" s="0" t="n">
        <f aca="false">K30+G31</f>
        <v>465166387.225054</v>
      </c>
      <c r="L31" s="0" t="n">
        <f aca="false">MAX(L30,J31)</f>
        <v>581554712.56087</v>
      </c>
      <c r="M31" s="0" t="n">
        <f aca="false">IF(AND(B31&lt;x_H,J31&lt;=0,L30&gt;0),1,0)</f>
        <v>0</v>
      </c>
      <c r="N31" s="0" t="n">
        <f aca="false">IF(AND(B31&lt;x_H,I31&lt;=0,O30&gt;0),1,0)</f>
        <v>0</v>
      </c>
      <c r="O31" s="0" t="n">
        <f aca="false">MAX(O30,I31)</f>
        <v>578037138.716968</v>
      </c>
      <c r="P31" s="0" t="n">
        <f aca="false">(L_I1!V21-L_S1!V21)*D31</f>
        <v>533.217098861917</v>
      </c>
    </row>
    <row r="32" customFormat="false" ht="15" hidden="false" customHeight="false" outlineLevel="0" collapsed="false">
      <c r="A32" s="0" t="n">
        <v>2045</v>
      </c>
      <c r="B32" s="0" t="n">
        <v>19</v>
      </c>
      <c r="C32" s="0" t="n">
        <f aca="false">IF(B32&lt;x_H,(1+x_dk)^(-B32),0)</f>
        <v>0.39573395701665</v>
      </c>
      <c r="D32" s="0" t="n">
        <f aca="false">IF(B32&lt;x_H,(1+x_de)^(-B32),0)</f>
        <v>0.520155690386779</v>
      </c>
      <c r="E32" s="0" t="n">
        <f aca="false">(L_I1!AO22-L_S1!AO22)*C32</f>
        <v>-5558663.84905589</v>
      </c>
      <c r="F32" s="0" t="n">
        <f aca="false">(L_I1!AP22-L_S1!AP22)*C32</f>
        <v>-9577740.55128851</v>
      </c>
      <c r="G32" s="0" t="n">
        <f aca="false">(L_I1!AQ22-L_S1!AQ22)*C32</f>
        <v>-13169074.886769</v>
      </c>
      <c r="H32" s="0" t="n">
        <f aca="false">(L_I1!AS22-L_S1!AS22)*C32</f>
        <v>0</v>
      </c>
      <c r="I32" s="0" t="n">
        <f aca="false">I31+E32</f>
        <v>528309206.973209</v>
      </c>
      <c r="J32" s="0" t="n">
        <f aca="false">J31+F32</f>
        <v>494421994.710771</v>
      </c>
      <c r="K32" s="0" t="n">
        <f aca="false">K31+G32</f>
        <v>451997312.338285</v>
      </c>
      <c r="L32" s="0" t="n">
        <f aca="false">MAX(L31,J32)</f>
        <v>581554712.56087</v>
      </c>
      <c r="M32" s="0" t="n">
        <f aca="false">IF(AND(B32&lt;x_H,J32&lt;=0,L31&gt;0),1,0)</f>
        <v>0</v>
      </c>
      <c r="N32" s="0" t="n">
        <f aca="false">IF(AND(B32&lt;x_H,I32&lt;=0,O31&gt;0),1,0)</f>
        <v>0</v>
      </c>
      <c r="O32" s="0" t="n">
        <f aca="false">MAX(O31,I32)</f>
        <v>578037138.716968</v>
      </c>
      <c r="P32" s="0" t="n">
        <f aca="false">(L_I1!V22-L_S1!V22)*D32</f>
        <v>532.364784751527</v>
      </c>
    </row>
    <row r="33" customFormat="false" ht="15" hidden="false" customHeight="false" outlineLevel="0" collapsed="false">
      <c r="A33" s="0" t="n">
        <v>2046</v>
      </c>
      <c r="B33" s="0" t="n">
        <v>20</v>
      </c>
      <c r="C33" s="0" t="n">
        <f aca="false">IF(B33&lt;x_H,(1+x_dk)^(-B33),0)</f>
        <v>0</v>
      </c>
      <c r="D33" s="0" t="n">
        <f aca="false">IF(B33&lt;x_H,(1+x_de)^(-B33),0)</f>
        <v>0</v>
      </c>
      <c r="E33" s="0" t="n">
        <f aca="false">(L_I1!AO23-L_S1!AO23)*C33</f>
        <v>-0</v>
      </c>
      <c r="F33" s="0" t="n">
        <f aca="false">(L_I1!AP23-L_S1!AP23)*C33</f>
        <v>-0</v>
      </c>
      <c r="G33" s="0" t="n">
        <f aca="false">(L_I1!AQ23-L_S1!AQ23)*C33</f>
        <v>-0</v>
      </c>
      <c r="H33" s="0" t="n">
        <f aca="false">(L_I1!AS23-L_S1!AS23)*C33</f>
        <v>0</v>
      </c>
      <c r="I33" s="0" t="n">
        <f aca="false">I32+E33</f>
        <v>528309206.973209</v>
      </c>
      <c r="J33" s="0" t="n">
        <f aca="false">J32+F33</f>
        <v>494421994.710771</v>
      </c>
      <c r="K33" s="0" t="n">
        <f aca="false">K32+G33</f>
        <v>451997312.338285</v>
      </c>
      <c r="L33" s="0" t="n">
        <f aca="false">MAX(L32,J33)</f>
        <v>581554712.56087</v>
      </c>
      <c r="M33" s="0" t="n">
        <f aca="false">IF(AND(B33&lt;x_H,J33&lt;=0,L32&gt;0),1,0)</f>
        <v>0</v>
      </c>
      <c r="N33" s="0" t="n">
        <f aca="false">IF(AND(B33&lt;x_H,I33&lt;=0,O32&gt;0),1,0)</f>
        <v>0</v>
      </c>
      <c r="O33" s="0" t="n">
        <f aca="false">MAX(O32,I33)</f>
        <v>578037138.716968</v>
      </c>
      <c r="P33" s="0" t="n">
        <f aca="false">(L_I1!V23-L_S1!V23)*D33</f>
        <v>0</v>
      </c>
    </row>
    <row r="34" customFormat="false" ht="15" hidden="false" customHeight="false" outlineLevel="0" collapsed="false">
      <c r="A34" s="0" t="n">
        <v>2047</v>
      </c>
      <c r="B34" s="0" t="n">
        <v>21</v>
      </c>
      <c r="C34" s="0" t="n">
        <f aca="false">IF(B34&lt;x_H,(1+x_dk)^(-B34),0)</f>
        <v>0</v>
      </c>
      <c r="D34" s="0" t="n">
        <f aca="false">IF(B34&lt;x_H,(1+x_de)^(-B34),0)</f>
        <v>0</v>
      </c>
      <c r="E34" s="0" t="n">
        <f aca="false">(L_I1!AO24-L_S1!AO24)*C34</f>
        <v>-0</v>
      </c>
      <c r="F34" s="0" t="n">
        <f aca="false">(L_I1!AP24-L_S1!AP24)*C34</f>
        <v>-0</v>
      </c>
      <c r="G34" s="0" t="n">
        <f aca="false">(L_I1!AQ24-L_S1!AQ24)*C34</f>
        <v>-0</v>
      </c>
      <c r="H34" s="0" t="n">
        <f aca="false">(L_I1!AS24-L_S1!AS24)*C34</f>
        <v>0</v>
      </c>
      <c r="I34" s="0" t="n">
        <f aca="false">I33+E34</f>
        <v>528309206.973209</v>
      </c>
      <c r="J34" s="0" t="n">
        <f aca="false">J33+F34</f>
        <v>494421994.710771</v>
      </c>
      <c r="K34" s="0" t="n">
        <f aca="false">K33+G34</f>
        <v>451997312.338285</v>
      </c>
      <c r="L34" s="0" t="n">
        <f aca="false">MAX(L33,J34)</f>
        <v>581554712.56087</v>
      </c>
      <c r="M34" s="0" t="n">
        <f aca="false">IF(AND(B34&lt;x_H,J34&lt;=0,L33&gt;0),1,0)</f>
        <v>0</v>
      </c>
      <c r="N34" s="0" t="n">
        <f aca="false">IF(AND(B34&lt;x_H,I34&lt;=0,O33&gt;0),1,0)</f>
        <v>0</v>
      </c>
      <c r="O34" s="0" t="n">
        <f aca="false">MAX(O33,I34)</f>
        <v>578037138.716968</v>
      </c>
      <c r="P34" s="0" t="n">
        <f aca="false">(L_I1!V24-L_S1!V24)*D34</f>
        <v>0</v>
      </c>
    </row>
    <row r="35" customFormat="false" ht="15" hidden="false" customHeight="false" outlineLevel="0" collapsed="false">
      <c r="A35" s="0" t="n">
        <v>2048</v>
      </c>
      <c r="B35" s="0" t="n">
        <v>22</v>
      </c>
      <c r="C35" s="0" t="n">
        <f aca="false">IF(B35&lt;x_H,(1+x_dk)^(-B35),0)</f>
        <v>0</v>
      </c>
      <c r="D35" s="0" t="n">
        <f aca="false">IF(B35&lt;x_H,(1+x_de)^(-B35),0)</f>
        <v>0</v>
      </c>
      <c r="E35" s="0" t="n">
        <f aca="false">(L_I1!AO25-L_S1!AO25)*C35</f>
        <v>-0</v>
      </c>
      <c r="F35" s="0" t="n">
        <f aca="false">(L_I1!AP25-L_S1!AP25)*C35</f>
        <v>-0</v>
      </c>
      <c r="G35" s="0" t="n">
        <f aca="false">(L_I1!AQ25-L_S1!AQ25)*C35</f>
        <v>-0</v>
      </c>
      <c r="H35" s="0" t="n">
        <f aca="false">(L_I1!AS25-L_S1!AS25)*C35</f>
        <v>0</v>
      </c>
      <c r="I35" s="0" t="n">
        <f aca="false">I34+E35</f>
        <v>528309206.973209</v>
      </c>
      <c r="J35" s="0" t="n">
        <f aca="false">J34+F35</f>
        <v>494421994.710771</v>
      </c>
      <c r="K35" s="0" t="n">
        <f aca="false">K34+G35</f>
        <v>451997312.338285</v>
      </c>
      <c r="L35" s="0" t="n">
        <f aca="false">MAX(L34,J35)</f>
        <v>581554712.56087</v>
      </c>
      <c r="M35" s="0" t="n">
        <f aca="false">IF(AND(B35&lt;x_H,J35&lt;=0,L34&gt;0),1,0)</f>
        <v>0</v>
      </c>
      <c r="N35" s="0" t="n">
        <f aca="false">IF(AND(B35&lt;x_H,I35&lt;=0,O34&gt;0),1,0)</f>
        <v>0</v>
      </c>
      <c r="O35" s="0" t="n">
        <f aca="false">MAX(O34,I35)</f>
        <v>578037138.716968</v>
      </c>
      <c r="P35" s="0" t="n">
        <f aca="false">(L_I1!V25-L_S1!V25)*D35</f>
        <v>0</v>
      </c>
    </row>
    <row r="36" customFormat="false" ht="15" hidden="false" customHeight="false" outlineLevel="0" collapsed="false">
      <c r="A36" s="0" t="n">
        <v>2049</v>
      </c>
      <c r="B36" s="0" t="n">
        <v>23</v>
      </c>
      <c r="C36" s="0" t="n">
        <f aca="false">IF(B36&lt;x_H,(1+x_dk)^(-B36),0)</f>
        <v>0</v>
      </c>
      <c r="D36" s="0" t="n">
        <f aca="false">IF(B36&lt;x_H,(1+x_de)^(-B36),0)</f>
        <v>0</v>
      </c>
      <c r="E36" s="0" t="n">
        <f aca="false">(L_I1!AO26-L_S1!AO26)*C36</f>
        <v>-0</v>
      </c>
      <c r="F36" s="0" t="n">
        <f aca="false">(L_I1!AP26-L_S1!AP26)*C36</f>
        <v>-0</v>
      </c>
      <c r="G36" s="0" t="n">
        <f aca="false">(L_I1!AQ26-L_S1!AQ26)*C36</f>
        <v>-0</v>
      </c>
      <c r="H36" s="0" t="n">
        <f aca="false">(L_I1!AS26-L_S1!AS26)*C36</f>
        <v>0</v>
      </c>
      <c r="I36" s="0" t="n">
        <f aca="false">I35+E36</f>
        <v>528309206.973209</v>
      </c>
      <c r="J36" s="0" t="n">
        <f aca="false">J35+F36</f>
        <v>494421994.710771</v>
      </c>
      <c r="K36" s="0" t="n">
        <f aca="false">K35+G36</f>
        <v>451997312.338285</v>
      </c>
      <c r="L36" s="0" t="n">
        <f aca="false">MAX(L35,J36)</f>
        <v>581554712.56087</v>
      </c>
      <c r="M36" s="0" t="n">
        <f aca="false">IF(AND(B36&lt;x_H,J36&lt;=0,L35&gt;0),1,0)</f>
        <v>0</v>
      </c>
      <c r="N36" s="0" t="n">
        <f aca="false">IF(AND(B36&lt;x_H,I36&lt;=0,O35&gt;0),1,0)</f>
        <v>0</v>
      </c>
      <c r="O36" s="0" t="n">
        <f aca="false">MAX(O35,I36)</f>
        <v>578037138.716968</v>
      </c>
      <c r="P36" s="0" t="n">
        <f aca="false">(L_I1!V26-L_S1!V26)*D36</f>
        <v>0</v>
      </c>
    </row>
    <row r="37" customFormat="false" ht="15" hidden="false" customHeight="false" outlineLevel="0" collapsed="false">
      <c r="A37" s="0" t="n">
        <v>2050</v>
      </c>
      <c r="B37" s="0" t="n">
        <v>24</v>
      </c>
      <c r="C37" s="0" t="n">
        <f aca="false">IF(B37&lt;x_H,(1+x_dk)^(-B37),0)</f>
        <v>0</v>
      </c>
      <c r="D37" s="0" t="n">
        <f aca="false">IF(B37&lt;x_H,(1+x_de)^(-B37),0)</f>
        <v>0</v>
      </c>
      <c r="E37" s="0" t="n">
        <f aca="false">(L_I1!AO27-L_S1!AO27)*C37</f>
        <v>-0</v>
      </c>
      <c r="F37" s="0" t="n">
        <f aca="false">(L_I1!AP27-L_S1!AP27)*C37</f>
        <v>-0</v>
      </c>
      <c r="G37" s="0" t="n">
        <f aca="false">(L_I1!AQ27-L_S1!AQ27)*C37</f>
        <v>-0</v>
      </c>
      <c r="H37" s="0" t="n">
        <f aca="false">(L_I1!AS27-L_S1!AS27)*C37</f>
        <v>0</v>
      </c>
      <c r="I37" s="0" t="n">
        <f aca="false">I36+E37</f>
        <v>528309206.973209</v>
      </c>
      <c r="J37" s="0" t="n">
        <f aca="false">J36+F37</f>
        <v>494421994.710771</v>
      </c>
      <c r="K37" s="0" t="n">
        <f aca="false">K36+G37</f>
        <v>451997312.338285</v>
      </c>
      <c r="L37" s="0" t="n">
        <f aca="false">MAX(L36,J37)</f>
        <v>581554712.56087</v>
      </c>
      <c r="M37" s="0" t="n">
        <f aca="false">IF(AND(B37&lt;x_H,J37&lt;=0,L36&gt;0),1,0)</f>
        <v>0</v>
      </c>
      <c r="N37" s="0" t="n">
        <f aca="false">IF(AND(B37&lt;x_H,I37&lt;=0,O36&gt;0),1,0)</f>
        <v>0</v>
      </c>
      <c r="O37" s="0" t="n">
        <f aca="false">MAX(O36,I37)</f>
        <v>578037138.716968</v>
      </c>
      <c r="P37" s="0" t="n">
        <f aca="false">(L_I1!V27-L_S1!V27)*D37</f>
        <v>0</v>
      </c>
    </row>
    <row r="38" customFormat="false" ht="15" hidden="false" customHeight="false" outlineLevel="0" collapsed="false">
      <c r="A38" s="0" t="n">
        <v>2051</v>
      </c>
      <c r="B38" s="0" t="n">
        <v>25</v>
      </c>
      <c r="C38" s="0" t="n">
        <f aca="false">IF(B38&lt;x_H,(1+x_dk)^(-B38),0)</f>
        <v>0</v>
      </c>
      <c r="D38" s="0" t="n">
        <f aca="false">IF(B38&lt;x_H,(1+x_de)^(-B38),0)</f>
        <v>0</v>
      </c>
      <c r="E38" s="0" t="n">
        <f aca="false">(L_I1!AO28-L_S1!AO28)*C38</f>
        <v>-0</v>
      </c>
      <c r="F38" s="0" t="n">
        <f aca="false">(L_I1!AP28-L_S1!AP28)*C38</f>
        <v>-0</v>
      </c>
      <c r="G38" s="0" t="n">
        <f aca="false">(L_I1!AQ28-L_S1!AQ28)*C38</f>
        <v>-0</v>
      </c>
      <c r="H38" s="0" t="n">
        <f aca="false">(L_I1!AS28-L_S1!AS28)*C38</f>
        <v>0</v>
      </c>
      <c r="I38" s="0" t="n">
        <f aca="false">I37+E38</f>
        <v>528309206.973209</v>
      </c>
      <c r="J38" s="0" t="n">
        <f aca="false">J37+F38</f>
        <v>494421994.710771</v>
      </c>
      <c r="K38" s="0" t="n">
        <f aca="false">K37+G38</f>
        <v>451997312.338285</v>
      </c>
      <c r="L38" s="0" t="n">
        <f aca="false">MAX(L37,J38)</f>
        <v>581554712.56087</v>
      </c>
      <c r="M38" s="0" t="n">
        <f aca="false">IF(AND(B38&lt;x_H,J38&lt;=0,L37&gt;0),1,0)</f>
        <v>0</v>
      </c>
      <c r="N38" s="0" t="n">
        <f aca="false">IF(AND(B38&lt;x_H,I38&lt;=0,O37&gt;0),1,0)</f>
        <v>0</v>
      </c>
      <c r="O38" s="0" t="n">
        <f aca="false">MAX(O37,I38)</f>
        <v>578037138.716968</v>
      </c>
      <c r="P38" s="0" t="n">
        <f aca="false">(L_I1!V28-L_S1!V28)*D38</f>
        <v>0</v>
      </c>
    </row>
    <row r="39" customFormat="false" ht="15" hidden="false" customHeight="false" outlineLevel="0" collapsed="false">
      <c r="A39" s="0" t="n">
        <v>2052</v>
      </c>
      <c r="B39" s="0" t="n">
        <v>26</v>
      </c>
      <c r="C39" s="0" t="n">
        <f aca="false">IF(B39&lt;x_H,(1+x_dk)^(-B39),0)</f>
        <v>0</v>
      </c>
      <c r="D39" s="0" t="n">
        <f aca="false">IF(B39&lt;x_H,(1+x_de)^(-B39),0)</f>
        <v>0</v>
      </c>
      <c r="E39" s="0" t="n">
        <f aca="false">(L_I1!AO29-L_S1!AO29)*C39</f>
        <v>-0</v>
      </c>
      <c r="F39" s="0" t="n">
        <f aca="false">(L_I1!AP29-L_S1!AP29)*C39</f>
        <v>-0</v>
      </c>
      <c r="G39" s="0" t="n">
        <f aca="false">(L_I1!AQ29-L_S1!AQ29)*C39</f>
        <v>-0</v>
      </c>
      <c r="H39" s="0" t="n">
        <f aca="false">(L_I1!AS29-L_S1!AS29)*C39</f>
        <v>0</v>
      </c>
      <c r="I39" s="0" t="n">
        <f aca="false">I38+E39</f>
        <v>528309206.973209</v>
      </c>
      <c r="J39" s="0" t="n">
        <f aca="false">J38+F39</f>
        <v>494421994.710771</v>
      </c>
      <c r="K39" s="0" t="n">
        <f aca="false">K38+G39</f>
        <v>451997312.338285</v>
      </c>
      <c r="L39" s="0" t="n">
        <f aca="false">MAX(L38,J39)</f>
        <v>581554712.56087</v>
      </c>
      <c r="M39" s="0" t="n">
        <f aca="false">IF(AND(B39&lt;x_H,J39&lt;=0,L38&gt;0),1,0)</f>
        <v>0</v>
      </c>
      <c r="N39" s="0" t="n">
        <f aca="false">IF(AND(B39&lt;x_H,I39&lt;=0,O38&gt;0),1,0)</f>
        <v>0</v>
      </c>
      <c r="O39" s="0" t="n">
        <f aca="false">MAX(O38,I39)</f>
        <v>578037138.716968</v>
      </c>
      <c r="P39" s="0" t="n">
        <f aca="false">(L_I1!V29-L_S1!V29)*D39</f>
        <v>0</v>
      </c>
    </row>
    <row r="40" customFormat="false" ht="15" hidden="false" customHeight="false" outlineLevel="0" collapsed="false">
      <c r="A40" s="0" t="n">
        <v>2053</v>
      </c>
      <c r="B40" s="0" t="n">
        <v>27</v>
      </c>
      <c r="C40" s="0" t="n">
        <f aca="false">IF(B40&lt;x_H,(1+x_dk)^(-B40),0)</f>
        <v>0</v>
      </c>
      <c r="D40" s="0" t="n">
        <f aca="false">IF(B40&lt;x_H,(1+x_de)^(-B40),0)</f>
        <v>0</v>
      </c>
      <c r="E40" s="0" t="n">
        <f aca="false">(L_I1!AO30-L_S1!AO30)*C40</f>
        <v>-0</v>
      </c>
      <c r="F40" s="0" t="n">
        <f aca="false">(L_I1!AP30-L_S1!AP30)*C40</f>
        <v>-0</v>
      </c>
      <c r="G40" s="0" t="n">
        <f aca="false">(L_I1!AQ30-L_S1!AQ30)*C40</f>
        <v>-0</v>
      </c>
      <c r="H40" s="0" t="n">
        <f aca="false">(L_I1!AS30-L_S1!AS30)*C40</f>
        <v>0</v>
      </c>
      <c r="I40" s="0" t="n">
        <f aca="false">I39+E40</f>
        <v>528309206.973209</v>
      </c>
      <c r="J40" s="0" t="n">
        <f aca="false">J39+F40</f>
        <v>494421994.710771</v>
      </c>
      <c r="K40" s="0" t="n">
        <f aca="false">K39+G40</f>
        <v>451997312.338285</v>
      </c>
      <c r="L40" s="0" t="n">
        <f aca="false">MAX(L39,J40)</f>
        <v>581554712.56087</v>
      </c>
      <c r="M40" s="0" t="n">
        <f aca="false">IF(AND(B40&lt;x_H,J40&lt;=0,L39&gt;0),1,0)</f>
        <v>0</v>
      </c>
      <c r="N40" s="0" t="n">
        <f aca="false">IF(AND(B40&lt;x_H,I40&lt;=0,O39&gt;0),1,0)</f>
        <v>0</v>
      </c>
      <c r="O40" s="0" t="n">
        <f aca="false">MAX(O39,I40)</f>
        <v>578037138.716968</v>
      </c>
      <c r="P40" s="0" t="n">
        <f aca="false">(L_I1!V30-L_S1!V30)*D40</f>
        <v>0</v>
      </c>
    </row>
    <row r="41" customFormat="false" ht="15" hidden="false" customHeight="false" outlineLevel="0" collapsed="false">
      <c r="A41" s="0" t="n">
        <v>2054</v>
      </c>
      <c r="B41" s="0" t="n">
        <v>28</v>
      </c>
      <c r="C41" s="0" t="n">
        <f aca="false">IF(B41&lt;x_H,(1+x_dk)^(-B41),0)</f>
        <v>0</v>
      </c>
      <c r="D41" s="0" t="n">
        <f aca="false">IF(B41&lt;x_H,(1+x_de)^(-B41),0)</f>
        <v>0</v>
      </c>
      <c r="E41" s="0" t="n">
        <f aca="false">(L_I1!AO31-L_S1!AO31)*C41</f>
        <v>-0</v>
      </c>
      <c r="F41" s="0" t="n">
        <f aca="false">(L_I1!AP31-L_S1!AP31)*C41</f>
        <v>-0</v>
      </c>
      <c r="G41" s="0" t="n">
        <f aca="false">(L_I1!AQ31-L_S1!AQ31)*C41</f>
        <v>-0</v>
      </c>
      <c r="H41" s="0" t="n">
        <f aca="false">(L_I1!AS31-L_S1!AS31)*C41</f>
        <v>0</v>
      </c>
      <c r="I41" s="0" t="n">
        <f aca="false">I40+E41</f>
        <v>528309206.973209</v>
      </c>
      <c r="J41" s="0" t="n">
        <f aca="false">J40+F41</f>
        <v>494421994.710771</v>
      </c>
      <c r="K41" s="0" t="n">
        <f aca="false">K40+G41</f>
        <v>451997312.338285</v>
      </c>
      <c r="L41" s="0" t="n">
        <f aca="false">MAX(L40,J41)</f>
        <v>581554712.56087</v>
      </c>
      <c r="M41" s="0" t="n">
        <f aca="false">IF(AND(B41&lt;x_H,J41&lt;=0,L40&gt;0),1,0)</f>
        <v>0</v>
      </c>
      <c r="N41" s="0" t="n">
        <f aca="false">IF(AND(B41&lt;x_H,I41&lt;=0,O40&gt;0),1,0)</f>
        <v>0</v>
      </c>
      <c r="O41" s="0" t="n">
        <f aca="false">MAX(O40,I41)</f>
        <v>578037138.716968</v>
      </c>
      <c r="P41" s="0" t="n">
        <f aca="false">(L_I1!V31-L_S1!V31)*D41</f>
        <v>0</v>
      </c>
    </row>
    <row r="42" customFormat="false" ht="15" hidden="false" customHeight="false" outlineLevel="0" collapsed="false">
      <c r="A42" s="0" t="n">
        <v>2055</v>
      </c>
      <c r="B42" s="0" t="n">
        <v>29</v>
      </c>
      <c r="C42" s="0" t="n">
        <f aca="false">IF(B42&lt;x_H,(1+x_dk)^(-B42),0)</f>
        <v>0</v>
      </c>
      <c r="D42" s="0" t="n">
        <f aca="false">IF(B42&lt;x_H,(1+x_de)^(-B42),0)</f>
        <v>0</v>
      </c>
      <c r="E42" s="0" t="n">
        <f aca="false">(L_I1!AO32-L_S1!AO32)*C42</f>
        <v>-0</v>
      </c>
      <c r="F42" s="0" t="n">
        <f aca="false">(L_I1!AP32-L_S1!AP32)*C42</f>
        <v>-0</v>
      </c>
      <c r="G42" s="0" t="n">
        <f aca="false">(L_I1!AQ32-L_S1!AQ32)*C42</f>
        <v>-0</v>
      </c>
      <c r="H42" s="0" t="n">
        <f aca="false">(L_I1!AS32-L_S1!AS32)*C42</f>
        <v>0</v>
      </c>
      <c r="I42" s="0" t="n">
        <f aca="false">I41+E42</f>
        <v>528309206.973209</v>
      </c>
      <c r="J42" s="0" t="n">
        <f aca="false">J41+F42</f>
        <v>494421994.710771</v>
      </c>
      <c r="K42" s="0" t="n">
        <f aca="false">K41+G42</f>
        <v>451997312.338285</v>
      </c>
      <c r="L42" s="0" t="n">
        <f aca="false">MAX(L41,J42)</f>
        <v>581554712.56087</v>
      </c>
      <c r="M42" s="0" t="n">
        <f aca="false">IF(AND(B42&lt;x_H,J42&lt;=0,L41&gt;0),1,0)</f>
        <v>0</v>
      </c>
      <c r="N42" s="0" t="n">
        <f aca="false">IF(AND(B42&lt;x_H,I42&lt;=0,O41&gt;0),1,0)</f>
        <v>0</v>
      </c>
      <c r="O42" s="0" t="n">
        <f aca="false">MAX(O41,I42)</f>
        <v>578037138.716968</v>
      </c>
      <c r="P42" s="0" t="n">
        <f aca="false">(L_I1!V32-L_S1!V32)*D42</f>
        <v>0</v>
      </c>
    </row>
    <row r="43" customFormat="false" ht="15" hidden="false" customHeight="false" outlineLevel="0" collapsed="false">
      <c r="A43" s="0" t="n">
        <v>2056</v>
      </c>
      <c r="B43" s="0" t="n">
        <v>30</v>
      </c>
      <c r="C43" s="0" t="n">
        <f aca="false">IF(B43&lt;x_H,(1+x_dk)^(-B43),0)</f>
        <v>0</v>
      </c>
      <c r="D43" s="0" t="n">
        <f aca="false">IF(B43&lt;x_H,(1+x_de)^(-B43),0)</f>
        <v>0</v>
      </c>
      <c r="E43" s="0" t="n">
        <f aca="false">(L_I1!AO33-L_S1!AO33)*C43</f>
        <v>-0</v>
      </c>
      <c r="F43" s="0" t="n">
        <f aca="false">(L_I1!AP33-L_S1!AP33)*C43</f>
        <v>-0</v>
      </c>
      <c r="G43" s="0" t="n">
        <f aca="false">(L_I1!AQ33-L_S1!AQ33)*C43</f>
        <v>-0</v>
      </c>
      <c r="H43" s="0" t="n">
        <f aca="false">(L_I1!AS33-L_S1!AS33)*C43</f>
        <v>0</v>
      </c>
      <c r="I43" s="0" t="n">
        <f aca="false">I42+E43</f>
        <v>528309206.973209</v>
      </c>
      <c r="J43" s="0" t="n">
        <f aca="false">J42+F43</f>
        <v>494421994.710771</v>
      </c>
      <c r="K43" s="0" t="n">
        <f aca="false">K42+G43</f>
        <v>451997312.338285</v>
      </c>
      <c r="L43" s="0" t="n">
        <f aca="false">MAX(L42,J43)</f>
        <v>581554712.56087</v>
      </c>
      <c r="M43" s="0" t="n">
        <f aca="false">IF(AND(B43&lt;x_H,J43&lt;=0,L42&gt;0),1,0)</f>
        <v>0</v>
      </c>
      <c r="N43" s="0" t="n">
        <f aca="false">IF(AND(B43&lt;x_H,I43&lt;=0,O42&gt;0),1,0)</f>
        <v>0</v>
      </c>
      <c r="O43" s="0" t="n">
        <f aca="false">MAX(O42,I43)</f>
        <v>578037138.716968</v>
      </c>
      <c r="P43" s="0" t="n">
        <f aca="false">(L_I1!V33-L_S1!V33)*D43</f>
        <v>0</v>
      </c>
    </row>
    <row r="44" customFormat="false" ht="15" hidden="false" customHeight="false" outlineLevel="0" collapsed="false">
      <c r="A44" s="0" t="n">
        <v>2057</v>
      </c>
      <c r="B44" s="0" t="n">
        <v>31</v>
      </c>
      <c r="C44" s="0" t="n">
        <f aca="false">IF(B44&lt;x_H,(1+x_dk)^(-B44),0)</f>
        <v>0</v>
      </c>
      <c r="D44" s="0" t="n">
        <f aca="false">IF(B44&lt;x_H,(1+x_de)^(-B44),0)</f>
        <v>0</v>
      </c>
      <c r="E44" s="0" t="n">
        <f aca="false">(L_I1!AO34-L_S1!AO34)*C44</f>
        <v>-0</v>
      </c>
      <c r="F44" s="0" t="n">
        <f aca="false">(L_I1!AP34-L_S1!AP34)*C44</f>
        <v>-0</v>
      </c>
      <c r="G44" s="0" t="n">
        <f aca="false">(L_I1!AQ34-L_S1!AQ34)*C44</f>
        <v>-0</v>
      </c>
      <c r="H44" s="0" t="n">
        <f aca="false">(L_I1!AS34-L_S1!AS34)*C44</f>
        <v>0</v>
      </c>
      <c r="I44" s="0" t="n">
        <f aca="false">I43+E44</f>
        <v>528309206.973209</v>
      </c>
      <c r="J44" s="0" t="n">
        <f aca="false">J43+F44</f>
        <v>494421994.710771</v>
      </c>
      <c r="K44" s="0" t="n">
        <f aca="false">K43+G44</f>
        <v>451997312.338285</v>
      </c>
      <c r="L44" s="0" t="n">
        <f aca="false">MAX(L43,J44)</f>
        <v>581554712.56087</v>
      </c>
      <c r="M44" s="0" t="n">
        <f aca="false">IF(AND(B44&lt;x_H,J44&lt;=0,L43&gt;0),1,0)</f>
        <v>0</v>
      </c>
      <c r="N44" s="0" t="n">
        <f aca="false">IF(AND(B44&lt;x_H,I44&lt;=0,O43&gt;0),1,0)</f>
        <v>0</v>
      </c>
      <c r="O44" s="0" t="n">
        <f aca="false">MAX(O43,I44)</f>
        <v>578037138.716968</v>
      </c>
      <c r="P44" s="0" t="n">
        <f aca="false">(L_I1!V34-L_S1!V34)*D44</f>
        <v>0</v>
      </c>
    </row>
    <row r="45" customFormat="false" ht="15" hidden="false" customHeight="false" outlineLevel="0" collapsed="false">
      <c r="A45" s="0" t="n">
        <v>2058</v>
      </c>
      <c r="B45" s="0" t="n">
        <v>32</v>
      </c>
      <c r="C45" s="0" t="n">
        <f aca="false">IF(B45&lt;x_H,(1+x_dk)^(-B45),0)</f>
        <v>0</v>
      </c>
      <c r="D45" s="0" t="n">
        <f aca="false">IF(B45&lt;x_H,(1+x_de)^(-B45),0)</f>
        <v>0</v>
      </c>
      <c r="E45" s="0" t="n">
        <f aca="false">(L_I1!AO35-L_S1!AO35)*C45</f>
        <v>-0</v>
      </c>
      <c r="F45" s="0" t="n">
        <f aca="false">(L_I1!AP35-L_S1!AP35)*C45</f>
        <v>-0</v>
      </c>
      <c r="G45" s="0" t="n">
        <f aca="false">(L_I1!AQ35-L_S1!AQ35)*C45</f>
        <v>-0</v>
      </c>
      <c r="H45" s="0" t="n">
        <f aca="false">(L_I1!AS35-L_S1!AS35)*C45</f>
        <v>0</v>
      </c>
      <c r="I45" s="0" t="n">
        <f aca="false">I44+E45</f>
        <v>528309206.973209</v>
      </c>
      <c r="J45" s="0" t="n">
        <f aca="false">J44+F45</f>
        <v>494421994.710771</v>
      </c>
      <c r="K45" s="0" t="n">
        <f aca="false">K44+G45</f>
        <v>451997312.338285</v>
      </c>
      <c r="L45" s="0" t="n">
        <f aca="false">MAX(L44,J45)</f>
        <v>581554712.56087</v>
      </c>
      <c r="M45" s="0" t="n">
        <f aca="false">IF(AND(B45&lt;x_H,J45&lt;=0,L44&gt;0),1,0)</f>
        <v>0</v>
      </c>
      <c r="N45" s="0" t="n">
        <f aca="false">IF(AND(B45&lt;x_H,I45&lt;=0,O44&gt;0),1,0)</f>
        <v>0</v>
      </c>
      <c r="O45" s="0" t="n">
        <f aca="false">MAX(O44,I45)</f>
        <v>578037138.716968</v>
      </c>
      <c r="P45" s="0" t="n">
        <f aca="false">(L_I1!V35-L_S1!V35)*D45</f>
        <v>0</v>
      </c>
    </row>
    <row r="46" customFormat="false" ht="15" hidden="false" customHeight="false" outlineLevel="0" collapsed="false">
      <c r="A46" s="0" t="n">
        <v>2059</v>
      </c>
      <c r="B46" s="0" t="n">
        <v>33</v>
      </c>
      <c r="C46" s="0" t="n">
        <f aca="false">IF(B46&lt;x_H,(1+x_dk)^(-B46),0)</f>
        <v>0</v>
      </c>
      <c r="D46" s="0" t="n">
        <f aca="false">IF(B46&lt;x_H,(1+x_de)^(-B46),0)</f>
        <v>0</v>
      </c>
      <c r="E46" s="0" t="n">
        <f aca="false">(L_I1!AO36-L_S1!AO36)*C46</f>
        <v>-0</v>
      </c>
      <c r="F46" s="0" t="n">
        <f aca="false">(L_I1!AP36-L_S1!AP36)*C46</f>
        <v>-0</v>
      </c>
      <c r="G46" s="0" t="n">
        <f aca="false">(L_I1!AQ36-L_S1!AQ36)*C46</f>
        <v>-0</v>
      </c>
      <c r="H46" s="0" t="n">
        <f aca="false">(L_I1!AS36-L_S1!AS36)*C46</f>
        <v>0</v>
      </c>
      <c r="I46" s="0" t="n">
        <f aca="false">I45+E46</f>
        <v>528309206.973209</v>
      </c>
      <c r="J46" s="0" t="n">
        <f aca="false">J45+F46</f>
        <v>494421994.710771</v>
      </c>
      <c r="K46" s="0" t="n">
        <f aca="false">K45+G46</f>
        <v>451997312.338285</v>
      </c>
      <c r="L46" s="0" t="n">
        <f aca="false">MAX(L45,J46)</f>
        <v>581554712.56087</v>
      </c>
      <c r="M46" s="0" t="n">
        <f aca="false">IF(AND(B46&lt;x_H,J46&lt;=0,L45&gt;0),1,0)</f>
        <v>0</v>
      </c>
      <c r="N46" s="0" t="n">
        <f aca="false">IF(AND(B46&lt;x_H,I46&lt;=0,O45&gt;0),1,0)</f>
        <v>0</v>
      </c>
      <c r="O46" s="0" t="n">
        <f aca="false">MAX(O45,I46)</f>
        <v>578037138.716968</v>
      </c>
      <c r="P46" s="0" t="n">
        <f aca="false">(L_I1!V36-L_S1!V36)*D46</f>
        <v>0</v>
      </c>
    </row>
    <row r="47" customFormat="false" ht="15" hidden="false" customHeight="false" outlineLevel="0" collapsed="false">
      <c r="A47" s="0" t="n">
        <v>2060</v>
      </c>
      <c r="B47" s="0" t="n">
        <v>34</v>
      </c>
      <c r="C47" s="0" t="n">
        <f aca="false">IF(B47&lt;x_H,(1+x_dk)^(-B47),0)</f>
        <v>0</v>
      </c>
      <c r="D47" s="0" t="n">
        <f aca="false">IF(B47&lt;x_H,(1+x_de)^(-B47),0)</f>
        <v>0</v>
      </c>
      <c r="E47" s="0" t="n">
        <f aca="false">(L_I1!AO37-L_S1!AO37)*C47</f>
        <v>-0</v>
      </c>
      <c r="F47" s="0" t="n">
        <f aca="false">(L_I1!AP37-L_S1!AP37)*C47</f>
        <v>-0</v>
      </c>
      <c r="G47" s="0" t="n">
        <f aca="false">(L_I1!AQ37-L_S1!AQ37)*C47</f>
        <v>-0</v>
      </c>
      <c r="H47" s="0" t="n">
        <f aca="false">(L_I1!AS37-L_S1!AS37)*C47</f>
        <v>0</v>
      </c>
      <c r="I47" s="0" t="n">
        <f aca="false">I46+E47</f>
        <v>528309206.973209</v>
      </c>
      <c r="J47" s="0" t="n">
        <f aca="false">J46+F47</f>
        <v>494421994.710771</v>
      </c>
      <c r="K47" s="0" t="n">
        <f aca="false">K46+G47</f>
        <v>451997312.338285</v>
      </c>
      <c r="L47" s="0" t="n">
        <f aca="false">MAX(L46,J47)</f>
        <v>581554712.56087</v>
      </c>
      <c r="M47" s="0" t="n">
        <f aca="false">IF(AND(B47&lt;x_H,J47&lt;=0,L46&gt;0),1,0)</f>
        <v>0</v>
      </c>
      <c r="N47" s="0" t="n">
        <f aca="false">IF(AND(B47&lt;x_H,I47&lt;=0,O46&gt;0),1,0)</f>
        <v>0</v>
      </c>
      <c r="O47" s="0" t="n">
        <f aca="false">MAX(O46,I47)</f>
        <v>578037138.716968</v>
      </c>
      <c r="P47" s="0" t="n">
        <f aca="false">(L_I1!V37-L_S1!V37)*D47</f>
        <v>0</v>
      </c>
    </row>
    <row r="48" customFormat="false" ht="15" hidden="false" customHeight="false" outlineLevel="0" collapsed="false">
      <c r="A48" s="0" t="n">
        <v>2061</v>
      </c>
      <c r="B48" s="0" t="n">
        <v>35</v>
      </c>
      <c r="C48" s="0" t="n">
        <f aca="false">IF(B48&lt;x_H,(1+x_dk)^(-B48),0)</f>
        <v>0</v>
      </c>
      <c r="D48" s="0" t="n">
        <f aca="false">IF(B48&lt;x_H,(1+x_de)^(-B48),0)</f>
        <v>0</v>
      </c>
      <c r="E48" s="0" t="n">
        <f aca="false">(L_I1!AO38-L_S1!AO38)*C48</f>
        <v>-0</v>
      </c>
      <c r="F48" s="0" t="n">
        <f aca="false">(L_I1!AP38-L_S1!AP38)*C48</f>
        <v>-0</v>
      </c>
      <c r="G48" s="0" t="n">
        <f aca="false">(L_I1!AQ38-L_S1!AQ38)*C48</f>
        <v>-0</v>
      </c>
      <c r="H48" s="0" t="n">
        <f aca="false">(L_I1!AS38-L_S1!AS38)*C48</f>
        <v>0</v>
      </c>
      <c r="I48" s="0" t="n">
        <f aca="false">I47+E48</f>
        <v>528309206.973209</v>
      </c>
      <c r="J48" s="0" t="n">
        <f aca="false">J47+F48</f>
        <v>494421994.710771</v>
      </c>
      <c r="K48" s="0" t="n">
        <f aca="false">K47+G48</f>
        <v>451997312.338285</v>
      </c>
      <c r="L48" s="0" t="n">
        <f aca="false">MAX(L47,J48)</f>
        <v>581554712.56087</v>
      </c>
      <c r="M48" s="0" t="n">
        <f aca="false">IF(AND(B48&lt;x_H,J48&lt;=0,L47&gt;0),1,0)</f>
        <v>0</v>
      </c>
      <c r="N48" s="0" t="n">
        <f aca="false">IF(AND(B48&lt;x_H,I48&lt;=0,O47&gt;0),1,0)</f>
        <v>0</v>
      </c>
      <c r="O48" s="0" t="n">
        <f aca="false">MAX(O47,I48)</f>
        <v>578037138.716968</v>
      </c>
      <c r="P48" s="0" t="n">
        <f aca="false">(L_I1!V38-L_S1!V38)*D48</f>
        <v>0</v>
      </c>
    </row>
    <row r="49" customFormat="false" ht="15" hidden="false" customHeight="false" outlineLevel="0" collapsed="false">
      <c r="A49" s="0" t="n">
        <v>2062</v>
      </c>
      <c r="B49" s="0" t="n">
        <v>36</v>
      </c>
      <c r="C49" s="0" t="n">
        <f aca="false">IF(B49&lt;x_H,(1+x_dk)^(-B49),0)</f>
        <v>0</v>
      </c>
      <c r="D49" s="0" t="n">
        <f aca="false">IF(B49&lt;x_H,(1+x_de)^(-B49),0)</f>
        <v>0</v>
      </c>
      <c r="E49" s="0" t="n">
        <f aca="false">(L_I1!AO39-L_S1!AO39)*C49</f>
        <v>-0</v>
      </c>
      <c r="F49" s="0" t="n">
        <f aca="false">(L_I1!AP39-L_S1!AP39)*C49</f>
        <v>-0</v>
      </c>
      <c r="G49" s="0" t="n">
        <f aca="false">(L_I1!AQ39-L_S1!AQ39)*C49</f>
        <v>-0</v>
      </c>
      <c r="H49" s="0" t="n">
        <f aca="false">(L_I1!AS39-L_S1!AS39)*C49</f>
        <v>0</v>
      </c>
      <c r="I49" s="0" t="n">
        <f aca="false">I48+E49</f>
        <v>528309206.973209</v>
      </c>
      <c r="J49" s="0" t="n">
        <f aca="false">J48+F49</f>
        <v>494421994.710771</v>
      </c>
      <c r="K49" s="0" t="n">
        <f aca="false">K48+G49</f>
        <v>451997312.338285</v>
      </c>
      <c r="L49" s="0" t="n">
        <f aca="false">MAX(L48,J49)</f>
        <v>581554712.56087</v>
      </c>
      <c r="M49" s="0" t="n">
        <f aca="false">IF(AND(B49&lt;x_H,J49&lt;=0,L48&gt;0),1,0)</f>
        <v>0</v>
      </c>
      <c r="N49" s="0" t="n">
        <f aca="false">IF(AND(B49&lt;x_H,I49&lt;=0,O48&gt;0),1,0)</f>
        <v>0</v>
      </c>
      <c r="O49" s="0" t="n">
        <f aca="false">MAX(O48,I49)</f>
        <v>578037138.716968</v>
      </c>
      <c r="P49" s="0" t="n">
        <f aca="false">(L_I1!V39-L_S1!V39)*D49</f>
        <v>0</v>
      </c>
    </row>
    <row r="50" customFormat="false" ht="15" hidden="false" customHeight="false" outlineLevel="0" collapsed="false">
      <c r="A50" s="0" t="n">
        <v>2063</v>
      </c>
      <c r="B50" s="0" t="n">
        <v>37</v>
      </c>
      <c r="C50" s="0" t="n">
        <f aca="false">IF(B50&lt;x_H,(1+x_dk)^(-B50),0)</f>
        <v>0</v>
      </c>
      <c r="D50" s="0" t="n">
        <f aca="false">IF(B50&lt;x_H,(1+x_de)^(-B50),0)</f>
        <v>0</v>
      </c>
      <c r="E50" s="0" t="n">
        <f aca="false">(L_I1!AO40-L_S1!AO40)*C50</f>
        <v>-0</v>
      </c>
      <c r="F50" s="0" t="n">
        <f aca="false">(L_I1!AP40-L_S1!AP40)*C50</f>
        <v>-0</v>
      </c>
      <c r="G50" s="0" t="n">
        <f aca="false">(L_I1!AQ40-L_S1!AQ40)*C50</f>
        <v>-0</v>
      </c>
      <c r="H50" s="0" t="n">
        <f aca="false">(L_I1!AS40-L_S1!AS40)*C50</f>
        <v>0</v>
      </c>
      <c r="I50" s="0" t="n">
        <f aca="false">I49+E50</f>
        <v>528309206.973209</v>
      </c>
      <c r="J50" s="0" t="n">
        <f aca="false">J49+F50</f>
        <v>494421994.710771</v>
      </c>
      <c r="K50" s="0" t="n">
        <f aca="false">K49+G50</f>
        <v>451997312.338285</v>
      </c>
      <c r="L50" s="0" t="n">
        <f aca="false">MAX(L49,J50)</f>
        <v>581554712.56087</v>
      </c>
      <c r="M50" s="0" t="n">
        <f aca="false">IF(AND(B50&lt;x_H,J50&lt;=0,L49&gt;0),1,0)</f>
        <v>0</v>
      </c>
      <c r="N50" s="0" t="n">
        <f aca="false">IF(AND(B50&lt;x_H,I50&lt;=0,O49&gt;0),1,0)</f>
        <v>0</v>
      </c>
      <c r="O50" s="0" t="n">
        <f aca="false">MAX(O49,I50)</f>
        <v>578037138.716968</v>
      </c>
      <c r="P50" s="0" t="n">
        <f aca="false">(L_I1!V40-L_S1!V40)*D50</f>
        <v>0</v>
      </c>
    </row>
    <row r="51" customFormat="false" ht="15" hidden="false" customHeight="false" outlineLevel="0" collapsed="false">
      <c r="A51" s="0" t="n">
        <v>2064</v>
      </c>
      <c r="B51" s="0" t="n">
        <v>38</v>
      </c>
      <c r="C51" s="0" t="n">
        <f aca="false">IF(B51&lt;x_H,(1+x_dk)^(-B51),0)</f>
        <v>0</v>
      </c>
      <c r="D51" s="0" t="n">
        <f aca="false">IF(B51&lt;x_H,(1+x_de)^(-B51),0)</f>
        <v>0</v>
      </c>
      <c r="E51" s="0" t="n">
        <f aca="false">(L_I1!AO41-L_S1!AO41)*C51</f>
        <v>-0</v>
      </c>
      <c r="F51" s="0" t="n">
        <f aca="false">(L_I1!AP41-L_S1!AP41)*C51</f>
        <v>-0</v>
      </c>
      <c r="G51" s="0" t="n">
        <f aca="false">(L_I1!AQ41-L_S1!AQ41)*C51</f>
        <v>-0</v>
      </c>
      <c r="H51" s="0" t="n">
        <f aca="false">(L_I1!AS41-L_S1!AS41)*C51</f>
        <v>0</v>
      </c>
      <c r="I51" s="0" t="n">
        <f aca="false">I50+E51</f>
        <v>528309206.973209</v>
      </c>
      <c r="J51" s="0" t="n">
        <f aca="false">J50+F51</f>
        <v>494421994.710771</v>
      </c>
      <c r="K51" s="0" t="n">
        <f aca="false">K50+G51</f>
        <v>451997312.338285</v>
      </c>
      <c r="L51" s="0" t="n">
        <f aca="false">MAX(L50,J51)</f>
        <v>581554712.56087</v>
      </c>
      <c r="M51" s="0" t="n">
        <f aca="false">IF(AND(B51&lt;x_H,J51&lt;=0,L50&gt;0),1,0)</f>
        <v>0</v>
      </c>
      <c r="N51" s="0" t="n">
        <f aca="false">IF(AND(B51&lt;x_H,I51&lt;=0,O50&gt;0),1,0)</f>
        <v>0</v>
      </c>
      <c r="O51" s="0" t="n">
        <f aca="false">MAX(O50,I51)</f>
        <v>578037138.716968</v>
      </c>
      <c r="P51" s="0" t="n">
        <f aca="false">(L_I1!V41-L_S1!V41)*D51</f>
        <v>0</v>
      </c>
    </row>
    <row r="52" customFormat="false" ht="15" hidden="false" customHeight="false" outlineLevel="0" collapsed="false">
      <c r="A52" s="0" t="n">
        <v>2065</v>
      </c>
      <c r="B52" s="0" t="n">
        <v>39</v>
      </c>
      <c r="C52" s="0" t="n">
        <f aca="false">IF(B52&lt;x_H,(1+x_dk)^(-B52),0)</f>
        <v>0</v>
      </c>
      <c r="D52" s="0" t="n">
        <f aca="false">IF(B52&lt;x_H,(1+x_de)^(-B52),0)</f>
        <v>0</v>
      </c>
      <c r="E52" s="0" t="n">
        <f aca="false">(L_I1!AO42-L_S1!AO42)*C52</f>
        <v>-0</v>
      </c>
      <c r="F52" s="0" t="n">
        <f aca="false">(L_I1!AP42-L_S1!AP42)*C52</f>
        <v>-0</v>
      </c>
      <c r="G52" s="0" t="n">
        <f aca="false">(L_I1!AQ42-L_S1!AQ42)*C52</f>
        <v>-0</v>
      </c>
      <c r="H52" s="0" t="n">
        <f aca="false">(L_I1!AS42-L_S1!AS42)*C52</f>
        <v>0</v>
      </c>
      <c r="I52" s="0" t="n">
        <f aca="false">I51+E52</f>
        <v>528309206.973209</v>
      </c>
      <c r="J52" s="0" t="n">
        <f aca="false">J51+F52</f>
        <v>494421994.710771</v>
      </c>
      <c r="K52" s="0" t="n">
        <f aca="false">K51+G52</f>
        <v>451997312.338285</v>
      </c>
      <c r="L52" s="0" t="n">
        <f aca="false">MAX(L51,J52)</f>
        <v>581554712.56087</v>
      </c>
      <c r="M52" s="0" t="n">
        <f aca="false">IF(AND(B52&lt;x_H,J52&lt;=0,L51&gt;0),1,0)</f>
        <v>0</v>
      </c>
      <c r="N52" s="0" t="n">
        <f aca="false">IF(AND(B52&lt;x_H,I52&lt;=0,O51&gt;0),1,0)</f>
        <v>0</v>
      </c>
      <c r="O52" s="0" t="n">
        <f aca="false">MAX(O51,I52)</f>
        <v>578037138.716968</v>
      </c>
      <c r="P52" s="0" t="n">
        <f aca="false">(L_I1!V42-L_S1!V42)*D52</f>
        <v>0</v>
      </c>
    </row>
    <row r="53" customFormat="false" ht="15" hidden="false" customHeight="false" outlineLevel="0" collapsed="false">
      <c r="A53" s="0" t="n">
        <v>2066</v>
      </c>
      <c r="B53" s="0" t="n">
        <v>40</v>
      </c>
      <c r="C53" s="0" t="n">
        <f aca="false">IF(B53&lt;x_H,(1+x_dk)^(-B53),0)</f>
        <v>0</v>
      </c>
      <c r="D53" s="0" t="n">
        <f aca="false">IF(B53&lt;x_H,(1+x_de)^(-B53),0)</f>
        <v>0</v>
      </c>
      <c r="E53" s="0" t="n">
        <f aca="false">(L_I1!AO43-L_S1!AO43)*C53</f>
        <v>-0</v>
      </c>
      <c r="F53" s="0" t="n">
        <f aca="false">(L_I1!AP43-L_S1!AP43)*C53</f>
        <v>-0</v>
      </c>
      <c r="G53" s="0" t="n">
        <f aca="false">(L_I1!AQ43-L_S1!AQ43)*C53</f>
        <v>-0</v>
      </c>
      <c r="H53" s="0" t="n">
        <f aca="false">(L_I1!AS43-L_S1!AS43)*C53</f>
        <v>0</v>
      </c>
      <c r="I53" s="0" t="n">
        <f aca="false">I52+E53</f>
        <v>528309206.973209</v>
      </c>
      <c r="J53" s="0" t="n">
        <f aca="false">J52+F53</f>
        <v>494421994.710771</v>
      </c>
      <c r="K53" s="0" t="n">
        <f aca="false">K52+G53</f>
        <v>451997312.338285</v>
      </c>
      <c r="L53" s="0" t="n">
        <f aca="false">MAX(L52,J53)</f>
        <v>581554712.56087</v>
      </c>
      <c r="M53" s="0" t="n">
        <f aca="false">IF(AND(B53&lt;x_H,J53&lt;=0,L52&gt;0),1,0)</f>
        <v>0</v>
      </c>
      <c r="N53" s="0" t="n">
        <f aca="false">IF(AND(B53&lt;x_H,I53&lt;=0,O52&gt;0),1,0)</f>
        <v>0</v>
      </c>
      <c r="O53" s="0" t="n">
        <f aca="false">MAX(O52,I53)</f>
        <v>578037138.716968</v>
      </c>
      <c r="P53" s="0" t="n">
        <f aca="false">(L_I1!V43-L_S1!V43)*D53</f>
        <v>0</v>
      </c>
    </row>
    <row r="54" customFormat="false" ht="15" hidden="false" customHeight="false" outlineLevel="0" collapsed="false">
      <c r="A54" s="0" t="n">
        <v>2067</v>
      </c>
      <c r="B54" s="0" t="n">
        <v>41</v>
      </c>
      <c r="C54" s="0" t="n">
        <f aca="false">IF(B54&lt;x_H,(1+x_dk)^(-B54),0)</f>
        <v>0</v>
      </c>
      <c r="D54" s="0" t="n">
        <f aca="false">IF(B54&lt;x_H,(1+x_de)^(-B54),0)</f>
        <v>0</v>
      </c>
      <c r="E54" s="0" t="n">
        <f aca="false">(L_I1!AO44-L_S1!AO44)*C54</f>
        <v>-0</v>
      </c>
      <c r="F54" s="0" t="n">
        <f aca="false">(L_I1!AP44-L_S1!AP44)*C54</f>
        <v>-0</v>
      </c>
      <c r="G54" s="0" t="n">
        <f aca="false">(L_I1!AQ44-L_S1!AQ44)*C54</f>
        <v>-0</v>
      </c>
      <c r="H54" s="0" t="n">
        <f aca="false">(L_I1!AS44-L_S1!AS44)*C54</f>
        <v>0</v>
      </c>
      <c r="I54" s="0" t="n">
        <f aca="false">I53+E54</f>
        <v>528309206.973209</v>
      </c>
      <c r="J54" s="0" t="n">
        <f aca="false">J53+F54</f>
        <v>494421994.710771</v>
      </c>
      <c r="K54" s="0" t="n">
        <f aca="false">K53+G54</f>
        <v>451997312.338285</v>
      </c>
      <c r="L54" s="0" t="n">
        <f aca="false">MAX(L53,J54)</f>
        <v>581554712.56087</v>
      </c>
      <c r="M54" s="0" t="n">
        <f aca="false">IF(AND(B54&lt;x_H,J54&lt;=0,L53&gt;0),1,0)</f>
        <v>0</v>
      </c>
      <c r="N54" s="0" t="n">
        <f aca="false">IF(AND(B54&lt;x_H,I54&lt;=0,O53&gt;0),1,0)</f>
        <v>0</v>
      </c>
      <c r="O54" s="0" t="n">
        <f aca="false">MAX(O53,I54)</f>
        <v>578037138.716968</v>
      </c>
      <c r="P54" s="0" t="n">
        <f aca="false">(L_I1!V44-L_S1!V44)*D54</f>
        <v>0</v>
      </c>
    </row>
    <row r="55" customFormat="false" ht="15" hidden="false" customHeight="false" outlineLevel="0" collapsed="false">
      <c r="A55" s="0" t="n">
        <v>2068</v>
      </c>
      <c r="B55" s="0" t="n">
        <v>42</v>
      </c>
      <c r="C55" s="0" t="n">
        <f aca="false">IF(B55&lt;x_H,(1+x_dk)^(-B55),0)</f>
        <v>0</v>
      </c>
      <c r="D55" s="0" t="n">
        <f aca="false">IF(B55&lt;x_H,(1+x_de)^(-B55),0)</f>
        <v>0</v>
      </c>
      <c r="E55" s="0" t="n">
        <f aca="false">(L_I1!AO45-L_S1!AO45)*C55</f>
        <v>-0</v>
      </c>
      <c r="F55" s="0" t="n">
        <f aca="false">(L_I1!AP45-L_S1!AP45)*C55</f>
        <v>-0</v>
      </c>
      <c r="G55" s="0" t="n">
        <f aca="false">(L_I1!AQ45-L_S1!AQ45)*C55</f>
        <v>-0</v>
      </c>
      <c r="H55" s="0" t="n">
        <f aca="false">(L_I1!AS45-L_S1!AS45)*C55</f>
        <v>0</v>
      </c>
      <c r="I55" s="0" t="n">
        <f aca="false">I54+E55</f>
        <v>528309206.973209</v>
      </c>
      <c r="J55" s="0" t="n">
        <f aca="false">J54+F55</f>
        <v>494421994.710771</v>
      </c>
      <c r="K55" s="0" t="n">
        <f aca="false">K54+G55</f>
        <v>451997312.338285</v>
      </c>
      <c r="L55" s="0" t="n">
        <f aca="false">MAX(L54,J55)</f>
        <v>581554712.56087</v>
      </c>
      <c r="M55" s="0" t="n">
        <f aca="false">IF(AND(B55&lt;x_H,J55&lt;=0,L54&gt;0),1,0)</f>
        <v>0</v>
      </c>
      <c r="N55" s="0" t="n">
        <f aca="false">IF(AND(B55&lt;x_H,I55&lt;=0,O54&gt;0),1,0)</f>
        <v>0</v>
      </c>
      <c r="O55" s="0" t="n">
        <f aca="false">MAX(O54,I55)</f>
        <v>578037138.716968</v>
      </c>
      <c r="P55" s="0" t="n">
        <f aca="false">(L_I1!V45-L_S1!V45)*D55</f>
        <v>0</v>
      </c>
    </row>
    <row r="56" customFormat="false" ht="15" hidden="false" customHeight="false" outlineLevel="0" collapsed="false">
      <c r="A56" s="0" t="n">
        <v>2069</v>
      </c>
      <c r="B56" s="0" t="n">
        <v>43</v>
      </c>
      <c r="C56" s="0" t="n">
        <f aca="false">IF(B56&lt;x_H,(1+x_dk)^(-B56),0)</f>
        <v>0</v>
      </c>
      <c r="D56" s="0" t="n">
        <f aca="false">IF(B56&lt;x_H,(1+x_de)^(-B56),0)</f>
        <v>0</v>
      </c>
      <c r="E56" s="0" t="n">
        <f aca="false">(L_I1!AO46-L_S1!AO46)*C56</f>
        <v>-0</v>
      </c>
      <c r="F56" s="0" t="n">
        <f aca="false">(L_I1!AP46-L_S1!AP46)*C56</f>
        <v>-0</v>
      </c>
      <c r="G56" s="0" t="n">
        <f aca="false">(L_I1!AQ46-L_S1!AQ46)*C56</f>
        <v>-0</v>
      </c>
      <c r="H56" s="0" t="n">
        <f aca="false">(L_I1!AS46-L_S1!AS46)*C56</f>
        <v>0</v>
      </c>
      <c r="I56" s="0" t="n">
        <f aca="false">I55+E56</f>
        <v>528309206.973209</v>
      </c>
      <c r="J56" s="0" t="n">
        <f aca="false">J55+F56</f>
        <v>494421994.710771</v>
      </c>
      <c r="K56" s="0" t="n">
        <f aca="false">K55+G56</f>
        <v>451997312.338285</v>
      </c>
      <c r="L56" s="0" t="n">
        <f aca="false">MAX(L55,J56)</f>
        <v>581554712.56087</v>
      </c>
      <c r="M56" s="0" t="n">
        <f aca="false">IF(AND(B56&lt;x_H,J56&lt;=0,L55&gt;0),1,0)</f>
        <v>0</v>
      </c>
      <c r="N56" s="0" t="n">
        <f aca="false">IF(AND(B56&lt;x_H,I56&lt;=0,O55&gt;0),1,0)</f>
        <v>0</v>
      </c>
      <c r="O56" s="0" t="n">
        <f aca="false">MAX(O55,I56)</f>
        <v>578037138.716968</v>
      </c>
      <c r="P56" s="0" t="n">
        <f aca="false">(L_I1!V46-L_S1!V46)*D56</f>
        <v>0</v>
      </c>
    </row>
    <row r="57" customFormat="false" ht="15" hidden="false" customHeight="false" outlineLevel="0" collapsed="false">
      <c r="A57" s="0" t="n">
        <v>2070</v>
      </c>
      <c r="B57" s="0" t="n">
        <v>44</v>
      </c>
      <c r="C57" s="0" t="n">
        <f aca="false">IF(B57&lt;x_H,(1+x_dk)^(-B57),0)</f>
        <v>0</v>
      </c>
      <c r="D57" s="0" t="n">
        <f aca="false">IF(B57&lt;x_H,(1+x_de)^(-B57),0)</f>
        <v>0</v>
      </c>
      <c r="E57" s="0" t="n">
        <f aca="false">(L_I1!AO47-L_S1!AO47)*C57</f>
        <v>-0</v>
      </c>
      <c r="F57" s="0" t="n">
        <f aca="false">(L_I1!AP47-L_S1!AP47)*C57</f>
        <v>-0</v>
      </c>
      <c r="G57" s="0" t="n">
        <f aca="false">(L_I1!AQ47-L_S1!AQ47)*C57</f>
        <v>-0</v>
      </c>
      <c r="H57" s="0" t="n">
        <f aca="false">(L_I1!AS47-L_S1!AS47)*C57</f>
        <v>0</v>
      </c>
      <c r="I57" s="0" t="n">
        <f aca="false">I56+E57</f>
        <v>528309206.973209</v>
      </c>
      <c r="J57" s="0" t="n">
        <f aca="false">J56+F57</f>
        <v>494421994.710771</v>
      </c>
      <c r="K57" s="0" t="n">
        <f aca="false">K56+G57</f>
        <v>451997312.338285</v>
      </c>
      <c r="L57" s="0" t="n">
        <f aca="false">MAX(L56,J57)</f>
        <v>581554712.56087</v>
      </c>
      <c r="M57" s="0" t="n">
        <f aca="false">IF(AND(B57&lt;x_H,J57&lt;=0,L56&gt;0),1,0)</f>
        <v>0</v>
      </c>
      <c r="N57" s="0" t="n">
        <f aca="false">IF(AND(B57&lt;x_H,I57&lt;=0,O56&gt;0),1,0)</f>
        <v>0</v>
      </c>
      <c r="O57" s="0" t="n">
        <f aca="false">MAX(O56,I57)</f>
        <v>578037138.716968</v>
      </c>
      <c r="P57" s="0" t="n">
        <f aca="false">(L_I1!V47-L_S1!V47)*D57</f>
        <v>0</v>
      </c>
    </row>
    <row r="58" customFormat="false" ht="15" hidden="false" customHeight="false" outlineLevel="0" collapsed="false">
      <c r="A58" s="0" t="n">
        <v>2071</v>
      </c>
      <c r="B58" s="0" t="n">
        <v>45</v>
      </c>
      <c r="C58" s="0" t="n">
        <f aca="false">IF(B58&lt;x_H,(1+x_dk)^(-B58),0)</f>
        <v>0</v>
      </c>
      <c r="D58" s="0" t="n">
        <f aca="false">IF(B58&lt;x_H,(1+x_de)^(-B58),0)</f>
        <v>0</v>
      </c>
      <c r="E58" s="0" t="n">
        <f aca="false">(L_I1!AO48-L_S1!AO48)*C58</f>
        <v>-0</v>
      </c>
      <c r="F58" s="0" t="n">
        <f aca="false">(L_I1!AP48-L_S1!AP48)*C58</f>
        <v>-0</v>
      </c>
      <c r="G58" s="0" t="n">
        <f aca="false">(L_I1!AQ48-L_S1!AQ48)*C58</f>
        <v>-0</v>
      </c>
      <c r="H58" s="0" t="n">
        <f aca="false">(L_I1!AS48-L_S1!AS48)*C58</f>
        <v>0</v>
      </c>
      <c r="I58" s="0" t="n">
        <f aca="false">I57+E58</f>
        <v>528309206.973209</v>
      </c>
      <c r="J58" s="0" t="n">
        <f aca="false">J57+F58</f>
        <v>494421994.710771</v>
      </c>
      <c r="K58" s="0" t="n">
        <f aca="false">K57+G58</f>
        <v>451997312.338285</v>
      </c>
      <c r="L58" s="0" t="n">
        <f aca="false">MAX(L57,J58)</f>
        <v>581554712.56087</v>
      </c>
      <c r="M58" s="0" t="n">
        <f aca="false">IF(AND(B58&lt;x_H,J58&lt;=0,L57&gt;0),1,0)</f>
        <v>0</v>
      </c>
      <c r="N58" s="0" t="n">
        <f aca="false">IF(AND(B58&lt;x_H,I58&lt;=0,O57&gt;0),1,0)</f>
        <v>0</v>
      </c>
      <c r="O58" s="0" t="n">
        <f aca="false">MAX(O57,I58)</f>
        <v>578037138.716968</v>
      </c>
      <c r="P58" s="0" t="n">
        <f aca="false">(L_I1!V48-L_S1!V48)*D58</f>
        <v>0</v>
      </c>
    </row>
    <row r="59" customFormat="false" ht="15" hidden="false" customHeight="false" outlineLevel="0" collapsed="false">
      <c r="A59" s="0" t="n">
        <v>2072</v>
      </c>
      <c r="B59" s="0" t="n">
        <v>46</v>
      </c>
      <c r="C59" s="0" t="n">
        <f aca="false">IF(B59&lt;x_H,(1+x_dk)^(-B59),0)</f>
        <v>0</v>
      </c>
      <c r="D59" s="0" t="n">
        <f aca="false">IF(B59&lt;x_H,(1+x_de)^(-B59),0)</f>
        <v>0</v>
      </c>
      <c r="E59" s="0" t="n">
        <f aca="false">(L_I1!AO49-L_S1!AO49)*C59</f>
        <v>-0</v>
      </c>
      <c r="F59" s="0" t="n">
        <f aca="false">(L_I1!AP49-L_S1!AP49)*C59</f>
        <v>-0</v>
      </c>
      <c r="G59" s="0" t="n">
        <f aca="false">(L_I1!AQ49-L_S1!AQ49)*C59</f>
        <v>-0</v>
      </c>
      <c r="H59" s="0" t="n">
        <f aca="false">(L_I1!AS49-L_S1!AS49)*C59</f>
        <v>0</v>
      </c>
      <c r="I59" s="0" t="n">
        <f aca="false">I58+E59</f>
        <v>528309206.973209</v>
      </c>
      <c r="J59" s="0" t="n">
        <f aca="false">J58+F59</f>
        <v>494421994.710771</v>
      </c>
      <c r="K59" s="0" t="n">
        <f aca="false">K58+G59</f>
        <v>451997312.338285</v>
      </c>
      <c r="L59" s="0" t="n">
        <f aca="false">MAX(L58,J59)</f>
        <v>581554712.56087</v>
      </c>
      <c r="M59" s="0" t="n">
        <f aca="false">IF(AND(B59&lt;x_H,J59&lt;=0,L58&gt;0),1,0)</f>
        <v>0</v>
      </c>
      <c r="N59" s="0" t="n">
        <f aca="false">IF(AND(B59&lt;x_H,I59&lt;=0,O58&gt;0),1,0)</f>
        <v>0</v>
      </c>
      <c r="O59" s="0" t="n">
        <f aca="false">MAX(O58,I59)</f>
        <v>578037138.716968</v>
      </c>
      <c r="P59" s="0" t="n">
        <f aca="false">(L_I1!V49-L_S1!V49)*D59</f>
        <v>0</v>
      </c>
    </row>
    <row r="60" customFormat="false" ht="15" hidden="false" customHeight="false" outlineLevel="0" collapsed="false">
      <c r="A60" s="0" t="n">
        <v>2073</v>
      </c>
      <c r="B60" s="0" t="n">
        <v>47</v>
      </c>
      <c r="C60" s="0" t="n">
        <f aca="false">IF(B60&lt;x_H,(1+x_dk)^(-B60),0)</f>
        <v>0</v>
      </c>
      <c r="D60" s="0" t="n">
        <f aca="false">IF(B60&lt;x_H,(1+x_de)^(-B60),0)</f>
        <v>0</v>
      </c>
      <c r="E60" s="0" t="n">
        <f aca="false">(L_I1!AO50-L_S1!AO50)*C60</f>
        <v>-0</v>
      </c>
      <c r="F60" s="0" t="n">
        <f aca="false">(L_I1!AP50-L_S1!AP50)*C60</f>
        <v>-0</v>
      </c>
      <c r="G60" s="0" t="n">
        <f aca="false">(L_I1!AQ50-L_S1!AQ50)*C60</f>
        <v>-0</v>
      </c>
      <c r="H60" s="0" t="n">
        <f aca="false">(L_I1!AS50-L_S1!AS50)*C60</f>
        <v>0</v>
      </c>
      <c r="I60" s="0" t="n">
        <f aca="false">I59+E60</f>
        <v>528309206.973209</v>
      </c>
      <c r="J60" s="0" t="n">
        <f aca="false">J59+F60</f>
        <v>494421994.710771</v>
      </c>
      <c r="K60" s="0" t="n">
        <f aca="false">K59+G60</f>
        <v>451997312.338285</v>
      </c>
      <c r="L60" s="0" t="n">
        <f aca="false">MAX(L59,J60)</f>
        <v>581554712.56087</v>
      </c>
      <c r="M60" s="0" t="n">
        <f aca="false">IF(AND(B60&lt;x_H,J60&lt;=0,L59&gt;0),1,0)</f>
        <v>0</v>
      </c>
      <c r="N60" s="0" t="n">
        <f aca="false">IF(AND(B60&lt;x_H,I60&lt;=0,O59&gt;0),1,0)</f>
        <v>0</v>
      </c>
      <c r="O60" s="0" t="n">
        <f aca="false">MAX(O59,I60)</f>
        <v>578037138.716968</v>
      </c>
      <c r="P60" s="0" t="n">
        <f aca="false">(L_I1!V50-L_S1!V50)*D60</f>
        <v>0</v>
      </c>
    </row>
    <row r="61" customFormat="false" ht="15" hidden="false" customHeight="false" outlineLevel="0" collapsed="false">
      <c r="A61" s="0" t="n">
        <v>2074</v>
      </c>
      <c r="B61" s="0" t="n">
        <v>48</v>
      </c>
      <c r="C61" s="0" t="n">
        <f aca="false">IF(B61&lt;x_H,(1+x_dk)^(-B61),0)</f>
        <v>0</v>
      </c>
      <c r="D61" s="0" t="n">
        <f aca="false">IF(B61&lt;x_H,(1+x_de)^(-B61),0)</f>
        <v>0</v>
      </c>
      <c r="E61" s="0" t="n">
        <f aca="false">(L_I1!AO51-L_S1!AO51)*C61</f>
        <v>-0</v>
      </c>
      <c r="F61" s="0" t="n">
        <f aca="false">(L_I1!AP51-L_S1!AP51)*C61</f>
        <v>-0</v>
      </c>
      <c r="G61" s="0" t="n">
        <f aca="false">(L_I1!AQ51-L_S1!AQ51)*C61</f>
        <v>-0</v>
      </c>
      <c r="H61" s="0" t="n">
        <f aca="false">(L_I1!AS51-L_S1!AS51)*C61</f>
        <v>0</v>
      </c>
      <c r="I61" s="0" t="n">
        <f aca="false">I60+E61</f>
        <v>528309206.973209</v>
      </c>
      <c r="J61" s="0" t="n">
        <f aca="false">J60+F61</f>
        <v>494421994.710771</v>
      </c>
      <c r="K61" s="0" t="n">
        <f aca="false">K60+G61</f>
        <v>451997312.338285</v>
      </c>
      <c r="L61" s="0" t="n">
        <f aca="false">MAX(L60,J61)</f>
        <v>581554712.56087</v>
      </c>
      <c r="M61" s="0" t="n">
        <f aca="false">IF(AND(B61&lt;x_H,J61&lt;=0,L60&gt;0),1,0)</f>
        <v>0</v>
      </c>
      <c r="N61" s="0" t="n">
        <f aca="false">IF(AND(B61&lt;x_H,I61&lt;=0,O60&gt;0),1,0)</f>
        <v>0</v>
      </c>
      <c r="O61" s="0" t="n">
        <f aca="false">MAX(O60,I61)</f>
        <v>578037138.716968</v>
      </c>
      <c r="P61" s="0" t="n">
        <f aca="false">(L_I1!V51-L_S1!V51)*D61</f>
        <v>0</v>
      </c>
    </row>
    <row r="62" customFormat="false" ht="15" hidden="false" customHeight="false" outlineLevel="0" collapsed="false">
      <c r="A62" s="0" t="n">
        <v>2075</v>
      </c>
      <c r="B62" s="0" t="n">
        <v>49</v>
      </c>
      <c r="C62" s="0" t="n">
        <f aca="false">IF(B62&lt;x_H,(1+x_dk)^(-B62),0)</f>
        <v>0</v>
      </c>
      <c r="D62" s="0" t="n">
        <f aca="false">IF(B62&lt;x_H,(1+x_de)^(-B62),0)</f>
        <v>0</v>
      </c>
      <c r="E62" s="0" t="n">
        <f aca="false">(L_I1!AO52-L_S1!AO52)*C62</f>
        <v>-0</v>
      </c>
      <c r="F62" s="0" t="n">
        <f aca="false">(L_I1!AP52-L_S1!AP52)*C62</f>
        <v>-0</v>
      </c>
      <c r="G62" s="0" t="n">
        <f aca="false">(L_I1!AQ52-L_S1!AQ52)*C62</f>
        <v>-0</v>
      </c>
      <c r="H62" s="0" t="n">
        <f aca="false">(L_I1!AS52-L_S1!AS52)*C62</f>
        <v>0</v>
      </c>
      <c r="I62" s="0" t="n">
        <f aca="false">I61+E62</f>
        <v>528309206.973209</v>
      </c>
      <c r="J62" s="0" t="n">
        <f aca="false">J61+F62</f>
        <v>494421994.710771</v>
      </c>
      <c r="K62" s="0" t="n">
        <f aca="false">K61+G62</f>
        <v>451997312.338285</v>
      </c>
      <c r="L62" s="0" t="n">
        <f aca="false">MAX(L61,J62)</f>
        <v>581554712.56087</v>
      </c>
      <c r="M62" s="0" t="n">
        <f aca="false">IF(AND(B62&lt;x_H,J62&lt;=0,L61&gt;0),1,0)</f>
        <v>0</v>
      </c>
      <c r="N62" s="0" t="n">
        <f aca="false">IF(AND(B62&lt;x_H,I62&lt;=0,O61&gt;0),1,0)</f>
        <v>0</v>
      </c>
      <c r="O62" s="0" t="n">
        <f aca="false">MAX(O61,I62)</f>
        <v>578037138.716968</v>
      </c>
      <c r="P62" s="0" t="n">
        <f aca="false">(L_I1!V52-L_S1!V52)*D62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622</v>
      </c>
    </row>
    <row r="2" customFormat="false" ht="15" hidden="false" customHeight="false" outlineLevel="0" collapsed="false">
      <c r="A2" s="1" t="s">
        <v>597</v>
      </c>
      <c r="B2" s="0" t="n">
        <f aca="false">x_H</f>
        <v>20</v>
      </c>
    </row>
    <row r="3" customFormat="false" ht="15" hidden="false" customHeight="false" outlineLevel="0" collapsed="false">
      <c r="A3" s="1" t="s">
        <v>598</v>
      </c>
      <c r="B3" s="0" t="n">
        <f aca="false">SUM(H13:H62)</f>
        <v>432059391.220591</v>
      </c>
    </row>
    <row r="4" customFormat="false" ht="15" hidden="false" customHeight="false" outlineLevel="0" collapsed="false">
      <c r="A4" s="1" t="s">
        <v>599</v>
      </c>
      <c r="B4" s="0" t="n">
        <f aca="false">SUM(F13:F62)</f>
        <v>407019981.336902</v>
      </c>
    </row>
    <row r="5" customFormat="false" ht="15" hidden="false" customHeight="false" outlineLevel="0" collapsed="false">
      <c r="A5" s="1" t="s">
        <v>600</v>
      </c>
      <c r="B5" s="0" t="n">
        <f aca="false">B3-B4</f>
        <v>25039409.8836889</v>
      </c>
    </row>
    <row r="6" customFormat="false" ht="15" hidden="false" customHeight="false" outlineLevel="0" collapsed="false">
      <c r="A6" s="1" t="s">
        <v>601</v>
      </c>
      <c r="B6" s="0" t="n">
        <f aca="false">IF(B3=0,"—",(B5-B3)/ABS(B3))</f>
        <v>-0.942046370493299</v>
      </c>
    </row>
    <row r="7" customFormat="false" ht="15" hidden="false" customHeight="false" outlineLevel="0" collapsed="false">
      <c r="A7" s="1" t="s">
        <v>602</v>
      </c>
      <c r="B7" s="0" t="str">
        <f aca="false">IFERROR(INDEX(A13:A62,MATCH(1,M13:M62,0)),"brak w horyzoncie")</f>
        <v>brak w horyzoncie</v>
      </c>
    </row>
    <row r="8" customFormat="false" ht="15" hidden="false" customHeight="false" outlineLevel="0" collapsed="false">
      <c r="A8" s="1" t="s">
        <v>603</v>
      </c>
      <c r="B8" s="0" t="str">
        <f aca="false">IFERROR(INDEX(A13:A62,MATCH(1,N13:N62,0)),"brak w horyzoncie")</f>
        <v>brak w horyzoncie</v>
      </c>
    </row>
    <row r="9" customFormat="false" ht="15" hidden="false" customHeight="false" outlineLevel="0" collapsed="false">
      <c r="A9" s="1" t="s">
        <v>604</v>
      </c>
      <c r="B9" s="0" t="n">
        <f aca="false">SUM(E13:E62)</f>
        <v>410999588.711708</v>
      </c>
    </row>
    <row r="10" customFormat="false" ht="15" hidden="false" customHeight="false" outlineLevel="0" collapsed="false">
      <c r="A10" s="1" t="s">
        <v>605</v>
      </c>
      <c r="B10" s="0" t="n">
        <f aca="false">IFERROR(B4/SUM(P13:P62),"—")</f>
        <v>163439.465946382</v>
      </c>
    </row>
    <row r="11" customFormat="false" ht="15" hidden="false" customHeight="false" outlineLevel="0" collapsed="false">
      <c r="A11" s="1" t="s">
        <v>606</v>
      </c>
      <c r="B11" s="0" t="n">
        <f aca="false">IFERROR(B9/SUM(P13:P62),"—")</f>
        <v>165037.483080279</v>
      </c>
    </row>
    <row r="12" customFormat="false" ht="55.2" hidden="false" customHeight="false" outlineLevel="0" collapsed="false">
      <c r="A12" s="3" t="s">
        <v>318</v>
      </c>
      <c r="B12" s="3" t="s">
        <v>548</v>
      </c>
      <c r="C12" s="3" t="s">
        <v>607</v>
      </c>
      <c r="D12" s="3" t="s">
        <v>608</v>
      </c>
      <c r="E12" s="3" t="s">
        <v>609</v>
      </c>
      <c r="F12" s="3" t="s">
        <v>610</v>
      </c>
      <c r="G12" s="3" t="s">
        <v>611</v>
      </c>
      <c r="H12" s="3" t="s">
        <v>612</v>
      </c>
      <c r="I12" s="3" t="s">
        <v>613</v>
      </c>
      <c r="J12" s="3" t="s">
        <v>614</v>
      </c>
      <c r="K12" s="3" t="s">
        <v>615</v>
      </c>
      <c r="L12" s="3" t="s">
        <v>616</v>
      </c>
      <c r="M12" s="3" t="s">
        <v>617</v>
      </c>
      <c r="N12" s="3" t="s">
        <v>618</v>
      </c>
      <c r="O12" s="3" t="s">
        <v>619</v>
      </c>
      <c r="P12" s="3" t="s">
        <v>620</v>
      </c>
    </row>
    <row r="13" customFormat="false" ht="15" hidden="false" customHeight="false" outlineLevel="0" collapsed="false">
      <c r="A13" s="0" t="n">
        <v>2026</v>
      </c>
      <c r="B13" s="0" t="n">
        <v>0</v>
      </c>
      <c r="C13" s="0" t="n">
        <f aca="false">IF(B13&lt;x_H,(1+x_dk)^(-B13),0)</f>
        <v>1</v>
      </c>
      <c r="D13" s="0" t="n">
        <f aca="false">IF(B13&lt;x_H,(1+x_de)^(-B13),0)</f>
        <v>1</v>
      </c>
      <c r="E13" s="0" t="n">
        <f aca="false">(L_I2!AO3-L_S1!AO3)*C13</f>
        <v>20518814.7666852</v>
      </c>
      <c r="F13" s="0" t="n">
        <f aca="false">(L_I2!AP3-L_S1!AP3)*C13</f>
        <v>21911311.6665683</v>
      </c>
      <c r="G13" s="0" t="n">
        <f aca="false">(L_I2!AQ3-L_S1!AQ3)*C13</f>
        <v>21882369.0071895</v>
      </c>
      <c r="H13" s="0" t="n">
        <f aca="false">(L_I2!AS3-L_S1!AS3)*C13</f>
        <v>21293905.710299</v>
      </c>
      <c r="I13" s="0" t="n">
        <f aca="false">E13</f>
        <v>20518814.7666852</v>
      </c>
      <c r="J13" s="0" t="n">
        <f aca="false">F13</f>
        <v>21911311.6665683</v>
      </c>
      <c r="K13" s="0" t="n">
        <f aca="false">G13</f>
        <v>21882369.0071895</v>
      </c>
      <c r="L13" s="0" t="n">
        <f aca="false">J13</f>
        <v>21911311.6665683</v>
      </c>
      <c r="M13" s="0" t="n">
        <v>0</v>
      </c>
      <c r="N13" s="0" t="n">
        <v>0</v>
      </c>
      <c r="O13" s="0" t="n">
        <f aca="false">I13</f>
        <v>20518814.7666852</v>
      </c>
      <c r="P13" s="0" t="n">
        <f aca="false">(L_I2!V3-L_S1!V3)*D13</f>
        <v>12.7030000000086</v>
      </c>
    </row>
    <row r="14" customFormat="false" ht="15" hidden="false" customHeight="false" outlineLevel="0" collapsed="false">
      <c r="A14" s="0" t="n">
        <v>2027</v>
      </c>
      <c r="B14" s="0" t="n">
        <v>1</v>
      </c>
      <c r="C14" s="0" t="n">
        <f aca="false">IF(B14&lt;x_H,(1+x_dk)^(-B14),0)</f>
        <v>0.952380952380952</v>
      </c>
      <c r="D14" s="0" t="n">
        <f aca="false">IF(B14&lt;x_H,(1+x_de)^(-B14),0)</f>
        <v>0.966183574879227</v>
      </c>
      <c r="E14" s="0" t="n">
        <f aca="false">(L_I2!AO4-L_S1!AO4)*C14</f>
        <v>38841955.2052948</v>
      </c>
      <c r="F14" s="0" t="n">
        <f aca="false">(L_I2!AP4-L_S1!AP4)*C14</f>
        <v>40261726.908642</v>
      </c>
      <c r="G14" s="0" t="n">
        <f aca="false">(L_I2!AQ4-L_S1!AQ4)*C14</f>
        <v>40208149.0704031</v>
      </c>
      <c r="H14" s="0" t="n">
        <f aca="false">(L_I2!AS4-L_S1!AS4)*C14</f>
        <v>39254422.6950046</v>
      </c>
      <c r="I14" s="0" t="n">
        <f aca="false">I13+E14</f>
        <v>59360769.9719801</v>
      </c>
      <c r="J14" s="0" t="n">
        <f aca="false">J13+F14</f>
        <v>62173038.5752103</v>
      </c>
      <c r="K14" s="0" t="n">
        <f aca="false">K13+G14</f>
        <v>62090518.0775926</v>
      </c>
      <c r="L14" s="0" t="n">
        <f aca="false">MAX(L13,J14)</f>
        <v>62173038.5752103</v>
      </c>
      <c r="M14" s="0" t="n">
        <f aca="false">IF(AND(B14&lt;x_H,J14&lt;=0,L13&gt;0),1,0)</f>
        <v>0</v>
      </c>
      <c r="N14" s="0" t="n">
        <f aca="false">IF(AND(B14&lt;x_H,I14&lt;=0,O13&gt;0),1,0)</f>
        <v>0</v>
      </c>
      <c r="O14" s="0" t="n">
        <f aca="false">MAX(O13,I14)</f>
        <v>59360769.9719801</v>
      </c>
      <c r="P14" s="0" t="n">
        <f aca="false">(L_I2!V4-L_S1!V4)*D14</f>
        <v>27.61352657005</v>
      </c>
    </row>
    <row r="15" customFormat="false" ht="15" hidden="false" customHeight="false" outlineLevel="0" collapsed="false">
      <c r="A15" s="0" t="n">
        <v>2028</v>
      </c>
      <c r="B15" s="0" t="n">
        <v>2</v>
      </c>
      <c r="C15" s="0" t="n">
        <f aca="false">IF(B15&lt;x_H,(1+x_dk)^(-B15),0)</f>
        <v>0.90702947845805</v>
      </c>
      <c r="D15" s="0" t="n">
        <f aca="false">IF(B15&lt;x_H,(1+x_de)^(-B15),0)</f>
        <v>0.933510700366403</v>
      </c>
      <c r="E15" s="0" t="n">
        <f aca="false">(L_I2!AO5-L_S1!AO5)*C15</f>
        <v>55126725.5539036</v>
      </c>
      <c r="F15" s="0" t="n">
        <f aca="false">(L_I2!AP5-L_S1!AP5)*C15</f>
        <v>56490320.5937089</v>
      </c>
      <c r="G15" s="0" t="n">
        <f aca="false">(L_I2!AQ5-L_S1!AQ5)*C15</f>
        <v>56407967.4480483</v>
      </c>
      <c r="H15" s="0" t="n">
        <f aca="false">(L_I2!AS5-L_S1!AS5)*C15</f>
        <v>55326711.3383401</v>
      </c>
      <c r="I15" s="0" t="n">
        <f aca="false">I14+E15</f>
        <v>114487495.525884</v>
      </c>
      <c r="J15" s="0" t="n">
        <f aca="false">J14+F15</f>
        <v>118663359.168919</v>
      </c>
      <c r="K15" s="0" t="n">
        <f aca="false">K14+G15</f>
        <v>118498485.525641</v>
      </c>
      <c r="L15" s="0" t="n">
        <f aca="false">MAX(L14,J15)</f>
        <v>118663359.168919</v>
      </c>
      <c r="M15" s="0" t="n">
        <f aca="false">IF(AND(B15&lt;x_H,J15&lt;=0,L14&gt;0),1,0)</f>
        <v>0</v>
      </c>
      <c r="N15" s="0" t="n">
        <f aca="false">IF(AND(B15&lt;x_H,I15&lt;=0,O14&gt;0),1,0)</f>
        <v>0</v>
      </c>
      <c r="O15" s="0" t="n">
        <f aca="false">MAX(O14,I15)</f>
        <v>114487495.525884</v>
      </c>
      <c r="P15" s="0" t="n">
        <f aca="false">(L_I2!V5-L_S1!V5)*D15</f>
        <v>44.7889098928859</v>
      </c>
    </row>
    <row r="16" customFormat="false" ht="15" hidden="false" customHeight="false" outlineLevel="0" collapsed="false">
      <c r="A16" s="0" t="n">
        <v>2029</v>
      </c>
      <c r="B16" s="0" t="n">
        <v>3</v>
      </c>
      <c r="C16" s="0" t="n">
        <f aca="false">IF(B16&lt;x_H,(1+x_dk)^(-B16),0)</f>
        <v>0.863837598531476</v>
      </c>
      <c r="D16" s="0" t="n">
        <f aca="false">IF(B16&lt;x_H,(1+x_de)^(-B16),0)</f>
        <v>0.901942705668022</v>
      </c>
      <c r="E16" s="0" t="n">
        <f aca="false">(L_I2!AO6-L_S1!AO6)*C16</f>
        <v>52341761.7301083</v>
      </c>
      <c r="F16" s="0" t="n">
        <f aca="false">(L_I2!AP6-L_S1!AP6)*C16</f>
        <v>53566097.17463</v>
      </c>
      <c r="G16" s="0" t="n">
        <f aca="false">(L_I2!AQ6-L_S1!AQ6)*C16</f>
        <v>53442454.7766398</v>
      </c>
      <c r="H16" s="0" t="n">
        <f aca="false">(L_I2!AS6-L_S1!AS6)*C16</f>
        <v>52507913.9657668</v>
      </c>
      <c r="I16" s="0" t="n">
        <f aca="false">I15+E16</f>
        <v>166829257.255992</v>
      </c>
      <c r="J16" s="0" t="n">
        <f aca="false">J15+F16</f>
        <v>172229456.343549</v>
      </c>
      <c r="K16" s="0" t="n">
        <f aca="false">K15+G16</f>
        <v>171940940.302281</v>
      </c>
      <c r="L16" s="0" t="n">
        <f aca="false">MAX(L15,J16)</f>
        <v>172229456.343549</v>
      </c>
      <c r="M16" s="0" t="n">
        <f aca="false">IF(AND(B16&lt;x_H,J16&lt;=0,L15&gt;0),1,0)</f>
        <v>0</v>
      </c>
      <c r="N16" s="0" t="n">
        <f aca="false">IF(AND(B16&lt;x_H,I16&lt;=0,O15&gt;0),1,0)</f>
        <v>0</v>
      </c>
      <c r="O16" s="0" t="n">
        <f aca="false">MAX(O15,I16)</f>
        <v>166829257.255992</v>
      </c>
      <c r="P16" s="0" t="n">
        <f aca="false">(L_I2!V6-L_S1!V6)*D16</f>
        <v>61.4556701361042</v>
      </c>
    </row>
    <row r="17" customFormat="false" ht="15" hidden="false" customHeight="false" outlineLevel="0" collapsed="false">
      <c r="A17" s="0" t="n">
        <v>2030</v>
      </c>
      <c r="B17" s="0" t="n">
        <v>4</v>
      </c>
      <c r="C17" s="0" t="n">
        <f aca="false">IF(B17&lt;x_H,(1+x_dk)^(-B17),0)</f>
        <v>0.822702474791882</v>
      </c>
      <c r="D17" s="0" t="n">
        <f aca="false">IF(B17&lt;x_H,(1+x_de)^(-B17),0)</f>
        <v>0.871442227698572</v>
      </c>
      <c r="E17" s="0" t="n">
        <f aca="false">(L_I2!AO7-L_S1!AO7)*C17</f>
        <v>49635002.8977958</v>
      </c>
      <c r="F17" s="0" t="n">
        <f aca="false">(L_I2!AP7-L_S1!AP7)*C17</f>
        <v>50689103.9668037</v>
      </c>
      <c r="G17" s="0" t="n">
        <f aca="false">(L_I2!AQ7-L_S1!AQ7)*C17</f>
        <v>50497818.9066888</v>
      </c>
      <c r="H17" s="0" t="n">
        <f aca="false">(L_I2!AS7-L_S1!AS7)*C17</f>
        <v>49839391.0759293</v>
      </c>
      <c r="I17" s="0" t="n">
        <f aca="false">I16+E17</f>
        <v>216464260.153788</v>
      </c>
      <c r="J17" s="0" t="n">
        <f aca="false">J16+F17</f>
        <v>222918560.310353</v>
      </c>
      <c r="K17" s="0" t="n">
        <f aca="false">K16+G17</f>
        <v>222438759.20897</v>
      </c>
      <c r="L17" s="0" t="n">
        <f aca="false">MAX(L16,J17)</f>
        <v>222918560.310353</v>
      </c>
      <c r="M17" s="0" t="n">
        <f aca="false">IF(AND(B17&lt;x_H,J17&lt;=0,L16&gt;0),1,0)</f>
        <v>0</v>
      </c>
      <c r="N17" s="0" t="n">
        <f aca="false">IF(AND(B17&lt;x_H,I17&lt;=0,O16&gt;0),1,0)</f>
        <v>0</v>
      </c>
      <c r="O17" s="0" t="n">
        <f aca="false">MAX(O16,I17)</f>
        <v>216464260.153788</v>
      </c>
      <c r="P17" s="0" t="n">
        <f aca="false">(L_I2!V7-L_S1!V7)*D17</f>
        <v>77.7831903599206</v>
      </c>
    </row>
    <row r="18" customFormat="false" ht="15" hidden="false" customHeight="false" outlineLevel="0" collapsed="false">
      <c r="A18" s="0" t="n">
        <v>2031</v>
      </c>
      <c r="B18" s="0" t="n">
        <v>5</v>
      </c>
      <c r="C18" s="0" t="n">
        <f aca="false">IF(B18&lt;x_H,(1+x_dk)^(-B18),0)</f>
        <v>0.783526166468459</v>
      </c>
      <c r="D18" s="0" t="n">
        <f aca="false">IF(B18&lt;x_H,(1+x_de)^(-B18),0)</f>
        <v>0.841973166858524</v>
      </c>
      <c r="E18" s="0" t="n">
        <f aca="false">(L_I2!AO8-L_S1!AO8)*C18</f>
        <v>47011985.6596354</v>
      </c>
      <c r="F18" s="0" t="n">
        <f aca="false">(L_I2!AP8-L_S1!AP8)*C18</f>
        <v>47863362.212296</v>
      </c>
      <c r="G18" s="0" t="n">
        <f aca="false">(L_I2!AQ8-L_S1!AQ8)*C18</f>
        <v>47574698.5949541</v>
      </c>
      <c r="H18" s="0" t="n">
        <f aca="false">(L_I2!AS8-L_S1!AS8)*C18</f>
        <v>47312093.9597296</v>
      </c>
      <c r="I18" s="0" t="n">
        <f aca="false">I17+E18</f>
        <v>263476245.813423</v>
      </c>
      <c r="J18" s="0" t="n">
        <f aca="false">J17+F18</f>
        <v>270781922.522649</v>
      </c>
      <c r="K18" s="0" t="n">
        <f aca="false">K17+G18</f>
        <v>270013457.803924</v>
      </c>
      <c r="L18" s="0" t="n">
        <f aca="false">MAX(L17,J18)</f>
        <v>270781922.522649</v>
      </c>
      <c r="M18" s="0" t="n">
        <f aca="false">IF(AND(B18&lt;x_H,J18&lt;=0,L17&gt;0),1,0)</f>
        <v>0</v>
      </c>
      <c r="N18" s="0" t="n">
        <f aca="false">IF(AND(B18&lt;x_H,I18&lt;=0,O17&gt;0),1,0)</f>
        <v>0</v>
      </c>
      <c r="O18" s="0" t="n">
        <f aca="false">MAX(O17,I18)</f>
        <v>263476245.813423</v>
      </c>
      <c r="P18" s="0" t="n">
        <f aca="false">(L_I2!V8-L_S1!V8)*D18</f>
        <v>93.8564328560486</v>
      </c>
    </row>
    <row r="19" customFormat="false" ht="15" hidden="false" customHeight="false" outlineLevel="0" collapsed="false">
      <c r="A19" s="0" t="n">
        <v>2032</v>
      </c>
      <c r="B19" s="0" t="n">
        <v>6</v>
      </c>
      <c r="C19" s="0" t="n">
        <f aca="false">IF(B19&lt;x_H,(1+x_dk)^(-B19),0)</f>
        <v>0.746215396636628</v>
      </c>
      <c r="D19" s="0" t="n">
        <f aca="false">IF(B19&lt;x_H,(1+x_de)^(-B19),0)</f>
        <v>0.813500644307753</v>
      </c>
      <c r="E19" s="0" t="n">
        <f aca="false">(L_I2!AO9-L_S1!AO9)*C19</f>
        <v>44476710.3040308</v>
      </c>
      <c r="F19" s="0" t="n">
        <f aca="false">(L_I2!AP9-L_S1!AP9)*C19</f>
        <v>45092472.9885684</v>
      </c>
      <c r="G19" s="0" t="n">
        <f aca="false">(L_I2!AQ9-L_S1!AQ9)*C19</f>
        <v>44674674.4209017</v>
      </c>
      <c r="H19" s="0" t="n">
        <f aca="false">(L_I2!AS9-L_S1!AS9)*C19</f>
        <v>44917883.9310843</v>
      </c>
      <c r="I19" s="0" t="n">
        <f aca="false">I18+E19</f>
        <v>307952956.117454</v>
      </c>
      <c r="J19" s="0" t="n">
        <f aca="false">J18+F19</f>
        <v>315874395.511217</v>
      </c>
      <c r="K19" s="0" t="n">
        <f aca="false">K18+G19</f>
        <v>314688132.224825</v>
      </c>
      <c r="L19" s="0" t="n">
        <f aca="false">MAX(L18,J19)</f>
        <v>315874395.511217</v>
      </c>
      <c r="M19" s="0" t="n">
        <f aca="false">IF(AND(B19&lt;x_H,J19&lt;=0,L18&gt;0),1,0)</f>
        <v>0</v>
      </c>
      <c r="N19" s="0" t="n">
        <f aca="false">IF(AND(B19&lt;x_H,I19&lt;=0,O18&gt;0),1,0)</f>
        <v>0</v>
      </c>
      <c r="O19" s="0" t="n">
        <f aca="false">MAX(O18,I19)</f>
        <v>307952956.117454</v>
      </c>
      <c r="P19" s="0" t="n">
        <f aca="false">(L_I2!V9-L_S1!V9)*D19</f>
        <v>109.704629388131</v>
      </c>
    </row>
    <row r="20" customFormat="false" ht="15" hidden="false" customHeight="false" outlineLevel="0" collapsed="false">
      <c r="A20" s="0" t="n">
        <v>2033</v>
      </c>
      <c r="B20" s="0" t="n">
        <v>7</v>
      </c>
      <c r="C20" s="0" t="n">
        <f aca="false">IF(B20&lt;x_H,(1+x_dk)^(-B20),0)</f>
        <v>0.710681330130121</v>
      </c>
      <c r="D20" s="0" t="n">
        <f aca="false">IF(B20&lt;x_H,(1+x_de)^(-B20),0)</f>
        <v>0.785990960683819</v>
      </c>
      <c r="E20" s="0" t="n">
        <f aca="false">(L_I2!AO10-L_S1!AO10)*C20</f>
        <v>42034146.0285082</v>
      </c>
      <c r="F20" s="0" t="n">
        <f aca="false">(L_I2!AP10-L_S1!AP10)*C20</f>
        <v>42382194.4846679</v>
      </c>
      <c r="G20" s="0" t="n">
        <f aca="false">(L_I2!AQ10-L_S1!AQ10)*C20</f>
        <v>41802841.9789739</v>
      </c>
      <c r="H20" s="0" t="n">
        <f aca="false">(L_I2!AS10-L_S1!AS10)*C20</f>
        <v>42648951.2354984</v>
      </c>
      <c r="I20" s="0" t="n">
        <f aca="false">I19+E20</f>
        <v>349987102.145962</v>
      </c>
      <c r="J20" s="0" t="n">
        <f aca="false">J19+F20</f>
        <v>358256589.995885</v>
      </c>
      <c r="K20" s="0" t="n">
        <f aca="false">K19+G20</f>
        <v>356490974.203799</v>
      </c>
      <c r="L20" s="0" t="n">
        <f aca="false">MAX(L19,J20)</f>
        <v>358256589.995885</v>
      </c>
      <c r="M20" s="0" t="n">
        <f aca="false">IF(AND(B20&lt;x_H,J20&lt;=0,L19&gt;0),1,0)</f>
        <v>0</v>
      </c>
      <c r="N20" s="0" t="n">
        <f aca="false">IF(AND(B20&lt;x_H,I20&lt;=0,O19&gt;0),1,0)</f>
        <v>0</v>
      </c>
      <c r="O20" s="0" t="n">
        <f aca="false">MAX(O19,I20)</f>
        <v>349987102.145962</v>
      </c>
      <c r="P20" s="0" t="n">
        <f aca="false">(L_I2!V10-L_S1!V10)*D20</f>
        <v>125.314468816623</v>
      </c>
    </row>
    <row r="21" customFormat="false" ht="15" hidden="false" customHeight="false" outlineLevel="0" collapsed="false">
      <c r="A21" s="0" t="n">
        <v>2034</v>
      </c>
      <c r="B21" s="0" t="n">
        <v>8</v>
      </c>
      <c r="C21" s="0" t="n">
        <f aca="false">IF(B21&lt;x_H,(1+x_dk)^(-B21),0)</f>
        <v>0.676839362028687</v>
      </c>
      <c r="D21" s="0" t="n">
        <f aca="false">IF(B21&lt;x_H,(1+x_de)^(-B21),0)</f>
        <v>0.759411556216251</v>
      </c>
      <c r="E21" s="0" t="n">
        <f aca="false">(L_I2!AO11-L_S1!AO11)*C21</f>
        <v>39687226.5915513</v>
      </c>
      <c r="F21" s="0" t="n">
        <f aca="false">(L_I2!AP11-L_S1!AP11)*C21</f>
        <v>39737416.038539</v>
      </c>
      <c r="G21" s="0" t="n">
        <f aca="false">(L_I2!AQ11-L_S1!AQ11)*C21</f>
        <v>38964670.1523924</v>
      </c>
      <c r="H21" s="0" t="n">
        <f aca="false">(L_I2!AS11-L_S1!AS11)*C21</f>
        <v>40498442.3599399</v>
      </c>
      <c r="I21" s="0" t="n">
        <f aca="false">I20+E21</f>
        <v>389674328.737513</v>
      </c>
      <c r="J21" s="0" t="n">
        <f aca="false">J20+F21</f>
        <v>397994006.034424</v>
      </c>
      <c r="K21" s="0" t="n">
        <f aca="false">K20+G21</f>
        <v>395455644.356192</v>
      </c>
      <c r="L21" s="0" t="n">
        <f aca="false">MAX(L20,J21)</f>
        <v>397994006.034424</v>
      </c>
      <c r="M21" s="0" t="n">
        <f aca="false">IF(AND(B21&lt;x_H,J21&lt;=0,L20&gt;0),1,0)</f>
        <v>0</v>
      </c>
      <c r="N21" s="0" t="n">
        <f aca="false">IF(AND(B21&lt;x_H,I21&lt;=0,O20&gt;0),1,0)</f>
        <v>0</v>
      </c>
      <c r="O21" s="0" t="n">
        <f aca="false">MAX(O20,I21)</f>
        <v>389674328.737513</v>
      </c>
      <c r="P21" s="0" t="n">
        <f aca="false">(L_I2!V11-L_S1!V11)*D21</f>
        <v>140.649854915258</v>
      </c>
    </row>
    <row r="22" customFormat="false" ht="15" hidden="false" customHeight="false" outlineLevel="0" collapsed="false">
      <c r="A22" s="0" t="n">
        <v>2035</v>
      </c>
      <c r="B22" s="0" t="n">
        <v>9</v>
      </c>
      <c r="C22" s="0" t="n">
        <f aca="false">IF(B22&lt;x_H,(1+x_dk)^(-B22),0)</f>
        <v>0.644608916217797</v>
      </c>
      <c r="D22" s="0" t="n">
        <f aca="false">IF(B22&lt;x_H,(1+x_de)^(-B22),0)</f>
        <v>0.733730972189614</v>
      </c>
      <c r="E22" s="0" t="n">
        <f aca="false">(L_I2!AO12-L_S1!AO12)*C22</f>
        <v>37207463.4988089</v>
      </c>
      <c r="F22" s="0" t="n">
        <f aca="false">(L_I2!AP12-L_S1!AP12)*C22</f>
        <v>36820409.3830415</v>
      </c>
      <c r="G22" s="0" t="n">
        <f aca="false">(L_I2!AQ12-L_S1!AQ12)*C22</f>
        <v>35841470.3066259</v>
      </c>
      <c r="H22" s="0" t="n">
        <f aca="false">(L_I2!AS12-L_S1!AS12)*C22</f>
        <v>38459674.9489984</v>
      </c>
      <c r="I22" s="0" t="n">
        <f aca="false">I21+E22</f>
        <v>426881792.236322</v>
      </c>
      <c r="J22" s="0" t="n">
        <f aca="false">J21+F22</f>
        <v>434814415.417466</v>
      </c>
      <c r="K22" s="0" t="n">
        <f aca="false">K21+G22</f>
        <v>431297114.662818</v>
      </c>
      <c r="L22" s="0" t="n">
        <f aca="false">MAX(L21,J22)</f>
        <v>434814415.417466</v>
      </c>
      <c r="M22" s="0" t="n">
        <f aca="false">IF(AND(B22&lt;x_H,J22&lt;=0,L21&gt;0),1,0)</f>
        <v>0</v>
      </c>
      <c r="N22" s="0" t="n">
        <f aca="false">IF(AND(B22&lt;x_H,I22&lt;=0,O21&gt;0),1,0)</f>
        <v>0</v>
      </c>
      <c r="O22" s="0" t="n">
        <f aca="false">MAX(O21,I22)</f>
        <v>426881792.236322</v>
      </c>
      <c r="P22" s="0" t="n">
        <f aca="false">(L_I2!V12-L_S1!V12)*D22</f>
        <v>149.979013101392</v>
      </c>
    </row>
    <row r="23" customFormat="false" ht="15" hidden="false" customHeight="false" outlineLevel="0" collapsed="false">
      <c r="A23" s="0" t="n">
        <v>2036</v>
      </c>
      <c r="B23" s="0" t="n">
        <v>10</v>
      </c>
      <c r="C23" s="0" t="n">
        <f aca="false">IF(B23&lt;x_H,(1+x_dk)^(-B23),0)</f>
        <v>0.613913253540759</v>
      </c>
      <c r="D23" s="0" t="n">
        <f aca="false">IF(B23&lt;x_H,(1+x_de)^(-B23),0)</f>
        <v>0.708918813709772</v>
      </c>
      <c r="E23" s="0" t="n">
        <f aca="false">(L_I2!AO13-L_S1!AO13)*C23</f>
        <v>-964441.477467034</v>
      </c>
      <c r="F23" s="0" t="n">
        <f aca="false">(L_I2!AP13-L_S1!AP13)*C23</f>
        <v>-2541698.84676412</v>
      </c>
      <c r="G23" s="0" t="n">
        <f aca="false">(L_I2!AQ13-L_S1!AQ13)*C23</f>
        <v>-3751811.78656434</v>
      </c>
      <c r="H23" s="0" t="n">
        <f aca="false">(L_I2!AS13-L_S1!AS13)*C23</f>
        <v>0</v>
      </c>
      <c r="I23" s="0" t="n">
        <f aca="false">I22+E23</f>
        <v>425917350.758855</v>
      </c>
      <c r="J23" s="0" t="n">
        <f aca="false">J22+F23</f>
        <v>432272716.570702</v>
      </c>
      <c r="K23" s="0" t="n">
        <f aca="false">K22+G23</f>
        <v>427545302.876253</v>
      </c>
      <c r="L23" s="0" t="n">
        <f aca="false">MAX(L22,J23)</f>
        <v>434814415.417466</v>
      </c>
      <c r="M23" s="0" t="n">
        <f aca="false">IF(AND(B23&lt;x_H,J23&lt;=0,L22&gt;0),1,0)</f>
        <v>0</v>
      </c>
      <c r="N23" s="0" t="n">
        <f aca="false">IF(AND(B23&lt;x_H,I23&lt;=0,O22&gt;0),1,0)</f>
        <v>0</v>
      </c>
      <c r="O23" s="0" t="n">
        <f aca="false">MAX(O22,I23)</f>
        <v>426881792.236322</v>
      </c>
      <c r="P23" s="0" t="n">
        <f aca="false">(L_I2!V13-L_S1!V13)*D23</f>
        <v>153.650354764643</v>
      </c>
    </row>
    <row r="24" customFormat="false" ht="15" hidden="false" customHeight="false" outlineLevel="0" collapsed="false">
      <c r="A24" s="0" t="n">
        <v>2037</v>
      </c>
      <c r="B24" s="0" t="n">
        <v>11</v>
      </c>
      <c r="C24" s="0" t="n">
        <f aca="false">IF(B24&lt;x_H,(1+x_dk)^(-B24),0)</f>
        <v>0.584679289086437</v>
      </c>
      <c r="D24" s="0" t="n">
        <f aca="false">IF(B24&lt;x_H,(1+x_de)^(-B24),0)</f>
        <v>0.684945713729249</v>
      </c>
      <c r="E24" s="0" t="n">
        <f aca="false">(L_I2!AO14-L_S1!AO14)*C24</f>
        <v>-1231906.30267888</v>
      </c>
      <c r="F24" s="0" t="n">
        <f aca="false">(L_I2!AP14-L_S1!AP14)*C24</f>
        <v>-3097899.18069428</v>
      </c>
      <c r="G24" s="0" t="n">
        <f aca="false">(L_I2!AQ14-L_S1!AQ14)*C24</f>
        <v>-4569257.47649615</v>
      </c>
      <c r="H24" s="0" t="n">
        <f aca="false">(L_I2!AS14-L_S1!AS14)*C24</f>
        <v>0</v>
      </c>
      <c r="I24" s="0" t="n">
        <f aca="false">I23+E24</f>
        <v>424685444.456176</v>
      </c>
      <c r="J24" s="0" t="n">
        <f aca="false">J23+F24</f>
        <v>429174817.390007</v>
      </c>
      <c r="K24" s="0" t="n">
        <f aca="false">K23+G24</f>
        <v>422976045.399757</v>
      </c>
      <c r="L24" s="0" t="n">
        <f aca="false">MAX(L23,J24)</f>
        <v>434814415.417466</v>
      </c>
      <c r="M24" s="0" t="n">
        <f aca="false">IF(AND(B24&lt;x_H,J24&lt;=0,L23&gt;0),1,0)</f>
        <v>0</v>
      </c>
      <c r="N24" s="0" t="n">
        <f aca="false">IF(AND(B24&lt;x_H,I24&lt;=0,O23&gt;0),1,0)</f>
        <v>0</v>
      </c>
      <c r="O24" s="0" t="n">
        <f aca="false">MAX(O23,I24)</f>
        <v>426881792.236322</v>
      </c>
      <c r="P24" s="0" t="n">
        <f aca="false">(L_I2!V14-L_S1!V14)*D24</f>
        <v>157.225863857979</v>
      </c>
    </row>
    <row r="25" customFormat="false" ht="15" hidden="false" customHeight="false" outlineLevel="0" collapsed="false">
      <c r="A25" s="0" t="n">
        <v>2038</v>
      </c>
      <c r="B25" s="0" t="n">
        <v>12</v>
      </c>
      <c r="C25" s="0" t="n">
        <f aca="false">IF(B25&lt;x_H,(1+x_dk)^(-B25),0)</f>
        <v>0.556837418177559</v>
      </c>
      <c r="D25" s="0" t="n">
        <f aca="false">IF(B25&lt;x_H,(1+x_de)^(-B25),0)</f>
        <v>0.661783298289129</v>
      </c>
      <c r="E25" s="0" t="n">
        <f aca="false">(L_I2!AO15-L_S1!AO15)*C25</f>
        <v>-1435645.56203114</v>
      </c>
      <c r="F25" s="0" t="n">
        <f aca="false">(L_I2!AP15-L_S1!AP15)*C25</f>
        <v>-2770623.53659816</v>
      </c>
      <c r="G25" s="0" t="n">
        <f aca="false">(L_I2!AQ15-L_S1!AQ15)*C25</f>
        <v>-3845651.15688436</v>
      </c>
      <c r="H25" s="0" t="n">
        <f aca="false">(L_I2!AS15-L_S1!AS15)*C25</f>
        <v>0</v>
      </c>
      <c r="I25" s="0" t="n">
        <f aca="false">I24+E25</f>
        <v>423249798.894145</v>
      </c>
      <c r="J25" s="0" t="n">
        <f aca="false">J24+F25</f>
        <v>426404193.853409</v>
      </c>
      <c r="K25" s="0" t="n">
        <f aca="false">K24+G25</f>
        <v>419130394.242873</v>
      </c>
      <c r="L25" s="0" t="n">
        <f aca="false">MAX(L24,J25)</f>
        <v>434814415.417466</v>
      </c>
      <c r="M25" s="0" t="n">
        <f aca="false">IF(AND(B25&lt;x_H,J25&lt;=0,L24&gt;0),1,0)</f>
        <v>0</v>
      </c>
      <c r="N25" s="0" t="n">
        <f aca="false">IF(AND(B25&lt;x_H,I25&lt;=0,O24&gt;0),1,0)</f>
        <v>0</v>
      </c>
      <c r="O25" s="0" t="n">
        <f aca="false">MAX(O24,I25)</f>
        <v>426881792.236322</v>
      </c>
      <c r="P25" s="0" t="n">
        <f aca="false">(L_I2!V15-L_S1!V15)*D25</f>
        <v>160.530098232591</v>
      </c>
    </row>
    <row r="26" customFormat="false" ht="15" hidden="false" customHeight="false" outlineLevel="0" collapsed="false">
      <c r="A26" s="0" t="n">
        <v>2039</v>
      </c>
      <c r="B26" s="0" t="n">
        <v>13</v>
      </c>
      <c r="C26" s="0" t="n">
        <f aca="false">IF(B26&lt;x_H,(1+x_dk)^(-B26),0)</f>
        <v>0.530321350645295</v>
      </c>
      <c r="D26" s="0" t="n">
        <f aca="false">IF(B26&lt;x_H,(1+x_de)^(-B26),0)</f>
        <v>0.639404152936357</v>
      </c>
      <c r="E26" s="0" t="n">
        <f aca="false">(L_I2!AO16-L_S1!AO16)*C26</f>
        <v>-1587043.37279921</v>
      </c>
      <c r="F26" s="0" t="n">
        <f aca="false">(L_I2!AP16-L_S1!AP16)*C26</f>
        <v>-2331407.3435565</v>
      </c>
      <c r="G26" s="0" t="n">
        <f aca="false">(L_I2!AQ16-L_S1!AQ16)*C26</f>
        <v>-2951791.98898195</v>
      </c>
      <c r="H26" s="0" t="n">
        <f aca="false">(L_I2!AS16-L_S1!AS16)*C26</f>
        <v>0</v>
      </c>
      <c r="I26" s="0" t="n">
        <f aca="false">I25+E26</f>
        <v>421662755.521346</v>
      </c>
      <c r="J26" s="0" t="n">
        <f aca="false">J25+F26</f>
        <v>424072786.509853</v>
      </c>
      <c r="K26" s="0" t="n">
        <f aca="false">K25+G26</f>
        <v>416178602.253891</v>
      </c>
      <c r="L26" s="0" t="n">
        <f aca="false">MAX(L25,J26)</f>
        <v>434814415.417466</v>
      </c>
      <c r="M26" s="0" t="n">
        <f aca="false">IF(AND(B26&lt;x_H,J26&lt;=0,L25&gt;0),1,0)</f>
        <v>0</v>
      </c>
      <c r="N26" s="0" t="n">
        <f aca="false">IF(AND(B26&lt;x_H,I26&lt;=0,O25&gt;0),1,0)</f>
        <v>0</v>
      </c>
      <c r="O26" s="0" t="n">
        <f aca="false">MAX(O25,I26)</f>
        <v>426881792.236322</v>
      </c>
      <c r="P26" s="0" t="n">
        <f aca="false">(L_I2!V16-L_S1!V16)*D26</f>
        <v>163.430422682226</v>
      </c>
    </row>
    <row r="27" customFormat="false" ht="15" hidden="false" customHeight="false" outlineLevel="0" collapsed="false">
      <c r="A27" s="0" t="n">
        <v>2040</v>
      </c>
      <c r="B27" s="0" t="n">
        <v>14</v>
      </c>
      <c r="C27" s="0" t="n">
        <f aca="false">IF(B27&lt;x_H,(1+x_dk)^(-B27),0)</f>
        <v>0.505067952995519</v>
      </c>
      <c r="D27" s="0" t="n">
        <f aca="false">IF(B27&lt;x_H,(1+x_de)^(-B27),0)</f>
        <v>0.617781790276673</v>
      </c>
      <c r="E27" s="0" t="n">
        <f aca="false">(L_I2!AO17-L_S1!AO17)*C27</f>
        <v>-1694076.76425601</v>
      </c>
      <c r="F27" s="0" t="n">
        <f aca="false">(L_I2!AP17-L_S1!AP17)*C27</f>
        <v>-2532773.6563098</v>
      </c>
      <c r="G27" s="0" t="n">
        <f aca="false">(L_I2!AQ17-L_S1!AQ17)*C27</f>
        <v>-3243085.30819405</v>
      </c>
      <c r="H27" s="0" t="n">
        <f aca="false">(L_I2!AS17-L_S1!AS17)*C27</f>
        <v>0</v>
      </c>
      <c r="I27" s="0" t="n">
        <f aca="false">I26+E27</f>
        <v>419968678.75709</v>
      </c>
      <c r="J27" s="0" t="n">
        <f aca="false">J26+F27</f>
        <v>421540012.853543</v>
      </c>
      <c r="K27" s="0" t="n">
        <f aca="false">K26+G27</f>
        <v>412935516.945697</v>
      </c>
      <c r="L27" s="0" t="n">
        <f aca="false">MAX(L26,J27)</f>
        <v>434814415.417466</v>
      </c>
      <c r="M27" s="0" t="n">
        <f aca="false">IF(AND(B27&lt;x_H,J27&lt;=0,L26&gt;0),1,0)</f>
        <v>0</v>
      </c>
      <c r="N27" s="0" t="n">
        <f aca="false">IF(AND(B27&lt;x_H,I27&lt;=0,O26&gt;0),1,0)</f>
        <v>0</v>
      </c>
      <c r="O27" s="0" t="n">
        <f aca="false">MAX(O26,I27)</f>
        <v>426881792.236322</v>
      </c>
      <c r="P27" s="0" t="n">
        <f aca="false">(L_I2!V17-L_S1!V17)*D27</f>
        <v>165.837343781872</v>
      </c>
    </row>
    <row r="28" customFormat="false" ht="15" hidden="false" customHeight="false" outlineLevel="0" collapsed="false">
      <c r="A28" s="0" t="n">
        <v>2041</v>
      </c>
      <c r="B28" s="0" t="n">
        <v>15</v>
      </c>
      <c r="C28" s="0" t="n">
        <f aca="false">IF(B28&lt;x_H,(1+x_dk)^(-B28),0)</f>
        <v>0.48101709809097</v>
      </c>
      <c r="D28" s="0" t="n">
        <f aca="false">IF(B28&lt;x_H,(1+x_de)^(-B28),0)</f>
        <v>0.596890618624805</v>
      </c>
      <c r="E28" s="0" t="n">
        <f aca="false">(L_I2!AO18-L_S1!AO18)*C28</f>
        <v>-1764421.00667548</v>
      </c>
      <c r="F28" s="0" t="n">
        <f aca="false">(L_I2!AP18-L_S1!AP18)*C28</f>
        <v>-2696398.3319212</v>
      </c>
      <c r="G28" s="0" t="n">
        <f aca="false">(L_I2!AQ18-L_S1!AQ18)*C28</f>
        <v>-3496650.12202292</v>
      </c>
      <c r="H28" s="0" t="n">
        <f aca="false">(L_I2!AS18-L_S1!AS18)*C28</f>
        <v>0</v>
      </c>
      <c r="I28" s="0" t="n">
        <f aca="false">I27+E28</f>
        <v>418204257.750415</v>
      </c>
      <c r="J28" s="0" t="n">
        <f aca="false">J27+F28</f>
        <v>418843614.521622</v>
      </c>
      <c r="K28" s="0" t="n">
        <f aca="false">K27+G28</f>
        <v>409438866.823674</v>
      </c>
      <c r="L28" s="0" t="n">
        <f aca="false">MAX(L27,J28)</f>
        <v>434814415.417466</v>
      </c>
      <c r="M28" s="0" t="n">
        <f aca="false">IF(AND(B28&lt;x_H,J28&lt;=0,L27&gt;0),1,0)</f>
        <v>0</v>
      </c>
      <c r="N28" s="0" t="n">
        <f aca="false">IF(AND(B28&lt;x_H,I28&lt;=0,O27&gt;0),1,0)</f>
        <v>0</v>
      </c>
      <c r="O28" s="0" t="n">
        <f aca="false">MAX(O27,I28)</f>
        <v>426881792.236322</v>
      </c>
      <c r="P28" s="0" t="n">
        <f aca="false">(L_I2!V18-L_S1!V18)*D28</f>
        <v>167.700000646354</v>
      </c>
    </row>
    <row r="29" customFormat="false" ht="15" hidden="false" customHeight="false" outlineLevel="0" collapsed="false">
      <c r="A29" s="0" t="n">
        <v>2042</v>
      </c>
      <c r="B29" s="0" t="n">
        <v>16</v>
      </c>
      <c r="C29" s="0" t="n">
        <f aca="false">IF(B29&lt;x_H,(1+x_dk)^(-B29),0)</f>
        <v>0.4581115219914</v>
      </c>
      <c r="D29" s="0" t="n">
        <f aca="false">IF(B29&lt;x_H,(1+x_de)^(-B29),0)</f>
        <v>0.576705911714788</v>
      </c>
      <c r="E29" s="0" t="n">
        <f aca="false">(L_I2!AO19-L_S1!AO19)*C29</f>
        <v>-1802813.80464372</v>
      </c>
      <c r="F29" s="0" t="n">
        <f aca="false">(L_I2!AP19-L_S1!AP19)*C29</f>
        <v>-2826417.38964742</v>
      </c>
      <c r="G29" s="0" t="n">
        <f aca="false">(L_I2!AQ19-L_S1!AQ19)*C29</f>
        <v>-3715835.20916041</v>
      </c>
      <c r="H29" s="0" t="n">
        <f aca="false">(L_I2!AS19-L_S1!AS19)*C29</f>
        <v>0</v>
      </c>
      <c r="I29" s="0" t="n">
        <f aca="false">I28+E29</f>
        <v>416401443.945771</v>
      </c>
      <c r="J29" s="0" t="n">
        <f aca="false">J28+F29</f>
        <v>416017197.131974</v>
      </c>
      <c r="K29" s="0" t="n">
        <f aca="false">K28+G29</f>
        <v>405723031.614513</v>
      </c>
      <c r="L29" s="0" t="n">
        <f aca="false">MAX(L28,J29)</f>
        <v>434814415.417466</v>
      </c>
      <c r="M29" s="0" t="n">
        <f aca="false">IF(AND(B29&lt;x_H,J29&lt;=0,L28&gt;0),1,0)</f>
        <v>0</v>
      </c>
      <c r="N29" s="0" t="n">
        <f aca="false">IF(AND(B29&lt;x_H,I29&lt;=0,O28&gt;0),1,0)</f>
        <v>0</v>
      </c>
      <c r="O29" s="0" t="n">
        <f aca="false">MAX(O28,I29)</f>
        <v>426881792.236322</v>
      </c>
      <c r="P29" s="0" t="n">
        <f aca="false">(L_I2!V19-L_S1!V19)*D29</f>
        <v>168.936769542264</v>
      </c>
    </row>
    <row r="30" customFormat="false" ht="15" hidden="false" customHeight="false" outlineLevel="0" collapsed="false">
      <c r="A30" s="0" t="n">
        <v>2043</v>
      </c>
      <c r="B30" s="0" t="n">
        <v>17</v>
      </c>
      <c r="C30" s="0" t="n">
        <f aca="false">IF(B30&lt;x_H,(1+x_dk)^(-B30),0)</f>
        <v>0.436296687610857</v>
      </c>
      <c r="D30" s="0" t="n">
        <f aca="false">IF(B30&lt;x_H,(1+x_de)^(-B30),0)</f>
        <v>0.557203779434577</v>
      </c>
      <c r="E30" s="0" t="n">
        <f aca="false">(L_I2!AO20-L_S1!AO20)*C30</f>
        <v>-1815286.98629268</v>
      </c>
      <c r="F30" s="0" t="n">
        <f aca="false">(L_I2!AP20-L_S1!AP20)*C30</f>
        <v>-2928233.36607796</v>
      </c>
      <c r="G30" s="0" t="n">
        <f aca="false">(L_I2!AQ20-L_S1!AQ20)*C30</f>
        <v>-3905327.1178165</v>
      </c>
      <c r="H30" s="0" t="n">
        <f aca="false">(L_I2!AS20-L_S1!AS20)*C30</f>
        <v>0</v>
      </c>
      <c r="I30" s="0" t="n">
        <f aca="false">I29+E30</f>
        <v>414586156.959478</v>
      </c>
      <c r="J30" s="0" t="n">
        <f aca="false">J29+F30</f>
        <v>413088963.765896</v>
      </c>
      <c r="K30" s="0" t="n">
        <f aca="false">K29+G30</f>
        <v>401817704.496697</v>
      </c>
      <c r="L30" s="0" t="n">
        <f aca="false">MAX(L29,J30)</f>
        <v>434814415.417466</v>
      </c>
      <c r="M30" s="0" t="n">
        <f aca="false">IF(AND(B30&lt;x_H,J30&lt;=0,L29&gt;0),1,0)</f>
        <v>0</v>
      </c>
      <c r="N30" s="0" t="n">
        <f aca="false">IF(AND(B30&lt;x_H,I30&lt;=0,O29&gt;0),1,0)</f>
        <v>0</v>
      </c>
      <c r="O30" s="0" t="n">
        <f aca="false">MAX(O29,I30)</f>
        <v>426881792.236322</v>
      </c>
      <c r="P30" s="0" t="n">
        <f aca="false">(L_I2!V20-L_S1!V20)*D30</f>
        <v>169.641805056427</v>
      </c>
    </row>
    <row r="31" customFormat="false" ht="15" hidden="false" customHeight="false" outlineLevel="0" collapsed="false">
      <c r="A31" s="0" t="n">
        <v>2044</v>
      </c>
      <c r="B31" s="0" t="n">
        <v>18</v>
      </c>
      <c r="C31" s="0" t="n">
        <f aca="false">IF(B31&lt;x_H,(1+x_dk)^(-B31),0)</f>
        <v>0.415520654867483</v>
      </c>
      <c r="D31" s="0" t="n">
        <f aca="false">IF(B31&lt;x_H,(1+x_de)^(-B31),0)</f>
        <v>0.538361139550316</v>
      </c>
      <c r="E31" s="0" t="n">
        <f aca="false">(L_I2!AO21-L_S1!AO21)*C31</f>
        <v>-1806417.60546102</v>
      </c>
      <c r="F31" s="0" t="n">
        <f aca="false">(L_I2!AP21-L_S1!AP21)*C31</f>
        <v>-3005962.95416905</v>
      </c>
      <c r="G31" s="0" t="n">
        <f aca="false">(L_I2!AQ21-L_S1!AQ21)*C31</f>
        <v>-4068699.56335151</v>
      </c>
      <c r="H31" s="0" t="n">
        <f aca="false">(L_I2!AS21-L_S1!AS21)*C31</f>
        <v>0</v>
      </c>
      <c r="I31" s="0" t="n">
        <f aca="false">I30+E31</f>
        <v>412779739.354017</v>
      </c>
      <c r="J31" s="0" t="n">
        <f aca="false">J30+F31</f>
        <v>410083000.811727</v>
      </c>
      <c r="K31" s="0" t="n">
        <f aca="false">K30+G31</f>
        <v>397749004.933345</v>
      </c>
      <c r="L31" s="0" t="n">
        <f aca="false">MAX(L30,J31)</f>
        <v>434814415.417466</v>
      </c>
      <c r="M31" s="0" t="n">
        <f aca="false">IF(AND(B31&lt;x_H,J31&lt;=0,L30&gt;0),1,0)</f>
        <v>0</v>
      </c>
      <c r="N31" s="0" t="n">
        <f aca="false">IF(AND(B31&lt;x_H,I31&lt;=0,O30&gt;0),1,0)</f>
        <v>0</v>
      </c>
      <c r="O31" s="0" t="n">
        <f aca="false">MAX(O30,I31)</f>
        <v>426881792.236322</v>
      </c>
      <c r="P31" s="0" t="n">
        <f aca="false">(L_I2!V21-L_S1!V21)*D31</f>
        <v>169.893854974731</v>
      </c>
    </row>
    <row r="32" customFormat="false" ht="15" hidden="false" customHeight="false" outlineLevel="0" collapsed="false">
      <c r="A32" s="0" t="n">
        <v>2045</v>
      </c>
      <c r="B32" s="0" t="n">
        <v>19</v>
      </c>
      <c r="C32" s="0" t="n">
        <f aca="false">IF(B32&lt;x_H,(1+x_dk)^(-B32),0)</f>
        <v>0.39573395701665</v>
      </c>
      <c r="D32" s="0" t="n">
        <f aca="false">IF(B32&lt;x_H,(1+x_de)^(-B32),0)</f>
        <v>0.520155690386779</v>
      </c>
      <c r="E32" s="0" t="n">
        <f aca="false">(L_I2!AO22-L_S1!AO22)*C32</f>
        <v>-1780150.64230896</v>
      </c>
      <c r="F32" s="0" t="n">
        <f aca="false">(L_I2!AP22-L_S1!AP22)*C32</f>
        <v>-3063019.47482552</v>
      </c>
      <c r="G32" s="0" t="n">
        <f aca="false">(L_I2!AQ22-L_S1!AQ22)*C32</f>
        <v>-4208808.26680469</v>
      </c>
      <c r="H32" s="0" t="n">
        <f aca="false">(L_I2!AS22-L_S1!AS22)*C32</f>
        <v>0</v>
      </c>
      <c r="I32" s="0" t="n">
        <f aca="false">I31+E32</f>
        <v>410999588.711708</v>
      </c>
      <c r="J32" s="0" t="n">
        <f aca="false">J31+F32</f>
        <v>407019981.336902</v>
      </c>
      <c r="K32" s="0" t="n">
        <f aca="false">K31+G32</f>
        <v>393540196.666541</v>
      </c>
      <c r="L32" s="0" t="n">
        <f aca="false">MAX(L31,J32)</f>
        <v>434814415.417466</v>
      </c>
      <c r="M32" s="0" t="n">
        <f aca="false">IF(AND(B32&lt;x_H,J32&lt;=0,L31&gt;0),1,0)</f>
        <v>0</v>
      </c>
      <c r="N32" s="0" t="n">
        <f aca="false">IF(AND(B32&lt;x_H,I32&lt;=0,O31&gt;0),1,0)</f>
        <v>0</v>
      </c>
      <c r="O32" s="0" t="n">
        <f aca="false">MAX(O31,I32)</f>
        <v>426881792.236322</v>
      </c>
      <c r="P32" s="0" t="n">
        <f aca="false">(L_I2!V22-L_S1!V22)*D32</f>
        <v>169.645657485506</v>
      </c>
    </row>
    <row r="33" customFormat="false" ht="15" hidden="false" customHeight="false" outlineLevel="0" collapsed="false">
      <c r="A33" s="0" t="n">
        <v>2046</v>
      </c>
      <c r="B33" s="0" t="n">
        <v>20</v>
      </c>
      <c r="C33" s="0" t="n">
        <f aca="false">IF(B33&lt;x_H,(1+x_dk)^(-B33),0)</f>
        <v>0</v>
      </c>
      <c r="D33" s="0" t="n">
        <f aca="false">IF(B33&lt;x_H,(1+x_de)^(-B33),0)</f>
        <v>0</v>
      </c>
      <c r="E33" s="0" t="n">
        <f aca="false">(L_I2!AO23-L_S1!AO23)*C33</f>
        <v>-0</v>
      </c>
      <c r="F33" s="0" t="n">
        <f aca="false">(L_I2!AP23-L_S1!AP23)*C33</f>
        <v>-0</v>
      </c>
      <c r="G33" s="0" t="n">
        <f aca="false">(L_I2!AQ23-L_S1!AQ23)*C33</f>
        <v>-0</v>
      </c>
      <c r="H33" s="0" t="n">
        <f aca="false">(L_I2!AS23-L_S1!AS23)*C33</f>
        <v>0</v>
      </c>
      <c r="I33" s="0" t="n">
        <f aca="false">I32+E33</f>
        <v>410999588.711708</v>
      </c>
      <c r="J33" s="0" t="n">
        <f aca="false">J32+F33</f>
        <v>407019981.336902</v>
      </c>
      <c r="K33" s="0" t="n">
        <f aca="false">K32+G33</f>
        <v>393540196.666541</v>
      </c>
      <c r="L33" s="0" t="n">
        <f aca="false">MAX(L32,J33)</f>
        <v>434814415.417466</v>
      </c>
      <c r="M33" s="0" t="n">
        <f aca="false">IF(AND(B33&lt;x_H,J33&lt;=0,L32&gt;0),1,0)</f>
        <v>0</v>
      </c>
      <c r="N33" s="0" t="n">
        <f aca="false">IF(AND(B33&lt;x_H,I33&lt;=0,O32&gt;0),1,0)</f>
        <v>0</v>
      </c>
      <c r="O33" s="0" t="n">
        <f aca="false">MAX(O32,I33)</f>
        <v>426881792.236322</v>
      </c>
      <c r="P33" s="0" t="n">
        <f aca="false">(L_I2!V23-L_S1!V23)*D33</f>
        <v>0</v>
      </c>
    </row>
    <row r="34" customFormat="false" ht="15" hidden="false" customHeight="false" outlineLevel="0" collapsed="false">
      <c r="A34" s="0" t="n">
        <v>2047</v>
      </c>
      <c r="B34" s="0" t="n">
        <v>21</v>
      </c>
      <c r="C34" s="0" t="n">
        <f aca="false">IF(B34&lt;x_H,(1+x_dk)^(-B34),0)</f>
        <v>0</v>
      </c>
      <c r="D34" s="0" t="n">
        <f aca="false">IF(B34&lt;x_H,(1+x_de)^(-B34),0)</f>
        <v>0</v>
      </c>
      <c r="E34" s="0" t="n">
        <f aca="false">(L_I2!AO24-L_S1!AO24)*C34</f>
        <v>-0</v>
      </c>
      <c r="F34" s="0" t="n">
        <f aca="false">(L_I2!AP24-L_S1!AP24)*C34</f>
        <v>-0</v>
      </c>
      <c r="G34" s="0" t="n">
        <f aca="false">(L_I2!AQ24-L_S1!AQ24)*C34</f>
        <v>-0</v>
      </c>
      <c r="H34" s="0" t="n">
        <f aca="false">(L_I2!AS24-L_S1!AS24)*C34</f>
        <v>0</v>
      </c>
      <c r="I34" s="0" t="n">
        <f aca="false">I33+E34</f>
        <v>410999588.711708</v>
      </c>
      <c r="J34" s="0" t="n">
        <f aca="false">J33+F34</f>
        <v>407019981.336902</v>
      </c>
      <c r="K34" s="0" t="n">
        <f aca="false">K33+G34</f>
        <v>393540196.666541</v>
      </c>
      <c r="L34" s="0" t="n">
        <f aca="false">MAX(L33,J34)</f>
        <v>434814415.417466</v>
      </c>
      <c r="M34" s="0" t="n">
        <f aca="false">IF(AND(B34&lt;x_H,J34&lt;=0,L33&gt;0),1,0)</f>
        <v>0</v>
      </c>
      <c r="N34" s="0" t="n">
        <f aca="false">IF(AND(B34&lt;x_H,I34&lt;=0,O33&gt;0),1,0)</f>
        <v>0</v>
      </c>
      <c r="O34" s="0" t="n">
        <f aca="false">MAX(O33,I34)</f>
        <v>426881792.236322</v>
      </c>
      <c r="P34" s="0" t="n">
        <f aca="false">(L_I2!V24-L_S1!V24)*D34</f>
        <v>0</v>
      </c>
    </row>
    <row r="35" customFormat="false" ht="15" hidden="false" customHeight="false" outlineLevel="0" collapsed="false">
      <c r="A35" s="0" t="n">
        <v>2048</v>
      </c>
      <c r="B35" s="0" t="n">
        <v>22</v>
      </c>
      <c r="C35" s="0" t="n">
        <f aca="false">IF(B35&lt;x_H,(1+x_dk)^(-B35),0)</f>
        <v>0</v>
      </c>
      <c r="D35" s="0" t="n">
        <f aca="false">IF(B35&lt;x_H,(1+x_de)^(-B35),0)</f>
        <v>0</v>
      </c>
      <c r="E35" s="0" t="n">
        <f aca="false">(L_I2!AO25-L_S1!AO25)*C35</f>
        <v>-0</v>
      </c>
      <c r="F35" s="0" t="n">
        <f aca="false">(L_I2!AP25-L_S1!AP25)*C35</f>
        <v>-0</v>
      </c>
      <c r="G35" s="0" t="n">
        <f aca="false">(L_I2!AQ25-L_S1!AQ25)*C35</f>
        <v>-0</v>
      </c>
      <c r="H35" s="0" t="n">
        <f aca="false">(L_I2!AS25-L_S1!AS25)*C35</f>
        <v>0</v>
      </c>
      <c r="I35" s="0" t="n">
        <f aca="false">I34+E35</f>
        <v>410999588.711708</v>
      </c>
      <c r="J35" s="0" t="n">
        <f aca="false">J34+F35</f>
        <v>407019981.336902</v>
      </c>
      <c r="K35" s="0" t="n">
        <f aca="false">K34+G35</f>
        <v>393540196.666541</v>
      </c>
      <c r="L35" s="0" t="n">
        <f aca="false">MAX(L34,J35)</f>
        <v>434814415.417466</v>
      </c>
      <c r="M35" s="0" t="n">
        <f aca="false">IF(AND(B35&lt;x_H,J35&lt;=0,L34&gt;0),1,0)</f>
        <v>0</v>
      </c>
      <c r="N35" s="0" t="n">
        <f aca="false">IF(AND(B35&lt;x_H,I35&lt;=0,O34&gt;0),1,0)</f>
        <v>0</v>
      </c>
      <c r="O35" s="0" t="n">
        <f aca="false">MAX(O34,I35)</f>
        <v>426881792.236322</v>
      </c>
      <c r="P35" s="0" t="n">
        <f aca="false">(L_I2!V25-L_S1!V25)*D35</f>
        <v>0</v>
      </c>
    </row>
    <row r="36" customFormat="false" ht="15" hidden="false" customHeight="false" outlineLevel="0" collapsed="false">
      <c r="A36" s="0" t="n">
        <v>2049</v>
      </c>
      <c r="B36" s="0" t="n">
        <v>23</v>
      </c>
      <c r="C36" s="0" t="n">
        <f aca="false">IF(B36&lt;x_H,(1+x_dk)^(-B36),0)</f>
        <v>0</v>
      </c>
      <c r="D36" s="0" t="n">
        <f aca="false">IF(B36&lt;x_H,(1+x_de)^(-B36),0)</f>
        <v>0</v>
      </c>
      <c r="E36" s="0" t="n">
        <f aca="false">(L_I2!AO26-L_S1!AO26)*C36</f>
        <v>-0</v>
      </c>
      <c r="F36" s="0" t="n">
        <f aca="false">(L_I2!AP26-L_S1!AP26)*C36</f>
        <v>-0</v>
      </c>
      <c r="G36" s="0" t="n">
        <f aca="false">(L_I2!AQ26-L_S1!AQ26)*C36</f>
        <v>-0</v>
      </c>
      <c r="H36" s="0" t="n">
        <f aca="false">(L_I2!AS26-L_S1!AS26)*C36</f>
        <v>0</v>
      </c>
      <c r="I36" s="0" t="n">
        <f aca="false">I35+E36</f>
        <v>410999588.711708</v>
      </c>
      <c r="J36" s="0" t="n">
        <f aca="false">J35+F36</f>
        <v>407019981.336902</v>
      </c>
      <c r="K36" s="0" t="n">
        <f aca="false">K35+G36</f>
        <v>393540196.666541</v>
      </c>
      <c r="L36" s="0" t="n">
        <f aca="false">MAX(L35,J36)</f>
        <v>434814415.417466</v>
      </c>
      <c r="M36" s="0" t="n">
        <f aca="false">IF(AND(B36&lt;x_H,J36&lt;=0,L35&gt;0),1,0)</f>
        <v>0</v>
      </c>
      <c r="N36" s="0" t="n">
        <f aca="false">IF(AND(B36&lt;x_H,I36&lt;=0,O35&gt;0),1,0)</f>
        <v>0</v>
      </c>
      <c r="O36" s="0" t="n">
        <f aca="false">MAX(O35,I36)</f>
        <v>426881792.236322</v>
      </c>
      <c r="P36" s="0" t="n">
        <f aca="false">(L_I2!V26-L_S1!V26)*D36</f>
        <v>0</v>
      </c>
    </row>
    <row r="37" customFormat="false" ht="15" hidden="false" customHeight="false" outlineLevel="0" collapsed="false">
      <c r="A37" s="0" t="n">
        <v>2050</v>
      </c>
      <c r="B37" s="0" t="n">
        <v>24</v>
      </c>
      <c r="C37" s="0" t="n">
        <f aca="false">IF(B37&lt;x_H,(1+x_dk)^(-B37),0)</f>
        <v>0</v>
      </c>
      <c r="D37" s="0" t="n">
        <f aca="false">IF(B37&lt;x_H,(1+x_de)^(-B37),0)</f>
        <v>0</v>
      </c>
      <c r="E37" s="0" t="n">
        <f aca="false">(L_I2!AO27-L_S1!AO27)*C37</f>
        <v>-0</v>
      </c>
      <c r="F37" s="0" t="n">
        <f aca="false">(L_I2!AP27-L_S1!AP27)*C37</f>
        <v>-0</v>
      </c>
      <c r="G37" s="0" t="n">
        <f aca="false">(L_I2!AQ27-L_S1!AQ27)*C37</f>
        <v>-0</v>
      </c>
      <c r="H37" s="0" t="n">
        <f aca="false">(L_I2!AS27-L_S1!AS27)*C37</f>
        <v>0</v>
      </c>
      <c r="I37" s="0" t="n">
        <f aca="false">I36+E37</f>
        <v>410999588.711708</v>
      </c>
      <c r="J37" s="0" t="n">
        <f aca="false">J36+F37</f>
        <v>407019981.336902</v>
      </c>
      <c r="K37" s="0" t="n">
        <f aca="false">K36+G37</f>
        <v>393540196.666541</v>
      </c>
      <c r="L37" s="0" t="n">
        <f aca="false">MAX(L36,J37)</f>
        <v>434814415.417466</v>
      </c>
      <c r="M37" s="0" t="n">
        <f aca="false">IF(AND(B37&lt;x_H,J37&lt;=0,L36&gt;0),1,0)</f>
        <v>0</v>
      </c>
      <c r="N37" s="0" t="n">
        <f aca="false">IF(AND(B37&lt;x_H,I37&lt;=0,O36&gt;0),1,0)</f>
        <v>0</v>
      </c>
      <c r="O37" s="0" t="n">
        <f aca="false">MAX(O36,I37)</f>
        <v>426881792.236322</v>
      </c>
      <c r="P37" s="0" t="n">
        <f aca="false">(L_I2!V27-L_S1!V27)*D37</f>
        <v>0</v>
      </c>
    </row>
    <row r="38" customFormat="false" ht="15" hidden="false" customHeight="false" outlineLevel="0" collapsed="false">
      <c r="A38" s="0" t="n">
        <v>2051</v>
      </c>
      <c r="B38" s="0" t="n">
        <v>25</v>
      </c>
      <c r="C38" s="0" t="n">
        <f aca="false">IF(B38&lt;x_H,(1+x_dk)^(-B38),0)</f>
        <v>0</v>
      </c>
      <c r="D38" s="0" t="n">
        <f aca="false">IF(B38&lt;x_H,(1+x_de)^(-B38),0)</f>
        <v>0</v>
      </c>
      <c r="E38" s="0" t="n">
        <f aca="false">(L_I2!AO28-L_S1!AO28)*C38</f>
        <v>-0</v>
      </c>
      <c r="F38" s="0" t="n">
        <f aca="false">(L_I2!AP28-L_S1!AP28)*C38</f>
        <v>-0</v>
      </c>
      <c r="G38" s="0" t="n">
        <f aca="false">(L_I2!AQ28-L_S1!AQ28)*C38</f>
        <v>-0</v>
      </c>
      <c r="H38" s="0" t="n">
        <f aca="false">(L_I2!AS28-L_S1!AS28)*C38</f>
        <v>0</v>
      </c>
      <c r="I38" s="0" t="n">
        <f aca="false">I37+E38</f>
        <v>410999588.711708</v>
      </c>
      <c r="J38" s="0" t="n">
        <f aca="false">J37+F38</f>
        <v>407019981.336902</v>
      </c>
      <c r="K38" s="0" t="n">
        <f aca="false">K37+G38</f>
        <v>393540196.666541</v>
      </c>
      <c r="L38" s="0" t="n">
        <f aca="false">MAX(L37,J38)</f>
        <v>434814415.417466</v>
      </c>
      <c r="M38" s="0" t="n">
        <f aca="false">IF(AND(B38&lt;x_H,J38&lt;=0,L37&gt;0),1,0)</f>
        <v>0</v>
      </c>
      <c r="N38" s="0" t="n">
        <f aca="false">IF(AND(B38&lt;x_H,I38&lt;=0,O37&gt;0),1,0)</f>
        <v>0</v>
      </c>
      <c r="O38" s="0" t="n">
        <f aca="false">MAX(O37,I38)</f>
        <v>426881792.236322</v>
      </c>
      <c r="P38" s="0" t="n">
        <f aca="false">(L_I2!V28-L_S1!V28)*D38</f>
        <v>0</v>
      </c>
    </row>
    <row r="39" customFormat="false" ht="15" hidden="false" customHeight="false" outlineLevel="0" collapsed="false">
      <c r="A39" s="0" t="n">
        <v>2052</v>
      </c>
      <c r="B39" s="0" t="n">
        <v>26</v>
      </c>
      <c r="C39" s="0" t="n">
        <f aca="false">IF(B39&lt;x_H,(1+x_dk)^(-B39),0)</f>
        <v>0</v>
      </c>
      <c r="D39" s="0" t="n">
        <f aca="false">IF(B39&lt;x_H,(1+x_de)^(-B39),0)</f>
        <v>0</v>
      </c>
      <c r="E39" s="0" t="n">
        <f aca="false">(L_I2!AO29-L_S1!AO29)*C39</f>
        <v>-0</v>
      </c>
      <c r="F39" s="0" t="n">
        <f aca="false">(L_I2!AP29-L_S1!AP29)*C39</f>
        <v>-0</v>
      </c>
      <c r="G39" s="0" t="n">
        <f aca="false">(L_I2!AQ29-L_S1!AQ29)*C39</f>
        <v>-0</v>
      </c>
      <c r="H39" s="0" t="n">
        <f aca="false">(L_I2!AS29-L_S1!AS29)*C39</f>
        <v>0</v>
      </c>
      <c r="I39" s="0" t="n">
        <f aca="false">I38+E39</f>
        <v>410999588.711708</v>
      </c>
      <c r="J39" s="0" t="n">
        <f aca="false">J38+F39</f>
        <v>407019981.336902</v>
      </c>
      <c r="K39" s="0" t="n">
        <f aca="false">K38+G39</f>
        <v>393540196.666541</v>
      </c>
      <c r="L39" s="0" t="n">
        <f aca="false">MAX(L38,J39)</f>
        <v>434814415.417466</v>
      </c>
      <c r="M39" s="0" t="n">
        <f aca="false">IF(AND(B39&lt;x_H,J39&lt;=0,L38&gt;0),1,0)</f>
        <v>0</v>
      </c>
      <c r="N39" s="0" t="n">
        <f aca="false">IF(AND(B39&lt;x_H,I39&lt;=0,O38&gt;0),1,0)</f>
        <v>0</v>
      </c>
      <c r="O39" s="0" t="n">
        <f aca="false">MAX(O38,I39)</f>
        <v>426881792.236322</v>
      </c>
      <c r="P39" s="0" t="n">
        <f aca="false">(L_I2!V29-L_S1!V29)*D39</f>
        <v>0</v>
      </c>
    </row>
    <row r="40" customFormat="false" ht="15" hidden="false" customHeight="false" outlineLevel="0" collapsed="false">
      <c r="A40" s="0" t="n">
        <v>2053</v>
      </c>
      <c r="B40" s="0" t="n">
        <v>27</v>
      </c>
      <c r="C40" s="0" t="n">
        <f aca="false">IF(B40&lt;x_H,(1+x_dk)^(-B40),0)</f>
        <v>0</v>
      </c>
      <c r="D40" s="0" t="n">
        <f aca="false">IF(B40&lt;x_H,(1+x_de)^(-B40),0)</f>
        <v>0</v>
      </c>
      <c r="E40" s="0" t="n">
        <f aca="false">(L_I2!AO30-L_S1!AO30)*C40</f>
        <v>-0</v>
      </c>
      <c r="F40" s="0" t="n">
        <f aca="false">(L_I2!AP30-L_S1!AP30)*C40</f>
        <v>-0</v>
      </c>
      <c r="G40" s="0" t="n">
        <f aca="false">(L_I2!AQ30-L_S1!AQ30)*C40</f>
        <v>-0</v>
      </c>
      <c r="H40" s="0" t="n">
        <f aca="false">(L_I2!AS30-L_S1!AS30)*C40</f>
        <v>0</v>
      </c>
      <c r="I40" s="0" t="n">
        <f aca="false">I39+E40</f>
        <v>410999588.711708</v>
      </c>
      <c r="J40" s="0" t="n">
        <f aca="false">J39+F40</f>
        <v>407019981.336902</v>
      </c>
      <c r="K40" s="0" t="n">
        <f aca="false">K39+G40</f>
        <v>393540196.666541</v>
      </c>
      <c r="L40" s="0" t="n">
        <f aca="false">MAX(L39,J40)</f>
        <v>434814415.417466</v>
      </c>
      <c r="M40" s="0" t="n">
        <f aca="false">IF(AND(B40&lt;x_H,J40&lt;=0,L39&gt;0),1,0)</f>
        <v>0</v>
      </c>
      <c r="N40" s="0" t="n">
        <f aca="false">IF(AND(B40&lt;x_H,I40&lt;=0,O39&gt;0),1,0)</f>
        <v>0</v>
      </c>
      <c r="O40" s="0" t="n">
        <f aca="false">MAX(O39,I40)</f>
        <v>426881792.236322</v>
      </c>
      <c r="P40" s="0" t="n">
        <f aca="false">(L_I2!V30-L_S1!V30)*D40</f>
        <v>0</v>
      </c>
    </row>
    <row r="41" customFormat="false" ht="15" hidden="false" customHeight="false" outlineLevel="0" collapsed="false">
      <c r="A41" s="0" t="n">
        <v>2054</v>
      </c>
      <c r="B41" s="0" t="n">
        <v>28</v>
      </c>
      <c r="C41" s="0" t="n">
        <f aca="false">IF(B41&lt;x_H,(1+x_dk)^(-B41),0)</f>
        <v>0</v>
      </c>
      <c r="D41" s="0" t="n">
        <f aca="false">IF(B41&lt;x_H,(1+x_de)^(-B41),0)</f>
        <v>0</v>
      </c>
      <c r="E41" s="0" t="n">
        <f aca="false">(L_I2!AO31-L_S1!AO31)*C41</f>
        <v>-0</v>
      </c>
      <c r="F41" s="0" t="n">
        <f aca="false">(L_I2!AP31-L_S1!AP31)*C41</f>
        <v>-0</v>
      </c>
      <c r="G41" s="0" t="n">
        <f aca="false">(L_I2!AQ31-L_S1!AQ31)*C41</f>
        <v>-0</v>
      </c>
      <c r="H41" s="0" t="n">
        <f aca="false">(L_I2!AS31-L_S1!AS31)*C41</f>
        <v>0</v>
      </c>
      <c r="I41" s="0" t="n">
        <f aca="false">I40+E41</f>
        <v>410999588.711708</v>
      </c>
      <c r="J41" s="0" t="n">
        <f aca="false">J40+F41</f>
        <v>407019981.336902</v>
      </c>
      <c r="K41" s="0" t="n">
        <f aca="false">K40+G41</f>
        <v>393540196.666541</v>
      </c>
      <c r="L41" s="0" t="n">
        <f aca="false">MAX(L40,J41)</f>
        <v>434814415.417466</v>
      </c>
      <c r="M41" s="0" t="n">
        <f aca="false">IF(AND(B41&lt;x_H,J41&lt;=0,L40&gt;0),1,0)</f>
        <v>0</v>
      </c>
      <c r="N41" s="0" t="n">
        <f aca="false">IF(AND(B41&lt;x_H,I41&lt;=0,O40&gt;0),1,0)</f>
        <v>0</v>
      </c>
      <c r="O41" s="0" t="n">
        <f aca="false">MAX(O40,I41)</f>
        <v>426881792.236322</v>
      </c>
      <c r="P41" s="0" t="n">
        <f aca="false">(L_I2!V31-L_S1!V31)*D41</f>
        <v>0</v>
      </c>
    </row>
    <row r="42" customFormat="false" ht="15" hidden="false" customHeight="false" outlineLevel="0" collapsed="false">
      <c r="A42" s="0" t="n">
        <v>2055</v>
      </c>
      <c r="B42" s="0" t="n">
        <v>29</v>
      </c>
      <c r="C42" s="0" t="n">
        <f aca="false">IF(B42&lt;x_H,(1+x_dk)^(-B42),0)</f>
        <v>0</v>
      </c>
      <c r="D42" s="0" t="n">
        <f aca="false">IF(B42&lt;x_H,(1+x_de)^(-B42),0)</f>
        <v>0</v>
      </c>
      <c r="E42" s="0" t="n">
        <f aca="false">(L_I2!AO32-L_S1!AO32)*C42</f>
        <v>-0</v>
      </c>
      <c r="F42" s="0" t="n">
        <f aca="false">(L_I2!AP32-L_S1!AP32)*C42</f>
        <v>-0</v>
      </c>
      <c r="G42" s="0" t="n">
        <f aca="false">(L_I2!AQ32-L_S1!AQ32)*C42</f>
        <v>-0</v>
      </c>
      <c r="H42" s="0" t="n">
        <f aca="false">(L_I2!AS32-L_S1!AS32)*C42</f>
        <v>0</v>
      </c>
      <c r="I42" s="0" t="n">
        <f aca="false">I41+E42</f>
        <v>410999588.711708</v>
      </c>
      <c r="J42" s="0" t="n">
        <f aca="false">J41+F42</f>
        <v>407019981.336902</v>
      </c>
      <c r="K42" s="0" t="n">
        <f aca="false">K41+G42</f>
        <v>393540196.666541</v>
      </c>
      <c r="L42" s="0" t="n">
        <f aca="false">MAX(L41,J42)</f>
        <v>434814415.417466</v>
      </c>
      <c r="M42" s="0" t="n">
        <f aca="false">IF(AND(B42&lt;x_H,J42&lt;=0,L41&gt;0),1,0)</f>
        <v>0</v>
      </c>
      <c r="N42" s="0" t="n">
        <f aca="false">IF(AND(B42&lt;x_H,I42&lt;=0,O41&gt;0),1,0)</f>
        <v>0</v>
      </c>
      <c r="O42" s="0" t="n">
        <f aca="false">MAX(O41,I42)</f>
        <v>426881792.236322</v>
      </c>
      <c r="P42" s="0" t="n">
        <f aca="false">(L_I2!V32-L_S1!V32)*D42</f>
        <v>0</v>
      </c>
    </row>
    <row r="43" customFormat="false" ht="15" hidden="false" customHeight="false" outlineLevel="0" collapsed="false">
      <c r="A43" s="0" t="n">
        <v>2056</v>
      </c>
      <c r="B43" s="0" t="n">
        <v>30</v>
      </c>
      <c r="C43" s="0" t="n">
        <f aca="false">IF(B43&lt;x_H,(1+x_dk)^(-B43),0)</f>
        <v>0</v>
      </c>
      <c r="D43" s="0" t="n">
        <f aca="false">IF(B43&lt;x_H,(1+x_de)^(-B43),0)</f>
        <v>0</v>
      </c>
      <c r="E43" s="0" t="n">
        <f aca="false">(L_I2!AO33-L_S1!AO33)*C43</f>
        <v>-0</v>
      </c>
      <c r="F43" s="0" t="n">
        <f aca="false">(L_I2!AP33-L_S1!AP33)*C43</f>
        <v>-0</v>
      </c>
      <c r="G43" s="0" t="n">
        <f aca="false">(L_I2!AQ33-L_S1!AQ33)*C43</f>
        <v>-0</v>
      </c>
      <c r="H43" s="0" t="n">
        <f aca="false">(L_I2!AS33-L_S1!AS33)*C43</f>
        <v>0</v>
      </c>
      <c r="I43" s="0" t="n">
        <f aca="false">I42+E43</f>
        <v>410999588.711708</v>
      </c>
      <c r="J43" s="0" t="n">
        <f aca="false">J42+F43</f>
        <v>407019981.336902</v>
      </c>
      <c r="K43" s="0" t="n">
        <f aca="false">K42+G43</f>
        <v>393540196.666541</v>
      </c>
      <c r="L43" s="0" t="n">
        <f aca="false">MAX(L42,J43)</f>
        <v>434814415.417466</v>
      </c>
      <c r="M43" s="0" t="n">
        <f aca="false">IF(AND(B43&lt;x_H,J43&lt;=0,L42&gt;0),1,0)</f>
        <v>0</v>
      </c>
      <c r="N43" s="0" t="n">
        <f aca="false">IF(AND(B43&lt;x_H,I43&lt;=0,O42&gt;0),1,0)</f>
        <v>0</v>
      </c>
      <c r="O43" s="0" t="n">
        <f aca="false">MAX(O42,I43)</f>
        <v>426881792.236322</v>
      </c>
      <c r="P43" s="0" t="n">
        <f aca="false">(L_I2!V33-L_S1!V33)*D43</f>
        <v>0</v>
      </c>
    </row>
    <row r="44" customFormat="false" ht="15" hidden="false" customHeight="false" outlineLevel="0" collapsed="false">
      <c r="A44" s="0" t="n">
        <v>2057</v>
      </c>
      <c r="B44" s="0" t="n">
        <v>31</v>
      </c>
      <c r="C44" s="0" t="n">
        <f aca="false">IF(B44&lt;x_H,(1+x_dk)^(-B44),0)</f>
        <v>0</v>
      </c>
      <c r="D44" s="0" t="n">
        <f aca="false">IF(B44&lt;x_H,(1+x_de)^(-B44),0)</f>
        <v>0</v>
      </c>
      <c r="E44" s="0" t="n">
        <f aca="false">(L_I2!AO34-L_S1!AO34)*C44</f>
        <v>-0</v>
      </c>
      <c r="F44" s="0" t="n">
        <f aca="false">(L_I2!AP34-L_S1!AP34)*C44</f>
        <v>-0</v>
      </c>
      <c r="G44" s="0" t="n">
        <f aca="false">(L_I2!AQ34-L_S1!AQ34)*C44</f>
        <v>-0</v>
      </c>
      <c r="H44" s="0" t="n">
        <f aca="false">(L_I2!AS34-L_S1!AS34)*C44</f>
        <v>0</v>
      </c>
      <c r="I44" s="0" t="n">
        <f aca="false">I43+E44</f>
        <v>410999588.711708</v>
      </c>
      <c r="J44" s="0" t="n">
        <f aca="false">J43+F44</f>
        <v>407019981.336902</v>
      </c>
      <c r="K44" s="0" t="n">
        <f aca="false">K43+G44</f>
        <v>393540196.666541</v>
      </c>
      <c r="L44" s="0" t="n">
        <f aca="false">MAX(L43,J44)</f>
        <v>434814415.417466</v>
      </c>
      <c r="M44" s="0" t="n">
        <f aca="false">IF(AND(B44&lt;x_H,J44&lt;=0,L43&gt;0),1,0)</f>
        <v>0</v>
      </c>
      <c r="N44" s="0" t="n">
        <f aca="false">IF(AND(B44&lt;x_H,I44&lt;=0,O43&gt;0),1,0)</f>
        <v>0</v>
      </c>
      <c r="O44" s="0" t="n">
        <f aca="false">MAX(O43,I44)</f>
        <v>426881792.236322</v>
      </c>
      <c r="P44" s="0" t="n">
        <f aca="false">(L_I2!V34-L_S1!V34)*D44</f>
        <v>0</v>
      </c>
    </row>
    <row r="45" customFormat="false" ht="15" hidden="false" customHeight="false" outlineLevel="0" collapsed="false">
      <c r="A45" s="0" t="n">
        <v>2058</v>
      </c>
      <c r="B45" s="0" t="n">
        <v>32</v>
      </c>
      <c r="C45" s="0" t="n">
        <f aca="false">IF(B45&lt;x_H,(1+x_dk)^(-B45),0)</f>
        <v>0</v>
      </c>
      <c r="D45" s="0" t="n">
        <f aca="false">IF(B45&lt;x_H,(1+x_de)^(-B45),0)</f>
        <v>0</v>
      </c>
      <c r="E45" s="0" t="n">
        <f aca="false">(L_I2!AO35-L_S1!AO35)*C45</f>
        <v>-0</v>
      </c>
      <c r="F45" s="0" t="n">
        <f aca="false">(L_I2!AP35-L_S1!AP35)*C45</f>
        <v>-0</v>
      </c>
      <c r="G45" s="0" t="n">
        <f aca="false">(L_I2!AQ35-L_S1!AQ35)*C45</f>
        <v>-0</v>
      </c>
      <c r="H45" s="0" t="n">
        <f aca="false">(L_I2!AS35-L_S1!AS35)*C45</f>
        <v>0</v>
      </c>
      <c r="I45" s="0" t="n">
        <f aca="false">I44+E45</f>
        <v>410999588.711708</v>
      </c>
      <c r="J45" s="0" t="n">
        <f aca="false">J44+F45</f>
        <v>407019981.336902</v>
      </c>
      <c r="K45" s="0" t="n">
        <f aca="false">K44+G45</f>
        <v>393540196.666541</v>
      </c>
      <c r="L45" s="0" t="n">
        <f aca="false">MAX(L44,J45)</f>
        <v>434814415.417466</v>
      </c>
      <c r="M45" s="0" t="n">
        <f aca="false">IF(AND(B45&lt;x_H,J45&lt;=0,L44&gt;0),1,0)</f>
        <v>0</v>
      </c>
      <c r="N45" s="0" t="n">
        <f aca="false">IF(AND(B45&lt;x_H,I45&lt;=0,O44&gt;0),1,0)</f>
        <v>0</v>
      </c>
      <c r="O45" s="0" t="n">
        <f aca="false">MAX(O44,I45)</f>
        <v>426881792.236322</v>
      </c>
      <c r="P45" s="0" t="n">
        <f aca="false">(L_I2!V35-L_S1!V35)*D45</f>
        <v>0</v>
      </c>
    </row>
    <row r="46" customFormat="false" ht="15" hidden="false" customHeight="false" outlineLevel="0" collapsed="false">
      <c r="A46" s="0" t="n">
        <v>2059</v>
      </c>
      <c r="B46" s="0" t="n">
        <v>33</v>
      </c>
      <c r="C46" s="0" t="n">
        <f aca="false">IF(B46&lt;x_H,(1+x_dk)^(-B46),0)</f>
        <v>0</v>
      </c>
      <c r="D46" s="0" t="n">
        <f aca="false">IF(B46&lt;x_H,(1+x_de)^(-B46),0)</f>
        <v>0</v>
      </c>
      <c r="E46" s="0" t="n">
        <f aca="false">(L_I2!AO36-L_S1!AO36)*C46</f>
        <v>-0</v>
      </c>
      <c r="F46" s="0" t="n">
        <f aca="false">(L_I2!AP36-L_S1!AP36)*C46</f>
        <v>-0</v>
      </c>
      <c r="G46" s="0" t="n">
        <f aca="false">(L_I2!AQ36-L_S1!AQ36)*C46</f>
        <v>-0</v>
      </c>
      <c r="H46" s="0" t="n">
        <f aca="false">(L_I2!AS36-L_S1!AS36)*C46</f>
        <v>0</v>
      </c>
      <c r="I46" s="0" t="n">
        <f aca="false">I45+E46</f>
        <v>410999588.711708</v>
      </c>
      <c r="J46" s="0" t="n">
        <f aca="false">J45+F46</f>
        <v>407019981.336902</v>
      </c>
      <c r="K46" s="0" t="n">
        <f aca="false">K45+G46</f>
        <v>393540196.666541</v>
      </c>
      <c r="L46" s="0" t="n">
        <f aca="false">MAX(L45,J46)</f>
        <v>434814415.417466</v>
      </c>
      <c r="M46" s="0" t="n">
        <f aca="false">IF(AND(B46&lt;x_H,J46&lt;=0,L45&gt;0),1,0)</f>
        <v>0</v>
      </c>
      <c r="N46" s="0" t="n">
        <f aca="false">IF(AND(B46&lt;x_H,I46&lt;=0,O45&gt;0),1,0)</f>
        <v>0</v>
      </c>
      <c r="O46" s="0" t="n">
        <f aca="false">MAX(O45,I46)</f>
        <v>426881792.236322</v>
      </c>
      <c r="P46" s="0" t="n">
        <f aca="false">(L_I2!V36-L_S1!V36)*D46</f>
        <v>0</v>
      </c>
    </row>
    <row r="47" customFormat="false" ht="15" hidden="false" customHeight="false" outlineLevel="0" collapsed="false">
      <c r="A47" s="0" t="n">
        <v>2060</v>
      </c>
      <c r="B47" s="0" t="n">
        <v>34</v>
      </c>
      <c r="C47" s="0" t="n">
        <f aca="false">IF(B47&lt;x_H,(1+x_dk)^(-B47),0)</f>
        <v>0</v>
      </c>
      <c r="D47" s="0" t="n">
        <f aca="false">IF(B47&lt;x_H,(1+x_de)^(-B47),0)</f>
        <v>0</v>
      </c>
      <c r="E47" s="0" t="n">
        <f aca="false">(L_I2!AO37-L_S1!AO37)*C47</f>
        <v>-0</v>
      </c>
      <c r="F47" s="0" t="n">
        <f aca="false">(L_I2!AP37-L_S1!AP37)*C47</f>
        <v>-0</v>
      </c>
      <c r="G47" s="0" t="n">
        <f aca="false">(L_I2!AQ37-L_S1!AQ37)*C47</f>
        <v>-0</v>
      </c>
      <c r="H47" s="0" t="n">
        <f aca="false">(L_I2!AS37-L_S1!AS37)*C47</f>
        <v>0</v>
      </c>
      <c r="I47" s="0" t="n">
        <f aca="false">I46+E47</f>
        <v>410999588.711708</v>
      </c>
      <c r="J47" s="0" t="n">
        <f aca="false">J46+F47</f>
        <v>407019981.336902</v>
      </c>
      <c r="K47" s="0" t="n">
        <f aca="false">K46+G47</f>
        <v>393540196.666541</v>
      </c>
      <c r="L47" s="0" t="n">
        <f aca="false">MAX(L46,J47)</f>
        <v>434814415.417466</v>
      </c>
      <c r="M47" s="0" t="n">
        <f aca="false">IF(AND(B47&lt;x_H,J47&lt;=0,L46&gt;0),1,0)</f>
        <v>0</v>
      </c>
      <c r="N47" s="0" t="n">
        <f aca="false">IF(AND(B47&lt;x_H,I47&lt;=0,O46&gt;0),1,0)</f>
        <v>0</v>
      </c>
      <c r="O47" s="0" t="n">
        <f aca="false">MAX(O46,I47)</f>
        <v>426881792.236322</v>
      </c>
      <c r="P47" s="0" t="n">
        <f aca="false">(L_I2!V37-L_S1!V37)*D47</f>
        <v>0</v>
      </c>
    </row>
    <row r="48" customFormat="false" ht="15" hidden="false" customHeight="false" outlineLevel="0" collapsed="false">
      <c r="A48" s="0" t="n">
        <v>2061</v>
      </c>
      <c r="B48" s="0" t="n">
        <v>35</v>
      </c>
      <c r="C48" s="0" t="n">
        <f aca="false">IF(B48&lt;x_H,(1+x_dk)^(-B48),0)</f>
        <v>0</v>
      </c>
      <c r="D48" s="0" t="n">
        <f aca="false">IF(B48&lt;x_H,(1+x_de)^(-B48),0)</f>
        <v>0</v>
      </c>
      <c r="E48" s="0" t="n">
        <f aca="false">(L_I2!AO38-L_S1!AO38)*C48</f>
        <v>-0</v>
      </c>
      <c r="F48" s="0" t="n">
        <f aca="false">(L_I2!AP38-L_S1!AP38)*C48</f>
        <v>-0</v>
      </c>
      <c r="G48" s="0" t="n">
        <f aca="false">(L_I2!AQ38-L_S1!AQ38)*C48</f>
        <v>-0</v>
      </c>
      <c r="H48" s="0" t="n">
        <f aca="false">(L_I2!AS38-L_S1!AS38)*C48</f>
        <v>0</v>
      </c>
      <c r="I48" s="0" t="n">
        <f aca="false">I47+E48</f>
        <v>410999588.711708</v>
      </c>
      <c r="J48" s="0" t="n">
        <f aca="false">J47+F48</f>
        <v>407019981.336902</v>
      </c>
      <c r="K48" s="0" t="n">
        <f aca="false">K47+G48</f>
        <v>393540196.666541</v>
      </c>
      <c r="L48" s="0" t="n">
        <f aca="false">MAX(L47,J48)</f>
        <v>434814415.417466</v>
      </c>
      <c r="M48" s="0" t="n">
        <f aca="false">IF(AND(B48&lt;x_H,J48&lt;=0,L47&gt;0),1,0)</f>
        <v>0</v>
      </c>
      <c r="N48" s="0" t="n">
        <f aca="false">IF(AND(B48&lt;x_H,I48&lt;=0,O47&gt;0),1,0)</f>
        <v>0</v>
      </c>
      <c r="O48" s="0" t="n">
        <f aca="false">MAX(O47,I48)</f>
        <v>426881792.236322</v>
      </c>
      <c r="P48" s="0" t="n">
        <f aca="false">(L_I2!V38-L_S1!V38)*D48</f>
        <v>0</v>
      </c>
    </row>
    <row r="49" customFormat="false" ht="15" hidden="false" customHeight="false" outlineLevel="0" collapsed="false">
      <c r="A49" s="0" t="n">
        <v>2062</v>
      </c>
      <c r="B49" s="0" t="n">
        <v>36</v>
      </c>
      <c r="C49" s="0" t="n">
        <f aca="false">IF(B49&lt;x_H,(1+x_dk)^(-B49),0)</f>
        <v>0</v>
      </c>
      <c r="D49" s="0" t="n">
        <f aca="false">IF(B49&lt;x_H,(1+x_de)^(-B49),0)</f>
        <v>0</v>
      </c>
      <c r="E49" s="0" t="n">
        <f aca="false">(L_I2!AO39-L_S1!AO39)*C49</f>
        <v>-0</v>
      </c>
      <c r="F49" s="0" t="n">
        <f aca="false">(L_I2!AP39-L_S1!AP39)*C49</f>
        <v>-0</v>
      </c>
      <c r="G49" s="0" t="n">
        <f aca="false">(L_I2!AQ39-L_S1!AQ39)*C49</f>
        <v>-0</v>
      </c>
      <c r="H49" s="0" t="n">
        <f aca="false">(L_I2!AS39-L_S1!AS39)*C49</f>
        <v>0</v>
      </c>
      <c r="I49" s="0" t="n">
        <f aca="false">I48+E49</f>
        <v>410999588.711708</v>
      </c>
      <c r="J49" s="0" t="n">
        <f aca="false">J48+F49</f>
        <v>407019981.336902</v>
      </c>
      <c r="K49" s="0" t="n">
        <f aca="false">K48+G49</f>
        <v>393540196.666541</v>
      </c>
      <c r="L49" s="0" t="n">
        <f aca="false">MAX(L48,J49)</f>
        <v>434814415.417466</v>
      </c>
      <c r="M49" s="0" t="n">
        <f aca="false">IF(AND(B49&lt;x_H,J49&lt;=0,L48&gt;0),1,0)</f>
        <v>0</v>
      </c>
      <c r="N49" s="0" t="n">
        <f aca="false">IF(AND(B49&lt;x_H,I49&lt;=0,O48&gt;0),1,0)</f>
        <v>0</v>
      </c>
      <c r="O49" s="0" t="n">
        <f aca="false">MAX(O48,I49)</f>
        <v>426881792.236322</v>
      </c>
      <c r="P49" s="0" t="n">
        <f aca="false">(L_I2!V39-L_S1!V39)*D49</f>
        <v>0</v>
      </c>
    </row>
    <row r="50" customFormat="false" ht="15" hidden="false" customHeight="false" outlineLevel="0" collapsed="false">
      <c r="A50" s="0" t="n">
        <v>2063</v>
      </c>
      <c r="B50" s="0" t="n">
        <v>37</v>
      </c>
      <c r="C50" s="0" t="n">
        <f aca="false">IF(B50&lt;x_H,(1+x_dk)^(-B50),0)</f>
        <v>0</v>
      </c>
      <c r="D50" s="0" t="n">
        <f aca="false">IF(B50&lt;x_H,(1+x_de)^(-B50),0)</f>
        <v>0</v>
      </c>
      <c r="E50" s="0" t="n">
        <f aca="false">(L_I2!AO40-L_S1!AO40)*C50</f>
        <v>-0</v>
      </c>
      <c r="F50" s="0" t="n">
        <f aca="false">(L_I2!AP40-L_S1!AP40)*C50</f>
        <v>-0</v>
      </c>
      <c r="G50" s="0" t="n">
        <f aca="false">(L_I2!AQ40-L_S1!AQ40)*C50</f>
        <v>-0</v>
      </c>
      <c r="H50" s="0" t="n">
        <f aca="false">(L_I2!AS40-L_S1!AS40)*C50</f>
        <v>0</v>
      </c>
      <c r="I50" s="0" t="n">
        <f aca="false">I49+E50</f>
        <v>410999588.711708</v>
      </c>
      <c r="J50" s="0" t="n">
        <f aca="false">J49+F50</f>
        <v>407019981.336902</v>
      </c>
      <c r="K50" s="0" t="n">
        <f aca="false">K49+G50</f>
        <v>393540196.666541</v>
      </c>
      <c r="L50" s="0" t="n">
        <f aca="false">MAX(L49,J50)</f>
        <v>434814415.417466</v>
      </c>
      <c r="M50" s="0" t="n">
        <f aca="false">IF(AND(B50&lt;x_H,J50&lt;=0,L49&gt;0),1,0)</f>
        <v>0</v>
      </c>
      <c r="N50" s="0" t="n">
        <f aca="false">IF(AND(B50&lt;x_H,I50&lt;=0,O49&gt;0),1,0)</f>
        <v>0</v>
      </c>
      <c r="O50" s="0" t="n">
        <f aca="false">MAX(O49,I50)</f>
        <v>426881792.236322</v>
      </c>
      <c r="P50" s="0" t="n">
        <f aca="false">(L_I2!V40-L_S1!V40)*D50</f>
        <v>0</v>
      </c>
    </row>
    <row r="51" customFormat="false" ht="15" hidden="false" customHeight="false" outlineLevel="0" collapsed="false">
      <c r="A51" s="0" t="n">
        <v>2064</v>
      </c>
      <c r="B51" s="0" t="n">
        <v>38</v>
      </c>
      <c r="C51" s="0" t="n">
        <f aca="false">IF(B51&lt;x_H,(1+x_dk)^(-B51),0)</f>
        <v>0</v>
      </c>
      <c r="D51" s="0" t="n">
        <f aca="false">IF(B51&lt;x_H,(1+x_de)^(-B51),0)</f>
        <v>0</v>
      </c>
      <c r="E51" s="0" t="n">
        <f aca="false">(L_I2!AO41-L_S1!AO41)*C51</f>
        <v>-0</v>
      </c>
      <c r="F51" s="0" t="n">
        <f aca="false">(L_I2!AP41-L_S1!AP41)*C51</f>
        <v>-0</v>
      </c>
      <c r="G51" s="0" t="n">
        <f aca="false">(L_I2!AQ41-L_S1!AQ41)*C51</f>
        <v>-0</v>
      </c>
      <c r="H51" s="0" t="n">
        <f aca="false">(L_I2!AS41-L_S1!AS41)*C51</f>
        <v>0</v>
      </c>
      <c r="I51" s="0" t="n">
        <f aca="false">I50+E51</f>
        <v>410999588.711708</v>
      </c>
      <c r="J51" s="0" t="n">
        <f aca="false">J50+F51</f>
        <v>407019981.336902</v>
      </c>
      <c r="K51" s="0" t="n">
        <f aca="false">K50+G51</f>
        <v>393540196.666541</v>
      </c>
      <c r="L51" s="0" t="n">
        <f aca="false">MAX(L50,J51)</f>
        <v>434814415.417466</v>
      </c>
      <c r="M51" s="0" t="n">
        <f aca="false">IF(AND(B51&lt;x_H,J51&lt;=0,L50&gt;0),1,0)</f>
        <v>0</v>
      </c>
      <c r="N51" s="0" t="n">
        <f aca="false">IF(AND(B51&lt;x_H,I51&lt;=0,O50&gt;0),1,0)</f>
        <v>0</v>
      </c>
      <c r="O51" s="0" t="n">
        <f aca="false">MAX(O50,I51)</f>
        <v>426881792.236322</v>
      </c>
      <c r="P51" s="0" t="n">
        <f aca="false">(L_I2!V41-L_S1!V41)*D51</f>
        <v>0</v>
      </c>
    </row>
    <row r="52" customFormat="false" ht="15" hidden="false" customHeight="false" outlineLevel="0" collapsed="false">
      <c r="A52" s="0" t="n">
        <v>2065</v>
      </c>
      <c r="B52" s="0" t="n">
        <v>39</v>
      </c>
      <c r="C52" s="0" t="n">
        <f aca="false">IF(B52&lt;x_H,(1+x_dk)^(-B52),0)</f>
        <v>0</v>
      </c>
      <c r="D52" s="0" t="n">
        <f aca="false">IF(B52&lt;x_H,(1+x_de)^(-B52),0)</f>
        <v>0</v>
      </c>
      <c r="E52" s="0" t="n">
        <f aca="false">(L_I2!AO42-L_S1!AO42)*C52</f>
        <v>-0</v>
      </c>
      <c r="F52" s="0" t="n">
        <f aca="false">(L_I2!AP42-L_S1!AP42)*C52</f>
        <v>-0</v>
      </c>
      <c r="G52" s="0" t="n">
        <f aca="false">(L_I2!AQ42-L_S1!AQ42)*C52</f>
        <v>-0</v>
      </c>
      <c r="H52" s="0" t="n">
        <f aca="false">(L_I2!AS42-L_S1!AS42)*C52</f>
        <v>0</v>
      </c>
      <c r="I52" s="0" t="n">
        <f aca="false">I51+E52</f>
        <v>410999588.711708</v>
      </c>
      <c r="J52" s="0" t="n">
        <f aca="false">J51+F52</f>
        <v>407019981.336902</v>
      </c>
      <c r="K52" s="0" t="n">
        <f aca="false">K51+G52</f>
        <v>393540196.666541</v>
      </c>
      <c r="L52" s="0" t="n">
        <f aca="false">MAX(L51,J52)</f>
        <v>434814415.417466</v>
      </c>
      <c r="M52" s="0" t="n">
        <f aca="false">IF(AND(B52&lt;x_H,J52&lt;=0,L51&gt;0),1,0)</f>
        <v>0</v>
      </c>
      <c r="N52" s="0" t="n">
        <f aca="false">IF(AND(B52&lt;x_H,I52&lt;=0,O51&gt;0),1,0)</f>
        <v>0</v>
      </c>
      <c r="O52" s="0" t="n">
        <f aca="false">MAX(O51,I52)</f>
        <v>426881792.236322</v>
      </c>
      <c r="P52" s="0" t="n">
        <f aca="false">(L_I2!V42-L_S1!V42)*D52</f>
        <v>0</v>
      </c>
    </row>
    <row r="53" customFormat="false" ht="15" hidden="false" customHeight="false" outlineLevel="0" collapsed="false">
      <c r="A53" s="0" t="n">
        <v>2066</v>
      </c>
      <c r="B53" s="0" t="n">
        <v>40</v>
      </c>
      <c r="C53" s="0" t="n">
        <f aca="false">IF(B53&lt;x_H,(1+x_dk)^(-B53),0)</f>
        <v>0</v>
      </c>
      <c r="D53" s="0" t="n">
        <f aca="false">IF(B53&lt;x_H,(1+x_de)^(-B53),0)</f>
        <v>0</v>
      </c>
      <c r="E53" s="0" t="n">
        <f aca="false">(L_I2!AO43-L_S1!AO43)*C53</f>
        <v>-0</v>
      </c>
      <c r="F53" s="0" t="n">
        <f aca="false">(L_I2!AP43-L_S1!AP43)*C53</f>
        <v>-0</v>
      </c>
      <c r="G53" s="0" t="n">
        <f aca="false">(L_I2!AQ43-L_S1!AQ43)*C53</f>
        <v>-0</v>
      </c>
      <c r="H53" s="0" t="n">
        <f aca="false">(L_I2!AS43-L_S1!AS43)*C53</f>
        <v>0</v>
      </c>
      <c r="I53" s="0" t="n">
        <f aca="false">I52+E53</f>
        <v>410999588.711708</v>
      </c>
      <c r="J53" s="0" t="n">
        <f aca="false">J52+F53</f>
        <v>407019981.336902</v>
      </c>
      <c r="K53" s="0" t="n">
        <f aca="false">K52+G53</f>
        <v>393540196.666541</v>
      </c>
      <c r="L53" s="0" t="n">
        <f aca="false">MAX(L52,J53)</f>
        <v>434814415.417466</v>
      </c>
      <c r="M53" s="0" t="n">
        <f aca="false">IF(AND(B53&lt;x_H,J53&lt;=0,L52&gt;0),1,0)</f>
        <v>0</v>
      </c>
      <c r="N53" s="0" t="n">
        <f aca="false">IF(AND(B53&lt;x_H,I53&lt;=0,O52&gt;0),1,0)</f>
        <v>0</v>
      </c>
      <c r="O53" s="0" t="n">
        <f aca="false">MAX(O52,I53)</f>
        <v>426881792.236322</v>
      </c>
      <c r="P53" s="0" t="n">
        <f aca="false">(L_I2!V43-L_S1!V43)*D53</f>
        <v>0</v>
      </c>
    </row>
    <row r="54" customFormat="false" ht="15" hidden="false" customHeight="false" outlineLevel="0" collapsed="false">
      <c r="A54" s="0" t="n">
        <v>2067</v>
      </c>
      <c r="B54" s="0" t="n">
        <v>41</v>
      </c>
      <c r="C54" s="0" t="n">
        <f aca="false">IF(B54&lt;x_H,(1+x_dk)^(-B54),0)</f>
        <v>0</v>
      </c>
      <c r="D54" s="0" t="n">
        <f aca="false">IF(B54&lt;x_H,(1+x_de)^(-B54),0)</f>
        <v>0</v>
      </c>
      <c r="E54" s="0" t="n">
        <f aca="false">(L_I2!AO44-L_S1!AO44)*C54</f>
        <v>-0</v>
      </c>
      <c r="F54" s="0" t="n">
        <f aca="false">(L_I2!AP44-L_S1!AP44)*C54</f>
        <v>-0</v>
      </c>
      <c r="G54" s="0" t="n">
        <f aca="false">(L_I2!AQ44-L_S1!AQ44)*C54</f>
        <v>-0</v>
      </c>
      <c r="H54" s="0" t="n">
        <f aca="false">(L_I2!AS44-L_S1!AS44)*C54</f>
        <v>0</v>
      </c>
      <c r="I54" s="0" t="n">
        <f aca="false">I53+E54</f>
        <v>410999588.711708</v>
      </c>
      <c r="J54" s="0" t="n">
        <f aca="false">J53+F54</f>
        <v>407019981.336902</v>
      </c>
      <c r="K54" s="0" t="n">
        <f aca="false">K53+G54</f>
        <v>393540196.666541</v>
      </c>
      <c r="L54" s="0" t="n">
        <f aca="false">MAX(L53,J54)</f>
        <v>434814415.417466</v>
      </c>
      <c r="M54" s="0" t="n">
        <f aca="false">IF(AND(B54&lt;x_H,J54&lt;=0,L53&gt;0),1,0)</f>
        <v>0</v>
      </c>
      <c r="N54" s="0" t="n">
        <f aca="false">IF(AND(B54&lt;x_H,I54&lt;=0,O53&gt;0),1,0)</f>
        <v>0</v>
      </c>
      <c r="O54" s="0" t="n">
        <f aca="false">MAX(O53,I54)</f>
        <v>426881792.236322</v>
      </c>
      <c r="P54" s="0" t="n">
        <f aca="false">(L_I2!V44-L_S1!V44)*D54</f>
        <v>0</v>
      </c>
    </row>
    <row r="55" customFormat="false" ht="15" hidden="false" customHeight="false" outlineLevel="0" collapsed="false">
      <c r="A55" s="0" t="n">
        <v>2068</v>
      </c>
      <c r="B55" s="0" t="n">
        <v>42</v>
      </c>
      <c r="C55" s="0" t="n">
        <f aca="false">IF(B55&lt;x_H,(1+x_dk)^(-B55),0)</f>
        <v>0</v>
      </c>
      <c r="D55" s="0" t="n">
        <f aca="false">IF(B55&lt;x_H,(1+x_de)^(-B55),0)</f>
        <v>0</v>
      </c>
      <c r="E55" s="0" t="n">
        <f aca="false">(L_I2!AO45-L_S1!AO45)*C55</f>
        <v>-0</v>
      </c>
      <c r="F55" s="0" t="n">
        <f aca="false">(L_I2!AP45-L_S1!AP45)*C55</f>
        <v>-0</v>
      </c>
      <c r="G55" s="0" t="n">
        <f aca="false">(L_I2!AQ45-L_S1!AQ45)*C55</f>
        <v>-0</v>
      </c>
      <c r="H55" s="0" t="n">
        <f aca="false">(L_I2!AS45-L_S1!AS45)*C55</f>
        <v>0</v>
      </c>
      <c r="I55" s="0" t="n">
        <f aca="false">I54+E55</f>
        <v>410999588.711708</v>
      </c>
      <c r="J55" s="0" t="n">
        <f aca="false">J54+F55</f>
        <v>407019981.336902</v>
      </c>
      <c r="K55" s="0" t="n">
        <f aca="false">K54+G55</f>
        <v>393540196.666541</v>
      </c>
      <c r="L55" s="0" t="n">
        <f aca="false">MAX(L54,J55)</f>
        <v>434814415.417466</v>
      </c>
      <c r="M55" s="0" t="n">
        <f aca="false">IF(AND(B55&lt;x_H,J55&lt;=0,L54&gt;0),1,0)</f>
        <v>0</v>
      </c>
      <c r="N55" s="0" t="n">
        <f aca="false">IF(AND(B55&lt;x_H,I55&lt;=0,O54&gt;0),1,0)</f>
        <v>0</v>
      </c>
      <c r="O55" s="0" t="n">
        <f aca="false">MAX(O54,I55)</f>
        <v>426881792.236322</v>
      </c>
      <c r="P55" s="0" t="n">
        <f aca="false">(L_I2!V45-L_S1!V45)*D55</f>
        <v>0</v>
      </c>
    </row>
    <row r="56" customFormat="false" ht="15" hidden="false" customHeight="false" outlineLevel="0" collapsed="false">
      <c r="A56" s="0" t="n">
        <v>2069</v>
      </c>
      <c r="B56" s="0" t="n">
        <v>43</v>
      </c>
      <c r="C56" s="0" t="n">
        <f aca="false">IF(B56&lt;x_H,(1+x_dk)^(-B56),0)</f>
        <v>0</v>
      </c>
      <c r="D56" s="0" t="n">
        <f aca="false">IF(B56&lt;x_H,(1+x_de)^(-B56),0)</f>
        <v>0</v>
      </c>
      <c r="E56" s="0" t="n">
        <f aca="false">(L_I2!AO46-L_S1!AO46)*C56</f>
        <v>-0</v>
      </c>
      <c r="F56" s="0" t="n">
        <f aca="false">(L_I2!AP46-L_S1!AP46)*C56</f>
        <v>-0</v>
      </c>
      <c r="G56" s="0" t="n">
        <f aca="false">(L_I2!AQ46-L_S1!AQ46)*C56</f>
        <v>-0</v>
      </c>
      <c r="H56" s="0" t="n">
        <f aca="false">(L_I2!AS46-L_S1!AS46)*C56</f>
        <v>0</v>
      </c>
      <c r="I56" s="0" t="n">
        <f aca="false">I55+E56</f>
        <v>410999588.711708</v>
      </c>
      <c r="J56" s="0" t="n">
        <f aca="false">J55+F56</f>
        <v>407019981.336902</v>
      </c>
      <c r="K56" s="0" t="n">
        <f aca="false">K55+G56</f>
        <v>393540196.666541</v>
      </c>
      <c r="L56" s="0" t="n">
        <f aca="false">MAX(L55,J56)</f>
        <v>434814415.417466</v>
      </c>
      <c r="M56" s="0" t="n">
        <f aca="false">IF(AND(B56&lt;x_H,J56&lt;=0,L55&gt;0),1,0)</f>
        <v>0</v>
      </c>
      <c r="N56" s="0" t="n">
        <f aca="false">IF(AND(B56&lt;x_H,I56&lt;=0,O55&gt;0),1,0)</f>
        <v>0</v>
      </c>
      <c r="O56" s="0" t="n">
        <f aca="false">MAX(O55,I56)</f>
        <v>426881792.236322</v>
      </c>
      <c r="P56" s="0" t="n">
        <f aca="false">(L_I2!V46-L_S1!V46)*D56</f>
        <v>0</v>
      </c>
    </row>
    <row r="57" customFormat="false" ht="15" hidden="false" customHeight="false" outlineLevel="0" collapsed="false">
      <c r="A57" s="0" t="n">
        <v>2070</v>
      </c>
      <c r="B57" s="0" t="n">
        <v>44</v>
      </c>
      <c r="C57" s="0" t="n">
        <f aca="false">IF(B57&lt;x_H,(1+x_dk)^(-B57),0)</f>
        <v>0</v>
      </c>
      <c r="D57" s="0" t="n">
        <f aca="false">IF(B57&lt;x_H,(1+x_de)^(-B57),0)</f>
        <v>0</v>
      </c>
      <c r="E57" s="0" t="n">
        <f aca="false">(L_I2!AO47-L_S1!AO47)*C57</f>
        <v>-0</v>
      </c>
      <c r="F57" s="0" t="n">
        <f aca="false">(L_I2!AP47-L_S1!AP47)*C57</f>
        <v>-0</v>
      </c>
      <c r="G57" s="0" t="n">
        <f aca="false">(L_I2!AQ47-L_S1!AQ47)*C57</f>
        <v>-0</v>
      </c>
      <c r="H57" s="0" t="n">
        <f aca="false">(L_I2!AS47-L_S1!AS47)*C57</f>
        <v>0</v>
      </c>
      <c r="I57" s="0" t="n">
        <f aca="false">I56+E57</f>
        <v>410999588.711708</v>
      </c>
      <c r="J57" s="0" t="n">
        <f aca="false">J56+F57</f>
        <v>407019981.336902</v>
      </c>
      <c r="K57" s="0" t="n">
        <f aca="false">K56+G57</f>
        <v>393540196.666541</v>
      </c>
      <c r="L57" s="0" t="n">
        <f aca="false">MAX(L56,J57)</f>
        <v>434814415.417466</v>
      </c>
      <c r="M57" s="0" t="n">
        <f aca="false">IF(AND(B57&lt;x_H,J57&lt;=0,L56&gt;0),1,0)</f>
        <v>0</v>
      </c>
      <c r="N57" s="0" t="n">
        <f aca="false">IF(AND(B57&lt;x_H,I57&lt;=0,O56&gt;0),1,0)</f>
        <v>0</v>
      </c>
      <c r="O57" s="0" t="n">
        <f aca="false">MAX(O56,I57)</f>
        <v>426881792.236322</v>
      </c>
      <c r="P57" s="0" t="n">
        <f aca="false">(L_I2!V47-L_S1!V47)*D57</f>
        <v>0</v>
      </c>
    </row>
    <row r="58" customFormat="false" ht="15" hidden="false" customHeight="false" outlineLevel="0" collapsed="false">
      <c r="A58" s="0" t="n">
        <v>2071</v>
      </c>
      <c r="B58" s="0" t="n">
        <v>45</v>
      </c>
      <c r="C58" s="0" t="n">
        <f aca="false">IF(B58&lt;x_H,(1+x_dk)^(-B58),0)</f>
        <v>0</v>
      </c>
      <c r="D58" s="0" t="n">
        <f aca="false">IF(B58&lt;x_H,(1+x_de)^(-B58),0)</f>
        <v>0</v>
      </c>
      <c r="E58" s="0" t="n">
        <f aca="false">(L_I2!AO48-L_S1!AO48)*C58</f>
        <v>-0</v>
      </c>
      <c r="F58" s="0" t="n">
        <f aca="false">(L_I2!AP48-L_S1!AP48)*C58</f>
        <v>-0</v>
      </c>
      <c r="G58" s="0" t="n">
        <f aca="false">(L_I2!AQ48-L_S1!AQ48)*C58</f>
        <v>-0</v>
      </c>
      <c r="H58" s="0" t="n">
        <f aca="false">(L_I2!AS48-L_S1!AS48)*C58</f>
        <v>0</v>
      </c>
      <c r="I58" s="0" t="n">
        <f aca="false">I57+E58</f>
        <v>410999588.711708</v>
      </c>
      <c r="J58" s="0" t="n">
        <f aca="false">J57+F58</f>
        <v>407019981.336902</v>
      </c>
      <c r="K58" s="0" t="n">
        <f aca="false">K57+G58</f>
        <v>393540196.666541</v>
      </c>
      <c r="L58" s="0" t="n">
        <f aca="false">MAX(L57,J58)</f>
        <v>434814415.417466</v>
      </c>
      <c r="M58" s="0" t="n">
        <f aca="false">IF(AND(B58&lt;x_H,J58&lt;=0,L57&gt;0),1,0)</f>
        <v>0</v>
      </c>
      <c r="N58" s="0" t="n">
        <f aca="false">IF(AND(B58&lt;x_H,I58&lt;=0,O57&gt;0),1,0)</f>
        <v>0</v>
      </c>
      <c r="O58" s="0" t="n">
        <f aca="false">MAX(O57,I58)</f>
        <v>426881792.236322</v>
      </c>
      <c r="P58" s="0" t="n">
        <f aca="false">(L_I2!V48-L_S1!V48)*D58</f>
        <v>0</v>
      </c>
    </row>
    <row r="59" customFormat="false" ht="15" hidden="false" customHeight="false" outlineLevel="0" collapsed="false">
      <c r="A59" s="0" t="n">
        <v>2072</v>
      </c>
      <c r="B59" s="0" t="n">
        <v>46</v>
      </c>
      <c r="C59" s="0" t="n">
        <f aca="false">IF(B59&lt;x_H,(1+x_dk)^(-B59),0)</f>
        <v>0</v>
      </c>
      <c r="D59" s="0" t="n">
        <f aca="false">IF(B59&lt;x_H,(1+x_de)^(-B59),0)</f>
        <v>0</v>
      </c>
      <c r="E59" s="0" t="n">
        <f aca="false">(L_I2!AO49-L_S1!AO49)*C59</f>
        <v>-0</v>
      </c>
      <c r="F59" s="0" t="n">
        <f aca="false">(L_I2!AP49-L_S1!AP49)*C59</f>
        <v>-0</v>
      </c>
      <c r="G59" s="0" t="n">
        <f aca="false">(L_I2!AQ49-L_S1!AQ49)*C59</f>
        <v>-0</v>
      </c>
      <c r="H59" s="0" t="n">
        <f aca="false">(L_I2!AS49-L_S1!AS49)*C59</f>
        <v>0</v>
      </c>
      <c r="I59" s="0" t="n">
        <f aca="false">I58+E59</f>
        <v>410999588.711708</v>
      </c>
      <c r="J59" s="0" t="n">
        <f aca="false">J58+F59</f>
        <v>407019981.336902</v>
      </c>
      <c r="K59" s="0" t="n">
        <f aca="false">K58+G59</f>
        <v>393540196.666541</v>
      </c>
      <c r="L59" s="0" t="n">
        <f aca="false">MAX(L58,J59)</f>
        <v>434814415.417466</v>
      </c>
      <c r="M59" s="0" t="n">
        <f aca="false">IF(AND(B59&lt;x_H,J59&lt;=0,L58&gt;0),1,0)</f>
        <v>0</v>
      </c>
      <c r="N59" s="0" t="n">
        <f aca="false">IF(AND(B59&lt;x_H,I59&lt;=0,O58&gt;0),1,0)</f>
        <v>0</v>
      </c>
      <c r="O59" s="0" t="n">
        <f aca="false">MAX(O58,I59)</f>
        <v>426881792.236322</v>
      </c>
      <c r="P59" s="0" t="n">
        <f aca="false">(L_I2!V49-L_S1!V49)*D59</f>
        <v>0</v>
      </c>
    </row>
    <row r="60" customFormat="false" ht="15" hidden="false" customHeight="false" outlineLevel="0" collapsed="false">
      <c r="A60" s="0" t="n">
        <v>2073</v>
      </c>
      <c r="B60" s="0" t="n">
        <v>47</v>
      </c>
      <c r="C60" s="0" t="n">
        <f aca="false">IF(B60&lt;x_H,(1+x_dk)^(-B60),0)</f>
        <v>0</v>
      </c>
      <c r="D60" s="0" t="n">
        <f aca="false">IF(B60&lt;x_H,(1+x_de)^(-B60),0)</f>
        <v>0</v>
      </c>
      <c r="E60" s="0" t="n">
        <f aca="false">(L_I2!AO50-L_S1!AO50)*C60</f>
        <v>-0</v>
      </c>
      <c r="F60" s="0" t="n">
        <f aca="false">(L_I2!AP50-L_S1!AP50)*C60</f>
        <v>-0</v>
      </c>
      <c r="G60" s="0" t="n">
        <f aca="false">(L_I2!AQ50-L_S1!AQ50)*C60</f>
        <v>-0</v>
      </c>
      <c r="H60" s="0" t="n">
        <f aca="false">(L_I2!AS50-L_S1!AS50)*C60</f>
        <v>0</v>
      </c>
      <c r="I60" s="0" t="n">
        <f aca="false">I59+E60</f>
        <v>410999588.711708</v>
      </c>
      <c r="J60" s="0" t="n">
        <f aca="false">J59+F60</f>
        <v>407019981.336902</v>
      </c>
      <c r="K60" s="0" t="n">
        <f aca="false">K59+G60</f>
        <v>393540196.666541</v>
      </c>
      <c r="L60" s="0" t="n">
        <f aca="false">MAX(L59,J60)</f>
        <v>434814415.417466</v>
      </c>
      <c r="M60" s="0" t="n">
        <f aca="false">IF(AND(B60&lt;x_H,J60&lt;=0,L59&gt;0),1,0)</f>
        <v>0</v>
      </c>
      <c r="N60" s="0" t="n">
        <f aca="false">IF(AND(B60&lt;x_H,I60&lt;=0,O59&gt;0),1,0)</f>
        <v>0</v>
      </c>
      <c r="O60" s="0" t="n">
        <f aca="false">MAX(O59,I60)</f>
        <v>426881792.236322</v>
      </c>
      <c r="P60" s="0" t="n">
        <f aca="false">(L_I2!V50-L_S1!V50)*D60</f>
        <v>0</v>
      </c>
    </row>
    <row r="61" customFormat="false" ht="15" hidden="false" customHeight="false" outlineLevel="0" collapsed="false">
      <c r="A61" s="0" t="n">
        <v>2074</v>
      </c>
      <c r="B61" s="0" t="n">
        <v>48</v>
      </c>
      <c r="C61" s="0" t="n">
        <f aca="false">IF(B61&lt;x_H,(1+x_dk)^(-B61),0)</f>
        <v>0</v>
      </c>
      <c r="D61" s="0" t="n">
        <f aca="false">IF(B61&lt;x_H,(1+x_de)^(-B61),0)</f>
        <v>0</v>
      </c>
      <c r="E61" s="0" t="n">
        <f aca="false">(L_I2!AO51-L_S1!AO51)*C61</f>
        <v>-0</v>
      </c>
      <c r="F61" s="0" t="n">
        <f aca="false">(L_I2!AP51-L_S1!AP51)*C61</f>
        <v>-0</v>
      </c>
      <c r="G61" s="0" t="n">
        <f aca="false">(L_I2!AQ51-L_S1!AQ51)*C61</f>
        <v>-0</v>
      </c>
      <c r="H61" s="0" t="n">
        <f aca="false">(L_I2!AS51-L_S1!AS51)*C61</f>
        <v>0</v>
      </c>
      <c r="I61" s="0" t="n">
        <f aca="false">I60+E61</f>
        <v>410999588.711708</v>
      </c>
      <c r="J61" s="0" t="n">
        <f aca="false">J60+F61</f>
        <v>407019981.336902</v>
      </c>
      <c r="K61" s="0" t="n">
        <f aca="false">K60+G61</f>
        <v>393540196.666541</v>
      </c>
      <c r="L61" s="0" t="n">
        <f aca="false">MAX(L60,J61)</f>
        <v>434814415.417466</v>
      </c>
      <c r="M61" s="0" t="n">
        <f aca="false">IF(AND(B61&lt;x_H,J61&lt;=0,L60&gt;0),1,0)</f>
        <v>0</v>
      </c>
      <c r="N61" s="0" t="n">
        <f aca="false">IF(AND(B61&lt;x_H,I61&lt;=0,O60&gt;0),1,0)</f>
        <v>0</v>
      </c>
      <c r="O61" s="0" t="n">
        <f aca="false">MAX(O60,I61)</f>
        <v>426881792.236322</v>
      </c>
      <c r="P61" s="0" t="n">
        <f aca="false">(L_I2!V51-L_S1!V51)*D61</f>
        <v>0</v>
      </c>
    </row>
    <row r="62" customFormat="false" ht="15" hidden="false" customHeight="false" outlineLevel="0" collapsed="false">
      <c r="A62" s="0" t="n">
        <v>2075</v>
      </c>
      <c r="B62" s="0" t="n">
        <v>49</v>
      </c>
      <c r="C62" s="0" t="n">
        <f aca="false">IF(B62&lt;x_H,(1+x_dk)^(-B62),0)</f>
        <v>0</v>
      </c>
      <c r="D62" s="0" t="n">
        <f aca="false">IF(B62&lt;x_H,(1+x_de)^(-B62),0)</f>
        <v>0</v>
      </c>
      <c r="E62" s="0" t="n">
        <f aca="false">(L_I2!AO52-L_S1!AO52)*C62</f>
        <v>-0</v>
      </c>
      <c r="F62" s="0" t="n">
        <f aca="false">(L_I2!AP52-L_S1!AP52)*C62</f>
        <v>-0</v>
      </c>
      <c r="G62" s="0" t="n">
        <f aca="false">(L_I2!AQ52-L_S1!AQ52)*C62</f>
        <v>-0</v>
      </c>
      <c r="H62" s="0" t="n">
        <f aca="false">(L_I2!AS52-L_S1!AS52)*C62</f>
        <v>0</v>
      </c>
      <c r="I62" s="0" t="n">
        <f aca="false">I61+E62</f>
        <v>410999588.711708</v>
      </c>
      <c r="J62" s="0" t="n">
        <f aca="false">J61+F62</f>
        <v>407019981.336902</v>
      </c>
      <c r="K62" s="0" t="n">
        <f aca="false">K61+G62</f>
        <v>393540196.666541</v>
      </c>
      <c r="L62" s="0" t="n">
        <f aca="false">MAX(L61,J62)</f>
        <v>434814415.417466</v>
      </c>
      <c r="M62" s="0" t="n">
        <f aca="false">IF(AND(B62&lt;x_H,J62&lt;=0,L61&gt;0),1,0)</f>
        <v>0</v>
      </c>
      <c r="N62" s="0" t="n">
        <f aca="false">IF(AND(B62&lt;x_H,I62&lt;=0,O61&gt;0),1,0)</f>
        <v>0</v>
      </c>
      <c r="O62" s="0" t="n">
        <f aca="false">MAX(O61,I62)</f>
        <v>426881792.236322</v>
      </c>
      <c r="P62" s="0" t="n">
        <f aca="false">(L_I2!V52-L_S1!V52)*D62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623</v>
      </c>
    </row>
    <row r="2" customFormat="false" ht="15" hidden="false" customHeight="false" outlineLevel="0" collapsed="false">
      <c r="A2" s="1" t="s">
        <v>597</v>
      </c>
      <c r="B2" s="0" t="n">
        <f aca="false">x_H</f>
        <v>20</v>
      </c>
    </row>
    <row r="3" customFormat="false" ht="15" hidden="false" customHeight="false" outlineLevel="0" collapsed="false">
      <c r="A3" s="1" t="s">
        <v>598</v>
      </c>
      <c r="B3" s="0" t="n">
        <f aca="false">SUM(H13:H62)</f>
        <v>128067948.788543</v>
      </c>
    </row>
    <row r="4" customFormat="false" ht="15" hidden="false" customHeight="false" outlineLevel="0" collapsed="false">
      <c r="A4" s="1" t="s">
        <v>599</v>
      </c>
      <c r="B4" s="0" t="n">
        <f aca="false">SUM(F13:F62)</f>
        <v>103335206.907763</v>
      </c>
    </row>
    <row r="5" customFormat="false" ht="15" hidden="false" customHeight="false" outlineLevel="0" collapsed="false">
      <c r="A5" s="1" t="s">
        <v>600</v>
      </c>
      <c r="B5" s="0" t="n">
        <f aca="false">B3-B4</f>
        <v>24732741.88078</v>
      </c>
    </row>
    <row r="6" customFormat="false" ht="15" hidden="false" customHeight="false" outlineLevel="0" collapsed="false">
      <c r="A6" s="1" t="s">
        <v>601</v>
      </c>
      <c r="B6" s="0" t="n">
        <f aca="false">IF(B3=0,"—",(B5-B3)/ABS(B3))</f>
        <v>-0.806877972867223</v>
      </c>
    </row>
    <row r="7" customFormat="false" ht="15" hidden="false" customHeight="false" outlineLevel="0" collapsed="false">
      <c r="A7" s="1" t="s">
        <v>602</v>
      </c>
      <c r="B7" s="0" t="str">
        <f aca="false">IFERROR(INDEX(A13:A62,MATCH(1,M13:M62,0)),"brak w horyzoncie")</f>
        <v>brak w horyzoncie</v>
      </c>
    </row>
    <row r="8" customFormat="false" ht="15" hidden="false" customHeight="false" outlineLevel="0" collapsed="false">
      <c r="A8" s="1" t="s">
        <v>603</v>
      </c>
      <c r="B8" s="0" t="str">
        <f aca="false">IFERROR(INDEX(A13:A62,MATCH(1,N13:N62,0)),"brak w horyzoncie")</f>
        <v>brak w horyzoncie</v>
      </c>
    </row>
    <row r="9" customFormat="false" ht="15" hidden="false" customHeight="false" outlineLevel="0" collapsed="false">
      <c r="A9" s="1" t="s">
        <v>604</v>
      </c>
      <c r="B9" s="0" t="n">
        <f aca="false">SUM(E13:E62)</f>
        <v>112790498.686162</v>
      </c>
    </row>
    <row r="10" customFormat="false" ht="15" hidden="false" customHeight="false" outlineLevel="0" collapsed="false">
      <c r="A10" s="1" t="s">
        <v>605</v>
      </c>
      <c r="B10" s="0" t="n">
        <f aca="false">IFERROR(B4/SUM(P13:P62),"—")</f>
        <v>18747.839384901</v>
      </c>
    </row>
    <row r="11" customFormat="false" ht="15" hidden="false" customHeight="false" outlineLevel="0" collapsed="false">
      <c r="A11" s="1" t="s">
        <v>606</v>
      </c>
      <c r="B11" s="0" t="n">
        <f aca="false">IFERROR(B9/SUM(P13:P62),"—")</f>
        <v>20463.2885227444</v>
      </c>
    </row>
    <row r="12" customFormat="false" ht="55.2" hidden="false" customHeight="false" outlineLevel="0" collapsed="false">
      <c r="A12" s="3" t="s">
        <v>318</v>
      </c>
      <c r="B12" s="3" t="s">
        <v>548</v>
      </c>
      <c r="C12" s="3" t="s">
        <v>607</v>
      </c>
      <c r="D12" s="3" t="s">
        <v>608</v>
      </c>
      <c r="E12" s="3" t="s">
        <v>609</v>
      </c>
      <c r="F12" s="3" t="s">
        <v>610</v>
      </c>
      <c r="G12" s="3" t="s">
        <v>611</v>
      </c>
      <c r="H12" s="3" t="s">
        <v>612</v>
      </c>
      <c r="I12" s="3" t="s">
        <v>613</v>
      </c>
      <c r="J12" s="3" t="s">
        <v>614</v>
      </c>
      <c r="K12" s="3" t="s">
        <v>615</v>
      </c>
      <c r="L12" s="3" t="s">
        <v>616</v>
      </c>
      <c r="M12" s="3" t="s">
        <v>617</v>
      </c>
      <c r="N12" s="3" t="s">
        <v>618</v>
      </c>
      <c r="O12" s="3" t="s">
        <v>619</v>
      </c>
      <c r="P12" s="3" t="s">
        <v>620</v>
      </c>
    </row>
    <row r="13" customFormat="false" ht="15" hidden="false" customHeight="false" outlineLevel="0" collapsed="false">
      <c r="A13" s="0" t="n">
        <v>2026</v>
      </c>
      <c r="B13" s="0" t="n">
        <v>0</v>
      </c>
      <c r="C13" s="0" t="n">
        <f aca="false">IF(B13&lt;x_H,(1+x_dk)^(-B13),0)</f>
        <v>1</v>
      </c>
      <c r="D13" s="0" t="n">
        <f aca="false">IF(B13&lt;x_H,(1+x_de)^(-B13),0)</f>
        <v>1</v>
      </c>
      <c r="E13" s="0" t="n">
        <f aca="false">(L_I3!AO3-L_S1!AO3)*C13</f>
        <v>13578744.3428739</v>
      </c>
      <c r="F13" s="0" t="n">
        <f aca="false">(L_I3!AP3-L_S1!AP3)*C13</f>
        <v>14815536.1249958</v>
      </c>
      <c r="G13" s="0" t="n">
        <f aca="false">(L_I3!AQ3-L_S1!AQ3)*C13</f>
        <v>14717426.7841865</v>
      </c>
      <c r="H13" s="0" t="n">
        <f aca="false">(L_I3!AS3-L_S1!AS3)*C13</f>
        <v>12742552.2032754</v>
      </c>
      <c r="I13" s="0" t="n">
        <f aca="false">E13</f>
        <v>13578744.3428739</v>
      </c>
      <c r="J13" s="0" t="n">
        <f aca="false">F13</f>
        <v>14815536.1249958</v>
      </c>
      <c r="K13" s="0" t="n">
        <f aca="false">G13</f>
        <v>14717426.7841865</v>
      </c>
      <c r="L13" s="0" t="n">
        <f aca="false">J13</f>
        <v>14815536.1249958</v>
      </c>
      <c r="M13" s="0" t="n">
        <v>0</v>
      </c>
      <c r="N13" s="0" t="n">
        <v>0</v>
      </c>
      <c r="O13" s="0" t="n">
        <f aca="false">I13</f>
        <v>13578744.3428739</v>
      </c>
      <c r="P13" s="0" t="n">
        <f aca="false">(L_I3!V3-L_S1!V3)*D13</f>
        <v>44.9060000000027</v>
      </c>
    </row>
    <row r="14" customFormat="false" ht="15" hidden="false" customHeight="false" outlineLevel="0" collapsed="false">
      <c r="A14" s="0" t="n">
        <v>2027</v>
      </c>
      <c r="B14" s="0" t="n">
        <v>1</v>
      </c>
      <c r="C14" s="0" t="n">
        <f aca="false">IF(B14&lt;x_H,(1+x_dk)^(-B14),0)</f>
        <v>0.952380952380952</v>
      </c>
      <c r="D14" s="0" t="n">
        <f aca="false">IF(B14&lt;x_H,(1+x_de)^(-B14),0)</f>
        <v>0.966183574879227</v>
      </c>
      <c r="E14" s="0" t="n">
        <f aca="false">(L_I3!AO4-L_S1!AO4)*C14</f>
        <v>23279765.9164573</v>
      </c>
      <c r="F14" s="0" t="n">
        <f aca="false">(L_I3!AP4-L_S1!AP4)*C14</f>
        <v>25301774.2074133</v>
      </c>
      <c r="G14" s="0" t="n">
        <f aca="false">(L_I3!AQ4-L_S1!AQ4)*C14</f>
        <v>25136953.3556891</v>
      </c>
      <c r="H14" s="0" t="n">
        <f aca="false">(L_I3!AS4-L_S1!AS4)*C14</f>
        <v>22324022.3041907</v>
      </c>
      <c r="I14" s="0" t="n">
        <f aca="false">I13+E14</f>
        <v>36858510.2593312</v>
      </c>
      <c r="J14" s="0" t="n">
        <f aca="false">J13+F14</f>
        <v>40117310.3324091</v>
      </c>
      <c r="K14" s="0" t="n">
        <f aca="false">K13+G14</f>
        <v>39854380.1398755</v>
      </c>
      <c r="L14" s="0" t="n">
        <f aca="false">MAX(L13,J14)</f>
        <v>40117310.3324091</v>
      </c>
      <c r="M14" s="0" t="n">
        <f aca="false">IF(AND(B14&lt;x_H,J14&lt;=0,L13&gt;0),1,0)</f>
        <v>0</v>
      </c>
      <c r="N14" s="0" t="n">
        <f aca="false">IF(AND(B14&lt;x_H,I14&lt;=0,O13&gt;0),1,0)</f>
        <v>0</v>
      </c>
      <c r="O14" s="0" t="n">
        <f aca="false">MAX(O13,I14)</f>
        <v>36858510.2593312</v>
      </c>
      <c r="P14" s="0" t="n">
        <f aca="false">(L_I3!V4-L_S1!V4)*D14</f>
        <v>97.4299516908179</v>
      </c>
    </row>
    <row r="15" customFormat="false" ht="15" hidden="false" customHeight="false" outlineLevel="0" collapsed="false">
      <c r="A15" s="0" t="n">
        <v>2028</v>
      </c>
      <c r="B15" s="0" t="n">
        <v>2</v>
      </c>
      <c r="C15" s="0" t="n">
        <f aca="false">IF(B15&lt;x_H,(1+x_dk)^(-B15),0)</f>
        <v>0.90702947845805</v>
      </c>
      <c r="D15" s="0" t="n">
        <f aca="false">IF(B15&lt;x_H,(1+x_de)^(-B15),0)</f>
        <v>0.933510700366403</v>
      </c>
      <c r="E15" s="0" t="n">
        <f aca="false">(L_I3!AO5-L_S1!AO5)*C15</f>
        <v>27189474.2951204</v>
      </c>
      <c r="F15" s="0" t="n">
        <f aca="false">(L_I3!AP5-L_S1!AP5)*C15</f>
        <v>29576260.847855</v>
      </c>
      <c r="G15" s="0" t="n">
        <f aca="false">(L_I3!AQ5-L_S1!AQ5)*C15</f>
        <v>29348377.631527</v>
      </c>
      <c r="H15" s="0" t="n">
        <f aca="false">(L_I3!AS5-L_S1!AS5)*C15</f>
        <v>26798243.5134251</v>
      </c>
      <c r="I15" s="0" t="n">
        <f aca="false">I14+E15</f>
        <v>64047984.5544517</v>
      </c>
      <c r="J15" s="0" t="n">
        <f aca="false">J14+F15</f>
        <v>69693571.1802641</v>
      </c>
      <c r="K15" s="0" t="n">
        <f aca="false">K14+G15</f>
        <v>69202757.7714025</v>
      </c>
      <c r="L15" s="0" t="n">
        <f aca="false">MAX(L14,J15)</f>
        <v>69693571.1802641</v>
      </c>
      <c r="M15" s="0" t="n">
        <f aca="false">IF(AND(B15&lt;x_H,J15&lt;=0,L14&gt;0),1,0)</f>
        <v>0</v>
      </c>
      <c r="N15" s="0" t="n">
        <f aca="false">IF(AND(B15&lt;x_H,I15&lt;=0,O14&gt;0),1,0)</f>
        <v>0</v>
      </c>
      <c r="O15" s="0" t="n">
        <f aca="false">MAX(O14,I15)</f>
        <v>64047984.5544517</v>
      </c>
      <c r="P15" s="0" t="n">
        <f aca="false">(L_I3!V5-L_S1!V5)*D15</f>
        <v>158.993675465004</v>
      </c>
    </row>
    <row r="16" customFormat="false" ht="15" hidden="false" customHeight="false" outlineLevel="0" collapsed="false">
      <c r="A16" s="0" t="n">
        <v>2029</v>
      </c>
      <c r="B16" s="0" t="n">
        <v>3</v>
      </c>
      <c r="C16" s="0" t="n">
        <f aca="false">IF(B16&lt;x_H,(1+x_dk)^(-B16),0)</f>
        <v>0.863837598531476</v>
      </c>
      <c r="D16" s="0" t="n">
        <f aca="false">IF(B16&lt;x_H,(1+x_de)^(-B16),0)</f>
        <v>0.901942705668022</v>
      </c>
      <c r="E16" s="0" t="n">
        <f aca="false">(L_I3!AO6-L_S1!AO6)*C16</f>
        <v>19384924.1782051</v>
      </c>
      <c r="F16" s="0" t="n">
        <f aca="false">(L_I3!AP6-L_S1!AP6)*C16</f>
        <v>21267507.7403141</v>
      </c>
      <c r="G16" s="0" t="n">
        <f aca="false">(L_I3!AQ6-L_S1!AQ6)*C16</f>
        <v>20947926.7225774</v>
      </c>
      <c r="H16" s="0" t="n">
        <f aca="false">(L_I3!AS6-L_S1!AS6)*C16</f>
        <v>19478221.9331204</v>
      </c>
      <c r="I16" s="0" t="n">
        <f aca="false">I15+E16</f>
        <v>83432908.7326568</v>
      </c>
      <c r="J16" s="0" t="n">
        <f aca="false">J15+F16</f>
        <v>90961078.9205782</v>
      </c>
      <c r="K16" s="0" t="n">
        <f aca="false">K15+G16</f>
        <v>90150684.4939799</v>
      </c>
      <c r="L16" s="0" t="n">
        <f aca="false">MAX(L15,J16)</f>
        <v>90961078.9205782</v>
      </c>
      <c r="M16" s="0" t="n">
        <f aca="false">IF(AND(B16&lt;x_H,J16&lt;=0,L15&gt;0),1,0)</f>
        <v>0</v>
      </c>
      <c r="N16" s="0" t="n">
        <f aca="false">IF(AND(B16&lt;x_H,I16&lt;=0,O15&gt;0),1,0)</f>
        <v>0</v>
      </c>
      <c r="O16" s="0" t="n">
        <f aca="false">MAX(O15,I16)</f>
        <v>83432908.7326568</v>
      </c>
      <c r="P16" s="0" t="n">
        <f aca="false">(L_I3!V6-L_S1!V6)*D16</f>
        <v>220.686439280149</v>
      </c>
    </row>
    <row r="17" customFormat="false" ht="15" hidden="false" customHeight="false" outlineLevel="0" collapsed="false">
      <c r="A17" s="0" t="n">
        <v>2030</v>
      </c>
      <c r="B17" s="0" t="n">
        <v>4</v>
      </c>
      <c r="C17" s="0" t="n">
        <f aca="false">IF(B17&lt;x_H,(1+x_dk)^(-B17),0)</f>
        <v>0.822702474791882</v>
      </c>
      <c r="D17" s="0" t="n">
        <f aca="false">IF(B17&lt;x_H,(1+x_de)^(-B17),0)</f>
        <v>0.871442227698572</v>
      </c>
      <c r="E17" s="0" t="n">
        <f aca="false">(L_I3!AO7-L_S1!AO7)*C17</f>
        <v>13664600.7010598</v>
      </c>
      <c r="F17" s="0" t="n">
        <f aca="false">(L_I3!AP7-L_S1!AP7)*C17</f>
        <v>15046131.5590126</v>
      </c>
      <c r="G17" s="0" t="n">
        <f aca="false">(L_I3!AQ7-L_S1!AQ7)*C17</f>
        <v>14570387.8235504</v>
      </c>
      <c r="H17" s="0" t="n">
        <f aca="false">(L_I3!AS7-L_S1!AS7)*C17</f>
        <v>14256662.6039765</v>
      </c>
      <c r="I17" s="0" t="n">
        <f aca="false">I16+E17</f>
        <v>97097509.4337166</v>
      </c>
      <c r="J17" s="0" t="n">
        <f aca="false">J16+F17</f>
        <v>106007210.479591</v>
      </c>
      <c r="K17" s="0" t="n">
        <f aca="false">K16+G17</f>
        <v>104721072.31753</v>
      </c>
      <c r="L17" s="0" t="n">
        <f aca="false">MAX(L16,J17)</f>
        <v>106007210.479591</v>
      </c>
      <c r="M17" s="0" t="n">
        <f aca="false">IF(AND(B17&lt;x_H,J17&lt;=0,L16&gt;0),1,0)</f>
        <v>0</v>
      </c>
      <c r="N17" s="0" t="n">
        <f aca="false">IF(AND(B17&lt;x_H,I17&lt;=0,O16&gt;0),1,0)</f>
        <v>0</v>
      </c>
      <c r="O17" s="0" t="n">
        <f aca="false">MAX(O16,I17)</f>
        <v>97097509.4337166</v>
      </c>
      <c r="P17" s="0" t="n">
        <f aca="false">(L_I3!V7-L_S1!V7)*D17</f>
        <v>280.50418146275</v>
      </c>
    </row>
    <row r="18" customFormat="false" ht="15" hidden="false" customHeight="false" outlineLevel="0" collapsed="false">
      <c r="A18" s="0" t="n">
        <v>2031</v>
      </c>
      <c r="B18" s="0" t="n">
        <v>5</v>
      </c>
      <c r="C18" s="0" t="n">
        <f aca="false">IF(B18&lt;x_H,(1+x_dk)^(-B18),0)</f>
        <v>0.783526166468459</v>
      </c>
      <c r="D18" s="0" t="n">
        <f aca="false">IF(B18&lt;x_H,(1+x_de)^(-B18),0)</f>
        <v>0.841973166858524</v>
      </c>
      <c r="E18" s="0" t="n">
        <f aca="false">(L_I3!AO8-L_S1!AO8)*C18</f>
        <v>9496719.81699671</v>
      </c>
      <c r="F18" s="0" t="n">
        <f aca="false">(L_I3!AP8-L_S1!AP8)*C18</f>
        <v>10381057.2110143</v>
      </c>
      <c r="G18" s="0" t="n">
        <f aca="false">(L_I3!AQ8-L_S1!AQ8)*C18</f>
        <v>9693383.50453216</v>
      </c>
      <c r="H18" s="0" t="n">
        <f aca="false">(L_I3!AS8-L_S1!AS8)*C18</f>
        <v>10526973.5649034</v>
      </c>
      <c r="I18" s="0" t="n">
        <f aca="false">I17+E18</f>
        <v>106594229.250713</v>
      </c>
      <c r="J18" s="0" t="n">
        <f aca="false">J17+F18</f>
        <v>116388267.690605</v>
      </c>
      <c r="K18" s="0" t="n">
        <f aca="false">K17+G18</f>
        <v>114414455.822062</v>
      </c>
      <c r="L18" s="0" t="n">
        <f aca="false">MAX(L17,J18)</f>
        <v>116388267.690605</v>
      </c>
      <c r="M18" s="0" t="n">
        <f aca="false">IF(AND(B18&lt;x_H,J18&lt;=0,L17&gt;0),1,0)</f>
        <v>0</v>
      </c>
      <c r="N18" s="0" t="n">
        <f aca="false">IF(AND(B18&lt;x_H,I18&lt;=0,O17&gt;0),1,0)</f>
        <v>0</v>
      </c>
      <c r="O18" s="0" t="n">
        <f aca="false">MAX(O17,I18)</f>
        <v>106594229.250713</v>
      </c>
      <c r="P18" s="0" t="n">
        <f aca="false">(L_I3!V8-L_S1!V8)*D18</f>
        <v>334.377855593526</v>
      </c>
    </row>
    <row r="19" customFormat="false" ht="15" hidden="false" customHeight="false" outlineLevel="0" collapsed="false">
      <c r="A19" s="0" t="n">
        <v>2032</v>
      </c>
      <c r="B19" s="0" t="n">
        <v>6</v>
      </c>
      <c r="C19" s="0" t="n">
        <f aca="false">IF(B19&lt;x_H,(1+x_dk)^(-B19),0)</f>
        <v>0.746215396636628</v>
      </c>
      <c r="D19" s="0" t="n">
        <f aca="false">IF(B19&lt;x_H,(1+x_de)^(-B19),0)</f>
        <v>0.813500644307753</v>
      </c>
      <c r="E19" s="0" t="n">
        <f aca="false">(L_I3!AO9-L_S1!AO9)*C19</f>
        <v>6479560.81010781</v>
      </c>
      <c r="F19" s="0" t="n">
        <f aca="false">(L_I3!AP9-L_S1!AP9)*C19</f>
        <v>6874435.90416858</v>
      </c>
      <c r="G19" s="0" t="n">
        <f aca="false">(L_I3!AQ9-L_S1!AQ9)*C19</f>
        <v>5930843.52881816</v>
      </c>
      <c r="H19" s="0" t="n">
        <f aca="false">(L_I3!AS9-L_S1!AS9)*C19</f>
        <v>7858189.38926611</v>
      </c>
      <c r="I19" s="0" t="n">
        <f aca="false">I18+E19</f>
        <v>113073790.060821</v>
      </c>
      <c r="J19" s="0" t="n">
        <f aca="false">J18+F19</f>
        <v>123262703.594774</v>
      </c>
      <c r="K19" s="0" t="n">
        <f aca="false">K18+G19</f>
        <v>120345299.350881</v>
      </c>
      <c r="L19" s="0" t="n">
        <f aca="false">MAX(L18,J19)</f>
        <v>123262703.594774</v>
      </c>
      <c r="M19" s="0" t="n">
        <f aca="false">IF(AND(B19&lt;x_H,J19&lt;=0,L18&gt;0),1,0)</f>
        <v>0</v>
      </c>
      <c r="N19" s="0" t="n">
        <f aca="false">IF(AND(B19&lt;x_H,I19&lt;=0,O18&gt;0),1,0)</f>
        <v>0</v>
      </c>
      <c r="O19" s="0" t="n">
        <f aca="false">MAX(O18,I19)</f>
        <v>113073790.060821</v>
      </c>
      <c r="P19" s="0" t="n">
        <f aca="false">(L_I3!V9-L_S1!V9)*D19</f>
        <v>378.948937634668</v>
      </c>
    </row>
    <row r="20" customFormat="false" ht="15" hidden="false" customHeight="false" outlineLevel="0" collapsed="false">
      <c r="A20" s="0" t="n">
        <v>2033</v>
      </c>
      <c r="B20" s="0" t="n">
        <v>7</v>
      </c>
      <c r="C20" s="0" t="n">
        <f aca="false">IF(B20&lt;x_H,(1+x_dk)^(-B20),0)</f>
        <v>0.710681330130121</v>
      </c>
      <c r="D20" s="0" t="n">
        <f aca="false">IF(B20&lt;x_H,(1+x_de)^(-B20),0)</f>
        <v>0.785990960683819</v>
      </c>
      <c r="E20" s="0" t="n">
        <f aca="false">(L_I3!AO10-L_S1!AO10)*C20</f>
        <v>4311552.60643263</v>
      </c>
      <c r="F20" s="0" t="n">
        <f aca="false">(L_I3!AP10-L_S1!AP10)*C20</f>
        <v>4230376.61962709</v>
      </c>
      <c r="G20" s="0" t="n">
        <f aca="false">(L_I3!AQ10-L_S1!AQ10)*C20</f>
        <v>2999892.76774253</v>
      </c>
      <c r="H20" s="0" t="n">
        <f aca="false">(L_I3!AS10-L_S1!AS10)*C20</f>
        <v>5944046.89782434</v>
      </c>
      <c r="I20" s="0" t="n">
        <f aca="false">I19+E20</f>
        <v>117385342.667254</v>
      </c>
      <c r="J20" s="0" t="n">
        <f aca="false">J19+F20</f>
        <v>127493080.214401</v>
      </c>
      <c r="K20" s="0" t="n">
        <f aca="false">K19+G20</f>
        <v>123345192.118623</v>
      </c>
      <c r="L20" s="0" t="n">
        <f aca="false">MAX(L19,J20)</f>
        <v>127493080.214401</v>
      </c>
      <c r="M20" s="0" t="n">
        <f aca="false">IF(AND(B20&lt;x_H,J20&lt;=0,L19&gt;0),1,0)</f>
        <v>0</v>
      </c>
      <c r="N20" s="0" t="n">
        <f aca="false">IF(AND(B20&lt;x_H,I20&lt;=0,O19&gt;0),1,0)</f>
        <v>0</v>
      </c>
      <c r="O20" s="0" t="n">
        <f aca="false">MAX(O19,I20)</f>
        <v>117385342.667254</v>
      </c>
      <c r="P20" s="0" t="n">
        <f aca="false">(L_I3!V10-L_S1!V10)*D20</f>
        <v>411.75001065479</v>
      </c>
    </row>
    <row r="21" customFormat="false" ht="15" hidden="false" customHeight="false" outlineLevel="0" collapsed="false">
      <c r="A21" s="0" t="n">
        <v>2034</v>
      </c>
      <c r="B21" s="0" t="n">
        <v>8</v>
      </c>
      <c r="C21" s="0" t="n">
        <f aca="false">IF(B21&lt;x_H,(1+x_dk)^(-B21),0)</f>
        <v>0.676839362028687</v>
      </c>
      <c r="D21" s="0" t="n">
        <f aca="false">IF(B21&lt;x_H,(1+x_de)^(-B21),0)</f>
        <v>0.759411556216251</v>
      </c>
      <c r="E21" s="0" t="n">
        <f aca="false">(L_I3!AO11-L_S1!AO11)*C21</f>
        <v>2765384.79661972</v>
      </c>
      <c r="F21" s="0" t="n">
        <f aca="false">(L_I3!AP11-L_S1!AP11)*C21</f>
        <v>2227863.98371407</v>
      </c>
      <c r="G21" s="0" t="n">
        <f aca="false">(L_I3!AQ11-L_S1!AQ11)*C21</f>
        <v>692515.957782096</v>
      </c>
      <c r="H21" s="0" t="n">
        <f aca="false">(L_I3!AS11-L_S1!AS11)*C21</f>
        <v>4566911.89584899</v>
      </c>
      <c r="I21" s="0" t="n">
        <f aca="false">I20+E21</f>
        <v>120150727.463873</v>
      </c>
      <c r="J21" s="0" t="n">
        <f aca="false">J20+F21</f>
        <v>129720944.198115</v>
      </c>
      <c r="K21" s="0" t="n">
        <f aca="false">K20+G21</f>
        <v>124037708.076405</v>
      </c>
      <c r="L21" s="0" t="n">
        <f aca="false">MAX(L20,J21)</f>
        <v>129720944.198115</v>
      </c>
      <c r="M21" s="0" t="n">
        <f aca="false">IF(AND(B21&lt;x_H,J21&lt;=0,L20&gt;0),1,0)</f>
        <v>0</v>
      </c>
      <c r="N21" s="0" t="n">
        <f aca="false">IF(AND(B21&lt;x_H,I21&lt;=0,O20&gt;0),1,0)</f>
        <v>0</v>
      </c>
      <c r="O21" s="0" t="n">
        <f aca="false">MAX(O20,I21)</f>
        <v>120150727.463873</v>
      </c>
      <c r="P21" s="0" t="n">
        <f aca="false">(L_I3!V11-L_S1!V11)*D21</f>
        <v>431.387531566417</v>
      </c>
    </row>
    <row r="22" customFormat="false" ht="15" hidden="false" customHeight="false" outlineLevel="0" collapsed="false">
      <c r="A22" s="0" t="n">
        <v>2035</v>
      </c>
      <c r="B22" s="0" t="n">
        <v>9</v>
      </c>
      <c r="C22" s="0" t="n">
        <f aca="false">IF(B22&lt;x_H,(1+x_dk)^(-B22),0)</f>
        <v>0.644608916217797</v>
      </c>
      <c r="D22" s="0" t="n">
        <f aca="false">IF(B22&lt;x_H,(1+x_de)^(-B22),0)</f>
        <v>0.733730972189614</v>
      </c>
      <c r="E22" s="0" t="n">
        <f aca="false">(L_I3!AO12-L_S1!AO12)*C22</f>
        <v>1598190.17841687</v>
      </c>
      <c r="F22" s="0" t="n">
        <f aca="false">(L_I3!AP12-L_S1!AP12)*C22</f>
        <v>594192.692841338</v>
      </c>
      <c r="G22" s="0" t="n">
        <f aca="false">(L_I3!AQ12-L_S1!AQ12)*C22</f>
        <v>-1246649.65391788</v>
      </c>
      <c r="H22" s="0" t="n">
        <f aca="false">(L_I3!AS12-L_S1!AS12)*C22</f>
        <v>3572124.48271197</v>
      </c>
      <c r="I22" s="0" t="n">
        <f aca="false">I21+E22</f>
        <v>121748917.64229</v>
      </c>
      <c r="J22" s="0" t="n">
        <f aca="false">J21+F22</f>
        <v>130315136.890956</v>
      </c>
      <c r="K22" s="0" t="n">
        <f aca="false">K21+G22</f>
        <v>122791058.422487</v>
      </c>
      <c r="L22" s="0" t="n">
        <f aca="false">MAX(L21,J22)</f>
        <v>130315136.890956</v>
      </c>
      <c r="M22" s="0" t="n">
        <f aca="false">IF(AND(B22&lt;x_H,J22&lt;=0,L21&gt;0),1,0)</f>
        <v>0</v>
      </c>
      <c r="N22" s="0" t="n">
        <f aca="false">IF(AND(B22&lt;x_H,I22&lt;=0,O21&gt;0),1,0)</f>
        <v>0</v>
      </c>
      <c r="O22" s="0" t="n">
        <f aca="false">MAX(O21,I22)</f>
        <v>121748917.64229</v>
      </c>
      <c r="P22" s="0" t="n">
        <f aca="false">(L_I3!V12-L_S1!V12)*D22</f>
        <v>435.827392708963</v>
      </c>
    </row>
    <row r="23" customFormat="false" ht="15" hidden="false" customHeight="false" outlineLevel="0" collapsed="false">
      <c r="A23" s="0" t="n">
        <v>2036</v>
      </c>
      <c r="B23" s="0" t="n">
        <v>10</v>
      </c>
      <c r="C23" s="0" t="n">
        <f aca="false">IF(B23&lt;x_H,(1+x_dk)^(-B23),0)</f>
        <v>0.613913253540759</v>
      </c>
      <c r="D23" s="0" t="n">
        <f aca="false">IF(B23&lt;x_H,(1+x_de)^(-B23),0)</f>
        <v>0.708918813709772</v>
      </c>
      <c r="E23" s="0" t="n">
        <f aca="false">(L_I3!AO13-L_S1!AO13)*C23</f>
        <v>-851075.897257737</v>
      </c>
      <c r="F23" s="0" t="n">
        <f aca="false">(L_I3!AP13-L_S1!AP13)*C23</f>
        <v>-3503612.34054294</v>
      </c>
      <c r="G23" s="0" t="n">
        <f aca="false">(L_I3!AQ13-L_S1!AQ13)*C23</f>
        <v>-5646059.48181761</v>
      </c>
      <c r="H23" s="0" t="n">
        <f aca="false">(L_I3!AS13-L_S1!AS13)*C23</f>
        <v>0</v>
      </c>
      <c r="I23" s="0" t="n">
        <f aca="false">I22+E23</f>
        <v>120897841.745033</v>
      </c>
      <c r="J23" s="0" t="n">
        <f aca="false">J22+F23</f>
        <v>126811524.550413</v>
      </c>
      <c r="K23" s="0" t="n">
        <f aca="false">K22+G23</f>
        <v>117144998.94067</v>
      </c>
      <c r="L23" s="0" t="n">
        <f aca="false">MAX(L22,J23)</f>
        <v>130315136.890956</v>
      </c>
      <c r="M23" s="0" t="n">
        <f aca="false">IF(AND(B23&lt;x_H,J23&lt;=0,L22&gt;0),1,0)</f>
        <v>0</v>
      </c>
      <c r="N23" s="0" t="n">
        <f aca="false">IF(AND(B23&lt;x_H,I23&lt;=0,O22&gt;0),1,0)</f>
        <v>0</v>
      </c>
      <c r="O23" s="0" t="n">
        <f aca="false">MAX(O22,I23)</f>
        <v>121748917.64229</v>
      </c>
      <c r="P23" s="0" t="n">
        <f aca="false">(L_I3!V13-L_S1!V13)*D23</f>
        <v>426.063042714829</v>
      </c>
    </row>
    <row r="24" customFormat="false" ht="15" hidden="false" customHeight="false" outlineLevel="0" collapsed="false">
      <c r="A24" s="0" t="n">
        <v>2037</v>
      </c>
      <c r="B24" s="0" t="n">
        <v>11</v>
      </c>
      <c r="C24" s="0" t="n">
        <f aca="false">IF(B24&lt;x_H,(1+x_dk)^(-B24),0)</f>
        <v>0.584679289086437</v>
      </c>
      <c r="D24" s="0" t="n">
        <f aca="false">IF(B24&lt;x_H,(1+x_de)^(-B24),0)</f>
        <v>0.684945713729249</v>
      </c>
      <c r="E24" s="0" t="n">
        <f aca="false">(L_I3!AO14-L_S1!AO14)*C24</f>
        <v>-890031.05057507</v>
      </c>
      <c r="F24" s="0" t="n">
        <f aca="false">(L_I3!AP14-L_S1!AP14)*C24</f>
        <v>-3823758.31833184</v>
      </c>
      <c r="G24" s="0" t="n">
        <f aca="false">(L_I3!AQ14-L_S1!AQ14)*C24</f>
        <v>-6257975.90529871</v>
      </c>
      <c r="H24" s="0" t="n">
        <f aca="false">(L_I3!AS14-L_S1!AS14)*C24</f>
        <v>0</v>
      </c>
      <c r="I24" s="0" t="n">
        <f aca="false">I23+E24</f>
        <v>120007810.694458</v>
      </c>
      <c r="J24" s="0" t="n">
        <f aca="false">J23+F24</f>
        <v>122987766.232081</v>
      </c>
      <c r="K24" s="0" t="n">
        <f aca="false">K23+G24</f>
        <v>110887023.035371</v>
      </c>
      <c r="L24" s="0" t="n">
        <f aca="false">MAX(L23,J24)</f>
        <v>130315136.890956</v>
      </c>
      <c r="M24" s="0" t="n">
        <f aca="false">IF(AND(B24&lt;x_H,J24&lt;=0,L23&gt;0),1,0)</f>
        <v>0</v>
      </c>
      <c r="N24" s="0" t="n">
        <f aca="false">IF(AND(B24&lt;x_H,I24&lt;=0,O23&gt;0),1,0)</f>
        <v>0</v>
      </c>
      <c r="O24" s="0" t="n">
        <f aca="false">MAX(O23,I24)</f>
        <v>121748917.64229</v>
      </c>
      <c r="P24" s="0" t="n">
        <f aca="false">(L_I3!V14-L_S1!V14)*D24</f>
        <v>404.830999588247</v>
      </c>
    </row>
    <row r="25" customFormat="false" ht="15" hidden="false" customHeight="false" outlineLevel="0" collapsed="false">
      <c r="A25" s="0" t="n">
        <v>2038</v>
      </c>
      <c r="B25" s="0" t="n">
        <v>12</v>
      </c>
      <c r="C25" s="0" t="n">
        <f aca="false">IF(B25&lt;x_H,(1+x_dk)^(-B25),0)</f>
        <v>0.556837418177559</v>
      </c>
      <c r="D25" s="0" t="n">
        <f aca="false">IF(B25&lt;x_H,(1+x_de)^(-B25),0)</f>
        <v>0.661783298289129</v>
      </c>
      <c r="E25" s="0" t="n">
        <f aca="false">(L_I3!AO15-L_S1!AO15)*C25</f>
        <v>-898602.110257122</v>
      </c>
      <c r="F25" s="0" t="n">
        <f aca="false">(L_I3!AP15-L_S1!AP15)*C25</f>
        <v>-3000327.9211036</v>
      </c>
      <c r="G25" s="0" t="n">
        <f aca="false">(L_I3!AQ15-L_S1!AQ15)*C25</f>
        <v>-4765302.2118714</v>
      </c>
      <c r="H25" s="0" t="n">
        <f aca="false">(L_I3!AS15-L_S1!AS15)*C25</f>
        <v>0</v>
      </c>
      <c r="I25" s="0" t="n">
        <f aca="false">I24+E25</f>
        <v>119109208.5842</v>
      </c>
      <c r="J25" s="0" t="n">
        <f aca="false">J24+F25</f>
        <v>119987438.310978</v>
      </c>
      <c r="K25" s="0" t="n">
        <f aca="false">K24+G25</f>
        <v>106121720.8235</v>
      </c>
      <c r="L25" s="0" t="n">
        <f aca="false">MAX(L24,J25)</f>
        <v>130315136.890956</v>
      </c>
      <c r="M25" s="0" t="n">
        <f aca="false">IF(AND(B25&lt;x_H,J25&lt;=0,L24&gt;0),1,0)</f>
        <v>0</v>
      </c>
      <c r="N25" s="0" t="n">
        <f aca="false">IF(AND(B25&lt;x_H,I25&lt;=0,O24&gt;0),1,0)</f>
        <v>0</v>
      </c>
      <c r="O25" s="0" t="n">
        <f aca="false">MAX(O24,I25)</f>
        <v>121748917.64229</v>
      </c>
      <c r="P25" s="0" t="n">
        <f aca="false">(L_I3!V15-L_S1!V15)*D25</f>
        <v>373.904916400164</v>
      </c>
    </row>
    <row r="26" customFormat="false" ht="15" hidden="false" customHeight="false" outlineLevel="0" collapsed="false">
      <c r="A26" s="0" t="n">
        <v>2039</v>
      </c>
      <c r="B26" s="0" t="n">
        <v>13</v>
      </c>
      <c r="C26" s="0" t="n">
        <f aca="false">IF(B26&lt;x_H,(1+x_dk)^(-B26),0)</f>
        <v>0.530321350645295</v>
      </c>
      <c r="D26" s="0" t="n">
        <f aca="false">IF(B26&lt;x_H,(1+x_de)^(-B26),0)</f>
        <v>0.639404152936357</v>
      </c>
      <c r="E26" s="0" t="n">
        <f aca="false">(L_I3!AO16-L_S1!AO16)*C26</f>
        <v>-895580.058900409</v>
      </c>
      <c r="F26" s="0" t="n">
        <f aca="false">(L_I3!AP16-L_S1!AP16)*C26</f>
        <v>-2133406.96299969</v>
      </c>
      <c r="G26" s="0" t="n">
        <f aca="false">(L_I3!AQ16-L_S1!AQ16)*C26</f>
        <v>-3184438.0374331</v>
      </c>
      <c r="H26" s="0" t="n">
        <f aca="false">(L_I3!AS16-L_S1!AS16)*C26</f>
        <v>0</v>
      </c>
      <c r="I26" s="0" t="n">
        <f aca="false">I25+E26</f>
        <v>118213628.5253</v>
      </c>
      <c r="J26" s="0" t="n">
        <f aca="false">J25+F26</f>
        <v>117854031.347978</v>
      </c>
      <c r="K26" s="0" t="n">
        <f aca="false">K25+G26</f>
        <v>102937282.786067</v>
      </c>
      <c r="L26" s="0" t="n">
        <f aca="false">MAX(L25,J26)</f>
        <v>130315136.890956</v>
      </c>
      <c r="M26" s="0" t="n">
        <f aca="false">IF(AND(B26&lt;x_H,J26&lt;=0,L25&gt;0),1,0)</f>
        <v>0</v>
      </c>
      <c r="N26" s="0" t="n">
        <f aca="false">IF(AND(B26&lt;x_H,I26&lt;=0,O25&gt;0),1,0)</f>
        <v>0</v>
      </c>
      <c r="O26" s="0" t="n">
        <f aca="false">MAX(O25,I26)</f>
        <v>121748917.64229</v>
      </c>
      <c r="P26" s="0" t="n">
        <f aca="false">(L_I3!V16-L_S1!V16)*D26</f>
        <v>336.426970896539</v>
      </c>
    </row>
    <row r="27" customFormat="false" ht="15" hidden="false" customHeight="false" outlineLevel="0" collapsed="false">
      <c r="A27" s="0" t="n">
        <v>2040</v>
      </c>
      <c r="B27" s="0" t="n">
        <v>14</v>
      </c>
      <c r="C27" s="0" t="n">
        <f aca="false">IF(B27&lt;x_H,(1+x_dk)^(-B27),0)</f>
        <v>0.505067952995519</v>
      </c>
      <c r="D27" s="0" t="n">
        <f aca="false">IF(B27&lt;x_H,(1+x_de)^(-B27),0)</f>
        <v>0.617781790276673</v>
      </c>
      <c r="E27" s="0" t="n">
        <f aca="false">(L_I3!AO17-L_S1!AO17)*C27</f>
        <v>-890771.179037944</v>
      </c>
      <c r="F27" s="0" t="n">
        <f aca="false">(L_I3!AP17-L_S1!AP17)*C27</f>
        <v>-2224694.41353323</v>
      </c>
      <c r="G27" s="0" t="n">
        <f aca="false">(L_I3!AQ17-L_S1!AQ17)*C27</f>
        <v>-3377798.35712025</v>
      </c>
      <c r="H27" s="0" t="n">
        <f aca="false">(L_I3!AS17-L_S1!AS17)*C27</f>
        <v>0</v>
      </c>
      <c r="I27" s="0" t="n">
        <f aca="false">I26+E27</f>
        <v>117322857.346262</v>
      </c>
      <c r="J27" s="0" t="n">
        <f aca="false">J26+F27</f>
        <v>115629336.934445</v>
      </c>
      <c r="K27" s="0" t="n">
        <f aca="false">K26+G27</f>
        <v>99559484.4289463</v>
      </c>
      <c r="L27" s="0" t="n">
        <f aca="false">MAX(L26,J27)</f>
        <v>130315136.890956</v>
      </c>
      <c r="M27" s="0" t="n">
        <f aca="false">IF(AND(B27&lt;x_H,J27&lt;=0,L26&gt;0),1,0)</f>
        <v>0</v>
      </c>
      <c r="N27" s="0" t="n">
        <f aca="false">IF(AND(B27&lt;x_H,I27&lt;=0,O26&gt;0),1,0)</f>
        <v>0</v>
      </c>
      <c r="O27" s="0" t="n">
        <f aca="false">MAX(O26,I27)</f>
        <v>121748917.64229</v>
      </c>
      <c r="P27" s="0" t="n">
        <f aca="false">(L_I3!V17-L_S1!V17)*D27</f>
        <v>295.493061452603</v>
      </c>
    </row>
    <row r="28" customFormat="false" ht="15" hidden="false" customHeight="false" outlineLevel="0" collapsed="false">
      <c r="A28" s="0" t="n">
        <v>2041</v>
      </c>
      <c r="B28" s="0" t="n">
        <v>15</v>
      </c>
      <c r="C28" s="0" t="n">
        <f aca="false">IF(B28&lt;x_H,(1+x_dk)^(-B28),0)</f>
        <v>0.48101709809097</v>
      </c>
      <c r="D28" s="0" t="n">
        <f aca="false">IF(B28&lt;x_H,(1+x_de)^(-B28),0)</f>
        <v>0.596890618624805</v>
      </c>
      <c r="E28" s="0" t="n">
        <f aca="false">(L_I3!AO18-L_S1!AO18)*C28</f>
        <v>-889857.434076172</v>
      </c>
      <c r="F28" s="0" t="n">
        <f aca="false">(L_I3!AP18-L_S1!AP18)*C28</f>
        <v>-2310311.19537336</v>
      </c>
      <c r="G28" s="0" t="n">
        <f aca="false">(L_I3!AQ18-L_S1!AQ18)*C28</f>
        <v>-3557904.83127538</v>
      </c>
      <c r="H28" s="0" t="n">
        <f aca="false">(L_I3!AS18-L_S1!AS18)*C28</f>
        <v>0</v>
      </c>
      <c r="I28" s="0" t="n">
        <f aca="false">I27+E28</f>
        <v>116432999.912186</v>
      </c>
      <c r="J28" s="0" t="n">
        <f aca="false">J27+F28</f>
        <v>113319025.739072</v>
      </c>
      <c r="K28" s="0" t="n">
        <f aca="false">K27+G28</f>
        <v>96001579.5976709</v>
      </c>
      <c r="L28" s="0" t="n">
        <f aca="false">MAX(L27,J28)</f>
        <v>130315136.890956</v>
      </c>
      <c r="M28" s="0" t="n">
        <f aca="false">IF(AND(B28&lt;x_H,J28&lt;=0,L27&gt;0),1,0)</f>
        <v>0</v>
      </c>
      <c r="N28" s="0" t="n">
        <f aca="false">IF(AND(B28&lt;x_H,I28&lt;=0,O27&gt;0),1,0)</f>
        <v>0</v>
      </c>
      <c r="O28" s="0" t="n">
        <f aca="false">MAX(O27,I28)</f>
        <v>121748917.64229</v>
      </c>
      <c r="P28" s="0" t="n">
        <f aca="false">(L_I3!V18-L_S1!V18)*D28</f>
        <v>253.61583940058</v>
      </c>
    </row>
    <row r="29" customFormat="false" ht="15" hidden="false" customHeight="false" outlineLevel="0" collapsed="false">
      <c r="A29" s="0" t="n">
        <v>2042</v>
      </c>
      <c r="B29" s="0" t="n">
        <v>16</v>
      </c>
      <c r="C29" s="0" t="n">
        <f aca="false">IF(B29&lt;x_H,(1+x_dk)^(-B29),0)</f>
        <v>0.4581115219914</v>
      </c>
      <c r="D29" s="0" t="n">
        <f aca="false">IF(B29&lt;x_H,(1+x_de)^(-B29),0)</f>
        <v>0.576705911714788</v>
      </c>
      <c r="E29" s="0" t="n">
        <f aca="false">(L_I3!AO19-L_S1!AO19)*C29</f>
        <v>-898944.571503959</v>
      </c>
      <c r="F29" s="0" t="n">
        <f aca="false">(L_I3!AP19-L_S1!AP19)*C29</f>
        <v>-2395794.58491096</v>
      </c>
      <c r="G29" s="0" t="n">
        <f aca="false">(L_I3!AQ19-L_S1!AQ19)*C29</f>
        <v>-3729324.62656232</v>
      </c>
      <c r="H29" s="0" t="n">
        <f aca="false">(L_I3!AS19-L_S1!AS19)*C29</f>
        <v>0</v>
      </c>
      <c r="I29" s="0" t="n">
        <f aca="false">I28+E29</f>
        <v>115534055.340682</v>
      </c>
      <c r="J29" s="0" t="n">
        <f aca="false">J28+F29</f>
        <v>110923231.154161</v>
      </c>
      <c r="K29" s="0" t="n">
        <f aca="false">K28+G29</f>
        <v>92272254.9711086</v>
      </c>
      <c r="L29" s="0" t="n">
        <f aca="false">MAX(L28,J29)</f>
        <v>130315136.890956</v>
      </c>
      <c r="M29" s="0" t="n">
        <f aca="false">IF(AND(B29&lt;x_H,J29&lt;=0,L28&gt;0),1,0)</f>
        <v>0</v>
      </c>
      <c r="N29" s="0" t="n">
        <f aca="false">IF(AND(B29&lt;x_H,I29&lt;=0,O28&gt;0),1,0)</f>
        <v>0</v>
      </c>
      <c r="O29" s="0" t="n">
        <f aca="false">MAX(O28,I29)</f>
        <v>121748917.64229</v>
      </c>
      <c r="P29" s="0" t="n">
        <f aca="false">(L_I3!V19-L_S1!V19)*D29</f>
        <v>211.591668890436</v>
      </c>
    </row>
    <row r="30" customFormat="false" ht="15" hidden="false" customHeight="false" outlineLevel="0" collapsed="false">
      <c r="A30" s="0" t="n">
        <v>2043</v>
      </c>
      <c r="B30" s="0" t="n">
        <v>17</v>
      </c>
      <c r="C30" s="0" t="n">
        <f aca="false">IF(B30&lt;x_H,(1+x_dk)^(-B30),0)</f>
        <v>0.436296687610857</v>
      </c>
      <c r="D30" s="0" t="n">
        <f aca="false">IF(B30&lt;x_H,(1+x_de)^(-B30),0)</f>
        <v>0.557203779434577</v>
      </c>
      <c r="E30" s="0" t="n">
        <f aca="false">(L_I3!AO20-L_S1!AO20)*C30</f>
        <v>-908642.533228629</v>
      </c>
      <c r="F30" s="0" t="n">
        <f aca="false">(L_I3!AP20-L_S1!AP20)*C30</f>
        <v>-2471473.70256983</v>
      </c>
      <c r="G30" s="0" t="n">
        <f aca="false">(L_I3!AQ20-L_S1!AQ20)*C30</f>
        <v>-3881678.47566107</v>
      </c>
      <c r="H30" s="0" t="n">
        <f aca="false">(L_I3!AS20-L_S1!AS20)*C30</f>
        <v>0</v>
      </c>
      <c r="I30" s="0" t="n">
        <f aca="false">I29+E30</f>
        <v>114625412.807453</v>
      </c>
      <c r="J30" s="0" t="n">
        <f aca="false">J29+F30</f>
        <v>108451757.451591</v>
      </c>
      <c r="K30" s="0" t="n">
        <f aca="false">K29+G30</f>
        <v>88390576.4954475</v>
      </c>
      <c r="L30" s="0" t="n">
        <f aca="false">MAX(L29,J30)</f>
        <v>130315136.890956</v>
      </c>
      <c r="M30" s="0" t="n">
        <f aca="false">IF(AND(B30&lt;x_H,J30&lt;=0,L29&gt;0),1,0)</f>
        <v>0</v>
      </c>
      <c r="N30" s="0" t="n">
        <f aca="false">IF(AND(B30&lt;x_H,I30&lt;=0,O29&gt;0),1,0)</f>
        <v>0</v>
      </c>
      <c r="O30" s="0" t="n">
        <f aca="false">MAX(O29,I30)</f>
        <v>121748917.64229</v>
      </c>
      <c r="P30" s="0" t="n">
        <f aca="false">(L_I3!V20-L_S1!V20)*D30</f>
        <v>172.230573815668</v>
      </c>
    </row>
    <row r="31" customFormat="false" ht="15" hidden="false" customHeight="false" outlineLevel="0" collapsed="false">
      <c r="A31" s="0" t="n">
        <v>2044</v>
      </c>
      <c r="B31" s="0" t="n">
        <v>18</v>
      </c>
      <c r="C31" s="0" t="n">
        <f aca="false">IF(B31&lt;x_H,(1+x_dk)^(-B31),0)</f>
        <v>0.415520654867483</v>
      </c>
      <c r="D31" s="0" t="n">
        <f aca="false">IF(B31&lt;x_H,(1+x_de)^(-B31),0)</f>
        <v>0.538361139550316</v>
      </c>
      <c r="E31" s="0" t="n">
        <f aca="false">(L_I3!AO21-L_S1!AO21)*C31</f>
        <v>-914706.330317827</v>
      </c>
      <c r="F31" s="0" t="n">
        <f aca="false">(L_I3!AP21-L_S1!AP21)*C31</f>
        <v>-2533021.63019791</v>
      </c>
      <c r="G31" s="0" t="n">
        <f aca="false">(L_I3!AQ21-L_S1!AQ21)*C31</f>
        <v>-4010201.49627322</v>
      </c>
      <c r="H31" s="0" t="n">
        <f aca="false">(L_I3!AS21-L_S1!AS21)*C31</f>
        <v>0</v>
      </c>
      <c r="I31" s="0" t="n">
        <f aca="false">I30+E31</f>
        <v>113710706.477135</v>
      </c>
      <c r="J31" s="0" t="n">
        <f aca="false">J30+F31</f>
        <v>105918735.821393</v>
      </c>
      <c r="K31" s="0" t="n">
        <f aca="false">K30+G31</f>
        <v>84380374.9991743</v>
      </c>
      <c r="L31" s="0" t="n">
        <f aca="false">MAX(L30,J31)</f>
        <v>130315136.890956</v>
      </c>
      <c r="M31" s="0" t="n">
        <f aca="false">IF(AND(B31&lt;x_H,J31&lt;=0,L30&gt;0),1,0)</f>
        <v>0</v>
      </c>
      <c r="N31" s="0" t="n">
        <f aca="false">IF(AND(B31&lt;x_H,I31&lt;=0,O30&gt;0),1,0)</f>
        <v>0</v>
      </c>
      <c r="O31" s="0" t="n">
        <f aca="false">MAX(O30,I31)</f>
        <v>121748917.64229</v>
      </c>
      <c r="P31" s="0" t="n">
        <f aca="false">(L_I3!V21-L_S1!V21)*D31</f>
        <v>137.229869554805</v>
      </c>
    </row>
    <row r="32" customFormat="false" ht="15" hidden="false" customHeight="false" outlineLevel="0" collapsed="false">
      <c r="A32" s="0" t="n">
        <v>2045</v>
      </c>
      <c r="B32" s="0" t="n">
        <v>19</v>
      </c>
      <c r="C32" s="0" t="n">
        <f aca="false">IF(B32&lt;x_H,(1+x_dk)^(-B32),0)</f>
        <v>0.39573395701665</v>
      </c>
      <c r="D32" s="0" t="n">
        <f aca="false">IF(B32&lt;x_H,(1+x_de)^(-B32),0)</f>
        <v>0.520155690386779</v>
      </c>
      <c r="E32" s="0" t="n">
        <f aca="false">(L_I3!AO22-L_S1!AO22)*C32</f>
        <v>-920207.790973869</v>
      </c>
      <c r="F32" s="0" t="n">
        <f aca="false">(L_I3!AP22-L_S1!AP22)*C32</f>
        <v>-2583528.91362994</v>
      </c>
      <c r="G32" s="0" t="n">
        <f aca="false">(L_I3!AQ22-L_S1!AQ22)*C32</f>
        <v>-4117736.16799433</v>
      </c>
      <c r="H32" s="0" t="n">
        <f aca="false">(L_I3!AS22-L_S1!AS22)*C32</f>
        <v>0</v>
      </c>
      <c r="I32" s="0" t="n">
        <f aca="false">I31+E32</f>
        <v>112790498.686162</v>
      </c>
      <c r="J32" s="0" t="n">
        <f aca="false">J31+F32</f>
        <v>103335206.907763</v>
      </c>
      <c r="K32" s="0" t="n">
        <f aca="false">K31+G32</f>
        <v>80262638.83118</v>
      </c>
      <c r="L32" s="0" t="n">
        <f aca="false">MAX(L31,J32)</f>
        <v>130315136.890956</v>
      </c>
      <c r="M32" s="0" t="n">
        <f aca="false">IF(AND(B32&lt;x_H,J32&lt;=0,L31&gt;0),1,0)</f>
        <v>0</v>
      </c>
      <c r="N32" s="0" t="n">
        <f aca="false">IF(AND(B32&lt;x_H,I32&lt;=0,O31&gt;0),1,0)</f>
        <v>0</v>
      </c>
      <c r="O32" s="0" t="n">
        <f aca="false">MAX(O31,I32)</f>
        <v>121748917.64229</v>
      </c>
      <c r="P32" s="0" t="n">
        <f aca="false">(L_I3!V22-L_S1!V22)*D32</f>
        <v>105.647261807382</v>
      </c>
    </row>
    <row r="33" customFormat="false" ht="15" hidden="false" customHeight="false" outlineLevel="0" collapsed="false">
      <c r="A33" s="0" t="n">
        <v>2046</v>
      </c>
      <c r="B33" s="0" t="n">
        <v>20</v>
      </c>
      <c r="C33" s="0" t="n">
        <f aca="false">IF(B33&lt;x_H,(1+x_dk)^(-B33),0)</f>
        <v>0</v>
      </c>
      <c r="D33" s="0" t="n">
        <f aca="false">IF(B33&lt;x_H,(1+x_de)^(-B33),0)</f>
        <v>0</v>
      </c>
      <c r="E33" s="0" t="n">
        <f aca="false">(L_I3!AO23-L_S1!AO23)*C33</f>
        <v>-0</v>
      </c>
      <c r="F33" s="0" t="n">
        <f aca="false">(L_I3!AP23-L_S1!AP23)*C33</f>
        <v>-0</v>
      </c>
      <c r="G33" s="0" t="n">
        <f aca="false">(L_I3!AQ23-L_S1!AQ23)*C33</f>
        <v>-0</v>
      </c>
      <c r="H33" s="0" t="n">
        <f aca="false">(L_I3!AS23-L_S1!AS23)*C33</f>
        <v>0</v>
      </c>
      <c r="I33" s="0" t="n">
        <f aca="false">I32+E33</f>
        <v>112790498.686162</v>
      </c>
      <c r="J33" s="0" t="n">
        <f aca="false">J32+F33</f>
        <v>103335206.907763</v>
      </c>
      <c r="K33" s="0" t="n">
        <f aca="false">K32+G33</f>
        <v>80262638.83118</v>
      </c>
      <c r="L33" s="0" t="n">
        <f aca="false">MAX(L32,J33)</f>
        <v>130315136.890956</v>
      </c>
      <c r="M33" s="0" t="n">
        <f aca="false">IF(AND(B33&lt;x_H,J33&lt;=0,L32&gt;0),1,0)</f>
        <v>0</v>
      </c>
      <c r="N33" s="0" t="n">
        <f aca="false">IF(AND(B33&lt;x_H,I33&lt;=0,O32&gt;0),1,0)</f>
        <v>0</v>
      </c>
      <c r="O33" s="0" t="n">
        <f aca="false">MAX(O32,I33)</f>
        <v>121748917.64229</v>
      </c>
      <c r="P33" s="0" t="n">
        <f aca="false">(L_I3!V23-L_S1!V23)*D33</f>
        <v>0</v>
      </c>
    </row>
    <row r="34" customFormat="false" ht="15" hidden="false" customHeight="false" outlineLevel="0" collapsed="false">
      <c r="A34" s="0" t="n">
        <v>2047</v>
      </c>
      <c r="B34" s="0" t="n">
        <v>21</v>
      </c>
      <c r="C34" s="0" t="n">
        <f aca="false">IF(B34&lt;x_H,(1+x_dk)^(-B34),0)</f>
        <v>0</v>
      </c>
      <c r="D34" s="0" t="n">
        <f aca="false">IF(B34&lt;x_H,(1+x_de)^(-B34),0)</f>
        <v>0</v>
      </c>
      <c r="E34" s="0" t="n">
        <f aca="false">(L_I3!AO24-L_S1!AO24)*C34</f>
        <v>-0</v>
      </c>
      <c r="F34" s="0" t="n">
        <f aca="false">(L_I3!AP24-L_S1!AP24)*C34</f>
        <v>-0</v>
      </c>
      <c r="G34" s="0" t="n">
        <f aca="false">(L_I3!AQ24-L_S1!AQ24)*C34</f>
        <v>-0</v>
      </c>
      <c r="H34" s="0" t="n">
        <f aca="false">(L_I3!AS24-L_S1!AS24)*C34</f>
        <v>0</v>
      </c>
      <c r="I34" s="0" t="n">
        <f aca="false">I33+E34</f>
        <v>112790498.686162</v>
      </c>
      <c r="J34" s="0" t="n">
        <f aca="false">J33+F34</f>
        <v>103335206.907763</v>
      </c>
      <c r="K34" s="0" t="n">
        <f aca="false">K33+G34</f>
        <v>80262638.83118</v>
      </c>
      <c r="L34" s="0" t="n">
        <f aca="false">MAX(L33,J34)</f>
        <v>130315136.890956</v>
      </c>
      <c r="M34" s="0" t="n">
        <f aca="false">IF(AND(B34&lt;x_H,J34&lt;=0,L33&gt;0),1,0)</f>
        <v>0</v>
      </c>
      <c r="N34" s="0" t="n">
        <f aca="false">IF(AND(B34&lt;x_H,I34&lt;=0,O33&gt;0),1,0)</f>
        <v>0</v>
      </c>
      <c r="O34" s="0" t="n">
        <f aca="false">MAX(O33,I34)</f>
        <v>121748917.64229</v>
      </c>
      <c r="P34" s="0" t="n">
        <f aca="false">(L_I3!V24-L_S1!V24)*D34</f>
        <v>0</v>
      </c>
    </row>
    <row r="35" customFormat="false" ht="15" hidden="false" customHeight="false" outlineLevel="0" collapsed="false">
      <c r="A35" s="0" t="n">
        <v>2048</v>
      </c>
      <c r="B35" s="0" t="n">
        <v>22</v>
      </c>
      <c r="C35" s="0" t="n">
        <f aca="false">IF(B35&lt;x_H,(1+x_dk)^(-B35),0)</f>
        <v>0</v>
      </c>
      <c r="D35" s="0" t="n">
        <f aca="false">IF(B35&lt;x_H,(1+x_de)^(-B35),0)</f>
        <v>0</v>
      </c>
      <c r="E35" s="0" t="n">
        <f aca="false">(L_I3!AO25-L_S1!AO25)*C35</f>
        <v>-0</v>
      </c>
      <c r="F35" s="0" t="n">
        <f aca="false">(L_I3!AP25-L_S1!AP25)*C35</f>
        <v>-0</v>
      </c>
      <c r="G35" s="0" t="n">
        <f aca="false">(L_I3!AQ25-L_S1!AQ25)*C35</f>
        <v>-0</v>
      </c>
      <c r="H35" s="0" t="n">
        <f aca="false">(L_I3!AS25-L_S1!AS25)*C35</f>
        <v>0</v>
      </c>
      <c r="I35" s="0" t="n">
        <f aca="false">I34+E35</f>
        <v>112790498.686162</v>
      </c>
      <c r="J35" s="0" t="n">
        <f aca="false">J34+F35</f>
        <v>103335206.907763</v>
      </c>
      <c r="K35" s="0" t="n">
        <f aca="false">K34+G35</f>
        <v>80262638.83118</v>
      </c>
      <c r="L35" s="0" t="n">
        <f aca="false">MAX(L34,J35)</f>
        <v>130315136.890956</v>
      </c>
      <c r="M35" s="0" t="n">
        <f aca="false">IF(AND(B35&lt;x_H,J35&lt;=0,L34&gt;0),1,0)</f>
        <v>0</v>
      </c>
      <c r="N35" s="0" t="n">
        <f aca="false">IF(AND(B35&lt;x_H,I35&lt;=0,O34&gt;0),1,0)</f>
        <v>0</v>
      </c>
      <c r="O35" s="0" t="n">
        <f aca="false">MAX(O34,I35)</f>
        <v>121748917.64229</v>
      </c>
      <c r="P35" s="0" t="n">
        <f aca="false">(L_I3!V25-L_S1!V25)*D35</f>
        <v>0</v>
      </c>
    </row>
    <row r="36" customFormat="false" ht="15" hidden="false" customHeight="false" outlineLevel="0" collapsed="false">
      <c r="A36" s="0" t="n">
        <v>2049</v>
      </c>
      <c r="B36" s="0" t="n">
        <v>23</v>
      </c>
      <c r="C36" s="0" t="n">
        <f aca="false">IF(B36&lt;x_H,(1+x_dk)^(-B36),0)</f>
        <v>0</v>
      </c>
      <c r="D36" s="0" t="n">
        <f aca="false">IF(B36&lt;x_H,(1+x_de)^(-B36),0)</f>
        <v>0</v>
      </c>
      <c r="E36" s="0" t="n">
        <f aca="false">(L_I3!AO26-L_S1!AO26)*C36</f>
        <v>-0</v>
      </c>
      <c r="F36" s="0" t="n">
        <f aca="false">(L_I3!AP26-L_S1!AP26)*C36</f>
        <v>-0</v>
      </c>
      <c r="G36" s="0" t="n">
        <f aca="false">(L_I3!AQ26-L_S1!AQ26)*C36</f>
        <v>-0</v>
      </c>
      <c r="H36" s="0" t="n">
        <f aca="false">(L_I3!AS26-L_S1!AS26)*C36</f>
        <v>0</v>
      </c>
      <c r="I36" s="0" t="n">
        <f aca="false">I35+E36</f>
        <v>112790498.686162</v>
      </c>
      <c r="J36" s="0" t="n">
        <f aca="false">J35+F36</f>
        <v>103335206.907763</v>
      </c>
      <c r="K36" s="0" t="n">
        <f aca="false">K35+G36</f>
        <v>80262638.83118</v>
      </c>
      <c r="L36" s="0" t="n">
        <f aca="false">MAX(L35,J36)</f>
        <v>130315136.890956</v>
      </c>
      <c r="M36" s="0" t="n">
        <f aca="false">IF(AND(B36&lt;x_H,J36&lt;=0,L35&gt;0),1,0)</f>
        <v>0</v>
      </c>
      <c r="N36" s="0" t="n">
        <f aca="false">IF(AND(B36&lt;x_H,I36&lt;=0,O35&gt;0),1,0)</f>
        <v>0</v>
      </c>
      <c r="O36" s="0" t="n">
        <f aca="false">MAX(O35,I36)</f>
        <v>121748917.64229</v>
      </c>
      <c r="P36" s="0" t="n">
        <f aca="false">(L_I3!V26-L_S1!V26)*D36</f>
        <v>0</v>
      </c>
    </row>
    <row r="37" customFormat="false" ht="15" hidden="false" customHeight="false" outlineLevel="0" collapsed="false">
      <c r="A37" s="0" t="n">
        <v>2050</v>
      </c>
      <c r="B37" s="0" t="n">
        <v>24</v>
      </c>
      <c r="C37" s="0" t="n">
        <f aca="false">IF(B37&lt;x_H,(1+x_dk)^(-B37),0)</f>
        <v>0</v>
      </c>
      <c r="D37" s="0" t="n">
        <f aca="false">IF(B37&lt;x_H,(1+x_de)^(-B37),0)</f>
        <v>0</v>
      </c>
      <c r="E37" s="0" t="n">
        <f aca="false">(L_I3!AO27-L_S1!AO27)*C37</f>
        <v>-0</v>
      </c>
      <c r="F37" s="0" t="n">
        <f aca="false">(L_I3!AP27-L_S1!AP27)*C37</f>
        <v>-0</v>
      </c>
      <c r="G37" s="0" t="n">
        <f aca="false">(L_I3!AQ27-L_S1!AQ27)*C37</f>
        <v>-0</v>
      </c>
      <c r="H37" s="0" t="n">
        <f aca="false">(L_I3!AS27-L_S1!AS27)*C37</f>
        <v>0</v>
      </c>
      <c r="I37" s="0" t="n">
        <f aca="false">I36+E37</f>
        <v>112790498.686162</v>
      </c>
      <c r="J37" s="0" t="n">
        <f aca="false">J36+F37</f>
        <v>103335206.907763</v>
      </c>
      <c r="K37" s="0" t="n">
        <f aca="false">K36+G37</f>
        <v>80262638.83118</v>
      </c>
      <c r="L37" s="0" t="n">
        <f aca="false">MAX(L36,J37)</f>
        <v>130315136.890956</v>
      </c>
      <c r="M37" s="0" t="n">
        <f aca="false">IF(AND(B37&lt;x_H,J37&lt;=0,L36&gt;0),1,0)</f>
        <v>0</v>
      </c>
      <c r="N37" s="0" t="n">
        <f aca="false">IF(AND(B37&lt;x_H,I37&lt;=0,O36&gt;0),1,0)</f>
        <v>0</v>
      </c>
      <c r="O37" s="0" t="n">
        <f aca="false">MAX(O36,I37)</f>
        <v>121748917.64229</v>
      </c>
      <c r="P37" s="0" t="n">
        <f aca="false">(L_I3!V27-L_S1!V27)*D37</f>
        <v>0</v>
      </c>
    </row>
    <row r="38" customFormat="false" ht="15" hidden="false" customHeight="false" outlineLevel="0" collapsed="false">
      <c r="A38" s="0" t="n">
        <v>2051</v>
      </c>
      <c r="B38" s="0" t="n">
        <v>25</v>
      </c>
      <c r="C38" s="0" t="n">
        <f aca="false">IF(B38&lt;x_H,(1+x_dk)^(-B38),0)</f>
        <v>0</v>
      </c>
      <c r="D38" s="0" t="n">
        <f aca="false">IF(B38&lt;x_H,(1+x_de)^(-B38),0)</f>
        <v>0</v>
      </c>
      <c r="E38" s="0" t="n">
        <f aca="false">(L_I3!AO28-L_S1!AO28)*C38</f>
        <v>-0</v>
      </c>
      <c r="F38" s="0" t="n">
        <f aca="false">(L_I3!AP28-L_S1!AP28)*C38</f>
        <v>-0</v>
      </c>
      <c r="G38" s="0" t="n">
        <f aca="false">(L_I3!AQ28-L_S1!AQ28)*C38</f>
        <v>-0</v>
      </c>
      <c r="H38" s="0" t="n">
        <f aca="false">(L_I3!AS28-L_S1!AS28)*C38</f>
        <v>0</v>
      </c>
      <c r="I38" s="0" t="n">
        <f aca="false">I37+E38</f>
        <v>112790498.686162</v>
      </c>
      <c r="J38" s="0" t="n">
        <f aca="false">J37+F38</f>
        <v>103335206.907763</v>
      </c>
      <c r="K38" s="0" t="n">
        <f aca="false">K37+G38</f>
        <v>80262638.83118</v>
      </c>
      <c r="L38" s="0" t="n">
        <f aca="false">MAX(L37,J38)</f>
        <v>130315136.890956</v>
      </c>
      <c r="M38" s="0" t="n">
        <f aca="false">IF(AND(B38&lt;x_H,J38&lt;=0,L37&gt;0),1,0)</f>
        <v>0</v>
      </c>
      <c r="N38" s="0" t="n">
        <f aca="false">IF(AND(B38&lt;x_H,I38&lt;=0,O37&gt;0),1,0)</f>
        <v>0</v>
      </c>
      <c r="O38" s="0" t="n">
        <f aca="false">MAX(O37,I38)</f>
        <v>121748917.64229</v>
      </c>
      <c r="P38" s="0" t="n">
        <f aca="false">(L_I3!V28-L_S1!V28)*D38</f>
        <v>-0</v>
      </c>
    </row>
    <row r="39" customFormat="false" ht="15" hidden="false" customHeight="false" outlineLevel="0" collapsed="false">
      <c r="A39" s="0" t="n">
        <v>2052</v>
      </c>
      <c r="B39" s="0" t="n">
        <v>26</v>
      </c>
      <c r="C39" s="0" t="n">
        <f aca="false">IF(B39&lt;x_H,(1+x_dk)^(-B39),0)</f>
        <v>0</v>
      </c>
      <c r="D39" s="0" t="n">
        <f aca="false">IF(B39&lt;x_H,(1+x_de)^(-B39),0)</f>
        <v>0</v>
      </c>
      <c r="E39" s="0" t="n">
        <f aca="false">(L_I3!AO29-L_S1!AO29)*C39</f>
        <v>-0</v>
      </c>
      <c r="F39" s="0" t="n">
        <f aca="false">(L_I3!AP29-L_S1!AP29)*C39</f>
        <v>-0</v>
      </c>
      <c r="G39" s="0" t="n">
        <f aca="false">(L_I3!AQ29-L_S1!AQ29)*C39</f>
        <v>-0</v>
      </c>
      <c r="H39" s="0" t="n">
        <f aca="false">(L_I3!AS29-L_S1!AS29)*C39</f>
        <v>0</v>
      </c>
      <c r="I39" s="0" t="n">
        <f aca="false">I38+E39</f>
        <v>112790498.686162</v>
      </c>
      <c r="J39" s="0" t="n">
        <f aca="false">J38+F39</f>
        <v>103335206.907763</v>
      </c>
      <c r="K39" s="0" t="n">
        <f aca="false">K38+G39</f>
        <v>80262638.83118</v>
      </c>
      <c r="L39" s="0" t="n">
        <f aca="false">MAX(L38,J39)</f>
        <v>130315136.890956</v>
      </c>
      <c r="M39" s="0" t="n">
        <f aca="false">IF(AND(B39&lt;x_H,J39&lt;=0,L38&gt;0),1,0)</f>
        <v>0</v>
      </c>
      <c r="N39" s="0" t="n">
        <f aca="false">IF(AND(B39&lt;x_H,I39&lt;=0,O38&gt;0),1,0)</f>
        <v>0</v>
      </c>
      <c r="O39" s="0" t="n">
        <f aca="false">MAX(O38,I39)</f>
        <v>121748917.64229</v>
      </c>
      <c r="P39" s="0" t="n">
        <f aca="false">(L_I3!V29-L_S1!V29)*D39</f>
        <v>-0</v>
      </c>
    </row>
    <row r="40" customFormat="false" ht="15" hidden="false" customHeight="false" outlineLevel="0" collapsed="false">
      <c r="A40" s="0" t="n">
        <v>2053</v>
      </c>
      <c r="B40" s="0" t="n">
        <v>27</v>
      </c>
      <c r="C40" s="0" t="n">
        <f aca="false">IF(B40&lt;x_H,(1+x_dk)^(-B40),0)</f>
        <v>0</v>
      </c>
      <c r="D40" s="0" t="n">
        <f aca="false">IF(B40&lt;x_H,(1+x_de)^(-B40),0)</f>
        <v>0</v>
      </c>
      <c r="E40" s="0" t="n">
        <f aca="false">(L_I3!AO30-L_S1!AO30)*C40</f>
        <v>-0</v>
      </c>
      <c r="F40" s="0" t="n">
        <f aca="false">(L_I3!AP30-L_S1!AP30)*C40</f>
        <v>-0</v>
      </c>
      <c r="G40" s="0" t="n">
        <f aca="false">(L_I3!AQ30-L_S1!AQ30)*C40</f>
        <v>-0</v>
      </c>
      <c r="H40" s="0" t="n">
        <f aca="false">(L_I3!AS30-L_S1!AS30)*C40</f>
        <v>0</v>
      </c>
      <c r="I40" s="0" t="n">
        <f aca="false">I39+E40</f>
        <v>112790498.686162</v>
      </c>
      <c r="J40" s="0" t="n">
        <f aca="false">J39+F40</f>
        <v>103335206.907763</v>
      </c>
      <c r="K40" s="0" t="n">
        <f aca="false">K39+G40</f>
        <v>80262638.83118</v>
      </c>
      <c r="L40" s="0" t="n">
        <f aca="false">MAX(L39,J40)</f>
        <v>130315136.890956</v>
      </c>
      <c r="M40" s="0" t="n">
        <f aca="false">IF(AND(B40&lt;x_H,J40&lt;=0,L39&gt;0),1,0)</f>
        <v>0</v>
      </c>
      <c r="N40" s="0" t="n">
        <f aca="false">IF(AND(B40&lt;x_H,I40&lt;=0,O39&gt;0),1,0)</f>
        <v>0</v>
      </c>
      <c r="O40" s="0" t="n">
        <f aca="false">MAX(O39,I40)</f>
        <v>121748917.64229</v>
      </c>
      <c r="P40" s="0" t="n">
        <f aca="false">(L_I3!V30-L_S1!V30)*D40</f>
        <v>-0</v>
      </c>
    </row>
    <row r="41" customFormat="false" ht="15" hidden="false" customHeight="false" outlineLevel="0" collapsed="false">
      <c r="A41" s="0" t="n">
        <v>2054</v>
      </c>
      <c r="B41" s="0" t="n">
        <v>28</v>
      </c>
      <c r="C41" s="0" t="n">
        <f aca="false">IF(B41&lt;x_H,(1+x_dk)^(-B41),0)</f>
        <v>0</v>
      </c>
      <c r="D41" s="0" t="n">
        <f aca="false">IF(B41&lt;x_H,(1+x_de)^(-B41),0)</f>
        <v>0</v>
      </c>
      <c r="E41" s="0" t="n">
        <f aca="false">(L_I3!AO31-L_S1!AO31)*C41</f>
        <v>-0</v>
      </c>
      <c r="F41" s="0" t="n">
        <f aca="false">(L_I3!AP31-L_S1!AP31)*C41</f>
        <v>-0</v>
      </c>
      <c r="G41" s="0" t="n">
        <f aca="false">(L_I3!AQ31-L_S1!AQ31)*C41</f>
        <v>-0</v>
      </c>
      <c r="H41" s="0" t="n">
        <f aca="false">(L_I3!AS31-L_S1!AS31)*C41</f>
        <v>0</v>
      </c>
      <c r="I41" s="0" t="n">
        <f aca="false">I40+E41</f>
        <v>112790498.686162</v>
      </c>
      <c r="J41" s="0" t="n">
        <f aca="false">J40+F41</f>
        <v>103335206.907763</v>
      </c>
      <c r="K41" s="0" t="n">
        <f aca="false">K40+G41</f>
        <v>80262638.83118</v>
      </c>
      <c r="L41" s="0" t="n">
        <f aca="false">MAX(L40,J41)</f>
        <v>130315136.890956</v>
      </c>
      <c r="M41" s="0" t="n">
        <f aca="false">IF(AND(B41&lt;x_H,J41&lt;=0,L40&gt;0),1,0)</f>
        <v>0</v>
      </c>
      <c r="N41" s="0" t="n">
        <f aca="false">IF(AND(B41&lt;x_H,I41&lt;=0,O40&gt;0),1,0)</f>
        <v>0</v>
      </c>
      <c r="O41" s="0" t="n">
        <f aca="false">MAX(O40,I41)</f>
        <v>121748917.64229</v>
      </c>
      <c r="P41" s="0" t="n">
        <f aca="false">(L_I3!V31-L_S1!V31)*D41</f>
        <v>-0</v>
      </c>
    </row>
    <row r="42" customFormat="false" ht="15" hidden="false" customHeight="false" outlineLevel="0" collapsed="false">
      <c r="A42" s="0" t="n">
        <v>2055</v>
      </c>
      <c r="B42" s="0" t="n">
        <v>29</v>
      </c>
      <c r="C42" s="0" t="n">
        <f aca="false">IF(B42&lt;x_H,(1+x_dk)^(-B42),0)</f>
        <v>0</v>
      </c>
      <c r="D42" s="0" t="n">
        <f aca="false">IF(B42&lt;x_H,(1+x_de)^(-B42),0)</f>
        <v>0</v>
      </c>
      <c r="E42" s="0" t="n">
        <f aca="false">(L_I3!AO32-L_S1!AO32)*C42</f>
        <v>-0</v>
      </c>
      <c r="F42" s="0" t="n">
        <f aca="false">(L_I3!AP32-L_S1!AP32)*C42</f>
        <v>-0</v>
      </c>
      <c r="G42" s="0" t="n">
        <f aca="false">(L_I3!AQ32-L_S1!AQ32)*C42</f>
        <v>-0</v>
      </c>
      <c r="H42" s="0" t="n">
        <f aca="false">(L_I3!AS32-L_S1!AS32)*C42</f>
        <v>0</v>
      </c>
      <c r="I42" s="0" t="n">
        <f aca="false">I41+E42</f>
        <v>112790498.686162</v>
      </c>
      <c r="J42" s="0" t="n">
        <f aca="false">J41+F42</f>
        <v>103335206.907763</v>
      </c>
      <c r="K42" s="0" t="n">
        <f aca="false">K41+G42</f>
        <v>80262638.83118</v>
      </c>
      <c r="L42" s="0" t="n">
        <f aca="false">MAX(L41,J42)</f>
        <v>130315136.890956</v>
      </c>
      <c r="M42" s="0" t="n">
        <f aca="false">IF(AND(B42&lt;x_H,J42&lt;=0,L41&gt;0),1,0)</f>
        <v>0</v>
      </c>
      <c r="N42" s="0" t="n">
        <f aca="false">IF(AND(B42&lt;x_H,I42&lt;=0,O41&gt;0),1,0)</f>
        <v>0</v>
      </c>
      <c r="O42" s="0" t="n">
        <f aca="false">MAX(O41,I42)</f>
        <v>121748917.64229</v>
      </c>
      <c r="P42" s="0" t="n">
        <f aca="false">(L_I3!V32-L_S1!V32)*D42</f>
        <v>-0</v>
      </c>
    </row>
    <row r="43" customFormat="false" ht="15" hidden="false" customHeight="false" outlineLevel="0" collapsed="false">
      <c r="A43" s="0" t="n">
        <v>2056</v>
      </c>
      <c r="B43" s="0" t="n">
        <v>30</v>
      </c>
      <c r="C43" s="0" t="n">
        <f aca="false">IF(B43&lt;x_H,(1+x_dk)^(-B43),0)</f>
        <v>0</v>
      </c>
      <c r="D43" s="0" t="n">
        <f aca="false">IF(B43&lt;x_H,(1+x_de)^(-B43),0)</f>
        <v>0</v>
      </c>
      <c r="E43" s="0" t="n">
        <f aca="false">(L_I3!AO33-L_S1!AO33)*C43</f>
        <v>-0</v>
      </c>
      <c r="F43" s="0" t="n">
        <f aca="false">(L_I3!AP33-L_S1!AP33)*C43</f>
        <v>-0</v>
      </c>
      <c r="G43" s="0" t="n">
        <f aca="false">(L_I3!AQ33-L_S1!AQ33)*C43</f>
        <v>-0</v>
      </c>
      <c r="H43" s="0" t="n">
        <f aca="false">(L_I3!AS33-L_S1!AS33)*C43</f>
        <v>0</v>
      </c>
      <c r="I43" s="0" t="n">
        <f aca="false">I42+E43</f>
        <v>112790498.686162</v>
      </c>
      <c r="J43" s="0" t="n">
        <f aca="false">J42+F43</f>
        <v>103335206.907763</v>
      </c>
      <c r="K43" s="0" t="n">
        <f aca="false">K42+G43</f>
        <v>80262638.83118</v>
      </c>
      <c r="L43" s="0" t="n">
        <f aca="false">MAX(L42,J43)</f>
        <v>130315136.890956</v>
      </c>
      <c r="M43" s="0" t="n">
        <f aca="false">IF(AND(B43&lt;x_H,J43&lt;=0,L42&gt;0),1,0)</f>
        <v>0</v>
      </c>
      <c r="N43" s="0" t="n">
        <f aca="false">IF(AND(B43&lt;x_H,I43&lt;=0,O42&gt;0),1,0)</f>
        <v>0</v>
      </c>
      <c r="O43" s="0" t="n">
        <f aca="false">MAX(O42,I43)</f>
        <v>121748917.64229</v>
      </c>
      <c r="P43" s="0" t="n">
        <f aca="false">(L_I3!V33-L_S1!V33)*D43</f>
        <v>-0</v>
      </c>
    </row>
    <row r="44" customFormat="false" ht="15" hidden="false" customHeight="false" outlineLevel="0" collapsed="false">
      <c r="A44" s="0" t="n">
        <v>2057</v>
      </c>
      <c r="B44" s="0" t="n">
        <v>31</v>
      </c>
      <c r="C44" s="0" t="n">
        <f aca="false">IF(B44&lt;x_H,(1+x_dk)^(-B44),0)</f>
        <v>0</v>
      </c>
      <c r="D44" s="0" t="n">
        <f aca="false">IF(B44&lt;x_H,(1+x_de)^(-B44),0)</f>
        <v>0</v>
      </c>
      <c r="E44" s="0" t="n">
        <f aca="false">(L_I3!AO34-L_S1!AO34)*C44</f>
        <v>-0</v>
      </c>
      <c r="F44" s="0" t="n">
        <f aca="false">(L_I3!AP34-L_S1!AP34)*C44</f>
        <v>-0</v>
      </c>
      <c r="G44" s="0" t="n">
        <f aca="false">(L_I3!AQ34-L_S1!AQ34)*C44</f>
        <v>-0</v>
      </c>
      <c r="H44" s="0" t="n">
        <f aca="false">(L_I3!AS34-L_S1!AS34)*C44</f>
        <v>0</v>
      </c>
      <c r="I44" s="0" t="n">
        <f aca="false">I43+E44</f>
        <v>112790498.686162</v>
      </c>
      <c r="J44" s="0" t="n">
        <f aca="false">J43+F44</f>
        <v>103335206.907763</v>
      </c>
      <c r="K44" s="0" t="n">
        <f aca="false">K43+G44</f>
        <v>80262638.83118</v>
      </c>
      <c r="L44" s="0" t="n">
        <f aca="false">MAX(L43,J44)</f>
        <v>130315136.890956</v>
      </c>
      <c r="M44" s="0" t="n">
        <f aca="false">IF(AND(B44&lt;x_H,J44&lt;=0,L43&gt;0),1,0)</f>
        <v>0</v>
      </c>
      <c r="N44" s="0" t="n">
        <f aca="false">IF(AND(B44&lt;x_H,I44&lt;=0,O43&gt;0),1,0)</f>
        <v>0</v>
      </c>
      <c r="O44" s="0" t="n">
        <f aca="false">MAX(O43,I44)</f>
        <v>121748917.64229</v>
      </c>
      <c r="P44" s="0" t="n">
        <f aca="false">(L_I3!V34-L_S1!V34)*D44</f>
        <v>-0</v>
      </c>
    </row>
    <row r="45" customFormat="false" ht="15" hidden="false" customHeight="false" outlineLevel="0" collapsed="false">
      <c r="A45" s="0" t="n">
        <v>2058</v>
      </c>
      <c r="B45" s="0" t="n">
        <v>32</v>
      </c>
      <c r="C45" s="0" t="n">
        <f aca="false">IF(B45&lt;x_H,(1+x_dk)^(-B45),0)</f>
        <v>0</v>
      </c>
      <c r="D45" s="0" t="n">
        <f aca="false">IF(B45&lt;x_H,(1+x_de)^(-B45),0)</f>
        <v>0</v>
      </c>
      <c r="E45" s="0" t="n">
        <f aca="false">(L_I3!AO35-L_S1!AO35)*C45</f>
        <v>-0</v>
      </c>
      <c r="F45" s="0" t="n">
        <f aca="false">(L_I3!AP35-L_S1!AP35)*C45</f>
        <v>-0</v>
      </c>
      <c r="G45" s="0" t="n">
        <f aca="false">(L_I3!AQ35-L_S1!AQ35)*C45</f>
        <v>-0</v>
      </c>
      <c r="H45" s="0" t="n">
        <f aca="false">(L_I3!AS35-L_S1!AS35)*C45</f>
        <v>0</v>
      </c>
      <c r="I45" s="0" t="n">
        <f aca="false">I44+E45</f>
        <v>112790498.686162</v>
      </c>
      <c r="J45" s="0" t="n">
        <f aca="false">J44+F45</f>
        <v>103335206.907763</v>
      </c>
      <c r="K45" s="0" t="n">
        <f aca="false">K44+G45</f>
        <v>80262638.83118</v>
      </c>
      <c r="L45" s="0" t="n">
        <f aca="false">MAX(L44,J45)</f>
        <v>130315136.890956</v>
      </c>
      <c r="M45" s="0" t="n">
        <f aca="false">IF(AND(B45&lt;x_H,J45&lt;=0,L44&gt;0),1,0)</f>
        <v>0</v>
      </c>
      <c r="N45" s="0" t="n">
        <f aca="false">IF(AND(B45&lt;x_H,I45&lt;=0,O44&gt;0),1,0)</f>
        <v>0</v>
      </c>
      <c r="O45" s="0" t="n">
        <f aca="false">MAX(O44,I45)</f>
        <v>121748917.64229</v>
      </c>
      <c r="P45" s="0" t="n">
        <f aca="false">(L_I3!V35-L_S1!V35)*D45</f>
        <v>-0</v>
      </c>
    </row>
    <row r="46" customFormat="false" ht="15" hidden="false" customHeight="false" outlineLevel="0" collapsed="false">
      <c r="A46" s="0" t="n">
        <v>2059</v>
      </c>
      <c r="B46" s="0" t="n">
        <v>33</v>
      </c>
      <c r="C46" s="0" t="n">
        <f aca="false">IF(B46&lt;x_H,(1+x_dk)^(-B46),0)</f>
        <v>0</v>
      </c>
      <c r="D46" s="0" t="n">
        <f aca="false">IF(B46&lt;x_H,(1+x_de)^(-B46),0)</f>
        <v>0</v>
      </c>
      <c r="E46" s="0" t="n">
        <f aca="false">(L_I3!AO36-L_S1!AO36)*C46</f>
        <v>-0</v>
      </c>
      <c r="F46" s="0" t="n">
        <f aca="false">(L_I3!AP36-L_S1!AP36)*C46</f>
        <v>-0</v>
      </c>
      <c r="G46" s="0" t="n">
        <f aca="false">(L_I3!AQ36-L_S1!AQ36)*C46</f>
        <v>-0</v>
      </c>
      <c r="H46" s="0" t="n">
        <f aca="false">(L_I3!AS36-L_S1!AS36)*C46</f>
        <v>0</v>
      </c>
      <c r="I46" s="0" t="n">
        <f aca="false">I45+E46</f>
        <v>112790498.686162</v>
      </c>
      <c r="J46" s="0" t="n">
        <f aca="false">J45+F46</f>
        <v>103335206.907763</v>
      </c>
      <c r="K46" s="0" t="n">
        <f aca="false">K45+G46</f>
        <v>80262638.83118</v>
      </c>
      <c r="L46" s="0" t="n">
        <f aca="false">MAX(L45,J46)</f>
        <v>130315136.890956</v>
      </c>
      <c r="M46" s="0" t="n">
        <f aca="false">IF(AND(B46&lt;x_H,J46&lt;=0,L45&gt;0),1,0)</f>
        <v>0</v>
      </c>
      <c r="N46" s="0" t="n">
        <f aca="false">IF(AND(B46&lt;x_H,I46&lt;=0,O45&gt;0),1,0)</f>
        <v>0</v>
      </c>
      <c r="O46" s="0" t="n">
        <f aca="false">MAX(O45,I46)</f>
        <v>121748917.64229</v>
      </c>
      <c r="P46" s="0" t="n">
        <f aca="false">(L_I3!V36-L_S1!V36)*D46</f>
        <v>-0</v>
      </c>
    </row>
    <row r="47" customFormat="false" ht="15" hidden="false" customHeight="false" outlineLevel="0" collapsed="false">
      <c r="A47" s="0" t="n">
        <v>2060</v>
      </c>
      <c r="B47" s="0" t="n">
        <v>34</v>
      </c>
      <c r="C47" s="0" t="n">
        <f aca="false">IF(B47&lt;x_H,(1+x_dk)^(-B47),0)</f>
        <v>0</v>
      </c>
      <c r="D47" s="0" t="n">
        <f aca="false">IF(B47&lt;x_H,(1+x_de)^(-B47),0)</f>
        <v>0</v>
      </c>
      <c r="E47" s="0" t="n">
        <f aca="false">(L_I3!AO37-L_S1!AO37)*C47</f>
        <v>-0</v>
      </c>
      <c r="F47" s="0" t="n">
        <f aca="false">(L_I3!AP37-L_S1!AP37)*C47</f>
        <v>-0</v>
      </c>
      <c r="G47" s="0" t="n">
        <f aca="false">(L_I3!AQ37-L_S1!AQ37)*C47</f>
        <v>-0</v>
      </c>
      <c r="H47" s="0" t="n">
        <f aca="false">(L_I3!AS37-L_S1!AS37)*C47</f>
        <v>0</v>
      </c>
      <c r="I47" s="0" t="n">
        <f aca="false">I46+E47</f>
        <v>112790498.686162</v>
      </c>
      <c r="J47" s="0" t="n">
        <f aca="false">J46+F47</f>
        <v>103335206.907763</v>
      </c>
      <c r="K47" s="0" t="n">
        <f aca="false">K46+G47</f>
        <v>80262638.83118</v>
      </c>
      <c r="L47" s="0" t="n">
        <f aca="false">MAX(L46,J47)</f>
        <v>130315136.890956</v>
      </c>
      <c r="M47" s="0" t="n">
        <f aca="false">IF(AND(B47&lt;x_H,J47&lt;=0,L46&gt;0),1,0)</f>
        <v>0</v>
      </c>
      <c r="N47" s="0" t="n">
        <f aca="false">IF(AND(B47&lt;x_H,I47&lt;=0,O46&gt;0),1,0)</f>
        <v>0</v>
      </c>
      <c r="O47" s="0" t="n">
        <f aca="false">MAX(O46,I47)</f>
        <v>121748917.64229</v>
      </c>
      <c r="P47" s="0" t="n">
        <f aca="false">(L_I3!V37-L_S1!V37)*D47</f>
        <v>-0</v>
      </c>
    </row>
    <row r="48" customFormat="false" ht="15" hidden="false" customHeight="false" outlineLevel="0" collapsed="false">
      <c r="A48" s="0" t="n">
        <v>2061</v>
      </c>
      <c r="B48" s="0" t="n">
        <v>35</v>
      </c>
      <c r="C48" s="0" t="n">
        <f aca="false">IF(B48&lt;x_H,(1+x_dk)^(-B48),0)</f>
        <v>0</v>
      </c>
      <c r="D48" s="0" t="n">
        <f aca="false">IF(B48&lt;x_H,(1+x_de)^(-B48),0)</f>
        <v>0</v>
      </c>
      <c r="E48" s="0" t="n">
        <f aca="false">(L_I3!AO38-L_S1!AO38)*C48</f>
        <v>-0</v>
      </c>
      <c r="F48" s="0" t="n">
        <f aca="false">(L_I3!AP38-L_S1!AP38)*C48</f>
        <v>-0</v>
      </c>
      <c r="G48" s="0" t="n">
        <f aca="false">(L_I3!AQ38-L_S1!AQ38)*C48</f>
        <v>-0</v>
      </c>
      <c r="H48" s="0" t="n">
        <f aca="false">(L_I3!AS38-L_S1!AS38)*C48</f>
        <v>0</v>
      </c>
      <c r="I48" s="0" t="n">
        <f aca="false">I47+E48</f>
        <v>112790498.686162</v>
      </c>
      <c r="J48" s="0" t="n">
        <f aca="false">J47+F48</f>
        <v>103335206.907763</v>
      </c>
      <c r="K48" s="0" t="n">
        <f aca="false">K47+G48</f>
        <v>80262638.83118</v>
      </c>
      <c r="L48" s="0" t="n">
        <f aca="false">MAX(L47,J48)</f>
        <v>130315136.890956</v>
      </c>
      <c r="M48" s="0" t="n">
        <f aca="false">IF(AND(B48&lt;x_H,J48&lt;=0,L47&gt;0),1,0)</f>
        <v>0</v>
      </c>
      <c r="N48" s="0" t="n">
        <f aca="false">IF(AND(B48&lt;x_H,I48&lt;=0,O47&gt;0),1,0)</f>
        <v>0</v>
      </c>
      <c r="O48" s="0" t="n">
        <f aca="false">MAX(O47,I48)</f>
        <v>121748917.64229</v>
      </c>
      <c r="P48" s="0" t="n">
        <f aca="false">(L_I3!V38-L_S1!V38)*D48</f>
        <v>-0</v>
      </c>
    </row>
    <row r="49" customFormat="false" ht="15" hidden="false" customHeight="false" outlineLevel="0" collapsed="false">
      <c r="A49" s="0" t="n">
        <v>2062</v>
      </c>
      <c r="B49" s="0" t="n">
        <v>36</v>
      </c>
      <c r="C49" s="0" t="n">
        <f aca="false">IF(B49&lt;x_H,(1+x_dk)^(-B49),0)</f>
        <v>0</v>
      </c>
      <c r="D49" s="0" t="n">
        <f aca="false">IF(B49&lt;x_H,(1+x_de)^(-B49),0)</f>
        <v>0</v>
      </c>
      <c r="E49" s="0" t="n">
        <f aca="false">(L_I3!AO39-L_S1!AO39)*C49</f>
        <v>-0</v>
      </c>
      <c r="F49" s="0" t="n">
        <f aca="false">(L_I3!AP39-L_S1!AP39)*C49</f>
        <v>-0</v>
      </c>
      <c r="G49" s="0" t="n">
        <f aca="false">(L_I3!AQ39-L_S1!AQ39)*C49</f>
        <v>-0</v>
      </c>
      <c r="H49" s="0" t="n">
        <f aca="false">(L_I3!AS39-L_S1!AS39)*C49</f>
        <v>0</v>
      </c>
      <c r="I49" s="0" t="n">
        <f aca="false">I48+E49</f>
        <v>112790498.686162</v>
      </c>
      <c r="J49" s="0" t="n">
        <f aca="false">J48+F49</f>
        <v>103335206.907763</v>
      </c>
      <c r="K49" s="0" t="n">
        <f aca="false">K48+G49</f>
        <v>80262638.83118</v>
      </c>
      <c r="L49" s="0" t="n">
        <f aca="false">MAX(L48,J49)</f>
        <v>130315136.890956</v>
      </c>
      <c r="M49" s="0" t="n">
        <f aca="false">IF(AND(B49&lt;x_H,J49&lt;=0,L48&gt;0),1,0)</f>
        <v>0</v>
      </c>
      <c r="N49" s="0" t="n">
        <f aca="false">IF(AND(B49&lt;x_H,I49&lt;=0,O48&gt;0),1,0)</f>
        <v>0</v>
      </c>
      <c r="O49" s="0" t="n">
        <f aca="false">MAX(O48,I49)</f>
        <v>121748917.64229</v>
      </c>
      <c r="P49" s="0" t="n">
        <f aca="false">(L_I3!V39-L_S1!V39)*D49</f>
        <v>-0</v>
      </c>
    </row>
    <row r="50" customFormat="false" ht="15" hidden="false" customHeight="false" outlineLevel="0" collapsed="false">
      <c r="A50" s="0" t="n">
        <v>2063</v>
      </c>
      <c r="B50" s="0" t="n">
        <v>37</v>
      </c>
      <c r="C50" s="0" t="n">
        <f aca="false">IF(B50&lt;x_H,(1+x_dk)^(-B50),0)</f>
        <v>0</v>
      </c>
      <c r="D50" s="0" t="n">
        <f aca="false">IF(B50&lt;x_H,(1+x_de)^(-B50),0)</f>
        <v>0</v>
      </c>
      <c r="E50" s="0" t="n">
        <f aca="false">(L_I3!AO40-L_S1!AO40)*C50</f>
        <v>-0</v>
      </c>
      <c r="F50" s="0" t="n">
        <f aca="false">(L_I3!AP40-L_S1!AP40)*C50</f>
        <v>-0</v>
      </c>
      <c r="G50" s="0" t="n">
        <f aca="false">(L_I3!AQ40-L_S1!AQ40)*C50</f>
        <v>-0</v>
      </c>
      <c r="H50" s="0" t="n">
        <f aca="false">(L_I3!AS40-L_S1!AS40)*C50</f>
        <v>0</v>
      </c>
      <c r="I50" s="0" t="n">
        <f aca="false">I49+E50</f>
        <v>112790498.686162</v>
      </c>
      <c r="J50" s="0" t="n">
        <f aca="false">J49+F50</f>
        <v>103335206.907763</v>
      </c>
      <c r="K50" s="0" t="n">
        <f aca="false">K49+G50</f>
        <v>80262638.83118</v>
      </c>
      <c r="L50" s="0" t="n">
        <f aca="false">MAX(L49,J50)</f>
        <v>130315136.890956</v>
      </c>
      <c r="M50" s="0" t="n">
        <f aca="false">IF(AND(B50&lt;x_H,J50&lt;=0,L49&gt;0),1,0)</f>
        <v>0</v>
      </c>
      <c r="N50" s="0" t="n">
        <f aca="false">IF(AND(B50&lt;x_H,I50&lt;=0,O49&gt;0),1,0)</f>
        <v>0</v>
      </c>
      <c r="O50" s="0" t="n">
        <f aca="false">MAX(O49,I50)</f>
        <v>121748917.64229</v>
      </c>
      <c r="P50" s="0" t="n">
        <f aca="false">(L_I3!V40-L_S1!V40)*D50</f>
        <v>-0</v>
      </c>
    </row>
    <row r="51" customFormat="false" ht="15" hidden="false" customHeight="false" outlineLevel="0" collapsed="false">
      <c r="A51" s="0" t="n">
        <v>2064</v>
      </c>
      <c r="B51" s="0" t="n">
        <v>38</v>
      </c>
      <c r="C51" s="0" t="n">
        <f aca="false">IF(B51&lt;x_H,(1+x_dk)^(-B51),0)</f>
        <v>0</v>
      </c>
      <c r="D51" s="0" t="n">
        <f aca="false">IF(B51&lt;x_H,(1+x_de)^(-B51),0)</f>
        <v>0</v>
      </c>
      <c r="E51" s="0" t="n">
        <f aca="false">(L_I3!AO41-L_S1!AO41)*C51</f>
        <v>-0</v>
      </c>
      <c r="F51" s="0" t="n">
        <f aca="false">(L_I3!AP41-L_S1!AP41)*C51</f>
        <v>-0</v>
      </c>
      <c r="G51" s="0" t="n">
        <f aca="false">(L_I3!AQ41-L_S1!AQ41)*C51</f>
        <v>-0</v>
      </c>
      <c r="H51" s="0" t="n">
        <f aca="false">(L_I3!AS41-L_S1!AS41)*C51</f>
        <v>0</v>
      </c>
      <c r="I51" s="0" t="n">
        <f aca="false">I50+E51</f>
        <v>112790498.686162</v>
      </c>
      <c r="J51" s="0" t="n">
        <f aca="false">J50+F51</f>
        <v>103335206.907763</v>
      </c>
      <c r="K51" s="0" t="n">
        <f aca="false">K50+G51</f>
        <v>80262638.83118</v>
      </c>
      <c r="L51" s="0" t="n">
        <f aca="false">MAX(L50,J51)</f>
        <v>130315136.890956</v>
      </c>
      <c r="M51" s="0" t="n">
        <f aca="false">IF(AND(B51&lt;x_H,J51&lt;=0,L50&gt;0),1,0)</f>
        <v>0</v>
      </c>
      <c r="N51" s="0" t="n">
        <f aca="false">IF(AND(B51&lt;x_H,I51&lt;=0,O50&gt;0),1,0)</f>
        <v>0</v>
      </c>
      <c r="O51" s="0" t="n">
        <f aca="false">MAX(O50,I51)</f>
        <v>121748917.64229</v>
      </c>
      <c r="P51" s="0" t="n">
        <f aca="false">(L_I3!V41-L_S1!V41)*D51</f>
        <v>-0</v>
      </c>
    </row>
    <row r="52" customFormat="false" ht="15" hidden="false" customHeight="false" outlineLevel="0" collapsed="false">
      <c r="A52" s="0" t="n">
        <v>2065</v>
      </c>
      <c r="B52" s="0" t="n">
        <v>39</v>
      </c>
      <c r="C52" s="0" t="n">
        <f aca="false">IF(B52&lt;x_H,(1+x_dk)^(-B52),0)</f>
        <v>0</v>
      </c>
      <c r="D52" s="0" t="n">
        <f aca="false">IF(B52&lt;x_H,(1+x_de)^(-B52),0)</f>
        <v>0</v>
      </c>
      <c r="E52" s="0" t="n">
        <f aca="false">(L_I3!AO42-L_S1!AO42)*C52</f>
        <v>-0</v>
      </c>
      <c r="F52" s="0" t="n">
        <f aca="false">(L_I3!AP42-L_S1!AP42)*C52</f>
        <v>-0</v>
      </c>
      <c r="G52" s="0" t="n">
        <f aca="false">(L_I3!AQ42-L_S1!AQ42)*C52</f>
        <v>-0</v>
      </c>
      <c r="H52" s="0" t="n">
        <f aca="false">(L_I3!AS42-L_S1!AS42)*C52</f>
        <v>0</v>
      </c>
      <c r="I52" s="0" t="n">
        <f aca="false">I51+E52</f>
        <v>112790498.686162</v>
      </c>
      <c r="J52" s="0" t="n">
        <f aca="false">J51+F52</f>
        <v>103335206.907763</v>
      </c>
      <c r="K52" s="0" t="n">
        <f aca="false">K51+G52</f>
        <v>80262638.83118</v>
      </c>
      <c r="L52" s="0" t="n">
        <f aca="false">MAX(L51,J52)</f>
        <v>130315136.890956</v>
      </c>
      <c r="M52" s="0" t="n">
        <f aca="false">IF(AND(B52&lt;x_H,J52&lt;=0,L51&gt;0),1,0)</f>
        <v>0</v>
      </c>
      <c r="N52" s="0" t="n">
        <f aca="false">IF(AND(B52&lt;x_H,I52&lt;=0,O51&gt;0),1,0)</f>
        <v>0</v>
      </c>
      <c r="O52" s="0" t="n">
        <f aca="false">MAX(O51,I52)</f>
        <v>121748917.64229</v>
      </c>
      <c r="P52" s="0" t="n">
        <f aca="false">(L_I3!V42-L_S1!V42)*D52</f>
        <v>-0</v>
      </c>
    </row>
    <row r="53" customFormat="false" ht="15" hidden="false" customHeight="false" outlineLevel="0" collapsed="false">
      <c r="A53" s="0" t="n">
        <v>2066</v>
      </c>
      <c r="B53" s="0" t="n">
        <v>40</v>
      </c>
      <c r="C53" s="0" t="n">
        <f aca="false">IF(B53&lt;x_H,(1+x_dk)^(-B53),0)</f>
        <v>0</v>
      </c>
      <c r="D53" s="0" t="n">
        <f aca="false">IF(B53&lt;x_H,(1+x_de)^(-B53),0)</f>
        <v>0</v>
      </c>
      <c r="E53" s="0" t="n">
        <f aca="false">(L_I3!AO43-L_S1!AO43)*C53</f>
        <v>-0</v>
      </c>
      <c r="F53" s="0" t="n">
        <f aca="false">(L_I3!AP43-L_S1!AP43)*C53</f>
        <v>-0</v>
      </c>
      <c r="G53" s="0" t="n">
        <f aca="false">(L_I3!AQ43-L_S1!AQ43)*C53</f>
        <v>-0</v>
      </c>
      <c r="H53" s="0" t="n">
        <f aca="false">(L_I3!AS43-L_S1!AS43)*C53</f>
        <v>0</v>
      </c>
      <c r="I53" s="0" t="n">
        <f aca="false">I52+E53</f>
        <v>112790498.686162</v>
      </c>
      <c r="J53" s="0" t="n">
        <f aca="false">J52+F53</f>
        <v>103335206.907763</v>
      </c>
      <c r="K53" s="0" t="n">
        <f aca="false">K52+G53</f>
        <v>80262638.83118</v>
      </c>
      <c r="L53" s="0" t="n">
        <f aca="false">MAX(L52,J53)</f>
        <v>130315136.890956</v>
      </c>
      <c r="M53" s="0" t="n">
        <f aca="false">IF(AND(B53&lt;x_H,J53&lt;=0,L52&gt;0),1,0)</f>
        <v>0</v>
      </c>
      <c r="N53" s="0" t="n">
        <f aca="false">IF(AND(B53&lt;x_H,I53&lt;=0,O52&gt;0),1,0)</f>
        <v>0</v>
      </c>
      <c r="O53" s="0" t="n">
        <f aca="false">MAX(O52,I53)</f>
        <v>121748917.64229</v>
      </c>
      <c r="P53" s="0" t="n">
        <f aca="false">(L_I3!V43-L_S1!V43)*D53</f>
        <v>-0</v>
      </c>
    </row>
    <row r="54" customFormat="false" ht="15" hidden="false" customHeight="false" outlineLevel="0" collapsed="false">
      <c r="A54" s="0" t="n">
        <v>2067</v>
      </c>
      <c r="B54" s="0" t="n">
        <v>41</v>
      </c>
      <c r="C54" s="0" t="n">
        <f aca="false">IF(B54&lt;x_H,(1+x_dk)^(-B54),0)</f>
        <v>0</v>
      </c>
      <c r="D54" s="0" t="n">
        <f aca="false">IF(B54&lt;x_H,(1+x_de)^(-B54),0)</f>
        <v>0</v>
      </c>
      <c r="E54" s="0" t="n">
        <f aca="false">(L_I3!AO44-L_S1!AO44)*C54</f>
        <v>-0</v>
      </c>
      <c r="F54" s="0" t="n">
        <f aca="false">(L_I3!AP44-L_S1!AP44)*C54</f>
        <v>-0</v>
      </c>
      <c r="G54" s="0" t="n">
        <f aca="false">(L_I3!AQ44-L_S1!AQ44)*C54</f>
        <v>-0</v>
      </c>
      <c r="H54" s="0" t="n">
        <f aca="false">(L_I3!AS44-L_S1!AS44)*C54</f>
        <v>0</v>
      </c>
      <c r="I54" s="0" t="n">
        <f aca="false">I53+E54</f>
        <v>112790498.686162</v>
      </c>
      <c r="J54" s="0" t="n">
        <f aca="false">J53+F54</f>
        <v>103335206.907763</v>
      </c>
      <c r="K54" s="0" t="n">
        <f aca="false">K53+G54</f>
        <v>80262638.83118</v>
      </c>
      <c r="L54" s="0" t="n">
        <f aca="false">MAX(L53,J54)</f>
        <v>130315136.890956</v>
      </c>
      <c r="M54" s="0" t="n">
        <f aca="false">IF(AND(B54&lt;x_H,J54&lt;=0,L53&gt;0),1,0)</f>
        <v>0</v>
      </c>
      <c r="N54" s="0" t="n">
        <f aca="false">IF(AND(B54&lt;x_H,I54&lt;=0,O53&gt;0),1,0)</f>
        <v>0</v>
      </c>
      <c r="O54" s="0" t="n">
        <f aca="false">MAX(O53,I54)</f>
        <v>121748917.64229</v>
      </c>
      <c r="P54" s="0" t="n">
        <f aca="false">(L_I3!V44-L_S1!V44)*D54</f>
        <v>-0</v>
      </c>
    </row>
    <row r="55" customFormat="false" ht="15" hidden="false" customHeight="false" outlineLevel="0" collapsed="false">
      <c r="A55" s="0" t="n">
        <v>2068</v>
      </c>
      <c r="B55" s="0" t="n">
        <v>42</v>
      </c>
      <c r="C55" s="0" t="n">
        <f aca="false">IF(B55&lt;x_H,(1+x_dk)^(-B55),0)</f>
        <v>0</v>
      </c>
      <c r="D55" s="0" t="n">
        <f aca="false">IF(B55&lt;x_H,(1+x_de)^(-B55),0)</f>
        <v>0</v>
      </c>
      <c r="E55" s="0" t="n">
        <f aca="false">(L_I3!AO45-L_S1!AO45)*C55</f>
        <v>-0</v>
      </c>
      <c r="F55" s="0" t="n">
        <f aca="false">(L_I3!AP45-L_S1!AP45)*C55</f>
        <v>-0</v>
      </c>
      <c r="G55" s="0" t="n">
        <f aca="false">(L_I3!AQ45-L_S1!AQ45)*C55</f>
        <v>-0</v>
      </c>
      <c r="H55" s="0" t="n">
        <f aca="false">(L_I3!AS45-L_S1!AS45)*C55</f>
        <v>0</v>
      </c>
      <c r="I55" s="0" t="n">
        <f aca="false">I54+E55</f>
        <v>112790498.686162</v>
      </c>
      <c r="J55" s="0" t="n">
        <f aca="false">J54+F55</f>
        <v>103335206.907763</v>
      </c>
      <c r="K55" s="0" t="n">
        <f aca="false">K54+G55</f>
        <v>80262638.83118</v>
      </c>
      <c r="L55" s="0" t="n">
        <f aca="false">MAX(L54,J55)</f>
        <v>130315136.890956</v>
      </c>
      <c r="M55" s="0" t="n">
        <f aca="false">IF(AND(B55&lt;x_H,J55&lt;=0,L54&gt;0),1,0)</f>
        <v>0</v>
      </c>
      <c r="N55" s="0" t="n">
        <f aca="false">IF(AND(B55&lt;x_H,I55&lt;=0,O54&gt;0),1,0)</f>
        <v>0</v>
      </c>
      <c r="O55" s="0" t="n">
        <f aca="false">MAX(O54,I55)</f>
        <v>121748917.64229</v>
      </c>
      <c r="P55" s="0" t="n">
        <f aca="false">(L_I3!V45-L_S1!V45)*D55</f>
        <v>-0</v>
      </c>
    </row>
    <row r="56" customFormat="false" ht="15" hidden="false" customHeight="false" outlineLevel="0" collapsed="false">
      <c r="A56" s="0" t="n">
        <v>2069</v>
      </c>
      <c r="B56" s="0" t="n">
        <v>43</v>
      </c>
      <c r="C56" s="0" t="n">
        <f aca="false">IF(B56&lt;x_H,(1+x_dk)^(-B56),0)</f>
        <v>0</v>
      </c>
      <c r="D56" s="0" t="n">
        <f aca="false">IF(B56&lt;x_H,(1+x_de)^(-B56),0)</f>
        <v>0</v>
      </c>
      <c r="E56" s="0" t="n">
        <f aca="false">(L_I3!AO46-L_S1!AO46)*C56</f>
        <v>-0</v>
      </c>
      <c r="F56" s="0" t="n">
        <f aca="false">(L_I3!AP46-L_S1!AP46)*C56</f>
        <v>-0</v>
      </c>
      <c r="G56" s="0" t="n">
        <f aca="false">(L_I3!AQ46-L_S1!AQ46)*C56</f>
        <v>-0</v>
      </c>
      <c r="H56" s="0" t="n">
        <f aca="false">(L_I3!AS46-L_S1!AS46)*C56</f>
        <v>0</v>
      </c>
      <c r="I56" s="0" t="n">
        <f aca="false">I55+E56</f>
        <v>112790498.686162</v>
      </c>
      <c r="J56" s="0" t="n">
        <f aca="false">J55+F56</f>
        <v>103335206.907763</v>
      </c>
      <c r="K56" s="0" t="n">
        <f aca="false">K55+G56</f>
        <v>80262638.83118</v>
      </c>
      <c r="L56" s="0" t="n">
        <f aca="false">MAX(L55,J56)</f>
        <v>130315136.890956</v>
      </c>
      <c r="M56" s="0" t="n">
        <f aca="false">IF(AND(B56&lt;x_H,J56&lt;=0,L55&gt;0),1,0)</f>
        <v>0</v>
      </c>
      <c r="N56" s="0" t="n">
        <f aca="false">IF(AND(B56&lt;x_H,I56&lt;=0,O55&gt;0),1,0)</f>
        <v>0</v>
      </c>
      <c r="O56" s="0" t="n">
        <f aca="false">MAX(O55,I56)</f>
        <v>121748917.64229</v>
      </c>
      <c r="P56" s="0" t="n">
        <f aca="false">(L_I3!V46-L_S1!V46)*D56</f>
        <v>-0</v>
      </c>
    </row>
    <row r="57" customFormat="false" ht="15" hidden="false" customHeight="false" outlineLevel="0" collapsed="false">
      <c r="A57" s="0" t="n">
        <v>2070</v>
      </c>
      <c r="B57" s="0" t="n">
        <v>44</v>
      </c>
      <c r="C57" s="0" t="n">
        <f aca="false">IF(B57&lt;x_H,(1+x_dk)^(-B57),0)</f>
        <v>0</v>
      </c>
      <c r="D57" s="0" t="n">
        <f aca="false">IF(B57&lt;x_H,(1+x_de)^(-B57),0)</f>
        <v>0</v>
      </c>
      <c r="E57" s="0" t="n">
        <f aca="false">(L_I3!AO47-L_S1!AO47)*C57</f>
        <v>-0</v>
      </c>
      <c r="F57" s="0" t="n">
        <f aca="false">(L_I3!AP47-L_S1!AP47)*C57</f>
        <v>-0</v>
      </c>
      <c r="G57" s="0" t="n">
        <f aca="false">(L_I3!AQ47-L_S1!AQ47)*C57</f>
        <v>-0</v>
      </c>
      <c r="H57" s="0" t="n">
        <f aca="false">(L_I3!AS47-L_S1!AS47)*C57</f>
        <v>0</v>
      </c>
      <c r="I57" s="0" t="n">
        <f aca="false">I56+E57</f>
        <v>112790498.686162</v>
      </c>
      <c r="J57" s="0" t="n">
        <f aca="false">J56+F57</f>
        <v>103335206.907763</v>
      </c>
      <c r="K57" s="0" t="n">
        <f aca="false">K56+G57</f>
        <v>80262638.83118</v>
      </c>
      <c r="L57" s="0" t="n">
        <f aca="false">MAX(L56,J57)</f>
        <v>130315136.890956</v>
      </c>
      <c r="M57" s="0" t="n">
        <f aca="false">IF(AND(B57&lt;x_H,J57&lt;=0,L56&gt;0),1,0)</f>
        <v>0</v>
      </c>
      <c r="N57" s="0" t="n">
        <f aca="false">IF(AND(B57&lt;x_H,I57&lt;=0,O56&gt;0),1,0)</f>
        <v>0</v>
      </c>
      <c r="O57" s="0" t="n">
        <f aca="false">MAX(O56,I57)</f>
        <v>121748917.64229</v>
      </c>
      <c r="P57" s="0" t="n">
        <f aca="false">(L_I3!V47-L_S1!V47)*D57</f>
        <v>-0</v>
      </c>
    </row>
    <row r="58" customFormat="false" ht="15" hidden="false" customHeight="false" outlineLevel="0" collapsed="false">
      <c r="A58" s="0" t="n">
        <v>2071</v>
      </c>
      <c r="B58" s="0" t="n">
        <v>45</v>
      </c>
      <c r="C58" s="0" t="n">
        <f aca="false">IF(B58&lt;x_H,(1+x_dk)^(-B58),0)</f>
        <v>0</v>
      </c>
      <c r="D58" s="0" t="n">
        <f aca="false">IF(B58&lt;x_H,(1+x_de)^(-B58),0)</f>
        <v>0</v>
      </c>
      <c r="E58" s="0" t="n">
        <f aca="false">(L_I3!AO48-L_S1!AO48)*C58</f>
        <v>-0</v>
      </c>
      <c r="F58" s="0" t="n">
        <f aca="false">(L_I3!AP48-L_S1!AP48)*C58</f>
        <v>-0</v>
      </c>
      <c r="G58" s="0" t="n">
        <f aca="false">(L_I3!AQ48-L_S1!AQ48)*C58</f>
        <v>-0</v>
      </c>
      <c r="H58" s="0" t="n">
        <f aca="false">(L_I3!AS48-L_S1!AS48)*C58</f>
        <v>0</v>
      </c>
      <c r="I58" s="0" t="n">
        <f aca="false">I57+E58</f>
        <v>112790498.686162</v>
      </c>
      <c r="J58" s="0" t="n">
        <f aca="false">J57+F58</f>
        <v>103335206.907763</v>
      </c>
      <c r="K58" s="0" t="n">
        <f aca="false">K57+G58</f>
        <v>80262638.83118</v>
      </c>
      <c r="L58" s="0" t="n">
        <f aca="false">MAX(L57,J58)</f>
        <v>130315136.890956</v>
      </c>
      <c r="M58" s="0" t="n">
        <f aca="false">IF(AND(B58&lt;x_H,J58&lt;=0,L57&gt;0),1,0)</f>
        <v>0</v>
      </c>
      <c r="N58" s="0" t="n">
        <f aca="false">IF(AND(B58&lt;x_H,I58&lt;=0,O57&gt;0),1,0)</f>
        <v>0</v>
      </c>
      <c r="O58" s="0" t="n">
        <f aca="false">MAX(O57,I58)</f>
        <v>121748917.64229</v>
      </c>
      <c r="P58" s="0" t="n">
        <f aca="false">(L_I3!V48-L_S1!V48)*D58</f>
        <v>-0</v>
      </c>
    </row>
    <row r="59" customFormat="false" ht="15" hidden="false" customHeight="false" outlineLevel="0" collapsed="false">
      <c r="A59" s="0" t="n">
        <v>2072</v>
      </c>
      <c r="B59" s="0" t="n">
        <v>46</v>
      </c>
      <c r="C59" s="0" t="n">
        <f aca="false">IF(B59&lt;x_H,(1+x_dk)^(-B59),0)</f>
        <v>0</v>
      </c>
      <c r="D59" s="0" t="n">
        <f aca="false">IF(B59&lt;x_H,(1+x_de)^(-B59),0)</f>
        <v>0</v>
      </c>
      <c r="E59" s="0" t="n">
        <f aca="false">(L_I3!AO49-L_S1!AO49)*C59</f>
        <v>-0</v>
      </c>
      <c r="F59" s="0" t="n">
        <f aca="false">(L_I3!AP49-L_S1!AP49)*C59</f>
        <v>-0</v>
      </c>
      <c r="G59" s="0" t="n">
        <f aca="false">(L_I3!AQ49-L_S1!AQ49)*C59</f>
        <v>-0</v>
      </c>
      <c r="H59" s="0" t="n">
        <f aca="false">(L_I3!AS49-L_S1!AS49)*C59</f>
        <v>0</v>
      </c>
      <c r="I59" s="0" t="n">
        <f aca="false">I58+E59</f>
        <v>112790498.686162</v>
      </c>
      <c r="J59" s="0" t="n">
        <f aca="false">J58+F59</f>
        <v>103335206.907763</v>
      </c>
      <c r="K59" s="0" t="n">
        <f aca="false">K58+G59</f>
        <v>80262638.83118</v>
      </c>
      <c r="L59" s="0" t="n">
        <f aca="false">MAX(L58,J59)</f>
        <v>130315136.890956</v>
      </c>
      <c r="M59" s="0" t="n">
        <f aca="false">IF(AND(B59&lt;x_H,J59&lt;=0,L58&gt;0),1,0)</f>
        <v>0</v>
      </c>
      <c r="N59" s="0" t="n">
        <f aca="false">IF(AND(B59&lt;x_H,I59&lt;=0,O58&gt;0),1,0)</f>
        <v>0</v>
      </c>
      <c r="O59" s="0" t="n">
        <f aca="false">MAX(O58,I59)</f>
        <v>121748917.64229</v>
      </c>
      <c r="P59" s="0" t="n">
        <f aca="false">(L_I3!V49-L_S1!V49)*D59</f>
        <v>-0</v>
      </c>
    </row>
    <row r="60" customFormat="false" ht="15" hidden="false" customHeight="false" outlineLevel="0" collapsed="false">
      <c r="A60" s="0" t="n">
        <v>2073</v>
      </c>
      <c r="B60" s="0" t="n">
        <v>47</v>
      </c>
      <c r="C60" s="0" t="n">
        <f aca="false">IF(B60&lt;x_H,(1+x_dk)^(-B60),0)</f>
        <v>0</v>
      </c>
      <c r="D60" s="0" t="n">
        <f aca="false">IF(B60&lt;x_H,(1+x_de)^(-B60),0)</f>
        <v>0</v>
      </c>
      <c r="E60" s="0" t="n">
        <f aca="false">(L_I3!AO50-L_S1!AO50)*C60</f>
        <v>-0</v>
      </c>
      <c r="F60" s="0" t="n">
        <f aca="false">(L_I3!AP50-L_S1!AP50)*C60</f>
        <v>-0</v>
      </c>
      <c r="G60" s="0" t="n">
        <f aca="false">(L_I3!AQ50-L_S1!AQ50)*C60</f>
        <v>-0</v>
      </c>
      <c r="H60" s="0" t="n">
        <f aca="false">(L_I3!AS50-L_S1!AS50)*C60</f>
        <v>0</v>
      </c>
      <c r="I60" s="0" t="n">
        <f aca="false">I59+E60</f>
        <v>112790498.686162</v>
      </c>
      <c r="J60" s="0" t="n">
        <f aca="false">J59+F60</f>
        <v>103335206.907763</v>
      </c>
      <c r="K60" s="0" t="n">
        <f aca="false">K59+G60</f>
        <v>80262638.83118</v>
      </c>
      <c r="L60" s="0" t="n">
        <f aca="false">MAX(L59,J60)</f>
        <v>130315136.890956</v>
      </c>
      <c r="M60" s="0" t="n">
        <f aca="false">IF(AND(B60&lt;x_H,J60&lt;=0,L59&gt;0),1,0)</f>
        <v>0</v>
      </c>
      <c r="N60" s="0" t="n">
        <f aca="false">IF(AND(B60&lt;x_H,I60&lt;=0,O59&gt;0),1,0)</f>
        <v>0</v>
      </c>
      <c r="O60" s="0" t="n">
        <f aca="false">MAX(O59,I60)</f>
        <v>121748917.64229</v>
      </c>
      <c r="P60" s="0" t="n">
        <f aca="false">(L_I3!V50-L_S1!V50)*D60</f>
        <v>-0</v>
      </c>
    </row>
    <row r="61" customFormat="false" ht="15" hidden="false" customHeight="false" outlineLevel="0" collapsed="false">
      <c r="A61" s="0" t="n">
        <v>2074</v>
      </c>
      <c r="B61" s="0" t="n">
        <v>48</v>
      </c>
      <c r="C61" s="0" t="n">
        <f aca="false">IF(B61&lt;x_H,(1+x_dk)^(-B61),0)</f>
        <v>0</v>
      </c>
      <c r="D61" s="0" t="n">
        <f aca="false">IF(B61&lt;x_H,(1+x_de)^(-B61),0)</f>
        <v>0</v>
      </c>
      <c r="E61" s="0" t="n">
        <f aca="false">(L_I3!AO51-L_S1!AO51)*C61</f>
        <v>-0</v>
      </c>
      <c r="F61" s="0" t="n">
        <f aca="false">(L_I3!AP51-L_S1!AP51)*C61</f>
        <v>-0</v>
      </c>
      <c r="G61" s="0" t="n">
        <f aca="false">(L_I3!AQ51-L_S1!AQ51)*C61</f>
        <v>-0</v>
      </c>
      <c r="H61" s="0" t="n">
        <f aca="false">(L_I3!AS51-L_S1!AS51)*C61</f>
        <v>0</v>
      </c>
      <c r="I61" s="0" t="n">
        <f aca="false">I60+E61</f>
        <v>112790498.686162</v>
      </c>
      <c r="J61" s="0" t="n">
        <f aca="false">J60+F61</f>
        <v>103335206.907763</v>
      </c>
      <c r="K61" s="0" t="n">
        <f aca="false">K60+G61</f>
        <v>80262638.83118</v>
      </c>
      <c r="L61" s="0" t="n">
        <f aca="false">MAX(L60,J61)</f>
        <v>130315136.890956</v>
      </c>
      <c r="M61" s="0" t="n">
        <f aca="false">IF(AND(B61&lt;x_H,J61&lt;=0,L60&gt;0),1,0)</f>
        <v>0</v>
      </c>
      <c r="N61" s="0" t="n">
        <f aca="false">IF(AND(B61&lt;x_H,I61&lt;=0,O60&gt;0),1,0)</f>
        <v>0</v>
      </c>
      <c r="O61" s="0" t="n">
        <f aca="false">MAX(O60,I61)</f>
        <v>121748917.64229</v>
      </c>
      <c r="P61" s="0" t="n">
        <f aca="false">(L_I3!V51-L_S1!V51)*D61</f>
        <v>-0</v>
      </c>
    </row>
    <row r="62" customFormat="false" ht="15" hidden="false" customHeight="false" outlineLevel="0" collapsed="false">
      <c r="A62" s="0" t="n">
        <v>2075</v>
      </c>
      <c r="B62" s="0" t="n">
        <v>49</v>
      </c>
      <c r="C62" s="0" t="n">
        <f aca="false">IF(B62&lt;x_H,(1+x_dk)^(-B62),0)</f>
        <v>0</v>
      </c>
      <c r="D62" s="0" t="n">
        <f aca="false">IF(B62&lt;x_H,(1+x_de)^(-B62),0)</f>
        <v>0</v>
      </c>
      <c r="E62" s="0" t="n">
        <f aca="false">(L_I3!AO52-L_S1!AO52)*C62</f>
        <v>-0</v>
      </c>
      <c r="F62" s="0" t="n">
        <f aca="false">(L_I3!AP52-L_S1!AP52)*C62</f>
        <v>-0</v>
      </c>
      <c r="G62" s="0" t="n">
        <f aca="false">(L_I3!AQ52-L_S1!AQ52)*C62</f>
        <v>-0</v>
      </c>
      <c r="H62" s="0" t="n">
        <f aca="false">(L_I3!AS52-L_S1!AS52)*C62</f>
        <v>0</v>
      </c>
      <c r="I62" s="0" t="n">
        <f aca="false">I61+E62</f>
        <v>112790498.686162</v>
      </c>
      <c r="J62" s="0" t="n">
        <f aca="false">J61+F62</f>
        <v>103335206.907763</v>
      </c>
      <c r="K62" s="0" t="n">
        <f aca="false">K61+G62</f>
        <v>80262638.83118</v>
      </c>
      <c r="L62" s="0" t="n">
        <f aca="false">MAX(L61,J62)</f>
        <v>130315136.890956</v>
      </c>
      <c r="M62" s="0" t="n">
        <f aca="false">IF(AND(B62&lt;x_H,J62&lt;=0,L61&gt;0),1,0)</f>
        <v>0</v>
      </c>
      <c r="N62" s="0" t="n">
        <f aca="false">IF(AND(B62&lt;x_H,I62&lt;=0,O61&gt;0),1,0)</f>
        <v>0</v>
      </c>
      <c r="O62" s="0" t="n">
        <f aca="false">MAX(O61,I62)</f>
        <v>121748917.64229</v>
      </c>
      <c r="P62" s="0" t="n">
        <f aca="false">(L_I3!V52-L_S1!V52)*D62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624</v>
      </c>
    </row>
    <row r="2" customFormat="false" ht="15" hidden="false" customHeight="false" outlineLevel="0" collapsed="false">
      <c r="A2" s="1" t="s">
        <v>597</v>
      </c>
      <c r="B2" s="0" t="n">
        <f aca="false">x_H</f>
        <v>20</v>
      </c>
    </row>
    <row r="3" customFormat="false" ht="15" hidden="false" customHeight="false" outlineLevel="0" collapsed="false">
      <c r="A3" s="1" t="s">
        <v>598</v>
      </c>
      <c r="B3" s="0" t="n">
        <f aca="false">SUM(H13:H62)</f>
        <v>2684128906.99249</v>
      </c>
    </row>
    <row r="4" customFormat="false" ht="15" hidden="false" customHeight="false" outlineLevel="0" collapsed="false">
      <c r="A4" s="1" t="s">
        <v>599</v>
      </c>
      <c r="B4" s="0" t="n">
        <f aca="false">SUM(F13:F62)</f>
        <v>2407513667.68944</v>
      </c>
    </row>
    <row r="5" customFormat="false" ht="15" hidden="false" customHeight="false" outlineLevel="0" collapsed="false">
      <c r="A5" s="1" t="s">
        <v>600</v>
      </c>
      <c r="B5" s="0" t="n">
        <f aca="false">B3-B4</f>
        <v>276615239.303052</v>
      </c>
    </row>
    <row r="6" customFormat="false" ht="15" hidden="false" customHeight="false" outlineLevel="0" collapsed="false">
      <c r="A6" s="1" t="s">
        <v>601</v>
      </c>
      <c r="B6" s="0" t="n">
        <f aca="false">IF(B3=0,"—",(B5-B3)/ABS(B3))</f>
        <v>-0.896944130148729</v>
      </c>
    </row>
    <row r="7" customFormat="false" ht="15" hidden="false" customHeight="false" outlineLevel="0" collapsed="false">
      <c r="A7" s="1" t="s">
        <v>602</v>
      </c>
      <c r="B7" s="0" t="str">
        <f aca="false">IFERROR(INDEX(A13:A62,MATCH(1,M13:M62,0)),"brak w horyzoncie")</f>
        <v>brak w horyzoncie</v>
      </c>
    </row>
    <row r="8" customFormat="false" ht="15" hidden="false" customHeight="false" outlineLevel="0" collapsed="false">
      <c r="A8" s="1" t="s">
        <v>603</v>
      </c>
      <c r="B8" s="0" t="str">
        <f aca="false">IFERROR(INDEX(A13:A62,MATCH(1,N13:N62,0)),"brak w horyzoncie")</f>
        <v>brak w horyzoncie</v>
      </c>
    </row>
    <row r="9" customFormat="false" ht="15" hidden="false" customHeight="false" outlineLevel="0" collapsed="false">
      <c r="A9" s="1" t="s">
        <v>604</v>
      </c>
      <c r="B9" s="0" t="n">
        <f aca="false">SUM(E13:E62)</f>
        <v>2549280356.89685</v>
      </c>
    </row>
    <row r="10" customFormat="false" ht="15" hidden="false" customHeight="false" outlineLevel="0" collapsed="false">
      <c r="A10" s="1" t="s">
        <v>605</v>
      </c>
      <c r="B10" s="0" t="n">
        <f aca="false">IFERROR(B4/SUM(P13:P62),"—")</f>
        <v>77717.4644905553</v>
      </c>
    </row>
    <row r="11" customFormat="false" ht="15" hidden="false" customHeight="false" outlineLevel="0" collapsed="false">
      <c r="A11" s="1" t="s">
        <v>606</v>
      </c>
      <c r="B11" s="0" t="n">
        <f aca="false">IFERROR(B9/SUM(P13:P62),"—")</f>
        <v>82293.8653568458</v>
      </c>
    </row>
    <row r="12" customFormat="false" ht="55.2" hidden="false" customHeight="false" outlineLevel="0" collapsed="false">
      <c r="A12" s="3" t="s">
        <v>318</v>
      </c>
      <c r="B12" s="3" t="s">
        <v>548</v>
      </c>
      <c r="C12" s="3" t="s">
        <v>607</v>
      </c>
      <c r="D12" s="3" t="s">
        <v>608</v>
      </c>
      <c r="E12" s="3" t="s">
        <v>609</v>
      </c>
      <c r="F12" s="3" t="s">
        <v>610</v>
      </c>
      <c r="G12" s="3" t="s">
        <v>611</v>
      </c>
      <c r="H12" s="3" t="s">
        <v>612</v>
      </c>
      <c r="I12" s="3" t="s">
        <v>613</v>
      </c>
      <c r="J12" s="3" t="s">
        <v>614</v>
      </c>
      <c r="K12" s="3" t="s">
        <v>615</v>
      </c>
      <c r="L12" s="3" t="s">
        <v>616</v>
      </c>
      <c r="M12" s="3" t="s">
        <v>617</v>
      </c>
      <c r="N12" s="3" t="s">
        <v>618</v>
      </c>
      <c r="O12" s="3" t="s">
        <v>619</v>
      </c>
      <c r="P12" s="3" t="s">
        <v>620</v>
      </c>
    </row>
    <row r="13" customFormat="false" ht="15" hidden="false" customHeight="false" outlineLevel="0" collapsed="false">
      <c r="A13" s="0" t="n">
        <v>2026</v>
      </c>
      <c r="B13" s="0" t="n">
        <v>0</v>
      </c>
      <c r="C13" s="0" t="n">
        <f aca="false">IF(B13&lt;x_H,(1+x_dk)^(-B13),0)</f>
        <v>1</v>
      </c>
      <c r="D13" s="0" t="n">
        <f aca="false">IF(B13&lt;x_H,(1+x_de)^(-B13),0)</f>
        <v>1</v>
      </c>
      <c r="E13" s="0" t="n">
        <f aca="false">(L_I4!AO3-L_S1!AO3)*C13</f>
        <v>146536014.695475</v>
      </c>
      <c r="F13" s="0" t="n">
        <f aca="false">(L_I4!AP3-L_S1!AP3)*C13</f>
        <v>150844617.655667</v>
      </c>
      <c r="G13" s="0" t="n">
        <f aca="false">(L_I4!AQ3-L_S1!AQ3)*C13</f>
        <v>150428924.661854</v>
      </c>
      <c r="H13" s="0" t="n">
        <f aca="false">(L_I4!AS3-L_S1!AS3)*C13</f>
        <v>141968334.558075</v>
      </c>
      <c r="I13" s="0" t="n">
        <f aca="false">E13</f>
        <v>146536014.695475</v>
      </c>
      <c r="J13" s="0" t="n">
        <f aca="false">F13</f>
        <v>150844617.655667</v>
      </c>
      <c r="K13" s="0" t="n">
        <f aca="false">G13</f>
        <v>150428924.661854</v>
      </c>
      <c r="L13" s="0" t="n">
        <f aca="false">J13</f>
        <v>150844617.655667</v>
      </c>
      <c r="M13" s="0" t="n">
        <v>0</v>
      </c>
      <c r="N13" s="0" t="n">
        <v>0</v>
      </c>
      <c r="O13" s="0" t="n">
        <f aca="false">I13</f>
        <v>146536014.695475</v>
      </c>
      <c r="P13" s="0" t="n">
        <f aca="false">(L_I4!V3-L_S1!V3)*D13</f>
        <v>187.81700000001</v>
      </c>
    </row>
    <row r="14" customFormat="false" ht="15" hidden="false" customHeight="false" outlineLevel="0" collapsed="false">
      <c r="A14" s="0" t="n">
        <v>2027</v>
      </c>
      <c r="B14" s="0" t="n">
        <v>1</v>
      </c>
      <c r="C14" s="0" t="n">
        <f aca="false">IF(B14&lt;x_H,(1+x_dk)^(-B14),0)</f>
        <v>0.952380952380952</v>
      </c>
      <c r="D14" s="0" t="n">
        <f aca="false">IF(B14&lt;x_H,(1+x_de)^(-B14),0)</f>
        <v>0.966183574879227</v>
      </c>
      <c r="E14" s="0" t="n">
        <f aca="false">(L_I4!AO4-L_S1!AO4)*C14</f>
        <v>272219230.899007</v>
      </c>
      <c r="F14" s="0" t="n">
        <f aca="false">(L_I4!AP4-L_S1!AP4)*C14</f>
        <v>278092206.9532</v>
      </c>
      <c r="G14" s="0" t="n">
        <f aca="false">(L_I4!AQ4-L_S1!AQ4)*C14</f>
        <v>277352388.299641</v>
      </c>
      <c r="H14" s="0" t="n">
        <f aca="false">(L_I4!AS4-L_S1!AS4)*C14</f>
        <v>264303166.622178</v>
      </c>
      <c r="I14" s="0" t="n">
        <f aca="false">I13+E14</f>
        <v>418755245.594482</v>
      </c>
      <c r="J14" s="0" t="n">
        <f aca="false">J13+F14</f>
        <v>428936824.608868</v>
      </c>
      <c r="K14" s="0" t="n">
        <f aca="false">K13+G14</f>
        <v>427781312.961495</v>
      </c>
      <c r="L14" s="0" t="n">
        <f aca="false">MAX(L13,J14)</f>
        <v>428936824.608868</v>
      </c>
      <c r="M14" s="0" t="n">
        <f aca="false">IF(AND(B14&lt;x_H,J14&lt;=0,L13&gt;0),1,0)</f>
        <v>0</v>
      </c>
      <c r="N14" s="0" t="n">
        <f aca="false">IF(AND(B14&lt;x_H,I14&lt;=0,O13&gt;0),1,0)</f>
        <v>0</v>
      </c>
      <c r="O14" s="0" t="n">
        <f aca="false">MAX(O13,I14)</f>
        <v>418755245.594482</v>
      </c>
      <c r="P14" s="0" t="n">
        <f aca="false">(L_I4!V4-L_S1!V4)*D14</f>
        <v>405.514975845409</v>
      </c>
    </row>
    <row r="15" customFormat="false" ht="15" hidden="false" customHeight="false" outlineLevel="0" collapsed="false">
      <c r="A15" s="0" t="n">
        <v>2028</v>
      </c>
      <c r="B15" s="0" t="n">
        <v>2</v>
      </c>
      <c r="C15" s="0" t="n">
        <f aca="false">IF(B15&lt;x_H,(1+x_dk)^(-B15),0)</f>
        <v>0.90702947845805</v>
      </c>
      <c r="D15" s="0" t="n">
        <f aca="false">IF(B15&lt;x_H,(1+x_de)^(-B15),0)</f>
        <v>0.933510700366403</v>
      </c>
      <c r="E15" s="0" t="n">
        <f aca="false">(L_I4!AO5-L_S1!AO5)*C15</f>
        <v>374977150.534336</v>
      </c>
      <c r="F15" s="0" t="n">
        <f aca="false">(L_I4!AP5-L_S1!AP5)*C15</f>
        <v>381024611.241255</v>
      </c>
      <c r="G15" s="0" t="n">
        <f aca="false">(L_I4!AQ5-L_S1!AQ5)*C15</f>
        <v>379921965.255176</v>
      </c>
      <c r="H15" s="0" t="n">
        <f aca="false">(L_I4!AS5-L_S1!AS5)*C15</f>
        <v>366132190.810431</v>
      </c>
      <c r="I15" s="0" t="n">
        <f aca="false">I14+E15</f>
        <v>793732396.128818</v>
      </c>
      <c r="J15" s="0" t="n">
        <f aca="false">J14+F15</f>
        <v>809961435.850123</v>
      </c>
      <c r="K15" s="0" t="n">
        <f aca="false">K14+G15</f>
        <v>807703278.216671</v>
      </c>
      <c r="L15" s="0" t="n">
        <f aca="false">MAX(L14,J15)</f>
        <v>809961435.850123</v>
      </c>
      <c r="M15" s="0" t="n">
        <f aca="false">IF(AND(B15&lt;x_H,J15&lt;=0,L14&gt;0),1,0)</f>
        <v>0</v>
      </c>
      <c r="N15" s="0" t="n">
        <f aca="false">IF(AND(B15&lt;x_H,I15&lt;=0,O14&gt;0),1,0)</f>
        <v>0</v>
      </c>
      <c r="O15" s="0" t="n">
        <f aca="false">MAX(O14,I15)</f>
        <v>793732396.128818</v>
      </c>
      <c r="P15" s="0" t="n">
        <f aca="false">(L_I4!V5-L_S1!V5)*D15</f>
        <v>653.769282830407</v>
      </c>
    </row>
    <row r="16" customFormat="false" ht="15" hidden="false" customHeight="false" outlineLevel="0" collapsed="false">
      <c r="A16" s="0" t="n">
        <v>2029</v>
      </c>
      <c r="B16" s="0" t="n">
        <v>3</v>
      </c>
      <c r="C16" s="0" t="n">
        <f aca="false">IF(B16&lt;x_H,(1+x_dk)^(-B16),0)</f>
        <v>0.863837598531476</v>
      </c>
      <c r="D16" s="0" t="n">
        <f aca="false">IF(B16&lt;x_H,(1+x_de)^(-B16),0)</f>
        <v>0.901942705668022</v>
      </c>
      <c r="E16" s="0" t="n">
        <f aca="false">(L_I4!AO6-L_S1!AO6)*C16</f>
        <v>344126111.570923</v>
      </c>
      <c r="F16" s="0" t="n">
        <f aca="false">(L_I4!AP6-L_S1!AP6)*C16</f>
        <v>348582401.686754</v>
      </c>
      <c r="G16" s="0" t="n">
        <f aca="false">(L_I4!AQ6-L_S1!AQ6)*C16</f>
        <v>346949353.467155</v>
      </c>
      <c r="H16" s="0" t="n">
        <f aca="false">(L_I4!AS6-L_S1!AS6)*C16</f>
        <v>336185793.608584</v>
      </c>
      <c r="I16" s="0" t="n">
        <f aca="false">I15+E16</f>
        <v>1137858507.69974</v>
      </c>
      <c r="J16" s="0" t="n">
        <f aca="false">J15+F16</f>
        <v>1158543837.53688</v>
      </c>
      <c r="K16" s="0" t="n">
        <f aca="false">K15+G16</f>
        <v>1154652631.68383</v>
      </c>
      <c r="L16" s="0" t="n">
        <f aca="false">MAX(L15,J16)</f>
        <v>1158543837.53688</v>
      </c>
      <c r="M16" s="0" t="n">
        <f aca="false">IF(AND(B16&lt;x_H,J16&lt;=0,L15&gt;0),1,0)</f>
        <v>0</v>
      </c>
      <c r="N16" s="0" t="n">
        <f aca="false">IF(AND(B16&lt;x_H,I16&lt;=0,O15&gt;0),1,0)</f>
        <v>0</v>
      </c>
      <c r="O16" s="0" t="n">
        <f aca="false">MAX(O15,I16)</f>
        <v>1137858507.69974</v>
      </c>
      <c r="P16" s="0" t="n">
        <f aca="false">(L_I4!V6-L_S1!V6)*D16</f>
        <v>892.57783455507</v>
      </c>
    </row>
    <row r="17" customFormat="false" ht="15" hidden="false" customHeight="false" outlineLevel="0" collapsed="false">
      <c r="A17" s="0" t="n">
        <v>2030</v>
      </c>
      <c r="B17" s="0" t="n">
        <v>4</v>
      </c>
      <c r="C17" s="0" t="n">
        <f aca="false">IF(B17&lt;x_H,(1+x_dk)^(-B17),0)</f>
        <v>0.822702474791882</v>
      </c>
      <c r="D17" s="0" t="n">
        <f aca="false">IF(B17&lt;x_H,(1+x_de)^(-B17),0)</f>
        <v>0.871442227698572</v>
      </c>
      <c r="E17" s="0" t="n">
        <f aca="false">(L_I4!AO7-L_S1!AO7)*C17</f>
        <v>316916599.218293</v>
      </c>
      <c r="F17" s="0" t="n">
        <f aca="false">(L_I4!AP7-L_S1!AP7)*C17</f>
        <v>319463044.550317</v>
      </c>
      <c r="G17" s="0" t="n">
        <f aca="false">(L_I4!AQ7-L_S1!AQ7)*C17</f>
        <v>316954044.747972</v>
      </c>
      <c r="H17" s="0" t="n">
        <f aca="false">(L_I4!AS7-L_S1!AS7)*C17</f>
        <v>310608843.047072</v>
      </c>
      <c r="I17" s="0" t="n">
        <f aca="false">I16+E17</f>
        <v>1454775106.91803</v>
      </c>
      <c r="J17" s="0" t="n">
        <f aca="false">J16+F17</f>
        <v>1478006882.08719</v>
      </c>
      <c r="K17" s="0" t="n">
        <f aca="false">K16+G17</f>
        <v>1471606676.4318</v>
      </c>
      <c r="L17" s="0" t="n">
        <f aca="false">MAX(L16,J17)</f>
        <v>1478006882.08719</v>
      </c>
      <c r="M17" s="0" t="n">
        <f aca="false">IF(AND(B17&lt;x_H,J17&lt;=0,L16&gt;0),1,0)</f>
        <v>0</v>
      </c>
      <c r="N17" s="0" t="n">
        <f aca="false">IF(AND(B17&lt;x_H,I17&lt;=0,O16&gt;0),1,0)</f>
        <v>0</v>
      </c>
      <c r="O17" s="0" t="n">
        <f aca="false">MAX(O16,I17)</f>
        <v>1454775106.91803</v>
      </c>
      <c r="P17" s="0" t="n">
        <f aca="false">(L_I4!V7-L_S1!V7)*D17</f>
        <v>1122.00191133315</v>
      </c>
    </row>
    <row r="18" customFormat="false" ht="15" hidden="false" customHeight="false" outlineLevel="0" collapsed="false">
      <c r="A18" s="0" t="n">
        <v>2031</v>
      </c>
      <c r="B18" s="0" t="n">
        <v>5</v>
      </c>
      <c r="C18" s="0" t="n">
        <f aca="false">IF(B18&lt;x_H,(1+x_dk)^(-B18),0)</f>
        <v>0.783526166468459</v>
      </c>
      <c r="D18" s="0" t="n">
        <f aca="false">IF(B18&lt;x_H,(1+x_de)^(-B18),0)</f>
        <v>0.841973166858524</v>
      </c>
      <c r="E18" s="0" t="n">
        <f aca="false">(L_I4!AO8-L_S1!AO8)*C18</f>
        <v>292588769.621397</v>
      </c>
      <c r="F18" s="0" t="n">
        <f aca="false">(L_I4!AP8-L_S1!AP8)*C18</f>
        <v>292898649.394099</v>
      </c>
      <c r="G18" s="0" t="n">
        <f aca="false">(L_I4!AQ8-L_S1!AQ8)*C18</f>
        <v>289149317.014001</v>
      </c>
      <c r="H18" s="0" t="n">
        <f aca="false">(L_I4!AS8-L_S1!AS8)*C18</f>
        <v>288384567.932217</v>
      </c>
      <c r="I18" s="0" t="n">
        <f aca="false">I17+E18</f>
        <v>1747363876.53943</v>
      </c>
      <c r="J18" s="0" t="n">
        <f aca="false">J17+F18</f>
        <v>1770905531.48129</v>
      </c>
      <c r="K18" s="0" t="n">
        <f aca="false">K17+G18</f>
        <v>1760755993.4458</v>
      </c>
      <c r="L18" s="0" t="n">
        <f aca="false">MAX(L17,J18)</f>
        <v>1770905531.48129</v>
      </c>
      <c r="M18" s="0" t="n">
        <f aca="false">IF(AND(B18&lt;x_H,J18&lt;=0,L17&gt;0),1,0)</f>
        <v>0</v>
      </c>
      <c r="N18" s="0" t="n">
        <f aca="false">IF(AND(B18&lt;x_H,I18&lt;=0,O17&gt;0),1,0)</f>
        <v>0</v>
      </c>
      <c r="O18" s="0" t="n">
        <f aca="false">MAX(O17,I18)</f>
        <v>1747363876.53943</v>
      </c>
      <c r="P18" s="0" t="n">
        <f aca="false">(L_I4!V8-L_S1!V8)*D18</f>
        <v>1338.71376005638</v>
      </c>
    </row>
    <row r="19" customFormat="false" ht="15" hidden="false" customHeight="false" outlineLevel="0" collapsed="false">
      <c r="A19" s="0" t="n">
        <v>2032</v>
      </c>
      <c r="B19" s="0" t="n">
        <v>6</v>
      </c>
      <c r="C19" s="0" t="n">
        <f aca="false">IF(B19&lt;x_H,(1+x_dk)^(-B19),0)</f>
        <v>0.746215396636628</v>
      </c>
      <c r="D19" s="0" t="n">
        <f aca="false">IF(B19&lt;x_H,(1+x_de)^(-B19),0)</f>
        <v>0.813500644307753</v>
      </c>
      <c r="E19" s="0" t="n">
        <f aca="false">(L_I4!AO9-L_S1!AO9)*C19</f>
        <v>270590517.779405</v>
      </c>
      <c r="F19" s="0" t="n">
        <f aca="false">(L_I4!AP9-L_S1!AP9)*C19</f>
        <v>268346653.438766</v>
      </c>
      <c r="G19" s="0" t="n">
        <f aca="false">(L_I4!AQ9-L_S1!AQ9)*C19</f>
        <v>262993868.74786</v>
      </c>
      <c r="H19" s="0" t="n">
        <f aca="false">(L_I4!AS9-L_S1!AS9)*C19</f>
        <v>268781621.44071</v>
      </c>
      <c r="I19" s="0" t="n">
        <f aca="false">I18+E19</f>
        <v>2017954394.31884</v>
      </c>
      <c r="J19" s="0" t="n">
        <f aca="false">J18+F19</f>
        <v>2039252184.92006</v>
      </c>
      <c r="K19" s="0" t="n">
        <f aca="false">K18+G19</f>
        <v>2023749862.19366</v>
      </c>
      <c r="L19" s="0" t="n">
        <f aca="false">MAX(L18,J19)</f>
        <v>2039252184.92006</v>
      </c>
      <c r="M19" s="0" t="n">
        <f aca="false">IF(AND(B19&lt;x_H,J19&lt;=0,L18&gt;0),1,0)</f>
        <v>0</v>
      </c>
      <c r="N19" s="0" t="n">
        <f aca="false">IF(AND(B19&lt;x_H,I19&lt;=0,O18&gt;0),1,0)</f>
        <v>0</v>
      </c>
      <c r="O19" s="0" t="n">
        <f aca="false">MAX(O18,I19)</f>
        <v>2017954394.31884</v>
      </c>
      <c r="P19" s="0" t="n">
        <f aca="false">(L_I4!V9-L_S1!V9)*D19</f>
        <v>1539.55729085823</v>
      </c>
    </row>
    <row r="20" customFormat="false" ht="15" hidden="false" customHeight="false" outlineLevel="0" collapsed="false">
      <c r="A20" s="0" t="n">
        <v>2033</v>
      </c>
      <c r="B20" s="0" t="n">
        <v>7</v>
      </c>
      <c r="C20" s="0" t="n">
        <f aca="false">IF(B20&lt;x_H,(1+x_dk)^(-B20),0)</f>
        <v>0.710681330130121</v>
      </c>
      <c r="D20" s="0" t="n">
        <f aca="false">IF(B20&lt;x_H,(1+x_de)^(-B20),0)</f>
        <v>0.785990960683819</v>
      </c>
      <c r="E20" s="0" t="n">
        <f aca="false">(L_I4!AO10-L_S1!AO10)*C20</f>
        <v>250522291.590564</v>
      </c>
      <c r="F20" s="0" t="n">
        <f aca="false">(L_I4!AP10-L_S1!AP10)*C20</f>
        <v>245431139.853792</v>
      </c>
      <c r="G20" s="0" t="n">
        <f aca="false">(L_I4!AQ10-L_S1!AQ10)*C20</f>
        <v>238128429.412354</v>
      </c>
      <c r="H20" s="0" t="n">
        <f aca="false">(L_I4!AS10-L_S1!AS10)*C20</f>
        <v>251266589.467056</v>
      </c>
      <c r="I20" s="0" t="n">
        <f aca="false">I19+E20</f>
        <v>2268476685.9094</v>
      </c>
      <c r="J20" s="0" t="n">
        <f aca="false">J19+F20</f>
        <v>2284683324.77385</v>
      </c>
      <c r="K20" s="0" t="n">
        <f aca="false">K19+G20</f>
        <v>2261878291.60601</v>
      </c>
      <c r="L20" s="0" t="n">
        <f aca="false">MAX(L19,J20)</f>
        <v>2284683324.77385</v>
      </c>
      <c r="M20" s="0" t="n">
        <f aca="false">IF(AND(B20&lt;x_H,J20&lt;=0,L19&gt;0),1,0)</f>
        <v>0</v>
      </c>
      <c r="N20" s="0" t="n">
        <f aca="false">IF(AND(B20&lt;x_H,I20&lt;=0,O19&gt;0),1,0)</f>
        <v>0</v>
      </c>
      <c r="O20" s="0" t="n">
        <f aca="false">MAX(O19,I20)</f>
        <v>2268476685.9094</v>
      </c>
      <c r="P20" s="0" t="n">
        <f aca="false">(L_I4!V10-L_S1!V10)*D20</f>
        <v>1721.99694211472</v>
      </c>
    </row>
    <row r="21" customFormat="false" ht="15" hidden="false" customHeight="false" outlineLevel="0" collapsed="false">
      <c r="A21" s="0" t="n">
        <v>2034</v>
      </c>
      <c r="B21" s="0" t="n">
        <v>8</v>
      </c>
      <c r="C21" s="0" t="n">
        <f aca="false">IF(B21&lt;x_H,(1+x_dk)^(-B21),0)</f>
        <v>0.676839362028687</v>
      </c>
      <c r="D21" s="0" t="n">
        <f aca="false">IF(B21&lt;x_H,(1+x_de)^(-B21),0)</f>
        <v>0.759411556216251</v>
      </c>
      <c r="E21" s="0" t="n">
        <f aca="false">(L_I4!AO11-L_S1!AO11)*C21</f>
        <v>232099122.216158</v>
      </c>
      <c r="F21" s="0" t="n">
        <f aca="false">(L_I4!AP11-L_S1!AP11)*C21</f>
        <v>223901541.462405</v>
      </c>
      <c r="G21" s="0" t="n">
        <f aca="false">(L_I4!AQ11-L_S1!AQ11)*C21</f>
        <v>214330838.306039</v>
      </c>
      <c r="H21" s="0" t="n">
        <f aca="false">(L_I4!AS11-L_S1!AS11)*C21</f>
        <v>235451443.979843</v>
      </c>
      <c r="I21" s="0" t="n">
        <f aca="false">I20+E21</f>
        <v>2500575808.12556</v>
      </c>
      <c r="J21" s="0" t="n">
        <f aca="false">J20+F21</f>
        <v>2508584866.23626</v>
      </c>
      <c r="K21" s="0" t="n">
        <f aca="false">K20+G21</f>
        <v>2476209129.91205</v>
      </c>
      <c r="L21" s="0" t="n">
        <f aca="false">MAX(L20,J21)</f>
        <v>2508584866.23626</v>
      </c>
      <c r="M21" s="0" t="n">
        <f aca="false">IF(AND(B21&lt;x_H,J21&lt;=0,L20&gt;0),1,0)</f>
        <v>0</v>
      </c>
      <c r="N21" s="0" t="n">
        <f aca="false">IF(AND(B21&lt;x_H,I21&lt;=0,O20&gt;0),1,0)</f>
        <v>0</v>
      </c>
      <c r="O21" s="0" t="n">
        <f aca="false">MAX(O20,I21)</f>
        <v>2500575808.12556</v>
      </c>
      <c r="P21" s="0" t="n">
        <f aca="false">(L_I4!V11-L_S1!V11)*D21</f>
        <v>1884.44256558437</v>
      </c>
    </row>
    <row r="22" customFormat="false" ht="15" hidden="false" customHeight="false" outlineLevel="0" collapsed="false">
      <c r="A22" s="0" t="n">
        <v>2035</v>
      </c>
      <c r="B22" s="0" t="n">
        <v>9</v>
      </c>
      <c r="C22" s="0" t="n">
        <f aca="false">IF(B22&lt;x_H,(1+x_dk)^(-B22),0)</f>
        <v>0.644608916217797</v>
      </c>
      <c r="D22" s="0" t="n">
        <f aca="false">IF(B22&lt;x_H,(1+x_de)^(-B22),0)</f>
        <v>0.733730972189614</v>
      </c>
      <c r="E22" s="0" t="n">
        <f aca="false">(L_I4!AO12-L_S1!AO12)*C22</f>
        <v>213065334.072629</v>
      </c>
      <c r="F22" s="0" t="n">
        <f aca="false">(L_I4!AP12-L_S1!AP12)*C22</f>
        <v>200557519.42263</v>
      </c>
      <c r="G22" s="0" t="n">
        <f aca="false">(L_I4!AQ12-L_S1!AQ12)*C22</f>
        <v>188592543.37066</v>
      </c>
      <c r="H22" s="0" t="n">
        <f aca="false">(L_I4!AS12-L_S1!AS12)*C22</f>
        <v>221046355.526328</v>
      </c>
      <c r="I22" s="0" t="n">
        <f aca="false">I21+E22</f>
        <v>2713641142.19819</v>
      </c>
      <c r="J22" s="0" t="n">
        <f aca="false">J21+F22</f>
        <v>2709142385.65889</v>
      </c>
      <c r="K22" s="0" t="n">
        <f aca="false">K21+G22</f>
        <v>2664801673.28271</v>
      </c>
      <c r="L22" s="0" t="n">
        <f aca="false">MAX(L21,J22)</f>
        <v>2709142385.65889</v>
      </c>
      <c r="M22" s="0" t="n">
        <f aca="false">IF(AND(B22&lt;x_H,J22&lt;=0,L21&gt;0),1,0)</f>
        <v>0</v>
      </c>
      <c r="N22" s="0" t="n">
        <f aca="false">IF(AND(B22&lt;x_H,I22&lt;=0,O21&gt;0),1,0)</f>
        <v>0</v>
      </c>
      <c r="O22" s="0" t="n">
        <f aca="false">MAX(O21,I22)</f>
        <v>2713641142.19819</v>
      </c>
      <c r="P22" s="0" t="n">
        <f aca="false">(L_I4!V12-L_S1!V12)*D22</f>
        <v>1974.30935907934</v>
      </c>
    </row>
    <row r="23" customFormat="false" ht="15" hidden="false" customHeight="false" outlineLevel="0" collapsed="false">
      <c r="A23" s="0" t="n">
        <v>2036</v>
      </c>
      <c r="B23" s="0" t="n">
        <v>10</v>
      </c>
      <c r="C23" s="0" t="n">
        <f aca="false">IF(B23&lt;x_H,(1+x_dk)^(-B23),0)</f>
        <v>0.613913253540759</v>
      </c>
      <c r="D23" s="0" t="n">
        <f aca="false">IF(B23&lt;x_H,(1+x_de)^(-B23),0)</f>
        <v>0.708918813709772</v>
      </c>
      <c r="E23" s="0" t="n">
        <f aca="false">(L_I4!AO13-L_S1!AO13)*C23</f>
        <v>-10652084.3298108</v>
      </c>
      <c r="F23" s="0" t="n">
        <f aca="false">(L_I4!AP13-L_S1!AP13)*C23</f>
        <v>-29398784.4677787</v>
      </c>
      <c r="G23" s="0" t="n">
        <f aca="false">(L_I4!AQ13-L_S1!AQ13)*C23</f>
        <v>-43975404.3579766</v>
      </c>
      <c r="H23" s="0" t="n">
        <f aca="false">(L_I4!AS13-L_S1!AS13)*C23</f>
        <v>0</v>
      </c>
      <c r="I23" s="0" t="n">
        <f aca="false">I22+E23</f>
        <v>2702989057.86838</v>
      </c>
      <c r="J23" s="0" t="n">
        <f aca="false">J22+F23</f>
        <v>2679743601.19111</v>
      </c>
      <c r="K23" s="0" t="n">
        <f aca="false">K22+G23</f>
        <v>2620826268.92474</v>
      </c>
      <c r="L23" s="0" t="n">
        <f aca="false">MAX(L22,J23)</f>
        <v>2709142385.65889</v>
      </c>
      <c r="M23" s="0" t="n">
        <f aca="false">IF(AND(B23&lt;x_H,J23&lt;=0,L22&gt;0),1,0)</f>
        <v>0</v>
      </c>
      <c r="N23" s="0" t="n">
        <f aca="false">IF(AND(B23&lt;x_H,I23&lt;=0,O22&gt;0),1,0)</f>
        <v>0</v>
      </c>
      <c r="O23" s="0" t="n">
        <f aca="false">MAX(O22,I23)</f>
        <v>2713641142.19819</v>
      </c>
      <c r="P23" s="0" t="n">
        <f aca="false">(L_I4!V13-L_S1!V13)*D23</f>
        <v>1997.11858442265</v>
      </c>
    </row>
    <row r="24" customFormat="false" ht="15" hidden="false" customHeight="false" outlineLevel="0" collapsed="false">
      <c r="A24" s="0" t="n">
        <v>2037</v>
      </c>
      <c r="B24" s="0" t="n">
        <v>11</v>
      </c>
      <c r="C24" s="0" t="n">
        <f aca="false">IF(B24&lt;x_H,(1+x_dk)^(-B24),0)</f>
        <v>0.584679289086437</v>
      </c>
      <c r="D24" s="0" t="n">
        <f aca="false">IF(B24&lt;x_H,(1+x_de)^(-B24),0)</f>
        <v>0.684945713729249</v>
      </c>
      <c r="E24" s="0" t="n">
        <f aca="false">(L_I4!AO14-L_S1!AO14)*C24</f>
        <v>-13191231.5008997</v>
      </c>
      <c r="F24" s="0" t="n">
        <f aca="false">(L_I4!AP14-L_S1!AP14)*C24</f>
        <v>-35027079.2571742</v>
      </c>
      <c r="G24" s="0" t="n">
        <f aca="false">(L_I4!AQ14-L_S1!AQ14)*C24</f>
        <v>-52460301.3486745</v>
      </c>
      <c r="H24" s="0" t="n">
        <f aca="false">(L_I4!AS14-L_S1!AS14)*C24</f>
        <v>0</v>
      </c>
      <c r="I24" s="0" t="n">
        <f aca="false">I23+E24</f>
        <v>2689797826.36748</v>
      </c>
      <c r="J24" s="0" t="n">
        <f aca="false">J23+F24</f>
        <v>2644716521.93393</v>
      </c>
      <c r="K24" s="0" t="n">
        <f aca="false">K23+G24</f>
        <v>2568365967.57606</v>
      </c>
      <c r="L24" s="0" t="n">
        <f aca="false">MAX(L23,J24)</f>
        <v>2709142385.65889</v>
      </c>
      <c r="M24" s="0" t="n">
        <f aca="false">IF(AND(B24&lt;x_H,J24&lt;=0,L23&gt;0),1,0)</f>
        <v>0</v>
      </c>
      <c r="N24" s="0" t="n">
        <f aca="false">IF(AND(B24&lt;x_H,I24&lt;=0,O23&gt;0),1,0)</f>
        <v>0</v>
      </c>
      <c r="O24" s="0" t="n">
        <f aca="false">MAX(O23,I24)</f>
        <v>2713641142.19819</v>
      </c>
      <c r="P24" s="0" t="n">
        <f aca="false">(L_I4!V14-L_S1!V14)*D24</f>
        <v>2006.25051698436</v>
      </c>
    </row>
    <row r="25" customFormat="false" ht="15" hidden="false" customHeight="false" outlineLevel="0" collapsed="false">
      <c r="A25" s="0" t="n">
        <v>2038</v>
      </c>
      <c r="B25" s="0" t="n">
        <v>12</v>
      </c>
      <c r="C25" s="0" t="n">
        <f aca="false">IF(B25&lt;x_H,(1+x_dk)^(-B25),0)</f>
        <v>0.556837418177559</v>
      </c>
      <c r="D25" s="0" t="n">
        <f aca="false">IF(B25&lt;x_H,(1+x_de)^(-B25),0)</f>
        <v>0.661783298289129</v>
      </c>
      <c r="E25" s="0" t="n">
        <f aca="false">(L_I4!AO15-L_S1!AO15)*C25</f>
        <v>-15096638.7422353</v>
      </c>
      <c r="F25" s="0" t="n">
        <f aca="false">(L_I4!AP15-L_S1!AP15)*C25</f>
        <v>-30663097.897048</v>
      </c>
      <c r="G25" s="0" t="n">
        <f aca="false">(L_I4!AQ15-L_S1!AQ15)*C25</f>
        <v>-43337745.6339676</v>
      </c>
      <c r="H25" s="0" t="n">
        <f aca="false">(L_I4!AS15-L_S1!AS15)*C25</f>
        <v>0</v>
      </c>
      <c r="I25" s="0" t="n">
        <f aca="false">I24+E25</f>
        <v>2674701187.62524</v>
      </c>
      <c r="J25" s="0" t="n">
        <f aca="false">J24+F25</f>
        <v>2614053424.03689</v>
      </c>
      <c r="K25" s="0" t="n">
        <f aca="false">K24+G25</f>
        <v>2525028221.94209</v>
      </c>
      <c r="L25" s="0" t="n">
        <f aca="false">MAX(L24,J25)</f>
        <v>2709142385.65889</v>
      </c>
      <c r="M25" s="0" t="n">
        <f aca="false">IF(AND(B25&lt;x_H,J25&lt;=0,L24&gt;0),1,0)</f>
        <v>0</v>
      </c>
      <c r="N25" s="0" t="n">
        <f aca="false">IF(AND(B25&lt;x_H,I25&lt;=0,O24&gt;0),1,0)</f>
        <v>0</v>
      </c>
      <c r="O25" s="0" t="n">
        <f aca="false">MAX(O24,I25)</f>
        <v>2713641142.19819</v>
      </c>
      <c r="P25" s="0" t="n">
        <f aca="false">(L_I4!V15-L_S1!V15)*D25</f>
        <v>2002.17441165979</v>
      </c>
    </row>
    <row r="26" customFormat="false" ht="15" hidden="false" customHeight="false" outlineLevel="0" collapsed="false">
      <c r="A26" s="0" t="n">
        <v>2039</v>
      </c>
      <c r="B26" s="0" t="n">
        <v>13</v>
      </c>
      <c r="C26" s="0" t="n">
        <f aca="false">IF(B26&lt;x_H,(1+x_dk)^(-B26),0)</f>
        <v>0.530321350645295</v>
      </c>
      <c r="D26" s="0" t="n">
        <f aca="false">IF(B26&lt;x_H,(1+x_de)^(-B26),0)</f>
        <v>0.639404152936357</v>
      </c>
      <c r="E26" s="0" t="n">
        <f aca="false">(L_I4!AO16-L_S1!AO16)*C26</f>
        <v>-16490988.5298573</v>
      </c>
      <c r="F26" s="0" t="n">
        <f aca="false">(L_I4!AP16-L_S1!AP16)*C26</f>
        <v>-25190930.1797522</v>
      </c>
      <c r="G26" s="0" t="n">
        <f aca="false">(L_I4!AQ16-L_S1!AQ16)*C26</f>
        <v>-32499372.8537908</v>
      </c>
      <c r="H26" s="0" t="n">
        <f aca="false">(L_I4!AS16-L_S1!AS16)*C26</f>
        <v>0</v>
      </c>
      <c r="I26" s="0" t="n">
        <f aca="false">I25+E26</f>
        <v>2658210199.09538</v>
      </c>
      <c r="J26" s="0" t="n">
        <f aca="false">J25+F26</f>
        <v>2588862493.85713</v>
      </c>
      <c r="K26" s="0" t="n">
        <f aca="false">K25+G26</f>
        <v>2492528849.0883</v>
      </c>
      <c r="L26" s="0" t="n">
        <f aca="false">MAX(L25,J26)</f>
        <v>2709142385.65889</v>
      </c>
      <c r="M26" s="0" t="n">
        <f aca="false">IF(AND(B26&lt;x_H,J26&lt;=0,L25&gt;0),1,0)</f>
        <v>0</v>
      </c>
      <c r="N26" s="0" t="n">
        <f aca="false">IF(AND(B26&lt;x_H,I26&lt;=0,O25&gt;0),1,0)</f>
        <v>0</v>
      </c>
      <c r="O26" s="0" t="n">
        <f aca="false">MAX(O25,I26)</f>
        <v>2713641142.19819</v>
      </c>
      <c r="P26" s="0" t="n">
        <f aca="false">(L_I4!V16-L_S1!V16)*D26</f>
        <v>1987.16644206589</v>
      </c>
    </row>
    <row r="27" customFormat="false" ht="15" hidden="false" customHeight="false" outlineLevel="0" collapsed="false">
      <c r="A27" s="0" t="n">
        <v>2040</v>
      </c>
      <c r="B27" s="0" t="n">
        <v>14</v>
      </c>
      <c r="C27" s="0" t="n">
        <f aca="false">IF(B27&lt;x_H,(1+x_dk)^(-B27),0)</f>
        <v>0.505067952995519</v>
      </c>
      <c r="D27" s="0" t="n">
        <f aca="false">IF(B27&lt;x_H,(1+x_de)^(-B27),0)</f>
        <v>0.617781790276673</v>
      </c>
      <c r="E27" s="0" t="n">
        <f aca="false">(L_I4!AO17-L_S1!AO17)*C27</f>
        <v>-17464053.3405098</v>
      </c>
      <c r="F27" s="0" t="n">
        <f aca="false">(L_I4!AP17-L_S1!AP17)*C27</f>
        <v>-27172981.3875217</v>
      </c>
      <c r="G27" s="0" t="n">
        <f aca="false">(L_I4!AQ17-L_S1!AQ17)*C27</f>
        <v>-35457282.7356322</v>
      </c>
      <c r="H27" s="0" t="n">
        <f aca="false">(L_I4!AS17-L_S1!AS17)*C27</f>
        <v>0</v>
      </c>
      <c r="I27" s="0" t="n">
        <f aca="false">I26+E27</f>
        <v>2640746145.75487</v>
      </c>
      <c r="J27" s="0" t="n">
        <f aca="false">J26+F27</f>
        <v>2561689512.46961</v>
      </c>
      <c r="K27" s="0" t="n">
        <f aca="false">K26+G27</f>
        <v>2457071566.35267</v>
      </c>
      <c r="L27" s="0" t="n">
        <f aca="false">MAX(L26,J27)</f>
        <v>2709142385.65889</v>
      </c>
      <c r="M27" s="0" t="n">
        <f aca="false">IF(AND(B27&lt;x_H,J27&lt;=0,L26&gt;0),1,0)</f>
        <v>0</v>
      </c>
      <c r="N27" s="0" t="n">
        <f aca="false">IF(AND(B27&lt;x_H,I27&lt;=0,O26&gt;0),1,0)</f>
        <v>0</v>
      </c>
      <c r="O27" s="0" t="n">
        <f aca="false">MAX(O26,I27)</f>
        <v>2713641142.19819</v>
      </c>
      <c r="P27" s="0" t="n">
        <f aca="false">(L_I4!V17-L_S1!V17)*D27</f>
        <v>1963.75162569751</v>
      </c>
    </row>
    <row r="28" customFormat="false" ht="15" hidden="false" customHeight="false" outlineLevel="0" collapsed="false">
      <c r="A28" s="0" t="n">
        <v>2041</v>
      </c>
      <c r="B28" s="0" t="n">
        <v>15</v>
      </c>
      <c r="C28" s="0" t="n">
        <f aca="false">IF(B28&lt;x_H,(1+x_dk)^(-B28),0)</f>
        <v>0.48101709809097</v>
      </c>
      <c r="D28" s="0" t="n">
        <f aca="false">IF(B28&lt;x_H,(1+x_de)^(-B28),0)</f>
        <v>0.596890618624805</v>
      </c>
      <c r="E28" s="0" t="n">
        <f aca="false">(L_I4!AO18-L_S1!AO18)*C28</f>
        <v>-18085906.7697044</v>
      </c>
      <c r="F28" s="0" t="n">
        <f aca="false">(L_I4!AP18-L_S1!AP18)*C28</f>
        <v>-28782123.7611213</v>
      </c>
      <c r="G28" s="0" t="n">
        <f aca="false">(L_I4!AQ18-L_S1!AQ18)*C28</f>
        <v>-38032135.7885555</v>
      </c>
      <c r="H28" s="0" t="n">
        <f aca="false">(L_I4!AS18-L_S1!AS18)*C28</f>
        <v>0</v>
      </c>
      <c r="I28" s="0" t="n">
        <f aca="false">I27+E28</f>
        <v>2622660238.98517</v>
      </c>
      <c r="J28" s="0" t="n">
        <f aca="false">J27+F28</f>
        <v>2532907388.70849</v>
      </c>
      <c r="K28" s="0" t="n">
        <f aca="false">K27+G28</f>
        <v>2419039430.56412</v>
      </c>
      <c r="L28" s="0" t="n">
        <f aca="false">MAX(L27,J28)</f>
        <v>2709142385.65889</v>
      </c>
      <c r="M28" s="0" t="n">
        <f aca="false">IF(AND(B28&lt;x_H,J28&lt;=0,L27&gt;0),1,0)</f>
        <v>0</v>
      </c>
      <c r="N28" s="0" t="n">
        <f aca="false">IF(AND(B28&lt;x_H,I28&lt;=0,O27&gt;0),1,0)</f>
        <v>0</v>
      </c>
      <c r="O28" s="0" t="n">
        <f aca="false">MAX(O27,I28)</f>
        <v>2713641142.19819</v>
      </c>
      <c r="P28" s="0" t="n">
        <f aca="false">(L_I4!V18-L_S1!V18)*D28</f>
        <v>1934.16913571676</v>
      </c>
    </row>
    <row r="29" customFormat="false" ht="15" hidden="false" customHeight="false" outlineLevel="0" collapsed="false">
      <c r="A29" s="0" t="n">
        <v>2042</v>
      </c>
      <c r="B29" s="0" t="n">
        <v>16</v>
      </c>
      <c r="C29" s="0" t="n">
        <f aca="false">IF(B29&lt;x_H,(1+x_dk)^(-B29),0)</f>
        <v>0.4581115219914</v>
      </c>
      <c r="D29" s="0" t="n">
        <f aca="false">IF(B29&lt;x_H,(1+x_de)^(-B29),0)</f>
        <v>0.576705911714788</v>
      </c>
      <c r="E29" s="0" t="n">
        <f aca="false">(L_I4!AO19-L_S1!AO19)*C29</f>
        <v>-18415643.5004164</v>
      </c>
      <c r="F29" s="0" t="n">
        <f aca="false">(L_I4!AP19-L_S1!AP19)*C29</f>
        <v>-30071026.8237226</v>
      </c>
      <c r="G29" s="0" t="n">
        <f aca="false">(L_I4!AQ19-L_S1!AQ19)*C29</f>
        <v>-40268248.4226541</v>
      </c>
      <c r="H29" s="0" t="n">
        <f aca="false">(L_I4!AS19-L_S1!AS19)*C29</f>
        <v>0</v>
      </c>
      <c r="I29" s="0" t="n">
        <f aca="false">I28+E29</f>
        <v>2604244595.48475</v>
      </c>
      <c r="J29" s="0" t="n">
        <f aca="false">J28+F29</f>
        <v>2502836361.88477</v>
      </c>
      <c r="K29" s="0" t="n">
        <f aca="false">K28+G29</f>
        <v>2378771182.14146</v>
      </c>
      <c r="L29" s="0" t="n">
        <f aca="false">MAX(L28,J29)</f>
        <v>2709142385.65889</v>
      </c>
      <c r="M29" s="0" t="n">
        <f aca="false">IF(AND(B29&lt;x_H,J29&lt;=0,L28&gt;0),1,0)</f>
        <v>0</v>
      </c>
      <c r="N29" s="0" t="n">
        <f aca="false">IF(AND(B29&lt;x_H,I29&lt;=0,O28&gt;0),1,0)</f>
        <v>0</v>
      </c>
      <c r="O29" s="0" t="n">
        <f aca="false">MAX(O28,I29)</f>
        <v>2713641142.19819</v>
      </c>
      <c r="P29" s="0" t="n">
        <f aca="false">(L_I4!V19-L_S1!V19)*D29</f>
        <v>1898.43569924335</v>
      </c>
    </row>
    <row r="30" customFormat="false" ht="15" hidden="false" customHeight="false" outlineLevel="0" collapsed="false">
      <c r="A30" s="0" t="n">
        <v>2043</v>
      </c>
      <c r="B30" s="0" t="n">
        <v>17</v>
      </c>
      <c r="C30" s="0" t="n">
        <f aca="false">IF(B30&lt;x_H,(1+x_dk)^(-B30),0)</f>
        <v>0.436296687610857</v>
      </c>
      <c r="D30" s="0" t="n">
        <f aca="false">IF(B30&lt;x_H,(1+x_de)^(-B30),0)</f>
        <v>0.557203779434577</v>
      </c>
      <c r="E30" s="0" t="n">
        <f aca="false">(L_I4!AO20-L_S1!AO20)*C30</f>
        <v>-18498880.921143</v>
      </c>
      <c r="F30" s="0" t="n">
        <f aca="false">(L_I4!AP20-L_S1!AP20)*C30</f>
        <v>-31079526.0969501</v>
      </c>
      <c r="G30" s="0" t="n">
        <f aca="false">(L_I4!AQ20-L_S1!AQ20)*C30</f>
        <v>-42198366.6973562</v>
      </c>
      <c r="H30" s="0" t="n">
        <f aca="false">(L_I4!AS20-L_S1!AS20)*C30</f>
        <v>0</v>
      </c>
      <c r="I30" s="0" t="n">
        <f aca="false">I29+E30</f>
        <v>2585745714.56361</v>
      </c>
      <c r="J30" s="0" t="n">
        <f aca="false">J29+F30</f>
        <v>2471756835.78782</v>
      </c>
      <c r="K30" s="0" t="n">
        <f aca="false">K29+G30</f>
        <v>2336572815.44411</v>
      </c>
      <c r="L30" s="0" t="n">
        <f aca="false">MAX(L29,J30)</f>
        <v>2709142385.65889</v>
      </c>
      <c r="M30" s="0" t="n">
        <f aca="false">IF(AND(B30&lt;x_H,J30&lt;=0,L29&gt;0),1,0)</f>
        <v>0</v>
      </c>
      <c r="N30" s="0" t="n">
        <f aca="false">IF(AND(B30&lt;x_H,I30&lt;=0,O29&gt;0),1,0)</f>
        <v>0</v>
      </c>
      <c r="O30" s="0" t="n">
        <f aca="false">MAX(O29,I30)</f>
        <v>2713641142.19819</v>
      </c>
      <c r="P30" s="0" t="n">
        <f aca="false">(L_I4!V20-L_S1!V20)*D30</f>
        <v>1860.52292166434</v>
      </c>
    </row>
    <row r="31" customFormat="false" ht="15" hidden="false" customHeight="false" outlineLevel="0" collapsed="false">
      <c r="A31" s="0" t="n">
        <v>2044</v>
      </c>
      <c r="B31" s="0" t="n">
        <v>18</v>
      </c>
      <c r="C31" s="0" t="n">
        <f aca="false">IF(B31&lt;x_H,(1+x_dk)^(-B31),0)</f>
        <v>0.415520654867483</v>
      </c>
      <c r="D31" s="0" t="n">
        <f aca="false">IF(B31&lt;x_H,(1+x_de)^(-B31),0)</f>
        <v>0.538361139550316</v>
      </c>
      <c r="E31" s="0" t="n">
        <f aca="false">(L_I4!AO21-L_S1!AO21)*C31</f>
        <v>-18376221.8267983</v>
      </c>
      <c r="F31" s="0" t="n">
        <f aca="false">(L_I4!AP21-L_S1!AP21)*C31</f>
        <v>-31843431.9554565</v>
      </c>
      <c r="G31" s="0" t="n">
        <f aca="false">(L_I4!AQ21-L_S1!AQ21)*C31</f>
        <v>-43852531.7028675</v>
      </c>
      <c r="H31" s="0" t="n">
        <f aca="false">(L_I4!AS21-L_S1!AS21)*C31</f>
        <v>0</v>
      </c>
      <c r="I31" s="0" t="n">
        <f aca="false">I30+E31</f>
        <v>2567369492.73681</v>
      </c>
      <c r="J31" s="0" t="n">
        <f aca="false">J30+F31</f>
        <v>2439913403.83236</v>
      </c>
      <c r="K31" s="0" t="n">
        <f aca="false">K30+G31</f>
        <v>2292720283.74124</v>
      </c>
      <c r="L31" s="0" t="n">
        <f aca="false">MAX(L30,J31)</f>
        <v>2709142385.65889</v>
      </c>
      <c r="M31" s="0" t="n">
        <f aca="false">IF(AND(B31&lt;x_H,J31&lt;=0,L30&gt;0),1,0)</f>
        <v>0</v>
      </c>
      <c r="N31" s="0" t="n">
        <f aca="false">IF(AND(B31&lt;x_H,I31&lt;=0,O30&gt;0),1,0)</f>
        <v>0</v>
      </c>
      <c r="O31" s="0" t="n">
        <f aca="false">MAX(O30,I31)</f>
        <v>2713641142.19819</v>
      </c>
      <c r="P31" s="0" t="n">
        <f aca="false">(L_I4!V21-L_S1!V21)*D31</f>
        <v>1823.04102127531</v>
      </c>
    </row>
    <row r="32" customFormat="false" ht="15" hidden="false" customHeight="false" outlineLevel="0" collapsed="false">
      <c r="A32" s="0" t="n">
        <v>2045</v>
      </c>
      <c r="B32" s="0" t="n">
        <v>19</v>
      </c>
      <c r="C32" s="0" t="n">
        <f aca="false">IF(B32&lt;x_H,(1+x_dk)^(-B32),0)</f>
        <v>0.39573395701665</v>
      </c>
      <c r="D32" s="0" t="n">
        <f aca="false">IF(B32&lt;x_H,(1+x_de)^(-B32),0)</f>
        <v>0.520155690386779</v>
      </c>
      <c r="E32" s="0" t="n">
        <f aca="false">(L_I4!AO22-L_S1!AO22)*C32</f>
        <v>-18089135.8399657</v>
      </c>
      <c r="F32" s="0" t="n">
        <f aca="false">(L_I4!AP22-L_S1!AP22)*C32</f>
        <v>-32399736.1429192</v>
      </c>
      <c r="G32" s="0" t="n">
        <f aca="false">(L_I4!AQ22-L_S1!AQ22)*C32</f>
        <v>-45262618.9819101</v>
      </c>
      <c r="H32" s="0" t="n">
        <f aca="false">(L_I4!AS22-L_S1!AS22)*C32</f>
        <v>0</v>
      </c>
      <c r="I32" s="0" t="n">
        <f aca="false">I31+E32</f>
        <v>2549280356.89685</v>
      </c>
      <c r="J32" s="0" t="n">
        <f aca="false">J31+F32</f>
        <v>2407513667.68944</v>
      </c>
      <c r="K32" s="0" t="n">
        <f aca="false">K31+G32</f>
        <v>2247457664.75933</v>
      </c>
      <c r="L32" s="0" t="n">
        <f aca="false">MAX(L31,J32)</f>
        <v>2709142385.65889</v>
      </c>
      <c r="M32" s="0" t="n">
        <f aca="false">IF(AND(B32&lt;x_H,J32&lt;=0,L31&gt;0),1,0)</f>
        <v>0</v>
      </c>
      <c r="N32" s="0" t="n">
        <f aca="false">IF(AND(B32&lt;x_H,I32&lt;=0,O31&gt;0),1,0)</f>
        <v>0</v>
      </c>
      <c r="O32" s="0" t="n">
        <f aca="false">MAX(O31,I32)</f>
        <v>2713641142.19819</v>
      </c>
      <c r="P32" s="0" t="n">
        <f aca="false">(L_I4!V22-L_S1!V22)*D32</f>
        <v>1784.43778894982</v>
      </c>
    </row>
    <row r="33" customFormat="false" ht="15" hidden="false" customHeight="false" outlineLevel="0" collapsed="false">
      <c r="A33" s="0" t="n">
        <v>2046</v>
      </c>
      <c r="B33" s="0" t="n">
        <v>20</v>
      </c>
      <c r="C33" s="0" t="n">
        <f aca="false">IF(B33&lt;x_H,(1+x_dk)^(-B33),0)</f>
        <v>0</v>
      </c>
      <c r="D33" s="0" t="n">
        <f aca="false">IF(B33&lt;x_H,(1+x_de)^(-B33),0)</f>
        <v>0</v>
      </c>
      <c r="E33" s="0" t="n">
        <f aca="false">(L_I4!AO23-L_S1!AO23)*C33</f>
        <v>-0</v>
      </c>
      <c r="F33" s="0" t="n">
        <f aca="false">(L_I4!AP23-L_S1!AP23)*C33</f>
        <v>-0</v>
      </c>
      <c r="G33" s="0" t="n">
        <f aca="false">(L_I4!AQ23-L_S1!AQ23)*C33</f>
        <v>-0</v>
      </c>
      <c r="H33" s="0" t="n">
        <f aca="false">(L_I4!AS23-L_S1!AS23)*C33</f>
        <v>0</v>
      </c>
      <c r="I33" s="0" t="n">
        <f aca="false">I32+E33</f>
        <v>2549280356.89685</v>
      </c>
      <c r="J33" s="0" t="n">
        <f aca="false">J32+F33</f>
        <v>2407513667.68944</v>
      </c>
      <c r="K33" s="0" t="n">
        <f aca="false">K32+G33</f>
        <v>2247457664.75933</v>
      </c>
      <c r="L33" s="0" t="n">
        <f aca="false">MAX(L32,J33)</f>
        <v>2709142385.65889</v>
      </c>
      <c r="M33" s="0" t="n">
        <f aca="false">IF(AND(B33&lt;x_H,J33&lt;=0,L32&gt;0),1,0)</f>
        <v>0</v>
      </c>
      <c r="N33" s="0" t="n">
        <f aca="false">IF(AND(B33&lt;x_H,I33&lt;=0,O32&gt;0),1,0)</f>
        <v>0</v>
      </c>
      <c r="O33" s="0" t="n">
        <f aca="false">MAX(O32,I33)</f>
        <v>2713641142.19819</v>
      </c>
      <c r="P33" s="0" t="n">
        <f aca="false">(L_I4!V23-L_S1!V23)*D33</f>
        <v>0</v>
      </c>
    </row>
    <row r="34" customFormat="false" ht="15" hidden="false" customHeight="false" outlineLevel="0" collapsed="false">
      <c r="A34" s="0" t="n">
        <v>2047</v>
      </c>
      <c r="B34" s="0" t="n">
        <v>21</v>
      </c>
      <c r="C34" s="0" t="n">
        <f aca="false">IF(B34&lt;x_H,(1+x_dk)^(-B34),0)</f>
        <v>0</v>
      </c>
      <c r="D34" s="0" t="n">
        <f aca="false">IF(B34&lt;x_H,(1+x_de)^(-B34),0)</f>
        <v>0</v>
      </c>
      <c r="E34" s="0" t="n">
        <f aca="false">(L_I4!AO24-L_S1!AO24)*C34</f>
        <v>-0</v>
      </c>
      <c r="F34" s="0" t="n">
        <f aca="false">(L_I4!AP24-L_S1!AP24)*C34</f>
        <v>-0</v>
      </c>
      <c r="G34" s="0" t="n">
        <f aca="false">(L_I4!AQ24-L_S1!AQ24)*C34</f>
        <v>-0</v>
      </c>
      <c r="H34" s="0" t="n">
        <f aca="false">(L_I4!AS24-L_S1!AS24)*C34</f>
        <v>0</v>
      </c>
      <c r="I34" s="0" t="n">
        <f aca="false">I33+E34</f>
        <v>2549280356.89685</v>
      </c>
      <c r="J34" s="0" t="n">
        <f aca="false">J33+F34</f>
        <v>2407513667.68944</v>
      </c>
      <c r="K34" s="0" t="n">
        <f aca="false">K33+G34</f>
        <v>2247457664.75933</v>
      </c>
      <c r="L34" s="0" t="n">
        <f aca="false">MAX(L33,J34)</f>
        <v>2709142385.65889</v>
      </c>
      <c r="M34" s="0" t="n">
        <f aca="false">IF(AND(B34&lt;x_H,J34&lt;=0,L33&gt;0),1,0)</f>
        <v>0</v>
      </c>
      <c r="N34" s="0" t="n">
        <f aca="false">IF(AND(B34&lt;x_H,I34&lt;=0,O33&gt;0),1,0)</f>
        <v>0</v>
      </c>
      <c r="O34" s="0" t="n">
        <f aca="false">MAX(O33,I34)</f>
        <v>2713641142.19819</v>
      </c>
      <c r="P34" s="0" t="n">
        <f aca="false">(L_I4!V24-L_S1!V24)*D34</f>
        <v>0</v>
      </c>
    </row>
    <row r="35" customFormat="false" ht="15" hidden="false" customHeight="false" outlineLevel="0" collapsed="false">
      <c r="A35" s="0" t="n">
        <v>2048</v>
      </c>
      <c r="B35" s="0" t="n">
        <v>22</v>
      </c>
      <c r="C35" s="0" t="n">
        <f aca="false">IF(B35&lt;x_H,(1+x_dk)^(-B35),0)</f>
        <v>0</v>
      </c>
      <c r="D35" s="0" t="n">
        <f aca="false">IF(B35&lt;x_H,(1+x_de)^(-B35),0)</f>
        <v>0</v>
      </c>
      <c r="E35" s="0" t="n">
        <f aca="false">(L_I4!AO25-L_S1!AO25)*C35</f>
        <v>-0</v>
      </c>
      <c r="F35" s="0" t="n">
        <f aca="false">(L_I4!AP25-L_S1!AP25)*C35</f>
        <v>-0</v>
      </c>
      <c r="G35" s="0" t="n">
        <f aca="false">(L_I4!AQ25-L_S1!AQ25)*C35</f>
        <v>-0</v>
      </c>
      <c r="H35" s="0" t="n">
        <f aca="false">(L_I4!AS25-L_S1!AS25)*C35</f>
        <v>0</v>
      </c>
      <c r="I35" s="0" t="n">
        <f aca="false">I34+E35</f>
        <v>2549280356.89685</v>
      </c>
      <c r="J35" s="0" t="n">
        <f aca="false">J34+F35</f>
        <v>2407513667.68944</v>
      </c>
      <c r="K35" s="0" t="n">
        <f aca="false">K34+G35</f>
        <v>2247457664.75933</v>
      </c>
      <c r="L35" s="0" t="n">
        <f aca="false">MAX(L34,J35)</f>
        <v>2709142385.65889</v>
      </c>
      <c r="M35" s="0" t="n">
        <f aca="false">IF(AND(B35&lt;x_H,J35&lt;=0,L34&gt;0),1,0)</f>
        <v>0</v>
      </c>
      <c r="N35" s="0" t="n">
        <f aca="false">IF(AND(B35&lt;x_H,I35&lt;=0,O34&gt;0),1,0)</f>
        <v>0</v>
      </c>
      <c r="O35" s="0" t="n">
        <f aca="false">MAX(O34,I35)</f>
        <v>2713641142.19819</v>
      </c>
      <c r="P35" s="0" t="n">
        <f aca="false">(L_I4!V25-L_S1!V25)*D35</f>
        <v>0</v>
      </c>
    </row>
    <row r="36" customFormat="false" ht="15" hidden="false" customHeight="false" outlineLevel="0" collapsed="false">
      <c r="A36" s="0" t="n">
        <v>2049</v>
      </c>
      <c r="B36" s="0" t="n">
        <v>23</v>
      </c>
      <c r="C36" s="0" t="n">
        <f aca="false">IF(B36&lt;x_H,(1+x_dk)^(-B36),0)</f>
        <v>0</v>
      </c>
      <c r="D36" s="0" t="n">
        <f aca="false">IF(B36&lt;x_H,(1+x_de)^(-B36),0)</f>
        <v>0</v>
      </c>
      <c r="E36" s="0" t="n">
        <f aca="false">(L_I4!AO26-L_S1!AO26)*C36</f>
        <v>-0</v>
      </c>
      <c r="F36" s="0" t="n">
        <f aca="false">(L_I4!AP26-L_S1!AP26)*C36</f>
        <v>-0</v>
      </c>
      <c r="G36" s="0" t="n">
        <f aca="false">(L_I4!AQ26-L_S1!AQ26)*C36</f>
        <v>-0</v>
      </c>
      <c r="H36" s="0" t="n">
        <f aca="false">(L_I4!AS26-L_S1!AS26)*C36</f>
        <v>0</v>
      </c>
      <c r="I36" s="0" t="n">
        <f aca="false">I35+E36</f>
        <v>2549280356.89685</v>
      </c>
      <c r="J36" s="0" t="n">
        <f aca="false">J35+F36</f>
        <v>2407513667.68944</v>
      </c>
      <c r="K36" s="0" t="n">
        <f aca="false">K35+G36</f>
        <v>2247457664.75933</v>
      </c>
      <c r="L36" s="0" t="n">
        <f aca="false">MAX(L35,J36)</f>
        <v>2709142385.65889</v>
      </c>
      <c r="M36" s="0" t="n">
        <f aca="false">IF(AND(B36&lt;x_H,J36&lt;=0,L35&gt;0),1,0)</f>
        <v>0</v>
      </c>
      <c r="N36" s="0" t="n">
        <f aca="false">IF(AND(B36&lt;x_H,I36&lt;=0,O35&gt;0),1,0)</f>
        <v>0</v>
      </c>
      <c r="O36" s="0" t="n">
        <f aca="false">MAX(O35,I36)</f>
        <v>2713641142.19819</v>
      </c>
      <c r="P36" s="0" t="n">
        <f aca="false">(L_I4!V26-L_S1!V26)*D36</f>
        <v>0</v>
      </c>
    </row>
    <row r="37" customFormat="false" ht="15" hidden="false" customHeight="false" outlineLevel="0" collapsed="false">
      <c r="A37" s="0" t="n">
        <v>2050</v>
      </c>
      <c r="B37" s="0" t="n">
        <v>24</v>
      </c>
      <c r="C37" s="0" t="n">
        <f aca="false">IF(B37&lt;x_H,(1+x_dk)^(-B37),0)</f>
        <v>0</v>
      </c>
      <c r="D37" s="0" t="n">
        <f aca="false">IF(B37&lt;x_H,(1+x_de)^(-B37),0)</f>
        <v>0</v>
      </c>
      <c r="E37" s="0" t="n">
        <f aca="false">(L_I4!AO27-L_S1!AO27)*C37</f>
        <v>-0</v>
      </c>
      <c r="F37" s="0" t="n">
        <f aca="false">(L_I4!AP27-L_S1!AP27)*C37</f>
        <v>-0</v>
      </c>
      <c r="G37" s="0" t="n">
        <f aca="false">(L_I4!AQ27-L_S1!AQ27)*C37</f>
        <v>-0</v>
      </c>
      <c r="H37" s="0" t="n">
        <f aca="false">(L_I4!AS27-L_S1!AS27)*C37</f>
        <v>0</v>
      </c>
      <c r="I37" s="0" t="n">
        <f aca="false">I36+E37</f>
        <v>2549280356.89685</v>
      </c>
      <c r="J37" s="0" t="n">
        <f aca="false">J36+F37</f>
        <v>2407513667.68944</v>
      </c>
      <c r="K37" s="0" t="n">
        <f aca="false">K36+G37</f>
        <v>2247457664.75933</v>
      </c>
      <c r="L37" s="0" t="n">
        <f aca="false">MAX(L36,J37)</f>
        <v>2709142385.65889</v>
      </c>
      <c r="M37" s="0" t="n">
        <f aca="false">IF(AND(B37&lt;x_H,J37&lt;=0,L36&gt;0),1,0)</f>
        <v>0</v>
      </c>
      <c r="N37" s="0" t="n">
        <f aca="false">IF(AND(B37&lt;x_H,I37&lt;=0,O36&gt;0),1,0)</f>
        <v>0</v>
      </c>
      <c r="O37" s="0" t="n">
        <f aca="false">MAX(O36,I37)</f>
        <v>2713641142.19819</v>
      </c>
      <c r="P37" s="0" t="n">
        <f aca="false">(L_I4!V27-L_S1!V27)*D37</f>
        <v>0</v>
      </c>
    </row>
    <row r="38" customFormat="false" ht="15" hidden="false" customHeight="false" outlineLevel="0" collapsed="false">
      <c r="A38" s="0" t="n">
        <v>2051</v>
      </c>
      <c r="B38" s="0" t="n">
        <v>25</v>
      </c>
      <c r="C38" s="0" t="n">
        <f aca="false">IF(B38&lt;x_H,(1+x_dk)^(-B38),0)</f>
        <v>0</v>
      </c>
      <c r="D38" s="0" t="n">
        <f aca="false">IF(B38&lt;x_H,(1+x_de)^(-B38),0)</f>
        <v>0</v>
      </c>
      <c r="E38" s="0" t="n">
        <f aca="false">(L_I4!AO28-L_S1!AO28)*C38</f>
        <v>-0</v>
      </c>
      <c r="F38" s="0" t="n">
        <f aca="false">(L_I4!AP28-L_S1!AP28)*C38</f>
        <v>-0</v>
      </c>
      <c r="G38" s="0" t="n">
        <f aca="false">(L_I4!AQ28-L_S1!AQ28)*C38</f>
        <v>-0</v>
      </c>
      <c r="H38" s="0" t="n">
        <f aca="false">(L_I4!AS28-L_S1!AS28)*C38</f>
        <v>0</v>
      </c>
      <c r="I38" s="0" t="n">
        <f aca="false">I37+E38</f>
        <v>2549280356.89685</v>
      </c>
      <c r="J38" s="0" t="n">
        <f aca="false">J37+F38</f>
        <v>2407513667.68944</v>
      </c>
      <c r="K38" s="0" t="n">
        <f aca="false">K37+G38</f>
        <v>2247457664.75933</v>
      </c>
      <c r="L38" s="0" t="n">
        <f aca="false">MAX(L37,J38)</f>
        <v>2709142385.65889</v>
      </c>
      <c r="M38" s="0" t="n">
        <f aca="false">IF(AND(B38&lt;x_H,J38&lt;=0,L37&gt;0),1,0)</f>
        <v>0</v>
      </c>
      <c r="N38" s="0" t="n">
        <f aca="false">IF(AND(B38&lt;x_H,I38&lt;=0,O37&gt;0),1,0)</f>
        <v>0</v>
      </c>
      <c r="O38" s="0" t="n">
        <f aca="false">MAX(O37,I38)</f>
        <v>2713641142.19819</v>
      </c>
      <c r="P38" s="0" t="n">
        <f aca="false">(L_I4!V28-L_S1!V28)*D38</f>
        <v>0</v>
      </c>
    </row>
    <row r="39" customFormat="false" ht="15" hidden="false" customHeight="false" outlineLevel="0" collapsed="false">
      <c r="A39" s="0" t="n">
        <v>2052</v>
      </c>
      <c r="B39" s="0" t="n">
        <v>26</v>
      </c>
      <c r="C39" s="0" t="n">
        <f aca="false">IF(B39&lt;x_H,(1+x_dk)^(-B39),0)</f>
        <v>0</v>
      </c>
      <c r="D39" s="0" t="n">
        <f aca="false">IF(B39&lt;x_H,(1+x_de)^(-B39),0)</f>
        <v>0</v>
      </c>
      <c r="E39" s="0" t="n">
        <f aca="false">(L_I4!AO29-L_S1!AO29)*C39</f>
        <v>-0</v>
      </c>
      <c r="F39" s="0" t="n">
        <f aca="false">(L_I4!AP29-L_S1!AP29)*C39</f>
        <v>-0</v>
      </c>
      <c r="G39" s="0" t="n">
        <f aca="false">(L_I4!AQ29-L_S1!AQ29)*C39</f>
        <v>-0</v>
      </c>
      <c r="H39" s="0" t="n">
        <f aca="false">(L_I4!AS29-L_S1!AS29)*C39</f>
        <v>0</v>
      </c>
      <c r="I39" s="0" t="n">
        <f aca="false">I38+E39</f>
        <v>2549280356.89685</v>
      </c>
      <c r="J39" s="0" t="n">
        <f aca="false">J38+F39</f>
        <v>2407513667.68944</v>
      </c>
      <c r="K39" s="0" t="n">
        <f aca="false">K38+G39</f>
        <v>2247457664.75933</v>
      </c>
      <c r="L39" s="0" t="n">
        <f aca="false">MAX(L38,J39)</f>
        <v>2709142385.65889</v>
      </c>
      <c r="M39" s="0" t="n">
        <f aca="false">IF(AND(B39&lt;x_H,J39&lt;=0,L38&gt;0),1,0)</f>
        <v>0</v>
      </c>
      <c r="N39" s="0" t="n">
        <f aca="false">IF(AND(B39&lt;x_H,I39&lt;=0,O38&gt;0),1,0)</f>
        <v>0</v>
      </c>
      <c r="O39" s="0" t="n">
        <f aca="false">MAX(O38,I39)</f>
        <v>2713641142.19819</v>
      </c>
      <c r="P39" s="0" t="n">
        <f aca="false">(L_I4!V29-L_S1!V29)*D39</f>
        <v>0</v>
      </c>
    </row>
    <row r="40" customFormat="false" ht="15" hidden="false" customHeight="false" outlineLevel="0" collapsed="false">
      <c r="A40" s="0" t="n">
        <v>2053</v>
      </c>
      <c r="B40" s="0" t="n">
        <v>27</v>
      </c>
      <c r="C40" s="0" t="n">
        <f aca="false">IF(B40&lt;x_H,(1+x_dk)^(-B40),0)</f>
        <v>0</v>
      </c>
      <c r="D40" s="0" t="n">
        <f aca="false">IF(B40&lt;x_H,(1+x_de)^(-B40),0)</f>
        <v>0</v>
      </c>
      <c r="E40" s="0" t="n">
        <f aca="false">(L_I4!AO30-L_S1!AO30)*C40</f>
        <v>-0</v>
      </c>
      <c r="F40" s="0" t="n">
        <f aca="false">(L_I4!AP30-L_S1!AP30)*C40</f>
        <v>-0</v>
      </c>
      <c r="G40" s="0" t="n">
        <f aca="false">(L_I4!AQ30-L_S1!AQ30)*C40</f>
        <v>-0</v>
      </c>
      <c r="H40" s="0" t="n">
        <f aca="false">(L_I4!AS30-L_S1!AS30)*C40</f>
        <v>0</v>
      </c>
      <c r="I40" s="0" t="n">
        <f aca="false">I39+E40</f>
        <v>2549280356.89685</v>
      </c>
      <c r="J40" s="0" t="n">
        <f aca="false">J39+F40</f>
        <v>2407513667.68944</v>
      </c>
      <c r="K40" s="0" t="n">
        <f aca="false">K39+G40</f>
        <v>2247457664.75933</v>
      </c>
      <c r="L40" s="0" t="n">
        <f aca="false">MAX(L39,J40)</f>
        <v>2709142385.65889</v>
      </c>
      <c r="M40" s="0" t="n">
        <f aca="false">IF(AND(B40&lt;x_H,J40&lt;=0,L39&gt;0),1,0)</f>
        <v>0</v>
      </c>
      <c r="N40" s="0" t="n">
        <f aca="false">IF(AND(B40&lt;x_H,I40&lt;=0,O39&gt;0),1,0)</f>
        <v>0</v>
      </c>
      <c r="O40" s="0" t="n">
        <f aca="false">MAX(O39,I40)</f>
        <v>2713641142.19819</v>
      </c>
      <c r="P40" s="0" t="n">
        <f aca="false">(L_I4!V30-L_S1!V30)*D40</f>
        <v>0</v>
      </c>
    </row>
    <row r="41" customFormat="false" ht="15" hidden="false" customHeight="false" outlineLevel="0" collapsed="false">
      <c r="A41" s="0" t="n">
        <v>2054</v>
      </c>
      <c r="B41" s="0" t="n">
        <v>28</v>
      </c>
      <c r="C41" s="0" t="n">
        <f aca="false">IF(B41&lt;x_H,(1+x_dk)^(-B41),0)</f>
        <v>0</v>
      </c>
      <c r="D41" s="0" t="n">
        <f aca="false">IF(B41&lt;x_H,(1+x_de)^(-B41),0)</f>
        <v>0</v>
      </c>
      <c r="E41" s="0" t="n">
        <f aca="false">(L_I4!AO31-L_S1!AO31)*C41</f>
        <v>-0</v>
      </c>
      <c r="F41" s="0" t="n">
        <f aca="false">(L_I4!AP31-L_S1!AP31)*C41</f>
        <v>-0</v>
      </c>
      <c r="G41" s="0" t="n">
        <f aca="false">(L_I4!AQ31-L_S1!AQ31)*C41</f>
        <v>-0</v>
      </c>
      <c r="H41" s="0" t="n">
        <f aca="false">(L_I4!AS31-L_S1!AS31)*C41</f>
        <v>0</v>
      </c>
      <c r="I41" s="0" t="n">
        <f aca="false">I40+E41</f>
        <v>2549280356.89685</v>
      </c>
      <c r="J41" s="0" t="n">
        <f aca="false">J40+F41</f>
        <v>2407513667.68944</v>
      </c>
      <c r="K41" s="0" t="n">
        <f aca="false">K40+G41</f>
        <v>2247457664.75933</v>
      </c>
      <c r="L41" s="0" t="n">
        <f aca="false">MAX(L40,J41)</f>
        <v>2709142385.65889</v>
      </c>
      <c r="M41" s="0" t="n">
        <f aca="false">IF(AND(B41&lt;x_H,J41&lt;=0,L40&gt;0),1,0)</f>
        <v>0</v>
      </c>
      <c r="N41" s="0" t="n">
        <f aca="false">IF(AND(B41&lt;x_H,I41&lt;=0,O40&gt;0),1,0)</f>
        <v>0</v>
      </c>
      <c r="O41" s="0" t="n">
        <f aca="false">MAX(O40,I41)</f>
        <v>2713641142.19819</v>
      </c>
      <c r="P41" s="0" t="n">
        <f aca="false">(L_I4!V31-L_S1!V31)*D41</f>
        <v>0</v>
      </c>
    </row>
    <row r="42" customFormat="false" ht="15" hidden="false" customHeight="false" outlineLevel="0" collapsed="false">
      <c r="A42" s="0" t="n">
        <v>2055</v>
      </c>
      <c r="B42" s="0" t="n">
        <v>29</v>
      </c>
      <c r="C42" s="0" t="n">
        <f aca="false">IF(B42&lt;x_H,(1+x_dk)^(-B42),0)</f>
        <v>0</v>
      </c>
      <c r="D42" s="0" t="n">
        <f aca="false">IF(B42&lt;x_H,(1+x_de)^(-B42),0)</f>
        <v>0</v>
      </c>
      <c r="E42" s="0" t="n">
        <f aca="false">(L_I4!AO32-L_S1!AO32)*C42</f>
        <v>-0</v>
      </c>
      <c r="F42" s="0" t="n">
        <f aca="false">(L_I4!AP32-L_S1!AP32)*C42</f>
        <v>-0</v>
      </c>
      <c r="G42" s="0" t="n">
        <f aca="false">(L_I4!AQ32-L_S1!AQ32)*C42</f>
        <v>-0</v>
      </c>
      <c r="H42" s="0" t="n">
        <f aca="false">(L_I4!AS32-L_S1!AS32)*C42</f>
        <v>0</v>
      </c>
      <c r="I42" s="0" t="n">
        <f aca="false">I41+E42</f>
        <v>2549280356.89685</v>
      </c>
      <c r="J42" s="0" t="n">
        <f aca="false">J41+F42</f>
        <v>2407513667.68944</v>
      </c>
      <c r="K42" s="0" t="n">
        <f aca="false">K41+G42</f>
        <v>2247457664.75933</v>
      </c>
      <c r="L42" s="0" t="n">
        <f aca="false">MAX(L41,J42)</f>
        <v>2709142385.65889</v>
      </c>
      <c r="M42" s="0" t="n">
        <f aca="false">IF(AND(B42&lt;x_H,J42&lt;=0,L41&gt;0),1,0)</f>
        <v>0</v>
      </c>
      <c r="N42" s="0" t="n">
        <f aca="false">IF(AND(B42&lt;x_H,I42&lt;=0,O41&gt;0),1,0)</f>
        <v>0</v>
      </c>
      <c r="O42" s="0" t="n">
        <f aca="false">MAX(O41,I42)</f>
        <v>2713641142.19819</v>
      </c>
      <c r="P42" s="0" t="n">
        <f aca="false">(L_I4!V32-L_S1!V32)*D42</f>
        <v>0</v>
      </c>
    </row>
    <row r="43" customFormat="false" ht="15" hidden="false" customHeight="false" outlineLevel="0" collapsed="false">
      <c r="A43" s="0" t="n">
        <v>2056</v>
      </c>
      <c r="B43" s="0" t="n">
        <v>30</v>
      </c>
      <c r="C43" s="0" t="n">
        <f aca="false">IF(B43&lt;x_H,(1+x_dk)^(-B43),0)</f>
        <v>0</v>
      </c>
      <c r="D43" s="0" t="n">
        <f aca="false">IF(B43&lt;x_H,(1+x_de)^(-B43),0)</f>
        <v>0</v>
      </c>
      <c r="E43" s="0" t="n">
        <f aca="false">(L_I4!AO33-L_S1!AO33)*C43</f>
        <v>-0</v>
      </c>
      <c r="F43" s="0" t="n">
        <f aca="false">(L_I4!AP33-L_S1!AP33)*C43</f>
        <v>-0</v>
      </c>
      <c r="G43" s="0" t="n">
        <f aca="false">(L_I4!AQ33-L_S1!AQ33)*C43</f>
        <v>-0</v>
      </c>
      <c r="H43" s="0" t="n">
        <f aca="false">(L_I4!AS33-L_S1!AS33)*C43</f>
        <v>0</v>
      </c>
      <c r="I43" s="0" t="n">
        <f aca="false">I42+E43</f>
        <v>2549280356.89685</v>
      </c>
      <c r="J43" s="0" t="n">
        <f aca="false">J42+F43</f>
        <v>2407513667.68944</v>
      </c>
      <c r="K43" s="0" t="n">
        <f aca="false">K42+G43</f>
        <v>2247457664.75933</v>
      </c>
      <c r="L43" s="0" t="n">
        <f aca="false">MAX(L42,J43)</f>
        <v>2709142385.65889</v>
      </c>
      <c r="M43" s="0" t="n">
        <f aca="false">IF(AND(B43&lt;x_H,J43&lt;=0,L42&gt;0),1,0)</f>
        <v>0</v>
      </c>
      <c r="N43" s="0" t="n">
        <f aca="false">IF(AND(B43&lt;x_H,I43&lt;=0,O42&gt;0),1,0)</f>
        <v>0</v>
      </c>
      <c r="O43" s="0" t="n">
        <f aca="false">MAX(O42,I43)</f>
        <v>2713641142.19819</v>
      </c>
      <c r="P43" s="0" t="n">
        <f aca="false">(L_I4!V33-L_S1!V33)*D43</f>
        <v>0</v>
      </c>
    </row>
    <row r="44" customFormat="false" ht="15" hidden="false" customHeight="false" outlineLevel="0" collapsed="false">
      <c r="A44" s="0" t="n">
        <v>2057</v>
      </c>
      <c r="B44" s="0" t="n">
        <v>31</v>
      </c>
      <c r="C44" s="0" t="n">
        <f aca="false">IF(B44&lt;x_H,(1+x_dk)^(-B44),0)</f>
        <v>0</v>
      </c>
      <c r="D44" s="0" t="n">
        <f aca="false">IF(B44&lt;x_H,(1+x_de)^(-B44),0)</f>
        <v>0</v>
      </c>
      <c r="E44" s="0" t="n">
        <f aca="false">(L_I4!AO34-L_S1!AO34)*C44</f>
        <v>-0</v>
      </c>
      <c r="F44" s="0" t="n">
        <f aca="false">(L_I4!AP34-L_S1!AP34)*C44</f>
        <v>-0</v>
      </c>
      <c r="G44" s="0" t="n">
        <f aca="false">(L_I4!AQ34-L_S1!AQ34)*C44</f>
        <v>-0</v>
      </c>
      <c r="H44" s="0" t="n">
        <f aca="false">(L_I4!AS34-L_S1!AS34)*C44</f>
        <v>0</v>
      </c>
      <c r="I44" s="0" t="n">
        <f aca="false">I43+E44</f>
        <v>2549280356.89685</v>
      </c>
      <c r="J44" s="0" t="n">
        <f aca="false">J43+F44</f>
        <v>2407513667.68944</v>
      </c>
      <c r="K44" s="0" t="n">
        <f aca="false">K43+G44</f>
        <v>2247457664.75933</v>
      </c>
      <c r="L44" s="0" t="n">
        <f aca="false">MAX(L43,J44)</f>
        <v>2709142385.65889</v>
      </c>
      <c r="M44" s="0" t="n">
        <f aca="false">IF(AND(B44&lt;x_H,J44&lt;=0,L43&gt;0),1,0)</f>
        <v>0</v>
      </c>
      <c r="N44" s="0" t="n">
        <f aca="false">IF(AND(B44&lt;x_H,I44&lt;=0,O43&gt;0),1,0)</f>
        <v>0</v>
      </c>
      <c r="O44" s="0" t="n">
        <f aca="false">MAX(O43,I44)</f>
        <v>2713641142.19819</v>
      </c>
      <c r="P44" s="0" t="n">
        <f aca="false">(L_I4!V34-L_S1!V34)*D44</f>
        <v>0</v>
      </c>
    </row>
    <row r="45" customFormat="false" ht="15" hidden="false" customHeight="false" outlineLevel="0" collapsed="false">
      <c r="A45" s="0" t="n">
        <v>2058</v>
      </c>
      <c r="B45" s="0" t="n">
        <v>32</v>
      </c>
      <c r="C45" s="0" t="n">
        <f aca="false">IF(B45&lt;x_H,(1+x_dk)^(-B45),0)</f>
        <v>0</v>
      </c>
      <c r="D45" s="0" t="n">
        <f aca="false">IF(B45&lt;x_H,(1+x_de)^(-B45),0)</f>
        <v>0</v>
      </c>
      <c r="E45" s="0" t="n">
        <f aca="false">(L_I4!AO35-L_S1!AO35)*C45</f>
        <v>-0</v>
      </c>
      <c r="F45" s="0" t="n">
        <f aca="false">(L_I4!AP35-L_S1!AP35)*C45</f>
        <v>-0</v>
      </c>
      <c r="G45" s="0" t="n">
        <f aca="false">(L_I4!AQ35-L_S1!AQ35)*C45</f>
        <v>-0</v>
      </c>
      <c r="H45" s="0" t="n">
        <f aca="false">(L_I4!AS35-L_S1!AS35)*C45</f>
        <v>0</v>
      </c>
      <c r="I45" s="0" t="n">
        <f aca="false">I44+E45</f>
        <v>2549280356.89685</v>
      </c>
      <c r="J45" s="0" t="n">
        <f aca="false">J44+F45</f>
        <v>2407513667.68944</v>
      </c>
      <c r="K45" s="0" t="n">
        <f aca="false">K44+G45</f>
        <v>2247457664.75933</v>
      </c>
      <c r="L45" s="0" t="n">
        <f aca="false">MAX(L44,J45)</f>
        <v>2709142385.65889</v>
      </c>
      <c r="M45" s="0" t="n">
        <f aca="false">IF(AND(B45&lt;x_H,J45&lt;=0,L44&gt;0),1,0)</f>
        <v>0</v>
      </c>
      <c r="N45" s="0" t="n">
        <f aca="false">IF(AND(B45&lt;x_H,I45&lt;=0,O44&gt;0),1,0)</f>
        <v>0</v>
      </c>
      <c r="O45" s="0" t="n">
        <f aca="false">MAX(O44,I45)</f>
        <v>2713641142.19819</v>
      </c>
      <c r="P45" s="0" t="n">
        <f aca="false">(L_I4!V35-L_S1!V35)*D45</f>
        <v>0</v>
      </c>
    </row>
    <row r="46" customFormat="false" ht="15" hidden="false" customHeight="false" outlineLevel="0" collapsed="false">
      <c r="A46" s="0" t="n">
        <v>2059</v>
      </c>
      <c r="B46" s="0" t="n">
        <v>33</v>
      </c>
      <c r="C46" s="0" t="n">
        <f aca="false">IF(B46&lt;x_H,(1+x_dk)^(-B46),0)</f>
        <v>0</v>
      </c>
      <c r="D46" s="0" t="n">
        <f aca="false">IF(B46&lt;x_H,(1+x_de)^(-B46),0)</f>
        <v>0</v>
      </c>
      <c r="E46" s="0" t="n">
        <f aca="false">(L_I4!AO36-L_S1!AO36)*C46</f>
        <v>-0</v>
      </c>
      <c r="F46" s="0" t="n">
        <f aca="false">(L_I4!AP36-L_S1!AP36)*C46</f>
        <v>-0</v>
      </c>
      <c r="G46" s="0" t="n">
        <f aca="false">(L_I4!AQ36-L_S1!AQ36)*C46</f>
        <v>-0</v>
      </c>
      <c r="H46" s="0" t="n">
        <f aca="false">(L_I4!AS36-L_S1!AS36)*C46</f>
        <v>0</v>
      </c>
      <c r="I46" s="0" t="n">
        <f aca="false">I45+E46</f>
        <v>2549280356.89685</v>
      </c>
      <c r="J46" s="0" t="n">
        <f aca="false">J45+F46</f>
        <v>2407513667.68944</v>
      </c>
      <c r="K46" s="0" t="n">
        <f aca="false">K45+G46</f>
        <v>2247457664.75933</v>
      </c>
      <c r="L46" s="0" t="n">
        <f aca="false">MAX(L45,J46)</f>
        <v>2709142385.65889</v>
      </c>
      <c r="M46" s="0" t="n">
        <f aca="false">IF(AND(B46&lt;x_H,J46&lt;=0,L45&gt;0),1,0)</f>
        <v>0</v>
      </c>
      <c r="N46" s="0" t="n">
        <f aca="false">IF(AND(B46&lt;x_H,I46&lt;=0,O45&gt;0),1,0)</f>
        <v>0</v>
      </c>
      <c r="O46" s="0" t="n">
        <f aca="false">MAX(O45,I46)</f>
        <v>2713641142.19819</v>
      </c>
      <c r="P46" s="0" t="n">
        <f aca="false">(L_I4!V36-L_S1!V36)*D46</f>
        <v>0</v>
      </c>
    </row>
    <row r="47" customFormat="false" ht="15" hidden="false" customHeight="false" outlineLevel="0" collapsed="false">
      <c r="A47" s="0" t="n">
        <v>2060</v>
      </c>
      <c r="B47" s="0" t="n">
        <v>34</v>
      </c>
      <c r="C47" s="0" t="n">
        <f aca="false">IF(B47&lt;x_H,(1+x_dk)^(-B47),0)</f>
        <v>0</v>
      </c>
      <c r="D47" s="0" t="n">
        <f aca="false">IF(B47&lt;x_H,(1+x_de)^(-B47),0)</f>
        <v>0</v>
      </c>
      <c r="E47" s="0" t="n">
        <f aca="false">(L_I4!AO37-L_S1!AO37)*C47</f>
        <v>-0</v>
      </c>
      <c r="F47" s="0" t="n">
        <f aca="false">(L_I4!AP37-L_S1!AP37)*C47</f>
        <v>-0</v>
      </c>
      <c r="G47" s="0" t="n">
        <f aca="false">(L_I4!AQ37-L_S1!AQ37)*C47</f>
        <v>-0</v>
      </c>
      <c r="H47" s="0" t="n">
        <f aca="false">(L_I4!AS37-L_S1!AS37)*C47</f>
        <v>0</v>
      </c>
      <c r="I47" s="0" t="n">
        <f aca="false">I46+E47</f>
        <v>2549280356.89685</v>
      </c>
      <c r="J47" s="0" t="n">
        <f aca="false">J46+F47</f>
        <v>2407513667.68944</v>
      </c>
      <c r="K47" s="0" t="n">
        <f aca="false">K46+G47</f>
        <v>2247457664.75933</v>
      </c>
      <c r="L47" s="0" t="n">
        <f aca="false">MAX(L46,J47)</f>
        <v>2709142385.65889</v>
      </c>
      <c r="M47" s="0" t="n">
        <f aca="false">IF(AND(B47&lt;x_H,J47&lt;=0,L46&gt;0),1,0)</f>
        <v>0</v>
      </c>
      <c r="N47" s="0" t="n">
        <f aca="false">IF(AND(B47&lt;x_H,I47&lt;=0,O46&gt;0),1,0)</f>
        <v>0</v>
      </c>
      <c r="O47" s="0" t="n">
        <f aca="false">MAX(O46,I47)</f>
        <v>2713641142.19819</v>
      </c>
      <c r="P47" s="0" t="n">
        <f aca="false">(L_I4!V37-L_S1!V37)*D47</f>
        <v>0</v>
      </c>
    </row>
    <row r="48" customFormat="false" ht="15" hidden="false" customHeight="false" outlineLevel="0" collapsed="false">
      <c r="A48" s="0" t="n">
        <v>2061</v>
      </c>
      <c r="B48" s="0" t="n">
        <v>35</v>
      </c>
      <c r="C48" s="0" t="n">
        <f aca="false">IF(B48&lt;x_H,(1+x_dk)^(-B48),0)</f>
        <v>0</v>
      </c>
      <c r="D48" s="0" t="n">
        <f aca="false">IF(B48&lt;x_H,(1+x_de)^(-B48),0)</f>
        <v>0</v>
      </c>
      <c r="E48" s="0" t="n">
        <f aca="false">(L_I4!AO38-L_S1!AO38)*C48</f>
        <v>-0</v>
      </c>
      <c r="F48" s="0" t="n">
        <f aca="false">(L_I4!AP38-L_S1!AP38)*C48</f>
        <v>-0</v>
      </c>
      <c r="G48" s="0" t="n">
        <f aca="false">(L_I4!AQ38-L_S1!AQ38)*C48</f>
        <v>-0</v>
      </c>
      <c r="H48" s="0" t="n">
        <f aca="false">(L_I4!AS38-L_S1!AS38)*C48</f>
        <v>0</v>
      </c>
      <c r="I48" s="0" t="n">
        <f aca="false">I47+E48</f>
        <v>2549280356.89685</v>
      </c>
      <c r="J48" s="0" t="n">
        <f aca="false">J47+F48</f>
        <v>2407513667.68944</v>
      </c>
      <c r="K48" s="0" t="n">
        <f aca="false">K47+G48</f>
        <v>2247457664.75933</v>
      </c>
      <c r="L48" s="0" t="n">
        <f aca="false">MAX(L47,J48)</f>
        <v>2709142385.65889</v>
      </c>
      <c r="M48" s="0" t="n">
        <f aca="false">IF(AND(B48&lt;x_H,J48&lt;=0,L47&gt;0),1,0)</f>
        <v>0</v>
      </c>
      <c r="N48" s="0" t="n">
        <f aca="false">IF(AND(B48&lt;x_H,I48&lt;=0,O47&gt;0),1,0)</f>
        <v>0</v>
      </c>
      <c r="O48" s="0" t="n">
        <f aca="false">MAX(O47,I48)</f>
        <v>2713641142.19819</v>
      </c>
      <c r="P48" s="0" t="n">
        <f aca="false">(L_I4!V38-L_S1!V38)*D48</f>
        <v>0</v>
      </c>
    </row>
    <row r="49" customFormat="false" ht="15" hidden="false" customHeight="false" outlineLevel="0" collapsed="false">
      <c r="A49" s="0" t="n">
        <v>2062</v>
      </c>
      <c r="B49" s="0" t="n">
        <v>36</v>
      </c>
      <c r="C49" s="0" t="n">
        <f aca="false">IF(B49&lt;x_H,(1+x_dk)^(-B49),0)</f>
        <v>0</v>
      </c>
      <c r="D49" s="0" t="n">
        <f aca="false">IF(B49&lt;x_H,(1+x_de)^(-B49),0)</f>
        <v>0</v>
      </c>
      <c r="E49" s="0" t="n">
        <f aca="false">(L_I4!AO39-L_S1!AO39)*C49</f>
        <v>-0</v>
      </c>
      <c r="F49" s="0" t="n">
        <f aca="false">(L_I4!AP39-L_S1!AP39)*C49</f>
        <v>-0</v>
      </c>
      <c r="G49" s="0" t="n">
        <f aca="false">(L_I4!AQ39-L_S1!AQ39)*C49</f>
        <v>-0</v>
      </c>
      <c r="H49" s="0" t="n">
        <f aca="false">(L_I4!AS39-L_S1!AS39)*C49</f>
        <v>0</v>
      </c>
      <c r="I49" s="0" t="n">
        <f aca="false">I48+E49</f>
        <v>2549280356.89685</v>
      </c>
      <c r="J49" s="0" t="n">
        <f aca="false">J48+F49</f>
        <v>2407513667.68944</v>
      </c>
      <c r="K49" s="0" t="n">
        <f aca="false">K48+G49</f>
        <v>2247457664.75933</v>
      </c>
      <c r="L49" s="0" t="n">
        <f aca="false">MAX(L48,J49)</f>
        <v>2709142385.65889</v>
      </c>
      <c r="M49" s="0" t="n">
        <f aca="false">IF(AND(B49&lt;x_H,J49&lt;=0,L48&gt;0),1,0)</f>
        <v>0</v>
      </c>
      <c r="N49" s="0" t="n">
        <f aca="false">IF(AND(B49&lt;x_H,I49&lt;=0,O48&gt;0),1,0)</f>
        <v>0</v>
      </c>
      <c r="O49" s="0" t="n">
        <f aca="false">MAX(O48,I49)</f>
        <v>2713641142.19819</v>
      </c>
      <c r="P49" s="0" t="n">
        <f aca="false">(L_I4!V39-L_S1!V39)*D49</f>
        <v>0</v>
      </c>
    </row>
    <row r="50" customFormat="false" ht="15" hidden="false" customHeight="false" outlineLevel="0" collapsed="false">
      <c r="A50" s="0" t="n">
        <v>2063</v>
      </c>
      <c r="B50" s="0" t="n">
        <v>37</v>
      </c>
      <c r="C50" s="0" t="n">
        <f aca="false">IF(B50&lt;x_H,(1+x_dk)^(-B50),0)</f>
        <v>0</v>
      </c>
      <c r="D50" s="0" t="n">
        <f aca="false">IF(B50&lt;x_H,(1+x_de)^(-B50),0)</f>
        <v>0</v>
      </c>
      <c r="E50" s="0" t="n">
        <f aca="false">(L_I4!AO40-L_S1!AO40)*C50</f>
        <v>-0</v>
      </c>
      <c r="F50" s="0" t="n">
        <f aca="false">(L_I4!AP40-L_S1!AP40)*C50</f>
        <v>-0</v>
      </c>
      <c r="G50" s="0" t="n">
        <f aca="false">(L_I4!AQ40-L_S1!AQ40)*C50</f>
        <v>-0</v>
      </c>
      <c r="H50" s="0" t="n">
        <f aca="false">(L_I4!AS40-L_S1!AS40)*C50</f>
        <v>0</v>
      </c>
      <c r="I50" s="0" t="n">
        <f aca="false">I49+E50</f>
        <v>2549280356.89685</v>
      </c>
      <c r="J50" s="0" t="n">
        <f aca="false">J49+F50</f>
        <v>2407513667.68944</v>
      </c>
      <c r="K50" s="0" t="n">
        <f aca="false">K49+G50</f>
        <v>2247457664.75933</v>
      </c>
      <c r="L50" s="0" t="n">
        <f aca="false">MAX(L49,J50)</f>
        <v>2709142385.65889</v>
      </c>
      <c r="M50" s="0" t="n">
        <f aca="false">IF(AND(B50&lt;x_H,J50&lt;=0,L49&gt;0),1,0)</f>
        <v>0</v>
      </c>
      <c r="N50" s="0" t="n">
        <f aca="false">IF(AND(B50&lt;x_H,I50&lt;=0,O49&gt;0),1,0)</f>
        <v>0</v>
      </c>
      <c r="O50" s="0" t="n">
        <f aca="false">MAX(O49,I50)</f>
        <v>2713641142.19819</v>
      </c>
      <c r="P50" s="0" t="n">
        <f aca="false">(L_I4!V40-L_S1!V40)*D50</f>
        <v>0</v>
      </c>
    </row>
    <row r="51" customFormat="false" ht="15" hidden="false" customHeight="false" outlineLevel="0" collapsed="false">
      <c r="A51" s="0" t="n">
        <v>2064</v>
      </c>
      <c r="B51" s="0" t="n">
        <v>38</v>
      </c>
      <c r="C51" s="0" t="n">
        <f aca="false">IF(B51&lt;x_H,(1+x_dk)^(-B51),0)</f>
        <v>0</v>
      </c>
      <c r="D51" s="0" t="n">
        <f aca="false">IF(B51&lt;x_H,(1+x_de)^(-B51),0)</f>
        <v>0</v>
      </c>
      <c r="E51" s="0" t="n">
        <f aca="false">(L_I4!AO41-L_S1!AO41)*C51</f>
        <v>-0</v>
      </c>
      <c r="F51" s="0" t="n">
        <f aca="false">(L_I4!AP41-L_S1!AP41)*C51</f>
        <v>-0</v>
      </c>
      <c r="G51" s="0" t="n">
        <f aca="false">(L_I4!AQ41-L_S1!AQ41)*C51</f>
        <v>-0</v>
      </c>
      <c r="H51" s="0" t="n">
        <f aca="false">(L_I4!AS41-L_S1!AS41)*C51</f>
        <v>0</v>
      </c>
      <c r="I51" s="0" t="n">
        <f aca="false">I50+E51</f>
        <v>2549280356.89685</v>
      </c>
      <c r="J51" s="0" t="n">
        <f aca="false">J50+F51</f>
        <v>2407513667.68944</v>
      </c>
      <c r="K51" s="0" t="n">
        <f aca="false">K50+G51</f>
        <v>2247457664.75933</v>
      </c>
      <c r="L51" s="0" t="n">
        <f aca="false">MAX(L50,J51)</f>
        <v>2709142385.65889</v>
      </c>
      <c r="M51" s="0" t="n">
        <f aca="false">IF(AND(B51&lt;x_H,J51&lt;=0,L50&gt;0),1,0)</f>
        <v>0</v>
      </c>
      <c r="N51" s="0" t="n">
        <f aca="false">IF(AND(B51&lt;x_H,I51&lt;=0,O50&gt;0),1,0)</f>
        <v>0</v>
      </c>
      <c r="O51" s="0" t="n">
        <f aca="false">MAX(O50,I51)</f>
        <v>2713641142.19819</v>
      </c>
      <c r="P51" s="0" t="n">
        <f aca="false">(L_I4!V41-L_S1!V41)*D51</f>
        <v>0</v>
      </c>
    </row>
    <row r="52" customFormat="false" ht="15" hidden="false" customHeight="false" outlineLevel="0" collapsed="false">
      <c r="A52" s="0" t="n">
        <v>2065</v>
      </c>
      <c r="B52" s="0" t="n">
        <v>39</v>
      </c>
      <c r="C52" s="0" t="n">
        <f aca="false">IF(B52&lt;x_H,(1+x_dk)^(-B52),0)</f>
        <v>0</v>
      </c>
      <c r="D52" s="0" t="n">
        <f aca="false">IF(B52&lt;x_H,(1+x_de)^(-B52),0)</f>
        <v>0</v>
      </c>
      <c r="E52" s="0" t="n">
        <f aca="false">(L_I4!AO42-L_S1!AO42)*C52</f>
        <v>-0</v>
      </c>
      <c r="F52" s="0" t="n">
        <f aca="false">(L_I4!AP42-L_S1!AP42)*C52</f>
        <v>-0</v>
      </c>
      <c r="G52" s="0" t="n">
        <f aca="false">(L_I4!AQ42-L_S1!AQ42)*C52</f>
        <v>-0</v>
      </c>
      <c r="H52" s="0" t="n">
        <f aca="false">(L_I4!AS42-L_S1!AS42)*C52</f>
        <v>0</v>
      </c>
      <c r="I52" s="0" t="n">
        <f aca="false">I51+E52</f>
        <v>2549280356.89685</v>
      </c>
      <c r="J52" s="0" t="n">
        <f aca="false">J51+F52</f>
        <v>2407513667.68944</v>
      </c>
      <c r="K52" s="0" t="n">
        <f aca="false">K51+G52</f>
        <v>2247457664.75933</v>
      </c>
      <c r="L52" s="0" t="n">
        <f aca="false">MAX(L51,J52)</f>
        <v>2709142385.65889</v>
      </c>
      <c r="M52" s="0" t="n">
        <f aca="false">IF(AND(B52&lt;x_H,J52&lt;=0,L51&gt;0),1,0)</f>
        <v>0</v>
      </c>
      <c r="N52" s="0" t="n">
        <f aca="false">IF(AND(B52&lt;x_H,I52&lt;=0,O51&gt;0),1,0)</f>
        <v>0</v>
      </c>
      <c r="O52" s="0" t="n">
        <f aca="false">MAX(O51,I52)</f>
        <v>2713641142.19819</v>
      </c>
      <c r="P52" s="0" t="n">
        <f aca="false">(L_I4!V42-L_S1!V42)*D52</f>
        <v>0</v>
      </c>
    </row>
    <row r="53" customFormat="false" ht="15" hidden="false" customHeight="false" outlineLevel="0" collapsed="false">
      <c r="A53" s="0" t="n">
        <v>2066</v>
      </c>
      <c r="B53" s="0" t="n">
        <v>40</v>
      </c>
      <c r="C53" s="0" t="n">
        <f aca="false">IF(B53&lt;x_H,(1+x_dk)^(-B53),0)</f>
        <v>0</v>
      </c>
      <c r="D53" s="0" t="n">
        <f aca="false">IF(B53&lt;x_H,(1+x_de)^(-B53),0)</f>
        <v>0</v>
      </c>
      <c r="E53" s="0" t="n">
        <f aca="false">(L_I4!AO43-L_S1!AO43)*C53</f>
        <v>-0</v>
      </c>
      <c r="F53" s="0" t="n">
        <f aca="false">(L_I4!AP43-L_S1!AP43)*C53</f>
        <v>-0</v>
      </c>
      <c r="G53" s="0" t="n">
        <f aca="false">(L_I4!AQ43-L_S1!AQ43)*C53</f>
        <v>-0</v>
      </c>
      <c r="H53" s="0" t="n">
        <f aca="false">(L_I4!AS43-L_S1!AS43)*C53</f>
        <v>0</v>
      </c>
      <c r="I53" s="0" t="n">
        <f aca="false">I52+E53</f>
        <v>2549280356.89685</v>
      </c>
      <c r="J53" s="0" t="n">
        <f aca="false">J52+F53</f>
        <v>2407513667.68944</v>
      </c>
      <c r="K53" s="0" t="n">
        <f aca="false">K52+G53</f>
        <v>2247457664.75933</v>
      </c>
      <c r="L53" s="0" t="n">
        <f aca="false">MAX(L52,J53)</f>
        <v>2709142385.65889</v>
      </c>
      <c r="M53" s="0" t="n">
        <f aca="false">IF(AND(B53&lt;x_H,J53&lt;=0,L52&gt;0),1,0)</f>
        <v>0</v>
      </c>
      <c r="N53" s="0" t="n">
        <f aca="false">IF(AND(B53&lt;x_H,I53&lt;=0,O52&gt;0),1,0)</f>
        <v>0</v>
      </c>
      <c r="O53" s="0" t="n">
        <f aca="false">MAX(O52,I53)</f>
        <v>2713641142.19819</v>
      </c>
      <c r="P53" s="0" t="n">
        <f aca="false">(L_I4!V43-L_S1!V43)*D53</f>
        <v>0</v>
      </c>
    </row>
    <row r="54" customFormat="false" ht="15" hidden="false" customHeight="false" outlineLevel="0" collapsed="false">
      <c r="A54" s="0" t="n">
        <v>2067</v>
      </c>
      <c r="B54" s="0" t="n">
        <v>41</v>
      </c>
      <c r="C54" s="0" t="n">
        <f aca="false">IF(B54&lt;x_H,(1+x_dk)^(-B54),0)</f>
        <v>0</v>
      </c>
      <c r="D54" s="0" t="n">
        <f aca="false">IF(B54&lt;x_H,(1+x_de)^(-B54),0)</f>
        <v>0</v>
      </c>
      <c r="E54" s="0" t="n">
        <f aca="false">(L_I4!AO44-L_S1!AO44)*C54</f>
        <v>-0</v>
      </c>
      <c r="F54" s="0" t="n">
        <f aca="false">(L_I4!AP44-L_S1!AP44)*C54</f>
        <v>-0</v>
      </c>
      <c r="G54" s="0" t="n">
        <f aca="false">(L_I4!AQ44-L_S1!AQ44)*C54</f>
        <v>-0</v>
      </c>
      <c r="H54" s="0" t="n">
        <f aca="false">(L_I4!AS44-L_S1!AS44)*C54</f>
        <v>0</v>
      </c>
      <c r="I54" s="0" t="n">
        <f aca="false">I53+E54</f>
        <v>2549280356.89685</v>
      </c>
      <c r="J54" s="0" t="n">
        <f aca="false">J53+F54</f>
        <v>2407513667.68944</v>
      </c>
      <c r="K54" s="0" t="n">
        <f aca="false">K53+G54</f>
        <v>2247457664.75933</v>
      </c>
      <c r="L54" s="0" t="n">
        <f aca="false">MAX(L53,J54)</f>
        <v>2709142385.65889</v>
      </c>
      <c r="M54" s="0" t="n">
        <f aca="false">IF(AND(B54&lt;x_H,J54&lt;=0,L53&gt;0),1,0)</f>
        <v>0</v>
      </c>
      <c r="N54" s="0" t="n">
        <f aca="false">IF(AND(B54&lt;x_H,I54&lt;=0,O53&gt;0),1,0)</f>
        <v>0</v>
      </c>
      <c r="O54" s="0" t="n">
        <f aca="false">MAX(O53,I54)</f>
        <v>2713641142.19819</v>
      </c>
      <c r="P54" s="0" t="n">
        <f aca="false">(L_I4!V44-L_S1!V44)*D54</f>
        <v>0</v>
      </c>
    </row>
    <row r="55" customFormat="false" ht="15" hidden="false" customHeight="false" outlineLevel="0" collapsed="false">
      <c r="A55" s="0" t="n">
        <v>2068</v>
      </c>
      <c r="B55" s="0" t="n">
        <v>42</v>
      </c>
      <c r="C55" s="0" t="n">
        <f aca="false">IF(B55&lt;x_H,(1+x_dk)^(-B55),0)</f>
        <v>0</v>
      </c>
      <c r="D55" s="0" t="n">
        <f aca="false">IF(B55&lt;x_H,(1+x_de)^(-B55),0)</f>
        <v>0</v>
      </c>
      <c r="E55" s="0" t="n">
        <f aca="false">(L_I4!AO45-L_S1!AO45)*C55</f>
        <v>-0</v>
      </c>
      <c r="F55" s="0" t="n">
        <f aca="false">(L_I4!AP45-L_S1!AP45)*C55</f>
        <v>-0</v>
      </c>
      <c r="G55" s="0" t="n">
        <f aca="false">(L_I4!AQ45-L_S1!AQ45)*C55</f>
        <v>-0</v>
      </c>
      <c r="H55" s="0" t="n">
        <f aca="false">(L_I4!AS45-L_S1!AS45)*C55</f>
        <v>0</v>
      </c>
      <c r="I55" s="0" t="n">
        <f aca="false">I54+E55</f>
        <v>2549280356.89685</v>
      </c>
      <c r="J55" s="0" t="n">
        <f aca="false">J54+F55</f>
        <v>2407513667.68944</v>
      </c>
      <c r="K55" s="0" t="n">
        <f aca="false">K54+G55</f>
        <v>2247457664.75933</v>
      </c>
      <c r="L55" s="0" t="n">
        <f aca="false">MAX(L54,J55)</f>
        <v>2709142385.65889</v>
      </c>
      <c r="M55" s="0" t="n">
        <f aca="false">IF(AND(B55&lt;x_H,J55&lt;=0,L54&gt;0),1,0)</f>
        <v>0</v>
      </c>
      <c r="N55" s="0" t="n">
        <f aca="false">IF(AND(B55&lt;x_H,I55&lt;=0,O54&gt;0),1,0)</f>
        <v>0</v>
      </c>
      <c r="O55" s="0" t="n">
        <f aca="false">MAX(O54,I55)</f>
        <v>2713641142.19819</v>
      </c>
      <c r="P55" s="0" t="n">
        <f aca="false">(L_I4!V45-L_S1!V45)*D55</f>
        <v>0</v>
      </c>
    </row>
    <row r="56" customFormat="false" ht="15" hidden="false" customHeight="false" outlineLevel="0" collapsed="false">
      <c r="A56" s="0" t="n">
        <v>2069</v>
      </c>
      <c r="B56" s="0" t="n">
        <v>43</v>
      </c>
      <c r="C56" s="0" t="n">
        <f aca="false">IF(B56&lt;x_H,(1+x_dk)^(-B56),0)</f>
        <v>0</v>
      </c>
      <c r="D56" s="0" t="n">
        <f aca="false">IF(B56&lt;x_H,(1+x_de)^(-B56),0)</f>
        <v>0</v>
      </c>
      <c r="E56" s="0" t="n">
        <f aca="false">(L_I4!AO46-L_S1!AO46)*C56</f>
        <v>-0</v>
      </c>
      <c r="F56" s="0" t="n">
        <f aca="false">(L_I4!AP46-L_S1!AP46)*C56</f>
        <v>-0</v>
      </c>
      <c r="G56" s="0" t="n">
        <f aca="false">(L_I4!AQ46-L_S1!AQ46)*C56</f>
        <v>-0</v>
      </c>
      <c r="H56" s="0" t="n">
        <f aca="false">(L_I4!AS46-L_S1!AS46)*C56</f>
        <v>0</v>
      </c>
      <c r="I56" s="0" t="n">
        <f aca="false">I55+E56</f>
        <v>2549280356.89685</v>
      </c>
      <c r="J56" s="0" t="n">
        <f aca="false">J55+F56</f>
        <v>2407513667.68944</v>
      </c>
      <c r="K56" s="0" t="n">
        <f aca="false">K55+G56</f>
        <v>2247457664.75933</v>
      </c>
      <c r="L56" s="0" t="n">
        <f aca="false">MAX(L55,J56)</f>
        <v>2709142385.65889</v>
      </c>
      <c r="M56" s="0" t="n">
        <f aca="false">IF(AND(B56&lt;x_H,J56&lt;=0,L55&gt;0),1,0)</f>
        <v>0</v>
      </c>
      <c r="N56" s="0" t="n">
        <f aca="false">IF(AND(B56&lt;x_H,I56&lt;=0,O55&gt;0),1,0)</f>
        <v>0</v>
      </c>
      <c r="O56" s="0" t="n">
        <f aca="false">MAX(O55,I56)</f>
        <v>2713641142.19819</v>
      </c>
      <c r="P56" s="0" t="n">
        <f aca="false">(L_I4!V46-L_S1!V46)*D56</f>
        <v>0</v>
      </c>
    </row>
    <row r="57" customFormat="false" ht="15" hidden="false" customHeight="false" outlineLevel="0" collapsed="false">
      <c r="A57" s="0" t="n">
        <v>2070</v>
      </c>
      <c r="B57" s="0" t="n">
        <v>44</v>
      </c>
      <c r="C57" s="0" t="n">
        <f aca="false">IF(B57&lt;x_H,(1+x_dk)^(-B57),0)</f>
        <v>0</v>
      </c>
      <c r="D57" s="0" t="n">
        <f aca="false">IF(B57&lt;x_H,(1+x_de)^(-B57),0)</f>
        <v>0</v>
      </c>
      <c r="E57" s="0" t="n">
        <f aca="false">(L_I4!AO47-L_S1!AO47)*C57</f>
        <v>-0</v>
      </c>
      <c r="F57" s="0" t="n">
        <f aca="false">(L_I4!AP47-L_S1!AP47)*C57</f>
        <v>-0</v>
      </c>
      <c r="G57" s="0" t="n">
        <f aca="false">(L_I4!AQ47-L_S1!AQ47)*C57</f>
        <v>-0</v>
      </c>
      <c r="H57" s="0" t="n">
        <f aca="false">(L_I4!AS47-L_S1!AS47)*C57</f>
        <v>0</v>
      </c>
      <c r="I57" s="0" t="n">
        <f aca="false">I56+E57</f>
        <v>2549280356.89685</v>
      </c>
      <c r="J57" s="0" t="n">
        <f aca="false">J56+F57</f>
        <v>2407513667.68944</v>
      </c>
      <c r="K57" s="0" t="n">
        <f aca="false">K56+G57</f>
        <v>2247457664.75933</v>
      </c>
      <c r="L57" s="0" t="n">
        <f aca="false">MAX(L56,J57)</f>
        <v>2709142385.65889</v>
      </c>
      <c r="M57" s="0" t="n">
        <f aca="false">IF(AND(B57&lt;x_H,J57&lt;=0,L56&gt;0),1,0)</f>
        <v>0</v>
      </c>
      <c r="N57" s="0" t="n">
        <f aca="false">IF(AND(B57&lt;x_H,I57&lt;=0,O56&gt;0),1,0)</f>
        <v>0</v>
      </c>
      <c r="O57" s="0" t="n">
        <f aca="false">MAX(O56,I57)</f>
        <v>2713641142.19819</v>
      </c>
      <c r="P57" s="0" t="n">
        <f aca="false">(L_I4!V47-L_S1!V47)*D57</f>
        <v>0</v>
      </c>
    </row>
    <row r="58" customFormat="false" ht="15" hidden="false" customHeight="false" outlineLevel="0" collapsed="false">
      <c r="A58" s="0" t="n">
        <v>2071</v>
      </c>
      <c r="B58" s="0" t="n">
        <v>45</v>
      </c>
      <c r="C58" s="0" t="n">
        <f aca="false">IF(B58&lt;x_H,(1+x_dk)^(-B58),0)</f>
        <v>0</v>
      </c>
      <c r="D58" s="0" t="n">
        <f aca="false">IF(B58&lt;x_H,(1+x_de)^(-B58),0)</f>
        <v>0</v>
      </c>
      <c r="E58" s="0" t="n">
        <f aca="false">(L_I4!AO48-L_S1!AO48)*C58</f>
        <v>-0</v>
      </c>
      <c r="F58" s="0" t="n">
        <f aca="false">(L_I4!AP48-L_S1!AP48)*C58</f>
        <v>-0</v>
      </c>
      <c r="G58" s="0" t="n">
        <f aca="false">(L_I4!AQ48-L_S1!AQ48)*C58</f>
        <v>-0</v>
      </c>
      <c r="H58" s="0" t="n">
        <f aca="false">(L_I4!AS48-L_S1!AS48)*C58</f>
        <v>0</v>
      </c>
      <c r="I58" s="0" t="n">
        <f aca="false">I57+E58</f>
        <v>2549280356.89685</v>
      </c>
      <c r="J58" s="0" t="n">
        <f aca="false">J57+F58</f>
        <v>2407513667.68944</v>
      </c>
      <c r="K58" s="0" t="n">
        <f aca="false">K57+G58</f>
        <v>2247457664.75933</v>
      </c>
      <c r="L58" s="0" t="n">
        <f aca="false">MAX(L57,J58)</f>
        <v>2709142385.65889</v>
      </c>
      <c r="M58" s="0" t="n">
        <f aca="false">IF(AND(B58&lt;x_H,J58&lt;=0,L57&gt;0),1,0)</f>
        <v>0</v>
      </c>
      <c r="N58" s="0" t="n">
        <f aca="false">IF(AND(B58&lt;x_H,I58&lt;=0,O57&gt;0),1,0)</f>
        <v>0</v>
      </c>
      <c r="O58" s="0" t="n">
        <f aca="false">MAX(O57,I58)</f>
        <v>2713641142.19819</v>
      </c>
      <c r="P58" s="0" t="n">
        <f aca="false">(L_I4!V48-L_S1!V48)*D58</f>
        <v>0</v>
      </c>
    </row>
    <row r="59" customFormat="false" ht="15" hidden="false" customHeight="false" outlineLevel="0" collapsed="false">
      <c r="A59" s="0" t="n">
        <v>2072</v>
      </c>
      <c r="B59" s="0" t="n">
        <v>46</v>
      </c>
      <c r="C59" s="0" t="n">
        <f aca="false">IF(B59&lt;x_H,(1+x_dk)^(-B59),0)</f>
        <v>0</v>
      </c>
      <c r="D59" s="0" t="n">
        <f aca="false">IF(B59&lt;x_H,(1+x_de)^(-B59),0)</f>
        <v>0</v>
      </c>
      <c r="E59" s="0" t="n">
        <f aca="false">(L_I4!AO49-L_S1!AO49)*C59</f>
        <v>-0</v>
      </c>
      <c r="F59" s="0" t="n">
        <f aca="false">(L_I4!AP49-L_S1!AP49)*C59</f>
        <v>-0</v>
      </c>
      <c r="G59" s="0" t="n">
        <f aca="false">(L_I4!AQ49-L_S1!AQ49)*C59</f>
        <v>-0</v>
      </c>
      <c r="H59" s="0" t="n">
        <f aca="false">(L_I4!AS49-L_S1!AS49)*C59</f>
        <v>0</v>
      </c>
      <c r="I59" s="0" t="n">
        <f aca="false">I58+E59</f>
        <v>2549280356.89685</v>
      </c>
      <c r="J59" s="0" t="n">
        <f aca="false">J58+F59</f>
        <v>2407513667.68944</v>
      </c>
      <c r="K59" s="0" t="n">
        <f aca="false">K58+G59</f>
        <v>2247457664.75933</v>
      </c>
      <c r="L59" s="0" t="n">
        <f aca="false">MAX(L58,J59)</f>
        <v>2709142385.65889</v>
      </c>
      <c r="M59" s="0" t="n">
        <f aca="false">IF(AND(B59&lt;x_H,J59&lt;=0,L58&gt;0),1,0)</f>
        <v>0</v>
      </c>
      <c r="N59" s="0" t="n">
        <f aca="false">IF(AND(B59&lt;x_H,I59&lt;=0,O58&gt;0),1,0)</f>
        <v>0</v>
      </c>
      <c r="O59" s="0" t="n">
        <f aca="false">MAX(O58,I59)</f>
        <v>2713641142.19819</v>
      </c>
      <c r="P59" s="0" t="n">
        <f aca="false">(L_I4!V49-L_S1!V49)*D59</f>
        <v>0</v>
      </c>
    </row>
    <row r="60" customFormat="false" ht="15" hidden="false" customHeight="false" outlineLevel="0" collapsed="false">
      <c r="A60" s="0" t="n">
        <v>2073</v>
      </c>
      <c r="B60" s="0" t="n">
        <v>47</v>
      </c>
      <c r="C60" s="0" t="n">
        <f aca="false">IF(B60&lt;x_H,(1+x_dk)^(-B60),0)</f>
        <v>0</v>
      </c>
      <c r="D60" s="0" t="n">
        <f aca="false">IF(B60&lt;x_H,(1+x_de)^(-B60),0)</f>
        <v>0</v>
      </c>
      <c r="E60" s="0" t="n">
        <f aca="false">(L_I4!AO50-L_S1!AO50)*C60</f>
        <v>-0</v>
      </c>
      <c r="F60" s="0" t="n">
        <f aca="false">(L_I4!AP50-L_S1!AP50)*C60</f>
        <v>-0</v>
      </c>
      <c r="G60" s="0" t="n">
        <f aca="false">(L_I4!AQ50-L_S1!AQ50)*C60</f>
        <v>-0</v>
      </c>
      <c r="H60" s="0" t="n">
        <f aca="false">(L_I4!AS50-L_S1!AS50)*C60</f>
        <v>0</v>
      </c>
      <c r="I60" s="0" t="n">
        <f aca="false">I59+E60</f>
        <v>2549280356.89685</v>
      </c>
      <c r="J60" s="0" t="n">
        <f aca="false">J59+F60</f>
        <v>2407513667.68944</v>
      </c>
      <c r="K60" s="0" t="n">
        <f aca="false">K59+G60</f>
        <v>2247457664.75933</v>
      </c>
      <c r="L60" s="0" t="n">
        <f aca="false">MAX(L59,J60)</f>
        <v>2709142385.65889</v>
      </c>
      <c r="M60" s="0" t="n">
        <f aca="false">IF(AND(B60&lt;x_H,J60&lt;=0,L59&gt;0),1,0)</f>
        <v>0</v>
      </c>
      <c r="N60" s="0" t="n">
        <f aca="false">IF(AND(B60&lt;x_H,I60&lt;=0,O59&gt;0),1,0)</f>
        <v>0</v>
      </c>
      <c r="O60" s="0" t="n">
        <f aca="false">MAX(O59,I60)</f>
        <v>2713641142.19819</v>
      </c>
      <c r="P60" s="0" t="n">
        <f aca="false">(L_I4!V50-L_S1!V50)*D60</f>
        <v>0</v>
      </c>
    </row>
    <row r="61" customFormat="false" ht="15" hidden="false" customHeight="false" outlineLevel="0" collapsed="false">
      <c r="A61" s="0" t="n">
        <v>2074</v>
      </c>
      <c r="B61" s="0" t="n">
        <v>48</v>
      </c>
      <c r="C61" s="0" t="n">
        <f aca="false">IF(B61&lt;x_H,(1+x_dk)^(-B61),0)</f>
        <v>0</v>
      </c>
      <c r="D61" s="0" t="n">
        <f aca="false">IF(B61&lt;x_H,(1+x_de)^(-B61),0)</f>
        <v>0</v>
      </c>
      <c r="E61" s="0" t="n">
        <f aca="false">(L_I4!AO51-L_S1!AO51)*C61</f>
        <v>-0</v>
      </c>
      <c r="F61" s="0" t="n">
        <f aca="false">(L_I4!AP51-L_S1!AP51)*C61</f>
        <v>-0</v>
      </c>
      <c r="G61" s="0" t="n">
        <f aca="false">(L_I4!AQ51-L_S1!AQ51)*C61</f>
        <v>-0</v>
      </c>
      <c r="H61" s="0" t="n">
        <f aca="false">(L_I4!AS51-L_S1!AS51)*C61</f>
        <v>0</v>
      </c>
      <c r="I61" s="0" t="n">
        <f aca="false">I60+E61</f>
        <v>2549280356.89685</v>
      </c>
      <c r="J61" s="0" t="n">
        <f aca="false">J60+F61</f>
        <v>2407513667.68944</v>
      </c>
      <c r="K61" s="0" t="n">
        <f aca="false">K60+G61</f>
        <v>2247457664.75933</v>
      </c>
      <c r="L61" s="0" t="n">
        <f aca="false">MAX(L60,J61)</f>
        <v>2709142385.65889</v>
      </c>
      <c r="M61" s="0" t="n">
        <f aca="false">IF(AND(B61&lt;x_H,J61&lt;=0,L60&gt;0),1,0)</f>
        <v>0</v>
      </c>
      <c r="N61" s="0" t="n">
        <f aca="false">IF(AND(B61&lt;x_H,I61&lt;=0,O60&gt;0),1,0)</f>
        <v>0</v>
      </c>
      <c r="O61" s="0" t="n">
        <f aca="false">MAX(O60,I61)</f>
        <v>2713641142.19819</v>
      </c>
      <c r="P61" s="0" t="n">
        <f aca="false">(L_I4!V51-L_S1!V51)*D61</f>
        <v>0</v>
      </c>
    </row>
    <row r="62" customFormat="false" ht="15" hidden="false" customHeight="false" outlineLevel="0" collapsed="false">
      <c r="A62" s="0" t="n">
        <v>2075</v>
      </c>
      <c r="B62" s="0" t="n">
        <v>49</v>
      </c>
      <c r="C62" s="0" t="n">
        <f aca="false">IF(B62&lt;x_H,(1+x_dk)^(-B62),0)</f>
        <v>0</v>
      </c>
      <c r="D62" s="0" t="n">
        <f aca="false">IF(B62&lt;x_H,(1+x_de)^(-B62),0)</f>
        <v>0</v>
      </c>
      <c r="E62" s="0" t="n">
        <f aca="false">(L_I4!AO52-L_S1!AO52)*C62</f>
        <v>-0</v>
      </c>
      <c r="F62" s="0" t="n">
        <f aca="false">(L_I4!AP52-L_S1!AP52)*C62</f>
        <v>-0</v>
      </c>
      <c r="G62" s="0" t="n">
        <f aca="false">(L_I4!AQ52-L_S1!AQ52)*C62</f>
        <v>-0</v>
      </c>
      <c r="H62" s="0" t="n">
        <f aca="false">(L_I4!AS52-L_S1!AS52)*C62</f>
        <v>0</v>
      </c>
      <c r="I62" s="0" t="n">
        <f aca="false">I61+E62</f>
        <v>2549280356.89685</v>
      </c>
      <c r="J62" s="0" t="n">
        <f aca="false">J61+F62</f>
        <v>2407513667.68944</v>
      </c>
      <c r="K62" s="0" t="n">
        <f aca="false">K61+G62</f>
        <v>2247457664.75933</v>
      </c>
      <c r="L62" s="0" t="n">
        <f aca="false">MAX(L61,J62)</f>
        <v>2709142385.65889</v>
      </c>
      <c r="M62" s="0" t="n">
        <f aca="false">IF(AND(B62&lt;x_H,J62&lt;=0,L61&gt;0),1,0)</f>
        <v>0</v>
      </c>
      <c r="N62" s="0" t="n">
        <f aca="false">IF(AND(B62&lt;x_H,I62&lt;=0,O61&gt;0),1,0)</f>
        <v>0</v>
      </c>
      <c r="O62" s="0" t="n">
        <f aca="false">MAX(O61,I62)</f>
        <v>2713641142.19819</v>
      </c>
      <c r="P62" s="0" t="n">
        <f aca="false">(L_I4!V52-L_S1!V52)*D62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625</v>
      </c>
    </row>
    <row r="2" customFormat="false" ht="15" hidden="false" customHeight="false" outlineLevel="0" collapsed="false">
      <c r="A2" s="1" t="s">
        <v>597</v>
      </c>
      <c r="B2" s="0" t="n">
        <f aca="false">x_H</f>
        <v>20</v>
      </c>
    </row>
    <row r="3" customFormat="false" ht="15" hidden="false" customHeight="false" outlineLevel="0" collapsed="false">
      <c r="A3" s="1" t="s">
        <v>598</v>
      </c>
      <c r="B3" s="0" t="n">
        <f aca="false">SUM(H13:H62)</f>
        <v>-541078387.639455</v>
      </c>
    </row>
    <row r="4" customFormat="false" ht="15" hidden="false" customHeight="false" outlineLevel="0" collapsed="false">
      <c r="A4" s="1" t="s">
        <v>599</v>
      </c>
      <c r="B4" s="0" t="n">
        <f aca="false">SUM(F13:F62)</f>
        <v>-186985981.691669</v>
      </c>
    </row>
    <row r="5" customFormat="false" ht="15" hidden="false" customHeight="false" outlineLevel="0" collapsed="false">
      <c r="A5" s="1" t="s">
        <v>600</v>
      </c>
      <c r="B5" s="0" t="n">
        <f aca="false">B3-B4</f>
        <v>-354092405.947787</v>
      </c>
    </row>
    <row r="6" customFormat="false" ht="15" hidden="false" customHeight="false" outlineLevel="0" collapsed="false">
      <c r="A6" s="1" t="s">
        <v>601</v>
      </c>
      <c r="B6" s="0" t="n">
        <f aca="false">IF(B3=0,"—",(B5-B3)/ABS(B3))</f>
        <v>0.345580207901902</v>
      </c>
    </row>
    <row r="7" customFormat="false" ht="15" hidden="false" customHeight="false" outlineLevel="0" collapsed="false">
      <c r="A7" s="1" t="s">
        <v>602</v>
      </c>
      <c r="B7" s="0" t="str">
        <f aca="false">IFERROR(INDEX(A13:A62,MATCH(1,M13:M62,0)),"brak w horyzoncie")</f>
        <v>brak w horyzoncie</v>
      </c>
    </row>
    <row r="8" customFormat="false" ht="15" hidden="false" customHeight="false" outlineLevel="0" collapsed="false">
      <c r="A8" s="1" t="s">
        <v>603</v>
      </c>
      <c r="B8" s="0" t="str">
        <f aca="false">IFERROR(INDEX(A13:A62,MATCH(1,N13:N62,0)),"brak w horyzoncie")</f>
        <v>brak w horyzoncie</v>
      </c>
    </row>
    <row r="9" customFormat="false" ht="15" hidden="false" customHeight="false" outlineLevel="0" collapsed="false">
      <c r="A9" s="1" t="s">
        <v>604</v>
      </c>
      <c r="B9" s="0" t="n">
        <f aca="false">SUM(E13:E62)</f>
        <v>-353253712.599829</v>
      </c>
    </row>
    <row r="10" customFormat="false" ht="15" hidden="false" customHeight="false" outlineLevel="0" collapsed="false">
      <c r="A10" s="1" t="s">
        <v>605</v>
      </c>
      <c r="B10" s="0" t="n">
        <f aca="false">IFERROR(B4/SUM(P13:P62),"—")</f>
        <v>11602.2821449126</v>
      </c>
    </row>
    <row r="11" customFormat="false" ht="15" hidden="false" customHeight="false" outlineLevel="0" collapsed="false">
      <c r="A11" s="1" t="s">
        <v>606</v>
      </c>
      <c r="B11" s="0" t="n">
        <f aca="false">IFERROR(B9/SUM(P13:P62),"—")</f>
        <v>21919.0187694359</v>
      </c>
    </row>
    <row r="12" customFormat="false" ht="55.2" hidden="false" customHeight="false" outlineLevel="0" collapsed="false">
      <c r="A12" s="3" t="s">
        <v>318</v>
      </c>
      <c r="B12" s="3" t="s">
        <v>548</v>
      </c>
      <c r="C12" s="3" t="s">
        <v>607</v>
      </c>
      <c r="D12" s="3" t="s">
        <v>608</v>
      </c>
      <c r="E12" s="3" t="s">
        <v>609</v>
      </c>
      <c r="F12" s="3" t="s">
        <v>610</v>
      </c>
      <c r="G12" s="3" t="s">
        <v>611</v>
      </c>
      <c r="H12" s="3" t="s">
        <v>612</v>
      </c>
      <c r="I12" s="3" t="s">
        <v>613</v>
      </c>
      <c r="J12" s="3" t="s">
        <v>614</v>
      </c>
      <c r="K12" s="3" t="s">
        <v>615</v>
      </c>
      <c r="L12" s="3" t="s">
        <v>616</v>
      </c>
      <c r="M12" s="3" t="s">
        <v>617</v>
      </c>
      <c r="N12" s="3" t="s">
        <v>618</v>
      </c>
      <c r="O12" s="3" t="s">
        <v>619</v>
      </c>
      <c r="P12" s="3" t="s">
        <v>620</v>
      </c>
    </row>
    <row r="13" customFormat="false" ht="15" hidden="false" customHeight="false" outlineLevel="0" collapsed="false">
      <c r="A13" s="0" t="n">
        <v>2026</v>
      </c>
      <c r="B13" s="0" t="n">
        <v>0</v>
      </c>
      <c r="C13" s="0" t="n">
        <f aca="false">IF(B13&lt;x_H,(1+x_dk)^(-B13),0)</f>
        <v>1</v>
      </c>
      <c r="D13" s="0" t="n">
        <f aca="false">IF(B13&lt;x_H,(1+x_de)^(-B13),0)</f>
        <v>1</v>
      </c>
      <c r="E13" s="0" t="n">
        <f aca="false">(L_I5!AO3-L_S1!AO3)*C13</f>
        <v>-42278156.6512682</v>
      </c>
      <c r="F13" s="0" t="n">
        <f aca="false">(L_I5!AP3-L_S1!AP3)*C13</f>
        <v>-41880751.1516117</v>
      </c>
      <c r="G13" s="0" t="n">
        <f aca="false">(L_I5!AQ3-L_S1!AQ3)*C13</f>
        <v>-41913193.6497065</v>
      </c>
      <c r="H13" s="0" t="n">
        <f aca="false">(L_I5!AS3-L_S1!AS3)*C13</f>
        <v>-41350028.2830073</v>
      </c>
      <c r="I13" s="0" t="n">
        <f aca="false">E13</f>
        <v>-42278156.6512682</v>
      </c>
      <c r="J13" s="0" t="n">
        <f aca="false">F13</f>
        <v>-41880751.1516117</v>
      </c>
      <c r="K13" s="0" t="n">
        <f aca="false">G13</f>
        <v>-41913193.6497065</v>
      </c>
      <c r="L13" s="0" t="n">
        <f aca="false">J13</f>
        <v>-41880751.1516117</v>
      </c>
      <c r="M13" s="0" t="n">
        <v>0</v>
      </c>
      <c r="N13" s="0" t="n">
        <v>0</v>
      </c>
      <c r="O13" s="0" t="n">
        <f aca="false">I13</f>
        <v>-42278156.6512682</v>
      </c>
      <c r="P13" s="0" t="n">
        <f aca="false">(L_I5!V3-L_S1!V3)*D13</f>
        <v>-117.326000000001</v>
      </c>
    </row>
    <row r="14" customFormat="false" ht="15" hidden="false" customHeight="false" outlineLevel="0" collapsed="false">
      <c r="A14" s="0" t="n">
        <v>2027</v>
      </c>
      <c r="B14" s="0" t="n">
        <v>1</v>
      </c>
      <c r="C14" s="0" t="n">
        <f aca="false">IF(B14&lt;x_H,(1+x_dk)^(-B14),0)</f>
        <v>0.952380952380952</v>
      </c>
      <c r="D14" s="0" t="n">
        <f aca="false">IF(B14&lt;x_H,(1+x_de)^(-B14),0)</f>
        <v>0.966183574879227</v>
      </c>
      <c r="E14" s="0" t="n">
        <f aca="false">(L_I5!AO4-L_S1!AO4)*C14</f>
        <v>-39172211.1362527</v>
      </c>
      <c r="F14" s="0" t="n">
        <f aca="false">(L_I5!AP4-L_S1!AP4)*C14</f>
        <v>-37599205.7451816</v>
      </c>
      <c r="G14" s="0" t="n">
        <f aca="false">(L_I5!AQ4-L_S1!AQ4)*C14</f>
        <v>-37708911.3894002</v>
      </c>
      <c r="H14" s="0" t="n">
        <f aca="false">(L_I5!AS4-L_S1!AS4)*C14</f>
        <v>-39380979.3171498</v>
      </c>
      <c r="I14" s="0" t="n">
        <f aca="false">I13+E14</f>
        <v>-81450367.7875209</v>
      </c>
      <c r="J14" s="0" t="n">
        <f aca="false">J13+F14</f>
        <v>-79479956.8967933</v>
      </c>
      <c r="K14" s="0" t="n">
        <f aca="false">K13+G14</f>
        <v>-79622105.0391066</v>
      </c>
      <c r="L14" s="0" t="n">
        <f aca="false">MAX(L13,J14)</f>
        <v>-41880751.1516117</v>
      </c>
      <c r="M14" s="0" t="n">
        <f aca="false">IF(AND(B14&lt;x_H,J14&lt;=0,L13&gt;0),1,0)</f>
        <v>0</v>
      </c>
      <c r="N14" s="0" t="n">
        <f aca="false">IF(AND(B14&lt;x_H,I14&lt;=0,O13&gt;0),1,0)</f>
        <v>0</v>
      </c>
      <c r="O14" s="0" t="n">
        <f aca="false">MAX(O13,I14)</f>
        <v>-42278156.6512682</v>
      </c>
      <c r="P14" s="0" t="n">
        <f aca="false">(L_I5!V4-L_S1!V4)*D14</f>
        <v>-192.684057971014</v>
      </c>
    </row>
    <row r="15" customFormat="false" ht="15" hidden="false" customHeight="false" outlineLevel="0" collapsed="false">
      <c r="A15" s="0" t="n">
        <v>2028</v>
      </c>
      <c r="B15" s="0" t="n">
        <v>2</v>
      </c>
      <c r="C15" s="0" t="n">
        <f aca="false">IF(B15&lt;x_H,(1+x_dk)^(-B15),0)</f>
        <v>0.90702947845805</v>
      </c>
      <c r="D15" s="0" t="n">
        <f aca="false">IF(B15&lt;x_H,(1+x_de)^(-B15),0)</f>
        <v>0.933510700366403</v>
      </c>
      <c r="E15" s="0" t="n">
        <f aca="false">(L_I5!AO5-L_S1!AO5)*C15</f>
        <v>-36103797.3129565</v>
      </c>
      <c r="F15" s="0" t="n">
        <f aca="false">(L_I5!AP5-L_S1!AP5)*C15</f>
        <v>-33372209.9617881</v>
      </c>
      <c r="G15" s="0" t="n">
        <f aca="false">(L_I5!AQ5-L_S1!AQ5)*C15</f>
        <v>-33446448.4449388</v>
      </c>
      <c r="H15" s="0" t="n">
        <f aca="false">(L_I5!AS5-L_S1!AS5)*C15</f>
        <v>-37505694.5877617</v>
      </c>
      <c r="I15" s="0" t="n">
        <f aca="false">I14+E15</f>
        <v>-117554165.100477</v>
      </c>
      <c r="J15" s="0" t="n">
        <f aca="false">J14+F15</f>
        <v>-112852166.858581</v>
      </c>
      <c r="K15" s="0" t="n">
        <f aca="false">K14+G15</f>
        <v>-113068553.484045</v>
      </c>
      <c r="L15" s="0" t="n">
        <f aca="false">MAX(L14,J15)</f>
        <v>-41880751.1516117</v>
      </c>
      <c r="M15" s="0" t="n">
        <f aca="false">IF(AND(B15&lt;x_H,J15&lt;=0,L14&gt;0),1,0)</f>
        <v>0</v>
      </c>
      <c r="N15" s="0" t="n">
        <f aca="false">IF(AND(B15&lt;x_H,I15&lt;=0,O14&gt;0),1,0)</f>
        <v>0</v>
      </c>
      <c r="O15" s="0" t="n">
        <f aca="false">MAX(O14,I15)</f>
        <v>-42278156.6512682</v>
      </c>
      <c r="P15" s="0" t="n">
        <f aca="false">(L_I5!V5-L_S1!V5)*D15</f>
        <v>-267.294919368012</v>
      </c>
    </row>
    <row r="16" customFormat="false" ht="15" hidden="false" customHeight="false" outlineLevel="0" collapsed="false">
      <c r="A16" s="0" t="n">
        <v>2029</v>
      </c>
      <c r="B16" s="0" t="n">
        <v>3</v>
      </c>
      <c r="C16" s="0" t="n">
        <f aca="false">IF(B16&lt;x_H,(1+x_dk)^(-B16),0)</f>
        <v>0.863837598531476</v>
      </c>
      <c r="D16" s="0" t="n">
        <f aca="false">IF(B16&lt;x_H,(1+x_de)^(-B16),0)</f>
        <v>0.901942705668022</v>
      </c>
      <c r="E16" s="0" t="n">
        <f aca="false">(L_I5!AO6-L_S1!AO6)*C16</f>
        <v>-33083093.4090583</v>
      </c>
      <c r="F16" s="0" t="n">
        <f aca="false">(L_I5!AP6-L_S1!AP6)*C16</f>
        <v>-29183250.3177894</v>
      </c>
      <c r="G16" s="0" t="n">
        <f aca="false">(L_I5!AQ6-L_S1!AQ6)*C16</f>
        <v>-29087996.3417539</v>
      </c>
      <c r="H16" s="0" t="n">
        <f aca="false">(L_I5!AS6-L_S1!AS6)*C16</f>
        <v>-35719709.1312017</v>
      </c>
      <c r="I16" s="0" t="n">
        <f aca="false">I15+E16</f>
        <v>-150637258.509536</v>
      </c>
      <c r="J16" s="0" t="n">
        <f aca="false">J15+F16</f>
        <v>-142035417.176371</v>
      </c>
      <c r="K16" s="0" t="n">
        <f aca="false">K15+G16</f>
        <v>-142156549.825799</v>
      </c>
      <c r="L16" s="0" t="n">
        <f aca="false">MAX(L15,J16)</f>
        <v>-41880751.1516117</v>
      </c>
      <c r="M16" s="0" t="n">
        <f aca="false">IF(AND(B16&lt;x_H,J16&lt;=0,L15&gt;0),1,0)</f>
        <v>0</v>
      </c>
      <c r="N16" s="0" t="n">
        <f aca="false">IF(AND(B16&lt;x_H,I16&lt;=0,O15&gt;0),1,0)</f>
        <v>0</v>
      </c>
      <c r="O16" s="0" t="n">
        <f aca="false">MAX(O15,I16)</f>
        <v>-42278156.6512682</v>
      </c>
      <c r="P16" s="0" t="n">
        <f aca="false">(L_I5!V6-L_S1!V6)*D16</f>
        <v>-341.826364078419</v>
      </c>
    </row>
    <row r="17" customFormat="false" ht="15" hidden="false" customHeight="false" outlineLevel="0" collapsed="false">
      <c r="A17" s="0" t="n">
        <v>2030</v>
      </c>
      <c r="B17" s="0" t="n">
        <v>4</v>
      </c>
      <c r="C17" s="0" t="n">
        <f aca="false">IF(B17&lt;x_H,(1+x_dk)^(-B17),0)</f>
        <v>0.822702474791882</v>
      </c>
      <c r="D17" s="0" t="n">
        <f aca="false">IF(B17&lt;x_H,(1+x_de)^(-B17),0)</f>
        <v>0.871442227698572</v>
      </c>
      <c r="E17" s="0" t="n">
        <f aca="false">(L_I5!AO7-L_S1!AO7)*C17</f>
        <v>-30118535.0275419</v>
      </c>
      <c r="F17" s="0" t="n">
        <f aca="false">(L_I5!AP7-L_S1!AP7)*C17</f>
        <v>-25019192.2454598</v>
      </c>
      <c r="G17" s="0" t="n">
        <f aca="false">(L_I5!AQ7-L_S1!AQ7)*C17</f>
        <v>-24604777.991909</v>
      </c>
      <c r="H17" s="0" t="n">
        <f aca="false">(L_I5!AS7-L_S1!AS7)*C17</f>
        <v>-34018770.6011444</v>
      </c>
      <c r="I17" s="0" t="n">
        <f aca="false">I16+E17</f>
        <v>-180755793.537078</v>
      </c>
      <c r="J17" s="0" t="n">
        <f aca="false">J16+F17</f>
        <v>-167054609.421831</v>
      </c>
      <c r="K17" s="0" t="n">
        <f aca="false">K16+G17</f>
        <v>-166761327.817708</v>
      </c>
      <c r="L17" s="0" t="n">
        <f aca="false">MAX(L16,J17)</f>
        <v>-41880751.1516117</v>
      </c>
      <c r="M17" s="0" t="n">
        <f aca="false">IF(AND(B17&lt;x_H,J17&lt;=0,L16&gt;0),1,0)</f>
        <v>0</v>
      </c>
      <c r="N17" s="0" t="n">
        <f aca="false">IF(AND(B17&lt;x_H,I17&lt;=0,O16&gt;0),1,0)</f>
        <v>0</v>
      </c>
      <c r="O17" s="0" t="n">
        <f aca="false">MAX(O16,I17)</f>
        <v>-42278156.6512682</v>
      </c>
      <c r="P17" s="0" t="n">
        <f aca="false">(L_I5!V7-L_S1!V7)*D17</f>
        <v>-416.587728297944</v>
      </c>
    </row>
    <row r="18" customFormat="false" ht="15" hidden="false" customHeight="false" outlineLevel="0" collapsed="false">
      <c r="A18" s="0" t="n">
        <v>2031</v>
      </c>
      <c r="B18" s="0" t="n">
        <v>5</v>
      </c>
      <c r="C18" s="0" t="n">
        <f aca="false">IF(B18&lt;x_H,(1+x_dk)^(-B18),0)</f>
        <v>0.783526166468459</v>
      </c>
      <c r="D18" s="0" t="n">
        <f aca="false">IF(B18&lt;x_H,(1+x_de)^(-B18),0)</f>
        <v>0.841973166858524</v>
      </c>
      <c r="E18" s="0" t="n">
        <f aca="false">(L_I5!AO8-L_S1!AO8)*C18</f>
        <v>-27220524.2992586</v>
      </c>
      <c r="F18" s="0" t="n">
        <f aca="false">(L_I5!AP8-L_S1!AP8)*C18</f>
        <v>-20873801.065437</v>
      </c>
      <c r="G18" s="0" t="n">
        <f aca="false">(L_I5!AQ8-L_S1!AQ8)*C18</f>
        <v>-19980139.2553569</v>
      </c>
      <c r="H18" s="0" t="n">
        <f aca="false">(L_I5!AS8-L_S1!AS8)*C18</f>
        <v>-32398829.1439471</v>
      </c>
      <c r="I18" s="0" t="n">
        <f aca="false">I17+E18</f>
        <v>-207976317.836336</v>
      </c>
      <c r="J18" s="0" t="n">
        <f aca="false">J17+F18</f>
        <v>-187928410.487268</v>
      </c>
      <c r="K18" s="0" t="n">
        <f aca="false">K17+G18</f>
        <v>-186741467.073065</v>
      </c>
      <c r="L18" s="0" t="n">
        <f aca="false">MAX(L17,J18)</f>
        <v>-41880751.1516117</v>
      </c>
      <c r="M18" s="0" t="n">
        <f aca="false">IF(AND(B18&lt;x_H,J18&lt;=0,L17&gt;0),1,0)</f>
        <v>0</v>
      </c>
      <c r="N18" s="0" t="n">
        <f aca="false">IF(AND(B18&lt;x_H,I18&lt;=0,O17&gt;0),1,0)</f>
        <v>0</v>
      </c>
      <c r="O18" s="0" t="n">
        <f aca="false">MAX(O17,I18)</f>
        <v>-42278156.6512682</v>
      </c>
      <c r="P18" s="0" t="n">
        <f aca="false">(L_I5!V8-L_S1!V8)*D18</f>
        <v>-491.648339484696</v>
      </c>
    </row>
    <row r="19" customFormat="false" ht="15" hidden="false" customHeight="false" outlineLevel="0" collapsed="false">
      <c r="A19" s="0" t="n">
        <v>2032</v>
      </c>
      <c r="B19" s="0" t="n">
        <v>6</v>
      </c>
      <c r="C19" s="0" t="n">
        <f aca="false">IF(B19&lt;x_H,(1+x_dk)^(-B19),0)</f>
        <v>0.746215396636628</v>
      </c>
      <c r="D19" s="0" t="n">
        <f aca="false">IF(B19&lt;x_H,(1+x_de)^(-B19),0)</f>
        <v>0.813500644307753</v>
      </c>
      <c r="E19" s="0" t="n">
        <f aca="false">(L_I5!AO9-L_S1!AO9)*C19</f>
        <v>-24401166.3306885</v>
      </c>
      <c r="F19" s="0" t="n">
        <f aca="false">(L_I5!AP9-L_S1!AP9)*C19</f>
        <v>-16747558.4874597</v>
      </c>
      <c r="G19" s="0" t="n">
        <f aca="false">(L_I5!AQ9-L_S1!AQ9)*C19</f>
        <v>-15208853.8190495</v>
      </c>
      <c r="H19" s="0" t="n">
        <f aca="false">(L_I5!AS9-L_S1!AS9)*C19</f>
        <v>-30856027.7561401</v>
      </c>
      <c r="I19" s="0" t="n">
        <f aca="false">I18+E19</f>
        <v>-232377484.167025</v>
      </c>
      <c r="J19" s="0" t="n">
        <f aca="false">J18+F19</f>
        <v>-204675968.974727</v>
      </c>
      <c r="K19" s="0" t="n">
        <f aca="false">K18+G19</f>
        <v>-201950320.892115</v>
      </c>
      <c r="L19" s="0" t="n">
        <f aca="false">MAX(L18,J19)</f>
        <v>-41880751.1516117</v>
      </c>
      <c r="M19" s="0" t="n">
        <f aca="false">IF(AND(B19&lt;x_H,J19&lt;=0,L18&gt;0),1,0)</f>
        <v>0</v>
      </c>
      <c r="N19" s="0" t="n">
        <f aca="false">IF(AND(B19&lt;x_H,I19&lt;=0,O18&gt;0),1,0)</f>
        <v>0</v>
      </c>
      <c r="O19" s="0" t="n">
        <f aca="false">MAX(O18,I19)</f>
        <v>-42278156.6512682</v>
      </c>
      <c r="P19" s="0" t="n">
        <f aca="false">(L_I5!V9-L_S1!V9)*D19</f>
        <v>-566.911515504543</v>
      </c>
    </row>
    <row r="20" customFormat="false" ht="15" hidden="false" customHeight="false" outlineLevel="0" collapsed="false">
      <c r="A20" s="0" t="n">
        <v>2033</v>
      </c>
      <c r="B20" s="0" t="n">
        <v>7</v>
      </c>
      <c r="C20" s="0" t="n">
        <f aca="false">IF(B20&lt;x_H,(1+x_dk)^(-B20),0)</f>
        <v>0.710681330130121</v>
      </c>
      <c r="D20" s="0" t="n">
        <f aca="false">IF(B20&lt;x_H,(1+x_de)^(-B20),0)</f>
        <v>0.785990960683819</v>
      </c>
      <c r="E20" s="0" t="n">
        <f aca="false">(L_I5!AO10-L_S1!AO10)*C20</f>
        <v>-21674271.7232314</v>
      </c>
      <c r="F20" s="0" t="n">
        <f aca="false">(L_I5!AP10-L_S1!AP10)*C20</f>
        <v>-12647797.0917553</v>
      </c>
      <c r="G20" s="0" t="n">
        <f aca="false">(L_I5!AQ10-L_S1!AQ10)*C20</f>
        <v>-10297363.246325</v>
      </c>
      <c r="H20" s="0" t="n">
        <f aca="false">(L_I5!AS10-L_S1!AS10)*C20</f>
        <v>-29386693.1010858</v>
      </c>
      <c r="I20" s="0" t="n">
        <f aca="false">I19+E20</f>
        <v>-254051755.890256</v>
      </c>
      <c r="J20" s="0" t="n">
        <f aca="false">J19+F20</f>
        <v>-217323766.066483</v>
      </c>
      <c r="K20" s="0" t="n">
        <f aca="false">K19+G20</f>
        <v>-212247684.13844</v>
      </c>
      <c r="L20" s="0" t="n">
        <f aca="false">MAX(L19,J20)</f>
        <v>-41880751.1516117</v>
      </c>
      <c r="M20" s="0" t="n">
        <f aca="false">IF(AND(B20&lt;x_H,J20&lt;=0,L19&gt;0),1,0)</f>
        <v>0</v>
      </c>
      <c r="N20" s="0" t="n">
        <f aca="false">IF(AND(B20&lt;x_H,I20&lt;=0,O19&gt;0),1,0)</f>
        <v>0</v>
      </c>
      <c r="O20" s="0" t="n">
        <f aca="false">MAX(O19,I20)</f>
        <v>-42278156.6512682</v>
      </c>
      <c r="P20" s="0" t="n">
        <f aca="false">(L_I5!V10-L_S1!V10)*D20</f>
        <v>-642.173478661741</v>
      </c>
    </row>
    <row r="21" customFormat="false" ht="15" hidden="false" customHeight="false" outlineLevel="0" collapsed="false">
      <c r="A21" s="0" t="n">
        <v>2034</v>
      </c>
      <c r="B21" s="0" t="n">
        <v>8</v>
      </c>
      <c r="C21" s="0" t="n">
        <f aca="false">IF(B21&lt;x_H,(1+x_dk)^(-B21),0)</f>
        <v>0.676839362028687</v>
      </c>
      <c r="D21" s="0" t="n">
        <f aca="false">IF(B21&lt;x_H,(1+x_de)^(-B21),0)</f>
        <v>0.759411556216251</v>
      </c>
      <c r="E21" s="0" t="n">
        <f aca="false">(L_I5!AO11-L_S1!AO11)*C21</f>
        <v>-19056527.1130565</v>
      </c>
      <c r="F21" s="0" t="n">
        <f aca="false">(L_I5!AP11-L_S1!AP11)*C21</f>
        <v>-8589267.8199404</v>
      </c>
      <c r="G21" s="0" t="n">
        <f aca="false">(L_I5!AQ11-L_S1!AQ11)*C21</f>
        <v>-5263834.99712004</v>
      </c>
      <c r="H21" s="0" t="n">
        <f aca="false">(L_I5!AS11-L_S1!AS11)*C21</f>
        <v>-27987326.7629388</v>
      </c>
      <c r="I21" s="0" t="n">
        <f aca="false">I20+E21</f>
        <v>-273108283.003313</v>
      </c>
      <c r="J21" s="0" t="n">
        <f aca="false">J20+F21</f>
        <v>-225913033.886423</v>
      </c>
      <c r="K21" s="0" t="n">
        <f aca="false">K20+G21</f>
        <v>-217511519.13556</v>
      </c>
      <c r="L21" s="0" t="n">
        <f aca="false">MAX(L20,J21)</f>
        <v>-41880751.1516117</v>
      </c>
      <c r="M21" s="0" t="n">
        <f aca="false">IF(AND(B21&lt;x_H,J21&lt;=0,L20&gt;0),1,0)</f>
        <v>0</v>
      </c>
      <c r="N21" s="0" t="n">
        <f aca="false">IF(AND(B21&lt;x_H,I21&lt;=0,O20&gt;0),1,0)</f>
        <v>0</v>
      </c>
      <c r="O21" s="0" t="n">
        <f aca="false">MAX(O20,I21)</f>
        <v>-42278156.6512682</v>
      </c>
      <c r="P21" s="0" t="n">
        <f aca="false">(L_I5!V11-L_S1!V11)*D21</f>
        <v>-717.145746643477</v>
      </c>
    </row>
    <row r="22" customFormat="false" ht="15" hidden="false" customHeight="false" outlineLevel="0" collapsed="false">
      <c r="A22" s="0" t="n">
        <v>2035</v>
      </c>
      <c r="B22" s="0" t="n">
        <v>9</v>
      </c>
      <c r="C22" s="0" t="n">
        <f aca="false">IF(B22&lt;x_H,(1+x_dk)^(-B22),0)</f>
        <v>0.644608916217797</v>
      </c>
      <c r="D22" s="0" t="n">
        <f aca="false">IF(B22&lt;x_H,(1+x_de)^(-B22),0)</f>
        <v>0.733730972189614</v>
      </c>
      <c r="E22" s="0" t="n">
        <f aca="false">(L_I5!AO12-L_S1!AO12)*C22</f>
        <v>-16562779.285097</v>
      </c>
      <c r="F22" s="0" t="n">
        <f aca="false">(L_I5!AP12-L_S1!AP12)*C22</f>
        <v>-4589143.67492042</v>
      </c>
      <c r="G22" s="0" t="n">
        <f aca="false">(L_I5!AQ12-L_S1!AQ12)*C22</f>
        <v>-132923.319466667</v>
      </c>
      <c r="H22" s="0" t="n">
        <f aca="false">(L_I5!AS12-L_S1!AS12)*C22</f>
        <v>-26654596.9170846</v>
      </c>
      <c r="I22" s="0" t="n">
        <f aca="false">I21+E22</f>
        <v>-289671062.28841</v>
      </c>
      <c r="J22" s="0" t="n">
        <f aca="false">J21+F22</f>
        <v>-230502177.561344</v>
      </c>
      <c r="K22" s="0" t="n">
        <f aca="false">K21+G22</f>
        <v>-217644442.455026</v>
      </c>
      <c r="L22" s="0" t="n">
        <f aca="false">MAX(L21,J22)</f>
        <v>-41880751.1516117</v>
      </c>
      <c r="M22" s="0" t="n">
        <f aca="false">IF(AND(B22&lt;x_H,J22&lt;=0,L21&gt;0),1,0)</f>
        <v>0</v>
      </c>
      <c r="N22" s="0" t="n">
        <f aca="false">IF(AND(B22&lt;x_H,I22&lt;=0,O21&gt;0),1,0)</f>
        <v>0</v>
      </c>
      <c r="O22" s="0" t="n">
        <f aca="false">MAX(O21,I22)</f>
        <v>-42278156.6512682</v>
      </c>
      <c r="P22" s="0" t="n">
        <f aca="false">(L_I5!V12-L_S1!V12)*D22</f>
        <v>-791.490274320381</v>
      </c>
    </row>
    <row r="23" customFormat="false" ht="15" hidden="false" customHeight="false" outlineLevel="0" collapsed="false">
      <c r="A23" s="0" t="n">
        <v>2036</v>
      </c>
      <c r="B23" s="0" t="n">
        <v>10</v>
      </c>
      <c r="C23" s="0" t="n">
        <f aca="false">IF(B23&lt;x_H,(1+x_dk)^(-B23),0)</f>
        <v>0.613913253540759</v>
      </c>
      <c r="D23" s="0" t="n">
        <f aca="false">IF(B23&lt;x_H,(1+x_de)^(-B23),0)</f>
        <v>0.708918813709772</v>
      </c>
      <c r="E23" s="0" t="n">
        <f aca="false">(L_I5!AO13-L_S1!AO13)*C23</f>
        <v>-14208261.8395196</v>
      </c>
      <c r="F23" s="0" t="n">
        <f aca="false">(L_I5!AP13-L_S1!AP13)*C23</f>
        <v>-668704.106975211</v>
      </c>
      <c r="G23" s="0" t="n">
        <f aca="false">(L_I5!AQ13-L_S1!AQ13)*C23</f>
        <v>5062983.25380433</v>
      </c>
      <c r="H23" s="0" t="n">
        <f aca="false">(L_I5!AS13-L_S1!AS13)*C23</f>
        <v>-25385330.3972234</v>
      </c>
      <c r="I23" s="0" t="n">
        <f aca="false">I22+E23</f>
        <v>-303879324.127929</v>
      </c>
      <c r="J23" s="0" t="n">
        <f aca="false">J22+F23</f>
        <v>-231170881.668319</v>
      </c>
      <c r="K23" s="0" t="n">
        <f aca="false">K22+G23</f>
        <v>-212581459.201222</v>
      </c>
      <c r="L23" s="0" t="n">
        <f aca="false">MAX(L22,J23)</f>
        <v>-41880751.1516117</v>
      </c>
      <c r="M23" s="0" t="n">
        <f aca="false">IF(AND(B23&lt;x_H,J23&lt;=0,L22&gt;0),1,0)</f>
        <v>0</v>
      </c>
      <c r="N23" s="0" t="n">
        <f aca="false">IF(AND(B23&lt;x_H,I23&lt;=0,O22&gt;0),1,0)</f>
        <v>0</v>
      </c>
      <c r="O23" s="0" t="n">
        <f aca="false">MAX(O22,I23)</f>
        <v>-42278156.6512682</v>
      </c>
      <c r="P23" s="0" t="n">
        <f aca="false">(L_I5!V13-L_S1!V13)*D23</f>
        <v>-864.818567870324</v>
      </c>
    </row>
    <row r="24" customFormat="false" ht="15" hidden="false" customHeight="false" outlineLevel="0" collapsed="false">
      <c r="A24" s="0" t="n">
        <v>2037</v>
      </c>
      <c r="B24" s="0" t="n">
        <v>11</v>
      </c>
      <c r="C24" s="0" t="n">
        <f aca="false">IF(B24&lt;x_H,(1+x_dk)^(-B24),0)</f>
        <v>0.584679289086437</v>
      </c>
      <c r="D24" s="0" t="n">
        <f aca="false">IF(B24&lt;x_H,(1+x_de)^(-B24),0)</f>
        <v>0.684945713729249</v>
      </c>
      <c r="E24" s="0" t="n">
        <f aca="false">(L_I5!AO14-L_S1!AO14)*C24</f>
        <v>-12007030.3735531</v>
      </c>
      <c r="F24" s="0" t="n">
        <f aca="false">(L_I5!AP14-L_S1!AP14)*C24</f>
        <v>3148519.45316085</v>
      </c>
      <c r="G24" s="0" t="n">
        <f aca="false">(L_I5!AQ14-L_S1!AQ14)*C24</f>
        <v>10285933.0174342</v>
      </c>
      <c r="H24" s="0" t="n">
        <f aca="false">(L_I5!AS14-L_S1!AS14)*C24</f>
        <v>-24176505.1402128</v>
      </c>
      <c r="I24" s="0" t="n">
        <f aca="false">I23+E24</f>
        <v>-315886354.501482</v>
      </c>
      <c r="J24" s="0" t="n">
        <f aca="false">J23+F24</f>
        <v>-228022362.215158</v>
      </c>
      <c r="K24" s="0" t="n">
        <f aca="false">K23+G24</f>
        <v>-202295526.183788</v>
      </c>
      <c r="L24" s="0" t="n">
        <f aca="false">MAX(L23,J24)</f>
        <v>-41880751.1516117</v>
      </c>
      <c r="M24" s="0" t="n">
        <f aca="false">IF(AND(B24&lt;x_H,J24&lt;=0,L23&gt;0),1,0)</f>
        <v>0</v>
      </c>
      <c r="N24" s="0" t="n">
        <f aca="false">IF(AND(B24&lt;x_H,I24&lt;=0,O23&gt;0),1,0)</f>
        <v>0</v>
      </c>
      <c r="O24" s="0" t="n">
        <f aca="false">MAX(O23,I24)</f>
        <v>-42278156.6512682</v>
      </c>
      <c r="P24" s="0" t="n">
        <f aca="false">(L_I5!V14-L_S1!V14)*D24</f>
        <v>-936.698195756142</v>
      </c>
    </row>
    <row r="25" customFormat="false" ht="15" hidden="false" customHeight="false" outlineLevel="0" collapsed="false">
      <c r="A25" s="0" t="n">
        <v>2038</v>
      </c>
      <c r="B25" s="0" t="n">
        <v>12</v>
      </c>
      <c r="C25" s="0" t="n">
        <f aca="false">IF(B25&lt;x_H,(1+x_dk)^(-B25),0)</f>
        <v>0.556837418177559</v>
      </c>
      <c r="D25" s="0" t="n">
        <f aca="false">IF(B25&lt;x_H,(1+x_de)^(-B25),0)</f>
        <v>0.661783298289129</v>
      </c>
      <c r="E25" s="0" t="n">
        <f aca="false">(L_I5!AO15-L_S1!AO15)*C25</f>
        <v>-9970159.26434083</v>
      </c>
      <c r="F25" s="0" t="n">
        <f aca="false">(L_I5!AP15-L_S1!AP15)*C25</f>
        <v>1494814.36815285</v>
      </c>
      <c r="G25" s="0" t="n">
        <f aca="false">(L_I5!AQ15-L_S1!AQ15)*C25</f>
        <v>6664327.65347141</v>
      </c>
      <c r="H25" s="0" t="n">
        <f aca="false">(L_I5!AS15-L_S1!AS15)*C25</f>
        <v>-23025242.9906789</v>
      </c>
      <c r="I25" s="0" t="n">
        <f aca="false">I24+E25</f>
        <v>-325856513.765823</v>
      </c>
      <c r="J25" s="0" t="n">
        <f aca="false">J24+F25</f>
        <v>-226527547.847005</v>
      </c>
      <c r="K25" s="0" t="n">
        <f aca="false">K24+G25</f>
        <v>-195631198.530317</v>
      </c>
      <c r="L25" s="0" t="n">
        <f aca="false">MAX(L24,J25)</f>
        <v>-41880751.1516117</v>
      </c>
      <c r="M25" s="0" t="n">
        <f aca="false">IF(AND(B25&lt;x_H,J25&lt;=0,L24&gt;0),1,0)</f>
        <v>0</v>
      </c>
      <c r="N25" s="0" t="n">
        <f aca="false">IF(AND(B25&lt;x_H,I25&lt;=0,O24&gt;0),1,0)</f>
        <v>0</v>
      </c>
      <c r="O25" s="0" t="n">
        <f aca="false">MAX(O24,I25)</f>
        <v>-42278156.6512682</v>
      </c>
      <c r="P25" s="0" t="n">
        <f aca="false">(L_I5!V15-L_S1!V15)*D25</f>
        <v>-1006.66901705931</v>
      </c>
    </row>
    <row r="26" customFormat="false" ht="15" hidden="false" customHeight="false" outlineLevel="0" collapsed="false">
      <c r="A26" s="0" t="n">
        <v>2039</v>
      </c>
      <c r="B26" s="0" t="n">
        <v>13</v>
      </c>
      <c r="C26" s="0" t="n">
        <f aca="false">IF(B26&lt;x_H,(1+x_dk)^(-B26),0)</f>
        <v>0.530321350645295</v>
      </c>
      <c r="D26" s="0" t="n">
        <f aca="false">IF(B26&lt;x_H,(1+x_de)^(-B26),0)</f>
        <v>0.639404152936357</v>
      </c>
      <c r="E26" s="0" t="n">
        <f aca="false">(L_I5!AO16-L_S1!AO16)*C26</f>
        <v>-8106627.70957003</v>
      </c>
      <c r="F26" s="0" t="n">
        <f aca="false">(L_I5!AP16-L_S1!AP16)*C26</f>
        <v>-584175.920916263</v>
      </c>
      <c r="G26" s="0" t="n">
        <f aca="false">(L_I5!AQ16-L_S1!AQ16)*C26</f>
        <v>2316818.47785342</v>
      </c>
      <c r="H26" s="0" t="n">
        <f aca="false">(L_I5!AS16-L_S1!AS16)*C26</f>
        <v>-21928802.8482656</v>
      </c>
      <c r="I26" s="0" t="n">
        <f aca="false">I25+E26</f>
        <v>-333963141.475393</v>
      </c>
      <c r="J26" s="0" t="n">
        <f aca="false">J25+F26</f>
        <v>-227111723.767921</v>
      </c>
      <c r="K26" s="0" t="n">
        <f aca="false">K25+G26</f>
        <v>-193314380.052463</v>
      </c>
      <c r="L26" s="0" t="n">
        <f aca="false">MAX(L25,J26)</f>
        <v>-41880751.1516117</v>
      </c>
      <c r="M26" s="0" t="n">
        <f aca="false">IF(AND(B26&lt;x_H,J26&lt;=0,L25&gt;0),1,0)</f>
        <v>0</v>
      </c>
      <c r="N26" s="0" t="n">
        <f aca="false">IF(AND(B26&lt;x_H,I26&lt;=0,O25&gt;0),1,0)</f>
        <v>0</v>
      </c>
      <c r="O26" s="0" t="n">
        <f aca="false">MAX(O25,I26)</f>
        <v>-42278156.6512682</v>
      </c>
      <c r="P26" s="0" t="n">
        <f aca="false">(L_I5!V16-L_S1!V16)*D26</f>
        <v>-1074.25396569023</v>
      </c>
    </row>
    <row r="27" customFormat="false" ht="15" hidden="false" customHeight="false" outlineLevel="0" collapsed="false">
      <c r="A27" s="0" t="n">
        <v>2040</v>
      </c>
      <c r="B27" s="0" t="n">
        <v>14</v>
      </c>
      <c r="C27" s="0" t="n">
        <f aca="false">IF(B27&lt;x_H,(1+x_dk)^(-B27),0)</f>
        <v>0.505067952995519</v>
      </c>
      <c r="D27" s="0" t="n">
        <f aca="false">IF(B27&lt;x_H,(1+x_de)^(-B27),0)</f>
        <v>0.617781790276673</v>
      </c>
      <c r="E27" s="0" t="n">
        <f aca="false">(L_I5!AO17-L_S1!AO17)*C27</f>
        <v>-6421121.02728824</v>
      </c>
      <c r="F27" s="0" t="n">
        <f aca="false">(L_I5!AP17-L_S1!AP17)*C27</f>
        <v>1757771.54010921</v>
      </c>
      <c r="G27" s="0" t="n">
        <f aca="false">(L_I5!AQ17-L_S1!AQ17)*C27</f>
        <v>5243851.48470263</v>
      </c>
      <c r="H27" s="0" t="n">
        <f aca="false">(L_I5!AS17-L_S1!AS17)*C27</f>
        <v>-20884574.1412053</v>
      </c>
      <c r="I27" s="0" t="n">
        <f aca="false">I26+E27</f>
        <v>-340384262.502681</v>
      </c>
      <c r="J27" s="0" t="n">
        <f aca="false">J26+F27</f>
        <v>-225353952.227812</v>
      </c>
      <c r="K27" s="0" t="n">
        <f aca="false">K26+G27</f>
        <v>-188070528.567761</v>
      </c>
      <c r="L27" s="0" t="n">
        <f aca="false">MAX(L26,J27)</f>
        <v>-41880751.1516117</v>
      </c>
      <c r="M27" s="0" t="n">
        <f aca="false">IF(AND(B27&lt;x_H,J27&lt;=0,L26&gt;0),1,0)</f>
        <v>0</v>
      </c>
      <c r="N27" s="0" t="n">
        <f aca="false">IF(AND(B27&lt;x_H,I27&lt;=0,O26&gt;0),1,0)</f>
        <v>0</v>
      </c>
      <c r="O27" s="0" t="n">
        <f aca="false">MAX(O26,I27)</f>
        <v>-42278156.6512682</v>
      </c>
      <c r="P27" s="0" t="n">
        <f aca="false">(L_I5!V17-L_S1!V17)*D27</f>
        <v>-1139.01355345996</v>
      </c>
    </row>
    <row r="28" customFormat="false" ht="15" hidden="false" customHeight="false" outlineLevel="0" collapsed="false">
      <c r="A28" s="0" t="n">
        <v>2041</v>
      </c>
      <c r="B28" s="0" t="n">
        <v>15</v>
      </c>
      <c r="C28" s="0" t="n">
        <f aca="false">IF(B28&lt;x_H,(1+x_dk)^(-B28),0)</f>
        <v>0.48101709809097</v>
      </c>
      <c r="D28" s="0" t="n">
        <f aca="false">IF(B28&lt;x_H,(1+x_de)^(-B28),0)</f>
        <v>0.596890618624805</v>
      </c>
      <c r="E28" s="0" t="n">
        <f aca="false">(L_I5!AO18-L_S1!AO18)*C28</f>
        <v>-4915178.4467774</v>
      </c>
      <c r="F28" s="0" t="n">
        <f aca="false">(L_I5!AP18-L_S1!AP18)*C28</f>
        <v>3932396.34255212</v>
      </c>
      <c r="G28" s="0" t="n">
        <f aca="false">(L_I5!AQ18-L_S1!AQ18)*C28</f>
        <v>8052851.78323854</v>
      </c>
      <c r="H28" s="0" t="n">
        <f aca="false">(L_I5!AS18-L_S1!AS18)*C28</f>
        <v>-19890070.6106717</v>
      </c>
      <c r="I28" s="0" t="n">
        <f aca="false">I27+E28</f>
        <v>-345299440.949459</v>
      </c>
      <c r="J28" s="0" t="n">
        <f aca="false">J27+F28</f>
        <v>-221421555.88526</v>
      </c>
      <c r="K28" s="0" t="n">
        <f aca="false">K27+G28</f>
        <v>-180017676.784522</v>
      </c>
      <c r="L28" s="0" t="n">
        <f aca="false">MAX(L27,J28)</f>
        <v>-41880751.1516117</v>
      </c>
      <c r="M28" s="0" t="n">
        <f aca="false">IF(AND(B28&lt;x_H,J28&lt;=0,L27&gt;0),1,0)</f>
        <v>0</v>
      </c>
      <c r="N28" s="0" t="n">
        <f aca="false">IF(AND(B28&lt;x_H,I28&lt;=0,O27&gt;0),1,0)</f>
        <v>0</v>
      </c>
      <c r="O28" s="0" t="n">
        <f aca="false">MAX(O27,I28)</f>
        <v>-42278156.6512682</v>
      </c>
      <c r="P28" s="0" t="n">
        <f aca="false">(L_I5!V18-L_S1!V18)*D28</f>
        <v>-1200.61802239534</v>
      </c>
    </row>
    <row r="29" customFormat="false" ht="15" hidden="false" customHeight="false" outlineLevel="0" collapsed="false">
      <c r="A29" s="0" t="n">
        <v>2042</v>
      </c>
      <c r="B29" s="0" t="n">
        <v>16</v>
      </c>
      <c r="C29" s="0" t="n">
        <f aca="false">IF(B29&lt;x_H,(1+x_dk)^(-B29),0)</f>
        <v>0.4581115219914</v>
      </c>
      <c r="D29" s="0" t="n">
        <f aca="false">IF(B29&lt;x_H,(1+x_de)^(-B29),0)</f>
        <v>0.576705911714788</v>
      </c>
      <c r="E29" s="0" t="n">
        <f aca="false">(L_I5!AO19-L_S1!AO19)*C29</f>
        <v>-3586746.81873153</v>
      </c>
      <c r="F29" s="0" t="n">
        <f aca="false">(L_I5!AP19-L_S1!AP19)*C29</f>
        <v>5943440.14560226</v>
      </c>
      <c r="G29" s="0" t="n">
        <f aca="false">(L_I5!AQ19-L_S1!AQ19)*C29</f>
        <v>10745778.1699098</v>
      </c>
      <c r="H29" s="0" t="n">
        <f aca="false">(L_I5!AS19-L_S1!AS19)*C29</f>
        <v>-18942924.3911159</v>
      </c>
      <c r="I29" s="0" t="n">
        <f aca="false">I28+E29</f>
        <v>-348886187.76819</v>
      </c>
      <c r="J29" s="0" t="n">
        <f aca="false">J28+F29</f>
        <v>-215478115.739658</v>
      </c>
      <c r="K29" s="0" t="n">
        <f aca="false">K28+G29</f>
        <v>-169271898.614612</v>
      </c>
      <c r="L29" s="0" t="n">
        <f aca="false">MAX(L28,J29)</f>
        <v>-41880751.1516117</v>
      </c>
      <c r="M29" s="0" t="n">
        <f aca="false">IF(AND(B29&lt;x_H,J29&lt;=0,L28&gt;0),1,0)</f>
        <v>0</v>
      </c>
      <c r="N29" s="0" t="n">
        <f aca="false">IF(AND(B29&lt;x_H,I29&lt;=0,O28&gt;0),1,0)</f>
        <v>0</v>
      </c>
      <c r="O29" s="0" t="n">
        <f aca="false">MAX(O28,I29)</f>
        <v>-42278156.6512682</v>
      </c>
      <c r="P29" s="0" t="n">
        <f aca="false">(L_I5!V19-L_S1!V19)*D29</f>
        <v>-1258.50090477998</v>
      </c>
    </row>
    <row r="30" customFormat="false" ht="15" hidden="false" customHeight="false" outlineLevel="0" collapsed="false">
      <c r="A30" s="0" t="n">
        <v>2043</v>
      </c>
      <c r="B30" s="0" t="n">
        <v>17</v>
      </c>
      <c r="C30" s="0" t="n">
        <f aca="false">IF(B30&lt;x_H,(1+x_dk)^(-B30),0)</f>
        <v>0.436296687610857</v>
      </c>
      <c r="D30" s="0" t="n">
        <f aca="false">IF(B30&lt;x_H,(1+x_de)^(-B30),0)</f>
        <v>0.557203779434577</v>
      </c>
      <c r="E30" s="0" t="n">
        <f aca="false">(L_I5!AO20-L_S1!AO20)*C30</f>
        <v>-2422994.3934388</v>
      </c>
      <c r="F30" s="0" t="n">
        <f aca="false">(L_I5!AP20-L_S1!AP20)*C30</f>
        <v>7805944.51479184</v>
      </c>
      <c r="G30" s="0" t="n">
        <f aca="false">(L_I5!AQ20-L_S1!AQ20)*C30</f>
        <v>13335662.1142461</v>
      </c>
      <c r="H30" s="0" t="n">
        <f aca="false">(L_I5!AS20-L_S1!AS20)*C30</f>
        <v>-18040880.3724914</v>
      </c>
      <c r="I30" s="0" t="n">
        <f aca="false">I29+E30</f>
        <v>-351309182.161629</v>
      </c>
      <c r="J30" s="0" t="n">
        <f aca="false">J29+F30</f>
        <v>-207672171.224866</v>
      </c>
      <c r="K30" s="0" t="n">
        <f aca="false">K29+G30</f>
        <v>-155936236.500366</v>
      </c>
      <c r="L30" s="0" t="n">
        <f aca="false">MAX(L29,J30)</f>
        <v>-41880751.1516117</v>
      </c>
      <c r="M30" s="0" t="n">
        <f aca="false">IF(AND(B30&lt;x_H,J30&lt;=0,L29&gt;0),1,0)</f>
        <v>0</v>
      </c>
      <c r="N30" s="0" t="n">
        <f aca="false">IF(AND(B30&lt;x_H,I30&lt;=0,O29&gt;0),1,0)</f>
        <v>0</v>
      </c>
      <c r="O30" s="0" t="n">
        <f aca="false">MAX(O29,I30)</f>
        <v>-42278156.6512682</v>
      </c>
      <c r="P30" s="0" t="n">
        <f aca="false">(L_I5!V20-L_S1!V20)*D30</f>
        <v>-1313.07020836986</v>
      </c>
    </row>
    <row r="31" customFormat="false" ht="15" hidden="false" customHeight="false" outlineLevel="0" collapsed="false">
      <c r="A31" s="0" t="n">
        <v>2044</v>
      </c>
      <c r="B31" s="0" t="n">
        <v>18</v>
      </c>
      <c r="C31" s="0" t="n">
        <f aca="false">IF(B31&lt;x_H,(1+x_dk)^(-B31),0)</f>
        <v>0.415520654867483</v>
      </c>
      <c r="D31" s="0" t="n">
        <f aca="false">IF(B31&lt;x_H,(1+x_de)^(-B31),0)</f>
        <v>0.538361139550316</v>
      </c>
      <c r="E31" s="0" t="n">
        <f aca="false">(L_I5!AO21-L_S1!AO21)*C31</f>
        <v>-1410015.8299685</v>
      </c>
      <c r="F31" s="0" t="n">
        <f aca="false">(L_I5!AP21-L_S1!AP21)*C31</f>
        <v>9536242.26919002</v>
      </c>
      <c r="G31" s="0" t="n">
        <f aca="false">(L_I5!AQ21-L_S1!AQ21)*C31</f>
        <v>15836610.2518856</v>
      </c>
      <c r="H31" s="0" t="n">
        <f aca="false">(L_I5!AS21-L_S1!AS21)*C31</f>
        <v>-17181790.8309441</v>
      </c>
      <c r="I31" s="0" t="n">
        <f aca="false">I30+E31</f>
        <v>-352719197.991598</v>
      </c>
      <c r="J31" s="0" t="n">
        <f aca="false">J30+F31</f>
        <v>-198135928.955676</v>
      </c>
      <c r="K31" s="0" t="n">
        <f aca="false">K30+G31</f>
        <v>-140099626.24848</v>
      </c>
      <c r="L31" s="0" t="n">
        <f aca="false">MAX(L30,J31)</f>
        <v>-41880751.1516117</v>
      </c>
      <c r="M31" s="0" t="n">
        <f aca="false">IF(AND(B31&lt;x_H,J31&lt;=0,L30&gt;0),1,0)</f>
        <v>0</v>
      </c>
      <c r="N31" s="0" t="n">
        <f aca="false">IF(AND(B31&lt;x_H,I31&lt;=0,O30&gt;0),1,0)</f>
        <v>0</v>
      </c>
      <c r="O31" s="0" t="n">
        <f aca="false">MAX(O30,I31)</f>
        <v>-42278156.6512682</v>
      </c>
      <c r="P31" s="0" t="n">
        <f aca="false">(L_I5!V21-L_S1!V21)*D31</f>
        <v>-1364.66150442227</v>
      </c>
    </row>
    <row r="32" customFormat="false" ht="15" hidden="false" customHeight="false" outlineLevel="0" collapsed="false">
      <c r="A32" s="0" t="n">
        <v>2045</v>
      </c>
      <c r="B32" s="0" t="n">
        <v>19</v>
      </c>
      <c r="C32" s="0" t="n">
        <f aca="false">IF(B32&lt;x_H,(1+x_dk)^(-B32),0)</f>
        <v>0.39573395701665</v>
      </c>
      <c r="D32" s="0" t="n">
        <f aca="false">IF(B32&lt;x_H,(1+x_de)^(-B32),0)</f>
        <v>0.520155690386779</v>
      </c>
      <c r="E32" s="0" t="n">
        <f aca="false">(L_I5!AO22-L_S1!AO22)*C32</f>
        <v>-534514.608231471</v>
      </c>
      <c r="F32" s="0" t="n">
        <f aca="false">(L_I5!AP22-L_S1!AP22)*C32</f>
        <v>11149947.264007</v>
      </c>
      <c r="G32" s="0" t="n">
        <f aca="false">(L_I5!AQ22-L_S1!AQ22)*C32</f>
        <v>18261840.2517259</v>
      </c>
      <c r="H32" s="0" t="n">
        <f aca="false">(L_I5!AS22-L_S1!AS22)*C32</f>
        <v>-16363610.3151849</v>
      </c>
      <c r="I32" s="0" t="n">
        <f aca="false">I31+E32</f>
        <v>-353253712.599829</v>
      </c>
      <c r="J32" s="0" t="n">
        <f aca="false">J31+F32</f>
        <v>-186985981.691669</v>
      </c>
      <c r="K32" s="0" t="n">
        <f aca="false">K31+G32</f>
        <v>-121837785.996754</v>
      </c>
      <c r="L32" s="0" t="n">
        <f aca="false">MAX(L31,J32)</f>
        <v>-41880751.1516117</v>
      </c>
      <c r="M32" s="0" t="n">
        <f aca="false">IF(AND(B32&lt;x_H,J32&lt;=0,L31&gt;0),1,0)</f>
        <v>0</v>
      </c>
      <c r="N32" s="0" t="n">
        <f aca="false">IF(AND(B32&lt;x_H,I32&lt;=0,O31&gt;0),1,0)</f>
        <v>0</v>
      </c>
      <c r="O32" s="0" t="n">
        <f aca="false">MAX(O31,I32)</f>
        <v>-42278156.6512682</v>
      </c>
      <c r="P32" s="0" t="n">
        <f aca="false">(L_I5!V22-L_S1!V22)*D32</f>
        <v>-1412.91814755815</v>
      </c>
    </row>
    <row r="33" customFormat="false" ht="15" hidden="false" customHeight="false" outlineLevel="0" collapsed="false">
      <c r="A33" s="0" t="n">
        <v>2046</v>
      </c>
      <c r="B33" s="0" t="n">
        <v>20</v>
      </c>
      <c r="C33" s="0" t="n">
        <f aca="false">IF(B33&lt;x_H,(1+x_dk)^(-B33),0)</f>
        <v>0</v>
      </c>
      <c r="D33" s="0" t="n">
        <f aca="false">IF(B33&lt;x_H,(1+x_de)^(-B33),0)</f>
        <v>0</v>
      </c>
      <c r="E33" s="0" t="n">
        <f aca="false">(L_I5!AO23-L_S1!AO23)*C33</f>
        <v>0</v>
      </c>
      <c r="F33" s="0" t="n">
        <f aca="false">(L_I5!AP23-L_S1!AP23)*C33</f>
        <v>0</v>
      </c>
      <c r="G33" s="0" t="n">
        <f aca="false">(L_I5!AQ23-L_S1!AQ23)*C33</f>
        <v>0</v>
      </c>
      <c r="H33" s="0" t="n">
        <f aca="false">(L_I5!AS23-L_S1!AS23)*C33</f>
        <v>-0</v>
      </c>
      <c r="I33" s="0" t="n">
        <f aca="false">I32+E33</f>
        <v>-353253712.599829</v>
      </c>
      <c r="J33" s="0" t="n">
        <f aca="false">J32+F33</f>
        <v>-186985981.691669</v>
      </c>
      <c r="K33" s="0" t="n">
        <f aca="false">K32+G33</f>
        <v>-121837785.996754</v>
      </c>
      <c r="L33" s="0" t="n">
        <f aca="false">MAX(L32,J33)</f>
        <v>-41880751.1516117</v>
      </c>
      <c r="M33" s="0" t="n">
        <f aca="false">IF(AND(B33&lt;x_H,J33&lt;=0,L32&gt;0),1,0)</f>
        <v>0</v>
      </c>
      <c r="N33" s="0" t="n">
        <f aca="false">IF(AND(B33&lt;x_H,I33&lt;=0,O32&gt;0),1,0)</f>
        <v>0</v>
      </c>
      <c r="O33" s="0" t="n">
        <f aca="false">MAX(O32,I33)</f>
        <v>-42278156.6512682</v>
      </c>
      <c r="P33" s="0" t="n">
        <f aca="false">(L_I5!V23-L_S1!V23)*D33</f>
        <v>-0</v>
      </c>
    </row>
    <row r="34" customFormat="false" ht="15" hidden="false" customHeight="false" outlineLevel="0" collapsed="false">
      <c r="A34" s="0" t="n">
        <v>2047</v>
      </c>
      <c r="B34" s="0" t="n">
        <v>21</v>
      </c>
      <c r="C34" s="0" t="n">
        <f aca="false">IF(B34&lt;x_H,(1+x_dk)^(-B34),0)</f>
        <v>0</v>
      </c>
      <c r="D34" s="0" t="n">
        <f aca="false">IF(B34&lt;x_H,(1+x_de)^(-B34),0)</f>
        <v>0</v>
      </c>
      <c r="E34" s="0" t="n">
        <f aca="false">(L_I5!AO24-L_S1!AO24)*C34</f>
        <v>0</v>
      </c>
      <c r="F34" s="0" t="n">
        <f aca="false">(L_I5!AP24-L_S1!AP24)*C34</f>
        <v>0</v>
      </c>
      <c r="G34" s="0" t="n">
        <f aca="false">(L_I5!AQ24-L_S1!AQ24)*C34</f>
        <v>0</v>
      </c>
      <c r="H34" s="0" t="n">
        <f aca="false">(L_I5!AS24-L_S1!AS24)*C34</f>
        <v>-0</v>
      </c>
      <c r="I34" s="0" t="n">
        <f aca="false">I33+E34</f>
        <v>-353253712.599829</v>
      </c>
      <c r="J34" s="0" t="n">
        <f aca="false">J33+F34</f>
        <v>-186985981.691669</v>
      </c>
      <c r="K34" s="0" t="n">
        <f aca="false">K33+G34</f>
        <v>-121837785.996754</v>
      </c>
      <c r="L34" s="0" t="n">
        <f aca="false">MAX(L33,J34)</f>
        <v>-41880751.1516117</v>
      </c>
      <c r="M34" s="0" t="n">
        <f aca="false">IF(AND(B34&lt;x_H,J34&lt;=0,L33&gt;0),1,0)</f>
        <v>0</v>
      </c>
      <c r="N34" s="0" t="n">
        <f aca="false">IF(AND(B34&lt;x_H,I34&lt;=0,O33&gt;0),1,0)</f>
        <v>0</v>
      </c>
      <c r="O34" s="0" t="n">
        <f aca="false">MAX(O33,I34)</f>
        <v>-42278156.6512682</v>
      </c>
      <c r="P34" s="0" t="n">
        <f aca="false">(L_I5!V24-L_S1!V24)*D34</f>
        <v>-0</v>
      </c>
    </row>
    <row r="35" customFormat="false" ht="15" hidden="false" customHeight="false" outlineLevel="0" collapsed="false">
      <c r="A35" s="0" t="n">
        <v>2048</v>
      </c>
      <c r="B35" s="0" t="n">
        <v>22</v>
      </c>
      <c r="C35" s="0" t="n">
        <f aca="false">IF(B35&lt;x_H,(1+x_dk)^(-B35),0)</f>
        <v>0</v>
      </c>
      <c r="D35" s="0" t="n">
        <f aca="false">IF(B35&lt;x_H,(1+x_de)^(-B35),0)</f>
        <v>0</v>
      </c>
      <c r="E35" s="0" t="n">
        <f aca="false">(L_I5!AO25-L_S1!AO25)*C35</f>
        <v>0</v>
      </c>
      <c r="F35" s="0" t="n">
        <f aca="false">(L_I5!AP25-L_S1!AP25)*C35</f>
        <v>0</v>
      </c>
      <c r="G35" s="0" t="n">
        <f aca="false">(L_I5!AQ25-L_S1!AQ25)*C35</f>
        <v>0</v>
      </c>
      <c r="H35" s="0" t="n">
        <f aca="false">(L_I5!AS25-L_S1!AS25)*C35</f>
        <v>-0</v>
      </c>
      <c r="I35" s="0" t="n">
        <f aca="false">I34+E35</f>
        <v>-353253712.599829</v>
      </c>
      <c r="J35" s="0" t="n">
        <f aca="false">J34+F35</f>
        <v>-186985981.691669</v>
      </c>
      <c r="K35" s="0" t="n">
        <f aca="false">K34+G35</f>
        <v>-121837785.996754</v>
      </c>
      <c r="L35" s="0" t="n">
        <f aca="false">MAX(L34,J35)</f>
        <v>-41880751.1516117</v>
      </c>
      <c r="M35" s="0" t="n">
        <f aca="false">IF(AND(B35&lt;x_H,J35&lt;=0,L34&gt;0),1,0)</f>
        <v>0</v>
      </c>
      <c r="N35" s="0" t="n">
        <f aca="false">IF(AND(B35&lt;x_H,I35&lt;=0,O34&gt;0),1,0)</f>
        <v>0</v>
      </c>
      <c r="O35" s="0" t="n">
        <f aca="false">MAX(O34,I35)</f>
        <v>-42278156.6512682</v>
      </c>
      <c r="P35" s="0" t="n">
        <f aca="false">(L_I5!V25-L_S1!V25)*D35</f>
        <v>-0</v>
      </c>
    </row>
    <row r="36" customFormat="false" ht="15" hidden="false" customHeight="false" outlineLevel="0" collapsed="false">
      <c r="A36" s="0" t="n">
        <v>2049</v>
      </c>
      <c r="B36" s="0" t="n">
        <v>23</v>
      </c>
      <c r="C36" s="0" t="n">
        <f aca="false">IF(B36&lt;x_H,(1+x_dk)^(-B36),0)</f>
        <v>0</v>
      </c>
      <c r="D36" s="0" t="n">
        <f aca="false">IF(B36&lt;x_H,(1+x_de)^(-B36),0)</f>
        <v>0</v>
      </c>
      <c r="E36" s="0" t="n">
        <f aca="false">(L_I5!AO26-L_S1!AO26)*C36</f>
        <v>0</v>
      </c>
      <c r="F36" s="0" t="n">
        <f aca="false">(L_I5!AP26-L_S1!AP26)*C36</f>
        <v>0</v>
      </c>
      <c r="G36" s="0" t="n">
        <f aca="false">(L_I5!AQ26-L_S1!AQ26)*C36</f>
        <v>0</v>
      </c>
      <c r="H36" s="0" t="n">
        <f aca="false">(L_I5!AS26-L_S1!AS26)*C36</f>
        <v>-0</v>
      </c>
      <c r="I36" s="0" t="n">
        <f aca="false">I35+E36</f>
        <v>-353253712.599829</v>
      </c>
      <c r="J36" s="0" t="n">
        <f aca="false">J35+F36</f>
        <v>-186985981.691669</v>
      </c>
      <c r="K36" s="0" t="n">
        <f aca="false">K35+G36</f>
        <v>-121837785.996754</v>
      </c>
      <c r="L36" s="0" t="n">
        <f aca="false">MAX(L35,J36)</f>
        <v>-41880751.1516117</v>
      </c>
      <c r="M36" s="0" t="n">
        <f aca="false">IF(AND(B36&lt;x_H,J36&lt;=0,L35&gt;0),1,0)</f>
        <v>0</v>
      </c>
      <c r="N36" s="0" t="n">
        <f aca="false">IF(AND(B36&lt;x_H,I36&lt;=0,O35&gt;0),1,0)</f>
        <v>0</v>
      </c>
      <c r="O36" s="0" t="n">
        <f aca="false">MAX(O35,I36)</f>
        <v>-42278156.6512682</v>
      </c>
      <c r="P36" s="0" t="n">
        <f aca="false">(L_I5!V26-L_S1!V26)*D36</f>
        <v>-0</v>
      </c>
    </row>
    <row r="37" customFormat="false" ht="15" hidden="false" customHeight="false" outlineLevel="0" collapsed="false">
      <c r="A37" s="0" t="n">
        <v>2050</v>
      </c>
      <c r="B37" s="0" t="n">
        <v>24</v>
      </c>
      <c r="C37" s="0" t="n">
        <f aca="false">IF(B37&lt;x_H,(1+x_dk)^(-B37),0)</f>
        <v>0</v>
      </c>
      <c r="D37" s="0" t="n">
        <f aca="false">IF(B37&lt;x_H,(1+x_de)^(-B37),0)</f>
        <v>0</v>
      </c>
      <c r="E37" s="0" t="n">
        <f aca="false">(L_I5!AO27-L_S1!AO27)*C37</f>
        <v>0</v>
      </c>
      <c r="F37" s="0" t="n">
        <f aca="false">(L_I5!AP27-L_S1!AP27)*C37</f>
        <v>0</v>
      </c>
      <c r="G37" s="0" t="n">
        <f aca="false">(L_I5!AQ27-L_S1!AQ27)*C37</f>
        <v>0</v>
      </c>
      <c r="H37" s="0" t="n">
        <f aca="false">(L_I5!AS27-L_S1!AS27)*C37</f>
        <v>-0</v>
      </c>
      <c r="I37" s="0" t="n">
        <f aca="false">I36+E37</f>
        <v>-353253712.599829</v>
      </c>
      <c r="J37" s="0" t="n">
        <f aca="false">J36+F37</f>
        <v>-186985981.691669</v>
      </c>
      <c r="K37" s="0" t="n">
        <f aca="false">K36+G37</f>
        <v>-121837785.996754</v>
      </c>
      <c r="L37" s="0" t="n">
        <f aca="false">MAX(L36,J37)</f>
        <v>-41880751.1516117</v>
      </c>
      <c r="M37" s="0" t="n">
        <f aca="false">IF(AND(B37&lt;x_H,J37&lt;=0,L36&gt;0),1,0)</f>
        <v>0</v>
      </c>
      <c r="N37" s="0" t="n">
        <f aca="false">IF(AND(B37&lt;x_H,I37&lt;=0,O36&gt;0),1,0)</f>
        <v>0</v>
      </c>
      <c r="O37" s="0" t="n">
        <f aca="false">MAX(O36,I37)</f>
        <v>-42278156.6512682</v>
      </c>
      <c r="P37" s="0" t="n">
        <f aca="false">(L_I5!V27-L_S1!V27)*D37</f>
        <v>-0</v>
      </c>
    </row>
    <row r="38" customFormat="false" ht="15" hidden="false" customHeight="false" outlineLevel="0" collapsed="false">
      <c r="A38" s="0" t="n">
        <v>2051</v>
      </c>
      <c r="B38" s="0" t="n">
        <v>25</v>
      </c>
      <c r="C38" s="0" t="n">
        <f aca="false">IF(B38&lt;x_H,(1+x_dk)^(-B38),0)</f>
        <v>0</v>
      </c>
      <c r="D38" s="0" t="n">
        <f aca="false">IF(B38&lt;x_H,(1+x_de)^(-B38),0)</f>
        <v>0</v>
      </c>
      <c r="E38" s="0" t="n">
        <f aca="false">(L_I5!AO28-L_S1!AO28)*C38</f>
        <v>0</v>
      </c>
      <c r="F38" s="0" t="n">
        <f aca="false">(L_I5!AP28-L_S1!AP28)*C38</f>
        <v>0</v>
      </c>
      <c r="G38" s="0" t="n">
        <f aca="false">(L_I5!AQ28-L_S1!AQ28)*C38</f>
        <v>0</v>
      </c>
      <c r="H38" s="0" t="n">
        <f aca="false">(L_I5!AS28-L_S1!AS28)*C38</f>
        <v>-0</v>
      </c>
      <c r="I38" s="0" t="n">
        <f aca="false">I37+E38</f>
        <v>-353253712.599829</v>
      </c>
      <c r="J38" s="0" t="n">
        <f aca="false">J37+F38</f>
        <v>-186985981.691669</v>
      </c>
      <c r="K38" s="0" t="n">
        <f aca="false">K37+G38</f>
        <v>-121837785.996754</v>
      </c>
      <c r="L38" s="0" t="n">
        <f aca="false">MAX(L37,J38)</f>
        <v>-41880751.1516117</v>
      </c>
      <c r="M38" s="0" t="n">
        <f aca="false">IF(AND(B38&lt;x_H,J38&lt;=0,L37&gt;0),1,0)</f>
        <v>0</v>
      </c>
      <c r="N38" s="0" t="n">
        <f aca="false">IF(AND(B38&lt;x_H,I38&lt;=0,O37&gt;0),1,0)</f>
        <v>0</v>
      </c>
      <c r="O38" s="0" t="n">
        <f aca="false">MAX(O37,I38)</f>
        <v>-42278156.6512682</v>
      </c>
      <c r="P38" s="0" t="n">
        <f aca="false">(L_I5!V28-L_S1!V28)*D38</f>
        <v>-0</v>
      </c>
    </row>
    <row r="39" customFormat="false" ht="15" hidden="false" customHeight="false" outlineLevel="0" collapsed="false">
      <c r="A39" s="0" t="n">
        <v>2052</v>
      </c>
      <c r="B39" s="0" t="n">
        <v>26</v>
      </c>
      <c r="C39" s="0" t="n">
        <f aca="false">IF(B39&lt;x_H,(1+x_dk)^(-B39),0)</f>
        <v>0</v>
      </c>
      <c r="D39" s="0" t="n">
        <f aca="false">IF(B39&lt;x_H,(1+x_de)^(-B39),0)</f>
        <v>0</v>
      </c>
      <c r="E39" s="0" t="n">
        <f aca="false">(L_I5!AO29-L_S1!AO29)*C39</f>
        <v>0</v>
      </c>
      <c r="F39" s="0" t="n">
        <f aca="false">(L_I5!AP29-L_S1!AP29)*C39</f>
        <v>0</v>
      </c>
      <c r="G39" s="0" t="n">
        <f aca="false">(L_I5!AQ29-L_S1!AQ29)*C39</f>
        <v>0</v>
      </c>
      <c r="H39" s="0" t="n">
        <f aca="false">(L_I5!AS29-L_S1!AS29)*C39</f>
        <v>-0</v>
      </c>
      <c r="I39" s="0" t="n">
        <f aca="false">I38+E39</f>
        <v>-353253712.599829</v>
      </c>
      <c r="J39" s="0" t="n">
        <f aca="false">J38+F39</f>
        <v>-186985981.691669</v>
      </c>
      <c r="K39" s="0" t="n">
        <f aca="false">K38+G39</f>
        <v>-121837785.996754</v>
      </c>
      <c r="L39" s="0" t="n">
        <f aca="false">MAX(L38,J39)</f>
        <v>-41880751.1516117</v>
      </c>
      <c r="M39" s="0" t="n">
        <f aca="false">IF(AND(B39&lt;x_H,J39&lt;=0,L38&gt;0),1,0)</f>
        <v>0</v>
      </c>
      <c r="N39" s="0" t="n">
        <f aca="false">IF(AND(B39&lt;x_H,I39&lt;=0,O38&gt;0),1,0)</f>
        <v>0</v>
      </c>
      <c r="O39" s="0" t="n">
        <f aca="false">MAX(O38,I39)</f>
        <v>-42278156.6512682</v>
      </c>
      <c r="P39" s="0" t="n">
        <f aca="false">(L_I5!V29-L_S1!V29)*D39</f>
        <v>-0</v>
      </c>
    </row>
    <row r="40" customFormat="false" ht="15" hidden="false" customHeight="false" outlineLevel="0" collapsed="false">
      <c r="A40" s="0" t="n">
        <v>2053</v>
      </c>
      <c r="B40" s="0" t="n">
        <v>27</v>
      </c>
      <c r="C40" s="0" t="n">
        <f aca="false">IF(B40&lt;x_H,(1+x_dk)^(-B40),0)</f>
        <v>0</v>
      </c>
      <c r="D40" s="0" t="n">
        <f aca="false">IF(B40&lt;x_H,(1+x_de)^(-B40),0)</f>
        <v>0</v>
      </c>
      <c r="E40" s="0" t="n">
        <f aca="false">(L_I5!AO30-L_S1!AO30)*C40</f>
        <v>0</v>
      </c>
      <c r="F40" s="0" t="n">
        <f aca="false">(L_I5!AP30-L_S1!AP30)*C40</f>
        <v>0</v>
      </c>
      <c r="G40" s="0" t="n">
        <f aca="false">(L_I5!AQ30-L_S1!AQ30)*C40</f>
        <v>0</v>
      </c>
      <c r="H40" s="0" t="n">
        <f aca="false">(L_I5!AS30-L_S1!AS30)*C40</f>
        <v>-0</v>
      </c>
      <c r="I40" s="0" t="n">
        <f aca="false">I39+E40</f>
        <v>-353253712.599829</v>
      </c>
      <c r="J40" s="0" t="n">
        <f aca="false">J39+F40</f>
        <v>-186985981.691669</v>
      </c>
      <c r="K40" s="0" t="n">
        <f aca="false">K39+G40</f>
        <v>-121837785.996754</v>
      </c>
      <c r="L40" s="0" t="n">
        <f aca="false">MAX(L39,J40)</f>
        <v>-41880751.1516117</v>
      </c>
      <c r="M40" s="0" t="n">
        <f aca="false">IF(AND(B40&lt;x_H,J40&lt;=0,L39&gt;0),1,0)</f>
        <v>0</v>
      </c>
      <c r="N40" s="0" t="n">
        <f aca="false">IF(AND(B40&lt;x_H,I40&lt;=0,O39&gt;0),1,0)</f>
        <v>0</v>
      </c>
      <c r="O40" s="0" t="n">
        <f aca="false">MAX(O39,I40)</f>
        <v>-42278156.6512682</v>
      </c>
      <c r="P40" s="0" t="n">
        <f aca="false">(L_I5!V30-L_S1!V30)*D40</f>
        <v>-0</v>
      </c>
    </row>
    <row r="41" customFormat="false" ht="15" hidden="false" customHeight="false" outlineLevel="0" collapsed="false">
      <c r="A41" s="0" t="n">
        <v>2054</v>
      </c>
      <c r="B41" s="0" t="n">
        <v>28</v>
      </c>
      <c r="C41" s="0" t="n">
        <f aca="false">IF(B41&lt;x_H,(1+x_dk)^(-B41),0)</f>
        <v>0</v>
      </c>
      <c r="D41" s="0" t="n">
        <f aca="false">IF(B41&lt;x_H,(1+x_de)^(-B41),0)</f>
        <v>0</v>
      </c>
      <c r="E41" s="0" t="n">
        <f aca="false">(L_I5!AO31-L_S1!AO31)*C41</f>
        <v>0</v>
      </c>
      <c r="F41" s="0" t="n">
        <f aca="false">(L_I5!AP31-L_S1!AP31)*C41</f>
        <v>0</v>
      </c>
      <c r="G41" s="0" t="n">
        <f aca="false">(L_I5!AQ31-L_S1!AQ31)*C41</f>
        <v>0</v>
      </c>
      <c r="H41" s="0" t="n">
        <f aca="false">(L_I5!AS31-L_S1!AS31)*C41</f>
        <v>-0</v>
      </c>
      <c r="I41" s="0" t="n">
        <f aca="false">I40+E41</f>
        <v>-353253712.599829</v>
      </c>
      <c r="J41" s="0" t="n">
        <f aca="false">J40+F41</f>
        <v>-186985981.691669</v>
      </c>
      <c r="K41" s="0" t="n">
        <f aca="false">K40+G41</f>
        <v>-121837785.996754</v>
      </c>
      <c r="L41" s="0" t="n">
        <f aca="false">MAX(L40,J41)</f>
        <v>-41880751.1516117</v>
      </c>
      <c r="M41" s="0" t="n">
        <f aca="false">IF(AND(B41&lt;x_H,J41&lt;=0,L40&gt;0),1,0)</f>
        <v>0</v>
      </c>
      <c r="N41" s="0" t="n">
        <f aca="false">IF(AND(B41&lt;x_H,I41&lt;=0,O40&gt;0),1,0)</f>
        <v>0</v>
      </c>
      <c r="O41" s="0" t="n">
        <f aca="false">MAX(O40,I41)</f>
        <v>-42278156.6512682</v>
      </c>
      <c r="P41" s="0" t="n">
        <f aca="false">(L_I5!V31-L_S1!V31)*D41</f>
        <v>-0</v>
      </c>
    </row>
    <row r="42" customFormat="false" ht="15" hidden="false" customHeight="false" outlineLevel="0" collapsed="false">
      <c r="A42" s="0" t="n">
        <v>2055</v>
      </c>
      <c r="B42" s="0" t="n">
        <v>29</v>
      </c>
      <c r="C42" s="0" t="n">
        <f aca="false">IF(B42&lt;x_H,(1+x_dk)^(-B42),0)</f>
        <v>0</v>
      </c>
      <c r="D42" s="0" t="n">
        <f aca="false">IF(B42&lt;x_H,(1+x_de)^(-B42),0)</f>
        <v>0</v>
      </c>
      <c r="E42" s="0" t="n">
        <f aca="false">(L_I5!AO32-L_S1!AO32)*C42</f>
        <v>0</v>
      </c>
      <c r="F42" s="0" t="n">
        <f aca="false">(L_I5!AP32-L_S1!AP32)*C42</f>
        <v>0</v>
      </c>
      <c r="G42" s="0" t="n">
        <f aca="false">(L_I5!AQ32-L_S1!AQ32)*C42</f>
        <v>0</v>
      </c>
      <c r="H42" s="0" t="n">
        <f aca="false">(L_I5!AS32-L_S1!AS32)*C42</f>
        <v>-0</v>
      </c>
      <c r="I42" s="0" t="n">
        <f aca="false">I41+E42</f>
        <v>-353253712.599829</v>
      </c>
      <c r="J42" s="0" t="n">
        <f aca="false">J41+F42</f>
        <v>-186985981.691669</v>
      </c>
      <c r="K42" s="0" t="n">
        <f aca="false">K41+G42</f>
        <v>-121837785.996754</v>
      </c>
      <c r="L42" s="0" t="n">
        <f aca="false">MAX(L41,J42)</f>
        <v>-41880751.1516117</v>
      </c>
      <c r="M42" s="0" t="n">
        <f aca="false">IF(AND(B42&lt;x_H,J42&lt;=0,L41&gt;0),1,0)</f>
        <v>0</v>
      </c>
      <c r="N42" s="0" t="n">
        <f aca="false">IF(AND(B42&lt;x_H,I42&lt;=0,O41&gt;0),1,0)</f>
        <v>0</v>
      </c>
      <c r="O42" s="0" t="n">
        <f aca="false">MAX(O41,I42)</f>
        <v>-42278156.6512682</v>
      </c>
      <c r="P42" s="0" t="n">
        <f aca="false">(L_I5!V32-L_S1!V32)*D42</f>
        <v>-0</v>
      </c>
    </row>
    <row r="43" customFormat="false" ht="15" hidden="false" customHeight="false" outlineLevel="0" collapsed="false">
      <c r="A43" s="0" t="n">
        <v>2056</v>
      </c>
      <c r="B43" s="0" t="n">
        <v>30</v>
      </c>
      <c r="C43" s="0" t="n">
        <f aca="false">IF(B43&lt;x_H,(1+x_dk)^(-B43),0)</f>
        <v>0</v>
      </c>
      <c r="D43" s="0" t="n">
        <f aca="false">IF(B43&lt;x_H,(1+x_de)^(-B43),0)</f>
        <v>0</v>
      </c>
      <c r="E43" s="0" t="n">
        <f aca="false">(L_I5!AO33-L_S1!AO33)*C43</f>
        <v>0</v>
      </c>
      <c r="F43" s="0" t="n">
        <f aca="false">(L_I5!AP33-L_S1!AP33)*C43</f>
        <v>0</v>
      </c>
      <c r="G43" s="0" t="n">
        <f aca="false">(L_I5!AQ33-L_S1!AQ33)*C43</f>
        <v>0</v>
      </c>
      <c r="H43" s="0" t="n">
        <f aca="false">(L_I5!AS33-L_S1!AS33)*C43</f>
        <v>-0</v>
      </c>
      <c r="I43" s="0" t="n">
        <f aca="false">I42+E43</f>
        <v>-353253712.599829</v>
      </c>
      <c r="J43" s="0" t="n">
        <f aca="false">J42+F43</f>
        <v>-186985981.691669</v>
      </c>
      <c r="K43" s="0" t="n">
        <f aca="false">K42+G43</f>
        <v>-121837785.996754</v>
      </c>
      <c r="L43" s="0" t="n">
        <f aca="false">MAX(L42,J43)</f>
        <v>-41880751.1516117</v>
      </c>
      <c r="M43" s="0" t="n">
        <f aca="false">IF(AND(B43&lt;x_H,J43&lt;=0,L42&gt;0),1,0)</f>
        <v>0</v>
      </c>
      <c r="N43" s="0" t="n">
        <f aca="false">IF(AND(B43&lt;x_H,I43&lt;=0,O42&gt;0),1,0)</f>
        <v>0</v>
      </c>
      <c r="O43" s="0" t="n">
        <f aca="false">MAX(O42,I43)</f>
        <v>-42278156.6512682</v>
      </c>
      <c r="P43" s="0" t="n">
        <f aca="false">(L_I5!V33-L_S1!V33)*D43</f>
        <v>-0</v>
      </c>
    </row>
    <row r="44" customFormat="false" ht="15" hidden="false" customHeight="false" outlineLevel="0" collapsed="false">
      <c r="A44" s="0" t="n">
        <v>2057</v>
      </c>
      <c r="B44" s="0" t="n">
        <v>31</v>
      </c>
      <c r="C44" s="0" t="n">
        <f aca="false">IF(B44&lt;x_H,(1+x_dk)^(-B44),0)</f>
        <v>0</v>
      </c>
      <c r="D44" s="0" t="n">
        <f aca="false">IF(B44&lt;x_H,(1+x_de)^(-B44),0)</f>
        <v>0</v>
      </c>
      <c r="E44" s="0" t="n">
        <f aca="false">(L_I5!AO34-L_S1!AO34)*C44</f>
        <v>0</v>
      </c>
      <c r="F44" s="0" t="n">
        <f aca="false">(L_I5!AP34-L_S1!AP34)*C44</f>
        <v>0</v>
      </c>
      <c r="G44" s="0" t="n">
        <f aca="false">(L_I5!AQ34-L_S1!AQ34)*C44</f>
        <v>0</v>
      </c>
      <c r="H44" s="0" t="n">
        <f aca="false">(L_I5!AS34-L_S1!AS34)*C44</f>
        <v>-0</v>
      </c>
      <c r="I44" s="0" t="n">
        <f aca="false">I43+E44</f>
        <v>-353253712.599829</v>
      </c>
      <c r="J44" s="0" t="n">
        <f aca="false">J43+F44</f>
        <v>-186985981.691669</v>
      </c>
      <c r="K44" s="0" t="n">
        <f aca="false">K43+G44</f>
        <v>-121837785.996754</v>
      </c>
      <c r="L44" s="0" t="n">
        <f aca="false">MAX(L43,J44)</f>
        <v>-41880751.1516117</v>
      </c>
      <c r="M44" s="0" t="n">
        <f aca="false">IF(AND(B44&lt;x_H,J44&lt;=0,L43&gt;0),1,0)</f>
        <v>0</v>
      </c>
      <c r="N44" s="0" t="n">
        <f aca="false">IF(AND(B44&lt;x_H,I44&lt;=0,O43&gt;0),1,0)</f>
        <v>0</v>
      </c>
      <c r="O44" s="0" t="n">
        <f aca="false">MAX(O43,I44)</f>
        <v>-42278156.6512682</v>
      </c>
      <c r="P44" s="0" t="n">
        <f aca="false">(L_I5!V34-L_S1!V34)*D44</f>
        <v>-0</v>
      </c>
    </row>
    <row r="45" customFormat="false" ht="15" hidden="false" customHeight="false" outlineLevel="0" collapsed="false">
      <c r="A45" s="0" t="n">
        <v>2058</v>
      </c>
      <c r="B45" s="0" t="n">
        <v>32</v>
      </c>
      <c r="C45" s="0" t="n">
        <f aca="false">IF(B45&lt;x_H,(1+x_dk)^(-B45),0)</f>
        <v>0</v>
      </c>
      <c r="D45" s="0" t="n">
        <f aca="false">IF(B45&lt;x_H,(1+x_de)^(-B45),0)</f>
        <v>0</v>
      </c>
      <c r="E45" s="0" t="n">
        <f aca="false">(L_I5!AO35-L_S1!AO35)*C45</f>
        <v>0</v>
      </c>
      <c r="F45" s="0" t="n">
        <f aca="false">(L_I5!AP35-L_S1!AP35)*C45</f>
        <v>0</v>
      </c>
      <c r="G45" s="0" t="n">
        <f aca="false">(L_I5!AQ35-L_S1!AQ35)*C45</f>
        <v>0</v>
      </c>
      <c r="H45" s="0" t="n">
        <f aca="false">(L_I5!AS35-L_S1!AS35)*C45</f>
        <v>-0</v>
      </c>
      <c r="I45" s="0" t="n">
        <f aca="false">I44+E45</f>
        <v>-353253712.599829</v>
      </c>
      <c r="J45" s="0" t="n">
        <f aca="false">J44+F45</f>
        <v>-186985981.691669</v>
      </c>
      <c r="K45" s="0" t="n">
        <f aca="false">K44+G45</f>
        <v>-121837785.996754</v>
      </c>
      <c r="L45" s="0" t="n">
        <f aca="false">MAX(L44,J45)</f>
        <v>-41880751.1516117</v>
      </c>
      <c r="M45" s="0" t="n">
        <f aca="false">IF(AND(B45&lt;x_H,J45&lt;=0,L44&gt;0),1,0)</f>
        <v>0</v>
      </c>
      <c r="N45" s="0" t="n">
        <f aca="false">IF(AND(B45&lt;x_H,I45&lt;=0,O44&gt;0),1,0)</f>
        <v>0</v>
      </c>
      <c r="O45" s="0" t="n">
        <f aca="false">MAX(O44,I45)</f>
        <v>-42278156.6512682</v>
      </c>
      <c r="P45" s="0" t="n">
        <f aca="false">(L_I5!V35-L_S1!V35)*D45</f>
        <v>-0</v>
      </c>
    </row>
    <row r="46" customFormat="false" ht="15" hidden="false" customHeight="false" outlineLevel="0" collapsed="false">
      <c r="A46" s="0" t="n">
        <v>2059</v>
      </c>
      <c r="B46" s="0" t="n">
        <v>33</v>
      </c>
      <c r="C46" s="0" t="n">
        <f aca="false">IF(B46&lt;x_H,(1+x_dk)^(-B46),0)</f>
        <v>0</v>
      </c>
      <c r="D46" s="0" t="n">
        <f aca="false">IF(B46&lt;x_H,(1+x_de)^(-B46),0)</f>
        <v>0</v>
      </c>
      <c r="E46" s="0" t="n">
        <f aca="false">(L_I5!AO36-L_S1!AO36)*C46</f>
        <v>0</v>
      </c>
      <c r="F46" s="0" t="n">
        <f aca="false">(L_I5!AP36-L_S1!AP36)*C46</f>
        <v>0</v>
      </c>
      <c r="G46" s="0" t="n">
        <f aca="false">(L_I5!AQ36-L_S1!AQ36)*C46</f>
        <v>0</v>
      </c>
      <c r="H46" s="0" t="n">
        <f aca="false">(L_I5!AS36-L_S1!AS36)*C46</f>
        <v>-0</v>
      </c>
      <c r="I46" s="0" t="n">
        <f aca="false">I45+E46</f>
        <v>-353253712.599829</v>
      </c>
      <c r="J46" s="0" t="n">
        <f aca="false">J45+F46</f>
        <v>-186985981.691669</v>
      </c>
      <c r="K46" s="0" t="n">
        <f aca="false">K45+G46</f>
        <v>-121837785.996754</v>
      </c>
      <c r="L46" s="0" t="n">
        <f aca="false">MAX(L45,J46)</f>
        <v>-41880751.1516117</v>
      </c>
      <c r="M46" s="0" t="n">
        <f aca="false">IF(AND(B46&lt;x_H,J46&lt;=0,L45&gt;0),1,0)</f>
        <v>0</v>
      </c>
      <c r="N46" s="0" t="n">
        <f aca="false">IF(AND(B46&lt;x_H,I46&lt;=0,O45&gt;0),1,0)</f>
        <v>0</v>
      </c>
      <c r="O46" s="0" t="n">
        <f aca="false">MAX(O45,I46)</f>
        <v>-42278156.6512682</v>
      </c>
      <c r="P46" s="0" t="n">
        <f aca="false">(L_I5!V36-L_S1!V36)*D46</f>
        <v>-0</v>
      </c>
    </row>
    <row r="47" customFormat="false" ht="15" hidden="false" customHeight="false" outlineLevel="0" collapsed="false">
      <c r="A47" s="0" t="n">
        <v>2060</v>
      </c>
      <c r="B47" s="0" t="n">
        <v>34</v>
      </c>
      <c r="C47" s="0" t="n">
        <f aca="false">IF(B47&lt;x_H,(1+x_dk)^(-B47),0)</f>
        <v>0</v>
      </c>
      <c r="D47" s="0" t="n">
        <f aca="false">IF(B47&lt;x_H,(1+x_de)^(-B47),0)</f>
        <v>0</v>
      </c>
      <c r="E47" s="0" t="n">
        <f aca="false">(L_I5!AO37-L_S1!AO37)*C47</f>
        <v>0</v>
      </c>
      <c r="F47" s="0" t="n">
        <f aca="false">(L_I5!AP37-L_S1!AP37)*C47</f>
        <v>0</v>
      </c>
      <c r="G47" s="0" t="n">
        <f aca="false">(L_I5!AQ37-L_S1!AQ37)*C47</f>
        <v>0</v>
      </c>
      <c r="H47" s="0" t="n">
        <f aca="false">(L_I5!AS37-L_S1!AS37)*C47</f>
        <v>-0</v>
      </c>
      <c r="I47" s="0" t="n">
        <f aca="false">I46+E47</f>
        <v>-353253712.599829</v>
      </c>
      <c r="J47" s="0" t="n">
        <f aca="false">J46+F47</f>
        <v>-186985981.691669</v>
      </c>
      <c r="K47" s="0" t="n">
        <f aca="false">K46+G47</f>
        <v>-121837785.996754</v>
      </c>
      <c r="L47" s="0" t="n">
        <f aca="false">MAX(L46,J47)</f>
        <v>-41880751.1516117</v>
      </c>
      <c r="M47" s="0" t="n">
        <f aca="false">IF(AND(B47&lt;x_H,J47&lt;=0,L46&gt;0),1,0)</f>
        <v>0</v>
      </c>
      <c r="N47" s="0" t="n">
        <f aca="false">IF(AND(B47&lt;x_H,I47&lt;=0,O46&gt;0),1,0)</f>
        <v>0</v>
      </c>
      <c r="O47" s="0" t="n">
        <f aca="false">MAX(O46,I47)</f>
        <v>-42278156.6512682</v>
      </c>
      <c r="P47" s="0" t="n">
        <f aca="false">(L_I5!V37-L_S1!V37)*D47</f>
        <v>-0</v>
      </c>
    </row>
    <row r="48" customFormat="false" ht="15" hidden="false" customHeight="false" outlineLevel="0" collapsed="false">
      <c r="A48" s="0" t="n">
        <v>2061</v>
      </c>
      <c r="B48" s="0" t="n">
        <v>35</v>
      </c>
      <c r="C48" s="0" t="n">
        <f aca="false">IF(B48&lt;x_H,(1+x_dk)^(-B48),0)</f>
        <v>0</v>
      </c>
      <c r="D48" s="0" t="n">
        <f aca="false">IF(B48&lt;x_H,(1+x_de)^(-B48),0)</f>
        <v>0</v>
      </c>
      <c r="E48" s="0" t="n">
        <f aca="false">(L_I5!AO38-L_S1!AO38)*C48</f>
        <v>0</v>
      </c>
      <c r="F48" s="0" t="n">
        <f aca="false">(L_I5!AP38-L_S1!AP38)*C48</f>
        <v>0</v>
      </c>
      <c r="G48" s="0" t="n">
        <f aca="false">(L_I5!AQ38-L_S1!AQ38)*C48</f>
        <v>0</v>
      </c>
      <c r="H48" s="0" t="n">
        <f aca="false">(L_I5!AS38-L_S1!AS38)*C48</f>
        <v>-0</v>
      </c>
      <c r="I48" s="0" t="n">
        <f aca="false">I47+E48</f>
        <v>-353253712.599829</v>
      </c>
      <c r="J48" s="0" t="n">
        <f aca="false">J47+F48</f>
        <v>-186985981.691669</v>
      </c>
      <c r="K48" s="0" t="n">
        <f aca="false">K47+G48</f>
        <v>-121837785.996754</v>
      </c>
      <c r="L48" s="0" t="n">
        <f aca="false">MAX(L47,J48)</f>
        <v>-41880751.1516117</v>
      </c>
      <c r="M48" s="0" t="n">
        <f aca="false">IF(AND(B48&lt;x_H,J48&lt;=0,L47&gt;0),1,0)</f>
        <v>0</v>
      </c>
      <c r="N48" s="0" t="n">
        <f aca="false">IF(AND(B48&lt;x_H,I48&lt;=0,O47&gt;0),1,0)</f>
        <v>0</v>
      </c>
      <c r="O48" s="0" t="n">
        <f aca="false">MAX(O47,I48)</f>
        <v>-42278156.6512682</v>
      </c>
      <c r="P48" s="0" t="n">
        <f aca="false">(L_I5!V38-L_S1!V38)*D48</f>
        <v>-0</v>
      </c>
    </row>
    <row r="49" customFormat="false" ht="15" hidden="false" customHeight="false" outlineLevel="0" collapsed="false">
      <c r="A49" s="0" t="n">
        <v>2062</v>
      </c>
      <c r="B49" s="0" t="n">
        <v>36</v>
      </c>
      <c r="C49" s="0" t="n">
        <f aca="false">IF(B49&lt;x_H,(1+x_dk)^(-B49),0)</f>
        <v>0</v>
      </c>
      <c r="D49" s="0" t="n">
        <f aca="false">IF(B49&lt;x_H,(1+x_de)^(-B49),0)</f>
        <v>0</v>
      </c>
      <c r="E49" s="0" t="n">
        <f aca="false">(L_I5!AO39-L_S1!AO39)*C49</f>
        <v>0</v>
      </c>
      <c r="F49" s="0" t="n">
        <f aca="false">(L_I5!AP39-L_S1!AP39)*C49</f>
        <v>0</v>
      </c>
      <c r="G49" s="0" t="n">
        <f aca="false">(L_I5!AQ39-L_S1!AQ39)*C49</f>
        <v>0</v>
      </c>
      <c r="H49" s="0" t="n">
        <f aca="false">(L_I5!AS39-L_S1!AS39)*C49</f>
        <v>-0</v>
      </c>
      <c r="I49" s="0" t="n">
        <f aca="false">I48+E49</f>
        <v>-353253712.599829</v>
      </c>
      <c r="J49" s="0" t="n">
        <f aca="false">J48+F49</f>
        <v>-186985981.691669</v>
      </c>
      <c r="K49" s="0" t="n">
        <f aca="false">K48+G49</f>
        <v>-121837785.996754</v>
      </c>
      <c r="L49" s="0" t="n">
        <f aca="false">MAX(L48,J49)</f>
        <v>-41880751.1516117</v>
      </c>
      <c r="M49" s="0" t="n">
        <f aca="false">IF(AND(B49&lt;x_H,J49&lt;=0,L48&gt;0),1,0)</f>
        <v>0</v>
      </c>
      <c r="N49" s="0" t="n">
        <f aca="false">IF(AND(B49&lt;x_H,I49&lt;=0,O48&gt;0),1,0)</f>
        <v>0</v>
      </c>
      <c r="O49" s="0" t="n">
        <f aca="false">MAX(O48,I49)</f>
        <v>-42278156.6512682</v>
      </c>
      <c r="P49" s="0" t="n">
        <f aca="false">(L_I5!V39-L_S1!V39)*D49</f>
        <v>-0</v>
      </c>
    </row>
    <row r="50" customFormat="false" ht="15" hidden="false" customHeight="false" outlineLevel="0" collapsed="false">
      <c r="A50" s="0" t="n">
        <v>2063</v>
      </c>
      <c r="B50" s="0" t="n">
        <v>37</v>
      </c>
      <c r="C50" s="0" t="n">
        <f aca="false">IF(B50&lt;x_H,(1+x_dk)^(-B50),0)</f>
        <v>0</v>
      </c>
      <c r="D50" s="0" t="n">
        <f aca="false">IF(B50&lt;x_H,(1+x_de)^(-B50),0)</f>
        <v>0</v>
      </c>
      <c r="E50" s="0" t="n">
        <f aca="false">(L_I5!AO40-L_S1!AO40)*C50</f>
        <v>0</v>
      </c>
      <c r="F50" s="0" t="n">
        <f aca="false">(L_I5!AP40-L_S1!AP40)*C50</f>
        <v>0</v>
      </c>
      <c r="G50" s="0" t="n">
        <f aca="false">(L_I5!AQ40-L_S1!AQ40)*C50</f>
        <v>0</v>
      </c>
      <c r="H50" s="0" t="n">
        <f aca="false">(L_I5!AS40-L_S1!AS40)*C50</f>
        <v>-0</v>
      </c>
      <c r="I50" s="0" t="n">
        <f aca="false">I49+E50</f>
        <v>-353253712.599829</v>
      </c>
      <c r="J50" s="0" t="n">
        <f aca="false">J49+F50</f>
        <v>-186985981.691669</v>
      </c>
      <c r="K50" s="0" t="n">
        <f aca="false">K49+G50</f>
        <v>-121837785.996754</v>
      </c>
      <c r="L50" s="0" t="n">
        <f aca="false">MAX(L49,J50)</f>
        <v>-41880751.1516117</v>
      </c>
      <c r="M50" s="0" t="n">
        <f aca="false">IF(AND(B50&lt;x_H,J50&lt;=0,L49&gt;0),1,0)</f>
        <v>0</v>
      </c>
      <c r="N50" s="0" t="n">
        <f aca="false">IF(AND(B50&lt;x_H,I50&lt;=0,O49&gt;0),1,0)</f>
        <v>0</v>
      </c>
      <c r="O50" s="0" t="n">
        <f aca="false">MAX(O49,I50)</f>
        <v>-42278156.6512682</v>
      </c>
      <c r="P50" s="0" t="n">
        <f aca="false">(L_I5!V40-L_S1!V40)*D50</f>
        <v>-0</v>
      </c>
    </row>
    <row r="51" customFormat="false" ht="15" hidden="false" customHeight="false" outlineLevel="0" collapsed="false">
      <c r="A51" s="0" t="n">
        <v>2064</v>
      </c>
      <c r="B51" s="0" t="n">
        <v>38</v>
      </c>
      <c r="C51" s="0" t="n">
        <f aca="false">IF(B51&lt;x_H,(1+x_dk)^(-B51),0)</f>
        <v>0</v>
      </c>
      <c r="D51" s="0" t="n">
        <f aca="false">IF(B51&lt;x_H,(1+x_de)^(-B51),0)</f>
        <v>0</v>
      </c>
      <c r="E51" s="0" t="n">
        <f aca="false">(L_I5!AO41-L_S1!AO41)*C51</f>
        <v>0</v>
      </c>
      <c r="F51" s="0" t="n">
        <f aca="false">(L_I5!AP41-L_S1!AP41)*C51</f>
        <v>0</v>
      </c>
      <c r="G51" s="0" t="n">
        <f aca="false">(L_I5!AQ41-L_S1!AQ41)*C51</f>
        <v>0</v>
      </c>
      <c r="H51" s="0" t="n">
        <f aca="false">(L_I5!AS41-L_S1!AS41)*C51</f>
        <v>-0</v>
      </c>
      <c r="I51" s="0" t="n">
        <f aca="false">I50+E51</f>
        <v>-353253712.599829</v>
      </c>
      <c r="J51" s="0" t="n">
        <f aca="false">J50+F51</f>
        <v>-186985981.691669</v>
      </c>
      <c r="K51" s="0" t="n">
        <f aca="false">K50+G51</f>
        <v>-121837785.996754</v>
      </c>
      <c r="L51" s="0" t="n">
        <f aca="false">MAX(L50,J51)</f>
        <v>-41880751.1516117</v>
      </c>
      <c r="M51" s="0" t="n">
        <f aca="false">IF(AND(B51&lt;x_H,J51&lt;=0,L50&gt;0),1,0)</f>
        <v>0</v>
      </c>
      <c r="N51" s="0" t="n">
        <f aca="false">IF(AND(B51&lt;x_H,I51&lt;=0,O50&gt;0),1,0)</f>
        <v>0</v>
      </c>
      <c r="O51" s="0" t="n">
        <f aca="false">MAX(O50,I51)</f>
        <v>-42278156.6512682</v>
      </c>
      <c r="P51" s="0" t="n">
        <f aca="false">(L_I5!V41-L_S1!V41)*D51</f>
        <v>-0</v>
      </c>
    </row>
    <row r="52" customFormat="false" ht="15" hidden="false" customHeight="false" outlineLevel="0" collapsed="false">
      <c r="A52" s="0" t="n">
        <v>2065</v>
      </c>
      <c r="B52" s="0" t="n">
        <v>39</v>
      </c>
      <c r="C52" s="0" t="n">
        <f aca="false">IF(B52&lt;x_H,(1+x_dk)^(-B52),0)</f>
        <v>0</v>
      </c>
      <c r="D52" s="0" t="n">
        <f aca="false">IF(B52&lt;x_H,(1+x_de)^(-B52),0)</f>
        <v>0</v>
      </c>
      <c r="E52" s="0" t="n">
        <f aca="false">(L_I5!AO42-L_S1!AO42)*C52</f>
        <v>0</v>
      </c>
      <c r="F52" s="0" t="n">
        <f aca="false">(L_I5!AP42-L_S1!AP42)*C52</f>
        <v>0</v>
      </c>
      <c r="G52" s="0" t="n">
        <f aca="false">(L_I5!AQ42-L_S1!AQ42)*C52</f>
        <v>0</v>
      </c>
      <c r="H52" s="0" t="n">
        <f aca="false">(L_I5!AS42-L_S1!AS42)*C52</f>
        <v>-0</v>
      </c>
      <c r="I52" s="0" t="n">
        <f aca="false">I51+E52</f>
        <v>-353253712.599829</v>
      </c>
      <c r="J52" s="0" t="n">
        <f aca="false">J51+F52</f>
        <v>-186985981.691669</v>
      </c>
      <c r="K52" s="0" t="n">
        <f aca="false">K51+G52</f>
        <v>-121837785.996754</v>
      </c>
      <c r="L52" s="0" t="n">
        <f aca="false">MAX(L51,J52)</f>
        <v>-41880751.1516117</v>
      </c>
      <c r="M52" s="0" t="n">
        <f aca="false">IF(AND(B52&lt;x_H,J52&lt;=0,L51&gt;0),1,0)</f>
        <v>0</v>
      </c>
      <c r="N52" s="0" t="n">
        <f aca="false">IF(AND(B52&lt;x_H,I52&lt;=0,O51&gt;0),1,0)</f>
        <v>0</v>
      </c>
      <c r="O52" s="0" t="n">
        <f aca="false">MAX(O51,I52)</f>
        <v>-42278156.6512682</v>
      </c>
      <c r="P52" s="0" t="n">
        <f aca="false">(L_I5!V42-L_S1!V42)*D52</f>
        <v>-0</v>
      </c>
    </row>
    <row r="53" customFormat="false" ht="15" hidden="false" customHeight="false" outlineLevel="0" collapsed="false">
      <c r="A53" s="0" t="n">
        <v>2066</v>
      </c>
      <c r="B53" s="0" t="n">
        <v>40</v>
      </c>
      <c r="C53" s="0" t="n">
        <f aca="false">IF(B53&lt;x_H,(1+x_dk)^(-B53),0)</f>
        <v>0</v>
      </c>
      <c r="D53" s="0" t="n">
        <f aca="false">IF(B53&lt;x_H,(1+x_de)^(-B53),0)</f>
        <v>0</v>
      </c>
      <c r="E53" s="0" t="n">
        <f aca="false">(L_I5!AO43-L_S1!AO43)*C53</f>
        <v>0</v>
      </c>
      <c r="F53" s="0" t="n">
        <f aca="false">(L_I5!AP43-L_S1!AP43)*C53</f>
        <v>0</v>
      </c>
      <c r="G53" s="0" t="n">
        <f aca="false">(L_I5!AQ43-L_S1!AQ43)*C53</f>
        <v>0</v>
      </c>
      <c r="H53" s="0" t="n">
        <f aca="false">(L_I5!AS43-L_S1!AS43)*C53</f>
        <v>-0</v>
      </c>
      <c r="I53" s="0" t="n">
        <f aca="false">I52+E53</f>
        <v>-353253712.599829</v>
      </c>
      <c r="J53" s="0" t="n">
        <f aca="false">J52+F53</f>
        <v>-186985981.691669</v>
      </c>
      <c r="K53" s="0" t="n">
        <f aca="false">K52+G53</f>
        <v>-121837785.996754</v>
      </c>
      <c r="L53" s="0" t="n">
        <f aca="false">MAX(L52,J53)</f>
        <v>-41880751.1516117</v>
      </c>
      <c r="M53" s="0" t="n">
        <f aca="false">IF(AND(B53&lt;x_H,J53&lt;=0,L52&gt;0),1,0)</f>
        <v>0</v>
      </c>
      <c r="N53" s="0" t="n">
        <f aca="false">IF(AND(B53&lt;x_H,I53&lt;=0,O52&gt;0),1,0)</f>
        <v>0</v>
      </c>
      <c r="O53" s="0" t="n">
        <f aca="false">MAX(O52,I53)</f>
        <v>-42278156.6512682</v>
      </c>
      <c r="P53" s="0" t="n">
        <f aca="false">(L_I5!V43-L_S1!V43)*D53</f>
        <v>-0</v>
      </c>
    </row>
    <row r="54" customFormat="false" ht="15" hidden="false" customHeight="false" outlineLevel="0" collapsed="false">
      <c r="A54" s="0" t="n">
        <v>2067</v>
      </c>
      <c r="B54" s="0" t="n">
        <v>41</v>
      </c>
      <c r="C54" s="0" t="n">
        <f aca="false">IF(B54&lt;x_H,(1+x_dk)^(-B54),0)</f>
        <v>0</v>
      </c>
      <c r="D54" s="0" t="n">
        <f aca="false">IF(B54&lt;x_H,(1+x_de)^(-B54),0)</f>
        <v>0</v>
      </c>
      <c r="E54" s="0" t="n">
        <f aca="false">(L_I5!AO44-L_S1!AO44)*C54</f>
        <v>0</v>
      </c>
      <c r="F54" s="0" t="n">
        <f aca="false">(L_I5!AP44-L_S1!AP44)*C54</f>
        <v>0</v>
      </c>
      <c r="G54" s="0" t="n">
        <f aca="false">(L_I5!AQ44-L_S1!AQ44)*C54</f>
        <v>0</v>
      </c>
      <c r="H54" s="0" t="n">
        <f aca="false">(L_I5!AS44-L_S1!AS44)*C54</f>
        <v>-0</v>
      </c>
      <c r="I54" s="0" t="n">
        <f aca="false">I53+E54</f>
        <v>-353253712.599829</v>
      </c>
      <c r="J54" s="0" t="n">
        <f aca="false">J53+F54</f>
        <v>-186985981.691669</v>
      </c>
      <c r="K54" s="0" t="n">
        <f aca="false">K53+G54</f>
        <v>-121837785.996754</v>
      </c>
      <c r="L54" s="0" t="n">
        <f aca="false">MAX(L53,J54)</f>
        <v>-41880751.1516117</v>
      </c>
      <c r="M54" s="0" t="n">
        <f aca="false">IF(AND(B54&lt;x_H,J54&lt;=0,L53&gt;0),1,0)</f>
        <v>0</v>
      </c>
      <c r="N54" s="0" t="n">
        <f aca="false">IF(AND(B54&lt;x_H,I54&lt;=0,O53&gt;0),1,0)</f>
        <v>0</v>
      </c>
      <c r="O54" s="0" t="n">
        <f aca="false">MAX(O53,I54)</f>
        <v>-42278156.6512682</v>
      </c>
      <c r="P54" s="0" t="n">
        <f aca="false">(L_I5!V44-L_S1!V44)*D54</f>
        <v>-0</v>
      </c>
    </row>
    <row r="55" customFormat="false" ht="15" hidden="false" customHeight="false" outlineLevel="0" collapsed="false">
      <c r="A55" s="0" t="n">
        <v>2068</v>
      </c>
      <c r="B55" s="0" t="n">
        <v>42</v>
      </c>
      <c r="C55" s="0" t="n">
        <f aca="false">IF(B55&lt;x_H,(1+x_dk)^(-B55),0)</f>
        <v>0</v>
      </c>
      <c r="D55" s="0" t="n">
        <f aca="false">IF(B55&lt;x_H,(1+x_de)^(-B55),0)</f>
        <v>0</v>
      </c>
      <c r="E55" s="0" t="n">
        <f aca="false">(L_I5!AO45-L_S1!AO45)*C55</f>
        <v>0</v>
      </c>
      <c r="F55" s="0" t="n">
        <f aca="false">(L_I5!AP45-L_S1!AP45)*C55</f>
        <v>0</v>
      </c>
      <c r="G55" s="0" t="n">
        <f aca="false">(L_I5!AQ45-L_S1!AQ45)*C55</f>
        <v>0</v>
      </c>
      <c r="H55" s="0" t="n">
        <f aca="false">(L_I5!AS45-L_S1!AS45)*C55</f>
        <v>-0</v>
      </c>
      <c r="I55" s="0" t="n">
        <f aca="false">I54+E55</f>
        <v>-353253712.599829</v>
      </c>
      <c r="J55" s="0" t="n">
        <f aca="false">J54+F55</f>
        <v>-186985981.691669</v>
      </c>
      <c r="K55" s="0" t="n">
        <f aca="false">K54+G55</f>
        <v>-121837785.996754</v>
      </c>
      <c r="L55" s="0" t="n">
        <f aca="false">MAX(L54,J55)</f>
        <v>-41880751.1516117</v>
      </c>
      <c r="M55" s="0" t="n">
        <f aca="false">IF(AND(B55&lt;x_H,J55&lt;=0,L54&gt;0),1,0)</f>
        <v>0</v>
      </c>
      <c r="N55" s="0" t="n">
        <f aca="false">IF(AND(B55&lt;x_H,I55&lt;=0,O54&gt;0),1,0)</f>
        <v>0</v>
      </c>
      <c r="O55" s="0" t="n">
        <f aca="false">MAX(O54,I55)</f>
        <v>-42278156.6512682</v>
      </c>
      <c r="P55" s="0" t="n">
        <f aca="false">(L_I5!V45-L_S1!V45)*D55</f>
        <v>-0</v>
      </c>
    </row>
    <row r="56" customFormat="false" ht="15" hidden="false" customHeight="false" outlineLevel="0" collapsed="false">
      <c r="A56" s="0" t="n">
        <v>2069</v>
      </c>
      <c r="B56" s="0" t="n">
        <v>43</v>
      </c>
      <c r="C56" s="0" t="n">
        <f aca="false">IF(B56&lt;x_H,(1+x_dk)^(-B56),0)</f>
        <v>0</v>
      </c>
      <c r="D56" s="0" t="n">
        <f aca="false">IF(B56&lt;x_H,(1+x_de)^(-B56),0)</f>
        <v>0</v>
      </c>
      <c r="E56" s="0" t="n">
        <f aca="false">(L_I5!AO46-L_S1!AO46)*C56</f>
        <v>0</v>
      </c>
      <c r="F56" s="0" t="n">
        <f aca="false">(L_I5!AP46-L_S1!AP46)*C56</f>
        <v>0</v>
      </c>
      <c r="G56" s="0" t="n">
        <f aca="false">(L_I5!AQ46-L_S1!AQ46)*C56</f>
        <v>0</v>
      </c>
      <c r="H56" s="0" t="n">
        <f aca="false">(L_I5!AS46-L_S1!AS46)*C56</f>
        <v>-0</v>
      </c>
      <c r="I56" s="0" t="n">
        <f aca="false">I55+E56</f>
        <v>-353253712.599829</v>
      </c>
      <c r="J56" s="0" t="n">
        <f aca="false">J55+F56</f>
        <v>-186985981.691669</v>
      </c>
      <c r="K56" s="0" t="n">
        <f aca="false">K55+G56</f>
        <v>-121837785.996754</v>
      </c>
      <c r="L56" s="0" t="n">
        <f aca="false">MAX(L55,J56)</f>
        <v>-41880751.1516117</v>
      </c>
      <c r="M56" s="0" t="n">
        <f aca="false">IF(AND(B56&lt;x_H,J56&lt;=0,L55&gt;0),1,0)</f>
        <v>0</v>
      </c>
      <c r="N56" s="0" t="n">
        <f aca="false">IF(AND(B56&lt;x_H,I56&lt;=0,O55&gt;0),1,0)</f>
        <v>0</v>
      </c>
      <c r="O56" s="0" t="n">
        <f aca="false">MAX(O55,I56)</f>
        <v>-42278156.6512682</v>
      </c>
      <c r="P56" s="0" t="n">
        <f aca="false">(L_I5!V46-L_S1!V46)*D56</f>
        <v>-0</v>
      </c>
    </row>
    <row r="57" customFormat="false" ht="15" hidden="false" customHeight="false" outlineLevel="0" collapsed="false">
      <c r="A57" s="0" t="n">
        <v>2070</v>
      </c>
      <c r="B57" s="0" t="n">
        <v>44</v>
      </c>
      <c r="C57" s="0" t="n">
        <f aca="false">IF(B57&lt;x_H,(1+x_dk)^(-B57),0)</f>
        <v>0</v>
      </c>
      <c r="D57" s="0" t="n">
        <f aca="false">IF(B57&lt;x_H,(1+x_de)^(-B57),0)</f>
        <v>0</v>
      </c>
      <c r="E57" s="0" t="n">
        <f aca="false">(L_I5!AO47-L_S1!AO47)*C57</f>
        <v>0</v>
      </c>
      <c r="F57" s="0" t="n">
        <f aca="false">(L_I5!AP47-L_S1!AP47)*C57</f>
        <v>0</v>
      </c>
      <c r="G57" s="0" t="n">
        <f aca="false">(L_I5!AQ47-L_S1!AQ47)*C57</f>
        <v>0</v>
      </c>
      <c r="H57" s="0" t="n">
        <f aca="false">(L_I5!AS47-L_S1!AS47)*C57</f>
        <v>-0</v>
      </c>
      <c r="I57" s="0" t="n">
        <f aca="false">I56+E57</f>
        <v>-353253712.599829</v>
      </c>
      <c r="J57" s="0" t="n">
        <f aca="false">J56+F57</f>
        <v>-186985981.691669</v>
      </c>
      <c r="K57" s="0" t="n">
        <f aca="false">K56+G57</f>
        <v>-121837785.996754</v>
      </c>
      <c r="L57" s="0" t="n">
        <f aca="false">MAX(L56,J57)</f>
        <v>-41880751.1516117</v>
      </c>
      <c r="M57" s="0" t="n">
        <f aca="false">IF(AND(B57&lt;x_H,J57&lt;=0,L56&gt;0),1,0)</f>
        <v>0</v>
      </c>
      <c r="N57" s="0" t="n">
        <f aca="false">IF(AND(B57&lt;x_H,I57&lt;=0,O56&gt;0),1,0)</f>
        <v>0</v>
      </c>
      <c r="O57" s="0" t="n">
        <f aca="false">MAX(O56,I57)</f>
        <v>-42278156.6512682</v>
      </c>
      <c r="P57" s="0" t="n">
        <f aca="false">(L_I5!V47-L_S1!V47)*D57</f>
        <v>-0</v>
      </c>
    </row>
    <row r="58" customFormat="false" ht="15" hidden="false" customHeight="false" outlineLevel="0" collapsed="false">
      <c r="A58" s="0" t="n">
        <v>2071</v>
      </c>
      <c r="B58" s="0" t="n">
        <v>45</v>
      </c>
      <c r="C58" s="0" t="n">
        <f aca="false">IF(B58&lt;x_H,(1+x_dk)^(-B58),0)</f>
        <v>0</v>
      </c>
      <c r="D58" s="0" t="n">
        <f aca="false">IF(B58&lt;x_H,(1+x_de)^(-B58),0)</f>
        <v>0</v>
      </c>
      <c r="E58" s="0" t="n">
        <f aca="false">(L_I5!AO48-L_S1!AO48)*C58</f>
        <v>0</v>
      </c>
      <c r="F58" s="0" t="n">
        <f aca="false">(L_I5!AP48-L_S1!AP48)*C58</f>
        <v>0</v>
      </c>
      <c r="G58" s="0" t="n">
        <f aca="false">(L_I5!AQ48-L_S1!AQ48)*C58</f>
        <v>0</v>
      </c>
      <c r="H58" s="0" t="n">
        <f aca="false">(L_I5!AS48-L_S1!AS48)*C58</f>
        <v>-0</v>
      </c>
      <c r="I58" s="0" t="n">
        <f aca="false">I57+E58</f>
        <v>-353253712.599829</v>
      </c>
      <c r="J58" s="0" t="n">
        <f aca="false">J57+F58</f>
        <v>-186985981.691669</v>
      </c>
      <c r="K58" s="0" t="n">
        <f aca="false">K57+G58</f>
        <v>-121837785.996754</v>
      </c>
      <c r="L58" s="0" t="n">
        <f aca="false">MAX(L57,J58)</f>
        <v>-41880751.1516117</v>
      </c>
      <c r="M58" s="0" t="n">
        <f aca="false">IF(AND(B58&lt;x_H,J58&lt;=0,L57&gt;0),1,0)</f>
        <v>0</v>
      </c>
      <c r="N58" s="0" t="n">
        <f aca="false">IF(AND(B58&lt;x_H,I58&lt;=0,O57&gt;0),1,0)</f>
        <v>0</v>
      </c>
      <c r="O58" s="0" t="n">
        <f aca="false">MAX(O57,I58)</f>
        <v>-42278156.6512682</v>
      </c>
      <c r="P58" s="0" t="n">
        <f aca="false">(L_I5!V48-L_S1!V48)*D58</f>
        <v>-0</v>
      </c>
    </row>
    <row r="59" customFormat="false" ht="15" hidden="false" customHeight="false" outlineLevel="0" collapsed="false">
      <c r="A59" s="0" t="n">
        <v>2072</v>
      </c>
      <c r="B59" s="0" t="n">
        <v>46</v>
      </c>
      <c r="C59" s="0" t="n">
        <f aca="false">IF(B59&lt;x_H,(1+x_dk)^(-B59),0)</f>
        <v>0</v>
      </c>
      <c r="D59" s="0" t="n">
        <f aca="false">IF(B59&lt;x_H,(1+x_de)^(-B59),0)</f>
        <v>0</v>
      </c>
      <c r="E59" s="0" t="n">
        <f aca="false">(L_I5!AO49-L_S1!AO49)*C59</f>
        <v>0</v>
      </c>
      <c r="F59" s="0" t="n">
        <f aca="false">(L_I5!AP49-L_S1!AP49)*C59</f>
        <v>0</v>
      </c>
      <c r="G59" s="0" t="n">
        <f aca="false">(L_I5!AQ49-L_S1!AQ49)*C59</f>
        <v>0</v>
      </c>
      <c r="H59" s="0" t="n">
        <f aca="false">(L_I5!AS49-L_S1!AS49)*C59</f>
        <v>-0</v>
      </c>
      <c r="I59" s="0" t="n">
        <f aca="false">I58+E59</f>
        <v>-353253712.599829</v>
      </c>
      <c r="J59" s="0" t="n">
        <f aca="false">J58+F59</f>
        <v>-186985981.691669</v>
      </c>
      <c r="K59" s="0" t="n">
        <f aca="false">K58+G59</f>
        <v>-121837785.996754</v>
      </c>
      <c r="L59" s="0" t="n">
        <f aca="false">MAX(L58,J59)</f>
        <v>-41880751.1516117</v>
      </c>
      <c r="M59" s="0" t="n">
        <f aca="false">IF(AND(B59&lt;x_H,J59&lt;=0,L58&gt;0),1,0)</f>
        <v>0</v>
      </c>
      <c r="N59" s="0" t="n">
        <f aca="false">IF(AND(B59&lt;x_H,I59&lt;=0,O58&gt;0),1,0)</f>
        <v>0</v>
      </c>
      <c r="O59" s="0" t="n">
        <f aca="false">MAX(O58,I59)</f>
        <v>-42278156.6512682</v>
      </c>
      <c r="P59" s="0" t="n">
        <f aca="false">(L_I5!V49-L_S1!V49)*D59</f>
        <v>-0</v>
      </c>
    </row>
    <row r="60" customFormat="false" ht="15" hidden="false" customHeight="false" outlineLevel="0" collapsed="false">
      <c r="A60" s="0" t="n">
        <v>2073</v>
      </c>
      <c r="B60" s="0" t="n">
        <v>47</v>
      </c>
      <c r="C60" s="0" t="n">
        <f aca="false">IF(B60&lt;x_H,(1+x_dk)^(-B60),0)</f>
        <v>0</v>
      </c>
      <c r="D60" s="0" t="n">
        <f aca="false">IF(B60&lt;x_H,(1+x_de)^(-B60),0)</f>
        <v>0</v>
      </c>
      <c r="E60" s="0" t="n">
        <f aca="false">(L_I5!AO50-L_S1!AO50)*C60</f>
        <v>0</v>
      </c>
      <c r="F60" s="0" t="n">
        <f aca="false">(L_I5!AP50-L_S1!AP50)*C60</f>
        <v>0</v>
      </c>
      <c r="G60" s="0" t="n">
        <f aca="false">(L_I5!AQ50-L_S1!AQ50)*C60</f>
        <v>0</v>
      </c>
      <c r="H60" s="0" t="n">
        <f aca="false">(L_I5!AS50-L_S1!AS50)*C60</f>
        <v>-0</v>
      </c>
      <c r="I60" s="0" t="n">
        <f aca="false">I59+E60</f>
        <v>-353253712.599829</v>
      </c>
      <c r="J60" s="0" t="n">
        <f aca="false">J59+F60</f>
        <v>-186985981.691669</v>
      </c>
      <c r="K60" s="0" t="n">
        <f aca="false">K59+G60</f>
        <v>-121837785.996754</v>
      </c>
      <c r="L60" s="0" t="n">
        <f aca="false">MAX(L59,J60)</f>
        <v>-41880751.1516117</v>
      </c>
      <c r="M60" s="0" t="n">
        <f aca="false">IF(AND(B60&lt;x_H,J60&lt;=0,L59&gt;0),1,0)</f>
        <v>0</v>
      </c>
      <c r="N60" s="0" t="n">
        <f aca="false">IF(AND(B60&lt;x_H,I60&lt;=0,O59&gt;0),1,0)</f>
        <v>0</v>
      </c>
      <c r="O60" s="0" t="n">
        <f aca="false">MAX(O59,I60)</f>
        <v>-42278156.6512682</v>
      </c>
      <c r="P60" s="0" t="n">
        <f aca="false">(L_I5!V50-L_S1!V50)*D60</f>
        <v>-0</v>
      </c>
    </row>
    <row r="61" customFormat="false" ht="15" hidden="false" customHeight="false" outlineLevel="0" collapsed="false">
      <c r="A61" s="0" t="n">
        <v>2074</v>
      </c>
      <c r="B61" s="0" t="n">
        <v>48</v>
      </c>
      <c r="C61" s="0" t="n">
        <f aca="false">IF(B61&lt;x_H,(1+x_dk)^(-B61),0)</f>
        <v>0</v>
      </c>
      <c r="D61" s="0" t="n">
        <f aca="false">IF(B61&lt;x_H,(1+x_de)^(-B61),0)</f>
        <v>0</v>
      </c>
      <c r="E61" s="0" t="n">
        <f aca="false">(L_I5!AO51-L_S1!AO51)*C61</f>
        <v>0</v>
      </c>
      <c r="F61" s="0" t="n">
        <f aca="false">(L_I5!AP51-L_S1!AP51)*C61</f>
        <v>0</v>
      </c>
      <c r="G61" s="0" t="n">
        <f aca="false">(L_I5!AQ51-L_S1!AQ51)*C61</f>
        <v>0</v>
      </c>
      <c r="H61" s="0" t="n">
        <f aca="false">(L_I5!AS51-L_S1!AS51)*C61</f>
        <v>-0</v>
      </c>
      <c r="I61" s="0" t="n">
        <f aca="false">I60+E61</f>
        <v>-353253712.599829</v>
      </c>
      <c r="J61" s="0" t="n">
        <f aca="false">J60+F61</f>
        <v>-186985981.691669</v>
      </c>
      <c r="K61" s="0" t="n">
        <f aca="false">K60+G61</f>
        <v>-121837785.996754</v>
      </c>
      <c r="L61" s="0" t="n">
        <f aca="false">MAX(L60,J61)</f>
        <v>-41880751.1516117</v>
      </c>
      <c r="M61" s="0" t="n">
        <f aca="false">IF(AND(B61&lt;x_H,J61&lt;=0,L60&gt;0),1,0)</f>
        <v>0</v>
      </c>
      <c r="N61" s="0" t="n">
        <f aca="false">IF(AND(B61&lt;x_H,I61&lt;=0,O60&gt;0),1,0)</f>
        <v>0</v>
      </c>
      <c r="O61" s="0" t="n">
        <f aca="false">MAX(O60,I61)</f>
        <v>-42278156.6512682</v>
      </c>
      <c r="P61" s="0" t="n">
        <f aca="false">(L_I5!V51-L_S1!V51)*D61</f>
        <v>-0</v>
      </c>
    </row>
    <row r="62" customFormat="false" ht="15" hidden="false" customHeight="false" outlineLevel="0" collapsed="false">
      <c r="A62" s="0" t="n">
        <v>2075</v>
      </c>
      <c r="B62" s="0" t="n">
        <v>49</v>
      </c>
      <c r="C62" s="0" t="n">
        <f aca="false">IF(B62&lt;x_H,(1+x_dk)^(-B62),0)</f>
        <v>0</v>
      </c>
      <c r="D62" s="0" t="n">
        <f aca="false">IF(B62&lt;x_H,(1+x_de)^(-B62),0)</f>
        <v>0</v>
      </c>
      <c r="E62" s="0" t="n">
        <f aca="false">(L_I5!AO52-L_S1!AO52)*C62</f>
        <v>0</v>
      </c>
      <c r="F62" s="0" t="n">
        <f aca="false">(L_I5!AP52-L_S1!AP52)*C62</f>
        <v>0</v>
      </c>
      <c r="G62" s="0" t="n">
        <f aca="false">(L_I5!AQ52-L_S1!AQ52)*C62</f>
        <v>0</v>
      </c>
      <c r="H62" s="0" t="n">
        <f aca="false">(L_I5!AS52-L_S1!AS52)*C62</f>
        <v>-0</v>
      </c>
      <c r="I62" s="0" t="n">
        <f aca="false">I61+E62</f>
        <v>-353253712.599829</v>
      </c>
      <c r="J62" s="0" t="n">
        <f aca="false">J61+F62</f>
        <v>-186985981.691669</v>
      </c>
      <c r="K62" s="0" t="n">
        <f aca="false">K61+G62</f>
        <v>-121837785.996754</v>
      </c>
      <c r="L62" s="0" t="n">
        <f aca="false">MAX(L61,J62)</f>
        <v>-41880751.1516117</v>
      </c>
      <c r="M62" s="0" t="n">
        <f aca="false">IF(AND(B62&lt;x_H,J62&lt;=0,L61&gt;0),1,0)</f>
        <v>0</v>
      </c>
      <c r="N62" s="0" t="n">
        <f aca="false">IF(AND(B62&lt;x_H,I62&lt;=0,O61&gt;0),1,0)</f>
        <v>0</v>
      </c>
      <c r="O62" s="0" t="n">
        <f aca="false">MAX(O61,I62)</f>
        <v>-42278156.6512682</v>
      </c>
      <c r="P62" s="0" t="n">
        <f aca="false">(L_I5!V52-L_S1!V52)*D62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626</v>
      </c>
    </row>
    <row r="2" customFormat="false" ht="15" hidden="false" customHeight="false" outlineLevel="0" collapsed="false">
      <c r="A2" s="1" t="s">
        <v>597</v>
      </c>
      <c r="B2" s="0" t="n">
        <f aca="false">x_H</f>
        <v>20</v>
      </c>
    </row>
    <row r="3" customFormat="false" ht="15" hidden="false" customHeight="false" outlineLevel="0" collapsed="false">
      <c r="A3" s="1" t="s">
        <v>598</v>
      </c>
      <c r="B3" s="0" t="n">
        <f aca="false">SUM(H13:H62)</f>
        <v>207096433.075478</v>
      </c>
    </row>
    <row r="4" customFormat="false" ht="15" hidden="false" customHeight="false" outlineLevel="0" collapsed="false">
      <c r="A4" s="1" t="s">
        <v>599</v>
      </c>
      <c r="B4" s="0" t="n">
        <f aca="false">SUM(F13:F62)</f>
        <v>128316362.955117</v>
      </c>
    </row>
    <row r="5" customFormat="false" ht="15" hidden="false" customHeight="false" outlineLevel="0" collapsed="false">
      <c r="A5" s="1" t="s">
        <v>600</v>
      </c>
      <c r="B5" s="0" t="n">
        <f aca="false">B3-B4</f>
        <v>78780070.1203605</v>
      </c>
    </row>
    <row r="6" customFormat="false" ht="15" hidden="false" customHeight="false" outlineLevel="0" collapsed="false">
      <c r="A6" s="1" t="s">
        <v>601</v>
      </c>
      <c r="B6" s="0" t="n">
        <f aca="false">IF(B3=0,"—",(B5-B3)/ABS(B3))</f>
        <v>-0.619597165675719</v>
      </c>
    </row>
    <row r="7" customFormat="false" ht="15" hidden="false" customHeight="false" outlineLevel="0" collapsed="false">
      <c r="A7" s="1" t="s">
        <v>602</v>
      </c>
      <c r="B7" s="0" t="str">
        <f aca="false">IFERROR(INDEX(A13:A62,MATCH(1,M13:M62,0)),"brak w horyzoncie")</f>
        <v>brak w horyzoncie</v>
      </c>
    </row>
    <row r="8" customFormat="false" ht="15" hidden="false" customHeight="false" outlineLevel="0" collapsed="false">
      <c r="A8" s="1" t="s">
        <v>603</v>
      </c>
      <c r="B8" s="0" t="str">
        <f aca="false">IFERROR(INDEX(A13:A62,MATCH(1,N13:N62,0)),"brak w horyzoncie")</f>
        <v>brak w horyzoncie</v>
      </c>
    </row>
    <row r="9" customFormat="false" ht="15" hidden="false" customHeight="false" outlineLevel="0" collapsed="false">
      <c r="A9" s="1" t="s">
        <v>604</v>
      </c>
      <c r="B9" s="0" t="n">
        <f aca="false">SUM(E13:E62)</f>
        <v>172124472.39734</v>
      </c>
    </row>
    <row r="10" customFormat="false" ht="15" hidden="false" customHeight="false" outlineLevel="0" collapsed="false">
      <c r="A10" s="1" t="s">
        <v>605</v>
      </c>
      <c r="B10" s="0" t="n">
        <f aca="false">IFERROR(B4/SUM(P13:P62),"—")</f>
        <v>16381.3761365635</v>
      </c>
    </row>
    <row r="11" customFormat="false" ht="15" hidden="false" customHeight="false" outlineLevel="0" collapsed="false">
      <c r="A11" s="1" t="s">
        <v>606</v>
      </c>
      <c r="B11" s="0" t="n">
        <f aca="false">IFERROR(B9/SUM(P13:P62),"—")</f>
        <v>21974.0932466628</v>
      </c>
    </row>
    <row r="12" customFormat="false" ht="55.2" hidden="false" customHeight="false" outlineLevel="0" collapsed="false">
      <c r="A12" s="3" t="s">
        <v>318</v>
      </c>
      <c r="B12" s="3" t="s">
        <v>548</v>
      </c>
      <c r="C12" s="3" t="s">
        <v>607</v>
      </c>
      <c r="D12" s="3" t="s">
        <v>608</v>
      </c>
      <c r="E12" s="3" t="s">
        <v>609</v>
      </c>
      <c r="F12" s="3" t="s">
        <v>610</v>
      </c>
      <c r="G12" s="3" t="s">
        <v>611</v>
      </c>
      <c r="H12" s="3" t="s">
        <v>612</v>
      </c>
      <c r="I12" s="3" t="s">
        <v>613</v>
      </c>
      <c r="J12" s="3" t="s">
        <v>614</v>
      </c>
      <c r="K12" s="3" t="s">
        <v>615</v>
      </c>
      <c r="L12" s="3" t="s">
        <v>616</v>
      </c>
      <c r="M12" s="3" t="s">
        <v>617</v>
      </c>
      <c r="N12" s="3" t="s">
        <v>618</v>
      </c>
      <c r="O12" s="3" t="s">
        <v>619</v>
      </c>
      <c r="P12" s="3" t="s">
        <v>620</v>
      </c>
    </row>
    <row r="13" customFormat="false" ht="15" hidden="false" customHeight="false" outlineLevel="0" collapsed="false">
      <c r="A13" s="0" t="n">
        <v>2026</v>
      </c>
      <c r="B13" s="0" t="n">
        <v>0</v>
      </c>
      <c r="C13" s="0" t="n">
        <f aca="false">IF(B13&lt;x_H,(1+x_dk)^(-B13),0)</f>
        <v>1</v>
      </c>
      <c r="D13" s="0" t="n">
        <f aca="false">IF(B13&lt;x_H,(1+x_de)^(-B13),0)</f>
        <v>1</v>
      </c>
      <c r="E13" s="0" t="n">
        <f aca="false">(L_V1!AO3-L_S1!AO3)*C13</f>
        <v>12301162.0128008</v>
      </c>
      <c r="F13" s="0" t="n">
        <f aca="false">(L_V1!AP3-L_S1!AP3)*C13</f>
        <v>12838436.8209608</v>
      </c>
      <c r="G13" s="0" t="n">
        <f aca="false">(L_V1!AQ3-L_S1!AQ3)*C13</f>
        <v>12746348.4806699</v>
      </c>
      <c r="H13" s="0" t="n">
        <f aca="false">(L_V1!AS3-L_S1!AS3)*C13</f>
        <v>10872638.5074165</v>
      </c>
      <c r="I13" s="0" t="n">
        <f aca="false">E13</f>
        <v>12301162.0128008</v>
      </c>
      <c r="J13" s="0" t="n">
        <f aca="false">F13</f>
        <v>12838436.8209608</v>
      </c>
      <c r="K13" s="0" t="n">
        <f aca="false">G13</f>
        <v>12746348.4806699</v>
      </c>
      <c r="L13" s="0" t="n">
        <f aca="false">J13</f>
        <v>12838436.8209608</v>
      </c>
      <c r="M13" s="0" t="n">
        <v>0</v>
      </c>
      <c r="N13" s="0" t="n">
        <v>0</v>
      </c>
      <c r="O13" s="0" t="n">
        <f aca="false">I13</f>
        <v>12301162.0128008</v>
      </c>
      <c r="P13" s="0" t="n">
        <f aca="false">(L_V1!V3-L_S1!V3)*D13</f>
        <v>40.5460000000021</v>
      </c>
    </row>
    <row r="14" customFormat="false" ht="15" hidden="false" customHeight="false" outlineLevel="0" collapsed="false">
      <c r="A14" s="0" t="n">
        <v>2027</v>
      </c>
      <c r="B14" s="0" t="n">
        <v>1</v>
      </c>
      <c r="C14" s="0" t="n">
        <f aca="false">IF(B14&lt;x_H,(1+x_dk)^(-B14),0)</f>
        <v>0.952380952380952</v>
      </c>
      <c r="D14" s="0" t="n">
        <f aca="false">IF(B14&lt;x_H,(1+x_de)^(-B14),0)</f>
        <v>0.966183574879227</v>
      </c>
      <c r="E14" s="0" t="n">
        <f aca="false">(L_V1!AO4-L_S1!AO4)*C14</f>
        <v>22620747.2921488</v>
      </c>
      <c r="F14" s="0" t="n">
        <f aca="false">(L_V1!AP4-L_S1!AP4)*C14</f>
        <v>23426212.2655201</v>
      </c>
      <c r="G14" s="0" t="n">
        <f aca="false">(L_V1!AQ4-L_S1!AQ4)*C14</f>
        <v>23256206.3270978</v>
      </c>
      <c r="H14" s="0" t="n">
        <f aca="false">(L_V1!AS4-L_S1!AS4)*C14</f>
        <v>20229342.94552</v>
      </c>
      <c r="I14" s="0" t="n">
        <f aca="false">I13+E14</f>
        <v>34921909.3049496</v>
      </c>
      <c r="J14" s="0" t="n">
        <f aca="false">J13+F14</f>
        <v>36264649.0864809</v>
      </c>
      <c r="K14" s="0" t="n">
        <f aca="false">K13+G14</f>
        <v>36002554.8077676</v>
      </c>
      <c r="L14" s="0" t="n">
        <f aca="false">MAX(L13,J14)</f>
        <v>36264649.0864809</v>
      </c>
      <c r="M14" s="0" t="n">
        <f aca="false">IF(AND(B14&lt;x_H,J14&lt;=0,L13&gt;0),1,0)</f>
        <v>0</v>
      </c>
      <c r="N14" s="0" t="n">
        <f aca="false">IF(AND(B14&lt;x_H,I14&lt;=0,O13&gt;0),1,0)</f>
        <v>0</v>
      </c>
      <c r="O14" s="0" t="n">
        <f aca="false">MAX(O13,I14)</f>
        <v>34921909.3049496</v>
      </c>
      <c r="P14" s="0" t="n">
        <f aca="false">(L_V1!V4-L_S1!V4)*D14</f>
        <v>88.0077294685882</v>
      </c>
    </row>
    <row r="15" customFormat="false" ht="15" hidden="false" customHeight="false" outlineLevel="0" collapsed="false">
      <c r="A15" s="0" t="n">
        <v>2028</v>
      </c>
      <c r="B15" s="0" t="n">
        <v>2</v>
      </c>
      <c r="C15" s="0" t="n">
        <f aca="false">IF(B15&lt;x_H,(1+x_dk)^(-B15),0)</f>
        <v>0.90702947845805</v>
      </c>
      <c r="D15" s="0" t="n">
        <f aca="false">IF(B15&lt;x_H,(1+x_de)^(-B15),0)</f>
        <v>0.933510700366403</v>
      </c>
      <c r="E15" s="0" t="n">
        <f aca="false">(L_V1!AO5-L_S1!AO5)*C15</f>
        <v>31059883.3915215</v>
      </c>
      <c r="F15" s="0" t="n">
        <f aca="false">(L_V1!AP5-L_S1!AP5)*C15</f>
        <v>31857809.9626568</v>
      </c>
      <c r="G15" s="0" t="n">
        <f aca="false">(L_V1!AQ5-L_S1!AQ5)*C15</f>
        <v>31596918.3631641</v>
      </c>
      <c r="H15" s="0" t="n">
        <f aca="false">(L_V1!AS5-L_S1!AS5)*C15</f>
        <v>28181405.3051938</v>
      </c>
      <c r="I15" s="0" t="n">
        <f aca="false">I14+E15</f>
        <v>65981792.6964711</v>
      </c>
      <c r="J15" s="0" t="n">
        <f aca="false">J14+F15</f>
        <v>68122459.0491377</v>
      </c>
      <c r="K15" s="0" t="n">
        <f aca="false">K14+G15</f>
        <v>67599473.1709317</v>
      </c>
      <c r="L15" s="0" t="n">
        <f aca="false">MAX(L14,J15)</f>
        <v>68122459.0491377</v>
      </c>
      <c r="M15" s="0" t="n">
        <f aca="false">IF(AND(B15&lt;x_H,J15&lt;=0,L14&gt;0),1,0)</f>
        <v>0</v>
      </c>
      <c r="N15" s="0" t="n">
        <f aca="false">IF(AND(B15&lt;x_H,I15&lt;=0,O14&gt;0),1,0)</f>
        <v>0</v>
      </c>
      <c r="O15" s="0" t="n">
        <f aca="false">MAX(O14,I15)</f>
        <v>65981792.6964711</v>
      </c>
      <c r="P15" s="0" t="n">
        <f aca="false">(L_V1!V5-L_S1!V5)*D15</f>
        <v>142.478004154126</v>
      </c>
    </row>
    <row r="16" customFormat="false" ht="15" hidden="false" customHeight="false" outlineLevel="0" collapsed="false">
      <c r="A16" s="0" t="n">
        <v>2029</v>
      </c>
      <c r="B16" s="0" t="n">
        <v>3</v>
      </c>
      <c r="C16" s="0" t="n">
        <f aca="false">IF(B16&lt;x_H,(1+x_dk)^(-B16),0)</f>
        <v>0.863837598531476</v>
      </c>
      <c r="D16" s="0" t="n">
        <f aca="false">IF(B16&lt;x_H,(1+x_de)^(-B16),0)</f>
        <v>0.901942705668022</v>
      </c>
      <c r="E16" s="0" t="n">
        <f aca="false">(L_V1!AO6-L_S1!AO6)*C16</f>
        <v>28931359.738619</v>
      </c>
      <c r="F16" s="0" t="n">
        <f aca="false">(L_V1!AP6-L_S1!AP6)*C16</f>
        <v>29449988.5448899</v>
      </c>
      <c r="G16" s="0" t="n">
        <f aca="false">(L_V1!AQ6-L_S1!AQ6)*C16</f>
        <v>29058364.063001</v>
      </c>
      <c r="H16" s="0" t="n">
        <f aca="false">(L_V1!AS6-L_S1!AS6)*C16</f>
        <v>26125581.5451234</v>
      </c>
      <c r="I16" s="0" t="n">
        <f aca="false">I15+E16</f>
        <v>94913152.4350901</v>
      </c>
      <c r="J16" s="0" t="n">
        <f aca="false">J15+F16</f>
        <v>97572447.5940276</v>
      </c>
      <c r="K16" s="0" t="n">
        <f aca="false">K15+G16</f>
        <v>96657837.2339326</v>
      </c>
      <c r="L16" s="0" t="n">
        <f aca="false">MAX(L15,J16)</f>
        <v>97572447.5940276</v>
      </c>
      <c r="M16" s="0" t="n">
        <f aca="false">IF(AND(B16&lt;x_H,J16&lt;=0,L15&gt;0),1,0)</f>
        <v>0</v>
      </c>
      <c r="N16" s="0" t="n">
        <f aca="false">IF(AND(B16&lt;x_H,I16&lt;=0,O15&gt;0),1,0)</f>
        <v>0</v>
      </c>
      <c r="O16" s="0" t="n">
        <f aca="false">MAX(O15,I16)</f>
        <v>94913152.4350901</v>
      </c>
      <c r="P16" s="0" t="n">
        <f aca="false">(L_V1!V6-L_S1!V6)*D16</f>
        <v>195.093815006819</v>
      </c>
    </row>
    <row r="17" customFormat="false" ht="15" hidden="false" customHeight="false" outlineLevel="0" collapsed="false">
      <c r="A17" s="0" t="n">
        <v>2030</v>
      </c>
      <c r="B17" s="0" t="n">
        <v>4</v>
      </c>
      <c r="C17" s="0" t="n">
        <f aca="false">IF(B17&lt;x_H,(1+x_dk)^(-B17),0)</f>
        <v>0.822702474791882</v>
      </c>
      <c r="D17" s="0" t="n">
        <f aca="false">IF(B17&lt;x_H,(1+x_de)^(-B17),0)</f>
        <v>0.871442227698572</v>
      </c>
      <c r="E17" s="0" t="n">
        <f aca="false">(L_V1!AO7-L_S1!AO7)*C17</f>
        <v>26743353.9178025</v>
      </c>
      <c r="F17" s="0" t="n">
        <f aca="false">(L_V1!AP7-L_S1!AP7)*C17</f>
        <v>26877512.2247146</v>
      </c>
      <c r="G17" s="0" t="n">
        <f aca="false">(L_V1!AQ7-L_S1!AQ7)*C17</f>
        <v>26271670.8926285</v>
      </c>
      <c r="H17" s="0" t="n">
        <f aca="false">(L_V1!AS7-L_S1!AS7)*C17</f>
        <v>24231122.5355755</v>
      </c>
      <c r="I17" s="0" t="n">
        <f aca="false">I16+E17</f>
        <v>121656506.352893</v>
      </c>
      <c r="J17" s="0" t="n">
        <f aca="false">J16+F17</f>
        <v>124449959.818742</v>
      </c>
      <c r="K17" s="0" t="n">
        <f aca="false">K16+G17</f>
        <v>122929508.126561</v>
      </c>
      <c r="L17" s="0" t="n">
        <f aca="false">MAX(L16,J17)</f>
        <v>124449959.818742</v>
      </c>
      <c r="M17" s="0" t="n">
        <f aca="false">IF(AND(B17&lt;x_H,J17&lt;=0,L16&gt;0),1,0)</f>
        <v>0</v>
      </c>
      <c r="N17" s="0" t="n">
        <f aca="false">IF(AND(B17&lt;x_H,I17&lt;=0,O16&gt;0),1,0)</f>
        <v>0</v>
      </c>
      <c r="O17" s="0" t="n">
        <f aca="false">MAX(O16,I17)</f>
        <v>121656506.352893</v>
      </c>
      <c r="P17" s="0" t="n">
        <f aca="false">(L_V1!V7-L_S1!V7)*D17</f>
        <v>246.421204495228</v>
      </c>
    </row>
    <row r="18" customFormat="false" ht="15" hidden="false" customHeight="false" outlineLevel="0" collapsed="false">
      <c r="A18" s="0" t="n">
        <v>2031</v>
      </c>
      <c r="B18" s="0" t="n">
        <v>5</v>
      </c>
      <c r="C18" s="0" t="n">
        <f aca="false">IF(B18&lt;x_H,(1+x_dk)^(-B18),0)</f>
        <v>0.783526166468459</v>
      </c>
      <c r="D18" s="0" t="n">
        <f aca="false">IF(B18&lt;x_H,(1+x_de)^(-B18),0)</f>
        <v>0.841973166858524</v>
      </c>
      <c r="E18" s="0" t="n">
        <f aca="false">(L_V1!AO8-L_S1!AO8)*C18</f>
        <v>24528231.1344202</v>
      </c>
      <c r="F18" s="0" t="n">
        <f aca="false">(L_V1!AP8-L_S1!AP8)*C18</f>
        <v>24168567.1008863</v>
      </c>
      <c r="G18" s="0" t="n">
        <f aca="false">(L_V1!AQ8-L_S1!AQ8)*C18</f>
        <v>23254486.6620949</v>
      </c>
      <c r="H18" s="0" t="n">
        <f aca="false">(L_V1!AS8-L_S1!AS8)*C18</f>
        <v>22483303.3735709</v>
      </c>
      <c r="I18" s="0" t="n">
        <f aca="false">I17+E18</f>
        <v>146184737.487313</v>
      </c>
      <c r="J18" s="0" t="n">
        <f aca="false">J17+F18</f>
        <v>148618526.919629</v>
      </c>
      <c r="K18" s="0" t="n">
        <f aca="false">K17+G18</f>
        <v>146183994.788656</v>
      </c>
      <c r="L18" s="0" t="n">
        <f aca="false">MAX(L17,J18)</f>
        <v>148618526.919629</v>
      </c>
      <c r="M18" s="0" t="n">
        <f aca="false">IF(AND(B18&lt;x_H,J18&lt;=0,L17&gt;0),1,0)</f>
        <v>0</v>
      </c>
      <c r="N18" s="0" t="n">
        <f aca="false">IF(AND(B18&lt;x_H,I18&lt;=0,O17&gt;0),1,0)</f>
        <v>0</v>
      </c>
      <c r="O18" s="0" t="n">
        <f aca="false">MAX(O17,I18)</f>
        <v>146184737.487313</v>
      </c>
      <c r="P18" s="0" t="n">
        <f aca="false">(L_V1!V8-L_S1!V8)*D18</f>
        <v>296.749232793446</v>
      </c>
    </row>
    <row r="19" customFormat="false" ht="15" hidden="false" customHeight="false" outlineLevel="0" collapsed="false">
      <c r="A19" s="0" t="n">
        <v>2032</v>
      </c>
      <c r="B19" s="0" t="n">
        <v>6</v>
      </c>
      <c r="C19" s="0" t="n">
        <f aca="false">IF(B19&lt;x_H,(1+x_dk)^(-B19),0)</f>
        <v>0.746215396636628</v>
      </c>
      <c r="D19" s="0" t="n">
        <f aca="false">IF(B19&lt;x_H,(1+x_de)^(-B19),0)</f>
        <v>0.813500644307753</v>
      </c>
      <c r="E19" s="0" t="n">
        <f aca="false">(L_V1!AO9-L_S1!AO9)*C19</f>
        <v>22314641.9284214</v>
      </c>
      <c r="F19" s="0" t="n">
        <f aca="false">(L_V1!AP9-L_S1!AP9)*C19</f>
        <v>21351556.7702216</v>
      </c>
      <c r="G19" s="0" t="n">
        <f aca="false">(L_V1!AQ9-L_S1!AQ9)*C19</f>
        <v>20029371.6022668</v>
      </c>
      <c r="H19" s="0" t="n">
        <f aca="false">(L_V1!AS9-L_S1!AS9)*C19</f>
        <v>20869688.0832121</v>
      </c>
      <c r="I19" s="0" t="n">
        <f aca="false">I18+E19</f>
        <v>168499379.415734</v>
      </c>
      <c r="J19" s="0" t="n">
        <f aca="false">J18+F19</f>
        <v>169970083.68985</v>
      </c>
      <c r="K19" s="0" t="n">
        <f aca="false">K18+G19</f>
        <v>166213366.390923</v>
      </c>
      <c r="L19" s="0" t="n">
        <f aca="false">MAX(L18,J19)</f>
        <v>169970083.68985</v>
      </c>
      <c r="M19" s="0" t="n">
        <f aca="false">IF(AND(B19&lt;x_H,J19&lt;=0,L18&gt;0),1,0)</f>
        <v>0</v>
      </c>
      <c r="N19" s="0" t="n">
        <f aca="false">IF(AND(B19&lt;x_H,I19&lt;=0,O18&gt;0),1,0)</f>
        <v>0</v>
      </c>
      <c r="O19" s="0" t="n">
        <f aca="false">MAX(O18,I19)</f>
        <v>168499379.415734</v>
      </c>
      <c r="P19" s="0" t="n">
        <f aca="false">(L_V1!V9-L_S1!V9)*D19</f>
        <v>346.181945182589</v>
      </c>
    </row>
    <row r="20" customFormat="false" ht="15" hidden="false" customHeight="false" outlineLevel="0" collapsed="false">
      <c r="A20" s="0" t="n">
        <v>2033</v>
      </c>
      <c r="B20" s="0" t="n">
        <v>7</v>
      </c>
      <c r="C20" s="0" t="n">
        <f aca="false">IF(B20&lt;x_H,(1+x_dk)^(-B20),0)</f>
        <v>0.710681330130121</v>
      </c>
      <c r="D20" s="0" t="n">
        <f aca="false">IF(B20&lt;x_H,(1+x_de)^(-B20),0)</f>
        <v>0.785990960683819</v>
      </c>
      <c r="E20" s="0" t="n">
        <f aca="false">(L_V1!AO10-L_S1!AO10)*C20</f>
        <v>20129029.3901162</v>
      </c>
      <c r="F20" s="0" t="n">
        <f aca="false">(L_V1!AP10-L_S1!AP10)*C20</f>
        <v>18456442.9746797</v>
      </c>
      <c r="G20" s="0" t="n">
        <f aca="false">(L_V1!AQ10-L_S1!AQ10)*C20</f>
        <v>16624737.6554354</v>
      </c>
      <c r="H20" s="0" t="n">
        <f aca="false">(L_V1!AS10-L_S1!AS10)*C20</f>
        <v>19378432.0011539</v>
      </c>
      <c r="I20" s="0" t="n">
        <f aca="false">I19+E20</f>
        <v>188628408.80585</v>
      </c>
      <c r="J20" s="0" t="n">
        <f aca="false">J19+F20</f>
        <v>188426526.66453</v>
      </c>
      <c r="K20" s="0" t="n">
        <f aca="false">K19+G20</f>
        <v>182838104.046358</v>
      </c>
      <c r="L20" s="0" t="n">
        <f aca="false">MAX(L19,J20)</f>
        <v>188426526.66453</v>
      </c>
      <c r="M20" s="0" t="n">
        <f aca="false">IF(AND(B20&lt;x_H,J20&lt;=0,L19&gt;0),1,0)</f>
        <v>0</v>
      </c>
      <c r="N20" s="0" t="n">
        <f aca="false">IF(AND(B20&lt;x_H,I20&lt;=0,O19&gt;0),1,0)</f>
        <v>0</v>
      </c>
      <c r="O20" s="0" t="n">
        <f aca="false">MAX(O19,I20)</f>
        <v>188628408.80585</v>
      </c>
      <c r="P20" s="0" t="n">
        <f aca="false">(L_V1!V10-L_S1!V10)*D20</f>
        <v>394.695578789869</v>
      </c>
    </row>
    <row r="21" customFormat="false" ht="15" hidden="false" customHeight="false" outlineLevel="0" collapsed="false">
      <c r="A21" s="0" t="n">
        <v>2034</v>
      </c>
      <c r="B21" s="0" t="n">
        <v>8</v>
      </c>
      <c r="C21" s="0" t="n">
        <f aca="false">IF(B21&lt;x_H,(1+x_dk)^(-B21),0)</f>
        <v>0.676839362028687</v>
      </c>
      <c r="D21" s="0" t="n">
        <f aca="false">IF(B21&lt;x_H,(1+x_de)^(-B21),0)</f>
        <v>0.759411556216251</v>
      </c>
      <c r="E21" s="0" t="n">
        <f aca="false">(L_V1!AO11-L_S1!AO11)*C21</f>
        <v>17994570.0635568</v>
      </c>
      <c r="F21" s="0" t="n">
        <f aca="false">(L_V1!AP11-L_S1!AP11)*C21</f>
        <v>15513211.9563155</v>
      </c>
      <c r="G21" s="0" t="n">
        <f aca="false">(L_V1!AQ11-L_S1!AQ11)*C21</f>
        <v>13072785.6368137</v>
      </c>
      <c r="H21" s="0" t="n">
        <f aca="false">(L_V1!AS11-L_S1!AS11)*C21</f>
        <v>17999986.6531286</v>
      </c>
      <c r="I21" s="0" t="n">
        <f aca="false">I20+E21</f>
        <v>206622978.869407</v>
      </c>
      <c r="J21" s="0" t="n">
        <f aca="false">J20+F21</f>
        <v>203939738.620845</v>
      </c>
      <c r="K21" s="0" t="n">
        <f aca="false">K20+G21</f>
        <v>195910889.683172</v>
      </c>
      <c r="L21" s="0" t="n">
        <f aca="false">MAX(L20,J21)</f>
        <v>203939738.620845</v>
      </c>
      <c r="M21" s="0" t="n">
        <f aca="false">IF(AND(B21&lt;x_H,J21&lt;=0,L20&gt;0),1,0)</f>
        <v>0</v>
      </c>
      <c r="N21" s="0" t="n">
        <f aca="false">IF(AND(B21&lt;x_H,I21&lt;=0,O20&gt;0),1,0)</f>
        <v>0</v>
      </c>
      <c r="O21" s="0" t="n">
        <f aca="false">MAX(O20,I21)</f>
        <v>206622978.869407</v>
      </c>
      <c r="P21" s="0" t="n">
        <f aca="false">(L_V1!V11-L_S1!V11)*D21</f>
        <v>442.183326249587</v>
      </c>
    </row>
    <row r="22" customFormat="false" ht="15" hidden="false" customHeight="false" outlineLevel="0" collapsed="false">
      <c r="A22" s="0" t="n">
        <v>2035</v>
      </c>
      <c r="B22" s="0" t="n">
        <v>9</v>
      </c>
      <c r="C22" s="0" t="n">
        <f aca="false">IF(B22&lt;x_H,(1+x_dk)^(-B22),0)</f>
        <v>0.644608916217797</v>
      </c>
      <c r="D22" s="0" t="n">
        <f aca="false">IF(B22&lt;x_H,(1+x_de)^(-B22),0)</f>
        <v>0.733730972189614</v>
      </c>
      <c r="E22" s="0" t="n">
        <f aca="false">(L_V1!AO12-L_S1!AO12)*C22</f>
        <v>15229425.2716912</v>
      </c>
      <c r="F22" s="0" t="n">
        <f aca="false">(L_V1!AP12-L_S1!AP12)*C22</f>
        <v>11509342.1843711</v>
      </c>
      <c r="G22" s="0" t="n">
        <f aca="false">(L_V1!AQ12-L_S1!AQ12)*C22</f>
        <v>8419742.04737081</v>
      </c>
      <c r="H22" s="0" t="n">
        <f aca="false">(L_V1!AS12-L_S1!AS12)*C22</f>
        <v>16724932.1255828</v>
      </c>
      <c r="I22" s="0" t="n">
        <f aca="false">I21+E22</f>
        <v>221852404.141098</v>
      </c>
      <c r="J22" s="0" t="n">
        <f aca="false">J21+F22</f>
        <v>215449080.805216</v>
      </c>
      <c r="K22" s="0" t="n">
        <f aca="false">K21+G22</f>
        <v>204330631.730543</v>
      </c>
      <c r="L22" s="0" t="n">
        <f aca="false">MAX(L21,J22)</f>
        <v>215449080.805216</v>
      </c>
      <c r="M22" s="0" t="n">
        <f aca="false">IF(AND(B22&lt;x_H,J22&lt;=0,L21&gt;0),1,0)</f>
        <v>0</v>
      </c>
      <c r="N22" s="0" t="n">
        <f aca="false">IF(AND(B22&lt;x_H,I22&lt;=0,O21&gt;0),1,0)</f>
        <v>0</v>
      </c>
      <c r="O22" s="0" t="n">
        <f aca="false">MAX(O21,I22)</f>
        <v>221852404.141098</v>
      </c>
      <c r="P22" s="0" t="n">
        <f aca="false">(L_V1!V12-L_S1!V12)*D22</f>
        <v>471.110313968644</v>
      </c>
    </row>
    <row r="23" customFormat="false" ht="15" hidden="false" customHeight="false" outlineLevel="0" collapsed="false">
      <c r="A23" s="0" t="n">
        <v>2036</v>
      </c>
      <c r="B23" s="0" t="n">
        <v>10</v>
      </c>
      <c r="C23" s="0" t="n">
        <f aca="false">IF(B23&lt;x_H,(1+x_dk)^(-B23),0)</f>
        <v>0.613913253540759</v>
      </c>
      <c r="D23" s="0" t="n">
        <f aca="false">IF(B23&lt;x_H,(1+x_de)^(-B23),0)</f>
        <v>0.708918813709772</v>
      </c>
      <c r="E23" s="0" t="n">
        <f aca="false">(L_V1!AO13-L_S1!AO13)*C23</f>
        <v>-3042094.82724111</v>
      </c>
      <c r="F23" s="0" t="n">
        <f aca="false">(L_V1!AP13-L_S1!AP13)*C23</f>
        <v>-8009894.25146782</v>
      </c>
      <c r="G23" s="0" t="n">
        <f aca="false">(L_V1!AQ13-L_S1!AQ13)*C23</f>
        <v>-11825685.7406762</v>
      </c>
      <c r="H23" s="0" t="n">
        <f aca="false">(L_V1!AS13-L_S1!AS13)*C23</f>
        <v>0</v>
      </c>
      <c r="I23" s="0" t="n">
        <f aca="false">I22+E23</f>
        <v>218810309.313857</v>
      </c>
      <c r="J23" s="0" t="n">
        <f aca="false">J22+F23</f>
        <v>207439186.553749</v>
      </c>
      <c r="K23" s="0" t="n">
        <f aca="false">K22+G23</f>
        <v>192504945.989867</v>
      </c>
      <c r="L23" s="0" t="n">
        <f aca="false">MAX(L22,J23)</f>
        <v>215449080.805216</v>
      </c>
      <c r="M23" s="0" t="n">
        <f aca="false">IF(AND(B23&lt;x_H,J23&lt;=0,L22&gt;0),1,0)</f>
        <v>0</v>
      </c>
      <c r="N23" s="0" t="n">
        <f aca="false">IF(AND(B23&lt;x_H,I23&lt;=0,O22&gt;0),1,0)</f>
        <v>0</v>
      </c>
      <c r="O23" s="0" t="n">
        <f aca="false">MAX(O22,I23)</f>
        <v>221852404.141098</v>
      </c>
      <c r="P23" s="0" t="n">
        <f aca="false">(L_V1!V13-L_S1!V13)*D23</f>
        <v>482.631219454799</v>
      </c>
    </row>
    <row r="24" customFormat="false" ht="15" hidden="false" customHeight="false" outlineLevel="0" collapsed="false">
      <c r="A24" s="0" t="n">
        <v>2037</v>
      </c>
      <c r="B24" s="0" t="n">
        <v>11</v>
      </c>
      <c r="C24" s="0" t="n">
        <f aca="false">IF(B24&lt;x_H,(1+x_dk)^(-B24),0)</f>
        <v>0.584679289086437</v>
      </c>
      <c r="D24" s="0" t="n">
        <f aca="false">IF(B24&lt;x_H,(1+x_de)^(-B24),0)</f>
        <v>0.684945713729249</v>
      </c>
      <c r="E24" s="0" t="n">
        <f aca="false">(L_V1!AO14-L_S1!AO14)*C24</f>
        <v>-3871885.06187633</v>
      </c>
      <c r="F24" s="0" t="n">
        <f aca="false">(L_V1!AP14-L_S1!AP14)*C24</f>
        <v>-9742537.831757</v>
      </c>
      <c r="G24" s="0" t="n">
        <f aca="false">(L_V1!AQ14-L_S1!AQ14)*C24</f>
        <v>-14376374.741438</v>
      </c>
      <c r="H24" s="0" t="n">
        <f aca="false">(L_V1!AS14-L_S1!AS14)*C24</f>
        <v>0</v>
      </c>
      <c r="I24" s="0" t="n">
        <f aca="false">I23+E24</f>
        <v>214938424.251981</v>
      </c>
      <c r="J24" s="0" t="n">
        <f aca="false">J23+F24</f>
        <v>197696648.721992</v>
      </c>
      <c r="K24" s="0" t="n">
        <f aca="false">K23+G24</f>
        <v>178128571.248429</v>
      </c>
      <c r="L24" s="0" t="n">
        <f aca="false">MAX(L23,J24)</f>
        <v>215449080.805216</v>
      </c>
      <c r="M24" s="0" t="n">
        <f aca="false">IF(AND(B24&lt;x_H,J24&lt;=0,L23&gt;0),1,0)</f>
        <v>0</v>
      </c>
      <c r="N24" s="0" t="n">
        <f aca="false">IF(AND(B24&lt;x_H,I24&lt;=0,O23&gt;0),1,0)</f>
        <v>0</v>
      </c>
      <c r="O24" s="0" t="n">
        <f aca="false">MAX(O23,I24)</f>
        <v>221852404.141098</v>
      </c>
      <c r="P24" s="0" t="n">
        <f aca="false">(L_V1!V14-L_S1!V14)*D24</f>
        <v>493.839010141654</v>
      </c>
    </row>
    <row r="25" customFormat="false" ht="15" hidden="false" customHeight="false" outlineLevel="0" collapsed="false">
      <c r="A25" s="0" t="n">
        <v>2038</v>
      </c>
      <c r="B25" s="0" t="n">
        <v>12</v>
      </c>
      <c r="C25" s="0" t="n">
        <f aca="false">IF(B25&lt;x_H,(1+x_dk)^(-B25),0)</f>
        <v>0.556837418177559</v>
      </c>
      <c r="D25" s="0" t="n">
        <f aca="false">IF(B25&lt;x_H,(1+x_de)^(-B25),0)</f>
        <v>0.661783298289129</v>
      </c>
      <c r="E25" s="0" t="n">
        <f aca="false">(L_V1!AO15-L_S1!AO15)*C25</f>
        <v>-4504110.16631807</v>
      </c>
      <c r="F25" s="0" t="n">
        <f aca="false">(L_V1!AP15-L_S1!AP15)*C25</f>
        <v>-8700974.52270534</v>
      </c>
      <c r="G25" s="0" t="n">
        <f aca="false">(L_V1!AQ15-L_S1!AQ15)*C25</f>
        <v>-12084148.765679</v>
      </c>
      <c r="H25" s="0" t="n">
        <f aca="false">(L_V1!AS15-L_S1!AS15)*C25</f>
        <v>0</v>
      </c>
      <c r="I25" s="0" t="n">
        <f aca="false">I24+E25</f>
        <v>210434314.085663</v>
      </c>
      <c r="J25" s="0" t="n">
        <f aca="false">J24+F25</f>
        <v>188995674.199286</v>
      </c>
      <c r="K25" s="0" t="n">
        <f aca="false">K24+G25</f>
        <v>166044422.48275</v>
      </c>
      <c r="L25" s="0" t="n">
        <f aca="false">MAX(L24,J25)</f>
        <v>215449080.805216</v>
      </c>
      <c r="M25" s="0" t="n">
        <f aca="false">IF(AND(B25&lt;x_H,J25&lt;=0,L24&gt;0),1,0)</f>
        <v>0</v>
      </c>
      <c r="N25" s="0" t="n">
        <f aca="false">IF(AND(B25&lt;x_H,I25&lt;=0,O24&gt;0),1,0)</f>
        <v>0</v>
      </c>
      <c r="O25" s="0" t="n">
        <f aca="false">MAX(O24,I25)</f>
        <v>221852404.141098</v>
      </c>
      <c r="P25" s="0" t="n">
        <f aca="false">(L_V1!V15-L_S1!V15)*D25</f>
        <v>504.180267584868</v>
      </c>
    </row>
    <row r="26" customFormat="false" ht="15" hidden="false" customHeight="false" outlineLevel="0" collapsed="false">
      <c r="A26" s="0" t="n">
        <v>2039</v>
      </c>
      <c r="B26" s="0" t="n">
        <v>13</v>
      </c>
      <c r="C26" s="0" t="n">
        <f aca="false">IF(B26&lt;x_H,(1+x_dk)^(-B26),0)</f>
        <v>0.530321350645295</v>
      </c>
      <c r="D26" s="0" t="n">
        <f aca="false">IF(B26&lt;x_H,(1+x_de)^(-B26),0)</f>
        <v>0.639404152936357</v>
      </c>
      <c r="E26" s="0" t="n">
        <f aca="false">(L_V1!AO16-L_S1!AO16)*C26</f>
        <v>-4972984.39780689</v>
      </c>
      <c r="F26" s="0" t="n">
        <f aca="false">(L_V1!AP16-L_S1!AP16)*C26</f>
        <v>-7310339.17094528</v>
      </c>
      <c r="G26" s="0" t="n">
        <f aca="false">(L_V1!AQ16-L_S1!AQ16)*C26</f>
        <v>-9260633.13531122</v>
      </c>
      <c r="H26" s="0" t="n">
        <f aca="false">(L_V1!AS16-L_S1!AS16)*C26</f>
        <v>0</v>
      </c>
      <c r="I26" s="0" t="n">
        <f aca="false">I25+E26</f>
        <v>205461329.687856</v>
      </c>
      <c r="J26" s="0" t="n">
        <f aca="false">J25+F26</f>
        <v>181685335.028341</v>
      </c>
      <c r="K26" s="0" t="n">
        <f aca="false">K25+G26</f>
        <v>156783789.347438</v>
      </c>
      <c r="L26" s="0" t="n">
        <f aca="false">MAX(L25,J26)</f>
        <v>215449080.805216</v>
      </c>
      <c r="M26" s="0" t="n">
        <f aca="false">IF(AND(B26&lt;x_H,J26&lt;=0,L25&gt;0),1,0)</f>
        <v>0</v>
      </c>
      <c r="N26" s="0" t="n">
        <f aca="false">IF(AND(B26&lt;x_H,I26&lt;=0,O25&gt;0),1,0)</f>
        <v>0</v>
      </c>
      <c r="O26" s="0" t="n">
        <f aca="false">MAX(O25,I26)</f>
        <v>221852404.141098</v>
      </c>
      <c r="P26" s="0" t="n">
        <f aca="false">(L_V1!V16-L_S1!V16)*D26</f>
        <v>513.24268011633</v>
      </c>
    </row>
    <row r="27" customFormat="false" ht="15" hidden="false" customHeight="false" outlineLevel="0" collapsed="false">
      <c r="A27" s="0" t="n">
        <v>2040</v>
      </c>
      <c r="B27" s="0" t="n">
        <v>14</v>
      </c>
      <c r="C27" s="0" t="n">
        <f aca="false">IF(B27&lt;x_H,(1+x_dk)^(-B27),0)</f>
        <v>0.505067952995519</v>
      </c>
      <c r="D27" s="0" t="n">
        <f aca="false">IF(B27&lt;x_H,(1+x_de)^(-B27),0)</f>
        <v>0.617781790276673</v>
      </c>
      <c r="E27" s="0" t="n">
        <f aca="false">(L_V1!AO17-L_S1!AO17)*C27</f>
        <v>-5304446.2190012</v>
      </c>
      <c r="F27" s="0" t="n">
        <f aca="false">(L_V1!AP17-L_S1!AP17)*C27</f>
        <v>-7936564.61760558</v>
      </c>
      <c r="G27" s="0" t="n">
        <f aca="false">(L_V1!AQ17-L_S1!AQ17)*C27</f>
        <v>-10167984.8397177</v>
      </c>
      <c r="H27" s="0" t="n">
        <f aca="false">(L_V1!AS17-L_S1!AS17)*C27</f>
        <v>0</v>
      </c>
      <c r="I27" s="0" t="n">
        <f aca="false">I26+E27</f>
        <v>200156883.468855</v>
      </c>
      <c r="J27" s="0" t="n">
        <f aca="false">J26+F27</f>
        <v>173748770.410735</v>
      </c>
      <c r="K27" s="0" t="n">
        <f aca="false">K26+G27</f>
        <v>146615804.507721</v>
      </c>
      <c r="L27" s="0" t="n">
        <f aca="false">MAX(L26,J27)</f>
        <v>215449080.805216</v>
      </c>
      <c r="M27" s="0" t="n">
        <f aca="false">IF(AND(B27&lt;x_H,J27&lt;=0,L26&gt;0),1,0)</f>
        <v>0</v>
      </c>
      <c r="N27" s="0" t="n">
        <f aca="false">IF(AND(B27&lt;x_H,I27&lt;=0,O26&gt;0),1,0)</f>
        <v>0</v>
      </c>
      <c r="O27" s="0" t="n">
        <f aca="false">MAX(O26,I27)</f>
        <v>221852404.141098</v>
      </c>
      <c r="P27" s="0" t="n">
        <f aca="false">(L_V1!V17-L_S1!V17)*D27</f>
        <v>520.745568914326</v>
      </c>
    </row>
    <row r="28" customFormat="false" ht="15" hidden="false" customHeight="false" outlineLevel="0" collapsed="false">
      <c r="A28" s="0" t="n">
        <v>2041</v>
      </c>
      <c r="B28" s="0" t="n">
        <v>15</v>
      </c>
      <c r="C28" s="0" t="n">
        <f aca="false">IF(B28&lt;x_H,(1+x_dk)^(-B28),0)</f>
        <v>0.48101709809097</v>
      </c>
      <c r="D28" s="0" t="n">
        <f aca="false">IF(B28&lt;x_H,(1+x_de)^(-B28),0)</f>
        <v>0.596890618624805</v>
      </c>
      <c r="E28" s="0" t="n">
        <f aca="false">(L_V1!AO18-L_S1!AO18)*C28</f>
        <v>-5520320.80902553</v>
      </c>
      <c r="F28" s="0" t="n">
        <f aca="false">(L_V1!AP18-L_S1!AP18)*C28</f>
        <v>-8443848.48008019</v>
      </c>
      <c r="G28" s="0" t="n">
        <f aca="false">(L_V1!AQ18-L_S1!AQ18)*C28</f>
        <v>-10956303.2495745</v>
      </c>
      <c r="H28" s="0" t="n">
        <f aca="false">(L_V1!AS18-L_S1!AS18)*C28</f>
        <v>0</v>
      </c>
      <c r="I28" s="0" t="n">
        <f aca="false">I27+E28</f>
        <v>194636562.659829</v>
      </c>
      <c r="J28" s="0" t="n">
        <f aca="false">J27+F28</f>
        <v>165304921.930655</v>
      </c>
      <c r="K28" s="0" t="n">
        <f aca="false">K27+G28</f>
        <v>135659501.258146</v>
      </c>
      <c r="L28" s="0" t="n">
        <f aca="false">MAX(L27,J28)</f>
        <v>215449080.805216</v>
      </c>
      <c r="M28" s="0" t="n">
        <f aca="false">IF(AND(B28&lt;x_H,J28&lt;=0,L27&gt;0),1,0)</f>
        <v>0</v>
      </c>
      <c r="N28" s="0" t="n">
        <f aca="false">IF(AND(B28&lt;x_H,I28&lt;=0,O27&gt;0),1,0)</f>
        <v>0</v>
      </c>
      <c r="O28" s="0" t="n">
        <f aca="false">MAX(O27,I28)</f>
        <v>221852404.141098</v>
      </c>
      <c r="P28" s="0" t="n">
        <f aca="false">(L_V1!V18-L_S1!V18)*D28</f>
        <v>526.533330735648</v>
      </c>
    </row>
    <row r="29" customFormat="false" ht="15" hidden="false" customHeight="false" outlineLevel="0" collapsed="false">
      <c r="A29" s="0" t="n">
        <v>2042</v>
      </c>
      <c r="B29" s="0" t="n">
        <v>16</v>
      </c>
      <c r="C29" s="0" t="n">
        <f aca="false">IF(B29&lt;x_H,(1+x_dk)^(-B29),0)</f>
        <v>0.4581115219914</v>
      </c>
      <c r="D29" s="0" t="n">
        <f aca="false">IF(B29&lt;x_H,(1+x_de)^(-B29),0)</f>
        <v>0.576705911714788</v>
      </c>
      <c r="E29" s="0" t="n">
        <f aca="false">(L_V1!AO19-L_S1!AO19)*C29</f>
        <v>-5637114.54772307</v>
      </c>
      <c r="F29" s="0" t="n">
        <f aca="false">(L_V1!AP19-L_S1!AP19)*C29</f>
        <v>-8846787.86340381</v>
      </c>
      <c r="G29" s="0" t="n">
        <f aca="false">(L_V1!AQ19-L_S1!AQ19)*C29</f>
        <v>-11637758.9253915</v>
      </c>
      <c r="H29" s="0" t="n">
        <f aca="false">(L_V1!AS19-L_S1!AS19)*C29</f>
        <v>0</v>
      </c>
      <c r="I29" s="0" t="n">
        <f aca="false">I28+E29</f>
        <v>188999448.112106</v>
      </c>
      <c r="J29" s="0" t="n">
        <f aca="false">J28+F29</f>
        <v>156458134.067251</v>
      </c>
      <c r="K29" s="0" t="n">
        <f aca="false">K28+G29</f>
        <v>124021742.332755</v>
      </c>
      <c r="L29" s="0" t="n">
        <f aca="false">MAX(L28,J29)</f>
        <v>215449080.805216</v>
      </c>
      <c r="M29" s="0" t="n">
        <f aca="false">IF(AND(B29&lt;x_H,J29&lt;=0,L28&gt;0),1,0)</f>
        <v>0</v>
      </c>
      <c r="N29" s="0" t="n">
        <f aca="false">IF(AND(B29&lt;x_H,I29&lt;=0,O28&gt;0),1,0)</f>
        <v>0</v>
      </c>
      <c r="O29" s="0" t="n">
        <f aca="false">MAX(O28,I29)</f>
        <v>221852404.141098</v>
      </c>
      <c r="P29" s="0" t="n">
        <f aca="false">(L_V1!V19-L_S1!V19)*D29</f>
        <v>530.349137119339</v>
      </c>
    </row>
    <row r="30" customFormat="false" ht="15" hidden="false" customHeight="false" outlineLevel="0" collapsed="false">
      <c r="A30" s="0" t="n">
        <v>2043</v>
      </c>
      <c r="B30" s="0" t="n">
        <v>17</v>
      </c>
      <c r="C30" s="0" t="n">
        <f aca="false">IF(B30&lt;x_H,(1+x_dk)^(-B30),0)</f>
        <v>0.436296687610857</v>
      </c>
      <c r="D30" s="0" t="n">
        <f aca="false">IF(B30&lt;x_H,(1+x_de)^(-B30),0)</f>
        <v>0.557203779434577</v>
      </c>
      <c r="E30" s="0" t="n">
        <f aca="false">(L_V1!AO20-L_S1!AO20)*C30</f>
        <v>-5673372.87450204</v>
      </c>
      <c r="F30" s="0" t="n">
        <f aca="false">(L_V1!AP20-L_S1!AP20)*C30</f>
        <v>-9162076.98758601</v>
      </c>
      <c r="G30" s="0" t="n">
        <f aca="false">(L_V1!AQ20-L_S1!AQ20)*C30</f>
        <v>-12226884.1033319</v>
      </c>
      <c r="H30" s="0" t="n">
        <f aca="false">(L_V1!AS20-L_S1!AS20)*C30</f>
        <v>0</v>
      </c>
      <c r="I30" s="0" t="n">
        <f aca="false">I29+E30</f>
        <v>183326075.237604</v>
      </c>
      <c r="J30" s="0" t="n">
        <f aca="false">J29+F30</f>
        <v>147296057.079665</v>
      </c>
      <c r="K30" s="0" t="n">
        <f aca="false">K29+G30</f>
        <v>111794858.229423</v>
      </c>
      <c r="L30" s="0" t="n">
        <f aca="false">MAX(L29,J30)</f>
        <v>215449080.805216</v>
      </c>
      <c r="M30" s="0" t="n">
        <f aca="false">IF(AND(B30&lt;x_H,J30&lt;=0,L29&gt;0),1,0)</f>
        <v>0</v>
      </c>
      <c r="N30" s="0" t="n">
        <f aca="false">IF(AND(B30&lt;x_H,I30&lt;=0,O29&gt;0),1,0)</f>
        <v>0</v>
      </c>
      <c r="O30" s="0" t="n">
        <f aca="false">MAX(O29,I30)</f>
        <v>221852404.141098</v>
      </c>
      <c r="P30" s="0" t="n">
        <f aca="false">(L_V1!V20-L_S1!V20)*D30</f>
        <v>532.493463428004</v>
      </c>
    </row>
    <row r="31" customFormat="false" ht="15" hidden="false" customHeight="false" outlineLevel="0" collapsed="false">
      <c r="A31" s="0" t="n">
        <v>2044</v>
      </c>
      <c r="B31" s="0" t="n">
        <v>18</v>
      </c>
      <c r="C31" s="0" t="n">
        <f aca="false">IF(B31&lt;x_H,(1+x_dk)^(-B31),0)</f>
        <v>0.415520654867483</v>
      </c>
      <c r="D31" s="0" t="n">
        <f aca="false">IF(B31&lt;x_H,(1+x_de)^(-B31),0)</f>
        <v>0.538361139550316</v>
      </c>
      <c r="E31" s="0" t="n">
        <f aca="false">(L_V1!AO21-L_S1!AO21)*C31</f>
        <v>-5642938.99120837</v>
      </c>
      <c r="F31" s="0" t="n">
        <f aca="false">(L_V1!AP21-L_S1!AP21)*C31</f>
        <v>-9401953.57325986</v>
      </c>
      <c r="G31" s="0" t="n">
        <f aca="false">(L_V1!AQ21-L_S1!AQ21)*C31</f>
        <v>-12734102.7600227</v>
      </c>
      <c r="H31" s="0" t="n">
        <f aca="false">(L_V1!AS21-L_S1!AS21)*C31</f>
        <v>0</v>
      </c>
      <c r="I31" s="0" t="n">
        <f aca="false">I30+E31</f>
        <v>177683136.246396</v>
      </c>
      <c r="J31" s="0" t="n">
        <f aca="false">J30+F31</f>
        <v>137894103.506406</v>
      </c>
      <c r="K31" s="0" t="n">
        <f aca="false">K30+G31</f>
        <v>99060755.4694002</v>
      </c>
      <c r="L31" s="0" t="n">
        <f aca="false">MAX(L30,J31)</f>
        <v>215449080.805216</v>
      </c>
      <c r="M31" s="0" t="n">
        <f aca="false">IF(AND(B31&lt;x_H,J31&lt;=0,L30&gt;0),1,0)</f>
        <v>0</v>
      </c>
      <c r="N31" s="0" t="n">
        <f aca="false">IF(AND(B31&lt;x_H,I31&lt;=0,O30&gt;0),1,0)</f>
        <v>0</v>
      </c>
      <c r="O31" s="0" t="n">
        <f aca="false">MAX(O30,I31)</f>
        <v>221852404.141098</v>
      </c>
      <c r="P31" s="0" t="n">
        <f aca="false">(L_V1!V21-L_S1!V21)*D31</f>
        <v>533.217098861917</v>
      </c>
    </row>
    <row r="32" customFormat="false" ht="15" hidden="false" customHeight="false" outlineLevel="0" collapsed="false">
      <c r="A32" s="0" t="n">
        <v>2045</v>
      </c>
      <c r="B32" s="0" t="n">
        <v>19</v>
      </c>
      <c r="C32" s="0" t="n">
        <f aca="false">IF(B32&lt;x_H,(1+x_dk)^(-B32),0)</f>
        <v>0.39573395701665</v>
      </c>
      <c r="D32" s="0" t="n">
        <f aca="false">IF(B32&lt;x_H,(1+x_de)^(-B32),0)</f>
        <v>0.520155690386779</v>
      </c>
      <c r="E32" s="0" t="n">
        <f aca="false">(L_V1!AO22-L_S1!AO22)*C32</f>
        <v>-5558663.84905589</v>
      </c>
      <c r="F32" s="0" t="n">
        <f aca="false">(L_V1!AP22-L_S1!AP22)*C32</f>
        <v>-9577740.55128851</v>
      </c>
      <c r="G32" s="0" t="n">
        <f aca="false">(L_V1!AQ22-L_S1!AQ22)*C32</f>
        <v>-13169074.886769</v>
      </c>
      <c r="H32" s="0" t="n">
        <f aca="false">(L_V1!AS22-L_S1!AS22)*C32</f>
        <v>0</v>
      </c>
      <c r="I32" s="0" t="n">
        <f aca="false">I31+E32</f>
        <v>172124472.39734</v>
      </c>
      <c r="J32" s="0" t="n">
        <f aca="false">J31+F32</f>
        <v>128316362.955117</v>
      </c>
      <c r="K32" s="0" t="n">
        <f aca="false">K31+G32</f>
        <v>85891680.5826312</v>
      </c>
      <c r="L32" s="0" t="n">
        <f aca="false">MAX(L31,J32)</f>
        <v>215449080.805216</v>
      </c>
      <c r="M32" s="0" t="n">
        <f aca="false">IF(AND(B32&lt;x_H,J32&lt;=0,L31&gt;0),1,0)</f>
        <v>0</v>
      </c>
      <c r="N32" s="0" t="n">
        <f aca="false">IF(AND(B32&lt;x_H,I32&lt;=0,O31&gt;0),1,0)</f>
        <v>0</v>
      </c>
      <c r="O32" s="0" t="n">
        <f aca="false">MAX(O31,I32)</f>
        <v>221852404.141098</v>
      </c>
      <c r="P32" s="0" t="n">
        <f aca="false">(L_V1!V22-L_S1!V22)*D32</f>
        <v>532.364784751527</v>
      </c>
    </row>
    <row r="33" customFormat="false" ht="15" hidden="false" customHeight="false" outlineLevel="0" collapsed="false">
      <c r="A33" s="0" t="n">
        <v>2046</v>
      </c>
      <c r="B33" s="0" t="n">
        <v>20</v>
      </c>
      <c r="C33" s="0" t="n">
        <f aca="false">IF(B33&lt;x_H,(1+x_dk)^(-B33),0)</f>
        <v>0</v>
      </c>
      <c r="D33" s="0" t="n">
        <f aca="false">IF(B33&lt;x_H,(1+x_de)^(-B33),0)</f>
        <v>0</v>
      </c>
      <c r="E33" s="0" t="n">
        <f aca="false">(L_V1!AO23-L_S1!AO23)*C33</f>
        <v>-0</v>
      </c>
      <c r="F33" s="0" t="n">
        <f aca="false">(L_V1!AP23-L_S1!AP23)*C33</f>
        <v>-0</v>
      </c>
      <c r="G33" s="0" t="n">
        <f aca="false">(L_V1!AQ23-L_S1!AQ23)*C33</f>
        <v>-0</v>
      </c>
      <c r="H33" s="0" t="n">
        <f aca="false">(L_V1!AS23-L_S1!AS23)*C33</f>
        <v>0</v>
      </c>
      <c r="I33" s="0" t="n">
        <f aca="false">I32+E33</f>
        <v>172124472.39734</v>
      </c>
      <c r="J33" s="0" t="n">
        <f aca="false">J32+F33</f>
        <v>128316362.955117</v>
      </c>
      <c r="K33" s="0" t="n">
        <f aca="false">K32+G33</f>
        <v>85891680.5826312</v>
      </c>
      <c r="L33" s="0" t="n">
        <f aca="false">MAX(L32,J33)</f>
        <v>215449080.805216</v>
      </c>
      <c r="M33" s="0" t="n">
        <f aca="false">IF(AND(B33&lt;x_H,J33&lt;=0,L32&gt;0),1,0)</f>
        <v>0</v>
      </c>
      <c r="N33" s="0" t="n">
        <f aca="false">IF(AND(B33&lt;x_H,I33&lt;=0,O32&gt;0),1,0)</f>
        <v>0</v>
      </c>
      <c r="O33" s="0" t="n">
        <f aca="false">MAX(O32,I33)</f>
        <v>221852404.141098</v>
      </c>
      <c r="P33" s="0" t="n">
        <f aca="false">(L_V1!V23-L_S1!V23)*D33</f>
        <v>0</v>
      </c>
    </row>
    <row r="34" customFormat="false" ht="15" hidden="false" customHeight="false" outlineLevel="0" collapsed="false">
      <c r="A34" s="0" t="n">
        <v>2047</v>
      </c>
      <c r="B34" s="0" t="n">
        <v>21</v>
      </c>
      <c r="C34" s="0" t="n">
        <f aca="false">IF(B34&lt;x_H,(1+x_dk)^(-B34),0)</f>
        <v>0</v>
      </c>
      <c r="D34" s="0" t="n">
        <f aca="false">IF(B34&lt;x_H,(1+x_de)^(-B34),0)</f>
        <v>0</v>
      </c>
      <c r="E34" s="0" t="n">
        <f aca="false">(L_V1!AO24-L_S1!AO24)*C34</f>
        <v>-0</v>
      </c>
      <c r="F34" s="0" t="n">
        <f aca="false">(L_V1!AP24-L_S1!AP24)*C34</f>
        <v>-0</v>
      </c>
      <c r="G34" s="0" t="n">
        <f aca="false">(L_V1!AQ24-L_S1!AQ24)*C34</f>
        <v>-0</v>
      </c>
      <c r="H34" s="0" t="n">
        <f aca="false">(L_V1!AS24-L_S1!AS24)*C34</f>
        <v>0</v>
      </c>
      <c r="I34" s="0" t="n">
        <f aca="false">I33+E34</f>
        <v>172124472.39734</v>
      </c>
      <c r="J34" s="0" t="n">
        <f aca="false">J33+F34</f>
        <v>128316362.955117</v>
      </c>
      <c r="K34" s="0" t="n">
        <f aca="false">K33+G34</f>
        <v>85891680.5826312</v>
      </c>
      <c r="L34" s="0" t="n">
        <f aca="false">MAX(L33,J34)</f>
        <v>215449080.805216</v>
      </c>
      <c r="M34" s="0" t="n">
        <f aca="false">IF(AND(B34&lt;x_H,J34&lt;=0,L33&gt;0),1,0)</f>
        <v>0</v>
      </c>
      <c r="N34" s="0" t="n">
        <f aca="false">IF(AND(B34&lt;x_H,I34&lt;=0,O33&gt;0),1,0)</f>
        <v>0</v>
      </c>
      <c r="O34" s="0" t="n">
        <f aca="false">MAX(O33,I34)</f>
        <v>221852404.141098</v>
      </c>
      <c r="P34" s="0" t="n">
        <f aca="false">(L_V1!V24-L_S1!V24)*D34</f>
        <v>0</v>
      </c>
    </row>
    <row r="35" customFormat="false" ht="15" hidden="false" customHeight="false" outlineLevel="0" collapsed="false">
      <c r="A35" s="0" t="n">
        <v>2048</v>
      </c>
      <c r="B35" s="0" t="n">
        <v>22</v>
      </c>
      <c r="C35" s="0" t="n">
        <f aca="false">IF(B35&lt;x_H,(1+x_dk)^(-B35),0)</f>
        <v>0</v>
      </c>
      <c r="D35" s="0" t="n">
        <f aca="false">IF(B35&lt;x_H,(1+x_de)^(-B35),0)</f>
        <v>0</v>
      </c>
      <c r="E35" s="0" t="n">
        <f aca="false">(L_V1!AO25-L_S1!AO25)*C35</f>
        <v>-0</v>
      </c>
      <c r="F35" s="0" t="n">
        <f aca="false">(L_V1!AP25-L_S1!AP25)*C35</f>
        <v>-0</v>
      </c>
      <c r="G35" s="0" t="n">
        <f aca="false">(L_V1!AQ25-L_S1!AQ25)*C35</f>
        <v>-0</v>
      </c>
      <c r="H35" s="0" t="n">
        <f aca="false">(L_V1!AS25-L_S1!AS25)*C35</f>
        <v>0</v>
      </c>
      <c r="I35" s="0" t="n">
        <f aca="false">I34+E35</f>
        <v>172124472.39734</v>
      </c>
      <c r="J35" s="0" t="n">
        <f aca="false">J34+F35</f>
        <v>128316362.955117</v>
      </c>
      <c r="K35" s="0" t="n">
        <f aca="false">K34+G35</f>
        <v>85891680.5826312</v>
      </c>
      <c r="L35" s="0" t="n">
        <f aca="false">MAX(L34,J35)</f>
        <v>215449080.805216</v>
      </c>
      <c r="M35" s="0" t="n">
        <f aca="false">IF(AND(B35&lt;x_H,J35&lt;=0,L34&gt;0),1,0)</f>
        <v>0</v>
      </c>
      <c r="N35" s="0" t="n">
        <f aca="false">IF(AND(B35&lt;x_H,I35&lt;=0,O34&gt;0),1,0)</f>
        <v>0</v>
      </c>
      <c r="O35" s="0" t="n">
        <f aca="false">MAX(O34,I35)</f>
        <v>221852404.141098</v>
      </c>
      <c r="P35" s="0" t="n">
        <f aca="false">(L_V1!V25-L_S1!V25)*D35</f>
        <v>0</v>
      </c>
    </row>
    <row r="36" customFormat="false" ht="15" hidden="false" customHeight="false" outlineLevel="0" collapsed="false">
      <c r="A36" s="0" t="n">
        <v>2049</v>
      </c>
      <c r="B36" s="0" t="n">
        <v>23</v>
      </c>
      <c r="C36" s="0" t="n">
        <f aca="false">IF(B36&lt;x_H,(1+x_dk)^(-B36),0)</f>
        <v>0</v>
      </c>
      <c r="D36" s="0" t="n">
        <f aca="false">IF(B36&lt;x_H,(1+x_de)^(-B36),0)</f>
        <v>0</v>
      </c>
      <c r="E36" s="0" t="n">
        <f aca="false">(L_V1!AO26-L_S1!AO26)*C36</f>
        <v>-0</v>
      </c>
      <c r="F36" s="0" t="n">
        <f aca="false">(L_V1!AP26-L_S1!AP26)*C36</f>
        <v>-0</v>
      </c>
      <c r="G36" s="0" t="n">
        <f aca="false">(L_V1!AQ26-L_S1!AQ26)*C36</f>
        <v>-0</v>
      </c>
      <c r="H36" s="0" t="n">
        <f aca="false">(L_V1!AS26-L_S1!AS26)*C36</f>
        <v>0</v>
      </c>
      <c r="I36" s="0" t="n">
        <f aca="false">I35+E36</f>
        <v>172124472.39734</v>
      </c>
      <c r="J36" s="0" t="n">
        <f aca="false">J35+F36</f>
        <v>128316362.955117</v>
      </c>
      <c r="K36" s="0" t="n">
        <f aca="false">K35+G36</f>
        <v>85891680.5826312</v>
      </c>
      <c r="L36" s="0" t="n">
        <f aca="false">MAX(L35,J36)</f>
        <v>215449080.805216</v>
      </c>
      <c r="M36" s="0" t="n">
        <f aca="false">IF(AND(B36&lt;x_H,J36&lt;=0,L35&gt;0),1,0)</f>
        <v>0</v>
      </c>
      <c r="N36" s="0" t="n">
        <f aca="false">IF(AND(B36&lt;x_H,I36&lt;=0,O35&gt;0),1,0)</f>
        <v>0</v>
      </c>
      <c r="O36" s="0" t="n">
        <f aca="false">MAX(O35,I36)</f>
        <v>221852404.141098</v>
      </c>
      <c r="P36" s="0" t="n">
        <f aca="false">(L_V1!V26-L_S1!V26)*D36</f>
        <v>0</v>
      </c>
    </row>
    <row r="37" customFormat="false" ht="15" hidden="false" customHeight="false" outlineLevel="0" collapsed="false">
      <c r="A37" s="0" t="n">
        <v>2050</v>
      </c>
      <c r="B37" s="0" t="n">
        <v>24</v>
      </c>
      <c r="C37" s="0" t="n">
        <f aca="false">IF(B37&lt;x_H,(1+x_dk)^(-B37),0)</f>
        <v>0</v>
      </c>
      <c r="D37" s="0" t="n">
        <f aca="false">IF(B37&lt;x_H,(1+x_de)^(-B37),0)</f>
        <v>0</v>
      </c>
      <c r="E37" s="0" t="n">
        <f aca="false">(L_V1!AO27-L_S1!AO27)*C37</f>
        <v>-0</v>
      </c>
      <c r="F37" s="0" t="n">
        <f aca="false">(L_V1!AP27-L_S1!AP27)*C37</f>
        <v>-0</v>
      </c>
      <c r="G37" s="0" t="n">
        <f aca="false">(L_V1!AQ27-L_S1!AQ27)*C37</f>
        <v>-0</v>
      </c>
      <c r="H37" s="0" t="n">
        <f aca="false">(L_V1!AS27-L_S1!AS27)*C37</f>
        <v>0</v>
      </c>
      <c r="I37" s="0" t="n">
        <f aca="false">I36+E37</f>
        <v>172124472.39734</v>
      </c>
      <c r="J37" s="0" t="n">
        <f aca="false">J36+F37</f>
        <v>128316362.955117</v>
      </c>
      <c r="K37" s="0" t="n">
        <f aca="false">K36+G37</f>
        <v>85891680.5826312</v>
      </c>
      <c r="L37" s="0" t="n">
        <f aca="false">MAX(L36,J37)</f>
        <v>215449080.805216</v>
      </c>
      <c r="M37" s="0" t="n">
        <f aca="false">IF(AND(B37&lt;x_H,J37&lt;=0,L36&gt;0),1,0)</f>
        <v>0</v>
      </c>
      <c r="N37" s="0" t="n">
        <f aca="false">IF(AND(B37&lt;x_H,I37&lt;=0,O36&gt;0),1,0)</f>
        <v>0</v>
      </c>
      <c r="O37" s="0" t="n">
        <f aca="false">MAX(O36,I37)</f>
        <v>221852404.141098</v>
      </c>
      <c r="P37" s="0" t="n">
        <f aca="false">(L_V1!V27-L_S1!V27)*D37</f>
        <v>0</v>
      </c>
    </row>
    <row r="38" customFormat="false" ht="15" hidden="false" customHeight="false" outlineLevel="0" collapsed="false">
      <c r="A38" s="0" t="n">
        <v>2051</v>
      </c>
      <c r="B38" s="0" t="n">
        <v>25</v>
      </c>
      <c r="C38" s="0" t="n">
        <f aca="false">IF(B38&lt;x_H,(1+x_dk)^(-B38),0)</f>
        <v>0</v>
      </c>
      <c r="D38" s="0" t="n">
        <f aca="false">IF(B38&lt;x_H,(1+x_de)^(-B38),0)</f>
        <v>0</v>
      </c>
      <c r="E38" s="0" t="n">
        <f aca="false">(L_V1!AO28-L_S1!AO28)*C38</f>
        <v>-0</v>
      </c>
      <c r="F38" s="0" t="n">
        <f aca="false">(L_V1!AP28-L_S1!AP28)*C38</f>
        <v>-0</v>
      </c>
      <c r="G38" s="0" t="n">
        <f aca="false">(L_V1!AQ28-L_S1!AQ28)*C38</f>
        <v>-0</v>
      </c>
      <c r="H38" s="0" t="n">
        <f aca="false">(L_V1!AS28-L_S1!AS28)*C38</f>
        <v>0</v>
      </c>
      <c r="I38" s="0" t="n">
        <f aca="false">I37+E38</f>
        <v>172124472.39734</v>
      </c>
      <c r="J38" s="0" t="n">
        <f aca="false">J37+F38</f>
        <v>128316362.955117</v>
      </c>
      <c r="K38" s="0" t="n">
        <f aca="false">K37+G38</f>
        <v>85891680.5826312</v>
      </c>
      <c r="L38" s="0" t="n">
        <f aca="false">MAX(L37,J38)</f>
        <v>215449080.805216</v>
      </c>
      <c r="M38" s="0" t="n">
        <f aca="false">IF(AND(B38&lt;x_H,J38&lt;=0,L37&gt;0),1,0)</f>
        <v>0</v>
      </c>
      <c r="N38" s="0" t="n">
        <f aca="false">IF(AND(B38&lt;x_H,I38&lt;=0,O37&gt;0),1,0)</f>
        <v>0</v>
      </c>
      <c r="O38" s="0" t="n">
        <f aca="false">MAX(O37,I38)</f>
        <v>221852404.141098</v>
      </c>
      <c r="P38" s="0" t="n">
        <f aca="false">(L_V1!V28-L_S1!V28)*D38</f>
        <v>0</v>
      </c>
    </row>
    <row r="39" customFormat="false" ht="15" hidden="false" customHeight="false" outlineLevel="0" collapsed="false">
      <c r="A39" s="0" t="n">
        <v>2052</v>
      </c>
      <c r="B39" s="0" t="n">
        <v>26</v>
      </c>
      <c r="C39" s="0" t="n">
        <f aca="false">IF(B39&lt;x_H,(1+x_dk)^(-B39),0)</f>
        <v>0</v>
      </c>
      <c r="D39" s="0" t="n">
        <f aca="false">IF(B39&lt;x_H,(1+x_de)^(-B39),0)</f>
        <v>0</v>
      </c>
      <c r="E39" s="0" t="n">
        <f aca="false">(L_V1!AO29-L_S1!AO29)*C39</f>
        <v>-0</v>
      </c>
      <c r="F39" s="0" t="n">
        <f aca="false">(L_V1!AP29-L_S1!AP29)*C39</f>
        <v>-0</v>
      </c>
      <c r="G39" s="0" t="n">
        <f aca="false">(L_V1!AQ29-L_S1!AQ29)*C39</f>
        <v>-0</v>
      </c>
      <c r="H39" s="0" t="n">
        <f aca="false">(L_V1!AS29-L_S1!AS29)*C39</f>
        <v>0</v>
      </c>
      <c r="I39" s="0" t="n">
        <f aca="false">I38+E39</f>
        <v>172124472.39734</v>
      </c>
      <c r="J39" s="0" t="n">
        <f aca="false">J38+F39</f>
        <v>128316362.955117</v>
      </c>
      <c r="K39" s="0" t="n">
        <f aca="false">K38+G39</f>
        <v>85891680.5826312</v>
      </c>
      <c r="L39" s="0" t="n">
        <f aca="false">MAX(L38,J39)</f>
        <v>215449080.805216</v>
      </c>
      <c r="M39" s="0" t="n">
        <f aca="false">IF(AND(B39&lt;x_H,J39&lt;=0,L38&gt;0),1,0)</f>
        <v>0</v>
      </c>
      <c r="N39" s="0" t="n">
        <f aca="false">IF(AND(B39&lt;x_H,I39&lt;=0,O38&gt;0),1,0)</f>
        <v>0</v>
      </c>
      <c r="O39" s="0" t="n">
        <f aca="false">MAX(O38,I39)</f>
        <v>221852404.141098</v>
      </c>
      <c r="P39" s="0" t="n">
        <f aca="false">(L_V1!V29-L_S1!V29)*D39</f>
        <v>0</v>
      </c>
    </row>
    <row r="40" customFormat="false" ht="15" hidden="false" customHeight="false" outlineLevel="0" collapsed="false">
      <c r="A40" s="0" t="n">
        <v>2053</v>
      </c>
      <c r="B40" s="0" t="n">
        <v>27</v>
      </c>
      <c r="C40" s="0" t="n">
        <f aca="false">IF(B40&lt;x_H,(1+x_dk)^(-B40),0)</f>
        <v>0</v>
      </c>
      <c r="D40" s="0" t="n">
        <f aca="false">IF(B40&lt;x_H,(1+x_de)^(-B40),0)</f>
        <v>0</v>
      </c>
      <c r="E40" s="0" t="n">
        <f aca="false">(L_V1!AO30-L_S1!AO30)*C40</f>
        <v>-0</v>
      </c>
      <c r="F40" s="0" t="n">
        <f aca="false">(L_V1!AP30-L_S1!AP30)*C40</f>
        <v>-0</v>
      </c>
      <c r="G40" s="0" t="n">
        <f aca="false">(L_V1!AQ30-L_S1!AQ30)*C40</f>
        <v>-0</v>
      </c>
      <c r="H40" s="0" t="n">
        <f aca="false">(L_V1!AS30-L_S1!AS30)*C40</f>
        <v>0</v>
      </c>
      <c r="I40" s="0" t="n">
        <f aca="false">I39+E40</f>
        <v>172124472.39734</v>
      </c>
      <c r="J40" s="0" t="n">
        <f aca="false">J39+F40</f>
        <v>128316362.955117</v>
      </c>
      <c r="K40" s="0" t="n">
        <f aca="false">K39+G40</f>
        <v>85891680.5826312</v>
      </c>
      <c r="L40" s="0" t="n">
        <f aca="false">MAX(L39,J40)</f>
        <v>215449080.805216</v>
      </c>
      <c r="M40" s="0" t="n">
        <f aca="false">IF(AND(B40&lt;x_H,J40&lt;=0,L39&gt;0),1,0)</f>
        <v>0</v>
      </c>
      <c r="N40" s="0" t="n">
        <f aca="false">IF(AND(B40&lt;x_H,I40&lt;=0,O39&gt;0),1,0)</f>
        <v>0</v>
      </c>
      <c r="O40" s="0" t="n">
        <f aca="false">MAX(O39,I40)</f>
        <v>221852404.141098</v>
      </c>
      <c r="P40" s="0" t="n">
        <f aca="false">(L_V1!V30-L_S1!V30)*D40</f>
        <v>0</v>
      </c>
    </row>
    <row r="41" customFormat="false" ht="15" hidden="false" customHeight="false" outlineLevel="0" collapsed="false">
      <c r="A41" s="0" t="n">
        <v>2054</v>
      </c>
      <c r="B41" s="0" t="n">
        <v>28</v>
      </c>
      <c r="C41" s="0" t="n">
        <f aca="false">IF(B41&lt;x_H,(1+x_dk)^(-B41),0)</f>
        <v>0</v>
      </c>
      <c r="D41" s="0" t="n">
        <f aca="false">IF(B41&lt;x_H,(1+x_de)^(-B41),0)</f>
        <v>0</v>
      </c>
      <c r="E41" s="0" t="n">
        <f aca="false">(L_V1!AO31-L_S1!AO31)*C41</f>
        <v>-0</v>
      </c>
      <c r="F41" s="0" t="n">
        <f aca="false">(L_V1!AP31-L_S1!AP31)*C41</f>
        <v>-0</v>
      </c>
      <c r="G41" s="0" t="n">
        <f aca="false">(L_V1!AQ31-L_S1!AQ31)*C41</f>
        <v>-0</v>
      </c>
      <c r="H41" s="0" t="n">
        <f aca="false">(L_V1!AS31-L_S1!AS31)*C41</f>
        <v>0</v>
      </c>
      <c r="I41" s="0" t="n">
        <f aca="false">I40+E41</f>
        <v>172124472.39734</v>
      </c>
      <c r="J41" s="0" t="n">
        <f aca="false">J40+F41</f>
        <v>128316362.955117</v>
      </c>
      <c r="K41" s="0" t="n">
        <f aca="false">K40+G41</f>
        <v>85891680.5826312</v>
      </c>
      <c r="L41" s="0" t="n">
        <f aca="false">MAX(L40,J41)</f>
        <v>215449080.805216</v>
      </c>
      <c r="M41" s="0" t="n">
        <f aca="false">IF(AND(B41&lt;x_H,J41&lt;=0,L40&gt;0),1,0)</f>
        <v>0</v>
      </c>
      <c r="N41" s="0" t="n">
        <f aca="false">IF(AND(B41&lt;x_H,I41&lt;=0,O40&gt;0),1,0)</f>
        <v>0</v>
      </c>
      <c r="O41" s="0" t="n">
        <f aca="false">MAX(O40,I41)</f>
        <v>221852404.141098</v>
      </c>
      <c r="P41" s="0" t="n">
        <f aca="false">(L_V1!V31-L_S1!V31)*D41</f>
        <v>0</v>
      </c>
    </row>
    <row r="42" customFormat="false" ht="15" hidden="false" customHeight="false" outlineLevel="0" collapsed="false">
      <c r="A42" s="0" t="n">
        <v>2055</v>
      </c>
      <c r="B42" s="0" t="n">
        <v>29</v>
      </c>
      <c r="C42" s="0" t="n">
        <f aca="false">IF(B42&lt;x_H,(1+x_dk)^(-B42),0)</f>
        <v>0</v>
      </c>
      <c r="D42" s="0" t="n">
        <f aca="false">IF(B42&lt;x_H,(1+x_de)^(-B42),0)</f>
        <v>0</v>
      </c>
      <c r="E42" s="0" t="n">
        <f aca="false">(L_V1!AO32-L_S1!AO32)*C42</f>
        <v>-0</v>
      </c>
      <c r="F42" s="0" t="n">
        <f aca="false">(L_V1!AP32-L_S1!AP32)*C42</f>
        <v>-0</v>
      </c>
      <c r="G42" s="0" t="n">
        <f aca="false">(L_V1!AQ32-L_S1!AQ32)*C42</f>
        <v>-0</v>
      </c>
      <c r="H42" s="0" t="n">
        <f aca="false">(L_V1!AS32-L_S1!AS32)*C42</f>
        <v>0</v>
      </c>
      <c r="I42" s="0" t="n">
        <f aca="false">I41+E42</f>
        <v>172124472.39734</v>
      </c>
      <c r="J42" s="0" t="n">
        <f aca="false">J41+F42</f>
        <v>128316362.955117</v>
      </c>
      <c r="K42" s="0" t="n">
        <f aca="false">K41+G42</f>
        <v>85891680.5826312</v>
      </c>
      <c r="L42" s="0" t="n">
        <f aca="false">MAX(L41,J42)</f>
        <v>215449080.805216</v>
      </c>
      <c r="M42" s="0" t="n">
        <f aca="false">IF(AND(B42&lt;x_H,J42&lt;=0,L41&gt;0),1,0)</f>
        <v>0</v>
      </c>
      <c r="N42" s="0" t="n">
        <f aca="false">IF(AND(B42&lt;x_H,I42&lt;=0,O41&gt;0),1,0)</f>
        <v>0</v>
      </c>
      <c r="O42" s="0" t="n">
        <f aca="false">MAX(O41,I42)</f>
        <v>221852404.141098</v>
      </c>
      <c r="P42" s="0" t="n">
        <f aca="false">(L_V1!V32-L_S1!V32)*D42</f>
        <v>0</v>
      </c>
    </row>
    <row r="43" customFormat="false" ht="15" hidden="false" customHeight="false" outlineLevel="0" collapsed="false">
      <c r="A43" s="0" t="n">
        <v>2056</v>
      </c>
      <c r="B43" s="0" t="n">
        <v>30</v>
      </c>
      <c r="C43" s="0" t="n">
        <f aca="false">IF(B43&lt;x_H,(1+x_dk)^(-B43),0)</f>
        <v>0</v>
      </c>
      <c r="D43" s="0" t="n">
        <f aca="false">IF(B43&lt;x_H,(1+x_de)^(-B43),0)</f>
        <v>0</v>
      </c>
      <c r="E43" s="0" t="n">
        <f aca="false">(L_V1!AO33-L_S1!AO33)*C43</f>
        <v>-0</v>
      </c>
      <c r="F43" s="0" t="n">
        <f aca="false">(L_V1!AP33-L_S1!AP33)*C43</f>
        <v>-0</v>
      </c>
      <c r="G43" s="0" t="n">
        <f aca="false">(L_V1!AQ33-L_S1!AQ33)*C43</f>
        <v>-0</v>
      </c>
      <c r="H43" s="0" t="n">
        <f aca="false">(L_V1!AS33-L_S1!AS33)*C43</f>
        <v>0</v>
      </c>
      <c r="I43" s="0" t="n">
        <f aca="false">I42+E43</f>
        <v>172124472.39734</v>
      </c>
      <c r="J43" s="0" t="n">
        <f aca="false">J42+F43</f>
        <v>128316362.955117</v>
      </c>
      <c r="K43" s="0" t="n">
        <f aca="false">K42+G43</f>
        <v>85891680.5826312</v>
      </c>
      <c r="L43" s="0" t="n">
        <f aca="false">MAX(L42,J43)</f>
        <v>215449080.805216</v>
      </c>
      <c r="M43" s="0" t="n">
        <f aca="false">IF(AND(B43&lt;x_H,J43&lt;=0,L42&gt;0),1,0)</f>
        <v>0</v>
      </c>
      <c r="N43" s="0" t="n">
        <f aca="false">IF(AND(B43&lt;x_H,I43&lt;=0,O42&gt;0),1,0)</f>
        <v>0</v>
      </c>
      <c r="O43" s="0" t="n">
        <f aca="false">MAX(O42,I43)</f>
        <v>221852404.141098</v>
      </c>
      <c r="P43" s="0" t="n">
        <f aca="false">(L_V1!V33-L_S1!V33)*D43</f>
        <v>0</v>
      </c>
    </row>
    <row r="44" customFormat="false" ht="15" hidden="false" customHeight="false" outlineLevel="0" collapsed="false">
      <c r="A44" s="0" t="n">
        <v>2057</v>
      </c>
      <c r="B44" s="0" t="n">
        <v>31</v>
      </c>
      <c r="C44" s="0" t="n">
        <f aca="false">IF(B44&lt;x_H,(1+x_dk)^(-B44),0)</f>
        <v>0</v>
      </c>
      <c r="D44" s="0" t="n">
        <f aca="false">IF(B44&lt;x_H,(1+x_de)^(-B44),0)</f>
        <v>0</v>
      </c>
      <c r="E44" s="0" t="n">
        <f aca="false">(L_V1!AO34-L_S1!AO34)*C44</f>
        <v>-0</v>
      </c>
      <c r="F44" s="0" t="n">
        <f aca="false">(L_V1!AP34-L_S1!AP34)*C44</f>
        <v>-0</v>
      </c>
      <c r="G44" s="0" t="n">
        <f aca="false">(L_V1!AQ34-L_S1!AQ34)*C44</f>
        <v>-0</v>
      </c>
      <c r="H44" s="0" t="n">
        <f aca="false">(L_V1!AS34-L_S1!AS34)*C44</f>
        <v>0</v>
      </c>
      <c r="I44" s="0" t="n">
        <f aca="false">I43+E44</f>
        <v>172124472.39734</v>
      </c>
      <c r="J44" s="0" t="n">
        <f aca="false">J43+F44</f>
        <v>128316362.955117</v>
      </c>
      <c r="K44" s="0" t="n">
        <f aca="false">K43+G44</f>
        <v>85891680.5826312</v>
      </c>
      <c r="L44" s="0" t="n">
        <f aca="false">MAX(L43,J44)</f>
        <v>215449080.805216</v>
      </c>
      <c r="M44" s="0" t="n">
        <f aca="false">IF(AND(B44&lt;x_H,J44&lt;=0,L43&gt;0),1,0)</f>
        <v>0</v>
      </c>
      <c r="N44" s="0" t="n">
        <f aca="false">IF(AND(B44&lt;x_H,I44&lt;=0,O43&gt;0),1,0)</f>
        <v>0</v>
      </c>
      <c r="O44" s="0" t="n">
        <f aca="false">MAX(O43,I44)</f>
        <v>221852404.141098</v>
      </c>
      <c r="P44" s="0" t="n">
        <f aca="false">(L_V1!V34-L_S1!V34)*D44</f>
        <v>0</v>
      </c>
    </row>
    <row r="45" customFormat="false" ht="15" hidden="false" customHeight="false" outlineLevel="0" collapsed="false">
      <c r="A45" s="0" t="n">
        <v>2058</v>
      </c>
      <c r="B45" s="0" t="n">
        <v>32</v>
      </c>
      <c r="C45" s="0" t="n">
        <f aca="false">IF(B45&lt;x_H,(1+x_dk)^(-B45),0)</f>
        <v>0</v>
      </c>
      <c r="D45" s="0" t="n">
        <f aca="false">IF(B45&lt;x_H,(1+x_de)^(-B45),0)</f>
        <v>0</v>
      </c>
      <c r="E45" s="0" t="n">
        <f aca="false">(L_V1!AO35-L_S1!AO35)*C45</f>
        <v>-0</v>
      </c>
      <c r="F45" s="0" t="n">
        <f aca="false">(L_V1!AP35-L_S1!AP35)*C45</f>
        <v>-0</v>
      </c>
      <c r="G45" s="0" t="n">
        <f aca="false">(L_V1!AQ35-L_S1!AQ35)*C45</f>
        <v>-0</v>
      </c>
      <c r="H45" s="0" t="n">
        <f aca="false">(L_V1!AS35-L_S1!AS35)*C45</f>
        <v>0</v>
      </c>
      <c r="I45" s="0" t="n">
        <f aca="false">I44+E45</f>
        <v>172124472.39734</v>
      </c>
      <c r="J45" s="0" t="n">
        <f aca="false">J44+F45</f>
        <v>128316362.955117</v>
      </c>
      <c r="K45" s="0" t="n">
        <f aca="false">K44+G45</f>
        <v>85891680.5826312</v>
      </c>
      <c r="L45" s="0" t="n">
        <f aca="false">MAX(L44,J45)</f>
        <v>215449080.805216</v>
      </c>
      <c r="M45" s="0" t="n">
        <f aca="false">IF(AND(B45&lt;x_H,J45&lt;=0,L44&gt;0),1,0)</f>
        <v>0</v>
      </c>
      <c r="N45" s="0" t="n">
        <f aca="false">IF(AND(B45&lt;x_H,I45&lt;=0,O44&gt;0),1,0)</f>
        <v>0</v>
      </c>
      <c r="O45" s="0" t="n">
        <f aca="false">MAX(O44,I45)</f>
        <v>221852404.141098</v>
      </c>
      <c r="P45" s="0" t="n">
        <f aca="false">(L_V1!V35-L_S1!V35)*D45</f>
        <v>0</v>
      </c>
    </row>
    <row r="46" customFormat="false" ht="15" hidden="false" customHeight="false" outlineLevel="0" collapsed="false">
      <c r="A46" s="0" t="n">
        <v>2059</v>
      </c>
      <c r="B46" s="0" t="n">
        <v>33</v>
      </c>
      <c r="C46" s="0" t="n">
        <f aca="false">IF(B46&lt;x_H,(1+x_dk)^(-B46),0)</f>
        <v>0</v>
      </c>
      <c r="D46" s="0" t="n">
        <f aca="false">IF(B46&lt;x_H,(1+x_de)^(-B46),0)</f>
        <v>0</v>
      </c>
      <c r="E46" s="0" t="n">
        <f aca="false">(L_V1!AO36-L_S1!AO36)*C46</f>
        <v>-0</v>
      </c>
      <c r="F46" s="0" t="n">
        <f aca="false">(L_V1!AP36-L_S1!AP36)*C46</f>
        <v>-0</v>
      </c>
      <c r="G46" s="0" t="n">
        <f aca="false">(L_V1!AQ36-L_S1!AQ36)*C46</f>
        <v>-0</v>
      </c>
      <c r="H46" s="0" t="n">
        <f aca="false">(L_V1!AS36-L_S1!AS36)*C46</f>
        <v>0</v>
      </c>
      <c r="I46" s="0" t="n">
        <f aca="false">I45+E46</f>
        <v>172124472.39734</v>
      </c>
      <c r="J46" s="0" t="n">
        <f aca="false">J45+F46</f>
        <v>128316362.955117</v>
      </c>
      <c r="K46" s="0" t="n">
        <f aca="false">K45+G46</f>
        <v>85891680.5826312</v>
      </c>
      <c r="L46" s="0" t="n">
        <f aca="false">MAX(L45,J46)</f>
        <v>215449080.805216</v>
      </c>
      <c r="M46" s="0" t="n">
        <f aca="false">IF(AND(B46&lt;x_H,J46&lt;=0,L45&gt;0),1,0)</f>
        <v>0</v>
      </c>
      <c r="N46" s="0" t="n">
        <f aca="false">IF(AND(B46&lt;x_H,I46&lt;=0,O45&gt;0),1,0)</f>
        <v>0</v>
      </c>
      <c r="O46" s="0" t="n">
        <f aca="false">MAX(O45,I46)</f>
        <v>221852404.141098</v>
      </c>
      <c r="P46" s="0" t="n">
        <f aca="false">(L_V1!V36-L_S1!V36)*D46</f>
        <v>0</v>
      </c>
    </row>
    <row r="47" customFormat="false" ht="15" hidden="false" customHeight="false" outlineLevel="0" collapsed="false">
      <c r="A47" s="0" t="n">
        <v>2060</v>
      </c>
      <c r="B47" s="0" t="n">
        <v>34</v>
      </c>
      <c r="C47" s="0" t="n">
        <f aca="false">IF(B47&lt;x_H,(1+x_dk)^(-B47),0)</f>
        <v>0</v>
      </c>
      <c r="D47" s="0" t="n">
        <f aca="false">IF(B47&lt;x_H,(1+x_de)^(-B47),0)</f>
        <v>0</v>
      </c>
      <c r="E47" s="0" t="n">
        <f aca="false">(L_V1!AO37-L_S1!AO37)*C47</f>
        <v>-0</v>
      </c>
      <c r="F47" s="0" t="n">
        <f aca="false">(L_V1!AP37-L_S1!AP37)*C47</f>
        <v>-0</v>
      </c>
      <c r="G47" s="0" t="n">
        <f aca="false">(L_V1!AQ37-L_S1!AQ37)*C47</f>
        <v>-0</v>
      </c>
      <c r="H47" s="0" t="n">
        <f aca="false">(L_V1!AS37-L_S1!AS37)*C47</f>
        <v>0</v>
      </c>
      <c r="I47" s="0" t="n">
        <f aca="false">I46+E47</f>
        <v>172124472.39734</v>
      </c>
      <c r="J47" s="0" t="n">
        <f aca="false">J46+F47</f>
        <v>128316362.955117</v>
      </c>
      <c r="K47" s="0" t="n">
        <f aca="false">K46+G47</f>
        <v>85891680.5826312</v>
      </c>
      <c r="L47" s="0" t="n">
        <f aca="false">MAX(L46,J47)</f>
        <v>215449080.805216</v>
      </c>
      <c r="M47" s="0" t="n">
        <f aca="false">IF(AND(B47&lt;x_H,J47&lt;=0,L46&gt;0),1,0)</f>
        <v>0</v>
      </c>
      <c r="N47" s="0" t="n">
        <f aca="false">IF(AND(B47&lt;x_H,I47&lt;=0,O46&gt;0),1,0)</f>
        <v>0</v>
      </c>
      <c r="O47" s="0" t="n">
        <f aca="false">MAX(O46,I47)</f>
        <v>221852404.141098</v>
      </c>
      <c r="P47" s="0" t="n">
        <f aca="false">(L_V1!V37-L_S1!V37)*D47</f>
        <v>0</v>
      </c>
    </row>
    <row r="48" customFormat="false" ht="15" hidden="false" customHeight="false" outlineLevel="0" collapsed="false">
      <c r="A48" s="0" t="n">
        <v>2061</v>
      </c>
      <c r="B48" s="0" t="n">
        <v>35</v>
      </c>
      <c r="C48" s="0" t="n">
        <f aca="false">IF(B48&lt;x_H,(1+x_dk)^(-B48),0)</f>
        <v>0</v>
      </c>
      <c r="D48" s="0" t="n">
        <f aca="false">IF(B48&lt;x_H,(1+x_de)^(-B48),0)</f>
        <v>0</v>
      </c>
      <c r="E48" s="0" t="n">
        <f aca="false">(L_V1!AO38-L_S1!AO38)*C48</f>
        <v>-0</v>
      </c>
      <c r="F48" s="0" t="n">
        <f aca="false">(L_V1!AP38-L_S1!AP38)*C48</f>
        <v>-0</v>
      </c>
      <c r="G48" s="0" t="n">
        <f aca="false">(L_V1!AQ38-L_S1!AQ38)*C48</f>
        <v>-0</v>
      </c>
      <c r="H48" s="0" t="n">
        <f aca="false">(L_V1!AS38-L_S1!AS38)*C48</f>
        <v>0</v>
      </c>
      <c r="I48" s="0" t="n">
        <f aca="false">I47+E48</f>
        <v>172124472.39734</v>
      </c>
      <c r="J48" s="0" t="n">
        <f aca="false">J47+F48</f>
        <v>128316362.955117</v>
      </c>
      <c r="K48" s="0" t="n">
        <f aca="false">K47+G48</f>
        <v>85891680.5826312</v>
      </c>
      <c r="L48" s="0" t="n">
        <f aca="false">MAX(L47,J48)</f>
        <v>215449080.805216</v>
      </c>
      <c r="M48" s="0" t="n">
        <f aca="false">IF(AND(B48&lt;x_H,J48&lt;=0,L47&gt;0),1,0)</f>
        <v>0</v>
      </c>
      <c r="N48" s="0" t="n">
        <f aca="false">IF(AND(B48&lt;x_H,I48&lt;=0,O47&gt;0),1,0)</f>
        <v>0</v>
      </c>
      <c r="O48" s="0" t="n">
        <f aca="false">MAX(O47,I48)</f>
        <v>221852404.141098</v>
      </c>
      <c r="P48" s="0" t="n">
        <f aca="false">(L_V1!V38-L_S1!V38)*D48</f>
        <v>0</v>
      </c>
    </row>
    <row r="49" customFormat="false" ht="15" hidden="false" customHeight="false" outlineLevel="0" collapsed="false">
      <c r="A49" s="0" t="n">
        <v>2062</v>
      </c>
      <c r="B49" s="0" t="n">
        <v>36</v>
      </c>
      <c r="C49" s="0" t="n">
        <f aca="false">IF(B49&lt;x_H,(1+x_dk)^(-B49),0)</f>
        <v>0</v>
      </c>
      <c r="D49" s="0" t="n">
        <f aca="false">IF(B49&lt;x_H,(1+x_de)^(-B49),0)</f>
        <v>0</v>
      </c>
      <c r="E49" s="0" t="n">
        <f aca="false">(L_V1!AO39-L_S1!AO39)*C49</f>
        <v>-0</v>
      </c>
      <c r="F49" s="0" t="n">
        <f aca="false">(L_V1!AP39-L_S1!AP39)*C49</f>
        <v>-0</v>
      </c>
      <c r="G49" s="0" t="n">
        <f aca="false">(L_V1!AQ39-L_S1!AQ39)*C49</f>
        <v>-0</v>
      </c>
      <c r="H49" s="0" t="n">
        <f aca="false">(L_V1!AS39-L_S1!AS39)*C49</f>
        <v>0</v>
      </c>
      <c r="I49" s="0" t="n">
        <f aca="false">I48+E49</f>
        <v>172124472.39734</v>
      </c>
      <c r="J49" s="0" t="n">
        <f aca="false">J48+F49</f>
        <v>128316362.955117</v>
      </c>
      <c r="K49" s="0" t="n">
        <f aca="false">K48+G49</f>
        <v>85891680.5826312</v>
      </c>
      <c r="L49" s="0" t="n">
        <f aca="false">MAX(L48,J49)</f>
        <v>215449080.805216</v>
      </c>
      <c r="M49" s="0" t="n">
        <f aca="false">IF(AND(B49&lt;x_H,J49&lt;=0,L48&gt;0),1,0)</f>
        <v>0</v>
      </c>
      <c r="N49" s="0" t="n">
        <f aca="false">IF(AND(B49&lt;x_H,I49&lt;=0,O48&gt;0),1,0)</f>
        <v>0</v>
      </c>
      <c r="O49" s="0" t="n">
        <f aca="false">MAX(O48,I49)</f>
        <v>221852404.141098</v>
      </c>
      <c r="P49" s="0" t="n">
        <f aca="false">(L_V1!V39-L_S1!V39)*D49</f>
        <v>0</v>
      </c>
    </row>
    <row r="50" customFormat="false" ht="15" hidden="false" customHeight="false" outlineLevel="0" collapsed="false">
      <c r="A50" s="0" t="n">
        <v>2063</v>
      </c>
      <c r="B50" s="0" t="n">
        <v>37</v>
      </c>
      <c r="C50" s="0" t="n">
        <f aca="false">IF(B50&lt;x_H,(1+x_dk)^(-B50),0)</f>
        <v>0</v>
      </c>
      <c r="D50" s="0" t="n">
        <f aca="false">IF(B50&lt;x_H,(1+x_de)^(-B50),0)</f>
        <v>0</v>
      </c>
      <c r="E50" s="0" t="n">
        <f aca="false">(L_V1!AO40-L_S1!AO40)*C50</f>
        <v>-0</v>
      </c>
      <c r="F50" s="0" t="n">
        <f aca="false">(L_V1!AP40-L_S1!AP40)*C50</f>
        <v>-0</v>
      </c>
      <c r="G50" s="0" t="n">
        <f aca="false">(L_V1!AQ40-L_S1!AQ40)*C50</f>
        <v>-0</v>
      </c>
      <c r="H50" s="0" t="n">
        <f aca="false">(L_V1!AS40-L_S1!AS40)*C50</f>
        <v>0</v>
      </c>
      <c r="I50" s="0" t="n">
        <f aca="false">I49+E50</f>
        <v>172124472.39734</v>
      </c>
      <c r="J50" s="0" t="n">
        <f aca="false">J49+F50</f>
        <v>128316362.955117</v>
      </c>
      <c r="K50" s="0" t="n">
        <f aca="false">K49+G50</f>
        <v>85891680.5826312</v>
      </c>
      <c r="L50" s="0" t="n">
        <f aca="false">MAX(L49,J50)</f>
        <v>215449080.805216</v>
      </c>
      <c r="M50" s="0" t="n">
        <f aca="false">IF(AND(B50&lt;x_H,J50&lt;=0,L49&gt;0),1,0)</f>
        <v>0</v>
      </c>
      <c r="N50" s="0" t="n">
        <f aca="false">IF(AND(B50&lt;x_H,I50&lt;=0,O49&gt;0),1,0)</f>
        <v>0</v>
      </c>
      <c r="O50" s="0" t="n">
        <f aca="false">MAX(O49,I50)</f>
        <v>221852404.141098</v>
      </c>
      <c r="P50" s="0" t="n">
        <f aca="false">(L_V1!V40-L_S1!V40)*D50</f>
        <v>0</v>
      </c>
    </row>
    <row r="51" customFormat="false" ht="15" hidden="false" customHeight="false" outlineLevel="0" collapsed="false">
      <c r="A51" s="0" t="n">
        <v>2064</v>
      </c>
      <c r="B51" s="0" t="n">
        <v>38</v>
      </c>
      <c r="C51" s="0" t="n">
        <f aca="false">IF(B51&lt;x_H,(1+x_dk)^(-B51),0)</f>
        <v>0</v>
      </c>
      <c r="D51" s="0" t="n">
        <f aca="false">IF(B51&lt;x_H,(1+x_de)^(-B51),0)</f>
        <v>0</v>
      </c>
      <c r="E51" s="0" t="n">
        <f aca="false">(L_V1!AO41-L_S1!AO41)*C51</f>
        <v>-0</v>
      </c>
      <c r="F51" s="0" t="n">
        <f aca="false">(L_V1!AP41-L_S1!AP41)*C51</f>
        <v>-0</v>
      </c>
      <c r="G51" s="0" t="n">
        <f aca="false">(L_V1!AQ41-L_S1!AQ41)*C51</f>
        <v>-0</v>
      </c>
      <c r="H51" s="0" t="n">
        <f aca="false">(L_V1!AS41-L_S1!AS41)*C51</f>
        <v>0</v>
      </c>
      <c r="I51" s="0" t="n">
        <f aca="false">I50+E51</f>
        <v>172124472.39734</v>
      </c>
      <c r="J51" s="0" t="n">
        <f aca="false">J50+F51</f>
        <v>128316362.955117</v>
      </c>
      <c r="K51" s="0" t="n">
        <f aca="false">K50+G51</f>
        <v>85891680.5826312</v>
      </c>
      <c r="L51" s="0" t="n">
        <f aca="false">MAX(L50,J51)</f>
        <v>215449080.805216</v>
      </c>
      <c r="M51" s="0" t="n">
        <f aca="false">IF(AND(B51&lt;x_H,J51&lt;=0,L50&gt;0),1,0)</f>
        <v>0</v>
      </c>
      <c r="N51" s="0" t="n">
        <f aca="false">IF(AND(B51&lt;x_H,I51&lt;=0,O50&gt;0),1,0)</f>
        <v>0</v>
      </c>
      <c r="O51" s="0" t="n">
        <f aca="false">MAX(O50,I51)</f>
        <v>221852404.141098</v>
      </c>
      <c r="P51" s="0" t="n">
        <f aca="false">(L_V1!V41-L_S1!V41)*D51</f>
        <v>0</v>
      </c>
    </row>
    <row r="52" customFormat="false" ht="15" hidden="false" customHeight="false" outlineLevel="0" collapsed="false">
      <c r="A52" s="0" t="n">
        <v>2065</v>
      </c>
      <c r="B52" s="0" t="n">
        <v>39</v>
      </c>
      <c r="C52" s="0" t="n">
        <f aca="false">IF(B52&lt;x_H,(1+x_dk)^(-B52),0)</f>
        <v>0</v>
      </c>
      <c r="D52" s="0" t="n">
        <f aca="false">IF(B52&lt;x_H,(1+x_de)^(-B52),0)</f>
        <v>0</v>
      </c>
      <c r="E52" s="0" t="n">
        <f aca="false">(L_V1!AO42-L_S1!AO42)*C52</f>
        <v>-0</v>
      </c>
      <c r="F52" s="0" t="n">
        <f aca="false">(L_V1!AP42-L_S1!AP42)*C52</f>
        <v>-0</v>
      </c>
      <c r="G52" s="0" t="n">
        <f aca="false">(L_V1!AQ42-L_S1!AQ42)*C52</f>
        <v>-0</v>
      </c>
      <c r="H52" s="0" t="n">
        <f aca="false">(L_V1!AS42-L_S1!AS42)*C52</f>
        <v>0</v>
      </c>
      <c r="I52" s="0" t="n">
        <f aca="false">I51+E52</f>
        <v>172124472.39734</v>
      </c>
      <c r="J52" s="0" t="n">
        <f aca="false">J51+F52</f>
        <v>128316362.955117</v>
      </c>
      <c r="K52" s="0" t="n">
        <f aca="false">K51+G52</f>
        <v>85891680.5826312</v>
      </c>
      <c r="L52" s="0" t="n">
        <f aca="false">MAX(L51,J52)</f>
        <v>215449080.805216</v>
      </c>
      <c r="M52" s="0" t="n">
        <f aca="false">IF(AND(B52&lt;x_H,J52&lt;=0,L51&gt;0),1,0)</f>
        <v>0</v>
      </c>
      <c r="N52" s="0" t="n">
        <f aca="false">IF(AND(B52&lt;x_H,I52&lt;=0,O51&gt;0),1,0)</f>
        <v>0</v>
      </c>
      <c r="O52" s="0" t="n">
        <f aca="false">MAX(O51,I52)</f>
        <v>221852404.141098</v>
      </c>
      <c r="P52" s="0" t="n">
        <f aca="false">(L_V1!V42-L_S1!V42)*D52</f>
        <v>0</v>
      </c>
    </row>
    <row r="53" customFormat="false" ht="15" hidden="false" customHeight="false" outlineLevel="0" collapsed="false">
      <c r="A53" s="0" t="n">
        <v>2066</v>
      </c>
      <c r="B53" s="0" t="n">
        <v>40</v>
      </c>
      <c r="C53" s="0" t="n">
        <f aca="false">IF(B53&lt;x_H,(1+x_dk)^(-B53),0)</f>
        <v>0</v>
      </c>
      <c r="D53" s="0" t="n">
        <f aca="false">IF(B53&lt;x_H,(1+x_de)^(-B53),0)</f>
        <v>0</v>
      </c>
      <c r="E53" s="0" t="n">
        <f aca="false">(L_V1!AO43-L_S1!AO43)*C53</f>
        <v>-0</v>
      </c>
      <c r="F53" s="0" t="n">
        <f aca="false">(L_V1!AP43-L_S1!AP43)*C53</f>
        <v>-0</v>
      </c>
      <c r="G53" s="0" t="n">
        <f aca="false">(L_V1!AQ43-L_S1!AQ43)*C53</f>
        <v>-0</v>
      </c>
      <c r="H53" s="0" t="n">
        <f aca="false">(L_V1!AS43-L_S1!AS43)*C53</f>
        <v>0</v>
      </c>
      <c r="I53" s="0" t="n">
        <f aca="false">I52+E53</f>
        <v>172124472.39734</v>
      </c>
      <c r="J53" s="0" t="n">
        <f aca="false">J52+F53</f>
        <v>128316362.955117</v>
      </c>
      <c r="K53" s="0" t="n">
        <f aca="false">K52+G53</f>
        <v>85891680.5826312</v>
      </c>
      <c r="L53" s="0" t="n">
        <f aca="false">MAX(L52,J53)</f>
        <v>215449080.805216</v>
      </c>
      <c r="M53" s="0" t="n">
        <f aca="false">IF(AND(B53&lt;x_H,J53&lt;=0,L52&gt;0),1,0)</f>
        <v>0</v>
      </c>
      <c r="N53" s="0" t="n">
        <f aca="false">IF(AND(B53&lt;x_H,I53&lt;=0,O52&gt;0),1,0)</f>
        <v>0</v>
      </c>
      <c r="O53" s="0" t="n">
        <f aca="false">MAX(O52,I53)</f>
        <v>221852404.141098</v>
      </c>
      <c r="P53" s="0" t="n">
        <f aca="false">(L_V1!V43-L_S1!V43)*D53</f>
        <v>0</v>
      </c>
    </row>
    <row r="54" customFormat="false" ht="15" hidden="false" customHeight="false" outlineLevel="0" collapsed="false">
      <c r="A54" s="0" t="n">
        <v>2067</v>
      </c>
      <c r="B54" s="0" t="n">
        <v>41</v>
      </c>
      <c r="C54" s="0" t="n">
        <f aca="false">IF(B54&lt;x_H,(1+x_dk)^(-B54),0)</f>
        <v>0</v>
      </c>
      <c r="D54" s="0" t="n">
        <f aca="false">IF(B54&lt;x_H,(1+x_de)^(-B54),0)</f>
        <v>0</v>
      </c>
      <c r="E54" s="0" t="n">
        <f aca="false">(L_V1!AO44-L_S1!AO44)*C54</f>
        <v>-0</v>
      </c>
      <c r="F54" s="0" t="n">
        <f aca="false">(L_V1!AP44-L_S1!AP44)*C54</f>
        <v>-0</v>
      </c>
      <c r="G54" s="0" t="n">
        <f aca="false">(L_V1!AQ44-L_S1!AQ44)*C54</f>
        <v>-0</v>
      </c>
      <c r="H54" s="0" t="n">
        <f aca="false">(L_V1!AS44-L_S1!AS44)*C54</f>
        <v>0</v>
      </c>
      <c r="I54" s="0" t="n">
        <f aca="false">I53+E54</f>
        <v>172124472.39734</v>
      </c>
      <c r="J54" s="0" t="n">
        <f aca="false">J53+F54</f>
        <v>128316362.955117</v>
      </c>
      <c r="K54" s="0" t="n">
        <f aca="false">K53+G54</f>
        <v>85891680.5826312</v>
      </c>
      <c r="L54" s="0" t="n">
        <f aca="false">MAX(L53,J54)</f>
        <v>215449080.805216</v>
      </c>
      <c r="M54" s="0" t="n">
        <f aca="false">IF(AND(B54&lt;x_H,J54&lt;=0,L53&gt;0),1,0)</f>
        <v>0</v>
      </c>
      <c r="N54" s="0" t="n">
        <f aca="false">IF(AND(B54&lt;x_H,I54&lt;=0,O53&gt;0),1,0)</f>
        <v>0</v>
      </c>
      <c r="O54" s="0" t="n">
        <f aca="false">MAX(O53,I54)</f>
        <v>221852404.141098</v>
      </c>
      <c r="P54" s="0" t="n">
        <f aca="false">(L_V1!V44-L_S1!V44)*D54</f>
        <v>0</v>
      </c>
    </row>
    <row r="55" customFormat="false" ht="15" hidden="false" customHeight="false" outlineLevel="0" collapsed="false">
      <c r="A55" s="0" t="n">
        <v>2068</v>
      </c>
      <c r="B55" s="0" t="n">
        <v>42</v>
      </c>
      <c r="C55" s="0" t="n">
        <f aca="false">IF(B55&lt;x_H,(1+x_dk)^(-B55),0)</f>
        <v>0</v>
      </c>
      <c r="D55" s="0" t="n">
        <f aca="false">IF(B55&lt;x_H,(1+x_de)^(-B55),0)</f>
        <v>0</v>
      </c>
      <c r="E55" s="0" t="n">
        <f aca="false">(L_V1!AO45-L_S1!AO45)*C55</f>
        <v>-0</v>
      </c>
      <c r="F55" s="0" t="n">
        <f aca="false">(L_V1!AP45-L_S1!AP45)*C55</f>
        <v>-0</v>
      </c>
      <c r="G55" s="0" t="n">
        <f aca="false">(L_V1!AQ45-L_S1!AQ45)*C55</f>
        <v>-0</v>
      </c>
      <c r="H55" s="0" t="n">
        <f aca="false">(L_V1!AS45-L_S1!AS45)*C55</f>
        <v>0</v>
      </c>
      <c r="I55" s="0" t="n">
        <f aca="false">I54+E55</f>
        <v>172124472.39734</v>
      </c>
      <c r="J55" s="0" t="n">
        <f aca="false">J54+F55</f>
        <v>128316362.955117</v>
      </c>
      <c r="K55" s="0" t="n">
        <f aca="false">K54+G55</f>
        <v>85891680.5826312</v>
      </c>
      <c r="L55" s="0" t="n">
        <f aca="false">MAX(L54,J55)</f>
        <v>215449080.805216</v>
      </c>
      <c r="M55" s="0" t="n">
        <f aca="false">IF(AND(B55&lt;x_H,J55&lt;=0,L54&gt;0),1,0)</f>
        <v>0</v>
      </c>
      <c r="N55" s="0" t="n">
        <f aca="false">IF(AND(B55&lt;x_H,I55&lt;=0,O54&gt;0),1,0)</f>
        <v>0</v>
      </c>
      <c r="O55" s="0" t="n">
        <f aca="false">MAX(O54,I55)</f>
        <v>221852404.141098</v>
      </c>
      <c r="P55" s="0" t="n">
        <f aca="false">(L_V1!V45-L_S1!V45)*D55</f>
        <v>0</v>
      </c>
    </row>
    <row r="56" customFormat="false" ht="15" hidden="false" customHeight="false" outlineLevel="0" collapsed="false">
      <c r="A56" s="0" t="n">
        <v>2069</v>
      </c>
      <c r="B56" s="0" t="n">
        <v>43</v>
      </c>
      <c r="C56" s="0" t="n">
        <f aca="false">IF(B56&lt;x_H,(1+x_dk)^(-B56),0)</f>
        <v>0</v>
      </c>
      <c r="D56" s="0" t="n">
        <f aca="false">IF(B56&lt;x_H,(1+x_de)^(-B56),0)</f>
        <v>0</v>
      </c>
      <c r="E56" s="0" t="n">
        <f aca="false">(L_V1!AO46-L_S1!AO46)*C56</f>
        <v>-0</v>
      </c>
      <c r="F56" s="0" t="n">
        <f aca="false">(L_V1!AP46-L_S1!AP46)*C56</f>
        <v>-0</v>
      </c>
      <c r="G56" s="0" t="n">
        <f aca="false">(L_V1!AQ46-L_S1!AQ46)*C56</f>
        <v>-0</v>
      </c>
      <c r="H56" s="0" t="n">
        <f aca="false">(L_V1!AS46-L_S1!AS46)*C56</f>
        <v>0</v>
      </c>
      <c r="I56" s="0" t="n">
        <f aca="false">I55+E56</f>
        <v>172124472.39734</v>
      </c>
      <c r="J56" s="0" t="n">
        <f aca="false">J55+F56</f>
        <v>128316362.955117</v>
      </c>
      <c r="K56" s="0" t="n">
        <f aca="false">K55+G56</f>
        <v>85891680.5826312</v>
      </c>
      <c r="L56" s="0" t="n">
        <f aca="false">MAX(L55,J56)</f>
        <v>215449080.805216</v>
      </c>
      <c r="M56" s="0" t="n">
        <f aca="false">IF(AND(B56&lt;x_H,J56&lt;=0,L55&gt;0),1,0)</f>
        <v>0</v>
      </c>
      <c r="N56" s="0" t="n">
        <f aca="false">IF(AND(B56&lt;x_H,I56&lt;=0,O55&gt;0),1,0)</f>
        <v>0</v>
      </c>
      <c r="O56" s="0" t="n">
        <f aca="false">MAX(O55,I56)</f>
        <v>221852404.141098</v>
      </c>
      <c r="P56" s="0" t="n">
        <f aca="false">(L_V1!V46-L_S1!V46)*D56</f>
        <v>0</v>
      </c>
    </row>
    <row r="57" customFormat="false" ht="15" hidden="false" customHeight="false" outlineLevel="0" collapsed="false">
      <c r="A57" s="0" t="n">
        <v>2070</v>
      </c>
      <c r="B57" s="0" t="n">
        <v>44</v>
      </c>
      <c r="C57" s="0" t="n">
        <f aca="false">IF(B57&lt;x_H,(1+x_dk)^(-B57),0)</f>
        <v>0</v>
      </c>
      <c r="D57" s="0" t="n">
        <f aca="false">IF(B57&lt;x_H,(1+x_de)^(-B57),0)</f>
        <v>0</v>
      </c>
      <c r="E57" s="0" t="n">
        <f aca="false">(L_V1!AO47-L_S1!AO47)*C57</f>
        <v>-0</v>
      </c>
      <c r="F57" s="0" t="n">
        <f aca="false">(L_V1!AP47-L_S1!AP47)*C57</f>
        <v>-0</v>
      </c>
      <c r="G57" s="0" t="n">
        <f aca="false">(L_V1!AQ47-L_S1!AQ47)*C57</f>
        <v>-0</v>
      </c>
      <c r="H57" s="0" t="n">
        <f aca="false">(L_V1!AS47-L_S1!AS47)*C57</f>
        <v>0</v>
      </c>
      <c r="I57" s="0" t="n">
        <f aca="false">I56+E57</f>
        <v>172124472.39734</v>
      </c>
      <c r="J57" s="0" t="n">
        <f aca="false">J56+F57</f>
        <v>128316362.955117</v>
      </c>
      <c r="K57" s="0" t="n">
        <f aca="false">K56+G57</f>
        <v>85891680.5826312</v>
      </c>
      <c r="L57" s="0" t="n">
        <f aca="false">MAX(L56,J57)</f>
        <v>215449080.805216</v>
      </c>
      <c r="M57" s="0" t="n">
        <f aca="false">IF(AND(B57&lt;x_H,J57&lt;=0,L56&gt;0),1,0)</f>
        <v>0</v>
      </c>
      <c r="N57" s="0" t="n">
        <f aca="false">IF(AND(B57&lt;x_H,I57&lt;=0,O56&gt;0),1,0)</f>
        <v>0</v>
      </c>
      <c r="O57" s="0" t="n">
        <f aca="false">MAX(O56,I57)</f>
        <v>221852404.141098</v>
      </c>
      <c r="P57" s="0" t="n">
        <f aca="false">(L_V1!V47-L_S1!V47)*D57</f>
        <v>0</v>
      </c>
    </row>
    <row r="58" customFormat="false" ht="15" hidden="false" customHeight="false" outlineLevel="0" collapsed="false">
      <c r="A58" s="0" t="n">
        <v>2071</v>
      </c>
      <c r="B58" s="0" t="n">
        <v>45</v>
      </c>
      <c r="C58" s="0" t="n">
        <f aca="false">IF(B58&lt;x_H,(1+x_dk)^(-B58),0)</f>
        <v>0</v>
      </c>
      <c r="D58" s="0" t="n">
        <f aca="false">IF(B58&lt;x_H,(1+x_de)^(-B58),0)</f>
        <v>0</v>
      </c>
      <c r="E58" s="0" t="n">
        <f aca="false">(L_V1!AO48-L_S1!AO48)*C58</f>
        <v>-0</v>
      </c>
      <c r="F58" s="0" t="n">
        <f aca="false">(L_V1!AP48-L_S1!AP48)*C58</f>
        <v>-0</v>
      </c>
      <c r="G58" s="0" t="n">
        <f aca="false">(L_V1!AQ48-L_S1!AQ48)*C58</f>
        <v>-0</v>
      </c>
      <c r="H58" s="0" t="n">
        <f aca="false">(L_V1!AS48-L_S1!AS48)*C58</f>
        <v>0</v>
      </c>
      <c r="I58" s="0" t="n">
        <f aca="false">I57+E58</f>
        <v>172124472.39734</v>
      </c>
      <c r="J58" s="0" t="n">
        <f aca="false">J57+F58</f>
        <v>128316362.955117</v>
      </c>
      <c r="K58" s="0" t="n">
        <f aca="false">K57+G58</f>
        <v>85891680.5826312</v>
      </c>
      <c r="L58" s="0" t="n">
        <f aca="false">MAX(L57,J58)</f>
        <v>215449080.805216</v>
      </c>
      <c r="M58" s="0" t="n">
        <f aca="false">IF(AND(B58&lt;x_H,J58&lt;=0,L57&gt;0),1,0)</f>
        <v>0</v>
      </c>
      <c r="N58" s="0" t="n">
        <f aca="false">IF(AND(B58&lt;x_H,I58&lt;=0,O57&gt;0),1,0)</f>
        <v>0</v>
      </c>
      <c r="O58" s="0" t="n">
        <f aca="false">MAX(O57,I58)</f>
        <v>221852404.141098</v>
      </c>
      <c r="P58" s="0" t="n">
        <f aca="false">(L_V1!V48-L_S1!V48)*D58</f>
        <v>0</v>
      </c>
    </row>
    <row r="59" customFormat="false" ht="15" hidden="false" customHeight="false" outlineLevel="0" collapsed="false">
      <c r="A59" s="0" t="n">
        <v>2072</v>
      </c>
      <c r="B59" s="0" t="n">
        <v>46</v>
      </c>
      <c r="C59" s="0" t="n">
        <f aca="false">IF(B59&lt;x_H,(1+x_dk)^(-B59),0)</f>
        <v>0</v>
      </c>
      <c r="D59" s="0" t="n">
        <f aca="false">IF(B59&lt;x_H,(1+x_de)^(-B59),0)</f>
        <v>0</v>
      </c>
      <c r="E59" s="0" t="n">
        <f aca="false">(L_V1!AO49-L_S1!AO49)*C59</f>
        <v>-0</v>
      </c>
      <c r="F59" s="0" t="n">
        <f aca="false">(L_V1!AP49-L_S1!AP49)*C59</f>
        <v>-0</v>
      </c>
      <c r="G59" s="0" t="n">
        <f aca="false">(L_V1!AQ49-L_S1!AQ49)*C59</f>
        <v>-0</v>
      </c>
      <c r="H59" s="0" t="n">
        <f aca="false">(L_V1!AS49-L_S1!AS49)*C59</f>
        <v>0</v>
      </c>
      <c r="I59" s="0" t="n">
        <f aca="false">I58+E59</f>
        <v>172124472.39734</v>
      </c>
      <c r="J59" s="0" t="n">
        <f aca="false">J58+F59</f>
        <v>128316362.955117</v>
      </c>
      <c r="K59" s="0" t="n">
        <f aca="false">K58+G59</f>
        <v>85891680.5826312</v>
      </c>
      <c r="L59" s="0" t="n">
        <f aca="false">MAX(L58,J59)</f>
        <v>215449080.805216</v>
      </c>
      <c r="M59" s="0" t="n">
        <f aca="false">IF(AND(B59&lt;x_H,J59&lt;=0,L58&gt;0),1,0)</f>
        <v>0</v>
      </c>
      <c r="N59" s="0" t="n">
        <f aca="false">IF(AND(B59&lt;x_H,I59&lt;=0,O58&gt;0),1,0)</f>
        <v>0</v>
      </c>
      <c r="O59" s="0" t="n">
        <f aca="false">MAX(O58,I59)</f>
        <v>221852404.141098</v>
      </c>
      <c r="P59" s="0" t="n">
        <f aca="false">(L_V1!V49-L_S1!V49)*D59</f>
        <v>0</v>
      </c>
    </row>
    <row r="60" customFormat="false" ht="15" hidden="false" customHeight="false" outlineLevel="0" collapsed="false">
      <c r="A60" s="0" t="n">
        <v>2073</v>
      </c>
      <c r="B60" s="0" t="n">
        <v>47</v>
      </c>
      <c r="C60" s="0" t="n">
        <f aca="false">IF(B60&lt;x_H,(1+x_dk)^(-B60),0)</f>
        <v>0</v>
      </c>
      <c r="D60" s="0" t="n">
        <f aca="false">IF(B60&lt;x_H,(1+x_de)^(-B60),0)</f>
        <v>0</v>
      </c>
      <c r="E60" s="0" t="n">
        <f aca="false">(L_V1!AO50-L_S1!AO50)*C60</f>
        <v>-0</v>
      </c>
      <c r="F60" s="0" t="n">
        <f aca="false">(L_V1!AP50-L_S1!AP50)*C60</f>
        <v>-0</v>
      </c>
      <c r="G60" s="0" t="n">
        <f aca="false">(L_V1!AQ50-L_S1!AQ50)*C60</f>
        <v>-0</v>
      </c>
      <c r="H60" s="0" t="n">
        <f aca="false">(L_V1!AS50-L_S1!AS50)*C60</f>
        <v>0</v>
      </c>
      <c r="I60" s="0" t="n">
        <f aca="false">I59+E60</f>
        <v>172124472.39734</v>
      </c>
      <c r="J60" s="0" t="n">
        <f aca="false">J59+F60</f>
        <v>128316362.955117</v>
      </c>
      <c r="K60" s="0" t="n">
        <f aca="false">K59+G60</f>
        <v>85891680.5826312</v>
      </c>
      <c r="L60" s="0" t="n">
        <f aca="false">MAX(L59,J60)</f>
        <v>215449080.805216</v>
      </c>
      <c r="M60" s="0" t="n">
        <f aca="false">IF(AND(B60&lt;x_H,J60&lt;=0,L59&gt;0),1,0)</f>
        <v>0</v>
      </c>
      <c r="N60" s="0" t="n">
        <f aca="false">IF(AND(B60&lt;x_H,I60&lt;=0,O59&gt;0),1,0)</f>
        <v>0</v>
      </c>
      <c r="O60" s="0" t="n">
        <f aca="false">MAX(O59,I60)</f>
        <v>221852404.141098</v>
      </c>
      <c r="P60" s="0" t="n">
        <f aca="false">(L_V1!V50-L_S1!V50)*D60</f>
        <v>0</v>
      </c>
    </row>
    <row r="61" customFormat="false" ht="15" hidden="false" customHeight="false" outlineLevel="0" collapsed="false">
      <c r="A61" s="0" t="n">
        <v>2074</v>
      </c>
      <c r="B61" s="0" t="n">
        <v>48</v>
      </c>
      <c r="C61" s="0" t="n">
        <f aca="false">IF(B61&lt;x_H,(1+x_dk)^(-B61),0)</f>
        <v>0</v>
      </c>
      <c r="D61" s="0" t="n">
        <f aca="false">IF(B61&lt;x_H,(1+x_de)^(-B61),0)</f>
        <v>0</v>
      </c>
      <c r="E61" s="0" t="n">
        <f aca="false">(L_V1!AO51-L_S1!AO51)*C61</f>
        <v>-0</v>
      </c>
      <c r="F61" s="0" t="n">
        <f aca="false">(L_V1!AP51-L_S1!AP51)*C61</f>
        <v>-0</v>
      </c>
      <c r="G61" s="0" t="n">
        <f aca="false">(L_V1!AQ51-L_S1!AQ51)*C61</f>
        <v>-0</v>
      </c>
      <c r="H61" s="0" t="n">
        <f aca="false">(L_V1!AS51-L_S1!AS51)*C61</f>
        <v>0</v>
      </c>
      <c r="I61" s="0" t="n">
        <f aca="false">I60+E61</f>
        <v>172124472.39734</v>
      </c>
      <c r="J61" s="0" t="n">
        <f aca="false">J60+F61</f>
        <v>128316362.955117</v>
      </c>
      <c r="K61" s="0" t="n">
        <f aca="false">K60+G61</f>
        <v>85891680.5826312</v>
      </c>
      <c r="L61" s="0" t="n">
        <f aca="false">MAX(L60,J61)</f>
        <v>215449080.805216</v>
      </c>
      <c r="M61" s="0" t="n">
        <f aca="false">IF(AND(B61&lt;x_H,J61&lt;=0,L60&gt;0),1,0)</f>
        <v>0</v>
      </c>
      <c r="N61" s="0" t="n">
        <f aca="false">IF(AND(B61&lt;x_H,I61&lt;=0,O60&gt;0),1,0)</f>
        <v>0</v>
      </c>
      <c r="O61" s="0" t="n">
        <f aca="false">MAX(O60,I61)</f>
        <v>221852404.141098</v>
      </c>
      <c r="P61" s="0" t="n">
        <f aca="false">(L_V1!V51-L_S1!V51)*D61</f>
        <v>0</v>
      </c>
    </row>
    <row r="62" customFormat="false" ht="15" hidden="false" customHeight="false" outlineLevel="0" collapsed="false">
      <c r="A62" s="0" t="n">
        <v>2075</v>
      </c>
      <c r="B62" s="0" t="n">
        <v>49</v>
      </c>
      <c r="C62" s="0" t="n">
        <f aca="false">IF(B62&lt;x_H,(1+x_dk)^(-B62),0)</f>
        <v>0</v>
      </c>
      <c r="D62" s="0" t="n">
        <f aca="false">IF(B62&lt;x_H,(1+x_de)^(-B62),0)</f>
        <v>0</v>
      </c>
      <c r="E62" s="0" t="n">
        <f aca="false">(L_V1!AO52-L_S1!AO52)*C62</f>
        <v>-0</v>
      </c>
      <c r="F62" s="0" t="n">
        <f aca="false">(L_V1!AP52-L_S1!AP52)*C62</f>
        <v>-0</v>
      </c>
      <c r="G62" s="0" t="n">
        <f aca="false">(L_V1!AQ52-L_S1!AQ52)*C62</f>
        <v>-0</v>
      </c>
      <c r="H62" s="0" t="n">
        <f aca="false">(L_V1!AS52-L_S1!AS52)*C62</f>
        <v>0</v>
      </c>
      <c r="I62" s="0" t="n">
        <f aca="false">I61+E62</f>
        <v>172124472.39734</v>
      </c>
      <c r="J62" s="0" t="n">
        <f aca="false">J61+F62</f>
        <v>128316362.955117</v>
      </c>
      <c r="K62" s="0" t="n">
        <f aca="false">K61+G62</f>
        <v>85891680.5826312</v>
      </c>
      <c r="L62" s="0" t="n">
        <f aca="false">MAX(L61,J62)</f>
        <v>215449080.805216</v>
      </c>
      <c r="M62" s="0" t="n">
        <f aca="false">IF(AND(B62&lt;x_H,J62&lt;=0,L61&gt;0),1,0)</f>
        <v>0</v>
      </c>
      <c r="N62" s="0" t="n">
        <f aca="false">IF(AND(B62&lt;x_H,I62&lt;=0,O61&gt;0),1,0)</f>
        <v>0</v>
      </c>
      <c r="O62" s="0" t="n">
        <f aca="false">MAX(O61,I62)</f>
        <v>221852404.141098</v>
      </c>
      <c r="P62" s="0" t="n">
        <f aca="false">(L_V1!V52-L_S1!V52)*D62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627</v>
      </c>
    </row>
    <row r="2" customFormat="false" ht="55.2" hidden="false" customHeight="false" outlineLevel="0" collapsed="false">
      <c r="A2" s="3" t="s">
        <v>628</v>
      </c>
      <c r="B2" s="3" t="s">
        <v>629</v>
      </c>
      <c r="C2" s="3" t="s">
        <v>630</v>
      </c>
      <c r="D2" s="3" t="s">
        <v>631</v>
      </c>
      <c r="E2" s="3" t="s">
        <v>632</v>
      </c>
      <c r="F2" s="3" t="s">
        <v>633</v>
      </c>
      <c r="G2" s="3" t="s">
        <v>634</v>
      </c>
      <c r="H2" s="3" t="s">
        <v>632</v>
      </c>
      <c r="I2" s="3" t="s">
        <v>633</v>
      </c>
      <c r="J2" s="3" t="s">
        <v>635</v>
      </c>
      <c r="K2" s="3" t="s">
        <v>636</v>
      </c>
      <c r="L2" s="3" t="s">
        <v>637</v>
      </c>
      <c r="M2" s="3" t="s">
        <v>638</v>
      </c>
      <c r="N2" s="3" t="s">
        <v>632</v>
      </c>
      <c r="O2" s="3" t="s">
        <v>633</v>
      </c>
    </row>
    <row r="3" customFormat="false" ht="15" hidden="false" customHeight="false" outlineLevel="0" collapsed="false">
      <c r="A3" s="0" t="s">
        <v>639</v>
      </c>
      <c r="B3" s="0" t="n">
        <v>5</v>
      </c>
      <c r="C3" s="0" t="s">
        <v>129</v>
      </c>
      <c r="D3" s="0" t="n">
        <v>314.1</v>
      </c>
      <c r="E3" s="0" t="n">
        <v>265</v>
      </c>
      <c r="F3" s="0" t="n">
        <v>388.4</v>
      </c>
      <c r="G3" s="0" t="n">
        <v>-1.044</v>
      </c>
      <c r="H3" s="0" t="n">
        <v>-1.06</v>
      </c>
      <c r="I3" s="0" t="n">
        <v>-1.032</v>
      </c>
      <c r="J3" s="0" t="s">
        <v>640</v>
      </c>
      <c r="K3" s="0" t="n">
        <v>0</v>
      </c>
      <c r="L3" s="0" t="n">
        <v>0</v>
      </c>
      <c r="M3" s="0" t="n">
        <v>14</v>
      </c>
      <c r="N3" s="0" t="n">
        <v>8</v>
      </c>
      <c r="O3" s="0" t="n">
        <v>22</v>
      </c>
    </row>
    <row r="4" customFormat="false" ht="15" hidden="false" customHeight="false" outlineLevel="0" collapsed="false">
      <c r="A4" s="0" t="s">
        <v>639</v>
      </c>
      <c r="B4" s="0" t="n">
        <v>5</v>
      </c>
      <c r="C4" s="0" t="s">
        <v>585</v>
      </c>
      <c r="D4" s="0" t="n">
        <v>323</v>
      </c>
      <c r="E4" s="0" t="n">
        <v>273</v>
      </c>
      <c r="F4" s="0" t="n">
        <v>398.4</v>
      </c>
      <c r="G4" s="0" t="n">
        <v>-1.054</v>
      </c>
      <c r="H4" s="0" t="n">
        <v>-1.072</v>
      </c>
      <c r="I4" s="0" t="n">
        <v>-1.038</v>
      </c>
      <c r="J4" s="0" t="s">
        <v>640</v>
      </c>
      <c r="K4" s="0" t="n">
        <v>0</v>
      </c>
      <c r="L4" s="0" t="n">
        <v>0</v>
      </c>
      <c r="M4" s="0" t="n">
        <v>14</v>
      </c>
      <c r="N4" s="0" t="n">
        <v>8</v>
      </c>
      <c r="O4" s="0" t="n">
        <v>22</v>
      </c>
    </row>
    <row r="5" customFormat="false" ht="15" hidden="false" customHeight="false" outlineLevel="0" collapsed="false">
      <c r="A5" s="0" t="s">
        <v>639</v>
      </c>
      <c r="B5" s="0" t="n">
        <v>5</v>
      </c>
      <c r="C5" s="0" t="s">
        <v>586</v>
      </c>
      <c r="D5" s="0" t="n">
        <v>321.1</v>
      </c>
      <c r="E5" s="0" t="n">
        <v>271.4</v>
      </c>
      <c r="F5" s="0" t="n">
        <v>395.3</v>
      </c>
      <c r="G5" s="0" t="n">
        <v>-1.048</v>
      </c>
      <c r="H5" s="0" t="n">
        <v>-1.065</v>
      </c>
      <c r="I5" s="0" t="n">
        <v>-1.034</v>
      </c>
      <c r="J5" s="0" t="s">
        <v>640</v>
      </c>
      <c r="K5" s="0" t="n">
        <v>0</v>
      </c>
      <c r="L5" s="0" t="n">
        <v>0</v>
      </c>
      <c r="M5" s="0" t="n">
        <v>14</v>
      </c>
      <c r="N5" s="0" t="n">
        <v>8</v>
      </c>
      <c r="O5" s="0" t="n">
        <v>22</v>
      </c>
    </row>
    <row r="6" customFormat="false" ht="15" hidden="false" customHeight="false" outlineLevel="0" collapsed="false">
      <c r="A6" s="0" t="s">
        <v>639</v>
      </c>
      <c r="B6" s="0" t="n">
        <v>5</v>
      </c>
      <c r="C6" s="0" t="s">
        <v>641</v>
      </c>
      <c r="D6" s="0" t="n">
        <v>136</v>
      </c>
      <c r="E6" s="0" t="n">
        <v>86.9</v>
      </c>
      <c r="F6" s="0" t="n">
        <v>210.3</v>
      </c>
      <c r="G6" s="0" t="n">
        <v>-1.109</v>
      </c>
      <c r="H6" s="0" t="n">
        <v>-1.146</v>
      </c>
      <c r="I6" s="0" t="n">
        <v>-1.08</v>
      </c>
      <c r="J6" s="0" t="s">
        <v>640</v>
      </c>
      <c r="K6" s="0" t="n">
        <v>0</v>
      </c>
      <c r="L6" s="0" t="n">
        <v>0.974</v>
      </c>
      <c r="M6" s="0" t="n">
        <v>14</v>
      </c>
      <c r="N6" s="0" t="n">
        <v>8</v>
      </c>
      <c r="O6" s="0" t="n">
        <v>22</v>
      </c>
    </row>
    <row r="7" customFormat="false" ht="15" hidden="false" customHeight="false" outlineLevel="0" collapsed="false">
      <c r="A7" s="0" t="s">
        <v>639</v>
      </c>
      <c r="B7" s="0" t="n">
        <v>5</v>
      </c>
      <c r="C7" s="0" t="s">
        <v>642</v>
      </c>
      <c r="D7" s="0" t="n">
        <v>139.3</v>
      </c>
      <c r="E7" s="0" t="n">
        <v>89.3</v>
      </c>
      <c r="F7" s="0" t="n">
        <v>214.7</v>
      </c>
      <c r="G7" s="0" t="n">
        <v>-1.134</v>
      </c>
      <c r="H7" s="0" t="n">
        <v>-1.178</v>
      </c>
      <c r="I7" s="0" t="n">
        <v>-1.099</v>
      </c>
      <c r="J7" s="0" t="s">
        <v>640</v>
      </c>
      <c r="K7" s="0" t="n">
        <v>0</v>
      </c>
      <c r="L7" s="0" t="n">
        <v>0.961</v>
      </c>
      <c r="M7" s="0" t="n">
        <v>14</v>
      </c>
      <c r="N7" s="0" t="n">
        <v>8</v>
      </c>
      <c r="O7" s="0" t="n">
        <v>22</v>
      </c>
    </row>
    <row r="8" customFormat="false" ht="15" hidden="false" customHeight="false" outlineLevel="0" collapsed="false">
      <c r="A8" s="0" t="s">
        <v>639</v>
      </c>
      <c r="B8" s="0" t="n">
        <v>5</v>
      </c>
      <c r="C8" s="0" t="s">
        <v>643</v>
      </c>
      <c r="D8" s="0" t="n">
        <v>137.4</v>
      </c>
      <c r="E8" s="0" t="n">
        <v>87.7</v>
      </c>
      <c r="F8" s="0" t="n">
        <v>211.6</v>
      </c>
      <c r="G8" s="0" t="n">
        <v>-1.121</v>
      </c>
      <c r="H8" s="0" t="n">
        <v>-1.161</v>
      </c>
      <c r="I8" s="0" t="n">
        <v>-1.088</v>
      </c>
      <c r="J8" s="0" t="s">
        <v>640</v>
      </c>
      <c r="K8" s="0" t="n">
        <v>0</v>
      </c>
      <c r="L8" s="0" t="n">
        <v>0.971</v>
      </c>
      <c r="M8" s="0" t="n">
        <v>14</v>
      </c>
      <c r="N8" s="0" t="n">
        <v>8</v>
      </c>
      <c r="O8" s="0" t="n">
        <v>22</v>
      </c>
    </row>
    <row r="9" customFormat="false" ht="15" hidden="false" customHeight="false" outlineLevel="0" collapsed="false">
      <c r="A9" s="0" t="s">
        <v>639</v>
      </c>
      <c r="B9" s="0" t="n">
        <v>10</v>
      </c>
      <c r="C9" s="0" t="s">
        <v>129</v>
      </c>
      <c r="D9" s="0" t="n">
        <v>603.1</v>
      </c>
      <c r="E9" s="0" t="n">
        <v>514.6</v>
      </c>
      <c r="F9" s="0" t="n">
        <v>739.4</v>
      </c>
      <c r="G9" s="0" t="n">
        <v>-1.028</v>
      </c>
      <c r="H9" s="0" t="n">
        <v>-1.048</v>
      </c>
      <c r="I9" s="0" t="n">
        <v>-1.009</v>
      </c>
      <c r="J9" s="0" t="s">
        <v>640</v>
      </c>
      <c r="K9" s="0" t="n">
        <v>0</v>
      </c>
      <c r="L9" s="0" t="n">
        <v>0.743</v>
      </c>
      <c r="M9" s="0" t="n">
        <v>136</v>
      </c>
      <c r="N9" s="0" t="n">
        <v>84</v>
      </c>
      <c r="O9" s="0" t="n">
        <v>210</v>
      </c>
    </row>
    <row r="10" customFormat="false" ht="15" hidden="false" customHeight="false" outlineLevel="0" collapsed="false">
      <c r="A10" s="0" t="s">
        <v>639</v>
      </c>
      <c r="B10" s="0" t="n">
        <v>10</v>
      </c>
      <c r="C10" s="0" t="s">
        <v>585</v>
      </c>
      <c r="D10" s="0" t="n">
        <v>606</v>
      </c>
      <c r="E10" s="0" t="n">
        <v>520.5</v>
      </c>
      <c r="F10" s="0" t="n">
        <v>739.3</v>
      </c>
      <c r="G10" s="0" t="n">
        <v>-1.017</v>
      </c>
      <c r="H10" s="0" t="n">
        <v>-1.041</v>
      </c>
      <c r="I10" s="0" t="n">
        <v>-0.993</v>
      </c>
      <c r="J10" s="0" t="s">
        <v>640</v>
      </c>
      <c r="K10" s="0" t="n">
        <v>0</v>
      </c>
      <c r="L10" s="0" t="n">
        <v>0.727</v>
      </c>
      <c r="M10" s="0" t="n">
        <v>136</v>
      </c>
      <c r="N10" s="0" t="n">
        <v>84</v>
      </c>
      <c r="O10" s="0" t="n">
        <v>210</v>
      </c>
    </row>
    <row r="11" customFormat="false" ht="15" hidden="false" customHeight="false" outlineLevel="0" collapsed="false">
      <c r="A11" s="0" t="s">
        <v>639</v>
      </c>
      <c r="B11" s="0" t="n">
        <v>10</v>
      </c>
      <c r="C11" s="0" t="s">
        <v>586</v>
      </c>
      <c r="D11" s="0" t="n">
        <v>594.1</v>
      </c>
      <c r="E11" s="0" t="n">
        <v>511.2</v>
      </c>
      <c r="F11" s="0" t="n">
        <v>721.8</v>
      </c>
      <c r="G11" s="0" t="n">
        <v>-0.998</v>
      </c>
      <c r="H11" s="0" t="n">
        <v>-1.027</v>
      </c>
      <c r="I11" s="0" t="n">
        <v>-0.969</v>
      </c>
      <c r="J11" s="0" t="s">
        <v>640</v>
      </c>
      <c r="K11" s="0" t="n">
        <v>0</v>
      </c>
      <c r="L11" s="0" t="n">
        <v>0.761</v>
      </c>
      <c r="M11" s="0" t="n">
        <v>136</v>
      </c>
      <c r="N11" s="0" t="n">
        <v>84</v>
      </c>
      <c r="O11" s="0" t="n">
        <v>210</v>
      </c>
    </row>
    <row r="12" customFormat="false" ht="15" hidden="false" customHeight="false" outlineLevel="0" collapsed="false">
      <c r="A12" s="0" t="s">
        <v>639</v>
      </c>
      <c r="B12" s="0" t="n">
        <v>10</v>
      </c>
      <c r="C12" s="0" t="s">
        <v>641</v>
      </c>
      <c r="D12" s="0" t="n">
        <v>246.9</v>
      </c>
      <c r="E12" s="0" t="n">
        <v>158.4</v>
      </c>
      <c r="F12" s="0" t="n">
        <v>383.2</v>
      </c>
      <c r="G12" s="0" t="n">
        <v>-1.071</v>
      </c>
      <c r="H12" s="0" t="n">
        <v>-1.12</v>
      </c>
      <c r="I12" s="0" t="n">
        <v>-1.023</v>
      </c>
      <c r="J12" s="0" t="s">
        <v>640</v>
      </c>
      <c r="K12" s="0" t="n">
        <v>0</v>
      </c>
      <c r="L12" s="0" t="n">
        <v>1</v>
      </c>
      <c r="M12" s="0" t="n">
        <v>136</v>
      </c>
      <c r="N12" s="0" t="n">
        <v>84</v>
      </c>
      <c r="O12" s="0" t="n">
        <v>210</v>
      </c>
    </row>
    <row r="13" customFormat="false" ht="15" hidden="false" customHeight="false" outlineLevel="0" collapsed="false">
      <c r="A13" s="0" t="s">
        <v>639</v>
      </c>
      <c r="B13" s="0" t="n">
        <v>10</v>
      </c>
      <c r="C13" s="0" t="s">
        <v>642</v>
      </c>
      <c r="D13" s="0" t="n">
        <v>239.9</v>
      </c>
      <c r="E13" s="0" t="n">
        <v>154.4</v>
      </c>
      <c r="F13" s="0" t="n">
        <v>373.2</v>
      </c>
      <c r="G13" s="0" t="n">
        <v>-1.044</v>
      </c>
      <c r="H13" s="0" t="n">
        <v>-1.109</v>
      </c>
      <c r="I13" s="0" t="n">
        <v>-0.981</v>
      </c>
      <c r="J13" s="0" t="s">
        <v>640</v>
      </c>
      <c r="K13" s="0" t="n">
        <v>0</v>
      </c>
      <c r="L13" s="0" t="n">
        <v>1</v>
      </c>
      <c r="M13" s="0" t="n">
        <v>136</v>
      </c>
      <c r="N13" s="0" t="n">
        <v>84</v>
      </c>
      <c r="O13" s="0" t="n">
        <v>210</v>
      </c>
    </row>
    <row r="14" customFormat="false" ht="15" hidden="false" customHeight="false" outlineLevel="0" collapsed="false">
      <c r="A14" s="0" t="s">
        <v>639</v>
      </c>
      <c r="B14" s="0" t="n">
        <v>10</v>
      </c>
      <c r="C14" s="0" t="s">
        <v>643</v>
      </c>
      <c r="D14" s="0" t="n">
        <v>228</v>
      </c>
      <c r="E14" s="0" t="n">
        <v>145</v>
      </c>
      <c r="F14" s="0" t="n">
        <v>355.7</v>
      </c>
      <c r="G14" s="0" t="n">
        <v>-0.994</v>
      </c>
      <c r="H14" s="0" t="n">
        <v>-1.071</v>
      </c>
      <c r="I14" s="0" t="n">
        <v>-0.919</v>
      </c>
      <c r="J14" s="0" t="s">
        <v>640</v>
      </c>
      <c r="K14" s="0" t="n">
        <v>0</v>
      </c>
      <c r="L14" s="0" t="n">
        <v>1</v>
      </c>
      <c r="M14" s="0" t="n">
        <v>136</v>
      </c>
      <c r="N14" s="0" t="n">
        <v>84</v>
      </c>
      <c r="O14" s="0" t="n">
        <v>210</v>
      </c>
    </row>
    <row r="15" customFormat="false" ht="15" hidden="false" customHeight="false" outlineLevel="0" collapsed="false">
      <c r="A15" s="0" t="s">
        <v>639</v>
      </c>
      <c r="B15" s="0" t="n">
        <v>20</v>
      </c>
      <c r="C15" s="0" t="s">
        <v>129</v>
      </c>
      <c r="D15" s="0" t="n">
        <v>547.7</v>
      </c>
      <c r="E15" s="0" t="n">
        <v>471.8</v>
      </c>
      <c r="F15" s="0" t="n">
        <v>668.4</v>
      </c>
      <c r="G15" s="0" t="n">
        <v>-0.937</v>
      </c>
      <c r="H15" s="0" t="n">
        <v>-0.988</v>
      </c>
      <c r="I15" s="0" t="n">
        <v>-0.867</v>
      </c>
      <c r="J15" s="0" t="s">
        <v>640</v>
      </c>
      <c r="K15" s="0" t="n">
        <v>0</v>
      </c>
      <c r="L15" s="0" t="n">
        <v>1</v>
      </c>
      <c r="M15" s="0" t="n">
        <v>786</v>
      </c>
      <c r="N15" s="0" t="n">
        <v>498</v>
      </c>
      <c r="O15" s="0" t="n">
        <v>1188</v>
      </c>
    </row>
    <row r="16" customFormat="false" ht="15" hidden="false" customHeight="false" outlineLevel="0" collapsed="false">
      <c r="A16" s="0" t="s">
        <v>639</v>
      </c>
      <c r="B16" s="0" t="n">
        <v>20</v>
      </c>
      <c r="C16" s="0" t="s">
        <v>585</v>
      </c>
      <c r="D16" s="0" t="n">
        <v>508.6</v>
      </c>
      <c r="E16" s="0" t="n">
        <v>430.4</v>
      </c>
      <c r="F16" s="0" t="n">
        <v>618.7</v>
      </c>
      <c r="G16" s="0" t="n">
        <v>-0.858</v>
      </c>
      <c r="H16" s="0" t="n">
        <v>-0.934</v>
      </c>
      <c r="I16" s="0" t="n">
        <v>-0.734</v>
      </c>
      <c r="J16" s="0" t="s">
        <v>640</v>
      </c>
      <c r="K16" s="0" t="n">
        <v>0</v>
      </c>
      <c r="L16" s="0" t="n">
        <v>1</v>
      </c>
      <c r="M16" s="0" t="n">
        <v>786</v>
      </c>
      <c r="N16" s="0" t="n">
        <v>498</v>
      </c>
      <c r="O16" s="0" t="n">
        <v>1188</v>
      </c>
    </row>
    <row r="17" customFormat="false" ht="15" hidden="false" customHeight="false" outlineLevel="0" collapsed="false">
      <c r="A17" s="0" t="s">
        <v>639</v>
      </c>
      <c r="B17" s="0" t="n">
        <v>20</v>
      </c>
      <c r="C17" s="0" t="s">
        <v>586</v>
      </c>
      <c r="D17" s="0" t="n">
        <v>461.5</v>
      </c>
      <c r="E17" s="0" t="n">
        <v>358</v>
      </c>
      <c r="F17" s="0" t="n">
        <v>567.4</v>
      </c>
      <c r="G17" s="0" t="n">
        <v>-0.779</v>
      </c>
      <c r="H17" s="0" t="n">
        <v>-0.885</v>
      </c>
      <c r="I17" s="0" t="n">
        <v>-0.596</v>
      </c>
      <c r="J17" s="0" t="s">
        <v>640</v>
      </c>
      <c r="K17" s="0" t="n">
        <v>0</v>
      </c>
      <c r="L17" s="0" t="n">
        <v>1</v>
      </c>
      <c r="M17" s="0" t="n">
        <v>786</v>
      </c>
      <c r="N17" s="0" t="n">
        <v>498</v>
      </c>
      <c r="O17" s="0" t="n">
        <v>1188</v>
      </c>
    </row>
    <row r="18" customFormat="false" ht="15" hidden="false" customHeight="false" outlineLevel="0" collapsed="false">
      <c r="A18" s="0" t="s">
        <v>639</v>
      </c>
      <c r="B18" s="0" t="n">
        <v>20</v>
      </c>
      <c r="C18" s="0" t="s">
        <v>641</v>
      </c>
      <c r="D18" s="0" t="n">
        <v>191.5</v>
      </c>
      <c r="E18" s="0" t="n">
        <v>115.6</v>
      </c>
      <c r="F18" s="0" t="n">
        <v>312.2</v>
      </c>
      <c r="G18" s="0" t="n">
        <v>-0.839</v>
      </c>
      <c r="H18" s="0" t="n">
        <v>-0.968</v>
      </c>
      <c r="I18" s="0" t="n">
        <v>-0.668</v>
      </c>
      <c r="J18" s="0" t="s">
        <v>640</v>
      </c>
      <c r="K18" s="0" t="n">
        <v>0</v>
      </c>
      <c r="L18" s="0" t="n">
        <v>1</v>
      </c>
      <c r="M18" s="0" t="n">
        <v>786</v>
      </c>
      <c r="N18" s="0" t="n">
        <v>498</v>
      </c>
      <c r="O18" s="0" t="n">
        <v>1188</v>
      </c>
    </row>
    <row r="19" customFormat="false" ht="15" hidden="false" customHeight="false" outlineLevel="0" collapsed="false">
      <c r="A19" s="0" t="s">
        <v>639</v>
      </c>
      <c r="B19" s="0" t="n">
        <v>20</v>
      </c>
      <c r="C19" s="0" t="s">
        <v>642</v>
      </c>
      <c r="D19" s="0" t="n">
        <v>142.5</v>
      </c>
      <c r="E19" s="0" t="n">
        <v>64.3</v>
      </c>
      <c r="F19" s="0" t="n">
        <v>252.6</v>
      </c>
      <c r="G19" s="0" t="n">
        <v>-0.631</v>
      </c>
      <c r="H19" s="0" t="n">
        <v>-0.829</v>
      </c>
      <c r="I19" s="0" t="n">
        <v>-0.326</v>
      </c>
      <c r="J19" s="0" t="s">
        <v>640</v>
      </c>
      <c r="K19" s="0" t="n">
        <v>0</v>
      </c>
      <c r="L19" s="0" t="n">
        <v>1</v>
      </c>
      <c r="M19" s="0" t="n">
        <v>786</v>
      </c>
      <c r="N19" s="0" t="n">
        <v>498</v>
      </c>
      <c r="O19" s="0" t="n">
        <v>1188</v>
      </c>
    </row>
    <row r="20" customFormat="false" ht="15" hidden="false" customHeight="false" outlineLevel="0" collapsed="false">
      <c r="A20" s="0" t="s">
        <v>639</v>
      </c>
      <c r="B20" s="0" t="n">
        <v>20</v>
      </c>
      <c r="C20" s="0" t="s">
        <v>643</v>
      </c>
      <c r="D20" s="0" t="n">
        <v>95.4</v>
      </c>
      <c r="E20" s="0" t="n">
        <v>-8.1</v>
      </c>
      <c r="F20" s="0" t="n">
        <v>201.3</v>
      </c>
      <c r="G20" s="0" t="n">
        <v>-0.432</v>
      </c>
      <c r="H20" s="0" t="n">
        <v>-0.693</v>
      </c>
      <c r="I20" s="0" t="n">
        <v>0.036</v>
      </c>
      <c r="J20" s="0" t="s">
        <v>640</v>
      </c>
      <c r="K20" s="0" t="n">
        <v>0.034</v>
      </c>
      <c r="L20" s="0" t="n">
        <v>1</v>
      </c>
      <c r="M20" s="0" t="n">
        <v>786</v>
      </c>
      <c r="N20" s="0" t="n">
        <v>498</v>
      </c>
      <c r="O20" s="0" t="n">
        <v>1188</v>
      </c>
    </row>
    <row r="21" customFormat="false" ht="15" hidden="false" customHeight="false" outlineLevel="0" collapsed="false">
      <c r="A21" s="0" t="s">
        <v>639</v>
      </c>
      <c r="B21" s="0" t="n">
        <v>50</v>
      </c>
      <c r="C21" s="0" t="s">
        <v>129</v>
      </c>
      <c r="D21" s="0" t="n">
        <v>458.6</v>
      </c>
      <c r="E21" s="0" t="n">
        <v>378.8</v>
      </c>
      <c r="F21" s="0" t="n">
        <v>565.1</v>
      </c>
      <c r="G21" s="0" t="n">
        <v>-0.785</v>
      </c>
      <c r="H21" s="0" t="n">
        <v>-0.884</v>
      </c>
      <c r="I21" s="0" t="n">
        <v>-0.646</v>
      </c>
      <c r="J21" s="0" t="s">
        <v>640</v>
      </c>
      <c r="K21" s="0" t="n">
        <v>0</v>
      </c>
      <c r="L21" s="0" t="n">
        <v>1</v>
      </c>
      <c r="M21" s="0" t="n">
        <v>2649</v>
      </c>
      <c r="N21" s="0" t="n">
        <v>1667</v>
      </c>
      <c r="O21" s="0" t="n">
        <v>4034</v>
      </c>
    </row>
    <row r="22" customFormat="false" ht="15" hidden="false" customHeight="false" outlineLevel="0" collapsed="false">
      <c r="A22" s="0" t="s">
        <v>639</v>
      </c>
      <c r="B22" s="0" t="n">
        <v>50</v>
      </c>
      <c r="C22" s="0" t="s">
        <v>585</v>
      </c>
      <c r="D22" s="0" t="n">
        <v>324.6</v>
      </c>
      <c r="E22" s="0" t="n">
        <v>175.7</v>
      </c>
      <c r="F22" s="0" t="n">
        <v>430.8</v>
      </c>
      <c r="G22" s="0" t="n">
        <v>-0.544</v>
      </c>
      <c r="H22" s="0" t="n">
        <v>-0.727</v>
      </c>
      <c r="I22" s="0" t="n">
        <v>-0.28</v>
      </c>
      <c r="J22" s="0" t="s">
        <v>640</v>
      </c>
      <c r="K22" s="0" t="n">
        <v>0</v>
      </c>
      <c r="L22" s="0" t="n">
        <v>1</v>
      </c>
      <c r="M22" s="0" t="n">
        <v>2649</v>
      </c>
      <c r="N22" s="0" t="n">
        <v>1667</v>
      </c>
      <c r="O22" s="0" t="n">
        <v>4034</v>
      </c>
    </row>
    <row r="23" customFormat="false" ht="15" hidden="false" customHeight="false" outlineLevel="0" collapsed="false">
      <c r="A23" s="0" t="s">
        <v>639</v>
      </c>
      <c r="B23" s="0" t="n">
        <v>50</v>
      </c>
      <c r="C23" s="0" t="s">
        <v>586</v>
      </c>
      <c r="D23" s="0" t="n">
        <v>188.4</v>
      </c>
      <c r="E23" s="0" t="n">
        <v>-37.7</v>
      </c>
      <c r="F23" s="0" t="n">
        <v>334.5</v>
      </c>
      <c r="G23" s="0" t="n">
        <v>-0.315</v>
      </c>
      <c r="H23" s="0" t="n">
        <v>-0.587</v>
      </c>
      <c r="I23" s="0" t="n">
        <v>0.063</v>
      </c>
      <c r="J23" s="0" t="s">
        <v>640</v>
      </c>
      <c r="K23" s="0" t="n">
        <v>0.045</v>
      </c>
      <c r="L23" s="0" t="n">
        <v>1</v>
      </c>
      <c r="M23" s="0" t="n">
        <v>2649</v>
      </c>
      <c r="N23" s="0" t="n">
        <v>1667</v>
      </c>
      <c r="O23" s="0" t="n">
        <v>4034</v>
      </c>
    </row>
    <row r="24" customFormat="false" ht="15" hidden="false" customHeight="false" outlineLevel="0" collapsed="false">
      <c r="A24" s="0" t="s">
        <v>639</v>
      </c>
      <c r="B24" s="0" t="n">
        <v>50</v>
      </c>
      <c r="C24" s="0" t="s">
        <v>641</v>
      </c>
      <c r="D24" s="0" t="n">
        <v>102.4</v>
      </c>
      <c r="E24" s="0" t="n">
        <v>22.6</v>
      </c>
      <c r="F24" s="0" t="n">
        <v>208.9</v>
      </c>
      <c r="G24" s="0" t="n">
        <v>-0.448</v>
      </c>
      <c r="H24" s="0" t="n">
        <v>-0.688</v>
      </c>
      <c r="I24" s="0" t="n">
        <v>-0.117</v>
      </c>
      <c r="J24" s="0" t="s">
        <v>640</v>
      </c>
      <c r="K24" s="0" t="n">
        <v>0.007</v>
      </c>
      <c r="L24" s="0" t="n">
        <v>1</v>
      </c>
      <c r="M24" s="0" t="n">
        <v>2649</v>
      </c>
      <c r="N24" s="0" t="n">
        <v>1667</v>
      </c>
      <c r="O24" s="0" t="n">
        <v>4034</v>
      </c>
    </row>
    <row r="25" customFormat="false" ht="15" hidden="false" customHeight="false" outlineLevel="0" collapsed="false">
      <c r="A25" s="0" t="s">
        <v>639</v>
      </c>
      <c r="B25" s="0" t="n">
        <v>50</v>
      </c>
      <c r="C25" s="0" t="s">
        <v>642</v>
      </c>
      <c r="D25" s="0" t="n">
        <v>-41.5</v>
      </c>
      <c r="E25" s="0" t="n">
        <v>-190.4</v>
      </c>
      <c r="F25" s="0" t="n">
        <v>64.7</v>
      </c>
      <c r="G25" s="0" t="n">
        <v>0.185</v>
      </c>
      <c r="H25" s="0" t="n">
        <v>-0.262</v>
      </c>
      <c r="I25" s="0" t="n">
        <v>0.794</v>
      </c>
      <c r="J25" s="0" t="n">
        <v>2060</v>
      </c>
      <c r="K25" s="0" t="n">
        <v>0.774</v>
      </c>
      <c r="L25" s="0" t="n">
        <v>1</v>
      </c>
      <c r="M25" s="0" t="n">
        <v>2649</v>
      </c>
      <c r="N25" s="0" t="n">
        <v>1667</v>
      </c>
      <c r="O25" s="0" t="n">
        <v>4034</v>
      </c>
    </row>
    <row r="26" customFormat="false" ht="15" hidden="false" customHeight="false" outlineLevel="0" collapsed="false">
      <c r="A26" s="0" t="s">
        <v>639</v>
      </c>
      <c r="B26" s="0" t="n">
        <v>50</v>
      </c>
      <c r="C26" s="0" t="s">
        <v>643</v>
      </c>
      <c r="D26" s="0" t="n">
        <v>-177.7</v>
      </c>
      <c r="E26" s="0" t="n">
        <v>-403.8</v>
      </c>
      <c r="F26" s="0" t="n">
        <v>-31.6</v>
      </c>
      <c r="G26" s="0" t="n">
        <v>0.781</v>
      </c>
      <c r="H26" s="0" t="n">
        <v>0.136</v>
      </c>
      <c r="I26" s="0" t="n">
        <v>1.724</v>
      </c>
      <c r="J26" s="0" t="n">
        <v>2052</v>
      </c>
      <c r="K26" s="0" t="n">
        <v>0.994</v>
      </c>
      <c r="L26" s="0" t="n">
        <v>1</v>
      </c>
      <c r="M26" s="0" t="n">
        <v>2649</v>
      </c>
      <c r="N26" s="0" t="n">
        <v>1667</v>
      </c>
      <c r="O26" s="0" t="n">
        <v>4034</v>
      </c>
    </row>
    <row r="27" customFormat="false" ht="15" hidden="false" customHeight="false" outlineLevel="0" collapsed="false">
      <c r="A27" s="0" t="s">
        <v>644</v>
      </c>
      <c r="B27" s="0" t="n">
        <v>5</v>
      </c>
      <c r="C27" s="0" t="s">
        <v>129</v>
      </c>
      <c r="D27" s="0" t="n">
        <v>258.3</v>
      </c>
      <c r="E27" s="0" t="n">
        <v>208.9</v>
      </c>
      <c r="F27" s="0" t="n">
        <v>362.7</v>
      </c>
      <c r="G27" s="0" t="n">
        <v>-1.031</v>
      </c>
      <c r="H27" s="0" t="n">
        <v>-1.055</v>
      </c>
      <c r="I27" s="0" t="n">
        <v>-1.015</v>
      </c>
      <c r="J27" s="0" t="s">
        <v>640</v>
      </c>
      <c r="K27" s="0" t="n">
        <v>0</v>
      </c>
      <c r="L27" s="0" t="n">
        <v>0</v>
      </c>
      <c r="M27" s="0" t="n">
        <v>8</v>
      </c>
      <c r="N27" s="0" t="n">
        <v>3</v>
      </c>
      <c r="O27" s="0" t="n">
        <v>19</v>
      </c>
    </row>
    <row r="28" customFormat="false" ht="15" hidden="false" customHeight="false" outlineLevel="0" collapsed="false">
      <c r="A28" s="0" t="s">
        <v>644</v>
      </c>
      <c r="B28" s="0" t="n">
        <v>5</v>
      </c>
      <c r="C28" s="0" t="s">
        <v>585</v>
      </c>
      <c r="D28" s="0" t="n">
        <v>265.9</v>
      </c>
      <c r="E28" s="0" t="n">
        <v>215.1</v>
      </c>
      <c r="F28" s="0" t="n">
        <v>372.2</v>
      </c>
      <c r="G28" s="0" t="n">
        <v>-1.038</v>
      </c>
      <c r="H28" s="0" t="n">
        <v>-1.066</v>
      </c>
      <c r="I28" s="0" t="n">
        <v>-1.018</v>
      </c>
      <c r="J28" s="0" t="s">
        <v>640</v>
      </c>
      <c r="K28" s="0" t="n">
        <v>0</v>
      </c>
      <c r="L28" s="0" t="n">
        <v>0</v>
      </c>
      <c r="M28" s="0" t="n">
        <v>8</v>
      </c>
      <c r="N28" s="0" t="n">
        <v>3</v>
      </c>
      <c r="O28" s="0" t="n">
        <v>19</v>
      </c>
    </row>
    <row r="29" customFormat="false" ht="15" hidden="false" customHeight="false" outlineLevel="0" collapsed="false">
      <c r="A29" s="0" t="s">
        <v>644</v>
      </c>
      <c r="B29" s="0" t="n">
        <v>5</v>
      </c>
      <c r="C29" s="0" t="s">
        <v>586</v>
      </c>
      <c r="D29" s="0" t="n">
        <v>264.8</v>
      </c>
      <c r="E29" s="0" t="n">
        <v>214.8</v>
      </c>
      <c r="F29" s="0" t="n">
        <v>369.4</v>
      </c>
      <c r="G29" s="0" t="n">
        <v>-1.034</v>
      </c>
      <c r="H29" s="0" t="n">
        <v>-1.06</v>
      </c>
      <c r="I29" s="0" t="n">
        <v>-1.016</v>
      </c>
      <c r="J29" s="0" t="s">
        <v>640</v>
      </c>
      <c r="K29" s="0" t="n">
        <v>0</v>
      </c>
      <c r="L29" s="0" t="n">
        <v>0</v>
      </c>
      <c r="M29" s="0" t="n">
        <v>8</v>
      </c>
      <c r="N29" s="0" t="n">
        <v>3</v>
      </c>
      <c r="O29" s="0" t="n">
        <v>19</v>
      </c>
    </row>
    <row r="30" customFormat="false" ht="15" hidden="false" customHeight="false" outlineLevel="0" collapsed="false">
      <c r="A30" s="0" t="s">
        <v>644</v>
      </c>
      <c r="B30" s="0" t="n">
        <v>5</v>
      </c>
      <c r="C30" s="0" t="s">
        <v>641</v>
      </c>
      <c r="D30" s="0" t="n">
        <v>80.2</v>
      </c>
      <c r="E30" s="0" t="n">
        <v>30.8</v>
      </c>
      <c r="F30" s="0" t="n">
        <v>184.7</v>
      </c>
      <c r="G30" s="0" t="n">
        <v>-1.109</v>
      </c>
      <c r="H30" s="0" t="n">
        <v>-1.146</v>
      </c>
      <c r="I30" s="0" t="n">
        <v>-1.08</v>
      </c>
      <c r="J30" s="0" t="s">
        <v>640</v>
      </c>
      <c r="K30" s="0" t="n">
        <v>0</v>
      </c>
      <c r="L30" s="0" t="n">
        <v>0.974</v>
      </c>
      <c r="M30" s="0" t="n">
        <v>8</v>
      </c>
      <c r="N30" s="0" t="n">
        <v>3</v>
      </c>
      <c r="O30" s="0" t="n">
        <v>19</v>
      </c>
    </row>
    <row r="31" customFormat="false" ht="15" hidden="false" customHeight="false" outlineLevel="0" collapsed="false">
      <c r="A31" s="0" t="s">
        <v>644</v>
      </c>
      <c r="B31" s="0" t="n">
        <v>5</v>
      </c>
      <c r="C31" s="0" t="s">
        <v>642</v>
      </c>
      <c r="D31" s="0" t="n">
        <v>82.2</v>
      </c>
      <c r="E31" s="0" t="n">
        <v>31.5</v>
      </c>
      <c r="F31" s="0" t="n">
        <v>188.6</v>
      </c>
      <c r="G31" s="0" t="n">
        <v>-1.135</v>
      </c>
      <c r="H31" s="0" t="n">
        <v>-1.179</v>
      </c>
      <c r="I31" s="0" t="n">
        <v>-1.099</v>
      </c>
      <c r="J31" s="0" t="s">
        <v>640</v>
      </c>
      <c r="K31" s="0" t="n">
        <v>0</v>
      </c>
      <c r="L31" s="0" t="n">
        <v>0.961</v>
      </c>
      <c r="M31" s="0" t="n">
        <v>8</v>
      </c>
      <c r="N31" s="0" t="n">
        <v>3</v>
      </c>
      <c r="O31" s="0" t="n">
        <v>19</v>
      </c>
    </row>
    <row r="32" customFormat="false" ht="15" hidden="false" customHeight="false" outlineLevel="0" collapsed="false">
      <c r="A32" s="0" t="s">
        <v>644</v>
      </c>
      <c r="B32" s="0" t="n">
        <v>5</v>
      </c>
      <c r="C32" s="0" t="s">
        <v>643</v>
      </c>
      <c r="D32" s="0" t="n">
        <v>81.1</v>
      </c>
      <c r="E32" s="0" t="n">
        <v>31.1</v>
      </c>
      <c r="F32" s="0" t="n">
        <v>185.8</v>
      </c>
      <c r="G32" s="0" t="n">
        <v>-1.121</v>
      </c>
      <c r="H32" s="0" t="n">
        <v>-1.162</v>
      </c>
      <c r="I32" s="0" t="n">
        <v>-1.088</v>
      </c>
      <c r="J32" s="0" t="s">
        <v>640</v>
      </c>
      <c r="K32" s="0" t="n">
        <v>0</v>
      </c>
      <c r="L32" s="0" t="n">
        <v>0.97</v>
      </c>
      <c r="M32" s="0" t="n">
        <v>8</v>
      </c>
      <c r="N32" s="0" t="n">
        <v>3</v>
      </c>
      <c r="O32" s="0" t="n">
        <v>19</v>
      </c>
    </row>
    <row r="33" customFormat="false" ht="15" hidden="false" customHeight="false" outlineLevel="0" collapsed="false">
      <c r="A33" s="0" t="s">
        <v>644</v>
      </c>
      <c r="B33" s="0" t="n">
        <v>10</v>
      </c>
      <c r="C33" s="0" t="s">
        <v>129</v>
      </c>
      <c r="D33" s="0" t="n">
        <v>502.7</v>
      </c>
      <c r="E33" s="0" t="n">
        <v>412.3</v>
      </c>
      <c r="F33" s="0" t="n">
        <v>690.1</v>
      </c>
      <c r="G33" s="0" t="n">
        <v>-1.019</v>
      </c>
      <c r="H33" s="0" t="n">
        <v>-1.042</v>
      </c>
      <c r="I33" s="0" t="n">
        <v>-1.005</v>
      </c>
      <c r="J33" s="0" t="s">
        <v>640</v>
      </c>
      <c r="K33" s="0" t="n">
        <v>0</v>
      </c>
      <c r="L33" s="0" t="n">
        <v>0.255</v>
      </c>
      <c r="M33" s="0" t="n">
        <v>81</v>
      </c>
      <c r="N33" s="0" t="n">
        <v>30</v>
      </c>
      <c r="O33" s="0" t="n">
        <v>182</v>
      </c>
    </row>
    <row r="34" customFormat="false" ht="15" hidden="false" customHeight="false" outlineLevel="0" collapsed="false">
      <c r="A34" s="0" t="s">
        <v>644</v>
      </c>
      <c r="B34" s="0" t="n">
        <v>10</v>
      </c>
      <c r="C34" s="0" t="s">
        <v>585</v>
      </c>
      <c r="D34" s="0" t="n">
        <v>509.2</v>
      </c>
      <c r="E34" s="0" t="n">
        <v>420.8</v>
      </c>
      <c r="F34" s="0" t="n">
        <v>691.8</v>
      </c>
      <c r="G34" s="0" t="n">
        <v>-1.011</v>
      </c>
      <c r="H34" s="0" t="n">
        <v>-1.034</v>
      </c>
      <c r="I34" s="0" t="n">
        <v>-0.996</v>
      </c>
      <c r="J34" s="0" t="s">
        <v>640</v>
      </c>
      <c r="K34" s="0" t="n">
        <v>0</v>
      </c>
      <c r="L34" s="0" t="n">
        <v>0.248</v>
      </c>
      <c r="M34" s="0" t="n">
        <v>81</v>
      </c>
      <c r="N34" s="0" t="n">
        <v>30</v>
      </c>
      <c r="O34" s="0" t="n">
        <v>182</v>
      </c>
    </row>
    <row r="35" customFormat="false" ht="15" hidden="false" customHeight="false" outlineLevel="0" collapsed="false">
      <c r="A35" s="0" t="s">
        <v>644</v>
      </c>
      <c r="B35" s="0" t="n">
        <v>10</v>
      </c>
      <c r="C35" s="0" t="s">
        <v>586</v>
      </c>
      <c r="D35" s="0" t="n">
        <v>502.4</v>
      </c>
      <c r="E35" s="0" t="n">
        <v>417.9</v>
      </c>
      <c r="F35" s="0" t="n">
        <v>677.3</v>
      </c>
      <c r="G35" s="0" t="n">
        <v>-0.999</v>
      </c>
      <c r="H35" s="0" t="n">
        <v>-1.019</v>
      </c>
      <c r="I35" s="0" t="n">
        <v>-0.976</v>
      </c>
      <c r="J35" s="0" t="s">
        <v>640</v>
      </c>
      <c r="K35" s="0" t="n">
        <v>0</v>
      </c>
      <c r="L35" s="0" t="n">
        <v>0.263</v>
      </c>
      <c r="M35" s="0" t="n">
        <v>81</v>
      </c>
      <c r="N35" s="0" t="n">
        <v>30</v>
      </c>
      <c r="O35" s="0" t="n">
        <v>182</v>
      </c>
    </row>
    <row r="36" customFormat="false" ht="15" hidden="false" customHeight="false" outlineLevel="0" collapsed="false">
      <c r="A36" s="0" t="s">
        <v>644</v>
      </c>
      <c r="B36" s="0" t="n">
        <v>10</v>
      </c>
      <c r="C36" s="0" t="s">
        <v>641</v>
      </c>
      <c r="D36" s="0" t="n">
        <v>146.5</v>
      </c>
      <c r="E36" s="0" t="n">
        <v>56.1</v>
      </c>
      <c r="F36" s="0" t="n">
        <v>333.9</v>
      </c>
      <c r="G36" s="0" t="n">
        <v>-1.072</v>
      </c>
      <c r="H36" s="0" t="n">
        <v>-1.12</v>
      </c>
      <c r="I36" s="0" t="n">
        <v>-1.024</v>
      </c>
      <c r="J36" s="0" t="s">
        <v>640</v>
      </c>
      <c r="K36" s="0" t="n">
        <v>0</v>
      </c>
      <c r="L36" s="0" t="n">
        <v>1</v>
      </c>
      <c r="M36" s="0" t="n">
        <v>81</v>
      </c>
      <c r="N36" s="0" t="n">
        <v>30</v>
      </c>
      <c r="O36" s="0" t="n">
        <v>182</v>
      </c>
    </row>
    <row r="37" customFormat="false" ht="15" hidden="false" customHeight="false" outlineLevel="0" collapsed="false">
      <c r="A37" s="0" t="s">
        <v>644</v>
      </c>
      <c r="B37" s="0" t="n">
        <v>10</v>
      </c>
      <c r="C37" s="0" t="s">
        <v>642</v>
      </c>
      <c r="D37" s="0" t="n">
        <v>143.1</v>
      </c>
      <c r="E37" s="0" t="n">
        <v>54.7</v>
      </c>
      <c r="F37" s="0" t="n">
        <v>325.7</v>
      </c>
      <c r="G37" s="0" t="n">
        <v>-1.045</v>
      </c>
      <c r="H37" s="0" t="n">
        <v>-1.11</v>
      </c>
      <c r="I37" s="0" t="n">
        <v>-0.982</v>
      </c>
      <c r="J37" s="0" t="s">
        <v>640</v>
      </c>
      <c r="K37" s="0" t="n">
        <v>0</v>
      </c>
      <c r="L37" s="0" t="n">
        <v>1</v>
      </c>
      <c r="M37" s="0" t="n">
        <v>81</v>
      </c>
      <c r="N37" s="0" t="n">
        <v>30</v>
      </c>
      <c r="O37" s="0" t="n">
        <v>182</v>
      </c>
    </row>
    <row r="38" customFormat="false" ht="15" hidden="false" customHeight="false" outlineLevel="0" collapsed="false">
      <c r="A38" s="0" t="s">
        <v>644</v>
      </c>
      <c r="B38" s="0" t="n">
        <v>10</v>
      </c>
      <c r="C38" s="0" t="s">
        <v>643</v>
      </c>
      <c r="D38" s="0" t="n">
        <v>136.3</v>
      </c>
      <c r="E38" s="0" t="n">
        <v>51.8</v>
      </c>
      <c r="F38" s="0" t="n">
        <v>311.2</v>
      </c>
      <c r="G38" s="0" t="n">
        <v>-0.995</v>
      </c>
      <c r="H38" s="0" t="n">
        <v>-1.072</v>
      </c>
      <c r="I38" s="0" t="n">
        <v>-0.92</v>
      </c>
      <c r="J38" s="0" t="s">
        <v>640</v>
      </c>
      <c r="K38" s="0" t="n">
        <v>0</v>
      </c>
      <c r="L38" s="0" t="n">
        <v>1</v>
      </c>
      <c r="M38" s="0" t="n">
        <v>81</v>
      </c>
      <c r="N38" s="0" t="n">
        <v>30</v>
      </c>
      <c r="O38" s="0" t="n">
        <v>182</v>
      </c>
    </row>
    <row r="39" customFormat="false" ht="15" hidden="false" customHeight="false" outlineLevel="0" collapsed="false">
      <c r="A39" s="0" t="s">
        <v>644</v>
      </c>
      <c r="B39" s="0" t="n">
        <v>20</v>
      </c>
      <c r="C39" s="0" t="s">
        <v>129</v>
      </c>
      <c r="D39" s="0" t="n">
        <v>470</v>
      </c>
      <c r="E39" s="0" t="n">
        <v>398.1</v>
      </c>
      <c r="F39" s="0" t="n">
        <v>623.9</v>
      </c>
      <c r="G39" s="0" t="n">
        <v>-0.958</v>
      </c>
      <c r="H39" s="0" t="n">
        <v>-0.992</v>
      </c>
      <c r="I39" s="0" t="n">
        <v>-0.891</v>
      </c>
      <c r="J39" s="0" t="s">
        <v>640</v>
      </c>
      <c r="K39" s="0" t="n">
        <v>0</v>
      </c>
      <c r="L39" s="0" t="n">
        <v>0.994</v>
      </c>
      <c r="M39" s="0" t="n">
        <v>469</v>
      </c>
      <c r="N39" s="0" t="n">
        <v>179</v>
      </c>
      <c r="O39" s="0" t="n">
        <v>1058</v>
      </c>
    </row>
    <row r="40" customFormat="false" ht="15" hidden="false" customHeight="false" outlineLevel="0" collapsed="false">
      <c r="A40" s="0" t="s">
        <v>644</v>
      </c>
      <c r="B40" s="0" t="n">
        <v>20</v>
      </c>
      <c r="C40" s="0" t="s">
        <v>585</v>
      </c>
      <c r="D40" s="0" t="n">
        <v>449.4</v>
      </c>
      <c r="E40" s="0" t="n">
        <v>392.5</v>
      </c>
      <c r="F40" s="0" t="n">
        <v>576</v>
      </c>
      <c r="G40" s="0" t="n">
        <v>-0.904</v>
      </c>
      <c r="H40" s="0" t="n">
        <v>-0.965</v>
      </c>
      <c r="I40" s="0" t="n">
        <v>-0.779</v>
      </c>
      <c r="J40" s="0" t="s">
        <v>640</v>
      </c>
      <c r="K40" s="0" t="n">
        <v>0</v>
      </c>
      <c r="L40" s="0" t="n">
        <v>0.993</v>
      </c>
      <c r="M40" s="0" t="n">
        <v>469</v>
      </c>
      <c r="N40" s="0" t="n">
        <v>179</v>
      </c>
      <c r="O40" s="0" t="n">
        <v>1058</v>
      </c>
    </row>
    <row r="41" customFormat="false" ht="15" hidden="false" customHeight="false" outlineLevel="0" collapsed="false">
      <c r="A41" s="0" t="s">
        <v>644</v>
      </c>
      <c r="B41" s="0" t="n">
        <v>20</v>
      </c>
      <c r="C41" s="0" t="s">
        <v>586</v>
      </c>
      <c r="D41" s="0" t="n">
        <v>420</v>
      </c>
      <c r="E41" s="0" t="n">
        <v>361.8</v>
      </c>
      <c r="F41" s="0" t="n">
        <v>527.8</v>
      </c>
      <c r="G41" s="0" t="n">
        <v>-0.848</v>
      </c>
      <c r="H41" s="0" t="n">
        <v>-0.94</v>
      </c>
      <c r="I41" s="0" t="n">
        <v>-0.662</v>
      </c>
      <c r="J41" s="0" t="s">
        <v>640</v>
      </c>
      <c r="K41" s="0" t="n">
        <v>0</v>
      </c>
      <c r="L41" s="0" t="n">
        <v>0.996</v>
      </c>
      <c r="M41" s="0" t="n">
        <v>469</v>
      </c>
      <c r="N41" s="0" t="n">
        <v>179</v>
      </c>
      <c r="O41" s="0" t="n">
        <v>1058</v>
      </c>
    </row>
    <row r="42" customFormat="false" ht="15" hidden="false" customHeight="false" outlineLevel="0" collapsed="false">
      <c r="A42" s="0" t="s">
        <v>644</v>
      </c>
      <c r="B42" s="0" t="n">
        <v>20</v>
      </c>
      <c r="C42" s="0" t="s">
        <v>641</v>
      </c>
      <c r="D42" s="0" t="n">
        <v>113.8</v>
      </c>
      <c r="E42" s="0" t="n">
        <v>42</v>
      </c>
      <c r="F42" s="0" t="n">
        <v>267.7</v>
      </c>
      <c r="G42" s="0" t="n">
        <v>-0.839</v>
      </c>
      <c r="H42" s="0" t="n">
        <v>-0.968</v>
      </c>
      <c r="I42" s="0" t="n">
        <v>-0.668</v>
      </c>
      <c r="J42" s="0" t="s">
        <v>640</v>
      </c>
      <c r="K42" s="0" t="n">
        <v>0</v>
      </c>
      <c r="L42" s="0" t="n">
        <v>1</v>
      </c>
      <c r="M42" s="0" t="n">
        <v>469</v>
      </c>
      <c r="N42" s="0" t="n">
        <v>179</v>
      </c>
      <c r="O42" s="0" t="n">
        <v>1058</v>
      </c>
    </row>
    <row r="43" customFormat="false" ht="15" hidden="false" customHeight="false" outlineLevel="0" collapsed="false">
      <c r="A43" s="0" t="s">
        <v>644</v>
      </c>
      <c r="B43" s="0" t="n">
        <v>20</v>
      </c>
      <c r="C43" s="0" t="s">
        <v>642</v>
      </c>
      <c r="D43" s="0" t="n">
        <v>83.3</v>
      </c>
      <c r="E43" s="0" t="n">
        <v>26.3</v>
      </c>
      <c r="F43" s="0" t="n">
        <v>209.9</v>
      </c>
      <c r="G43" s="0" t="n">
        <v>-0.631</v>
      </c>
      <c r="H43" s="0" t="n">
        <v>-0.83</v>
      </c>
      <c r="I43" s="0" t="n">
        <v>-0.326</v>
      </c>
      <c r="J43" s="0" t="s">
        <v>640</v>
      </c>
      <c r="K43" s="0" t="n">
        <v>0</v>
      </c>
      <c r="L43" s="0" t="n">
        <v>1</v>
      </c>
      <c r="M43" s="0" t="n">
        <v>469</v>
      </c>
      <c r="N43" s="0" t="n">
        <v>179</v>
      </c>
      <c r="O43" s="0" t="n">
        <v>1058</v>
      </c>
    </row>
    <row r="44" customFormat="false" ht="15" hidden="false" customHeight="false" outlineLevel="0" collapsed="false">
      <c r="A44" s="0" t="s">
        <v>644</v>
      </c>
      <c r="B44" s="0" t="n">
        <v>20</v>
      </c>
      <c r="C44" s="0" t="s">
        <v>643</v>
      </c>
      <c r="D44" s="0" t="n">
        <v>53.9</v>
      </c>
      <c r="E44" s="0" t="n">
        <v>-4.3</v>
      </c>
      <c r="F44" s="0" t="n">
        <v>161.7</v>
      </c>
      <c r="G44" s="0" t="n">
        <v>-0.433</v>
      </c>
      <c r="H44" s="0" t="n">
        <v>-0.693</v>
      </c>
      <c r="I44" s="0" t="n">
        <v>0.036</v>
      </c>
      <c r="J44" s="0" t="s">
        <v>640</v>
      </c>
      <c r="K44" s="0" t="n">
        <v>0.033</v>
      </c>
      <c r="L44" s="0" t="n">
        <v>1</v>
      </c>
      <c r="M44" s="0" t="n">
        <v>469</v>
      </c>
      <c r="N44" s="0" t="n">
        <v>179</v>
      </c>
      <c r="O44" s="0" t="n">
        <v>1058</v>
      </c>
    </row>
    <row r="45" customFormat="false" ht="15" hidden="false" customHeight="false" outlineLevel="0" collapsed="false">
      <c r="A45" s="0" t="s">
        <v>644</v>
      </c>
      <c r="B45" s="0" t="n">
        <v>50</v>
      </c>
      <c r="C45" s="0" t="s">
        <v>129</v>
      </c>
      <c r="D45" s="0" t="n">
        <v>414.2</v>
      </c>
      <c r="E45" s="0" t="n">
        <v>367.6</v>
      </c>
      <c r="F45" s="0" t="n">
        <v>524.9</v>
      </c>
      <c r="G45" s="0" t="n">
        <v>-0.853</v>
      </c>
      <c r="H45" s="0" t="n">
        <v>-0.939</v>
      </c>
      <c r="I45" s="0" t="n">
        <v>-0.697</v>
      </c>
      <c r="J45" s="0" t="s">
        <v>640</v>
      </c>
      <c r="K45" s="0" t="n">
        <v>0</v>
      </c>
      <c r="L45" s="0" t="n">
        <v>1</v>
      </c>
      <c r="M45" s="0" t="n">
        <v>1558</v>
      </c>
      <c r="N45" s="0" t="n">
        <v>606</v>
      </c>
      <c r="O45" s="0" t="n">
        <v>3568</v>
      </c>
    </row>
    <row r="46" customFormat="false" ht="15" hidden="false" customHeight="false" outlineLevel="0" collapsed="false">
      <c r="A46" s="0" t="s">
        <v>644</v>
      </c>
      <c r="B46" s="0" t="n">
        <v>50</v>
      </c>
      <c r="C46" s="0" t="s">
        <v>585</v>
      </c>
      <c r="D46" s="0" t="n">
        <v>343.8</v>
      </c>
      <c r="E46" s="0" t="n">
        <v>232.4</v>
      </c>
      <c r="F46" s="0" t="n">
        <v>407</v>
      </c>
      <c r="G46" s="0" t="n">
        <v>-0.683</v>
      </c>
      <c r="H46" s="0" t="n">
        <v>-0.863</v>
      </c>
      <c r="I46" s="0" t="n">
        <v>-0.378</v>
      </c>
      <c r="J46" s="0" t="s">
        <v>640</v>
      </c>
      <c r="K46" s="0" t="n">
        <v>0</v>
      </c>
      <c r="L46" s="0" t="n">
        <v>1</v>
      </c>
      <c r="M46" s="0" t="n">
        <v>1558</v>
      </c>
      <c r="N46" s="0" t="n">
        <v>606</v>
      </c>
      <c r="O46" s="0" t="n">
        <v>3568</v>
      </c>
    </row>
    <row r="47" customFormat="false" ht="15" hidden="false" customHeight="false" outlineLevel="0" collapsed="false">
      <c r="A47" s="0" t="s">
        <v>644</v>
      </c>
      <c r="B47" s="0" t="n">
        <v>50</v>
      </c>
      <c r="C47" s="0" t="s">
        <v>586</v>
      </c>
      <c r="D47" s="0" t="n">
        <v>264.7</v>
      </c>
      <c r="E47" s="0" t="n">
        <v>38.3</v>
      </c>
      <c r="F47" s="0" t="n">
        <v>352.6</v>
      </c>
      <c r="G47" s="0" t="n">
        <v>-0.52</v>
      </c>
      <c r="H47" s="0" t="n">
        <v>-0.793</v>
      </c>
      <c r="I47" s="0" t="n">
        <v>-0.065</v>
      </c>
      <c r="J47" s="0" t="s">
        <v>640</v>
      </c>
      <c r="K47" s="0" t="n">
        <v>0.011</v>
      </c>
      <c r="L47" s="0" t="n">
        <v>1</v>
      </c>
      <c r="M47" s="0" t="n">
        <v>1558</v>
      </c>
      <c r="N47" s="0" t="n">
        <v>606</v>
      </c>
      <c r="O47" s="0" t="n">
        <v>3568</v>
      </c>
    </row>
    <row r="48" customFormat="false" ht="15" hidden="false" customHeight="false" outlineLevel="0" collapsed="false">
      <c r="A48" s="0" t="s">
        <v>644</v>
      </c>
      <c r="B48" s="0" t="n">
        <v>50</v>
      </c>
      <c r="C48" s="0" t="s">
        <v>641</v>
      </c>
      <c r="D48" s="0" t="n">
        <v>58.1</v>
      </c>
      <c r="E48" s="0" t="n">
        <v>11.4</v>
      </c>
      <c r="F48" s="0" t="n">
        <v>168.7</v>
      </c>
      <c r="G48" s="0" t="n">
        <v>-0.446</v>
      </c>
      <c r="H48" s="0" t="n">
        <v>-0.688</v>
      </c>
      <c r="I48" s="0" t="n">
        <v>-0.117</v>
      </c>
      <c r="J48" s="0" t="s">
        <v>640</v>
      </c>
      <c r="K48" s="0" t="n">
        <v>0.007</v>
      </c>
      <c r="L48" s="0" t="n">
        <v>1</v>
      </c>
      <c r="M48" s="0" t="n">
        <v>1558</v>
      </c>
      <c r="N48" s="0" t="n">
        <v>606</v>
      </c>
      <c r="O48" s="0" t="n">
        <v>3568</v>
      </c>
    </row>
    <row r="49" customFormat="false" ht="15" hidden="false" customHeight="false" outlineLevel="0" collapsed="false">
      <c r="A49" s="0" t="s">
        <v>644</v>
      </c>
      <c r="B49" s="0" t="n">
        <v>50</v>
      </c>
      <c r="C49" s="0" t="s">
        <v>642</v>
      </c>
      <c r="D49" s="0" t="n">
        <v>-22.3</v>
      </c>
      <c r="E49" s="0" t="n">
        <v>-133.7</v>
      </c>
      <c r="F49" s="0" t="n">
        <v>40.9</v>
      </c>
      <c r="G49" s="0" t="n">
        <v>0.185</v>
      </c>
      <c r="H49" s="0" t="n">
        <v>-0.26</v>
      </c>
      <c r="I49" s="0" t="n">
        <v>0.799</v>
      </c>
      <c r="J49" s="0" t="n">
        <v>2060</v>
      </c>
      <c r="K49" s="0" t="n">
        <v>0.774</v>
      </c>
      <c r="L49" s="0" t="n">
        <v>1</v>
      </c>
      <c r="M49" s="0" t="n">
        <v>1558</v>
      </c>
      <c r="N49" s="0" t="n">
        <v>606</v>
      </c>
      <c r="O49" s="0" t="n">
        <v>3568</v>
      </c>
    </row>
    <row r="50" customFormat="false" ht="15" hidden="false" customHeight="false" outlineLevel="0" collapsed="false">
      <c r="A50" s="0" t="s">
        <v>644</v>
      </c>
      <c r="B50" s="0" t="n">
        <v>50</v>
      </c>
      <c r="C50" s="0" t="s">
        <v>643</v>
      </c>
      <c r="D50" s="0" t="n">
        <v>-101.4</v>
      </c>
      <c r="E50" s="0" t="n">
        <v>-327.8</v>
      </c>
      <c r="F50" s="0" t="n">
        <v>-13.5</v>
      </c>
      <c r="G50" s="0" t="n">
        <v>0.781</v>
      </c>
      <c r="H50" s="0" t="n">
        <v>0.136</v>
      </c>
      <c r="I50" s="0" t="n">
        <v>1.726</v>
      </c>
      <c r="J50" s="0" t="n">
        <v>2052</v>
      </c>
      <c r="K50" s="0" t="n">
        <v>0.994</v>
      </c>
      <c r="L50" s="0" t="n">
        <v>1</v>
      </c>
      <c r="M50" s="0" t="n">
        <v>1558</v>
      </c>
      <c r="N50" s="0" t="n">
        <v>606</v>
      </c>
      <c r="O50" s="0" t="n">
        <v>3568</v>
      </c>
    </row>
    <row r="51" customFormat="false" ht="15" hidden="false" customHeight="false" outlineLevel="0" collapsed="false">
      <c r="A51" s="0" t="s">
        <v>645</v>
      </c>
      <c r="B51" s="0" t="n">
        <v>5</v>
      </c>
      <c r="C51" s="0" t="s">
        <v>129</v>
      </c>
      <c r="D51" s="0" t="n">
        <v>88.9</v>
      </c>
      <c r="E51" s="0" t="n">
        <v>62.5</v>
      </c>
      <c r="F51" s="0" t="n">
        <v>120</v>
      </c>
      <c r="G51" s="0" t="n">
        <v>-1.097</v>
      </c>
      <c r="H51" s="0" t="n">
        <v>-1.13</v>
      </c>
      <c r="I51" s="0" t="n">
        <v>-1.07</v>
      </c>
      <c r="J51" s="0" t="s">
        <v>640</v>
      </c>
      <c r="K51" s="0" t="n">
        <v>0</v>
      </c>
      <c r="L51" s="0" t="n">
        <v>1</v>
      </c>
      <c r="M51" s="0" t="n">
        <v>10</v>
      </c>
      <c r="N51" s="0" t="n">
        <v>6</v>
      </c>
      <c r="O51" s="0" t="n">
        <v>14</v>
      </c>
    </row>
    <row r="52" customFormat="false" ht="15" hidden="false" customHeight="false" outlineLevel="0" collapsed="false">
      <c r="A52" s="0" t="s">
        <v>645</v>
      </c>
      <c r="B52" s="0" t="n">
        <v>5</v>
      </c>
      <c r="C52" s="0" t="s">
        <v>585</v>
      </c>
      <c r="D52" s="0" t="n">
        <v>97.7</v>
      </c>
      <c r="E52" s="0" t="n">
        <v>70.5</v>
      </c>
      <c r="F52" s="0" t="n">
        <v>128.8</v>
      </c>
      <c r="G52" s="0" t="n">
        <v>-1.107</v>
      </c>
      <c r="H52" s="0" t="n">
        <v>-1.142</v>
      </c>
      <c r="I52" s="0" t="n">
        <v>-1.079</v>
      </c>
      <c r="J52" s="0" t="s">
        <v>640</v>
      </c>
      <c r="K52" s="0" t="n">
        <v>0</v>
      </c>
      <c r="L52" s="0" t="n">
        <v>1</v>
      </c>
      <c r="M52" s="0" t="n">
        <v>10</v>
      </c>
      <c r="N52" s="0" t="n">
        <v>6</v>
      </c>
      <c r="O52" s="0" t="n">
        <v>14</v>
      </c>
    </row>
    <row r="53" customFormat="false" ht="15" hidden="false" customHeight="false" outlineLevel="0" collapsed="false">
      <c r="A53" s="0" t="s">
        <v>645</v>
      </c>
      <c r="B53" s="0" t="n">
        <v>5</v>
      </c>
      <c r="C53" s="0" t="s">
        <v>586</v>
      </c>
      <c r="D53" s="0" t="n">
        <v>96.6</v>
      </c>
      <c r="E53" s="0" t="n">
        <v>69.9</v>
      </c>
      <c r="F53" s="0" t="n">
        <v>127.7</v>
      </c>
      <c r="G53" s="0" t="n">
        <v>-1.094</v>
      </c>
      <c r="H53" s="0" t="n">
        <v>-1.126</v>
      </c>
      <c r="I53" s="0" t="n">
        <v>-1.067</v>
      </c>
      <c r="J53" s="0" t="s">
        <v>640</v>
      </c>
      <c r="K53" s="0" t="n">
        <v>0</v>
      </c>
      <c r="L53" s="0" t="n">
        <v>1</v>
      </c>
      <c r="M53" s="0" t="n">
        <v>10</v>
      </c>
      <c r="N53" s="0" t="n">
        <v>6</v>
      </c>
      <c r="O53" s="0" t="n">
        <v>14</v>
      </c>
    </row>
    <row r="54" customFormat="false" ht="15" hidden="false" customHeight="false" outlineLevel="0" collapsed="false">
      <c r="A54" s="0" t="s">
        <v>645</v>
      </c>
      <c r="B54" s="0" t="n">
        <v>5</v>
      </c>
      <c r="C54" s="0" t="s">
        <v>641</v>
      </c>
      <c r="D54" s="0" t="n">
        <v>88.9</v>
      </c>
      <c r="E54" s="0" t="n">
        <v>62.5</v>
      </c>
      <c r="F54" s="0" t="n">
        <v>120</v>
      </c>
      <c r="G54" s="0" t="n">
        <v>-1.097</v>
      </c>
      <c r="H54" s="0" t="n">
        <v>-1.13</v>
      </c>
      <c r="I54" s="0" t="n">
        <v>-1.07</v>
      </c>
      <c r="J54" s="0" t="s">
        <v>640</v>
      </c>
      <c r="K54" s="0" t="n">
        <v>0</v>
      </c>
      <c r="L54" s="0" t="n">
        <v>1</v>
      </c>
      <c r="M54" s="0" t="n">
        <v>10</v>
      </c>
      <c r="N54" s="0" t="n">
        <v>6</v>
      </c>
      <c r="O54" s="0" t="n">
        <v>14</v>
      </c>
    </row>
    <row r="55" customFormat="false" ht="15" hidden="false" customHeight="false" outlineLevel="0" collapsed="false">
      <c r="A55" s="0" t="s">
        <v>645</v>
      </c>
      <c r="B55" s="0" t="n">
        <v>5</v>
      </c>
      <c r="C55" s="0" t="s">
        <v>642</v>
      </c>
      <c r="D55" s="0" t="n">
        <v>90.6</v>
      </c>
      <c r="E55" s="0" t="n">
        <v>63.4</v>
      </c>
      <c r="F55" s="0" t="n">
        <v>121.7</v>
      </c>
      <c r="G55" s="0" t="n">
        <v>-1.117</v>
      </c>
      <c r="H55" s="0" t="n">
        <v>-1.157</v>
      </c>
      <c r="I55" s="0" t="n">
        <v>-1.085</v>
      </c>
      <c r="J55" s="0" t="s">
        <v>640</v>
      </c>
      <c r="K55" s="0" t="n">
        <v>0</v>
      </c>
      <c r="L55" s="0" t="n">
        <v>1</v>
      </c>
      <c r="M55" s="0" t="n">
        <v>10</v>
      </c>
      <c r="N55" s="0" t="n">
        <v>6</v>
      </c>
      <c r="O55" s="0" t="n">
        <v>14</v>
      </c>
    </row>
    <row r="56" customFormat="false" ht="15" hidden="false" customHeight="false" outlineLevel="0" collapsed="false">
      <c r="A56" s="0" t="s">
        <v>645</v>
      </c>
      <c r="B56" s="0" t="n">
        <v>5</v>
      </c>
      <c r="C56" s="0" t="s">
        <v>643</v>
      </c>
      <c r="D56" s="0" t="n">
        <v>89.4</v>
      </c>
      <c r="E56" s="0" t="n">
        <v>62.8</v>
      </c>
      <c r="F56" s="0" t="n">
        <v>120.6</v>
      </c>
      <c r="G56" s="0" t="n">
        <v>-1.103</v>
      </c>
      <c r="H56" s="0" t="n">
        <v>-1.139</v>
      </c>
      <c r="I56" s="0" t="n">
        <v>-1.073</v>
      </c>
      <c r="J56" s="0" t="s">
        <v>640</v>
      </c>
      <c r="K56" s="0" t="n">
        <v>0</v>
      </c>
      <c r="L56" s="0" t="n">
        <v>1</v>
      </c>
      <c r="M56" s="0" t="n">
        <v>10</v>
      </c>
      <c r="N56" s="0" t="n">
        <v>6</v>
      </c>
      <c r="O56" s="0" t="n">
        <v>14</v>
      </c>
    </row>
    <row r="57" customFormat="false" ht="15" hidden="false" customHeight="false" outlineLevel="0" collapsed="false">
      <c r="A57" s="0" t="s">
        <v>645</v>
      </c>
      <c r="B57" s="0" t="n">
        <v>10</v>
      </c>
      <c r="C57" s="0" t="s">
        <v>129</v>
      </c>
      <c r="D57" s="0" t="n">
        <v>111.7</v>
      </c>
      <c r="E57" s="0" t="n">
        <v>77.8</v>
      </c>
      <c r="F57" s="0" t="n">
        <v>151.3</v>
      </c>
      <c r="G57" s="0" t="n">
        <v>-1.071</v>
      </c>
      <c r="H57" s="0" t="n">
        <v>-1.115</v>
      </c>
      <c r="I57" s="0" t="n">
        <v>-1.025</v>
      </c>
      <c r="J57" s="0" t="s">
        <v>640</v>
      </c>
      <c r="K57" s="0" t="n">
        <v>0</v>
      </c>
      <c r="L57" s="0" t="n">
        <v>1</v>
      </c>
      <c r="M57" s="0" t="n">
        <v>53</v>
      </c>
      <c r="N57" s="0" t="n">
        <v>33</v>
      </c>
      <c r="O57" s="0" t="n">
        <v>76</v>
      </c>
    </row>
    <row r="58" customFormat="false" ht="15" hidden="false" customHeight="false" outlineLevel="0" collapsed="false">
      <c r="A58" s="0" t="s">
        <v>645</v>
      </c>
      <c r="B58" s="0" t="n">
        <v>10</v>
      </c>
      <c r="C58" s="0" t="s">
        <v>585</v>
      </c>
      <c r="D58" s="0" t="n">
        <v>121.2</v>
      </c>
      <c r="E58" s="0" t="n">
        <v>88</v>
      </c>
      <c r="F58" s="0" t="n">
        <v>159.5</v>
      </c>
      <c r="G58" s="0" t="n">
        <v>-1.022</v>
      </c>
      <c r="H58" s="0" t="n">
        <v>-1.083</v>
      </c>
      <c r="I58" s="0" t="n">
        <v>-0.963</v>
      </c>
      <c r="J58" s="0" t="s">
        <v>640</v>
      </c>
      <c r="K58" s="0" t="n">
        <v>0</v>
      </c>
      <c r="L58" s="0" t="n">
        <v>1</v>
      </c>
      <c r="M58" s="0" t="n">
        <v>53</v>
      </c>
      <c r="N58" s="0" t="n">
        <v>33</v>
      </c>
      <c r="O58" s="0" t="n">
        <v>76</v>
      </c>
    </row>
    <row r="59" customFormat="false" ht="15" hidden="false" customHeight="false" outlineLevel="0" collapsed="false">
      <c r="A59" s="0" t="s">
        <v>645</v>
      </c>
      <c r="B59" s="0" t="n">
        <v>10</v>
      </c>
      <c r="C59" s="0" t="s">
        <v>586</v>
      </c>
      <c r="D59" s="0" t="n">
        <v>114.8</v>
      </c>
      <c r="E59" s="0" t="n">
        <v>82.4</v>
      </c>
      <c r="F59" s="0" t="n">
        <v>152.3</v>
      </c>
      <c r="G59" s="0" t="n">
        <v>-0.967</v>
      </c>
      <c r="H59" s="0" t="n">
        <v>-1.05</v>
      </c>
      <c r="I59" s="0" t="n">
        <v>-0.892</v>
      </c>
      <c r="J59" s="0" t="s">
        <v>640</v>
      </c>
      <c r="K59" s="0" t="n">
        <v>0</v>
      </c>
      <c r="L59" s="0" t="n">
        <v>1</v>
      </c>
      <c r="M59" s="0" t="n">
        <v>53</v>
      </c>
      <c r="N59" s="0" t="n">
        <v>33</v>
      </c>
      <c r="O59" s="0" t="n">
        <v>76</v>
      </c>
    </row>
    <row r="60" customFormat="false" ht="15" hidden="false" customHeight="false" outlineLevel="0" collapsed="false">
      <c r="A60" s="0" t="s">
        <v>645</v>
      </c>
      <c r="B60" s="0" t="n">
        <v>10</v>
      </c>
      <c r="C60" s="0" t="s">
        <v>641</v>
      </c>
      <c r="D60" s="0" t="n">
        <v>111.7</v>
      </c>
      <c r="E60" s="0" t="n">
        <v>77.8</v>
      </c>
      <c r="F60" s="0" t="n">
        <v>151.3</v>
      </c>
      <c r="G60" s="0" t="n">
        <v>-1.071</v>
      </c>
      <c r="H60" s="0" t="n">
        <v>-1.115</v>
      </c>
      <c r="I60" s="0" t="n">
        <v>-1.025</v>
      </c>
      <c r="J60" s="0" t="s">
        <v>640</v>
      </c>
      <c r="K60" s="0" t="n">
        <v>0</v>
      </c>
      <c r="L60" s="0" t="n">
        <v>1</v>
      </c>
      <c r="M60" s="0" t="n">
        <v>53</v>
      </c>
      <c r="N60" s="0" t="n">
        <v>33</v>
      </c>
      <c r="O60" s="0" t="n">
        <v>76</v>
      </c>
    </row>
    <row r="61" customFormat="false" ht="15" hidden="false" customHeight="false" outlineLevel="0" collapsed="false">
      <c r="A61" s="0" t="s">
        <v>645</v>
      </c>
      <c r="B61" s="0" t="n">
        <v>10</v>
      </c>
      <c r="C61" s="0" t="s">
        <v>642</v>
      </c>
      <c r="D61" s="0" t="n">
        <v>107</v>
      </c>
      <c r="E61" s="0" t="n">
        <v>73.7</v>
      </c>
      <c r="F61" s="0" t="n">
        <v>145.2</v>
      </c>
      <c r="G61" s="0" t="n">
        <v>-1.025</v>
      </c>
      <c r="H61" s="0" t="n">
        <v>-1.094</v>
      </c>
      <c r="I61" s="0" t="n">
        <v>-0.958</v>
      </c>
      <c r="J61" s="0" t="s">
        <v>640</v>
      </c>
      <c r="K61" s="0" t="n">
        <v>0</v>
      </c>
      <c r="L61" s="0" t="n">
        <v>1</v>
      </c>
      <c r="M61" s="0" t="n">
        <v>53</v>
      </c>
      <c r="N61" s="0" t="n">
        <v>33</v>
      </c>
      <c r="O61" s="0" t="n">
        <v>76</v>
      </c>
    </row>
    <row r="62" customFormat="false" ht="15" hidden="false" customHeight="false" outlineLevel="0" collapsed="false">
      <c r="A62" s="0" t="s">
        <v>645</v>
      </c>
      <c r="B62" s="0" t="n">
        <v>10</v>
      </c>
      <c r="C62" s="0" t="s">
        <v>643</v>
      </c>
      <c r="D62" s="0" t="n">
        <v>100.5</v>
      </c>
      <c r="E62" s="0" t="n">
        <v>68.1</v>
      </c>
      <c r="F62" s="0" t="n">
        <v>138.1</v>
      </c>
      <c r="G62" s="0" t="n">
        <v>-0.962</v>
      </c>
      <c r="H62" s="0" t="n">
        <v>-1.057</v>
      </c>
      <c r="I62" s="0" t="n">
        <v>-0.877</v>
      </c>
      <c r="J62" s="0" t="s">
        <v>640</v>
      </c>
      <c r="K62" s="0" t="n">
        <v>0</v>
      </c>
      <c r="L62" s="0" t="n">
        <v>1</v>
      </c>
      <c r="M62" s="0" t="n">
        <v>53</v>
      </c>
      <c r="N62" s="0" t="n">
        <v>33</v>
      </c>
      <c r="O62" s="0" t="n">
        <v>76</v>
      </c>
    </row>
    <row r="63" customFormat="false" ht="15" hidden="false" customHeight="false" outlineLevel="0" collapsed="false">
      <c r="A63" s="0" t="s">
        <v>645</v>
      </c>
      <c r="B63" s="0" t="n">
        <v>20</v>
      </c>
      <c r="C63" s="0" t="s">
        <v>129</v>
      </c>
      <c r="D63" s="0" t="n">
        <v>103.5</v>
      </c>
      <c r="E63" s="0" t="n">
        <v>70.6</v>
      </c>
      <c r="F63" s="0" t="n">
        <v>140.9</v>
      </c>
      <c r="G63" s="0" t="n">
        <v>-0.994</v>
      </c>
      <c r="H63" s="0" t="n">
        <v>-1.069</v>
      </c>
      <c r="I63" s="0" t="n">
        <v>-0.896</v>
      </c>
      <c r="J63" s="0" t="s">
        <v>640</v>
      </c>
      <c r="K63" s="0" t="n">
        <v>0</v>
      </c>
      <c r="L63" s="0" t="n">
        <v>1</v>
      </c>
      <c r="M63" s="0" t="n">
        <v>154</v>
      </c>
      <c r="N63" s="0" t="n">
        <v>98</v>
      </c>
      <c r="O63" s="0" t="n">
        <v>226</v>
      </c>
    </row>
    <row r="64" customFormat="false" ht="15" hidden="false" customHeight="false" outlineLevel="0" collapsed="false">
      <c r="A64" s="0" t="s">
        <v>645</v>
      </c>
      <c r="B64" s="0" t="n">
        <v>20</v>
      </c>
      <c r="C64" s="0" t="s">
        <v>585</v>
      </c>
      <c r="D64" s="0" t="n">
        <v>95.8</v>
      </c>
      <c r="E64" s="0" t="n">
        <v>62.1</v>
      </c>
      <c r="F64" s="0" t="n">
        <v>133</v>
      </c>
      <c r="G64" s="0" t="n">
        <v>-0.819</v>
      </c>
      <c r="H64" s="0" t="n">
        <v>-0.949</v>
      </c>
      <c r="I64" s="0" t="n">
        <v>-0.592</v>
      </c>
      <c r="J64" s="0" t="s">
        <v>640</v>
      </c>
      <c r="K64" s="0" t="n">
        <v>0</v>
      </c>
      <c r="L64" s="0" t="n">
        <v>1</v>
      </c>
      <c r="M64" s="0" t="n">
        <v>154</v>
      </c>
      <c r="N64" s="0" t="n">
        <v>98</v>
      </c>
      <c r="O64" s="0" t="n">
        <v>226</v>
      </c>
    </row>
    <row r="65" customFormat="false" ht="15" hidden="false" customHeight="false" outlineLevel="0" collapsed="false">
      <c r="A65" s="0" t="s">
        <v>645</v>
      </c>
      <c r="B65" s="0" t="n">
        <v>20</v>
      </c>
      <c r="C65" s="0" t="s">
        <v>586</v>
      </c>
      <c r="D65" s="0" t="n">
        <v>75.2</v>
      </c>
      <c r="E65" s="0" t="n">
        <v>31.9</v>
      </c>
      <c r="F65" s="0" t="n">
        <v>114.9</v>
      </c>
      <c r="G65" s="0" t="n">
        <v>-0.646</v>
      </c>
      <c r="H65" s="0" t="n">
        <v>-0.84</v>
      </c>
      <c r="I65" s="0" t="n">
        <v>-0.299</v>
      </c>
      <c r="J65" s="0" t="s">
        <v>640</v>
      </c>
      <c r="K65" s="0" t="n">
        <v>0.001</v>
      </c>
      <c r="L65" s="0" t="n">
        <v>1</v>
      </c>
      <c r="M65" s="0" t="n">
        <v>154</v>
      </c>
      <c r="N65" s="0" t="n">
        <v>98</v>
      </c>
      <c r="O65" s="0" t="n">
        <v>226</v>
      </c>
    </row>
    <row r="66" customFormat="false" ht="15" hidden="false" customHeight="false" outlineLevel="0" collapsed="false">
      <c r="A66" s="0" t="s">
        <v>645</v>
      </c>
      <c r="B66" s="0" t="n">
        <v>20</v>
      </c>
      <c r="C66" s="0" t="s">
        <v>641</v>
      </c>
      <c r="D66" s="0" t="n">
        <v>103.5</v>
      </c>
      <c r="E66" s="0" t="n">
        <v>70.6</v>
      </c>
      <c r="F66" s="0" t="n">
        <v>140.9</v>
      </c>
      <c r="G66" s="0" t="n">
        <v>-0.994</v>
      </c>
      <c r="H66" s="0" t="n">
        <v>-1.069</v>
      </c>
      <c r="I66" s="0" t="n">
        <v>-0.896</v>
      </c>
      <c r="J66" s="0" t="s">
        <v>640</v>
      </c>
      <c r="K66" s="0" t="n">
        <v>0</v>
      </c>
      <c r="L66" s="0" t="n">
        <v>1</v>
      </c>
      <c r="M66" s="0" t="n">
        <v>154</v>
      </c>
      <c r="N66" s="0" t="n">
        <v>98</v>
      </c>
      <c r="O66" s="0" t="n">
        <v>226</v>
      </c>
    </row>
    <row r="67" customFormat="false" ht="15" hidden="false" customHeight="false" outlineLevel="0" collapsed="false">
      <c r="A67" s="0" t="s">
        <v>645</v>
      </c>
      <c r="B67" s="0" t="n">
        <v>20</v>
      </c>
      <c r="C67" s="0" t="s">
        <v>642</v>
      </c>
      <c r="D67" s="0" t="n">
        <v>81.5</v>
      </c>
      <c r="E67" s="0" t="n">
        <v>47.8</v>
      </c>
      <c r="F67" s="0" t="n">
        <v>118.8</v>
      </c>
      <c r="G67" s="0" t="n">
        <v>-0.793</v>
      </c>
      <c r="H67" s="0" t="n">
        <v>-0.942</v>
      </c>
      <c r="I67" s="0" t="n">
        <v>-0.533</v>
      </c>
      <c r="J67" s="0" t="s">
        <v>640</v>
      </c>
      <c r="K67" s="0" t="n">
        <v>0</v>
      </c>
      <c r="L67" s="0" t="n">
        <v>1</v>
      </c>
      <c r="M67" s="0" t="n">
        <v>154</v>
      </c>
      <c r="N67" s="0" t="n">
        <v>98</v>
      </c>
      <c r="O67" s="0" t="n">
        <v>226</v>
      </c>
    </row>
    <row r="68" customFormat="false" ht="15" hidden="false" customHeight="false" outlineLevel="0" collapsed="false">
      <c r="A68" s="0" t="s">
        <v>645</v>
      </c>
      <c r="B68" s="0" t="n">
        <v>20</v>
      </c>
      <c r="C68" s="0" t="s">
        <v>643</v>
      </c>
      <c r="D68" s="0" t="n">
        <v>61</v>
      </c>
      <c r="E68" s="0" t="n">
        <v>17.6</v>
      </c>
      <c r="F68" s="0" t="n">
        <v>100.6</v>
      </c>
      <c r="G68" s="0" t="n">
        <v>-0.598</v>
      </c>
      <c r="H68" s="0" t="n">
        <v>-0.818</v>
      </c>
      <c r="I68" s="0" t="n">
        <v>-0.193</v>
      </c>
      <c r="J68" s="0" t="s">
        <v>640</v>
      </c>
      <c r="K68" s="0" t="n">
        <v>0.003</v>
      </c>
      <c r="L68" s="0" t="n">
        <v>1</v>
      </c>
      <c r="M68" s="0" t="n">
        <v>154</v>
      </c>
      <c r="N68" s="0" t="n">
        <v>98</v>
      </c>
      <c r="O68" s="0" t="n">
        <v>226</v>
      </c>
    </row>
    <row r="69" customFormat="false" ht="15" hidden="false" customHeight="false" outlineLevel="0" collapsed="false">
      <c r="A69" s="0" t="s">
        <v>645</v>
      </c>
      <c r="B69" s="0" t="n">
        <v>50</v>
      </c>
      <c r="C69" s="0" t="s">
        <v>129</v>
      </c>
      <c r="D69" s="0" t="n">
        <v>91.9</v>
      </c>
      <c r="E69" s="0" t="n">
        <v>60.6</v>
      </c>
      <c r="F69" s="0" t="n">
        <v>127.7</v>
      </c>
      <c r="G69" s="0" t="n">
        <v>-0.886</v>
      </c>
      <c r="H69" s="0" t="n">
        <v>-0.971</v>
      </c>
      <c r="I69" s="0" t="n">
        <v>-0.767</v>
      </c>
      <c r="J69" s="0" t="s">
        <v>640</v>
      </c>
      <c r="K69" s="0" t="n">
        <v>0</v>
      </c>
      <c r="L69" s="0" t="n">
        <v>1</v>
      </c>
      <c r="M69" s="0" t="n">
        <v>329</v>
      </c>
      <c r="N69" s="0" t="n">
        <v>231</v>
      </c>
      <c r="O69" s="0" t="n">
        <v>427</v>
      </c>
    </row>
    <row r="70" customFormat="false" ht="15" hidden="false" customHeight="false" outlineLevel="0" collapsed="false">
      <c r="A70" s="0" t="s">
        <v>645</v>
      </c>
      <c r="B70" s="0" t="n">
        <v>50</v>
      </c>
      <c r="C70" s="0" t="s">
        <v>585</v>
      </c>
      <c r="D70" s="0" t="n">
        <v>63.5</v>
      </c>
      <c r="E70" s="0" t="n">
        <v>26</v>
      </c>
      <c r="F70" s="0" t="n">
        <v>101.8</v>
      </c>
      <c r="G70" s="0" t="n">
        <v>-0.544</v>
      </c>
      <c r="H70" s="0" t="n">
        <v>-0.749</v>
      </c>
      <c r="I70" s="0" t="n">
        <v>-0.234</v>
      </c>
      <c r="J70" s="0" t="s">
        <v>640</v>
      </c>
      <c r="K70" s="0" t="n">
        <v>0.002</v>
      </c>
      <c r="L70" s="0" t="n">
        <v>1</v>
      </c>
      <c r="M70" s="0" t="n">
        <v>329</v>
      </c>
      <c r="N70" s="0" t="n">
        <v>231</v>
      </c>
      <c r="O70" s="0" t="n">
        <v>427</v>
      </c>
    </row>
    <row r="71" customFormat="false" ht="15" hidden="false" customHeight="false" outlineLevel="0" collapsed="false">
      <c r="A71" s="0" t="s">
        <v>645</v>
      </c>
      <c r="B71" s="0" t="n">
        <v>50</v>
      </c>
      <c r="C71" s="0" t="s">
        <v>586</v>
      </c>
      <c r="D71" s="0" t="n">
        <v>23.2</v>
      </c>
      <c r="E71" s="0" t="n">
        <v>-35.3</v>
      </c>
      <c r="F71" s="0" t="n">
        <v>70.1</v>
      </c>
      <c r="G71" s="0" t="n">
        <v>-0.198</v>
      </c>
      <c r="H71" s="0" t="n">
        <v>-0.536</v>
      </c>
      <c r="I71" s="0" t="n">
        <v>0.312</v>
      </c>
      <c r="J71" s="0" t="s">
        <v>640</v>
      </c>
      <c r="K71" s="0" t="n">
        <v>0.192</v>
      </c>
      <c r="L71" s="0" t="n">
        <v>1</v>
      </c>
      <c r="M71" s="0" t="n">
        <v>329</v>
      </c>
      <c r="N71" s="0" t="n">
        <v>231</v>
      </c>
      <c r="O71" s="0" t="n">
        <v>427</v>
      </c>
    </row>
    <row r="72" customFormat="false" ht="15" hidden="false" customHeight="false" outlineLevel="0" collapsed="false">
      <c r="A72" s="0" t="s">
        <v>645</v>
      </c>
      <c r="B72" s="0" t="n">
        <v>50</v>
      </c>
      <c r="C72" s="0" t="s">
        <v>641</v>
      </c>
      <c r="D72" s="0" t="n">
        <v>91.9</v>
      </c>
      <c r="E72" s="0" t="n">
        <v>60.6</v>
      </c>
      <c r="F72" s="0" t="n">
        <v>127.7</v>
      </c>
      <c r="G72" s="0" t="n">
        <v>-0.886</v>
      </c>
      <c r="H72" s="0" t="n">
        <v>-0.971</v>
      </c>
      <c r="I72" s="0" t="n">
        <v>-0.767</v>
      </c>
      <c r="J72" s="0" t="s">
        <v>640</v>
      </c>
      <c r="K72" s="0" t="n">
        <v>0</v>
      </c>
      <c r="L72" s="0" t="n">
        <v>1</v>
      </c>
      <c r="M72" s="0" t="n">
        <v>329</v>
      </c>
      <c r="N72" s="0" t="n">
        <v>231</v>
      </c>
      <c r="O72" s="0" t="n">
        <v>427</v>
      </c>
    </row>
    <row r="73" customFormat="false" ht="15" hidden="false" customHeight="false" outlineLevel="0" collapsed="false">
      <c r="A73" s="0" t="s">
        <v>645</v>
      </c>
      <c r="B73" s="0" t="n">
        <v>50</v>
      </c>
      <c r="C73" s="0" t="s">
        <v>642</v>
      </c>
      <c r="D73" s="0" t="n">
        <v>49.2</v>
      </c>
      <c r="E73" s="0" t="n">
        <v>11.8</v>
      </c>
      <c r="F73" s="0" t="n">
        <v>87.5</v>
      </c>
      <c r="G73" s="0" t="n">
        <v>-0.481</v>
      </c>
      <c r="H73" s="0" t="n">
        <v>-0.714</v>
      </c>
      <c r="I73" s="0" t="n">
        <v>-0.125</v>
      </c>
      <c r="J73" s="0" t="s">
        <v>640</v>
      </c>
      <c r="K73" s="0" t="n">
        <v>0.006</v>
      </c>
      <c r="L73" s="0" t="n">
        <v>1</v>
      </c>
      <c r="M73" s="0" t="n">
        <v>329</v>
      </c>
      <c r="N73" s="0" t="n">
        <v>231</v>
      </c>
      <c r="O73" s="0" t="n">
        <v>427</v>
      </c>
    </row>
    <row r="74" customFormat="false" ht="15" hidden="false" customHeight="false" outlineLevel="0" collapsed="false">
      <c r="A74" s="0" t="s">
        <v>645</v>
      </c>
      <c r="B74" s="0" t="n">
        <v>50</v>
      </c>
      <c r="C74" s="0" t="s">
        <v>643</v>
      </c>
      <c r="D74" s="0" t="n">
        <v>8.9</v>
      </c>
      <c r="E74" s="0" t="n">
        <v>-49.6</v>
      </c>
      <c r="F74" s="0" t="n">
        <v>55.8</v>
      </c>
      <c r="G74" s="0" t="n">
        <v>-0.086</v>
      </c>
      <c r="H74" s="0" t="n">
        <v>-0.474</v>
      </c>
      <c r="I74" s="0" t="n">
        <v>0.502</v>
      </c>
      <c r="J74" s="0" t="s">
        <v>640</v>
      </c>
      <c r="K74" s="0" t="n">
        <v>0.357</v>
      </c>
      <c r="L74" s="0" t="n">
        <v>1</v>
      </c>
      <c r="M74" s="0" t="n">
        <v>329</v>
      </c>
      <c r="N74" s="0" t="n">
        <v>231</v>
      </c>
      <c r="O74" s="0" t="n">
        <v>427</v>
      </c>
    </row>
    <row r="75" customFormat="false" ht="15" hidden="false" customHeight="false" outlineLevel="0" collapsed="false">
      <c r="A75" s="0" t="s">
        <v>646</v>
      </c>
      <c r="B75" s="0" t="n">
        <v>5</v>
      </c>
      <c r="C75" s="0" t="s">
        <v>129</v>
      </c>
      <c r="D75" s="0" t="n">
        <v>1761.7</v>
      </c>
      <c r="E75" s="0" t="n">
        <v>1465.2</v>
      </c>
      <c r="F75" s="0" t="n">
        <v>2237.7</v>
      </c>
      <c r="G75" s="0" t="n">
        <v>-1.044</v>
      </c>
      <c r="H75" s="0" t="n">
        <v>-1.059</v>
      </c>
      <c r="I75" s="0" t="n">
        <v>-1.032</v>
      </c>
      <c r="J75" s="0" t="s">
        <v>640</v>
      </c>
      <c r="K75" s="0" t="n">
        <v>0</v>
      </c>
      <c r="L75" s="0" t="n">
        <v>0.001</v>
      </c>
      <c r="M75" s="0" t="n">
        <v>84</v>
      </c>
      <c r="N75" s="0" t="n">
        <v>50</v>
      </c>
      <c r="O75" s="0" t="n">
        <v>138</v>
      </c>
    </row>
    <row r="76" customFormat="false" ht="15" hidden="false" customHeight="false" outlineLevel="0" collapsed="false">
      <c r="A76" s="0" t="s">
        <v>646</v>
      </c>
      <c r="B76" s="0" t="n">
        <v>5</v>
      </c>
      <c r="C76" s="0" t="s">
        <v>585</v>
      </c>
      <c r="D76" s="0" t="n">
        <v>1791.5</v>
      </c>
      <c r="E76" s="0" t="n">
        <v>1488.5</v>
      </c>
      <c r="F76" s="0" t="n">
        <v>2273.3</v>
      </c>
      <c r="G76" s="0" t="n">
        <v>-1.052</v>
      </c>
      <c r="H76" s="0" t="n">
        <v>-1.071</v>
      </c>
      <c r="I76" s="0" t="n">
        <v>-1.039</v>
      </c>
      <c r="J76" s="0" t="s">
        <v>640</v>
      </c>
      <c r="K76" s="0" t="n">
        <v>0</v>
      </c>
      <c r="L76" s="0" t="n">
        <v>0.001</v>
      </c>
      <c r="M76" s="0" t="n">
        <v>84</v>
      </c>
      <c r="N76" s="0" t="n">
        <v>50</v>
      </c>
      <c r="O76" s="0" t="n">
        <v>138</v>
      </c>
    </row>
    <row r="77" customFormat="false" ht="15" hidden="false" customHeight="false" outlineLevel="0" collapsed="false">
      <c r="A77" s="0" t="s">
        <v>646</v>
      </c>
      <c r="B77" s="0" t="n">
        <v>5</v>
      </c>
      <c r="C77" s="0" t="s">
        <v>586</v>
      </c>
      <c r="D77" s="0" t="n">
        <v>1780.7</v>
      </c>
      <c r="E77" s="0" t="n">
        <v>1483.2</v>
      </c>
      <c r="F77" s="0" t="n">
        <v>2260.7</v>
      </c>
      <c r="G77" s="0" t="n">
        <v>-1.047</v>
      </c>
      <c r="H77" s="0" t="n">
        <v>-1.063</v>
      </c>
      <c r="I77" s="0" t="n">
        <v>-1.034</v>
      </c>
      <c r="J77" s="0" t="s">
        <v>640</v>
      </c>
      <c r="K77" s="0" t="n">
        <v>0</v>
      </c>
      <c r="L77" s="0" t="n">
        <v>0.001</v>
      </c>
      <c r="M77" s="0" t="n">
        <v>84</v>
      </c>
      <c r="N77" s="0" t="n">
        <v>50</v>
      </c>
      <c r="O77" s="0" t="n">
        <v>138</v>
      </c>
    </row>
    <row r="78" customFormat="false" ht="15" hidden="false" customHeight="false" outlineLevel="0" collapsed="false">
      <c r="A78" s="0" t="s">
        <v>646</v>
      </c>
      <c r="B78" s="0" t="n">
        <v>5</v>
      </c>
      <c r="C78" s="0" t="s">
        <v>641</v>
      </c>
      <c r="D78" s="0" t="n">
        <v>871.3</v>
      </c>
      <c r="E78" s="0" t="n">
        <v>574.8</v>
      </c>
      <c r="F78" s="0" t="n">
        <v>1347.2</v>
      </c>
      <c r="G78" s="0" t="n">
        <v>-1.093</v>
      </c>
      <c r="H78" s="0" t="n">
        <v>-1.123</v>
      </c>
      <c r="I78" s="0" t="n">
        <v>-1.068</v>
      </c>
      <c r="J78" s="0" t="s">
        <v>640</v>
      </c>
      <c r="K78" s="0" t="n">
        <v>0</v>
      </c>
      <c r="L78" s="0" t="n">
        <v>0.977</v>
      </c>
      <c r="M78" s="0" t="n">
        <v>84</v>
      </c>
      <c r="N78" s="0" t="n">
        <v>50</v>
      </c>
      <c r="O78" s="0" t="n">
        <v>138</v>
      </c>
    </row>
    <row r="79" customFormat="false" ht="15" hidden="false" customHeight="false" outlineLevel="0" collapsed="false">
      <c r="A79" s="0" t="s">
        <v>646</v>
      </c>
      <c r="B79" s="0" t="n">
        <v>5</v>
      </c>
      <c r="C79" s="0" t="s">
        <v>642</v>
      </c>
      <c r="D79" s="0" t="n">
        <v>888.4</v>
      </c>
      <c r="E79" s="0" t="n">
        <v>585.3</v>
      </c>
      <c r="F79" s="0" t="n">
        <v>1370.2</v>
      </c>
      <c r="G79" s="0" t="n">
        <v>-1.113</v>
      </c>
      <c r="H79" s="0" t="n">
        <v>-1.148</v>
      </c>
      <c r="I79" s="0" t="n">
        <v>-1.082</v>
      </c>
      <c r="J79" s="0" t="s">
        <v>640</v>
      </c>
      <c r="K79" s="0" t="n">
        <v>0</v>
      </c>
      <c r="L79" s="0" t="n">
        <v>0.971</v>
      </c>
      <c r="M79" s="0" t="n">
        <v>84</v>
      </c>
      <c r="N79" s="0" t="n">
        <v>50</v>
      </c>
      <c r="O79" s="0" t="n">
        <v>138</v>
      </c>
    </row>
    <row r="80" customFormat="false" ht="15" hidden="false" customHeight="false" outlineLevel="0" collapsed="false">
      <c r="A80" s="0" t="s">
        <v>646</v>
      </c>
      <c r="B80" s="0" t="n">
        <v>5</v>
      </c>
      <c r="C80" s="0" t="s">
        <v>643</v>
      </c>
      <c r="D80" s="0" t="n">
        <v>877.6</v>
      </c>
      <c r="E80" s="0" t="n">
        <v>580.1</v>
      </c>
      <c r="F80" s="0" t="n">
        <v>1357.6</v>
      </c>
      <c r="G80" s="0" t="n">
        <v>-1.1</v>
      </c>
      <c r="H80" s="0" t="n">
        <v>-1.134</v>
      </c>
      <c r="I80" s="0" t="n">
        <v>-1.072</v>
      </c>
      <c r="J80" s="0" t="s">
        <v>640</v>
      </c>
      <c r="K80" s="0" t="n">
        <v>0</v>
      </c>
      <c r="L80" s="0" t="n">
        <v>0.975</v>
      </c>
      <c r="M80" s="0" t="n">
        <v>84</v>
      </c>
      <c r="N80" s="0" t="n">
        <v>50</v>
      </c>
      <c r="O80" s="0" t="n">
        <v>138</v>
      </c>
    </row>
    <row r="81" customFormat="false" ht="15" hidden="false" customHeight="false" outlineLevel="0" collapsed="false">
      <c r="A81" s="0" t="s">
        <v>646</v>
      </c>
      <c r="B81" s="0" t="n">
        <v>10</v>
      </c>
      <c r="C81" s="0" t="s">
        <v>129</v>
      </c>
      <c r="D81" s="0" t="n">
        <v>3204.5</v>
      </c>
      <c r="E81" s="0" t="n">
        <v>2722.5</v>
      </c>
      <c r="F81" s="0" t="n">
        <v>3923.1</v>
      </c>
      <c r="G81" s="0" t="n">
        <v>-1.025</v>
      </c>
      <c r="H81" s="0" t="n">
        <v>-1.045</v>
      </c>
      <c r="I81" s="0" t="n">
        <v>-1.006</v>
      </c>
      <c r="J81" s="0" t="s">
        <v>640</v>
      </c>
      <c r="K81" s="0" t="n">
        <v>0</v>
      </c>
      <c r="L81" s="0" t="n">
        <v>0.949</v>
      </c>
      <c r="M81" s="0" t="n">
        <v>728</v>
      </c>
      <c r="N81" s="0" t="n">
        <v>444</v>
      </c>
      <c r="O81" s="0" t="n">
        <v>1140</v>
      </c>
    </row>
    <row r="82" customFormat="false" ht="15" hidden="false" customHeight="false" outlineLevel="0" collapsed="false">
      <c r="A82" s="0" t="s">
        <v>646</v>
      </c>
      <c r="B82" s="0" t="n">
        <v>10</v>
      </c>
      <c r="C82" s="0" t="s">
        <v>585</v>
      </c>
      <c r="D82" s="0" t="n">
        <v>3186.5</v>
      </c>
      <c r="E82" s="0" t="n">
        <v>2717.6</v>
      </c>
      <c r="F82" s="0" t="n">
        <v>3883</v>
      </c>
      <c r="G82" s="0" t="n">
        <v>-1.012</v>
      </c>
      <c r="H82" s="0" t="n">
        <v>-1.035</v>
      </c>
      <c r="I82" s="0" t="n">
        <v>-0.987</v>
      </c>
      <c r="J82" s="0" t="s">
        <v>640</v>
      </c>
      <c r="K82" s="0" t="n">
        <v>0</v>
      </c>
      <c r="L82" s="0" t="n">
        <v>0.95</v>
      </c>
      <c r="M82" s="0" t="n">
        <v>728</v>
      </c>
      <c r="N82" s="0" t="n">
        <v>444</v>
      </c>
      <c r="O82" s="0" t="n">
        <v>1140</v>
      </c>
    </row>
    <row r="83" customFormat="false" ht="15" hidden="false" customHeight="false" outlineLevel="0" collapsed="false">
      <c r="A83" s="0" t="s">
        <v>646</v>
      </c>
      <c r="B83" s="0" t="n">
        <v>10</v>
      </c>
      <c r="C83" s="0" t="s">
        <v>586</v>
      </c>
      <c r="D83" s="0" t="n">
        <v>3116.9</v>
      </c>
      <c r="E83" s="0" t="n">
        <v>2669.1</v>
      </c>
      <c r="F83" s="0" t="n">
        <v>3797.9</v>
      </c>
      <c r="G83" s="0" t="n">
        <v>-0.992</v>
      </c>
      <c r="H83" s="0" t="n">
        <v>-1.022</v>
      </c>
      <c r="I83" s="0" t="n">
        <v>-0.96</v>
      </c>
      <c r="J83" s="0" t="s">
        <v>640</v>
      </c>
      <c r="K83" s="0" t="n">
        <v>0</v>
      </c>
      <c r="L83" s="0" t="n">
        <v>0.963</v>
      </c>
      <c r="M83" s="0" t="n">
        <v>728</v>
      </c>
      <c r="N83" s="0" t="n">
        <v>444</v>
      </c>
      <c r="O83" s="0" t="n">
        <v>1140</v>
      </c>
    </row>
    <row r="84" customFormat="false" ht="15" hidden="false" customHeight="false" outlineLevel="0" collapsed="false">
      <c r="A84" s="0" t="s">
        <v>646</v>
      </c>
      <c r="B84" s="0" t="n">
        <v>10</v>
      </c>
      <c r="C84" s="0" t="s">
        <v>641</v>
      </c>
      <c r="D84" s="0" t="n">
        <v>1423.6</v>
      </c>
      <c r="E84" s="0" t="n">
        <v>941.6</v>
      </c>
      <c r="F84" s="0" t="n">
        <v>2142.2</v>
      </c>
      <c r="G84" s="0" t="n">
        <v>-1.06</v>
      </c>
      <c r="H84" s="0" t="n">
        <v>-1.103</v>
      </c>
      <c r="I84" s="0" t="n">
        <v>-1.016</v>
      </c>
      <c r="J84" s="0" t="s">
        <v>640</v>
      </c>
      <c r="K84" s="0" t="n">
        <v>0</v>
      </c>
      <c r="L84" s="0" t="n">
        <v>1</v>
      </c>
      <c r="M84" s="0" t="n">
        <v>728</v>
      </c>
      <c r="N84" s="0" t="n">
        <v>444</v>
      </c>
      <c r="O84" s="0" t="n">
        <v>1140</v>
      </c>
    </row>
    <row r="85" customFormat="false" ht="15" hidden="false" customHeight="false" outlineLevel="0" collapsed="false">
      <c r="A85" s="0" t="s">
        <v>646</v>
      </c>
      <c r="B85" s="0" t="n">
        <v>10</v>
      </c>
      <c r="C85" s="0" t="s">
        <v>642</v>
      </c>
      <c r="D85" s="0" t="n">
        <v>1381.4</v>
      </c>
      <c r="E85" s="0" t="n">
        <v>912.5</v>
      </c>
      <c r="F85" s="0" t="n">
        <v>2077.9</v>
      </c>
      <c r="G85" s="0" t="n">
        <v>-1.029</v>
      </c>
      <c r="H85" s="0" t="n">
        <v>-1.089</v>
      </c>
      <c r="I85" s="0" t="n">
        <v>-0.97</v>
      </c>
      <c r="J85" s="0" t="s">
        <v>640</v>
      </c>
      <c r="K85" s="0" t="n">
        <v>0</v>
      </c>
      <c r="L85" s="0" t="n">
        <v>1</v>
      </c>
      <c r="M85" s="0" t="n">
        <v>728</v>
      </c>
      <c r="N85" s="0" t="n">
        <v>444</v>
      </c>
      <c r="O85" s="0" t="n">
        <v>1140</v>
      </c>
    </row>
    <row r="86" customFormat="false" ht="15" hidden="false" customHeight="false" outlineLevel="0" collapsed="false">
      <c r="A86" s="0" t="s">
        <v>646</v>
      </c>
      <c r="B86" s="0" t="n">
        <v>10</v>
      </c>
      <c r="C86" s="0" t="s">
        <v>643</v>
      </c>
      <c r="D86" s="0" t="n">
        <v>1311.8</v>
      </c>
      <c r="E86" s="0" t="n">
        <v>864</v>
      </c>
      <c r="F86" s="0" t="n">
        <v>1992.8</v>
      </c>
      <c r="G86" s="0" t="n">
        <v>-0.98</v>
      </c>
      <c r="H86" s="0" t="n">
        <v>-1.054</v>
      </c>
      <c r="I86" s="0" t="n">
        <v>-0.908</v>
      </c>
      <c r="J86" s="0" t="s">
        <v>640</v>
      </c>
      <c r="K86" s="0" t="n">
        <v>0</v>
      </c>
      <c r="L86" s="0" t="n">
        <v>1</v>
      </c>
      <c r="M86" s="0" t="n">
        <v>728</v>
      </c>
      <c r="N86" s="0" t="n">
        <v>444</v>
      </c>
      <c r="O86" s="0" t="n">
        <v>1140</v>
      </c>
    </row>
    <row r="87" customFormat="false" ht="15" hidden="false" customHeight="false" outlineLevel="0" collapsed="false">
      <c r="A87" s="0" t="s">
        <v>646</v>
      </c>
      <c r="B87" s="0" t="n">
        <v>20</v>
      </c>
      <c r="C87" s="0" t="s">
        <v>129</v>
      </c>
      <c r="D87" s="0" t="n">
        <v>2938.8</v>
      </c>
      <c r="E87" s="0" t="n">
        <v>2529.2</v>
      </c>
      <c r="F87" s="0" t="n">
        <v>3593.6</v>
      </c>
      <c r="G87" s="0" t="n">
        <v>-0.945</v>
      </c>
      <c r="H87" s="0" t="n">
        <v>-0.992</v>
      </c>
      <c r="I87" s="0" t="n">
        <v>-0.881</v>
      </c>
      <c r="J87" s="0" t="s">
        <v>640</v>
      </c>
      <c r="K87" s="0" t="n">
        <v>0</v>
      </c>
      <c r="L87" s="0" t="n">
        <v>1</v>
      </c>
      <c r="M87" s="0" t="n">
        <v>3783</v>
      </c>
      <c r="N87" s="0" t="n">
        <v>2376</v>
      </c>
      <c r="O87" s="0" t="n">
        <v>5734</v>
      </c>
    </row>
    <row r="88" customFormat="false" ht="15" hidden="false" customHeight="false" outlineLevel="0" collapsed="false">
      <c r="A88" s="0" t="s">
        <v>646</v>
      </c>
      <c r="B88" s="0" t="n">
        <v>20</v>
      </c>
      <c r="C88" s="0" t="s">
        <v>585</v>
      </c>
      <c r="D88" s="0" t="n">
        <v>2706.6</v>
      </c>
      <c r="E88" s="0" t="n">
        <v>2280.6</v>
      </c>
      <c r="F88" s="0" t="n">
        <v>3293.4</v>
      </c>
      <c r="G88" s="0" t="n">
        <v>-0.865</v>
      </c>
      <c r="H88" s="0" t="n">
        <v>-0.941</v>
      </c>
      <c r="I88" s="0" t="n">
        <v>-0.747</v>
      </c>
      <c r="J88" s="0" t="s">
        <v>640</v>
      </c>
      <c r="K88" s="0" t="n">
        <v>0</v>
      </c>
      <c r="L88" s="0" t="n">
        <v>1</v>
      </c>
      <c r="M88" s="0" t="n">
        <v>3783</v>
      </c>
      <c r="N88" s="0" t="n">
        <v>2376</v>
      </c>
      <c r="O88" s="0" t="n">
        <v>5734</v>
      </c>
    </row>
    <row r="89" customFormat="false" ht="15" hidden="false" customHeight="false" outlineLevel="0" collapsed="false">
      <c r="A89" s="0" t="s">
        <v>646</v>
      </c>
      <c r="B89" s="0" t="n">
        <v>20</v>
      </c>
      <c r="C89" s="0" t="s">
        <v>586</v>
      </c>
      <c r="D89" s="0" t="n">
        <v>2464.4</v>
      </c>
      <c r="E89" s="0" t="n">
        <v>1929.8</v>
      </c>
      <c r="F89" s="0" t="n">
        <v>3035.2</v>
      </c>
      <c r="G89" s="0" t="n">
        <v>-0.789</v>
      </c>
      <c r="H89" s="0" t="n">
        <v>-0.893</v>
      </c>
      <c r="I89" s="0" t="n">
        <v>-0.613</v>
      </c>
      <c r="J89" s="0" t="s">
        <v>640</v>
      </c>
      <c r="K89" s="0" t="n">
        <v>0</v>
      </c>
      <c r="L89" s="0" t="n">
        <v>1</v>
      </c>
      <c r="M89" s="0" t="n">
        <v>3783</v>
      </c>
      <c r="N89" s="0" t="n">
        <v>2376</v>
      </c>
      <c r="O89" s="0" t="n">
        <v>5734</v>
      </c>
    </row>
    <row r="90" customFormat="false" ht="15" hidden="false" customHeight="false" outlineLevel="0" collapsed="false">
      <c r="A90" s="0" t="s">
        <v>646</v>
      </c>
      <c r="B90" s="0" t="n">
        <v>20</v>
      </c>
      <c r="C90" s="0" t="s">
        <v>641</v>
      </c>
      <c r="D90" s="0" t="n">
        <v>1157.9</v>
      </c>
      <c r="E90" s="0" t="n">
        <v>748.2</v>
      </c>
      <c r="F90" s="0" t="n">
        <v>1812.7</v>
      </c>
      <c r="G90" s="0" t="n">
        <v>-0.873</v>
      </c>
      <c r="H90" s="0" t="n">
        <v>-0.983</v>
      </c>
      <c r="I90" s="0" t="n">
        <v>-0.728</v>
      </c>
      <c r="J90" s="0" t="s">
        <v>640</v>
      </c>
      <c r="K90" s="0" t="n">
        <v>0</v>
      </c>
      <c r="L90" s="0" t="n">
        <v>1</v>
      </c>
      <c r="M90" s="0" t="n">
        <v>3783</v>
      </c>
      <c r="N90" s="0" t="n">
        <v>2376</v>
      </c>
      <c r="O90" s="0" t="n">
        <v>5734</v>
      </c>
    </row>
    <row r="91" customFormat="false" ht="15" hidden="false" customHeight="false" outlineLevel="0" collapsed="false">
      <c r="A91" s="0" t="s">
        <v>646</v>
      </c>
      <c r="B91" s="0" t="n">
        <v>20</v>
      </c>
      <c r="C91" s="0" t="s">
        <v>642</v>
      </c>
      <c r="D91" s="0" t="n">
        <v>901.5</v>
      </c>
      <c r="E91" s="0" t="n">
        <v>475.5</v>
      </c>
      <c r="F91" s="0" t="n">
        <v>1488.3</v>
      </c>
      <c r="G91" s="0" t="n">
        <v>-0.684</v>
      </c>
      <c r="H91" s="0" t="n">
        <v>-0.857</v>
      </c>
      <c r="I91" s="0" t="n">
        <v>-0.417</v>
      </c>
      <c r="J91" s="0" t="s">
        <v>640</v>
      </c>
      <c r="K91" s="0" t="n">
        <v>0</v>
      </c>
      <c r="L91" s="0" t="n">
        <v>1</v>
      </c>
      <c r="M91" s="0" t="n">
        <v>3783</v>
      </c>
      <c r="N91" s="0" t="n">
        <v>2376</v>
      </c>
      <c r="O91" s="0" t="n">
        <v>5734</v>
      </c>
    </row>
    <row r="92" customFormat="false" ht="15" hidden="false" customHeight="false" outlineLevel="0" collapsed="false">
      <c r="A92" s="0" t="s">
        <v>646</v>
      </c>
      <c r="B92" s="0" t="n">
        <v>20</v>
      </c>
      <c r="C92" s="0" t="s">
        <v>643</v>
      </c>
      <c r="D92" s="0" t="n">
        <v>659.4</v>
      </c>
      <c r="E92" s="0" t="n">
        <v>124.7</v>
      </c>
      <c r="F92" s="0" t="n">
        <v>1230.1</v>
      </c>
      <c r="G92" s="0" t="n">
        <v>-0.505</v>
      </c>
      <c r="H92" s="0" t="n">
        <v>-0.736</v>
      </c>
      <c r="I92" s="0" t="n">
        <v>-0.101</v>
      </c>
      <c r="J92" s="0" t="s">
        <v>640</v>
      </c>
      <c r="K92" s="0" t="n">
        <v>0.011</v>
      </c>
      <c r="L92" s="0" t="n">
        <v>1</v>
      </c>
      <c r="M92" s="0" t="n">
        <v>3783</v>
      </c>
      <c r="N92" s="0" t="n">
        <v>2376</v>
      </c>
      <c r="O92" s="0" t="n">
        <v>5734</v>
      </c>
    </row>
    <row r="93" customFormat="false" ht="15" hidden="false" customHeight="false" outlineLevel="0" collapsed="false">
      <c r="A93" s="0" t="s">
        <v>646</v>
      </c>
      <c r="B93" s="0" t="n">
        <v>50</v>
      </c>
      <c r="C93" s="0" t="s">
        <v>129</v>
      </c>
      <c r="D93" s="0" t="n">
        <v>2538.4</v>
      </c>
      <c r="E93" s="0" t="n">
        <v>2136</v>
      </c>
      <c r="F93" s="0" t="n">
        <v>3086</v>
      </c>
      <c r="G93" s="0" t="n">
        <v>-0.818</v>
      </c>
      <c r="H93" s="0" t="n">
        <v>-0.903</v>
      </c>
      <c r="I93" s="0" t="n">
        <v>-0.7</v>
      </c>
      <c r="J93" s="0" t="s">
        <v>640</v>
      </c>
      <c r="K93" s="0" t="n">
        <v>0</v>
      </c>
      <c r="L93" s="0" t="n">
        <v>1</v>
      </c>
      <c r="M93" s="0" t="n">
        <v>12143</v>
      </c>
      <c r="N93" s="0" t="n">
        <v>7614</v>
      </c>
      <c r="O93" s="0" t="n">
        <v>18323</v>
      </c>
    </row>
    <row r="94" customFormat="false" ht="15" hidden="false" customHeight="false" outlineLevel="0" collapsed="false">
      <c r="A94" s="0" t="s">
        <v>646</v>
      </c>
      <c r="B94" s="0" t="n">
        <v>50</v>
      </c>
      <c r="C94" s="0" t="s">
        <v>585</v>
      </c>
      <c r="D94" s="0" t="n">
        <v>1846.3</v>
      </c>
      <c r="E94" s="0" t="n">
        <v>1172.8</v>
      </c>
      <c r="F94" s="0" t="n">
        <v>2412.6</v>
      </c>
      <c r="G94" s="0" t="n">
        <v>-0.587</v>
      </c>
      <c r="H94" s="0" t="n">
        <v>-0.753</v>
      </c>
      <c r="I94" s="0" t="n">
        <v>-0.352</v>
      </c>
      <c r="J94" s="0" t="s">
        <v>640</v>
      </c>
      <c r="K94" s="0" t="n">
        <v>0</v>
      </c>
      <c r="L94" s="0" t="n">
        <v>1</v>
      </c>
      <c r="M94" s="0" t="n">
        <v>12143</v>
      </c>
      <c r="N94" s="0" t="n">
        <v>7614</v>
      </c>
      <c r="O94" s="0" t="n">
        <v>18323</v>
      </c>
    </row>
    <row r="95" customFormat="false" ht="15" hidden="false" customHeight="false" outlineLevel="0" collapsed="false">
      <c r="A95" s="0" t="s">
        <v>646</v>
      </c>
      <c r="B95" s="0" t="n">
        <v>50</v>
      </c>
      <c r="C95" s="0" t="s">
        <v>586</v>
      </c>
      <c r="D95" s="0" t="n">
        <v>1171.8</v>
      </c>
      <c r="E95" s="0" t="n">
        <v>50.1</v>
      </c>
      <c r="F95" s="0" t="n">
        <v>1901.3</v>
      </c>
      <c r="G95" s="0" t="n">
        <v>-0.372</v>
      </c>
      <c r="H95" s="0" t="n">
        <v>-0.614</v>
      </c>
      <c r="I95" s="0" t="n">
        <v>-0.016</v>
      </c>
      <c r="J95" s="0" t="s">
        <v>640</v>
      </c>
      <c r="K95" s="0" t="n">
        <v>0.02</v>
      </c>
      <c r="L95" s="0" t="n">
        <v>1</v>
      </c>
      <c r="M95" s="0" t="n">
        <v>12143</v>
      </c>
      <c r="N95" s="0" t="n">
        <v>7614</v>
      </c>
      <c r="O95" s="0" t="n">
        <v>18323</v>
      </c>
    </row>
    <row r="96" customFormat="false" ht="15" hidden="false" customHeight="false" outlineLevel="0" collapsed="false">
      <c r="A96" s="0" t="s">
        <v>646</v>
      </c>
      <c r="B96" s="0" t="n">
        <v>50</v>
      </c>
      <c r="C96" s="0" t="s">
        <v>641</v>
      </c>
      <c r="D96" s="0" t="n">
        <v>757.5</v>
      </c>
      <c r="E96" s="0" t="n">
        <v>355</v>
      </c>
      <c r="F96" s="0" t="n">
        <v>1305.1</v>
      </c>
      <c r="G96" s="0" t="n">
        <v>-0.572</v>
      </c>
      <c r="H96" s="0" t="n">
        <v>-0.764</v>
      </c>
      <c r="I96" s="0" t="n">
        <v>-0.311</v>
      </c>
      <c r="J96" s="0" t="s">
        <v>640</v>
      </c>
      <c r="K96" s="0" t="n">
        <v>0</v>
      </c>
      <c r="L96" s="0" t="n">
        <v>1</v>
      </c>
      <c r="M96" s="0" t="n">
        <v>12143</v>
      </c>
      <c r="N96" s="0" t="n">
        <v>7614</v>
      </c>
      <c r="O96" s="0" t="n">
        <v>18323</v>
      </c>
    </row>
    <row r="97" customFormat="false" ht="15" hidden="false" customHeight="false" outlineLevel="0" collapsed="false">
      <c r="A97" s="0" t="s">
        <v>646</v>
      </c>
      <c r="B97" s="0" t="n">
        <v>50</v>
      </c>
      <c r="C97" s="0" t="s">
        <v>642</v>
      </c>
      <c r="D97" s="0" t="n">
        <v>41.3</v>
      </c>
      <c r="E97" s="0" t="n">
        <v>-632.3</v>
      </c>
      <c r="F97" s="0" t="n">
        <v>607.5</v>
      </c>
      <c r="G97" s="0" t="n">
        <v>-0.03</v>
      </c>
      <c r="H97" s="0" t="n">
        <v>-0.402</v>
      </c>
      <c r="I97" s="0" t="n">
        <v>0.476</v>
      </c>
      <c r="J97" s="0" t="s">
        <v>640</v>
      </c>
      <c r="K97" s="0" t="n">
        <v>0.441</v>
      </c>
      <c r="L97" s="0" t="n">
        <v>1</v>
      </c>
      <c r="M97" s="0" t="n">
        <v>12143</v>
      </c>
      <c r="N97" s="0" t="n">
        <v>7614</v>
      </c>
      <c r="O97" s="0" t="n">
        <v>18323</v>
      </c>
    </row>
    <row r="98" customFormat="false" ht="15" hidden="false" customHeight="false" outlineLevel="0" collapsed="false">
      <c r="A98" s="0" t="s">
        <v>646</v>
      </c>
      <c r="B98" s="0" t="n">
        <v>50</v>
      </c>
      <c r="C98" s="0" t="s">
        <v>643</v>
      </c>
      <c r="D98" s="0" t="n">
        <v>-633.3</v>
      </c>
      <c r="E98" s="0" t="n">
        <v>-1755</v>
      </c>
      <c r="F98" s="0" t="n">
        <v>96.2</v>
      </c>
      <c r="G98" s="0" t="n">
        <v>0.479</v>
      </c>
      <c r="H98" s="0" t="n">
        <v>-0.065</v>
      </c>
      <c r="I98" s="0" t="n">
        <v>1.256</v>
      </c>
      <c r="J98" s="0" t="n">
        <v>2055</v>
      </c>
      <c r="K98" s="0" t="n">
        <v>0.956</v>
      </c>
      <c r="L98" s="0" t="n">
        <v>1</v>
      </c>
      <c r="M98" s="0" t="n">
        <v>12143</v>
      </c>
      <c r="N98" s="0" t="n">
        <v>7614</v>
      </c>
      <c r="O98" s="0" t="n">
        <v>18323</v>
      </c>
    </row>
    <row r="99" customFormat="false" ht="15" hidden="false" customHeight="false" outlineLevel="0" collapsed="false">
      <c r="A99" s="0" t="s">
        <v>647</v>
      </c>
      <c r="B99" s="0" t="n">
        <v>5</v>
      </c>
      <c r="C99" s="0" t="s">
        <v>129</v>
      </c>
      <c r="D99" s="0" t="n">
        <v>-180.6</v>
      </c>
      <c r="E99" s="0" t="n">
        <v>-226</v>
      </c>
      <c r="F99" s="0" t="n">
        <v>-143.9</v>
      </c>
      <c r="G99" s="0" t="n">
        <v>0.964</v>
      </c>
      <c r="H99" s="0" t="n">
        <v>0.927</v>
      </c>
      <c r="I99" s="0" t="n">
        <v>0.998</v>
      </c>
      <c r="J99" s="0" t="s">
        <v>640</v>
      </c>
      <c r="K99" s="0" t="n">
        <v>0</v>
      </c>
      <c r="L99" s="0" t="n">
        <v>0.002</v>
      </c>
      <c r="M99" s="0" t="n">
        <v>-27</v>
      </c>
      <c r="N99" s="0" t="n">
        <v>-36</v>
      </c>
      <c r="O99" s="0" t="n">
        <v>-20</v>
      </c>
    </row>
    <row r="100" customFormat="false" ht="15" hidden="false" customHeight="false" outlineLevel="0" collapsed="false">
      <c r="A100" s="0" t="s">
        <v>647</v>
      </c>
      <c r="B100" s="0" t="n">
        <v>5</v>
      </c>
      <c r="C100" s="0" t="s">
        <v>585</v>
      </c>
      <c r="D100" s="0" t="n">
        <v>-167.1</v>
      </c>
      <c r="E100" s="0" t="n">
        <v>-213.8</v>
      </c>
      <c r="F100" s="0" t="n">
        <v>-128.7</v>
      </c>
      <c r="G100" s="0" t="n">
        <v>0.892</v>
      </c>
      <c r="H100" s="0" t="n">
        <v>0.835</v>
      </c>
      <c r="I100" s="0" t="n">
        <v>0.94</v>
      </c>
      <c r="J100" s="0" t="s">
        <v>640</v>
      </c>
      <c r="K100" s="0" t="n">
        <v>0</v>
      </c>
      <c r="L100" s="0" t="n">
        <v>0.001</v>
      </c>
      <c r="M100" s="0" t="n">
        <v>-27</v>
      </c>
      <c r="N100" s="0" t="n">
        <v>-36</v>
      </c>
      <c r="O100" s="0" t="n">
        <v>-20</v>
      </c>
    </row>
    <row r="101" customFormat="false" ht="15" hidden="false" customHeight="false" outlineLevel="0" collapsed="false">
      <c r="A101" s="0" t="s">
        <v>647</v>
      </c>
      <c r="B101" s="0" t="n">
        <v>5</v>
      </c>
      <c r="C101" s="0" t="s">
        <v>586</v>
      </c>
      <c r="D101" s="0" t="n">
        <v>-167</v>
      </c>
      <c r="E101" s="0" t="n">
        <v>-212.7</v>
      </c>
      <c r="F101" s="0" t="n">
        <v>-129.2</v>
      </c>
      <c r="G101" s="0" t="n">
        <v>0.89</v>
      </c>
      <c r="H101" s="0" t="n">
        <v>0.837</v>
      </c>
      <c r="I101" s="0" t="n">
        <v>0.936</v>
      </c>
      <c r="J101" s="0" t="s">
        <v>640</v>
      </c>
      <c r="K101" s="0" t="n">
        <v>0</v>
      </c>
      <c r="L101" s="0" t="n">
        <v>0.001</v>
      </c>
      <c r="M101" s="0" t="n">
        <v>-27</v>
      </c>
      <c r="N101" s="0" t="n">
        <v>-36</v>
      </c>
      <c r="O101" s="0" t="n">
        <v>-20</v>
      </c>
    </row>
    <row r="102" customFormat="false" ht="15" hidden="false" customHeight="false" outlineLevel="0" collapsed="false">
      <c r="A102" s="0" t="s">
        <v>647</v>
      </c>
      <c r="B102" s="0" t="n">
        <v>5</v>
      </c>
      <c r="C102" s="0" t="s">
        <v>641</v>
      </c>
      <c r="D102" s="0" t="n">
        <v>-180.6</v>
      </c>
      <c r="E102" s="0" t="n">
        <v>-226</v>
      </c>
      <c r="F102" s="0" t="n">
        <v>-143.9</v>
      </c>
      <c r="G102" s="0" t="n">
        <v>0.964</v>
      </c>
      <c r="H102" s="0" t="n">
        <v>0.927</v>
      </c>
      <c r="I102" s="0" t="n">
        <v>0.998</v>
      </c>
      <c r="J102" s="0" t="s">
        <v>640</v>
      </c>
      <c r="K102" s="0" t="n">
        <v>0</v>
      </c>
      <c r="L102" s="0" t="n">
        <v>0.002</v>
      </c>
      <c r="M102" s="0" t="n">
        <v>-27</v>
      </c>
      <c r="N102" s="0" t="n">
        <v>-36</v>
      </c>
      <c r="O102" s="0" t="n">
        <v>-20</v>
      </c>
    </row>
    <row r="103" customFormat="false" ht="15" hidden="false" customHeight="false" outlineLevel="0" collapsed="false">
      <c r="A103" s="0" t="s">
        <v>647</v>
      </c>
      <c r="B103" s="0" t="n">
        <v>5</v>
      </c>
      <c r="C103" s="0" t="s">
        <v>642</v>
      </c>
      <c r="D103" s="0" t="n">
        <v>-167.1</v>
      </c>
      <c r="E103" s="0" t="n">
        <v>-213.8</v>
      </c>
      <c r="F103" s="0" t="n">
        <v>-128.7</v>
      </c>
      <c r="G103" s="0" t="n">
        <v>0.892</v>
      </c>
      <c r="H103" s="0" t="n">
        <v>0.835</v>
      </c>
      <c r="I103" s="0" t="n">
        <v>0.94</v>
      </c>
      <c r="J103" s="0" t="s">
        <v>640</v>
      </c>
      <c r="K103" s="0" t="n">
        <v>0</v>
      </c>
      <c r="L103" s="0" t="n">
        <v>0.001</v>
      </c>
      <c r="M103" s="0" t="n">
        <v>-27</v>
      </c>
      <c r="N103" s="0" t="n">
        <v>-36</v>
      </c>
      <c r="O103" s="0" t="n">
        <v>-20</v>
      </c>
    </row>
    <row r="104" customFormat="false" ht="15" hidden="false" customHeight="false" outlineLevel="0" collapsed="false">
      <c r="A104" s="0" t="s">
        <v>647</v>
      </c>
      <c r="B104" s="0" t="n">
        <v>5</v>
      </c>
      <c r="C104" s="0" t="s">
        <v>643</v>
      </c>
      <c r="D104" s="0" t="n">
        <v>-167</v>
      </c>
      <c r="E104" s="0" t="n">
        <v>-212.7</v>
      </c>
      <c r="F104" s="0" t="n">
        <v>-129.2</v>
      </c>
      <c r="G104" s="0" t="n">
        <v>0.89</v>
      </c>
      <c r="H104" s="0" t="n">
        <v>0.837</v>
      </c>
      <c r="I104" s="0" t="n">
        <v>0.936</v>
      </c>
      <c r="J104" s="0" t="s">
        <v>640</v>
      </c>
      <c r="K104" s="0" t="n">
        <v>0</v>
      </c>
      <c r="L104" s="0" t="n">
        <v>0.001</v>
      </c>
      <c r="M104" s="0" t="n">
        <v>-27</v>
      </c>
      <c r="N104" s="0" t="n">
        <v>-36</v>
      </c>
      <c r="O104" s="0" t="n">
        <v>-20</v>
      </c>
    </row>
    <row r="105" customFormat="false" ht="15" hidden="false" customHeight="false" outlineLevel="0" collapsed="false">
      <c r="A105" s="0" t="s">
        <v>647</v>
      </c>
      <c r="B105" s="0" t="n">
        <v>10</v>
      </c>
      <c r="C105" s="0" t="s">
        <v>129</v>
      </c>
      <c r="D105" s="0" t="n">
        <v>-290.5</v>
      </c>
      <c r="E105" s="0" t="n">
        <v>-377.5</v>
      </c>
      <c r="F105" s="0" t="n">
        <v>-220.1</v>
      </c>
      <c r="G105" s="0" t="n">
        <v>0.87</v>
      </c>
      <c r="H105" s="0" t="n">
        <v>0.779</v>
      </c>
      <c r="I105" s="0" t="n">
        <v>0.948</v>
      </c>
      <c r="J105" s="0" t="s">
        <v>640</v>
      </c>
      <c r="K105" s="0" t="n">
        <v>0</v>
      </c>
      <c r="L105" s="0" t="n">
        <v>0</v>
      </c>
      <c r="M105" s="0" t="n">
        <v>-213</v>
      </c>
      <c r="N105" s="0" t="n">
        <v>-266</v>
      </c>
      <c r="O105" s="0" t="n">
        <v>-163</v>
      </c>
    </row>
    <row r="106" customFormat="false" ht="15" hidden="false" customHeight="false" outlineLevel="0" collapsed="false">
      <c r="A106" s="0" t="s">
        <v>647</v>
      </c>
      <c r="B106" s="0" t="n">
        <v>10</v>
      </c>
      <c r="C106" s="0" t="s">
        <v>585</v>
      </c>
      <c r="D106" s="0" t="n">
        <v>-235.1</v>
      </c>
      <c r="E106" s="0" t="n">
        <v>-330</v>
      </c>
      <c r="F106" s="0" t="n">
        <v>-156.5</v>
      </c>
      <c r="G106" s="0" t="n">
        <v>0.701</v>
      </c>
      <c r="H106" s="0" t="n">
        <v>0.549</v>
      </c>
      <c r="I106" s="0" t="n">
        <v>0.855</v>
      </c>
      <c r="J106" s="0" t="s">
        <v>640</v>
      </c>
      <c r="K106" s="0" t="n">
        <v>0</v>
      </c>
      <c r="L106" s="0" t="n">
        <v>0</v>
      </c>
      <c r="M106" s="0" t="n">
        <v>-213</v>
      </c>
      <c r="N106" s="0" t="n">
        <v>-266</v>
      </c>
      <c r="O106" s="0" t="n">
        <v>-163</v>
      </c>
    </row>
    <row r="107" customFormat="false" ht="15" hidden="false" customHeight="false" outlineLevel="0" collapsed="false">
      <c r="A107" s="0" t="s">
        <v>647</v>
      </c>
      <c r="B107" s="0" t="n">
        <v>10</v>
      </c>
      <c r="C107" s="0" t="s">
        <v>586</v>
      </c>
      <c r="D107" s="0" t="n">
        <v>-223.1</v>
      </c>
      <c r="E107" s="0" t="n">
        <v>-319.5</v>
      </c>
      <c r="F107" s="0" t="n">
        <v>-144</v>
      </c>
      <c r="G107" s="0" t="n">
        <v>0.664</v>
      </c>
      <c r="H107" s="0" t="n">
        <v>0.51</v>
      </c>
      <c r="I107" s="0" t="n">
        <v>0.842</v>
      </c>
      <c r="J107" s="0" t="s">
        <v>640</v>
      </c>
      <c r="K107" s="0" t="n">
        <v>0</v>
      </c>
      <c r="L107" s="0" t="n">
        <v>0</v>
      </c>
      <c r="M107" s="0" t="n">
        <v>-213</v>
      </c>
      <c r="N107" s="0" t="n">
        <v>-266</v>
      </c>
      <c r="O107" s="0" t="n">
        <v>-163</v>
      </c>
    </row>
    <row r="108" customFormat="false" ht="15" hidden="false" customHeight="false" outlineLevel="0" collapsed="false">
      <c r="A108" s="0" t="s">
        <v>647</v>
      </c>
      <c r="B108" s="0" t="n">
        <v>10</v>
      </c>
      <c r="C108" s="0" t="s">
        <v>641</v>
      </c>
      <c r="D108" s="0" t="n">
        <v>-290.5</v>
      </c>
      <c r="E108" s="0" t="n">
        <v>-377.5</v>
      </c>
      <c r="F108" s="0" t="n">
        <v>-220.1</v>
      </c>
      <c r="G108" s="0" t="n">
        <v>0.87</v>
      </c>
      <c r="H108" s="0" t="n">
        <v>0.779</v>
      </c>
      <c r="I108" s="0" t="n">
        <v>0.948</v>
      </c>
      <c r="J108" s="0" t="s">
        <v>640</v>
      </c>
      <c r="K108" s="0" t="n">
        <v>0</v>
      </c>
      <c r="L108" s="0" t="n">
        <v>0</v>
      </c>
      <c r="M108" s="0" t="n">
        <v>-213</v>
      </c>
      <c r="N108" s="0" t="n">
        <v>-266</v>
      </c>
      <c r="O108" s="0" t="n">
        <v>-163</v>
      </c>
    </row>
    <row r="109" customFormat="false" ht="15" hidden="false" customHeight="false" outlineLevel="0" collapsed="false">
      <c r="A109" s="0" t="s">
        <v>647</v>
      </c>
      <c r="B109" s="0" t="n">
        <v>10</v>
      </c>
      <c r="C109" s="0" t="s">
        <v>642</v>
      </c>
      <c r="D109" s="0" t="n">
        <v>-235.1</v>
      </c>
      <c r="E109" s="0" t="n">
        <v>-330</v>
      </c>
      <c r="F109" s="0" t="n">
        <v>-156.5</v>
      </c>
      <c r="G109" s="0" t="n">
        <v>0.701</v>
      </c>
      <c r="H109" s="0" t="n">
        <v>0.549</v>
      </c>
      <c r="I109" s="0" t="n">
        <v>0.855</v>
      </c>
      <c r="J109" s="0" t="s">
        <v>640</v>
      </c>
      <c r="K109" s="0" t="n">
        <v>0</v>
      </c>
      <c r="L109" s="0" t="n">
        <v>0</v>
      </c>
      <c r="M109" s="0" t="n">
        <v>-213</v>
      </c>
      <c r="N109" s="0" t="n">
        <v>-266</v>
      </c>
      <c r="O109" s="0" t="n">
        <v>-163</v>
      </c>
    </row>
    <row r="110" customFormat="false" ht="15" hidden="false" customHeight="false" outlineLevel="0" collapsed="false">
      <c r="A110" s="0" t="s">
        <v>647</v>
      </c>
      <c r="B110" s="0" t="n">
        <v>10</v>
      </c>
      <c r="C110" s="0" t="s">
        <v>643</v>
      </c>
      <c r="D110" s="0" t="n">
        <v>-223.1</v>
      </c>
      <c r="E110" s="0" t="n">
        <v>-319.5</v>
      </c>
      <c r="F110" s="0" t="n">
        <v>-144</v>
      </c>
      <c r="G110" s="0" t="n">
        <v>0.664</v>
      </c>
      <c r="H110" s="0" t="n">
        <v>0.51</v>
      </c>
      <c r="I110" s="0" t="n">
        <v>0.842</v>
      </c>
      <c r="J110" s="0" t="s">
        <v>640</v>
      </c>
      <c r="K110" s="0" t="n">
        <v>0</v>
      </c>
      <c r="L110" s="0" t="n">
        <v>0</v>
      </c>
      <c r="M110" s="0" t="n">
        <v>-213</v>
      </c>
      <c r="N110" s="0" t="n">
        <v>-266</v>
      </c>
      <c r="O110" s="0" t="n">
        <v>-163</v>
      </c>
    </row>
    <row r="111" customFormat="false" ht="15" hidden="false" customHeight="false" outlineLevel="0" collapsed="false">
      <c r="A111" s="0" t="s">
        <v>647</v>
      </c>
      <c r="B111" s="0" t="n">
        <v>20</v>
      </c>
      <c r="C111" s="0" t="s">
        <v>129</v>
      </c>
      <c r="D111" s="0" t="n">
        <v>-361.3</v>
      </c>
      <c r="E111" s="0" t="n">
        <v>-524.3</v>
      </c>
      <c r="F111" s="0" t="n">
        <v>-208.6</v>
      </c>
      <c r="G111" s="0" t="n">
        <v>0.667</v>
      </c>
      <c r="H111" s="0" t="n">
        <v>0.442</v>
      </c>
      <c r="I111" s="0" t="n">
        <v>0.852</v>
      </c>
      <c r="J111" s="0" t="s">
        <v>640</v>
      </c>
      <c r="K111" s="0" t="n">
        <v>0</v>
      </c>
      <c r="L111" s="0" t="n">
        <v>0</v>
      </c>
      <c r="M111" s="0" t="n">
        <v>-1411</v>
      </c>
      <c r="N111" s="0" t="n">
        <v>-1719</v>
      </c>
      <c r="O111" s="0" t="n">
        <v>-1120</v>
      </c>
    </row>
    <row r="112" customFormat="false" ht="15" hidden="false" customHeight="false" outlineLevel="0" collapsed="false">
      <c r="A112" s="0" t="s">
        <v>647</v>
      </c>
      <c r="B112" s="0" t="n">
        <v>20</v>
      </c>
      <c r="C112" s="0" t="s">
        <v>585</v>
      </c>
      <c r="D112" s="0" t="n">
        <v>-197</v>
      </c>
      <c r="E112" s="0" t="n">
        <v>-416.6</v>
      </c>
      <c r="F112" s="0" t="n">
        <v>27.1</v>
      </c>
      <c r="G112" s="0" t="n">
        <v>0.369</v>
      </c>
      <c r="H112" s="0" t="n">
        <v>-0.06</v>
      </c>
      <c r="I112" s="0" t="n">
        <v>0.69</v>
      </c>
      <c r="J112" s="0" t="s">
        <v>640</v>
      </c>
      <c r="K112" s="0" t="n">
        <v>0</v>
      </c>
      <c r="L112" s="0" t="n">
        <v>0</v>
      </c>
      <c r="M112" s="0" t="n">
        <v>-1411</v>
      </c>
      <c r="N112" s="0" t="n">
        <v>-1719</v>
      </c>
      <c r="O112" s="0" t="n">
        <v>-1120</v>
      </c>
    </row>
    <row r="113" customFormat="false" ht="15" hidden="false" customHeight="false" outlineLevel="0" collapsed="false">
      <c r="A113" s="0" t="s">
        <v>647</v>
      </c>
      <c r="B113" s="0" t="n">
        <v>20</v>
      </c>
      <c r="C113" s="0" t="s">
        <v>586</v>
      </c>
      <c r="D113" s="0" t="n">
        <v>-132.4</v>
      </c>
      <c r="E113" s="0" t="n">
        <v>-363.6</v>
      </c>
      <c r="F113" s="0" t="n">
        <v>124.2</v>
      </c>
      <c r="G113" s="0" t="n">
        <v>0.246</v>
      </c>
      <c r="H113" s="0" t="n">
        <v>-0.246</v>
      </c>
      <c r="I113" s="0" t="n">
        <v>0.6</v>
      </c>
      <c r="J113" s="0" t="s">
        <v>640</v>
      </c>
      <c r="K113" s="0" t="n">
        <v>0</v>
      </c>
      <c r="L113" s="0" t="n">
        <v>0</v>
      </c>
      <c r="M113" s="0" t="n">
        <v>-1411</v>
      </c>
      <c r="N113" s="0" t="n">
        <v>-1719</v>
      </c>
      <c r="O113" s="0" t="n">
        <v>-1120</v>
      </c>
    </row>
    <row r="114" customFormat="false" ht="15" hidden="false" customHeight="false" outlineLevel="0" collapsed="false">
      <c r="A114" s="0" t="s">
        <v>647</v>
      </c>
      <c r="B114" s="0" t="n">
        <v>20</v>
      </c>
      <c r="C114" s="0" t="s">
        <v>641</v>
      </c>
      <c r="D114" s="0" t="n">
        <v>-361.3</v>
      </c>
      <c r="E114" s="0" t="n">
        <v>-524.3</v>
      </c>
      <c r="F114" s="0" t="n">
        <v>-208.6</v>
      </c>
      <c r="G114" s="0" t="n">
        <v>0.667</v>
      </c>
      <c r="H114" s="0" t="n">
        <v>0.442</v>
      </c>
      <c r="I114" s="0" t="n">
        <v>0.852</v>
      </c>
      <c r="J114" s="0" t="s">
        <v>640</v>
      </c>
      <c r="K114" s="0" t="n">
        <v>0</v>
      </c>
      <c r="L114" s="0" t="n">
        <v>0</v>
      </c>
      <c r="M114" s="0" t="n">
        <v>-1411</v>
      </c>
      <c r="N114" s="0" t="n">
        <v>-1719</v>
      </c>
      <c r="O114" s="0" t="n">
        <v>-1120</v>
      </c>
    </row>
    <row r="115" customFormat="false" ht="15" hidden="false" customHeight="false" outlineLevel="0" collapsed="false">
      <c r="A115" s="0" t="s">
        <v>647</v>
      </c>
      <c r="B115" s="0" t="n">
        <v>20</v>
      </c>
      <c r="C115" s="0" t="s">
        <v>642</v>
      </c>
      <c r="D115" s="0" t="n">
        <v>-197</v>
      </c>
      <c r="E115" s="0" t="n">
        <v>-416.6</v>
      </c>
      <c r="F115" s="0" t="n">
        <v>27.1</v>
      </c>
      <c r="G115" s="0" t="n">
        <v>0.369</v>
      </c>
      <c r="H115" s="0" t="n">
        <v>-0.06</v>
      </c>
      <c r="I115" s="0" t="n">
        <v>0.69</v>
      </c>
      <c r="J115" s="0" t="s">
        <v>640</v>
      </c>
      <c r="K115" s="0" t="n">
        <v>0</v>
      </c>
      <c r="L115" s="0" t="n">
        <v>0</v>
      </c>
      <c r="M115" s="0" t="n">
        <v>-1411</v>
      </c>
      <c r="N115" s="0" t="n">
        <v>-1719</v>
      </c>
      <c r="O115" s="0" t="n">
        <v>-1120</v>
      </c>
    </row>
    <row r="116" customFormat="false" ht="15" hidden="false" customHeight="false" outlineLevel="0" collapsed="false">
      <c r="A116" s="0" t="s">
        <v>647</v>
      </c>
      <c r="B116" s="0" t="n">
        <v>20</v>
      </c>
      <c r="C116" s="0" t="s">
        <v>643</v>
      </c>
      <c r="D116" s="0" t="n">
        <v>-132.4</v>
      </c>
      <c r="E116" s="0" t="n">
        <v>-363.6</v>
      </c>
      <c r="F116" s="0" t="n">
        <v>124.2</v>
      </c>
      <c r="G116" s="0" t="n">
        <v>0.246</v>
      </c>
      <c r="H116" s="0" t="n">
        <v>-0.246</v>
      </c>
      <c r="I116" s="0" t="n">
        <v>0.6</v>
      </c>
      <c r="J116" s="0" t="s">
        <v>640</v>
      </c>
      <c r="K116" s="0" t="n">
        <v>0</v>
      </c>
      <c r="L116" s="0" t="n">
        <v>0</v>
      </c>
      <c r="M116" s="0" t="n">
        <v>-1411</v>
      </c>
      <c r="N116" s="0" t="n">
        <v>-1719</v>
      </c>
      <c r="O116" s="0" t="n">
        <v>-1120</v>
      </c>
    </row>
    <row r="117" customFormat="false" ht="15" hidden="false" customHeight="false" outlineLevel="0" collapsed="false">
      <c r="A117" s="0" t="s">
        <v>647</v>
      </c>
      <c r="B117" s="0" t="n">
        <v>50</v>
      </c>
      <c r="C117" s="0" t="s">
        <v>129</v>
      </c>
      <c r="D117" s="0" t="n">
        <v>-237.3</v>
      </c>
      <c r="E117" s="0" t="n">
        <v>-568.2</v>
      </c>
      <c r="F117" s="0" t="n">
        <v>190</v>
      </c>
      <c r="G117" s="0" t="n">
        <v>0.299</v>
      </c>
      <c r="H117" s="0" t="n">
        <v>-0.27</v>
      </c>
      <c r="I117" s="0" t="n">
        <v>0.642</v>
      </c>
      <c r="J117" s="0" t="s">
        <v>640</v>
      </c>
      <c r="K117" s="0" t="n">
        <v>0</v>
      </c>
      <c r="L117" s="0" t="n">
        <v>0</v>
      </c>
      <c r="M117" s="0" t="n">
        <v>-10695</v>
      </c>
      <c r="N117" s="0" t="n">
        <v>-12598</v>
      </c>
      <c r="O117" s="0" t="n">
        <v>-8921</v>
      </c>
    </row>
    <row r="118" customFormat="false" ht="15" hidden="false" customHeight="false" outlineLevel="0" collapsed="false">
      <c r="A118" s="0" t="s">
        <v>647</v>
      </c>
      <c r="B118" s="0" t="n">
        <v>50</v>
      </c>
      <c r="C118" s="0" t="s">
        <v>585</v>
      </c>
      <c r="D118" s="0" t="n">
        <v>321.6</v>
      </c>
      <c r="E118" s="0" t="n">
        <v>-175.9</v>
      </c>
      <c r="F118" s="0" t="n">
        <v>1028.1</v>
      </c>
      <c r="G118" s="0" t="n">
        <v>-0.404</v>
      </c>
      <c r="H118" s="0" t="n">
        <v>-1.422</v>
      </c>
      <c r="I118" s="0" t="n">
        <v>0.194</v>
      </c>
      <c r="J118" s="0" t="s">
        <v>640</v>
      </c>
      <c r="K118" s="0" t="n">
        <v>0</v>
      </c>
      <c r="L118" s="0" t="n">
        <v>0</v>
      </c>
      <c r="M118" s="0" t="n">
        <v>-10695</v>
      </c>
      <c r="N118" s="0" t="n">
        <v>-12598</v>
      </c>
      <c r="O118" s="0" t="n">
        <v>-8921</v>
      </c>
    </row>
    <row r="119" customFormat="false" ht="15" hidden="false" customHeight="false" outlineLevel="0" collapsed="false">
      <c r="A119" s="0" t="s">
        <v>647</v>
      </c>
      <c r="B119" s="0" t="n">
        <v>50</v>
      </c>
      <c r="C119" s="0" t="s">
        <v>586</v>
      </c>
      <c r="D119" s="0" t="n">
        <v>704</v>
      </c>
      <c r="E119" s="0" t="n">
        <v>136.9</v>
      </c>
      <c r="F119" s="0" t="n">
        <v>1462.6</v>
      </c>
      <c r="G119" s="0" t="n">
        <v>-0.889</v>
      </c>
      <c r="H119" s="0" t="n">
        <v>-1.962</v>
      </c>
      <c r="I119" s="0" t="n">
        <v>-0.154</v>
      </c>
      <c r="J119" s="0" t="s">
        <v>640</v>
      </c>
      <c r="K119" s="0" t="n">
        <v>0</v>
      </c>
      <c r="L119" s="0" t="n">
        <v>0</v>
      </c>
      <c r="M119" s="0" t="n">
        <v>-10695</v>
      </c>
      <c r="N119" s="0" t="n">
        <v>-12598</v>
      </c>
      <c r="O119" s="0" t="n">
        <v>-8921</v>
      </c>
    </row>
    <row r="120" customFormat="false" ht="15" hidden="false" customHeight="false" outlineLevel="0" collapsed="false">
      <c r="A120" s="0" t="s">
        <v>647</v>
      </c>
      <c r="B120" s="0" t="n">
        <v>50</v>
      </c>
      <c r="C120" s="0" t="s">
        <v>641</v>
      </c>
      <c r="D120" s="0" t="n">
        <v>-237.3</v>
      </c>
      <c r="E120" s="0" t="n">
        <v>-568.2</v>
      </c>
      <c r="F120" s="0" t="n">
        <v>190</v>
      </c>
      <c r="G120" s="0" t="n">
        <v>0.299</v>
      </c>
      <c r="H120" s="0" t="n">
        <v>-0.27</v>
      </c>
      <c r="I120" s="0" t="n">
        <v>0.642</v>
      </c>
      <c r="J120" s="0" t="s">
        <v>640</v>
      </c>
      <c r="K120" s="0" t="n">
        <v>0</v>
      </c>
      <c r="L120" s="0" t="n">
        <v>0</v>
      </c>
      <c r="M120" s="0" t="n">
        <v>-10695</v>
      </c>
      <c r="N120" s="0" t="n">
        <v>-12598</v>
      </c>
      <c r="O120" s="0" t="n">
        <v>-8921</v>
      </c>
    </row>
    <row r="121" customFormat="false" ht="15" hidden="false" customHeight="false" outlineLevel="0" collapsed="false">
      <c r="A121" s="0" t="s">
        <v>647</v>
      </c>
      <c r="B121" s="0" t="n">
        <v>50</v>
      </c>
      <c r="C121" s="0" t="s">
        <v>642</v>
      </c>
      <c r="D121" s="0" t="n">
        <v>321.6</v>
      </c>
      <c r="E121" s="0" t="n">
        <v>-175.9</v>
      </c>
      <c r="F121" s="0" t="n">
        <v>1028.1</v>
      </c>
      <c r="G121" s="0" t="n">
        <v>-0.404</v>
      </c>
      <c r="H121" s="0" t="n">
        <v>-1.422</v>
      </c>
      <c r="I121" s="0" t="n">
        <v>0.194</v>
      </c>
      <c r="J121" s="0" t="s">
        <v>640</v>
      </c>
      <c r="K121" s="0" t="n">
        <v>0</v>
      </c>
      <c r="L121" s="0" t="n">
        <v>0</v>
      </c>
      <c r="M121" s="0" t="n">
        <v>-10695</v>
      </c>
      <c r="N121" s="0" t="n">
        <v>-12598</v>
      </c>
      <c r="O121" s="0" t="n">
        <v>-8921</v>
      </c>
    </row>
    <row r="122" customFormat="false" ht="15" hidden="false" customHeight="false" outlineLevel="0" collapsed="false">
      <c r="A122" s="0" t="s">
        <v>647</v>
      </c>
      <c r="B122" s="0" t="n">
        <v>50</v>
      </c>
      <c r="C122" s="0" t="s">
        <v>643</v>
      </c>
      <c r="D122" s="0" t="n">
        <v>704</v>
      </c>
      <c r="E122" s="0" t="n">
        <v>136.9</v>
      </c>
      <c r="F122" s="0" t="n">
        <v>1462.6</v>
      </c>
      <c r="G122" s="0" t="n">
        <v>-0.889</v>
      </c>
      <c r="H122" s="0" t="n">
        <v>-1.962</v>
      </c>
      <c r="I122" s="0" t="n">
        <v>-0.154</v>
      </c>
      <c r="J122" s="0" t="s">
        <v>640</v>
      </c>
      <c r="K122" s="0" t="n">
        <v>0</v>
      </c>
      <c r="L122" s="0" t="n">
        <v>0</v>
      </c>
      <c r="M122" s="0" t="n">
        <v>-10695</v>
      </c>
      <c r="N122" s="0" t="n">
        <v>-12598</v>
      </c>
      <c r="O122" s="0" t="n">
        <v>-8921</v>
      </c>
    </row>
    <row r="123" customFormat="false" ht="15" hidden="false" customHeight="false" outlineLevel="0" collapsed="false">
      <c r="A123" s="0" t="s">
        <v>648</v>
      </c>
      <c r="B123" s="0" t="n">
        <v>5</v>
      </c>
      <c r="C123" s="0" t="s">
        <v>129</v>
      </c>
      <c r="D123" s="0" t="n">
        <v>-497.9</v>
      </c>
      <c r="E123" s="0" t="n">
        <v>-653.3</v>
      </c>
      <c r="F123" s="0" t="n">
        <v>-370.5</v>
      </c>
      <c r="G123" s="0" t="n">
        <v>0.797</v>
      </c>
      <c r="H123" s="0" t="n">
        <v>0.716</v>
      </c>
      <c r="I123" s="0" t="n">
        <v>0.862</v>
      </c>
      <c r="J123" s="0" t="s">
        <v>640</v>
      </c>
      <c r="K123" s="0" t="n">
        <v>0</v>
      </c>
      <c r="L123" s="0" t="n">
        <v>0</v>
      </c>
      <c r="M123" s="0" t="n">
        <v>-92</v>
      </c>
      <c r="N123" s="0" t="n">
        <v>-120</v>
      </c>
      <c r="O123" s="0" t="n">
        <v>-68</v>
      </c>
    </row>
    <row r="124" customFormat="false" ht="15" hidden="false" customHeight="false" outlineLevel="0" collapsed="false">
      <c r="A124" s="0" t="s">
        <v>648</v>
      </c>
      <c r="B124" s="0" t="n">
        <v>5</v>
      </c>
      <c r="C124" s="0" t="s">
        <v>585</v>
      </c>
      <c r="D124" s="0" t="n">
        <v>-386.2</v>
      </c>
      <c r="E124" s="0" t="n">
        <v>-544.5</v>
      </c>
      <c r="F124" s="0" t="n">
        <v>-253.4</v>
      </c>
      <c r="G124" s="0" t="n">
        <v>0.618</v>
      </c>
      <c r="H124" s="0" t="n">
        <v>0.496</v>
      </c>
      <c r="I124" s="0" t="n">
        <v>0.718</v>
      </c>
      <c r="J124" s="0" t="s">
        <v>640</v>
      </c>
      <c r="K124" s="0" t="n">
        <v>0</v>
      </c>
      <c r="L124" s="0" t="n">
        <v>0</v>
      </c>
      <c r="M124" s="0" t="n">
        <v>-92</v>
      </c>
      <c r="N124" s="0" t="n">
        <v>-120</v>
      </c>
      <c r="O124" s="0" t="n">
        <v>-68</v>
      </c>
    </row>
    <row r="125" customFormat="false" ht="15" hidden="false" customHeight="false" outlineLevel="0" collapsed="false">
      <c r="A125" s="0" t="s">
        <v>648</v>
      </c>
      <c r="B125" s="0" t="n">
        <v>5</v>
      </c>
      <c r="C125" s="0" t="s">
        <v>586</v>
      </c>
      <c r="D125" s="0" t="n">
        <v>-394.5</v>
      </c>
      <c r="E125" s="0" t="n">
        <v>-553.9</v>
      </c>
      <c r="F125" s="0" t="n">
        <v>-267.6</v>
      </c>
      <c r="G125" s="0" t="n">
        <v>0.633</v>
      </c>
      <c r="H125" s="0" t="n">
        <v>0.52</v>
      </c>
      <c r="I125" s="0" t="n">
        <v>0.723</v>
      </c>
      <c r="J125" s="0" t="s">
        <v>640</v>
      </c>
      <c r="K125" s="0" t="n">
        <v>0</v>
      </c>
      <c r="L125" s="0" t="n">
        <v>0</v>
      </c>
      <c r="M125" s="0" t="n">
        <v>-92</v>
      </c>
      <c r="N125" s="0" t="n">
        <v>-120</v>
      </c>
      <c r="O125" s="0" t="n">
        <v>-68</v>
      </c>
    </row>
    <row r="126" customFormat="false" ht="15" hidden="false" customHeight="false" outlineLevel="0" collapsed="false">
      <c r="A126" s="0" t="s">
        <v>648</v>
      </c>
      <c r="B126" s="0" t="n">
        <v>5</v>
      </c>
      <c r="C126" s="0" t="s">
        <v>641</v>
      </c>
      <c r="D126" s="0" t="n">
        <v>-497.9</v>
      </c>
      <c r="E126" s="0" t="n">
        <v>-653.3</v>
      </c>
      <c r="F126" s="0" t="n">
        <v>-370.5</v>
      </c>
      <c r="G126" s="0" t="n">
        <v>0.797</v>
      </c>
      <c r="H126" s="0" t="n">
        <v>0.716</v>
      </c>
      <c r="I126" s="0" t="n">
        <v>0.862</v>
      </c>
      <c r="J126" s="0" t="s">
        <v>640</v>
      </c>
      <c r="K126" s="0" t="n">
        <v>0</v>
      </c>
      <c r="L126" s="0" t="n">
        <v>0</v>
      </c>
      <c r="M126" s="0" t="n">
        <v>-92</v>
      </c>
      <c r="N126" s="0" t="n">
        <v>-120</v>
      </c>
      <c r="O126" s="0" t="n">
        <v>-68</v>
      </c>
    </row>
    <row r="127" customFormat="false" ht="15" hidden="false" customHeight="false" outlineLevel="0" collapsed="false">
      <c r="A127" s="0" t="s">
        <v>648</v>
      </c>
      <c r="B127" s="0" t="n">
        <v>5</v>
      </c>
      <c r="C127" s="0" t="s">
        <v>642</v>
      </c>
      <c r="D127" s="0" t="n">
        <v>-386.2</v>
      </c>
      <c r="E127" s="0" t="n">
        <v>-544.5</v>
      </c>
      <c r="F127" s="0" t="n">
        <v>-253.4</v>
      </c>
      <c r="G127" s="0" t="n">
        <v>0.618</v>
      </c>
      <c r="H127" s="0" t="n">
        <v>0.496</v>
      </c>
      <c r="I127" s="0" t="n">
        <v>0.718</v>
      </c>
      <c r="J127" s="0" t="s">
        <v>640</v>
      </c>
      <c r="K127" s="0" t="n">
        <v>0</v>
      </c>
      <c r="L127" s="0" t="n">
        <v>0</v>
      </c>
      <c r="M127" s="0" t="n">
        <v>-92</v>
      </c>
      <c r="N127" s="0" t="n">
        <v>-120</v>
      </c>
      <c r="O127" s="0" t="n">
        <v>-68</v>
      </c>
    </row>
    <row r="128" customFormat="false" ht="15" hidden="false" customHeight="false" outlineLevel="0" collapsed="false">
      <c r="A128" s="0" t="s">
        <v>648</v>
      </c>
      <c r="B128" s="0" t="n">
        <v>5</v>
      </c>
      <c r="C128" s="0" t="s">
        <v>643</v>
      </c>
      <c r="D128" s="0" t="n">
        <v>-394.5</v>
      </c>
      <c r="E128" s="0" t="n">
        <v>-553.9</v>
      </c>
      <c r="F128" s="0" t="n">
        <v>-267.6</v>
      </c>
      <c r="G128" s="0" t="n">
        <v>0.633</v>
      </c>
      <c r="H128" s="0" t="n">
        <v>0.52</v>
      </c>
      <c r="I128" s="0" t="n">
        <v>0.723</v>
      </c>
      <c r="J128" s="0" t="s">
        <v>640</v>
      </c>
      <c r="K128" s="0" t="n">
        <v>0</v>
      </c>
      <c r="L128" s="0" t="n">
        <v>0</v>
      </c>
      <c r="M128" s="0" t="n">
        <v>-92</v>
      </c>
      <c r="N128" s="0" t="n">
        <v>-120</v>
      </c>
      <c r="O128" s="0" t="n">
        <v>-68</v>
      </c>
    </row>
    <row r="129" customFormat="false" ht="15" hidden="false" customHeight="false" outlineLevel="0" collapsed="false">
      <c r="A129" s="0" t="s">
        <v>648</v>
      </c>
      <c r="B129" s="0" t="n">
        <v>10</v>
      </c>
      <c r="C129" s="0" t="s">
        <v>129</v>
      </c>
      <c r="D129" s="0" t="n">
        <v>-632</v>
      </c>
      <c r="E129" s="0" t="n">
        <v>-930.5</v>
      </c>
      <c r="F129" s="0" t="n">
        <v>-384.8</v>
      </c>
      <c r="G129" s="0" t="n">
        <v>0.567</v>
      </c>
      <c r="H129" s="0" t="n">
        <v>0.407</v>
      </c>
      <c r="I129" s="0" t="n">
        <v>0.692</v>
      </c>
      <c r="J129" s="0" t="s">
        <v>640</v>
      </c>
      <c r="K129" s="0" t="n">
        <v>0</v>
      </c>
      <c r="L129" s="0" t="n">
        <v>0</v>
      </c>
      <c r="M129" s="0" t="n">
        <v>-712</v>
      </c>
      <c r="N129" s="0" t="n">
        <v>-891</v>
      </c>
      <c r="O129" s="0" t="n">
        <v>-547</v>
      </c>
    </row>
    <row r="130" customFormat="false" ht="15" hidden="false" customHeight="false" outlineLevel="0" collapsed="false">
      <c r="A130" s="0" t="s">
        <v>648</v>
      </c>
      <c r="B130" s="0" t="n">
        <v>10</v>
      </c>
      <c r="C130" s="0" t="s">
        <v>585</v>
      </c>
      <c r="D130" s="0" t="n">
        <v>-222.9</v>
      </c>
      <c r="E130" s="0" t="n">
        <v>-548.8</v>
      </c>
      <c r="F130" s="0" t="n">
        <v>53.6</v>
      </c>
      <c r="G130" s="0" t="n">
        <v>0.199</v>
      </c>
      <c r="H130" s="0" t="n">
        <v>-0.058</v>
      </c>
      <c r="I130" s="0" t="n">
        <v>0.423</v>
      </c>
      <c r="J130" s="0" t="s">
        <v>640</v>
      </c>
      <c r="K130" s="0" t="n">
        <v>0</v>
      </c>
      <c r="L130" s="0" t="n">
        <v>0</v>
      </c>
      <c r="M130" s="0" t="n">
        <v>-712</v>
      </c>
      <c r="N130" s="0" t="n">
        <v>-891</v>
      </c>
      <c r="O130" s="0" t="n">
        <v>-547</v>
      </c>
    </row>
    <row r="131" customFormat="false" ht="15" hidden="false" customHeight="false" outlineLevel="0" collapsed="false">
      <c r="A131" s="0" t="s">
        <v>648</v>
      </c>
      <c r="B131" s="0" t="n">
        <v>10</v>
      </c>
      <c r="C131" s="0" t="s">
        <v>586</v>
      </c>
      <c r="D131" s="0" t="n">
        <v>-215.2</v>
      </c>
      <c r="E131" s="0" t="n">
        <v>-536.4</v>
      </c>
      <c r="F131" s="0" t="n">
        <v>46</v>
      </c>
      <c r="G131" s="0" t="n">
        <v>0.192</v>
      </c>
      <c r="H131" s="0" t="n">
        <v>-0.049</v>
      </c>
      <c r="I131" s="0" t="n">
        <v>0.413</v>
      </c>
      <c r="J131" s="0" t="s">
        <v>640</v>
      </c>
      <c r="K131" s="0" t="n">
        <v>0</v>
      </c>
      <c r="L131" s="0" t="n">
        <v>0</v>
      </c>
      <c r="M131" s="0" t="n">
        <v>-712</v>
      </c>
      <c r="N131" s="0" t="n">
        <v>-891</v>
      </c>
      <c r="O131" s="0" t="n">
        <v>-547</v>
      </c>
    </row>
    <row r="132" customFormat="false" ht="15" hidden="false" customHeight="false" outlineLevel="0" collapsed="false">
      <c r="A132" s="0" t="s">
        <v>648</v>
      </c>
      <c r="B132" s="0" t="n">
        <v>10</v>
      </c>
      <c r="C132" s="0" t="s">
        <v>641</v>
      </c>
      <c r="D132" s="0" t="n">
        <v>-632</v>
      </c>
      <c r="E132" s="0" t="n">
        <v>-930.5</v>
      </c>
      <c r="F132" s="0" t="n">
        <v>-384.8</v>
      </c>
      <c r="G132" s="0" t="n">
        <v>0.567</v>
      </c>
      <c r="H132" s="0" t="n">
        <v>0.407</v>
      </c>
      <c r="I132" s="0" t="n">
        <v>0.692</v>
      </c>
      <c r="J132" s="0" t="s">
        <v>640</v>
      </c>
      <c r="K132" s="0" t="n">
        <v>0</v>
      </c>
      <c r="L132" s="0" t="n">
        <v>0</v>
      </c>
      <c r="M132" s="0" t="n">
        <v>-712</v>
      </c>
      <c r="N132" s="0" t="n">
        <v>-891</v>
      </c>
      <c r="O132" s="0" t="n">
        <v>-547</v>
      </c>
    </row>
    <row r="133" customFormat="false" ht="15" hidden="false" customHeight="false" outlineLevel="0" collapsed="false">
      <c r="A133" s="0" t="s">
        <v>648</v>
      </c>
      <c r="B133" s="0" t="n">
        <v>10</v>
      </c>
      <c r="C133" s="0" t="s">
        <v>642</v>
      </c>
      <c r="D133" s="0" t="n">
        <v>-222.9</v>
      </c>
      <c r="E133" s="0" t="n">
        <v>-548.8</v>
      </c>
      <c r="F133" s="0" t="n">
        <v>53.6</v>
      </c>
      <c r="G133" s="0" t="n">
        <v>0.199</v>
      </c>
      <c r="H133" s="0" t="n">
        <v>-0.058</v>
      </c>
      <c r="I133" s="0" t="n">
        <v>0.423</v>
      </c>
      <c r="J133" s="0" t="s">
        <v>640</v>
      </c>
      <c r="K133" s="0" t="n">
        <v>0</v>
      </c>
      <c r="L133" s="0" t="n">
        <v>0</v>
      </c>
      <c r="M133" s="0" t="n">
        <v>-712</v>
      </c>
      <c r="N133" s="0" t="n">
        <v>-891</v>
      </c>
      <c r="O133" s="0" t="n">
        <v>-547</v>
      </c>
    </row>
    <row r="134" customFormat="false" ht="15" hidden="false" customHeight="false" outlineLevel="0" collapsed="false">
      <c r="A134" s="0" t="s">
        <v>648</v>
      </c>
      <c r="B134" s="0" t="n">
        <v>10</v>
      </c>
      <c r="C134" s="0" t="s">
        <v>643</v>
      </c>
      <c r="D134" s="0" t="n">
        <v>-215.2</v>
      </c>
      <c r="E134" s="0" t="n">
        <v>-536.4</v>
      </c>
      <c r="F134" s="0" t="n">
        <v>46</v>
      </c>
      <c r="G134" s="0" t="n">
        <v>0.192</v>
      </c>
      <c r="H134" s="0" t="n">
        <v>-0.049</v>
      </c>
      <c r="I134" s="0" t="n">
        <v>0.413</v>
      </c>
      <c r="J134" s="0" t="s">
        <v>640</v>
      </c>
      <c r="K134" s="0" t="n">
        <v>0</v>
      </c>
      <c r="L134" s="0" t="n">
        <v>0</v>
      </c>
      <c r="M134" s="0" t="n">
        <v>-712</v>
      </c>
      <c r="N134" s="0" t="n">
        <v>-891</v>
      </c>
      <c r="O134" s="0" t="n">
        <v>-547</v>
      </c>
    </row>
    <row r="135" customFormat="false" ht="15" hidden="false" customHeight="false" outlineLevel="0" collapsed="false">
      <c r="A135" s="0" t="s">
        <v>648</v>
      </c>
      <c r="B135" s="0" t="n">
        <v>20</v>
      </c>
      <c r="C135" s="0" t="s">
        <v>129</v>
      </c>
      <c r="D135" s="0" t="n">
        <v>-163.9</v>
      </c>
      <c r="E135" s="0" t="n">
        <v>-734.9</v>
      </c>
      <c r="F135" s="0" t="n">
        <v>350.7</v>
      </c>
      <c r="G135" s="0" t="n">
        <v>0.091</v>
      </c>
      <c r="H135" s="0" t="n">
        <v>-0.228</v>
      </c>
      <c r="I135" s="0" t="n">
        <v>0.342</v>
      </c>
      <c r="J135" s="0" t="s">
        <v>640</v>
      </c>
      <c r="K135" s="0" t="n">
        <v>0</v>
      </c>
      <c r="L135" s="0" t="n">
        <v>0</v>
      </c>
      <c r="M135" s="0" t="n">
        <v>-4813</v>
      </c>
      <c r="N135" s="0" t="n">
        <v>-5849</v>
      </c>
      <c r="O135" s="0" t="n">
        <v>-3816</v>
      </c>
    </row>
    <row r="136" customFormat="false" ht="15" hidden="false" customHeight="false" outlineLevel="0" collapsed="false">
      <c r="A136" s="0" t="s">
        <v>648</v>
      </c>
      <c r="B136" s="0" t="n">
        <v>20</v>
      </c>
      <c r="C136" s="0" t="s">
        <v>585</v>
      </c>
      <c r="D136" s="0" t="n">
        <v>1000.2</v>
      </c>
      <c r="E136" s="0" t="n">
        <v>281.7</v>
      </c>
      <c r="F136" s="0" t="n">
        <v>1753.3</v>
      </c>
      <c r="G136" s="0" t="n">
        <v>-0.555</v>
      </c>
      <c r="H136" s="0" t="n">
        <v>-1.094</v>
      </c>
      <c r="I136" s="0" t="n">
        <v>-0.134</v>
      </c>
      <c r="J136" s="0" t="s">
        <v>640</v>
      </c>
      <c r="K136" s="0" t="n">
        <v>0</v>
      </c>
      <c r="L136" s="0" t="n">
        <v>0</v>
      </c>
      <c r="M136" s="0" t="n">
        <v>-4813</v>
      </c>
      <c r="N136" s="0" t="n">
        <v>-5849</v>
      </c>
      <c r="O136" s="0" t="n">
        <v>-3816</v>
      </c>
    </row>
    <row r="137" customFormat="false" ht="15" hidden="false" customHeight="false" outlineLevel="0" collapsed="false">
      <c r="A137" s="0" t="s">
        <v>648</v>
      </c>
      <c r="B137" s="0" t="n">
        <v>20</v>
      </c>
      <c r="C137" s="0" t="s">
        <v>586</v>
      </c>
      <c r="D137" s="0" t="n">
        <v>1125.5</v>
      </c>
      <c r="E137" s="0" t="n">
        <v>386.1</v>
      </c>
      <c r="F137" s="0" t="n">
        <v>1976.8</v>
      </c>
      <c r="G137" s="0" t="n">
        <v>-0.624</v>
      </c>
      <c r="H137" s="0" t="n">
        <v>-1.208</v>
      </c>
      <c r="I137" s="0" t="n">
        <v>-0.181</v>
      </c>
      <c r="J137" s="0" t="s">
        <v>640</v>
      </c>
      <c r="K137" s="0" t="n">
        <v>0</v>
      </c>
      <c r="L137" s="0" t="n">
        <v>0</v>
      </c>
      <c r="M137" s="0" t="n">
        <v>-4813</v>
      </c>
      <c r="N137" s="0" t="n">
        <v>-5849</v>
      </c>
      <c r="O137" s="0" t="n">
        <v>-3816</v>
      </c>
    </row>
    <row r="138" customFormat="false" ht="15" hidden="false" customHeight="false" outlineLevel="0" collapsed="false">
      <c r="A138" s="0" t="s">
        <v>648</v>
      </c>
      <c r="B138" s="0" t="n">
        <v>20</v>
      </c>
      <c r="C138" s="0" t="s">
        <v>641</v>
      </c>
      <c r="D138" s="0" t="n">
        <v>-163.9</v>
      </c>
      <c r="E138" s="0" t="n">
        <v>-734.9</v>
      </c>
      <c r="F138" s="0" t="n">
        <v>350.7</v>
      </c>
      <c r="G138" s="0" t="n">
        <v>0.091</v>
      </c>
      <c r="H138" s="0" t="n">
        <v>-0.228</v>
      </c>
      <c r="I138" s="0" t="n">
        <v>0.342</v>
      </c>
      <c r="J138" s="0" t="s">
        <v>640</v>
      </c>
      <c r="K138" s="0" t="n">
        <v>0</v>
      </c>
      <c r="L138" s="0" t="n">
        <v>0</v>
      </c>
      <c r="M138" s="0" t="n">
        <v>-4813</v>
      </c>
      <c r="N138" s="0" t="n">
        <v>-5849</v>
      </c>
      <c r="O138" s="0" t="n">
        <v>-3816</v>
      </c>
    </row>
    <row r="139" customFormat="false" ht="15" hidden="false" customHeight="false" outlineLevel="0" collapsed="false">
      <c r="A139" s="0" t="s">
        <v>648</v>
      </c>
      <c r="B139" s="0" t="n">
        <v>20</v>
      </c>
      <c r="C139" s="0" t="s">
        <v>642</v>
      </c>
      <c r="D139" s="0" t="n">
        <v>1000.2</v>
      </c>
      <c r="E139" s="0" t="n">
        <v>281.7</v>
      </c>
      <c r="F139" s="0" t="n">
        <v>1753.3</v>
      </c>
      <c r="G139" s="0" t="n">
        <v>-0.555</v>
      </c>
      <c r="H139" s="0" t="n">
        <v>-1.094</v>
      </c>
      <c r="I139" s="0" t="n">
        <v>-0.134</v>
      </c>
      <c r="J139" s="0" t="s">
        <v>640</v>
      </c>
      <c r="K139" s="0" t="n">
        <v>0</v>
      </c>
      <c r="L139" s="0" t="n">
        <v>0</v>
      </c>
      <c r="M139" s="0" t="n">
        <v>-4813</v>
      </c>
      <c r="N139" s="0" t="n">
        <v>-5849</v>
      </c>
      <c r="O139" s="0" t="n">
        <v>-3816</v>
      </c>
    </row>
    <row r="140" customFormat="false" ht="15" hidden="false" customHeight="false" outlineLevel="0" collapsed="false">
      <c r="A140" s="0" t="s">
        <v>648</v>
      </c>
      <c r="B140" s="0" t="n">
        <v>20</v>
      </c>
      <c r="C140" s="0" t="s">
        <v>643</v>
      </c>
      <c r="D140" s="0" t="n">
        <v>1125.5</v>
      </c>
      <c r="E140" s="0" t="n">
        <v>386.1</v>
      </c>
      <c r="F140" s="0" t="n">
        <v>1976.8</v>
      </c>
      <c r="G140" s="0" t="n">
        <v>-0.624</v>
      </c>
      <c r="H140" s="0" t="n">
        <v>-1.208</v>
      </c>
      <c r="I140" s="0" t="n">
        <v>-0.181</v>
      </c>
      <c r="J140" s="0" t="s">
        <v>640</v>
      </c>
      <c r="K140" s="0" t="n">
        <v>0</v>
      </c>
      <c r="L140" s="0" t="n">
        <v>0</v>
      </c>
      <c r="M140" s="0" t="n">
        <v>-4813</v>
      </c>
      <c r="N140" s="0" t="n">
        <v>-5849</v>
      </c>
      <c r="O140" s="0" t="n">
        <v>-3816</v>
      </c>
    </row>
    <row r="141" customFormat="false" ht="15" hidden="false" customHeight="false" outlineLevel="0" collapsed="false">
      <c r="A141" s="0" t="s">
        <v>648</v>
      </c>
      <c r="B141" s="0" t="n">
        <v>50</v>
      </c>
      <c r="C141" s="0" t="s">
        <v>129</v>
      </c>
      <c r="D141" s="0" t="n">
        <v>2181.2</v>
      </c>
      <c r="E141" s="0" t="n">
        <v>1029.6</v>
      </c>
      <c r="F141" s="0" t="n">
        <v>3382.4</v>
      </c>
      <c r="G141" s="0" t="n">
        <v>-0.83</v>
      </c>
      <c r="H141" s="0" t="n">
        <v>-1.447</v>
      </c>
      <c r="I141" s="0" t="n">
        <v>-0.337</v>
      </c>
      <c r="J141" s="0" t="s">
        <v>640</v>
      </c>
      <c r="K141" s="0" t="n">
        <v>0</v>
      </c>
      <c r="L141" s="0" t="n">
        <v>0</v>
      </c>
      <c r="M141" s="0" t="n">
        <v>-38143</v>
      </c>
      <c r="N141" s="0" t="n">
        <v>-44644</v>
      </c>
      <c r="O141" s="0" t="n">
        <v>-32015</v>
      </c>
    </row>
    <row r="142" customFormat="false" ht="15" hidden="false" customHeight="false" outlineLevel="0" collapsed="false">
      <c r="A142" s="0" t="s">
        <v>648</v>
      </c>
      <c r="B142" s="0" t="n">
        <v>50</v>
      </c>
      <c r="C142" s="0" t="s">
        <v>585</v>
      </c>
      <c r="D142" s="0" t="n">
        <v>5940.8</v>
      </c>
      <c r="E142" s="0" t="n">
        <v>4257.2</v>
      </c>
      <c r="F142" s="0" t="n">
        <v>7698.9</v>
      </c>
      <c r="G142" s="0" t="n">
        <v>-2.256</v>
      </c>
      <c r="H142" s="0" t="n">
        <v>-3.327</v>
      </c>
      <c r="I142" s="0" t="n">
        <v>-1.433</v>
      </c>
      <c r="J142" s="0" t="s">
        <v>640</v>
      </c>
      <c r="K142" s="0" t="n">
        <v>0</v>
      </c>
      <c r="L142" s="0" t="n">
        <v>0</v>
      </c>
      <c r="M142" s="0" t="n">
        <v>-38143</v>
      </c>
      <c r="N142" s="0" t="n">
        <v>-44644</v>
      </c>
      <c r="O142" s="0" t="n">
        <v>-32015</v>
      </c>
    </row>
    <row r="143" customFormat="false" ht="15" hidden="false" customHeight="false" outlineLevel="0" collapsed="false">
      <c r="A143" s="0" t="s">
        <v>648</v>
      </c>
      <c r="B143" s="0" t="n">
        <v>50</v>
      </c>
      <c r="C143" s="0" t="s">
        <v>586</v>
      </c>
      <c r="D143" s="0" t="n">
        <v>6914.2</v>
      </c>
      <c r="E143" s="0" t="n">
        <v>5049.3</v>
      </c>
      <c r="F143" s="0" t="n">
        <v>8908.4</v>
      </c>
      <c r="G143" s="0" t="n">
        <v>-2.607</v>
      </c>
      <c r="H143" s="0" t="n">
        <v>-3.787</v>
      </c>
      <c r="I143" s="0" t="n">
        <v>-1.709</v>
      </c>
      <c r="J143" s="0" t="s">
        <v>640</v>
      </c>
      <c r="K143" s="0" t="n">
        <v>0</v>
      </c>
      <c r="L143" s="0" t="n">
        <v>0</v>
      </c>
      <c r="M143" s="0" t="n">
        <v>-38143</v>
      </c>
      <c r="N143" s="0" t="n">
        <v>-44644</v>
      </c>
      <c r="O143" s="0" t="n">
        <v>-32015</v>
      </c>
    </row>
    <row r="144" customFormat="false" ht="15" hidden="false" customHeight="false" outlineLevel="0" collapsed="false">
      <c r="A144" s="0" t="s">
        <v>648</v>
      </c>
      <c r="B144" s="0" t="n">
        <v>50</v>
      </c>
      <c r="C144" s="0" t="s">
        <v>641</v>
      </c>
      <c r="D144" s="0" t="n">
        <v>2181.2</v>
      </c>
      <c r="E144" s="0" t="n">
        <v>1029.6</v>
      </c>
      <c r="F144" s="0" t="n">
        <v>3382.4</v>
      </c>
      <c r="G144" s="0" t="n">
        <v>-0.83</v>
      </c>
      <c r="H144" s="0" t="n">
        <v>-1.447</v>
      </c>
      <c r="I144" s="0" t="n">
        <v>-0.337</v>
      </c>
      <c r="J144" s="0" t="s">
        <v>640</v>
      </c>
      <c r="K144" s="0" t="n">
        <v>0</v>
      </c>
      <c r="L144" s="0" t="n">
        <v>0</v>
      </c>
      <c r="M144" s="0" t="n">
        <v>-38143</v>
      </c>
      <c r="N144" s="0" t="n">
        <v>-44644</v>
      </c>
      <c r="O144" s="0" t="n">
        <v>-32015</v>
      </c>
    </row>
    <row r="145" customFormat="false" ht="15" hidden="false" customHeight="false" outlineLevel="0" collapsed="false">
      <c r="A145" s="0" t="s">
        <v>648</v>
      </c>
      <c r="B145" s="0" t="n">
        <v>50</v>
      </c>
      <c r="C145" s="0" t="s">
        <v>642</v>
      </c>
      <c r="D145" s="0" t="n">
        <v>5940.8</v>
      </c>
      <c r="E145" s="0" t="n">
        <v>4257.2</v>
      </c>
      <c r="F145" s="0" t="n">
        <v>7698.9</v>
      </c>
      <c r="G145" s="0" t="n">
        <v>-2.256</v>
      </c>
      <c r="H145" s="0" t="n">
        <v>-3.327</v>
      </c>
      <c r="I145" s="0" t="n">
        <v>-1.433</v>
      </c>
      <c r="J145" s="0" t="s">
        <v>640</v>
      </c>
      <c r="K145" s="0" t="n">
        <v>0</v>
      </c>
      <c r="L145" s="0" t="n">
        <v>0</v>
      </c>
      <c r="M145" s="0" t="n">
        <v>-38143</v>
      </c>
      <c r="N145" s="0" t="n">
        <v>-44644</v>
      </c>
      <c r="O145" s="0" t="n">
        <v>-32015</v>
      </c>
    </row>
    <row r="146" customFormat="false" ht="15" hidden="false" customHeight="false" outlineLevel="0" collapsed="false">
      <c r="A146" s="0" t="s">
        <v>648</v>
      </c>
      <c r="B146" s="0" t="n">
        <v>50</v>
      </c>
      <c r="C146" s="0" t="s">
        <v>643</v>
      </c>
      <c r="D146" s="0" t="n">
        <v>6914.2</v>
      </c>
      <c r="E146" s="0" t="n">
        <v>5049.3</v>
      </c>
      <c r="F146" s="0" t="n">
        <v>8908.4</v>
      </c>
      <c r="G146" s="0" t="n">
        <v>-2.607</v>
      </c>
      <c r="H146" s="0" t="n">
        <v>-3.787</v>
      </c>
      <c r="I146" s="0" t="n">
        <v>-1.709</v>
      </c>
      <c r="J146" s="0" t="s">
        <v>640</v>
      </c>
      <c r="K146" s="0" t="n">
        <v>0</v>
      </c>
      <c r="L146" s="0" t="n">
        <v>0</v>
      </c>
      <c r="M146" s="0" t="n">
        <v>-38143</v>
      </c>
      <c r="N146" s="0" t="n">
        <v>-44644</v>
      </c>
      <c r="O146" s="0" t="n">
        <v>-32015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0" t="s">
        <v>649</v>
      </c>
    </row>
    <row r="2" customFormat="false" ht="15" hidden="false" customHeight="false" outlineLevel="0" collapsed="false">
      <c r="A2" s="0" t="s">
        <v>650</v>
      </c>
    </row>
    <row r="3" customFormat="false" ht="15" hidden="false" customHeight="false" outlineLevel="0" collapsed="false">
      <c r="A3" s="0" t="s">
        <v>651</v>
      </c>
    </row>
    <row r="4" customFormat="false" ht="15" hidden="false" customHeight="false" outlineLevel="0" collapsed="false">
      <c r="A4" s="0" t="s">
        <v>652</v>
      </c>
    </row>
    <row r="5" customFormat="false" ht="15" hidden="false" customHeight="false" outlineLevel="0" collapsed="false">
      <c r="A5" s="0" t="s">
        <v>653</v>
      </c>
    </row>
    <row r="6" customFormat="false" ht="15" hidden="false" customHeight="false" outlineLevel="0" collapsed="false">
      <c r="A6" s="0" t="s">
        <v>654</v>
      </c>
    </row>
    <row r="7" customFormat="false" ht="15" hidden="false" customHeight="false" outlineLevel="0" collapsed="false">
      <c r="A7" s="0" t="s">
        <v>655</v>
      </c>
    </row>
    <row r="8" customFormat="false" ht="15" hidden="false" customHeight="false" outlineLevel="0" collapsed="false">
      <c r="A8" s="0" t="s">
        <v>656</v>
      </c>
    </row>
    <row r="9" customFormat="false" ht="15" hidden="false" customHeight="false" outlineLevel="0" collapsed="false">
      <c r="A9" s="0" t="s">
        <v>657</v>
      </c>
    </row>
    <row r="10" customFormat="false" ht="15" hidden="false" customHeight="false" outlineLevel="0" collapsed="false">
      <c r="A10" s="0" t="s">
        <v>658</v>
      </c>
    </row>
    <row r="11" customFormat="false" ht="15" hidden="false" customHeight="false" outlineLevel="0" collapsed="false">
      <c r="A11" s="0" t="s">
        <v>659</v>
      </c>
    </row>
    <row r="12" customFormat="false" ht="15" hidden="false" customHeight="false" outlineLevel="0" collapsed="false">
      <c r="A12" s="0" t="s">
        <v>660</v>
      </c>
    </row>
    <row r="13" customFormat="false" ht="15" hidden="false" customHeight="false" outlineLevel="0" collapsed="false">
      <c r="A13" s="0" t="s">
        <v>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" t="s">
        <v>662</v>
      </c>
    </row>
    <row r="2" customFormat="false" ht="15" hidden="false" customHeight="false" outlineLevel="0" collapsed="false">
      <c r="A2" s="0" t="s">
        <v>663</v>
      </c>
    </row>
    <row r="4" customFormat="false" ht="15" hidden="false" customHeight="false" outlineLevel="0" collapsed="false">
      <c r="A4" s="0" t="s">
        <v>664</v>
      </c>
      <c r="B4" s="0" t="n">
        <f aca="false">x_c_DAA+x_c_MON</f>
        <v>28525.1298861805</v>
      </c>
    </row>
    <row r="5" customFormat="false" ht="15" hidden="false" customHeight="false" outlineLevel="0" collapsed="false">
      <c r="A5" s="0" t="s">
        <v>665</v>
      </c>
      <c r="B5" s="0" t="n">
        <f aca="false">B4+x_NAV</f>
        <v>30532.0638440483</v>
      </c>
    </row>
    <row r="7" customFormat="false" ht="68.65" hidden="false" customHeight="false" outlineLevel="0" collapsed="false">
      <c r="A7" s="3" t="s">
        <v>629</v>
      </c>
      <c r="B7" s="3" t="s">
        <v>630</v>
      </c>
      <c r="C7" s="3" t="s">
        <v>666</v>
      </c>
      <c r="D7" s="3" t="s">
        <v>667</v>
      </c>
      <c r="E7" s="3" t="s">
        <v>668</v>
      </c>
      <c r="F7" s="3" t="s">
        <v>669</v>
      </c>
      <c r="G7" s="3" t="s">
        <v>670</v>
      </c>
      <c r="H7" s="3" t="s">
        <v>671</v>
      </c>
      <c r="I7" s="3" t="s">
        <v>672</v>
      </c>
      <c r="J7" s="3" t="s">
        <v>620</v>
      </c>
    </row>
    <row r="8" customFormat="false" ht="15" hidden="false" customHeight="false" outlineLevel="0" collapsed="false">
      <c r="A8" s="0" t="n">
        <v>10</v>
      </c>
      <c r="B8" s="0" t="s">
        <v>129</v>
      </c>
      <c r="C8" s="0" t="s">
        <v>673</v>
      </c>
      <c r="D8" s="0" t="n">
        <v>28525</v>
      </c>
      <c r="E8" s="0" t="n">
        <v>24577</v>
      </c>
      <c r="F8" s="0" t="n">
        <v>3949</v>
      </c>
      <c r="G8" s="0" t="s">
        <v>640</v>
      </c>
      <c r="H8" s="0" t="n">
        <v>-0.14</v>
      </c>
      <c r="I8" s="0" t="n">
        <v>5661</v>
      </c>
      <c r="J8" s="0" t="n">
        <v>0.697</v>
      </c>
    </row>
    <row r="9" customFormat="false" ht="15" hidden="false" customHeight="false" outlineLevel="0" collapsed="false">
      <c r="A9" s="0" t="n">
        <v>10</v>
      </c>
      <c r="B9" s="0" t="s">
        <v>129</v>
      </c>
      <c r="C9" s="0" t="s">
        <v>674</v>
      </c>
      <c r="D9" s="0" t="n">
        <v>30532</v>
      </c>
      <c r="E9" s="0" t="n">
        <v>24577</v>
      </c>
      <c r="F9" s="0" t="n">
        <v>5956</v>
      </c>
      <c r="G9" s="0" t="s">
        <v>640</v>
      </c>
      <c r="H9" s="0" t="n">
        <v>-0.2</v>
      </c>
      <c r="I9" s="0" t="n">
        <v>8539</v>
      </c>
      <c r="J9" s="0" t="n">
        <v>0.697</v>
      </c>
    </row>
    <row r="10" customFormat="false" ht="15" hidden="false" customHeight="false" outlineLevel="0" collapsed="false">
      <c r="A10" s="0" t="n">
        <v>10</v>
      </c>
      <c r="B10" s="0" t="s">
        <v>585</v>
      </c>
      <c r="C10" s="0" t="s">
        <v>673</v>
      </c>
      <c r="D10" s="0" t="n">
        <v>28525</v>
      </c>
      <c r="E10" s="0" t="n">
        <v>43150</v>
      </c>
      <c r="F10" s="0" t="n">
        <v>-14625</v>
      </c>
      <c r="G10" s="0" t="n">
        <v>2032</v>
      </c>
      <c r="H10" s="0" t="n">
        <v>0.51</v>
      </c>
      <c r="I10" s="0" t="n">
        <v>-20968</v>
      </c>
      <c r="J10" s="0" t="n">
        <v>0.697</v>
      </c>
    </row>
    <row r="11" customFormat="false" ht="15" hidden="false" customHeight="false" outlineLevel="0" collapsed="false">
      <c r="A11" s="0" t="n">
        <v>10</v>
      </c>
      <c r="B11" s="0" t="s">
        <v>585</v>
      </c>
      <c r="C11" s="0" t="s">
        <v>674</v>
      </c>
      <c r="D11" s="0" t="n">
        <v>30532</v>
      </c>
      <c r="E11" s="0" t="n">
        <v>43150</v>
      </c>
      <c r="F11" s="0" t="n">
        <v>-12618</v>
      </c>
      <c r="G11" s="0" t="n">
        <v>2033</v>
      </c>
      <c r="H11" s="0" t="n">
        <v>0.41</v>
      </c>
      <c r="I11" s="0" t="n">
        <v>-18090</v>
      </c>
      <c r="J11" s="0" t="n">
        <v>0.697</v>
      </c>
    </row>
    <row r="12" customFormat="false" ht="15" hidden="false" customHeight="false" outlineLevel="0" collapsed="false">
      <c r="A12" s="0" t="n">
        <v>10</v>
      </c>
      <c r="B12" s="0" t="s">
        <v>586</v>
      </c>
      <c r="C12" s="0" t="s">
        <v>673</v>
      </c>
      <c r="D12" s="0" t="n">
        <v>28525</v>
      </c>
      <c r="E12" s="0" t="n">
        <v>44627</v>
      </c>
      <c r="F12" s="0" t="n">
        <v>-16102</v>
      </c>
      <c r="G12" s="0" t="n">
        <v>2032</v>
      </c>
      <c r="H12" s="0" t="n">
        <v>0.56</v>
      </c>
      <c r="I12" s="0" t="n">
        <v>-23086</v>
      </c>
      <c r="J12" s="0" t="n">
        <v>0.697</v>
      </c>
    </row>
    <row r="13" customFormat="false" ht="15" hidden="false" customHeight="false" outlineLevel="0" collapsed="false">
      <c r="A13" s="0" t="n">
        <v>10</v>
      </c>
      <c r="B13" s="0" t="s">
        <v>586</v>
      </c>
      <c r="C13" s="0" t="s">
        <v>674</v>
      </c>
      <c r="D13" s="0" t="n">
        <v>30532</v>
      </c>
      <c r="E13" s="0" t="n">
        <v>44627</v>
      </c>
      <c r="F13" s="0" t="n">
        <v>-14095</v>
      </c>
      <c r="G13" s="0" t="n">
        <v>2033</v>
      </c>
      <c r="H13" s="0" t="n">
        <v>0.46</v>
      </c>
      <c r="I13" s="0" t="n">
        <v>-20209</v>
      </c>
      <c r="J13" s="0" t="n">
        <v>0.697</v>
      </c>
    </row>
    <row r="14" customFormat="false" ht="15" hidden="false" customHeight="false" outlineLevel="0" collapsed="false">
      <c r="A14" s="0" t="n">
        <v>20</v>
      </c>
      <c r="B14" s="0" t="s">
        <v>129</v>
      </c>
      <c r="C14" s="0" t="s">
        <v>673</v>
      </c>
      <c r="D14" s="0" t="n">
        <v>28525</v>
      </c>
      <c r="E14" s="0" t="n">
        <v>43668</v>
      </c>
      <c r="F14" s="0" t="n">
        <v>-15143</v>
      </c>
      <c r="G14" s="0" t="n">
        <v>2037</v>
      </c>
      <c r="H14" s="0" t="n">
        <v>0.53</v>
      </c>
      <c r="I14" s="0" t="n">
        <v>-10350</v>
      </c>
      <c r="J14" s="0" t="n">
        <v>1.463</v>
      </c>
    </row>
    <row r="15" customFormat="false" ht="15" hidden="false" customHeight="false" outlineLevel="0" collapsed="false">
      <c r="A15" s="0" t="n">
        <v>20</v>
      </c>
      <c r="B15" s="0" t="s">
        <v>129</v>
      </c>
      <c r="C15" s="0" t="s">
        <v>674</v>
      </c>
      <c r="D15" s="0" t="n">
        <v>30532</v>
      </c>
      <c r="E15" s="0" t="n">
        <v>43668</v>
      </c>
      <c r="F15" s="0" t="n">
        <v>-13136</v>
      </c>
      <c r="G15" s="0" t="n">
        <v>2038</v>
      </c>
      <c r="H15" s="0" t="n">
        <v>0.43</v>
      </c>
      <c r="I15" s="0" t="n">
        <v>-8978</v>
      </c>
      <c r="J15" s="0" t="n">
        <v>1.463</v>
      </c>
    </row>
    <row r="16" customFormat="false" ht="15" hidden="false" customHeight="false" outlineLevel="0" collapsed="false">
      <c r="A16" s="0" t="n">
        <v>20</v>
      </c>
      <c r="B16" s="0" t="s">
        <v>585</v>
      </c>
      <c r="C16" s="0" t="s">
        <v>673</v>
      </c>
      <c r="D16" s="0" t="n">
        <v>28525</v>
      </c>
      <c r="E16" s="0" t="n">
        <v>72366</v>
      </c>
      <c r="F16" s="0" t="n">
        <v>-43841</v>
      </c>
      <c r="G16" s="0" t="n">
        <v>2032</v>
      </c>
      <c r="H16" s="0" t="n">
        <v>1.54</v>
      </c>
      <c r="I16" s="0" t="n">
        <v>-29963</v>
      </c>
      <c r="J16" s="0" t="n">
        <v>1.463</v>
      </c>
    </row>
    <row r="17" customFormat="false" ht="15" hidden="false" customHeight="false" outlineLevel="0" collapsed="false">
      <c r="A17" s="0" t="n">
        <v>20</v>
      </c>
      <c r="B17" s="0" t="s">
        <v>585</v>
      </c>
      <c r="C17" s="0" t="s">
        <v>674</v>
      </c>
      <c r="D17" s="0" t="n">
        <v>30532</v>
      </c>
      <c r="E17" s="0" t="n">
        <v>72366</v>
      </c>
      <c r="F17" s="0" t="n">
        <v>-41834</v>
      </c>
      <c r="G17" s="0" t="n">
        <v>2033</v>
      </c>
      <c r="H17" s="0" t="n">
        <v>1.37</v>
      </c>
      <c r="I17" s="0" t="n">
        <v>-28592</v>
      </c>
      <c r="J17" s="0" t="n">
        <v>1.463</v>
      </c>
    </row>
    <row r="18" customFormat="false" ht="15" hidden="false" customHeight="false" outlineLevel="0" collapsed="false">
      <c r="A18" s="0" t="n">
        <v>20</v>
      </c>
      <c r="B18" s="0" t="s">
        <v>586</v>
      </c>
      <c r="C18" s="0" t="s">
        <v>673</v>
      </c>
      <c r="D18" s="0" t="n">
        <v>28525</v>
      </c>
      <c r="E18" s="0" t="n">
        <v>79002</v>
      </c>
      <c r="F18" s="0" t="n">
        <v>-50477</v>
      </c>
      <c r="G18" s="0" t="n">
        <v>2032</v>
      </c>
      <c r="H18" s="0" t="n">
        <v>1.77</v>
      </c>
      <c r="I18" s="0" t="n">
        <v>-34499</v>
      </c>
      <c r="J18" s="0" t="n">
        <v>1.463</v>
      </c>
    </row>
    <row r="19" customFormat="false" ht="15" hidden="false" customHeight="false" outlineLevel="0" collapsed="false">
      <c r="A19" s="0" t="n">
        <v>20</v>
      </c>
      <c r="B19" s="0" t="s">
        <v>586</v>
      </c>
      <c r="C19" s="0" t="s">
        <v>674</v>
      </c>
      <c r="D19" s="0" t="n">
        <v>30532</v>
      </c>
      <c r="E19" s="0" t="n">
        <v>79002</v>
      </c>
      <c r="F19" s="0" t="n">
        <v>-48470</v>
      </c>
      <c r="G19" s="0" t="n">
        <v>2033</v>
      </c>
      <c r="H19" s="0" t="n">
        <v>1.59</v>
      </c>
      <c r="I19" s="0" t="n">
        <v>-33127</v>
      </c>
      <c r="J19" s="0" t="n">
        <v>1.463</v>
      </c>
    </row>
    <row r="20" customFormat="false" ht="15" hidden="false" customHeight="false" outlineLevel="0" collapsed="false">
      <c r="A20" s="0" t="n">
        <v>50</v>
      </c>
      <c r="B20" s="0" t="s">
        <v>129</v>
      </c>
      <c r="C20" s="0" t="s">
        <v>673</v>
      </c>
      <c r="D20" s="0" t="n">
        <v>28525</v>
      </c>
      <c r="E20" s="0" t="n">
        <v>59068</v>
      </c>
      <c r="F20" s="0" t="n">
        <v>-30543</v>
      </c>
      <c r="G20" s="0" t="n">
        <v>2037</v>
      </c>
      <c r="H20" s="0" t="n">
        <v>1.07</v>
      </c>
      <c r="I20" s="0" t="n">
        <v>-11566</v>
      </c>
      <c r="J20" s="0" t="n">
        <v>2.641</v>
      </c>
    </row>
    <row r="21" customFormat="false" ht="15" hidden="false" customHeight="false" outlineLevel="0" collapsed="false">
      <c r="A21" s="0" t="n">
        <v>50</v>
      </c>
      <c r="B21" s="0" t="s">
        <v>129</v>
      </c>
      <c r="C21" s="0" t="s">
        <v>674</v>
      </c>
      <c r="D21" s="0" t="n">
        <v>30532</v>
      </c>
      <c r="E21" s="0" t="n">
        <v>59068</v>
      </c>
      <c r="F21" s="0" t="n">
        <v>-28536</v>
      </c>
      <c r="G21" s="0" t="n">
        <v>2038</v>
      </c>
      <c r="H21" s="0" t="n">
        <v>0.93</v>
      </c>
      <c r="I21" s="0" t="n">
        <v>-10806</v>
      </c>
      <c r="J21" s="0" t="n">
        <v>2.641</v>
      </c>
    </row>
    <row r="22" customFormat="false" ht="15" hidden="false" customHeight="false" outlineLevel="0" collapsed="false">
      <c r="A22" s="0" t="n">
        <v>50</v>
      </c>
      <c r="B22" s="0" t="s">
        <v>585</v>
      </c>
      <c r="C22" s="0" t="s">
        <v>673</v>
      </c>
      <c r="D22" s="0" t="n">
        <v>28525</v>
      </c>
      <c r="E22" s="0" t="n">
        <v>97120</v>
      </c>
      <c r="F22" s="0" t="n">
        <v>-68595</v>
      </c>
      <c r="G22" s="0" t="n">
        <v>2032</v>
      </c>
      <c r="H22" s="0" t="n">
        <v>2.4</v>
      </c>
      <c r="I22" s="0" t="n">
        <v>-25976</v>
      </c>
      <c r="J22" s="0" t="n">
        <v>2.641</v>
      </c>
    </row>
    <row r="23" customFormat="false" ht="15" hidden="false" customHeight="false" outlineLevel="0" collapsed="false">
      <c r="A23" s="0" t="n">
        <v>50</v>
      </c>
      <c r="B23" s="0" t="s">
        <v>585</v>
      </c>
      <c r="C23" s="0" t="s">
        <v>674</v>
      </c>
      <c r="D23" s="0" t="n">
        <v>30532</v>
      </c>
      <c r="E23" s="0" t="n">
        <v>97120</v>
      </c>
      <c r="F23" s="0" t="n">
        <v>-66588</v>
      </c>
      <c r="G23" s="0" t="n">
        <v>2033</v>
      </c>
      <c r="H23" s="0" t="n">
        <v>2.18</v>
      </c>
      <c r="I23" s="0" t="n">
        <v>-25216</v>
      </c>
      <c r="J23" s="0" t="n">
        <v>2.641</v>
      </c>
    </row>
    <row r="24" customFormat="false" ht="15" hidden="false" customHeight="false" outlineLevel="0" collapsed="false">
      <c r="A24" s="0" t="n">
        <v>50</v>
      </c>
      <c r="B24" s="0" t="s">
        <v>586</v>
      </c>
      <c r="C24" s="0" t="s">
        <v>673</v>
      </c>
      <c r="D24" s="0" t="n">
        <v>28525</v>
      </c>
      <c r="E24" s="0" t="n">
        <v>111443</v>
      </c>
      <c r="F24" s="0" t="n">
        <v>-82917</v>
      </c>
      <c r="G24" s="0" t="n">
        <v>2032</v>
      </c>
      <c r="H24" s="0" t="n">
        <v>2.91</v>
      </c>
      <c r="I24" s="0" t="n">
        <v>-31400</v>
      </c>
      <c r="J24" s="0" t="n">
        <v>2.641</v>
      </c>
    </row>
    <row r="25" customFormat="false" ht="15" hidden="false" customHeight="false" outlineLevel="0" collapsed="false">
      <c r="A25" s="0" t="n">
        <v>50</v>
      </c>
      <c r="B25" s="0" t="s">
        <v>586</v>
      </c>
      <c r="C25" s="0" t="s">
        <v>674</v>
      </c>
      <c r="D25" s="0" t="n">
        <v>30532</v>
      </c>
      <c r="E25" s="0" t="n">
        <v>111443</v>
      </c>
      <c r="F25" s="0" t="n">
        <v>-80911</v>
      </c>
      <c r="G25" s="0" t="n">
        <v>2033</v>
      </c>
      <c r="H25" s="0" t="n">
        <v>2.65</v>
      </c>
      <c r="I25" s="0" t="n">
        <v>-30640</v>
      </c>
      <c r="J25" s="0" t="n">
        <v>2.641</v>
      </c>
    </row>
    <row r="27" customFormat="false" ht="15" hidden="false" customHeight="false" outlineLevel="0" collapsed="false">
      <c r="A27" s="0" t="s">
        <v>675</v>
      </c>
    </row>
    <row r="28" customFormat="false" ht="55.2" hidden="false" customHeight="false" outlineLevel="0" collapsed="false">
      <c r="A28" s="3" t="s">
        <v>629</v>
      </c>
      <c r="B28" s="3" t="s">
        <v>630</v>
      </c>
      <c r="C28" s="3" t="s">
        <v>676</v>
      </c>
      <c r="D28" s="3" t="s">
        <v>632</v>
      </c>
      <c r="E28" s="3" t="s">
        <v>633</v>
      </c>
      <c r="F28" s="3" t="s">
        <v>677</v>
      </c>
      <c r="G28" s="3" t="s">
        <v>678</v>
      </c>
      <c r="H28" s="3" t="s">
        <v>635</v>
      </c>
    </row>
    <row r="29" customFormat="false" ht="15" hidden="false" customHeight="false" outlineLevel="0" collapsed="false">
      <c r="A29" s="0" t="n">
        <v>20</v>
      </c>
      <c r="B29" s="0" t="s">
        <v>129</v>
      </c>
      <c r="C29" s="0" t="n">
        <v>-14603</v>
      </c>
      <c r="D29" s="0" t="n">
        <v>-25304</v>
      </c>
      <c r="E29" s="0" t="n">
        <v>-4024</v>
      </c>
      <c r="F29" s="0" t="n">
        <v>43081</v>
      </c>
      <c r="G29" s="0" t="n">
        <v>0.997</v>
      </c>
      <c r="H29" s="0" t="n">
        <v>2037</v>
      </c>
    </row>
    <row r="30" customFormat="false" ht="15" hidden="false" customHeight="false" outlineLevel="0" collapsed="false">
      <c r="A30" s="0" t="n">
        <v>20</v>
      </c>
      <c r="B30" s="0" t="s">
        <v>585</v>
      </c>
      <c r="C30" s="0" t="n">
        <v>-42577</v>
      </c>
      <c r="D30" s="0" t="n">
        <v>-59804</v>
      </c>
      <c r="E30" s="0" t="n">
        <v>-26293</v>
      </c>
      <c r="F30" s="0" t="n">
        <v>71072</v>
      </c>
      <c r="G30" s="0" t="n">
        <v>1</v>
      </c>
      <c r="H30" s="0" t="n">
        <v>2032</v>
      </c>
    </row>
    <row r="31" customFormat="false" ht="15" hidden="false" customHeight="false" outlineLevel="0" collapsed="false">
      <c r="A31" s="0" t="n">
        <v>20</v>
      </c>
      <c r="B31" s="0" t="s">
        <v>586</v>
      </c>
      <c r="C31" s="0" t="n">
        <v>-49093</v>
      </c>
      <c r="D31" s="0" t="n">
        <v>-70826</v>
      </c>
      <c r="E31" s="0" t="n">
        <v>-30338</v>
      </c>
      <c r="F31" s="0" t="n">
        <v>77360</v>
      </c>
      <c r="G31" s="0" t="n">
        <v>1</v>
      </c>
      <c r="H31" s="0" t="n">
        <v>2032</v>
      </c>
    </row>
    <row r="32" customFormat="false" ht="15" hidden="false" customHeight="false" outlineLevel="0" collapsed="false">
      <c r="A32" s="0" t="n">
        <v>50</v>
      </c>
      <c r="B32" s="0" t="s">
        <v>129</v>
      </c>
      <c r="C32" s="0" t="n">
        <v>-29700</v>
      </c>
      <c r="D32" s="0" t="n">
        <v>-42947</v>
      </c>
      <c r="E32" s="0" t="n">
        <v>-16954</v>
      </c>
      <c r="F32" s="0" t="n">
        <v>58178</v>
      </c>
      <c r="G32" s="0" t="n">
        <v>1</v>
      </c>
      <c r="H32" s="0" t="n">
        <v>2037</v>
      </c>
    </row>
    <row r="33" customFormat="false" ht="15" hidden="false" customHeight="false" outlineLevel="0" collapsed="false">
      <c r="A33" s="0" t="n">
        <v>50</v>
      </c>
      <c r="B33" s="0" t="s">
        <v>585</v>
      </c>
      <c r="C33" s="0" t="n">
        <v>-67023</v>
      </c>
      <c r="D33" s="0" t="n">
        <v>-91913</v>
      </c>
      <c r="E33" s="0" t="n">
        <v>-44140</v>
      </c>
      <c r="F33" s="0" t="n">
        <v>95216</v>
      </c>
      <c r="G33" s="0" t="n">
        <v>1</v>
      </c>
      <c r="H33" s="0" t="n">
        <v>2032</v>
      </c>
    </row>
    <row r="34" customFormat="false" ht="15" hidden="false" customHeight="false" outlineLevel="0" collapsed="false">
      <c r="A34" s="0" t="n">
        <v>50</v>
      </c>
      <c r="B34" s="0" t="s">
        <v>586</v>
      </c>
      <c r="C34" s="0" t="n">
        <v>-81120</v>
      </c>
      <c r="D34" s="0" t="n">
        <v>-115131</v>
      </c>
      <c r="E34" s="0" t="n">
        <v>-52357</v>
      </c>
      <c r="F34" s="0" t="n">
        <v>109377</v>
      </c>
      <c r="G34" s="0" t="n">
        <v>1</v>
      </c>
      <c r="H34" s="0" t="n">
        <v>2032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1" t="s">
        <v>679</v>
      </c>
    </row>
    <row r="2" customFormat="false" ht="55.2" hidden="false" customHeight="false" outlineLevel="0" collapsed="false">
      <c r="A2" s="3" t="s">
        <v>680</v>
      </c>
      <c r="B2" s="3" t="s">
        <v>681</v>
      </c>
      <c r="C2" s="3" t="s">
        <v>682</v>
      </c>
      <c r="D2" s="3" t="s">
        <v>683</v>
      </c>
      <c r="E2" s="3" t="s">
        <v>684</v>
      </c>
      <c r="F2" s="3" t="s">
        <v>685</v>
      </c>
      <c r="G2" s="3" t="s">
        <v>686</v>
      </c>
      <c r="H2" s="3" t="s">
        <v>687</v>
      </c>
      <c r="I2" s="3" t="s">
        <v>688</v>
      </c>
      <c r="J2" s="3" t="s">
        <v>689</v>
      </c>
      <c r="K2" s="3" t="s">
        <v>690</v>
      </c>
      <c r="L2" s="3" t="s">
        <v>691</v>
      </c>
      <c r="M2" s="3" t="s">
        <v>692</v>
      </c>
      <c r="N2" s="3" t="s">
        <v>693</v>
      </c>
      <c r="O2" s="3" t="s">
        <v>694</v>
      </c>
      <c r="P2" s="3" t="s">
        <v>695</v>
      </c>
      <c r="Q2" s="3" t="s">
        <v>696</v>
      </c>
      <c r="R2" s="3" t="s">
        <v>697</v>
      </c>
      <c r="S2" s="3" t="s">
        <v>698</v>
      </c>
    </row>
    <row r="3" customFormat="false" ht="15" hidden="false" customHeight="false" outlineLevel="0" collapsed="false">
      <c r="A3" s="0" t="s">
        <v>699</v>
      </c>
      <c r="B3" s="0" t="n">
        <v>1035.5</v>
      </c>
      <c r="C3" s="0" t="n">
        <v>6034</v>
      </c>
      <c r="D3" s="0" t="n">
        <v>323.4</v>
      </c>
      <c r="E3" s="0" t="n">
        <v>-42.8</v>
      </c>
      <c r="F3" s="0" t="n">
        <v>103.3</v>
      </c>
      <c r="G3" s="0" t="n">
        <v>2407.5</v>
      </c>
      <c r="H3" s="0" t="n">
        <v>1838.7</v>
      </c>
      <c r="I3" s="0" t="n">
        <v>33.6</v>
      </c>
      <c r="J3" s="0" t="n">
        <v>77717</v>
      </c>
      <c r="K3" s="0" t="n">
        <v>82294</v>
      </c>
      <c r="L3" s="0" t="n">
        <v>67446</v>
      </c>
      <c r="M3" s="0" t="n">
        <v>165038</v>
      </c>
      <c r="N3" s="0" t="n">
        <v>20463</v>
      </c>
      <c r="O3" s="0" t="s">
        <v>640</v>
      </c>
      <c r="P3" s="0" t="n">
        <v>27.4</v>
      </c>
      <c r="Q3" s="0" t="n">
        <v>922</v>
      </c>
      <c r="R3" s="0" t="n">
        <v>712</v>
      </c>
      <c r="S3" s="0" t="n">
        <v>1590</v>
      </c>
    </row>
    <row r="4" customFormat="false" ht="15" hidden="false" customHeight="false" outlineLevel="0" collapsed="false">
      <c r="A4" s="0" t="s">
        <v>700</v>
      </c>
      <c r="B4" s="0" t="n">
        <v>1141.4</v>
      </c>
      <c r="C4" s="0" t="n">
        <v>6418.3</v>
      </c>
      <c r="D4" s="0" t="n">
        <v>266.4</v>
      </c>
      <c r="E4" s="0" t="n">
        <v>-99.7</v>
      </c>
      <c r="F4" s="0" t="n">
        <v>91.2</v>
      </c>
      <c r="G4" s="0" t="n">
        <v>2302.9</v>
      </c>
      <c r="H4" s="0" t="n">
        <v>1640.4</v>
      </c>
      <c r="I4" s="0" t="n">
        <v>-164.7</v>
      </c>
      <c r="J4" s="0" t="n">
        <v>73410</v>
      </c>
      <c r="K4" s="0" t="n">
        <v>79176</v>
      </c>
      <c r="L4" s="0" t="n">
        <v>64055</v>
      </c>
      <c r="M4" s="0" t="n">
        <v>160139</v>
      </c>
      <c r="N4" s="0" t="n">
        <v>19400</v>
      </c>
      <c r="O4" s="0" t="s">
        <v>640</v>
      </c>
      <c r="P4" s="0" t="n">
        <v>21.6</v>
      </c>
      <c r="Q4" s="0" t="n">
        <v>481</v>
      </c>
      <c r="R4" s="0" t="n">
        <v>613</v>
      </c>
      <c r="S4" s="0" t="n">
        <v>3092</v>
      </c>
    </row>
    <row r="5" customFormat="false" ht="15" hidden="false" customHeight="false" outlineLevel="0" collapsed="false">
      <c r="A5" s="0" t="s">
        <v>701</v>
      </c>
      <c r="B5" s="0" t="n">
        <v>332.9</v>
      </c>
      <c r="C5" s="0" t="n">
        <v>5004.7</v>
      </c>
      <c r="D5" s="0" t="n">
        <v>404</v>
      </c>
      <c r="E5" s="0" t="n">
        <v>37.9</v>
      </c>
      <c r="F5" s="0" t="n">
        <v>147.7</v>
      </c>
      <c r="G5" s="0" t="n">
        <v>2712.6</v>
      </c>
      <c r="H5" s="0" t="n">
        <v>2143.7</v>
      </c>
      <c r="I5" s="0" t="n">
        <v>338.7</v>
      </c>
      <c r="J5" s="0" t="n">
        <v>87565</v>
      </c>
      <c r="K5" s="0" t="n">
        <v>92141</v>
      </c>
      <c r="L5" s="0" t="n">
        <v>77745</v>
      </c>
      <c r="M5" s="0" t="n">
        <v>175355</v>
      </c>
      <c r="N5" s="0" t="n">
        <v>28508</v>
      </c>
      <c r="O5" s="0" t="s">
        <v>640</v>
      </c>
      <c r="P5" s="0" t="n">
        <v>27.4</v>
      </c>
      <c r="Q5" s="0" t="n">
        <v>922</v>
      </c>
      <c r="R5" s="0" t="n">
        <v>712</v>
      </c>
      <c r="S5" s="0" t="n">
        <v>1590</v>
      </c>
    </row>
    <row r="6" customFormat="false" ht="15" hidden="false" customHeight="false" outlineLevel="0" collapsed="false">
      <c r="A6" s="0" t="s">
        <v>702</v>
      </c>
      <c r="B6" s="0" t="n">
        <v>-3703.8</v>
      </c>
      <c r="C6" s="0" t="n">
        <v>-908.7</v>
      </c>
      <c r="D6" s="0" t="n">
        <v>867.5</v>
      </c>
      <c r="E6" s="0" t="n">
        <v>501.4</v>
      </c>
      <c r="F6" s="0" t="n">
        <v>402.4</v>
      </c>
      <c r="G6" s="0" t="n">
        <v>4465.2</v>
      </c>
      <c r="H6" s="0" t="n">
        <v>3896.4</v>
      </c>
      <c r="I6" s="0" t="n">
        <v>2091.3</v>
      </c>
      <c r="J6" s="0" t="n">
        <v>144141</v>
      </c>
      <c r="K6" s="0" t="n">
        <v>148717</v>
      </c>
      <c r="L6" s="0" t="n">
        <v>136920</v>
      </c>
      <c r="M6" s="0" t="n">
        <v>234630</v>
      </c>
      <c r="N6" s="0" t="n">
        <v>74726</v>
      </c>
      <c r="O6" s="0" t="s">
        <v>640</v>
      </c>
      <c r="P6" s="0" t="n">
        <v>27.4</v>
      </c>
      <c r="Q6" s="0" t="n">
        <v>922</v>
      </c>
      <c r="R6" s="0" t="n">
        <v>712</v>
      </c>
      <c r="S6" s="0" t="n">
        <v>1590</v>
      </c>
    </row>
    <row r="7" customFormat="false" ht="15" hidden="false" customHeight="false" outlineLevel="0" collapsed="false">
      <c r="A7" s="0" t="s">
        <v>703</v>
      </c>
      <c r="B7" s="0" t="n">
        <v>909</v>
      </c>
      <c r="C7" s="0" t="n">
        <v>4929.3</v>
      </c>
      <c r="D7" s="0" t="n">
        <v>313</v>
      </c>
      <c r="E7" s="0" t="n">
        <v>-53.1</v>
      </c>
      <c r="F7" s="0" t="n">
        <v>103.3</v>
      </c>
      <c r="G7" s="0" t="n">
        <v>2378.9</v>
      </c>
      <c r="H7" s="0" t="n">
        <v>1807.8</v>
      </c>
      <c r="I7" s="0" t="n">
        <v>2.7</v>
      </c>
      <c r="J7" s="0" t="n">
        <v>77944</v>
      </c>
      <c r="K7" s="0" t="n">
        <v>82625</v>
      </c>
      <c r="L7" s="0" t="n">
        <v>68093</v>
      </c>
      <c r="M7" s="0" t="n">
        <v>168053</v>
      </c>
      <c r="N7" s="0" t="n">
        <v>20024</v>
      </c>
      <c r="O7" s="0" t="s">
        <v>640</v>
      </c>
      <c r="P7" s="0" t="n">
        <v>27.4</v>
      </c>
      <c r="Q7" s="0" t="n">
        <v>922</v>
      </c>
      <c r="R7" s="0" t="n">
        <v>712</v>
      </c>
      <c r="S7" s="0" t="n">
        <v>1590</v>
      </c>
    </row>
    <row r="8" customFormat="false" ht="15" hidden="false" customHeight="false" outlineLevel="0" collapsed="false">
      <c r="A8" s="0" t="s">
        <v>704</v>
      </c>
      <c r="B8" s="0" t="n">
        <v>1401.5</v>
      </c>
      <c r="C8" s="0" t="n">
        <v>6193.3</v>
      </c>
      <c r="D8" s="0" t="n">
        <v>-195.9</v>
      </c>
      <c r="E8" s="0" t="n">
        <v>-562</v>
      </c>
      <c r="F8" s="0" t="n">
        <v>-2</v>
      </c>
      <c r="G8" s="0" t="n">
        <v>1067.3</v>
      </c>
      <c r="H8" s="0" t="n">
        <v>69.4</v>
      </c>
      <c r="I8" s="0" t="n">
        <v>-1735.7</v>
      </c>
      <c r="J8" s="0" t="n">
        <v>34454</v>
      </c>
      <c r="K8" s="0" t="n">
        <v>55442</v>
      </c>
      <c r="L8" s="0" t="n">
        <v>36420</v>
      </c>
      <c r="M8" s="0" t="n">
        <v>133974</v>
      </c>
      <c r="N8" s="0" t="n">
        <v>10109</v>
      </c>
      <c r="O8" s="0" t="s">
        <v>640</v>
      </c>
      <c r="P8" s="0" t="n">
        <v>195.2</v>
      </c>
      <c r="Q8" s="0" t="n">
        <v>922</v>
      </c>
      <c r="R8" s="0" t="n">
        <v>712</v>
      </c>
      <c r="S8" s="0" t="n">
        <v>1590</v>
      </c>
    </row>
    <row r="9" customFormat="false" ht="15" hidden="false" customHeight="false" outlineLevel="0" collapsed="false">
      <c r="A9" s="0" t="s">
        <v>705</v>
      </c>
      <c r="B9" s="0" t="n">
        <v>866.1</v>
      </c>
      <c r="C9" s="0" t="n">
        <v>5772.9</v>
      </c>
      <c r="D9" s="0" t="n">
        <v>330.1</v>
      </c>
      <c r="E9" s="0" t="n">
        <v>-36</v>
      </c>
      <c r="F9" s="0" t="n">
        <v>105.8</v>
      </c>
      <c r="G9" s="0" t="n">
        <v>2431.1</v>
      </c>
      <c r="H9" s="0" t="n">
        <v>1862.2</v>
      </c>
      <c r="I9" s="0" t="n">
        <v>57.1</v>
      </c>
      <c r="J9" s="0" t="n">
        <v>82101</v>
      </c>
      <c r="K9" s="0" t="n">
        <v>86475</v>
      </c>
      <c r="L9" s="0" t="n">
        <v>71427</v>
      </c>
      <c r="M9" s="0" t="n">
        <v>174154</v>
      </c>
      <c r="N9" s="0" t="n">
        <v>21109</v>
      </c>
      <c r="O9" s="0" t="s">
        <v>640</v>
      </c>
      <c r="P9" s="0" t="n">
        <v>27.3</v>
      </c>
      <c r="Q9" s="0" t="n">
        <v>922</v>
      </c>
      <c r="R9" s="0" t="n">
        <v>712</v>
      </c>
      <c r="S9" s="0" t="n">
        <v>1579</v>
      </c>
    </row>
    <row r="10" customFormat="false" ht="15" hidden="false" customHeight="false" outlineLevel="0" collapsed="false">
      <c r="A10" s="0" t="s">
        <v>706</v>
      </c>
      <c r="B10" s="0" t="n">
        <v>1258.9</v>
      </c>
      <c r="C10" s="0" t="n">
        <v>6797.4</v>
      </c>
      <c r="D10" s="0" t="n">
        <v>257.6</v>
      </c>
      <c r="E10" s="0" t="n">
        <v>-108.5</v>
      </c>
      <c r="F10" s="0" t="n">
        <v>86.5</v>
      </c>
      <c r="G10" s="0" t="n">
        <v>2278.9</v>
      </c>
      <c r="H10" s="0" t="n">
        <v>1607.9</v>
      </c>
      <c r="I10" s="0" t="n">
        <v>-197.1</v>
      </c>
      <c r="J10" s="0" t="n">
        <v>73565</v>
      </c>
      <c r="K10" s="0" t="n">
        <v>82294</v>
      </c>
      <c r="L10" s="0" t="n">
        <v>67446</v>
      </c>
      <c r="M10" s="0" t="n">
        <v>165038</v>
      </c>
      <c r="N10" s="0" t="n">
        <v>20463</v>
      </c>
      <c r="O10" s="0" t="s">
        <v>640</v>
      </c>
      <c r="P10" s="0" t="n">
        <v>66.7</v>
      </c>
      <c r="Q10" s="0" t="n">
        <v>922</v>
      </c>
      <c r="R10" s="0" t="n">
        <v>712</v>
      </c>
      <c r="S10" s="0" t="n">
        <v>1590</v>
      </c>
    </row>
    <row r="11" customFormat="false" ht="15" hidden="false" customHeight="false" outlineLevel="0" collapsed="false">
      <c r="A11" s="0" t="s">
        <v>707</v>
      </c>
      <c r="B11" s="0" t="n">
        <v>1035.5</v>
      </c>
      <c r="C11" s="0" t="n">
        <v>6034</v>
      </c>
      <c r="D11" s="0" t="n">
        <v>323.4</v>
      </c>
      <c r="E11" s="0" t="n">
        <v>-42.8</v>
      </c>
      <c r="F11" s="0" t="n">
        <v>105.5</v>
      </c>
      <c r="G11" s="0" t="n">
        <v>2409.2</v>
      </c>
      <c r="H11" s="0" t="n">
        <v>1837.2</v>
      </c>
      <c r="I11" s="0" t="n">
        <v>32.1</v>
      </c>
      <c r="J11" s="0" t="n">
        <v>77191</v>
      </c>
      <c r="K11" s="0" t="n">
        <v>81744</v>
      </c>
      <c r="L11" s="0" t="n">
        <v>67446</v>
      </c>
      <c r="M11" s="0" t="n">
        <v>165038</v>
      </c>
      <c r="N11" s="0" t="n">
        <v>20043</v>
      </c>
      <c r="O11" s="0" t="s">
        <v>640</v>
      </c>
      <c r="P11" s="0" t="n">
        <v>27.4</v>
      </c>
      <c r="Q11" s="0" t="n">
        <v>922</v>
      </c>
      <c r="R11" s="0" t="n">
        <v>712</v>
      </c>
      <c r="S11" s="0" t="n">
        <v>1590</v>
      </c>
    </row>
    <row r="12" customFormat="false" ht="15" hidden="false" customHeight="false" outlineLevel="0" collapsed="false">
      <c r="A12" s="0" t="s">
        <v>708</v>
      </c>
      <c r="B12" s="0" t="n">
        <v>1047.6</v>
      </c>
      <c r="C12" s="0" t="n">
        <v>6091.3</v>
      </c>
      <c r="D12" s="0" t="n">
        <v>318.6</v>
      </c>
      <c r="E12" s="0" t="n">
        <v>-47.5</v>
      </c>
      <c r="F12" s="0" t="n">
        <v>102.7</v>
      </c>
      <c r="G12" s="0" t="n">
        <v>2398.3</v>
      </c>
      <c r="H12" s="0" t="n">
        <v>1823.1</v>
      </c>
      <c r="I12" s="0" t="n">
        <v>18</v>
      </c>
      <c r="J12" s="0" t="n">
        <v>76158</v>
      </c>
      <c r="K12" s="0" t="n">
        <v>80764</v>
      </c>
      <c r="L12" s="0" t="n">
        <v>66109</v>
      </c>
      <c r="M12" s="0" t="n">
        <v>161989</v>
      </c>
      <c r="N12" s="0" t="n">
        <v>20048</v>
      </c>
      <c r="O12" s="0" t="s">
        <v>640</v>
      </c>
      <c r="P12" s="0" t="n">
        <v>27.4</v>
      </c>
      <c r="Q12" s="0" t="n">
        <v>922</v>
      </c>
      <c r="R12" s="0" t="n">
        <v>712</v>
      </c>
      <c r="S12" s="0" t="n">
        <v>1588</v>
      </c>
    </row>
    <row r="13" customFormat="false" ht="15" hidden="false" customHeight="false" outlineLevel="0" collapsed="false">
      <c r="A13" s="0" t="s">
        <v>709</v>
      </c>
      <c r="B13" s="0" t="n">
        <v>1550.5</v>
      </c>
      <c r="C13" s="0" t="n">
        <v>7091.9</v>
      </c>
      <c r="D13" s="0" t="n">
        <v>242.1</v>
      </c>
      <c r="E13" s="0" t="n">
        <v>-124</v>
      </c>
      <c r="F13" s="0" t="n">
        <v>79.3</v>
      </c>
      <c r="G13" s="0" t="n">
        <v>2254.6</v>
      </c>
      <c r="H13" s="0" t="n">
        <v>1552.2</v>
      </c>
      <c r="I13" s="0" t="n">
        <v>-252.9</v>
      </c>
      <c r="J13" s="0" t="n">
        <v>68484</v>
      </c>
      <c r="K13" s="0" t="n">
        <v>77213</v>
      </c>
      <c r="L13" s="0" t="n">
        <v>62186</v>
      </c>
      <c r="M13" s="0" t="n">
        <v>152210</v>
      </c>
      <c r="N13" s="0" t="n">
        <v>19535</v>
      </c>
      <c r="O13" s="0" t="s">
        <v>640</v>
      </c>
      <c r="P13" s="0" t="n">
        <v>27.4</v>
      </c>
      <c r="Q13" s="0" t="n">
        <v>926</v>
      </c>
      <c r="R13" s="0" t="n">
        <v>715</v>
      </c>
      <c r="S13" s="0" t="n">
        <v>1632</v>
      </c>
    </row>
    <row r="14" customFormat="false" ht="15" hidden="false" customHeight="false" outlineLevel="0" collapsed="false">
      <c r="A14" s="0" t="s">
        <v>710</v>
      </c>
      <c r="B14" s="0" t="n">
        <v>635.7</v>
      </c>
      <c r="C14" s="0" t="n">
        <v>5103.4</v>
      </c>
      <c r="D14" s="0" t="n">
        <v>381.3</v>
      </c>
      <c r="E14" s="0" t="n">
        <v>15.2</v>
      </c>
      <c r="F14" s="0" t="n">
        <v>116.8</v>
      </c>
      <c r="G14" s="0" t="n">
        <v>2474.8</v>
      </c>
      <c r="H14" s="0" t="n">
        <v>2042.7</v>
      </c>
      <c r="I14" s="0" t="n">
        <v>237.6</v>
      </c>
      <c r="J14" s="0" t="n">
        <v>88805</v>
      </c>
      <c r="K14" s="0" t="n">
        <v>91546</v>
      </c>
      <c r="L14" s="0" t="n">
        <v>75376</v>
      </c>
      <c r="M14" s="0" t="n">
        <v>184557</v>
      </c>
      <c r="N14" s="0" t="n">
        <v>23276</v>
      </c>
      <c r="O14" s="0" t="s">
        <v>640</v>
      </c>
      <c r="P14" s="0" t="n">
        <v>27.4</v>
      </c>
      <c r="Q14" s="0" t="n">
        <v>915</v>
      </c>
      <c r="R14" s="0" t="n">
        <v>706</v>
      </c>
      <c r="S14" s="0" t="n">
        <v>1525</v>
      </c>
    </row>
    <row r="15" customFormat="false" ht="15" hidden="false" customHeight="false" outlineLevel="0" collapsed="false">
      <c r="A15" s="0" t="s">
        <v>711</v>
      </c>
      <c r="B15" s="0" t="n">
        <v>180.1</v>
      </c>
      <c r="C15" s="0" t="n">
        <v>3761.4</v>
      </c>
      <c r="D15" s="0" t="n">
        <v>315.1</v>
      </c>
      <c r="E15" s="0" t="n">
        <v>-51</v>
      </c>
      <c r="F15" s="0" t="n">
        <v>99.6</v>
      </c>
      <c r="G15" s="0" t="n">
        <v>2378.9</v>
      </c>
      <c r="H15" s="0" t="n">
        <v>1809.4</v>
      </c>
      <c r="I15" s="0" t="n">
        <v>4.3</v>
      </c>
      <c r="J15" s="0" t="n">
        <v>76793</v>
      </c>
      <c r="K15" s="0" t="n">
        <v>82294</v>
      </c>
      <c r="L15" s="0" t="n">
        <v>67446</v>
      </c>
      <c r="M15" s="0" t="n">
        <v>165038</v>
      </c>
      <c r="N15" s="0" t="n">
        <v>20463</v>
      </c>
      <c r="O15" s="0" t="s">
        <v>640</v>
      </c>
      <c r="P15" s="0" t="n">
        <v>24.5</v>
      </c>
      <c r="Q15" s="0" t="n">
        <v>922</v>
      </c>
      <c r="R15" s="0" t="n">
        <v>712</v>
      </c>
      <c r="S15" s="0" t="n">
        <v>1590</v>
      </c>
    </row>
    <row r="16" customFormat="false" ht="15" hidden="false" customHeight="false" outlineLevel="0" collapsed="false">
      <c r="A16" s="0" t="s">
        <v>712</v>
      </c>
      <c r="B16" s="0" t="n">
        <v>1008.3</v>
      </c>
      <c r="C16" s="0" t="n">
        <v>5940.8</v>
      </c>
      <c r="D16" s="0" t="n">
        <v>331.4</v>
      </c>
      <c r="E16" s="0" t="n">
        <v>-34.7</v>
      </c>
      <c r="F16" s="0" t="n">
        <v>105.4</v>
      </c>
      <c r="G16" s="0" t="n">
        <v>2423.2</v>
      </c>
      <c r="H16" s="0" t="n">
        <v>1866.9</v>
      </c>
      <c r="I16" s="0" t="n">
        <v>61.8</v>
      </c>
      <c r="J16" s="0" t="n">
        <v>78224</v>
      </c>
      <c r="K16" s="0" t="n">
        <v>82294</v>
      </c>
      <c r="L16" s="0" t="n">
        <v>67446</v>
      </c>
      <c r="M16" s="0" t="n">
        <v>165038</v>
      </c>
      <c r="N16" s="0" t="n">
        <v>20463</v>
      </c>
      <c r="O16" s="0" t="s">
        <v>640</v>
      </c>
      <c r="P16" s="0" t="n">
        <v>22.6</v>
      </c>
      <c r="Q16" s="0" t="n">
        <v>922</v>
      </c>
      <c r="R16" s="0" t="n">
        <v>712</v>
      </c>
      <c r="S16" s="0" t="n">
        <v>1590</v>
      </c>
    </row>
    <row r="17" customFormat="false" ht="15" hidden="false" customHeight="false" outlineLevel="0" collapsed="false">
      <c r="A17" s="0" t="s">
        <v>713</v>
      </c>
      <c r="B17" s="0" t="n">
        <v>1155.8</v>
      </c>
      <c r="C17" s="0" t="n">
        <v>6445.1</v>
      </c>
      <c r="D17" s="0" t="n">
        <v>288</v>
      </c>
      <c r="E17" s="0" t="n">
        <v>-78.2</v>
      </c>
      <c r="F17" s="0" t="n">
        <v>94.3</v>
      </c>
      <c r="G17" s="0" t="n">
        <v>2338.2</v>
      </c>
      <c r="H17" s="0" t="n">
        <v>1714.4</v>
      </c>
      <c r="I17" s="0" t="n">
        <v>-90.7</v>
      </c>
      <c r="J17" s="0" t="n">
        <v>75481</v>
      </c>
      <c r="K17" s="0" t="n">
        <v>82294</v>
      </c>
      <c r="L17" s="0" t="n">
        <v>67446</v>
      </c>
      <c r="M17" s="0" t="n">
        <v>165038</v>
      </c>
      <c r="N17" s="0" t="n">
        <v>20463</v>
      </c>
      <c r="O17" s="0" t="s">
        <v>640</v>
      </c>
      <c r="P17" s="0" t="n">
        <v>48.5</v>
      </c>
      <c r="Q17" s="0" t="n">
        <v>922</v>
      </c>
      <c r="R17" s="0" t="n">
        <v>712</v>
      </c>
      <c r="S17" s="0" t="n">
        <v>1590</v>
      </c>
    </row>
    <row r="18" customFormat="false" ht="15" hidden="false" customHeight="false" outlineLevel="0" collapsed="false">
      <c r="A18" s="0" t="s">
        <v>714</v>
      </c>
      <c r="B18" s="0" t="n">
        <v>1035.5</v>
      </c>
      <c r="C18" s="0" t="n">
        <v>6034</v>
      </c>
      <c r="D18" s="0" t="n">
        <v>323.4</v>
      </c>
      <c r="E18" s="0" t="n">
        <v>-42.8</v>
      </c>
      <c r="F18" s="0" t="n">
        <v>103.3</v>
      </c>
      <c r="G18" s="0" t="n">
        <v>2983.7</v>
      </c>
      <c r="H18" s="0" t="n">
        <v>1813.3</v>
      </c>
      <c r="I18" s="0" t="n">
        <v>8.2</v>
      </c>
      <c r="J18" s="0" t="n">
        <v>48660</v>
      </c>
      <c r="K18" s="0" t="n">
        <v>53826</v>
      </c>
      <c r="L18" s="0" t="n">
        <v>67446</v>
      </c>
      <c r="M18" s="0" t="n">
        <v>48036</v>
      </c>
      <c r="N18" s="0" t="n">
        <v>20463</v>
      </c>
      <c r="O18" s="0" t="s">
        <v>640</v>
      </c>
      <c r="P18" s="0" t="n">
        <v>27.4</v>
      </c>
      <c r="Q18" s="0" t="n">
        <v>922</v>
      </c>
      <c r="R18" s="0" t="n">
        <v>712</v>
      </c>
      <c r="S18" s="0" t="n">
        <v>1590</v>
      </c>
    </row>
    <row r="19" customFormat="false" ht="15" hidden="false" customHeight="false" outlineLevel="0" collapsed="false">
      <c r="A19" s="0" t="s">
        <v>715</v>
      </c>
      <c r="B19" s="0" t="n">
        <v>1035.5</v>
      </c>
      <c r="C19" s="0" t="n">
        <v>6034</v>
      </c>
      <c r="D19" s="0" t="n">
        <v>291.2</v>
      </c>
      <c r="E19" s="0" t="n">
        <v>-74.9</v>
      </c>
      <c r="F19" s="0" t="n">
        <v>103.3</v>
      </c>
      <c r="G19" s="0" t="n">
        <v>2638.7</v>
      </c>
      <c r="H19" s="0" t="n">
        <v>1824</v>
      </c>
      <c r="I19" s="0" t="n">
        <v>18.9</v>
      </c>
      <c r="J19" s="0" t="n">
        <v>61370</v>
      </c>
      <c r="K19" s="0" t="n">
        <v>66266</v>
      </c>
      <c r="L19" s="0" t="n">
        <v>47535</v>
      </c>
      <c r="M19" s="0" t="n">
        <v>165038</v>
      </c>
      <c r="N19" s="0" t="n">
        <v>20463</v>
      </c>
      <c r="O19" s="0" t="s">
        <v>640</v>
      </c>
      <c r="P19" s="0" t="n">
        <v>27.4</v>
      </c>
      <c r="Q19" s="0" t="n">
        <v>922</v>
      </c>
      <c r="R19" s="0" t="n">
        <v>712</v>
      </c>
      <c r="S19" s="0" t="n">
        <v>1590</v>
      </c>
    </row>
    <row r="20" customFormat="false" ht="15" hidden="false" customHeight="false" outlineLevel="0" collapsed="false">
      <c r="A20" s="0" t="s">
        <v>716</v>
      </c>
      <c r="B20" s="0" t="n">
        <v>1035.5</v>
      </c>
      <c r="C20" s="0" t="n">
        <v>6034</v>
      </c>
      <c r="D20" s="0" t="n">
        <v>323.4</v>
      </c>
      <c r="E20" s="0" t="n">
        <v>-42.8</v>
      </c>
      <c r="F20" s="0" t="n">
        <v>107.3</v>
      </c>
      <c r="G20" s="0" t="n">
        <v>2413</v>
      </c>
      <c r="H20" s="0" t="n">
        <v>1843.4</v>
      </c>
      <c r="I20" s="0" t="n">
        <v>38.3</v>
      </c>
      <c r="J20" s="0" t="n">
        <v>77000</v>
      </c>
      <c r="K20" s="0" t="n">
        <v>81612</v>
      </c>
      <c r="L20" s="0" t="n">
        <v>67446</v>
      </c>
      <c r="M20" s="0" t="n">
        <v>165038</v>
      </c>
      <c r="N20" s="0" t="n">
        <v>20401</v>
      </c>
      <c r="O20" s="0" t="s">
        <v>640</v>
      </c>
      <c r="P20" s="0" t="n">
        <v>27.4</v>
      </c>
      <c r="Q20" s="0" t="n">
        <v>922</v>
      </c>
      <c r="R20" s="0" t="n">
        <v>712</v>
      </c>
      <c r="S20" s="0" t="n">
        <v>1590</v>
      </c>
    </row>
    <row r="21" customFormat="false" ht="15" hidden="false" customHeight="false" outlineLevel="0" collapsed="false">
      <c r="A21" s="0" t="s">
        <v>717</v>
      </c>
      <c r="B21" s="0" t="n">
        <v>1035.5</v>
      </c>
      <c r="C21" s="0" t="n">
        <v>6034</v>
      </c>
      <c r="D21" s="0" t="n">
        <v>323.4</v>
      </c>
      <c r="E21" s="0" t="n">
        <v>-42.8</v>
      </c>
      <c r="F21" s="0" t="n">
        <v>103.3</v>
      </c>
      <c r="G21" s="0" t="n">
        <v>2595</v>
      </c>
      <c r="H21" s="0" t="n">
        <v>1824.4</v>
      </c>
      <c r="I21" s="0" t="n">
        <v>19.3</v>
      </c>
      <c r="J21" s="0" t="n">
        <v>60783</v>
      </c>
      <c r="K21" s="0" t="n">
        <v>65577</v>
      </c>
      <c r="L21" s="0" t="n">
        <v>67446</v>
      </c>
      <c r="M21" s="0" t="n">
        <v>165038</v>
      </c>
      <c r="N21" s="0" t="n">
        <v>20463</v>
      </c>
      <c r="O21" s="0" t="s">
        <v>640</v>
      </c>
      <c r="P21" s="0" t="n">
        <v>27.4</v>
      </c>
      <c r="Q21" s="0" t="n">
        <v>922</v>
      </c>
      <c r="R21" s="0" t="n">
        <v>712</v>
      </c>
      <c r="S21" s="0" t="n">
        <v>1590</v>
      </c>
    </row>
    <row r="22" customFormat="false" ht="15" hidden="false" customHeight="false" outlineLevel="0" collapsed="false">
      <c r="A22" s="0" t="s">
        <v>718</v>
      </c>
      <c r="B22" s="0" t="n">
        <v>799.7</v>
      </c>
      <c r="C22" s="0" t="n">
        <v>4868.7</v>
      </c>
      <c r="D22" s="0" t="n">
        <v>426.2</v>
      </c>
      <c r="E22" s="0" t="n">
        <v>60.1</v>
      </c>
      <c r="F22" s="0" t="n">
        <v>113.7</v>
      </c>
      <c r="G22" s="0" t="n">
        <v>2533</v>
      </c>
      <c r="H22" s="0" t="n">
        <v>2184.3</v>
      </c>
      <c r="I22" s="0" t="n">
        <v>379.3</v>
      </c>
      <c r="J22" s="0" t="n">
        <v>91169</v>
      </c>
      <c r="K22" s="0" t="n">
        <v>94714</v>
      </c>
      <c r="L22" s="0" t="n">
        <v>79666</v>
      </c>
      <c r="M22" s="0" t="n">
        <v>189896</v>
      </c>
      <c r="N22" s="0" t="n">
        <v>22730</v>
      </c>
      <c r="O22" s="0" t="s">
        <v>640</v>
      </c>
      <c r="P22" s="0" t="n">
        <v>27.4</v>
      </c>
      <c r="Q22" s="0" t="n">
        <v>922</v>
      </c>
      <c r="R22" s="0" t="n">
        <v>712</v>
      </c>
      <c r="S22" s="0" t="n">
        <v>1512</v>
      </c>
    </row>
    <row r="23" customFormat="false" ht="15" hidden="false" customHeight="false" outlineLevel="0" collapsed="false">
      <c r="A23" s="0" t="s">
        <v>719</v>
      </c>
      <c r="B23" s="0" t="n">
        <v>806.6</v>
      </c>
      <c r="C23" s="0" t="n">
        <v>4889.1</v>
      </c>
      <c r="D23" s="0" t="n">
        <v>422.9</v>
      </c>
      <c r="E23" s="0" t="n">
        <v>56.8</v>
      </c>
      <c r="F23" s="0" t="n">
        <v>113</v>
      </c>
      <c r="G23" s="0" t="n">
        <v>2526.3</v>
      </c>
      <c r="H23" s="0" t="n">
        <v>2172.7</v>
      </c>
      <c r="I23" s="0" t="n">
        <v>367.6</v>
      </c>
      <c r="J23" s="0" t="n">
        <v>90839</v>
      </c>
      <c r="K23" s="0" t="n">
        <v>94463</v>
      </c>
      <c r="L23" s="0" t="n">
        <v>79380</v>
      </c>
      <c r="M23" s="0" t="n">
        <v>189462</v>
      </c>
      <c r="N23" s="0" t="n">
        <v>22662</v>
      </c>
      <c r="O23" s="0" t="s">
        <v>640</v>
      </c>
      <c r="P23" s="0" t="n">
        <v>27.4</v>
      </c>
      <c r="Q23" s="0" t="n">
        <v>922</v>
      </c>
      <c r="R23" s="0" t="n">
        <v>712</v>
      </c>
      <c r="S23" s="0" t="n">
        <v>1590</v>
      </c>
    </row>
    <row r="24" customFormat="false" ht="15" hidden="false" customHeight="false" outlineLevel="0" collapsed="false">
      <c r="A24" s="0" t="s">
        <v>720</v>
      </c>
      <c r="B24" s="0" t="n">
        <v>995.9</v>
      </c>
      <c r="C24" s="0" t="n">
        <v>5948.2</v>
      </c>
      <c r="D24" s="0" t="n">
        <v>330.9</v>
      </c>
      <c r="E24" s="0" t="n">
        <v>-35.2</v>
      </c>
      <c r="F24" s="0" t="n">
        <v>106.1</v>
      </c>
      <c r="G24" s="0" t="n">
        <v>2429.7</v>
      </c>
      <c r="H24" s="0" t="n">
        <v>1866</v>
      </c>
      <c r="I24" s="0" t="n">
        <v>60.9</v>
      </c>
      <c r="J24" s="0" t="n">
        <v>79694</v>
      </c>
      <c r="K24" s="0" t="n">
        <v>83998</v>
      </c>
      <c r="L24" s="0" t="n">
        <v>68974</v>
      </c>
      <c r="M24" s="0" t="n">
        <v>168182</v>
      </c>
      <c r="N24" s="0" t="n">
        <v>20992</v>
      </c>
      <c r="O24" s="0" t="s">
        <v>640</v>
      </c>
      <c r="P24" s="0" t="n">
        <v>27.4</v>
      </c>
      <c r="Q24" s="0" t="n">
        <v>922</v>
      </c>
      <c r="R24" s="0" t="n">
        <v>712</v>
      </c>
      <c r="S24" s="0" t="n">
        <v>1590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1" t="s">
        <v>721</v>
      </c>
    </row>
    <row r="3" customFormat="false" ht="15" hidden="false" customHeight="false" outlineLevel="0" collapsed="false">
      <c r="A3" s="0" t="s">
        <v>722</v>
      </c>
      <c r="B3" s="0" t="s">
        <v>723</v>
      </c>
      <c r="C3" s="0" t="s">
        <v>724</v>
      </c>
      <c r="D3" s="0" t="s">
        <v>725</v>
      </c>
    </row>
    <row r="4" customFormat="false" ht="15" hidden="false" customHeight="false" outlineLevel="0" collapsed="false">
      <c r="A4" s="0" t="s">
        <v>726</v>
      </c>
      <c r="B4" s="0" t="n">
        <v>2398</v>
      </c>
      <c r="C4" s="0" t="n">
        <v>55.46</v>
      </c>
      <c r="D4" s="0" t="s">
        <v>727</v>
      </c>
    </row>
    <row r="5" customFormat="false" ht="15" hidden="false" customHeight="false" outlineLevel="0" collapsed="false">
      <c r="A5" s="0" t="s">
        <v>728</v>
      </c>
      <c r="B5" s="0" t="n">
        <v>2396</v>
      </c>
      <c r="C5" s="0" t="n">
        <v>52.53</v>
      </c>
      <c r="D5" s="0" t="s">
        <v>729</v>
      </c>
    </row>
    <row r="6" customFormat="false" ht="15" hidden="false" customHeight="false" outlineLevel="0" collapsed="false">
      <c r="A6" s="0" t="s">
        <v>730</v>
      </c>
      <c r="B6" s="0" t="n">
        <v>61</v>
      </c>
      <c r="C6" s="0" t="n">
        <v>1.95</v>
      </c>
      <c r="D6" s="0" t="s">
        <v>731</v>
      </c>
    </row>
    <row r="7" customFormat="false" ht="15" hidden="false" customHeight="false" outlineLevel="0" collapsed="false">
      <c r="A7" s="0" t="s">
        <v>732</v>
      </c>
      <c r="B7" s="0" t="n">
        <v>4832</v>
      </c>
      <c r="C7" s="0" t="n">
        <v>109.98</v>
      </c>
      <c r="D7" s="0" t="s">
        <v>727</v>
      </c>
    </row>
    <row r="9" customFormat="false" ht="15" hidden="false" customHeight="false" outlineLevel="0" collapsed="false">
      <c r="A9" s="0" t="s">
        <v>733</v>
      </c>
      <c r="B9" s="0" t="s">
        <v>734</v>
      </c>
      <c r="C9" s="0" t="s">
        <v>735</v>
      </c>
      <c r="D9" s="0" t="s">
        <v>736</v>
      </c>
      <c r="E9" s="0" t="s">
        <v>273</v>
      </c>
      <c r="F9" s="0" t="s">
        <v>40</v>
      </c>
      <c r="G9" s="0" t="s">
        <v>157</v>
      </c>
    </row>
    <row r="10" customFormat="false" ht="15" hidden="false" customHeight="false" outlineLevel="0" collapsed="false">
      <c r="A10" s="0" t="s">
        <v>737</v>
      </c>
      <c r="B10" s="0" t="n">
        <v>229</v>
      </c>
      <c r="C10" s="0" t="n">
        <v>61</v>
      </c>
      <c r="D10" s="0" t="n">
        <v>88.53</v>
      </c>
      <c r="E10" s="0" t="n">
        <v>28.8</v>
      </c>
      <c r="F10" s="0" t="n">
        <v>37.6</v>
      </c>
      <c r="G10" s="0" t="n">
        <v>22.1</v>
      </c>
    </row>
    <row r="11" customFormat="false" ht="15" hidden="false" customHeight="false" outlineLevel="0" collapsed="false">
      <c r="A11" s="0" t="s">
        <v>738</v>
      </c>
      <c r="B11" s="0" t="n">
        <v>289</v>
      </c>
      <c r="C11" s="0" t="n">
        <v>66</v>
      </c>
      <c r="D11" s="0" t="n">
        <v>81.36</v>
      </c>
      <c r="E11" s="0" t="n">
        <v>29</v>
      </c>
      <c r="F11" s="0" t="n">
        <v>28.8</v>
      </c>
      <c r="G11" s="0" t="n">
        <v>23.5</v>
      </c>
    </row>
    <row r="12" customFormat="false" ht="15" hidden="false" customHeight="false" outlineLevel="0" collapsed="false">
      <c r="A12" s="0" t="s">
        <v>739</v>
      </c>
      <c r="B12" s="0" t="n">
        <v>177</v>
      </c>
      <c r="C12" s="0" t="n">
        <v>43</v>
      </c>
      <c r="D12" s="0" t="n">
        <v>13.83</v>
      </c>
      <c r="E12" s="0" t="n">
        <v>2.1</v>
      </c>
      <c r="F12" s="0" t="n">
        <v>8.2</v>
      </c>
      <c r="G12" s="0" t="n">
        <v>3.5</v>
      </c>
    </row>
    <row r="13" customFormat="false" ht="15" hidden="false" customHeight="false" outlineLevel="0" collapsed="false">
      <c r="A13" s="0" t="s">
        <v>740</v>
      </c>
      <c r="D13" s="0" t="n">
        <v>177</v>
      </c>
    </row>
    <row r="15" customFormat="false" ht="15" hidden="false" customHeight="false" outlineLevel="0" collapsed="false">
      <c r="A15" s="0" t="s">
        <v>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742</v>
      </c>
    </row>
    <row r="2" customFormat="false" ht="15" hidden="false" customHeight="false" outlineLevel="0" collapsed="false">
      <c r="A2" s="0" t="s">
        <v>743</v>
      </c>
    </row>
    <row r="3" customFormat="false" ht="15" hidden="false" customHeight="false" outlineLevel="0" collapsed="false">
      <c r="A3" s="0" t="s">
        <v>744</v>
      </c>
    </row>
    <row r="4" customFormat="false" ht="15" hidden="false" customHeight="false" outlineLevel="0" collapsed="false">
      <c r="A4" s="0" t="s">
        <v>745</v>
      </c>
    </row>
    <row r="5" customFormat="false" ht="15" hidden="false" customHeight="false" outlineLevel="0" collapsed="false">
      <c r="A5" s="0" t="s">
        <v>746</v>
      </c>
    </row>
    <row r="6" customFormat="false" ht="15" hidden="false" customHeight="false" outlineLevel="0" collapsed="false">
      <c r="A6" s="0" t="s">
        <v>747</v>
      </c>
    </row>
    <row r="7" customFormat="false" ht="15" hidden="false" customHeight="false" outlineLevel="0" collapsed="false">
      <c r="A7" s="0" t="s">
        <v>748</v>
      </c>
    </row>
    <row r="8" customFormat="false" ht="15" hidden="false" customHeight="false" outlineLevel="0" collapsed="false">
      <c r="A8" s="0" t="s">
        <v>749</v>
      </c>
    </row>
    <row r="9" customFormat="false" ht="15" hidden="false" customHeight="false" outlineLevel="0" collapsed="false">
      <c r="A9" s="0" t="s">
        <v>750</v>
      </c>
    </row>
    <row r="10" customFormat="false" ht="15" hidden="false" customHeight="false" outlineLevel="0" collapsed="false">
      <c r="A10" s="0" t="s">
        <v>751</v>
      </c>
    </row>
    <row r="11" customFormat="false" ht="15" hidden="false" customHeight="false" outlineLevel="0" collapsed="false">
      <c r="A11" s="0" t="s">
        <v>752</v>
      </c>
    </row>
    <row r="12" customFormat="false" ht="15" hidden="false" customHeight="false" outlineLevel="0" collapsed="false">
      <c r="A12" s="0" t="s">
        <v>753</v>
      </c>
    </row>
    <row r="13" customFormat="false" ht="15" hidden="false" customHeight="false" outlineLevel="0" collapsed="false">
      <c r="A13" s="0" t="s">
        <v>754</v>
      </c>
    </row>
    <row r="14" customFormat="false" ht="15" hidden="false" customHeight="false" outlineLevel="0" collapsed="false">
      <c r="A14" s="0" t="s">
        <v>755</v>
      </c>
    </row>
    <row r="15" customFormat="false" ht="15" hidden="false" customHeight="false" outlineLevel="0" collapsed="false">
      <c r="A15" s="0" t="s">
        <v>756</v>
      </c>
    </row>
    <row r="16" customFormat="false" ht="15" hidden="false" customHeight="false" outlineLevel="0" collapsed="false">
      <c r="A16" s="0" t="s">
        <v>757</v>
      </c>
    </row>
    <row r="17" customFormat="false" ht="15" hidden="false" customHeight="false" outlineLevel="0" collapsed="false">
      <c r="A17" s="0" t="s">
        <v>758</v>
      </c>
    </row>
    <row r="18" customFormat="false" ht="15" hidden="false" customHeight="false" outlineLevel="0" collapsed="false">
      <c r="A18" s="0" t="s">
        <v>759</v>
      </c>
    </row>
    <row r="19" customFormat="false" ht="15" hidden="false" customHeight="false" outlineLevel="0" collapsed="false">
      <c r="A19" s="0" t="s">
        <v>760</v>
      </c>
    </row>
    <row r="20" customFormat="false" ht="15" hidden="false" customHeight="false" outlineLevel="0" collapsed="false">
      <c r="A20" s="0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/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2026-10-28T00:00:00Z</dcterms:created>
  <dc:creator/>
  <dc:description/>
  <dc:language>en-US</dc:language>
  <dcterms:modified xsi:type="dcterms:W3CDTF">2026-10-28T00:00:00Z</dcterms:modified>
  <cp:revision>0</cp:revision>
  <dc:subject/>
  <dc:title>HCV – model inwestycji (szacunek)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