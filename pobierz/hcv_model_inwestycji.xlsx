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zytaj_mnie" sheetId="1" state="visible" r:id="rId3"/>
    <sheet name="Parametry" sheetId="2" state="visible" r:id="rId4"/>
    <sheet name="Ustawienia" sheetId="3" state="visible" r:id="rId5"/>
    <sheet name="L_S1" sheetId="4" state="visible" r:id="rId6"/>
    <sheet name="L_S0" sheetId="5" state="visible" r:id="rId7"/>
    <sheet name="L_I1" sheetId="6" state="visible" r:id="rId8"/>
    <sheet name="L_I2" sheetId="7" state="visible" r:id="rId9"/>
    <sheet name="L_I3" sheetId="8" state="visible" r:id="rId10"/>
    <sheet name="L_I4" sheetId="9" state="visible" r:id="rId11"/>
    <sheet name="L_I5" sheetId="10" state="visible" r:id="rId12"/>
    <sheet name="L_V1" sheetId="11" state="visible" r:id="rId13"/>
    <sheet name="Inw_S0" sheetId="12" state="visible" r:id="rId14"/>
    <sheet name="Inw_I1" sheetId="13" state="visible" r:id="rId15"/>
    <sheet name="Inw_I2" sheetId="14" state="visible" r:id="rId16"/>
    <sheet name="Inw_I3" sheetId="15" state="visible" r:id="rId17"/>
    <sheet name="Inw_I4" sheetId="16" state="visible" r:id="rId18"/>
    <sheet name="Inw_I5" sheetId="17" state="visible" r:id="rId19"/>
    <sheet name="Inw_V1" sheetId="18" state="visible" r:id="rId20"/>
    <sheet name="PSA_wyniki" sheetId="19" state="visible" r:id="rId21"/>
    <sheet name="Metodologia" sheetId="20" state="visible" r:id="rId22"/>
    <sheet name="Na_pacjenta" sheetId="21" state="visible" r:id="rId23"/>
    <sheet name="Analizy_scen" sheetId="22" state="visible" r:id="rId24"/>
    <sheet name="Leki_zamowienia" sheetId="23" state="visible" r:id="rId25"/>
    <sheet name="Zmiany" sheetId="24" state="visible" r:id="rId26"/>
  </sheets>
  <definedNames>
    <definedName function="false" hidden="false" name="x_ABS_D" vbProcedure="false">Parametry!$C$108</definedName>
    <definedName function="false" hidden="false" name="x_AF_B18" vbProcedure="false">Parametry!$C$57</definedName>
    <definedName function="false" hidden="false" name="x_AF_K74" vbProcedure="false">Parametry!$C$112</definedName>
    <definedName function="false" hidden="false" name="x_AF_LIVER" vbProcedure="false">Parametry!$C$58</definedName>
    <definedName function="false" hidden="false" name="x_AGE0" vbProcedure="false">Parametry!$C$3</definedName>
    <definedName function="false" hidden="false" name="x_AGEW_1" vbProcedure="false">Parametry!$C$95</definedName>
    <definedName function="false" hidden="false" name="x_AGEW_2" vbProcedure="false">Parametry!$C$96</definedName>
    <definedName function="false" hidden="false" name="x_AGEW_3" vbProcedure="false">Parametry!$C$97</definedName>
    <definedName function="false" hidden="false" name="x_AGEW_4" vbProcedure="false">Parametry!$C$98</definedName>
    <definedName function="false" hidden="false" name="x_AGE_INC" vbProcedure="false">Parametry!$C$75</definedName>
    <definedName function="false" hidden="false" name="x_AGRI" vbProcedure="false">Parametry!$C$63</definedName>
    <definedName function="false" hidden="false" name="x_CAP_OBS" vbProcedure="false">Parametry!$C$94</definedName>
    <definedName function="false" hidden="false" name="x_CARE_ALL" vbProcedure="false">Parametry!$C$106</definedName>
    <definedName function="false" hidden="false" name="x_CPI" vbProcedure="false">Parametry!$C$33</definedName>
    <definedName function="false" hidden="false" name="x_c_AHCV" vbProcedure="false">Parametry!$C$44</definedName>
    <definedName function="false" hidden="false" name="x_c_CC" vbProcedure="false">Parametry!$C$36</definedName>
    <definedName function="false" hidden="false" name="x_c_DAA" vbProcedure="false">Parametry!$C$42</definedName>
    <definedName function="false" hidden="false" name="x_c_DC" vbProcedure="false">Parametry!$C$38</definedName>
    <definedName function="false" hidden="false" name="x_c_F" vbProcedure="false">Parametry!$C$34</definedName>
    <definedName function="false" hidden="false" name="x_c_HCC" vbProcedure="false">Parametry!$C$39</definedName>
    <definedName function="false" hidden="false" name="x_c_LT" vbProcedure="false">Parametry!$C$40</definedName>
    <definedName function="false" hidden="false" name="x_c_LT1" vbProcedure="false">Parametry!$C$101</definedName>
    <definedName function="false" hidden="false" name="x_c_MON" vbProcedure="false">Parametry!$C$43</definedName>
    <definedName function="false" hidden="false" name="x_c_PLT" vbProcedure="false">Parametry!$C$41</definedName>
    <definedName function="false" hidden="false" name="x_c_RNA" vbProcedure="false">Parametry!$C$45</definedName>
    <definedName function="false" hidden="false" name="x_c_SVRcc" vbProcedure="false">Parametry!$C$37</definedName>
    <definedName function="false" hidden="false" name="x_c_SVRn" vbProcedure="false">Parametry!$C$35</definedName>
    <definedName function="false" hidden="false" name="x_DAYS_RATIO_B18" vbProcedure="false">Parametry!$C$55</definedName>
    <definedName function="false" hidden="false" name="x_DC0" vbProcedure="false">Parametry!$C$78</definedName>
    <definedName function="false" hidden="false" name="x_de" vbProcedure="false">Ustawienia!$B$3</definedName>
    <definedName function="false" hidden="false" name="x_dk" vbProcedure="false">Ustawienia!$B$2</definedName>
    <definedName function="false" hidden="false" name="x_DX_IN" vbProcedure="false">Parametry!$C$103</definedName>
    <definedName function="false" hidden="false" name="x_D_C" vbProcedure="false">Parametry!$C$71</definedName>
    <definedName function="false" hidden="false" name="x_D_E" vbProcedure="false">Parametry!$C$72</definedName>
    <definedName function="false" hidden="false" name="x_D_F0" vbProcedure="false">Parametry!$C$5</definedName>
    <definedName function="false" hidden="false" name="x_D_F1" vbProcedure="false">Parametry!$C$6</definedName>
    <definedName function="false" hidden="false" name="x_D_F2" vbProcedure="false">Parametry!$C$7</definedName>
    <definedName function="false" hidden="false" name="x_D_F3" vbProcedure="false">Parametry!$C$8</definedName>
    <definedName function="false" hidden="false" name="x_D_F4" vbProcedure="false">Parametry!$C$9</definedName>
    <definedName function="false" hidden="false" name="x_EMP" vbProcedure="false">Parametry!$C$62</definedName>
    <definedName function="false" hidden="false" name="x_FIX" vbProcedure="false">Parametry!$C$110</definedName>
    <definedName function="false" hidden="false" name="x_FRIC" vbProcedure="false">Parametry!$C$66</definedName>
    <definedName function="false" hidden="false" name="x_H" vbProcedure="false">Ustawienia!$B$4</definedName>
    <definedName function="false" hidden="false" name="x_HALF_CYCLE" vbProcedure="false">Parametry!$C$107</definedName>
    <definedName function="false" hidden="false" name="x_HCC0" vbProcedure="false">Parametry!$C$79</definedName>
    <definedName function="false" hidden="false" name="x_INC" vbProcedure="false">Parametry!$C$74</definedName>
    <definedName function="false" hidden="false" name="x_INC_TREND" vbProcedure="false">Parametry!$C$111</definedName>
    <definedName function="false" hidden="false" name="x_KEY_POOL" vbProcedure="false">Parametry!$C$87</definedName>
    <definedName function="false" hidden="false" name="x_K_DC" vbProcedure="false">Parametry!$C$91</definedName>
    <definedName function="false" hidden="false" name="x_K_HCC" vbProcedure="false">Parametry!$C$92</definedName>
    <definedName function="false" hidden="false" name="x_LINK" vbProcedure="false">Parametry!$C$81</definedName>
    <definedName function="false" hidden="false" name="x_LINK_UP" vbProcedure="false">Parametry!$C$82</definedName>
    <definedName function="false" hidden="false" name="x_N0" vbProcedure="false">Parametry!$C$2</definedName>
    <definedName function="false" hidden="false" name="x_NAV" vbProcedure="false">Parametry!$C$109</definedName>
    <definedName function="false" hidden="false" name="x_OH" vbProcedure="false">Parametry!$C$88</definedName>
    <definedName function="false" hidden="false" name="x_PEN_C22" vbProcedure="false">Parametry!$C$61</definedName>
    <definedName function="false" hidden="false" name="x_PEN_K74" vbProcedure="false">Parametry!$C$60</definedName>
    <definedName function="false" hidden="false" name="x_PLT0" vbProcedure="false">Parametry!$C$80</definedName>
    <definedName function="false" hidden="false" name="x_PREV_G" vbProcedure="false">Parametry!$C$46</definedName>
    <definedName function="false" hidden="false" name="x_PREV_K" vbProcedure="false">Parametry!$C$48</definedName>
    <definedName function="false" hidden="false" name="x_PROG_M" vbProcedure="false">Parametry!$C$114</definedName>
    <definedName function="false" hidden="false" name="x_PROG_Y" vbProcedure="false">Parametry!$C$89</definedName>
    <definedName function="false" hidden="false" name="x_PWID_SH" vbProcedure="false">Parametry!$C$77</definedName>
    <definedName function="false" hidden="false" name="x_p_CCDC" vbProcedure="false">Parametry!$C$14</definedName>
    <definedName function="false" hidden="false" name="x_p_CCHCC" vbProcedure="false">Parametry!$C$15</definedName>
    <definedName function="false" hidden="false" name="x_p_DCD" vbProcedure="false">Parametry!$C$18</definedName>
    <definedName function="false" hidden="false" name="x_p_DCHCC" vbProcedure="false">Parametry!$C$16</definedName>
    <definedName function="false" hidden="false" name="x_p_DCLT" vbProcedure="false">Parametry!$C$17</definedName>
    <definedName function="false" hidden="false" name="x_p_F0F1" vbProcedure="false">Parametry!$C$10</definedName>
    <definedName function="false" hidden="false" name="x_p_F1F2" vbProcedure="false">Parametry!$C$11</definedName>
    <definedName function="false" hidden="false" name="x_p_F2F3" vbProcedure="false">Parametry!$C$12</definedName>
    <definedName function="false" hidden="false" name="x_p_F3F4" vbProcedure="false">Parametry!$C$13</definedName>
    <definedName function="false" hidden="false" name="x_p_F3HCC" vbProcedure="false">Parametry!$C$113</definedName>
    <definedName function="false" hidden="false" name="x_p_HCCD" vbProcedure="false">Parametry!$C$19</definedName>
    <definedName function="false" hidden="false" name="x_p_HCCLT" vbProcedure="false">Parametry!$C$20</definedName>
    <definedName function="false" hidden="false" name="x_p_LTD" vbProcedure="false">Parametry!$C$21</definedName>
    <definedName function="false" hidden="false" name="x_p_PLTD" vbProcedure="false">Parametry!$C$22</definedName>
    <definedName function="false" hidden="false" name="x_p_SCCDC" vbProcedure="false">Parametry!$C$23</definedName>
    <definedName function="false" hidden="false" name="x_p_SCCHCC" vbProcedure="false">Parametry!$C$24</definedName>
    <definedName function="false" hidden="false" name="x_RAMP" vbProcedure="false">Parametry!$C$93</definedName>
    <definedName function="false" hidden="false" name="x_RE" vbProcedure="false">Parametry!$C$76</definedName>
    <definedName function="false" hidden="false" name="x_RET" vbProcedure="false">Parametry!$C$4</definedName>
    <definedName function="false" hidden="false" name="x_RE_KEY" vbProcedure="false">Parametry!$C$99</definedName>
    <definedName function="false" hidden="false" name="x_R_FP" vbProcedure="false">Parametry!$C$68</definedName>
    <definedName function="false" hidden="false" name="x_R_FUS" vbProcedure="false">Parametry!$C$67</definedName>
    <definedName function="false" hidden="false" name="x_R_NFZ" vbProcedure="false">Parametry!$C$69</definedName>
    <definedName function="false" hidden="false" name="x_R_PIT" vbProcedure="false">Parametry!$C$70</definedName>
    <definedName function="false" hidden="false" name="x_SB_DAY" vbProcedure="false">Parametry!$C$115</definedName>
    <definedName function="false" hidden="false" name="x_SMR_PWID" vbProcedure="false">Parametry!$C$100</definedName>
    <definedName function="false" hidden="false" name="x_SVR" vbProcedure="false">Parametry!$C$25</definedName>
    <definedName function="false" hidden="false" name="x_testy" vbProcedure="false">Ustawienia!$B$5</definedName>
    <definedName function="false" hidden="false" name="x_THR" vbProcedure="false">Parametry!$C$73</definedName>
    <definedName function="false" hidden="false" name="x_THR_INFO" vbProcedure="false">Parametry!$C$90</definedName>
    <definedName function="false" hidden="false" name="x_T_PRE" vbProcedure="false">Parametry!$C$104</definedName>
    <definedName function="false" hidden="false" name="x_T_SQ" vbProcedure="false">Parametry!$C$50</definedName>
    <definedName function="false" hidden="false" name="x_T_WHO" vbProcedure="false">Parametry!$C$51</definedName>
    <definedName function="false" hidden="false" name="x_u_CC" vbProcedure="false">Parametry!$C$27</definedName>
    <definedName function="false" hidden="false" name="x_u_DC" vbProcedure="false">Parametry!$C$28</definedName>
    <definedName function="false" hidden="false" name="x_u_F" vbProcedure="false">Parametry!$C$26</definedName>
    <definedName function="false" hidden="false" name="x_u_HCC" vbProcedure="false">Parametry!$C$29</definedName>
    <definedName function="false" hidden="false" name="x_u_LT" vbProcedure="false">Parametry!$C$30</definedName>
    <definedName function="false" hidden="false" name="x_u_PLT" vbProcedure="false">Parametry!$C$31</definedName>
    <definedName function="false" hidden="false" name="x_u_SVR" vbProcedure="false">Parametry!$C$32</definedName>
    <definedName function="false" hidden="false" name="x_VALP" vbProcedure="false">Parametry!$C$102</definedName>
    <definedName function="false" hidden="false" name="x_VIR" vbProcedure="false">Parametry!$C$47</definedName>
    <definedName function="false" hidden="false" name="x_VIR_K" vbProcedure="false">Parametry!$C$49</definedName>
    <definedName function="false" hidden="false" name="x_W0" vbProcedure="false">Parametry!$C$105</definedName>
    <definedName function="false" hidden="false" name="x_WAGE" vbProcedure="false">Parametry!$C$64</definedName>
    <definedName function="false" hidden="false" name="x_WLOSS" vbProcedure="false">Parametry!$C$65</definedName>
    <definedName function="false" hidden="false" name="x_W_RATIO" vbProcedure="false">Parametry!$C$56</definedName>
    <definedName function="false" hidden="false" name="x_Y_KEY" vbProcedure="false">Parametry!$C$86</definedName>
    <definedName function="false" hidden="false" name="x_Y_LAB" vbProcedure="false">Parametry!$C$85</definedName>
    <definedName function="false" hidden="false" name="x_Y_MZ" vbProcedure="false">Parametry!$C$83</definedName>
    <definedName function="false" hidden="false" name="x_Y_POZ" vbProcedure="false">Parametry!$C$84</definedName>
    <definedName function="false" hidden="false" name="x_ZG_B182" vbProcedure="false">Parametry!$C$118</definedName>
    <definedName function="false" hidden="false" name="x_ZG_C22" vbProcedure="false">Parametry!$C$116</definedName>
    <definedName function="false" hidden="false" name="x_ZG_K74" vbProcedure="false">Parametry!$C$117</definedName>
    <definedName function="false" hidden="false" name="x_ZUS12_B18" vbProcedure="false">Parametry!$C$52</definedName>
    <definedName function="false" hidden="false" name="x_ZUS12_C22" vbProcedure="false">Parametry!$C$54</definedName>
    <definedName function="false" hidden="false" name="x_ZUS12_K74" vbProcedure="false">Parametry!$C$53</definedName>
    <definedName function="false" hidden="false" name="x_z_F" vbProcedure="false">Parametry!$C$59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<sst xmlns="http://schemas.openxmlformats.org/spreadsheetml/2006/main" count="2408" uniqueCount="788">
  <si>
    <t xml:space="preserve">HCV w Polsce – model inwestycji w testowanie i leczenie (arkusz z formułami)</t>
  </si>
  <si>
    <t xml:space="preserve">Wszystkie wyniki są SZACUNKAMI MODELU, nie danymi. Stan danych: 28.10.2026 (wersja po audycie 2). Arkusze L_* i Inw_*: S0 (zaniechanie), I1, I2, I3, I4, I5, V1 wobec status quo (S1). ICER główny = perspektywa NFZ.</t>
  </si>
  <si>
    <t xml:space="preserve">Przełącznik Ustawienia!B5 (x_testy): 0 = wariant pełny (testy w porównaniu); 1 = testy finansuje inny płatnik – porównujemy tylko koszt wyleczenia (leki, monitorowanie, nawigacja) z kosztami nieleczenia. To przesunięcie kosztu testów do innego płatnika, nie jego zniknięcie z finansów publicznych.</t>
  </si>
  <si>
    <t xml:space="preserve">Arkusz Na_pacjenta: koszt wyleczenia vs koszt nieleczenia na jednego zdiagnozowanego pacjenta. Arkusz Analizy_scen: warianty założeń (K=1, cena 2017, malejąca zapadalność, opieka u wszystkich itd.). Arkusz Zmiany: lista zmian 28.10.2026.</t>
  </si>
  <si>
    <t xml:space="preserve">Żółte komórki = dane wejściowe (nazwy x_…). Zmiana parametru kosztowego przelicza koszty, salda, ROI i rok zwrotu.</t>
  </si>
  <si>
    <t xml:space="preserve">Liczebności stanów (arkusze L_*) pochodzą z silnika Markowa (JavaScript, ten sam co w aplikacji) i są wklejone jako wartości;</t>
  </si>
  <si>
    <t xml:space="preserve">zmiana parametrów przejść/epidemiologii wymaga ponownego uruchomienia silnika (kalkulator w aplikacji robi to na żywo).</t>
  </si>
  <si>
    <t xml:space="preserve">Perspektywy (AOTMiT): NFZ; sektor publiczny = NFZ + budżet (MZ/SW) + ZUS + KRUS + utracone składki i PIT; społeczna = NFZ + budżet + produktywność (ZUS to transfery).</t>
  </si>
  <si>
    <t xml:space="preserve">Dyskonto: koszty 5%, efekty 3,5% (AOTMiT). Saldo &gt; 0 = koszt netto dla państwa; saldo &lt; 0 = oszczędność netto.</t>
  </si>
  <si>
    <t xml:space="preserve">Liczby leczonych są roczne – nie sumuj osób między latami (suma kursów leczenia ≠ liczba unikalnych osób).</t>
  </si>
  <si>
    <t xml:space="preserve">Materiał edukacyjny, neutralny; bez nazw leków i firm. Recenzja panelu ról w aplikacji jest symulowana.</t>
  </si>
  <si>
    <t xml:space="preserve">Deklaracja finansowania i konfliktu interesów: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</si>
  <si>
    <t xml:space="preserve">id</t>
  </si>
  <si>
    <t xml:space="preserve">nazwa</t>
  </si>
  <si>
    <t xml:space="preserve">wartosc</t>
  </si>
  <si>
    <t xml:space="preserve">min</t>
  </si>
  <si>
    <t xml:space="preserve">max</t>
  </si>
  <si>
    <t xml:space="preserve">rozklad</t>
  </si>
  <si>
    <t xml:space="preserve">param_rozkladu</t>
  </si>
  <si>
    <t xml:space="preserve">zrodlo</t>
  </si>
  <si>
    <t xml:space="preserve">data_zrodla</t>
  </si>
  <si>
    <t xml:space="preserve">typ</t>
  </si>
  <si>
    <t xml:space="preserve">metoda</t>
  </si>
  <si>
    <t xml:space="preserve">platnik</t>
  </si>
  <si>
    <t xml:space="preserve">jednostka</t>
  </si>
  <si>
    <t xml:space="preserve">N0</t>
  </si>
  <si>
    <t xml:space="preserve">Osoby z wiremią HCV w PL na start (2026)</t>
  </si>
  <si>
    <t xml:space="preserve">trójkątny</t>
  </si>
  <si>
    <t xml:space="preserve">min=145000; moda=155000; max=165000</t>
  </si>
  <si>
    <t xml:space="preserve">Szacunki ekspertów i Polaris Observatory (przegląd w raporcie HCV); Flisiak i in. Eur J Gastroenterol Hepatol 2015;27:70–76</t>
  </si>
  <si>
    <t xml:space="preserve">2020–2024</t>
  </si>
  <si>
    <t xml:space="preserve">dane źródłowe</t>
  </si>
  <si>
    <t xml:space="preserve">punkt środkowy przedziału publikowanych szacunków</t>
  </si>
  <si>
    <t xml:space="preserve">—</t>
  </si>
  <si>
    <t xml:space="preserve">osoby</t>
  </si>
  <si>
    <t xml:space="preserve">AGE0</t>
  </si>
  <si>
    <t xml:space="preserve">Wiek startowy kohorty</t>
  </si>
  <si>
    <t xml:space="preserve">normalny</t>
  </si>
  <si>
    <t xml:space="preserve">sd=3</t>
  </si>
  <si>
    <t xml:space="preserve">NFZ app-stat B.71 2025 wg grup wieku (n=4 839)</t>
  </si>
  <si>
    <t xml:space="preserve">2025</t>
  </si>
  <si>
    <t xml:space="preserve">prognoza/szacunek</t>
  </si>
  <si>
    <t xml:space="preserve">średnia ważona środków grup wieku B.71 2025 (18–40 z 7–17: 29; 41–60: 50,5; 61–80: 70,5; 81+: 85 – założenie); przesuwa cały rozkład wieku kohorty; SD 3 lata w PSA = założenie (niepewność, czy leczeni odzwierciedlają niewykrytych)</t>
  </si>
  <si>
    <t xml:space="preserve">lata</t>
  </si>
  <si>
    <t xml:space="preserve">RET</t>
  </si>
  <si>
    <t xml:space="preserve">Wiek emerytalny ważony płcią</t>
  </si>
  <si>
    <t xml:space="preserve">stały (tornado)</t>
  </si>
  <si>
    <t xml:space="preserve">NFZ B.71 2025 wg płci (M 55,5%); ustawa o emeryturach (60/65)</t>
  </si>
  <si>
    <t xml:space="preserve">średnia ważona udziałem płci</t>
  </si>
  <si>
    <t xml:space="preserve">D_F0</t>
  </si>
  <si>
    <t xml:space="preserve">Rozkład włóknienia na starcie F0</t>
  </si>
  <si>
    <t xml:space="preserve">Dirichlet</t>
  </si>
  <si>
    <t xml:space="preserve">alfa=180 (n=845)</t>
  </si>
  <si>
    <t xml:space="preserve">Pierucka 2016 (nowo rozpoznani, n=845)</t>
  </si>
  <si>
    <t xml:space="preserve">2016</t>
  </si>
  <si>
    <t xml:space="preserve">udział obserwowany</t>
  </si>
  <si>
    <t xml:space="preserve">odsetek</t>
  </si>
  <si>
    <t xml:space="preserve">D_F1</t>
  </si>
  <si>
    <t xml:space="preserve">Rozkład włóknienia na starcie F1</t>
  </si>
  <si>
    <t xml:space="preserve">alfa=305 (n=845)</t>
  </si>
  <si>
    <t xml:space="preserve">D_F2</t>
  </si>
  <si>
    <t xml:space="preserve">Rozkład włóknienia na starcie F2</t>
  </si>
  <si>
    <t xml:space="preserve">alfa=197 (n=845)</t>
  </si>
  <si>
    <t xml:space="preserve">D_F3</t>
  </si>
  <si>
    <t xml:space="preserve">Rozkład włóknienia na starcie F3</t>
  </si>
  <si>
    <t xml:space="preserve">alfa=93 (n=845)</t>
  </si>
  <si>
    <t xml:space="preserve">D_F4</t>
  </si>
  <si>
    <t xml:space="preserve">Rozkład włóknienia na starcie F4</t>
  </si>
  <si>
    <t xml:space="preserve">alfa=70 (n=845)</t>
  </si>
  <si>
    <t xml:space="preserve">p_F0F1</t>
  </si>
  <si>
    <t xml:space="preserve">Prawdopodobieństwo roczne F0→F1</t>
  </si>
  <si>
    <t xml:space="preserve">beta</t>
  </si>
  <si>
    <t xml:space="preserve">alfa=274.65; beta=2072.75</t>
  </si>
  <si>
    <t xml:space="preserve">Thein 2008 Hepatology 48:418 (metaanaliza), doi 10.1002/hep.22375</t>
  </si>
  <si>
    <t xml:space="preserve">2008</t>
  </si>
  <si>
    <t xml:space="preserve">dane zagraniczne/literatura międzynarodowa</t>
  </si>
  <si>
    <t xml:space="preserve">metaanaliza; SE=(górny−dolny 95% CI)/3,92</t>
  </si>
  <si>
    <t xml:space="preserve">/rok</t>
  </si>
  <si>
    <t xml:space="preserve">p_F1F2</t>
  </si>
  <si>
    <t xml:space="preserve">Prawdopodobieństwo roczne F1→F2</t>
  </si>
  <si>
    <t xml:space="preserve">alfa=230.27; beta=2478.76</t>
  </si>
  <si>
    <t xml:space="preserve">p_F2F3</t>
  </si>
  <si>
    <t xml:space="preserve">Prawdopodobieństwo roczne F2→F3</t>
  </si>
  <si>
    <t xml:space="preserve">alfa=337.94; beta=2478.23</t>
  </si>
  <si>
    <t xml:space="preserve">p_F3F4</t>
  </si>
  <si>
    <t xml:space="preserve">Prawdopodobieństwo roczne F3→F4</t>
  </si>
  <si>
    <t xml:space="preserve">alfa=292.34; beta=2227.83</t>
  </si>
  <si>
    <t xml:space="preserve">p_CCDC</t>
  </si>
  <si>
    <t xml:space="preserve">Prawdopodobieństwo roczne CC→DC</t>
  </si>
  <si>
    <t xml:space="preserve">alfa=186.85; beta=2969.48</t>
  </si>
  <si>
    <t xml:space="preserve"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</t>
  </si>
  <si>
    <t xml:space="preserve">2017</t>
  </si>
  <si>
    <t xml:space="preserve">dane źródłowe (PL HTA; pierwotnie lit. międzynar.)</t>
  </si>
  <si>
    <t xml:space="preserve">p_CCHCC</t>
  </si>
  <si>
    <t xml:space="preserve">Prawdopodobieństwo roczne CC→HCC</t>
  </si>
  <si>
    <t xml:space="preserve">alfa=112.20; beta=2945.03</t>
  </si>
  <si>
    <t xml:space="preserve">p_DCHCC</t>
  </si>
  <si>
    <t xml:space="preserve">Prawdopodobieństwo roczne DC→HCC</t>
  </si>
  <si>
    <t xml:space="preserve">alfa=28.25; beta=1285.61</t>
  </si>
  <si>
    <t xml:space="preserve">p_DCLT</t>
  </si>
  <si>
    <t xml:space="preserve">Prawdopodobieństwo roczne DC→LT</t>
  </si>
  <si>
    <t xml:space="preserve">alfa=3.02; beta=69.13</t>
  </si>
  <si>
    <t xml:space="preserve">p_DCD</t>
  </si>
  <si>
    <t xml:space="preserve">Prawdopodobieństwo roczne DC→zgon wątrobowy</t>
  </si>
  <si>
    <t xml:space="preserve">alfa=185.18; beta=1527.85</t>
  </si>
  <si>
    <t xml:space="preserve">p_HCCD</t>
  </si>
  <si>
    <t xml:space="preserve">Prawdopodobieństwo roczne HCC→zgon wątrobowy</t>
  </si>
  <si>
    <t xml:space="preserve">alfa=980.36; beta=2630.54</t>
  </si>
  <si>
    <t xml:space="preserve">p_HCCLT</t>
  </si>
  <si>
    <t xml:space="preserve">Prawdopodobieństwo roczne HCC→LT</t>
  </si>
  <si>
    <t xml:space="preserve">alfa=342.73; beta=36510.31</t>
  </si>
  <si>
    <t xml:space="preserve">p_LTD</t>
  </si>
  <si>
    <t xml:space="preserve">Prawdopodobieństwo roczne LT (rok 1)→zgon</t>
  </si>
  <si>
    <t xml:space="preserve">alfa=4250.70; beta=19364.30</t>
  </si>
  <si>
    <t xml:space="preserve">p_PLTD</t>
  </si>
  <si>
    <t xml:space="preserve">Prawdopodobieństwo roczne po LT→zgon</t>
  </si>
  <si>
    <t xml:space="preserve">alfa=1180.28; beta=24635.10</t>
  </si>
  <si>
    <t xml:space="preserve">p_SCCDC</t>
  </si>
  <si>
    <t xml:space="preserve">Prawdopodobieństwo roczne CC po SVR→DC</t>
  </si>
  <si>
    <t xml:space="preserve">alfa=38.56; beta=3046.38</t>
  </si>
  <si>
    <t xml:space="preserve">p_SCCHCC</t>
  </si>
  <si>
    <t xml:space="preserve">Prawdopodobieństwo roczne CC po SVR→HCC</t>
  </si>
  <si>
    <t xml:space="preserve">alfa=90.77; beta=7802.50</t>
  </si>
  <si>
    <t xml:space="preserve">wartość z Tab. 198 (1,15%); Tab. 28 tego samego źródła podaje 1,28% – niespójność w źródle, przyjęto wartość z tabeli PSA</t>
  </si>
  <si>
    <t xml:space="preserve">SVR</t>
  </si>
  <si>
    <t xml:space="preserve">Odsetek SVR po DAA (F0–F4)</t>
  </si>
  <si>
    <t xml:space="preserve">alfa=388; beta=12</t>
  </si>
  <si>
    <t xml:space="preserve">Rejestr EpiTer-2 (PL, praktyka kliniczna 97–99%); badania rejestracyjne pangenotypowych schematów DAA (ok. 99%)</t>
  </si>
  <si>
    <t xml:space="preserve">wartość praktyki klinicznej (konserwatywnie 97%); precyzja rozkładu beta (n=400) – założenie</t>
  </si>
  <si>
    <t xml:space="preserve">NFZ</t>
  </si>
  <si>
    <t xml:space="preserve">u_F</t>
  </si>
  <si>
    <t xml:space="preserve">Użyteczność F0–F3</t>
  </si>
  <si>
    <t xml:space="preserve">alfa=277.12; beta=110.46</t>
  </si>
  <si>
    <t xml:space="preserve">Analiza ekonomiczna wnioskodawcy przygotowana przez firmę konsultingową, opublikowana w BIP AOTMiT (zlecenie 153/2017): wartości Tab. 28, błędy standardowe do PSA Tab. 198 – parametry z literatury międzynarodowej (źródło przygotowane na zlecenie wnioskodawcy – możliwa stronniczość sponsora) (Wright 2006 i in.)</t>
  </si>
  <si>
    <t xml:space="preserve">QALY/rok</t>
  </si>
  <si>
    <t xml:space="preserve">u_CC</t>
  </si>
  <si>
    <t xml:space="preserve">Użyteczność CC (F4)</t>
  </si>
  <si>
    <t xml:space="preserve">alfa=46.48; beta=38.03</t>
  </si>
  <si>
    <t xml:space="preserve">u_DC</t>
  </si>
  <si>
    <t xml:space="preserve">Użyteczność DC</t>
  </si>
  <si>
    <t xml:space="preserve">alfa=124.13; beta=151.71</t>
  </si>
  <si>
    <t xml:space="preserve">DC = HCC = LT = 0,45 jak w źródle (uproszczenie – w praktyce użyteczności różnią się)</t>
  </si>
  <si>
    <t xml:space="preserve">u_HCC</t>
  </si>
  <si>
    <t xml:space="preserve">Użyteczność HCC</t>
  </si>
  <si>
    <t xml:space="preserve">u_LT</t>
  </si>
  <si>
    <t xml:space="preserve">Użyteczność LT</t>
  </si>
  <si>
    <t xml:space="preserve">u_PLT</t>
  </si>
  <si>
    <t xml:space="preserve">Użyteczność po LT</t>
  </si>
  <si>
    <t xml:space="preserve">alfa=33.34; beta=16.42</t>
  </si>
  <si>
    <t xml:space="preserve">u_SVR</t>
  </si>
  <si>
    <t xml:space="preserve">Przyrost użyteczności po SVR</t>
  </si>
  <si>
    <t xml:space="preserve">gamma</t>
  </si>
  <si>
    <t xml:space="preserve">k=100.00; theta=0.00055</t>
  </si>
  <si>
    <t xml:space="preserve">CPI</t>
  </si>
  <si>
    <t xml:space="preserve">Indeks CPI GUS 2016→2025</t>
  </si>
  <si>
    <t xml:space="preserve">stały</t>
  </si>
  <si>
    <t xml:space="preserve">GUS: wskaźniki cen towarów i usług konsumpcyjnych 1950–2025 (rok poprzedni=100)</t>
  </si>
  <si>
    <t xml:space="preserve">2026</t>
  </si>
  <si>
    <t xml:space="preserve">inflacja kosztu: iloczyn rocznych CPI 2017–2025 (102,0;101,6;102,3;103,4;105,1;114,4;111,4;103,6;103,6)</t>
  </si>
  <si>
    <t xml:space="preserve">indeks</t>
  </si>
  <si>
    <t xml:space="preserve">c_F</t>
  </si>
  <si>
    <t xml:space="preserve">Koszt NFZ/rok: F0–F3 bez leczenia (ceny 2025)</t>
  </si>
  <si>
    <t xml:space="preserve">k=61.47; theta=48.1607</t>
  </si>
  <si>
    <t xml:space="preserve">Kaczor 2012 (koszty stanów, ceny 2016) via analiza ekonomiczna wnioskodawcy (firma konsultingowa) opublikowana w BIP AOTMiT, zlecenie 153/2017, Tab. 73/198 × CPI GUS</t>
  </si>
  <si>
    <t xml:space="preserve">2016→2025</t>
  </si>
  <si>
    <t xml:space="preserve">wartość źródłowa 1878.47 zł (2016) × CPI 1.5759; SE źródłowe przeskalowane</t>
  </si>
  <si>
    <t xml:space="preserve">zł/os./rok</t>
  </si>
  <si>
    <t xml:space="preserve">c_SVRn</t>
  </si>
  <si>
    <t xml:space="preserve">Koszt NFZ/rok: F0–F3 po SVR (ceny 2025)</t>
  </si>
  <si>
    <t xml:space="preserve">k=61.47; theta=9.9653</t>
  </si>
  <si>
    <t xml:space="preserve">wartość źródłowa 388.73 zł (2016) × CPI 1.5759; SE źródłowe przeskalowane</t>
  </si>
  <si>
    <t xml:space="preserve">c_CC</t>
  </si>
  <si>
    <t xml:space="preserve">Koszt NFZ/rok: CC (ceny 2025)</t>
  </si>
  <si>
    <t xml:space="preserve">k=100.00; theta=54.1556</t>
  </si>
  <si>
    <t xml:space="preserve">wartość źródłowa 3436.47 zł (2016) × CPI 1.5759; SE źródłowe przeskalowane</t>
  </si>
  <si>
    <t xml:space="preserve">c_SVRcc</t>
  </si>
  <si>
    <t xml:space="preserve">Koszt NFZ/rok: CC po SVR (ceny 2025)</t>
  </si>
  <si>
    <t xml:space="preserve">k=100.00; theta=27.3813</t>
  </si>
  <si>
    <t xml:space="preserve">wartość źródłowa 1737.48 zł (2016) × CPI 1.5759; SE źródłowe przeskalowane</t>
  </si>
  <si>
    <t xml:space="preserve">c_DC</t>
  </si>
  <si>
    <t xml:space="preserve">Koszt NFZ/rok: DC (ceny 2025)</t>
  </si>
  <si>
    <t xml:space="preserve">k=100.00; theta=180.6477</t>
  </si>
  <si>
    <t xml:space="preserve">wartość źródłowa 11463.32 zł (2016) × CPI 1.5759; SE źródłowe przeskalowane</t>
  </si>
  <si>
    <t xml:space="preserve">c_HCC</t>
  </si>
  <si>
    <t xml:space="preserve">Koszt NFZ/rok: HCC (ceny 2025)</t>
  </si>
  <si>
    <t xml:space="preserve">k=100.00; theta=628.7985</t>
  </si>
  <si>
    <t xml:space="preserve">wartość źródłowa 39901.41 zł (2016) × CPI 1.5759; SE źródłowe przeskalowane</t>
  </si>
  <si>
    <t xml:space="preserve">c_LT</t>
  </si>
  <si>
    <t xml:space="preserve">Koszt NFZ/rok: LT (rok przeszczepienia) (ceny 2025)</t>
  </si>
  <si>
    <t xml:space="preserve">k=100.00; theta=3428.1828</t>
  </si>
  <si>
    <t xml:space="preserve">wartość źródłowa 217540.72 zł (2016) × CPI 1.5759; SE źródłowe przeskalowane</t>
  </si>
  <si>
    <t xml:space="preserve">c_PLT</t>
  </si>
  <si>
    <t xml:space="preserve">Koszt NFZ/rok: po LT (rok 2+) (ceny 2025)</t>
  </si>
  <si>
    <t xml:space="preserve">k=100.00; theta=317.8797</t>
  </si>
  <si>
    <t xml:space="preserve">wartość źródłowa 20171.45 zł (2016) × CPI 1.5759; SE źródłowe przeskalowane</t>
  </si>
  <si>
    <t xml:space="preserve">c_DAA</t>
  </si>
  <si>
    <t xml:space="preserve">Koszt DAA na pacjenta (refundacja B.71)</t>
  </si>
  <si>
    <t xml:space="preserve">lognormalny</t>
  </si>
  <si>
    <t xml:space="preserve">mu=ln(22760)−sigma²/2; sigma=0.138 (SD logarytmu ilorazu 2017–2025, n=9)</t>
  </si>
  <si>
    <t xml:space="preserve">NFZ app-stat B.71: 109,98 mln zł / 4 832 pacjentów (2025); szereg 2017–2025 (33 872 zł w 2017 → 22 760 zł w 2025)</t>
  </si>
  <si>
    <t xml:space="preserve">2017–2025</t>
  </si>
  <si>
    <t xml:space="preserve">iloraz wartość/pacjenci; zmienność = SD logarytmu ilorazu 2017–2025; min/max = 95% rozkładu (17,4–29,8 tys. zł); scenariusze: 33 872 zł (2017) i najwyższa cena urzędowa terapii 8 tyg. w wykazie MZ 2025 (97 716 zł) – tylko w analizie scenariuszowej</t>
  </si>
  <si>
    <t xml:space="preserve">zł/pacjent</t>
  </si>
  <si>
    <t xml:space="preserve">c_MON</t>
  </si>
  <si>
    <t xml:space="preserve">Ryczałt diagnostyczny/monitorowanie B.71 (ceny 2025)</t>
  </si>
  <si>
    <t xml:space="preserve">SE 10%</t>
  </si>
  <si>
    <t xml:space="preserve">Zarządzenie 53/2017/DGL (5.08.08.0000002) 3 731,52 zł × CPI 2017→2025</t>
  </si>
  <si>
    <t xml:space="preserve">2017→2025</t>
  </si>
  <si>
    <t xml:space="preserve">inflacja kosztu CPI GUS 2018–2025</t>
  </si>
  <si>
    <t xml:space="preserve">c_AHCV</t>
  </si>
  <si>
    <t xml:space="preserve">Badanie anty-HCV (POZ)</t>
  </si>
  <si>
    <t xml:space="preserve">Zarządzenie Prezesa NFZ 22/2025/DSOZ (tekst ujedn. 23.09.2026) via psoz.pl</t>
  </si>
  <si>
    <t xml:space="preserve">zł/test</t>
  </si>
  <si>
    <t xml:space="preserve">c_RNA</t>
  </si>
  <si>
    <t xml:space="preserve">Badanie HCV RNA jakościowe</t>
  </si>
  <si>
    <t xml:space="preserve">Cennik laboratorium komercyjnego od 01.02.2025 (brak taryfy NFZ dla POZ – proxy rynkowe)</t>
  </si>
  <si>
    <t xml:space="preserve">dane źródłowe (proxy)</t>
  </si>
  <si>
    <t xml:space="preserve">cena rynkowa jako proxy</t>
  </si>
  <si>
    <t xml:space="preserve">PREV_G</t>
  </si>
  <si>
    <t xml:space="preserve">Odsetek anty-HCV+ w populacji ogólnej</t>
  </si>
  <si>
    <t xml:space="preserve">alfa=50; beta=9950</t>
  </si>
  <si>
    <t xml:space="preserve">Flisiak i in. (badanie 723 654 testów 2018–19, Clin Exp Hepatol 2020)</t>
  </si>
  <si>
    <t xml:space="preserve">2020</t>
  </si>
  <si>
    <t xml:space="preserve">VIR</t>
  </si>
  <si>
    <t xml:space="preserve">Odsetek wiremicznych wśród anty-HCV+</t>
  </si>
  <si>
    <t xml:space="preserve">alfa=40; beta=60</t>
  </si>
  <si>
    <t xml:space="preserve">Flisiak i in. (Clin Exp Hepatol 2020)</t>
  </si>
  <si>
    <t xml:space="preserve">PREV_K</t>
  </si>
  <si>
    <t xml:space="preserve">Odsetek anty-HCV+ wśród PWID</t>
  </si>
  <si>
    <t xml:space="preserve">KCPU 2021 (31,2%); Rosińska i in. BMC Infect Dis 2015 (59%, dane 2004–05), doi 10.1186/s12879-015-0828-9</t>
  </si>
  <si>
    <t xml:space="preserve">2021/2004–05</t>
  </si>
  <si>
    <t xml:space="preserve">informacyjnie – wydajność kanału liczona z Y_KEY</t>
  </si>
  <si>
    <t xml:space="preserve">MZ/SW</t>
  </si>
  <si>
    <t xml:space="preserve">VIR_K</t>
  </si>
  <si>
    <t xml:space="preserve">Odsetek wiremicznych wśród anty-HCV+ PWID</t>
  </si>
  <si>
    <t xml:space="preserve">alfa=50; beta=50</t>
  </si>
  <si>
    <t xml:space="preserve">KBPN 'Serwis Informacyjny Uzależnienia' 79 (≥ połowa wiremiczna)</t>
  </si>
  <si>
    <t xml:space="preserve">dolna granica 'co najmniej połowa'</t>
  </si>
  <si>
    <t xml:space="preserve">T_SQ</t>
  </si>
  <si>
    <t xml:space="preserve">Leczeni/rok – status quo</t>
  </si>
  <si>
    <t xml:space="preserve">NFZ app-stat B.71 2025</t>
  </si>
  <si>
    <t xml:space="preserve">ostatnia obserwacja; wariant: trend liniowy 2020–2025 (n=6; +138/rok; R²=0,57) i log-liniowy (R²=0,55)</t>
  </si>
  <si>
    <t xml:space="preserve">osoby/rok</t>
  </si>
  <si>
    <t xml:space="preserve">T_WHO</t>
  </si>
  <si>
    <t xml:space="preserve">Leczeni/rok – eliminacja WHO 2030</t>
  </si>
  <si>
    <t xml:space="preserve">Flisiak i in. 2015 (scenariusz eliminacji: 15 000/rok); eksperci 2026 (ok. 20 000/rok)</t>
  </si>
  <si>
    <t xml:space="preserve">2023</t>
  </si>
  <si>
    <t xml:space="preserve">środek przedziału</t>
  </si>
  <si>
    <t xml:space="preserve">ZUS12_B18</t>
  </si>
  <si>
    <t xml:space="preserve">Wydatki ZUS 2012 B18 (renty+socjalne+rehab.+absencja)</t>
  </si>
  <si>
    <t xml:space="preserve">Łazarski/IZwOZ 2015, Tab. 57 (dane ZUS)</t>
  </si>
  <si>
    <t xml:space="preserve">2012</t>
  </si>
  <si>
    <t xml:space="preserve">ZUS</t>
  </si>
  <si>
    <t xml:space="preserve">zł</t>
  </si>
  <si>
    <t xml:space="preserve">ZUS12_K74</t>
  </si>
  <si>
    <t xml:space="preserve">Wydatki ZUS 2012 K74</t>
  </si>
  <si>
    <t xml:space="preserve">Łazarski/IZwOZ 2015, Tab. 57</t>
  </si>
  <si>
    <t xml:space="preserve">ZUS12_C22</t>
  </si>
  <si>
    <t xml:space="preserve">Wydatki ZUS 2012 C22</t>
  </si>
  <si>
    <t xml:space="preserve">DAYS_RATIO_B18</t>
  </si>
  <si>
    <t xml:space="preserve">Wolumen absencji B18 2025/2013</t>
  </si>
  <si>
    <t xml:space="preserve">ZUS PSZ 2025 (28 057 dni) / Łazarski 2013 (202,4 tys.)</t>
  </si>
  <si>
    <t xml:space="preserve">2013/2025</t>
  </si>
  <si>
    <t xml:space="preserve">iloraz wolumenów</t>
  </si>
  <si>
    <t xml:space="preserve">×</t>
  </si>
  <si>
    <t xml:space="preserve">W_RATIO</t>
  </si>
  <si>
    <t xml:space="preserve">Wzrost przeciętnego wynagrodzenia 2012→2025</t>
  </si>
  <si>
    <t xml:space="preserve">GUS: 3 521,67 zł (2012), 8 903,56 zł (2025, MP 2026 poz. 192)</t>
  </si>
  <si>
    <t xml:space="preserve">iloraz</t>
  </si>
  <si>
    <t xml:space="preserve">AF_B18</t>
  </si>
  <si>
    <t xml:space="preserve">Udział HCV w B18</t>
  </si>
  <si>
    <t xml:space="preserve">alfa=191.906; beta=191.253</t>
  </si>
  <si>
    <t xml:space="preserve">PZH: Choroby zakaźne i zatrucia w Polsce 2024 (B18.2 vs B18.0–1)</t>
  </si>
  <si>
    <t xml:space="preserve">2024</t>
  </si>
  <si>
    <t xml:space="preserve">Udział rejestracji B18.2 wśród B18.0–B18.2 jako proxy frakcji atrybutywnej; rozkład dopasowany do zakresu 0,45–0,55 (audyt 4, S3 – wcześniej beta z liczebności rejestracji, SD ok. 0,006, czyli niepewność proxy była pominięta). Działa przez kalibrację (nowe HCC, renty ZUS, dni absencji) – w PSA i tornado pełna kalibracja jest powtarzana w każdym losowaniu (audyt 4, S2). PSA (audyt 4): rozkład beta o średniej = wartość bazowa (SD 0,02551); min/max = 2,5. i 97,5. percentyl rozkładu.</t>
  </si>
  <si>
    <t xml:space="preserve">AF_LIVER</t>
  </si>
  <si>
    <t xml:space="preserve">Udział HCV w raku wątroby (C22)</t>
  </si>
  <si>
    <t xml:space="preserve">alfa=45.457; beta=88.239</t>
  </si>
  <si>
    <t xml:space="preserve">CEH 2021 (pojedynczy ośrodek, 33–35%) – baza; GBD 2023 za Zakrzewska K, Stępień M. Wirusowe zapalenie wątroby C (WZW C) w Polsce w 2023 roku. Przegl Epidemiol 2025;79(4):615–632, doi 10.32394/pe/217303 (dane o zgonach: GUS; GBD 2023 za IHME): „około 26% zgonów z powodu raka wątroby … etiologicznie związanych z przewlekłym zakażeniem HCV” – dolna granica; rejestr LIVER (abstrakt JCO 2012, n=478, 2009–10 – wybrane ośrodki): 42% – górna granica</t>
  </si>
  <si>
    <t xml:space="preserve">2012/2021/2025</t>
  </si>
  <si>
    <t xml:space="preserve">Baza 0,34 = najnowsze polskie dane kliniczne (CEH 2021, 33–35%). Dolna granica 0,26 = GBD 2023 (ok. 26% zgonów z raka wątroby przypisanych HCV, za PZH 2025 – szacunek modelowy, dotyczy zgonów); górna 0,42 = rejestr LIVER (2009–10, wybrane ośrodki, era przed DAA – raczej zawyża obecny udział). Cel kalibracji to zachorowania C22 z KRN, a C22 obejmuje też raka wewnątrzwątrobowych dróg żółciowych (niezwiązanego z HCV) – udział HCV w C22 jest niższy niż w samym HCC; to przemawia za wartością poniżej 0,42. Scenariusze: 0,26 i 0,42 (+ kalibracja). SD = (0,42−0,26)/3,92. Działa przez kalibrację (nowe HCC, renty ZUS, dni absencji) – w PSA i tornado pełna kalibracja jest powtarzana w każdym losowaniu (audyt 4, S2). PSA (audyt 4): rozkład beta o średniej = wartość bazowa (SD 0,04082); min/max = 2,5. i 97,5. percentyl rozkładu.</t>
  </si>
  <si>
    <t xml:space="preserve">z_F</t>
  </si>
  <si>
    <t xml:space="preserve">Roczny koszt ZUS (zasiłek chorobowy) na pracującą osobę w wieku produkcyjnym z HCV pod opieką</t>
  </si>
  <si>
    <t xml:space="preserve">SE 20% (założenie)</t>
  </si>
  <si>
    <t xml:space="preserve">pochodna: ABS_D × SB_DAY (dni ZUS PSZ 2025 × dzienny zasiłek 80%)</t>
  </si>
  <si>
    <t xml:space="preserve">dni × stawka (audyt 2, K-A); wcześniej top-down z wydatków ZUS 2012 skalowanych dniami i płacą (≈620 zł/dzień – zawyżone ok. 3×) i naliczane wszystkim pod opieką bez względu na wiek</t>
  </si>
  <si>
    <t xml:space="preserve">PEN_K74</t>
  </si>
  <si>
    <t xml:space="preserve">Średnia renta ZUS/świadczeniobiorcę K74 (2025)</t>
  </si>
  <si>
    <t xml:space="preserve">Łazarski 2015 (11 762.77 zł w 2012) × wskaźniki waloryzacji rent i emerytur ZUS 2013–2025 (iloczyn 1,7795)</t>
  </si>
  <si>
    <t xml:space="preserve">2012/2025</t>
  </si>
  <si>
    <t xml:space="preserve">indeksacja wskaźnikiem waloryzacji świadczeń (ZUS/MRPiPS), nie wzrostem płac</t>
  </si>
  <si>
    <t xml:space="preserve">zł/rok</t>
  </si>
  <si>
    <t xml:space="preserve">PEN_C22</t>
  </si>
  <si>
    <t xml:space="preserve">Średnia renta ZUS/świadczeniobiorcę C22 (2025)</t>
  </si>
  <si>
    <t xml:space="preserve">Łazarski 2015 (13 367.99 zł w 2012) × wskaźniki waloryzacji rent i emerytur ZUS 2013–2025 (iloczyn 1,7795)</t>
  </si>
  <si>
    <t xml:space="preserve">EMP</t>
  </si>
  <si>
    <t xml:space="preserve">Wskaźnik zatrudnienia w wieku produkcyjnym</t>
  </si>
  <si>
    <t xml:space="preserve">alfa=798; beta=202</t>
  </si>
  <si>
    <t xml:space="preserve">GUS BAEL IV kw. 2025 (18–59/64 lata)</t>
  </si>
  <si>
    <t xml:space="preserve">AGRI</t>
  </si>
  <si>
    <t xml:space="preserve">Udział pracujących w rolnictwie (KRUS)</t>
  </si>
  <si>
    <t xml:space="preserve">GUS BAEL IV kw. 2025</t>
  </si>
  <si>
    <t xml:space="preserve">podział świadczeń ZUS/KRUS proporcjonalnie do struktury zatrudnienia (założenie: ta sama kwota świadczenia)</t>
  </si>
  <si>
    <t xml:space="preserve">KRUS</t>
  </si>
  <si>
    <t xml:space="preserve">WAGE</t>
  </si>
  <si>
    <t xml:space="preserve">Przeciętne roczne wynagrodzenie brutto</t>
  </si>
  <si>
    <t xml:space="preserve">GUS 2025: 8 903,56 zł/mies. (MP 2026 poz. 192)</t>
  </si>
  <si>
    <t xml:space="preserve">×12</t>
  </si>
  <si>
    <t xml:space="preserve">WLOSS</t>
  </si>
  <si>
    <t xml:space="preserve">Utrata zdolności do pracy w DC/HCC/LT/po LT</t>
  </si>
  <si>
    <t xml:space="preserve">kalibrowany w każdym losowaniu</t>
  </si>
  <si>
    <t xml:space="preserve">WLOSS = renty ZUS top-down (AF_K74, AF_LIVER, VALP) / renty w modelu przy WLOSS=1</t>
  </si>
  <si>
    <t xml:space="preserve">kalibracja: renty ZUS w modelu (status quo 2026) = przeliczenie top-down wydatków ZUS 2012 (K74 × AF_K74 + C22 × AF_LIVER) × waloryzacja</t>
  </si>
  <si>
    <t xml:space="preserve">założenie scenariuszowe</t>
  </si>
  <si>
    <t xml:space="preserve">odsetek osób z DC/HCC/po przeszczepieniu, które tracą pracę i pobierają rentę; brak danych bezpośrednich (EMP dla populacji ogólnej – nie korygowane dla PWID)</t>
  </si>
  <si>
    <t xml:space="preserve">FRIC</t>
  </si>
  <si>
    <t xml:space="preserve">Okres frykcyjny</t>
  </si>
  <si>
    <t xml:space="preserve">Koopmanschap 1995 (metoda frykcyjna; NL) – transfer</t>
  </si>
  <si>
    <t xml:space="preserve">1995</t>
  </si>
  <si>
    <t xml:space="preserve">metoda frykcyjna: strata tylko w okresie zastąpienia pracownika</t>
  </si>
  <si>
    <t xml:space="preserve">rok</t>
  </si>
  <si>
    <t xml:space="preserve">R_FUS</t>
  </si>
  <si>
    <t xml:space="preserve">Składki FUS (emer.19,52+rent.8,0+chor.2,45+wyp.1,67)</t>
  </si>
  <si>
    <t xml:space="preserve">ustawa o systemie ubezpieczeń społecznych (stawki 2025)</t>
  </si>
  <si>
    <t xml:space="preserve">suma stawek ustawowych</t>
  </si>
  <si>
    <t xml:space="preserve">% brutto</t>
  </si>
  <si>
    <t xml:space="preserve">R_FP</t>
  </si>
  <si>
    <t xml:space="preserve">Fundusz Pracy + FGŚP</t>
  </si>
  <si>
    <t xml:space="preserve">ustawa o promocji zatrudnienia; ustawa o FGŚP</t>
  </si>
  <si>
    <t xml:space="preserve">Budżet/fundusze celowe</t>
  </si>
  <si>
    <t xml:space="preserve">R_NFZ</t>
  </si>
  <si>
    <t xml:space="preserve">Składka zdrowotna 9% (od podstawy po składkach)</t>
  </si>
  <si>
    <t xml:space="preserve">ustawa o świadczeniach opieki zdrowotnej</t>
  </si>
  <si>
    <t xml:space="preserve">9% × (1−13,71%)</t>
  </si>
  <si>
    <t xml:space="preserve">R_PIT</t>
  </si>
  <si>
    <t xml:space="preserve">Efektywny PIT przy przeciętnym wynagrodzeniu</t>
  </si>
  <si>
    <t xml:space="preserve">ustawa o PIT (12%, KUP 250 zł, kwota zmniejszająca 300 zł/mies.)</t>
  </si>
  <si>
    <t xml:space="preserve">obliczenie dla przeciętnego wynagrodzenia</t>
  </si>
  <si>
    <t xml:space="preserve">Budżet/JST</t>
  </si>
  <si>
    <t xml:space="preserve">D_C</t>
  </si>
  <si>
    <t xml:space="preserve">Stopa dyskontowa – koszty</t>
  </si>
  <si>
    <t xml:space="preserve">Wytyczne HTA AOTMiT 2016</t>
  </si>
  <si>
    <t xml:space="preserve">D_E</t>
  </si>
  <si>
    <t xml:space="preserve">Stopa dyskontowa – efekty</t>
  </si>
  <si>
    <t xml:space="preserve">THR</t>
  </si>
  <si>
    <t xml:space="preserve">Próg opłacalności</t>
  </si>
  <si>
    <t xml:space="preserve">Obwieszczenie Prezesa GUS z 30.10.2025, MP 2025 poz. 1133 (PKB per capita 2024 × 3). Stan 28.10.2026: nowego obwieszczenia o PKB per capita nie opublikowano (ostatni wpis na liście obwieszczeń GUS: 20.10.2026; zwykle ok. 30.10) – próg do aktualizacji po publikacji</t>
  </si>
  <si>
    <t xml:space="preserve">zł/QALY</t>
  </si>
  <si>
    <t xml:space="preserve">INC</t>
  </si>
  <si>
    <t xml:space="preserve">Nowe przewlekłe zakażenia HCV/rok (kohorta otwarta)</t>
  </si>
  <si>
    <t xml:space="preserve">min=3800; moda=5420; max=7000</t>
  </si>
  <si>
    <t xml:space="preserve">Flisiak i in. Eur J Gastroenterol Hepatol 2015;27:70–76 (model choroby HCV dla Polski; badanie wspierane finansowo przez producenta leków, jeden ze współautorów z firmy HTA) – 5 420 nowych zakażeń w 2013 r. (rekonstrukcja wsteczna), założone stałe w czasie</t>
  </si>
  <si>
    <t xml:space="preserve">2013</t>
  </si>
  <si>
    <t xml:space="preserve">stała roczna liczba jak w źródle; zakres ±30% (założenie – brak pomiaru zapadalności w PL; zgłoszenia EPIMELD 3 525–4 029/rok mierzą rozpoznania, nie zakażenia)</t>
  </si>
  <si>
    <t xml:space="preserve">AGE_INC</t>
  </si>
  <si>
    <t xml:space="preserve">Wiek w chwili zakażenia (nowe kohorty)</t>
  </si>
  <si>
    <t xml:space="preserve">NFZ B.71 2025: środek grupy 18–40 lat (proxy – najmłodsza grupa leczonych)</t>
  </si>
  <si>
    <t xml:space="preserve">proxy; brak danych o wieku zakażenia</t>
  </si>
  <si>
    <t xml:space="preserve">RE</t>
  </si>
  <si>
    <t xml:space="preserve">Reinfekcja po SVR – osoby w terapii substytucyjnej (OST) wśród leczonych w status quo</t>
  </si>
  <si>
    <t xml:space="preserve">mu=ln(0.038)−sigma²/2; sigma=0.21</t>
  </si>
  <si>
    <t xml:space="preserve">Hajarizadeh i in. J Hepatol 2020;72:643–657 (metaanaliza, 36 badań)</t>
  </si>
  <si>
    <t xml:space="preserve">3,8/100 osobolat dla osób na OST (95% CI 2,5–5,8); stosowane do udziału PWID wśród leczonych w status quo</t>
  </si>
  <si>
    <t xml:space="preserve">PWID_SH</t>
  </si>
  <si>
    <t xml:space="preserve">Udział osób przyjmujących narkotyki wśród leczonych (status quo)</t>
  </si>
  <si>
    <t xml:space="preserve">PZH: PWID = 3,2% rozpoznań HCV w 2023 r. (Przegl Epidemiol 2025;79(4))</t>
  </si>
  <si>
    <t xml:space="preserve">udział w rozpoznaniach jako proxy udziału w leczonych; max = założenie</t>
  </si>
  <si>
    <t xml:space="preserve">DC0</t>
  </si>
  <si>
    <t xml:space="preserve">Osoby z marskością zdekompensowaną (DC) na starcie</t>
  </si>
  <si>
    <t xml:space="preserve">sigma=0.223; mu = ln(baza) − sigma²/2 (średnia = baza)</t>
  </si>
  <si>
    <t xml:space="preserve">Flisiak i in. Eur J Gastroenterol Hepatol 2015;27:70–76 (model choroby HCV dla Polski; badanie wspierane finansowo przez producenta leków, jeden ze współautorów z firmy HTA): 1 590 (2013); scenariusz bazowy źródła (ok. 2 490 leczonych/rok): 2 460 w 2030; przy ~5 000 leczonych/rok liczba stała do 2030</t>
  </si>
  <si>
    <t xml:space="preserve">2013/2030</t>
  </si>
  <si>
    <t xml:space="preserve">1 590 (2013) – źródło przewiduje stałą liczbę do 2030 przy ~5 000 leczonych/rok; jest też celem kalibracji K_DC (DC 2030 = DC0); sigma = ln(2460/1590)/1,96, średnia = baza</t>
  </si>
  <si>
    <t xml:space="preserve">HCC0</t>
  </si>
  <si>
    <t xml:space="preserve">Osoby z rakiem wątrobowokomórkowym (HCC) związanym z HCV na starcie</t>
  </si>
  <si>
    <t xml:space="preserve">1 695 × AF_LIVER / (p_HCCD + p_HCCLT) – liniowo w AF_LIVER</t>
  </si>
  <si>
    <t xml:space="preserve">stan ustalony: 1 695 nowych C22/rok (KRN 2023) × AF_LIVER / (p_HCCD + p_HCCLT)</t>
  </si>
  <si>
    <t xml:space="preserve">liczba chorych z HCC spójna z zapadalnością z KRN; w PSA liczona w każdym losowaniu (liniowo w AF_LIVER – audyt 4, S2)</t>
  </si>
  <si>
    <t xml:space="preserve">PLT0</t>
  </si>
  <si>
    <t xml:space="preserve">Osoby po przeszczepieniu wątroby z powodu HCV (rok 2+)</t>
  </si>
  <si>
    <t xml:space="preserve">sigma=0.354; mu = ln(baza) − sigma²/2 (średnia = baza)</t>
  </si>
  <si>
    <t xml:space="preserve">Poltransplant 2013: 318 przeszczepień wątroby, 27,8% z powodu HCV (via Flisiak i in. Eur J Gastroenterol Hepatol 2015;27:70–76 (model choroby HCV dla Polski; badanie wspierane finansowo przez producenta leków, jeden ze współautorów z firmy HTA))</t>
  </si>
  <si>
    <t xml:space="preserve">stan ustalony: 318×0,278×(1−p_LTD)/p_PLTD; sigma = ln(2)/1,96 (możliwy spadek wskazań HCV w erze DAA)</t>
  </si>
  <si>
    <t xml:space="preserve">LINK</t>
  </si>
  <si>
    <t xml:space="preserve">Odsetek wykrytych (RNA+), którzy rozpoczynają leczenie</t>
  </si>
  <si>
    <t xml:space="preserve">alfa=90.808; beta=90.808</t>
  </si>
  <si>
    <t xml:space="preserve">Brak danych PL (luka). Moda: założenie modelu kaskady; max: Anglia 57,4% wszystkich RNA+ rozpoczęło leczenie (UKHSA, Hepatitis C in England 2025 (publ. IV 2026; dane 2015–2024): 66 537 / 115 870)</t>
  </si>
  <si>
    <t xml:space="preserve">założenie scenariuszowe / dane zagraniczne/literatura międzynarodowa</t>
  </si>
  <si>
    <t xml:space="preserve">Bez testu refleksyjnego i nawigacji; 0,5 = założenie modelu kaskady (brak danych PL); SD dobrane tak, by 97,5. percentyl ≈ 57,4% (Anglia, wszyscy RNA+ – wynik 10-letniego programu krajowego); 30% = scenariusz pesymistyczny. PSA (audyt 3, K1): rozkład beta o średniej = wartość bazowa (SD 0,037); min/max = 2,5. i 97,5. percentyl rozkładu.</t>
  </si>
  <si>
    <t xml:space="preserve">LINK_UP</t>
  </si>
  <si>
    <t xml:space="preserve">Odsetek rozpoczynających leczenie przy teście refleksyjnym + nawigacji</t>
  </si>
  <si>
    <t xml:space="preserve">alfa=39.898; beta=17.55</t>
  </si>
  <si>
    <t xml:space="preserve">UKHSA, Hepatitis C in England 2025 (publ. IV 2026; dane 2015–2024): 66 537 rozpoczęć leczenia / 115 870 osób RNA+ = 57,4% (dolna granica); 66 537 / 81 642 osób z identyfikatorem, żywych, bez samoistnego wyleczenia = 81,5% (górna granica, miara UKHSA); baza = środek 69,45%. Egipt 91,8% (Abosheaishaa i in. 2024, PMC11332630: 1 054 695 / 1 148 346 RNA+) – wyliczone ze źródła, nieużywane (inny system, RNA zbadano u 67% anty-HCV+)</t>
  </si>
  <si>
    <t xml:space="preserve">2015–2024</t>
  </si>
  <si>
    <t xml:space="preserve">dane zagraniczne/literatura międzynarodowa (baza = środek przedziału – założenie)</t>
  </si>
  <si>
    <t xml:space="preserve">Baza = środek przedziału (57,4% + 81,5%)/2 = 69,45%: 57,4% liczy w mianowniku wszystkie 115 870 osób RNA+ (także zmarłe, samoistnie wyleczone i bez identyfikatora – dolna granica); 81,5% to oficjalna miara UKHSA wśród 81 642 osób z identyfikatorem (górna granica). Obie granice = scenariusze. SD = (81,5−57,4)/4. PSA (audyt 3, K1): rozkład beta o średniej = wartość bazowa (SD 0,06025); min/max = 2,5. i 97,5. percentyl rozkładu.</t>
  </si>
  <si>
    <t xml:space="preserve">Y_MZ</t>
  </si>
  <si>
    <t xml:space="preserve">Wykryci RNA+ na 1 test anty-HCV – program populacyjny w POZ (kalibracja)</t>
  </si>
  <si>
    <t xml:space="preserve">~700 dodatkowych rozpoznań (EPIMELD V 2025–III 2026) / 1,12 mln testów (MZ, I 2026)</t>
  </si>
  <si>
    <t xml:space="preserve">iloraz; okresy nie pokrywają się – szacunek zgrubny</t>
  </si>
  <si>
    <t xml:space="preserve">/test</t>
  </si>
  <si>
    <t xml:space="preserve">Y_POZ</t>
  </si>
  <si>
    <t xml:space="preserve">Wykryci RNA+ na 1 test – POZ</t>
  </si>
  <si>
    <t xml:space="preserve">alfa=3.996; beta=4991.004</t>
  </si>
  <si>
    <t xml:space="preserve">Clin Exp Hepatol 2020 (723 654 testów 2018–19: anty-HCV 0,2% w POZ × 40% wiremii) – baza. Scenariusze: 0,26% – EURIPA Rural Health Forum 2026 (Siedlce, jedno centrum, program Moje Zdrowie V 2025–IV 2026: 125/13 105 anty-HCV+ = 0,95% × RNA+ 7/26 = 27% ≈ 0,26%; testy kierowane kwestionariuszem ryzyka, mała próba RNA); 0,47% – PLoS One 2017;12:e0185055 (losowa próba POZ 2012–16, rozpowszechnienie sprzed leczenia, obejmuje rozpoznanych – górna granica). Program MZ ~700 rozpoznań / 1,12 mln testów (~0,06%) – przybliżenie przyrostowe o niespójnych okresach, tylko informacyjnie</t>
  </si>
  <si>
    <t xml:space="preserve">2018–19 (scenariusze 2025–26, 2012–16)</t>
  </si>
  <si>
    <t xml:space="preserve">Baza = największy polski zbiór danych z testowania w POZ (2018–19, wiele ośrodków). SD 50% bazy (założenie – źródło nie podaje przedziału; po audycie 4 szerzej niż wcześniejsze 25%, bo scenariusze 0,26–0,47% leżą daleko poza bazą). PSA (audyt 4): rozkład beta o średniej = wartość bazowa (SD 0,0004); min/max = 2,5. i 97,5. percentyl rozkładu.</t>
  </si>
  <si>
    <t xml:space="preserve">Y_LAB</t>
  </si>
  <si>
    <t xml:space="preserve">Wykryci RNA+ na 1 test – szpitale (przy przyjęciu) i laboratoria</t>
  </si>
  <si>
    <t xml:space="preserve">alfa=42.138; beta=16164.612</t>
  </si>
  <si>
    <t xml:space="preserve">Clin Exp Hepatol 2020 (723 654 testów 2018–19): szpitale 0,6–0,7% anty-HCV (baza 0,65%) × 40% wiremii; scenariusz: laboratoria diagnostyczne w czasie kampanii 1,2%</t>
  </si>
  <si>
    <t xml:space="preserve">2018–19</t>
  </si>
  <si>
    <t xml:space="preserve">Baza = szpitale 0,65% × 40%; zakres szpitali 0,6–0,7% (× 40%) to rozrzut między szpitalami jednego badania, nie pełna niepewność – SD 0,0004 (ok. 15% bazy; założenie, audyt 4 S3). Laboratoria w kampanii 1,2% – tylko scenariusz. PSA (audyt 4): rozkład beta o średniej = wartość bazowa (SD 0,0004); min/max = 2,5. i 97,5. percentyl rozkładu.</t>
  </si>
  <si>
    <t xml:space="preserve">Y_KEY</t>
  </si>
  <si>
    <t xml:space="preserve">Wykryci RNA+ na 1 test – osoby przyjmujące narkotyki (31,2% × 50%)</t>
  </si>
  <si>
    <t xml:space="preserve">KCPU 2021 (31,2% anty-HCV wśród badanych osób przyjmujących narkotyki) × 50% wiremii (założenie źródła); max: Rosińska i in. BMC Infect Dis 2015 (59%, dane 2004–05)</t>
  </si>
  <si>
    <t xml:space="preserve">2021 (max 2004–05)</t>
  </si>
  <si>
    <t xml:space="preserve">baza = najnowsze dane; min = −20% (założenie); max = starsze badanie bio-behawioralne</t>
  </si>
  <si>
    <t xml:space="preserve">KEY_POOL</t>
  </si>
  <si>
    <t xml:space="preserve">Osoby z HCV wśród aktywnie wstrzykujących narkotyki (górny limit wykryć)</t>
  </si>
  <si>
    <t xml:space="preserve">Flisiak i in. Eur J Gastroenterol Hepatol 2015;27:70–76 (model choroby HCV dla Polski; badanie wspierane finansowo przez producenta leków, jeden ze współautorów z firmy HTA), Tab. 2 (10 000; 5% zakażonych)</t>
  </si>
  <si>
    <t xml:space="preserve">limit skumulowanych wykryć w kanale populacji kluczowych; zakres ±30% (założenie)</t>
  </si>
  <si>
    <t xml:space="preserve">OH</t>
  </si>
  <si>
    <t xml:space="preserve">Narzut logistyczny na koszt testów (pobranie, transport próbek, outreach)</t>
  </si>
  <si>
    <t xml:space="preserve">brak danych PL – założenie scenariuszowe (do weryfikacji w pilotażu)</t>
  </si>
  <si>
    <t xml:space="preserve">mnożnik (1+OH) na koszt testów; nawigacja i koszty stałe liczone osobno (NAV, FIX)</t>
  </si>
  <si>
    <t xml:space="preserve">NFZ / MZ</t>
  </si>
  <si>
    <t xml:space="preserve">PROG_Y</t>
  </si>
  <si>
    <t xml:space="preserve">Długość programu inwestycyjnego</t>
  </si>
  <si>
    <t xml:space="preserve">założenie scenariuszowe (horyzont do 2035 – zbieżny z celem WHO 2030 + 5 lat)</t>
  </si>
  <si>
    <t xml:space="preserve">THR_INFO</t>
  </si>
  <si>
    <t xml:space="preserve">Liczba lat horyzontu domyślnego</t>
  </si>
  <si>
    <t xml:space="preserve">Wytyczne AOTMiT 2016: horyzont adekwatny do przebiegu choroby; 20 lat dla decyzji budżetowych</t>
  </si>
  <si>
    <t xml:space="preserve">K_DC</t>
  </si>
  <si>
    <t xml:space="preserve">Mnożnik kalibracyjny przejść do DC (CC→DC, CC po SVR→DC)</t>
  </si>
  <si>
    <t xml:space="preserve">dopasowanie do celu DC 2030 = DC0 w każdym losowaniu</t>
  </si>
  <si>
    <t xml:space="preserve">Kalibracja do Flisiak i in. Eur J Gastroenterol Hepatol 2015;27:70–76 (model choroby HCV dla Polski; badanie wspierane finansowo przez producenta leków, jeden ze współautorów z firmy HTA): DC ≈ 1 590 w 2030 przy ~5 000 leczonych/rok</t>
  </si>
  <si>
    <t xml:space="preserve">dopasowanie iteracyjne: status quo odtwarza DC 2030 = DC0 (baza 1 590; źródło przewiduje stałą liczbę do 2030 przy ~5 000 leczonych/rok). W PSA kalibrowany w każdym losowaniu, więc niepewność pochodzi z rozkładu DC0 (min/max = kalibracja przy DC0 min/max); K = 1 (bez kalibracji) = scenariusz</t>
  </si>
  <si>
    <t xml:space="preserve">K_HCC</t>
  </si>
  <si>
    <t xml:space="preserve">Mnożnik kalibracyjny przejść do HCC (CC→HCC, CC po SVR→HCC)</t>
  </si>
  <si>
    <t xml:space="preserve">dopasowanie do celu 1 695 × AF_LIVER w każdym losowaniu</t>
  </si>
  <si>
    <t xml:space="preserve">Kalibracja do Krajowego Rejestru Nowotworów: 1 695 nowych zachorowań C22 (2023) × udział HCV AF_LIVER (baza 0,34) ≈ 576 nowych HCC/rok</t>
  </si>
  <si>
    <t xml:space="preserve">dopasowanie: nowe HCC w status quo w 2026 = 1 695 × AF_LIVER. Audyt 4 (S1): wcześniej K_HCC miał własny rozkład z zakresu AF_LIVER i dodatkowo był skalowany z AF_LIVER – ta sama niepewność liczona dwa razy; teraz K_HCC jest kalibrowany w każdym losowaniu, a niepewność pochodzi tylko z AF_LIVER (min/max = kalibracja przy AF_LIVER min/max). C22 obejmuje też raka dróg żółciowych; K=1 = scenariusz</t>
  </si>
  <si>
    <t xml:space="preserve">RAMP</t>
  </si>
  <si>
    <t xml:space="preserve">Okres dochodzenia programu do pełnej skali (kadry, ośrodki)</t>
  </si>
  <si>
    <t xml:space="preserve">założenie scenariuszowe (panel: wykonalność kadrowa; maks. obserwowane B.71 = 12 171 leczonych w 2017 r., NFZ)</t>
  </si>
  <si>
    <t xml:space="preserve">budżet roku t × min(1, t/RAMP)</t>
  </si>
  <si>
    <t xml:space="preserve">CAP_OBS</t>
  </si>
  <si>
    <t xml:space="preserve">Największa obserwowana liczba leczonych w B.71 w roku (punkt odniesienia wykonalności)</t>
  </si>
  <si>
    <t xml:space="preserve">NFZ app-stat B.71: 12 171 leczonych w 2017 (2018: 9 436; 2019: 8 521)</t>
  </si>
  <si>
    <t xml:space="preserve">AGEW_1</t>
  </si>
  <si>
    <t xml:space="preserve">Struktura wieku kohorty startowej – liczba leczonych B.71 w grupie 18–40 (z 7–17)</t>
  </si>
  <si>
    <t xml:space="preserve">NFZ app-stat B.71 2025 wg grup wieku</t>
  </si>
  <si>
    <t xml:space="preserve">wagi kohorty wielowiekowej (ten sam rozkład stanów w każdej grupie – uproszczenie)</t>
  </si>
  <si>
    <t xml:space="preserve">AGEW_2</t>
  </si>
  <si>
    <t xml:space="preserve">Struktura wieku kohorty startowej – liczba leczonych B.71 w grupie 41–60</t>
  </si>
  <si>
    <t xml:space="preserve">AGEW_3</t>
  </si>
  <si>
    <t xml:space="preserve">Struktura wieku kohorty startowej – liczba leczonych B.71 w grupie 61–80</t>
  </si>
  <si>
    <t xml:space="preserve">AGEW_4</t>
  </si>
  <si>
    <t xml:space="preserve">Struktura wieku kohorty startowej – liczba leczonych B.71 w grupie 81+</t>
  </si>
  <si>
    <t xml:space="preserve">RE_KEY</t>
  </si>
  <si>
    <t xml:space="preserve">Reinfekcja po SVR – osoby aktywnie wstrzykujące narkotyki (kanał populacji kluczowych)</t>
  </si>
  <si>
    <t xml:space="preserve">mu=ln(0.062)−sigma²/2; sigma=0.188</t>
  </si>
  <si>
    <t xml:space="preserve">Hajarizadeh i in. J Hepatol 2020;72:643–657 (metaanaliza): 6,2/100 osobolat u aktywnie wstrzykujących (95% CI 4,3–9,0)</t>
  </si>
  <si>
    <t xml:space="preserve">sigma=(ln 9,0−ln 4,3)/3,92; reinfekcja trafia do F1 (uproszczenie)</t>
  </si>
  <si>
    <t xml:space="preserve">SMR_PWID</t>
  </si>
  <si>
    <t xml:space="preserve">Nadwyżka umieralności osób przyjmujących narkotyki (mnożnik umieralności ogólnej)</t>
  </si>
  <si>
    <t xml:space="preserve">Mathers i in. Bull World Health Organ 2013;91:102–123 (metaanaliza 32 kohort; SMR 14,68, 95% CI 13,01–16,35), doi 10.2471/BLT.12.108282</t>
  </si>
  <si>
    <t xml:space="preserve">mnożnik tablic trwania życia GUS w kanale populacji kluczowych; zakres = 95% CI (populacje głównie spoza PL)</t>
  </si>
  <si>
    <t xml:space="preserve">c_LT1</t>
  </si>
  <si>
    <t xml:space="preserve">Koszt NFZ 1. roku po przeszczepieniu wątroby (stan LT)</t>
  </si>
  <si>
    <t xml:space="preserve">Kaczor 2012 (koszty stanów, ceny 2016) via analiza ekonomiczna wnioskodawcy (firma konsultingowa) opublikowana w BIP AOTMiT, zlecenie 153/2017, Tab. 73/198 × CPI GUS (30 167,61 zł w cenach 2016)</t>
  </si>
  <si>
    <t xml:space="preserve">koszt stanu LT (rok po zabiegu); zabieg = c_LT (zdarzenie)</t>
  </si>
  <si>
    <t xml:space="preserve">VALP</t>
  </si>
  <si>
    <t xml:space="preserve">Iloczyn wskaźników waloryzacji rent ZUS 2013–2025</t>
  </si>
  <si>
    <t xml:space="preserve">ZUS/MRPiPS: wskaźniki waloryzacji 2013–2025 (104,0; 101,6; 100,68; 100,24; 100,44; 102,98; 102,86; 103,56; 104,24; 107,0; 114,8; 112,12; 105,5)</t>
  </si>
  <si>
    <t xml:space="preserve">iloczyn</t>
  </si>
  <si>
    <t xml:space="preserve">DX_IN</t>
  </si>
  <si>
    <t xml:space="preserve">Nowe rozpoznania przewlekłego HCV rocznie (wejście do opieki)</t>
  </si>
  <si>
    <t xml:space="preserve">NIZP PZH-PIB EPIMELD (meldunek 12B/2025): 4 029 rozpoznań w 2025; min 3 525 (2024); max = 2025 × 1,227 (wzrost r/r w 2026, EPIMELD 10A/2026)</t>
  </si>
  <si>
    <t xml:space="preserve">2024–2026</t>
  </si>
  <si>
    <t xml:space="preserve">skalowane wielkością puli wiremicznych</t>
  </si>
  <si>
    <t xml:space="preserve">T_PRE</t>
  </si>
  <si>
    <t xml:space="preserve">Czas w opiece przed leczeniem (kwalifikacja, kolejka) na osobę leczoną</t>
  </si>
  <si>
    <t xml:space="preserve">NFZ Informator o terminach leczenia (X 2026): mediana oczekiwania – poradnia hepatologiczna 197 dni; min: poradnia chorób zakaźnych 54 dni; max: p90 hepatologia 585 dni</t>
  </si>
  <si>
    <t xml:space="preserve">lata opieki przed rozpoczęciem leczenia</t>
  </si>
  <si>
    <t xml:space="preserve">W0</t>
  </si>
  <si>
    <t xml:space="preserve">Zdiagnozowani pod opieką czekający na leczenie (na start)</t>
  </si>
  <si>
    <t xml:space="preserve">NFZ B.71 i EPIMELD 2019–2025: leczonych było co roku więcej niż nowych rozpoznań (stosunek 1,20 w 2025) – brak dowodu zaległości; max = założenie</t>
  </si>
  <si>
    <t xml:space="preserve">stan zaległości; 0 = brak kolejki osób zdiagnozowanych</t>
  </si>
  <si>
    <t xml:space="preserve">CARE_ALL</t>
  </si>
  <si>
    <t xml:space="preserve">Przełącznik: koszt opieki u wszystkich z wiremią (wariant sprzed audytu)</t>
  </si>
  <si>
    <t xml:space="preserve">przełącznik metody (0 = tylko zdiagnozowani pod opieką)</t>
  </si>
  <si>
    <t xml:space="preserve">używany tylko w analizie scenariuszowej</t>
  </si>
  <si>
    <t xml:space="preserve">0/1</t>
  </si>
  <si>
    <t xml:space="preserve">HALF_CYCLE</t>
  </si>
  <si>
    <t xml:space="preserve">Przełącznik: korekta połowy cyklu (trapez)</t>
  </si>
  <si>
    <t xml:space="preserve">CHEERS 2022 / ISPOR – dobra praktyka modelowania</t>
  </si>
  <si>
    <t xml:space="preserve">2022</t>
  </si>
  <si>
    <t xml:space="preserve">1 = włączona</t>
  </si>
  <si>
    <t xml:space="preserve">ABS_D</t>
  </si>
  <si>
    <t xml:space="preserve">Dni absencji chorobowej na pracującą osobę w wieku produkcyjnym z HCV pod opieką rocznie</t>
  </si>
  <si>
    <t xml:space="preserve">28 057 × AF_B18 / pracujący pod opieką 2026; × mnożnik niepewności z_F</t>
  </si>
  <si>
    <t xml:space="preserve">ZUS PSZ 2025: 28 057 dni absencji B18 × AF_B18 / pracujący w wieku produkcyjnym pod opieką w status quo 2026 (model)</t>
  </si>
  <si>
    <t xml:space="preserve">dopasowanie kalibracyjne (odtwarza dni ZUS PSZ 2025); absencja tylko u pracujących przed wiekiem emerytalnym (audyt 2, K-A). Uwaga (audyt 3, K2): dni skalibrowane na osobach w ścieżce leczenia w 2026 r. stosujemy przez cały horyzont do wszystkich pod opieką, także nieleczonych – w zaniechaniu (S0) to ekstrapolacja; dlatego S0 podajemy też bez absencji.</t>
  </si>
  <si>
    <t xml:space="preserve">dni/rok</t>
  </si>
  <si>
    <t xml:space="preserve">NAV</t>
  </si>
  <si>
    <t xml:space="preserve">Koszt nawigacji/łączenia z opieką na osobę wykrytą (pakiet z testem refleksyjnym)</t>
  </si>
  <si>
    <t xml:space="preserve">Project INSPIRE, Nowy Jork (J Public Health Manag Pract 2019; PMC6314903): 656–787 USD na uczestnika (ceny 2015) × parytet siły nabywczej PKB 2015 (Bank Światowy, 1,7651 zł/USD) × CPI GUS 2016–2025 – dane zagraniczne (USA)</t>
  </si>
  <si>
    <t xml:space="preserve">2015</t>
  </si>
  <si>
    <t xml:space="preserve">średnia dwóch ośrodków; zakres symetryczny w skali log: ÷/× (kurs rynkowy NBP 3,7730 / PPP) – max = przeliczenie kursem rynkowym</t>
  </si>
  <si>
    <t xml:space="preserve">zł/osobę</t>
  </si>
  <si>
    <t xml:space="preserve">FIX</t>
  </si>
  <si>
    <t xml:space="preserve">Koszty stałe programu wykrywania (koordynacja, IT, działania informacyjne) rocznie</t>
  </si>
  <si>
    <t xml:space="preserve">założenie: 5 etatów koordynacji × przeciętne wynagrodzenie GUS 2025 × 1,2048 (składki pracodawcy) + 0,58 mln zł (rząd wielkości: konkurs Krajowego Centrum ds. AIDS na akcyjne testowanie HIV/kiła/HCV 2025 – proxy działań terenowych/informacyjnych)</t>
  </si>
  <si>
    <t xml:space="preserve">w I1, I2, I4 przez PROG_Y lat; I3 działa w istniejącej sieci (bez kosztu stałego – założenie); zakres ×0,5–2</t>
  </si>
  <si>
    <t xml:space="preserve">MZ</t>
  </si>
  <si>
    <t xml:space="preserve">INC_TREND</t>
  </si>
  <si>
    <t xml:space="preserve">Roczna zmiana liczby nowych zakażeń</t>
  </si>
  <si>
    <t xml:space="preserve">założenie: stała zapadalność jak w źródle; scenariusz −5%/rok (spadek zakażeń przy redukcji szkód – założenie)</t>
  </si>
  <si>
    <t xml:space="preserve">INC × (1+INC_TREND)^t</t>
  </si>
  <si>
    <t xml:space="preserve">AF_K74</t>
  </si>
  <si>
    <t xml:space="preserve">Udział HCV w marskości wątroby kodowanej jako K74 (bez alkoholowej K70) – renty ZUS</t>
  </si>
  <si>
    <t xml:space="preserve">alfa=30.863; beta=78.452</t>
  </si>
  <si>
    <t xml:space="preserve">GBD 2017 Cirrhosis Collaborators, Lancet Gastroenterol Hepatol 2020;5:245–266, aneks (Polska): 15,5% przypadków marskości wyrównanej i zdekompensowanej z powodu HCV; udział alkoholu w zgonach z marskości 45,1%; 15,5 / 54,9 = 28,2%. Granice: 20,4% (zgony, wszystkie marskości) i 1 589 / (7 788 × 0,549) = 37,2% (zgony, marskości niealkoholowe)</t>
  </si>
  <si>
    <t xml:space="preserve">dane zagraniczne/literatura międzynarodowa (wyliczenie)</t>
  </si>
  <si>
    <t xml:space="preserve">Baza: udział HCV w przypadkach marskości (chorobowość) 15,5% / udział marskości niealkoholowych 54,9% = 28,2% (renty dotyczą żyjących, więc chorobowość jest właściwszą miarą niż zgony; udział alkoholu wzięty ze zgonów GBD – w chorobowości może być nieco inny; audyt 4 podaje 27,9–29,2%). Dolna granica 20,4% = udział we wszystkich zgonach z marskości (z alkoholową); górna 37,2% = udział w zgonach z marskości niealkoholowych (baza po audycie 3). Dla porównania GBD 2023 (za PZH 2025): ok. 21% zgonów z marskości i innych przewlekłych chorób wątroby (wszystkie etiologie) związanych z HCV. Obie granice = scenariusze (+ kalibracja). SD = (37,2−20,4)/3,92. Działa przez kalibrację (nowe HCC, renty ZUS, dni absencji) – w PSA i tornado pełna kalibracja jest powtarzana w każdym losowaniu (audyt 4, S2). PSA (audyt 4): rozkład beta o średniej = wartość bazowa (SD 0,04286); min/max = 2,5. i 97,5. percentyl rozkładu.</t>
  </si>
  <si>
    <t xml:space="preserve">p_F3HCC</t>
  </si>
  <si>
    <t xml:space="preserve">Roczne prawdopodobieństwo HCC przy włóknieniu F3 (mostkowym)</t>
  </si>
  <si>
    <t xml:space="preserve">alfa=23; beta=2852</t>
  </si>
  <si>
    <t xml:space="preserve">Lok i in. Gastroenterology 2009;136:138–148 (HALT-C: 0,8%/rok przy włóknieniu mostkowym; 23 HCC wśród 597 osób), doi 10.1053/j.gastro.2008.09.014</t>
  </si>
  <si>
    <t xml:space="preserve">2009</t>
  </si>
  <si>
    <t xml:space="preserve">kohorta USA osób bez odpowiedzi na interferon (raczej zawyżone dla ogółu F3); zakres ±1,96 SE (SE = 0,8%/√23)</t>
  </si>
  <si>
    <t xml:space="preserve">PROG_M</t>
  </si>
  <si>
    <t xml:space="preserve">Mnożnik tempa włóknienia (F0→F4)</t>
  </si>
  <si>
    <t xml:space="preserve">Thein i in. Hepatology 2008;48:418–431: marskość po 20 latach 18% w badaniach klinicznych vs 7% w badaniach populacyjnych; 0,714 = mnożnik odtwarzający w modelu stosunek 7/18</t>
  </si>
  <si>
    <t xml:space="preserve">1 = stawki z populacji klinicznych (baza, jak w źródłach); 0,714 = wariant populacyjny (analiza scenariuszowa W9)</t>
  </si>
  <si>
    <t xml:space="preserve">SB_DAY</t>
  </si>
  <si>
    <t xml:space="preserve">Dzienny zasiłek chorobowy (80% podstawy) – przeciętnie</t>
  </si>
  <si>
    <t xml:space="preserve">Ustawa zasiłkowa (Dz.U. 2025 poz. 501 t.j.), art. 11 ust. 1 (80% podstawy) i art. 3 (podstawa po potrąceniu 13,71% składek); przeciętne wynagrodzenie GUS 2025 (8 903,56 zł)</t>
  </si>
  <si>
    <t xml:space="preserve">WAGE/12 × (1−0,1371) × 0,8 / 30; część dni (do 33. dnia) wypłaca pracodawca – koszt ZUS raczej zawyżony</t>
  </si>
  <si>
    <t xml:space="preserve">zł/dzień</t>
  </si>
  <si>
    <t xml:space="preserve">ZG_C22</t>
  </si>
  <si>
    <t xml:space="preserve">Zgony z powodu raka wątroby i dróg żółciowych wewnątrzwątrobowych (C22), 2023</t>
  </si>
  <si>
    <t xml:space="preserve">Zakrzewska K, Stępień M. Wirusowe zapalenie wątroby C (WZW C) w Polsce w 2023 roku. Przegl Epidemiol 2025;79(4):615–632, doi 10.32394/pe/217303 (dane o zgonach: GUS; GBD 2023 za IHME); 2022: 2 015 (+12,6%)</t>
  </si>
  <si>
    <t xml:space="preserve">informacyjnie (walidacja): wszystkie przyczyny, także nowotwory wątroby nieokreślone; model nie używa tej liczby</t>
  </si>
  <si>
    <t xml:space="preserve">ZG_K74</t>
  </si>
  <si>
    <t xml:space="preserve">Zgony z powodu zwłóknienia i marskości wątroby (K74), 2023</t>
  </si>
  <si>
    <t xml:space="preserve">Zakrzewska K, Stępień M. Wirusowe zapalenie wątroby C (WZW C) w Polsce w 2023 roku. Przegl Epidemiol 2025;79(4):615–632, doi 10.32394/pe/217303 (dane o zgonach: GUS; GBD 2023 za IHME); 2022: 2 076</t>
  </si>
  <si>
    <t xml:space="preserve">informacyjnie (walidacja): wszystkie etiologie</t>
  </si>
  <si>
    <t xml:space="preserve">ZG_B182</t>
  </si>
  <si>
    <t xml:space="preserve">Zgony z przyczyną wyjściową przewlekłe wzw C (B18.2), 2023</t>
  </si>
  <si>
    <t xml:space="preserve">Zakrzewska K, Stępień M. Wirusowe zapalenie wątroby C (WZW C) w Polsce w 2023 roku. Przegl Epidemiol 2025;79(4):615–632, doi 10.32394/pe/217303 (dane o zgonach: GUS; GBD 2023 za IHME); B17.1 (ostre wzw C): 4. Spójność z liczbą 88 zgonów B18 (B i C łącznie, PZH „Choroby zakaźne i zatrucia w Polsce w 2024 r.”): 66 (B18.2) + 18 (przewlekłe wzw B, Stępień M., Przegl Epidemiol 2025;79(4):595–614) = 84; pozostałe 4 to zapewne inne/nieokreślone B18 – niepotwierdzone</t>
  </si>
  <si>
    <t xml:space="preserve">informacyjnie: kodowanie przyczyny wyjściowej zaniża zgony związane z HCV (większość jest kodowana jako C22/K74)</t>
  </si>
  <si>
    <t xml:space="preserve">wartość</t>
  </si>
  <si>
    <t xml:space="preserve">opis</t>
  </si>
  <si>
    <t xml:space="preserve">x_dk</t>
  </si>
  <si>
    <t xml:space="preserve">stopa dyskontowa kosztów (AOTMiT 5%)</t>
  </si>
  <si>
    <t xml:space="preserve">x_de</t>
  </si>
  <si>
    <t xml:space="preserve">stopa dyskontowa efektów (AOTMiT 3,5%)</t>
  </si>
  <si>
    <t xml:space="preserve">x_H</t>
  </si>
  <si>
    <t xml:space="preserve">horyzont analizy w latach (1–50)</t>
  </si>
  <si>
    <t xml:space="preserve">x_testy</t>
  </si>
  <si>
    <t xml:space="preserve">1 = testy i koszty stałe programu finansuje inny płatnik (wyłączone z porównania); 0 = wariant pełny</t>
  </si>
  <si>
    <t xml:space="preserve">S1: Status quo (4 832 leczonych/rok) – liczebności (silnik, wartości) i koszty (formuły), zł/rok, niezdyskontowane. Szacunek modelu.</t>
  </si>
  <si>
    <t xml:space="preserve">t</t>
  </si>
  <si>
    <t xml:space="preserve">treated</t>
  </si>
  <si>
    <t xml:space="preserve">NFZ_diag</t>
  </si>
  <si>
    <t xml:space="preserve">MZ_SW</t>
  </si>
  <si>
    <t xml:space="preserve">nNAV</t>
  </si>
  <si>
    <t xml:space="preserve">FIXon</t>
  </si>
  <si>
    <t xml:space="preserve">cF03</t>
  </si>
  <si>
    <t xml:space="preserve">cF4</t>
  </si>
  <si>
    <t xml:space="preserve">cDC</t>
  </si>
  <si>
    <t xml:space="preserve">cHCC</t>
  </si>
  <si>
    <t xml:space="preserve">cPLT</t>
  </si>
  <si>
    <t xml:space="preserve">cSVn</t>
  </si>
  <si>
    <t xml:space="preserve">cSVc</t>
  </si>
  <si>
    <t xml:space="preserve">cLTn</t>
  </si>
  <si>
    <t xml:space="preserve">cLT1</t>
  </si>
  <si>
    <t xml:space="preserve">wAdv</t>
  </si>
  <si>
    <t xml:space="preserve">wHCC</t>
  </si>
  <si>
    <t xml:space="preserve">wGH</t>
  </si>
  <si>
    <t xml:space="preserve">cAbs</t>
  </si>
  <si>
    <t xml:space="preserve">cAbsW</t>
  </si>
  <si>
    <t xml:space="preserve">QALY</t>
  </si>
  <si>
    <t xml:space="preserve">newDC</t>
  </si>
  <si>
    <t xml:space="preserve">newHCC</t>
  </si>
  <si>
    <t xml:space="preserve">LT</t>
  </si>
  <si>
    <t xml:space="preserve">liverD</t>
  </si>
  <si>
    <t xml:space="preserve">NFZ_med</t>
  </si>
  <si>
    <t xml:space="preserve">NFZ_DAA</t>
  </si>
  <si>
    <t xml:space="preserve">NFZ_mon</t>
  </si>
  <si>
    <t xml:space="preserve">NFZ_diag_k</t>
  </si>
  <si>
    <t xml:space="preserve">MZ_SW_k</t>
  </si>
  <si>
    <t xml:space="preserve">NAV_k</t>
  </si>
  <si>
    <t xml:space="preserve">FIX_k</t>
  </si>
  <si>
    <t xml:space="preserve">lostw</t>
  </si>
  <si>
    <t xml:space="preserve">lost_FUS</t>
  </si>
  <si>
    <t xml:space="preserve">lost_NFZ</t>
  </si>
  <si>
    <t xml:space="preserve">lost_PIT</t>
  </si>
  <si>
    <t xml:space="preserve">lost_FP</t>
  </si>
  <si>
    <t xml:space="preserve">PUBLIC</t>
  </si>
  <si>
    <t xml:space="preserve">SOCIETAL</t>
  </si>
  <si>
    <t xml:space="preserve">INV_NFZ</t>
  </si>
  <si>
    <t xml:space="preserve">INV_PUB</t>
  </si>
  <si>
    <t xml:space="preserve">S0: Brak leczenia (zaniechanie) – liczebności (silnik, wartości) i koszty (formuły), zł/rok, niezdyskontowane. Szacunek modelu.</t>
  </si>
  <si>
    <t xml:space="preserve">I1: Celowane testowanie w szpitalach i laboratoriach (+50 mln zł/rok) – liczebności (silnik, wartości) i koszty (formuły), zł/rok, niezdyskontowane. Szacunek modelu.</t>
  </si>
  <si>
    <t xml:space="preserve">I2: Szerokie testowanie w POZ (+50 mln zł/rok) – liczebności (silnik, wartości) i koszty (formuły), zł/rok, niezdyskontowane. Szacunek modelu.</t>
  </si>
  <si>
    <t xml:space="preserve">I3: Populacje kluczowe: OST, redukcja szkód, więzienia (+2 mln zł/rok) – liczebności (silnik, wartości) i koszty (formuły), zł/rok, niezdyskontowane. Szacunek modelu.</t>
  </si>
  <si>
    <t xml:space="preserve">I4: Pakiet eliminacyjny WHO (test refleksyjny + 3 kanały) – liczebności (silnik, wartości) i koszty (formuły), zł/rok, niezdyskontowane. Szacunek modelu.</t>
  </si>
  <si>
    <t xml:space="preserve">I5: Cięcia: −30% leczonych – liczebności (silnik, wartości) i koszty (formuły), zł/rok, niezdyskontowane. Szacunek modelu.</t>
  </si>
  <si>
    <t xml:space="preserve">V1: Walidacja: dodatkowi leczeni jak w I1, bez kosztu wykrywania – liczebności (silnik, wartości) i koszty (formuły), zł/rok, niezdyskontowane. Szacunek modelu.</t>
  </si>
  <si>
    <t xml:space="preserve">S0 vs status quo (S1): Brak leczenia (zaniechanie) – SZACUNEK MODELU</t>
  </si>
  <si>
    <t xml:space="preserve">Horyzont (lata) – zmień w Ustawienia!B4</t>
  </si>
  <si>
    <t xml:space="preserve">Inwestycja (sektor publiczny, zdysk., zł)</t>
  </si>
  <si>
    <t xml:space="preserve">Saldo netto sektor publiczny (zdysk., zł; &lt;0 = oszczędność)</t>
  </si>
  <si>
    <t xml:space="preserve">Zwroty = inwestycja − saldo (zł)</t>
  </si>
  <si>
    <t xml:space="preserve">ROI = (zwroty − inwestycja)/|inwestycja|</t>
  </si>
  <si>
    <t xml:space="preserve">Rok zwrotu – sektor publiczny</t>
  </si>
  <si>
    <t xml:space="preserve">Rok zwrotu – NFZ</t>
  </si>
  <si>
    <t xml:space="preserve">Saldo netto NFZ (zdysk., zł)</t>
  </si>
  <si>
    <t xml:space="preserve">ICER sektor publiczny (zł/QALY; &lt;0 = dominuje) – dodatkowo</t>
  </si>
  <si>
    <t xml:space="preserve">ICER NFZ (zł/QALY) – GŁÓWNY, porównywany z progiem 244 821 zł</t>
  </si>
  <si>
    <t xml:space="preserve">DF koszty</t>
  </si>
  <si>
    <t xml:space="preserve">DF efekty</t>
  </si>
  <si>
    <t xml:space="preserve">Δ NFZ</t>
  </si>
  <si>
    <t xml:space="preserve">Δ publiczny</t>
  </si>
  <si>
    <t xml:space="preserve">Δ społeczny</t>
  </si>
  <si>
    <t xml:space="preserve">Δ inwestycja (publ.)</t>
  </si>
  <si>
    <t xml:space="preserve">skum. NFZ</t>
  </si>
  <si>
    <t xml:space="preserve">skum. publiczny</t>
  </si>
  <si>
    <t xml:space="preserve">skum. społeczny</t>
  </si>
  <si>
    <t xml:space="preserve">maks. dotąd (publ.)</t>
  </si>
  <si>
    <t xml:space="preserve">zwrot? (publ.)</t>
  </si>
  <si>
    <t xml:space="preserve">zwrot? (NFZ)</t>
  </si>
  <si>
    <t xml:space="preserve">maks. dotąd (NFZ)</t>
  </si>
  <si>
    <t xml:space="preserve">Δ QALY</t>
  </si>
  <si>
    <t xml:space="preserve">I1 vs status quo (S1): Celowane testowanie w szpitalach i laboratoriach (+50 mln zł/rok) – SZACUNEK MODELU</t>
  </si>
  <si>
    <t xml:space="preserve">I2 vs status quo (S1): Szerokie testowanie w POZ (+50 mln zł/rok) – SZACUNEK MODELU</t>
  </si>
  <si>
    <t xml:space="preserve">I3 vs status quo (S1): Populacje kluczowe: OST, redukcja szkód, więzienia (+2 mln zł/rok) – SZACUNEK MODELU</t>
  </si>
  <si>
    <t xml:space="preserve">I4 vs status quo (S1): Pakiet eliminacyjny WHO (test refleksyjny + 3 kanały) – SZACUNEK MODELU</t>
  </si>
  <si>
    <t xml:space="preserve">I5 vs status quo (S1): Cięcia: −30% leczonych – SZACUNEK MODELU</t>
  </si>
  <si>
    <t xml:space="preserve">V1 vs status quo (S1): Walidacja: dodatkowi leczeni jak w I1, bez kosztu wykrywania – SZACUNEK MODELU</t>
  </si>
  <si>
    <t xml:space="preserve">Monte Carlo: 2 000 losowań, ziarno 20261027; mediana [95% przedział]; wartości (nie formuły). SZACUNEK MODELU.</t>
  </si>
  <si>
    <t xml:space="preserve">scenariusz</t>
  </si>
  <si>
    <t xml:space="preserve">horyzont</t>
  </si>
  <si>
    <t xml:space="preserve">perspektywa</t>
  </si>
  <si>
    <t xml:space="preserve">saldo mln zł mediana</t>
  </si>
  <si>
    <t xml:space="preserve">2,5%</t>
  </si>
  <si>
    <t xml:space="preserve">97,5%</t>
  </si>
  <si>
    <t xml:space="preserve">ROI mediana</t>
  </si>
  <si>
    <t xml:space="preserve">rok zwrotu mediana</t>
  </si>
  <si>
    <t xml:space="preserve">P(zwrot w horyzoncie)</t>
  </si>
  <si>
    <t xml:space="preserve">P(koszt-efektywne przy progu)</t>
  </si>
  <si>
    <t xml:space="preserve">uniknięte zgony mediana</t>
  </si>
  <si>
    <t xml:space="preserve">I1</t>
  </si>
  <si>
    <t xml:space="preserve">brak</t>
  </si>
  <si>
    <t xml:space="preserve">NFZ_TX</t>
  </si>
  <si>
    <t xml:space="preserve">PUBLIC_TX</t>
  </si>
  <si>
    <t xml:space="preserve">SOCIETAL_TX</t>
  </si>
  <si>
    <t xml:space="preserve">I2</t>
  </si>
  <si>
    <t xml:space="preserve">I3</t>
  </si>
  <si>
    <t xml:space="preserve">I4</t>
  </si>
  <si>
    <t xml:space="preserve">I5</t>
  </si>
  <si>
    <t xml:space="preserve">S0</t>
  </si>
  <si>
    <t xml:space="preserve">Model Markowa, cykl roczny, 2026–2075, otwarta kohorta (nowe zakażenia INC/rok + reinfekcje po SVR).</t>
  </si>
  <si>
    <t xml:space="preserve">Stany: F0–F3, F4 (marskość wyrównana), DC, HCC, przeszczep (rok 1 i kolejne), SVR (bez marskości / po marskości), zgon.</t>
  </si>
  <si>
    <t xml:space="preserve">Kohorta startowa w 4 grupach wieku (B.71 2025: do 40, 41–60, 61–80, &gt;80 lat); korekta połowy cyklu (trapezy).</t>
  </si>
  <si>
    <t xml:space="preserve">Koszty opieki (NFZ c_F, c_CC) i absencja/ZUS z_F liczone tylko dla zdiagnozowanych pod opieką (przepływ rozpoznań DX_IN, oczekiwanie T_PRE), nie dla wszystkich z wiremią.</t>
  </si>
  <si>
    <t xml:space="preserve">Kalibracja (out/calib.json): K_DC → DC w 2030 = 1 590 (Flisiak i in. 2015; model-do-modelu); K_HCC → nowe HCC w 2026 ≈ 576 (KRN 2023: 1 695 × AF_LIVER 0,34; C22 obejmuje też raka wewnątrzwątrobowych dróg żółciowych, więc udział HCV w C22 jest niższy niż w HCC); HCC0 = stan ustalony (liniowo w AF_LIVER); WLOSS i dni absencji → ZUS 2026 = przeliczenie z danych ZUS. To DOPASOWANIE, nie walidacja (audyt 2, W2).</t>
  </si>
  <si>
    <t xml:space="preserve">Audyt 2: zasiłek chorobowy z_F = ABS_D dni × 80% stawki dziennej (SB_DAY), tylko pracujący w wieku produkcyjnym pod opieką (kolumna cAbsW); udział HCV w marskości AF_K74 = 20,4% (GBD 2017); przejście F3→HCC 0,8%/rok (Lok 2009); LINK_UP 57,4% (UKHSA); NAV przez parytet siły nabywczej.</t>
  </si>
  <si>
    <t xml:space="preserve">Audyt 3 (28.10.2026, stan historyczny): rozkłady Monte Carlo o średniej = wartość bazowa (beta dla wydajności testów i odsetków rozpoczynających leczenie, lognormalne o średniej = baza); LINK_UP 69,45% (środek 57,4–81,5%, założenie); AF_K74 37,2% (GBD 2017, marskości bez alkoholowej); udziały HCV rekalibrowane w każdym losowaniu (AF_LIVER przybliżeniem potęgowym). Wcześniejsze wartości (20,4%, 57,4%) opisane wyżej są historyczne.</t>
  </si>
  <si>
    <t xml:space="preserve">Audyt 4 (28.10.2026): AF_LIVER 0,34 (CEH 2021; zakres 0,26 GBD 2023 – 0,42 LIVER 2009–10, oba jako scenariusze); AF_K74 28,2% (udział w chorobowości GBD 2017: 15,5% / 54,9%; zakres 20,4–37,2%); w Monte Carlo pełna kalibracja K_DC, K_HCC, HCC0, WLOSS i ABS_D w każdym losowaniu (bez osobnych rozkładów mnożników – koniec podwójnego liczenia niepewności AF_LIVER i dryfu celów; bez przybliżenia potęgowego); szersze rozkłady Y_POZ (SD 50%), Y_LAB (SD 0,0004), AF_B18 (0,45–0,55). Zgony 2023 (PZH 2025): C22 2 269, K74 1 867, B18.2 66 – tylko walidacja.</t>
  </si>
  <si>
    <t xml:space="preserve">Nadwyżka umieralności populacji kluczowych (SMR 14,68; Mathers i in. 2013) stosowana tak samo u leczonych i nieleczonych (przybliżenie: wspólny zasób nieleczonych KU).</t>
  </si>
  <si>
    <t xml:space="preserve">Pakiet WHO (I4): nawigacja pacjenta NAV na wykrytą osobę (dane z USA) i koszty stałe FIX; I1/I2: koszty stałe FIX. Szacunki z założeniami.</t>
  </si>
  <si>
    <t xml:space="preserve">Wykrywanie: koszt wykrycia przypadku = (test anty-HCV + RNA×odsetek dodatnich)/wydajność kanału; malejąca wydajność wraz z wyczerpywaniem puli.</t>
  </si>
  <si>
    <t xml:space="preserve">Okres dochodzenia do skali: RAMP lat; program trwa PROG_Y lat.</t>
  </si>
  <si>
    <t xml:space="preserve">PSA: rozkłady beta/gamma/lognormalny (średnia = wartość bazowa; DC0/PLT0 lognormalne)/normalny (wiek)/trójkątny/Dirichlet; 2 000 losowań; mnożniki K_DC/K_HCC i HCC0 kalibrowane w każdym losowaniu; percentyle 2,5 i 97,5. Wynik główny = wynik bazowy (deterministyczny); PSA podawane osobno.</t>
  </si>
  <si>
    <t xml:space="preserve">Wariant „testy finansuje inny płatnik” (x_testy=1, perspektywy *_TX): z porównania wyłączone testy (NFZ_diag, MZ_SW) i koszty stałe FIX; nawigacja zostaje jako część kosztu wyleczenia.</t>
  </si>
  <si>
    <t xml:space="preserve">Zgodność: AOTMiT (perspektywy, dyskonto, próg 244 821 zł/QALY – obwieszczenie Prezesa GUS z 30.10.2025, MP 2025 poz. 1133; stan 28.10.2026: nowego obwieszczenia brak, ostatni wpis na liście GUS 20.10.2026; zwykle ok. 30.10), CHEERS 2022 – lista kontrolna (28 punktów) w aplikacji. ICER główny = perspektywa NFZ.</t>
  </si>
  <si>
    <t xml:space="preserve">Koszt wyleczenia vs koszt nieleczenia – na 1 zdiagnozowanego pacjenta (kohorta 1 000 nowo rozpoznanych pod opieką; leczenie w roku 0 vs brak leczenia). SZACUNEK MODELU, zł, zdyskontowane 5%.</t>
  </si>
  <si>
    <t xml:space="preserve">Testy nie wchodzą do tego porównania (pacjent jest już zdiagnozowany – koszt wykrycia ponosi inny płatnik lub był poniesiony wcześniej).</t>
  </si>
  <si>
    <t xml:space="preserve">Koszt wyleczenia (formuła) = x_c_DAA + x_c_MON</t>
  </si>
  <si>
    <t xml:space="preserve">+ nawigacja (opcjonalnie) = x_NAV</t>
  </si>
  <si>
    <t xml:space="preserve">nawigacja</t>
  </si>
  <si>
    <t xml:space="preserve">koszt wyleczenia</t>
  </si>
  <si>
    <t xml:space="preserve">uniknięte koszty nieleczenia</t>
  </si>
  <si>
    <t xml:space="preserve">saldo netto (&lt;0 = oszczędność)</t>
  </si>
  <si>
    <t xml:space="preserve">rok zwrotu</t>
  </si>
  <si>
    <t xml:space="preserve">ROI</t>
  </si>
  <si>
    <t xml:space="preserve">ICER zł/QALY</t>
  </si>
  <si>
    <t xml:space="preserve">nie</t>
  </si>
  <si>
    <t xml:space="preserve">tak</t>
  </si>
  <si>
    <t xml:space="preserve">Monte Carlo (2 000 losowań): mediana [2,5%; 97,5%]</t>
  </si>
  <si>
    <t xml:space="preserve">saldo mediana</t>
  </si>
  <si>
    <t xml:space="preserve">uniknięte mediana</t>
  </si>
  <si>
    <t xml:space="preserve">P(oszczędność)</t>
  </si>
  <si>
    <t xml:space="preserve">Analizy scenariuszowe (deterministyczne, sektor publiczny, mln zł zdysk.; &gt;0 = koszt netto). Zmieniamy jedno założenie, reszta bazowa. SZACUNEK MODELU.</t>
  </si>
  <si>
    <t xml:space="preserve">wariant</t>
  </si>
  <si>
    <t xml:space="preserve">koszt zaniechania S0 20 l.</t>
  </si>
  <si>
    <t xml:space="preserve">koszt zaniechania S0 50 l.</t>
  </si>
  <si>
    <t xml:space="preserve">I1 50 l.</t>
  </si>
  <si>
    <t xml:space="preserve">I1 50 l. (testy – inny płatnik)</t>
  </si>
  <si>
    <t xml:space="preserve">I3 20 l.</t>
  </si>
  <si>
    <t xml:space="preserve">I4 20 l.</t>
  </si>
  <si>
    <t xml:space="preserve">I4 50 l.</t>
  </si>
  <si>
    <t xml:space="preserve">I4 50 l. (testy – inny płatnik)</t>
  </si>
  <si>
    <t xml:space="preserve">ICER I4 20 l. (publ.)</t>
  </si>
  <si>
    <t xml:space="preserve">ICER I4 20 l. NFZ (główny)</t>
  </si>
  <si>
    <t xml:space="preserve">ICER I1 20 l. NFZ</t>
  </si>
  <si>
    <t xml:space="preserve">ICER I2 20 l. NFZ</t>
  </si>
  <si>
    <t xml:space="preserve">ICER I3 20 l. NFZ</t>
  </si>
  <si>
    <t xml:space="preserve">rok zwrotu I4</t>
  </si>
  <si>
    <t xml:space="preserve">ZUS 2026 (mln zł)</t>
  </si>
  <si>
    <t xml:space="preserve">zgony wątrobowe 2026 (S1)</t>
  </si>
  <si>
    <t xml:space="preserve">nowe HCC 2026</t>
  </si>
  <si>
    <t xml:space="preserve">DC 2030</t>
  </si>
  <si>
    <t xml:space="preserve">bazowy (po audycie 4)</t>
  </si>
  <si>
    <t xml:space="preserve">bez kalibracji (K=1)</t>
  </si>
  <si>
    <t xml:space="preserve">cena leków z 2017 r. (33 872 zł)</t>
  </si>
  <si>
    <t xml:space="preserve">cena leków maks. (97 716 zł)</t>
  </si>
  <si>
    <t xml:space="preserve">nowe zakażenia −5%/rok</t>
  </si>
  <si>
    <t xml:space="preserve">koszty opieki u wszystkich z wiremią (jak przed audytem)</t>
  </si>
  <si>
    <t xml:space="preserve">bez korekty połowy cyklu</t>
  </si>
  <si>
    <t xml:space="preserve">pełna utrata pracy (WLOSS=1)</t>
  </si>
  <si>
    <t xml:space="preserve">reinfekcja PWID 3,8% (OST)</t>
  </si>
  <si>
    <t xml:space="preserve">SVR 99%</t>
  </si>
  <si>
    <t xml:space="preserve">wiek −6 lat</t>
  </si>
  <si>
    <t xml:space="preserve">wiek +6 lat</t>
  </si>
  <si>
    <t xml:space="preserve">bez zasiłków chorobowych (absencji)</t>
  </si>
  <si>
    <t xml:space="preserve">udział HCV w marskości 20,4% (jak przed audytem 3)</t>
  </si>
  <si>
    <t xml:space="preserve">udział HCV w marskości K74 37,2% (baza po audycie 3)</t>
  </si>
  <si>
    <t xml:space="preserve">udział HCV w raku wątroby 0,26 (GBD 2023)</t>
  </si>
  <si>
    <t xml:space="preserve">udział HCV w raku wątroby 0,42 (LIVER, baza przed audytem 4)</t>
  </si>
  <si>
    <t xml:space="preserve">POZ 0,47% RNA+ (PLoS One 2017)</t>
  </si>
  <si>
    <t xml:space="preserve">szpitale/laboratoria 1,2% (kampania)</t>
  </si>
  <si>
    <t xml:space="preserve">populacje kluczowe 59% (2004–05)</t>
  </si>
  <si>
    <t xml:space="preserve">rozpoczęcie leczenia I4 81,5%</t>
  </si>
  <si>
    <t xml:space="preserve">rozpoczęcie leczenia I4 57,4% (jak przed audytem 3)</t>
  </si>
  <si>
    <t xml:space="preserve">rozpoczęcie leczenia bez nawigacji 30%</t>
  </si>
  <si>
    <t xml:space="preserve">POZ 0,26% RNA+ (EURIPA 2026, 1 ośrodek)</t>
  </si>
  <si>
    <t xml:space="preserve">wolniejsza progresja (Thein, populacje ogólne)</t>
  </si>
  <si>
    <t xml:space="preserve">wolniejsza progresja + ponowna kalibracja</t>
  </si>
  <si>
    <t xml:space="preserve">bez przejścia F3→HCC</t>
  </si>
  <si>
    <t xml:space="preserve">Leki i zamówienia publiczne – dane źródłowe (nie wyniki modelu); schematy bez nazw leków i firm</t>
  </si>
  <si>
    <t xml:space="preserve">Schemat B.71, 2025</t>
  </si>
  <si>
    <t xml:space="preserve">Pacjenci</t>
  </si>
  <si>
    <t xml:space="preserve">Refundacja (mln zł)</t>
  </si>
  <si>
    <t xml:space="preserve">Uwagi / źródło</t>
  </si>
  <si>
    <t xml:space="preserve">A – pangenotypowy</t>
  </si>
  <si>
    <t xml:space="preserve">NFZ app-stat-api, pobrane 25.10.2026</t>
  </si>
  <si>
    <t xml:space="preserve">B – pangenotypowy</t>
  </si>
  <si>
    <t xml:space="preserve">zmiana ceny urzędowej 17.09.2025</t>
  </si>
  <si>
    <t xml:space="preserve">C – leczenie ponowne</t>
  </si>
  <si>
    <t xml:space="preserve">zmiana ceny urzędowej 17.06.2025</t>
  </si>
  <si>
    <t xml:space="preserve">B.71 razem (leczeni, nie suma schematów)</t>
  </si>
  <si>
    <t xml:space="preserve">Przetargi TED od 01.01.2023 (pobrane 27.10.2026)</t>
  </si>
  <si>
    <t xml:space="preserve">Ogłoszenia</t>
  </si>
  <si>
    <t xml:space="preserve">Części z wyborem oferty</t>
  </si>
  <si>
    <t xml:space="preserve">Wartość (mln zł)</t>
  </si>
  <si>
    <t xml:space="preserve">A</t>
  </si>
  <si>
    <t xml:space="preserve">B</t>
  </si>
  <si>
    <t xml:space="preserve">C</t>
  </si>
  <si>
    <t xml:space="preserve">Razem bez podwójnego liczenia (7 części mieszanych, 6,68 mln zł)</t>
  </si>
  <si>
    <t xml:space="preserve">Uwaga: TED obejmuje tylko przetargi powyżej progów UE; wartość przetargu ≠ sprzedaż. 38 zamawiających; 10 największych ≈123,6 mln zł (≈70%).</t>
  </si>
  <si>
    <t xml:space="preserve">Zmiany 28.10.2026 – wersja po audycie (wyniki zmieniły się; opis na stronie, zakładka Sprawdzenie)</t>
  </si>
  <si>
    <t xml:space="preserve">K1: koszty opieki NFZ (F0–F4) i absencja/ZUS liczone tylko dla zdiagnozowanych pod opieką (wcześniej dla wszystkich ok. 155 tys. z wiremią). Wariant dawny = scenariusz CARE_ALL=1.</t>
  </si>
  <si>
    <t xml:space="preserve">K2: PSA – mnożniki kalibracyjne K_DC, K_HCC oraz DC0, PLT0 losowane symetrycznie (lognormalnie) wokół wartości bazowej; K=1 przeniesione do osobnego scenariusza.</t>
  </si>
  <si>
    <t xml:space="preserve">K3: opis zgonów poprawiony – liczby C22/K74 to wszystkie zgony z tych przyczyn, tylko część wynika z HCV; zgony z przyczyną wyjściową B18 (przewlekłe WZW typu B i C łącznie) to 88 w 2023 r. (NIZP PZH-PIB); model szacuje ok. 920 zgonów wątrobowych związanych z HCV rocznie (2026).</t>
  </si>
  <si>
    <t xml:space="preserve">I1: źródło kosztów i prawdopodobieństw opisane jako analiza wnioskodawcy (firma konsultingowa) opublikowana w BIP AOTMiT; model choroby dla Polski (2015) opisany jako wspierany finansowo przez producenta leków; błędy standardowe z Tab. 198.</t>
  </si>
  <si>
    <t xml:space="preserve">I2: maksimum leczonych w B.71 = 12 171 (2017), nie 8 521; szczyt pakietu WHO porównany z tą wartością.</t>
  </si>
  <si>
    <t xml:space="preserve">I3: wynik główny = wynik bazowy (deterministyczny); Monte Carlo podawane osobno jako mediana [95%] i P(oszczędność).</t>
  </si>
  <si>
    <t xml:space="preserve">I4: pakiet WHO zawiera koszt nawigacji pacjenta (NAV) i koszty stałe programu (FIX); I1/I2 – koszty stałe.</t>
  </si>
  <si>
    <t xml:space="preserve">I5: kalibracja raka wątroby do Krajowego Rejestru Nowotworów (ok. 712 nowych HCC przypisanych HCV w 2026 r.).</t>
  </si>
  <si>
    <t xml:space="preserve">I6: rozrzut ceny leków w PSA z wahań 2017–2025; cena z 2017 r. (33 872 zł) jako scenariusz.</t>
  </si>
  <si>
    <t xml:space="preserve">I7: renty przeliczane wskaźnikami waloryzacji ZUS; WLOSS skalibrowane do danych ZUS; EMP opisane jako ograniczenie.</t>
  </si>
  <si>
    <t xml:space="preserve">I8: kohorta w 4 grupach wieku (B.71 2025); średni wiek losowany w PSA.</t>
  </si>
  <si>
    <t xml:space="preserve">D1–D12: p90 kolejki 567/585 dni; Rosińska i in. 2015 (dane 2004–05); RE_KEY 6,2/100 osobolat; korekta połowy cyklu; SMR 10 dla PWID (symetrycznie; od audytu 2: SMR 14,68, Mathers 2013); SVR 0,97; uwaga o niespójności p_SCCHCC; koszt 1. roku po przeszczepie 30 167,61 zł (×CPI); uwagi o reinfekcji i użytecznościach; scenariusz malejącej zapadalności; 38 zamawiających; kalkulator 300 vs 2 000 losowań i kolejność kwantyli roku zwrotu.</t>
  </si>
  <si>
    <t xml:space="preserve">Nowe: wariant „testy finansuje inny płatnik” (porównanie samego kosztu wyleczenia z kosztami nieleczenia) oraz wynik na jednego zdiagnozowanego pacjenta.</t>
  </si>
  <si>
    <t xml:space="preserve">Model z wersji v1 (pe_model) jest zastąpiony przez silnik aplikacji i nie jest publikowany.</t>
  </si>
  <si>
    <t xml:space="preserve">Dodatkowo: w pliku xlsx usunięto kolizję nazw zakresów (stopa dyskonta kosztów i efektów) – po poprawce wartości w arkuszu zgadzają się ze stroną.</t>
  </si>
  <si>
    <t xml:space="preserve">Deklaracja finansowania i konfliktu interesów (28.10.2026, CHEERS 2022): Autor pracuje w sektorze farmaceutycznym. Analiza powstała prywatnie, bez zlecenia i finansowania jakiejkolwiek firmy. Nie wymienia ani nie promuje żadnych produktów leczniczych. Część wykorzystanych źródeł była finansowana przez przemysł — oznaczono to w Źródłach.</t>
  </si>
  <si>
    <t xml:space="preserve">Jedna aplikacja (28.10.2026): do aplikacji przeniesiono całą wartościową treść wcześniejszych roboczych stron raportu, modelu v1 i audytu – hipotezy H1–H6 (Problem), nowa zakładka „Leki i zamówienia publiczne” (schematy B.71 bez nazw, przetargi TED), ocena działań systemowych A1–A9 (Działania), przebieg audytu (ocena, odtworzenie, weryfikacja parametrów, wrażliwość), szacunek Polaris liczby leczonych 2015–2023, porównanie zgłaszalności z Litwą, najdłuższe kolejki do B.71 i nowe luki w danych. Nawigacja pogrupowana: Odpowiedź / Problem i rynek / Działania / Metoda i źródła. Treści o charakterze komercyjnym nie zostały przeniesione.</t>
  </si>
  <si>
    <t xml:space="preserve">Inwentarz danych (28.10.2026): porównano aplikację ze wszystkimi wcześniejszymi wersjami i przywrócono pominięte dane publiczne – 0,47% z wiremią w badaniu POZ 2012–2016 (PLoS One 2017), trend rozpoznań +23% i leczonych −43% wobec 2019 r., 57% uczestników Moje Zdrowie poniżej 40 lat i ok. +20% rozpoznań po 11 miesiącach programu (MZ, IV 2026), 4 010 osób w leczeniu substytucyjnym (EUDA 2024, dane 2022), 93 339 rozpoczęć leczenia w Anglii 2015–2024 (UKHSA 2025), interpretację luk wojewódzkich, sposób liczenia mediany kolejki (37 z 91 lokalizacji), dodatkowe ograniczenie modelu (opieka nieformalna, pomoc społeczna, PFRON, prezenteizm) oraz pełną tabelę weryfikacji 33 parametrów z audytu. Wyniki modelu bez zmian.</t>
  </si>
  <si>
    <t xml:space="preserve">Audyt 2 (28.10.2026, symulowany): K-A zasiłek chorobowy = dni absencji × 80% stawki dziennej, tylko u pracujących w wieku produkcyjnym (koszt zaniechania 50 lat 8,34 → 6,03 mld zł); K-B tabela przed/po krok po kroku, wyłącznie wartości bazowe; W1 koszt QALY porównywany z progiem w perspektywie NFZ (pakiet WHO 20 lat: 82 294 zł; publiczny 77 717), krzywa akceptowalności z wyborem perspektywy; W2 kalibracja oddzielona od walidacji, porównanie z GBD 2017; W3 POZ 0,47% jako scenariusz; W4 szpitale 0,26% RNA+ (1,2% = laboratoria w kampanii); W5 przejście do leczenia 57,4% (Anglia, wszystkie RNA+), 81,5% jako górna granica; W6 udział HCV w marskości 20,4% (GBD 2017); W7 przejście F3→rak wątroby 0,8%/rok (Lok 2009) z ponowną kalibracją; W8 opis braku zaległej puli; W9 scenariusz wolniejszej progresji (Thein 2008); Y_KEY 31,2% (2021) × 50%; SMR 14,68 (Mathers 2013); nawigacja wg parytetu siły nabywczej (ok. 2 007 zł); Kalkulator bez zaokrąglenia ceny (22 760 zł); pełna lista CHEERS (28 punktów); hiperłącza i nowe źródła; xlsx z arkuszami S0, I2, I5, V1. Egipt 91,8% i zgony B18 = 88 oznaczone jako niezweryfikowane. Wszystkie wyniki to szacunek.</t>
  </si>
  <si>
    <t xml:space="preserve">Audyt 3 (28.10.2026, symulowany; ocena przed poprawkami 6,5/10): K1 rozkłady Monte Carlo o średniej = wartość bazowa (beta dla wydajności testów i odsetków rozpoczynających leczenie, lognormalne o średniej = baza; poprawiony parametr rozkładu użyteczności po wyleczeniu) – BIA pakietu WHO w MC 1,97 → 1,74 mld zł, baza mieści się w przedziałach; K2 koszt zaniechania bez absencji pokazany obok wyniku głównego (20 lat 273 mln, 50 lat 4,1 mld zł), poprawiony opis „ZUS 2012” (dni absencji z ZUS PSZ 2025); I1 udziały HCV (AF_K74, AF_LIVER, AF_B18) rekalibrowane w każdym losowaniu i w tornado (AF_LIVER przybliżeniem potęgowym, błąd &lt; 0,5%); I2 LINK_UP 57,4% → 69,45% (środek 57,4–81,5%, założenie; granice jako scenariusze) – ICER NFZ pakietu WHO 82 294 → 72 483 zł/QALY; I3 AF_K74 20,4% → 37,2% (GBD 2017, marskości bez alkoholowej) – koszt zaniechania 50 lat 6,03 → 6,35 mld zł, ZUS 2026 27,4 → 43,8 mln zł, zwrot V1 2059 → 2056; I4 scenariusz POZ 0,26% (EURIPA 2026); drobne: rok zwrotu V1, zaniechanie dla NFZ po 20 (−145 mln) i 30 latach (+713 mln), etykieta ceny maks. w xlsx (97 716 zł), opisy LINK/LINK_UP, UKHSA 2025, CHEERS 20 i 24; Egipt 91,8% wyliczony z pełnego tekstu (1 054 695 / 1 148 346), nadal nieużywany; zgony B18 = 88 nadal niezweryfikowane; próg GUS bez zmian (nowe obwieszczenie jeszcze nie opublikowane, stan 28.10.2026).</t>
  </si>
  <si>
    <t xml:space="preserve">Audyt 4 (28.10.2026, symulowany; ocena przed poprawkami 7,0/10): W1 udział HCV w raku wątroby 0,42 → 0,34 (CEH 2021; zakres 0,26 GBD 2023 za PZH 2025 – 0,42 rejestr 2009–10, scenariusze), cel kalibracji 712 → 576 nowych raków/rok, opis różnicy HCC vs C22; W2 liczby w tekstach generowane z wyników przy budowie strony (opis pakietu WHO: 69,45%, szczyt 10 497 w 2028 r.; zwrot na pacjenta NFZ 2037 → 2038, publiczny 2032); W3 AF_K74 37,2% → 28,2% (chorobowość GBD 2017: 15,5 / 54,9), zakres 20,4–37,2%, WLOSS 0,64 → 0,54, ZUS 2026 43,8 → 34,2 mln zł, zdanie o strukturze rent; S1/S2 pełna kalibracja K_DC, K_HCC, HCC0, WLOSS, ABS_D w każdym losowaniu (koniec podwójnego liczenia niepewności i przybliżenia potęgowego); S3 szersze rozkłady Y_POZ (SD 50%), Y_LAB (SD 0,0004), AF_B18 (0,45–0,55), zastrzeżenie przy CEAC; S4 zgony 2023: B18.2 = 66 (+18 B18.1 = 84 z 88), C22 = 2 269, K74 = 1 867 (PZH 2025) – tylko walidacja. Skutki (wartości bazowe): koszt zaniechania 20 lat 1 129 → 993 mln zł, 50 lat 6,35 → 5,92 mld zł; ICER NFZ 20 lat: pakiet WHO 72 483 → 75 109, szpitale 67 446 → 70 520, POZ 165 038 → 170 036, populacje kluczowe 20 463 → 21 060, samo leczenie 21 974 → 24 156 zł/QALY; zwrot V1 2056 → 2064; pakiet WHO przy testach finansowanych przez innego płatnika (50 lat) −89 → +103 mln zł (już nie oszczędność); szansa opłacalności POZ 91% → 70%; zgony wątrobowe HCV 2026 922 → 793. Drobne: „średnia = baza” zamiast „symetrycznie”, opis walidacji ZUS, EURIPA, POZ 0,26% = ICER szpitali, próg GUS bez zmian (stan 28.10.2026: obwieszczenia brak). Wszystkie wyniki to szacunek.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</si>
</sst>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7F3"/>
        <bgColor rgb="FFCCFFFF"/>
      </patternFill>
    </fill>
    <fill>
      <patternFill patternType="solid">
        <fgColor rgb="FFFFF4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DDE7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2" t="s">
        <v>9</v>
      </c>
    </row>
    <row r="11" customFormat="false" ht="15" hidden="false" customHeight="false" outlineLevel="0" collapsed="false">
      <c r="A11" s="2" t="s">
        <v>10</v>
      </c>
    </row>
    <row r="12" customFormat="false" ht="15" hidden="false" customHeight="false" outlineLevel="0" collapsed="false">
      <c r="A12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4"/>
    <col collapsed="false" customWidth="true" hidden="false" outlineLevel="0" max="7" min="7" style="0" width="22"/>
    <col collapsed="false" customWidth="true" hidden="false" outlineLevel="0" max="8" min="8" style="0" width="6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40"/>
    <col collapsed="false" customWidth="true" hidden="false" outlineLevel="0" max="13" min="12" style="0" width="10"/>
  </cols>
  <sheetData>
    <row r="1" customFormat="false" ht="15" hidden="false" customHeight="fals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</row>
    <row r="2" customFormat="false" ht="15" hidden="false" customHeight="false" outlineLevel="0" collapsed="false">
      <c r="A2" s="0" t="s">
        <v>25</v>
      </c>
      <c r="B2" s="0" t="s">
        <v>26</v>
      </c>
      <c r="C2" s="4" t="n">
        <v>155000</v>
      </c>
      <c r="D2" s="0" t="n">
        <v>145000</v>
      </c>
      <c r="E2" s="0" t="n">
        <v>165000</v>
      </c>
      <c r="F2" s="0" t="s">
        <v>27</v>
      </c>
      <c r="G2" s="0" t="s">
        <v>28</v>
      </c>
      <c r="H2" s="0" t="s">
        <v>29</v>
      </c>
      <c r="I2" s="0" t="s">
        <v>30</v>
      </c>
      <c r="J2" s="0" t="s">
        <v>31</v>
      </c>
      <c r="K2" s="0" t="s">
        <v>32</v>
      </c>
      <c r="L2" s="0" t="s">
        <v>33</v>
      </c>
      <c r="M2" s="0" t="s">
        <v>34</v>
      </c>
    </row>
    <row r="3" customFormat="false" ht="15" hidden="false" customHeight="false" outlineLevel="0" collapsed="false">
      <c r="A3" s="0" t="s">
        <v>35</v>
      </c>
      <c r="B3" s="0" t="s">
        <v>36</v>
      </c>
      <c r="C3" s="4" t="n">
        <v>53.33</v>
      </c>
      <c r="D3" s="0" t="n">
        <v>47.33</v>
      </c>
      <c r="E3" s="0" t="n">
        <v>59.33</v>
      </c>
      <c r="F3" s="0" t="s">
        <v>37</v>
      </c>
      <c r="G3" s="0" t="s">
        <v>38</v>
      </c>
      <c r="H3" s="0" t="s">
        <v>39</v>
      </c>
      <c r="I3" s="0" t="s">
        <v>40</v>
      </c>
      <c r="J3" s="0" t="s">
        <v>41</v>
      </c>
      <c r="K3" s="0" t="s">
        <v>42</v>
      </c>
      <c r="L3" s="0" t="s">
        <v>33</v>
      </c>
      <c r="M3" s="0" t="s">
        <v>43</v>
      </c>
    </row>
    <row r="4" customFormat="false" ht="15" hidden="false" customHeight="false" outlineLevel="0" collapsed="false">
      <c r="A4" s="0" t="s">
        <v>44</v>
      </c>
      <c r="B4" s="0" t="s">
        <v>45</v>
      </c>
      <c r="C4" s="4" t="n">
        <v>63</v>
      </c>
      <c r="D4" s="0" t="n">
        <v>60</v>
      </c>
      <c r="E4" s="0" t="n">
        <v>65</v>
      </c>
      <c r="F4" s="0" t="s">
        <v>46</v>
      </c>
      <c r="G4" s="0" t="s">
        <v>33</v>
      </c>
      <c r="H4" s="0" t="s">
        <v>47</v>
      </c>
      <c r="I4" s="0" t="s">
        <v>40</v>
      </c>
      <c r="J4" s="0" t="s">
        <v>41</v>
      </c>
      <c r="K4" s="0" t="s">
        <v>48</v>
      </c>
      <c r="L4" s="0" t="s">
        <v>33</v>
      </c>
      <c r="M4" s="0" t="s">
        <v>43</v>
      </c>
    </row>
    <row r="5" customFormat="false" ht="15" hidden="false" customHeight="false" outlineLevel="0" collapsed="false">
      <c r="A5" s="0" t="s">
        <v>49</v>
      </c>
      <c r="B5" s="0" t="s">
        <v>50</v>
      </c>
      <c r="C5" s="4" t="n">
        <v>0.213</v>
      </c>
      <c r="F5" s="0" t="s">
        <v>51</v>
      </c>
      <c r="G5" s="0" t="s">
        <v>52</v>
      </c>
      <c r="H5" s="0" t="s">
        <v>53</v>
      </c>
      <c r="I5" s="0" t="s">
        <v>54</v>
      </c>
      <c r="J5" s="0" t="s">
        <v>31</v>
      </c>
      <c r="K5" s="0" t="s">
        <v>55</v>
      </c>
      <c r="L5" s="0" t="s">
        <v>33</v>
      </c>
      <c r="M5" s="0" t="s">
        <v>56</v>
      </c>
    </row>
    <row r="6" customFormat="false" ht="15" hidden="false" customHeight="false" outlineLevel="0" collapsed="false">
      <c r="A6" s="0" t="s">
        <v>57</v>
      </c>
      <c r="B6" s="0" t="s">
        <v>58</v>
      </c>
      <c r="C6" s="4" t="n">
        <v>0.361</v>
      </c>
      <c r="F6" s="0" t="s">
        <v>51</v>
      </c>
      <c r="G6" s="0" t="s">
        <v>59</v>
      </c>
      <c r="H6" s="0" t="s">
        <v>53</v>
      </c>
      <c r="I6" s="0" t="s">
        <v>54</v>
      </c>
      <c r="J6" s="0" t="s">
        <v>31</v>
      </c>
      <c r="K6" s="0" t="s">
        <v>55</v>
      </c>
      <c r="L6" s="0" t="s">
        <v>33</v>
      </c>
      <c r="M6" s="0" t="s">
        <v>56</v>
      </c>
    </row>
    <row r="7" customFormat="false" ht="15" hidden="false" customHeight="false" outlineLevel="0" collapsed="false">
      <c r="A7" s="0" t="s">
        <v>60</v>
      </c>
      <c r="B7" s="0" t="s">
        <v>61</v>
      </c>
      <c r="C7" s="4" t="n">
        <v>0.233</v>
      </c>
      <c r="F7" s="0" t="s">
        <v>51</v>
      </c>
      <c r="G7" s="0" t="s">
        <v>62</v>
      </c>
      <c r="H7" s="0" t="s">
        <v>53</v>
      </c>
      <c r="I7" s="0" t="s">
        <v>54</v>
      </c>
      <c r="J7" s="0" t="s">
        <v>31</v>
      </c>
      <c r="K7" s="0" t="s">
        <v>55</v>
      </c>
      <c r="L7" s="0" t="s">
        <v>33</v>
      </c>
      <c r="M7" s="0" t="s">
        <v>56</v>
      </c>
    </row>
    <row r="8" customFormat="false" ht="15" hidden="false" customHeight="false" outlineLevel="0" collapsed="false">
      <c r="A8" s="0" t="s">
        <v>63</v>
      </c>
      <c r="B8" s="0" t="s">
        <v>64</v>
      </c>
      <c r="C8" s="4" t="n">
        <v>0.11</v>
      </c>
      <c r="F8" s="0" t="s">
        <v>51</v>
      </c>
      <c r="G8" s="0" t="s">
        <v>65</v>
      </c>
      <c r="H8" s="0" t="s">
        <v>53</v>
      </c>
      <c r="I8" s="0" t="s">
        <v>54</v>
      </c>
      <c r="J8" s="0" t="s">
        <v>31</v>
      </c>
      <c r="K8" s="0" t="s">
        <v>55</v>
      </c>
      <c r="L8" s="0" t="s">
        <v>33</v>
      </c>
      <c r="M8" s="0" t="s">
        <v>56</v>
      </c>
    </row>
    <row r="9" customFormat="false" ht="15" hidden="false" customHeight="false" outlineLevel="0" collapsed="false">
      <c r="A9" s="0" t="s">
        <v>66</v>
      </c>
      <c r="B9" s="0" t="s">
        <v>67</v>
      </c>
      <c r="C9" s="4" t="n">
        <v>0.083</v>
      </c>
      <c r="F9" s="0" t="s">
        <v>51</v>
      </c>
      <c r="G9" s="0" t="s">
        <v>68</v>
      </c>
      <c r="H9" s="0" t="s">
        <v>53</v>
      </c>
      <c r="I9" s="0" t="s">
        <v>54</v>
      </c>
      <c r="J9" s="0" t="s">
        <v>31</v>
      </c>
      <c r="K9" s="0" t="s">
        <v>55</v>
      </c>
      <c r="L9" s="0" t="s">
        <v>33</v>
      </c>
      <c r="M9" s="0" t="s">
        <v>56</v>
      </c>
    </row>
    <row r="10" customFormat="false" ht="15" hidden="false" customHeight="false" outlineLevel="0" collapsed="false">
      <c r="A10" s="0" t="s">
        <v>69</v>
      </c>
      <c r="B10" s="0" t="s">
        <v>70</v>
      </c>
      <c r="C10" s="4" t="n">
        <v>0.117</v>
      </c>
      <c r="D10" s="0" t="n">
        <v>0.104</v>
      </c>
      <c r="E10" s="0" t="n">
        <v>0.13</v>
      </c>
      <c r="F10" s="0" t="s">
        <v>71</v>
      </c>
      <c r="G10" s="0" t="s">
        <v>72</v>
      </c>
      <c r="H10" s="0" t="s">
        <v>73</v>
      </c>
      <c r="I10" s="0" t="s">
        <v>74</v>
      </c>
      <c r="J10" s="0" t="s">
        <v>75</v>
      </c>
      <c r="K10" s="0" t="s">
        <v>76</v>
      </c>
      <c r="L10" s="0" t="s">
        <v>33</v>
      </c>
      <c r="M10" s="0" t="s">
        <v>77</v>
      </c>
    </row>
    <row r="11" customFormat="false" ht="15" hidden="false" customHeight="false" outlineLevel="0" collapsed="false">
      <c r="A11" s="0" t="s">
        <v>78</v>
      </c>
      <c r="B11" s="0" t="s">
        <v>79</v>
      </c>
      <c r="C11" s="4" t="n">
        <v>0.085</v>
      </c>
      <c r="D11" s="0" t="n">
        <v>0.075</v>
      </c>
      <c r="E11" s="0" t="n">
        <v>0.096</v>
      </c>
      <c r="F11" s="0" t="s">
        <v>71</v>
      </c>
      <c r="G11" s="0" t="s">
        <v>80</v>
      </c>
      <c r="H11" s="0" t="s">
        <v>73</v>
      </c>
      <c r="I11" s="0" t="s">
        <v>74</v>
      </c>
      <c r="J11" s="0" t="s">
        <v>75</v>
      </c>
      <c r="K11" s="0" t="s">
        <v>76</v>
      </c>
      <c r="L11" s="0" t="s">
        <v>33</v>
      </c>
      <c r="M11" s="0" t="s">
        <v>77</v>
      </c>
    </row>
    <row r="12" customFormat="false" ht="15" hidden="false" customHeight="false" outlineLevel="0" collapsed="false">
      <c r="A12" s="0" t="s">
        <v>81</v>
      </c>
      <c r="B12" s="0" t="s">
        <v>82</v>
      </c>
      <c r="C12" s="4" t="n">
        <v>0.12</v>
      </c>
      <c r="D12" s="0" t="n">
        <v>0.109</v>
      </c>
      <c r="E12" s="0" t="n">
        <v>0.133</v>
      </c>
      <c r="F12" s="0" t="s">
        <v>71</v>
      </c>
      <c r="G12" s="0" t="s">
        <v>83</v>
      </c>
      <c r="H12" s="0" t="s">
        <v>73</v>
      </c>
      <c r="I12" s="0" t="s">
        <v>74</v>
      </c>
      <c r="J12" s="0" t="s">
        <v>75</v>
      </c>
      <c r="K12" s="0" t="s">
        <v>76</v>
      </c>
      <c r="L12" s="0" t="s">
        <v>33</v>
      </c>
      <c r="M12" s="0" t="s">
        <v>77</v>
      </c>
    </row>
    <row r="13" customFormat="false" ht="15" hidden="false" customHeight="false" outlineLevel="0" collapsed="false">
      <c r="A13" s="0" t="s">
        <v>84</v>
      </c>
      <c r="B13" s="0" t="s">
        <v>85</v>
      </c>
      <c r="C13" s="4" t="n">
        <v>0.116</v>
      </c>
      <c r="D13" s="0" t="n">
        <v>0.104</v>
      </c>
      <c r="E13" s="0" t="n">
        <v>0.129</v>
      </c>
      <c r="F13" s="0" t="s">
        <v>71</v>
      </c>
      <c r="G13" s="0" t="s">
        <v>86</v>
      </c>
      <c r="H13" s="0" t="s">
        <v>73</v>
      </c>
      <c r="I13" s="0" t="s">
        <v>74</v>
      </c>
      <c r="J13" s="0" t="s">
        <v>75</v>
      </c>
      <c r="K13" s="0" t="s">
        <v>76</v>
      </c>
      <c r="L13" s="0" t="s">
        <v>33</v>
      </c>
      <c r="M13" s="0" t="s">
        <v>77</v>
      </c>
    </row>
    <row r="14" customFormat="false" ht="15" hidden="false" customHeight="false" outlineLevel="0" collapsed="false">
      <c r="A14" s="0" t="s">
        <v>87</v>
      </c>
      <c r="B14" s="0" t="s">
        <v>88</v>
      </c>
      <c r="C14" s="4" t="n">
        <v>0.0592</v>
      </c>
      <c r="D14" s="0" t="n">
        <v>0.0272</v>
      </c>
      <c r="E14" s="0" t="n">
        <v>0.08</v>
      </c>
      <c r="F14" s="0" t="s">
        <v>71</v>
      </c>
      <c r="G14" s="0" t="s">
        <v>89</v>
      </c>
      <c r="H14" s="0" t="s">
        <v>90</v>
      </c>
      <c r="I14" s="0" t="s">
        <v>91</v>
      </c>
      <c r="J14" s="0" t="s">
        <v>92</v>
      </c>
      <c r="K14" s="0" t="s">
        <v>33</v>
      </c>
      <c r="L14" s="0" t="s">
        <v>33</v>
      </c>
      <c r="M14" s="0" t="s">
        <v>77</v>
      </c>
    </row>
    <row r="15" customFormat="false" ht="15" hidden="false" customHeight="false" outlineLevel="0" collapsed="false">
      <c r="A15" s="0" t="s">
        <v>93</v>
      </c>
      <c r="B15" s="0" t="s">
        <v>94</v>
      </c>
      <c r="C15" s="4" t="n">
        <v>0.0367</v>
      </c>
      <c r="D15" s="0" t="n">
        <v>0.02</v>
      </c>
      <c r="E15" s="0" t="n">
        <v>0.048</v>
      </c>
      <c r="F15" s="0" t="s">
        <v>71</v>
      </c>
      <c r="G15" s="0" t="s">
        <v>95</v>
      </c>
      <c r="H15" s="0" t="s">
        <v>90</v>
      </c>
      <c r="I15" s="0" t="s">
        <v>91</v>
      </c>
      <c r="J15" s="0" t="s">
        <v>92</v>
      </c>
      <c r="K15" s="0" t="s">
        <v>33</v>
      </c>
      <c r="L15" s="0" t="s">
        <v>33</v>
      </c>
      <c r="M15" s="0" t="s">
        <v>77</v>
      </c>
    </row>
    <row r="16" customFormat="false" ht="15" hidden="false" customHeight="false" outlineLevel="0" collapsed="false">
      <c r="A16" s="0" t="s">
        <v>96</v>
      </c>
      <c r="B16" s="0" t="s">
        <v>97</v>
      </c>
      <c r="C16" s="4" t="n">
        <v>0.0215</v>
      </c>
      <c r="D16" s="0" t="n">
        <v>0.0131</v>
      </c>
      <c r="E16" s="0" t="n">
        <v>0.0681</v>
      </c>
      <c r="F16" s="0" t="s">
        <v>71</v>
      </c>
      <c r="G16" s="0" t="s">
        <v>98</v>
      </c>
      <c r="H16" s="0" t="s">
        <v>90</v>
      </c>
      <c r="I16" s="0" t="s">
        <v>91</v>
      </c>
      <c r="J16" s="0" t="s">
        <v>92</v>
      </c>
      <c r="K16" s="0" t="s">
        <v>33</v>
      </c>
      <c r="L16" s="0" t="s">
        <v>33</v>
      </c>
      <c r="M16" s="0" t="s">
        <v>77</v>
      </c>
    </row>
    <row r="17" customFormat="false" ht="15" hidden="false" customHeight="false" outlineLevel="0" collapsed="false">
      <c r="A17" s="0" t="s">
        <v>99</v>
      </c>
      <c r="B17" s="0" t="s">
        <v>100</v>
      </c>
      <c r="C17" s="4" t="n">
        <v>0.0418</v>
      </c>
      <c r="D17" s="0" t="n">
        <v>0.0376</v>
      </c>
      <c r="E17" s="0" t="n">
        <v>0.046</v>
      </c>
      <c r="F17" s="0" t="s">
        <v>71</v>
      </c>
      <c r="G17" s="0" t="s">
        <v>101</v>
      </c>
      <c r="H17" s="0" t="s">
        <v>90</v>
      </c>
      <c r="I17" s="0" t="s">
        <v>91</v>
      </c>
      <c r="J17" s="0" t="s">
        <v>92</v>
      </c>
      <c r="K17" s="0" t="s">
        <v>33</v>
      </c>
      <c r="L17" s="0" t="s">
        <v>33</v>
      </c>
      <c r="M17" s="0" t="s">
        <v>77</v>
      </c>
    </row>
    <row r="18" customFormat="false" ht="15" hidden="false" customHeight="false" outlineLevel="0" collapsed="false">
      <c r="A18" s="0" t="s">
        <v>102</v>
      </c>
      <c r="B18" s="0" t="s">
        <v>103</v>
      </c>
      <c r="C18" s="4" t="n">
        <v>0.1081</v>
      </c>
      <c r="D18" s="0" t="n">
        <v>0.0934</v>
      </c>
      <c r="E18" s="0" t="n">
        <v>0.1228</v>
      </c>
      <c r="F18" s="0" t="s">
        <v>71</v>
      </c>
      <c r="G18" s="0" t="s">
        <v>104</v>
      </c>
      <c r="H18" s="0" t="s">
        <v>90</v>
      </c>
      <c r="I18" s="0" t="s">
        <v>91</v>
      </c>
      <c r="J18" s="0" t="s">
        <v>92</v>
      </c>
      <c r="K18" s="0" t="s">
        <v>33</v>
      </c>
      <c r="L18" s="0" t="s">
        <v>33</v>
      </c>
      <c r="M18" s="0" t="s">
        <v>77</v>
      </c>
    </row>
    <row r="19" customFormat="false" ht="15" hidden="false" customHeight="false" outlineLevel="0" collapsed="false">
      <c r="A19" s="0" t="s">
        <v>105</v>
      </c>
      <c r="B19" s="0" t="s">
        <v>106</v>
      </c>
      <c r="C19" s="4" t="n">
        <v>0.2715</v>
      </c>
      <c r="D19" s="0" t="n">
        <v>0.257</v>
      </c>
      <c r="E19" s="0" t="n">
        <v>0.286</v>
      </c>
      <c r="F19" s="0" t="s">
        <v>71</v>
      </c>
      <c r="G19" s="0" t="s">
        <v>107</v>
      </c>
      <c r="H19" s="0" t="s">
        <v>90</v>
      </c>
      <c r="I19" s="0" t="s">
        <v>91</v>
      </c>
      <c r="J19" s="0" t="s">
        <v>92</v>
      </c>
      <c r="K19" s="0" t="s">
        <v>33</v>
      </c>
      <c r="L19" s="0" t="s">
        <v>33</v>
      </c>
      <c r="M19" s="0" t="s">
        <v>77</v>
      </c>
    </row>
    <row r="20" customFormat="false" ht="15" hidden="false" customHeight="false" outlineLevel="0" collapsed="false">
      <c r="A20" s="0" t="s">
        <v>108</v>
      </c>
      <c r="B20" s="0" t="s">
        <v>109</v>
      </c>
      <c r="C20" s="4" t="n">
        <v>0.0093</v>
      </c>
      <c r="D20" s="0" t="n">
        <v>0.0084</v>
      </c>
      <c r="E20" s="0" t="n">
        <v>0.0103</v>
      </c>
      <c r="F20" s="0" t="s">
        <v>71</v>
      </c>
      <c r="G20" s="0" t="s">
        <v>110</v>
      </c>
      <c r="H20" s="0" t="s">
        <v>90</v>
      </c>
      <c r="I20" s="0" t="s">
        <v>91</v>
      </c>
      <c r="J20" s="0" t="s">
        <v>92</v>
      </c>
      <c r="K20" s="0" t="s">
        <v>33</v>
      </c>
      <c r="L20" s="0" t="s">
        <v>33</v>
      </c>
      <c r="M20" s="0" t="s">
        <v>77</v>
      </c>
    </row>
    <row r="21" customFormat="false" ht="15" hidden="false" customHeight="false" outlineLevel="0" collapsed="false">
      <c r="A21" s="0" t="s">
        <v>111</v>
      </c>
      <c r="B21" s="0" t="s">
        <v>112</v>
      </c>
      <c r="C21" s="4" t="n">
        <v>0.18</v>
      </c>
      <c r="D21" s="0" t="n">
        <v>0.175</v>
      </c>
      <c r="E21" s="0" t="n">
        <v>0.185</v>
      </c>
      <c r="F21" s="0" t="s">
        <v>71</v>
      </c>
      <c r="G21" s="0" t="s">
        <v>113</v>
      </c>
      <c r="H21" s="0" t="s">
        <v>90</v>
      </c>
      <c r="I21" s="0" t="s">
        <v>91</v>
      </c>
      <c r="J21" s="0" t="s">
        <v>92</v>
      </c>
      <c r="K21" s="0" t="s">
        <v>33</v>
      </c>
      <c r="L21" s="0" t="s">
        <v>33</v>
      </c>
      <c r="M21" s="0" t="s">
        <v>77</v>
      </c>
    </row>
    <row r="22" customFormat="false" ht="15" hidden="false" customHeight="false" outlineLevel="0" collapsed="false">
      <c r="A22" s="0" t="s">
        <v>114</v>
      </c>
      <c r="B22" s="0" t="s">
        <v>115</v>
      </c>
      <c r="C22" s="4" t="n">
        <v>0.04572</v>
      </c>
      <c r="D22" s="0" t="n">
        <v>0.0432</v>
      </c>
      <c r="E22" s="0" t="n">
        <v>0.0483</v>
      </c>
      <c r="F22" s="0" t="s">
        <v>71</v>
      </c>
      <c r="G22" s="0" t="s">
        <v>116</v>
      </c>
      <c r="H22" s="0" t="s">
        <v>90</v>
      </c>
      <c r="I22" s="0" t="s">
        <v>91</v>
      </c>
      <c r="J22" s="0" t="s">
        <v>92</v>
      </c>
      <c r="K22" s="0" t="s">
        <v>33</v>
      </c>
      <c r="L22" s="0" t="s">
        <v>33</v>
      </c>
      <c r="M22" s="0" t="s">
        <v>77</v>
      </c>
    </row>
    <row r="23" customFormat="false" ht="15" hidden="false" customHeight="false" outlineLevel="0" collapsed="false">
      <c r="A23" s="0" t="s">
        <v>117</v>
      </c>
      <c r="B23" s="0" t="s">
        <v>118</v>
      </c>
      <c r="C23" s="4" t="n">
        <v>0.0125</v>
      </c>
      <c r="D23" s="0" t="n">
        <v>0.003</v>
      </c>
      <c r="E23" s="0" t="n">
        <v>0.026</v>
      </c>
      <c r="F23" s="0" t="s">
        <v>71</v>
      </c>
      <c r="G23" s="0" t="s">
        <v>119</v>
      </c>
      <c r="H23" s="0" t="s">
        <v>90</v>
      </c>
      <c r="I23" s="0" t="s">
        <v>91</v>
      </c>
      <c r="J23" s="0" t="s">
        <v>92</v>
      </c>
      <c r="K23" s="0" t="s">
        <v>33</v>
      </c>
      <c r="L23" s="0" t="s">
        <v>33</v>
      </c>
      <c r="M23" s="0" t="s">
        <v>77</v>
      </c>
    </row>
    <row r="24" customFormat="false" ht="15" hidden="false" customHeight="false" outlineLevel="0" collapsed="false">
      <c r="A24" s="0" t="s">
        <v>120</v>
      </c>
      <c r="B24" s="0" t="s">
        <v>121</v>
      </c>
      <c r="C24" s="4" t="n">
        <v>0.0115</v>
      </c>
      <c r="D24" s="0" t="n">
        <v>0.0048</v>
      </c>
      <c r="E24" s="0" t="n">
        <v>0.0201</v>
      </c>
      <c r="F24" s="0" t="s">
        <v>71</v>
      </c>
      <c r="G24" s="0" t="s">
        <v>122</v>
      </c>
      <c r="H24" s="0" t="s">
        <v>90</v>
      </c>
      <c r="I24" s="0" t="s">
        <v>91</v>
      </c>
      <c r="J24" s="0" t="s">
        <v>92</v>
      </c>
      <c r="K24" s="0" t="s">
        <v>123</v>
      </c>
      <c r="L24" s="0" t="s">
        <v>33</v>
      </c>
      <c r="M24" s="0" t="s">
        <v>77</v>
      </c>
    </row>
    <row r="25" customFormat="false" ht="15" hidden="false" customHeight="false" outlineLevel="0" collapsed="false">
      <c r="A25" s="0" t="s">
        <v>124</v>
      </c>
      <c r="B25" s="0" t="s">
        <v>125</v>
      </c>
      <c r="C25" s="4" t="n">
        <v>0.97</v>
      </c>
      <c r="D25" s="0" t="n">
        <v>0.95</v>
      </c>
      <c r="E25" s="0" t="n">
        <v>0.99</v>
      </c>
      <c r="F25" s="0" t="s">
        <v>71</v>
      </c>
      <c r="G25" s="0" t="s">
        <v>126</v>
      </c>
      <c r="H25" s="0" t="s">
        <v>127</v>
      </c>
      <c r="I25" s="0" t="s">
        <v>91</v>
      </c>
      <c r="J25" s="0" t="s">
        <v>31</v>
      </c>
      <c r="K25" s="0" t="s">
        <v>128</v>
      </c>
      <c r="L25" s="0" t="s">
        <v>129</v>
      </c>
      <c r="M25" s="0" t="s">
        <v>56</v>
      </c>
    </row>
    <row r="26" customFormat="false" ht="15" hidden="false" customHeight="false" outlineLevel="0" collapsed="false">
      <c r="A26" s="0" t="s">
        <v>130</v>
      </c>
      <c r="B26" s="0" t="s">
        <v>131</v>
      </c>
      <c r="C26" s="4" t="n">
        <v>0.715</v>
      </c>
      <c r="D26" s="0" t="n">
        <v>0.67</v>
      </c>
      <c r="E26" s="0" t="n">
        <v>0.76</v>
      </c>
      <c r="F26" s="0" t="s">
        <v>71</v>
      </c>
      <c r="G26" s="0" t="s">
        <v>132</v>
      </c>
      <c r="H26" s="0" t="s">
        <v>133</v>
      </c>
      <c r="I26" s="0" t="s">
        <v>91</v>
      </c>
      <c r="J26" s="0" t="s">
        <v>31</v>
      </c>
      <c r="K26" s="0" t="s">
        <v>33</v>
      </c>
      <c r="L26" s="0" t="s">
        <v>33</v>
      </c>
      <c r="M26" s="0" t="s">
        <v>134</v>
      </c>
    </row>
    <row r="27" customFormat="false" ht="15" hidden="false" customHeight="false" outlineLevel="0" collapsed="false">
      <c r="A27" s="0" t="s">
        <v>135</v>
      </c>
      <c r="B27" s="0" t="s">
        <v>136</v>
      </c>
      <c r="C27" s="4" t="n">
        <v>0.55</v>
      </c>
      <c r="D27" s="0" t="n">
        <v>0.445</v>
      </c>
      <c r="E27" s="0" t="n">
        <v>0.655</v>
      </c>
      <c r="F27" s="0" t="s">
        <v>71</v>
      </c>
      <c r="G27" s="0" t="s">
        <v>137</v>
      </c>
      <c r="H27" s="0" t="s">
        <v>133</v>
      </c>
      <c r="I27" s="0" t="s">
        <v>91</v>
      </c>
      <c r="J27" s="0" t="s">
        <v>31</v>
      </c>
      <c r="K27" s="0" t="s">
        <v>33</v>
      </c>
      <c r="L27" s="0" t="s">
        <v>33</v>
      </c>
      <c r="M27" s="0" t="s">
        <v>134</v>
      </c>
    </row>
    <row r="28" customFormat="false" ht="15" hidden="false" customHeight="false" outlineLevel="0" collapsed="false">
      <c r="A28" s="0" t="s">
        <v>138</v>
      </c>
      <c r="B28" s="0" t="s">
        <v>139</v>
      </c>
      <c r="C28" s="4" t="n">
        <v>0.45</v>
      </c>
      <c r="D28" s="0" t="n">
        <v>0.391</v>
      </c>
      <c r="E28" s="0" t="n">
        <v>0.509</v>
      </c>
      <c r="F28" s="0" t="s">
        <v>71</v>
      </c>
      <c r="G28" s="0" t="s">
        <v>140</v>
      </c>
      <c r="H28" s="0" t="s">
        <v>133</v>
      </c>
      <c r="I28" s="0" t="s">
        <v>91</v>
      </c>
      <c r="J28" s="0" t="s">
        <v>31</v>
      </c>
      <c r="K28" s="0" t="s">
        <v>141</v>
      </c>
      <c r="L28" s="0" t="s">
        <v>33</v>
      </c>
      <c r="M28" s="0" t="s">
        <v>134</v>
      </c>
    </row>
    <row r="29" customFormat="false" ht="15" hidden="false" customHeight="false" outlineLevel="0" collapsed="false">
      <c r="A29" s="0" t="s">
        <v>142</v>
      </c>
      <c r="B29" s="0" t="s">
        <v>143</v>
      </c>
      <c r="C29" s="4" t="n">
        <v>0.45</v>
      </c>
      <c r="D29" s="0" t="n">
        <v>0.391</v>
      </c>
      <c r="E29" s="0" t="n">
        <v>0.509</v>
      </c>
      <c r="F29" s="0" t="s">
        <v>71</v>
      </c>
      <c r="G29" s="0" t="s">
        <v>140</v>
      </c>
      <c r="H29" s="0" t="s">
        <v>133</v>
      </c>
      <c r="I29" s="0" t="s">
        <v>91</v>
      </c>
      <c r="J29" s="0" t="s">
        <v>31</v>
      </c>
      <c r="K29" s="0" t="s">
        <v>141</v>
      </c>
      <c r="L29" s="0" t="s">
        <v>33</v>
      </c>
      <c r="M29" s="0" t="s">
        <v>134</v>
      </c>
    </row>
    <row r="30" customFormat="false" ht="15" hidden="false" customHeight="false" outlineLevel="0" collapsed="false">
      <c r="A30" s="0" t="s">
        <v>144</v>
      </c>
      <c r="B30" s="0" t="s">
        <v>145</v>
      </c>
      <c r="C30" s="4" t="n">
        <v>0.45</v>
      </c>
      <c r="D30" s="0" t="n">
        <v>0.391</v>
      </c>
      <c r="E30" s="0" t="n">
        <v>0.509</v>
      </c>
      <c r="F30" s="0" t="s">
        <v>71</v>
      </c>
      <c r="G30" s="0" t="s">
        <v>140</v>
      </c>
      <c r="H30" s="0" t="s">
        <v>133</v>
      </c>
      <c r="I30" s="0" t="s">
        <v>91</v>
      </c>
      <c r="J30" s="0" t="s">
        <v>31</v>
      </c>
      <c r="K30" s="0" t="s">
        <v>141</v>
      </c>
      <c r="L30" s="0" t="s">
        <v>33</v>
      </c>
      <c r="M30" s="0" t="s">
        <v>134</v>
      </c>
    </row>
    <row r="31" customFormat="false" ht="15" hidden="false" customHeight="false" outlineLevel="0" collapsed="false">
      <c r="A31" s="0" t="s">
        <v>146</v>
      </c>
      <c r="B31" s="0" t="s">
        <v>147</v>
      </c>
      <c r="C31" s="4" t="n">
        <v>0.67</v>
      </c>
      <c r="D31" s="0" t="n">
        <v>0.541</v>
      </c>
      <c r="E31" s="0" t="n">
        <v>0.799</v>
      </c>
      <c r="F31" s="0" t="s">
        <v>71</v>
      </c>
      <c r="G31" s="0" t="s">
        <v>148</v>
      </c>
      <c r="H31" s="0" t="s">
        <v>133</v>
      </c>
      <c r="I31" s="0" t="s">
        <v>91</v>
      </c>
      <c r="J31" s="0" t="s">
        <v>31</v>
      </c>
      <c r="K31" s="0" t="s">
        <v>33</v>
      </c>
      <c r="L31" s="0" t="s">
        <v>33</v>
      </c>
      <c r="M31" s="0" t="s">
        <v>134</v>
      </c>
    </row>
    <row r="32" customFormat="false" ht="15" hidden="false" customHeight="false" outlineLevel="0" collapsed="false">
      <c r="A32" s="0" t="s">
        <v>149</v>
      </c>
      <c r="B32" s="0" t="s">
        <v>150</v>
      </c>
      <c r="C32" s="4" t="n">
        <v>0.055</v>
      </c>
      <c r="D32" s="0" t="n">
        <v>0.044</v>
      </c>
      <c r="E32" s="0" t="n">
        <v>0.066</v>
      </c>
      <c r="F32" s="0" t="s">
        <v>151</v>
      </c>
      <c r="G32" s="0" t="s">
        <v>152</v>
      </c>
      <c r="H32" s="0" t="s">
        <v>90</v>
      </c>
      <c r="I32" s="0" t="s">
        <v>91</v>
      </c>
      <c r="J32" s="0" t="s">
        <v>31</v>
      </c>
      <c r="K32" s="0" t="s">
        <v>33</v>
      </c>
      <c r="L32" s="0" t="s">
        <v>33</v>
      </c>
      <c r="M32" s="0" t="s">
        <v>134</v>
      </c>
    </row>
    <row r="33" customFormat="false" ht="15" hidden="false" customHeight="false" outlineLevel="0" collapsed="false">
      <c r="A33" s="0" t="s">
        <v>153</v>
      </c>
      <c r="B33" s="0" t="s">
        <v>154</v>
      </c>
      <c r="C33" s="4" t="n">
        <v>1.57588127194927</v>
      </c>
      <c r="F33" s="0" t="s">
        <v>155</v>
      </c>
      <c r="G33" s="0" t="s">
        <v>33</v>
      </c>
      <c r="H33" s="0" t="s">
        <v>156</v>
      </c>
      <c r="I33" s="0" t="s">
        <v>157</v>
      </c>
      <c r="J33" s="0" t="s">
        <v>41</v>
      </c>
      <c r="K33" s="0" t="s">
        <v>158</v>
      </c>
      <c r="L33" s="0" t="s">
        <v>33</v>
      </c>
      <c r="M33" s="0" t="s">
        <v>159</v>
      </c>
    </row>
    <row r="34" customFormat="false" ht="15" hidden="false" customHeight="false" outlineLevel="0" collapsed="false">
      <c r="A34" s="0" t="s">
        <v>160</v>
      </c>
      <c r="B34" s="0" t="s">
        <v>161</v>
      </c>
      <c r="C34" s="4" t="n">
        <v>2960.24569291855</v>
      </c>
      <c r="D34" s="0" t="n">
        <v>2368.2</v>
      </c>
      <c r="E34" s="0" t="n">
        <v>3552.29</v>
      </c>
      <c r="F34" s="0" t="s">
        <v>151</v>
      </c>
      <c r="G34" s="0" t="s">
        <v>162</v>
      </c>
      <c r="H34" s="0" t="s">
        <v>163</v>
      </c>
      <c r="I34" s="0" t="s">
        <v>164</v>
      </c>
      <c r="J34" s="0" t="s">
        <v>41</v>
      </c>
      <c r="K34" s="0" t="s">
        <v>165</v>
      </c>
      <c r="L34" s="0" t="s">
        <v>129</v>
      </c>
      <c r="M34" s="0" t="s">
        <v>166</v>
      </c>
    </row>
    <row r="35" customFormat="false" ht="15" hidden="false" customHeight="false" outlineLevel="0" collapsed="false">
      <c r="A35" s="0" t="s">
        <v>167</v>
      </c>
      <c r="B35" s="0" t="s">
        <v>168</v>
      </c>
      <c r="C35" s="4" t="n">
        <v>612.592326844841</v>
      </c>
      <c r="D35" s="0" t="n">
        <v>490.07</v>
      </c>
      <c r="E35" s="0" t="n">
        <v>735.11</v>
      </c>
      <c r="F35" s="0" t="s">
        <v>151</v>
      </c>
      <c r="G35" s="0" t="s">
        <v>169</v>
      </c>
      <c r="H35" s="0" t="s">
        <v>163</v>
      </c>
      <c r="I35" s="0" t="s">
        <v>164</v>
      </c>
      <c r="J35" s="0" t="s">
        <v>41</v>
      </c>
      <c r="K35" s="0" t="s">
        <v>170</v>
      </c>
      <c r="L35" s="0" t="s">
        <v>129</v>
      </c>
      <c r="M35" s="0" t="s">
        <v>166</v>
      </c>
    </row>
    <row r="36" customFormat="false" ht="15" hidden="false" customHeight="false" outlineLevel="0" collapsed="false">
      <c r="A36" s="0" t="s">
        <v>171</v>
      </c>
      <c r="B36" s="0" t="s">
        <v>172</v>
      </c>
      <c r="C36" s="4" t="n">
        <v>5415.46871461552</v>
      </c>
      <c r="D36" s="0" t="n">
        <v>4332.37</v>
      </c>
      <c r="E36" s="0" t="n">
        <v>6498.56</v>
      </c>
      <c r="F36" s="0" t="s">
        <v>151</v>
      </c>
      <c r="G36" s="0" t="s">
        <v>173</v>
      </c>
      <c r="H36" s="0" t="s">
        <v>163</v>
      </c>
      <c r="I36" s="0" t="s">
        <v>164</v>
      </c>
      <c r="J36" s="0" t="s">
        <v>41</v>
      </c>
      <c r="K36" s="0" t="s">
        <v>174</v>
      </c>
      <c r="L36" s="0" t="s">
        <v>129</v>
      </c>
      <c r="M36" s="0" t="s">
        <v>166</v>
      </c>
    </row>
    <row r="37" customFormat="false" ht="15" hidden="false" customHeight="false" outlineLevel="0" collapsed="false">
      <c r="A37" s="0" t="s">
        <v>175</v>
      </c>
      <c r="B37" s="0" t="s">
        <v>176</v>
      </c>
      <c r="C37" s="4" t="n">
        <v>2738.06219238642</v>
      </c>
      <c r="D37" s="0" t="n">
        <v>2190.45</v>
      </c>
      <c r="E37" s="0" t="n">
        <v>3285.67</v>
      </c>
      <c r="F37" s="0" t="s">
        <v>151</v>
      </c>
      <c r="G37" s="0" t="s">
        <v>177</v>
      </c>
      <c r="H37" s="0" t="s">
        <v>163</v>
      </c>
      <c r="I37" s="0" t="s">
        <v>164</v>
      </c>
      <c r="J37" s="0" t="s">
        <v>41</v>
      </c>
      <c r="K37" s="0" t="s">
        <v>178</v>
      </c>
      <c r="L37" s="0" t="s">
        <v>129</v>
      </c>
      <c r="M37" s="0" t="s">
        <v>166</v>
      </c>
    </row>
    <row r="38" customFormat="false" ht="15" hidden="false" customHeight="false" outlineLevel="0" collapsed="false">
      <c r="A38" s="0" t="s">
        <v>179</v>
      </c>
      <c r="B38" s="0" t="s">
        <v>180</v>
      </c>
      <c r="C38" s="4" t="n">
        <v>18064.8313023615</v>
      </c>
      <c r="D38" s="0" t="n">
        <v>14451.87</v>
      </c>
      <c r="E38" s="0" t="n">
        <v>21677.8</v>
      </c>
      <c r="F38" s="0" t="s">
        <v>151</v>
      </c>
      <c r="G38" s="0" t="s">
        <v>181</v>
      </c>
      <c r="H38" s="0" t="s">
        <v>163</v>
      </c>
      <c r="I38" s="0" t="s">
        <v>164</v>
      </c>
      <c r="J38" s="0" t="s">
        <v>41</v>
      </c>
      <c r="K38" s="0" t="s">
        <v>182</v>
      </c>
      <c r="L38" s="0" t="s">
        <v>129</v>
      </c>
      <c r="M38" s="0" t="s">
        <v>166</v>
      </c>
    </row>
    <row r="39" customFormat="false" ht="15" hidden="false" customHeight="false" outlineLevel="0" collapsed="false">
      <c r="A39" s="0" t="s">
        <v>183</v>
      </c>
      <c r="B39" s="0" t="s">
        <v>184</v>
      </c>
      <c r="C39" s="4" t="n">
        <v>62879.8847433695</v>
      </c>
      <c r="D39" s="0" t="n">
        <v>50303.91</v>
      </c>
      <c r="E39" s="0" t="n">
        <v>75455.86</v>
      </c>
      <c r="F39" s="0" t="s">
        <v>151</v>
      </c>
      <c r="G39" s="0" t="s">
        <v>185</v>
      </c>
      <c r="H39" s="0" t="s">
        <v>163</v>
      </c>
      <c r="I39" s="0" t="s">
        <v>164</v>
      </c>
      <c r="J39" s="0" t="s">
        <v>41</v>
      </c>
      <c r="K39" s="0" t="s">
        <v>186</v>
      </c>
      <c r="L39" s="0" t="s">
        <v>129</v>
      </c>
      <c r="M39" s="0" t="s">
        <v>166</v>
      </c>
    </row>
    <row r="40" customFormat="false" ht="15" hidden="false" customHeight="false" outlineLevel="0" collapsed="false">
      <c r="A40" s="0" t="s">
        <v>187</v>
      </c>
      <c r="B40" s="0" t="s">
        <v>188</v>
      </c>
      <c r="C40" s="4" t="n">
        <v>342818.346534361</v>
      </c>
      <c r="D40" s="0" t="n">
        <v>274254.68</v>
      </c>
      <c r="E40" s="0" t="n">
        <v>411382.02</v>
      </c>
      <c r="F40" s="0" t="s">
        <v>151</v>
      </c>
      <c r="G40" s="0" t="s">
        <v>189</v>
      </c>
      <c r="H40" s="0" t="s">
        <v>163</v>
      </c>
      <c r="I40" s="0" t="s">
        <v>164</v>
      </c>
      <c r="J40" s="0" t="s">
        <v>41</v>
      </c>
      <c r="K40" s="0" t="s">
        <v>190</v>
      </c>
      <c r="L40" s="0" t="s">
        <v>129</v>
      </c>
      <c r="M40" s="0" t="s">
        <v>166</v>
      </c>
    </row>
    <row r="41" customFormat="false" ht="15" hidden="false" customHeight="false" outlineLevel="0" collapsed="false">
      <c r="A41" s="0" t="s">
        <v>191</v>
      </c>
      <c r="B41" s="0" t="s">
        <v>192</v>
      </c>
      <c r="C41" s="4" t="n">
        <v>31787.8102830612</v>
      </c>
      <c r="D41" s="0" t="n">
        <v>25430.25</v>
      </c>
      <c r="E41" s="0" t="n">
        <v>38145.37</v>
      </c>
      <c r="F41" s="0" t="s">
        <v>151</v>
      </c>
      <c r="G41" s="0" t="s">
        <v>193</v>
      </c>
      <c r="H41" s="0" t="s">
        <v>163</v>
      </c>
      <c r="I41" s="0" t="s">
        <v>164</v>
      </c>
      <c r="J41" s="0" t="s">
        <v>41</v>
      </c>
      <c r="K41" s="0" t="s">
        <v>194</v>
      </c>
      <c r="L41" s="0" t="s">
        <v>129</v>
      </c>
      <c r="M41" s="0" t="s">
        <v>166</v>
      </c>
    </row>
    <row r="42" customFormat="false" ht="15" hidden="false" customHeight="false" outlineLevel="0" collapsed="false">
      <c r="A42" s="0" t="s">
        <v>195</v>
      </c>
      <c r="B42" s="0" t="s">
        <v>196</v>
      </c>
      <c r="C42" s="4" t="n">
        <v>22760</v>
      </c>
      <c r="D42" s="0" t="n">
        <v>17366</v>
      </c>
      <c r="E42" s="0" t="n">
        <v>29829</v>
      </c>
      <c r="F42" s="0" t="s">
        <v>197</v>
      </c>
      <c r="G42" s="0" t="s">
        <v>198</v>
      </c>
      <c r="H42" s="0" t="s">
        <v>199</v>
      </c>
      <c r="I42" s="0" t="s">
        <v>200</v>
      </c>
      <c r="J42" s="0" t="s">
        <v>31</v>
      </c>
      <c r="K42" s="0" t="s">
        <v>201</v>
      </c>
      <c r="L42" s="0" t="s">
        <v>129</v>
      </c>
      <c r="M42" s="0" t="s">
        <v>202</v>
      </c>
    </row>
    <row r="43" customFormat="false" ht="15" hidden="false" customHeight="false" outlineLevel="0" collapsed="false">
      <c r="A43" s="0" t="s">
        <v>203</v>
      </c>
      <c r="B43" s="0" t="s">
        <v>204</v>
      </c>
      <c r="C43" s="4" t="n">
        <v>5765.12988618054</v>
      </c>
      <c r="D43" s="0" t="n">
        <v>3731.52</v>
      </c>
      <c r="E43" s="0" t="n">
        <v>6918.16</v>
      </c>
      <c r="F43" s="0" t="s">
        <v>151</v>
      </c>
      <c r="G43" s="0" t="s">
        <v>205</v>
      </c>
      <c r="H43" s="0" t="s">
        <v>206</v>
      </c>
      <c r="I43" s="0" t="s">
        <v>207</v>
      </c>
      <c r="J43" s="0" t="s">
        <v>41</v>
      </c>
      <c r="K43" s="0" t="s">
        <v>208</v>
      </c>
      <c r="L43" s="0" t="s">
        <v>129</v>
      </c>
      <c r="M43" s="0" t="s">
        <v>202</v>
      </c>
    </row>
    <row r="44" customFormat="false" ht="15" hidden="false" customHeight="false" outlineLevel="0" collapsed="false">
      <c r="A44" s="0" t="s">
        <v>209</v>
      </c>
      <c r="B44" s="0" t="s">
        <v>210</v>
      </c>
      <c r="C44" s="4" t="n">
        <v>46.2</v>
      </c>
      <c r="D44" s="0" t="n">
        <v>40</v>
      </c>
      <c r="E44" s="0" t="n">
        <v>57</v>
      </c>
      <c r="F44" s="0" t="s">
        <v>155</v>
      </c>
      <c r="G44" s="0" t="s">
        <v>33</v>
      </c>
      <c r="H44" s="0" t="s">
        <v>211</v>
      </c>
      <c r="I44" s="0" t="s">
        <v>157</v>
      </c>
      <c r="J44" s="0" t="s">
        <v>31</v>
      </c>
      <c r="K44" s="0" t="s">
        <v>33</v>
      </c>
      <c r="L44" s="0" t="s">
        <v>129</v>
      </c>
      <c r="M44" s="0" t="s">
        <v>212</v>
      </c>
    </row>
    <row r="45" customFormat="false" ht="15" hidden="false" customHeight="false" outlineLevel="0" collapsed="false">
      <c r="A45" s="0" t="s">
        <v>213</v>
      </c>
      <c r="B45" s="0" t="s">
        <v>214</v>
      </c>
      <c r="C45" s="4" t="n">
        <v>180</v>
      </c>
      <c r="D45" s="0" t="n">
        <v>150</v>
      </c>
      <c r="E45" s="0" t="n">
        <v>235</v>
      </c>
      <c r="F45" s="0" t="s">
        <v>155</v>
      </c>
      <c r="G45" s="0" t="s">
        <v>33</v>
      </c>
      <c r="H45" s="0" t="s">
        <v>215</v>
      </c>
      <c r="I45" s="0" t="s">
        <v>40</v>
      </c>
      <c r="J45" s="0" t="s">
        <v>216</v>
      </c>
      <c r="K45" s="0" t="s">
        <v>217</v>
      </c>
      <c r="L45" s="0" t="s">
        <v>129</v>
      </c>
      <c r="M45" s="0" t="s">
        <v>212</v>
      </c>
    </row>
    <row r="46" customFormat="false" ht="15" hidden="false" customHeight="false" outlineLevel="0" collapsed="false">
      <c r="A46" s="0" t="s">
        <v>218</v>
      </c>
      <c r="B46" s="0" t="s">
        <v>219</v>
      </c>
      <c r="C46" s="4" t="n">
        <v>0.005</v>
      </c>
      <c r="D46" s="0" t="n">
        <v>0.004</v>
      </c>
      <c r="E46" s="0" t="n">
        <v>0.007</v>
      </c>
      <c r="F46" s="0" t="s">
        <v>71</v>
      </c>
      <c r="G46" s="0" t="s">
        <v>220</v>
      </c>
      <c r="H46" s="0" t="s">
        <v>221</v>
      </c>
      <c r="I46" s="0" t="s">
        <v>222</v>
      </c>
      <c r="J46" s="0" t="s">
        <v>31</v>
      </c>
      <c r="K46" s="0" t="s">
        <v>33</v>
      </c>
      <c r="L46" s="0" t="s">
        <v>33</v>
      </c>
      <c r="M46" s="0" t="s">
        <v>56</v>
      </c>
    </row>
    <row r="47" customFormat="false" ht="15" hidden="false" customHeight="false" outlineLevel="0" collapsed="false">
      <c r="A47" s="0" t="s">
        <v>223</v>
      </c>
      <c r="B47" s="0" t="s">
        <v>224</v>
      </c>
      <c r="C47" s="4" t="n">
        <v>0.4</v>
      </c>
      <c r="D47" s="0" t="n">
        <v>0.35</v>
      </c>
      <c r="E47" s="0" t="n">
        <v>0.5</v>
      </c>
      <c r="F47" s="0" t="s">
        <v>71</v>
      </c>
      <c r="G47" s="0" t="s">
        <v>225</v>
      </c>
      <c r="H47" s="0" t="s">
        <v>226</v>
      </c>
      <c r="I47" s="0" t="s">
        <v>222</v>
      </c>
      <c r="J47" s="0" t="s">
        <v>31</v>
      </c>
      <c r="K47" s="0" t="s">
        <v>33</v>
      </c>
      <c r="L47" s="0" t="s">
        <v>33</v>
      </c>
      <c r="M47" s="0" t="s">
        <v>56</v>
      </c>
    </row>
    <row r="48" customFormat="false" ht="15" hidden="false" customHeight="false" outlineLevel="0" collapsed="false">
      <c r="A48" s="0" t="s">
        <v>227</v>
      </c>
      <c r="B48" s="0" t="s">
        <v>228</v>
      </c>
      <c r="C48" s="4" t="n">
        <v>0.312</v>
      </c>
      <c r="F48" s="0" t="s">
        <v>155</v>
      </c>
      <c r="G48" s="0" t="s">
        <v>33</v>
      </c>
      <c r="H48" s="0" t="s">
        <v>229</v>
      </c>
      <c r="I48" s="0" t="s">
        <v>230</v>
      </c>
      <c r="J48" s="0" t="s">
        <v>31</v>
      </c>
      <c r="K48" s="0" t="s">
        <v>231</v>
      </c>
      <c r="L48" s="0" t="s">
        <v>232</v>
      </c>
      <c r="M48" s="0" t="s">
        <v>56</v>
      </c>
    </row>
    <row r="49" customFormat="false" ht="15" hidden="false" customHeight="false" outlineLevel="0" collapsed="false">
      <c r="A49" s="0" t="s">
        <v>233</v>
      </c>
      <c r="B49" s="0" t="s">
        <v>234</v>
      </c>
      <c r="C49" s="4" t="n">
        <v>0.5</v>
      </c>
      <c r="D49" s="0" t="n">
        <v>0.4</v>
      </c>
      <c r="E49" s="0" t="n">
        <v>0.7</v>
      </c>
      <c r="F49" s="0" t="s">
        <v>71</v>
      </c>
      <c r="G49" s="0" t="s">
        <v>235</v>
      </c>
      <c r="H49" s="0" t="s">
        <v>236</v>
      </c>
      <c r="I49" s="0" t="s">
        <v>91</v>
      </c>
      <c r="J49" s="0" t="s">
        <v>31</v>
      </c>
      <c r="K49" s="0" t="s">
        <v>237</v>
      </c>
      <c r="L49" s="0" t="s">
        <v>232</v>
      </c>
      <c r="M49" s="0" t="s">
        <v>56</v>
      </c>
    </row>
    <row r="50" customFormat="false" ht="15" hidden="false" customHeight="false" outlineLevel="0" collapsed="false">
      <c r="A50" s="0" t="s">
        <v>238</v>
      </c>
      <c r="B50" s="0" t="s">
        <v>239</v>
      </c>
      <c r="C50" s="4" t="n">
        <v>4832</v>
      </c>
      <c r="D50" s="0" t="n">
        <v>4407</v>
      </c>
      <c r="E50" s="0" t="n">
        <v>5200</v>
      </c>
      <c r="F50" s="0" t="s">
        <v>155</v>
      </c>
      <c r="G50" s="0" t="s">
        <v>33</v>
      </c>
      <c r="H50" s="0" t="s">
        <v>240</v>
      </c>
      <c r="I50" s="0" t="s">
        <v>40</v>
      </c>
      <c r="J50" s="0" t="s">
        <v>31</v>
      </c>
      <c r="K50" s="0" t="s">
        <v>241</v>
      </c>
      <c r="L50" s="0" t="s">
        <v>129</v>
      </c>
      <c r="M50" s="0" t="s">
        <v>242</v>
      </c>
    </row>
    <row r="51" customFormat="false" ht="15" hidden="false" customHeight="false" outlineLevel="0" collapsed="false">
      <c r="A51" s="0" t="s">
        <v>243</v>
      </c>
      <c r="B51" s="0" t="s">
        <v>244</v>
      </c>
      <c r="C51" s="4" t="n">
        <v>17500</v>
      </c>
      <c r="D51" s="0" t="n">
        <v>15000</v>
      </c>
      <c r="E51" s="0" t="n">
        <v>20000</v>
      </c>
      <c r="F51" s="0" t="s">
        <v>155</v>
      </c>
      <c r="G51" s="0" t="s">
        <v>33</v>
      </c>
      <c r="H51" s="0" t="s">
        <v>245</v>
      </c>
      <c r="I51" s="0" t="s">
        <v>246</v>
      </c>
      <c r="J51" s="0" t="s">
        <v>31</v>
      </c>
      <c r="K51" s="0" t="s">
        <v>247</v>
      </c>
      <c r="L51" s="0" t="s">
        <v>129</v>
      </c>
      <c r="M51" s="0" t="s">
        <v>242</v>
      </c>
    </row>
    <row r="52" customFormat="false" ht="15" hidden="false" customHeight="false" outlineLevel="0" collapsed="false">
      <c r="A52" s="0" t="s">
        <v>248</v>
      </c>
      <c r="B52" s="0" t="s">
        <v>249</v>
      </c>
      <c r="C52" s="4" t="n">
        <v>49555600</v>
      </c>
      <c r="F52" s="0" t="s">
        <v>155</v>
      </c>
      <c r="G52" s="0" t="s">
        <v>33</v>
      </c>
      <c r="H52" s="0" t="s">
        <v>250</v>
      </c>
      <c r="I52" s="0" t="s">
        <v>251</v>
      </c>
      <c r="J52" s="0" t="s">
        <v>31</v>
      </c>
      <c r="K52" s="0" t="s">
        <v>33</v>
      </c>
      <c r="L52" s="0" t="s">
        <v>252</v>
      </c>
      <c r="M52" s="0" t="s">
        <v>253</v>
      </c>
    </row>
    <row r="53" customFormat="false" ht="15" hidden="false" customHeight="false" outlineLevel="0" collapsed="false">
      <c r="A53" s="0" t="s">
        <v>254</v>
      </c>
      <c r="B53" s="0" t="s">
        <v>255</v>
      </c>
      <c r="C53" s="4" t="n">
        <v>55049600</v>
      </c>
      <c r="F53" s="0" t="s">
        <v>155</v>
      </c>
      <c r="G53" s="0" t="s">
        <v>33</v>
      </c>
      <c r="H53" s="0" t="s">
        <v>256</v>
      </c>
      <c r="I53" s="0" t="s">
        <v>251</v>
      </c>
      <c r="J53" s="0" t="s">
        <v>31</v>
      </c>
      <c r="K53" s="0" t="s">
        <v>33</v>
      </c>
      <c r="L53" s="0" t="s">
        <v>252</v>
      </c>
      <c r="M53" s="0" t="s">
        <v>253</v>
      </c>
    </row>
    <row r="54" customFormat="false" ht="15" hidden="false" customHeight="false" outlineLevel="0" collapsed="false">
      <c r="A54" s="0" t="s">
        <v>257</v>
      </c>
      <c r="B54" s="0" t="s">
        <v>258</v>
      </c>
      <c r="C54" s="4" t="n">
        <v>6026300</v>
      </c>
      <c r="F54" s="0" t="s">
        <v>155</v>
      </c>
      <c r="G54" s="0" t="s">
        <v>33</v>
      </c>
      <c r="H54" s="0" t="s">
        <v>256</v>
      </c>
      <c r="I54" s="0" t="s">
        <v>251</v>
      </c>
      <c r="J54" s="0" t="s">
        <v>31</v>
      </c>
      <c r="K54" s="0" t="s">
        <v>33</v>
      </c>
      <c r="L54" s="0" t="s">
        <v>252</v>
      </c>
      <c r="M54" s="0" t="s">
        <v>253</v>
      </c>
    </row>
    <row r="55" customFormat="false" ht="15" hidden="false" customHeight="false" outlineLevel="0" collapsed="false">
      <c r="A55" s="0" t="s">
        <v>259</v>
      </c>
      <c r="B55" s="0" t="s">
        <v>260</v>
      </c>
      <c r="C55" s="4" t="n">
        <v>0.138621541501976</v>
      </c>
      <c r="F55" s="0" t="s">
        <v>155</v>
      </c>
      <c r="G55" s="0" t="s">
        <v>33</v>
      </c>
      <c r="H55" s="0" t="s">
        <v>261</v>
      </c>
      <c r="I55" s="0" t="s">
        <v>262</v>
      </c>
      <c r="J55" s="0" t="s">
        <v>31</v>
      </c>
      <c r="K55" s="0" t="s">
        <v>263</v>
      </c>
      <c r="L55" s="0" t="s">
        <v>252</v>
      </c>
      <c r="M55" s="0" t="s">
        <v>264</v>
      </c>
    </row>
    <row r="56" customFormat="false" ht="15" hidden="false" customHeight="false" outlineLevel="0" collapsed="false">
      <c r="A56" s="0" t="s">
        <v>265</v>
      </c>
      <c r="B56" s="0" t="s">
        <v>266</v>
      </c>
      <c r="C56" s="4" t="n">
        <v>2.52822098606627</v>
      </c>
      <c r="F56" s="0" t="s">
        <v>155</v>
      </c>
      <c r="G56" s="0" t="s">
        <v>33</v>
      </c>
      <c r="H56" s="0" t="s">
        <v>267</v>
      </c>
      <c r="I56" s="0" t="s">
        <v>157</v>
      </c>
      <c r="J56" s="0" t="s">
        <v>31</v>
      </c>
      <c r="K56" s="0" t="s">
        <v>268</v>
      </c>
      <c r="L56" s="0" t="s">
        <v>33</v>
      </c>
      <c r="M56" s="0" t="s">
        <v>264</v>
      </c>
    </row>
    <row r="57" customFormat="false" ht="15" hidden="false" customHeight="false" outlineLevel="0" collapsed="false">
      <c r="A57" s="0" t="s">
        <v>269</v>
      </c>
      <c r="B57" s="0" t="s">
        <v>270</v>
      </c>
      <c r="C57" s="4" t="n">
        <v>0.500852514919011</v>
      </c>
      <c r="D57" s="0" t="n">
        <v>0.450658</v>
      </c>
      <c r="E57" s="0" t="n">
        <v>0.550833</v>
      </c>
      <c r="F57" s="0" t="s">
        <v>71</v>
      </c>
      <c r="G57" s="0" t="s">
        <v>271</v>
      </c>
      <c r="H57" s="0" t="s">
        <v>272</v>
      </c>
      <c r="I57" s="0" t="s">
        <v>273</v>
      </c>
      <c r="J57" s="0" t="s">
        <v>41</v>
      </c>
      <c r="K57" s="0" t="s">
        <v>274</v>
      </c>
      <c r="L57" s="0" t="s">
        <v>252</v>
      </c>
      <c r="M57" s="0" t="s">
        <v>56</v>
      </c>
    </row>
    <row r="58" customFormat="false" ht="15" hidden="false" customHeight="false" outlineLevel="0" collapsed="false">
      <c r="A58" s="0" t="s">
        <v>275</v>
      </c>
      <c r="B58" s="0" t="s">
        <v>276</v>
      </c>
      <c r="C58" s="4" t="n">
        <v>0.34</v>
      </c>
      <c r="D58" s="0" t="n">
        <v>0.262368</v>
      </c>
      <c r="E58" s="0" t="n">
        <v>0.422176</v>
      </c>
      <c r="F58" s="0" t="s">
        <v>71</v>
      </c>
      <c r="G58" s="0" t="s">
        <v>277</v>
      </c>
      <c r="H58" s="0" t="s">
        <v>278</v>
      </c>
      <c r="I58" s="0" t="s">
        <v>279</v>
      </c>
      <c r="J58" s="0" t="s">
        <v>41</v>
      </c>
      <c r="K58" s="0" t="s">
        <v>280</v>
      </c>
      <c r="L58" s="0" t="s">
        <v>252</v>
      </c>
      <c r="M58" s="0" t="s">
        <v>56</v>
      </c>
    </row>
    <row r="59" customFormat="false" ht="15" hidden="false" customHeight="false" outlineLevel="0" collapsed="false">
      <c r="A59" s="0" t="s">
        <v>281</v>
      </c>
      <c r="B59" s="0" t="s">
        <v>282</v>
      </c>
      <c r="C59" s="4" t="n">
        <v>2055.88218115643</v>
      </c>
      <c r="D59" s="0" t="n">
        <v>1233.53</v>
      </c>
      <c r="E59" s="0" t="n">
        <v>2878.24</v>
      </c>
      <c r="F59" s="0" t="s">
        <v>151</v>
      </c>
      <c r="G59" s="0" t="s">
        <v>283</v>
      </c>
      <c r="H59" s="0" t="s">
        <v>284</v>
      </c>
      <c r="I59" s="0" t="s">
        <v>40</v>
      </c>
      <c r="J59" s="0" t="s">
        <v>41</v>
      </c>
      <c r="K59" s="0" t="s">
        <v>285</v>
      </c>
      <c r="L59" s="0" t="s">
        <v>252</v>
      </c>
      <c r="M59" s="0" t="s">
        <v>166</v>
      </c>
    </row>
    <row r="60" customFormat="false" ht="15" hidden="false" customHeight="false" outlineLevel="0" collapsed="false">
      <c r="A60" s="0" t="s">
        <v>286</v>
      </c>
      <c r="B60" s="0" t="s">
        <v>287</v>
      </c>
      <c r="C60" s="4" t="n">
        <v>20932.190947843</v>
      </c>
      <c r="D60" s="0" t="n">
        <v>16745.75</v>
      </c>
      <c r="E60" s="0" t="n">
        <v>25118.63</v>
      </c>
      <c r="F60" s="0" t="s">
        <v>151</v>
      </c>
      <c r="G60" s="0" t="s">
        <v>205</v>
      </c>
      <c r="H60" s="0" t="s">
        <v>288</v>
      </c>
      <c r="I60" s="0" t="s">
        <v>289</v>
      </c>
      <c r="J60" s="0" t="s">
        <v>41</v>
      </c>
      <c r="K60" s="0" t="s">
        <v>290</v>
      </c>
      <c r="L60" s="0" t="s">
        <v>252</v>
      </c>
      <c r="M60" s="0" t="s">
        <v>291</v>
      </c>
    </row>
    <row r="61" customFormat="false" ht="15" hidden="false" customHeight="false" outlineLevel="0" collapsed="false">
      <c r="A61" s="0" t="s">
        <v>292</v>
      </c>
      <c r="B61" s="0" t="s">
        <v>293</v>
      </c>
      <c r="C61" s="4" t="n">
        <v>23788.7265728103</v>
      </c>
      <c r="D61" s="0" t="n">
        <v>19030.98</v>
      </c>
      <c r="E61" s="0" t="n">
        <v>28546.47</v>
      </c>
      <c r="F61" s="0" t="s">
        <v>151</v>
      </c>
      <c r="G61" s="0" t="s">
        <v>205</v>
      </c>
      <c r="H61" s="0" t="s">
        <v>294</v>
      </c>
      <c r="I61" s="0" t="s">
        <v>289</v>
      </c>
      <c r="J61" s="0" t="s">
        <v>41</v>
      </c>
      <c r="K61" s="0" t="s">
        <v>290</v>
      </c>
      <c r="L61" s="0" t="s">
        <v>252</v>
      </c>
      <c r="M61" s="0" t="s">
        <v>291</v>
      </c>
    </row>
    <row r="62" customFormat="false" ht="15" hidden="false" customHeight="false" outlineLevel="0" collapsed="false">
      <c r="A62" s="0" t="s">
        <v>295</v>
      </c>
      <c r="B62" s="0" t="s">
        <v>296</v>
      </c>
      <c r="C62" s="4" t="n">
        <v>0.798</v>
      </c>
      <c r="D62" s="0" t="n">
        <v>0.75</v>
      </c>
      <c r="E62" s="0" t="n">
        <v>0.85</v>
      </c>
      <c r="F62" s="0" t="s">
        <v>71</v>
      </c>
      <c r="G62" s="0" t="s">
        <v>297</v>
      </c>
      <c r="H62" s="0" t="s">
        <v>298</v>
      </c>
      <c r="I62" s="0" t="s">
        <v>157</v>
      </c>
      <c r="J62" s="0" t="s">
        <v>31</v>
      </c>
      <c r="K62" s="0" t="s">
        <v>33</v>
      </c>
      <c r="L62" s="0" t="s">
        <v>33</v>
      </c>
      <c r="M62" s="0" t="s">
        <v>56</v>
      </c>
    </row>
    <row r="63" customFormat="false" ht="15" hidden="false" customHeight="false" outlineLevel="0" collapsed="false">
      <c r="A63" s="0" t="s">
        <v>299</v>
      </c>
      <c r="B63" s="0" t="s">
        <v>300</v>
      </c>
      <c r="C63" s="4" t="n">
        <v>0.062</v>
      </c>
      <c r="D63" s="0" t="n">
        <v>0.05</v>
      </c>
      <c r="E63" s="0" t="n">
        <v>0.08</v>
      </c>
      <c r="F63" s="0" t="s">
        <v>155</v>
      </c>
      <c r="G63" s="0" t="s">
        <v>33</v>
      </c>
      <c r="H63" s="0" t="s">
        <v>301</v>
      </c>
      <c r="I63" s="0" t="s">
        <v>157</v>
      </c>
      <c r="J63" s="0" t="s">
        <v>31</v>
      </c>
      <c r="K63" s="0" t="s">
        <v>302</v>
      </c>
      <c r="L63" s="0" t="s">
        <v>303</v>
      </c>
      <c r="M63" s="0" t="s">
        <v>56</v>
      </c>
    </row>
    <row r="64" customFormat="false" ht="15" hidden="false" customHeight="false" outlineLevel="0" collapsed="false">
      <c r="A64" s="0" t="s">
        <v>304</v>
      </c>
      <c r="B64" s="0" t="s">
        <v>305</v>
      </c>
      <c r="C64" s="4" t="n">
        <v>106842.72</v>
      </c>
      <c r="F64" s="0" t="s">
        <v>155</v>
      </c>
      <c r="G64" s="0" t="s">
        <v>33</v>
      </c>
      <c r="H64" s="0" t="s">
        <v>306</v>
      </c>
      <c r="I64" s="0" t="s">
        <v>157</v>
      </c>
      <c r="J64" s="0" t="s">
        <v>31</v>
      </c>
      <c r="K64" s="0" t="s">
        <v>307</v>
      </c>
      <c r="L64" s="0" t="s">
        <v>33</v>
      </c>
      <c r="M64" s="0" t="s">
        <v>291</v>
      </c>
    </row>
    <row r="65" customFormat="false" ht="15" hidden="false" customHeight="false" outlineLevel="0" collapsed="false">
      <c r="A65" s="0" t="s">
        <v>308</v>
      </c>
      <c r="B65" s="0" t="s">
        <v>309</v>
      </c>
      <c r="C65" s="4" t="n">
        <v>0.5402</v>
      </c>
      <c r="D65" s="0" t="n">
        <v>0.2701</v>
      </c>
      <c r="E65" s="0" t="n">
        <v>0.8103</v>
      </c>
      <c r="F65" s="0" t="s">
        <v>310</v>
      </c>
      <c r="G65" s="0" t="s">
        <v>311</v>
      </c>
      <c r="H65" s="0" t="s">
        <v>312</v>
      </c>
      <c r="I65" s="0" t="s">
        <v>289</v>
      </c>
      <c r="J65" s="0" t="s">
        <v>313</v>
      </c>
      <c r="K65" s="0" t="s">
        <v>314</v>
      </c>
      <c r="L65" s="0" t="s">
        <v>33</v>
      </c>
      <c r="M65" s="0" t="s">
        <v>56</v>
      </c>
    </row>
    <row r="66" customFormat="false" ht="15" hidden="false" customHeight="false" outlineLevel="0" collapsed="false">
      <c r="A66" s="0" t="s">
        <v>315</v>
      </c>
      <c r="B66" s="0" t="s">
        <v>316</v>
      </c>
      <c r="C66" s="4" t="n">
        <v>0.25</v>
      </c>
      <c r="D66" s="0" t="n">
        <v>0.17</v>
      </c>
      <c r="E66" s="0" t="n">
        <v>0.5</v>
      </c>
      <c r="F66" s="0" t="s">
        <v>155</v>
      </c>
      <c r="G66" s="0" t="s">
        <v>33</v>
      </c>
      <c r="H66" s="0" t="s">
        <v>317</v>
      </c>
      <c r="I66" s="0" t="s">
        <v>318</v>
      </c>
      <c r="J66" s="0" t="s">
        <v>75</v>
      </c>
      <c r="K66" s="0" t="s">
        <v>319</v>
      </c>
      <c r="L66" s="0" t="s">
        <v>33</v>
      </c>
      <c r="M66" s="0" t="s">
        <v>320</v>
      </c>
    </row>
    <row r="67" customFormat="false" ht="15" hidden="false" customHeight="false" outlineLevel="0" collapsed="false">
      <c r="A67" s="0" t="s">
        <v>321</v>
      </c>
      <c r="B67" s="0" t="s">
        <v>322</v>
      </c>
      <c r="C67" s="4" t="n">
        <v>0.3164</v>
      </c>
      <c r="F67" s="0" t="s">
        <v>155</v>
      </c>
      <c r="G67" s="0" t="s">
        <v>33</v>
      </c>
      <c r="H67" s="0" t="s">
        <v>323</v>
      </c>
      <c r="I67" s="0" t="s">
        <v>40</v>
      </c>
      <c r="J67" s="0" t="s">
        <v>31</v>
      </c>
      <c r="K67" s="0" t="s">
        <v>324</v>
      </c>
      <c r="L67" s="0" t="s">
        <v>252</v>
      </c>
      <c r="M67" s="0" t="s">
        <v>325</v>
      </c>
    </row>
    <row r="68" customFormat="false" ht="15" hidden="false" customHeight="false" outlineLevel="0" collapsed="false">
      <c r="A68" s="0" t="s">
        <v>326</v>
      </c>
      <c r="B68" s="0" t="s">
        <v>327</v>
      </c>
      <c r="C68" s="4" t="n">
        <v>0.0255</v>
      </c>
      <c r="F68" s="0" t="s">
        <v>155</v>
      </c>
      <c r="G68" s="0" t="s">
        <v>33</v>
      </c>
      <c r="H68" s="0" t="s">
        <v>328</v>
      </c>
      <c r="I68" s="0" t="s">
        <v>40</v>
      </c>
      <c r="J68" s="0" t="s">
        <v>31</v>
      </c>
      <c r="K68" s="0" t="s">
        <v>33</v>
      </c>
      <c r="L68" s="0" t="s">
        <v>329</v>
      </c>
      <c r="M68" s="0" t="s">
        <v>325</v>
      </c>
    </row>
    <row r="69" customFormat="false" ht="15" hidden="false" customHeight="false" outlineLevel="0" collapsed="false">
      <c r="A69" s="0" t="s">
        <v>330</v>
      </c>
      <c r="B69" s="0" t="s">
        <v>331</v>
      </c>
      <c r="C69" s="4" t="n">
        <v>0.077661</v>
      </c>
      <c r="F69" s="0" t="s">
        <v>155</v>
      </c>
      <c r="G69" s="0" t="s">
        <v>33</v>
      </c>
      <c r="H69" s="0" t="s">
        <v>332</v>
      </c>
      <c r="I69" s="0" t="s">
        <v>40</v>
      </c>
      <c r="J69" s="0" t="s">
        <v>31</v>
      </c>
      <c r="K69" s="0" t="s">
        <v>333</v>
      </c>
      <c r="L69" s="0" t="s">
        <v>129</v>
      </c>
      <c r="M69" s="0" t="s">
        <v>325</v>
      </c>
    </row>
    <row r="70" customFormat="false" ht="15" hidden="false" customHeight="false" outlineLevel="0" collapsed="false">
      <c r="A70" s="0" t="s">
        <v>334</v>
      </c>
      <c r="B70" s="0" t="s">
        <v>335</v>
      </c>
      <c r="C70" s="4" t="n">
        <v>0.0664841738450687</v>
      </c>
      <c r="F70" s="0" t="s">
        <v>155</v>
      </c>
      <c r="G70" s="0" t="s">
        <v>33</v>
      </c>
      <c r="H70" s="0" t="s">
        <v>336</v>
      </c>
      <c r="I70" s="0" t="s">
        <v>40</v>
      </c>
      <c r="J70" s="0" t="s">
        <v>41</v>
      </c>
      <c r="K70" s="0" t="s">
        <v>337</v>
      </c>
      <c r="L70" s="0" t="s">
        <v>338</v>
      </c>
      <c r="M70" s="0" t="s">
        <v>325</v>
      </c>
    </row>
    <row r="71" customFormat="false" ht="15" hidden="false" customHeight="false" outlineLevel="0" collapsed="false">
      <c r="A71" s="0" t="s">
        <v>339</v>
      </c>
      <c r="B71" s="0" t="s">
        <v>340</v>
      </c>
      <c r="C71" s="4" t="n">
        <v>0.05</v>
      </c>
      <c r="D71" s="0" t="n">
        <v>0</v>
      </c>
      <c r="E71" s="0" t="n">
        <v>0.05</v>
      </c>
      <c r="F71" s="0" t="s">
        <v>155</v>
      </c>
      <c r="G71" s="0" t="s">
        <v>33</v>
      </c>
      <c r="H71" s="0" t="s">
        <v>341</v>
      </c>
      <c r="I71" s="0" t="s">
        <v>54</v>
      </c>
      <c r="J71" s="0" t="s">
        <v>31</v>
      </c>
      <c r="K71" s="0" t="s">
        <v>33</v>
      </c>
      <c r="L71" s="0" t="s">
        <v>33</v>
      </c>
      <c r="M71" s="0" t="s">
        <v>77</v>
      </c>
    </row>
    <row r="72" customFormat="false" ht="15" hidden="false" customHeight="false" outlineLevel="0" collapsed="false">
      <c r="A72" s="0" t="s">
        <v>342</v>
      </c>
      <c r="B72" s="0" t="s">
        <v>343</v>
      </c>
      <c r="C72" s="4" t="n">
        <v>0.035</v>
      </c>
      <c r="D72" s="0" t="n">
        <v>0</v>
      </c>
      <c r="E72" s="0" t="n">
        <v>0.035</v>
      </c>
      <c r="F72" s="0" t="s">
        <v>155</v>
      </c>
      <c r="G72" s="0" t="s">
        <v>33</v>
      </c>
      <c r="H72" s="0" t="s">
        <v>341</v>
      </c>
      <c r="I72" s="0" t="s">
        <v>54</v>
      </c>
      <c r="J72" s="0" t="s">
        <v>31</v>
      </c>
      <c r="K72" s="0" t="s">
        <v>33</v>
      </c>
      <c r="L72" s="0" t="s">
        <v>33</v>
      </c>
      <c r="M72" s="0" t="s">
        <v>77</v>
      </c>
    </row>
    <row r="73" customFormat="false" ht="15" hidden="false" customHeight="false" outlineLevel="0" collapsed="false">
      <c r="A73" s="0" t="s">
        <v>344</v>
      </c>
      <c r="B73" s="0" t="s">
        <v>345</v>
      </c>
      <c r="C73" s="4" t="n">
        <v>244821</v>
      </c>
      <c r="F73" s="0" t="s">
        <v>155</v>
      </c>
      <c r="G73" s="0" t="s">
        <v>33</v>
      </c>
      <c r="H73" s="0" t="s">
        <v>346</v>
      </c>
      <c r="I73" s="0" t="s">
        <v>40</v>
      </c>
      <c r="J73" s="0" t="s">
        <v>31</v>
      </c>
      <c r="K73" s="0" t="s">
        <v>33</v>
      </c>
      <c r="L73" s="0" t="s">
        <v>33</v>
      </c>
      <c r="M73" s="0" t="s">
        <v>347</v>
      </c>
    </row>
    <row r="74" customFormat="false" ht="15" hidden="false" customHeight="false" outlineLevel="0" collapsed="false">
      <c r="A74" s="0" t="s">
        <v>348</v>
      </c>
      <c r="B74" s="0" t="s">
        <v>349</v>
      </c>
      <c r="C74" s="4" t="n">
        <v>5420</v>
      </c>
      <c r="D74" s="0" t="n">
        <v>3800</v>
      </c>
      <c r="E74" s="0" t="n">
        <v>7000</v>
      </c>
      <c r="F74" s="0" t="s">
        <v>27</v>
      </c>
      <c r="G74" s="0" t="s">
        <v>350</v>
      </c>
      <c r="H74" s="0" t="s">
        <v>351</v>
      </c>
      <c r="I74" s="0" t="s">
        <v>352</v>
      </c>
      <c r="J74" s="0" t="s">
        <v>41</v>
      </c>
      <c r="K74" s="0" t="s">
        <v>353</v>
      </c>
      <c r="L74" s="0" t="s">
        <v>33</v>
      </c>
      <c r="M74" s="0" t="s">
        <v>242</v>
      </c>
    </row>
    <row r="75" customFormat="false" ht="15" hidden="false" customHeight="false" outlineLevel="0" collapsed="false">
      <c r="A75" s="0" t="s">
        <v>354</v>
      </c>
      <c r="B75" s="0" t="s">
        <v>355</v>
      </c>
      <c r="C75" s="4" t="n">
        <v>29</v>
      </c>
      <c r="D75" s="0" t="n">
        <v>25</v>
      </c>
      <c r="E75" s="0" t="n">
        <v>40</v>
      </c>
      <c r="F75" s="0" t="s">
        <v>46</v>
      </c>
      <c r="G75" s="0" t="s">
        <v>33</v>
      </c>
      <c r="H75" s="0" t="s">
        <v>356</v>
      </c>
      <c r="I75" s="0" t="s">
        <v>40</v>
      </c>
      <c r="J75" s="0" t="s">
        <v>41</v>
      </c>
      <c r="K75" s="0" t="s">
        <v>357</v>
      </c>
      <c r="L75" s="0" t="s">
        <v>33</v>
      </c>
      <c r="M75" s="0" t="s">
        <v>43</v>
      </c>
    </row>
    <row r="76" customFormat="false" ht="15" hidden="false" customHeight="false" outlineLevel="0" collapsed="false">
      <c r="A76" s="0" t="s">
        <v>358</v>
      </c>
      <c r="B76" s="0" t="s">
        <v>359</v>
      </c>
      <c r="C76" s="4" t="n">
        <v>0.038</v>
      </c>
      <c r="D76" s="0" t="n">
        <v>0.025</v>
      </c>
      <c r="E76" s="0" t="n">
        <v>0.058</v>
      </c>
      <c r="F76" s="0" t="s">
        <v>197</v>
      </c>
      <c r="G76" s="0" t="s">
        <v>360</v>
      </c>
      <c r="H76" s="0" t="s">
        <v>361</v>
      </c>
      <c r="I76" s="0" t="s">
        <v>222</v>
      </c>
      <c r="J76" s="0" t="s">
        <v>75</v>
      </c>
      <c r="K76" s="0" t="s">
        <v>362</v>
      </c>
      <c r="L76" s="0" t="s">
        <v>33</v>
      </c>
      <c r="M76" s="0" t="s">
        <v>77</v>
      </c>
    </row>
    <row r="77" customFormat="false" ht="15" hidden="false" customHeight="false" outlineLevel="0" collapsed="false">
      <c r="A77" s="0" t="s">
        <v>363</v>
      </c>
      <c r="B77" s="0" t="s">
        <v>364</v>
      </c>
      <c r="C77" s="4" t="n">
        <v>0.032</v>
      </c>
      <c r="D77" s="0" t="n">
        <v>0.02</v>
      </c>
      <c r="E77" s="0" t="n">
        <v>0.1</v>
      </c>
      <c r="F77" s="0" t="s">
        <v>46</v>
      </c>
      <c r="G77" s="0" t="s">
        <v>33</v>
      </c>
      <c r="H77" s="0" t="s">
        <v>365</v>
      </c>
      <c r="I77" s="0" t="s">
        <v>246</v>
      </c>
      <c r="J77" s="0" t="s">
        <v>31</v>
      </c>
      <c r="K77" s="0" t="s">
        <v>366</v>
      </c>
      <c r="L77" s="0" t="s">
        <v>33</v>
      </c>
      <c r="M77" s="0" t="s">
        <v>56</v>
      </c>
    </row>
    <row r="78" customFormat="false" ht="15" hidden="false" customHeight="false" outlineLevel="0" collapsed="false">
      <c r="A78" s="0" t="s">
        <v>367</v>
      </c>
      <c r="B78" s="0" t="s">
        <v>368</v>
      </c>
      <c r="C78" s="4" t="n">
        <v>1590</v>
      </c>
      <c r="D78" s="0" t="n">
        <v>1028</v>
      </c>
      <c r="E78" s="0" t="n">
        <v>2460</v>
      </c>
      <c r="F78" s="0" t="s">
        <v>197</v>
      </c>
      <c r="G78" s="0" t="s">
        <v>369</v>
      </c>
      <c r="H78" s="0" t="s">
        <v>370</v>
      </c>
      <c r="I78" s="0" t="s">
        <v>371</v>
      </c>
      <c r="J78" s="0" t="s">
        <v>41</v>
      </c>
      <c r="K78" s="0" t="s">
        <v>372</v>
      </c>
      <c r="L78" s="0" t="s">
        <v>129</v>
      </c>
      <c r="M78" s="0" t="s">
        <v>34</v>
      </c>
    </row>
    <row r="79" customFormat="false" ht="15" hidden="false" customHeight="false" outlineLevel="0" collapsed="false">
      <c r="A79" s="0" t="s">
        <v>373</v>
      </c>
      <c r="B79" s="0" t="s">
        <v>374</v>
      </c>
      <c r="C79" s="4" t="n">
        <v>2052</v>
      </c>
      <c r="D79" s="0" t="n">
        <v>1584</v>
      </c>
      <c r="E79" s="0" t="n">
        <v>2548</v>
      </c>
      <c r="F79" s="0" t="s">
        <v>310</v>
      </c>
      <c r="G79" s="0" t="s">
        <v>375</v>
      </c>
      <c r="H79" s="0" t="s">
        <v>376</v>
      </c>
      <c r="I79" s="0" t="s">
        <v>246</v>
      </c>
      <c r="J79" s="0" t="s">
        <v>41</v>
      </c>
      <c r="K79" s="0" t="s">
        <v>377</v>
      </c>
      <c r="L79" s="0" t="s">
        <v>129</v>
      </c>
      <c r="M79" s="0" t="s">
        <v>34</v>
      </c>
    </row>
    <row r="80" customFormat="false" ht="15" hidden="false" customHeight="false" outlineLevel="0" collapsed="false">
      <c r="A80" s="0" t="s">
        <v>378</v>
      </c>
      <c r="B80" s="0" t="s">
        <v>379</v>
      </c>
      <c r="C80" s="4" t="n">
        <v>1585</v>
      </c>
      <c r="D80" s="0" t="n">
        <v>792</v>
      </c>
      <c r="E80" s="0" t="n">
        <v>3170</v>
      </c>
      <c r="F80" s="0" t="s">
        <v>197</v>
      </c>
      <c r="G80" s="0" t="s">
        <v>380</v>
      </c>
      <c r="H80" s="0" t="s">
        <v>381</v>
      </c>
      <c r="I80" s="0" t="s">
        <v>352</v>
      </c>
      <c r="J80" s="0" t="s">
        <v>41</v>
      </c>
      <c r="K80" s="0" t="s">
        <v>382</v>
      </c>
      <c r="L80" s="0" t="s">
        <v>129</v>
      </c>
      <c r="M80" s="0" t="s">
        <v>34</v>
      </c>
    </row>
    <row r="81" customFormat="false" ht="15" hidden="false" customHeight="false" outlineLevel="0" collapsed="false">
      <c r="A81" s="0" t="s">
        <v>383</v>
      </c>
      <c r="B81" s="0" t="s">
        <v>384</v>
      </c>
      <c r="C81" s="4" t="n">
        <v>0.5</v>
      </c>
      <c r="D81" s="0" t="n">
        <v>0.427408</v>
      </c>
      <c r="E81" s="0" t="n">
        <v>0.572517</v>
      </c>
      <c r="F81" s="0" t="s">
        <v>71</v>
      </c>
      <c r="G81" s="0" t="s">
        <v>385</v>
      </c>
      <c r="H81" s="0" t="s">
        <v>386</v>
      </c>
      <c r="I81" s="0" t="s">
        <v>40</v>
      </c>
      <c r="J81" s="0" t="s">
        <v>387</v>
      </c>
      <c r="K81" s="0" t="s">
        <v>388</v>
      </c>
      <c r="L81" s="0" t="s">
        <v>129</v>
      </c>
      <c r="M81" s="0" t="s">
        <v>56</v>
      </c>
    </row>
    <row r="82" customFormat="false" ht="15" hidden="false" customHeight="false" outlineLevel="0" collapsed="false">
      <c r="A82" s="0" t="s">
        <v>389</v>
      </c>
      <c r="B82" s="0" t="s">
        <v>390</v>
      </c>
      <c r="C82" s="4" t="n">
        <v>0.6945</v>
      </c>
      <c r="D82" s="0" t="n">
        <v>0.570534</v>
      </c>
      <c r="E82" s="0" t="n">
        <v>0.806263</v>
      </c>
      <c r="F82" s="0" t="s">
        <v>71</v>
      </c>
      <c r="G82" s="0" t="s">
        <v>391</v>
      </c>
      <c r="H82" s="0" t="s">
        <v>392</v>
      </c>
      <c r="I82" s="0" t="s">
        <v>393</v>
      </c>
      <c r="J82" s="0" t="s">
        <v>394</v>
      </c>
      <c r="K82" s="0" t="s">
        <v>395</v>
      </c>
      <c r="L82" s="0" t="s">
        <v>129</v>
      </c>
      <c r="M82" s="0" t="s">
        <v>56</v>
      </c>
    </row>
    <row r="83" customFormat="false" ht="15" hidden="false" customHeight="false" outlineLevel="0" collapsed="false">
      <c r="A83" s="0" t="s">
        <v>396</v>
      </c>
      <c r="B83" s="0" t="s">
        <v>397</v>
      </c>
      <c r="C83" s="4" t="n">
        <v>0.000625</v>
      </c>
      <c r="F83" s="0" t="s">
        <v>155</v>
      </c>
      <c r="G83" s="0" t="s">
        <v>33</v>
      </c>
      <c r="H83" s="0" t="s">
        <v>398</v>
      </c>
      <c r="I83" s="0" t="s">
        <v>157</v>
      </c>
      <c r="J83" s="0" t="s">
        <v>41</v>
      </c>
      <c r="K83" s="0" t="s">
        <v>399</v>
      </c>
      <c r="L83" s="0" t="s">
        <v>129</v>
      </c>
      <c r="M83" s="0" t="s">
        <v>400</v>
      </c>
    </row>
    <row r="84" customFormat="false" ht="15" hidden="false" customHeight="false" outlineLevel="0" collapsed="false">
      <c r="A84" s="0" t="s">
        <v>401</v>
      </c>
      <c r="B84" s="0" t="s">
        <v>402</v>
      </c>
      <c r="C84" s="4" t="n">
        <v>0.0008</v>
      </c>
      <c r="D84" s="0" t="n">
        <v>0.000217</v>
      </c>
      <c r="E84" s="0" t="n">
        <v>0.001757</v>
      </c>
      <c r="F84" s="0" t="s">
        <v>71</v>
      </c>
      <c r="G84" s="0" t="s">
        <v>403</v>
      </c>
      <c r="H84" s="0" t="s">
        <v>404</v>
      </c>
      <c r="I84" s="0" t="s">
        <v>405</v>
      </c>
      <c r="J84" s="0" t="s">
        <v>31</v>
      </c>
      <c r="K84" s="0" t="s">
        <v>406</v>
      </c>
      <c r="L84" s="0" t="s">
        <v>129</v>
      </c>
      <c r="M84" s="0" t="s">
        <v>400</v>
      </c>
    </row>
    <row r="85" customFormat="false" ht="15" hidden="false" customHeight="false" outlineLevel="0" collapsed="false">
      <c r="A85" s="0" t="s">
        <v>407</v>
      </c>
      <c r="B85" s="0" t="s">
        <v>408</v>
      </c>
      <c r="C85" s="4" t="n">
        <v>0.0026</v>
      </c>
      <c r="D85" s="0" t="n">
        <v>0.001876</v>
      </c>
      <c r="E85" s="0" t="n">
        <v>0.003439</v>
      </c>
      <c r="F85" s="0" t="s">
        <v>71</v>
      </c>
      <c r="G85" s="0" t="s">
        <v>409</v>
      </c>
      <c r="H85" s="0" t="s">
        <v>410</v>
      </c>
      <c r="I85" s="0" t="s">
        <v>411</v>
      </c>
      <c r="J85" s="0" t="s">
        <v>31</v>
      </c>
      <c r="K85" s="0" t="s">
        <v>412</v>
      </c>
      <c r="L85" s="0" t="s">
        <v>129</v>
      </c>
      <c r="M85" s="0" t="s">
        <v>400</v>
      </c>
    </row>
    <row r="86" customFormat="false" ht="15" hidden="false" customHeight="false" outlineLevel="0" collapsed="false">
      <c r="A86" s="0" t="s">
        <v>413</v>
      </c>
      <c r="B86" s="0" t="s">
        <v>414</v>
      </c>
      <c r="C86" s="4" t="n">
        <v>0.156</v>
      </c>
      <c r="D86" s="0" t="n">
        <v>0.1248</v>
      </c>
      <c r="E86" s="0" t="n">
        <v>0.295</v>
      </c>
      <c r="F86" s="0" t="s">
        <v>46</v>
      </c>
      <c r="G86" s="0" t="s">
        <v>33</v>
      </c>
      <c r="H86" s="0" t="s">
        <v>415</v>
      </c>
      <c r="I86" s="0" t="s">
        <v>416</v>
      </c>
      <c r="J86" s="0" t="s">
        <v>31</v>
      </c>
      <c r="K86" s="0" t="s">
        <v>417</v>
      </c>
      <c r="L86" s="0" t="s">
        <v>232</v>
      </c>
      <c r="M86" s="0" t="s">
        <v>400</v>
      </c>
    </row>
    <row r="87" customFormat="false" ht="15" hidden="false" customHeight="false" outlineLevel="0" collapsed="false">
      <c r="A87" s="0" t="s">
        <v>418</v>
      </c>
      <c r="B87" s="0" t="s">
        <v>419</v>
      </c>
      <c r="C87" s="4" t="n">
        <v>10000</v>
      </c>
      <c r="D87" s="0" t="n">
        <v>7000</v>
      </c>
      <c r="E87" s="0" t="n">
        <v>13000</v>
      </c>
      <c r="F87" s="0" t="s">
        <v>46</v>
      </c>
      <c r="G87" s="0" t="s">
        <v>33</v>
      </c>
      <c r="H87" s="0" t="s">
        <v>420</v>
      </c>
      <c r="I87" s="0" t="s">
        <v>352</v>
      </c>
      <c r="J87" s="0" t="s">
        <v>41</v>
      </c>
      <c r="K87" s="0" t="s">
        <v>421</v>
      </c>
      <c r="L87" s="0" t="s">
        <v>232</v>
      </c>
      <c r="M87" s="0" t="s">
        <v>34</v>
      </c>
    </row>
    <row r="88" customFormat="false" ht="15" hidden="false" customHeight="false" outlineLevel="0" collapsed="false">
      <c r="A88" s="0" t="s">
        <v>422</v>
      </c>
      <c r="B88" s="0" t="s">
        <v>423</v>
      </c>
      <c r="C88" s="4" t="n">
        <v>0.2</v>
      </c>
      <c r="D88" s="0" t="n">
        <v>0</v>
      </c>
      <c r="E88" s="0" t="n">
        <v>0.5</v>
      </c>
      <c r="F88" s="0" t="s">
        <v>46</v>
      </c>
      <c r="G88" s="0" t="s">
        <v>33</v>
      </c>
      <c r="H88" s="0" t="s">
        <v>424</v>
      </c>
      <c r="I88" s="0" t="s">
        <v>157</v>
      </c>
      <c r="J88" s="0" t="s">
        <v>313</v>
      </c>
      <c r="K88" s="0" t="s">
        <v>425</v>
      </c>
      <c r="L88" s="0" t="s">
        <v>426</v>
      </c>
      <c r="M88" s="0" t="s">
        <v>56</v>
      </c>
    </row>
    <row r="89" customFormat="false" ht="15" hidden="false" customHeight="false" outlineLevel="0" collapsed="false">
      <c r="A89" s="0" t="s">
        <v>427</v>
      </c>
      <c r="B89" s="0" t="s">
        <v>428</v>
      </c>
      <c r="C89" s="4" t="n">
        <v>10</v>
      </c>
      <c r="D89" s="0" t="n">
        <v>5</v>
      </c>
      <c r="E89" s="0" t="n">
        <v>15</v>
      </c>
      <c r="F89" s="0" t="s">
        <v>155</v>
      </c>
      <c r="G89" s="0" t="s">
        <v>33</v>
      </c>
      <c r="H89" s="0" t="s">
        <v>429</v>
      </c>
      <c r="I89" s="0" t="s">
        <v>157</v>
      </c>
      <c r="J89" s="0" t="s">
        <v>313</v>
      </c>
      <c r="K89" s="0" t="s">
        <v>33</v>
      </c>
      <c r="L89" s="0" t="s">
        <v>33</v>
      </c>
      <c r="M89" s="0" t="s">
        <v>43</v>
      </c>
    </row>
    <row r="90" customFormat="false" ht="15" hidden="false" customHeight="false" outlineLevel="0" collapsed="false">
      <c r="A90" s="0" t="s">
        <v>430</v>
      </c>
      <c r="B90" s="0" t="s">
        <v>431</v>
      </c>
      <c r="C90" s="4" t="n">
        <v>20</v>
      </c>
      <c r="F90" s="0" t="s">
        <v>155</v>
      </c>
      <c r="G90" s="0" t="s">
        <v>33</v>
      </c>
      <c r="H90" s="0" t="s">
        <v>432</v>
      </c>
      <c r="I90" s="0" t="s">
        <v>54</v>
      </c>
      <c r="J90" s="0" t="s">
        <v>313</v>
      </c>
      <c r="K90" s="0" t="s">
        <v>33</v>
      </c>
      <c r="L90" s="0" t="s">
        <v>33</v>
      </c>
      <c r="M90" s="0" t="s">
        <v>43</v>
      </c>
    </row>
    <row r="91" customFormat="false" ht="15" hidden="false" customHeight="false" outlineLevel="0" collapsed="false">
      <c r="A91" s="0" t="s">
        <v>433</v>
      </c>
      <c r="B91" s="0" t="s">
        <v>434</v>
      </c>
      <c r="C91" s="4" t="n">
        <v>0.3626</v>
      </c>
      <c r="D91" s="0" t="n">
        <v>0.2307</v>
      </c>
      <c r="E91" s="0" t="n">
        <v>0.5757</v>
      </c>
      <c r="F91" s="0" t="s">
        <v>310</v>
      </c>
      <c r="G91" s="0" t="s">
        <v>435</v>
      </c>
      <c r="H91" s="0" t="s">
        <v>436</v>
      </c>
      <c r="I91" s="0" t="s">
        <v>157</v>
      </c>
      <c r="J91" s="0" t="s">
        <v>41</v>
      </c>
      <c r="K91" s="0" t="s">
        <v>437</v>
      </c>
      <c r="L91" s="0" t="s">
        <v>33</v>
      </c>
      <c r="M91" s="0" t="s">
        <v>264</v>
      </c>
    </row>
    <row r="92" customFormat="false" ht="15" hidden="false" customHeight="false" outlineLevel="0" collapsed="false">
      <c r="A92" s="0" t="s">
        <v>438</v>
      </c>
      <c r="B92" s="0" t="s">
        <v>439</v>
      </c>
      <c r="C92" s="4" t="n">
        <v>0.9285</v>
      </c>
      <c r="D92" s="0" t="n">
        <v>0.631</v>
      </c>
      <c r="E92" s="0" t="n">
        <v>1.2456</v>
      </c>
      <c r="F92" s="0" t="s">
        <v>310</v>
      </c>
      <c r="G92" s="0" t="s">
        <v>440</v>
      </c>
      <c r="H92" s="0" t="s">
        <v>441</v>
      </c>
      <c r="I92" s="0" t="s">
        <v>246</v>
      </c>
      <c r="J92" s="0" t="s">
        <v>41</v>
      </c>
      <c r="K92" s="0" t="s">
        <v>442</v>
      </c>
      <c r="L92" s="0" t="s">
        <v>33</v>
      </c>
      <c r="M92" s="0" t="s">
        <v>264</v>
      </c>
    </row>
    <row r="93" customFormat="false" ht="15" hidden="false" customHeight="false" outlineLevel="0" collapsed="false">
      <c r="A93" s="0" t="s">
        <v>443</v>
      </c>
      <c r="B93" s="0" t="s">
        <v>444</v>
      </c>
      <c r="C93" s="4" t="n">
        <v>3</v>
      </c>
      <c r="D93" s="0" t="n">
        <v>1</v>
      </c>
      <c r="E93" s="0" t="n">
        <v>5</v>
      </c>
      <c r="F93" s="0" t="s">
        <v>46</v>
      </c>
      <c r="G93" s="0" t="s">
        <v>33</v>
      </c>
      <c r="H93" s="0" t="s">
        <v>445</v>
      </c>
      <c r="I93" s="0" t="s">
        <v>157</v>
      </c>
      <c r="J93" s="0" t="s">
        <v>313</v>
      </c>
      <c r="K93" s="0" t="s">
        <v>446</v>
      </c>
      <c r="L93" s="0" t="s">
        <v>33</v>
      </c>
      <c r="M93" s="0" t="s">
        <v>43</v>
      </c>
    </row>
    <row r="94" customFormat="false" ht="15" hidden="false" customHeight="false" outlineLevel="0" collapsed="false">
      <c r="A94" s="0" t="s">
        <v>447</v>
      </c>
      <c r="B94" s="0" t="s">
        <v>448</v>
      </c>
      <c r="C94" s="4" t="n">
        <v>12171</v>
      </c>
      <c r="F94" s="0" t="s">
        <v>155</v>
      </c>
      <c r="G94" s="0" t="s">
        <v>33</v>
      </c>
      <c r="H94" s="0" t="s">
        <v>449</v>
      </c>
      <c r="I94" s="0" t="s">
        <v>91</v>
      </c>
      <c r="J94" s="0" t="s">
        <v>31</v>
      </c>
      <c r="K94" s="0" t="s">
        <v>33</v>
      </c>
      <c r="L94" s="0" t="s">
        <v>129</v>
      </c>
      <c r="M94" s="0" t="s">
        <v>242</v>
      </c>
    </row>
    <row r="95" customFormat="false" ht="15" hidden="false" customHeight="false" outlineLevel="0" collapsed="false">
      <c r="A95" s="0" t="s">
        <v>450</v>
      </c>
      <c r="B95" s="0" t="s">
        <v>451</v>
      </c>
      <c r="C95" s="4" t="n">
        <v>915</v>
      </c>
      <c r="F95" s="0" t="s">
        <v>155</v>
      </c>
      <c r="G95" s="0" t="s">
        <v>33</v>
      </c>
      <c r="H95" s="0" t="s">
        <v>452</v>
      </c>
      <c r="I95" s="0" t="s">
        <v>40</v>
      </c>
      <c r="J95" s="0" t="s">
        <v>31</v>
      </c>
      <c r="K95" s="0" t="s">
        <v>453</v>
      </c>
      <c r="L95" s="0" t="s">
        <v>33</v>
      </c>
      <c r="M95" s="0" t="s">
        <v>34</v>
      </c>
    </row>
    <row r="96" customFormat="false" ht="15" hidden="false" customHeight="false" outlineLevel="0" collapsed="false">
      <c r="A96" s="0" t="s">
        <v>454</v>
      </c>
      <c r="B96" s="0" t="s">
        <v>455</v>
      </c>
      <c r="C96" s="4" t="n">
        <v>2339</v>
      </c>
      <c r="F96" s="0" t="s">
        <v>155</v>
      </c>
      <c r="G96" s="0" t="s">
        <v>33</v>
      </c>
      <c r="H96" s="0" t="s">
        <v>452</v>
      </c>
      <c r="I96" s="0" t="s">
        <v>40</v>
      </c>
      <c r="J96" s="0" t="s">
        <v>31</v>
      </c>
      <c r="K96" s="0" t="s">
        <v>453</v>
      </c>
      <c r="L96" s="0" t="s">
        <v>33</v>
      </c>
      <c r="M96" s="0" t="s">
        <v>34</v>
      </c>
    </row>
    <row r="97" customFormat="false" ht="15" hidden="false" customHeight="false" outlineLevel="0" collapsed="false">
      <c r="A97" s="0" t="s">
        <v>456</v>
      </c>
      <c r="B97" s="0" t="s">
        <v>457</v>
      </c>
      <c r="C97" s="4" t="n">
        <v>1478</v>
      </c>
      <c r="F97" s="0" t="s">
        <v>155</v>
      </c>
      <c r="G97" s="0" t="s">
        <v>33</v>
      </c>
      <c r="H97" s="0" t="s">
        <v>452</v>
      </c>
      <c r="I97" s="0" t="s">
        <v>40</v>
      </c>
      <c r="J97" s="0" t="s">
        <v>31</v>
      </c>
      <c r="K97" s="0" t="s">
        <v>453</v>
      </c>
      <c r="L97" s="0" t="s">
        <v>33</v>
      </c>
      <c r="M97" s="0" t="s">
        <v>34</v>
      </c>
    </row>
    <row r="98" customFormat="false" ht="15" hidden="false" customHeight="false" outlineLevel="0" collapsed="false">
      <c r="A98" s="0" t="s">
        <v>458</v>
      </c>
      <c r="B98" s="0" t="s">
        <v>459</v>
      </c>
      <c r="C98" s="4" t="n">
        <v>111</v>
      </c>
      <c r="F98" s="0" t="s">
        <v>155</v>
      </c>
      <c r="G98" s="0" t="s">
        <v>33</v>
      </c>
      <c r="H98" s="0" t="s">
        <v>452</v>
      </c>
      <c r="I98" s="0" t="s">
        <v>40</v>
      </c>
      <c r="J98" s="0" t="s">
        <v>31</v>
      </c>
      <c r="K98" s="0" t="s">
        <v>453</v>
      </c>
      <c r="L98" s="0" t="s">
        <v>33</v>
      </c>
      <c r="M98" s="0" t="s">
        <v>34</v>
      </c>
    </row>
    <row r="99" customFormat="false" ht="15" hidden="false" customHeight="false" outlineLevel="0" collapsed="false">
      <c r="A99" s="0" t="s">
        <v>460</v>
      </c>
      <c r="B99" s="0" t="s">
        <v>461</v>
      </c>
      <c r="C99" s="4" t="n">
        <v>0.062</v>
      </c>
      <c r="D99" s="0" t="n">
        <v>0.043</v>
      </c>
      <c r="E99" s="0" t="n">
        <v>0.09</v>
      </c>
      <c r="F99" s="0" t="s">
        <v>197</v>
      </c>
      <c r="G99" s="0" t="s">
        <v>462</v>
      </c>
      <c r="H99" s="0" t="s">
        <v>463</v>
      </c>
      <c r="I99" s="0" t="s">
        <v>222</v>
      </c>
      <c r="J99" s="0" t="s">
        <v>75</v>
      </c>
      <c r="K99" s="0" t="s">
        <v>464</v>
      </c>
      <c r="L99" s="0" t="s">
        <v>33</v>
      </c>
      <c r="M99" s="0" t="s">
        <v>77</v>
      </c>
    </row>
    <row r="100" customFormat="false" ht="15" hidden="false" customHeight="false" outlineLevel="0" collapsed="false">
      <c r="A100" s="0" t="s">
        <v>465</v>
      </c>
      <c r="B100" s="0" t="s">
        <v>466</v>
      </c>
      <c r="C100" s="4" t="n">
        <v>14.68</v>
      </c>
      <c r="D100" s="0" t="n">
        <v>13.01</v>
      </c>
      <c r="E100" s="0" t="n">
        <v>16.35</v>
      </c>
      <c r="F100" s="0" t="s">
        <v>46</v>
      </c>
      <c r="G100" s="0" t="s">
        <v>33</v>
      </c>
      <c r="H100" s="0" t="s">
        <v>467</v>
      </c>
      <c r="I100" s="0" t="s">
        <v>352</v>
      </c>
      <c r="J100" s="0" t="s">
        <v>75</v>
      </c>
      <c r="K100" s="0" t="s">
        <v>468</v>
      </c>
      <c r="L100" s="0" t="s">
        <v>33</v>
      </c>
      <c r="M100" s="0" t="s">
        <v>264</v>
      </c>
    </row>
    <row r="101" customFormat="false" ht="15" hidden="false" customHeight="false" outlineLevel="0" collapsed="false">
      <c r="A101" s="0" t="s">
        <v>469</v>
      </c>
      <c r="B101" s="0" t="s">
        <v>470</v>
      </c>
      <c r="C101" s="4" t="n">
        <v>47540.5716184696</v>
      </c>
      <c r="D101" s="0" t="n">
        <v>38032.457295</v>
      </c>
      <c r="E101" s="0" t="n">
        <v>57048.685942</v>
      </c>
      <c r="F101" s="0" t="s">
        <v>151</v>
      </c>
      <c r="G101" s="0" t="s">
        <v>205</v>
      </c>
      <c r="H101" s="0" t="s">
        <v>471</v>
      </c>
      <c r="I101" s="0" t="s">
        <v>164</v>
      </c>
      <c r="J101" s="0" t="s">
        <v>41</v>
      </c>
      <c r="K101" s="0" t="s">
        <v>472</v>
      </c>
      <c r="L101" s="0" t="s">
        <v>129</v>
      </c>
      <c r="M101" s="0" t="s">
        <v>291</v>
      </c>
    </row>
    <row r="102" customFormat="false" ht="15" hidden="false" customHeight="false" outlineLevel="0" collapsed="false">
      <c r="A102" s="0" t="s">
        <v>473</v>
      </c>
      <c r="B102" s="0" t="s">
        <v>474</v>
      </c>
      <c r="C102" s="4" t="n">
        <v>1.77952905207217</v>
      </c>
      <c r="F102" s="0" t="s">
        <v>155</v>
      </c>
      <c r="G102" s="0" t="s">
        <v>33</v>
      </c>
      <c r="H102" s="0" t="s">
        <v>475</v>
      </c>
      <c r="I102" s="0" t="s">
        <v>40</v>
      </c>
      <c r="J102" s="0" t="s">
        <v>31</v>
      </c>
      <c r="K102" s="0" t="s">
        <v>476</v>
      </c>
      <c r="L102" s="0" t="s">
        <v>33</v>
      </c>
      <c r="M102" s="0" t="s">
        <v>264</v>
      </c>
    </row>
    <row r="103" customFormat="false" ht="15" hidden="false" customHeight="false" outlineLevel="0" collapsed="false">
      <c r="A103" s="0" t="s">
        <v>477</v>
      </c>
      <c r="B103" s="0" t="s">
        <v>478</v>
      </c>
      <c r="C103" s="4" t="n">
        <v>4029</v>
      </c>
      <c r="D103" s="0" t="n">
        <v>3525</v>
      </c>
      <c r="E103" s="0" t="n">
        <v>4944</v>
      </c>
      <c r="F103" s="0" t="s">
        <v>46</v>
      </c>
      <c r="G103" s="0" t="s">
        <v>33</v>
      </c>
      <c r="H103" s="0" t="s">
        <v>479</v>
      </c>
      <c r="I103" s="0" t="s">
        <v>480</v>
      </c>
      <c r="J103" s="0" t="s">
        <v>31</v>
      </c>
      <c r="K103" s="0" t="s">
        <v>481</v>
      </c>
      <c r="L103" s="0" t="s">
        <v>129</v>
      </c>
      <c r="M103" s="0" t="s">
        <v>242</v>
      </c>
    </row>
    <row r="104" customFormat="false" ht="15" hidden="false" customHeight="false" outlineLevel="0" collapsed="false">
      <c r="A104" s="0" t="s">
        <v>482</v>
      </c>
      <c r="B104" s="0" t="s">
        <v>483</v>
      </c>
      <c r="C104" s="4" t="n">
        <v>0.53972602739726</v>
      </c>
      <c r="D104" s="0" t="n">
        <v>0.147945</v>
      </c>
      <c r="E104" s="0" t="n">
        <v>1.60274</v>
      </c>
      <c r="F104" s="0" t="s">
        <v>46</v>
      </c>
      <c r="G104" s="0" t="s">
        <v>33</v>
      </c>
      <c r="H104" s="0" t="s">
        <v>484</v>
      </c>
      <c r="I104" s="0" t="s">
        <v>157</v>
      </c>
      <c r="J104" s="0" t="s">
        <v>31</v>
      </c>
      <c r="K104" s="0" t="s">
        <v>485</v>
      </c>
      <c r="L104" s="0" t="s">
        <v>129</v>
      </c>
      <c r="M104" s="0" t="s">
        <v>43</v>
      </c>
    </row>
    <row r="105" customFormat="false" ht="15" hidden="false" customHeight="false" outlineLevel="0" collapsed="false">
      <c r="A105" s="0" t="s">
        <v>486</v>
      </c>
      <c r="B105" s="0" t="s">
        <v>487</v>
      </c>
      <c r="C105" s="4" t="n">
        <v>0</v>
      </c>
      <c r="D105" s="0" t="n">
        <v>0</v>
      </c>
      <c r="E105" s="0" t="n">
        <v>10000</v>
      </c>
      <c r="F105" s="0" t="s">
        <v>46</v>
      </c>
      <c r="G105" s="0" t="s">
        <v>33</v>
      </c>
      <c r="H105" s="0" t="s">
        <v>488</v>
      </c>
      <c r="I105" s="0" t="s">
        <v>40</v>
      </c>
      <c r="J105" s="0" t="s">
        <v>41</v>
      </c>
      <c r="K105" s="0" t="s">
        <v>489</v>
      </c>
      <c r="L105" s="0" t="s">
        <v>129</v>
      </c>
      <c r="M105" s="0" t="s">
        <v>34</v>
      </c>
    </row>
    <row r="106" customFormat="false" ht="15" hidden="false" customHeight="false" outlineLevel="0" collapsed="false">
      <c r="A106" s="0" t="s">
        <v>490</v>
      </c>
      <c r="B106" s="0" t="s">
        <v>491</v>
      </c>
      <c r="C106" s="4" t="n">
        <v>0</v>
      </c>
      <c r="F106" s="0" t="s">
        <v>155</v>
      </c>
      <c r="G106" s="0" t="s">
        <v>33</v>
      </c>
      <c r="H106" s="0" t="s">
        <v>492</v>
      </c>
      <c r="I106" s="0" t="s">
        <v>157</v>
      </c>
      <c r="J106" s="0" t="s">
        <v>313</v>
      </c>
      <c r="K106" s="0" t="s">
        <v>493</v>
      </c>
      <c r="L106" s="0" t="s">
        <v>33</v>
      </c>
      <c r="M106" s="0" t="s">
        <v>494</v>
      </c>
    </row>
    <row r="107" customFormat="false" ht="15" hidden="false" customHeight="false" outlineLevel="0" collapsed="false">
      <c r="A107" s="0" t="s">
        <v>495</v>
      </c>
      <c r="B107" s="0" t="s">
        <v>496</v>
      </c>
      <c r="C107" s="4" t="n">
        <v>1</v>
      </c>
      <c r="F107" s="0" t="s">
        <v>155</v>
      </c>
      <c r="G107" s="0" t="s">
        <v>33</v>
      </c>
      <c r="H107" s="0" t="s">
        <v>497</v>
      </c>
      <c r="I107" s="0" t="s">
        <v>498</v>
      </c>
      <c r="J107" s="0" t="s">
        <v>313</v>
      </c>
      <c r="K107" s="0" t="s">
        <v>499</v>
      </c>
      <c r="L107" s="0" t="s">
        <v>33</v>
      </c>
      <c r="M107" s="0" t="s">
        <v>494</v>
      </c>
    </row>
    <row r="108" customFormat="false" ht="15" hidden="false" customHeight="false" outlineLevel="0" collapsed="false">
      <c r="A108" s="0" t="s">
        <v>500</v>
      </c>
      <c r="B108" s="0" t="s">
        <v>501</v>
      </c>
      <c r="C108" s="4" t="n">
        <v>10.0347216781418</v>
      </c>
      <c r="F108" s="0" t="s">
        <v>310</v>
      </c>
      <c r="G108" s="0" t="s">
        <v>502</v>
      </c>
      <c r="H108" s="0" t="s">
        <v>503</v>
      </c>
      <c r="I108" s="0" t="s">
        <v>40</v>
      </c>
      <c r="J108" s="0" t="s">
        <v>41</v>
      </c>
      <c r="K108" s="0" t="s">
        <v>504</v>
      </c>
      <c r="L108" s="0" t="s">
        <v>252</v>
      </c>
      <c r="M108" s="0" t="s">
        <v>505</v>
      </c>
    </row>
    <row r="109" customFormat="false" ht="15" hidden="false" customHeight="false" outlineLevel="0" collapsed="false">
      <c r="A109" s="0" t="s">
        <v>506</v>
      </c>
      <c r="B109" s="0" t="s">
        <v>507</v>
      </c>
      <c r="C109" s="4" t="n">
        <v>2006.9339578678</v>
      </c>
      <c r="D109" s="0" t="n">
        <v>938.91</v>
      </c>
      <c r="E109" s="0" t="n">
        <v>4289.87</v>
      </c>
      <c r="F109" s="0" t="s">
        <v>151</v>
      </c>
      <c r="G109" s="0" t="s">
        <v>283</v>
      </c>
      <c r="H109" s="0" t="s">
        <v>508</v>
      </c>
      <c r="I109" s="0" t="s">
        <v>509</v>
      </c>
      <c r="J109" s="0" t="s">
        <v>75</v>
      </c>
      <c r="K109" s="0" t="s">
        <v>510</v>
      </c>
      <c r="L109" s="0" t="s">
        <v>426</v>
      </c>
      <c r="M109" s="0" t="s">
        <v>511</v>
      </c>
    </row>
    <row r="110" customFormat="false" ht="15" hidden="false" customHeight="false" outlineLevel="0" collapsed="false">
      <c r="A110" s="0" t="s">
        <v>512</v>
      </c>
      <c r="B110" s="0" t="s">
        <v>513</v>
      </c>
      <c r="C110" s="4" t="n">
        <v>1223620.54528</v>
      </c>
      <c r="D110" s="0" t="n">
        <v>611810.27264</v>
      </c>
      <c r="E110" s="0" t="n">
        <v>2447241.09056</v>
      </c>
      <c r="F110" s="0" t="s">
        <v>46</v>
      </c>
      <c r="G110" s="0" t="s">
        <v>33</v>
      </c>
      <c r="H110" s="0" t="s">
        <v>514</v>
      </c>
      <c r="I110" s="0" t="s">
        <v>40</v>
      </c>
      <c r="J110" s="0" t="s">
        <v>313</v>
      </c>
      <c r="K110" s="0" t="s">
        <v>515</v>
      </c>
      <c r="L110" s="0" t="s">
        <v>516</v>
      </c>
      <c r="M110" s="0" t="s">
        <v>291</v>
      </c>
    </row>
    <row r="111" customFormat="false" ht="15" hidden="false" customHeight="false" outlineLevel="0" collapsed="false">
      <c r="A111" s="0" t="s">
        <v>517</v>
      </c>
      <c r="B111" s="0" t="s">
        <v>518</v>
      </c>
      <c r="C111" s="4" t="n">
        <v>0</v>
      </c>
      <c r="D111" s="0" t="n">
        <v>-0.05</v>
      </c>
      <c r="E111" s="0" t="n">
        <v>0</v>
      </c>
      <c r="F111" s="0" t="s">
        <v>46</v>
      </c>
      <c r="G111" s="0" t="s">
        <v>33</v>
      </c>
      <c r="H111" s="0" t="s">
        <v>519</v>
      </c>
      <c r="I111" s="0" t="s">
        <v>157</v>
      </c>
      <c r="J111" s="0" t="s">
        <v>313</v>
      </c>
      <c r="K111" s="0" t="s">
        <v>520</v>
      </c>
      <c r="L111" s="0" t="s">
        <v>33</v>
      </c>
      <c r="M111" s="0" t="s">
        <v>77</v>
      </c>
    </row>
    <row r="112" customFormat="false" ht="15" hidden="false" customHeight="false" outlineLevel="0" collapsed="false">
      <c r="A112" s="0" t="s">
        <v>521</v>
      </c>
      <c r="B112" s="0" t="s">
        <v>522</v>
      </c>
      <c r="C112" s="4" t="n">
        <v>0.282331511839709</v>
      </c>
      <c r="D112" s="0" t="n">
        <v>0.202104</v>
      </c>
      <c r="E112" s="0" t="n">
        <v>0.369675</v>
      </c>
      <c r="F112" s="0" t="s">
        <v>71</v>
      </c>
      <c r="G112" s="0" t="s">
        <v>523</v>
      </c>
      <c r="H112" s="0" t="s">
        <v>524</v>
      </c>
      <c r="I112" s="0" t="s">
        <v>91</v>
      </c>
      <c r="J112" s="0" t="s">
        <v>525</v>
      </c>
      <c r="K112" s="0" t="s">
        <v>526</v>
      </c>
      <c r="L112" s="0" t="s">
        <v>252</v>
      </c>
      <c r="M112" s="0" t="s">
        <v>56</v>
      </c>
    </row>
    <row r="113" customFormat="false" ht="15" hidden="false" customHeight="false" outlineLevel="0" collapsed="false">
      <c r="A113" s="0" t="s">
        <v>527</v>
      </c>
      <c r="B113" s="0" t="s">
        <v>528</v>
      </c>
      <c r="C113" s="4" t="n">
        <v>0.008</v>
      </c>
      <c r="D113" s="0" t="n">
        <v>0.0047</v>
      </c>
      <c r="E113" s="0" t="n">
        <v>0.0113</v>
      </c>
      <c r="F113" s="0" t="s">
        <v>71</v>
      </c>
      <c r="G113" s="0" t="s">
        <v>529</v>
      </c>
      <c r="H113" s="0" t="s">
        <v>530</v>
      </c>
      <c r="I113" s="0" t="s">
        <v>531</v>
      </c>
      <c r="J113" s="0" t="s">
        <v>75</v>
      </c>
      <c r="K113" s="0" t="s">
        <v>532</v>
      </c>
      <c r="L113" s="0" t="s">
        <v>33</v>
      </c>
      <c r="M113" s="0" t="s">
        <v>77</v>
      </c>
    </row>
    <row r="114" customFormat="false" ht="15" hidden="false" customHeight="false" outlineLevel="0" collapsed="false">
      <c r="A114" s="0" t="s">
        <v>533</v>
      </c>
      <c r="B114" s="0" t="s">
        <v>534</v>
      </c>
      <c r="C114" s="4" t="n">
        <v>1</v>
      </c>
      <c r="D114" s="0" t="n">
        <v>0.714</v>
      </c>
      <c r="E114" s="0" t="n">
        <v>1</v>
      </c>
      <c r="F114" s="0" t="s">
        <v>46</v>
      </c>
      <c r="G114" s="0" t="s">
        <v>33</v>
      </c>
      <c r="H114" s="0" t="s">
        <v>535</v>
      </c>
      <c r="I114" s="0" t="s">
        <v>74</v>
      </c>
      <c r="J114" s="0" t="s">
        <v>75</v>
      </c>
      <c r="K114" s="0" t="s">
        <v>536</v>
      </c>
      <c r="L114" s="0" t="s">
        <v>33</v>
      </c>
      <c r="M114" s="0" t="s">
        <v>264</v>
      </c>
    </row>
    <row r="115" customFormat="false" ht="15" hidden="false" customHeight="false" outlineLevel="0" collapsed="false">
      <c r="A115" s="0" t="s">
        <v>537</v>
      </c>
      <c r="B115" s="0" t="s">
        <v>538</v>
      </c>
      <c r="C115" s="4" t="n">
        <v>204.876851306667</v>
      </c>
      <c r="F115" s="0" t="s">
        <v>155</v>
      </c>
      <c r="G115" s="0" t="s">
        <v>33</v>
      </c>
      <c r="H115" s="0" t="s">
        <v>539</v>
      </c>
      <c r="I115" s="0" t="s">
        <v>40</v>
      </c>
      <c r="J115" s="0" t="s">
        <v>31</v>
      </c>
      <c r="K115" s="0" t="s">
        <v>540</v>
      </c>
      <c r="L115" s="0" t="s">
        <v>252</v>
      </c>
      <c r="M115" s="0" t="s">
        <v>541</v>
      </c>
    </row>
    <row r="116" customFormat="false" ht="15" hidden="false" customHeight="false" outlineLevel="0" collapsed="false">
      <c r="A116" s="0" t="s">
        <v>542</v>
      </c>
      <c r="B116" s="0" t="s">
        <v>543</v>
      </c>
      <c r="C116" s="4" t="n">
        <v>2269</v>
      </c>
      <c r="F116" s="0" t="s">
        <v>155</v>
      </c>
      <c r="G116" s="0" t="s">
        <v>33</v>
      </c>
      <c r="H116" s="0" t="s">
        <v>544</v>
      </c>
      <c r="I116" s="0" t="s">
        <v>246</v>
      </c>
      <c r="J116" s="0" t="s">
        <v>31</v>
      </c>
      <c r="K116" s="0" t="s">
        <v>545</v>
      </c>
      <c r="L116" s="0" t="s">
        <v>33</v>
      </c>
      <c r="M116" s="0" t="s">
        <v>34</v>
      </c>
    </row>
    <row r="117" customFormat="false" ht="15" hidden="false" customHeight="false" outlineLevel="0" collapsed="false">
      <c r="A117" s="0" t="s">
        <v>546</v>
      </c>
      <c r="B117" s="0" t="s">
        <v>547</v>
      </c>
      <c r="C117" s="4" t="n">
        <v>1867</v>
      </c>
      <c r="F117" s="0" t="s">
        <v>155</v>
      </c>
      <c r="G117" s="0" t="s">
        <v>33</v>
      </c>
      <c r="H117" s="0" t="s">
        <v>548</v>
      </c>
      <c r="I117" s="0" t="s">
        <v>246</v>
      </c>
      <c r="J117" s="0" t="s">
        <v>31</v>
      </c>
      <c r="K117" s="0" t="s">
        <v>549</v>
      </c>
      <c r="L117" s="0" t="s">
        <v>33</v>
      </c>
      <c r="M117" s="0" t="s">
        <v>34</v>
      </c>
    </row>
    <row r="118" customFormat="false" ht="15" hidden="false" customHeight="false" outlineLevel="0" collapsed="false">
      <c r="A118" s="0" t="s">
        <v>550</v>
      </c>
      <c r="B118" s="0" t="s">
        <v>551</v>
      </c>
      <c r="C118" s="4" t="n">
        <v>66</v>
      </c>
      <c r="F118" s="0" t="s">
        <v>155</v>
      </c>
      <c r="G118" s="0" t="s">
        <v>33</v>
      </c>
      <c r="H118" s="0" t="s">
        <v>552</v>
      </c>
      <c r="I118" s="0" t="s">
        <v>246</v>
      </c>
      <c r="J118" s="0" t="s">
        <v>31</v>
      </c>
      <c r="K118" s="0" t="s">
        <v>553</v>
      </c>
      <c r="L118" s="0" t="s">
        <v>33</v>
      </c>
      <c r="M118" s="0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3" min="3" style="0" width="50"/>
  </cols>
  <sheetData>
    <row r="1" customFormat="false" ht="15" hidden="false" customHeight="false" outlineLevel="0" collapsed="false">
      <c r="A1" s="3" t="s">
        <v>13</v>
      </c>
      <c r="B1" s="3" t="s">
        <v>554</v>
      </c>
      <c r="C1" s="3" t="s">
        <v>555</v>
      </c>
    </row>
    <row r="2" customFormat="false" ht="15" hidden="false" customHeight="false" outlineLevel="0" collapsed="false">
      <c r="A2" s="0" t="s">
        <v>556</v>
      </c>
      <c r="B2" s="4" t="n">
        <v>0.05</v>
      </c>
      <c r="C2" s="0" t="s">
        <v>557</v>
      </c>
    </row>
    <row r="3" customFormat="false" ht="15" hidden="false" customHeight="false" outlineLevel="0" collapsed="false">
      <c r="A3" s="0" t="s">
        <v>558</v>
      </c>
      <c r="B3" s="4" t="n">
        <v>0.035</v>
      </c>
      <c r="C3" s="0" t="s">
        <v>559</v>
      </c>
    </row>
    <row r="4" customFormat="false" ht="15" hidden="false" customHeight="false" outlineLevel="0" collapsed="false">
      <c r="A4" s="0" t="s">
        <v>560</v>
      </c>
      <c r="B4" s="4" t="n">
        <v>20</v>
      </c>
      <c r="C4" s="0" t="s">
        <v>561</v>
      </c>
    </row>
    <row r="5" customFormat="false" ht="15" hidden="false" customHeight="false" outlineLevel="0" collapsed="false">
      <c r="A5" s="0" t="s">
        <v>562</v>
      </c>
      <c r="B5" s="4" t="n">
        <v>0</v>
      </c>
      <c r="C5" s="0" t="s">
        <v>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564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4832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2320.012</v>
      </c>
      <c r="I3" s="0" t="n">
        <v>209.182</v>
      </c>
      <c r="J3" s="0" t="n">
        <v>1576.688</v>
      </c>
      <c r="K3" s="0" t="n">
        <v>2043.913</v>
      </c>
      <c r="L3" s="0" t="n">
        <v>1540.438</v>
      </c>
      <c r="M3" s="0" t="n">
        <v>6429.616</v>
      </c>
      <c r="N3" s="0" t="n">
        <v>570.549</v>
      </c>
      <c r="O3" s="0" t="n">
        <v>84.604</v>
      </c>
      <c r="P3" s="0" t="n">
        <v>42.302</v>
      </c>
      <c r="Q3" s="0" t="n">
        <v>2131.411</v>
      </c>
      <c r="R3" s="0" t="n">
        <v>1378.868</v>
      </c>
      <c r="S3" s="0" t="n">
        <v>268.453</v>
      </c>
      <c r="T3" s="0" t="n">
        <v>2529.194</v>
      </c>
      <c r="U3" s="0" t="n">
        <v>1400.38</v>
      </c>
      <c r="V3" s="0" t="n">
        <v>113548.923</v>
      </c>
      <c r="W3" s="0" t="n">
        <v>260.411</v>
      </c>
      <c r="X3" s="0" t="n">
        <v>576.28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250487188.328691</v>
      </c>
      <c r="AB3" s="0" t="n">
        <f aca="false">C3*x_c_DAA</f>
        <v>109976320</v>
      </c>
      <c r="AC3" s="0" t="n">
        <f aca="false">C3*x_c_MON</f>
        <v>27857107.6100244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34182631.2166227</v>
      </c>
      <c r="AI3" s="0" t="n">
        <f aca="false">x_AGRI*x_EMP*x_WLOSS*(x_PEN_K74*Q3+x_PEN_C22*R3)</f>
        <v>2069108.87582307</v>
      </c>
      <c r="AJ3" s="0" t="n">
        <f aca="false">x_EMP*x_WAGE*(x_WLOSS*(Q3+R3)+S3)+U3*x_ABS_D*x_WAGE/365</f>
        <v>188677293.586854</v>
      </c>
      <c r="AK3" s="0" t="n">
        <f aca="false">AJ3*x_R_FUS</f>
        <v>59697495.6908806</v>
      </c>
      <c r="AL3" s="0" t="n">
        <f aca="false">AJ3*x_R_NFZ</f>
        <v>14652867.2972487</v>
      </c>
      <c r="AM3" s="0" t="n">
        <f aca="false">AJ3*x_R_PIT</f>
        <v>12544053.9874455</v>
      </c>
      <c r="AN3" s="0" t="n">
        <f aca="false">AJ3*x_R_FP</f>
        <v>4811270.98646477</v>
      </c>
      <c r="AO3" s="0" t="n">
        <f aca="false">AA3+AB3+AC3+AD3+AF3</f>
        <v>388320615.938715</v>
      </c>
      <c r="AP3" s="0" t="n">
        <f aca="false">AO3+AE3+AG3+AH3+AI3+AK3+AL3+AM3+AN3</f>
        <v>516278043.993201</v>
      </c>
      <c r="AQ3" s="0" t="n">
        <f aca="false">AO3+AE3+AG3+AJ3</f>
        <v>576997909.525569</v>
      </c>
      <c r="AR3" s="0" t="n">
        <f aca="false">AB3+AC3+AD3+AF3</f>
        <v>137833427.610024</v>
      </c>
      <c r="AS3" s="0" t="n">
        <f aca="false">AR3+AE3+AG3</f>
        <v>137833427.610024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4832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2304.775</v>
      </c>
      <c r="I4" s="0" t="n">
        <v>222.844</v>
      </c>
      <c r="J4" s="0" t="n">
        <v>1558.297</v>
      </c>
      <c r="K4" s="0" t="n">
        <v>2044.534</v>
      </c>
      <c r="L4" s="0" t="n">
        <v>1487.589</v>
      </c>
      <c r="M4" s="0" t="n">
        <v>10625.787</v>
      </c>
      <c r="N4" s="0" t="n">
        <v>968.69</v>
      </c>
      <c r="O4" s="0" t="n">
        <v>83.294</v>
      </c>
      <c r="P4" s="0" t="n">
        <v>83.949</v>
      </c>
      <c r="Q4" s="0" t="n">
        <v>2129.786</v>
      </c>
      <c r="R4" s="0" t="n">
        <v>1392.275</v>
      </c>
      <c r="S4" s="0" t="n">
        <v>807.914</v>
      </c>
      <c r="T4" s="0" t="n">
        <v>2527.618</v>
      </c>
      <c r="U4" s="0" t="n">
        <v>1441.48</v>
      </c>
      <c r="V4" s="0" t="n">
        <v>114727.149</v>
      </c>
      <c r="W4" s="0" t="n">
        <v>273.001</v>
      </c>
      <c r="X4" s="0" t="n">
        <v>606.252</v>
      </c>
      <c r="Y4" s="0" t="n">
        <v>83.294</v>
      </c>
      <c r="Z4" s="0" t="n">
        <v>795.901</v>
      </c>
      <c r="AA4" s="0" t="n">
        <f aca="false">H4*x_c_F+I4*x_c_CC+J4*x_c_DC+K4*x_c_HCC+L4*x_c_PLT+M4*x_c_SVRn+N4*x_c_SVRcc+O4*x_c_LT+P4*x_c_LT1</f>
        <v>253734440.437243</v>
      </c>
      <c r="AB4" s="0" t="n">
        <f aca="false">C4*x_c_DAA</f>
        <v>109976320</v>
      </c>
      <c r="AC4" s="0" t="n">
        <f aca="false">C4*x_c_MON</f>
        <v>27857107.6100244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34382336.3970873</v>
      </c>
      <c r="AI4" s="0" t="n">
        <f aca="false">x_AGRI*x_EMP*x_WLOSS*(x_PEN_K74*Q4+x_PEN_C22*R4)</f>
        <v>2076723.93148915</v>
      </c>
      <c r="AJ4" s="0" t="n">
        <f aca="false">x_EMP*x_WAGE*(x_WLOSS*(Q4+R4)+S4)+U4*x_ABS_D*x_WAGE/365</f>
        <v>235335380.665435</v>
      </c>
      <c r="AK4" s="0" t="n">
        <f aca="false">AJ4*x_R_FUS</f>
        <v>74460114.4425436</v>
      </c>
      <c r="AL4" s="0" t="n">
        <f aca="false">AJ4*x_R_NFZ</f>
        <v>18276380.9978583</v>
      </c>
      <c r="AM4" s="0" t="n">
        <f aca="false">AJ4*x_R_PIT</f>
        <v>15646078.3600562</v>
      </c>
      <c r="AN4" s="0" t="n">
        <f aca="false">AJ4*x_R_FP</f>
        <v>6001052.20696859</v>
      </c>
      <c r="AO4" s="0" t="n">
        <f aca="false">AA4+AB4+AC4+AD4+AF4</f>
        <v>391567868.047268</v>
      </c>
      <c r="AP4" s="0" t="n">
        <f aca="false">AO4+AE4+AG4+AH4+AI4+AK4+AL4+AM4+AN4</f>
        <v>542410554.383271</v>
      </c>
      <c r="AQ4" s="0" t="n">
        <f aca="false">AO4+AE4+AG4+AJ4</f>
        <v>626903248.712703</v>
      </c>
      <c r="AR4" s="0" t="n">
        <f aca="false">AB4+AC4+AD4+AF4</f>
        <v>137833427.610024</v>
      </c>
      <c r="AS4" s="0" t="n">
        <f aca="false">AR4+AE4+AG4</f>
        <v>137833427.610024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4832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2288.432</v>
      </c>
      <c r="I5" s="0" t="n">
        <v>237.631</v>
      </c>
      <c r="J5" s="0" t="n">
        <v>1555.68</v>
      </c>
      <c r="K5" s="0" t="n">
        <v>2073.931</v>
      </c>
      <c r="L5" s="0" t="n">
        <v>1470.399</v>
      </c>
      <c r="M5" s="0" t="n">
        <v>14739.922</v>
      </c>
      <c r="N5" s="0" t="n">
        <v>1383.448</v>
      </c>
      <c r="O5" s="0" t="n">
        <v>82.975</v>
      </c>
      <c r="P5" s="0" t="n">
        <v>83.134</v>
      </c>
      <c r="Q5" s="0" t="n">
        <v>2136.335</v>
      </c>
      <c r="R5" s="0" t="n">
        <v>1428.518</v>
      </c>
      <c r="S5" s="0" t="n">
        <v>1352.483</v>
      </c>
      <c r="T5" s="0" t="n">
        <v>2526.063</v>
      </c>
      <c r="U5" s="0" t="n">
        <v>1480.936</v>
      </c>
      <c r="V5" s="0" t="n">
        <v>115979.709</v>
      </c>
      <c r="W5" s="0" t="n">
        <v>287.153</v>
      </c>
      <c r="X5" s="0" t="n">
        <v>636.256</v>
      </c>
      <c r="Y5" s="0" t="n">
        <v>82.975</v>
      </c>
      <c r="Z5" s="0" t="n">
        <v>797.945</v>
      </c>
      <c r="AA5" s="0" t="n">
        <f aca="false">H5*x_c_F+I5*x_c_CC+J5*x_c_DC+K5*x_c_HCC+L5*x_c_PLT+M5*x_c_SVRn+N5*x_c_SVRcc+O5*x_c_LT+P5*x_c_LT1</f>
        <v>258528727.640264</v>
      </c>
      <c r="AB5" s="0" t="n">
        <f aca="false">C5*x_c_DAA</f>
        <v>109976320</v>
      </c>
      <c r="AC5" s="0" t="n">
        <f aca="false">C5*x_c_MON</f>
        <v>27857107.6100244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34867506.6213829</v>
      </c>
      <c r="AI5" s="0" t="n">
        <f aca="false">x_AGRI*x_EMP*x_WLOSS*(x_PEN_K74*Q5+x_PEN_C22*R5)</f>
        <v>2103431.08169306</v>
      </c>
      <c r="AJ5" s="0" t="n">
        <f aca="false">x_EMP*x_WAGE*(x_WLOSS*(Q5+R5)+S5)+U5*x_ABS_D*x_WAGE/365</f>
        <v>283852399.111626</v>
      </c>
      <c r="AK5" s="0" t="n">
        <f aca="false">AJ5*x_R_FUS</f>
        <v>89810899.0789186</v>
      </c>
      <c r="AL5" s="0" t="n">
        <f aca="false">AJ5*x_R_NFZ</f>
        <v>22044261.167408</v>
      </c>
      <c r="AM5" s="0" t="n">
        <f aca="false">AJ5*x_R_PIT</f>
        <v>18871692.2488772</v>
      </c>
      <c r="AN5" s="0" t="n">
        <f aca="false">AJ5*x_R_FP</f>
        <v>7238236.17734647</v>
      </c>
      <c r="AO5" s="0" t="n">
        <f aca="false">AA5+AB5+AC5+AD5+AF5</f>
        <v>396362155.250288</v>
      </c>
      <c r="AP5" s="0" t="n">
        <f aca="false">AO5+AE5+AG5+AH5+AI5+AK5+AL5+AM5+AN5</f>
        <v>571298181.625915</v>
      </c>
      <c r="AQ5" s="0" t="n">
        <f aca="false">AO5+AE5+AG5+AJ5</f>
        <v>680214554.361915</v>
      </c>
      <c r="AR5" s="0" t="n">
        <f aca="false">AB5+AC5+AD5+AF5</f>
        <v>137833427.610024</v>
      </c>
      <c r="AS5" s="0" t="n">
        <f aca="false">AR5+AE5+AG5</f>
        <v>137833427.610024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4832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2271.686</v>
      </c>
      <c r="I6" s="0" t="n">
        <v>252.833</v>
      </c>
      <c r="J6" s="0" t="n">
        <v>1567.036</v>
      </c>
      <c r="K6" s="0" t="n">
        <v>2123.206</v>
      </c>
      <c r="L6" s="0" t="n">
        <v>1452.403</v>
      </c>
      <c r="M6" s="0" t="n">
        <v>18769.084</v>
      </c>
      <c r="N6" s="0" t="n">
        <v>1814.651</v>
      </c>
      <c r="O6" s="0" t="n">
        <v>83.499</v>
      </c>
      <c r="P6" s="0" t="n">
        <v>83.237</v>
      </c>
      <c r="Q6" s="0" t="n">
        <v>2154.544</v>
      </c>
      <c r="R6" s="0" t="n">
        <v>1481.254</v>
      </c>
      <c r="S6" s="0" t="n">
        <v>1905.261</v>
      </c>
      <c r="T6" s="0" t="n">
        <v>2524.519</v>
      </c>
      <c r="U6" s="0" t="n">
        <v>1518.788</v>
      </c>
      <c r="V6" s="0" t="n">
        <v>117283.813</v>
      </c>
      <c r="W6" s="0" t="n">
        <v>301.824</v>
      </c>
      <c r="X6" s="0" t="n">
        <v>665.051</v>
      </c>
      <c r="Y6" s="0" t="n">
        <v>83.499</v>
      </c>
      <c r="Z6" s="0" t="n">
        <v>808.142</v>
      </c>
      <c r="AA6" s="0" t="n">
        <f aca="false">H6*x_c_F+I6*x_c_CC+J6*x_c_DC+K6*x_c_HCC+L6*x_c_PLT+M6*x_c_SVRn+N6*x_c_SVRcc+O6*x_c_LT+P6*x_c_LT1</f>
        <v>265126406.281254</v>
      </c>
      <c r="AB6" s="0" t="n">
        <f aca="false">C6*x_c_DAA</f>
        <v>109976320</v>
      </c>
      <c r="AC6" s="0" t="n">
        <f aca="false">C6*x_c_MON</f>
        <v>27857107.6100244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35606716.0452505</v>
      </c>
      <c r="AI6" s="0" t="n">
        <f aca="false">x_AGRI*x_EMP*x_WLOSS*(x_PEN_K74*Q6+x_PEN_C22*R6)</f>
        <v>2147147.70284005</v>
      </c>
      <c r="AJ6" s="0" t="n">
        <f aca="false">x_EMP*x_WAGE*(x_WLOSS*(Q6+R6)+S6)+U6*x_ABS_D*x_WAGE/365</f>
        <v>334361272.303646</v>
      </c>
      <c r="AK6" s="0" t="n">
        <f aca="false">AJ6*x_R_FUS</f>
        <v>105791906.556874</v>
      </c>
      <c r="AL6" s="0" t="n">
        <f aca="false">AJ6*x_R_NFZ</f>
        <v>25966830.7683734</v>
      </c>
      <c r="AM6" s="0" t="n">
        <f aca="false">AJ6*x_R_PIT</f>
        <v>22229732.9548939</v>
      </c>
      <c r="AN6" s="0" t="n">
        <f aca="false">AJ6*x_R_FP</f>
        <v>8526212.44374296</v>
      </c>
      <c r="AO6" s="0" t="n">
        <f aca="false">AA6+AB6+AC6+AD6+AF6</f>
        <v>402959833.891279</v>
      </c>
      <c r="AP6" s="0" t="n">
        <f aca="false">AO6+AE6+AG6+AH6+AI6+AK6+AL6+AM6+AN6</f>
        <v>603228380.363253</v>
      </c>
      <c r="AQ6" s="0" t="n">
        <f aca="false">AO6+AE6+AG6+AJ6</f>
        <v>737321106.194924</v>
      </c>
      <c r="AR6" s="0" t="n">
        <f aca="false">AB6+AC6+AD6+AF6</f>
        <v>137833427.610024</v>
      </c>
      <c r="AS6" s="0" t="n">
        <f aca="false">AR6+AE6+AG6</f>
        <v>137833427.610024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4832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2255.115</v>
      </c>
      <c r="I7" s="0" t="n">
        <v>267.866</v>
      </c>
      <c r="J7" s="0" t="n">
        <v>1589.932</v>
      </c>
      <c r="K7" s="0" t="n">
        <v>2184.896</v>
      </c>
      <c r="L7" s="0" t="n">
        <v>1434.373</v>
      </c>
      <c r="M7" s="0" t="n">
        <v>22711.539</v>
      </c>
      <c r="N7" s="0" t="n">
        <v>2260.98</v>
      </c>
      <c r="O7" s="0" t="n">
        <v>84.698</v>
      </c>
      <c r="P7" s="0" t="n">
        <v>84.099</v>
      </c>
      <c r="Q7" s="0" t="n">
        <v>2183.231</v>
      </c>
      <c r="R7" s="0" t="n">
        <v>1545.145</v>
      </c>
      <c r="S7" s="0" t="n">
        <v>2471.527</v>
      </c>
      <c r="T7" s="0" t="n">
        <v>2522.981</v>
      </c>
      <c r="U7" s="0" t="n">
        <v>1555.073</v>
      </c>
      <c r="V7" s="0" t="n">
        <v>118625.218</v>
      </c>
      <c r="W7" s="0" t="n">
        <v>316.201</v>
      </c>
      <c r="X7" s="0" t="n">
        <v>691.695</v>
      </c>
      <c r="Y7" s="0" t="n">
        <v>84.698</v>
      </c>
      <c r="Z7" s="0" t="n">
        <v>824.062</v>
      </c>
      <c r="AA7" s="0" t="n">
        <f aca="false">H7*x_c_F+I7*x_c_CC+J7*x_c_DC+K7*x_c_HCC+L7*x_c_PLT+M7*x_c_SVRn+N7*x_c_SVRcc+O7*x_c_LT+P7*x_c_LT1</f>
        <v>272967514.451404</v>
      </c>
      <c r="AB7" s="0" t="n">
        <f aca="false">C7*x_c_DAA</f>
        <v>109976320</v>
      </c>
      <c r="AC7" s="0" t="n">
        <f aca="false">C7*x_c_MON</f>
        <v>27857107.6100244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36538689.8947388</v>
      </c>
      <c r="AI7" s="0" t="n">
        <f aca="false">x_AGRI*x_EMP*x_WLOSS*(x_PEN_K74*Q7+x_PEN_C22*R7)</f>
        <v>2203818.62203173</v>
      </c>
      <c r="AJ7" s="0" t="n">
        <f aca="false">x_EMP*x_WAGE*(x_WLOSS*(Q7+R7)+S7)+U7*x_ABS_D*x_WAGE/365</f>
        <v>387011902.738693</v>
      </c>
      <c r="AK7" s="0" t="n">
        <f aca="false">AJ7*x_R_FUS</f>
        <v>122450566.026522</v>
      </c>
      <c r="AL7" s="0" t="n">
        <f aca="false">AJ7*x_R_NFZ</f>
        <v>30055731.3785896</v>
      </c>
      <c r="AM7" s="0" t="n">
        <f aca="false">AJ7*x_R_PIT</f>
        <v>25730166.6217901</v>
      </c>
      <c r="AN7" s="0" t="n">
        <f aca="false">AJ7*x_R_FP</f>
        <v>9868803.51983666</v>
      </c>
      <c r="AO7" s="0" t="n">
        <f aca="false">AA7+AB7+AC7+AD7+AF7</f>
        <v>410800942.061428</v>
      </c>
      <c r="AP7" s="0" t="n">
        <f aca="false">AO7+AE7+AG7+AH7+AI7+AK7+AL7+AM7+AN7</f>
        <v>637648718.124938</v>
      </c>
      <c r="AQ7" s="0" t="n">
        <f aca="false">AO7+AE7+AG7+AJ7</f>
        <v>797812844.800121</v>
      </c>
      <c r="AR7" s="0" t="n">
        <f aca="false">AB7+AC7+AD7+AF7</f>
        <v>137833427.610024</v>
      </c>
      <c r="AS7" s="0" t="n">
        <f aca="false">AR7+AE7+AG7</f>
        <v>137833427.610024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4832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2239.186</v>
      </c>
      <c r="I8" s="0" t="n">
        <v>282.26</v>
      </c>
      <c r="J8" s="0" t="n">
        <v>1621.653</v>
      </c>
      <c r="K8" s="0" t="n">
        <v>2252.866</v>
      </c>
      <c r="L8" s="0" t="n">
        <v>1416.926</v>
      </c>
      <c r="M8" s="0" t="n">
        <v>26566.749</v>
      </c>
      <c r="N8" s="0" t="n">
        <v>2720.225</v>
      </c>
      <c r="O8" s="0" t="n">
        <v>86.4</v>
      </c>
      <c r="P8" s="0" t="n">
        <v>85.549</v>
      </c>
      <c r="Q8" s="0" t="n">
        <v>2220.894</v>
      </c>
      <c r="R8" s="0" t="n">
        <v>1615.776</v>
      </c>
      <c r="S8" s="0" t="n">
        <v>3054.891</v>
      </c>
      <c r="T8" s="0" t="n">
        <v>2521.445</v>
      </c>
      <c r="U8" s="0" t="n">
        <v>1589.835</v>
      </c>
      <c r="V8" s="0" t="n">
        <v>119993.681</v>
      </c>
      <c r="W8" s="0" t="n">
        <v>329.676</v>
      </c>
      <c r="X8" s="0" t="n">
        <v>715.516</v>
      </c>
      <c r="Y8" s="0" t="n">
        <v>86.4</v>
      </c>
      <c r="Z8" s="0" t="n">
        <v>843.602</v>
      </c>
      <c r="AA8" s="0" t="n">
        <f aca="false">H8*x_c_F+I8*x_c_CC+J8*x_c_DC+K8*x_c_HCC+L8*x_c_PLT+M8*x_c_SVRn+N8*x_c_SVRcc+O8*x_c_LT+P8*x_c_LT1</f>
        <v>281562213.398746</v>
      </c>
      <c r="AB8" s="0" t="n">
        <f aca="false">C8*x_c_DAA</f>
        <v>109976320</v>
      </c>
      <c r="AC8" s="0" t="n">
        <f aca="false">C8*x_c_MON</f>
        <v>27857107.6100244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37608337.6804596</v>
      </c>
      <c r="AI8" s="0" t="n">
        <f aca="false">x_AGRI*x_EMP*x_WLOSS*(x_PEN_K74*Q8+x_PEN_C22*R8)</f>
        <v>2269796.48448274</v>
      </c>
      <c r="AJ8" s="0" t="n">
        <f aca="false">x_EMP*x_WAGE*(x_WLOSS*(Q8+R8)+S8)+U8*x_ABS_D*x_WAGE/365</f>
        <v>441839686.520104</v>
      </c>
      <c r="AK8" s="0" t="n">
        <f aca="false">AJ8*x_R_FUS</f>
        <v>139798076.814961</v>
      </c>
      <c r="AL8" s="0" t="n">
        <f aca="false">AJ8*x_R_NFZ</f>
        <v>34313711.8948378</v>
      </c>
      <c r="AM8" s="0" t="n">
        <f aca="false">AJ8*x_R_PIT</f>
        <v>29375346.5302533</v>
      </c>
      <c r="AN8" s="0" t="n">
        <f aca="false">AJ8*x_R_FP</f>
        <v>11266912.0062627</v>
      </c>
      <c r="AO8" s="0" t="n">
        <f aca="false">AA8+AB8+AC8+AD8+AF8</f>
        <v>419395641.008771</v>
      </c>
      <c r="AP8" s="0" t="n">
        <f aca="false">AO8+AE8+AG8+AH8+AI8+AK8+AL8+AM8+AN8</f>
        <v>674027822.420028</v>
      </c>
      <c r="AQ8" s="0" t="n">
        <f aca="false">AO8+AE8+AG8+AJ8</f>
        <v>861235327.528875</v>
      </c>
      <c r="AR8" s="0" t="n">
        <f aca="false">AB8+AC8+AD8+AF8</f>
        <v>137833427.610024</v>
      </c>
      <c r="AS8" s="0" t="n">
        <f aca="false">AR8+AE8+AG8</f>
        <v>137833427.610024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4832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2224.262</v>
      </c>
      <c r="I9" s="0" t="n">
        <v>295.646</v>
      </c>
      <c r="J9" s="0" t="n">
        <v>1659.397</v>
      </c>
      <c r="K9" s="0" t="n">
        <v>2322.127</v>
      </c>
      <c r="L9" s="0" t="n">
        <v>1400.487</v>
      </c>
      <c r="M9" s="0" t="n">
        <v>30334.701</v>
      </c>
      <c r="N9" s="0" t="n">
        <v>3189.443</v>
      </c>
      <c r="O9" s="0" t="n">
        <v>88.433</v>
      </c>
      <c r="P9" s="0" t="n">
        <v>87.417</v>
      </c>
      <c r="Q9" s="0" t="n">
        <v>2265.831</v>
      </c>
      <c r="R9" s="0" t="n">
        <v>1689.527</v>
      </c>
      <c r="S9" s="0" t="n">
        <v>3657.453</v>
      </c>
      <c r="T9" s="0" t="n">
        <v>2519.908</v>
      </c>
      <c r="U9" s="0" t="n">
        <v>1623.132</v>
      </c>
      <c r="V9" s="0" t="n">
        <v>121378.998</v>
      </c>
      <c r="W9" s="0" t="n">
        <v>341.794</v>
      </c>
      <c r="X9" s="0" t="n">
        <v>736.036</v>
      </c>
      <c r="Y9" s="0" t="n">
        <v>88.433</v>
      </c>
      <c r="Z9" s="0" t="n">
        <v>864.935</v>
      </c>
      <c r="AA9" s="0" t="n">
        <f aca="false">H9*x_c_F+I9*x_c_CC+J9*x_c_DC+K9*x_c_HCC+L9*x_c_PLT+M9*x_c_SVRn+N9*x_c_SVRcc+O9*x_c_LT+P9*x_c_LT1</f>
        <v>290483651.068077</v>
      </c>
      <c r="AB9" s="0" t="n">
        <f aca="false">C9*x_c_DAA</f>
        <v>109976320</v>
      </c>
      <c r="AC9" s="0" t="n">
        <f aca="false">C9*x_c_MON</f>
        <v>27857107.6100244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38766552.0307476</v>
      </c>
      <c r="AI9" s="0" t="n">
        <f aca="false">x_AGRI*x_EMP*x_WLOSS*(x_PEN_K74*Q9+x_PEN_C22*R9)</f>
        <v>2341827.50554961</v>
      </c>
      <c r="AJ9" s="0" t="n">
        <f aca="false">x_EMP*x_WAGE*(x_WLOSS*(Q9+R9)+S9)+U9*x_ABS_D*x_WAGE/365</f>
        <v>498778721.875148</v>
      </c>
      <c r="AK9" s="0" t="n">
        <f aca="false">AJ9*x_R_FUS</f>
        <v>157813587.601297</v>
      </c>
      <c r="AL9" s="0" t="n">
        <f aca="false">AJ9*x_R_NFZ</f>
        <v>38735654.3195458</v>
      </c>
      <c r="AM9" s="0" t="n">
        <f aca="false">AJ9*x_R_PIT</f>
        <v>33160891.2553685</v>
      </c>
      <c r="AN9" s="0" t="n">
        <f aca="false">AJ9*x_R_FP</f>
        <v>12718857.4078163</v>
      </c>
      <c r="AO9" s="0" t="n">
        <f aca="false">AA9+AB9+AC9+AD9+AF9</f>
        <v>428317078.678102</v>
      </c>
      <c r="AP9" s="0" t="n">
        <f aca="false">AO9+AE9+AG9+AH9+AI9+AK9+AL9+AM9+AN9</f>
        <v>711854448.798426</v>
      </c>
      <c r="AQ9" s="0" t="n">
        <f aca="false">AO9+AE9+AG9+AJ9</f>
        <v>927095800.553249</v>
      </c>
      <c r="AR9" s="0" t="n">
        <f aca="false">AB9+AC9+AD9+AF9</f>
        <v>137833427.610024</v>
      </c>
      <c r="AS9" s="0" t="n">
        <f aca="false">AR9+AE9+AG9</f>
        <v>137833427.610024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4832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2210.623</v>
      </c>
      <c r="I10" s="0" t="n">
        <v>307.743</v>
      </c>
      <c r="J10" s="0" t="n">
        <v>1700.461</v>
      </c>
      <c r="K10" s="0" t="n">
        <v>2388.73</v>
      </c>
      <c r="L10" s="0" t="n">
        <v>1385.306</v>
      </c>
      <c r="M10" s="0" t="n">
        <v>34015.965</v>
      </c>
      <c r="N10" s="0" t="n">
        <v>3665.159</v>
      </c>
      <c r="O10" s="0" t="n">
        <v>90.643</v>
      </c>
      <c r="P10" s="0" t="n">
        <v>89.538</v>
      </c>
      <c r="Q10" s="0" t="n">
        <v>2316.263</v>
      </c>
      <c r="R10" s="0" t="n">
        <v>1763.483</v>
      </c>
      <c r="S10" s="0" t="n">
        <v>4280.035</v>
      </c>
      <c r="T10" s="0" t="n">
        <v>2518.366</v>
      </c>
      <c r="U10" s="0" t="n">
        <v>1655.016</v>
      </c>
      <c r="V10" s="0" t="n">
        <v>122772.384</v>
      </c>
      <c r="W10" s="0" t="n">
        <v>352.244</v>
      </c>
      <c r="X10" s="0" t="n">
        <v>752.965</v>
      </c>
      <c r="Y10" s="0" t="n">
        <v>90.643</v>
      </c>
      <c r="Z10" s="0" t="n">
        <v>886.565</v>
      </c>
      <c r="AA10" s="0" t="n">
        <f aca="false">H10*x_c_F+I10*x_c_CC+J10*x_c_DC+K10*x_c_HCC+L10*x_c_PLT+M10*x_c_SVRn+N10*x_c_SVRcc+O10*x_c_LT+P10*x_c_LT1</f>
        <v>299372135.822015</v>
      </c>
      <c r="AB10" s="0" t="n">
        <f aca="false">C10*x_c_DAA</f>
        <v>109976320</v>
      </c>
      <c r="AC10" s="0" t="n">
        <f aca="false">C10*x_c_MON</f>
        <v>27857107.6100244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39970342.9312932</v>
      </c>
      <c r="AI10" s="0" t="n">
        <f aca="false">x_AGRI*x_EMP*x_WLOSS*(x_PEN_K74*Q10+x_PEN_C22*R10)</f>
        <v>2417063.06151023</v>
      </c>
      <c r="AJ10" s="0" t="n">
        <f aca="false">x_EMP*x_WAGE*(x_WLOSS*(Q10+R10)+S10)+U10*x_ABS_D*x_WAGE/365</f>
        <v>557683050.746263</v>
      </c>
      <c r="AK10" s="0" t="n">
        <f aca="false">AJ10*x_R_FUS</f>
        <v>176450917.256118</v>
      </c>
      <c r="AL10" s="0" t="n">
        <f aca="false">AJ10*x_R_NFZ</f>
        <v>43310223.4040055</v>
      </c>
      <c r="AM10" s="0" t="n">
        <f aca="false">AJ10*x_R_PIT</f>
        <v>37077096.8962628</v>
      </c>
      <c r="AN10" s="0" t="n">
        <f aca="false">AJ10*x_R_FP</f>
        <v>14220917.7940297</v>
      </c>
      <c r="AO10" s="0" t="n">
        <f aca="false">AA10+AB10+AC10+AD10+AF10</f>
        <v>437205563.432039</v>
      </c>
      <c r="AP10" s="0" t="n">
        <f aca="false">AO10+AE10+AG10+AH10+AI10+AK10+AL10+AM10+AN10</f>
        <v>750652124.775259</v>
      </c>
      <c r="AQ10" s="0" t="n">
        <f aca="false">AO10+AE10+AG10+AJ10</f>
        <v>994888614.178303</v>
      </c>
      <c r="AR10" s="0" t="n">
        <f aca="false">AB10+AC10+AD10+AF10</f>
        <v>137833427.610024</v>
      </c>
      <c r="AS10" s="0" t="n">
        <f aca="false">AR10+AE10+AG10</f>
        <v>137833427.610024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4832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2198.469</v>
      </c>
      <c r="I11" s="0" t="n">
        <v>318.349</v>
      </c>
      <c r="J11" s="0" t="n">
        <v>1742.345</v>
      </c>
      <c r="K11" s="0" t="n">
        <v>2449.62</v>
      </c>
      <c r="L11" s="0" t="n">
        <v>1371.471</v>
      </c>
      <c r="M11" s="0" t="n">
        <v>37611.283</v>
      </c>
      <c r="N11" s="0" t="n">
        <v>4143.49</v>
      </c>
      <c r="O11" s="0" t="n">
        <v>92.885</v>
      </c>
      <c r="P11" s="0" t="n">
        <v>91.764</v>
      </c>
      <c r="Q11" s="0" t="n">
        <v>2370.424</v>
      </c>
      <c r="R11" s="0" t="n">
        <v>1835.342</v>
      </c>
      <c r="S11" s="0" t="n">
        <v>4922.336</v>
      </c>
      <c r="T11" s="0" t="n">
        <v>2516.819</v>
      </c>
      <c r="U11" s="0" t="n">
        <v>1685.532</v>
      </c>
      <c r="V11" s="0" t="n">
        <v>124166.09</v>
      </c>
      <c r="W11" s="0" t="n">
        <v>360.817</v>
      </c>
      <c r="X11" s="0" t="n">
        <v>766.144</v>
      </c>
      <c r="Y11" s="0" t="n">
        <v>92.885</v>
      </c>
      <c r="Z11" s="0" t="n">
        <v>907.23</v>
      </c>
      <c r="AA11" s="0" t="n">
        <f aca="false">H11*x_c_F+I11*x_c_CC+J11*x_c_DC+K11*x_c_HCC+L11*x_c_PLT+M11*x_c_SVRn+N11*x_c_SVRcc+O11*x_c_LT+P11*x_c_LT1</f>
        <v>307925780.969343</v>
      </c>
      <c r="AB11" s="0" t="n">
        <f aca="false">C11*x_c_DAA</f>
        <v>109976320</v>
      </c>
      <c r="AC11" s="0" t="n">
        <f aca="false">C11*x_c_MON</f>
        <v>27857107.6100244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41182712.4768889</v>
      </c>
      <c r="AI11" s="0" t="n">
        <f aca="false">x_AGRI*x_EMP*x_WLOSS*(x_PEN_K74*Q11+x_PEN_C22*R11)</f>
        <v>2493051.54678447</v>
      </c>
      <c r="AJ11" s="0" t="n">
        <f aca="false">x_EMP*x_WAGE*(x_WLOSS*(Q11+R11)+S11)+U11*x_ABS_D*x_WAGE/365</f>
        <v>618339779.114303</v>
      </c>
      <c r="AK11" s="0" t="n">
        <f aca="false">AJ11*x_R_FUS</f>
        <v>195642706.111765</v>
      </c>
      <c r="AL11" s="0" t="n">
        <f aca="false">AJ11*x_R_NFZ</f>
        <v>48020885.5857959</v>
      </c>
      <c r="AM11" s="0" t="n">
        <f aca="false">AJ11*x_R_PIT</f>
        <v>41109809.3699567</v>
      </c>
      <c r="AN11" s="0" t="n">
        <f aca="false">AJ11*x_R_FP</f>
        <v>15767664.3674147</v>
      </c>
      <c r="AO11" s="0" t="n">
        <f aca="false">AA11+AB11+AC11+AD11+AF11</f>
        <v>445759208.579367</v>
      </c>
      <c r="AP11" s="0" t="n">
        <f aca="false">AO11+AE11+AG11+AH11+AI11+AK11+AL11+AM11+AN11</f>
        <v>789976038.037973</v>
      </c>
      <c r="AQ11" s="0" t="n">
        <f aca="false">AO11+AE11+AG11+AJ11</f>
        <v>1064098987.69367</v>
      </c>
      <c r="AR11" s="0" t="n">
        <f aca="false">AB11+AC11+AD11+AF11</f>
        <v>137833427.610024</v>
      </c>
      <c r="AS11" s="0" t="n">
        <f aca="false">AR11+AE11+AG11</f>
        <v>137833427.610024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4832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2187.936</v>
      </c>
      <c r="I12" s="0" t="n">
        <v>327.328</v>
      </c>
      <c r="J12" s="0" t="n">
        <v>1782.834</v>
      </c>
      <c r="K12" s="0" t="n">
        <v>2502.538</v>
      </c>
      <c r="L12" s="0" t="n">
        <v>1358.934</v>
      </c>
      <c r="M12" s="0" t="n">
        <v>41121.68</v>
      </c>
      <c r="N12" s="0" t="n">
        <v>4620.317</v>
      </c>
      <c r="O12" s="0" t="n">
        <v>95.039</v>
      </c>
      <c r="P12" s="0" t="n">
        <v>93.962</v>
      </c>
      <c r="Q12" s="0" t="n">
        <v>2426.616</v>
      </c>
      <c r="R12" s="0" t="n">
        <v>1903.328</v>
      </c>
      <c r="S12" s="0" t="n">
        <v>5583.106</v>
      </c>
      <c r="T12" s="0" t="n">
        <v>2515.264</v>
      </c>
      <c r="U12" s="0" t="n">
        <v>1714.711</v>
      </c>
      <c r="V12" s="0" t="n">
        <v>125553.57</v>
      </c>
      <c r="W12" s="0" t="n">
        <v>367.413</v>
      </c>
      <c r="X12" s="0" t="n">
        <v>775.556</v>
      </c>
      <c r="Y12" s="0" t="n">
        <v>95.039</v>
      </c>
      <c r="Z12" s="0" t="n">
        <v>925.968</v>
      </c>
      <c r="AA12" s="0" t="n">
        <f aca="false">H12*x_c_F+I12*x_c_CC+J12*x_c_DC+K12*x_c_HCC+L12*x_c_PLT+M12*x_c_SVRn+N12*x_c_SVRcc+O12*x_c_LT+P12*x_c_LT1</f>
        <v>315902556.25522</v>
      </c>
      <c r="AB12" s="0" t="n">
        <f aca="false">C12*x_c_DAA</f>
        <v>109976320</v>
      </c>
      <c r="AC12" s="0" t="n">
        <f aca="false">C12*x_c_MON</f>
        <v>27857107.6100244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42372269.1435061</v>
      </c>
      <c r="AI12" s="0" t="n">
        <f aca="false">x_AGRI*x_EMP*x_WLOSS*(x_PEN_K74*Q12+x_PEN_C22*R12)</f>
        <v>2567713.82928778</v>
      </c>
      <c r="AJ12" s="0" t="n">
        <f aca="false">x_EMP*x_WAGE*(x_WLOSS*(Q12+R12)+S12)+U12*x_ABS_D*x_WAGE/365</f>
        <v>680482417.915415</v>
      </c>
      <c r="AK12" s="0" t="n">
        <f aca="false">AJ12*x_R_FUS</f>
        <v>215304637.028437</v>
      </c>
      <c r="AL12" s="0" t="n">
        <f aca="false">AJ12*x_R_NFZ</f>
        <v>52846945.057729</v>
      </c>
      <c r="AM12" s="0" t="n">
        <f aca="false">AJ12*x_R_PIT</f>
        <v>45241311.3712011</v>
      </c>
      <c r="AN12" s="0" t="n">
        <f aca="false">AJ12*x_R_FP</f>
        <v>17352301.6568431</v>
      </c>
      <c r="AO12" s="0" t="n">
        <f aca="false">AA12+AB12+AC12+AD12+AF12</f>
        <v>453735983.865245</v>
      </c>
      <c r="AP12" s="0" t="n">
        <f aca="false">AO12+AE12+AG12+AH12+AI12+AK12+AL12+AM12+AN12</f>
        <v>829421161.952249</v>
      </c>
      <c r="AQ12" s="0" t="n">
        <f aca="false">AO12+AE12+AG12+AJ12</f>
        <v>1134218401.78066</v>
      </c>
      <c r="AR12" s="0" t="n">
        <f aca="false">AB12+AC12+AD12+AF12</f>
        <v>137833427.610024</v>
      </c>
      <c r="AS12" s="0" t="n">
        <f aca="false">AR12+AE12+AG12</f>
        <v>137833427.610024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2179.102</v>
      </c>
      <c r="I13" s="0" t="n">
        <v>334.599</v>
      </c>
      <c r="J13" s="0" t="n">
        <v>1820.014</v>
      </c>
      <c r="K13" s="0" t="n">
        <v>2545.869</v>
      </c>
      <c r="L13" s="0" t="n">
        <v>1347.506</v>
      </c>
      <c r="M13" s="0" t="n">
        <v>44547.83</v>
      </c>
      <c r="N13" s="0" t="n">
        <v>5091.307</v>
      </c>
      <c r="O13" s="0" t="n">
        <v>96.998</v>
      </c>
      <c r="P13" s="0" t="n">
        <v>96.019</v>
      </c>
      <c r="Q13" s="0" t="n">
        <v>2483.262</v>
      </c>
      <c r="R13" s="0" t="n">
        <v>1966.118</v>
      </c>
      <c r="S13" s="0" t="n">
        <v>6260.286</v>
      </c>
      <c r="T13" s="0" t="n">
        <v>2513.701</v>
      </c>
      <c r="U13" s="0" t="n">
        <v>1742.586</v>
      </c>
      <c r="V13" s="0" t="n">
        <v>126928.348</v>
      </c>
      <c r="W13" s="0" t="n">
        <v>371.986</v>
      </c>
      <c r="X13" s="0" t="n">
        <v>781.242</v>
      </c>
      <c r="Y13" s="0" t="n">
        <v>96.998</v>
      </c>
      <c r="Z13" s="0" t="n">
        <v>941.978</v>
      </c>
      <c r="AA13" s="0" t="n">
        <f aca="false">H13*x_c_F+I13*x_c_CC+J13*x_c_DC+K13*x_c_HCC+L13*x_c_PLT+M13*x_c_SVRn+N13*x_c_SVRcc+O13*x_c_LT+P13*x_c_LT1</f>
        <v>323106614.144807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43513007.0841772</v>
      </c>
      <c r="AI13" s="0" t="n">
        <f aca="false">x_AGRI*x_EMP*x_WLOSS*(x_PEN_K74*Q13+x_PEN_C22*R13)</f>
        <v>2639326.48807459</v>
      </c>
      <c r="AJ13" s="0" t="n">
        <f aca="false">x_EMP*x_WAGE*(x_WLOSS*(Q13+R13)+S13)+U13*x_ABS_D*x_WAGE/365</f>
        <v>743801945.353164</v>
      </c>
      <c r="AK13" s="0" t="n">
        <f aca="false">AJ13*x_R_FUS</f>
        <v>235338935.509741</v>
      </c>
      <c r="AL13" s="0" t="n">
        <f aca="false">AJ13*x_R_NFZ</f>
        <v>57764402.878072</v>
      </c>
      <c r="AM13" s="0" t="n">
        <f aca="false">AJ13*x_R_PIT</f>
        <v>49451057.84116</v>
      </c>
      <c r="AN13" s="0" t="n">
        <f aca="false">AJ13*x_R_FP</f>
        <v>18966949.6065057</v>
      </c>
      <c r="AO13" s="0" t="n">
        <f aca="false">AA13+AB13+AC13+AD13+AF13</f>
        <v>460940041.754831</v>
      </c>
      <c r="AP13" s="0" t="n">
        <f aca="false">AO13+AE13+AG13+AH13+AI13+AK13+AL13+AM13+AN13</f>
        <v>868613721.162561</v>
      </c>
      <c r="AQ13" s="0" t="n">
        <f aca="false">AO13+AE13+AG13+AJ13</f>
        <v>1204741987.10799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2172.002</v>
      </c>
      <c r="I14" s="0" t="n">
        <v>340.128</v>
      </c>
      <c r="J14" s="0" t="n">
        <v>1852.271</v>
      </c>
      <c r="K14" s="0" t="n">
        <v>2578.525</v>
      </c>
      <c r="L14" s="0" t="n">
        <v>1336.879</v>
      </c>
      <c r="M14" s="0" t="n">
        <v>47889.742</v>
      </c>
      <c r="N14" s="0" t="n">
        <v>5551.985</v>
      </c>
      <c r="O14" s="0" t="n">
        <v>98.677</v>
      </c>
      <c r="P14" s="0" t="n">
        <v>97.838</v>
      </c>
      <c r="Q14" s="0" t="n">
        <v>2538.908</v>
      </c>
      <c r="R14" s="0" t="n">
        <v>2022.75</v>
      </c>
      <c r="S14" s="0" t="n">
        <v>6951.101</v>
      </c>
      <c r="T14" s="0" t="n">
        <v>2512.13</v>
      </c>
      <c r="U14" s="0" t="n">
        <v>1769.191</v>
      </c>
      <c r="V14" s="0" t="n">
        <v>128282.968</v>
      </c>
      <c r="W14" s="0" t="n">
        <v>374.556</v>
      </c>
      <c r="X14" s="0" t="n">
        <v>783.33</v>
      </c>
      <c r="Y14" s="0" t="n">
        <v>98.677</v>
      </c>
      <c r="Z14" s="0" t="n">
        <v>954.696</v>
      </c>
      <c r="AA14" s="0" t="n">
        <f aca="false">H14*x_c_F+I14*x_c_CC+J14*x_c_DC+K14*x_c_HCC+L14*x_c_PLT+M14*x_c_SVRn+N14*x_c_SVRcc+O14*x_c_LT+P14*x_c_LT1</f>
        <v>329384515.212992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44583436.0498697</v>
      </c>
      <c r="AI14" s="0" t="n">
        <f aca="false">x_AGRI*x_EMP*x_WLOSS*(x_PEN_K74*Q14+x_PEN_C22*R14)</f>
        <v>2706464.43866765</v>
      </c>
      <c r="AJ14" s="0" t="n">
        <f aca="false">x_EMP*x_WAGE*(x_WLOSS*(Q14+R14)+S14)+U14*x_ABS_D*x_WAGE/365</f>
        <v>807950587.992266</v>
      </c>
      <c r="AK14" s="0" t="n">
        <f aca="false">AJ14*x_R_FUS</f>
        <v>255635566.040753</v>
      </c>
      <c r="AL14" s="0" t="n">
        <f aca="false">AJ14*x_R_NFZ</f>
        <v>62746250.6140673</v>
      </c>
      <c r="AM14" s="0" t="n">
        <f aca="false">AJ14*x_R_PIT</f>
        <v>53715927.3503033</v>
      </c>
      <c r="AN14" s="0" t="n">
        <f aca="false">AJ14*x_R_FP</f>
        <v>20602739.9938028</v>
      </c>
      <c r="AO14" s="0" t="n">
        <f aca="false">AA14+AB14+AC14+AD14+AF14</f>
        <v>467217942.823016</v>
      </c>
      <c r="AP14" s="0" t="n">
        <f aca="false">AO14+AE14+AG14+AH14+AI14+AK14+AL14+AM14+AN14</f>
        <v>907208327.31048</v>
      </c>
      <c r="AQ14" s="0" t="n">
        <f aca="false">AO14+AE14+AG14+AJ14</f>
        <v>1275168530.81528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2166.629</v>
      </c>
      <c r="I15" s="0" t="n">
        <v>343.922</v>
      </c>
      <c r="J15" s="0" t="n">
        <v>1878.34</v>
      </c>
      <c r="K15" s="0" t="n">
        <v>2599.911</v>
      </c>
      <c r="L15" s="0" t="n">
        <v>1326.675</v>
      </c>
      <c r="M15" s="0" t="n">
        <v>51147.349</v>
      </c>
      <c r="N15" s="0" t="n">
        <v>5997.896</v>
      </c>
      <c r="O15" s="0" t="n">
        <v>100.01</v>
      </c>
      <c r="P15" s="0" t="n">
        <v>99.344</v>
      </c>
      <c r="Q15" s="0" t="n">
        <v>1681.784</v>
      </c>
      <c r="R15" s="0" t="n">
        <v>1357.163</v>
      </c>
      <c r="S15" s="0" t="n">
        <v>4854.836</v>
      </c>
      <c r="T15" s="0" t="n">
        <v>2510.551</v>
      </c>
      <c r="U15" s="0" t="n">
        <v>1503.974</v>
      </c>
      <c r="V15" s="0" t="n">
        <v>129611.686</v>
      </c>
      <c r="W15" s="0" t="n">
        <v>375.19</v>
      </c>
      <c r="X15" s="0" t="n">
        <v>781.999</v>
      </c>
      <c r="Y15" s="0" t="n">
        <v>100.01</v>
      </c>
      <c r="Z15" s="0" t="n">
        <v>963.715</v>
      </c>
      <c r="AA15" s="0" t="n">
        <f aca="false">H15*x_c_F+I15*x_c_CC+J15*x_c_DC+K15*x_c_HCC+L15*x_c_PLT+M15*x_c_SVRn+N15*x_c_SVRcc+O15*x_c_LT+P15*x_c_LT1</f>
        <v>334625564.646534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30381189.9527986</v>
      </c>
      <c r="AI15" s="0" t="n">
        <f aca="false">x_AGRI*x_EMP*x_WLOSS*(x_PEN_K74*Q15+x_PEN_C22*R15)</f>
        <v>1803763.5282805</v>
      </c>
      <c r="AJ15" s="0" t="n">
        <f aca="false">x_EMP*x_WAGE*(x_WLOSS*(Q15+R15)+S15)+U15*x_ABS_D*x_WAGE/365</f>
        <v>558310375.223976</v>
      </c>
      <c r="AK15" s="0" t="n">
        <f aca="false">AJ15*x_R_FUS</f>
        <v>176649402.720866</v>
      </c>
      <c r="AL15" s="0" t="n">
        <f aca="false">AJ15*x_R_NFZ</f>
        <v>43358942.0502692</v>
      </c>
      <c r="AM15" s="0" t="n">
        <f aca="false">AJ15*x_R_PIT</f>
        <v>37118804.0458964</v>
      </c>
      <c r="AN15" s="0" t="n">
        <f aca="false">AJ15*x_R_FP</f>
        <v>14236914.5682114</v>
      </c>
      <c r="AO15" s="0" t="n">
        <f aca="false">AA15+AB15+AC15+AD15+AF15</f>
        <v>472458992.256559</v>
      </c>
      <c r="AP15" s="0" t="n">
        <f aca="false">AO15+AE15+AG15+AH15+AI15+AK15+AL15+AM15+AN15</f>
        <v>776008009.122881</v>
      </c>
      <c r="AQ15" s="0" t="n">
        <f aca="false">AO15+AE15+AG15+AJ15</f>
        <v>1030769367.48054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2162.942</v>
      </c>
      <c r="I16" s="0" t="n">
        <v>346.023</v>
      </c>
      <c r="J16" s="0" t="n">
        <v>1897.269</v>
      </c>
      <c r="K16" s="0" t="n">
        <v>2609.82</v>
      </c>
      <c r="L16" s="0" t="n">
        <v>1316.456</v>
      </c>
      <c r="M16" s="0" t="n">
        <v>54320.154</v>
      </c>
      <c r="N16" s="0" t="n">
        <v>6424.643</v>
      </c>
      <c r="O16" s="0" t="n">
        <v>100.947</v>
      </c>
      <c r="P16" s="0" t="n">
        <v>100.479</v>
      </c>
      <c r="Q16" s="0" t="n">
        <v>810.83</v>
      </c>
      <c r="R16" s="0" t="n">
        <v>679.618</v>
      </c>
      <c r="S16" s="0" t="n">
        <v>2532.212</v>
      </c>
      <c r="T16" s="0" t="n">
        <v>2508.965</v>
      </c>
      <c r="U16" s="0" t="n">
        <v>1253.031</v>
      </c>
      <c r="V16" s="0" t="n">
        <v>130909.07</v>
      </c>
      <c r="W16" s="0" t="n">
        <v>373.995</v>
      </c>
      <c r="X16" s="0" t="n">
        <v>777.485</v>
      </c>
      <c r="Y16" s="0" t="n">
        <v>100.947</v>
      </c>
      <c r="Z16" s="0" t="n">
        <v>968.797</v>
      </c>
      <c r="AA16" s="0" t="n">
        <f aca="false">H16*x_c_F+I16*x_c_CC+J16*x_c_DC+K16*x_c_HCC+L16*x_c_PLT+M16*x_c_SVRn+N16*x_c_SVRcc+O16*x_c_LT+P16*x_c_LT1</f>
        <v>338753489.620275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15976208.1548317</v>
      </c>
      <c r="AI16" s="0" t="n">
        <f aca="false">x_AGRI*x_EMP*x_WLOSS*(x_PEN_K74*Q16+x_PEN_C22*R16)</f>
        <v>885722.485147865</v>
      </c>
      <c r="AJ16" s="0" t="n">
        <f aca="false">x_EMP*x_WAGE*(x_WLOSS*(Q16+R16)+S16)+U16*x_ABS_D*x_WAGE/365</f>
        <v>288224874.565489</v>
      </c>
      <c r="AK16" s="0" t="n">
        <f aca="false">AJ16*x_R_FUS</f>
        <v>91194350.3125208</v>
      </c>
      <c r="AL16" s="0" t="n">
        <f aca="false">AJ16*x_R_NFZ</f>
        <v>22383831.9836305</v>
      </c>
      <c r="AM16" s="0" t="n">
        <f aca="false">AJ16*x_R_PIT</f>
        <v>19162392.6670851</v>
      </c>
      <c r="AN16" s="0" t="n">
        <f aca="false">AJ16*x_R_FP</f>
        <v>7349734.30141998</v>
      </c>
      <c r="AO16" s="0" t="n">
        <f aca="false">AA16+AB16+AC16+AD16+AF16</f>
        <v>476586917.230299</v>
      </c>
      <c r="AP16" s="0" t="n">
        <f aca="false">AO16+AE16+AG16+AH16+AI16+AK16+AL16+AM16+AN16</f>
        <v>633539157.134935</v>
      </c>
      <c r="AQ16" s="0" t="n">
        <f aca="false">AO16+AE16+AG16+AJ16</f>
        <v>764811791.795789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2160.869</v>
      </c>
      <c r="I17" s="0" t="n">
        <v>346.506</v>
      </c>
      <c r="J17" s="0" t="n">
        <v>1908.476</v>
      </c>
      <c r="K17" s="0" t="n">
        <v>2608.468</v>
      </c>
      <c r="L17" s="0" t="n">
        <v>1305.795</v>
      </c>
      <c r="M17" s="0" t="n">
        <v>57408.588</v>
      </c>
      <c r="N17" s="0" t="n">
        <v>6828.188</v>
      </c>
      <c r="O17" s="0" t="n">
        <v>101.464</v>
      </c>
      <c r="P17" s="0" t="n">
        <v>101.206</v>
      </c>
      <c r="Q17" s="0" t="n">
        <v>838.548</v>
      </c>
      <c r="R17" s="0" t="n">
        <v>709.509</v>
      </c>
      <c r="S17" s="0" t="n">
        <v>2781.255</v>
      </c>
      <c r="T17" s="0" t="n">
        <v>2507.375</v>
      </c>
      <c r="U17" s="0" t="n">
        <v>1306.898</v>
      </c>
      <c r="V17" s="0" t="n">
        <v>132172.478</v>
      </c>
      <c r="W17" s="0" t="n">
        <v>371.126</v>
      </c>
      <c r="X17" s="0" t="n">
        <v>770.099</v>
      </c>
      <c r="Y17" s="0" t="n">
        <v>101.464</v>
      </c>
      <c r="Z17" s="0" t="n">
        <v>969.893</v>
      </c>
      <c r="AA17" s="0" t="n">
        <f aca="false">H17*x_c_F+I17*x_c_CC+J17*x_c_DC+K17*x_c_HCC+L17*x_c_PLT+M17*x_c_SVRn+N17*x_c_SVRcc+O17*x_c_LT+P17*x_c_LT1</f>
        <v>341737199.175666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16609079.7318571</v>
      </c>
      <c r="AI17" s="0" t="n">
        <f aca="false">x_AGRI*x_EMP*x_WLOSS*(x_PEN_K74*Q17+x_PEN_C22*R17)</f>
        <v>920234.102458661</v>
      </c>
      <c r="AJ17" s="0" t="n">
        <f aca="false">x_EMP*x_WAGE*(x_WLOSS*(Q17+R17)+S17)+U17*x_ABS_D*x_WAGE/365</f>
        <v>312269968.788255</v>
      </c>
      <c r="AK17" s="0" t="n">
        <f aca="false">AJ17*x_R_FUS</f>
        <v>98802218.1246039</v>
      </c>
      <c r="AL17" s="0" t="n">
        <f aca="false">AJ17*x_R_NFZ</f>
        <v>24251198.0460647</v>
      </c>
      <c r="AM17" s="0" t="n">
        <f aca="false">AJ17*x_R_PIT</f>
        <v>20761010.8915125</v>
      </c>
      <c r="AN17" s="0" t="n">
        <f aca="false">AJ17*x_R_FP</f>
        <v>7962884.2041005</v>
      </c>
      <c r="AO17" s="0" t="n">
        <f aca="false">AA17+AB17+AC17+AD17+AF17</f>
        <v>479570626.78569</v>
      </c>
      <c r="AP17" s="0" t="n">
        <f aca="false">AO17+AE17+AG17+AH17+AI17+AK17+AL17+AM17+AN17</f>
        <v>648877251.886287</v>
      </c>
      <c r="AQ17" s="0" t="n">
        <f aca="false">AO17+AE17+AG17+AJ17</f>
        <v>791840595.573945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2160.307</v>
      </c>
      <c r="I18" s="0" t="n">
        <v>345.482</v>
      </c>
      <c r="J18" s="0" t="n">
        <v>1911.795</v>
      </c>
      <c r="K18" s="0" t="n">
        <v>2596.508</v>
      </c>
      <c r="L18" s="0" t="n">
        <v>1294.351</v>
      </c>
      <c r="M18" s="0" t="n">
        <v>60415.503</v>
      </c>
      <c r="N18" s="0" t="n">
        <v>7205.237</v>
      </c>
      <c r="O18" s="0" t="n">
        <v>101.56</v>
      </c>
      <c r="P18" s="0" t="n">
        <v>101.512</v>
      </c>
      <c r="Q18" s="0" t="n">
        <v>867.411</v>
      </c>
      <c r="R18" s="0" t="n">
        <v>740.336</v>
      </c>
      <c r="S18" s="0" t="n">
        <v>3040.126</v>
      </c>
      <c r="T18" s="0" t="n">
        <v>2505.789</v>
      </c>
      <c r="U18" s="0" t="n">
        <v>1359.36</v>
      </c>
      <c r="V18" s="0" t="n">
        <v>133403.95</v>
      </c>
      <c r="W18" s="0" t="n">
        <v>366.784</v>
      </c>
      <c r="X18" s="0" t="n">
        <v>760.223</v>
      </c>
      <c r="Y18" s="0" t="n">
        <v>101.56</v>
      </c>
      <c r="Z18" s="0" t="n">
        <v>967.155</v>
      </c>
      <c r="AA18" s="0" t="n">
        <f aca="false">H18*x_c_F+I18*x_c_CC+J18*x_c_DC+K18*x_c_HCC+L18*x_c_PLT+M18*x_c_SVRn+N18*x_c_SVRcc+O18*x_c_LT+P18*x_c_LT1</f>
        <v>343595978.774539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17257757.4764934</v>
      </c>
      <c r="AI18" s="0" t="n">
        <f aca="false">x_AGRI*x_EMP*x_WLOSS*(x_PEN_K74*Q18+x_PEN_C22*R18)</f>
        <v>955981.40237999</v>
      </c>
      <c r="AJ18" s="0" t="n">
        <f aca="false">x_EMP*x_WAGE*(x_WLOSS*(Q18+R18)+S18)+U18*x_ABS_D*x_WAGE/365</f>
        <v>337244722.228372</v>
      </c>
      <c r="AK18" s="0" t="n">
        <f aca="false">AJ18*x_R_FUS</f>
        <v>106704230.113057</v>
      </c>
      <c r="AL18" s="0" t="n">
        <f aca="false">AJ18*x_R_NFZ</f>
        <v>26190762.3729776</v>
      </c>
      <c r="AM18" s="0" t="n">
        <f aca="false">AJ18*x_R_PIT</f>
        <v>22421436.740963</v>
      </c>
      <c r="AN18" s="0" t="n">
        <f aca="false">AJ18*x_R_FP</f>
        <v>8599740.4168235</v>
      </c>
      <c r="AO18" s="0" t="n">
        <f aca="false">AA18+AB18+AC18+AD18+AF18</f>
        <v>481429406.384564</v>
      </c>
      <c r="AP18" s="0" t="n">
        <f aca="false">AO18+AE18+AG18+AH18+AI18+AK18+AL18+AM18+AN18</f>
        <v>663559314.907258</v>
      </c>
      <c r="AQ18" s="0" t="n">
        <f aca="false">AO18+AE18+AG18+AJ18</f>
        <v>818674128.612936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2161.121</v>
      </c>
      <c r="I19" s="0" t="n">
        <v>343.093</v>
      </c>
      <c r="J19" s="0" t="n">
        <v>1907.267</v>
      </c>
      <c r="K19" s="0" t="n">
        <v>2574.774</v>
      </c>
      <c r="L19" s="0" t="n">
        <v>1281.605</v>
      </c>
      <c r="M19" s="0" t="n">
        <v>63340.591</v>
      </c>
      <c r="N19" s="0" t="n">
        <v>7552.571</v>
      </c>
      <c r="O19" s="0" t="n">
        <v>101.231</v>
      </c>
      <c r="P19" s="0" t="n">
        <v>101.396</v>
      </c>
      <c r="Q19" s="0" t="n">
        <v>897.451</v>
      </c>
      <c r="R19" s="0" t="n">
        <v>772.182</v>
      </c>
      <c r="S19" s="0" t="n">
        <v>3308.987</v>
      </c>
      <c r="T19" s="0" t="n">
        <v>2504.214</v>
      </c>
      <c r="U19" s="0" t="n">
        <v>1410.234</v>
      </c>
      <c r="V19" s="0" t="n">
        <v>134604.21</v>
      </c>
      <c r="W19" s="0" t="n">
        <v>361.162</v>
      </c>
      <c r="X19" s="0" t="n">
        <v>748.202</v>
      </c>
      <c r="Y19" s="0" t="n">
        <v>101.231</v>
      </c>
      <c r="Z19" s="0" t="n">
        <v>960.69</v>
      </c>
      <c r="AA19" s="0" t="n">
        <f aca="false">H19*x_c_F+I19*x_c_CC+J19*x_c_DC+K19*x_c_HCC+L19*x_c_PLT+M19*x_c_SVRn+N19*x_c_SVRcc+O19*x_c_LT+P19*x_c_LT1</f>
        <v>344356461.074115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17922934.3897951</v>
      </c>
      <c r="AI19" s="0" t="n">
        <f aca="false">x_AGRI*x_EMP*x_WLOSS*(x_PEN_K74*Q19+x_PEN_C22*R19)</f>
        <v>993035.058797353</v>
      </c>
      <c r="AJ19" s="0" t="n">
        <f aca="false">x_EMP*x_WAGE*(x_WLOSS*(Q19+R19)+S19)+U19*x_ABS_D*x_WAGE/365</f>
        <v>363167706.185607</v>
      </c>
      <c r="AK19" s="0" t="n">
        <f aca="false">AJ19*x_R_FUS</f>
        <v>114906262.237126</v>
      </c>
      <c r="AL19" s="0" t="n">
        <f aca="false">AJ19*x_R_NFZ</f>
        <v>28203967.2300805</v>
      </c>
      <c r="AM19" s="0" t="n">
        <f aca="false">AJ19*x_R_PIT</f>
        <v>24144904.9129588</v>
      </c>
      <c r="AN19" s="0" t="n">
        <f aca="false">AJ19*x_R_FP</f>
        <v>9260776.50773299</v>
      </c>
      <c r="AO19" s="0" t="n">
        <f aca="false">AA19+AB19+AC19+AD19+AF19</f>
        <v>482189888.68414</v>
      </c>
      <c r="AP19" s="0" t="n">
        <f aca="false">AO19+AE19+AG19+AH19+AI19+AK19+AL19+AM19+AN19</f>
        <v>677621769.020631</v>
      </c>
      <c r="AQ19" s="0" t="n">
        <f aca="false">AO19+AE19+AG19+AJ19</f>
        <v>845357594.869747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2163.122</v>
      </c>
      <c r="I20" s="0" t="n">
        <v>339.546</v>
      </c>
      <c r="J20" s="0" t="n">
        <v>1895.835</v>
      </c>
      <c r="K20" s="0" t="n">
        <v>2545.046</v>
      </c>
      <c r="L20" s="0" t="n">
        <v>1267.932</v>
      </c>
      <c r="M20" s="0" t="n">
        <v>66202.708</v>
      </c>
      <c r="N20" s="0" t="n">
        <v>7870.652</v>
      </c>
      <c r="O20" s="0" t="n">
        <v>100.578</v>
      </c>
      <c r="P20" s="0" t="n">
        <v>100.905</v>
      </c>
      <c r="Q20" s="0" t="n">
        <v>928.693</v>
      </c>
      <c r="R20" s="0" t="n">
        <v>805.087</v>
      </c>
      <c r="S20" s="0" t="n">
        <v>3587.98</v>
      </c>
      <c r="T20" s="0" t="n">
        <v>2502.668</v>
      </c>
      <c r="U20" s="0" t="n">
        <v>1459.204</v>
      </c>
      <c r="V20" s="0" t="n">
        <v>135798.812</v>
      </c>
      <c r="W20" s="0" t="n">
        <v>354.661</v>
      </c>
      <c r="X20" s="0" t="n">
        <v>734.819</v>
      </c>
      <c r="Y20" s="0" t="n">
        <v>100.578</v>
      </c>
      <c r="Z20" s="0" t="n">
        <v>951.525</v>
      </c>
      <c r="AA20" s="0" t="n">
        <f aca="false">H20*x_c_F+I20*x_c_CC+J20*x_c_DC+K20*x_c_HCC+L20*x_c_PLT+M20*x_c_SVRn+N20*x_c_SVRcc+O20*x_c_LT+P20*x_c_LT1</f>
        <v>344209764.435113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18604557.1740719</v>
      </c>
      <c r="AI20" s="0" t="n">
        <f aca="false">x_AGRI*x_EMP*x_WLOSS*(x_PEN_K74*Q20+x_PEN_C22*R20)</f>
        <v>1031434.49003367</v>
      </c>
      <c r="AJ20" s="0" t="n">
        <f aca="false">x_EMP*x_WAGE*(x_WLOSS*(Q20+R20)+S20)+U20*x_ABS_D*x_WAGE/365</f>
        <v>390053093.194981</v>
      </c>
      <c r="AK20" s="0" t="n">
        <f aca="false">AJ20*x_R_FUS</f>
        <v>123412798.686892</v>
      </c>
      <c r="AL20" s="0" t="n">
        <f aca="false">AJ20*x_R_NFZ</f>
        <v>30291913.2706154</v>
      </c>
      <c r="AM20" s="0" t="n">
        <f aca="false">AJ20*x_R_PIT</f>
        <v>25932357.6567819</v>
      </c>
      <c r="AN20" s="0" t="n">
        <f aca="false">AJ20*x_R_FP</f>
        <v>9946353.87647201</v>
      </c>
      <c r="AO20" s="0" t="n">
        <f aca="false">AA20+AB20+AC20+AD20+AF20</f>
        <v>482043192.045138</v>
      </c>
      <c r="AP20" s="0" t="n">
        <f aca="false">AO20+AE20+AG20+AH20+AI20+AK20+AL20+AM20+AN20</f>
        <v>691262607.200005</v>
      </c>
      <c r="AQ20" s="0" t="n">
        <f aca="false">AO20+AE20+AG20+AJ20</f>
        <v>872096285.240119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2166.096</v>
      </c>
      <c r="I21" s="0" t="n">
        <v>335.073</v>
      </c>
      <c r="J21" s="0" t="n">
        <v>1878.618</v>
      </c>
      <c r="K21" s="0" t="n">
        <v>2509.201</v>
      </c>
      <c r="L21" s="0" t="n">
        <v>1253.693</v>
      </c>
      <c r="M21" s="0" t="n">
        <v>69020.266</v>
      </c>
      <c r="N21" s="0" t="n">
        <v>8160.714</v>
      </c>
      <c r="O21" s="0" t="n">
        <v>99.616</v>
      </c>
      <c r="P21" s="0" t="n">
        <v>100.097</v>
      </c>
      <c r="Q21" s="0" t="n">
        <v>961.171</v>
      </c>
      <c r="R21" s="0" t="n">
        <v>839.066</v>
      </c>
      <c r="S21" s="0" t="n">
        <v>3877.295</v>
      </c>
      <c r="T21" s="0" t="n">
        <v>2501.17</v>
      </c>
      <c r="U21" s="0" t="n">
        <v>1505.963</v>
      </c>
      <c r="V21" s="0" t="n">
        <v>137012.5</v>
      </c>
      <c r="W21" s="0" t="n">
        <v>347.494</v>
      </c>
      <c r="X21" s="0" t="n">
        <v>720.434</v>
      </c>
      <c r="Y21" s="0" t="n">
        <v>99.616</v>
      </c>
      <c r="Z21" s="0" t="n">
        <v>939.88</v>
      </c>
      <c r="AA21" s="0" t="n">
        <f aca="false">H21*x_c_F+I21*x_c_CC+J21*x_c_DC+K21*x_c_HCC+L21*x_c_PLT+M21*x_c_SVRn+N21*x_c_SVRcc+O21*x_c_LT+P21*x_c_LT1</f>
        <v>343328784.690119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19302426.7345834</v>
      </c>
      <c r="AI21" s="0" t="n">
        <f aca="false">x_AGRI*x_EMP*x_WLOSS*(x_PEN_K74*Q21+x_PEN_C22*R21)</f>
        <v>1071208.25449782</v>
      </c>
      <c r="AJ21" s="0" t="n">
        <f aca="false">x_EMP*x_WAGE*(x_WLOSS*(Q21+R21)+S21)+U21*x_ABS_D*x_WAGE/365</f>
        <v>417918437.807843</v>
      </c>
      <c r="AK21" s="0" t="n">
        <f aca="false">AJ21*x_R_FUS</f>
        <v>132229393.722401</v>
      </c>
      <c r="AL21" s="0" t="n">
        <f aca="false">AJ21*x_R_NFZ</f>
        <v>32455963.7985949</v>
      </c>
      <c r="AM21" s="0" t="n">
        <f aca="false">AJ21*x_R_PIT</f>
        <v>27784962.0722761</v>
      </c>
      <c r="AN21" s="0" t="n">
        <f aca="false">AJ21*x_R_FP</f>
        <v>10656920.1641</v>
      </c>
      <c r="AO21" s="0" t="n">
        <f aca="false">AA21+AB21+AC21+AD21+AF21</f>
        <v>481162212.300143</v>
      </c>
      <c r="AP21" s="0" t="n">
        <f aca="false">AO21+AE21+AG21+AH21+AI21+AK21+AL21+AM21+AN21</f>
        <v>704663087.046597</v>
      </c>
      <c r="AQ21" s="0" t="n">
        <f aca="false">AO21+AE21+AG21+AJ21</f>
        <v>899080650.107986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2169.836</v>
      </c>
      <c r="I22" s="0" t="n">
        <v>329.895</v>
      </c>
      <c r="J22" s="0" t="n">
        <v>1856.428</v>
      </c>
      <c r="K22" s="0" t="n">
        <v>2468.645</v>
      </c>
      <c r="L22" s="0" t="n">
        <v>1238.612</v>
      </c>
      <c r="M22" s="0" t="n">
        <v>71797.906</v>
      </c>
      <c r="N22" s="0" t="n">
        <v>8422.75</v>
      </c>
      <c r="O22" s="0" t="n">
        <v>98.41</v>
      </c>
      <c r="P22" s="0" t="n">
        <v>99.013</v>
      </c>
      <c r="Q22" s="0" t="n">
        <v>994.901</v>
      </c>
      <c r="R22" s="0" t="n">
        <v>874.087</v>
      </c>
      <c r="S22" s="0" t="n">
        <v>4177.086</v>
      </c>
      <c r="T22" s="0" t="n">
        <v>2499.732</v>
      </c>
      <c r="U22" s="0" t="n">
        <v>1550.289</v>
      </c>
      <c r="V22" s="0" t="n">
        <v>138252.42</v>
      </c>
      <c r="W22" s="0" t="n">
        <v>339.951</v>
      </c>
      <c r="X22" s="0" t="n">
        <v>705.573</v>
      </c>
      <c r="Y22" s="0" t="n">
        <v>98.41</v>
      </c>
      <c r="Z22" s="0" t="n">
        <v>926.391</v>
      </c>
      <c r="AA22" s="0" t="n">
        <f aca="false">H22*x_c_F+I22*x_c_CC+J22*x_c_DC+K22*x_c_HCC+L22*x_c_PLT+M22*x_c_SVRn+N22*x_c_SVRcc+O22*x_c_LT+P22*x_c_LT1</f>
        <v>341835466.442702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20015914.2801611</v>
      </c>
      <c r="AI22" s="0" t="n">
        <f aca="false">x_AGRI*x_EMP*x_WLOSS*(x_PEN_K74*Q22+x_PEN_C22*R22)</f>
        <v>1112344.95785067</v>
      </c>
      <c r="AJ22" s="0" t="n">
        <f aca="false">x_EMP*x_WAGE*(x_WLOSS*(Q22+R22)+S22)+U22*x_ABS_D*x_WAGE/365</f>
        <v>446775481.122007</v>
      </c>
      <c r="AK22" s="0" t="n">
        <f aca="false">AJ22*x_R_FUS</f>
        <v>141359762.227003</v>
      </c>
      <c r="AL22" s="0" t="n">
        <f aca="false">AJ22*x_R_NFZ</f>
        <v>34697030.6394162</v>
      </c>
      <c r="AM22" s="0" t="n">
        <f aca="false">AJ22*x_R_PIT</f>
        <v>29703498.7566297</v>
      </c>
      <c r="AN22" s="0" t="n">
        <f aca="false">AJ22*x_R_FP</f>
        <v>11392774.7686112</v>
      </c>
      <c r="AO22" s="0" t="n">
        <f aca="false">AA22+AB22+AC22+AD22+AF22</f>
        <v>479668894.052727</v>
      </c>
      <c r="AP22" s="0" t="n">
        <f aca="false">AO22+AE22+AG22+AH22+AI22+AK22+AL22+AM22+AN22</f>
        <v>717950219.682399</v>
      </c>
      <c r="AQ22" s="0" t="n">
        <f aca="false">AO22+AE22+AG22+AJ22</f>
        <v>926444375.174734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2174.127</v>
      </c>
      <c r="I23" s="0" t="n">
        <v>324.24</v>
      </c>
      <c r="J23" s="0" t="n">
        <v>1830.417</v>
      </c>
      <c r="K23" s="0" t="n">
        <v>2425.045</v>
      </c>
      <c r="L23" s="0" t="n">
        <v>1222.904</v>
      </c>
      <c r="M23" s="0" t="n">
        <v>74548.838</v>
      </c>
      <c r="N23" s="0" t="n">
        <v>8658.749</v>
      </c>
      <c r="O23" s="0" t="n">
        <v>97.018</v>
      </c>
      <c r="P23" s="0" t="n">
        <v>97.714</v>
      </c>
      <c r="Q23" s="0" t="n">
        <v>1029.866</v>
      </c>
      <c r="R23" s="0" t="n">
        <v>910.071</v>
      </c>
      <c r="S23" s="0" t="n">
        <v>4487.422</v>
      </c>
      <c r="T23" s="0" t="n">
        <v>2498.367</v>
      </c>
      <c r="U23" s="0" t="n">
        <v>1591.973</v>
      </c>
      <c r="V23" s="0" t="n">
        <v>139533.68</v>
      </c>
      <c r="W23" s="0" t="n">
        <v>332.264</v>
      </c>
      <c r="X23" s="0" t="n">
        <v>690.645</v>
      </c>
      <c r="Y23" s="0" t="n">
        <v>97.018</v>
      </c>
      <c r="Z23" s="0" t="n">
        <v>911.596</v>
      </c>
      <c r="AA23" s="0" t="n">
        <f aca="false">H23*x_c_F+I23*x_c_CC+J23*x_c_DC+K23*x_c_HCC+L23*x_c_PLT+M23*x_c_SVRn+N23*x_c_SVRcc+O23*x_c_LT+P23*x_c_LT1</f>
        <v>339899195.588951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20743686.3398832</v>
      </c>
      <c r="AI23" s="0" t="n">
        <f aca="false">x_AGRI*x_EMP*x_WLOSS*(x_PEN_K74*Q23+x_PEN_C22*R23)</f>
        <v>1154784.8612054</v>
      </c>
      <c r="AJ23" s="0" t="n">
        <f aca="false">x_EMP*x_WAGE*(x_WLOSS*(Q23+R23)+S23)+U23*x_ABS_D*x_WAGE/365</f>
        <v>476625070.661931</v>
      </c>
      <c r="AK23" s="0" t="n">
        <f aca="false">AJ23*x_R_FUS</f>
        <v>150804172.357435</v>
      </c>
      <c r="AL23" s="0" t="n">
        <f aca="false">AJ23*x_R_NFZ</f>
        <v>37015179.6126762</v>
      </c>
      <c r="AM23" s="0" t="n">
        <f aca="false">AJ23*x_R_PIT</f>
        <v>31688024.056806</v>
      </c>
      <c r="AN23" s="0" t="n">
        <f aca="false">AJ23*x_R_FP</f>
        <v>12153939.3018792</v>
      </c>
      <c r="AO23" s="0" t="n">
        <f aca="false">AA23+AB23+AC23+AD23+AF23</f>
        <v>477732623.198976</v>
      </c>
      <c r="AP23" s="0" t="n">
        <f aca="false">AO23+AE23+AG23+AH23+AI23+AK23+AL23+AM23+AN23</f>
        <v>731292409.72886</v>
      </c>
      <c r="AQ23" s="0" t="n">
        <f aca="false">AO23+AE23+AG23+AJ23</f>
        <v>954357693.860906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2178.773</v>
      </c>
      <c r="I24" s="0" t="n">
        <v>318.308</v>
      </c>
      <c r="J24" s="0" t="n">
        <v>1801.645</v>
      </c>
      <c r="K24" s="0" t="n">
        <v>2379.826</v>
      </c>
      <c r="L24" s="0" t="n">
        <v>1206.752</v>
      </c>
      <c r="M24" s="0" t="n">
        <v>77283.712</v>
      </c>
      <c r="N24" s="0" t="n">
        <v>8870.846</v>
      </c>
      <c r="O24" s="0" t="n">
        <v>95.493</v>
      </c>
      <c r="P24" s="0" t="n">
        <v>96.256</v>
      </c>
      <c r="Q24" s="0" t="n">
        <v>1066.028</v>
      </c>
      <c r="R24" s="0" t="n">
        <v>946.902</v>
      </c>
      <c r="S24" s="0" t="n">
        <v>4808.31</v>
      </c>
      <c r="T24" s="0" t="n">
        <v>2497.081</v>
      </c>
      <c r="U24" s="0" t="n">
        <v>1630.89</v>
      </c>
      <c r="V24" s="0" t="n">
        <v>140865.802</v>
      </c>
      <c r="W24" s="0" t="n">
        <v>324.625</v>
      </c>
      <c r="X24" s="0" t="n">
        <v>675.984</v>
      </c>
      <c r="Y24" s="0" t="n">
        <v>95.493</v>
      </c>
      <c r="Z24" s="0" t="n">
        <v>896.005</v>
      </c>
      <c r="AA24" s="0" t="n">
        <f aca="false">H24*x_c_F+I24*x_c_CC+J24*x_c_DC+K24*x_c_HCC+L24*x_c_PLT+M24*x_c_SVRn+N24*x_c_SVRcc+O24*x_c_LT+P24*x_c_LT1</f>
        <v>337668246.256113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21484048.4889059</v>
      </c>
      <c r="AI24" s="0" t="n">
        <f aca="false">x_AGRI*x_EMP*x_WLOSS*(x_PEN_K74*Q24+x_PEN_C22*R24)</f>
        <v>1198432.95256476</v>
      </c>
      <c r="AJ24" s="0" t="n">
        <f aca="false">x_EMP*x_WAGE*(x_WLOSS*(Q24+R24)+S24)+U24*x_ABS_D*x_WAGE/365</f>
        <v>507460343.192439</v>
      </c>
      <c r="AK24" s="0" t="n">
        <f aca="false">AJ24*x_R_FUS</f>
        <v>160560452.586088</v>
      </c>
      <c r="AL24" s="0" t="n">
        <f aca="false">AJ24*x_R_NFZ</f>
        <v>39409877.712668</v>
      </c>
      <c r="AM24" s="0" t="n">
        <f aca="false">AJ24*x_R_PIT</f>
        <v>33738081.6762843</v>
      </c>
      <c r="AN24" s="0" t="n">
        <f aca="false">AJ24*x_R_FP</f>
        <v>12940238.7514072</v>
      </c>
      <c r="AO24" s="0" t="n">
        <f aca="false">AA24+AB24+AC24+AD24+AF24</f>
        <v>475501673.866137</v>
      </c>
      <c r="AP24" s="0" t="n">
        <f aca="false">AO24+AE24+AG24+AH24+AI24+AK24+AL24+AM24+AN24</f>
        <v>744832806.034055</v>
      </c>
      <c r="AQ24" s="0" t="n">
        <f aca="false">AO24+AE24+AG24+AJ24</f>
        <v>982962017.058576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2183.603</v>
      </c>
      <c r="I25" s="0" t="n">
        <v>312.276</v>
      </c>
      <c r="J25" s="0" t="n">
        <v>1771.081</v>
      </c>
      <c r="K25" s="0" t="n">
        <v>2334.204</v>
      </c>
      <c r="L25" s="0" t="n">
        <v>1190.338</v>
      </c>
      <c r="M25" s="0" t="n">
        <v>80011.513</v>
      </c>
      <c r="N25" s="0" t="n">
        <v>9061.38</v>
      </c>
      <c r="O25" s="0" t="n">
        <v>93.887</v>
      </c>
      <c r="P25" s="0" t="n">
        <v>94.69</v>
      </c>
      <c r="Q25" s="0" t="n">
        <v>1103.321</v>
      </c>
      <c r="R25" s="0" t="n">
        <v>984.431</v>
      </c>
      <c r="S25" s="0" t="n">
        <v>5139.691</v>
      </c>
      <c r="T25" s="0" t="n">
        <v>2495.879</v>
      </c>
      <c r="U25" s="0" t="n">
        <v>1666.981</v>
      </c>
      <c r="V25" s="0" t="n">
        <v>142255.084</v>
      </c>
      <c r="W25" s="0" t="n">
        <v>317.185</v>
      </c>
      <c r="X25" s="0" t="n">
        <v>661.84</v>
      </c>
      <c r="Y25" s="0" t="n">
        <v>93.887</v>
      </c>
      <c r="Z25" s="0" t="n">
        <v>880.048</v>
      </c>
      <c r="AA25" s="0" t="n">
        <f aca="false">H25*x_c_F+I25*x_c_CC+J25*x_c_DC+K25*x_c_HCC+L25*x_c_PLT+M25*x_c_SVRn+N25*x_c_SVRcc+O25*x_c_LT+P25*x_c_LT1</f>
        <v>335274982.515685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22234887.5708139</v>
      </c>
      <c r="AI25" s="0" t="n">
        <f aca="false">x_AGRI*x_EMP*x_WLOSS*(x_PEN_K74*Q25+x_PEN_C22*R25)</f>
        <v>1243157.57384694</v>
      </c>
      <c r="AJ25" s="0" t="n">
        <f aca="false">x_EMP*x_WAGE*(x_WLOSS*(Q25+R25)+S25)+U25*x_ABS_D*x_WAGE/365</f>
        <v>539266192.631102</v>
      </c>
      <c r="AK25" s="0" t="n">
        <f aca="false">AJ25*x_R_FUS</f>
        <v>170623823.348481</v>
      </c>
      <c r="AL25" s="0" t="n">
        <f aca="false">AJ25*x_R_NFZ</f>
        <v>41879951.785924</v>
      </c>
      <c r="AM25" s="0" t="n">
        <f aca="false">AJ25*x_R_PIT</f>
        <v>35852667.2996545</v>
      </c>
      <c r="AN25" s="0" t="n">
        <f aca="false">AJ25*x_R_FP</f>
        <v>13751287.9120931</v>
      </c>
      <c r="AO25" s="0" t="n">
        <f aca="false">AA25+AB25+AC25+AD25+AF25</f>
        <v>473108410.125709</v>
      </c>
      <c r="AP25" s="0" t="n">
        <f aca="false">AO25+AE25+AG25+AH25+AI25+AK25+AL25+AM25+AN25</f>
        <v>758694185.616522</v>
      </c>
      <c r="AQ25" s="0" t="n">
        <f aca="false">AO25+AE25+AG25+AJ25</f>
        <v>1012374602.75681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2188.48</v>
      </c>
      <c r="I26" s="0" t="n">
        <v>306.279</v>
      </c>
      <c r="J26" s="0" t="n">
        <v>1739.51</v>
      </c>
      <c r="K26" s="0" t="n">
        <v>2289.082</v>
      </c>
      <c r="L26" s="0" t="n">
        <v>1173.779</v>
      </c>
      <c r="M26" s="0" t="n">
        <v>82737.841</v>
      </c>
      <c r="N26" s="0" t="n">
        <v>9232.361</v>
      </c>
      <c r="O26" s="0" t="n">
        <v>92.235</v>
      </c>
      <c r="P26" s="0" t="n">
        <v>93.061</v>
      </c>
      <c r="Q26" s="0" t="n">
        <v>1141.66</v>
      </c>
      <c r="R26" s="0" t="n">
        <v>1022.487</v>
      </c>
      <c r="S26" s="0" t="n">
        <v>5481.447</v>
      </c>
      <c r="T26" s="0" t="n">
        <v>2494.759</v>
      </c>
      <c r="U26" s="0" t="n">
        <v>1700.268</v>
      </c>
      <c r="V26" s="0" t="n">
        <v>143702.354</v>
      </c>
      <c r="W26" s="0" t="n">
        <v>310.033</v>
      </c>
      <c r="X26" s="0" t="n">
        <v>648.354</v>
      </c>
      <c r="Y26" s="0" t="n">
        <v>92.235</v>
      </c>
      <c r="Z26" s="0" t="n">
        <v>864.026</v>
      </c>
      <c r="AA26" s="0" t="n">
        <f aca="false">H26*x_c_F+I26*x_c_CC+J26*x_c_DC+K26*x_c_HCC+L26*x_c_PLT+M26*x_c_SVRn+N26*x_c_SVRcc+O26*x_c_LT+P26*x_c_LT1</f>
        <v>332817482.494471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22993884.5211219</v>
      </c>
      <c r="AI26" s="0" t="n">
        <f aca="false">x_AGRI*x_EMP*x_WLOSS*(x_PEN_K74*Q26+x_PEN_C22*R26)</f>
        <v>1288802.44976263</v>
      </c>
      <c r="AJ26" s="0" t="n">
        <f aca="false">x_EMP*x_WAGE*(x_WLOSS*(Q26+R26)+S26)+U26*x_ABS_D*x_WAGE/365</f>
        <v>572020832.086436</v>
      </c>
      <c r="AK26" s="0" t="n">
        <f aca="false">AJ26*x_R_FUS</f>
        <v>180987391.272149</v>
      </c>
      <c r="AL26" s="0" t="n">
        <f aca="false">AJ26*x_R_NFZ</f>
        <v>44423709.8406647</v>
      </c>
      <c r="AM26" s="0" t="n">
        <f aca="false">AJ26*x_R_PIT</f>
        <v>38030332.4434355</v>
      </c>
      <c r="AN26" s="0" t="n">
        <f aca="false">AJ26*x_R_FP</f>
        <v>14586531.2182041</v>
      </c>
      <c r="AO26" s="0" t="n">
        <f aca="false">AA26+AB26+AC26+AD26+AF26</f>
        <v>470650910.104495</v>
      </c>
      <c r="AP26" s="0" t="n">
        <f aca="false">AO26+AE26+AG26+AH26+AI26+AK26+AL26+AM26+AN26</f>
        <v>772961561.849832</v>
      </c>
      <c r="AQ26" s="0" t="n">
        <f aca="false">AO26+AE26+AG26+AJ26</f>
        <v>1042671742.19093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2193.302</v>
      </c>
      <c r="I27" s="0" t="n">
        <v>300.417</v>
      </c>
      <c r="J27" s="0" t="n">
        <v>1707.542</v>
      </c>
      <c r="K27" s="0" t="n">
        <v>2245.093</v>
      </c>
      <c r="L27" s="0" t="n">
        <v>1157.146</v>
      </c>
      <c r="M27" s="0" t="n">
        <v>85465.5</v>
      </c>
      <c r="N27" s="0" t="n">
        <v>9385.471</v>
      </c>
      <c r="O27" s="0" t="n">
        <v>90.567</v>
      </c>
      <c r="P27" s="0" t="n">
        <v>91.401</v>
      </c>
      <c r="Q27" s="0" t="n">
        <v>1180.915</v>
      </c>
      <c r="R27" s="0" t="n">
        <v>1060.865</v>
      </c>
      <c r="S27" s="0" t="n">
        <v>5833.27</v>
      </c>
      <c r="T27" s="0" t="n">
        <v>2493.719</v>
      </c>
      <c r="U27" s="0" t="n">
        <v>1730.835</v>
      </c>
      <c r="V27" s="0" t="n">
        <v>145204.517</v>
      </c>
      <c r="W27" s="0" t="n">
        <v>303.228</v>
      </c>
      <c r="X27" s="0" t="n">
        <v>635.607</v>
      </c>
      <c r="Y27" s="0" t="n">
        <v>90.567</v>
      </c>
      <c r="Z27" s="0" t="n">
        <v>848.187</v>
      </c>
      <c r="AA27" s="0" t="n">
        <f aca="false">H27*x_c_F+I27*x_c_CC+J27*x_c_DC+K27*x_c_HCC+L27*x_c_PLT+M27*x_c_SVRn+N27*x_c_SVRcc+O27*x_c_LT+P27*x_c_LT1</f>
        <v>330367194.221128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23758139.8134273</v>
      </c>
      <c r="AI27" s="0" t="n">
        <f aca="false">x_AGRI*x_EMP*x_WLOSS*(x_PEN_K74*Q27+x_PEN_C22*R27)</f>
        <v>1335164.51243191</v>
      </c>
      <c r="AJ27" s="0" t="n">
        <f aca="false">x_EMP*x_WAGE*(x_WLOSS*(Q27+R27)+S27)+U27*x_ABS_D*x_WAGE/365</f>
        <v>605682818.730523</v>
      </c>
      <c r="AK27" s="0" t="n">
        <f aca="false">AJ27*x_R_FUS</f>
        <v>191638043.846337</v>
      </c>
      <c r="AL27" s="0" t="n">
        <f aca="false">AJ27*x_R_NFZ</f>
        <v>47037933.3854311</v>
      </c>
      <c r="AM27" s="0" t="n">
        <f aca="false">AJ27*x_R_PIT</f>
        <v>40268321.8154513</v>
      </c>
      <c r="AN27" s="0" t="n">
        <f aca="false">AJ27*x_R_FP</f>
        <v>15444911.8776283</v>
      </c>
      <c r="AO27" s="0" t="n">
        <f aca="false">AA27+AB27+AC27+AD27+AF27</f>
        <v>468200621.831153</v>
      </c>
      <c r="AP27" s="0" t="n">
        <f aca="false">AO27+AE27+AG27+AH27+AI27+AK27+AL27+AM27+AN27</f>
        <v>787683137.08186</v>
      </c>
      <c r="AQ27" s="0" t="n">
        <f aca="false">AO27+AE27+AG27+AJ27</f>
        <v>1073883440.56168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2197.998</v>
      </c>
      <c r="I28" s="0" t="n">
        <v>294.753</v>
      </c>
      <c r="J28" s="0" t="n">
        <v>1675.614</v>
      </c>
      <c r="K28" s="0" t="n">
        <v>2202.622</v>
      </c>
      <c r="L28" s="0" t="n">
        <v>1140.451</v>
      </c>
      <c r="M28" s="0" t="n">
        <v>88194.461</v>
      </c>
      <c r="N28" s="0" t="n">
        <v>9521.926</v>
      </c>
      <c r="O28" s="0" t="n">
        <v>88.903</v>
      </c>
      <c r="P28" s="0" t="n">
        <v>89.735</v>
      </c>
      <c r="Q28" s="0" t="n">
        <v>1220.927</v>
      </c>
      <c r="R28" s="0" t="n">
        <v>1099.342</v>
      </c>
      <c r="S28" s="0" t="n">
        <v>6194.71</v>
      </c>
      <c r="T28" s="0" t="n">
        <v>2492.751</v>
      </c>
      <c r="U28" s="0" t="n">
        <v>1758.807</v>
      </c>
      <c r="V28" s="0" t="n">
        <v>146755.14</v>
      </c>
      <c r="W28" s="0" t="n">
        <v>296.785</v>
      </c>
      <c r="X28" s="0" t="n">
        <v>623.601</v>
      </c>
      <c r="Y28" s="0" t="n">
        <v>88.903</v>
      </c>
      <c r="Z28" s="0" t="n">
        <v>832.656</v>
      </c>
      <c r="AA28" s="0" t="n">
        <f aca="false">H28*x_c_F+I28*x_c_CC+J28*x_c_DC+K28*x_c_HCC+L28*x_c_PLT+M28*x_c_SVRn+N28*x_c_SVRcc+O28*x_c_LT+P28*x_c_LT1</f>
        <v>327968089.833041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24524419.6142385</v>
      </c>
      <c r="AI28" s="0" t="n">
        <f aca="false">x_AGRI*x_EMP*x_WLOSS*(x_PEN_K74*Q28+x_PEN_C22*R28)</f>
        <v>1382013.02543327</v>
      </c>
      <c r="AJ28" s="0" t="n">
        <f aca="false">x_EMP*x_WAGE*(x_WLOSS*(Q28+R28)+S28)+U28*x_ABS_D*x_WAGE/365</f>
        <v>640196558.464906</v>
      </c>
      <c r="AK28" s="0" t="n">
        <f aca="false">AJ28*x_R_FUS</f>
        <v>202558191.098296</v>
      </c>
      <c r="AL28" s="0" t="n">
        <f aca="false">AJ28*x_R_NFZ</f>
        <v>49718304.9269431</v>
      </c>
      <c r="AM28" s="0" t="n">
        <f aca="false">AJ28*x_R_PIT</f>
        <v>42562939.2879955</v>
      </c>
      <c r="AN28" s="0" t="n">
        <f aca="false">AJ28*x_R_FP</f>
        <v>16325012.2408551</v>
      </c>
      <c r="AO28" s="0" t="n">
        <f aca="false">AA28+AB28+AC28+AD28+AF28</f>
        <v>465801517.443065</v>
      </c>
      <c r="AP28" s="0" t="n">
        <f aca="false">AO28+AE28+AG28+AH28+AI28+AK28+AL28+AM28+AN28</f>
        <v>802872397.636827</v>
      </c>
      <c r="AQ28" s="0" t="n">
        <f aca="false">AO28+AE28+AG28+AJ28</f>
        <v>1105998075.90797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2202.527</v>
      </c>
      <c r="I29" s="0" t="n">
        <v>289.321</v>
      </c>
      <c r="J29" s="0" t="n">
        <v>1643.997</v>
      </c>
      <c r="K29" s="0" t="n">
        <v>2161.825</v>
      </c>
      <c r="L29" s="0" t="n">
        <v>1123.643</v>
      </c>
      <c r="M29" s="0" t="n">
        <v>90921.888</v>
      </c>
      <c r="N29" s="0" t="n">
        <v>9642.365</v>
      </c>
      <c r="O29" s="0" t="n">
        <v>87.256</v>
      </c>
      <c r="P29" s="0" t="n">
        <v>88.08</v>
      </c>
      <c r="Q29" s="0" t="n">
        <v>1261.537</v>
      </c>
      <c r="R29" s="0" t="n">
        <v>1137.697</v>
      </c>
      <c r="S29" s="0" t="n">
        <v>6565.309</v>
      </c>
      <c r="T29" s="0" t="n">
        <v>2491.848</v>
      </c>
      <c r="U29" s="0" t="n">
        <v>1784.354</v>
      </c>
      <c r="V29" s="0" t="n">
        <v>148344.747</v>
      </c>
      <c r="W29" s="0" t="n">
        <v>290.695</v>
      </c>
      <c r="X29" s="0" t="n">
        <v>612.298</v>
      </c>
      <c r="Y29" s="0" t="n">
        <v>87.256</v>
      </c>
      <c r="Z29" s="0" t="n">
        <v>817.51</v>
      </c>
      <c r="AA29" s="0" t="n">
        <f aca="false">H29*x_c_F+I29*x_c_CC+J29*x_c_DC+K29*x_c_HCC+L29*x_c_PLT+M29*x_c_SVRn+N29*x_c_SVRcc+O29*x_c_LT+P29*x_c_LT1</f>
        <v>325638592.877174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25289601.8428322</v>
      </c>
      <c r="AI29" s="0" t="n">
        <f aca="false">x_AGRI*x_EMP*x_WLOSS*(x_PEN_K74*Q29+x_PEN_C22*R29)</f>
        <v>1429118.5239447</v>
      </c>
      <c r="AJ29" s="0" t="n">
        <f aca="false">x_EMP*x_WAGE*(x_WLOSS*(Q29+R29)+S29)+U29*x_ABS_D*x_WAGE/365</f>
        <v>675505999.40391</v>
      </c>
      <c r="AK29" s="0" t="n">
        <f aca="false">AJ29*x_R_FUS</f>
        <v>213730098.211397</v>
      </c>
      <c r="AL29" s="0" t="n">
        <f aca="false">AJ29*x_R_NFZ</f>
        <v>52460471.419707</v>
      </c>
      <c r="AM29" s="0" t="n">
        <f aca="false">AJ29*x_R_PIT</f>
        <v>44910458.2977564</v>
      </c>
      <c r="AN29" s="0" t="n">
        <f aca="false">AJ29*x_R_FP</f>
        <v>17225402.9847997</v>
      </c>
      <c r="AO29" s="0" t="n">
        <f aca="false">AA29+AB29+AC29+AD29+AF29</f>
        <v>463472020.487199</v>
      </c>
      <c r="AP29" s="0" t="n">
        <f aca="false">AO29+AE29+AG29+AH29+AI29+AK29+AL29+AM29+AN29</f>
        <v>818517171.767636</v>
      </c>
      <c r="AQ29" s="0" t="n">
        <f aca="false">AO29+AE29+AG29+AJ29</f>
        <v>1138978019.89111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2206.87</v>
      </c>
      <c r="I30" s="0" t="n">
        <v>284.13</v>
      </c>
      <c r="J30" s="0" t="n">
        <v>1612.817</v>
      </c>
      <c r="K30" s="0" t="n">
        <v>2122.68</v>
      </c>
      <c r="L30" s="0" t="n">
        <v>1106.607</v>
      </c>
      <c r="M30" s="0" t="n">
        <v>93642.335</v>
      </c>
      <c r="N30" s="0" t="n">
        <v>9746.826</v>
      </c>
      <c r="O30" s="0" t="n">
        <v>85.628</v>
      </c>
      <c r="P30" s="0" t="n">
        <v>86.442</v>
      </c>
      <c r="Q30" s="0" t="n">
        <v>1302.552</v>
      </c>
      <c r="R30" s="0" t="n">
        <v>1175.7</v>
      </c>
      <c r="S30" s="0" t="n">
        <v>6944.405</v>
      </c>
      <c r="T30" s="0" t="n">
        <v>2491</v>
      </c>
      <c r="U30" s="0" t="n">
        <v>1807.658</v>
      </c>
      <c r="V30" s="0" t="n">
        <v>149961.591</v>
      </c>
      <c r="W30" s="0" t="n">
        <v>284.927</v>
      </c>
      <c r="X30" s="0" t="n">
        <v>601.615</v>
      </c>
      <c r="Y30" s="0" t="n">
        <v>85.628</v>
      </c>
      <c r="Z30" s="0" t="n">
        <v>802.732</v>
      </c>
      <c r="AA30" s="0" t="n">
        <f aca="false">H30*x_c_F+I30*x_c_CC+J30*x_c_DC+K30*x_c_HCC+L30*x_c_PLT+M30*x_c_SVRn+N30*x_c_SVRcc+O30*x_c_LT+P30*x_c_LT1</f>
        <v>323373671.80985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26050214.7421917</v>
      </c>
      <c r="AI30" s="0" t="n">
        <f aca="false">x_AGRI*x_EMP*x_WLOSS*(x_PEN_K74*Q30+x_PEN_C22*R30)</f>
        <v>1476226.79953384</v>
      </c>
      <c r="AJ30" s="0" t="n">
        <f aca="false">x_EMP*x_WAGE*(x_WLOSS*(Q30+R30)+S30)+U30*x_ABS_D*x_WAGE/365</f>
        <v>711535751.288291</v>
      </c>
      <c r="AK30" s="0" t="n">
        <f aca="false">AJ30*x_R_FUS</f>
        <v>225129911.707615</v>
      </c>
      <c r="AL30" s="0" t="n">
        <f aca="false">AJ30*x_R_NFZ</f>
        <v>55258577.9807999</v>
      </c>
      <c r="AM30" s="0" t="n">
        <f aca="false">AJ30*x_R_PIT</f>
        <v>47305866.5856323</v>
      </c>
      <c r="AN30" s="0" t="n">
        <f aca="false">AJ30*x_R_FP</f>
        <v>18144161.6578514</v>
      </c>
      <c r="AO30" s="0" t="n">
        <f aca="false">AA30+AB30+AC30+AD30+AF30</f>
        <v>461207099.419874</v>
      </c>
      <c r="AP30" s="0" t="n">
        <f aca="false">AO30+AE30+AG30+AH30+AI30+AK30+AL30+AM30+AN30</f>
        <v>834572058.893499</v>
      </c>
      <c r="AQ30" s="0" t="n">
        <f aca="false">AO30+AE30+AG30+AJ30</f>
        <v>1172742850.70816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2211.027</v>
      </c>
      <c r="I31" s="0" t="n">
        <v>279.173</v>
      </c>
      <c r="J31" s="0" t="n">
        <v>1582.085</v>
      </c>
      <c r="K31" s="0" t="n">
        <v>2085.033</v>
      </c>
      <c r="L31" s="0" t="n">
        <v>1089.166</v>
      </c>
      <c r="M31" s="0" t="n">
        <v>96347.856</v>
      </c>
      <c r="N31" s="0" t="n">
        <v>9834.734</v>
      </c>
      <c r="O31" s="0" t="n">
        <v>84.019</v>
      </c>
      <c r="P31" s="0" t="n">
        <v>84.823</v>
      </c>
      <c r="Q31" s="0" t="n">
        <v>1343.764</v>
      </c>
      <c r="R31" s="0" t="n">
        <v>1213.121</v>
      </c>
      <c r="S31" s="0" t="n">
        <v>7331.222</v>
      </c>
      <c r="T31" s="0" t="n">
        <v>2490.2</v>
      </c>
      <c r="U31" s="0" t="n">
        <v>1828.91</v>
      </c>
      <c r="V31" s="0" t="n">
        <v>151592.053</v>
      </c>
      <c r="W31" s="0" t="n">
        <v>279.44</v>
      </c>
      <c r="X31" s="0" t="n">
        <v>591.458</v>
      </c>
      <c r="Y31" s="0" t="n">
        <v>84.019</v>
      </c>
      <c r="Z31" s="0" t="n">
        <v>788.284</v>
      </c>
      <c r="AA31" s="0" t="n">
        <f aca="false">H31*x_c_F+I31*x_c_CC+J31*x_c_DC+K31*x_c_HCC+L31*x_c_PLT+M31*x_c_SVRn+N31*x_c_SVRcc+O31*x_c_LT+P31*x_c_LT1</f>
        <v>321151830.528014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26802678.0984325</v>
      </c>
      <c r="AI31" s="0" t="n">
        <f aca="false">x_AGRI*x_EMP*x_WLOSS*(x_PEN_K74*Q31+x_PEN_C22*R31)</f>
        <v>1523075.25196867</v>
      </c>
      <c r="AJ31" s="0" t="n">
        <f aca="false">x_EMP*x_WAGE*(x_WLOSS*(Q31+R31)+S31)+U31*x_ABS_D*x_WAGE/365</f>
        <v>748200039.73338</v>
      </c>
      <c r="AK31" s="0" t="n">
        <f aca="false">AJ31*x_R_FUS</f>
        <v>236730492.571641</v>
      </c>
      <c r="AL31" s="0" t="n">
        <f aca="false">AJ31*x_R_NFZ</f>
        <v>58105963.285734</v>
      </c>
      <c r="AM31" s="0" t="n">
        <f aca="false">AJ31*x_R_PIT</f>
        <v>49743461.5125213</v>
      </c>
      <c r="AN31" s="0" t="n">
        <f aca="false">AJ31*x_R_FP</f>
        <v>19079101.0132012</v>
      </c>
      <c r="AO31" s="0" t="n">
        <f aca="false">AA31+AB31+AC31+AD31+AF31</f>
        <v>458985258.138038</v>
      </c>
      <c r="AP31" s="0" t="n">
        <f aca="false">AO31+AE31+AG31+AH31+AI31+AK31+AL31+AM31+AN31</f>
        <v>850970029.871538</v>
      </c>
      <c r="AQ31" s="0" t="n">
        <f aca="false">AO31+AE31+AG31+AJ31</f>
        <v>1207185297.87142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2215</v>
      </c>
      <c r="I32" s="0" t="n">
        <v>274.438</v>
      </c>
      <c r="J32" s="0" t="n">
        <v>1551.764</v>
      </c>
      <c r="K32" s="0" t="n">
        <v>2048.683</v>
      </c>
      <c r="L32" s="0" t="n">
        <v>1071.119</v>
      </c>
      <c r="M32" s="0" t="n">
        <v>99029.267</v>
      </c>
      <c r="N32" s="0" t="n">
        <v>9905.208</v>
      </c>
      <c r="O32" s="0" t="n">
        <v>82.427</v>
      </c>
      <c r="P32" s="0" t="n">
        <v>83.223</v>
      </c>
      <c r="Q32" s="0" t="n">
        <v>1384.963</v>
      </c>
      <c r="R32" s="0" t="n">
        <v>1249.74</v>
      </c>
      <c r="S32" s="0" t="n">
        <v>7724.888</v>
      </c>
      <c r="T32" s="0" t="n">
        <v>2489.439</v>
      </c>
      <c r="U32" s="0" t="n">
        <v>1848.283</v>
      </c>
      <c r="V32" s="0" t="n">
        <v>153222.525</v>
      </c>
      <c r="W32" s="0" t="n">
        <v>274.196</v>
      </c>
      <c r="X32" s="0" t="n">
        <v>581.737</v>
      </c>
      <c r="Y32" s="0" t="n">
        <v>82.427</v>
      </c>
      <c r="Z32" s="0" t="n">
        <v>774.104</v>
      </c>
      <c r="AA32" s="0" t="n">
        <f aca="false">H32*x_c_F+I32*x_c_CC+J32*x_c_DC+K32*x_c_HCC+L32*x_c_PLT+M32*x_c_SVRn+N32*x_c_SVRcc+O32*x_c_LT+P32*x_c_LT1</f>
        <v>318944589.443661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27543453.9541659</v>
      </c>
      <c r="AI32" s="0" t="n">
        <f aca="false">x_AGRI*x_EMP*x_WLOSS*(x_PEN_K74*Q32+x_PEN_C22*R32)</f>
        <v>1569406.52010806</v>
      </c>
      <c r="AJ32" s="0" t="n">
        <f aca="false">x_EMP*x_WAGE*(x_WLOSS*(Q32+R32)+S32)+U32*x_ABS_D*x_WAGE/365</f>
        <v>785405220.936644</v>
      </c>
      <c r="AK32" s="0" t="n">
        <f aca="false">AJ32*x_R_FUS</f>
        <v>248502211.904354</v>
      </c>
      <c r="AL32" s="0" t="n">
        <f aca="false">AJ32*x_R_NFZ</f>
        <v>60995354.8631607</v>
      </c>
      <c r="AM32" s="0" t="n">
        <f aca="false">AJ32*x_R_PIT</f>
        <v>52217017.2475764</v>
      </c>
      <c r="AN32" s="0" t="n">
        <f aca="false">AJ32*x_R_FP</f>
        <v>20027833.1338844</v>
      </c>
      <c r="AO32" s="0" t="n">
        <f aca="false">AA32+AB32+AC32+AD32+AF32</f>
        <v>456778017.053685</v>
      </c>
      <c r="AP32" s="0" t="n">
        <f aca="false">AO32+AE32+AG32+AH32+AI32+AK32+AL32+AM32+AN32</f>
        <v>867633294.676935</v>
      </c>
      <c r="AQ32" s="0" t="n">
        <f aca="false">AO32+AE32+AG32+AJ32</f>
        <v>1242183237.99033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2218.802</v>
      </c>
      <c r="I33" s="0" t="n">
        <v>269.908</v>
      </c>
      <c r="J33" s="0" t="n">
        <v>1521.756</v>
      </c>
      <c r="K33" s="0" t="n">
        <v>2013.374</v>
      </c>
      <c r="L33" s="0" t="n">
        <v>1052.217</v>
      </c>
      <c r="M33" s="0" t="n">
        <v>101675.34</v>
      </c>
      <c r="N33" s="0" t="n">
        <v>9956.852</v>
      </c>
      <c r="O33" s="0" t="n">
        <v>80.844</v>
      </c>
      <c r="P33" s="0" t="n">
        <v>81.636</v>
      </c>
      <c r="Q33" s="0" t="n">
        <v>1425.91</v>
      </c>
      <c r="R33" s="0" t="n">
        <v>1285.337</v>
      </c>
      <c r="S33" s="0" t="n">
        <v>8124.291</v>
      </c>
      <c r="T33" s="0" t="n">
        <v>2488.71</v>
      </c>
      <c r="U33" s="0" t="n">
        <v>1865.94</v>
      </c>
      <c r="V33" s="0" t="n">
        <v>154838.241</v>
      </c>
      <c r="W33" s="0" t="n">
        <v>269.149</v>
      </c>
      <c r="X33" s="0" t="n">
        <v>572.353</v>
      </c>
      <c r="Y33" s="0" t="n">
        <v>80.844</v>
      </c>
      <c r="Z33" s="0" t="n">
        <v>760.093</v>
      </c>
      <c r="AA33" s="0" t="n">
        <f aca="false">H33*x_c_F+I33*x_c_CC+J33*x_c_DC+K33*x_c_HCC+L33*x_c_PLT+M33*x_c_SVRn+N33*x_c_SVRcc+O33*x_c_LT+P33*x_c_LT1</f>
        <v>316712383.896625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28268738.3375531</v>
      </c>
      <c r="AI33" s="0" t="n">
        <f aca="false">x_AGRI*x_EMP*x_WLOSS*(x_PEN_K74*Q33+x_PEN_C22*R33)</f>
        <v>1614947.01866488</v>
      </c>
      <c r="AJ33" s="0" t="n">
        <f aca="false">x_EMP*x_WAGE*(x_WLOSS*(Q33+R33)+S33)+U33*x_ABS_D*x_WAGE/365</f>
        <v>823035823.530406</v>
      </c>
      <c r="AK33" s="0" t="n">
        <f aca="false">AJ33*x_R_FUS</f>
        <v>260408534.565021</v>
      </c>
      <c r="AL33" s="0" t="n">
        <f aca="false">AJ33*x_R_NFZ</f>
        <v>63917785.0911949</v>
      </c>
      <c r="AM33" s="0" t="n">
        <f aca="false">AJ33*x_R_PIT</f>
        <v>54718856.7723148</v>
      </c>
      <c r="AN33" s="0" t="n">
        <f aca="false">AJ33*x_R_FP</f>
        <v>20987413.5000254</v>
      </c>
      <c r="AO33" s="0" t="n">
        <f aca="false">AA33+AB33+AC33+AD33+AF33</f>
        <v>454545811.50665</v>
      </c>
      <c r="AP33" s="0" t="n">
        <f aca="false">AO33+AE33+AG33+AH33+AI33+AK33+AL33+AM33+AN33</f>
        <v>884462086.791423</v>
      </c>
      <c r="AQ33" s="0" t="n">
        <f aca="false">AO33+AE33+AG33+AJ33</f>
        <v>1277581635.03706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2222.498</v>
      </c>
      <c r="I34" s="0" t="n">
        <v>265.503</v>
      </c>
      <c r="J34" s="0" t="n">
        <v>1490.215</v>
      </c>
      <c r="K34" s="0" t="n">
        <v>1976.987</v>
      </c>
      <c r="L34" s="0" t="n">
        <v>1029.596</v>
      </c>
      <c r="M34" s="0" t="n">
        <v>104191.609</v>
      </c>
      <c r="N34" s="0" t="n">
        <v>9969.831</v>
      </c>
      <c r="O34" s="0" t="n">
        <v>79.071</v>
      </c>
      <c r="P34" s="0" t="n">
        <v>79.958</v>
      </c>
      <c r="Q34" s="0" t="n">
        <v>1466.359</v>
      </c>
      <c r="R34" s="0" t="n">
        <v>1319.7</v>
      </c>
      <c r="S34" s="0" t="n">
        <v>8528.127</v>
      </c>
      <c r="T34" s="0" t="n">
        <v>2488.001</v>
      </c>
      <c r="U34" s="0" t="n">
        <v>1882.137</v>
      </c>
      <c r="V34" s="0" t="n">
        <v>156342.667</v>
      </c>
      <c r="W34" s="0" t="n">
        <v>263.927</v>
      </c>
      <c r="X34" s="0" t="n">
        <v>562.452</v>
      </c>
      <c r="Y34" s="0" t="n">
        <v>79.071</v>
      </c>
      <c r="Z34" s="0" t="n">
        <v>744.378</v>
      </c>
      <c r="AA34" s="0" t="n">
        <f aca="false">H34*x_c_F+I34*x_c_CC+J34*x_c_DC+K34*x_c_HCC+L34*x_c_PLT+M34*x_c_SVRn+N34*x_c_SVRcc+O34*x_c_LT+P34*x_c_LT1</f>
        <v>314011998.941632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28974936.1781676</v>
      </c>
      <c r="AI34" s="0" t="n">
        <f aca="false">x_AGRI*x_EMP*x_WLOSS*(x_PEN_K74*Q34+x_PEN_C22*R34)</f>
        <v>1659424.33257685</v>
      </c>
      <c r="AJ34" s="0" t="n">
        <f aca="false">x_EMP*x_WAGE*(x_WLOSS*(Q34+R34)+S34)+U34*x_ABS_D*x_WAGE/365</f>
        <v>860960325.365142</v>
      </c>
      <c r="AK34" s="0" t="n">
        <f aca="false">AJ34*x_R_FUS</f>
        <v>272407846.945531</v>
      </c>
      <c r="AL34" s="0" t="n">
        <f aca="false">AJ34*x_R_NFZ</f>
        <v>66863039.8281823</v>
      </c>
      <c r="AM34" s="0" t="n">
        <f aca="false">AJ34*x_R_PIT</f>
        <v>57240235.945283</v>
      </c>
      <c r="AN34" s="0" t="n">
        <f aca="false">AJ34*x_R_FP</f>
        <v>21954488.2968111</v>
      </c>
      <c r="AO34" s="0" t="n">
        <f aca="false">AA34+AB34+AC34+AD34+AF34</f>
        <v>451845426.551656</v>
      </c>
      <c r="AP34" s="0" t="n">
        <f aca="false">AO34+AE34+AG34+AH34+AI34+AK34+AL34+AM34+AN34</f>
        <v>900945398.078208</v>
      </c>
      <c r="AQ34" s="0" t="n">
        <f aca="false">AO34+AE34+AG34+AJ34</f>
        <v>1312805751.9168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2226.006</v>
      </c>
      <c r="I35" s="0" t="n">
        <v>261.313</v>
      </c>
      <c r="J35" s="0" t="n">
        <v>1459.526</v>
      </c>
      <c r="K35" s="0" t="n">
        <v>1941.979</v>
      </c>
      <c r="L35" s="0" t="n">
        <v>1006.582</v>
      </c>
      <c r="M35" s="0" t="n">
        <v>106677.825</v>
      </c>
      <c r="N35" s="0" t="n">
        <v>9967.448</v>
      </c>
      <c r="O35" s="0" t="n">
        <v>77.577</v>
      </c>
      <c r="P35" s="0" t="n">
        <v>78.324</v>
      </c>
      <c r="Q35" s="0" t="n">
        <v>1506.055</v>
      </c>
      <c r="R35" s="0" t="n">
        <v>1352.629</v>
      </c>
      <c r="S35" s="0" t="n">
        <v>8934.904</v>
      </c>
      <c r="T35" s="0" t="n">
        <v>2487.32</v>
      </c>
      <c r="U35" s="0" t="n">
        <v>1896.813</v>
      </c>
      <c r="V35" s="0" t="n">
        <v>157834.514</v>
      </c>
      <c r="W35" s="0" t="n">
        <v>259.336</v>
      </c>
      <c r="X35" s="0" t="n">
        <v>553.861</v>
      </c>
      <c r="Y35" s="0" t="n">
        <v>77.577</v>
      </c>
      <c r="Z35" s="0" t="n">
        <v>731.244</v>
      </c>
      <c r="AA35" s="0" t="n">
        <f aca="false">H35*x_c_F+I35*x_c_CC+J35*x_c_DC+K35*x_c_HCC+L35*x_c_PLT+M35*x_c_SVRn+N35*x_c_SVRcc+O35*x_c_LT+P35*x_c_LT1</f>
        <v>311439097.529347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29657839.9434665</v>
      </c>
      <c r="AI35" s="0" t="n">
        <f aca="false">x_AGRI*x_EMP*x_WLOSS*(x_PEN_K74*Q35+x_PEN_C22*R35)</f>
        <v>1702568.64129893</v>
      </c>
      <c r="AJ35" s="0" t="n">
        <f aca="false">x_EMP*x_WAGE*(x_WLOSS*(Q35+R35)+S35)+U35*x_ABS_D*x_WAGE/365</f>
        <v>899030382.348647</v>
      </c>
      <c r="AK35" s="0" t="n">
        <f aca="false">AJ35*x_R_FUS</f>
        <v>284453212.975112</v>
      </c>
      <c r="AL35" s="0" t="n">
        <f aca="false">AJ35*x_R_NFZ</f>
        <v>69819598.5235783</v>
      </c>
      <c r="AM35" s="0" t="n">
        <f aca="false">AJ35*x_R_PIT</f>
        <v>59771292.232066</v>
      </c>
      <c r="AN35" s="0" t="n">
        <f aca="false">AJ35*x_R_FP</f>
        <v>22925274.7498905</v>
      </c>
      <c r="AO35" s="0" t="n">
        <f aca="false">AA35+AB35+AC35+AD35+AF35</f>
        <v>449272525.139372</v>
      </c>
      <c r="AP35" s="0" t="n">
        <f aca="false">AO35+AE35+AG35+AH35+AI35+AK35+AL35+AM35+AN35</f>
        <v>917602312.204784</v>
      </c>
      <c r="AQ35" s="0" t="n">
        <f aca="false">AO35+AE35+AG35+AJ35</f>
        <v>1348302907.48802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2229.28</v>
      </c>
      <c r="I36" s="0" t="n">
        <v>257.388</v>
      </c>
      <c r="J36" s="0" t="n">
        <v>1431.141</v>
      </c>
      <c r="K36" s="0" t="n">
        <v>1909.797</v>
      </c>
      <c r="L36" s="0" t="n">
        <v>985.289</v>
      </c>
      <c r="M36" s="0" t="n">
        <v>109195.623</v>
      </c>
      <c r="N36" s="0" t="n">
        <v>9964.53</v>
      </c>
      <c r="O36" s="0" t="n">
        <v>76.056</v>
      </c>
      <c r="P36" s="0" t="n">
        <v>76.816</v>
      </c>
      <c r="Q36" s="0" t="n">
        <v>1133.538</v>
      </c>
      <c r="R36" s="0" t="n">
        <v>1136.596</v>
      </c>
      <c r="S36" s="0" t="n">
        <v>5860.023</v>
      </c>
      <c r="T36" s="0" t="n">
        <v>2486.668</v>
      </c>
      <c r="U36" s="0" t="n">
        <v>1867.469</v>
      </c>
      <c r="V36" s="0" t="n">
        <v>159374.339</v>
      </c>
      <c r="W36" s="0" t="n">
        <v>254.817</v>
      </c>
      <c r="X36" s="0" t="n">
        <v>545.319</v>
      </c>
      <c r="Y36" s="0" t="n">
        <v>76.056</v>
      </c>
      <c r="Z36" s="0" t="n">
        <v>717.861</v>
      </c>
      <c r="AA36" s="0" t="n">
        <f aca="false">H36*x_c_F+I36*x_c_CC+J36*x_c_DC+K36*x_c_HCC+L36*x_c_PLT+M36*x_c_SVRn+N36*x_c_SVRcc+O36*x_c_LT+P36*x_c_LT1</f>
        <v>309155581.310144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24366504.0364886</v>
      </c>
      <c r="AI36" s="0" t="n">
        <f aca="false">x_AGRI*x_EMP*x_WLOSS*(x_PEN_K74*Q36+x_PEN_C22*R36)</f>
        <v>1356809.044054</v>
      </c>
      <c r="AJ36" s="0" t="n">
        <f aca="false">x_EMP*x_WAGE*(x_WLOSS*(Q36+R36)+S36)+U36*x_ABS_D*x_WAGE/365</f>
        <v>609671056.597629</v>
      </c>
      <c r="AK36" s="0" t="n">
        <f aca="false">AJ36*x_R_FUS</f>
        <v>192899922.30749</v>
      </c>
      <c r="AL36" s="0" t="n">
        <f aca="false">AJ36*x_R_NFZ</f>
        <v>47347663.9264285</v>
      </c>
      <c r="AM36" s="0" t="n">
        <f aca="false">AJ36*x_R_PIT</f>
        <v>40533476.5151435</v>
      </c>
      <c r="AN36" s="0" t="n">
        <f aca="false">AJ36*x_R_FP</f>
        <v>15546611.9432395</v>
      </c>
      <c r="AO36" s="0" t="n">
        <f aca="false">AA36+AB36+AC36+AD36+AF36</f>
        <v>446989008.920168</v>
      </c>
      <c r="AP36" s="0" t="n">
        <f aca="false">AO36+AE36+AG36+AH36+AI36+AK36+AL36+AM36+AN36</f>
        <v>769039996.693012</v>
      </c>
      <c r="AQ36" s="0" t="n">
        <f aca="false">AO36+AE36+AG36+AJ36</f>
        <v>1056660065.5178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2232.402</v>
      </c>
      <c r="I37" s="0" t="n">
        <v>253.633</v>
      </c>
      <c r="J37" s="0" t="n">
        <v>1402.507</v>
      </c>
      <c r="K37" s="0" t="n">
        <v>1877.607</v>
      </c>
      <c r="L37" s="0" t="n">
        <v>961.86</v>
      </c>
      <c r="M37" s="0" t="n">
        <v>111617.691</v>
      </c>
      <c r="N37" s="0" t="n">
        <v>9934.245</v>
      </c>
      <c r="O37" s="0" t="n">
        <v>74.526</v>
      </c>
      <c r="P37" s="0" t="n">
        <v>75.291</v>
      </c>
      <c r="Q37" s="0" t="n">
        <v>737.491</v>
      </c>
      <c r="R37" s="0" t="n">
        <v>899.807</v>
      </c>
      <c r="S37" s="0" t="n">
        <v>2568.917</v>
      </c>
      <c r="T37" s="0" t="n">
        <v>2486.035</v>
      </c>
      <c r="U37" s="0" t="n">
        <v>1831.176</v>
      </c>
      <c r="V37" s="0" t="n">
        <v>160835.285</v>
      </c>
      <c r="W37" s="0" t="n">
        <v>250.402</v>
      </c>
      <c r="X37" s="0" t="n">
        <v>536.884</v>
      </c>
      <c r="Y37" s="0" t="n">
        <v>74.526</v>
      </c>
      <c r="Z37" s="0" t="n">
        <v>704.362</v>
      </c>
      <c r="AA37" s="0" t="n">
        <f aca="false">H37*x_c_F+I37*x_c_CC+J37*x_c_DC+K37*x_c_HCC+L37*x_c_PLT+M37*x_c_SVRn+N37*x_c_SVRcc+O37*x_c_LT+P37*x_c_LT1</f>
        <v>306662166.252135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18662071.4955718</v>
      </c>
      <c r="AI37" s="0" t="n">
        <f aca="false">x_AGRI*x_EMP*x_WLOSS*(x_PEN_K74*Q37+x_PEN_C22*R37)</f>
        <v>984688.850714128</v>
      </c>
      <c r="AJ37" s="0" t="n">
        <f aca="false">x_EMP*x_WAGE*(x_WLOSS*(Q37+R37)+S37)+U37*x_ABS_D*x_WAGE/365</f>
        <v>299816157.494917</v>
      </c>
      <c r="AK37" s="0" t="n">
        <f aca="false">AJ37*x_R_FUS</f>
        <v>94861832.2313916</v>
      </c>
      <c r="AL37" s="0" t="n">
        <f aca="false">AJ37*x_R_NFZ</f>
        <v>23284022.6072127</v>
      </c>
      <c r="AM37" s="0" t="n">
        <f aca="false">AJ37*x_R_PIT</f>
        <v>19933029.5364525</v>
      </c>
      <c r="AN37" s="0" t="n">
        <f aca="false">AJ37*x_R_FP</f>
        <v>7645312.01612038</v>
      </c>
      <c r="AO37" s="0" t="n">
        <f aca="false">AA37+AB37+AC37+AD37+AF37</f>
        <v>444495593.86216</v>
      </c>
      <c r="AP37" s="0" t="n">
        <f aca="false">AO37+AE37+AG37+AH37+AI37+AK37+AL37+AM37+AN37</f>
        <v>609866550.599623</v>
      </c>
      <c r="AQ37" s="0" t="n">
        <f aca="false">AO37+AE37+AG37+AJ37</f>
        <v>744311751.357076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2235.338</v>
      </c>
      <c r="I38" s="0" t="n">
        <v>250.084</v>
      </c>
      <c r="J38" s="0" t="n">
        <v>1374.018</v>
      </c>
      <c r="K38" s="0" t="n">
        <v>1845.779</v>
      </c>
      <c r="L38" s="0" t="n">
        <v>936.57</v>
      </c>
      <c r="M38" s="0" t="n">
        <v>113945.305</v>
      </c>
      <c r="N38" s="0" t="n">
        <v>9878.751</v>
      </c>
      <c r="O38" s="0" t="n">
        <v>73.012</v>
      </c>
      <c r="P38" s="0" t="n">
        <v>73.769</v>
      </c>
      <c r="Q38" s="0" t="n">
        <v>729.81</v>
      </c>
      <c r="R38" s="0" t="n">
        <v>890.62</v>
      </c>
      <c r="S38" s="0" t="n">
        <v>2544.639</v>
      </c>
      <c r="T38" s="0" t="n">
        <v>2485.422</v>
      </c>
      <c r="U38" s="0" t="n">
        <v>1831.068</v>
      </c>
      <c r="V38" s="0" t="n">
        <v>162220.847</v>
      </c>
      <c r="W38" s="0" t="n">
        <v>246.141</v>
      </c>
      <c r="X38" s="0" t="n">
        <v>528.658</v>
      </c>
      <c r="Y38" s="0" t="n">
        <v>73.012</v>
      </c>
      <c r="Z38" s="0" t="n">
        <v>690.957</v>
      </c>
      <c r="AA38" s="0" t="n">
        <f aca="false">H38*x_c_F+I38*x_c_CC+J38*x_c_DC+K38*x_c_HCC+L38*x_c_PLT+M38*x_c_SVRn+N38*x_c_SVRcc+O38*x_c_LT+P38*x_c_LT1</f>
        <v>304014283.088674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18508467.5003121</v>
      </c>
      <c r="AI38" s="0" t="n">
        <f aca="false">x_AGRI*x_EMP*x_WLOSS*(x_PEN_K74*Q38+x_PEN_C22*R38)</f>
        <v>974550.597495557</v>
      </c>
      <c r="AJ38" s="0" t="n">
        <f aca="false">x_EMP*x_WAGE*(x_WLOSS*(Q38+R38)+S38)+U38*x_ABS_D*x_WAGE/365</f>
        <v>296968984.499691</v>
      </c>
      <c r="AK38" s="0" t="n">
        <f aca="false">AJ38*x_R_FUS</f>
        <v>93960986.6957023</v>
      </c>
      <c r="AL38" s="0" t="n">
        <f aca="false">AJ38*x_R_NFZ</f>
        <v>23062908.3052305</v>
      </c>
      <c r="AM38" s="0" t="n">
        <f aca="false">AJ38*x_R_PIT</f>
        <v>19743737.592071</v>
      </c>
      <c r="AN38" s="0" t="n">
        <f aca="false">AJ38*x_R_FP</f>
        <v>7572709.10474212</v>
      </c>
      <c r="AO38" s="0" t="n">
        <f aca="false">AA38+AB38+AC38+AD38+AF38</f>
        <v>441847710.698698</v>
      </c>
      <c r="AP38" s="0" t="n">
        <f aca="false">AO38+AE38+AG38+AH38+AI38+AK38+AL38+AM38+AN38</f>
        <v>605671070.494252</v>
      </c>
      <c r="AQ38" s="0" t="n">
        <f aca="false">AO38+AE38+AG38+AJ38</f>
        <v>738816695.19839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2238.045</v>
      </c>
      <c r="I39" s="0" t="n">
        <v>246.787</v>
      </c>
      <c r="J39" s="0" t="n">
        <v>1346.161</v>
      </c>
      <c r="K39" s="0" t="n">
        <v>1814.791</v>
      </c>
      <c r="L39" s="0" t="n">
        <v>909.869</v>
      </c>
      <c r="M39" s="0" t="n">
        <v>116184.958</v>
      </c>
      <c r="N39" s="0" t="n">
        <v>9801.756</v>
      </c>
      <c r="O39" s="0" t="n">
        <v>71.541</v>
      </c>
      <c r="P39" s="0" t="n">
        <v>72.277</v>
      </c>
      <c r="Q39" s="0" t="n">
        <v>722.373</v>
      </c>
      <c r="R39" s="0" t="n">
        <v>881.754</v>
      </c>
      <c r="S39" s="0" t="n">
        <v>2520.965</v>
      </c>
      <c r="T39" s="0" t="n">
        <v>2484.832</v>
      </c>
      <c r="U39" s="0" t="n">
        <v>1830.915</v>
      </c>
      <c r="V39" s="0" t="n">
        <v>163540.227</v>
      </c>
      <c r="W39" s="0" t="n">
        <v>242.091</v>
      </c>
      <c r="X39" s="0" t="n">
        <v>520.755</v>
      </c>
      <c r="Y39" s="0" t="n">
        <v>71.541</v>
      </c>
      <c r="Z39" s="0" t="n">
        <v>677.881</v>
      </c>
      <c r="AA39" s="0" t="n">
        <f aca="false">H39*x_c_F+I39*x_c_CC+J39*x_c_DC+K39*x_c_HCC+L39*x_c_PLT+M39*x_c_SVRn+N39*x_c_SVRcc+O39*x_c_LT+P39*x_c_LT1</f>
        <v>301289882.300513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18359923.9134577</v>
      </c>
      <c r="AI39" s="0" t="n">
        <f aca="false">x_AGRI*x_EMP*x_WLOSS*(x_PEN_K74*Q39+x_PEN_C22*R39)</f>
        <v>964752.942605791</v>
      </c>
      <c r="AJ39" s="0" t="n">
        <f aca="false">x_EMP*x_WAGE*(x_WLOSS*(Q39+R39)+S39)+U39*x_ABS_D*x_WAGE/365</f>
        <v>294199199.2696</v>
      </c>
      <c r="AK39" s="0" t="n">
        <f aca="false">AJ39*x_R_FUS</f>
        <v>93084626.6489015</v>
      </c>
      <c r="AL39" s="0" t="n">
        <f aca="false">AJ39*x_R_NFZ</f>
        <v>22847804.0144764</v>
      </c>
      <c r="AM39" s="0" t="n">
        <f aca="false">AJ39*x_R_PIT</f>
        <v>19559590.7093201</v>
      </c>
      <c r="AN39" s="0" t="n">
        <f aca="false">AJ39*x_R_FP</f>
        <v>7502079.5813748</v>
      </c>
      <c r="AO39" s="0" t="n">
        <f aca="false">AA39+AB39+AC39+AD39+AF39</f>
        <v>439123309.910537</v>
      </c>
      <c r="AP39" s="0" t="n">
        <f aca="false">AO39+AE39+AG39+AH39+AI39+AK39+AL39+AM39+AN39</f>
        <v>601442087.720673</v>
      </c>
      <c r="AQ39" s="0" t="n">
        <f aca="false">AO39+AE39+AG39+AJ39</f>
        <v>733322509.180137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2240.48</v>
      </c>
      <c r="I40" s="0" t="n">
        <v>243.789</v>
      </c>
      <c r="J40" s="0" t="n">
        <v>1319.484</v>
      </c>
      <c r="K40" s="0" t="n">
        <v>1785.198</v>
      </c>
      <c r="L40" s="0" t="n">
        <v>882.368</v>
      </c>
      <c r="M40" s="0" t="n">
        <v>118348.368</v>
      </c>
      <c r="N40" s="0" t="n">
        <v>9708.478</v>
      </c>
      <c r="O40" s="0" t="n">
        <v>70.147</v>
      </c>
      <c r="P40" s="0" t="n">
        <v>70.844</v>
      </c>
      <c r="Q40" s="0" t="n">
        <v>715.188</v>
      </c>
      <c r="R40" s="0" t="n">
        <v>873.21</v>
      </c>
      <c r="S40" s="0" t="n">
        <v>2497.945</v>
      </c>
      <c r="T40" s="0" t="n">
        <v>2484.269</v>
      </c>
      <c r="U40" s="0" t="n">
        <v>1830.656</v>
      </c>
      <c r="V40" s="0" t="n">
        <v>164808.067</v>
      </c>
      <c r="W40" s="0" t="n">
        <v>238.321</v>
      </c>
      <c r="X40" s="0" t="n">
        <v>513.321</v>
      </c>
      <c r="Y40" s="0" t="n">
        <v>70.147</v>
      </c>
      <c r="Z40" s="0" t="n">
        <v>665.413</v>
      </c>
      <c r="AA40" s="0" t="n">
        <f aca="false">H40*x_c_F+I40*x_c_CC+J40*x_c_DC+K40*x_c_HCC+L40*x_c_PLT+M40*x_c_SVRn+N40*x_c_SVRcc+O40*x_c_LT+P40*x_c_LT1</f>
        <v>298587811.40555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18216392.6571281</v>
      </c>
      <c r="AI40" s="0" t="n">
        <f aca="false">x_AGRI*x_EMP*x_WLOSS*(x_PEN_K74*Q40+x_PEN_C22*R40)</f>
        <v>955300.997471071</v>
      </c>
      <c r="AJ40" s="0" t="n">
        <f aca="false">x_EMP*x_WAGE*(x_WLOSS*(Q40+R40)+S40)+U40*x_ABS_D*x_WAGE/365</f>
        <v>291511300.169572</v>
      </c>
      <c r="AK40" s="0" t="n">
        <f aca="false">AJ40*x_R_FUS</f>
        <v>92234175.3736525</v>
      </c>
      <c r="AL40" s="0" t="n">
        <f aca="false">AJ40*x_R_NFZ</f>
        <v>22639059.0824691</v>
      </c>
      <c r="AM40" s="0" t="n">
        <f aca="false">AJ40*x_R_PIT</f>
        <v>19380887.9582758</v>
      </c>
      <c r="AN40" s="0" t="n">
        <f aca="false">AJ40*x_R_FP</f>
        <v>7433538.15432408</v>
      </c>
      <c r="AO40" s="0" t="n">
        <f aca="false">AA40+AB40+AC40+AD40+AF40</f>
        <v>436421239.015575</v>
      </c>
      <c r="AP40" s="0" t="n">
        <f aca="false">AO40+AE40+AG40+AH40+AI40+AK40+AL40+AM40+AN40</f>
        <v>597280593.238895</v>
      </c>
      <c r="AQ40" s="0" t="n">
        <f aca="false">AO40+AE40+AG40+AJ40</f>
        <v>727932539.185146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2242.603</v>
      </c>
      <c r="I41" s="0" t="n">
        <v>241.135</v>
      </c>
      <c r="J41" s="0" t="n">
        <v>1294.556</v>
      </c>
      <c r="K41" s="0" t="n">
        <v>1757.583</v>
      </c>
      <c r="L41" s="0" t="n">
        <v>854.807</v>
      </c>
      <c r="M41" s="0" t="n">
        <v>120452.007</v>
      </c>
      <c r="N41" s="0" t="n">
        <v>9605.436</v>
      </c>
      <c r="O41" s="0" t="n">
        <v>68.86</v>
      </c>
      <c r="P41" s="0" t="n">
        <v>69.504</v>
      </c>
      <c r="Q41" s="0" t="n">
        <v>708.259</v>
      </c>
      <c r="R41" s="0" t="n">
        <v>864.99</v>
      </c>
      <c r="S41" s="0" t="n">
        <v>2475.622</v>
      </c>
      <c r="T41" s="0" t="n">
        <v>2483.738</v>
      </c>
      <c r="U41" s="0" t="n">
        <v>1830.233</v>
      </c>
      <c r="V41" s="0" t="n">
        <v>166043.511</v>
      </c>
      <c r="W41" s="0" t="n">
        <v>234.894</v>
      </c>
      <c r="X41" s="0" t="n">
        <v>506.494</v>
      </c>
      <c r="Y41" s="0" t="n">
        <v>68.86</v>
      </c>
      <c r="Z41" s="0" t="n">
        <v>653.82</v>
      </c>
      <c r="AA41" s="0" t="n">
        <f aca="false">H41*x_c_F+I41*x_c_CC+J41*x_c_DC+K41*x_c_HCC+L41*x_c_PLT+M41*x_c_SVRn+N41*x_c_SVRcc+O41*x_c_LT+P41*x_c_LT1</f>
        <v>296018497.509548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18077807.5841756</v>
      </c>
      <c r="AI41" s="0" t="n">
        <f aca="false">x_AGRI*x_EMP*x_WLOSS*(x_PEN_K74*Q41+x_PEN_C22*R41)</f>
        <v>946198.271504148</v>
      </c>
      <c r="AJ41" s="0" t="n">
        <f aca="false">x_EMP*x_WAGE*(x_WLOSS*(Q41+R41)+S41)+U41*x_ABS_D*x_WAGE/365</f>
        <v>288909059.380033</v>
      </c>
      <c r="AK41" s="0" t="n">
        <f aca="false">AJ41*x_R_FUS</f>
        <v>91410826.3878424</v>
      </c>
      <c r="AL41" s="0" t="n">
        <f aca="false">AJ41*x_R_NFZ</f>
        <v>22436966.4605127</v>
      </c>
      <c r="AM41" s="0" t="n">
        <f aca="false">AJ41*x_R_PIT</f>
        <v>19207880.1292374</v>
      </c>
      <c r="AN41" s="0" t="n">
        <f aca="false">AJ41*x_R_FP</f>
        <v>7367181.01419083</v>
      </c>
      <c r="AO41" s="0" t="n">
        <f aca="false">AA41+AB41+AC41+AD41+AF41</f>
        <v>433851925.119572</v>
      </c>
      <c r="AP41" s="0" t="n">
        <f aca="false">AO41+AE41+AG41+AH41+AI41+AK41+AL41+AM41+AN41</f>
        <v>593298784.967035</v>
      </c>
      <c r="AQ41" s="0" t="n">
        <f aca="false">AO41+AE41+AG41+AJ41</f>
        <v>722760984.499605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2244.391</v>
      </c>
      <c r="I42" s="0" t="n">
        <v>238.85</v>
      </c>
      <c r="J42" s="0" t="n">
        <v>1271.867</v>
      </c>
      <c r="K42" s="0" t="n">
        <v>1732.451</v>
      </c>
      <c r="L42" s="0" t="n">
        <v>827.954</v>
      </c>
      <c r="M42" s="0" t="n">
        <v>122514.049</v>
      </c>
      <c r="N42" s="0" t="n">
        <v>9499.525</v>
      </c>
      <c r="O42" s="0" t="n">
        <v>67.702</v>
      </c>
      <c r="P42" s="0" t="n">
        <v>68.281</v>
      </c>
      <c r="Q42" s="0" t="n">
        <v>701.591</v>
      </c>
      <c r="R42" s="0" t="n">
        <v>857.093</v>
      </c>
      <c r="S42" s="0" t="n">
        <v>2454.034</v>
      </c>
      <c r="T42" s="0" t="n">
        <v>2483.24</v>
      </c>
      <c r="U42" s="0" t="n">
        <v>1829.615</v>
      </c>
      <c r="V42" s="0" t="n">
        <v>167266.47</v>
      </c>
      <c r="W42" s="0" t="n">
        <v>231.856</v>
      </c>
      <c r="X42" s="0" t="n">
        <v>500.376</v>
      </c>
      <c r="Y42" s="0" t="n">
        <v>67.702</v>
      </c>
      <c r="Z42" s="0" t="n">
        <v>643.319</v>
      </c>
      <c r="AA42" s="0" t="n">
        <f aca="false">H42*x_c_F+I42*x_c_CC+J42*x_c_DC+K42*x_c_HCC+L42*x_c_PLT+M42*x_c_SVRn+N42*x_c_SVRcc+O42*x_c_LT+P42*x_c_LT1</f>
        <v>293685722.230111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17944137.6631535</v>
      </c>
      <c r="AI42" s="0" t="n">
        <f aca="false">x_AGRI*x_EMP*x_WLOSS*(x_PEN_K74*Q42+x_PEN_C22*R42)</f>
        <v>937446.926171824</v>
      </c>
      <c r="AJ42" s="0" t="n">
        <f aca="false">x_EMP*x_WAGE*(x_WLOSS*(Q42+R42)+S42)+U42*x_ABS_D*x_WAGE/365</f>
        <v>286395809.972285</v>
      </c>
      <c r="AK42" s="0" t="n">
        <f aca="false">AJ42*x_R_FUS</f>
        <v>90615634.2752311</v>
      </c>
      <c r="AL42" s="0" t="n">
        <f aca="false">AJ42*x_R_NFZ</f>
        <v>22241784.9982576</v>
      </c>
      <c r="AM42" s="0" t="n">
        <f aca="false">AJ42*x_R_PIT</f>
        <v>19040788.8186967</v>
      </c>
      <c r="AN42" s="0" t="n">
        <f aca="false">AJ42*x_R_FP</f>
        <v>7303093.15429327</v>
      </c>
      <c r="AO42" s="0" t="n">
        <f aca="false">AA42+AB42+AC42+AD42+AF42</f>
        <v>431519149.840135</v>
      </c>
      <c r="AP42" s="0" t="n">
        <f aca="false">AO42+AE42+AG42+AH42+AI42+AK42+AL42+AM42+AN42</f>
        <v>589602035.675939</v>
      </c>
      <c r="AQ42" s="0" t="n">
        <f aca="false">AO42+AE42+AG42+AJ42</f>
        <v>717914959.812421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2245.843</v>
      </c>
      <c r="I43" s="0" t="n">
        <v>236.934</v>
      </c>
      <c r="J43" s="0" t="n">
        <v>1251.765</v>
      </c>
      <c r="K43" s="0" t="n">
        <v>1710.153</v>
      </c>
      <c r="L43" s="0" t="n">
        <v>802.513</v>
      </c>
      <c r="M43" s="0" t="n">
        <v>124551.965</v>
      </c>
      <c r="N43" s="0" t="n">
        <v>9397.252</v>
      </c>
      <c r="O43" s="0" t="n">
        <v>66.689</v>
      </c>
      <c r="P43" s="0" t="n">
        <v>67.196</v>
      </c>
      <c r="Q43" s="0" t="n">
        <v>695.185</v>
      </c>
      <c r="R43" s="0" t="n">
        <v>849.519</v>
      </c>
      <c r="S43" s="0" t="n">
        <v>2433.21</v>
      </c>
      <c r="T43" s="0" t="n">
        <v>2482.776</v>
      </c>
      <c r="U43" s="0" t="n">
        <v>1828.801</v>
      </c>
      <c r="V43" s="0" t="n">
        <v>168494.941</v>
      </c>
      <c r="W43" s="0" t="n">
        <v>229.225</v>
      </c>
      <c r="X43" s="0" t="n">
        <v>495.02</v>
      </c>
      <c r="Y43" s="0" t="n">
        <v>66.689</v>
      </c>
      <c r="Z43" s="0" t="n">
        <v>634.057</v>
      </c>
      <c r="AA43" s="0" t="n">
        <f aca="false">H43*x_c_F+I43*x_c_CC+J43*x_c_DC+K43*x_c_HCC+L43*x_c_PLT+M43*x_c_SVRn+N43*x_c_SVRcc+O43*x_c_LT+P43*x_c_LT1</f>
        <v>291675221.243048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17815389.3021667</v>
      </c>
      <c r="AI43" s="0" t="n">
        <f aca="false">x_AGRI*x_EMP*x_WLOSS*(x_PEN_K74*Q43+x_PEN_C22*R43)</f>
        <v>929047.520927411</v>
      </c>
      <c r="AJ43" s="0" t="n">
        <f aca="false">x_EMP*x_WAGE*(x_WLOSS*(Q43+R43)+S43)+U43*x_ABS_D*x_WAGE/365</f>
        <v>283974067.620911</v>
      </c>
      <c r="AK43" s="0" t="n">
        <f aca="false">AJ43*x_R_FUS</f>
        <v>89849394.9952563</v>
      </c>
      <c r="AL43" s="0" t="n">
        <f aca="false">AJ43*x_R_NFZ</f>
        <v>22053710.0655076</v>
      </c>
      <c r="AM43" s="0" t="n">
        <f aca="false">AJ43*x_R_PIT</f>
        <v>18879781.2791999</v>
      </c>
      <c r="AN43" s="0" t="n">
        <f aca="false">AJ43*x_R_FP</f>
        <v>7241338.72433323</v>
      </c>
      <c r="AO43" s="0" t="n">
        <f aca="false">AA43+AB43+AC43+AD43+AF43</f>
        <v>429508648.853072</v>
      </c>
      <c r="AP43" s="0" t="n">
        <f aca="false">AO43+AE43+AG43+AH43+AI43+AK43+AL43+AM43+AN43</f>
        <v>586277310.740464</v>
      </c>
      <c r="AQ43" s="0" t="n">
        <f aca="false">AO43+AE43+AG43+AJ43</f>
        <v>713482716.473983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2246.984</v>
      </c>
      <c r="I44" s="0" t="n">
        <v>235.361</v>
      </c>
      <c r="J44" s="0" t="n">
        <v>1234.407</v>
      </c>
      <c r="K44" s="0" t="n">
        <v>1690.828</v>
      </c>
      <c r="L44" s="0" t="n">
        <v>779.044</v>
      </c>
      <c r="M44" s="0" t="n">
        <v>126579.759</v>
      </c>
      <c r="N44" s="0" t="n">
        <v>9303.922</v>
      </c>
      <c r="O44" s="0" t="n">
        <v>65.825</v>
      </c>
      <c r="P44" s="0" t="n">
        <v>66.257</v>
      </c>
      <c r="Q44" s="0" t="n">
        <v>689.042</v>
      </c>
      <c r="R44" s="0" t="n">
        <v>842.265</v>
      </c>
      <c r="S44" s="0" t="n">
        <v>2413.176</v>
      </c>
      <c r="T44" s="0" t="n">
        <v>2482.345</v>
      </c>
      <c r="U44" s="0" t="n">
        <v>1827.823</v>
      </c>
      <c r="V44" s="0" t="n">
        <v>169742.162</v>
      </c>
      <c r="W44" s="0" t="n">
        <v>226.984</v>
      </c>
      <c r="X44" s="0" t="n">
        <v>490.413</v>
      </c>
      <c r="Y44" s="0" t="n">
        <v>65.825</v>
      </c>
      <c r="Z44" s="0" t="n">
        <v>626.074</v>
      </c>
      <c r="AA44" s="0" t="n">
        <f aca="false">H44*x_c_F+I44*x_c_CC+J44*x_c_DC+K44*x_c_HCC+L44*x_c_PLT+M44*x_c_SVRn+N44*x_c_SVRcc+O44*x_c_LT+P44*x_c_LT1</f>
        <v>290041161.169401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17691607.8963274</v>
      </c>
      <c r="AI44" s="0" t="n">
        <f aca="false">x_AGRI*x_EMP*x_WLOSS*(x_PEN_K74*Q44+x_PEN_C22*R44)</f>
        <v>920998.707824959</v>
      </c>
      <c r="AJ44" s="0" t="n">
        <f aca="false">x_EMP*x_WAGE*(x_WLOSS*(Q44+R44)+S44)+U44*x_ABS_D*x_WAGE/365</f>
        <v>281646050.9788</v>
      </c>
      <c r="AK44" s="0" t="n">
        <f aca="false">AJ44*x_R_FUS</f>
        <v>89112810.5296922</v>
      </c>
      <c r="AL44" s="0" t="n">
        <f aca="false">AJ44*x_R_NFZ</f>
        <v>21872913.9650646</v>
      </c>
      <c r="AM44" s="0" t="n">
        <f aca="false">AJ44*x_R_PIT</f>
        <v>18725005.0160516</v>
      </c>
      <c r="AN44" s="0" t="n">
        <f aca="false">AJ44*x_R_FP</f>
        <v>7181974.29995939</v>
      </c>
      <c r="AO44" s="0" t="n">
        <f aca="false">AA44+AB44+AC44+AD44+AF44</f>
        <v>427874588.779426</v>
      </c>
      <c r="AP44" s="0" t="n">
        <f aca="false">AO44+AE44+AG44+AH44+AI44+AK44+AL44+AM44+AN44</f>
        <v>583379899.194346</v>
      </c>
      <c r="AQ44" s="0" t="n">
        <f aca="false">AO44+AE44+AG44+AJ44</f>
        <v>709520639.758225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2247.859</v>
      </c>
      <c r="I45" s="0" t="n">
        <v>234.083</v>
      </c>
      <c r="J45" s="0" t="n">
        <v>1219.776</v>
      </c>
      <c r="K45" s="0" t="n">
        <v>1674.428</v>
      </c>
      <c r="L45" s="0" t="n">
        <v>757.952</v>
      </c>
      <c r="M45" s="0" t="n">
        <v>128607.828</v>
      </c>
      <c r="N45" s="0" t="n">
        <v>9223.563</v>
      </c>
      <c r="O45" s="0" t="n">
        <v>65.107</v>
      </c>
      <c r="P45" s="0" t="n">
        <v>65.466</v>
      </c>
      <c r="Q45" s="0" t="n">
        <v>683.162</v>
      </c>
      <c r="R45" s="0" t="n">
        <v>835.331</v>
      </c>
      <c r="S45" s="0" t="n">
        <v>2393.947</v>
      </c>
      <c r="T45" s="0" t="n">
        <v>2481.942</v>
      </c>
      <c r="U45" s="0" t="n">
        <v>1826.735</v>
      </c>
      <c r="V45" s="0" t="n">
        <v>171016.761</v>
      </c>
      <c r="W45" s="0" t="n">
        <v>225.1</v>
      </c>
      <c r="X45" s="0" t="n">
        <v>486.505</v>
      </c>
      <c r="Y45" s="0" t="n">
        <v>65.107</v>
      </c>
      <c r="Z45" s="0" t="n">
        <v>619.358</v>
      </c>
      <c r="AA45" s="0" t="n">
        <f aca="false">H45*x_c_F+I45*x_c_CC+J45*x_c_DC+K45*x_c_HCC+L45*x_c_PLT+M45*x_c_SVRn+N45*x_c_SVRcc+O45*x_c_LT+P45*x_c_LT1</f>
        <v>288809428.667331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17572904.4632734</v>
      </c>
      <c r="AI45" s="0" t="n">
        <f aca="false">x_AGRI*x_EMP*x_WLOSS*(x_PEN_K74*Q45+x_PEN_C22*R45)</f>
        <v>913300.486864468</v>
      </c>
      <c r="AJ45" s="0" t="n">
        <f aca="false">x_EMP*x_WAGE*(x_WLOSS*(Q45+R45)+S45)+U45*x_ABS_D*x_WAGE/365</f>
        <v>279413197.570832</v>
      </c>
      <c r="AK45" s="0" t="n">
        <f aca="false">AJ45*x_R_FUS</f>
        <v>88406335.7114112</v>
      </c>
      <c r="AL45" s="0" t="n">
        <f aca="false">AJ45*x_R_NFZ</f>
        <v>21699508.3365484</v>
      </c>
      <c r="AM45" s="0" t="n">
        <f aca="false">AJ45*x_R_PIT</f>
        <v>18576555.6019057</v>
      </c>
      <c r="AN45" s="0" t="n">
        <f aca="false">AJ45*x_R_FP</f>
        <v>7125036.53805621</v>
      </c>
      <c r="AO45" s="0" t="n">
        <f aca="false">AA45+AB45+AC45+AD45+AF45</f>
        <v>426642856.277356</v>
      </c>
      <c r="AP45" s="0" t="n">
        <f aca="false">AO45+AE45+AG45+AH45+AI45+AK45+AL45+AM45+AN45</f>
        <v>580936497.415415</v>
      </c>
      <c r="AQ45" s="0" t="n">
        <f aca="false">AO45+AE45+AG45+AJ45</f>
        <v>706056053.848187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2248.523</v>
      </c>
      <c r="I46" s="0" t="n">
        <v>233.04</v>
      </c>
      <c r="J46" s="0" t="n">
        <v>1207.71</v>
      </c>
      <c r="K46" s="0" t="n">
        <v>1660.75</v>
      </c>
      <c r="L46" s="0" t="n">
        <v>739.496</v>
      </c>
      <c r="M46" s="0" t="n">
        <v>130642.936</v>
      </c>
      <c r="N46" s="0" t="n">
        <v>9158.912</v>
      </c>
      <c r="O46" s="0" t="n">
        <v>64.522</v>
      </c>
      <c r="P46" s="0" t="n">
        <v>64.815</v>
      </c>
      <c r="Q46" s="0" t="n">
        <v>677.545</v>
      </c>
      <c r="R46" s="0" t="n">
        <v>828.711</v>
      </c>
      <c r="S46" s="0" t="n">
        <v>2375.536</v>
      </c>
      <c r="T46" s="0" t="n">
        <v>2481.563</v>
      </c>
      <c r="U46" s="0" t="n">
        <v>1825.604</v>
      </c>
      <c r="V46" s="0" t="n">
        <v>172323.126</v>
      </c>
      <c r="W46" s="0" t="n">
        <v>223.519</v>
      </c>
      <c r="X46" s="0" t="n">
        <v>483.207</v>
      </c>
      <c r="Y46" s="0" t="n">
        <v>64.522</v>
      </c>
      <c r="Z46" s="0" t="n">
        <v>613.813</v>
      </c>
      <c r="AA46" s="0" t="n">
        <f aca="false">H46*x_c_F+I46*x_c_CC+J46*x_c_DC+K46*x_c_HCC+L46*x_c_PLT+M46*x_c_SVRn+N46*x_c_SVRcc+O46*x_c_LT+P46*x_c_LT1</f>
        <v>287979204.233458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17459359.0329007</v>
      </c>
      <c r="AI46" s="0" t="n">
        <f aca="false">x_AGRI*x_EMP*x_WLOSS*(x_PEN_K74*Q46+x_PEN_C22*R46)</f>
        <v>905949.043247415</v>
      </c>
      <c r="AJ46" s="0" t="n">
        <f aca="false">x_EMP*x_WAGE*(x_WLOSS*(Q46+R46)+S46)+U46*x_ABS_D*x_WAGE/365</f>
        <v>277276536.240306</v>
      </c>
      <c r="AK46" s="0" t="n">
        <f aca="false">AJ46*x_R_FUS</f>
        <v>87730296.0664328</v>
      </c>
      <c r="AL46" s="0" t="n">
        <f aca="false">AJ46*x_R_NFZ</f>
        <v>21533573.0809584</v>
      </c>
      <c r="AM46" s="0" t="n">
        <f aca="false">AJ46*x_R_PIT</f>
        <v>18434501.438559</v>
      </c>
      <c r="AN46" s="0" t="n">
        <f aca="false">AJ46*x_R_FP</f>
        <v>7070551.6741278</v>
      </c>
      <c r="AO46" s="0" t="n">
        <f aca="false">AA46+AB46+AC46+AD46+AF46</f>
        <v>425812631.843482</v>
      </c>
      <c r="AP46" s="0" t="n">
        <f aca="false">AO46+AE46+AG46+AH46+AI46+AK46+AL46+AM46+AN46</f>
        <v>578946862.179708</v>
      </c>
      <c r="AQ46" s="0" t="n">
        <f aca="false">AO46+AE46+AG46+AJ46</f>
        <v>703089168.083788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2249.038</v>
      </c>
      <c r="I47" s="0" t="n">
        <v>232.164</v>
      </c>
      <c r="J47" s="0" t="n">
        <v>1197.921</v>
      </c>
      <c r="K47" s="0" t="n">
        <v>1649.454</v>
      </c>
      <c r="L47" s="0" t="n">
        <v>723.767</v>
      </c>
      <c r="M47" s="0" t="n">
        <v>132687.378</v>
      </c>
      <c r="N47" s="0" t="n">
        <v>9111.216</v>
      </c>
      <c r="O47" s="0" t="n">
        <v>64.054</v>
      </c>
      <c r="P47" s="0" t="n">
        <v>64.288</v>
      </c>
      <c r="Q47" s="0" t="n">
        <v>672.188</v>
      </c>
      <c r="R47" s="0" t="n">
        <v>822.402</v>
      </c>
      <c r="S47" s="0" t="n">
        <v>2357.947</v>
      </c>
      <c r="T47" s="0" t="n">
        <v>2481.203</v>
      </c>
      <c r="U47" s="0" t="n">
        <v>1824.502</v>
      </c>
      <c r="V47" s="0" t="n">
        <v>173660.807</v>
      </c>
      <c r="W47" s="0" t="n">
        <v>222.178</v>
      </c>
      <c r="X47" s="0" t="n">
        <v>480.406</v>
      </c>
      <c r="Y47" s="0" t="n">
        <v>64.054</v>
      </c>
      <c r="Z47" s="0" t="n">
        <v>609.3</v>
      </c>
      <c r="AA47" s="0" t="n">
        <f aca="false">H47*x_c_F+I47*x_c_CC+J47*x_c_DC+K47*x_c_HCC+L47*x_c_PLT+M47*x_c_SVRn+N47*x_c_SVRcc+O47*x_c_LT+P47*x_c_LT1</f>
        <v>287525188.529904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17351065.3796601</v>
      </c>
      <c r="AI47" s="0" t="n">
        <f aca="false">x_AGRI*x_EMP*x_WLOSS*(x_PEN_K74*Q47+x_PEN_C22*R47)</f>
        <v>898940.791214607</v>
      </c>
      <c r="AJ47" s="0" t="n">
        <f aca="false">x_EMP*x_WAGE*(x_WLOSS*(Q47+R47)+S47)+U47*x_ABS_D*x_WAGE/365</f>
        <v>275236343.172912</v>
      </c>
      <c r="AK47" s="0" t="n">
        <f aca="false">AJ47*x_R_FUS</f>
        <v>87084778.9799093</v>
      </c>
      <c r="AL47" s="0" t="n">
        <f aca="false">AJ47*x_R_NFZ</f>
        <v>21375129.6471515</v>
      </c>
      <c r="AM47" s="0" t="n">
        <f aca="false">AJ47*x_R_PIT</f>
        <v>18298860.8879889</v>
      </c>
      <c r="AN47" s="0" t="n">
        <f aca="false">AJ47*x_R_FP</f>
        <v>7018526.75090925</v>
      </c>
      <c r="AO47" s="0" t="n">
        <f aca="false">AA47+AB47+AC47+AD47+AF47</f>
        <v>425358616.139928</v>
      </c>
      <c r="AP47" s="0" t="n">
        <f aca="false">AO47+AE47+AG47+AH47+AI47+AK47+AL47+AM47+AN47</f>
        <v>577385918.576762</v>
      </c>
      <c r="AQ47" s="0" t="n">
        <f aca="false">AO47+AE47+AG47+AJ47</f>
        <v>700594959.31284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2249.467</v>
      </c>
      <c r="I48" s="0" t="n">
        <v>231.388</v>
      </c>
      <c r="J48" s="0" t="n">
        <v>1190.029</v>
      </c>
      <c r="K48" s="0" t="n">
        <v>1640.11</v>
      </c>
      <c r="L48" s="0" t="n">
        <v>710.7</v>
      </c>
      <c r="M48" s="0" t="n">
        <v>134738.971</v>
      </c>
      <c r="N48" s="0" t="n">
        <v>9080.302</v>
      </c>
      <c r="O48" s="0" t="n">
        <v>63.679</v>
      </c>
      <c r="P48" s="0" t="n">
        <v>63.866</v>
      </c>
      <c r="Q48" s="0" t="n">
        <v>667.087</v>
      </c>
      <c r="R48" s="0" t="n">
        <v>816.396</v>
      </c>
      <c r="S48" s="0" t="n">
        <v>2341.178</v>
      </c>
      <c r="T48" s="0" t="n">
        <v>2480.855</v>
      </c>
      <c r="U48" s="0" t="n">
        <v>1823.496</v>
      </c>
      <c r="V48" s="0" t="n">
        <v>175024.906</v>
      </c>
      <c r="W48" s="0" t="n">
        <v>221.008</v>
      </c>
      <c r="X48" s="0" t="n">
        <v>477.976</v>
      </c>
      <c r="Y48" s="0" t="n">
        <v>63.679</v>
      </c>
      <c r="Z48" s="0" t="n">
        <v>605.629</v>
      </c>
      <c r="AA48" s="0" t="n">
        <f aca="false">H48*x_c_F+I48*x_c_CC+J48*x_c_DC+K48*x_c_HCC+L48*x_c_PLT+M48*x_c_SVRn+N48*x_c_SVRcc+O48*x_c_LT+P48*x_c_LT1</f>
        <v>287400294.136754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17248050.439429</v>
      </c>
      <c r="AI48" s="0" t="n">
        <f aca="false">x_AGRI*x_EMP*x_WLOSS*(x_PEN_K74*Q48+x_PEN_C22*R48)</f>
        <v>892268.406554771</v>
      </c>
      <c r="AJ48" s="0" t="n">
        <f aca="false">x_EMP*x_WAGE*(x_WLOSS*(Q48+R48)+S48)+U48*x_ABS_D*x_WAGE/365</f>
        <v>273292091.958287</v>
      </c>
      <c r="AK48" s="0" t="n">
        <f aca="false">AJ48*x_R_FUS</f>
        <v>86469617.895602</v>
      </c>
      <c r="AL48" s="0" t="n">
        <f aca="false">AJ48*x_R_NFZ</f>
        <v>21224137.1535725</v>
      </c>
      <c r="AM48" s="0" t="n">
        <f aca="false">AJ48*x_R_PIT</f>
        <v>18169598.9522373</v>
      </c>
      <c r="AN48" s="0" t="n">
        <f aca="false">AJ48*x_R_FP</f>
        <v>6968948.34493632</v>
      </c>
      <c r="AO48" s="0" t="n">
        <f aca="false">AA48+AB48+AC48+AD48+AF48</f>
        <v>425233721.746779</v>
      </c>
      <c r="AP48" s="0" t="n">
        <f aca="false">AO48+AE48+AG48+AH48+AI48+AK48+AL48+AM48+AN48</f>
        <v>576206342.939111</v>
      </c>
      <c r="AQ48" s="0" t="n">
        <f aca="false">AO48+AE48+AG48+AJ48</f>
        <v>698525813.705066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2249.865</v>
      </c>
      <c r="I49" s="0" t="n">
        <v>230.649</v>
      </c>
      <c r="J49" s="0" t="n">
        <v>1183.612</v>
      </c>
      <c r="K49" s="0" t="n">
        <v>1632.249</v>
      </c>
      <c r="L49" s="0" t="n">
        <v>700.111</v>
      </c>
      <c r="M49" s="0" t="n">
        <v>136792.084</v>
      </c>
      <c r="N49" s="0" t="n">
        <v>9064.917</v>
      </c>
      <c r="O49" s="0" t="n">
        <v>63.375</v>
      </c>
      <c r="P49" s="0" t="n">
        <v>63.527</v>
      </c>
      <c r="Q49" s="0" t="n">
        <v>662.237</v>
      </c>
      <c r="R49" s="0" t="n">
        <v>810.687</v>
      </c>
      <c r="S49" s="0" t="n">
        <v>2325.221</v>
      </c>
      <c r="T49" s="0" t="n">
        <v>2480.514</v>
      </c>
      <c r="U49" s="0" t="n">
        <v>1822.644</v>
      </c>
      <c r="V49" s="0" t="n">
        <v>176407.389</v>
      </c>
      <c r="W49" s="0" t="n">
        <v>219.947</v>
      </c>
      <c r="X49" s="0" t="n">
        <v>475.799</v>
      </c>
      <c r="Y49" s="0" t="n">
        <v>63.375</v>
      </c>
      <c r="Z49" s="0" t="n">
        <v>602.61</v>
      </c>
      <c r="AA49" s="0" t="n">
        <f aca="false">H49*x_c_F+I49*x_c_CC+J49*x_c_DC+K49*x_c_HCC+L49*x_c_PLT+M49*x_c_SVRn+N49*x_c_SVRcc+O49*x_c_LT+P49*x_c_LT1</f>
        <v>287545911.515628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17150333.4192281</v>
      </c>
      <c r="AI49" s="0" t="n">
        <f aca="false">x_AGRI*x_EMP*x_WLOSS*(x_PEN_K74*Q49+x_PEN_C22*R49)</f>
        <v>885925.277202831</v>
      </c>
      <c r="AJ49" s="0" t="n">
        <f aca="false">x_EMP*x_WAGE*(x_WLOSS*(Q49+R49)+S49)+U49*x_ABS_D*x_WAGE/365</f>
        <v>271442764.244589</v>
      </c>
      <c r="AK49" s="0" t="n">
        <f aca="false">AJ49*x_R_FUS</f>
        <v>85884490.6069879</v>
      </c>
      <c r="AL49" s="0" t="n">
        <f aca="false">AJ49*x_R_NFZ</f>
        <v>21080516.513999</v>
      </c>
      <c r="AM49" s="0" t="n">
        <f aca="false">AJ49*x_R_PIT</f>
        <v>18046647.9270232</v>
      </c>
      <c r="AN49" s="0" t="n">
        <f aca="false">AJ49*x_R_FP</f>
        <v>6921790.48823702</v>
      </c>
      <c r="AO49" s="0" t="n">
        <f aca="false">AA49+AB49+AC49+AD49+AF49</f>
        <v>425379339.125653</v>
      </c>
      <c r="AP49" s="0" t="n">
        <f aca="false">AO49+AE49+AG49+AH49+AI49+AK49+AL49+AM49+AN49</f>
        <v>575349043.358331</v>
      </c>
      <c r="AQ49" s="0" t="n">
        <f aca="false">AO49+AE49+AG49+AJ49</f>
        <v>696822103.370241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2250.279</v>
      </c>
      <c r="I50" s="0" t="n">
        <v>229.898</v>
      </c>
      <c r="J50" s="0" t="n">
        <v>1178.228</v>
      </c>
      <c r="K50" s="0" t="n">
        <v>1625.384</v>
      </c>
      <c r="L50" s="0" t="n">
        <v>691.694</v>
      </c>
      <c r="M50" s="0" t="n">
        <v>138837.082</v>
      </c>
      <c r="N50" s="0" t="n">
        <v>9062.683</v>
      </c>
      <c r="O50" s="0" t="n">
        <v>63.117</v>
      </c>
      <c r="P50" s="0" t="n">
        <v>63.246</v>
      </c>
      <c r="Q50" s="0" t="n">
        <v>657.63</v>
      </c>
      <c r="R50" s="0" t="n">
        <v>805.263</v>
      </c>
      <c r="S50" s="0" t="n">
        <v>2310.062</v>
      </c>
      <c r="T50" s="0" t="n">
        <v>2480.177</v>
      </c>
      <c r="U50" s="0" t="n">
        <v>1821.988</v>
      </c>
      <c r="V50" s="0" t="n">
        <v>177796.738</v>
      </c>
      <c r="W50" s="0" t="n">
        <v>218.933</v>
      </c>
      <c r="X50" s="0" t="n">
        <v>473.752</v>
      </c>
      <c r="Y50" s="0" t="n">
        <v>63.117</v>
      </c>
      <c r="Z50" s="0" t="n">
        <v>600.023</v>
      </c>
      <c r="AA50" s="0" t="n">
        <f aca="false">H50*x_c_F+I50*x_c_CC+J50*x_c_DC+K50*x_c_HCC+L50*x_c_PLT+M50*x_c_SVRn+N50*x_c_SVRcc+O50*x_c_LT+P50*x_c_LT1</f>
        <v>287891407.798937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17057817.5257916</v>
      </c>
      <c r="AI50" s="0" t="n">
        <f aca="false">x_AGRI*x_EMP*x_WLOSS*(x_PEN_K74*Q50+x_PEN_C22*R50)</f>
        <v>879899.297935254</v>
      </c>
      <c r="AJ50" s="0" t="n">
        <f aca="false">x_EMP*x_WAGE*(x_WLOSS*(Q50+R50)+S50)+U50*x_ABS_D*x_WAGE/365</f>
        <v>269686368.599794</v>
      </c>
      <c r="AK50" s="0" t="n">
        <f aca="false">AJ50*x_R_FUS</f>
        <v>85328767.0249748</v>
      </c>
      <c r="AL50" s="0" t="n">
        <f aca="false">AJ50*x_R_NFZ</f>
        <v>20944113.0718286</v>
      </c>
      <c r="AM50" s="0" t="n">
        <f aca="false">AJ50*x_R_PIT</f>
        <v>17929875.413634</v>
      </c>
      <c r="AN50" s="0" t="n">
        <f aca="false">AJ50*x_R_FP</f>
        <v>6877002.39929474</v>
      </c>
      <c r="AO50" s="0" t="n">
        <f aca="false">AA50+AB50+AC50+AD50+AF50</f>
        <v>425724835.408962</v>
      </c>
      <c r="AP50" s="0" t="n">
        <f aca="false">AO50+AE50+AG50+AH50+AI50+AK50+AL50+AM50+AN50</f>
        <v>574742310.142421</v>
      </c>
      <c r="AQ50" s="0" t="n">
        <f aca="false">AO50+AE50+AG50+AJ50</f>
        <v>695411204.008755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2250.742</v>
      </c>
      <c r="I51" s="0" t="n">
        <v>229.098</v>
      </c>
      <c r="J51" s="0" t="n">
        <v>1173.444</v>
      </c>
      <c r="K51" s="0" t="n">
        <v>1619.048</v>
      </c>
      <c r="L51" s="0" t="n">
        <v>685.053</v>
      </c>
      <c r="M51" s="0" t="n">
        <v>140860.803</v>
      </c>
      <c r="N51" s="0" t="n">
        <v>9070.319</v>
      </c>
      <c r="O51" s="0" t="n">
        <v>62.883</v>
      </c>
      <c r="P51" s="0" t="n">
        <v>63</v>
      </c>
      <c r="Q51" s="0" t="n">
        <v>653.257</v>
      </c>
      <c r="R51" s="0" t="n">
        <v>800.113</v>
      </c>
      <c r="S51" s="0" t="n">
        <v>2295.68</v>
      </c>
      <c r="T51" s="0" t="n">
        <v>2479.84</v>
      </c>
      <c r="U51" s="0" t="n">
        <v>1821.555</v>
      </c>
      <c r="V51" s="0" t="n">
        <v>179178.587</v>
      </c>
      <c r="W51" s="0" t="n">
        <v>217.917</v>
      </c>
      <c r="X51" s="0" t="n">
        <v>471.736</v>
      </c>
      <c r="Y51" s="0" t="n">
        <v>62.883</v>
      </c>
      <c r="Z51" s="0" t="n">
        <v>597.674</v>
      </c>
      <c r="AA51" s="0" t="n">
        <f aca="false">H51*x_c_F+I51*x_c_CC+J51*x_c_DC+K51*x_c_HCC+L51*x_c_PLT+M51*x_c_SVRn+N51*x_c_SVRcc+O51*x_c_LT+P51*x_c_LT1</f>
        <v>288361223.392416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16970376.2826691</v>
      </c>
      <c r="AI51" s="0" t="n">
        <f aca="false">x_AGRI*x_EMP*x_WLOSS*(x_PEN_K74*Q51+x_PEN_C22*R51)</f>
        <v>874178.439874951</v>
      </c>
      <c r="AJ51" s="0" t="n">
        <f aca="false">x_EMP*x_WAGE*(x_WLOSS*(Q51+R51)+S51)+U51*x_ABS_D*x_WAGE/365</f>
        <v>268020272.708021</v>
      </c>
      <c r="AK51" s="0" t="n">
        <f aca="false">AJ51*x_R_FUS</f>
        <v>84801614.284818</v>
      </c>
      <c r="AL51" s="0" t="n">
        <f aca="false">AJ51*x_R_NFZ</f>
        <v>20814722.3987777</v>
      </c>
      <c r="AM51" s="0" t="n">
        <f aca="false">AJ51*x_R_PIT</f>
        <v>17819106.4047228</v>
      </c>
      <c r="AN51" s="0" t="n">
        <f aca="false">AJ51*x_R_FP</f>
        <v>6834516.95405455</v>
      </c>
      <c r="AO51" s="0" t="n">
        <f aca="false">AA51+AB51+AC51+AD51+AF51</f>
        <v>426194651.00244</v>
      </c>
      <c r="AP51" s="0" t="n">
        <f aca="false">AO51+AE51+AG51+AH51+AI51+AK51+AL51+AM51+AN51</f>
        <v>574309165.767357</v>
      </c>
      <c r="AQ51" s="0" t="n">
        <f aca="false">AO51+AE51+AG51+AJ51</f>
        <v>694214923.710462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2251.277</v>
      </c>
      <c r="I52" s="0" t="n">
        <v>228.223</v>
      </c>
      <c r="J52" s="0" t="n">
        <v>1168.868</v>
      </c>
      <c r="K52" s="0" t="n">
        <v>1612.822</v>
      </c>
      <c r="L52" s="0" t="n">
        <v>679.734</v>
      </c>
      <c r="M52" s="0" t="n">
        <v>142847.531</v>
      </c>
      <c r="N52" s="0" t="n">
        <v>9083.993</v>
      </c>
      <c r="O52" s="0" t="n">
        <v>62.652</v>
      </c>
      <c r="P52" s="0" t="n">
        <v>62.768</v>
      </c>
      <c r="Q52" s="0" t="n">
        <v>649.108</v>
      </c>
      <c r="R52" s="0" t="n">
        <v>795.224</v>
      </c>
      <c r="S52" s="0" t="n">
        <v>2282.046</v>
      </c>
      <c r="T52" s="0" t="n">
        <v>2479.501</v>
      </c>
      <c r="U52" s="0" t="n">
        <v>1821.357</v>
      </c>
      <c r="V52" s="0" t="n">
        <v>180536.779</v>
      </c>
      <c r="W52" s="0" t="n">
        <v>216.859</v>
      </c>
      <c r="X52" s="0" t="n">
        <v>469.663</v>
      </c>
      <c r="Y52" s="0" t="n">
        <v>62.652</v>
      </c>
      <c r="Z52" s="0" t="n">
        <v>595.372</v>
      </c>
      <c r="AA52" s="0" t="n">
        <f aca="false">H52*x_c_F+I52*x_c_CC+J52*x_c_DC+K52*x_c_HCC+L52*x_c_PLT+M52*x_c_SVRn+N52*x_c_SVRcc+O52*x_c_LT+P52*x_c_LT1</f>
        <v>288879108.53547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16887824.6731199</v>
      </c>
      <c r="AI52" s="0" t="n">
        <f aca="false">x_AGRI*x_EMP*x_WLOSS*(x_PEN_K74*Q52+x_PEN_C22*R52)</f>
        <v>868748.843092015</v>
      </c>
      <c r="AJ52" s="0" t="n">
        <f aca="false">x_EMP*x_WAGE*(x_WLOSS*(Q52+R52)+S52)+U52*x_ABS_D*x_WAGE/365</f>
        <v>266440979.935893</v>
      </c>
      <c r="AK52" s="0" t="n">
        <f aca="false">AJ52*x_R_FUS</f>
        <v>84301926.0517165</v>
      </c>
      <c r="AL52" s="0" t="n">
        <f aca="false">AJ52*x_R_NFZ</f>
        <v>20692072.9428014</v>
      </c>
      <c r="AM52" s="0" t="n">
        <f aca="false">AJ52*x_R_PIT</f>
        <v>17714108.4295084</v>
      </c>
      <c r="AN52" s="0" t="n">
        <f aca="false">AJ52*x_R_FP</f>
        <v>6794244.98836527</v>
      </c>
      <c r="AO52" s="0" t="n">
        <f aca="false">AA52+AB52+AC52+AD52+AF52</f>
        <v>426712536.145495</v>
      </c>
      <c r="AP52" s="0" t="n">
        <f aca="false">AO52+AE52+AG52+AH52+AI52+AK52+AL52+AM52+AN52</f>
        <v>573971462.074098</v>
      </c>
      <c r="AQ52" s="0" t="n">
        <f aca="false">AO52+AE52+AG52+AJ52</f>
        <v>693153516.081387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606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5509.111</v>
      </c>
      <c r="I3" s="0" t="n">
        <v>502.713</v>
      </c>
      <c r="J3" s="0" t="n">
        <v>1579.833</v>
      </c>
      <c r="K3" s="0" t="n">
        <v>2050.227</v>
      </c>
      <c r="L3" s="0" t="n">
        <v>1540.438</v>
      </c>
      <c r="M3" s="0" t="n">
        <v>0</v>
      </c>
      <c r="N3" s="0" t="n">
        <v>0</v>
      </c>
      <c r="O3" s="0" t="n">
        <v>84.604</v>
      </c>
      <c r="P3" s="0" t="n">
        <v>42.302</v>
      </c>
      <c r="Q3" s="0" t="n">
        <v>2133.541</v>
      </c>
      <c r="R3" s="0" t="n">
        <v>1383.145</v>
      </c>
      <c r="S3" s="0" t="n">
        <v>268.453</v>
      </c>
      <c r="T3" s="0" t="n">
        <v>6011.824</v>
      </c>
      <c r="U3" s="0" t="n">
        <v>3343.995</v>
      </c>
      <c r="V3" s="0" t="n">
        <v>113157.95</v>
      </c>
      <c r="W3" s="0" t="n">
        <v>266.7</v>
      </c>
      <c r="X3" s="0" t="n">
        <v>588.909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256470218.269754</v>
      </c>
      <c r="AB3" s="0" t="n">
        <f aca="false">C3*x_c_DAA</f>
        <v>0</v>
      </c>
      <c r="AC3" s="0" t="n">
        <f aca="false">C3*x_c_MON</f>
        <v>0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38237643.5674832</v>
      </c>
      <c r="AI3" s="0" t="n">
        <f aca="false">x_AGRI*x_EMP*x_WLOSS*(x_PEN_K74*Q3+x_PEN_C22*R3)</f>
        <v>2073019.82692178</v>
      </c>
      <c r="AJ3" s="0" t="n">
        <f aca="false">x_EMP*x_WAGE*(x_WLOSS*(Q3+R3)+S3)+U3*x_ABS_D*x_WAGE/365</f>
        <v>194681485.310263</v>
      </c>
      <c r="AK3" s="0" t="n">
        <f aca="false">AJ3*x_R_FUS</f>
        <v>61597221.9521673</v>
      </c>
      <c r="AL3" s="0" t="n">
        <f aca="false">AJ3*x_R_NFZ</f>
        <v>15119158.8306803</v>
      </c>
      <c r="AM3" s="0" t="n">
        <f aca="false">AJ3*x_R_PIT</f>
        <v>12943237.7137837</v>
      </c>
      <c r="AN3" s="0" t="n">
        <f aca="false">AJ3*x_R_FP</f>
        <v>4964377.87541171</v>
      </c>
      <c r="AO3" s="0" t="n">
        <f aca="false">AA3+AB3+AC3+AD3+AF3</f>
        <v>256470218.269754</v>
      </c>
      <c r="AP3" s="0" t="n">
        <f aca="false">AO3+AE3+AG3+AH3+AI3+AK3+AL3+AM3+AN3</f>
        <v>391404878.036202</v>
      </c>
      <c r="AQ3" s="0" t="n">
        <f aca="false">AO3+AE3+AG3+AJ3</f>
        <v>451151703.580017</v>
      </c>
      <c r="AR3" s="0" t="n">
        <f aca="false">AB3+AC3+AD3+AF3</f>
        <v>0</v>
      </c>
      <c r="AS3" s="0" t="n">
        <f aca="false">AR3+AE3+AG3</f>
        <v>0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9065.47</v>
      </c>
      <c r="I4" s="0" t="n">
        <v>885.128</v>
      </c>
      <c r="J4" s="0" t="n">
        <v>1570.871</v>
      </c>
      <c r="K4" s="0" t="n">
        <v>2069.32</v>
      </c>
      <c r="L4" s="0" t="n">
        <v>1487.589</v>
      </c>
      <c r="M4" s="0" t="n">
        <v>0</v>
      </c>
      <c r="N4" s="0" t="n">
        <v>0</v>
      </c>
      <c r="O4" s="0" t="n">
        <v>83.67</v>
      </c>
      <c r="P4" s="0" t="n">
        <v>84.137</v>
      </c>
      <c r="Q4" s="0" t="n">
        <v>2138.502</v>
      </c>
      <c r="R4" s="0" t="n">
        <v>1409.205</v>
      </c>
      <c r="S4" s="0" t="n">
        <v>809.301</v>
      </c>
      <c r="T4" s="0" t="n">
        <v>9950.598</v>
      </c>
      <c r="U4" s="0" t="n">
        <v>5683.155</v>
      </c>
      <c r="V4" s="0" t="n">
        <v>114063.05</v>
      </c>
      <c r="W4" s="0" t="n">
        <v>286.707</v>
      </c>
      <c r="X4" s="0" t="n">
        <v>634.218</v>
      </c>
      <c r="Y4" s="0" t="n">
        <v>83.67</v>
      </c>
      <c r="Z4" s="0" t="n">
        <v>799.961</v>
      </c>
      <c r="AA4" s="0" t="n">
        <f aca="false">H4*x_c_F+I4*x_c_CC+J4*x_c_DC+K4*x_c_HCC+L4*x_c_PLT+M4*x_c_SVRn+N4*x_c_SVRcc+O4*x_c_LT+P4*x_c_LT1</f>
        <v>270096253.264096</v>
      </c>
      <c r="AB4" s="0" t="n">
        <f aca="false">C4*x_c_DAA</f>
        <v>0</v>
      </c>
      <c r="AC4" s="0" t="n">
        <f aca="false">C4*x_c_MON</f>
        <v>0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43339342.8224346</v>
      </c>
      <c r="AI4" s="0" t="n">
        <f aca="false">x_AGRI*x_EMP*x_WLOSS*(x_PEN_K74*Q4+x_PEN_C22*R4)</f>
        <v>2092364.2163768</v>
      </c>
      <c r="AJ4" s="0" t="n">
        <f aca="false">x_EMP*x_WAGE*(x_WLOSS*(Q4+R4)+S4)+U4*x_ABS_D*x_WAGE/365</f>
        <v>249094166.144794</v>
      </c>
      <c r="AK4" s="0" t="n">
        <f aca="false">AJ4*x_R_FUS</f>
        <v>78813394.168213</v>
      </c>
      <c r="AL4" s="0" t="n">
        <f aca="false">AJ4*x_R_NFZ</f>
        <v>19344902.0369709</v>
      </c>
      <c r="AM4" s="0" t="n">
        <f aca="false">AJ4*x_R_PIT</f>
        <v>16560819.8457629</v>
      </c>
      <c r="AN4" s="0" t="n">
        <f aca="false">AJ4*x_R_FP</f>
        <v>6351901.23669226</v>
      </c>
      <c r="AO4" s="0" t="n">
        <f aca="false">AA4+AB4+AC4+AD4+AF4</f>
        <v>270096253.264096</v>
      </c>
      <c r="AP4" s="0" t="n">
        <f aca="false">AO4+AE4+AG4+AH4+AI4+AK4+AL4+AM4+AN4</f>
        <v>436598977.590546</v>
      </c>
      <c r="AQ4" s="0" t="n">
        <f aca="false">AO4+AE4+AG4+AJ4</f>
        <v>519190419.40889</v>
      </c>
      <c r="AR4" s="0" t="n">
        <f aca="false">AB4+AC4+AD4+AF4</f>
        <v>0</v>
      </c>
      <c r="AS4" s="0" t="n">
        <f aca="false">AR4+AE4+AG4</f>
        <v>0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12523.769</v>
      </c>
      <c r="I5" s="0" t="n">
        <v>1314.74</v>
      </c>
      <c r="J5" s="0" t="n">
        <v>1584.055</v>
      </c>
      <c r="K5" s="0" t="n">
        <v>2128.583</v>
      </c>
      <c r="L5" s="0" t="n">
        <v>1470.551</v>
      </c>
      <c r="M5" s="0" t="n">
        <v>0</v>
      </c>
      <c r="N5" s="0" t="n">
        <v>0</v>
      </c>
      <c r="O5" s="0" t="n">
        <v>84.093</v>
      </c>
      <c r="P5" s="0" t="n">
        <v>83.881</v>
      </c>
      <c r="Q5" s="0" t="n">
        <v>2156.538</v>
      </c>
      <c r="R5" s="0" t="n">
        <v>1466.242</v>
      </c>
      <c r="S5" s="0" t="n">
        <v>1359.394</v>
      </c>
      <c r="T5" s="0" t="n">
        <v>13838.509</v>
      </c>
      <c r="U5" s="0" t="n">
        <v>8107.146</v>
      </c>
      <c r="V5" s="0" t="n">
        <v>115027.29</v>
      </c>
      <c r="W5" s="0" t="n">
        <v>309.615</v>
      </c>
      <c r="X5" s="0" t="n">
        <v>682.378</v>
      </c>
      <c r="Y5" s="0" t="n">
        <v>84.093</v>
      </c>
      <c r="Z5" s="0" t="n">
        <v>809.931</v>
      </c>
      <c r="AA5" s="0" t="n">
        <f aca="false">H5*x_c_F+I5*x_c_CC+J5*x_c_DC+K5*x_c_HCC+L5*x_c_PLT+M5*x_c_SVRn+N5*x_c_SVRcc+O5*x_c_LT+P5*x_c_LT1</f>
        <v>286216076.737177</v>
      </c>
      <c r="AB5" s="0" t="n">
        <f aca="false">C5*x_c_DAA</f>
        <v>0</v>
      </c>
      <c r="AC5" s="0" t="n">
        <f aca="false">C5*x_c_MON</f>
        <v>0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49024080.097838</v>
      </c>
      <c r="AI5" s="0" t="n">
        <f aca="false">x_AGRI*x_EMP*x_WLOSS*(x_PEN_K74*Q5+x_PEN_C22*R5)</f>
        <v>2138718.62684123</v>
      </c>
      <c r="AJ5" s="0" t="n">
        <f aca="false">x_EMP*x_WAGE*(x_WLOSS*(Q5+R5)+S5)+U5*x_ABS_D*x_WAGE/365</f>
        <v>306573194.079831</v>
      </c>
      <c r="AK5" s="0" t="n">
        <f aca="false">AJ5*x_R_FUS</f>
        <v>96999758.6068585</v>
      </c>
      <c r="AL5" s="0" t="n">
        <f aca="false">AJ5*x_R_NFZ</f>
        <v>23808780.8254337</v>
      </c>
      <c r="AM5" s="0" t="n">
        <f aca="false">AJ5*x_R_PIT</f>
        <v>20382265.5314415</v>
      </c>
      <c r="AN5" s="0" t="n">
        <f aca="false">AJ5*x_R_FP</f>
        <v>7817616.44903569</v>
      </c>
      <c r="AO5" s="0" t="n">
        <f aca="false">AA5+AB5+AC5+AD5+AF5</f>
        <v>286216076.737177</v>
      </c>
      <c r="AP5" s="0" t="n">
        <f aca="false">AO5+AE5+AG5+AH5+AI5+AK5+AL5+AM5+AN5</f>
        <v>486387296.874626</v>
      </c>
      <c r="AQ5" s="0" t="n">
        <f aca="false">AO5+AE5+AG5+AJ5</f>
        <v>592789270.817008</v>
      </c>
      <c r="AR5" s="0" t="n">
        <f aca="false">AB5+AC5+AD5+AF5</f>
        <v>0</v>
      </c>
      <c r="AS5" s="0" t="n">
        <f aca="false">AR5+AE5+AG5</f>
        <v>0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15886.45</v>
      </c>
      <c r="I6" s="0" t="n">
        <v>1793.391</v>
      </c>
      <c r="J6" s="0" t="n">
        <v>1617.807</v>
      </c>
      <c r="K6" s="0" t="n">
        <v>2218.605</v>
      </c>
      <c r="L6" s="0" t="n">
        <v>1453.151</v>
      </c>
      <c r="M6" s="0" t="n">
        <v>0</v>
      </c>
      <c r="N6" s="0" t="n">
        <v>0</v>
      </c>
      <c r="O6" s="0" t="n">
        <v>85.727</v>
      </c>
      <c r="P6" s="0" t="n">
        <v>84.91</v>
      </c>
      <c r="Q6" s="0" t="n">
        <v>2191.664</v>
      </c>
      <c r="R6" s="0" t="n">
        <v>1547.848</v>
      </c>
      <c r="S6" s="0" t="n">
        <v>1924.555</v>
      </c>
      <c r="T6" s="0" t="n">
        <v>17679.84</v>
      </c>
      <c r="U6" s="0" t="n">
        <v>10607.285</v>
      </c>
      <c r="V6" s="0" t="n">
        <v>116025.059</v>
      </c>
      <c r="W6" s="0" t="n">
        <v>334.486</v>
      </c>
      <c r="X6" s="0" t="n">
        <v>732.125</v>
      </c>
      <c r="Y6" s="0" t="n">
        <v>85.727</v>
      </c>
      <c r="Z6" s="0" t="n">
        <v>831.786</v>
      </c>
      <c r="AA6" s="0" t="n">
        <f aca="false">H6*x_c_F+I6*x_c_CC+J6*x_c_DC+K6*x_c_HCC+L6*x_c_PLT+M6*x_c_SVRn+N6*x_c_SVRcc+O6*x_c_LT+P6*x_c_LT1</f>
        <v>305088831.897798</v>
      </c>
      <c r="AB6" s="0" t="n">
        <f aca="false">C6*x_c_DAA</f>
        <v>0</v>
      </c>
      <c r="AC6" s="0" t="n">
        <f aca="false">C6*x_c_MON</f>
        <v>0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55246348.3011175</v>
      </c>
      <c r="AI6" s="0" t="n">
        <f aca="false">x_AGRI*x_EMP*x_WLOSS*(x_PEN_K74*Q6+x_PEN_C22*R6)</f>
        <v>2210255.05853786</v>
      </c>
      <c r="AJ6" s="0" t="n">
        <f aca="false">x_EMP*x_WAGE*(x_WLOSS*(Q6+R6)+S6)+U6*x_ABS_D*x_WAGE/365</f>
        <v>367479319.724954</v>
      </c>
      <c r="AK6" s="0" t="n">
        <f aca="false">AJ6*x_R_FUS</f>
        <v>116270456.760975</v>
      </c>
      <c r="AL6" s="0" t="n">
        <f aca="false">AJ6*x_R_NFZ</f>
        <v>28538811.4491597</v>
      </c>
      <c r="AM6" s="0" t="n">
        <f aca="false">AJ6*x_R_PIT</f>
        <v>24431558.9770614</v>
      </c>
      <c r="AN6" s="0" t="n">
        <f aca="false">AJ6*x_R_FP</f>
        <v>9370722.65298633</v>
      </c>
      <c r="AO6" s="0" t="n">
        <f aca="false">AA6+AB6+AC6+AD6+AF6</f>
        <v>305088831.897798</v>
      </c>
      <c r="AP6" s="0" t="n">
        <f aca="false">AO6+AE6+AG6+AH6+AI6+AK6+AL6+AM6+AN6</f>
        <v>541156985.097636</v>
      </c>
      <c r="AQ6" s="0" t="n">
        <f aca="false">AO6+AE6+AG6+AJ6</f>
        <v>672568151.622752</v>
      </c>
      <c r="AR6" s="0" t="n">
        <f aca="false">AB6+AC6+AD6+AF6</f>
        <v>0</v>
      </c>
      <c r="AS6" s="0" t="n">
        <f aca="false">AR6+AE6+AG6</f>
        <v>0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19156.713</v>
      </c>
      <c r="I7" s="0" t="n">
        <v>2319.775</v>
      </c>
      <c r="J7" s="0" t="n">
        <v>1669.924</v>
      </c>
      <c r="K7" s="0" t="n">
        <v>2331.463</v>
      </c>
      <c r="L7" s="0" t="n">
        <v>1436.429</v>
      </c>
      <c r="M7" s="0" t="n">
        <v>0</v>
      </c>
      <c r="N7" s="0" t="n">
        <v>0</v>
      </c>
      <c r="O7" s="0" t="n">
        <v>88.408</v>
      </c>
      <c r="P7" s="0" t="n">
        <v>87.068</v>
      </c>
      <c r="Q7" s="0" t="n">
        <v>2243.248</v>
      </c>
      <c r="R7" s="0" t="n">
        <v>1648.665</v>
      </c>
      <c r="S7" s="0" t="n">
        <v>2512.794</v>
      </c>
      <c r="T7" s="0" t="n">
        <v>21476.488</v>
      </c>
      <c r="U7" s="0" t="n">
        <v>13174.974</v>
      </c>
      <c r="V7" s="0" t="n">
        <v>117040.229</v>
      </c>
      <c r="W7" s="0" t="n">
        <v>360.524</v>
      </c>
      <c r="X7" s="0" t="n">
        <v>782.389</v>
      </c>
      <c r="Y7" s="0" t="n">
        <v>88.408</v>
      </c>
      <c r="Z7" s="0" t="n">
        <v>863.008</v>
      </c>
      <c r="AA7" s="0" t="n">
        <f aca="false">H7*x_c_F+I7*x_c_CC+J7*x_c_DC+K7*x_c_HCC+L7*x_c_PLT+M7*x_c_SVRn+N7*x_c_SVRcc+O7*x_c_LT+P7*x_c_LT1</f>
        <v>326148345.564543</v>
      </c>
      <c r="AB7" s="0" t="n">
        <f aca="false">C7*x_c_DAA</f>
        <v>0</v>
      </c>
      <c r="AC7" s="0" t="n">
        <f aca="false">C7*x_c_MON</f>
        <v>0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61931582.9279424</v>
      </c>
      <c r="AI7" s="0" t="n">
        <f aca="false">x_AGRI*x_EMP*x_WLOSS*(x_PEN_K74*Q7+x_PEN_C22*R7)</f>
        <v>2303213.32189432</v>
      </c>
      <c r="AJ7" s="0" t="n">
        <f aca="false">x_EMP*x_WAGE*(x_WLOSS*(Q7+R7)+S7)+U7*x_ABS_D*x_WAGE/365</f>
        <v>432194338.450279</v>
      </c>
      <c r="AK7" s="0" t="n">
        <f aca="false">AJ7*x_R_FUS</f>
        <v>136746288.685668</v>
      </c>
      <c r="AL7" s="0" t="n">
        <f aca="false">AJ7*x_R_NFZ</f>
        <v>33564644.5183872</v>
      </c>
      <c r="AM7" s="0" t="n">
        <f aca="false">AJ7*x_R_PIT</f>
        <v>28734083.5323828</v>
      </c>
      <c r="AN7" s="0" t="n">
        <f aca="false">AJ7*x_R_FP</f>
        <v>11020955.6304821</v>
      </c>
      <c r="AO7" s="0" t="n">
        <f aca="false">AA7+AB7+AC7+AD7+AF7</f>
        <v>326148345.564543</v>
      </c>
      <c r="AP7" s="0" t="n">
        <f aca="false">AO7+AE7+AG7+AH7+AI7+AK7+AL7+AM7+AN7</f>
        <v>600449114.1813</v>
      </c>
      <c r="AQ7" s="0" t="n">
        <f aca="false">AO7+AE7+AG7+AJ7</f>
        <v>758342684.014823</v>
      </c>
      <c r="AR7" s="0" t="n">
        <f aca="false">AB7+AC7+AD7+AF7</f>
        <v>0</v>
      </c>
      <c r="AS7" s="0" t="n">
        <f aca="false">AR7+AE7+AG7</f>
        <v>0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22338.637</v>
      </c>
      <c r="I8" s="0" t="n">
        <v>2890.353</v>
      </c>
      <c r="J8" s="0" t="n">
        <v>1737.848</v>
      </c>
      <c r="K8" s="0" t="n">
        <v>2460.512</v>
      </c>
      <c r="L8" s="0" t="n">
        <v>1421.259</v>
      </c>
      <c r="M8" s="0" t="n">
        <v>0</v>
      </c>
      <c r="N8" s="0" t="n">
        <v>0</v>
      </c>
      <c r="O8" s="0" t="n">
        <v>91.969</v>
      </c>
      <c r="P8" s="0" t="n">
        <v>90.189</v>
      </c>
      <c r="Q8" s="0" t="n">
        <v>2310.309</v>
      </c>
      <c r="R8" s="0" t="n">
        <v>1764.221</v>
      </c>
      <c r="S8" s="0" t="n">
        <v>3130.466</v>
      </c>
      <c r="T8" s="0" t="n">
        <v>25228.989</v>
      </c>
      <c r="U8" s="0" t="n">
        <v>15802.065</v>
      </c>
      <c r="V8" s="0" t="n">
        <v>118061.347</v>
      </c>
      <c r="W8" s="0" t="n">
        <v>387.069</v>
      </c>
      <c r="X8" s="0" t="n">
        <v>832.291</v>
      </c>
      <c r="Y8" s="0" t="n">
        <v>91.969</v>
      </c>
      <c r="Z8" s="0" t="n">
        <v>901.396</v>
      </c>
      <c r="AA8" s="0" t="n">
        <f aca="false">H8*x_c_F+I8*x_c_CC+J8*x_c_DC+K8*x_c_HCC+L8*x_c_PLT+M8*x_c_SVRn+N8*x_c_SVRcc+O8*x_c_LT+P8*x_c_LT1</f>
        <v>348886120.71065</v>
      </c>
      <c r="AB8" s="0" t="n">
        <f aca="false">C8*x_c_DAA</f>
        <v>0</v>
      </c>
      <c r="AC8" s="0" t="n">
        <f aca="false">C8*x_c_MON</f>
        <v>0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69011713.1544283</v>
      </c>
      <c r="AI8" s="0" t="n">
        <f aca="false">x_AGRI*x_EMP*x_WLOSS*(x_PEN_K74*Q8+x_PEN_C22*R8)</f>
        <v>2414201.29671435</v>
      </c>
      <c r="AJ8" s="0" t="n">
        <f aca="false">x_EMP*x_WAGE*(x_WLOSS*(Q8+R8)+S8)+U8*x_ABS_D*x_WAGE/365</f>
        <v>500984994.320764</v>
      </c>
      <c r="AK8" s="0" t="n">
        <f aca="false">AJ8*x_R_FUS</f>
        <v>158511652.20309</v>
      </c>
      <c r="AL8" s="0" t="n">
        <f aca="false">AJ8*x_R_NFZ</f>
        <v>38906995.6439448</v>
      </c>
      <c r="AM8" s="0" t="n">
        <f aca="false">AJ8*x_R_PIT</f>
        <v>33307573.4561924</v>
      </c>
      <c r="AN8" s="0" t="n">
        <f aca="false">AJ8*x_R_FP</f>
        <v>12775117.3551795</v>
      </c>
      <c r="AO8" s="0" t="n">
        <f aca="false">AA8+AB8+AC8+AD8+AF8</f>
        <v>348886120.71065</v>
      </c>
      <c r="AP8" s="0" t="n">
        <f aca="false">AO8+AE8+AG8+AH8+AI8+AK8+AL8+AM8+AN8</f>
        <v>663813373.820199</v>
      </c>
      <c r="AQ8" s="0" t="n">
        <f aca="false">AO8+AE8+AG8+AJ8</f>
        <v>849871115.031414</v>
      </c>
      <c r="AR8" s="0" t="n">
        <f aca="false">AB8+AC8+AD8+AF8</f>
        <v>0</v>
      </c>
      <c r="AS8" s="0" t="n">
        <f aca="false">AR8+AE8+AG8</f>
        <v>0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25436.413</v>
      </c>
      <c r="I9" s="0" t="n">
        <v>3499.942</v>
      </c>
      <c r="J9" s="0" t="n">
        <v>1818.809</v>
      </c>
      <c r="K9" s="0" t="n">
        <v>2600.139</v>
      </c>
      <c r="L9" s="0" t="n">
        <v>1408.306</v>
      </c>
      <c r="M9" s="0" t="n">
        <v>0</v>
      </c>
      <c r="N9" s="0" t="n">
        <v>0</v>
      </c>
      <c r="O9" s="0" t="n">
        <v>96.237</v>
      </c>
      <c r="P9" s="0" t="n">
        <v>94.103</v>
      </c>
      <c r="Q9" s="0" t="n">
        <v>2391.59</v>
      </c>
      <c r="R9" s="0" t="n">
        <v>1890.767</v>
      </c>
      <c r="S9" s="0" t="n">
        <v>3782.42</v>
      </c>
      <c r="T9" s="0" t="n">
        <v>28936.355</v>
      </c>
      <c r="U9" s="0" t="n">
        <v>18480.664</v>
      </c>
      <c r="V9" s="0" t="n">
        <v>119077.525</v>
      </c>
      <c r="W9" s="0" t="n">
        <v>413.555</v>
      </c>
      <c r="X9" s="0" t="n">
        <v>881.076</v>
      </c>
      <c r="Y9" s="0" t="n">
        <v>96.237</v>
      </c>
      <c r="Z9" s="0" t="n">
        <v>944.985</v>
      </c>
      <c r="AA9" s="0" t="n">
        <f aca="false">H9*x_c_F+I9*x_c_CC+J9*x_c_DC+K9*x_c_HCC+L9*x_c_PLT+M9*x_c_SVRn+N9*x_c_SVRcc+O9*x_c_LT+P9*x_c_LT1</f>
        <v>372837260.39841</v>
      </c>
      <c r="AB9" s="0" t="n">
        <f aca="false">C9*x_c_DAA</f>
        <v>0</v>
      </c>
      <c r="AC9" s="0" t="n">
        <f aca="false">C9*x_c_MON</f>
        <v>0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76423808.8525923</v>
      </c>
      <c r="AI9" s="0" t="n">
        <f aca="false">x_AGRI*x_EMP*x_WLOSS*(x_PEN_K74*Q9+x_PEN_C22*R9)</f>
        <v>2540132.1369097</v>
      </c>
      <c r="AJ9" s="0" t="n">
        <f aca="false">x_EMP*x_WAGE*(x_WLOSS*(Q9+R9)+S9)+U9*x_ABS_D*x_WAGE/365</f>
        <v>574010962.991908</v>
      </c>
      <c r="AK9" s="0" t="n">
        <f aca="false">AJ9*x_R_FUS</f>
        <v>181617068.69064</v>
      </c>
      <c r="AL9" s="0" t="n">
        <f aca="false">AJ9*x_R_NFZ</f>
        <v>44578265.3969146</v>
      </c>
      <c r="AM9" s="0" t="n">
        <f aca="false">AJ9*x_R_PIT</f>
        <v>38162644.6525293</v>
      </c>
      <c r="AN9" s="0" t="n">
        <f aca="false">AJ9*x_R_FP</f>
        <v>14637279.5562937</v>
      </c>
      <c r="AO9" s="0" t="n">
        <f aca="false">AA9+AB9+AC9+AD9+AF9</f>
        <v>372837260.39841</v>
      </c>
      <c r="AP9" s="0" t="n">
        <f aca="false">AO9+AE9+AG9+AH9+AI9+AK9+AL9+AM9+AN9</f>
        <v>730796459.68429</v>
      </c>
      <c r="AQ9" s="0" t="n">
        <f aca="false">AO9+AE9+AG9+AJ9</f>
        <v>946848223.390318</v>
      </c>
      <c r="AR9" s="0" t="n">
        <f aca="false">AB9+AC9+AD9+AF9</f>
        <v>0</v>
      </c>
      <c r="AS9" s="0" t="n">
        <f aca="false">AR9+AE9+AG9</f>
        <v>0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28454.456</v>
      </c>
      <c r="I10" s="0" t="n">
        <v>4142.325</v>
      </c>
      <c r="J10" s="0" t="n">
        <v>1909.985</v>
      </c>
      <c r="K10" s="0" t="n">
        <v>2745.634</v>
      </c>
      <c r="L10" s="0" t="n">
        <v>1398.042</v>
      </c>
      <c r="M10" s="0" t="n">
        <v>0</v>
      </c>
      <c r="N10" s="0" t="n">
        <v>0</v>
      </c>
      <c r="O10" s="0" t="n">
        <v>101.045</v>
      </c>
      <c r="P10" s="0" t="n">
        <v>98.641</v>
      </c>
      <c r="Q10" s="0" t="n">
        <v>2485.662</v>
      </c>
      <c r="R10" s="0" t="n">
        <v>2025.165</v>
      </c>
      <c r="S10" s="0" t="n">
        <v>4472.184</v>
      </c>
      <c r="T10" s="0" t="n">
        <v>32596.781</v>
      </c>
      <c r="U10" s="0" t="n">
        <v>21203.209</v>
      </c>
      <c r="V10" s="0" t="n">
        <v>120079.685</v>
      </c>
      <c r="W10" s="0" t="n">
        <v>439.524</v>
      </c>
      <c r="X10" s="0" t="n">
        <v>928.142</v>
      </c>
      <c r="Y10" s="0" t="n">
        <v>101.045</v>
      </c>
      <c r="Z10" s="0" t="n">
        <v>992.09</v>
      </c>
      <c r="AA10" s="0" t="n">
        <f aca="false">H10*x_c_F+I10*x_c_CC+J10*x_c_DC+K10*x_c_HCC+L10*x_c_PLT+M10*x_c_SVRn+N10*x_c_SVRcc+O10*x_c_LT+P10*x_c_LT1</f>
        <v>397583741.758461</v>
      </c>
      <c r="AB10" s="0" t="n">
        <f aca="false">C10*x_c_DAA</f>
        <v>0</v>
      </c>
      <c r="AC10" s="0" t="n">
        <f aca="false">C10*x_c_MON</f>
        <v>0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84110043.871913</v>
      </c>
      <c r="AI10" s="0" t="n">
        <f aca="false">x_AGRI*x_EMP*x_WLOSS*(x_PEN_K74*Q10+x_PEN_C22*R10)</f>
        <v>2678211.24407206</v>
      </c>
      <c r="AJ10" s="0" t="n">
        <f aca="false">x_EMP*x_WAGE*(x_WLOSS*(Q10+R10)+S10)+U10*x_ABS_D*x_WAGE/365</f>
        <v>651340485.552976</v>
      </c>
      <c r="AK10" s="0" t="n">
        <f aca="false">AJ10*x_R_FUS</f>
        <v>206084129.628961</v>
      </c>
      <c r="AL10" s="0" t="n">
        <f aca="false">AJ10*x_R_NFZ</f>
        <v>50583753.4485296</v>
      </c>
      <c r="AM10" s="0" t="n">
        <f aca="false">AJ10*x_R_PIT</f>
        <v>43303834.0738355</v>
      </c>
      <c r="AN10" s="0" t="n">
        <f aca="false">AJ10*x_R_FP</f>
        <v>16609182.3816009</v>
      </c>
      <c r="AO10" s="0" t="n">
        <f aca="false">AA10+AB10+AC10+AD10+AF10</f>
        <v>397583741.758461</v>
      </c>
      <c r="AP10" s="0" t="n">
        <f aca="false">AO10+AE10+AG10+AH10+AI10+AK10+AL10+AM10+AN10</f>
        <v>800952896.407373</v>
      </c>
      <c r="AQ10" s="0" t="n">
        <f aca="false">AO10+AE10+AG10+AJ10</f>
        <v>1048924227.31144</v>
      </c>
      <c r="AR10" s="0" t="n">
        <f aca="false">AB10+AC10+AD10+AF10</f>
        <v>0</v>
      </c>
      <c r="AS10" s="0" t="n">
        <f aca="false">AR10+AE10+AG10</f>
        <v>0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31397.109</v>
      </c>
      <c r="I11" s="0" t="n">
        <v>4810.628</v>
      </c>
      <c r="J11" s="0" t="n">
        <v>2008.591</v>
      </c>
      <c r="K11" s="0" t="n">
        <v>2893.049</v>
      </c>
      <c r="L11" s="0" t="n">
        <v>1390.758</v>
      </c>
      <c r="M11" s="0" t="n">
        <v>0</v>
      </c>
      <c r="N11" s="0" t="n">
        <v>0</v>
      </c>
      <c r="O11" s="0" t="n">
        <v>106.235</v>
      </c>
      <c r="P11" s="0" t="n">
        <v>103.64</v>
      </c>
      <c r="Q11" s="0" t="n">
        <v>2590.991</v>
      </c>
      <c r="R11" s="0" t="n">
        <v>2164.793</v>
      </c>
      <c r="S11" s="0" t="n">
        <v>5202.082</v>
      </c>
      <c r="T11" s="0" t="n">
        <v>36207.737</v>
      </c>
      <c r="U11" s="0" t="n">
        <v>23962.378</v>
      </c>
      <c r="V11" s="0" t="n">
        <v>121060.144</v>
      </c>
      <c r="W11" s="0" t="n">
        <v>464.588</v>
      </c>
      <c r="X11" s="0" t="n">
        <v>972.976</v>
      </c>
      <c r="Y11" s="0" t="n">
        <v>106.235</v>
      </c>
      <c r="Z11" s="0" t="n">
        <v>1041.199</v>
      </c>
      <c r="AA11" s="0" t="n">
        <f aca="false">H11*x_c_F+I11*x_c_CC+J11*x_c_DC+K11*x_c_HCC+L11*x_c_PLT+M11*x_c_SVRn+N11*x_c_SVRcc+O11*x_c_LT+P11*x_c_LT1</f>
        <v>422749970.706625</v>
      </c>
      <c r="AB11" s="0" t="n">
        <f aca="false">C11*x_c_DAA</f>
        <v>0</v>
      </c>
      <c r="AC11" s="0" t="n">
        <f aca="false">C11*x_c_MON</f>
        <v>0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92017160.176988</v>
      </c>
      <c r="AI11" s="0" t="n">
        <f aca="false">x_AGRI*x_EMP*x_WLOSS*(x_PEN_K74*Q11+x_PEN_C22*R11)</f>
        <v>2825913.34986833</v>
      </c>
      <c r="AJ11" s="0" t="n">
        <f aca="false">x_EMP*x_WAGE*(x_WLOSS*(Q11+R11)+S11)+U11*x_ABS_D*x_WAGE/365</f>
        <v>732958784.151049</v>
      </c>
      <c r="AK11" s="0" t="n">
        <f aca="false">AJ11*x_R_FUS</f>
        <v>231908159.305392</v>
      </c>
      <c r="AL11" s="0" t="n">
        <f aca="false">AJ11*x_R_NFZ</f>
        <v>56922312.1359546</v>
      </c>
      <c r="AM11" s="0" t="n">
        <f aca="false">AJ11*x_R_PIT</f>
        <v>48730159.2267685</v>
      </c>
      <c r="AN11" s="0" t="n">
        <f aca="false">AJ11*x_R_FP</f>
        <v>18690448.9958517</v>
      </c>
      <c r="AO11" s="0" t="n">
        <f aca="false">AA11+AB11+AC11+AD11+AF11</f>
        <v>422749970.706625</v>
      </c>
      <c r="AP11" s="0" t="n">
        <f aca="false">AO11+AE11+AG11+AH11+AI11+AK11+AL11+AM11+AN11</f>
        <v>873844123.897448</v>
      </c>
      <c r="AQ11" s="0" t="n">
        <f aca="false">AO11+AE11+AG11+AJ11</f>
        <v>1155708754.85767</v>
      </c>
      <c r="AR11" s="0" t="n">
        <f aca="false">AB11+AC11+AD11+AF11</f>
        <v>0</v>
      </c>
      <c r="AS11" s="0" t="n">
        <f aca="false">AR11+AE11+AG11</f>
        <v>0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34268.728</v>
      </c>
      <c r="I12" s="0" t="n">
        <v>5497.723</v>
      </c>
      <c r="J12" s="0" t="n">
        <v>2111.973</v>
      </c>
      <c r="K12" s="0" t="n">
        <v>3039.111</v>
      </c>
      <c r="L12" s="0" t="n">
        <v>1386.575</v>
      </c>
      <c r="M12" s="0" t="n">
        <v>0</v>
      </c>
      <c r="N12" s="0" t="n">
        <v>0</v>
      </c>
      <c r="O12" s="0" t="n">
        <v>111.66</v>
      </c>
      <c r="P12" s="0" t="n">
        <v>108.947</v>
      </c>
      <c r="Q12" s="0" t="n">
        <v>2705.995</v>
      </c>
      <c r="R12" s="0" t="n">
        <v>2307.463</v>
      </c>
      <c r="S12" s="0" t="n">
        <v>5973.356</v>
      </c>
      <c r="T12" s="0" t="n">
        <v>39766.452</v>
      </c>
      <c r="U12" s="0" t="n">
        <v>26751.083</v>
      </c>
      <c r="V12" s="0" t="n">
        <v>122012.716</v>
      </c>
      <c r="W12" s="0" t="n">
        <v>488.45</v>
      </c>
      <c r="X12" s="0" t="n">
        <v>1015.203</v>
      </c>
      <c r="Y12" s="0" t="n">
        <v>111.66</v>
      </c>
      <c r="Z12" s="0" t="n">
        <v>1091.051</v>
      </c>
      <c r="AA12" s="0" t="n">
        <f aca="false">H12*x_c_F+I12*x_c_CC+J12*x_c_DC+K12*x_c_HCC+L12*x_c_PLT+M12*x_c_SVRn+N12*x_c_SVRcc+O12*x_c_LT+P12*x_c_LT1</f>
        <v>448002669.007748</v>
      </c>
      <c r="AB12" s="0" t="n">
        <f aca="false">C12*x_c_DAA</f>
        <v>0</v>
      </c>
      <c r="AC12" s="0" t="n">
        <f aca="false">C12*x_c_MON</f>
        <v>0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100096149.198643</v>
      </c>
      <c r="AI12" s="0" t="n">
        <f aca="false">x_AGRI*x_EMP*x_WLOSS*(x_PEN_K74*Q12+x_PEN_C22*R12)</f>
        <v>2980962.26929953</v>
      </c>
      <c r="AJ12" s="0" t="n">
        <f aca="false">x_EMP*x_WAGE*(x_WLOSS*(Q12+R12)+S12)+U12*x_ABS_D*x_WAGE/365</f>
        <v>818777294.703785</v>
      </c>
      <c r="AK12" s="0" t="n">
        <f aca="false">AJ12*x_R_FUS</f>
        <v>259061136.044278</v>
      </c>
      <c r="AL12" s="0" t="n">
        <f aca="false">AJ12*x_R_NFZ</f>
        <v>63587063.4839907</v>
      </c>
      <c r="AM12" s="0" t="n">
        <f aca="false">AJ12*x_R_PIT</f>
        <v>54435732.0014815</v>
      </c>
      <c r="AN12" s="0" t="n">
        <f aca="false">AJ12*x_R_FP</f>
        <v>20878821.0149465</v>
      </c>
      <c r="AO12" s="0" t="n">
        <f aca="false">AA12+AB12+AC12+AD12+AF12</f>
        <v>448002669.007748</v>
      </c>
      <c r="AP12" s="0" t="n">
        <f aca="false">AO12+AE12+AG12+AH12+AI12+AK12+AL12+AM12+AN12</f>
        <v>949042533.020387</v>
      </c>
      <c r="AQ12" s="0" t="n">
        <f aca="false">AO12+AE12+AG12+AJ12</f>
        <v>1266779963.71153</v>
      </c>
      <c r="AR12" s="0" t="n">
        <f aca="false">AB12+AC12+AD12+AF12</f>
        <v>0</v>
      </c>
      <c r="AS12" s="0" t="n">
        <f aca="false">AR12+AE12+AG12</f>
        <v>0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37073.253</v>
      </c>
      <c r="I13" s="0" t="n">
        <v>6196.361</v>
      </c>
      <c r="J13" s="0" t="n">
        <v>2217.622</v>
      </c>
      <c r="K13" s="0" t="n">
        <v>3181.085</v>
      </c>
      <c r="L13" s="0" t="n">
        <v>1385.442</v>
      </c>
      <c r="M13" s="0" t="n">
        <v>0</v>
      </c>
      <c r="N13" s="0" t="n">
        <v>0</v>
      </c>
      <c r="O13" s="0" t="n">
        <v>117.178</v>
      </c>
      <c r="P13" s="0" t="n">
        <v>114.419</v>
      </c>
      <c r="Q13" s="0" t="n">
        <v>2829.089</v>
      </c>
      <c r="R13" s="0" t="n">
        <v>2451.359</v>
      </c>
      <c r="S13" s="0" t="n">
        <v>6786.261</v>
      </c>
      <c r="T13" s="0" t="n">
        <v>43269.614</v>
      </c>
      <c r="U13" s="0" t="n">
        <v>29562.49</v>
      </c>
      <c r="V13" s="0" t="n">
        <v>122931.632</v>
      </c>
      <c r="W13" s="0" t="n">
        <v>510.849</v>
      </c>
      <c r="X13" s="0" t="n">
        <v>1054.481</v>
      </c>
      <c r="Y13" s="0" t="n">
        <v>117.178</v>
      </c>
      <c r="Z13" s="0" t="n">
        <v>1140.482</v>
      </c>
      <c r="AA13" s="0" t="n">
        <f aca="false">H13*x_c_F+I13*x_c_CC+J13*x_c_DC+K13*x_c_HCC+L13*x_c_PLT+M13*x_c_SVRn+N13*x_c_SVRcc+O13*x_c_LT+P13*x_c_LT1</f>
        <v>473039842.465362</v>
      </c>
      <c r="AB13" s="0" t="n">
        <f aca="false">C13*x_c_DAA</f>
        <v>0</v>
      </c>
      <c r="AC13" s="0" t="n">
        <f aca="false">C13*x_c_MON</f>
        <v>0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108302077.450828</v>
      </c>
      <c r="AI13" s="0" t="n">
        <f aca="false">x_AGRI*x_EMP*x_WLOSS*(x_PEN_K74*Q13+x_PEN_C22*R13)</f>
        <v>3141316.6565151</v>
      </c>
      <c r="AJ13" s="0" t="n">
        <f aca="false">x_EMP*x_WAGE*(x_WLOSS*(Q13+R13)+S13)+U13*x_ABS_D*x_WAGE/365</f>
        <v>908641042.412061</v>
      </c>
      <c r="AK13" s="0" t="n">
        <f aca="false">AJ13*x_R_FUS</f>
        <v>287494025.819176</v>
      </c>
      <c r="AL13" s="0" t="n">
        <f aca="false">AJ13*x_R_NFZ</f>
        <v>70565971.9947631</v>
      </c>
      <c r="AM13" s="0" t="n">
        <f aca="false">AJ13*x_R_PIT</f>
        <v>60410249.0264879</v>
      </c>
      <c r="AN13" s="0" t="n">
        <f aca="false">AJ13*x_R_FP</f>
        <v>23170346.5815076</v>
      </c>
      <c r="AO13" s="0" t="n">
        <f aca="false">AA13+AB13+AC13+AD13+AF13</f>
        <v>473039842.465362</v>
      </c>
      <c r="AP13" s="0" t="n">
        <f aca="false">AO13+AE13+AG13+AH13+AI13+AK13+AL13+AM13+AN13</f>
        <v>1026123829.99464</v>
      </c>
      <c r="AQ13" s="0" t="n">
        <f aca="false">AO13+AE13+AG13+AJ13</f>
        <v>1381680884.87742</v>
      </c>
      <c r="AR13" s="0" t="n">
        <f aca="false">AB13+AC13+AD13+AF13</f>
        <v>0</v>
      </c>
      <c r="AS13" s="0" t="n">
        <f aca="false">AR13+AE13+AG13</f>
        <v>0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39813.933</v>
      </c>
      <c r="I14" s="0" t="n">
        <v>6899.317</v>
      </c>
      <c r="J14" s="0" t="n">
        <v>2323.191</v>
      </c>
      <c r="K14" s="0" t="n">
        <v>3316.676</v>
      </c>
      <c r="L14" s="0" t="n">
        <v>1387.143</v>
      </c>
      <c r="M14" s="0" t="n">
        <v>0</v>
      </c>
      <c r="N14" s="0" t="n">
        <v>0</v>
      </c>
      <c r="O14" s="0" t="n">
        <v>122.667</v>
      </c>
      <c r="P14" s="0" t="n">
        <v>119.923</v>
      </c>
      <c r="Q14" s="0" t="n">
        <v>2958.688</v>
      </c>
      <c r="R14" s="0" t="n">
        <v>2594.959</v>
      </c>
      <c r="S14" s="0" t="n">
        <v>7640.102</v>
      </c>
      <c r="T14" s="0" t="n">
        <v>46713.25</v>
      </c>
      <c r="U14" s="0" t="n">
        <v>32389.784</v>
      </c>
      <c r="V14" s="0" t="n">
        <v>123810.528</v>
      </c>
      <c r="W14" s="0" t="n">
        <v>531.588</v>
      </c>
      <c r="X14" s="0" t="n">
        <v>1090.565</v>
      </c>
      <c r="Y14" s="0" t="n">
        <v>122.667</v>
      </c>
      <c r="Z14" s="0" t="n">
        <v>1188.532</v>
      </c>
      <c r="AA14" s="0" t="n">
        <f aca="false">H14*x_c_F+I14*x_c_CC+J14*x_c_DC+K14*x_c_HCC+L14*x_c_PLT+M14*x_c_SVRn+N14*x_c_SVRcc+O14*x_c_LT+P14*x_c_LT1</f>
        <v>497590261.760386</v>
      </c>
      <c r="AB14" s="0" t="n">
        <f aca="false">C14*x_c_DAA</f>
        <v>0</v>
      </c>
      <c r="AC14" s="0" t="n">
        <f aca="false">C14*x_c_MON</f>
        <v>0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116592878.50554</v>
      </c>
      <c r="AI14" s="0" t="n">
        <f aca="false">x_AGRI*x_EMP*x_WLOSS*(x_PEN_K74*Q14+x_PEN_C22*R14)</f>
        <v>3305122.09079203</v>
      </c>
      <c r="AJ14" s="0" t="n">
        <f aca="false">x_EMP*x_WAGE*(x_WLOSS*(Q14+R14)+S14)+U14*x_ABS_D*x_WAGE/365</f>
        <v>1002327651.78939</v>
      </c>
      <c r="AK14" s="0" t="n">
        <f aca="false">AJ14*x_R_FUS</f>
        <v>317136469.026162</v>
      </c>
      <c r="AL14" s="0" t="n">
        <f aca="false">AJ14*x_R_NFZ</f>
        <v>77841767.7656157</v>
      </c>
      <c r="AM14" s="0" t="n">
        <f aca="false">AJ14*x_R_PIT</f>
        <v>66638925.8512852</v>
      </c>
      <c r="AN14" s="0" t="n">
        <f aca="false">AJ14*x_R_FP</f>
        <v>25559355.1206294</v>
      </c>
      <c r="AO14" s="0" t="n">
        <f aca="false">AA14+AB14+AC14+AD14+AF14</f>
        <v>497590261.760386</v>
      </c>
      <c r="AP14" s="0" t="n">
        <f aca="false">AO14+AE14+AG14+AH14+AI14+AK14+AL14+AM14+AN14</f>
        <v>1104664780.12041</v>
      </c>
      <c r="AQ14" s="0" t="n">
        <f aca="false">AO14+AE14+AG14+AJ14</f>
        <v>1499917913.54977</v>
      </c>
      <c r="AR14" s="0" t="n">
        <f aca="false">AB14+AC14+AD14+AF14</f>
        <v>0</v>
      </c>
      <c r="AS14" s="0" t="n">
        <f aca="false">AR14+AE14+AG14</f>
        <v>0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42493.976</v>
      </c>
      <c r="I15" s="0" t="n">
        <v>7599.681</v>
      </c>
      <c r="J15" s="0" t="n">
        <v>2426.565</v>
      </c>
      <c r="K15" s="0" t="n">
        <v>3444.032</v>
      </c>
      <c r="L15" s="0" t="n">
        <v>1391.346</v>
      </c>
      <c r="M15" s="0" t="n">
        <v>0</v>
      </c>
      <c r="N15" s="0" t="n">
        <v>0</v>
      </c>
      <c r="O15" s="0" t="n">
        <v>128.011</v>
      </c>
      <c r="P15" s="0" t="n">
        <v>125.339</v>
      </c>
      <c r="Q15" s="0" t="n">
        <v>1994.786</v>
      </c>
      <c r="R15" s="0" t="n">
        <v>1778.76</v>
      </c>
      <c r="S15" s="0" t="n">
        <v>5393.601</v>
      </c>
      <c r="T15" s="0" t="n">
        <v>50093.656</v>
      </c>
      <c r="U15" s="0" t="n">
        <v>28596.378</v>
      </c>
      <c r="V15" s="0" t="n">
        <v>124645.1</v>
      </c>
      <c r="W15" s="0" t="n">
        <v>550.514</v>
      </c>
      <c r="X15" s="0" t="n">
        <v>1123.262</v>
      </c>
      <c r="Y15" s="0" t="n">
        <v>128.011</v>
      </c>
      <c r="Z15" s="0" t="n">
        <v>1234.351</v>
      </c>
      <c r="AA15" s="0" t="n">
        <f aca="false">H15*x_c_F+I15*x_c_CC+J15*x_c_DC+K15*x_c_HCC+L15*x_c_PLT+M15*x_c_SVRn+N15*x_c_SVRcc+O15*x_c_LT+P15*x_c_LT1</f>
        <v>521415316.457627</v>
      </c>
      <c r="AB15" s="0" t="n">
        <f aca="false">C15*x_c_DAA</f>
        <v>0</v>
      </c>
      <c r="AC15" s="0" t="n">
        <f aca="false">C15*x_c_MON</f>
        <v>0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92784581.7907614</v>
      </c>
      <c r="AI15" s="0" t="n">
        <f aca="false">x_AGRI*x_EMP*x_WLOSS*(x_PEN_K74*Q15+x_PEN_C22*R15)</f>
        <v>2246924.80226733</v>
      </c>
      <c r="AJ15" s="0" t="n">
        <f aca="false">x_EMP*x_WAGE*(x_WLOSS*(Q15+R15)+S15)+U15*x_ABS_D*x_WAGE/365</f>
        <v>717659881.542568</v>
      </c>
      <c r="AK15" s="0" t="n">
        <f aca="false">AJ15*x_R_FUS</f>
        <v>227067586.520068</v>
      </c>
      <c r="AL15" s="0" t="n">
        <f aca="false">AJ15*x_R_NFZ</f>
        <v>55734184.0604773</v>
      </c>
      <c r="AM15" s="0" t="n">
        <f aca="false">AJ15*x_R_PIT</f>
        <v>47713024.3261075</v>
      </c>
      <c r="AN15" s="0" t="n">
        <f aca="false">AJ15*x_R_FP</f>
        <v>18300326.9793355</v>
      </c>
      <c r="AO15" s="0" t="n">
        <f aca="false">AA15+AB15+AC15+AD15+AF15</f>
        <v>521415316.457627</v>
      </c>
      <c r="AP15" s="0" t="n">
        <f aca="false">AO15+AE15+AG15+AH15+AI15+AK15+AL15+AM15+AN15</f>
        <v>965261944.936644</v>
      </c>
      <c r="AQ15" s="0" t="n">
        <f aca="false">AO15+AE15+AG15+AJ15</f>
        <v>1239075198.00019</v>
      </c>
      <c r="AR15" s="0" t="n">
        <f aca="false">AB15+AC15+AD15+AF15</f>
        <v>0</v>
      </c>
      <c r="AS15" s="0" t="n">
        <f aca="false">AR15+AE15+AG15</f>
        <v>0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45116.261</v>
      </c>
      <c r="I16" s="0" t="n">
        <v>8290.907</v>
      </c>
      <c r="J16" s="0" t="n">
        <v>2525.845</v>
      </c>
      <c r="K16" s="0" t="n">
        <v>3561.66</v>
      </c>
      <c r="L16" s="0" t="n">
        <v>1397.606</v>
      </c>
      <c r="M16" s="0" t="n">
        <v>0</v>
      </c>
      <c r="N16" s="0" t="n">
        <v>0</v>
      </c>
      <c r="O16" s="0" t="n">
        <v>133.113</v>
      </c>
      <c r="P16" s="0" t="n">
        <v>130.562</v>
      </c>
      <c r="Q16" s="0" t="n">
        <v>994.13</v>
      </c>
      <c r="R16" s="0" t="n">
        <v>924.707</v>
      </c>
      <c r="S16" s="0" t="n">
        <v>2871.245</v>
      </c>
      <c r="T16" s="0" t="n">
        <v>53407.168</v>
      </c>
      <c r="U16" s="0" t="n">
        <v>24645.067</v>
      </c>
      <c r="V16" s="0" t="n">
        <v>125431.736</v>
      </c>
      <c r="W16" s="0" t="n">
        <v>567.518</v>
      </c>
      <c r="X16" s="0" t="n">
        <v>1152.452</v>
      </c>
      <c r="Y16" s="0" t="n">
        <v>133.113</v>
      </c>
      <c r="Z16" s="0" t="n">
        <v>1277.243</v>
      </c>
      <c r="AA16" s="0" t="n">
        <f aca="false">H16*x_c_F+I16*x_c_CC+J16*x_c_DC+K16*x_c_HCC+L16*x_c_PLT+M16*x_c_SVRn+N16*x_c_SVRcc+O16*x_c_LT+P16*x_c_LT1</f>
        <v>544307503.948456</v>
      </c>
      <c r="AB16" s="0" t="n">
        <f aca="false">C16*x_c_DAA</f>
        <v>0</v>
      </c>
      <c r="AC16" s="0" t="n">
        <f aca="false">C16*x_c_MON</f>
        <v>0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67976446.6647858</v>
      </c>
      <c r="AI16" s="0" t="n">
        <f aca="false">x_AGRI*x_EMP*x_WLOSS*(x_PEN_K74*Q16+x_PEN_C22*R16)</f>
        <v>1144097.80287518</v>
      </c>
      <c r="AJ16" s="0" t="n">
        <f aca="false">x_EMP*x_WAGE*(x_WLOSS*(Q16+R16)+S16)+U16*x_ABS_D*x_WAGE/365</f>
        <v>405572480.449913</v>
      </c>
      <c r="AK16" s="0" t="n">
        <f aca="false">AJ16*x_R_FUS</f>
        <v>128323132.814352</v>
      </c>
      <c r="AL16" s="0" t="n">
        <f aca="false">AJ16*x_R_NFZ</f>
        <v>31497164.4042207</v>
      </c>
      <c r="AM16" s="0" t="n">
        <f aca="false">AJ16*x_R_PIT</f>
        <v>26964151.2970077</v>
      </c>
      <c r="AN16" s="0" t="n">
        <f aca="false">AJ16*x_R_FP</f>
        <v>10342098.2514728</v>
      </c>
      <c r="AO16" s="0" t="n">
        <f aca="false">AA16+AB16+AC16+AD16+AF16</f>
        <v>544307503.948456</v>
      </c>
      <c r="AP16" s="0" t="n">
        <f aca="false">AO16+AE16+AG16+AH16+AI16+AK16+AL16+AM16+AN16</f>
        <v>810554595.18317</v>
      </c>
      <c r="AQ16" s="0" t="n">
        <f aca="false">AO16+AE16+AG16+AJ16</f>
        <v>949879984.398368</v>
      </c>
      <c r="AR16" s="0" t="n">
        <f aca="false">AB16+AC16+AD16+AF16</f>
        <v>0</v>
      </c>
      <c r="AS16" s="0" t="n">
        <f aca="false">AR16+AE16+AG16</f>
        <v>0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47684.084</v>
      </c>
      <c r="I17" s="0" t="n">
        <v>8967.176</v>
      </c>
      <c r="J17" s="0" t="n">
        <v>2619.46</v>
      </c>
      <c r="K17" s="0" t="n">
        <v>3668.521</v>
      </c>
      <c r="L17" s="0" t="n">
        <v>1405.438</v>
      </c>
      <c r="M17" s="0" t="n">
        <v>0</v>
      </c>
      <c r="N17" s="0" t="n">
        <v>0</v>
      </c>
      <c r="O17" s="0" t="n">
        <v>137.894</v>
      </c>
      <c r="P17" s="0" t="n">
        <v>135.503</v>
      </c>
      <c r="Q17" s="0" t="n">
        <v>1055.521</v>
      </c>
      <c r="R17" s="0" t="n">
        <v>994.489</v>
      </c>
      <c r="S17" s="0" t="n">
        <v>3205.109</v>
      </c>
      <c r="T17" s="0" t="n">
        <v>56651.26</v>
      </c>
      <c r="U17" s="0" t="n">
        <v>27200.727</v>
      </c>
      <c r="V17" s="0" t="n">
        <v>126169.744</v>
      </c>
      <c r="W17" s="0" t="n">
        <v>582.564</v>
      </c>
      <c r="X17" s="0" t="n">
        <v>1178.133</v>
      </c>
      <c r="Y17" s="0" t="n">
        <v>137.894</v>
      </c>
      <c r="Z17" s="0" t="n">
        <v>1316.7</v>
      </c>
      <c r="AA17" s="0" t="n">
        <f aca="false">H17*x_c_F+I17*x_c_CC+J17*x_c_DC+K17*x_c_HCC+L17*x_c_PLT+M17*x_c_SVRn+N17*x_c_SVRcc+O17*x_c_LT+P17*x_c_LT1</f>
        <v>566104625.691764</v>
      </c>
      <c r="AB17" s="0" t="n">
        <f aca="false">C17*x_c_DAA</f>
        <v>0</v>
      </c>
      <c r="AC17" s="0" t="n">
        <f aca="false">C17*x_c_MON</f>
        <v>0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74421430.6565608</v>
      </c>
      <c r="AI17" s="0" t="n">
        <f aca="false">x_AGRI*x_EMP*x_WLOSS*(x_PEN_K74*Q17+x_PEN_C22*R17)</f>
        <v>1222810.57950014</v>
      </c>
      <c r="AJ17" s="0" t="n">
        <f aca="false">x_EMP*x_WAGE*(x_WLOSS*(Q17+R17)+S17)+U17*x_ABS_D*x_WAGE/365</f>
        <v>447586315.150704</v>
      </c>
      <c r="AK17" s="0" t="n">
        <f aca="false">AJ17*x_R_FUS</f>
        <v>141616310.113683</v>
      </c>
      <c r="AL17" s="0" t="n">
        <f aca="false">AJ17*x_R_NFZ</f>
        <v>34760000.8209188</v>
      </c>
      <c r="AM17" s="0" t="n">
        <f aca="false">AJ17*x_R_PIT</f>
        <v>29757406.3871531</v>
      </c>
      <c r="AN17" s="0" t="n">
        <f aca="false">AJ17*x_R_FP</f>
        <v>11413451.036343</v>
      </c>
      <c r="AO17" s="0" t="n">
        <f aca="false">AA17+AB17+AC17+AD17+AF17</f>
        <v>566104625.691764</v>
      </c>
      <c r="AP17" s="0" t="n">
        <f aca="false">AO17+AE17+AG17+AH17+AI17+AK17+AL17+AM17+AN17</f>
        <v>859296035.285922</v>
      </c>
      <c r="AQ17" s="0" t="n">
        <f aca="false">AO17+AE17+AG17+AJ17</f>
        <v>1013690940.84247</v>
      </c>
      <c r="AR17" s="0" t="n">
        <f aca="false">AB17+AC17+AD17+AF17</f>
        <v>0</v>
      </c>
      <c r="AS17" s="0" t="n">
        <f aca="false">AR17+AE17+AG17</f>
        <v>0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0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50201.837</v>
      </c>
      <c r="I18" s="0" t="n">
        <v>9623.854</v>
      </c>
      <c r="J18" s="0" t="n">
        <v>2706.275</v>
      </c>
      <c r="K18" s="0" t="n">
        <v>3764.137</v>
      </c>
      <c r="L18" s="0" t="n">
        <v>1414.396</v>
      </c>
      <c r="M18" s="0" t="n">
        <v>0</v>
      </c>
      <c r="N18" s="0" t="n">
        <v>0</v>
      </c>
      <c r="O18" s="0" t="n">
        <v>142.303</v>
      </c>
      <c r="P18" s="0" t="n">
        <v>140.098</v>
      </c>
      <c r="Q18" s="0" t="n">
        <v>1121.914</v>
      </c>
      <c r="R18" s="0" t="n">
        <v>1069.203</v>
      </c>
      <c r="S18" s="0" t="n">
        <v>3562.766</v>
      </c>
      <c r="T18" s="0" t="n">
        <v>59825.691</v>
      </c>
      <c r="U18" s="0" t="n">
        <v>29828.67</v>
      </c>
      <c r="V18" s="0" t="n">
        <v>126862.912</v>
      </c>
      <c r="W18" s="0" t="n">
        <v>595.694</v>
      </c>
      <c r="X18" s="0" t="n">
        <v>1200.439</v>
      </c>
      <c r="Y18" s="0" t="n">
        <v>142.303</v>
      </c>
      <c r="Z18" s="0" t="n">
        <v>1352.458</v>
      </c>
      <c r="AA18" s="0" t="n">
        <f aca="false">H18*x_c_F+I18*x_c_CC+J18*x_c_DC+K18*x_c_HCC+L18*x_c_PLT+M18*x_c_SVRn+N18*x_c_SVRcc+O18*x_c_LT+P18*x_c_LT1</f>
        <v>586709323.940532</v>
      </c>
      <c r="AB18" s="0" t="n">
        <f aca="false">C18*x_c_DAA</f>
        <v>0</v>
      </c>
      <c r="AC18" s="0" t="n">
        <f aca="false">C18*x_c_MON</f>
        <v>0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81104797.9244909</v>
      </c>
      <c r="AI18" s="0" t="n">
        <f aca="false">x_AGRI*x_EMP*x_WLOSS*(x_PEN_K74*Q18+x_PEN_C22*R18)</f>
        <v>1307457.50597177</v>
      </c>
      <c r="AJ18" s="0" t="n">
        <f aca="false">x_EMP*x_WAGE*(x_WLOSS*(Q18+R18)+S18)+U18*x_ABS_D*x_WAGE/365</f>
        <v>492298611.367563</v>
      </c>
      <c r="AK18" s="0" t="n">
        <f aca="false">AJ18*x_R_FUS</f>
        <v>155763280.636697</v>
      </c>
      <c r="AL18" s="0" t="n">
        <f aca="false">AJ18*x_R_NFZ</f>
        <v>38232402.4574163</v>
      </c>
      <c r="AM18" s="0" t="n">
        <f aca="false">AJ18*x_R_PIT</f>
        <v>32730066.461847</v>
      </c>
      <c r="AN18" s="0" t="n">
        <f aca="false">AJ18*x_R_FP</f>
        <v>12553614.5898729</v>
      </c>
      <c r="AO18" s="0" t="n">
        <f aca="false">AA18+AB18+AC18+AD18+AF18</f>
        <v>586709323.940532</v>
      </c>
      <c r="AP18" s="0" t="n">
        <f aca="false">AO18+AE18+AG18+AH18+AI18+AK18+AL18+AM18+AN18</f>
        <v>908400943.516828</v>
      </c>
      <c r="AQ18" s="0" t="n">
        <f aca="false">AO18+AE18+AG18+AJ18</f>
        <v>1079007935.30809</v>
      </c>
      <c r="AR18" s="0" t="n">
        <f aca="false">AB18+AC18+AD18+AF18</f>
        <v>0</v>
      </c>
      <c r="AS18" s="0" t="n">
        <f aca="false">AR18+AE18+AG18</f>
        <v>0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52673.785</v>
      </c>
      <c r="I19" s="0" t="n">
        <v>10257.153</v>
      </c>
      <c r="J19" s="0" t="n">
        <v>2785.314</v>
      </c>
      <c r="K19" s="0" t="n">
        <v>3848.216</v>
      </c>
      <c r="L19" s="0" t="n">
        <v>1423.794</v>
      </c>
      <c r="M19" s="0" t="n">
        <v>0</v>
      </c>
      <c r="N19" s="0" t="n">
        <v>0</v>
      </c>
      <c r="O19" s="0" t="n">
        <v>146.28</v>
      </c>
      <c r="P19" s="0" t="n">
        <v>144.291</v>
      </c>
      <c r="Q19" s="0" t="n">
        <v>1193.614</v>
      </c>
      <c r="R19" s="0" t="n">
        <v>1149.201</v>
      </c>
      <c r="S19" s="0" t="n">
        <v>3945.756</v>
      </c>
      <c r="T19" s="0" t="n">
        <v>62930.938</v>
      </c>
      <c r="U19" s="0" t="n">
        <v>32522.115</v>
      </c>
      <c r="V19" s="0" t="n">
        <v>127515.215</v>
      </c>
      <c r="W19" s="0" t="n">
        <v>606.92</v>
      </c>
      <c r="X19" s="0" t="n">
        <v>1219.427</v>
      </c>
      <c r="Y19" s="0" t="n">
        <v>146.28</v>
      </c>
      <c r="Z19" s="0" t="n">
        <v>1384.14</v>
      </c>
      <c r="AA19" s="0" t="n">
        <f aca="false">H19*x_c_F+I19*x_c_CC+J19*x_c_DC+K19*x_c_HCC+L19*x_c_PLT+M19*x_c_SVRn+N19*x_c_SVRcc+O19*x_c_LT+P19*x_c_LT1</f>
        <v>606032680.334796</v>
      </c>
      <c r="AB19" s="0" t="n">
        <f aca="false">C19*x_c_DAA</f>
        <v>0</v>
      </c>
      <c r="AC19" s="0" t="n">
        <f aca="false">C19*x_c_MON</f>
        <v>0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88018574.9479121</v>
      </c>
      <c r="AI19" s="0" t="n">
        <f aca="false">x_AGRI*x_EMP*x_WLOSS*(x_PEN_K74*Q19+x_PEN_C22*R19)</f>
        <v>1398433.01706321</v>
      </c>
      <c r="AJ19" s="0" t="n">
        <f aca="false">x_EMP*x_WAGE*(x_WLOSS*(Q19+R19)+S19)+U19*x_ABS_D*x_WAGE/365</f>
        <v>539851011.927484</v>
      </c>
      <c r="AK19" s="0" t="n">
        <f aca="false">AJ19*x_R_FUS</f>
        <v>170808860.173856</v>
      </c>
      <c r="AL19" s="0" t="n">
        <f aca="false">AJ19*x_R_NFZ</f>
        <v>41925369.4373003</v>
      </c>
      <c r="AM19" s="0" t="n">
        <f aca="false">AJ19*x_R_PIT</f>
        <v>35891548.5274231</v>
      </c>
      <c r="AN19" s="0" t="n">
        <f aca="false">AJ19*x_R_FP</f>
        <v>13766200.8041508</v>
      </c>
      <c r="AO19" s="0" t="n">
        <f aca="false">AA19+AB19+AC19+AD19+AF19</f>
        <v>606032680.334796</v>
      </c>
      <c r="AP19" s="0" t="n">
        <f aca="false">AO19+AE19+AG19+AH19+AI19+AK19+AL19+AM19+AN19</f>
        <v>957841667.242502</v>
      </c>
      <c r="AQ19" s="0" t="n">
        <f aca="false">AO19+AE19+AG19+AJ19</f>
        <v>1145883692.26228</v>
      </c>
      <c r="AR19" s="0" t="n">
        <f aca="false">AB19+AC19+AD19+AF19</f>
        <v>0</v>
      </c>
      <c r="AS19" s="0" t="n">
        <f aca="false">AR19+AE19+AG19</f>
        <v>0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0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55110.918</v>
      </c>
      <c r="I20" s="0" t="n">
        <v>10867.715</v>
      </c>
      <c r="J20" s="0" t="n">
        <v>2857.004</v>
      </c>
      <c r="K20" s="0" t="n">
        <v>3922.147</v>
      </c>
      <c r="L20" s="0" t="n">
        <v>1433.894</v>
      </c>
      <c r="M20" s="0" t="n">
        <v>0</v>
      </c>
      <c r="N20" s="0" t="n">
        <v>0</v>
      </c>
      <c r="O20" s="0" t="n">
        <v>149.925</v>
      </c>
      <c r="P20" s="0" t="n">
        <v>148.102</v>
      </c>
      <c r="Q20" s="0" t="n">
        <v>1270.936</v>
      </c>
      <c r="R20" s="0" t="n">
        <v>1234.79</v>
      </c>
      <c r="S20" s="0" t="n">
        <v>4355.671</v>
      </c>
      <c r="T20" s="0" t="n">
        <v>65978.633</v>
      </c>
      <c r="U20" s="0" t="n">
        <v>35274.405</v>
      </c>
      <c r="V20" s="0" t="n">
        <v>128150.512</v>
      </c>
      <c r="W20" s="0" t="n">
        <v>616.746</v>
      </c>
      <c r="X20" s="0" t="n">
        <v>1236.112</v>
      </c>
      <c r="Y20" s="0" t="n">
        <v>149.925</v>
      </c>
      <c r="Z20" s="0" t="n">
        <v>1412.838</v>
      </c>
      <c r="AA20" s="0" t="n">
        <f aca="false">H20*x_c_F+I20*x_c_CC+J20*x_c_DC+K20*x_c_HCC+L20*x_c_PLT+M20*x_c_SVRn+N20*x_c_SVRcc+O20*x_c_LT+P20*x_c_LT1</f>
        <v>624249319.600892</v>
      </c>
      <c r="AB20" s="0" t="n">
        <f aca="false">C20*x_c_DAA</f>
        <v>0</v>
      </c>
      <c r="AC20" s="0" t="n">
        <f aca="false">C20*x_c_MON</f>
        <v>0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95154694.9188488</v>
      </c>
      <c r="AI20" s="0" t="n">
        <f aca="false">x_AGRI*x_EMP*x_WLOSS*(x_PEN_K74*Q20+x_PEN_C22*R20)</f>
        <v>1496108.53109181</v>
      </c>
      <c r="AJ20" s="0" t="n">
        <f aca="false">x_EMP*x_WAGE*(x_WLOSS*(Q20+R20)+S20)+U20*x_ABS_D*x_WAGE/365</f>
        <v>590388345.415706</v>
      </c>
      <c r="AK20" s="0" t="n">
        <f aca="false">AJ20*x_R_FUS</f>
        <v>186798872.489529</v>
      </c>
      <c r="AL20" s="0" t="n">
        <f aca="false">AJ20*x_R_NFZ</f>
        <v>45850149.2933291</v>
      </c>
      <c r="AM20" s="0" t="n">
        <f aca="false">AJ20*x_R_PIT</f>
        <v>39251481.3927203</v>
      </c>
      <c r="AN20" s="0" t="n">
        <f aca="false">AJ20*x_R_FP</f>
        <v>15054902.8081005</v>
      </c>
      <c r="AO20" s="0" t="n">
        <f aca="false">AA20+AB20+AC20+AD20+AF20</f>
        <v>624249319.600892</v>
      </c>
      <c r="AP20" s="0" t="n">
        <f aca="false">AO20+AE20+AG20+AH20+AI20+AK20+AL20+AM20+AN20</f>
        <v>1007855529.03451</v>
      </c>
      <c r="AQ20" s="0" t="n">
        <f aca="false">AO20+AE20+AG20+AJ20</f>
        <v>1214637665.0166</v>
      </c>
      <c r="AR20" s="0" t="n">
        <f aca="false">AB20+AC20+AD20+AF20</f>
        <v>0</v>
      </c>
      <c r="AS20" s="0" t="n">
        <f aca="false">AR20+AE20+AG20</f>
        <v>0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0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57524.242</v>
      </c>
      <c r="I21" s="0" t="n">
        <v>11457.839</v>
      </c>
      <c r="J21" s="0" t="n">
        <v>2922.094</v>
      </c>
      <c r="K21" s="0" t="n">
        <v>3987.627</v>
      </c>
      <c r="L21" s="0" t="n">
        <v>1444.93</v>
      </c>
      <c r="M21" s="0" t="n">
        <v>0</v>
      </c>
      <c r="N21" s="0" t="n">
        <v>0</v>
      </c>
      <c r="O21" s="0" t="n">
        <v>153.21</v>
      </c>
      <c r="P21" s="0" t="n">
        <v>151.567</v>
      </c>
      <c r="Q21" s="0" t="n">
        <v>1354.216</v>
      </c>
      <c r="R21" s="0" t="n">
        <v>1326.244</v>
      </c>
      <c r="S21" s="0" t="n">
        <v>4794.247</v>
      </c>
      <c r="T21" s="0" t="n">
        <v>68982.082</v>
      </c>
      <c r="U21" s="0" t="n">
        <v>38079.226</v>
      </c>
      <c r="V21" s="0" t="n">
        <v>128791.979</v>
      </c>
      <c r="W21" s="0" t="n">
        <v>625.279</v>
      </c>
      <c r="X21" s="0" t="n">
        <v>1250.698</v>
      </c>
      <c r="Y21" s="0" t="n">
        <v>153.21</v>
      </c>
      <c r="Z21" s="0" t="n">
        <v>1438.429</v>
      </c>
      <c r="AA21" s="0" t="n">
        <f aca="false">H21*x_c_F+I21*x_c_CC+J21*x_c_DC+K21*x_c_HCC+L21*x_c_PLT+M21*x_c_SVRn+N21*x_c_SVRcc+O21*x_c_LT+P21*x_c_LT1</f>
        <v>641524060.983027</v>
      </c>
      <c r="AB21" s="0" t="n">
        <f aca="false">C21*x_c_DAA</f>
        <v>0</v>
      </c>
      <c r="AC21" s="0" t="n">
        <f aca="false">C21*x_c_MON</f>
        <v>0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102505656.51249</v>
      </c>
      <c r="AI21" s="0" t="n">
        <f aca="false">x_AGRI*x_EMP*x_WLOSS*(x_PEN_K74*Q21+x_PEN_C22*R21)</f>
        <v>1600846.23350256</v>
      </c>
      <c r="AJ21" s="0" t="n">
        <f aca="false">x_EMP*x_WAGE*(x_WLOSS*(Q21+R21)+S21)+U21*x_ABS_D*x_WAGE/365</f>
        <v>644068172.75051</v>
      </c>
      <c r="AK21" s="0" t="n">
        <f aca="false">AJ21*x_R_FUS</f>
        <v>203783169.858261</v>
      </c>
      <c r="AL21" s="0" t="n">
        <f aca="false">AJ21*x_R_NFZ</f>
        <v>50018978.3639774</v>
      </c>
      <c r="AM21" s="0" t="n">
        <f aca="false">AJ21*x_R_PIT</f>
        <v>42820340.3652206</v>
      </c>
      <c r="AN21" s="0" t="n">
        <f aca="false">AJ21*x_R_FP</f>
        <v>16423738.405138</v>
      </c>
      <c r="AO21" s="0" t="n">
        <f aca="false">AA21+AB21+AC21+AD21+AF21</f>
        <v>641524060.983027</v>
      </c>
      <c r="AP21" s="0" t="n">
        <f aca="false">AO21+AE21+AG21+AH21+AI21+AK21+AL21+AM21+AN21</f>
        <v>1058676790.72162</v>
      </c>
      <c r="AQ21" s="0" t="n">
        <f aca="false">AO21+AE21+AG21+AJ21</f>
        <v>1285592233.73354</v>
      </c>
      <c r="AR21" s="0" t="n">
        <f aca="false">AB21+AC21+AD21+AF21</f>
        <v>0</v>
      </c>
      <c r="AS21" s="0" t="n">
        <f aca="false">AR21+AE21+AG21</f>
        <v>0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59920.181</v>
      </c>
      <c r="I22" s="0" t="n">
        <v>12029.417</v>
      </c>
      <c r="J22" s="0" t="n">
        <v>2980.898</v>
      </c>
      <c r="K22" s="0" t="n">
        <v>4045.714</v>
      </c>
      <c r="L22" s="0" t="n">
        <v>1456.448</v>
      </c>
      <c r="M22" s="0" t="n">
        <v>0</v>
      </c>
      <c r="N22" s="0" t="n">
        <v>0</v>
      </c>
      <c r="O22" s="0" t="n">
        <v>156.189</v>
      </c>
      <c r="P22" s="0" t="n">
        <v>154.699</v>
      </c>
      <c r="Q22" s="0" t="n">
        <v>1443.771</v>
      </c>
      <c r="R22" s="0" t="n">
        <v>1423.768</v>
      </c>
      <c r="S22" s="0" t="n">
        <v>5263.247</v>
      </c>
      <c r="T22" s="0" t="n">
        <v>71949.599</v>
      </c>
      <c r="U22" s="0" t="n">
        <v>40930.392</v>
      </c>
      <c r="V22" s="0" t="n">
        <v>129448.979</v>
      </c>
      <c r="W22" s="0" t="n">
        <v>632.856</v>
      </c>
      <c r="X22" s="0" t="n">
        <v>1263.82</v>
      </c>
      <c r="Y22" s="0" t="n">
        <v>156.189</v>
      </c>
      <c r="Z22" s="0" t="n">
        <v>1461.498</v>
      </c>
      <c r="AA22" s="0" t="n">
        <f aca="false">H22*x_c_F+I22*x_c_CC+J22*x_c_DC+K22*x_c_HCC+L22*x_c_PLT+M22*x_c_SVRn+N22*x_c_SVRcc+O22*x_c_LT+P22*x_c_LT1</f>
        <v>657963064.993702</v>
      </c>
      <c r="AB22" s="0" t="n">
        <f aca="false">C22*x_c_DAA</f>
        <v>0</v>
      </c>
      <c r="AC22" s="0" t="n">
        <f aca="false">C22*x_c_MON</f>
        <v>0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110063397.027773</v>
      </c>
      <c r="AI22" s="0" t="n">
        <f aca="false">x_AGRI*x_EMP*x_WLOSS*(x_PEN_K74*Q22+x_PEN_C22*R22)</f>
        <v>1712953.80994455</v>
      </c>
      <c r="AJ22" s="0" t="n">
        <f aca="false">x_EMP*x_WAGE*(x_WLOSS*(Q22+R22)+S22)+U22*x_ABS_D*x_WAGE/365</f>
        <v>701046679.786602</v>
      </c>
      <c r="AK22" s="0" t="n">
        <f aca="false">AJ22*x_R_FUS</f>
        <v>221811169.484481</v>
      </c>
      <c r="AL22" s="0" t="n">
        <f aca="false">AJ22*x_R_NFZ</f>
        <v>54443986.1989073</v>
      </c>
      <c r="AM22" s="0" t="n">
        <f aca="false">AJ22*x_R_PIT</f>
        <v>46608509.3324406</v>
      </c>
      <c r="AN22" s="0" t="n">
        <f aca="false">AJ22*x_R_FP</f>
        <v>17876690.3345583</v>
      </c>
      <c r="AO22" s="0" t="n">
        <f aca="false">AA22+AB22+AC22+AD22+AF22</f>
        <v>657963064.993702</v>
      </c>
      <c r="AP22" s="0" t="n">
        <f aca="false">AO22+AE22+AG22+AH22+AI22+AK22+AL22+AM22+AN22</f>
        <v>1110479771.18181</v>
      </c>
      <c r="AQ22" s="0" t="n">
        <f aca="false">AO22+AE22+AG22+AJ22</f>
        <v>1359009744.7803</v>
      </c>
      <c r="AR22" s="0" t="n">
        <f aca="false">AB22+AC22+AD22+AF22</f>
        <v>0</v>
      </c>
      <c r="AS22" s="0" t="n">
        <f aca="false">AR22+AE22+AG22</f>
        <v>0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62306.57</v>
      </c>
      <c r="I23" s="0" t="n">
        <v>12586.549</v>
      </c>
      <c r="J23" s="0" t="n">
        <v>3034.438</v>
      </c>
      <c r="K23" s="0" t="n">
        <v>4098.196</v>
      </c>
      <c r="L23" s="0" t="n">
        <v>1468.531</v>
      </c>
      <c r="M23" s="0" t="n">
        <v>0</v>
      </c>
      <c r="N23" s="0" t="n">
        <v>0</v>
      </c>
      <c r="O23" s="0" t="n">
        <v>158.911</v>
      </c>
      <c r="P23" s="0" t="n">
        <v>157.55</v>
      </c>
      <c r="Q23" s="0" t="n">
        <v>1539.877</v>
      </c>
      <c r="R23" s="0" t="n">
        <v>1527.482</v>
      </c>
      <c r="S23" s="0" t="n">
        <v>5764.4</v>
      </c>
      <c r="T23" s="0" t="n">
        <v>74893.118</v>
      </c>
      <c r="U23" s="0" t="n">
        <v>43821.826</v>
      </c>
      <c r="V23" s="0" t="n">
        <v>130136.07</v>
      </c>
      <c r="W23" s="0" t="n">
        <v>639.764</v>
      </c>
      <c r="X23" s="0" t="n">
        <v>1276.012</v>
      </c>
      <c r="Y23" s="0" t="n">
        <v>158.911</v>
      </c>
      <c r="Z23" s="0" t="n">
        <v>1482.571</v>
      </c>
      <c r="AA23" s="0" t="n">
        <f aca="false">H23*x_c_F+I23*x_c_CC+J23*x_c_DC+K23*x_c_HCC+L23*x_c_PLT+M23*x_c_SVRn+N23*x_c_SVRcc+O23*x_c_LT+P23*x_c_LT1</f>
        <v>673764528.668122</v>
      </c>
      <c r="AB23" s="0" t="n">
        <f aca="false">C23*x_c_DAA</f>
        <v>0</v>
      </c>
      <c r="AC23" s="0" t="n">
        <f aca="false">C23*x_c_MON</f>
        <v>0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117818913.213346</v>
      </c>
      <c r="AI23" s="0" t="n">
        <f aca="false">x_AGRI*x_EMP*x_WLOSS*(x_PEN_K74*Q23+x_PEN_C22*R23)</f>
        <v>1832661.96550208</v>
      </c>
      <c r="AJ23" s="0" t="n">
        <f aca="false">x_EMP*x_WAGE*(x_WLOSS*(Q23+R23)+S23)+U23*x_ABS_D*x_WAGE/365</f>
        <v>761471670.422072</v>
      </c>
      <c r="AK23" s="0" t="n">
        <f aca="false">AJ23*x_R_FUS</f>
        <v>240929636.521544</v>
      </c>
      <c r="AL23" s="0" t="n">
        <f aca="false">AJ23*x_R_NFZ</f>
        <v>59136651.3966485</v>
      </c>
      <c r="AM23" s="0" t="n">
        <f aca="false">AJ23*x_R_PIT</f>
        <v>50625814.9144359</v>
      </c>
      <c r="AN23" s="0" t="n">
        <f aca="false">AJ23*x_R_FP</f>
        <v>19417527.5957628</v>
      </c>
      <c r="AO23" s="0" t="n">
        <f aca="false">AA23+AB23+AC23+AD23+AF23</f>
        <v>673764528.668122</v>
      </c>
      <c r="AP23" s="0" t="n">
        <f aca="false">AO23+AE23+AG23+AH23+AI23+AK23+AL23+AM23+AN23</f>
        <v>1163525734.27536</v>
      </c>
      <c r="AQ23" s="0" t="n">
        <f aca="false">AO23+AE23+AG23+AJ23</f>
        <v>1435236199.09019</v>
      </c>
      <c r="AR23" s="0" t="n">
        <f aca="false">AB23+AC23+AD23+AF23</f>
        <v>0</v>
      </c>
      <c r="AS23" s="0" t="n">
        <f aca="false">AR23+AE23+AG23</f>
        <v>0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0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64688.963</v>
      </c>
      <c r="I24" s="0" t="n">
        <v>13133.554</v>
      </c>
      <c r="J24" s="0" t="n">
        <v>3083.747</v>
      </c>
      <c r="K24" s="0" t="n">
        <v>4146.736</v>
      </c>
      <c r="L24" s="0" t="n">
        <v>1481.247</v>
      </c>
      <c r="M24" s="0" t="n">
        <v>0</v>
      </c>
      <c r="N24" s="0" t="n">
        <v>0</v>
      </c>
      <c r="O24" s="0" t="n">
        <v>161.433</v>
      </c>
      <c r="P24" s="0" t="n">
        <v>160.172</v>
      </c>
      <c r="Q24" s="0" t="n">
        <v>1642.768</v>
      </c>
      <c r="R24" s="0" t="n">
        <v>1637.427</v>
      </c>
      <c r="S24" s="0" t="n">
        <v>6299.415</v>
      </c>
      <c r="T24" s="0" t="n">
        <v>77822.517</v>
      </c>
      <c r="U24" s="0" t="n">
        <v>46747.648</v>
      </c>
      <c r="V24" s="0" t="n">
        <v>130862.322</v>
      </c>
      <c r="W24" s="0" t="n">
        <v>646.275</v>
      </c>
      <c r="X24" s="0" t="n">
        <v>1287.766</v>
      </c>
      <c r="Y24" s="0" t="n">
        <v>161.433</v>
      </c>
      <c r="Z24" s="0" t="n">
        <v>1502.209</v>
      </c>
      <c r="AA24" s="0" t="n">
        <f aca="false">H24*x_c_F+I24*x_c_CC+J24*x_c_DC+K24*x_c_HCC+L24*x_c_PLT+M24*x_c_SVRn+N24*x_c_SVRcc+O24*x_c_LT+P24*x_c_LT1</f>
        <v>689115687.165884</v>
      </c>
      <c r="AB24" s="0" t="n">
        <f aca="false">C24*x_c_DAA</f>
        <v>0</v>
      </c>
      <c r="AC24" s="0" t="n">
        <f aca="false">C24*x_c_MON</f>
        <v>0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125762491.435421</v>
      </c>
      <c r="AI24" s="0" t="n">
        <f aca="false">x_AGRI*x_EMP*x_WLOSS*(x_PEN_K74*Q24+x_PEN_C22*R24)</f>
        <v>1960127.68003982</v>
      </c>
      <c r="AJ24" s="0" t="n">
        <f aca="false">x_EMP*x_WAGE*(x_WLOSS*(Q24+R24)+S24)+U24*x_ABS_D*x_WAGE/365</f>
        <v>825484249.021665</v>
      </c>
      <c r="AK24" s="0" t="n">
        <f aca="false">AJ24*x_R_FUS</f>
        <v>261183216.390455</v>
      </c>
      <c r="AL24" s="0" t="n">
        <f aca="false">AJ24*x_R_NFZ</f>
        <v>64107932.2632716</v>
      </c>
      <c r="AM24" s="0" t="n">
        <f aca="false">AJ24*x_R_PIT</f>
        <v>54881638.3183224</v>
      </c>
      <c r="AN24" s="0" t="n">
        <f aca="false">AJ24*x_R_FP</f>
        <v>21049848.3500525</v>
      </c>
      <c r="AO24" s="0" t="n">
        <f aca="false">AA24+AB24+AC24+AD24+AF24</f>
        <v>689115687.165884</v>
      </c>
      <c r="AP24" s="0" t="n">
        <f aca="false">AO24+AE24+AG24+AH24+AI24+AK24+AL24+AM24+AN24</f>
        <v>1218060941.60345</v>
      </c>
      <c r="AQ24" s="0" t="n">
        <f aca="false">AO24+AE24+AG24+AJ24</f>
        <v>1514599936.18755</v>
      </c>
      <c r="AR24" s="0" t="n">
        <f aca="false">AB24+AC24+AD24+AF24</f>
        <v>0</v>
      </c>
      <c r="AS24" s="0" t="n">
        <f aca="false">AR24+AE24+AG24</f>
        <v>0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67071.295</v>
      </c>
      <c r="I25" s="0" t="n">
        <v>13674.996</v>
      </c>
      <c r="J25" s="0" t="n">
        <v>3129.896</v>
      </c>
      <c r="K25" s="0" t="n">
        <v>4192.905</v>
      </c>
      <c r="L25" s="0" t="n">
        <v>1494.681</v>
      </c>
      <c r="M25" s="0" t="n">
        <v>0</v>
      </c>
      <c r="N25" s="0" t="n">
        <v>0</v>
      </c>
      <c r="O25" s="0" t="n">
        <v>163.808</v>
      </c>
      <c r="P25" s="0" t="n">
        <v>162.62</v>
      </c>
      <c r="Q25" s="0" t="n">
        <v>1752.633</v>
      </c>
      <c r="R25" s="0" t="n">
        <v>1753.564</v>
      </c>
      <c r="S25" s="0" t="n">
        <v>6869.961</v>
      </c>
      <c r="T25" s="0" t="n">
        <v>80746.291</v>
      </c>
      <c r="U25" s="0" t="n">
        <v>49702.179</v>
      </c>
      <c r="V25" s="0" t="n">
        <v>131633.526</v>
      </c>
      <c r="W25" s="0" t="n">
        <v>652.627</v>
      </c>
      <c r="X25" s="0" t="n">
        <v>1299.505</v>
      </c>
      <c r="Y25" s="0" t="n">
        <v>163.808</v>
      </c>
      <c r="Z25" s="0" t="n">
        <v>1520.927</v>
      </c>
      <c r="AA25" s="0" t="n">
        <f aca="false">H25*x_c_F+I25*x_c_CC+J25*x_c_DC+K25*x_c_HCC+L25*x_c_PLT+M25*x_c_SVRn+N25*x_c_SVRcc+O25*x_c_LT+P25*x_c_LT1</f>
        <v>704194523.053938</v>
      </c>
      <c r="AB25" s="0" t="n">
        <f aca="false">C25*x_c_DAA</f>
        <v>0</v>
      </c>
      <c r="AC25" s="0" t="n">
        <f aca="false">C25*x_c_MON</f>
        <v>0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133883680.890304</v>
      </c>
      <c r="AI25" s="0" t="n">
        <f aca="false">x_AGRI*x_EMP*x_WLOSS*(x_PEN_K74*Q25+x_PEN_C22*R25)</f>
        <v>2095431.89404318</v>
      </c>
      <c r="AJ25" s="0" t="n">
        <f aca="false">x_EMP*x_WAGE*(x_WLOSS*(Q25+R25)+S25)+U25*x_ABS_D*x_WAGE/365</f>
        <v>893216942.725546</v>
      </c>
      <c r="AK25" s="0" t="n">
        <f aca="false">AJ25*x_R_FUS</f>
        <v>282613840.678363</v>
      </c>
      <c r="AL25" s="0" t="n">
        <f aca="false">AJ25*x_R_NFZ</f>
        <v>69368120.9890087</v>
      </c>
      <c r="AM25" s="0" t="n">
        <f aca="false">AJ25*x_R_PIT</f>
        <v>59384790.501526</v>
      </c>
      <c r="AN25" s="0" t="n">
        <f aca="false">AJ25*x_R_FP</f>
        <v>22777032.0395014</v>
      </c>
      <c r="AO25" s="0" t="n">
        <f aca="false">AA25+AB25+AC25+AD25+AF25</f>
        <v>704194523.053938</v>
      </c>
      <c r="AP25" s="0" t="n">
        <f aca="false">AO25+AE25+AG25+AH25+AI25+AK25+AL25+AM25+AN25</f>
        <v>1274317420.04668</v>
      </c>
      <c r="AQ25" s="0" t="n">
        <f aca="false">AO25+AE25+AG25+AJ25</f>
        <v>1597411465.77948</v>
      </c>
      <c r="AR25" s="0" t="n">
        <f aca="false">AB25+AC25+AD25+AF25</f>
        <v>0</v>
      </c>
      <c r="AS25" s="0" t="n">
        <f aca="false">AR25+AE25+AG25</f>
        <v>0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0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69455.137</v>
      </c>
      <c r="I26" s="0" t="n">
        <v>14214.817</v>
      </c>
      <c r="J26" s="0" t="n">
        <v>3173.796</v>
      </c>
      <c r="K26" s="0" t="n">
        <v>4237.967</v>
      </c>
      <c r="L26" s="0" t="n">
        <v>1508.863</v>
      </c>
      <c r="M26" s="0" t="n">
        <v>0</v>
      </c>
      <c r="N26" s="0" t="n">
        <v>0</v>
      </c>
      <c r="O26" s="0" t="n">
        <v>166.079</v>
      </c>
      <c r="P26" s="0" t="n">
        <v>164.944</v>
      </c>
      <c r="Q26" s="0" t="n">
        <v>1869.607</v>
      </c>
      <c r="R26" s="0" t="n">
        <v>1875.779</v>
      </c>
      <c r="S26" s="0" t="n">
        <v>7477.653</v>
      </c>
      <c r="T26" s="0" t="n">
        <v>83669.954</v>
      </c>
      <c r="U26" s="0" t="n">
        <v>52679.95</v>
      </c>
      <c r="V26" s="0" t="n">
        <v>132450.378</v>
      </c>
      <c r="W26" s="0" t="n">
        <v>658.986</v>
      </c>
      <c r="X26" s="0" t="n">
        <v>1311.503</v>
      </c>
      <c r="Y26" s="0" t="n">
        <v>166.079</v>
      </c>
      <c r="Z26" s="0" t="n">
        <v>1539.101</v>
      </c>
      <c r="AA26" s="0" t="n">
        <f aca="false">H26*x_c_F+I26*x_c_CC+J26*x_c_DC+K26*x_c_HCC+L26*x_c_PLT+M26*x_c_SVRn+N26*x_c_SVRcc+O26*x_c_LT+P26*x_c_LT1</f>
        <v>719141043.743363</v>
      </c>
      <c r="AB26" s="0" t="n">
        <f aca="false">C26*x_c_DAA</f>
        <v>0</v>
      </c>
      <c r="AC26" s="0" t="n">
        <f aca="false">C26*x_c_MON</f>
        <v>0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142171284.02663</v>
      </c>
      <c r="AI26" s="0" t="n">
        <f aca="false">x_AGRI*x_EMP*x_WLOSS*(x_PEN_K74*Q26+x_PEN_C22*R26)</f>
        <v>2238577.65253723</v>
      </c>
      <c r="AJ26" s="0" t="n">
        <f aca="false">x_EMP*x_WAGE*(x_WLOSS*(Q26+R26)+S26)+U26*x_ABS_D*x_WAGE/365</f>
        <v>964792350.007818</v>
      </c>
      <c r="AK26" s="0" t="n">
        <f aca="false">AJ26*x_R_FUS</f>
        <v>305260299.542474</v>
      </c>
      <c r="AL26" s="0" t="n">
        <f aca="false">AJ26*x_R_NFZ</f>
        <v>74926738.6939571</v>
      </c>
      <c r="AM26" s="0" t="n">
        <f aca="false">AJ26*x_R_PIT</f>
        <v>64143422.3223121</v>
      </c>
      <c r="AN26" s="0" t="n">
        <f aca="false">AJ26*x_R_FP</f>
        <v>24602204.9251993</v>
      </c>
      <c r="AO26" s="0" t="n">
        <f aca="false">AA26+AB26+AC26+AD26+AF26</f>
        <v>719141043.743363</v>
      </c>
      <c r="AP26" s="0" t="n">
        <f aca="false">AO26+AE26+AG26+AH26+AI26+AK26+AL26+AM26+AN26</f>
        <v>1332483570.90647</v>
      </c>
      <c r="AQ26" s="0" t="n">
        <f aca="false">AO26+AE26+AG26+AJ26</f>
        <v>1683933393.75118</v>
      </c>
      <c r="AR26" s="0" t="n">
        <f aca="false">AB26+AC26+AD26+AF26</f>
        <v>0</v>
      </c>
      <c r="AS26" s="0" t="n">
        <f aca="false">AR26+AE26+AG26</f>
        <v>0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71840.199</v>
      </c>
      <c r="I27" s="0" t="n">
        <v>14756.292</v>
      </c>
      <c r="J27" s="0" t="n">
        <v>3216.208</v>
      </c>
      <c r="K27" s="0" t="n">
        <v>4282.898</v>
      </c>
      <c r="L27" s="0" t="n">
        <v>1523.778</v>
      </c>
      <c r="M27" s="0" t="n">
        <v>0</v>
      </c>
      <c r="N27" s="0" t="n">
        <v>0</v>
      </c>
      <c r="O27" s="0" t="n">
        <v>168.284</v>
      </c>
      <c r="P27" s="0" t="n">
        <v>167.182</v>
      </c>
      <c r="Q27" s="0" t="n">
        <v>1993.734</v>
      </c>
      <c r="R27" s="0" t="n">
        <v>2003.854</v>
      </c>
      <c r="S27" s="0" t="n">
        <v>8123.867</v>
      </c>
      <c r="T27" s="0" t="n">
        <v>86596.492</v>
      </c>
      <c r="U27" s="0" t="n">
        <v>55675.454</v>
      </c>
      <c r="V27" s="0" t="n">
        <v>133309.957</v>
      </c>
      <c r="W27" s="0" t="n">
        <v>665.485</v>
      </c>
      <c r="X27" s="0" t="n">
        <v>1323.978</v>
      </c>
      <c r="Y27" s="0" t="n">
        <v>168.284</v>
      </c>
      <c r="Z27" s="0" t="n">
        <v>1557.075</v>
      </c>
      <c r="AA27" s="0" t="n">
        <f aca="false">H27*x_c_F+I27*x_c_CC+J27*x_c_DC+K27*x_c_HCC+L27*x_c_PLT+M27*x_c_SVRn+N27*x_c_SVRcc+O27*x_c_LT+P27*x_c_LT1</f>
        <v>734061601.348816</v>
      </c>
      <c r="AB27" s="0" t="n">
        <f aca="false">C27*x_c_DAA</f>
        <v>0</v>
      </c>
      <c r="AC27" s="0" t="n">
        <f aca="false">C27*x_c_MON</f>
        <v>0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150612254.567037</v>
      </c>
      <c r="AI27" s="0" t="n">
        <f aca="false">x_AGRI*x_EMP*x_WLOSS*(x_PEN_K74*Q27+x_PEN_C22*R27)</f>
        <v>2389450.96712139</v>
      </c>
      <c r="AJ27" s="0" t="n">
        <f aca="false">x_EMP*x_WAGE*(x_WLOSS*(Q27+R27)+S27)+U27*x_ABS_D*x_WAGE/365</f>
        <v>1040303599.21078</v>
      </c>
      <c r="AK27" s="0" t="n">
        <f aca="false">AJ27*x_R_FUS</f>
        <v>329152058.790292</v>
      </c>
      <c r="AL27" s="0" t="n">
        <f aca="false">AJ27*x_R_NFZ</f>
        <v>80791017.8183087</v>
      </c>
      <c r="AM27" s="0" t="n">
        <f aca="false">AJ27*x_R_PIT</f>
        <v>69163725.3415805</v>
      </c>
      <c r="AN27" s="0" t="n">
        <f aca="false">AJ27*x_R_FP</f>
        <v>26527741.779875</v>
      </c>
      <c r="AO27" s="0" t="n">
        <f aca="false">AA27+AB27+AC27+AD27+AF27</f>
        <v>734061601.348816</v>
      </c>
      <c r="AP27" s="0" t="n">
        <f aca="false">AO27+AE27+AG27+AH27+AI27+AK27+AL27+AM27+AN27</f>
        <v>1392697850.61303</v>
      </c>
      <c r="AQ27" s="0" t="n">
        <f aca="false">AO27+AE27+AG27+AJ27</f>
        <v>1774365200.5596</v>
      </c>
      <c r="AR27" s="0" t="n">
        <f aca="false">AB27+AC27+AD27+AF27</f>
        <v>0</v>
      </c>
      <c r="AS27" s="0" t="n">
        <f aca="false">AR27+AE27+AG27</f>
        <v>0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0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74224.603</v>
      </c>
      <c r="I28" s="0" t="n">
        <v>15301.805</v>
      </c>
      <c r="J28" s="0" t="n">
        <v>3257.697</v>
      </c>
      <c r="K28" s="0" t="n">
        <v>4328.359</v>
      </c>
      <c r="L28" s="0" t="n">
        <v>1539.353</v>
      </c>
      <c r="M28" s="0" t="n">
        <v>0</v>
      </c>
      <c r="N28" s="0" t="n">
        <v>0</v>
      </c>
      <c r="O28" s="0" t="n">
        <v>170.445</v>
      </c>
      <c r="P28" s="0" t="n">
        <v>169.365</v>
      </c>
      <c r="Q28" s="0" t="n">
        <v>2124.977</v>
      </c>
      <c r="R28" s="0" t="n">
        <v>2137.489</v>
      </c>
      <c r="S28" s="0" t="n">
        <v>8809.762</v>
      </c>
      <c r="T28" s="0" t="n">
        <v>89526.409</v>
      </c>
      <c r="U28" s="0" t="n">
        <v>58683.221</v>
      </c>
      <c r="V28" s="0" t="n">
        <v>134206.407</v>
      </c>
      <c r="W28" s="0" t="n">
        <v>672.184</v>
      </c>
      <c r="X28" s="0" t="n">
        <v>1337.007</v>
      </c>
      <c r="Y28" s="0" t="n">
        <v>170.445</v>
      </c>
      <c r="Z28" s="0" t="n">
        <v>1575.017</v>
      </c>
      <c r="AA28" s="0" t="n">
        <f aca="false">H28*x_c_F+I28*x_c_CC+J28*x_c_DC+K28*x_c_HCC+L28*x_c_PLT+M28*x_c_SVRn+N28*x_c_SVRcc+O28*x_c_LT+P28*x_c_LT1</f>
        <v>749022012.490994</v>
      </c>
      <c r="AB28" s="0" t="n">
        <f aca="false">C28*x_c_DAA</f>
        <v>0</v>
      </c>
      <c r="AC28" s="0" t="n">
        <f aca="false">C28*x_c_MON</f>
        <v>0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159192147.957975</v>
      </c>
      <c r="AI28" s="0" t="n">
        <f aca="false">x_AGRI*x_EMP*x_WLOSS*(x_PEN_K74*Q28+x_PEN_C22*R28)</f>
        <v>2547840.39809705</v>
      </c>
      <c r="AJ28" s="0" t="n">
        <f aca="false">x_EMP*x_WAGE*(x_WLOSS*(Q28+R28)+S28)+U28*x_ABS_D*x_WAGE/365</f>
        <v>1119817918.42481</v>
      </c>
      <c r="AK28" s="0" t="n">
        <f aca="false">AJ28*x_R_FUS</f>
        <v>354310389.389609</v>
      </c>
      <c r="AL28" s="0" t="n">
        <f aca="false">AJ28*x_R_NFZ</f>
        <v>86966179.3627889</v>
      </c>
      <c r="AM28" s="0" t="n">
        <f aca="false">AJ28*x_R_PIT</f>
        <v>74450169.1633778</v>
      </c>
      <c r="AN28" s="0" t="n">
        <f aca="false">AJ28*x_R_FP</f>
        <v>28555356.9198326</v>
      </c>
      <c r="AO28" s="0" t="n">
        <f aca="false">AA28+AB28+AC28+AD28+AF28</f>
        <v>749022012.490994</v>
      </c>
      <c r="AP28" s="0" t="n">
        <f aca="false">AO28+AE28+AG28+AH28+AI28+AK28+AL28+AM28+AN28</f>
        <v>1455044095.68267</v>
      </c>
      <c r="AQ28" s="0" t="n">
        <f aca="false">AO28+AE28+AG28+AJ28</f>
        <v>1868839930.9158</v>
      </c>
      <c r="AR28" s="0" t="n">
        <f aca="false">AB28+AC28+AD28+AF28</f>
        <v>0</v>
      </c>
      <c r="AS28" s="0" t="n">
        <f aca="false">AR28+AE28+AG28</f>
        <v>0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0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76605.081</v>
      </c>
      <c r="I29" s="0" t="n">
        <v>15852.659</v>
      </c>
      <c r="J29" s="0" t="n">
        <v>3298.6</v>
      </c>
      <c r="K29" s="0" t="n">
        <v>4374.681</v>
      </c>
      <c r="L29" s="0" t="n">
        <v>1555.437</v>
      </c>
      <c r="M29" s="0" t="n">
        <v>0</v>
      </c>
      <c r="N29" s="0" t="n">
        <v>0</v>
      </c>
      <c r="O29" s="0" t="n">
        <v>172.577</v>
      </c>
      <c r="P29" s="0" t="n">
        <v>171.511</v>
      </c>
      <c r="Q29" s="0" t="n">
        <v>2263.254</v>
      </c>
      <c r="R29" s="0" t="n">
        <v>2276.334</v>
      </c>
      <c r="S29" s="0" t="n">
        <v>9536.445</v>
      </c>
      <c r="T29" s="0" t="n">
        <v>92457.74</v>
      </c>
      <c r="U29" s="0" t="n">
        <v>61698.018</v>
      </c>
      <c r="V29" s="0" t="n">
        <v>135131.314</v>
      </c>
      <c r="W29" s="0" t="n">
        <v>679.111</v>
      </c>
      <c r="X29" s="0" t="n">
        <v>1350.606</v>
      </c>
      <c r="Y29" s="0" t="n">
        <v>172.577</v>
      </c>
      <c r="Z29" s="0" t="n">
        <v>1593.041</v>
      </c>
      <c r="AA29" s="0" t="n">
        <f aca="false">H29*x_c_F+I29*x_c_CC+J29*x_c_DC+K29*x_c_HCC+L29*x_c_PLT+M29*x_c_SVRn+N29*x_c_SVRcc+O29*x_c_LT+P29*x_c_LT1</f>
        <v>764047758.578842</v>
      </c>
      <c r="AB29" s="0" t="n">
        <f aca="false">C29*x_c_DAA</f>
        <v>0</v>
      </c>
      <c r="AC29" s="0" t="n">
        <f aca="false">C29*x_c_MON</f>
        <v>0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167896145.058796</v>
      </c>
      <c r="AI29" s="0" t="n">
        <f aca="false">x_AGRI*x_EMP*x_WLOSS*(x_PEN_K74*Q29+x_PEN_C22*R29)</f>
        <v>2713477.54037895</v>
      </c>
      <c r="AJ29" s="0" t="n">
        <f aca="false">x_EMP*x_WAGE*(x_WLOSS*(Q29+R29)+S29)+U29*x_ABS_D*x_WAGE/365</f>
        <v>1203394422.8663</v>
      </c>
      <c r="AK29" s="0" t="n">
        <f aca="false">AJ29*x_R_FUS</f>
        <v>380753995.394898</v>
      </c>
      <c r="AL29" s="0" t="n">
        <f aca="false">AJ29*x_R_NFZ</f>
        <v>93456814.2742198</v>
      </c>
      <c r="AM29" s="0" t="n">
        <f aca="false">AJ29*x_R_PIT</f>
        <v>80006684.0140293</v>
      </c>
      <c r="AN29" s="0" t="n">
        <f aca="false">AJ29*x_R_FP</f>
        <v>30686557.7830907</v>
      </c>
      <c r="AO29" s="0" t="n">
        <f aca="false">AA29+AB29+AC29+AD29+AF29</f>
        <v>764047758.578842</v>
      </c>
      <c r="AP29" s="0" t="n">
        <f aca="false">AO29+AE29+AG29+AH29+AI29+AK29+AL29+AM29+AN29</f>
        <v>1519561432.64425</v>
      </c>
      <c r="AQ29" s="0" t="n">
        <f aca="false">AO29+AE29+AG29+AJ29</f>
        <v>1967442181.44514</v>
      </c>
      <c r="AR29" s="0" t="n">
        <f aca="false">AB29+AC29+AD29+AF29</f>
        <v>0</v>
      </c>
      <c r="AS29" s="0" t="n">
        <f aca="false">AR29+AE29+AG29</f>
        <v>0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0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78977.359</v>
      </c>
      <c r="I30" s="0" t="n">
        <v>16409.053</v>
      </c>
      <c r="J30" s="0" t="n">
        <v>3339.027</v>
      </c>
      <c r="K30" s="0" t="n">
        <v>4421.885</v>
      </c>
      <c r="L30" s="0" t="n">
        <v>1571.789</v>
      </c>
      <c r="M30" s="0" t="n">
        <v>0</v>
      </c>
      <c r="N30" s="0" t="n">
        <v>0</v>
      </c>
      <c r="O30" s="0" t="n">
        <v>174.678</v>
      </c>
      <c r="P30" s="0" t="n">
        <v>173.628</v>
      </c>
      <c r="Q30" s="0" t="n">
        <v>2408.386</v>
      </c>
      <c r="R30" s="0" t="n">
        <v>2419.958</v>
      </c>
      <c r="S30" s="0" t="n">
        <v>10304.668</v>
      </c>
      <c r="T30" s="0" t="n">
        <v>95386.412</v>
      </c>
      <c r="U30" s="0" t="n">
        <v>64714.538</v>
      </c>
      <c r="V30" s="0" t="n">
        <v>136074.566</v>
      </c>
      <c r="W30" s="0" t="n">
        <v>686.228</v>
      </c>
      <c r="X30" s="0" t="n">
        <v>1364.673</v>
      </c>
      <c r="Y30" s="0" t="n">
        <v>174.678</v>
      </c>
      <c r="Z30" s="0" t="n">
        <v>1611.091</v>
      </c>
      <c r="AA30" s="0" t="n">
        <f aca="false">H30*x_c_F+I30*x_c_CC+J30*x_c_DC+K30*x_c_HCC+L30*x_c_PLT+M30*x_c_SVRn+N30*x_c_SVRcc+O30*x_c_LT+P30*x_c_LT1</f>
        <v>779122606.635168</v>
      </c>
      <c r="AB30" s="0" t="n">
        <f aca="false">C30*x_c_DAA</f>
        <v>0</v>
      </c>
      <c r="AC30" s="0" t="n">
        <f aca="false">C30*x_c_MON</f>
        <v>0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176707674.444979</v>
      </c>
      <c r="AI30" s="0" t="n">
        <f aca="false">x_AGRI*x_EMP*x_WLOSS*(x_PEN_K74*Q30+x_PEN_C22*R30)</f>
        <v>2885988.22213062</v>
      </c>
      <c r="AJ30" s="0" t="n">
        <f aca="false">x_EMP*x_WAGE*(x_WLOSS*(Q30+R30)+S30)+U30*x_ABS_D*x_WAGE/365</f>
        <v>1291053544.63916</v>
      </c>
      <c r="AK30" s="0" t="n">
        <f aca="false">AJ30*x_R_FUS</f>
        <v>408489341.52383</v>
      </c>
      <c r="AL30" s="0" t="n">
        <f aca="false">AJ30*x_R_NFZ</f>
        <v>100264509.330222</v>
      </c>
      <c r="AM30" s="0" t="n">
        <f aca="false">AJ30*x_R_PIT</f>
        <v>85834628.305082</v>
      </c>
      <c r="AN30" s="0" t="n">
        <f aca="false">AJ30*x_R_FP</f>
        <v>32921865.3882986</v>
      </c>
      <c r="AO30" s="0" t="n">
        <f aca="false">AA30+AB30+AC30+AD30+AF30</f>
        <v>779122606.635168</v>
      </c>
      <c r="AP30" s="0" t="n">
        <f aca="false">AO30+AE30+AG30+AH30+AI30+AK30+AL30+AM30+AN30</f>
        <v>1586226613.84971</v>
      </c>
      <c r="AQ30" s="0" t="n">
        <f aca="false">AO30+AE30+AG30+AJ30</f>
        <v>2070176151.27433</v>
      </c>
      <c r="AR30" s="0" t="n">
        <f aca="false">AB30+AC30+AD30+AF30</f>
        <v>0</v>
      </c>
      <c r="AS30" s="0" t="n">
        <f aca="false">AR30+AE30+AG30</f>
        <v>0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0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81336.42</v>
      </c>
      <c r="I31" s="0" t="n">
        <v>16970.086</v>
      </c>
      <c r="J31" s="0" t="n">
        <v>3378.86</v>
      </c>
      <c r="K31" s="0" t="n">
        <v>4469.707</v>
      </c>
      <c r="L31" s="0" t="n">
        <v>1588.07</v>
      </c>
      <c r="M31" s="0" t="n">
        <v>0</v>
      </c>
      <c r="N31" s="0" t="n">
        <v>0</v>
      </c>
      <c r="O31" s="0" t="n">
        <v>176.74</v>
      </c>
      <c r="P31" s="0" t="n">
        <v>175.709</v>
      </c>
      <c r="Q31" s="0" t="n">
        <v>2560.119</v>
      </c>
      <c r="R31" s="0" t="n">
        <v>2567.87</v>
      </c>
      <c r="S31" s="0" t="n">
        <v>11114.93</v>
      </c>
      <c r="T31" s="0" t="n">
        <v>98306.506</v>
      </c>
      <c r="U31" s="0" t="n">
        <v>67727.497</v>
      </c>
      <c r="V31" s="0" t="n">
        <v>137024.843</v>
      </c>
      <c r="W31" s="0" t="n">
        <v>693.474</v>
      </c>
      <c r="X31" s="0" t="n">
        <v>1379.067</v>
      </c>
      <c r="Y31" s="0" t="n">
        <v>176.74</v>
      </c>
      <c r="Z31" s="0" t="n">
        <v>1629.062</v>
      </c>
      <c r="AA31" s="0" t="n">
        <f aca="false">H31*x_c_F+I31*x_c_CC+J31*x_c_DC+K31*x_c_HCC+L31*x_c_PLT+M31*x_c_SVRn+N31*x_c_SVRcc+O31*x_c_LT+P31*x_c_LT1</f>
        <v>794194242.431892</v>
      </c>
      <c r="AB31" s="0" t="n">
        <f aca="false">C31*x_c_DAA</f>
        <v>0</v>
      </c>
      <c r="AC31" s="0" t="n">
        <f aca="false">C31*x_c_MON</f>
        <v>0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185609000.036158</v>
      </c>
      <c r="AI31" s="0" t="n">
        <f aca="false">x_AGRI*x_EMP*x_WLOSS*(x_PEN_K74*Q31+x_PEN_C22*R31)</f>
        <v>3064918.16453202</v>
      </c>
      <c r="AJ31" s="0" t="n">
        <f aca="false">x_EMP*x_WAGE*(x_WLOSS*(Q31+R31)+S31)+U31*x_ABS_D*x_WAGE/365</f>
        <v>1382787994.71068</v>
      </c>
      <c r="AK31" s="0" t="n">
        <f aca="false">AJ31*x_R_FUS</f>
        <v>437514121.526459</v>
      </c>
      <c r="AL31" s="0" t="n">
        <f aca="false">AJ31*x_R_NFZ</f>
        <v>107388698.457226</v>
      </c>
      <c r="AM31" s="0" t="n">
        <f aca="false">AJ31*x_R_PIT</f>
        <v>91933517.4312187</v>
      </c>
      <c r="AN31" s="0" t="n">
        <f aca="false">AJ31*x_R_FP</f>
        <v>35261093.8651223</v>
      </c>
      <c r="AO31" s="0" t="n">
        <f aca="false">AA31+AB31+AC31+AD31+AF31</f>
        <v>794194242.431892</v>
      </c>
      <c r="AP31" s="0" t="n">
        <f aca="false">AO31+AE31+AG31+AH31+AI31+AK31+AL31+AM31+AN31</f>
        <v>1654965591.91261</v>
      </c>
      <c r="AQ31" s="0" t="n">
        <f aca="false">AO31+AE31+AG31+AJ31</f>
        <v>2176982237.14257</v>
      </c>
      <c r="AR31" s="0" t="n">
        <f aca="false">AB31+AC31+AD31+AF31</f>
        <v>0</v>
      </c>
      <c r="AS31" s="0" t="n">
        <f aca="false">AR31+AE31+AG31</f>
        <v>0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83677.226</v>
      </c>
      <c r="I32" s="0" t="n">
        <v>17534.222</v>
      </c>
      <c r="J32" s="0" t="n">
        <v>3417.859</v>
      </c>
      <c r="K32" s="0" t="n">
        <v>4517.731</v>
      </c>
      <c r="L32" s="0" t="n">
        <v>1603.884</v>
      </c>
      <c r="M32" s="0" t="n">
        <v>0</v>
      </c>
      <c r="N32" s="0" t="n">
        <v>0</v>
      </c>
      <c r="O32" s="0" t="n">
        <v>178.747</v>
      </c>
      <c r="P32" s="0" t="n">
        <v>177.744</v>
      </c>
      <c r="Q32" s="0" t="n">
        <v>2718.13</v>
      </c>
      <c r="R32" s="0" t="n">
        <v>2719.536</v>
      </c>
      <c r="S32" s="0" t="n">
        <v>11967.462</v>
      </c>
      <c r="T32" s="0" t="n">
        <v>101211.449</v>
      </c>
      <c r="U32" s="0" t="n">
        <v>70731.698</v>
      </c>
      <c r="V32" s="0" t="n">
        <v>137971.316</v>
      </c>
      <c r="W32" s="0" t="n">
        <v>700.769</v>
      </c>
      <c r="X32" s="0" t="n">
        <v>1393.614</v>
      </c>
      <c r="Y32" s="0" t="n">
        <v>178.747</v>
      </c>
      <c r="Z32" s="0" t="n">
        <v>1646.781</v>
      </c>
      <c r="AA32" s="0" t="n">
        <f aca="false">H32*x_c_F+I32*x_c_CC+J32*x_c_DC+K32*x_c_HCC+L32*x_c_PLT+M32*x_c_SVRn+N32*x_c_SVRcc+O32*x_c_LT+P32*x_c_LT1</f>
        <v>809190392.027569</v>
      </c>
      <c r="AB32" s="0" t="n">
        <f aca="false">C32*x_c_DAA</f>
        <v>0</v>
      </c>
      <c r="AC32" s="0" t="n">
        <f aca="false">C32*x_c_MON</f>
        <v>0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194581566.980095</v>
      </c>
      <c r="AI32" s="0" t="n">
        <f aca="false">x_AGRI*x_EMP*x_WLOSS*(x_PEN_K74*Q32+x_PEN_C22*R32)</f>
        <v>3249747.14709525</v>
      </c>
      <c r="AJ32" s="0" t="n">
        <f aca="false">x_EMP*x_WAGE*(x_WLOSS*(Q32+R32)+S32)+U32*x_ABS_D*x_WAGE/365</f>
        <v>1478562731.32284</v>
      </c>
      <c r="AK32" s="0" t="n">
        <f aca="false">AJ32*x_R_FUS</f>
        <v>467817248.190545</v>
      </c>
      <c r="AL32" s="0" t="n">
        <f aca="false">AJ32*x_R_NFZ</f>
        <v>114826660.277263</v>
      </c>
      <c r="AM32" s="0" t="n">
        <f aca="false">AJ32*x_R_PIT</f>
        <v>98301021.6701071</v>
      </c>
      <c r="AN32" s="0" t="n">
        <f aca="false">AJ32*x_R_FP</f>
        <v>37703349.6487323</v>
      </c>
      <c r="AO32" s="0" t="n">
        <f aca="false">AA32+AB32+AC32+AD32+AF32</f>
        <v>809190392.027569</v>
      </c>
      <c r="AP32" s="0" t="n">
        <f aca="false">AO32+AE32+AG32+AH32+AI32+AK32+AL32+AM32+AN32</f>
        <v>1725669985.94141</v>
      </c>
      <c r="AQ32" s="0" t="n">
        <f aca="false">AO32+AE32+AG32+AJ32</f>
        <v>2287753123.35041</v>
      </c>
      <c r="AR32" s="0" t="n">
        <f aca="false">AB32+AC32+AD32+AF32</f>
        <v>0</v>
      </c>
      <c r="AS32" s="0" t="n">
        <f aca="false">AR32+AE32+AG32</f>
        <v>0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0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85994.503</v>
      </c>
      <c r="I33" s="0" t="n">
        <v>18099.014</v>
      </c>
      <c r="J33" s="0" t="n">
        <v>3455.602</v>
      </c>
      <c r="K33" s="0" t="n">
        <v>4565.342</v>
      </c>
      <c r="L33" s="0" t="n">
        <v>1618.736</v>
      </c>
      <c r="M33" s="0" t="n">
        <v>0</v>
      </c>
      <c r="N33" s="0" t="n">
        <v>0</v>
      </c>
      <c r="O33" s="0" t="n">
        <v>180.672</v>
      </c>
      <c r="P33" s="0" t="n">
        <v>179.71</v>
      </c>
      <c r="Q33" s="0" t="n">
        <v>2881.995</v>
      </c>
      <c r="R33" s="0" t="n">
        <v>2874.355</v>
      </c>
      <c r="S33" s="0" t="n">
        <v>12861.997</v>
      </c>
      <c r="T33" s="0" t="n">
        <v>104093.517</v>
      </c>
      <c r="U33" s="0" t="n">
        <v>73721.807</v>
      </c>
      <c r="V33" s="0" t="n">
        <v>138902.884</v>
      </c>
      <c r="W33" s="0" t="n">
        <v>707.997</v>
      </c>
      <c r="X33" s="0" t="n">
        <v>1408.075</v>
      </c>
      <c r="Y33" s="0" t="n">
        <v>180.672</v>
      </c>
      <c r="Z33" s="0" t="n">
        <v>1663.974</v>
      </c>
      <c r="AA33" s="0" t="n">
        <f aca="false">H33*x_c_F+I33*x_c_CC+J33*x_c_DC+K33*x_c_HCC+L33*x_c_PLT+M33*x_c_SVRn+N33*x_c_SVRcc+O33*x_c_LT+P33*x_c_LT1</f>
        <v>824009812.451949</v>
      </c>
      <c r="AB33" s="0" t="n">
        <f aca="false">C33*x_c_DAA</f>
        <v>0</v>
      </c>
      <c r="AC33" s="0" t="n">
        <f aca="false">C33*x_c_MON</f>
        <v>0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203605039.430643</v>
      </c>
      <c r="AI33" s="0" t="n">
        <f aca="false">x_AGRI*x_EMP*x_WLOSS*(x_PEN_K74*Q33+x_PEN_C22*R33)</f>
        <v>3439855.84596452</v>
      </c>
      <c r="AJ33" s="0" t="n">
        <f aca="false">x_EMP*x_WAGE*(x_WLOSS*(Q33+R33)+S33)+U33*x_ABS_D*x_WAGE/365</f>
        <v>1578292112.87833</v>
      </c>
      <c r="AK33" s="0" t="n">
        <f aca="false">AJ33*x_R_FUS</f>
        <v>499371624.514702</v>
      </c>
      <c r="AL33" s="0" t="n">
        <f aca="false">AJ33*x_R_NFZ</f>
        <v>122571743.778244</v>
      </c>
      <c r="AM33" s="0" t="n">
        <f aca="false">AJ33*x_R_PIT</f>
        <v>104931447.210903</v>
      </c>
      <c r="AN33" s="0" t="n">
        <f aca="false">AJ33*x_R_FP</f>
        <v>40246448.8783973</v>
      </c>
      <c r="AO33" s="0" t="n">
        <f aca="false">AA33+AB33+AC33+AD33+AF33</f>
        <v>824009812.451949</v>
      </c>
      <c r="AP33" s="0" t="n">
        <f aca="false">AO33+AE33+AG33+AH33+AI33+AK33+AL33+AM33+AN33</f>
        <v>1798175972.1108</v>
      </c>
      <c r="AQ33" s="0" t="n">
        <f aca="false">AO33+AE33+AG33+AJ33</f>
        <v>2402301925.33027</v>
      </c>
      <c r="AR33" s="0" t="n">
        <f aca="false">AB33+AC33+AD33+AF33</f>
        <v>0</v>
      </c>
      <c r="AS33" s="0" t="n">
        <f aca="false">AR33+AE33+AG33</f>
        <v>0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0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88265.935</v>
      </c>
      <c r="I34" s="0" t="n">
        <v>18641.625</v>
      </c>
      <c r="J34" s="0" t="n">
        <v>3486.153</v>
      </c>
      <c r="K34" s="0" t="n">
        <v>4605.764</v>
      </c>
      <c r="L34" s="0" t="n">
        <v>1627.938</v>
      </c>
      <c r="M34" s="0" t="n">
        <v>0</v>
      </c>
      <c r="N34" s="0" t="n">
        <v>0</v>
      </c>
      <c r="O34" s="0" t="n">
        <v>181.907</v>
      </c>
      <c r="P34" s="0" t="n">
        <v>181.289</v>
      </c>
      <c r="Q34" s="0" t="n">
        <v>3051.202</v>
      </c>
      <c r="R34" s="0" t="n">
        <v>3031.678</v>
      </c>
      <c r="S34" s="0" t="n">
        <v>13797.788</v>
      </c>
      <c r="T34" s="0" t="n">
        <v>106907.56</v>
      </c>
      <c r="U34" s="0" t="n">
        <v>76691.739</v>
      </c>
      <c r="V34" s="0" t="n">
        <v>139759.994</v>
      </c>
      <c r="W34" s="0" t="n">
        <v>713.422</v>
      </c>
      <c r="X34" s="0" t="n">
        <v>1419.164</v>
      </c>
      <c r="Y34" s="0" t="n">
        <v>181.907</v>
      </c>
      <c r="Z34" s="0" t="n">
        <v>1675.283</v>
      </c>
      <c r="AA34" s="0" t="n">
        <f aca="false">H34*x_c_F+I34*x_c_CC+J34*x_c_DC+K34*x_c_HCC+L34*x_c_PLT+M34*x_c_SVRn+N34*x_c_SVRcc+O34*x_c_LT+P34*x_c_LT1</f>
        <v>837556890.154408</v>
      </c>
      <c r="AB34" s="0" t="n">
        <f aca="false">C34*x_c_DAA</f>
        <v>0</v>
      </c>
      <c r="AC34" s="0" t="n">
        <f aca="false">C34*x_c_MON</f>
        <v>0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212656331.029584</v>
      </c>
      <c r="AI34" s="0" t="n">
        <f aca="false">x_AGRI*x_EMP*x_WLOSS*(x_PEN_K74*Q34+x_PEN_C22*R34)</f>
        <v>3634545.18700448</v>
      </c>
      <c r="AJ34" s="0" t="n">
        <f aca="false">x_EMP*x_WAGE*(x_WLOSS*(Q34+R34)+S34)+U34*x_ABS_D*x_WAGE/365</f>
        <v>1681841102.93635</v>
      </c>
      <c r="AK34" s="0" t="n">
        <f aca="false">AJ34*x_R_FUS</f>
        <v>532134524.969061</v>
      </c>
      <c r="AL34" s="0" t="n">
        <f aca="false">AJ34*x_R_NFZ</f>
        <v>130613461.89514</v>
      </c>
      <c r="AM34" s="0" t="n">
        <f aca="false">AJ34*x_R_PIT</f>
        <v>111815816.267402</v>
      </c>
      <c r="AN34" s="0" t="n">
        <f aca="false">AJ34*x_R_FP</f>
        <v>42886948.1248769</v>
      </c>
      <c r="AO34" s="0" t="n">
        <f aca="false">AA34+AB34+AC34+AD34+AF34</f>
        <v>837556890.154408</v>
      </c>
      <c r="AP34" s="0" t="n">
        <f aca="false">AO34+AE34+AG34+AH34+AI34+AK34+AL34+AM34+AN34</f>
        <v>1871298517.62748</v>
      </c>
      <c r="AQ34" s="0" t="n">
        <f aca="false">AO34+AE34+AG34+AJ34</f>
        <v>2519397993.09076</v>
      </c>
      <c r="AR34" s="0" t="n">
        <f aca="false">AB34+AC34+AD34+AF34</f>
        <v>0</v>
      </c>
      <c r="AS34" s="0" t="n">
        <f aca="false">AR34+AE34+AG34</f>
        <v>0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90510.765</v>
      </c>
      <c r="I35" s="0" t="n">
        <v>19186.529</v>
      </c>
      <c r="J35" s="0" t="n">
        <v>3516.49</v>
      </c>
      <c r="K35" s="0" t="n">
        <v>4646.738</v>
      </c>
      <c r="L35" s="0" t="n">
        <v>1636.512</v>
      </c>
      <c r="M35" s="0" t="n">
        <v>0</v>
      </c>
      <c r="N35" s="0" t="n">
        <v>0</v>
      </c>
      <c r="O35" s="0" t="n">
        <v>183.808</v>
      </c>
      <c r="P35" s="0" t="n">
        <v>182.857</v>
      </c>
      <c r="Q35" s="0" t="n">
        <v>3225.154</v>
      </c>
      <c r="R35" s="0" t="n">
        <v>3190.815</v>
      </c>
      <c r="S35" s="0" t="n">
        <v>14773.577</v>
      </c>
      <c r="T35" s="0" t="n">
        <v>109697.294</v>
      </c>
      <c r="U35" s="0" t="n">
        <v>79636.369</v>
      </c>
      <c r="V35" s="0" t="n">
        <v>140603.466</v>
      </c>
      <c r="W35" s="0" t="n">
        <v>720.847</v>
      </c>
      <c r="X35" s="0" t="n">
        <v>1434.042</v>
      </c>
      <c r="Y35" s="0" t="n">
        <v>183.808</v>
      </c>
      <c r="Z35" s="0" t="n">
        <v>1692.587</v>
      </c>
      <c r="AA35" s="0" t="n">
        <f aca="false">H35*x_c_F+I35*x_c_CC+J35*x_c_DC+K35*x_c_HCC+L35*x_c_PLT+M35*x_c_SVRn+N35*x_c_SVRcc+O35*x_c_LT+P35*x_c_LT1</f>
        <v>851276312.220832</v>
      </c>
      <c r="AB35" s="0" t="n">
        <f aca="false">C35*x_c_DAA</f>
        <v>0</v>
      </c>
      <c r="AC35" s="0" t="n">
        <f aca="false">C35*x_c_MON</f>
        <v>0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221713215.24625</v>
      </c>
      <c r="AI35" s="0" t="n">
        <f aca="false">x_AGRI*x_EMP*x_WLOSS*(x_PEN_K74*Q35+x_PEN_C22*R35)</f>
        <v>3833042.47475843</v>
      </c>
      <c r="AJ35" s="0" t="n">
        <f aca="false">x_EMP*x_WAGE*(x_WLOSS*(Q35+R35)+S35)+U35*x_ABS_D*x_WAGE/365</f>
        <v>1789028113.54016</v>
      </c>
      <c r="AK35" s="0" t="n">
        <f aca="false">AJ35*x_R_FUS</f>
        <v>566048495.124106</v>
      </c>
      <c r="AL35" s="0" t="n">
        <f aca="false">AJ35*x_R_NFZ</f>
        <v>138937712.325642</v>
      </c>
      <c r="AM35" s="0" t="n">
        <f aca="false">AJ35*x_R_PIT</f>
        <v>118942056.114319</v>
      </c>
      <c r="AN35" s="0" t="n">
        <f aca="false">AJ35*x_R_FP</f>
        <v>45620216.895274</v>
      </c>
      <c r="AO35" s="0" t="n">
        <f aca="false">AA35+AB35+AC35+AD35+AF35</f>
        <v>851276312.220832</v>
      </c>
      <c r="AP35" s="0" t="n">
        <f aca="false">AO35+AE35+AG35+AH35+AI35+AK35+AL35+AM35+AN35</f>
        <v>1946371050.40118</v>
      </c>
      <c r="AQ35" s="0" t="n">
        <f aca="false">AO35+AE35+AG35+AJ35</f>
        <v>2640304425.76099</v>
      </c>
      <c r="AR35" s="0" t="n">
        <f aca="false">AB35+AC35+AD35+AF35</f>
        <v>0</v>
      </c>
      <c r="AS35" s="0" t="n">
        <f aca="false">AR35+AE35+AG35</f>
        <v>0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0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92740.331</v>
      </c>
      <c r="I36" s="0" t="n">
        <v>19748.513</v>
      </c>
      <c r="J36" s="0" t="n">
        <v>3550.949</v>
      </c>
      <c r="K36" s="0" t="n">
        <v>4692.986</v>
      </c>
      <c r="L36" s="0" t="n">
        <v>1647.637</v>
      </c>
      <c r="M36" s="0" t="n">
        <v>0</v>
      </c>
      <c r="N36" s="0" t="n">
        <v>0</v>
      </c>
      <c r="O36" s="0" t="n">
        <v>185.487</v>
      </c>
      <c r="P36" s="0" t="n">
        <v>184.648</v>
      </c>
      <c r="Q36" s="0" t="n">
        <v>2532.476</v>
      </c>
      <c r="R36" s="0" t="n">
        <v>2728.929</v>
      </c>
      <c r="S36" s="0" t="n">
        <v>10262.661</v>
      </c>
      <c r="T36" s="0" t="n">
        <v>112488.843</v>
      </c>
      <c r="U36" s="0" t="n">
        <v>78835.475</v>
      </c>
      <c r="V36" s="0" t="n">
        <v>141469.038</v>
      </c>
      <c r="W36" s="0" t="n">
        <v>727.71</v>
      </c>
      <c r="X36" s="0" t="n">
        <v>1447.865</v>
      </c>
      <c r="Y36" s="0" t="n">
        <v>185.487</v>
      </c>
      <c r="Z36" s="0" t="n">
        <v>1708.04</v>
      </c>
      <c r="AA36" s="0" t="n">
        <f aca="false">H36*x_c_F+I36*x_c_CC+J36*x_c_DC+K36*x_c_HCC+L36*x_c_PLT+M36*x_c_SVRn+N36*x_c_SVRcc+O36*x_c_LT+P36*x_c_LT1</f>
        <v>865464723.627983</v>
      </c>
      <c r="AB36" s="0" t="n">
        <f aca="false">C36*x_c_DAA</f>
        <v>0</v>
      </c>
      <c r="AC36" s="0" t="n">
        <f aca="false">C36*x_c_MON</f>
        <v>0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209760956.232299</v>
      </c>
      <c r="AI36" s="0" t="n">
        <f aca="false">x_AGRI*x_EMP*x_WLOSS*(x_PEN_K74*Q36+x_PEN_C22*R36)</f>
        <v>3151854.46916985</v>
      </c>
      <c r="AJ36" s="0" t="n">
        <f aca="false">x_EMP*x_WAGE*(x_WLOSS*(Q36+R36)+S36)+U36*x_ABS_D*x_WAGE/365</f>
        <v>1348896105.30883</v>
      </c>
      <c r="AK36" s="0" t="n">
        <f aca="false">AJ36*x_R_FUS</f>
        <v>426790727.719714</v>
      </c>
      <c r="AL36" s="0" t="n">
        <f aca="false">AJ36*x_R_NFZ</f>
        <v>104756620.434389</v>
      </c>
      <c r="AM36" s="0" t="n">
        <f aca="false">AJ36*x_R_PIT</f>
        <v>89680243.1642884</v>
      </c>
      <c r="AN36" s="0" t="n">
        <f aca="false">AJ36*x_R_FP</f>
        <v>34396850.6853752</v>
      </c>
      <c r="AO36" s="0" t="n">
        <f aca="false">AA36+AB36+AC36+AD36+AF36</f>
        <v>865464723.627983</v>
      </c>
      <c r="AP36" s="0" t="n">
        <f aca="false">AO36+AE36+AG36+AH36+AI36+AK36+AL36+AM36+AN36</f>
        <v>1734001976.33322</v>
      </c>
      <c r="AQ36" s="0" t="n">
        <f aca="false">AO36+AE36+AG36+AJ36</f>
        <v>2214360828.93681</v>
      </c>
      <c r="AR36" s="0" t="n">
        <f aca="false">AB36+AC36+AD36+AF36</f>
        <v>0</v>
      </c>
      <c r="AS36" s="0" t="n">
        <f aca="false">AR36+AE36+AG36</f>
        <v>0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0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94926.975</v>
      </c>
      <c r="I37" s="0" t="n">
        <v>20296.736</v>
      </c>
      <c r="J37" s="0" t="n">
        <v>3581.395</v>
      </c>
      <c r="K37" s="0" t="n">
        <v>4735.275</v>
      </c>
      <c r="L37" s="0" t="n">
        <v>1655.027</v>
      </c>
      <c r="M37" s="0" t="n">
        <v>0</v>
      </c>
      <c r="N37" s="0" t="n">
        <v>0</v>
      </c>
      <c r="O37" s="0" t="n">
        <v>186.962</v>
      </c>
      <c r="P37" s="0" t="n">
        <v>186.225</v>
      </c>
      <c r="Q37" s="0" t="n">
        <v>1751.99</v>
      </c>
      <c r="R37" s="0" t="n">
        <v>2187.421</v>
      </c>
      <c r="S37" s="0" t="n">
        <v>5254.927</v>
      </c>
      <c r="T37" s="0" t="n">
        <v>115223.711</v>
      </c>
      <c r="U37" s="0" t="n">
        <v>77265.11</v>
      </c>
      <c r="V37" s="0" t="n">
        <v>142279.432</v>
      </c>
      <c r="W37" s="0" t="n">
        <v>734.066</v>
      </c>
      <c r="X37" s="0" t="n">
        <v>1460.731</v>
      </c>
      <c r="Y37" s="0" t="n">
        <v>186.962</v>
      </c>
      <c r="Z37" s="0" t="n">
        <v>1721.786</v>
      </c>
      <c r="AA37" s="0" t="n">
        <f aca="false">H37*x_c_F+I37*x_c_CC+J37*x_c_DC+K37*x_c_HCC+L37*x_c_PLT+M37*x_c_SVRn+N37*x_c_SVRcc+O37*x_c_LT+P37*x_c_LT1</f>
        <v>878931281.376378</v>
      </c>
      <c r="AB37" s="0" t="n">
        <f aca="false">C37*x_c_DAA</f>
        <v>0</v>
      </c>
      <c r="AC37" s="0" t="n">
        <f aca="false">C37*x_c_MON</f>
        <v>0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194717662.910033</v>
      </c>
      <c r="AI37" s="0" t="n">
        <f aca="false">x_AGRI*x_EMP*x_WLOSS*(x_PEN_K74*Q37+x_PEN_C22*R37)</f>
        <v>2370918.33926268</v>
      </c>
      <c r="AJ37" s="0" t="n">
        <f aca="false">x_EMP*x_WAGE*(x_WLOSS*(Q37+R37)+S37)+U37*x_ABS_D*x_WAGE/365</f>
        <v>856433492.607038</v>
      </c>
      <c r="AK37" s="0" t="n">
        <f aca="false">AJ37*x_R_FUS</f>
        <v>270975557.060867</v>
      </c>
      <c r="AL37" s="0" t="n">
        <f aca="false">AJ37*x_R_NFZ</f>
        <v>66511481.4693552</v>
      </c>
      <c r="AM37" s="0" t="n">
        <f aca="false">AJ37*x_R_PIT</f>
        <v>56939273.2092257</v>
      </c>
      <c r="AN37" s="0" t="n">
        <f aca="false">AJ37*x_R_FP</f>
        <v>21839054.0614795</v>
      </c>
      <c r="AO37" s="0" t="n">
        <f aca="false">AA37+AB37+AC37+AD37+AF37</f>
        <v>878931281.376378</v>
      </c>
      <c r="AP37" s="0" t="n">
        <f aca="false">AO37+AE37+AG37+AH37+AI37+AK37+AL37+AM37+AN37</f>
        <v>1492285228.4266</v>
      </c>
      <c r="AQ37" s="0" t="n">
        <f aca="false">AO37+AE37+AG37+AJ37</f>
        <v>1735364773.98342</v>
      </c>
      <c r="AR37" s="0" t="n">
        <f aca="false">AB37+AC37+AD37+AF37</f>
        <v>0</v>
      </c>
      <c r="AS37" s="0" t="n">
        <f aca="false">AR37+AE37+AG37</f>
        <v>0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0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97071.14</v>
      </c>
      <c r="I38" s="0" t="n">
        <v>20832.694</v>
      </c>
      <c r="J38" s="0" t="n">
        <v>3608.427</v>
      </c>
      <c r="K38" s="0" t="n">
        <v>4774.251</v>
      </c>
      <c r="L38" s="0" t="n">
        <v>1658.805</v>
      </c>
      <c r="M38" s="0" t="n">
        <v>0</v>
      </c>
      <c r="N38" s="0" t="n">
        <v>0</v>
      </c>
      <c r="O38" s="0" t="n">
        <v>188.277</v>
      </c>
      <c r="P38" s="0" t="n">
        <v>187.619</v>
      </c>
      <c r="Q38" s="0" t="n">
        <v>1752.506</v>
      </c>
      <c r="R38" s="0" t="n">
        <v>2187.999</v>
      </c>
      <c r="S38" s="0" t="n">
        <v>5256.592</v>
      </c>
      <c r="T38" s="0" t="n">
        <v>117903.834</v>
      </c>
      <c r="U38" s="0" t="n">
        <v>78643.569</v>
      </c>
      <c r="V38" s="0" t="n">
        <v>143040.035</v>
      </c>
      <c r="W38" s="0" t="n">
        <v>740.045</v>
      </c>
      <c r="X38" s="0" t="n">
        <v>1472.873</v>
      </c>
      <c r="Y38" s="0" t="n">
        <v>188.277</v>
      </c>
      <c r="Z38" s="0" t="n">
        <v>1734.199</v>
      </c>
      <c r="AA38" s="0" t="n">
        <f aca="false">H38*x_c_F+I38*x_c_CC+J38*x_c_DC+K38*x_c_HCC+L38*x_c_PLT+M38*x_c_SVRn+N38*x_c_SVRcc+O38*x_c_LT+P38*x_c_LT1</f>
        <v>891757307.301184</v>
      </c>
      <c r="AB38" s="0" t="n">
        <f aca="false">C38*x_c_DAA</f>
        <v>0</v>
      </c>
      <c r="AC38" s="0" t="n">
        <f aca="false">C38*x_c_MON</f>
        <v>0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197561539.425198</v>
      </c>
      <c r="AI38" s="0" t="n">
        <f aca="false">x_AGRI*x_EMP*x_WLOSS*(x_PEN_K74*Q38+x_PEN_C22*R38)</f>
        <v>2371574.50942877</v>
      </c>
      <c r="AJ38" s="0" t="n">
        <f aca="false">x_EMP*x_WAGE*(x_WLOSS*(Q38+R38)+S38)+U38*x_ABS_D*x_WAGE/365</f>
        <v>860674870.903824</v>
      </c>
      <c r="AK38" s="0" t="n">
        <f aca="false">AJ38*x_R_FUS</f>
        <v>272317529.15397</v>
      </c>
      <c r="AL38" s="0" t="n">
        <f aca="false">AJ38*x_R_NFZ</f>
        <v>66840871.1492619</v>
      </c>
      <c r="AM38" s="0" t="n">
        <f aca="false">AJ38*x_R_PIT</f>
        <v>57221257.7412519</v>
      </c>
      <c r="AN38" s="0" t="n">
        <f aca="false">AJ38*x_R_FP</f>
        <v>21947209.2080475</v>
      </c>
      <c r="AO38" s="0" t="n">
        <f aca="false">AA38+AB38+AC38+AD38+AF38</f>
        <v>891757307.301184</v>
      </c>
      <c r="AP38" s="0" t="n">
        <f aca="false">AO38+AE38+AG38+AH38+AI38+AK38+AL38+AM38+AN38</f>
        <v>1510017288.48834</v>
      </c>
      <c r="AQ38" s="0" t="n">
        <f aca="false">AO38+AE38+AG38+AJ38</f>
        <v>1752432178.20501</v>
      </c>
      <c r="AR38" s="0" t="n">
        <f aca="false">AB38+AC38+AD38+AF38</f>
        <v>0</v>
      </c>
      <c r="AS38" s="0" t="n">
        <f aca="false">AR38+AE38+AG38</f>
        <v>0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99174.524</v>
      </c>
      <c r="I39" s="0" t="n">
        <v>21359.851</v>
      </c>
      <c r="J39" s="0" t="n">
        <v>3633.041</v>
      </c>
      <c r="K39" s="0" t="n">
        <v>4810.986</v>
      </c>
      <c r="L39" s="0" t="n">
        <v>1659.424</v>
      </c>
      <c r="M39" s="0" t="n">
        <v>0</v>
      </c>
      <c r="N39" s="0" t="n">
        <v>0</v>
      </c>
      <c r="O39" s="0" t="n">
        <v>189.494</v>
      </c>
      <c r="P39" s="0" t="n">
        <v>188.885</v>
      </c>
      <c r="Q39" s="0" t="n">
        <v>1752.936</v>
      </c>
      <c r="R39" s="0" t="n">
        <v>2188.483</v>
      </c>
      <c r="S39" s="0" t="n">
        <v>5257.971</v>
      </c>
      <c r="T39" s="0" t="n">
        <v>120534.376</v>
      </c>
      <c r="U39" s="0" t="n">
        <v>79994.777</v>
      </c>
      <c r="V39" s="0" t="n">
        <v>143759.592</v>
      </c>
      <c r="W39" s="0" t="n">
        <v>745.82</v>
      </c>
      <c r="X39" s="0" t="n">
        <v>1484.605</v>
      </c>
      <c r="Y39" s="0" t="n">
        <v>189.494</v>
      </c>
      <c r="Z39" s="0" t="n">
        <v>1745.783</v>
      </c>
      <c r="AA39" s="0" t="n">
        <f aca="false">H39*x_c_F+I39*x_c_CC+J39*x_c_DC+K39*x_c_HCC+L39*x_c_PLT+M39*x_c_SVRn+N39*x_c_SVRcc+O39*x_c_LT+P39*x_c_LT1</f>
        <v>904090256.238619</v>
      </c>
      <c r="AB39" s="0" t="n">
        <f aca="false">C39*x_c_DAA</f>
        <v>0</v>
      </c>
      <c r="AC39" s="0" t="n">
        <f aca="false">C39*x_c_MON</f>
        <v>0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200347759.002857</v>
      </c>
      <c r="AI39" s="0" t="n">
        <f aca="false">x_AGRI*x_EMP*x_WLOSS*(x_PEN_K74*Q39+x_PEN_C22*R39)</f>
        <v>2372122.80143326</v>
      </c>
      <c r="AJ39" s="0" t="n">
        <f aca="false">x_EMP*x_WAGE*(x_WLOSS*(Q39+R39)+S39)+U39*x_ABS_D*x_WAGE/365</f>
        <v>864803528.27219</v>
      </c>
      <c r="AK39" s="0" t="n">
        <f aca="false">AJ39*x_R_FUS</f>
        <v>273623836.345321</v>
      </c>
      <c r="AL39" s="0" t="n">
        <f aca="false">AJ39*x_R_NFZ</f>
        <v>67161506.8091466</v>
      </c>
      <c r="AM39" s="0" t="n">
        <f aca="false">AJ39*x_R_PIT</f>
        <v>57495748.1154771</v>
      </c>
      <c r="AN39" s="0" t="n">
        <f aca="false">AJ39*x_R_FP</f>
        <v>22052489.9709409</v>
      </c>
      <c r="AO39" s="0" t="n">
        <f aca="false">AA39+AB39+AC39+AD39+AF39</f>
        <v>904090256.238619</v>
      </c>
      <c r="AP39" s="0" t="n">
        <f aca="false">AO39+AE39+AG39+AH39+AI39+AK39+AL39+AM39+AN39</f>
        <v>1527143719.28379</v>
      </c>
      <c r="AQ39" s="0" t="n">
        <f aca="false">AO39+AE39+AG39+AJ39</f>
        <v>1768893784.51081</v>
      </c>
      <c r="AR39" s="0" t="n">
        <f aca="false">AB39+AC39+AD39+AF39</f>
        <v>0</v>
      </c>
      <c r="AS39" s="0" t="n">
        <f aca="false">AR39+AE39+AG39</f>
        <v>0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0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101239.936</v>
      </c>
      <c r="I40" s="0" t="n">
        <v>21883.647</v>
      </c>
      <c r="J40" s="0" t="n">
        <v>3656.594</v>
      </c>
      <c r="K40" s="0" t="n">
        <v>4846.928</v>
      </c>
      <c r="L40" s="0" t="n">
        <v>1657.677</v>
      </c>
      <c r="M40" s="0" t="n">
        <v>0</v>
      </c>
      <c r="N40" s="0" t="n">
        <v>0</v>
      </c>
      <c r="O40" s="0" t="n">
        <v>190.695</v>
      </c>
      <c r="P40" s="0" t="n">
        <v>190.094</v>
      </c>
      <c r="Q40" s="0" t="n">
        <v>1753.292</v>
      </c>
      <c r="R40" s="0" t="n">
        <v>2188.884</v>
      </c>
      <c r="S40" s="0" t="n">
        <v>5259.109</v>
      </c>
      <c r="T40" s="0" t="n">
        <v>123123.583</v>
      </c>
      <c r="U40" s="0" t="n">
        <v>81319.344</v>
      </c>
      <c r="V40" s="0" t="n">
        <v>144449.711</v>
      </c>
      <c r="W40" s="0" t="n">
        <v>751.632</v>
      </c>
      <c r="X40" s="0" t="n">
        <v>1496.365</v>
      </c>
      <c r="Y40" s="0" t="n">
        <v>190.695</v>
      </c>
      <c r="Z40" s="0" t="n">
        <v>1757.24</v>
      </c>
      <c r="AA40" s="0" t="n">
        <f aca="false">H40*x_c_F+I40*x_c_CC+J40*x_c_DC+K40*x_c_HCC+L40*x_c_PLT+M40*x_c_SVRn+N40*x_c_SVRcc+O40*x_c_LT+P40*x_c_LT1</f>
        <v>916140161.936383</v>
      </c>
      <c r="AB40" s="0" t="n">
        <f aca="false">C40*x_c_DAA</f>
        <v>0</v>
      </c>
      <c r="AC40" s="0" t="n">
        <f aca="false">C40*x_c_MON</f>
        <v>0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203077783.108372</v>
      </c>
      <c r="AI40" s="0" t="n">
        <f aca="false">x_AGRI*x_EMP*x_WLOSS*(x_PEN_K74*Q40+x_PEN_C22*R40)</f>
        <v>2372576.9225132</v>
      </c>
      <c r="AJ40" s="0" t="n">
        <f aca="false">x_EMP*x_WAGE*(x_WLOSS*(Q40+R40)+S40)+U40*x_ABS_D*x_WAGE/365</f>
        <v>868826152.552236</v>
      </c>
      <c r="AK40" s="0" t="n">
        <f aca="false">AJ40*x_R_FUS</f>
        <v>274896594.667527</v>
      </c>
      <c r="AL40" s="0" t="n">
        <f aca="false">AJ40*x_R_NFZ</f>
        <v>67473907.8333592</v>
      </c>
      <c r="AM40" s="0" t="n">
        <f aca="false">AJ40*x_R_PIT</f>
        <v>57763188.967425</v>
      </c>
      <c r="AN40" s="0" t="n">
        <f aca="false">AJ40*x_R_FP</f>
        <v>22155066.890082</v>
      </c>
      <c r="AO40" s="0" t="n">
        <f aca="false">AA40+AB40+AC40+AD40+AF40</f>
        <v>916140161.936383</v>
      </c>
      <c r="AP40" s="0" t="n">
        <f aca="false">AO40+AE40+AG40+AH40+AI40+AK40+AL40+AM40+AN40</f>
        <v>1543879280.32566</v>
      </c>
      <c r="AQ40" s="0" t="n">
        <f aca="false">AO40+AE40+AG40+AJ40</f>
        <v>1784966314.48862</v>
      </c>
      <c r="AR40" s="0" t="n">
        <f aca="false">AB40+AC40+AD40+AF40</f>
        <v>0</v>
      </c>
      <c r="AS40" s="0" t="n">
        <f aca="false">AR40+AE40+AG40</f>
        <v>0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0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103270.924</v>
      </c>
      <c r="I41" s="0" t="n">
        <v>22411.137</v>
      </c>
      <c r="J41" s="0" t="n">
        <v>3680.729</v>
      </c>
      <c r="K41" s="0" t="n">
        <v>4883.81</v>
      </c>
      <c r="L41" s="0" t="n">
        <v>1654.685</v>
      </c>
      <c r="M41" s="0" t="n">
        <v>0</v>
      </c>
      <c r="N41" s="0" t="n">
        <v>0</v>
      </c>
      <c r="O41" s="0" t="n">
        <v>191.97</v>
      </c>
      <c r="P41" s="0" t="n">
        <v>191.333</v>
      </c>
      <c r="Q41" s="0" t="n">
        <v>1753.586</v>
      </c>
      <c r="R41" s="0" t="n">
        <v>2189.215</v>
      </c>
      <c r="S41" s="0" t="n">
        <v>5260.045</v>
      </c>
      <c r="T41" s="0" t="n">
        <v>125682.062</v>
      </c>
      <c r="U41" s="0" t="n">
        <v>82618.047</v>
      </c>
      <c r="V41" s="0" t="n">
        <v>145123.843</v>
      </c>
      <c r="W41" s="0" t="n">
        <v>757.742</v>
      </c>
      <c r="X41" s="0" t="n">
        <v>1508.625</v>
      </c>
      <c r="Y41" s="0" t="n">
        <v>191.97</v>
      </c>
      <c r="Z41" s="0" t="n">
        <v>1769.333</v>
      </c>
      <c r="AA41" s="0" t="n">
        <f aca="false">H41*x_c_F+I41*x_c_CC+J41*x_c_DC+K41*x_c_HCC+L41*x_c_PLT+M41*x_c_SVRn+N41*x_c_SVRcc+O41*x_c_LT+P41*x_c_LT1</f>
        <v>928165008.652311</v>
      </c>
      <c r="AB41" s="0" t="n">
        <f aca="false">C41*x_c_DAA</f>
        <v>0</v>
      </c>
      <c r="AC41" s="0" t="n">
        <f aca="false">C41*x_c_MON</f>
        <v>0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205753435.777499</v>
      </c>
      <c r="AI41" s="0" t="n">
        <f aca="false">x_AGRI*x_EMP*x_WLOSS*(x_PEN_K74*Q41+x_PEN_C22*R41)</f>
        <v>2372951.85150509</v>
      </c>
      <c r="AJ41" s="0" t="n">
        <f aca="false">x_EMP*x_WAGE*(x_WLOSS*(Q41+R41)+S41)+U41*x_ABS_D*x_WAGE/365</f>
        <v>872749502.675925</v>
      </c>
      <c r="AK41" s="0" t="n">
        <f aca="false">AJ41*x_R_FUS</f>
        <v>276137942.646663</v>
      </c>
      <c r="AL41" s="0" t="n">
        <f aca="false">AJ41*x_R_NFZ</f>
        <v>67778599.127315</v>
      </c>
      <c r="AM41" s="0" t="n">
        <f aca="false">AJ41*x_R_PIT</f>
        <v>58024029.6591035</v>
      </c>
      <c r="AN41" s="0" t="n">
        <f aca="false">AJ41*x_R_FP</f>
        <v>22255112.3182361</v>
      </c>
      <c r="AO41" s="0" t="n">
        <f aca="false">AA41+AB41+AC41+AD41+AF41</f>
        <v>928165008.652311</v>
      </c>
      <c r="AP41" s="0" t="n">
        <f aca="false">AO41+AE41+AG41+AH41+AI41+AK41+AL41+AM41+AN41</f>
        <v>1560487080.03263</v>
      </c>
      <c r="AQ41" s="0" t="n">
        <f aca="false">AO41+AE41+AG41+AJ41</f>
        <v>1800914511.32824</v>
      </c>
      <c r="AR41" s="0" t="n">
        <f aca="false">AB41+AC41+AD41+AF41</f>
        <v>0</v>
      </c>
      <c r="AS41" s="0" t="n">
        <f aca="false">AR41+AE41+AG41</f>
        <v>0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105270.84</v>
      </c>
      <c r="I42" s="0" t="n">
        <v>22949.642</v>
      </c>
      <c r="J42" s="0" t="n">
        <v>3707.105</v>
      </c>
      <c r="K42" s="0" t="n">
        <v>4923.352</v>
      </c>
      <c r="L42" s="0" t="n">
        <v>1651.724</v>
      </c>
      <c r="M42" s="0" t="n">
        <v>0</v>
      </c>
      <c r="N42" s="0" t="n">
        <v>0</v>
      </c>
      <c r="O42" s="0" t="n">
        <v>193.406</v>
      </c>
      <c r="P42" s="0" t="n">
        <v>192.688</v>
      </c>
      <c r="Q42" s="0" t="n">
        <v>1753.825</v>
      </c>
      <c r="R42" s="0" t="n">
        <v>2189.482</v>
      </c>
      <c r="S42" s="0" t="n">
        <v>5260.812</v>
      </c>
      <c r="T42" s="0" t="n">
        <v>128220.482</v>
      </c>
      <c r="U42" s="0" t="n">
        <v>83891.817</v>
      </c>
      <c r="V42" s="0" t="n">
        <v>145794.571</v>
      </c>
      <c r="W42" s="0" t="n">
        <v>764.385</v>
      </c>
      <c r="X42" s="0" t="n">
        <v>1521.807</v>
      </c>
      <c r="Y42" s="0" t="n">
        <v>193.406</v>
      </c>
      <c r="Z42" s="0" t="n">
        <v>1782.773</v>
      </c>
      <c r="AA42" s="0" t="n">
        <f aca="false">H42*x_c_F+I42*x_c_CC+J42*x_c_DC+K42*x_c_HCC+L42*x_c_PLT+M42*x_c_SVRn+N42*x_c_SVRcc+O42*x_c_LT+P42*x_c_LT1</f>
        <v>940426963.664546</v>
      </c>
      <c r="AB42" s="0" t="n">
        <f aca="false">C42*x_c_DAA</f>
        <v>0</v>
      </c>
      <c r="AC42" s="0" t="n">
        <f aca="false">C42*x_c_MON</f>
        <v>0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208376747.998669</v>
      </c>
      <c r="AI42" s="0" t="n">
        <f aca="false">x_AGRI*x_EMP*x_WLOSS*(x_PEN_K74*Q42+x_PEN_C22*R42)</f>
        <v>2373255.31938064</v>
      </c>
      <c r="AJ42" s="0" t="n">
        <f aca="false">x_EMP*x_WAGE*(x_WLOSS*(Q42+R42)+S42)+U42*x_ABS_D*x_WAGE/365</f>
        <v>876579725.673354</v>
      </c>
      <c r="AK42" s="0" t="n">
        <f aca="false">AJ42*x_R_FUS</f>
        <v>277349825.203049</v>
      </c>
      <c r="AL42" s="0" t="n">
        <f aca="false">AJ42*x_R_NFZ</f>
        <v>68076058.0755183</v>
      </c>
      <c r="AM42" s="0" t="n">
        <f aca="false">AJ42*x_R_PIT</f>
        <v>58278678.8707299</v>
      </c>
      <c r="AN42" s="0" t="n">
        <f aca="false">AJ42*x_R_FP</f>
        <v>22352783.0046705</v>
      </c>
      <c r="AO42" s="0" t="n">
        <f aca="false">AA42+AB42+AC42+AD42+AF42</f>
        <v>940426963.664546</v>
      </c>
      <c r="AP42" s="0" t="n">
        <f aca="false">AO42+AE42+AG42+AH42+AI42+AK42+AL42+AM42+AN42</f>
        <v>1577234312.13656</v>
      </c>
      <c r="AQ42" s="0" t="n">
        <f aca="false">AO42+AE42+AG42+AJ42</f>
        <v>1817006689.3379</v>
      </c>
      <c r="AR42" s="0" t="n">
        <f aca="false">AB42+AC42+AD42+AF42</f>
        <v>0</v>
      </c>
      <c r="AS42" s="0" t="n">
        <f aca="false">AR42+AE42+AG42</f>
        <v>0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0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107242.268</v>
      </c>
      <c r="I43" s="0" t="n">
        <v>23505.688</v>
      </c>
      <c r="J43" s="0" t="n">
        <v>3737.187</v>
      </c>
      <c r="K43" s="0" t="n">
        <v>4967.025</v>
      </c>
      <c r="L43" s="0" t="n">
        <v>1650.082</v>
      </c>
      <c r="M43" s="0" t="n">
        <v>0</v>
      </c>
      <c r="N43" s="0" t="n">
        <v>0</v>
      </c>
      <c r="O43" s="0" t="n">
        <v>195.072</v>
      </c>
      <c r="P43" s="0" t="n">
        <v>194.239</v>
      </c>
      <c r="Q43" s="0" t="n">
        <v>1754.017</v>
      </c>
      <c r="R43" s="0" t="n">
        <v>2189.694</v>
      </c>
      <c r="S43" s="0" t="n">
        <v>5261.437</v>
      </c>
      <c r="T43" s="0" t="n">
        <v>130747.956</v>
      </c>
      <c r="U43" s="0" t="n">
        <v>85141.696</v>
      </c>
      <c r="V43" s="0" t="n">
        <v>146471.911</v>
      </c>
      <c r="W43" s="0" t="n">
        <v>771.743</v>
      </c>
      <c r="X43" s="0" t="n">
        <v>1536.236</v>
      </c>
      <c r="Y43" s="0" t="n">
        <v>195.072</v>
      </c>
      <c r="Z43" s="0" t="n">
        <v>1798.151</v>
      </c>
      <c r="AA43" s="0" t="n">
        <f aca="false">H43*x_c_F+I43*x_c_CC+J43*x_c_DC+K43*x_c_HCC+L43*x_c_PLT+M43*x_c_SVRn+N43*x_c_SVRcc+O43*x_c_LT+P43*x_c_LT1</f>
        <v>953156379.296389</v>
      </c>
      <c r="AB43" s="0" t="n">
        <f aca="false">C43*x_c_DAA</f>
        <v>0</v>
      </c>
      <c r="AC43" s="0" t="n">
        <f aca="false">C43*x_c_MON</f>
        <v>0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210950016.284327</v>
      </c>
      <c r="AI43" s="0" t="n">
        <f aca="false">x_AGRI*x_EMP*x_WLOSS*(x_PEN_K74*Q43+x_PEN_C22*R43)</f>
        <v>2373497.52396413</v>
      </c>
      <c r="AJ43" s="0" t="n">
        <f aca="false">x_EMP*x_WAGE*(x_WLOSS*(Q43+R43)+S43)+U43*x_ABS_D*x_WAGE/365</f>
        <v>880322967.28967</v>
      </c>
      <c r="AK43" s="0" t="n">
        <f aca="false">AJ43*x_R_FUS</f>
        <v>278534186.850452</v>
      </c>
      <c r="AL43" s="0" t="n">
        <f aca="false">AJ43*x_R_NFZ</f>
        <v>68366761.9626831</v>
      </c>
      <c r="AM43" s="0" t="n">
        <f aca="false">AJ43*x_R_PIT</f>
        <v>58527545.1970932</v>
      </c>
      <c r="AN43" s="0" t="n">
        <f aca="false">AJ43*x_R_FP</f>
        <v>22448235.6658866</v>
      </c>
      <c r="AO43" s="0" t="n">
        <f aca="false">AA43+AB43+AC43+AD43+AF43</f>
        <v>953156379.296389</v>
      </c>
      <c r="AP43" s="0" t="n">
        <f aca="false">AO43+AE43+AG43+AH43+AI43+AK43+AL43+AM43+AN43</f>
        <v>1594356622.78079</v>
      </c>
      <c r="AQ43" s="0" t="n">
        <f aca="false">AO43+AE43+AG43+AJ43</f>
        <v>1833479346.58606</v>
      </c>
      <c r="AR43" s="0" t="n">
        <f aca="false">AB43+AC43+AD43+AF43</f>
        <v>0</v>
      </c>
      <c r="AS43" s="0" t="n">
        <f aca="false">AR43+AE43+AG43</f>
        <v>0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0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109186.525</v>
      </c>
      <c r="I44" s="0" t="n">
        <v>24083.888</v>
      </c>
      <c r="J44" s="0" t="n">
        <v>3772.031</v>
      </c>
      <c r="K44" s="0" t="n">
        <v>5015.823</v>
      </c>
      <c r="L44" s="0" t="n">
        <v>1650.877</v>
      </c>
      <c r="M44" s="0" t="n">
        <v>0</v>
      </c>
      <c r="N44" s="0" t="n">
        <v>0</v>
      </c>
      <c r="O44" s="0" t="n">
        <v>197.009</v>
      </c>
      <c r="P44" s="0" t="n">
        <v>196.041</v>
      </c>
      <c r="Q44" s="0" t="n">
        <v>1754.168</v>
      </c>
      <c r="R44" s="0" t="n">
        <v>2189.857</v>
      </c>
      <c r="S44" s="0" t="n">
        <v>5261.94</v>
      </c>
      <c r="T44" s="0" t="n">
        <v>133270.413</v>
      </c>
      <c r="U44" s="0" t="n">
        <v>86368.776</v>
      </c>
      <c r="V44" s="0" t="n">
        <v>147161.767</v>
      </c>
      <c r="W44" s="0" t="n">
        <v>779.904</v>
      </c>
      <c r="X44" s="0" t="n">
        <v>1552.066</v>
      </c>
      <c r="Y44" s="0" t="n">
        <v>197.009</v>
      </c>
      <c r="Z44" s="0" t="n">
        <v>1815.811</v>
      </c>
      <c r="AA44" s="0" t="n">
        <f aca="false">H44*x_c_F+I44*x_c_CC+J44*x_c_DC+K44*x_c_HCC+L44*x_c_PLT+M44*x_c_SVRn+N44*x_c_SVRcc+O44*x_c_LT+P44*x_c_LT1</f>
        <v>966515923.871431</v>
      </c>
      <c r="AB44" s="0" t="n">
        <f aca="false">C44*x_c_DAA</f>
        <v>0</v>
      </c>
      <c r="AC44" s="0" t="n">
        <f aca="false">C44*x_c_MON</f>
        <v>0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213475594.155949</v>
      </c>
      <c r="AI44" s="0" t="n">
        <f aca="false">x_AGRI*x_EMP*x_WLOSS*(x_PEN_K74*Q44+x_PEN_C22*R44)</f>
        <v>2373685.63677394</v>
      </c>
      <c r="AJ44" s="0" t="n">
        <f aca="false">x_EMP*x_WAGE*(x_WLOSS*(Q44+R44)+S44)+U44*x_ABS_D*x_WAGE/365</f>
        <v>883984693.02608</v>
      </c>
      <c r="AK44" s="0" t="n">
        <f aca="false">AJ44*x_R_FUS</f>
        <v>279692756.873452</v>
      </c>
      <c r="AL44" s="0" t="n">
        <f aca="false">AJ44*x_R_NFZ</f>
        <v>68651135.2450984</v>
      </c>
      <c r="AM44" s="0" t="n">
        <f aca="false">AJ44*x_R_PIT</f>
        <v>58770992.0075256</v>
      </c>
      <c r="AN44" s="0" t="n">
        <f aca="false">AJ44*x_R_FP</f>
        <v>22541609.672165</v>
      </c>
      <c r="AO44" s="0" t="n">
        <f aca="false">AA44+AB44+AC44+AD44+AF44</f>
        <v>966515923.871431</v>
      </c>
      <c r="AP44" s="0" t="n">
        <f aca="false">AO44+AE44+AG44+AH44+AI44+AK44+AL44+AM44+AN44</f>
        <v>1612021697.46239</v>
      </c>
      <c r="AQ44" s="0" t="n">
        <f aca="false">AO44+AE44+AG44+AJ44</f>
        <v>1850500616.89751</v>
      </c>
      <c r="AR44" s="0" t="n">
        <f aca="false">AB44+AC44+AD44+AF44</f>
        <v>0</v>
      </c>
      <c r="AS44" s="0" t="n">
        <f aca="false">AR44+AE44+AG44</f>
        <v>0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0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111103.795</v>
      </c>
      <c r="I45" s="0" t="n">
        <v>24686.849</v>
      </c>
      <c r="J45" s="0" t="n">
        <v>3812.273</v>
      </c>
      <c r="K45" s="0" t="n">
        <v>5070.265</v>
      </c>
      <c r="L45" s="0" t="n">
        <v>1655.031</v>
      </c>
      <c r="M45" s="0" t="n">
        <v>0</v>
      </c>
      <c r="N45" s="0" t="n">
        <v>0</v>
      </c>
      <c r="O45" s="0" t="n">
        <v>199.246</v>
      </c>
      <c r="P45" s="0" t="n">
        <v>198.128</v>
      </c>
      <c r="Q45" s="0" t="n">
        <v>1754.283</v>
      </c>
      <c r="R45" s="0" t="n">
        <v>2189.978</v>
      </c>
      <c r="S45" s="0" t="n">
        <v>5262.342</v>
      </c>
      <c r="T45" s="0" t="n">
        <v>135790.644</v>
      </c>
      <c r="U45" s="0" t="n">
        <v>87574.146</v>
      </c>
      <c r="V45" s="0" t="n">
        <v>147866.322</v>
      </c>
      <c r="W45" s="0" t="n">
        <v>788.902</v>
      </c>
      <c r="X45" s="0" t="n">
        <v>1569.354</v>
      </c>
      <c r="Y45" s="0" t="n">
        <v>199.246</v>
      </c>
      <c r="Z45" s="0" t="n">
        <v>1835.969</v>
      </c>
      <c r="AA45" s="0" t="n">
        <f aca="false">H45*x_c_F+I45*x_c_CC+J45*x_c_DC+K45*x_c_HCC+L45*x_c_PLT+M45*x_c_SVRn+N45*x_c_SVRcc+O45*x_c_LT+P45*x_c_LT1</f>
        <v>980605250.567275</v>
      </c>
      <c r="AB45" s="0" t="n">
        <f aca="false">C45*x_c_DAA</f>
        <v>0</v>
      </c>
      <c r="AC45" s="0" t="n">
        <f aca="false">C45*x_c_MON</f>
        <v>0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215955830.122409</v>
      </c>
      <c r="AI45" s="0" t="n">
        <f aca="false">x_AGRI*x_EMP*x_WLOSS*(x_PEN_K74*Q45+x_PEN_C22*R45)</f>
        <v>2373826.90567489</v>
      </c>
      <c r="AJ45" s="0" t="n">
        <f aca="false">x_EMP*x_WAGE*(x_WLOSS*(Q45+R45)+S45)+U45*x_ABS_D*x_WAGE/365</f>
        <v>887570444.832196</v>
      </c>
      <c r="AK45" s="0" t="n">
        <f aca="false">AJ45*x_R_FUS</f>
        <v>280827288.744907</v>
      </c>
      <c r="AL45" s="0" t="n">
        <f aca="false">AJ45*x_R_NFZ</f>
        <v>68929608.3161132</v>
      </c>
      <c r="AM45" s="0" t="n">
        <f aca="false">AJ45*x_R_PIT</f>
        <v>59009387.7539687</v>
      </c>
      <c r="AN45" s="0" t="n">
        <f aca="false">AJ45*x_R_FP</f>
        <v>22633046.343221</v>
      </c>
      <c r="AO45" s="0" t="n">
        <f aca="false">AA45+AB45+AC45+AD45+AF45</f>
        <v>980605250.567275</v>
      </c>
      <c r="AP45" s="0" t="n">
        <f aca="false">AO45+AE45+AG45+AH45+AI45+AK45+AL45+AM45+AN45</f>
        <v>1630334238.75357</v>
      </c>
      <c r="AQ45" s="0" t="n">
        <f aca="false">AO45+AE45+AG45+AJ45</f>
        <v>1868175695.39947</v>
      </c>
      <c r="AR45" s="0" t="n">
        <f aca="false">AB45+AC45+AD45+AF45</f>
        <v>0</v>
      </c>
      <c r="AS45" s="0" t="n">
        <f aca="false">AR45+AE45+AG45</f>
        <v>0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0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112993.368</v>
      </c>
      <c r="I46" s="0" t="n">
        <v>25315.225</v>
      </c>
      <c r="J46" s="0" t="n">
        <v>3858.146</v>
      </c>
      <c r="K46" s="0" t="n">
        <v>5130.426</v>
      </c>
      <c r="L46" s="0" t="n">
        <v>1663.24</v>
      </c>
      <c r="M46" s="0" t="n">
        <v>0</v>
      </c>
      <c r="N46" s="0" t="n">
        <v>0</v>
      </c>
      <c r="O46" s="0" t="n">
        <v>201.781</v>
      </c>
      <c r="P46" s="0" t="n">
        <v>200.513</v>
      </c>
      <c r="Q46" s="0" t="n">
        <v>1754.368</v>
      </c>
      <c r="R46" s="0" t="n">
        <v>2190.063</v>
      </c>
      <c r="S46" s="0" t="n">
        <v>5262.658</v>
      </c>
      <c r="T46" s="0" t="n">
        <v>138308.593</v>
      </c>
      <c r="U46" s="0" t="n">
        <v>88758.842</v>
      </c>
      <c r="V46" s="0" t="n">
        <v>148584.64</v>
      </c>
      <c r="W46" s="0" t="n">
        <v>798.693</v>
      </c>
      <c r="X46" s="0" t="n">
        <v>1588.013</v>
      </c>
      <c r="Y46" s="0" t="n">
        <v>201.781</v>
      </c>
      <c r="Z46" s="0" t="n">
        <v>1858.611</v>
      </c>
      <c r="AA46" s="0" t="n">
        <f aca="false">H46*x_c_F+I46*x_c_CC+J46*x_c_DC+K46*x_c_HCC+L46*x_c_PLT+M46*x_c_SVRn+N46*x_c_SVRcc+O46*x_c_LT+P46*x_c_LT1</f>
        <v>995456781.129763</v>
      </c>
      <c r="AB46" s="0" t="n">
        <f aca="false">C46*x_c_DAA</f>
        <v>0</v>
      </c>
      <c r="AC46" s="0" t="n">
        <f aca="false">C46*x_c_MON</f>
        <v>0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218392962.575781</v>
      </c>
      <c r="AI46" s="0" t="n">
        <f aca="false">x_AGRI*x_EMP*x_WLOSS*(x_PEN_K74*Q46+x_PEN_C22*R46)</f>
        <v>2373928.50218539</v>
      </c>
      <c r="AJ46" s="0" t="n">
        <f aca="false">x_EMP*x_WAGE*(x_WLOSS*(Q46+R46)+S46)+U46*x_ABS_D*x_WAGE/365</f>
        <v>891085097.414526</v>
      </c>
      <c r="AK46" s="0" t="n">
        <f aca="false">AJ46*x_R_FUS</f>
        <v>281939324.821956</v>
      </c>
      <c r="AL46" s="0" t="n">
        <f aca="false">AJ46*x_R_NFZ</f>
        <v>69202559.7503095</v>
      </c>
      <c r="AM46" s="0" t="n">
        <f aca="false">AJ46*x_R_PIT</f>
        <v>59243056.5272574</v>
      </c>
      <c r="AN46" s="0" t="n">
        <f aca="false">AJ46*x_R_FP</f>
        <v>22722669.9840704</v>
      </c>
      <c r="AO46" s="0" t="n">
        <f aca="false">AA46+AB46+AC46+AD46+AF46</f>
        <v>995456781.129763</v>
      </c>
      <c r="AP46" s="0" t="n">
        <f aca="false">AO46+AE46+AG46+AH46+AI46+AK46+AL46+AM46+AN46</f>
        <v>1649331283.29132</v>
      </c>
      <c r="AQ46" s="0" t="n">
        <f aca="false">AO46+AE46+AG46+AJ46</f>
        <v>1886541878.54429</v>
      </c>
      <c r="AR46" s="0" t="n">
        <f aca="false">AB46+AC46+AD46+AF46</f>
        <v>0</v>
      </c>
      <c r="AS46" s="0" t="n">
        <f aca="false">AR46+AE46+AG46</f>
        <v>0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0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114853.656</v>
      </c>
      <c r="I47" s="0" t="n">
        <v>25967.493</v>
      </c>
      <c r="J47" s="0" t="n">
        <v>3909.441</v>
      </c>
      <c r="K47" s="0" t="n">
        <v>5195.911</v>
      </c>
      <c r="L47" s="0" t="n">
        <v>1675.907</v>
      </c>
      <c r="M47" s="0" t="n">
        <v>0</v>
      </c>
      <c r="N47" s="0" t="n">
        <v>0</v>
      </c>
      <c r="O47" s="0" t="n">
        <v>204.595</v>
      </c>
      <c r="P47" s="0" t="n">
        <v>203.188</v>
      </c>
      <c r="Q47" s="0" t="n">
        <v>1754.427</v>
      </c>
      <c r="R47" s="0" t="n">
        <v>2190.118</v>
      </c>
      <c r="S47" s="0" t="n">
        <v>5262.9</v>
      </c>
      <c r="T47" s="0" t="n">
        <v>140821.149</v>
      </c>
      <c r="U47" s="0" t="n">
        <v>89923.802</v>
      </c>
      <c r="V47" s="0" t="n">
        <v>149312.676</v>
      </c>
      <c r="W47" s="0" t="n">
        <v>809.173</v>
      </c>
      <c r="X47" s="0" t="n">
        <v>1607.85</v>
      </c>
      <c r="Y47" s="0" t="n">
        <v>204.595</v>
      </c>
      <c r="Z47" s="0" t="n">
        <v>1883.559</v>
      </c>
      <c r="AA47" s="0" t="n">
        <f aca="false">H47*x_c_F+I47*x_c_CC+J47*x_c_DC+K47*x_c_HCC+L47*x_c_PLT+M47*x_c_SVRn+N47*x_c_SVRcc+O47*x_c_LT+P47*x_c_LT1</f>
        <v>1011034870.44005</v>
      </c>
      <c r="AB47" s="0" t="n">
        <f aca="false">C47*x_c_DAA</f>
        <v>0</v>
      </c>
      <c r="AC47" s="0" t="n">
        <f aca="false">C47*x_c_MON</f>
        <v>0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220789011.503709</v>
      </c>
      <c r="AI47" s="0" t="n">
        <f aca="false">x_AGRI*x_EMP*x_WLOSS*(x_PEN_K74*Q47+x_PEN_C22*R47)</f>
        <v>2373996.47891719</v>
      </c>
      <c r="AJ47" s="0" t="n">
        <f aca="false">x_EMP*x_WAGE*(x_WLOSS*(Q47+R47)+S47)+U47*x_ABS_D*x_WAGE/365</f>
        <v>894532889.721242</v>
      </c>
      <c r="AK47" s="0" t="n">
        <f aca="false">AJ47*x_R_FUS</f>
        <v>283030206.307801</v>
      </c>
      <c r="AL47" s="0" t="n">
        <f aca="false">AJ47*x_R_NFZ</f>
        <v>69470318.7486414</v>
      </c>
      <c r="AM47" s="0" t="n">
        <f aca="false">AJ47*x_R_PIT</f>
        <v>59472280.1503587</v>
      </c>
      <c r="AN47" s="0" t="n">
        <f aca="false">AJ47*x_R_FP</f>
        <v>22810588.6878917</v>
      </c>
      <c r="AO47" s="0" t="n">
        <f aca="false">AA47+AB47+AC47+AD47+AF47</f>
        <v>1011034870.44005</v>
      </c>
      <c r="AP47" s="0" t="n">
        <f aca="false">AO47+AE47+AG47+AH47+AI47+AK47+AL47+AM47+AN47</f>
        <v>1668981272.31737</v>
      </c>
      <c r="AQ47" s="0" t="n">
        <f aca="false">AO47+AE47+AG47+AJ47</f>
        <v>1905567760.1613</v>
      </c>
      <c r="AR47" s="0" t="n">
        <f aca="false">AB47+AC47+AD47+AF47</f>
        <v>0</v>
      </c>
      <c r="AS47" s="0" t="n">
        <f aca="false">AR47+AE47+AG47</f>
        <v>0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0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116682.442</v>
      </c>
      <c r="I48" s="0" t="n">
        <v>26640.172</v>
      </c>
      <c r="J48" s="0" t="n">
        <v>3965.556</v>
      </c>
      <c r="K48" s="0" t="n">
        <v>5265.913</v>
      </c>
      <c r="L48" s="0" t="n">
        <v>1693.127</v>
      </c>
      <c r="M48" s="0" t="n">
        <v>0</v>
      </c>
      <c r="N48" s="0" t="n">
        <v>0</v>
      </c>
      <c r="O48" s="0" t="n">
        <v>207.645</v>
      </c>
      <c r="P48" s="0" t="n">
        <v>206.12</v>
      </c>
      <c r="Q48" s="0" t="n">
        <v>1754.465</v>
      </c>
      <c r="R48" s="0" t="n">
        <v>2190.148</v>
      </c>
      <c r="S48" s="0" t="n">
        <v>5263.082</v>
      </c>
      <c r="T48" s="0" t="n">
        <v>143322.613</v>
      </c>
      <c r="U48" s="0" t="n">
        <v>91069.832</v>
      </c>
      <c r="V48" s="0" t="n">
        <v>150043.95</v>
      </c>
      <c r="W48" s="0" t="n">
        <v>820.179</v>
      </c>
      <c r="X48" s="0" t="n">
        <v>1628.569</v>
      </c>
      <c r="Y48" s="0" t="n">
        <v>207.645</v>
      </c>
      <c r="Z48" s="0" t="n">
        <v>1910.445</v>
      </c>
      <c r="AA48" s="0" t="n">
        <f aca="false">H48*x_c_F+I48*x_c_CC+J48*x_c_DC+K48*x_c_HCC+L48*x_c_PLT+M48*x_c_SVRn+N48*x_c_SVRcc+O48*x_c_LT+P48*x_c_LT1</f>
        <v>1027239195.10563</v>
      </c>
      <c r="AB48" s="0" t="n">
        <f aca="false">C48*x_c_DAA</f>
        <v>0</v>
      </c>
      <c r="AC48" s="0" t="n">
        <f aca="false">C48*x_c_MON</f>
        <v>0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223145724.362342</v>
      </c>
      <c r="AI48" s="0" t="n">
        <f aca="false">x_AGRI*x_EMP*x_WLOSS*(x_PEN_K74*Q48+x_PEN_C22*R48)</f>
        <v>2374036.81213562</v>
      </c>
      <c r="AJ48" s="0" t="n">
        <f aca="false">x_EMP*x_WAGE*(x_WLOSS*(Q48+R48)+S48)+U48*x_ABS_D*x_WAGE/365</f>
        <v>897917843.489775</v>
      </c>
      <c r="AK48" s="0" t="n">
        <f aca="false">AJ48*x_R_FUS</f>
        <v>284101205.680165</v>
      </c>
      <c r="AL48" s="0" t="n">
        <f aca="false">AJ48*x_R_NFZ</f>
        <v>69733197.6432594</v>
      </c>
      <c r="AM48" s="0" t="n">
        <f aca="false">AJ48*x_R_PIT</f>
        <v>59697326.0051634</v>
      </c>
      <c r="AN48" s="0" t="n">
        <f aca="false">AJ48*x_R_FP</f>
        <v>22896905.0089893</v>
      </c>
      <c r="AO48" s="0" t="n">
        <f aca="false">AA48+AB48+AC48+AD48+AF48</f>
        <v>1027239195.10563</v>
      </c>
      <c r="AP48" s="0" t="n">
        <f aca="false">AO48+AE48+AG48+AH48+AI48+AK48+AL48+AM48+AN48</f>
        <v>1689187590.61768</v>
      </c>
      <c r="AQ48" s="0" t="n">
        <f aca="false">AO48+AE48+AG48+AJ48</f>
        <v>1925157038.5954</v>
      </c>
      <c r="AR48" s="0" t="n">
        <f aca="false">AB48+AC48+AD48+AF48</f>
        <v>0</v>
      </c>
      <c r="AS48" s="0" t="n">
        <f aca="false">AR48+AE48+AG48</f>
        <v>0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0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118477.224</v>
      </c>
      <c r="I49" s="0" t="n">
        <v>27328.349</v>
      </c>
      <c r="J49" s="0" t="n">
        <v>4025.597</v>
      </c>
      <c r="K49" s="0" t="n">
        <v>5339.339</v>
      </c>
      <c r="L49" s="0" t="n">
        <v>1714.738</v>
      </c>
      <c r="M49" s="0" t="n">
        <v>0</v>
      </c>
      <c r="N49" s="0" t="n">
        <v>0</v>
      </c>
      <c r="O49" s="0" t="n">
        <v>210.881</v>
      </c>
      <c r="P49" s="0" t="n">
        <v>209.263</v>
      </c>
      <c r="Q49" s="0" t="n">
        <v>1754.486</v>
      </c>
      <c r="R49" s="0" t="n">
        <v>2190.158</v>
      </c>
      <c r="S49" s="0" t="n">
        <v>5263.212</v>
      </c>
      <c r="T49" s="0" t="n">
        <v>145805.573</v>
      </c>
      <c r="U49" s="0" t="n">
        <v>92197.584</v>
      </c>
      <c r="V49" s="0" t="n">
        <v>150770.61</v>
      </c>
      <c r="W49" s="0" t="n">
        <v>831.529</v>
      </c>
      <c r="X49" s="0" t="n">
        <v>1649.838</v>
      </c>
      <c r="Y49" s="0" t="n">
        <v>210.881</v>
      </c>
      <c r="Z49" s="0" t="n">
        <v>1938.835</v>
      </c>
      <c r="AA49" s="0" t="n">
        <f aca="false">H49*x_c_F+I49*x_c_CC+J49*x_c_DC+K49*x_c_HCC+L49*x_c_PLT+M49*x_c_SVRn+N49*x_c_SVRcc+O49*x_c_LT+P49*x_c_LT1</f>
        <v>1043926387.31188</v>
      </c>
      <c r="AB49" s="0" t="n">
        <f aca="false">C49*x_c_DAA</f>
        <v>0</v>
      </c>
      <c r="AC49" s="0" t="n">
        <f aca="false">C49*x_c_MON</f>
        <v>0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225464523.537987</v>
      </c>
      <c r="AI49" s="0" t="n">
        <f aca="false">x_AGRI*x_EMP*x_WLOSS*(x_PEN_K74*Q49+x_PEN_C22*R49)</f>
        <v>2374054.91865269</v>
      </c>
      <c r="AJ49" s="0" t="n">
        <f aca="false">x_EMP*x_WAGE*(x_WLOSS*(Q49+R49)+S49)+U49*x_ABS_D*x_WAGE/365</f>
        <v>901242970.48322</v>
      </c>
      <c r="AK49" s="0" t="n">
        <f aca="false">AJ49*x_R_FUS</f>
        <v>285153275.860891</v>
      </c>
      <c r="AL49" s="0" t="n">
        <f aca="false">AJ49*x_R_NFZ</f>
        <v>69991430.3306973</v>
      </c>
      <c r="AM49" s="0" t="n">
        <f aca="false">AJ49*x_R_PIT</f>
        <v>59918394.3262525</v>
      </c>
      <c r="AN49" s="0" t="n">
        <f aca="false">AJ49*x_R_FP</f>
        <v>22981695.7473221</v>
      </c>
      <c r="AO49" s="0" t="n">
        <f aca="false">AA49+AB49+AC49+AD49+AF49</f>
        <v>1043926387.31188</v>
      </c>
      <c r="AP49" s="0" t="n">
        <f aca="false">AO49+AE49+AG49+AH49+AI49+AK49+AL49+AM49+AN49</f>
        <v>1709809762.03368</v>
      </c>
      <c r="AQ49" s="0" t="n">
        <f aca="false">AO49+AE49+AG49+AJ49</f>
        <v>1945169357.7951</v>
      </c>
      <c r="AR49" s="0" t="n">
        <f aca="false">AB49+AC49+AD49+AF49</f>
        <v>0</v>
      </c>
      <c r="AS49" s="0" t="n">
        <f aca="false">AR49+AE49+AG49</f>
        <v>0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0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120235.303</v>
      </c>
      <c r="I50" s="0" t="n">
        <v>28025.772</v>
      </c>
      <c r="J50" s="0" t="n">
        <v>4088.401</v>
      </c>
      <c r="K50" s="0" t="n">
        <v>5414.841</v>
      </c>
      <c r="L50" s="0" t="n">
        <v>1740.283</v>
      </c>
      <c r="M50" s="0" t="n">
        <v>0</v>
      </c>
      <c r="N50" s="0" t="n">
        <v>0</v>
      </c>
      <c r="O50" s="0" t="n">
        <v>214.231</v>
      </c>
      <c r="P50" s="0" t="n">
        <v>212.556</v>
      </c>
      <c r="Q50" s="0" t="n">
        <v>1754.494</v>
      </c>
      <c r="R50" s="0" t="n">
        <v>2190.154</v>
      </c>
      <c r="S50" s="0" t="n">
        <v>5263.301</v>
      </c>
      <c r="T50" s="0" t="n">
        <v>148261.076</v>
      </c>
      <c r="U50" s="0" t="n">
        <v>93307.549</v>
      </c>
      <c r="V50" s="0" t="n">
        <v>151483.661</v>
      </c>
      <c r="W50" s="0" t="n">
        <v>842.993</v>
      </c>
      <c r="X50" s="0" t="n">
        <v>1671.242</v>
      </c>
      <c r="Y50" s="0" t="n">
        <v>214.231</v>
      </c>
      <c r="Z50" s="0" t="n">
        <v>1968.114</v>
      </c>
      <c r="AA50" s="0" t="n">
        <f aca="false">H50*x_c_F+I50*x_c_CC+J50*x_c_DC+K50*x_c_HCC+L50*x_c_PLT+M50*x_c_SVRn+N50*x_c_SVRcc+O50*x_c_LT+P50*x_c_LT1</f>
        <v>1060906718.43671</v>
      </c>
      <c r="AB50" s="0" t="n">
        <f aca="false">C50*x_c_DAA</f>
        <v>0</v>
      </c>
      <c r="AC50" s="0" t="n">
        <f aca="false">C50*x_c_MON</f>
        <v>0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227746510.038951</v>
      </c>
      <c r="AI50" s="0" t="n">
        <f aca="false">x_AGRI*x_EMP*x_WLOSS*(x_PEN_K74*Q50+x_PEN_C22*R50)</f>
        <v>2374056.85108016</v>
      </c>
      <c r="AJ50" s="0" t="n">
        <f aca="false">x_EMP*x_WAGE*(x_WLOSS*(Q50+R50)+S50)+U50*x_ABS_D*x_WAGE/365</f>
        <v>904511111.388654</v>
      </c>
      <c r="AK50" s="0" t="n">
        <f aca="false">AJ50*x_R_FUS</f>
        <v>286187315.64337</v>
      </c>
      <c r="AL50" s="0" t="n">
        <f aca="false">AJ50*x_R_NFZ</f>
        <v>70245237.4215543</v>
      </c>
      <c r="AM50" s="0" t="n">
        <f aca="false">AJ50*x_R_PIT</f>
        <v>60135673.9743596</v>
      </c>
      <c r="AN50" s="0" t="n">
        <f aca="false">AJ50*x_R_FP</f>
        <v>23065033.3404107</v>
      </c>
      <c r="AO50" s="0" t="n">
        <f aca="false">AA50+AB50+AC50+AD50+AF50</f>
        <v>1060906718.43671</v>
      </c>
      <c r="AP50" s="0" t="n">
        <f aca="false">AO50+AE50+AG50+AH50+AI50+AK50+AL50+AM50+AN50</f>
        <v>1730660545.70643</v>
      </c>
      <c r="AQ50" s="0" t="n">
        <f aca="false">AO50+AE50+AG50+AJ50</f>
        <v>1965417829.82536</v>
      </c>
      <c r="AR50" s="0" t="n">
        <f aca="false">AB50+AC50+AD50+AF50</f>
        <v>0</v>
      </c>
      <c r="AS50" s="0" t="n">
        <f aca="false">AR50+AE50+AG50</f>
        <v>0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0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121953.984</v>
      </c>
      <c r="I51" s="0" t="n">
        <v>28725.272</v>
      </c>
      <c r="J51" s="0" t="n">
        <v>4152.613</v>
      </c>
      <c r="K51" s="0" t="n">
        <v>5490.907</v>
      </c>
      <c r="L51" s="0" t="n">
        <v>1769.042</v>
      </c>
      <c r="M51" s="0" t="n">
        <v>0</v>
      </c>
      <c r="N51" s="0" t="n">
        <v>0</v>
      </c>
      <c r="O51" s="0" t="n">
        <v>217.625</v>
      </c>
      <c r="P51" s="0" t="n">
        <v>215.928</v>
      </c>
      <c r="Q51" s="0" t="n">
        <v>1754.493</v>
      </c>
      <c r="R51" s="0" t="n">
        <v>2190.142</v>
      </c>
      <c r="S51" s="0" t="n">
        <v>5263.357</v>
      </c>
      <c r="T51" s="0" t="n">
        <v>150679.256</v>
      </c>
      <c r="U51" s="0" t="n">
        <v>94400.044</v>
      </c>
      <c r="V51" s="0" t="n">
        <v>152173.629</v>
      </c>
      <c r="W51" s="0" t="n">
        <v>854.35</v>
      </c>
      <c r="X51" s="0" t="n">
        <v>1692.382</v>
      </c>
      <c r="Y51" s="0" t="n">
        <v>217.625</v>
      </c>
      <c r="Z51" s="0" t="n">
        <v>1997.678</v>
      </c>
      <c r="AA51" s="0" t="n">
        <f aca="false">H51*x_c_F+I51*x_c_CC+J51*x_c_DC+K51*x_c_HCC+L51*x_c_PLT+M51*x_c_SVRn+N51*x_c_SVRcc+O51*x_c_LT+P51*x_c_LT1</f>
        <v>1077963575.00237</v>
      </c>
      <c r="AB51" s="0" t="n">
        <f aca="false">C51*x_c_DAA</f>
        <v>0</v>
      </c>
      <c r="AC51" s="0" t="n">
        <f aca="false">C51*x_c_MON</f>
        <v>0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229992427.150047</v>
      </c>
      <c r="AI51" s="0" t="n">
        <f aca="false">x_AGRI*x_EMP*x_WLOSS*(x_PEN_K74*Q51+x_PEN_C22*R51)</f>
        <v>2374048.66202981</v>
      </c>
      <c r="AJ51" s="0" t="n">
        <f aca="false">x_EMP*x_WAGE*(x_WLOSS*(Q51+R51)+S51)+U51*x_ABS_D*x_WAGE/365</f>
        <v>907724340.010778</v>
      </c>
      <c r="AK51" s="0" t="n">
        <f aca="false">AJ51*x_R_FUS</f>
        <v>287203981.17941</v>
      </c>
      <c r="AL51" s="0" t="n">
        <f aca="false">AJ51*x_R_NFZ</f>
        <v>70494779.969577</v>
      </c>
      <c r="AM51" s="0" t="n">
        <f aca="false">AJ51*x_R_PIT</f>
        <v>60349302.8246768</v>
      </c>
      <c r="AN51" s="0" t="n">
        <f aca="false">AJ51*x_R_FP</f>
        <v>23146970.6702748</v>
      </c>
      <c r="AO51" s="0" t="n">
        <f aca="false">AA51+AB51+AC51+AD51+AF51</f>
        <v>1077963575.00237</v>
      </c>
      <c r="AP51" s="0" t="n">
        <f aca="false">AO51+AE51+AG51+AH51+AI51+AK51+AL51+AM51+AN51</f>
        <v>1751525085.45839</v>
      </c>
      <c r="AQ51" s="0" t="n">
        <f aca="false">AO51+AE51+AG51+AJ51</f>
        <v>1985687915.01315</v>
      </c>
      <c r="AR51" s="0" t="n">
        <f aca="false">AB51+AC51+AD51+AF51</f>
        <v>0</v>
      </c>
      <c r="AS51" s="0" t="n">
        <f aca="false">AR51+AE51+AG51</f>
        <v>0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0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123630.817</v>
      </c>
      <c r="I52" s="0" t="n">
        <v>29419.342</v>
      </c>
      <c r="J52" s="0" t="n">
        <v>4216.799</v>
      </c>
      <c r="K52" s="0" t="n">
        <v>5565.981</v>
      </c>
      <c r="L52" s="0" t="n">
        <v>1800.099</v>
      </c>
      <c r="M52" s="0" t="n">
        <v>0</v>
      </c>
      <c r="N52" s="0" t="n">
        <v>0</v>
      </c>
      <c r="O52" s="0" t="n">
        <v>220.982</v>
      </c>
      <c r="P52" s="0" t="n">
        <v>219.303</v>
      </c>
      <c r="Q52" s="0" t="n">
        <v>1754.486</v>
      </c>
      <c r="R52" s="0" t="n">
        <v>2190.124</v>
      </c>
      <c r="S52" s="0" t="n">
        <v>5263.387</v>
      </c>
      <c r="T52" s="0" t="n">
        <v>153050.158</v>
      </c>
      <c r="U52" s="0" t="n">
        <v>95475.225</v>
      </c>
      <c r="V52" s="0" t="n">
        <v>152831.399</v>
      </c>
      <c r="W52" s="0" t="n">
        <v>865.369</v>
      </c>
      <c r="X52" s="0" t="n">
        <v>1712.841</v>
      </c>
      <c r="Y52" s="0" t="n">
        <v>220.982</v>
      </c>
      <c r="Z52" s="0" t="n">
        <v>2026.842</v>
      </c>
      <c r="AA52" s="0" t="n">
        <f aca="false">H52*x_c_F+I52*x_c_CC+J52*x_c_DC+K52*x_c_HCC+L52*x_c_PLT+M52*x_c_SVRn+N52*x_c_SVRcc+O52*x_c_LT+P52*x_c_LT1</f>
        <v>1094864805.41081</v>
      </c>
      <c r="AB52" s="0" t="n">
        <f aca="false">C52*x_c_DAA</f>
        <v>0</v>
      </c>
      <c r="AC52" s="0" t="n">
        <f aca="false">C52*x_c_MON</f>
        <v>0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232202640.218925</v>
      </c>
      <c r="AI52" s="0" t="n">
        <f aca="false">x_AGRI*x_EMP*x_WLOSS*(x_PEN_K74*Q52+x_PEN_C22*R52)</f>
        <v>2374033.30146106</v>
      </c>
      <c r="AJ52" s="0" t="n">
        <f aca="false">x_EMP*x_WAGE*(x_WLOSS*(Q52+R52)+S52)+U52*x_ABS_D*x_WAGE/365</f>
        <v>910883941.690009</v>
      </c>
      <c r="AK52" s="0" t="n">
        <f aca="false">AJ52*x_R_FUS</f>
        <v>288203679.150719</v>
      </c>
      <c r="AL52" s="0" t="n">
        <f aca="false">AJ52*x_R_NFZ</f>
        <v>70740157.7955878</v>
      </c>
      <c r="AM52" s="0" t="n">
        <f aca="false">AJ52*x_R_PIT</f>
        <v>60559366.332</v>
      </c>
      <c r="AN52" s="0" t="n">
        <f aca="false">AJ52*x_R_FP</f>
        <v>23227540.5130952</v>
      </c>
      <c r="AO52" s="0" t="n">
        <f aca="false">AA52+AB52+AC52+AD52+AF52</f>
        <v>1094864805.41081</v>
      </c>
      <c r="AP52" s="0" t="n">
        <f aca="false">AO52+AE52+AG52+AH52+AI52+AK52+AL52+AM52+AN52</f>
        <v>1772172222.72259</v>
      </c>
      <c r="AQ52" s="0" t="n">
        <f aca="false">AO52+AE52+AG52+AJ52</f>
        <v>2005748747.10082</v>
      </c>
      <c r="AR52" s="0" t="n">
        <f aca="false">AB52+AC52+AD52+AF52</f>
        <v>0</v>
      </c>
      <c r="AS52" s="0" t="n">
        <f aca="false">AR52+AE52+AG52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607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5213.16</v>
      </c>
      <c r="D3" s="0" t="n">
        <v>16666666.667</v>
      </c>
      <c r="E3" s="0" t="n">
        <v>0</v>
      </c>
      <c r="F3" s="0" t="n">
        <v>0</v>
      </c>
      <c r="G3" s="0" t="n">
        <v>1</v>
      </c>
      <c r="H3" s="0" t="n">
        <v>2580.54</v>
      </c>
      <c r="I3" s="0" t="n">
        <v>232.917</v>
      </c>
      <c r="J3" s="0" t="n">
        <v>1576.44</v>
      </c>
      <c r="K3" s="0" t="n">
        <v>2043.415</v>
      </c>
      <c r="L3" s="0" t="n">
        <v>1540.438</v>
      </c>
      <c r="M3" s="0" t="n">
        <v>7098.382</v>
      </c>
      <c r="N3" s="0" t="n">
        <v>630.598</v>
      </c>
      <c r="O3" s="0" t="n">
        <v>84.604</v>
      </c>
      <c r="P3" s="0" t="n">
        <v>42.302</v>
      </c>
      <c r="Q3" s="0" t="n">
        <v>2131.243</v>
      </c>
      <c r="R3" s="0" t="n">
        <v>1378.531</v>
      </c>
      <c r="S3" s="0" t="n">
        <v>268.453</v>
      </c>
      <c r="T3" s="0" t="n">
        <v>2813.457</v>
      </c>
      <c r="U3" s="0" t="n">
        <v>1558.589</v>
      </c>
      <c r="V3" s="0" t="n">
        <v>113589.478</v>
      </c>
      <c r="W3" s="0" t="n">
        <v>259.915</v>
      </c>
      <c r="X3" s="0" t="n">
        <v>575.283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251925255.924397</v>
      </c>
      <c r="AB3" s="0" t="n">
        <f aca="false">C3*x_c_DAA</f>
        <v>118651521.6</v>
      </c>
      <c r="AC3" s="0" t="n">
        <f aca="false">C3*x_c_MON</f>
        <v>30054544.517441</v>
      </c>
      <c r="AD3" s="0" t="n">
        <f aca="false">D3*(1-x_testy)</f>
        <v>16666666.667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1223620.54528</v>
      </c>
      <c r="AH3" s="0" t="n">
        <f aca="false">x_z_F*U3+(1-x_AGRI)*x_EMP*x_WLOSS*(x_PEN_K74*Q3+x_PEN_C22*R3)</f>
        <v>34503226.7159845</v>
      </c>
      <c r="AI3" s="0" t="n">
        <f aca="false">x_AGRI*x_EMP*x_WLOSS*(x_PEN_K74*Q3+x_PEN_C22*R3)</f>
        <v>2068800.62314985</v>
      </c>
      <c r="AJ3" s="0" t="n">
        <f aca="false">x_EMP*x_WAGE*(x_WLOSS*(Q3+R3)+S3)+U3*x_ABS_D*x_WAGE/365</f>
        <v>189118751.470106</v>
      </c>
      <c r="AK3" s="0" t="n">
        <f aca="false">AJ3*x_R_FUS</f>
        <v>59837172.9651414</v>
      </c>
      <c r="AL3" s="0" t="n">
        <f aca="false">AJ3*x_R_NFZ</f>
        <v>14687151.3579199</v>
      </c>
      <c r="AM3" s="0" t="n">
        <f aca="false">AJ3*x_R_PIT</f>
        <v>12573403.9501008</v>
      </c>
      <c r="AN3" s="0" t="n">
        <f aca="false">AJ3*x_R_FP</f>
        <v>4822528.16248769</v>
      </c>
      <c r="AO3" s="0" t="n">
        <f aca="false">AA3+AB3+AC3+AD3+AF3</f>
        <v>417297988.708838</v>
      </c>
      <c r="AP3" s="0" t="n">
        <f aca="false">AO3+AE3+AG3+AH3+AI3+AK3+AL3+AM3+AN3</f>
        <v>547013893.028902</v>
      </c>
      <c r="AQ3" s="0" t="n">
        <f aca="false">AO3+AE3+AG3+AJ3</f>
        <v>607640360.724224</v>
      </c>
      <c r="AR3" s="0" t="n">
        <f aca="false">AB3+AC3+AD3+AF3</f>
        <v>165372732.784441</v>
      </c>
      <c r="AS3" s="0" t="n">
        <f aca="false">AR3+AE3+AG3</f>
        <v>166596353.329721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5577.334</v>
      </c>
      <c r="D4" s="0" t="n">
        <v>33333333.333</v>
      </c>
      <c r="E4" s="0" t="n">
        <v>0</v>
      </c>
      <c r="F4" s="0" t="n">
        <v>0</v>
      </c>
      <c r="G4" s="0" t="n">
        <v>1</v>
      </c>
      <c r="H4" s="0" t="n">
        <v>2725.369</v>
      </c>
      <c r="I4" s="0" t="n">
        <v>263.713</v>
      </c>
      <c r="J4" s="0" t="n">
        <v>1557.054</v>
      </c>
      <c r="K4" s="0" t="n">
        <v>2042.069</v>
      </c>
      <c r="L4" s="0" t="n">
        <v>1487.589</v>
      </c>
      <c r="M4" s="0" t="n">
        <v>12098.366</v>
      </c>
      <c r="N4" s="0" t="n">
        <v>1106.047</v>
      </c>
      <c r="O4" s="0" t="n">
        <v>83.264</v>
      </c>
      <c r="P4" s="0" t="n">
        <v>83.934</v>
      </c>
      <c r="Q4" s="0" t="n">
        <v>2128.925</v>
      </c>
      <c r="R4" s="0" t="n">
        <v>1390.588</v>
      </c>
      <c r="S4" s="0" t="n">
        <v>807.805</v>
      </c>
      <c r="T4" s="0" t="n">
        <v>2989.082</v>
      </c>
      <c r="U4" s="0" t="n">
        <v>1705.565</v>
      </c>
      <c r="V4" s="0" t="n">
        <v>114818.27</v>
      </c>
      <c r="W4" s="0" t="n">
        <v>271.416</v>
      </c>
      <c r="X4" s="0" t="n">
        <v>603.026</v>
      </c>
      <c r="Y4" s="0" t="n">
        <v>83.264</v>
      </c>
      <c r="Z4" s="0" t="n">
        <v>795.58</v>
      </c>
      <c r="AA4" s="0" t="n">
        <f aca="false">H4*x_c_F+I4*x_c_CC+J4*x_c_DC+K4*x_c_HCC+L4*x_c_PLT+M4*x_c_SVRn+N4*x_c_SVRcc+O4*x_c_LT+P4*x_c_LT1</f>
        <v>256290558.249569</v>
      </c>
      <c r="AB4" s="0" t="n">
        <f aca="false">C4*x_c_DAA</f>
        <v>126940121.84</v>
      </c>
      <c r="AC4" s="0" t="n">
        <f aca="false">C4*x_c_MON</f>
        <v>32154054.9286109</v>
      </c>
      <c r="AD4" s="0" t="n">
        <f aca="false">D4*(1-x_testy)</f>
        <v>33333333.333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1223620.54528</v>
      </c>
      <c r="AH4" s="0" t="n">
        <f aca="false">x_z_F*U4+(1-x_AGRI)*x_EMP*x_WLOSS*(x_PEN_K74*Q4+x_PEN_C22*R4)</f>
        <v>34901749.237913</v>
      </c>
      <c r="AI4" s="0" t="n">
        <f aca="false">x_AGRI*x_EMP*x_WLOSS*(x_PEN_K74*Q4+x_PEN_C22*R4)</f>
        <v>2075169.648004</v>
      </c>
      <c r="AJ4" s="0" t="n">
        <f aca="false">x_EMP*x_WAGE*(x_WLOSS*(Q4+R4)+S4)+U4*x_ABS_D*x_WAGE/365</f>
        <v>235984445.328758</v>
      </c>
      <c r="AK4" s="0" t="n">
        <f aca="false">AJ4*x_R_FUS</f>
        <v>74665478.5020192</v>
      </c>
      <c r="AL4" s="0" t="n">
        <f aca="false">AJ4*x_R_NFZ</f>
        <v>18326788.0086767</v>
      </c>
      <c r="AM4" s="0" t="n">
        <f aca="false">AJ4*x_R_PIT</f>
        <v>15689230.8879693</v>
      </c>
      <c r="AN4" s="0" t="n">
        <f aca="false">AJ4*x_R_FP</f>
        <v>6017603.35588334</v>
      </c>
      <c r="AO4" s="0" t="n">
        <f aca="false">AA4+AB4+AC4+AD4+AF4</f>
        <v>448718068.35118</v>
      </c>
      <c r="AP4" s="0" t="n">
        <f aca="false">AO4+AE4+AG4+AH4+AI4+AK4+AL4+AM4+AN4</f>
        <v>601617708.536926</v>
      </c>
      <c r="AQ4" s="0" t="n">
        <f aca="false">AO4+AE4+AG4+AJ4</f>
        <v>685926134.225219</v>
      </c>
      <c r="AR4" s="0" t="n">
        <f aca="false">AB4+AC4+AD4+AF4</f>
        <v>192427510.101611</v>
      </c>
      <c r="AS4" s="0" t="n">
        <f aca="false">AR4+AE4+AG4</f>
        <v>193651130.646891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5923.265</v>
      </c>
      <c r="D5" s="0" t="n">
        <v>50000000</v>
      </c>
      <c r="E5" s="0" t="n">
        <v>0</v>
      </c>
      <c r="F5" s="0" t="n">
        <v>0</v>
      </c>
      <c r="G5" s="0" t="n">
        <v>1</v>
      </c>
      <c r="H5" s="0" t="n">
        <v>2777.424</v>
      </c>
      <c r="I5" s="0" t="n">
        <v>288.168</v>
      </c>
      <c r="J5" s="0" t="n">
        <v>1552.179</v>
      </c>
      <c r="K5" s="0" t="n">
        <v>2067.107</v>
      </c>
      <c r="L5" s="0" t="n">
        <v>1470.387</v>
      </c>
      <c r="M5" s="0" t="n">
        <v>17141.499</v>
      </c>
      <c r="N5" s="0" t="n">
        <v>1614.996</v>
      </c>
      <c r="O5" s="0" t="n">
        <v>82.857</v>
      </c>
      <c r="P5" s="0" t="n">
        <v>83.06</v>
      </c>
      <c r="Q5" s="0" t="n">
        <v>2133.853</v>
      </c>
      <c r="R5" s="0" t="n">
        <v>1423.796</v>
      </c>
      <c r="S5" s="0" t="n">
        <v>1351.824</v>
      </c>
      <c r="T5" s="0" t="n">
        <v>3065.592</v>
      </c>
      <c r="U5" s="0" t="n">
        <v>1797.758</v>
      </c>
      <c r="V5" s="0" t="n">
        <v>116132.351</v>
      </c>
      <c r="W5" s="0" t="n">
        <v>283.771</v>
      </c>
      <c r="X5" s="0" t="n">
        <v>629.339</v>
      </c>
      <c r="Y5" s="0" t="n">
        <v>82.857</v>
      </c>
      <c r="Z5" s="0" t="n">
        <v>796.673</v>
      </c>
      <c r="AA5" s="0" t="n">
        <f aca="false">H5*x_c_F+I5*x_c_CC+J5*x_c_DC+K5*x_c_HCC+L5*x_c_PLT+M5*x_c_SVRn+N5*x_c_SVRcc+O5*x_c_LT+P5*x_c_LT1</f>
        <v>261818436.782823</v>
      </c>
      <c r="AB5" s="0" t="n">
        <f aca="false">C5*x_c_DAA</f>
        <v>134813511.4</v>
      </c>
      <c r="AC5" s="0" t="n">
        <f aca="false">C5*x_c_MON</f>
        <v>34148392.0752672</v>
      </c>
      <c r="AD5" s="0" t="n">
        <f aca="false">D5*(1-x_testy)</f>
        <v>50000000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1223620.54528</v>
      </c>
      <c r="AH5" s="0" t="n">
        <f aca="false">x_z_F*U5+(1-x_AGRI)*x_EMP*x_WLOSS*(x_PEN_K74*Q5+x_PEN_C22*R5)</f>
        <v>35452426.6263914</v>
      </c>
      <c r="AI5" s="0" t="n">
        <f aca="false">x_AGRI*x_EMP*x_WLOSS*(x_PEN_K74*Q5+x_PEN_C22*R5)</f>
        <v>2099040.27213851</v>
      </c>
      <c r="AJ5" s="0" t="n">
        <f aca="false">x_EMP*x_WAGE*(x_WLOSS*(Q5+R5)+S5)+U5*x_ABS_D*x_WAGE/365</f>
        <v>284395033.409808</v>
      </c>
      <c r="AK5" s="0" t="n">
        <f aca="false">AJ5*x_R_FUS</f>
        <v>89982588.5708631</v>
      </c>
      <c r="AL5" s="0" t="n">
        <f aca="false">AJ5*x_R_NFZ</f>
        <v>22086402.6896391</v>
      </c>
      <c r="AM5" s="0" t="n">
        <f aca="false">AJ5*x_R_PIT</f>
        <v>18907768.8418918</v>
      </c>
      <c r="AN5" s="0" t="n">
        <f aca="false">AJ5*x_R_FP</f>
        <v>7252073.35195009</v>
      </c>
      <c r="AO5" s="0" t="n">
        <f aca="false">AA5+AB5+AC5+AD5+AF5</f>
        <v>480780340.258091</v>
      </c>
      <c r="AP5" s="0" t="n">
        <f aca="false">AO5+AE5+AG5+AH5+AI5+AK5+AL5+AM5+AN5</f>
        <v>657784261.156244</v>
      </c>
      <c r="AQ5" s="0" t="n">
        <f aca="false">AO5+AE5+AG5+AJ5</f>
        <v>766398994.213178</v>
      </c>
      <c r="AR5" s="0" t="n">
        <f aca="false">AB5+AC5+AD5+AF5</f>
        <v>218961903.475267</v>
      </c>
      <c r="AS5" s="0" t="n">
        <f aca="false">AR5+AE5+AG5</f>
        <v>220185524.020547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5895.255</v>
      </c>
      <c r="D6" s="0" t="n">
        <v>50000000</v>
      </c>
      <c r="E6" s="0" t="n">
        <v>0</v>
      </c>
      <c r="F6" s="0" t="n">
        <v>0</v>
      </c>
      <c r="G6" s="0" t="n">
        <v>1</v>
      </c>
      <c r="H6" s="0" t="n">
        <v>2743.868</v>
      </c>
      <c r="I6" s="0" t="n">
        <v>304.878</v>
      </c>
      <c r="J6" s="0" t="n">
        <v>1559.76</v>
      </c>
      <c r="K6" s="0" t="n">
        <v>2109.337</v>
      </c>
      <c r="L6" s="0" t="n">
        <v>1452.332</v>
      </c>
      <c r="M6" s="0" t="n">
        <v>22057.793</v>
      </c>
      <c r="N6" s="0" t="n">
        <v>2140.959</v>
      </c>
      <c r="O6" s="0" t="n">
        <v>83.203</v>
      </c>
      <c r="P6" s="0" t="n">
        <v>83.03</v>
      </c>
      <c r="Q6" s="0" t="n">
        <v>2149.257</v>
      </c>
      <c r="R6" s="0" t="n">
        <v>1471.544</v>
      </c>
      <c r="S6" s="0" t="n">
        <v>1903.057</v>
      </c>
      <c r="T6" s="0" t="n">
        <v>3048.746</v>
      </c>
      <c r="U6" s="0" t="n">
        <v>1835.232</v>
      </c>
      <c r="V6" s="0" t="n">
        <v>117499.998</v>
      </c>
      <c r="W6" s="0" t="n">
        <v>296.381</v>
      </c>
      <c r="X6" s="0" t="n">
        <v>653.918</v>
      </c>
      <c r="Y6" s="0" t="n">
        <v>83.203</v>
      </c>
      <c r="Z6" s="0" t="n">
        <v>804.983</v>
      </c>
      <c r="AA6" s="0" t="n">
        <f aca="false">H6*x_c_F+I6*x_c_CC+J6*x_c_DC+K6*x_c_HCC+L6*x_c_PLT+M6*x_c_SVRn+N6*x_c_SVRcc+O6*x_c_LT+P6*x_c_LT1</f>
        <v>268597025.681288</v>
      </c>
      <c r="AB6" s="0" t="n">
        <f aca="false">C6*x_c_DAA</f>
        <v>134176003.8</v>
      </c>
      <c r="AC6" s="0" t="n">
        <f aca="false">C6*x_c_MON</f>
        <v>33986910.7871553</v>
      </c>
      <c r="AD6" s="0" t="n">
        <f aca="false">D6*(1-x_testy)</f>
        <v>50000000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1223620.54528</v>
      </c>
      <c r="AH6" s="0" t="n">
        <f aca="false">x_z_F*U6+(1-x_AGRI)*x_EMP*x_WLOSS*(x_PEN_K74*Q6+x_PEN_C22*R6)</f>
        <v>36119137.6962372</v>
      </c>
      <c r="AI6" s="0" t="n">
        <f aca="false">x_AGRI*x_EMP*x_WLOSS*(x_PEN_K74*Q6+x_PEN_C22*R6)</f>
        <v>2138016.25757702</v>
      </c>
      <c r="AJ6" s="0" t="n">
        <f aca="false">x_EMP*x_WAGE*(x_WLOSS*(Q6+R6)+S6)+U6*x_ABS_D*x_WAGE/365</f>
        <v>334412141.032668</v>
      </c>
      <c r="AK6" s="0" t="n">
        <f aca="false">AJ6*x_R_FUS</f>
        <v>105808001.422736</v>
      </c>
      <c r="AL6" s="0" t="n">
        <f aca="false">AJ6*x_R_NFZ</f>
        <v>25970781.2847381</v>
      </c>
      <c r="AM6" s="0" t="n">
        <f aca="false">AJ6*x_R_PIT</f>
        <v>22233114.9203176</v>
      </c>
      <c r="AN6" s="0" t="n">
        <f aca="false">AJ6*x_R_FP</f>
        <v>8527509.59633304</v>
      </c>
      <c r="AO6" s="0" t="n">
        <f aca="false">AA6+AB6+AC6+AD6+AF6</f>
        <v>486759940.268443</v>
      </c>
      <c r="AP6" s="0" t="n">
        <f aca="false">AO6+AE6+AG6+AH6+AI6+AK6+AL6+AM6+AN6</f>
        <v>688780121.991662</v>
      </c>
      <c r="AQ6" s="0" t="n">
        <f aca="false">AO6+AE6+AG6+AJ6</f>
        <v>822395701.846391</v>
      </c>
      <c r="AR6" s="0" t="n">
        <f aca="false">AB6+AC6+AD6+AF6</f>
        <v>218162914.587155</v>
      </c>
      <c r="AS6" s="0" t="n">
        <f aca="false">AR6+AE6+AG6</f>
        <v>219386535.132435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5868.458</v>
      </c>
      <c r="D7" s="0" t="n">
        <v>50000000</v>
      </c>
      <c r="E7" s="0" t="n">
        <v>0</v>
      </c>
      <c r="F7" s="0" t="n">
        <v>0</v>
      </c>
      <c r="G7" s="0" t="n">
        <v>1</v>
      </c>
      <c r="H7" s="0" t="n">
        <v>2711.368</v>
      </c>
      <c r="I7" s="0" t="n">
        <v>321.135</v>
      </c>
      <c r="J7" s="0" t="n">
        <v>1577.382</v>
      </c>
      <c r="K7" s="0" t="n">
        <v>2161.576</v>
      </c>
      <c r="L7" s="0" t="n">
        <v>1434.138</v>
      </c>
      <c r="M7" s="0" t="n">
        <v>26847.037</v>
      </c>
      <c r="N7" s="0" t="n">
        <v>2681.964</v>
      </c>
      <c r="O7" s="0" t="n">
        <v>84.14</v>
      </c>
      <c r="P7" s="0" t="n">
        <v>83.672</v>
      </c>
      <c r="Q7" s="0" t="n">
        <v>2173.876</v>
      </c>
      <c r="R7" s="0" t="n">
        <v>1528.624</v>
      </c>
      <c r="S7" s="0" t="n">
        <v>2466.131</v>
      </c>
      <c r="T7" s="0" t="n">
        <v>3032.502</v>
      </c>
      <c r="U7" s="0" t="n">
        <v>1870.87</v>
      </c>
      <c r="V7" s="0" t="n">
        <v>118907.55</v>
      </c>
      <c r="W7" s="0" t="n">
        <v>308.44</v>
      </c>
      <c r="X7" s="0" t="n">
        <v>675.869</v>
      </c>
      <c r="Y7" s="0" t="n">
        <v>84.14</v>
      </c>
      <c r="Z7" s="0" t="n">
        <v>818.159</v>
      </c>
      <c r="AA7" s="0" t="n">
        <f aca="false">H7*x_c_F+I7*x_c_CC+J7*x_c_DC+K7*x_c_HCC+L7*x_c_PLT+M7*x_c_SVRn+N7*x_c_SVRcc+O7*x_c_LT+P7*x_c_LT1</f>
        <v>276380531.607052</v>
      </c>
      <c r="AB7" s="0" t="n">
        <f aca="false">C7*x_c_DAA</f>
        <v>133566104.08</v>
      </c>
      <c r="AC7" s="0" t="n">
        <f aca="false">C7*x_c_MON</f>
        <v>33832422.6015953</v>
      </c>
      <c r="AD7" s="0" t="n">
        <f aca="false">D7*(1-x_testy)</f>
        <v>50000000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1223620.54528</v>
      </c>
      <c r="AH7" s="0" t="n">
        <f aca="false">x_z_F*U7+(1-x_AGRI)*x_EMP*x_WLOSS*(x_PEN_K74*Q7+x_PEN_C22*R7)</f>
        <v>36949834.6428041</v>
      </c>
      <c r="AI7" s="0" t="n">
        <f aca="false">x_AGRI*x_EMP*x_WLOSS*(x_PEN_K74*Q7+x_PEN_C22*R7)</f>
        <v>2188080.88857754</v>
      </c>
      <c r="AJ7" s="0" t="n">
        <f aca="false">x_EMP*x_WAGE*(x_WLOSS*(Q7+R7)+S7)+U7*x_ABS_D*x_WAGE/365</f>
        <v>386287657.605689</v>
      </c>
      <c r="AK7" s="0" t="n">
        <f aca="false">AJ7*x_R_FUS</f>
        <v>122221414.86644</v>
      </c>
      <c r="AL7" s="0" t="n">
        <f aca="false">AJ7*x_R_NFZ</f>
        <v>29999485.7773154</v>
      </c>
      <c r="AM7" s="0" t="n">
        <f aca="false">AJ7*x_R_PIT</f>
        <v>25682015.782461</v>
      </c>
      <c r="AN7" s="0" t="n">
        <f aca="false">AJ7*x_R_FP</f>
        <v>9850335.26894507</v>
      </c>
      <c r="AO7" s="0" t="n">
        <f aca="false">AA7+AB7+AC7+AD7+AF7</f>
        <v>493779058.288647</v>
      </c>
      <c r="AP7" s="0" t="n">
        <f aca="false">AO7+AE7+AG7+AH7+AI7+AK7+AL7+AM7+AN7</f>
        <v>721893846.06047</v>
      </c>
      <c r="AQ7" s="0" t="n">
        <f aca="false">AO7+AE7+AG7+AJ7</f>
        <v>881290336.439616</v>
      </c>
      <c r="AR7" s="0" t="n">
        <f aca="false">AB7+AC7+AD7+AF7</f>
        <v>217398526.681595</v>
      </c>
      <c r="AS7" s="0" t="n">
        <f aca="false">AR7+AE7+AG7</f>
        <v>218622147.226875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5842.759</v>
      </c>
      <c r="D8" s="0" t="n">
        <v>50000000</v>
      </c>
      <c r="E8" s="0" t="n">
        <v>0</v>
      </c>
      <c r="F8" s="0" t="n">
        <v>0</v>
      </c>
      <c r="G8" s="0" t="n">
        <v>1</v>
      </c>
      <c r="H8" s="0" t="n">
        <v>2680.444</v>
      </c>
      <c r="I8" s="0" t="n">
        <v>336.364</v>
      </c>
      <c r="J8" s="0" t="n">
        <v>1602.361</v>
      </c>
      <c r="K8" s="0" t="n">
        <v>2217.952</v>
      </c>
      <c r="L8" s="0" t="n">
        <v>1416.36</v>
      </c>
      <c r="M8" s="0" t="n">
        <v>31510.404</v>
      </c>
      <c r="N8" s="0" t="n">
        <v>3234.959</v>
      </c>
      <c r="O8" s="0" t="n">
        <v>85.497</v>
      </c>
      <c r="P8" s="0" t="n">
        <v>84.818</v>
      </c>
      <c r="Q8" s="0" t="n">
        <v>2206.14</v>
      </c>
      <c r="R8" s="0" t="n">
        <v>1590.738</v>
      </c>
      <c r="S8" s="0" t="n">
        <v>3044.035</v>
      </c>
      <c r="T8" s="0" t="n">
        <v>3016.808</v>
      </c>
      <c r="U8" s="0" t="n">
        <v>1904.701</v>
      </c>
      <c r="V8" s="0" t="n">
        <v>120345.122</v>
      </c>
      <c r="W8" s="0" t="n">
        <v>319.358</v>
      </c>
      <c r="X8" s="0" t="n">
        <v>694.585</v>
      </c>
      <c r="Y8" s="0" t="n">
        <v>85.497</v>
      </c>
      <c r="Z8" s="0" t="n">
        <v>834.173</v>
      </c>
      <c r="AA8" s="0" t="n">
        <f aca="false">H8*x_c_F+I8*x_c_CC+J8*x_c_DC+K8*x_c_HCC+L8*x_c_PLT+M8*x_c_SVRn+N8*x_c_SVRcc+O8*x_c_LT+P8*x_c_LT1</f>
        <v>284693058.789343</v>
      </c>
      <c r="AB8" s="0" t="n">
        <f aca="false">C8*x_c_DAA</f>
        <v>132981194.84</v>
      </c>
      <c r="AC8" s="0" t="n">
        <f aca="false">C8*x_c_MON</f>
        <v>33684264.5286503</v>
      </c>
      <c r="AD8" s="0" t="n">
        <f aca="false">D8*(1-x_testy)</f>
        <v>50000000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1223620.54528</v>
      </c>
      <c r="AH8" s="0" t="n">
        <f aca="false">x_z_F*U8+(1-x_AGRI)*x_EMP*x_WLOSS*(x_PEN_K74*Q8+x_PEN_C22*R8)</f>
        <v>37889946.0144352</v>
      </c>
      <c r="AI8" s="0" t="n">
        <f aca="false">x_AGRI*x_EMP*x_WLOSS*(x_PEN_K74*Q8+x_PEN_C22*R8)</f>
        <v>2245623.15610071</v>
      </c>
      <c r="AJ8" s="0" t="n">
        <f aca="false">x_EMP*x_WAGE*(x_WLOSS*(Q8+R8)+S8)+U8*x_ABS_D*x_WAGE/365</f>
        <v>440006245.235279</v>
      </c>
      <c r="AK8" s="0" t="n">
        <f aca="false">AJ8*x_R_FUS</f>
        <v>139217975.992442</v>
      </c>
      <c r="AL8" s="0" t="n">
        <f aca="false">AJ8*x_R_NFZ</f>
        <v>34171325.011217</v>
      </c>
      <c r="AM8" s="0" t="n">
        <f aca="false">AJ8*x_R_PIT</f>
        <v>29253451.7011382</v>
      </c>
      <c r="AN8" s="0" t="n">
        <f aca="false">AJ8*x_R_FP</f>
        <v>11220159.2534996</v>
      </c>
      <c r="AO8" s="0" t="n">
        <f aca="false">AA8+AB8+AC8+AD8+AF8</f>
        <v>501358518.157993</v>
      </c>
      <c r="AP8" s="0" t="n">
        <f aca="false">AO8+AE8+AG8+AH8+AI8+AK8+AL8+AM8+AN8</f>
        <v>756580619.832106</v>
      </c>
      <c r="AQ8" s="0" t="n">
        <f aca="false">AO8+AE8+AG8+AJ8</f>
        <v>942588383.938552</v>
      </c>
      <c r="AR8" s="0" t="n">
        <f aca="false">AB8+AC8+AD8+AF8</f>
        <v>216665459.36865</v>
      </c>
      <c r="AS8" s="0" t="n">
        <f aca="false">AR8+AE8+AG8</f>
        <v>217889079.91393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5818.085</v>
      </c>
      <c r="D9" s="0" t="n">
        <v>50000000</v>
      </c>
      <c r="E9" s="0" t="n">
        <v>0</v>
      </c>
      <c r="F9" s="0" t="n">
        <v>0</v>
      </c>
      <c r="G9" s="0" t="n">
        <v>1</v>
      </c>
      <c r="H9" s="0" t="n">
        <v>2651.49</v>
      </c>
      <c r="I9" s="0" t="n">
        <v>350.124</v>
      </c>
      <c r="J9" s="0" t="n">
        <v>1631.951</v>
      </c>
      <c r="K9" s="0" t="n">
        <v>2273.74</v>
      </c>
      <c r="L9" s="0" t="n">
        <v>1399.364</v>
      </c>
      <c r="M9" s="0" t="n">
        <v>36049.641</v>
      </c>
      <c r="N9" s="0" t="n">
        <v>3796.019</v>
      </c>
      <c r="O9" s="0" t="n">
        <v>87.108</v>
      </c>
      <c r="P9" s="0" t="n">
        <v>86.302</v>
      </c>
      <c r="Q9" s="0" t="n">
        <v>2244.298</v>
      </c>
      <c r="R9" s="0" t="n">
        <v>1654.389</v>
      </c>
      <c r="S9" s="0" t="n">
        <v>3638.288</v>
      </c>
      <c r="T9" s="0" t="n">
        <v>3001.613</v>
      </c>
      <c r="U9" s="0" t="n">
        <v>1936.776</v>
      </c>
      <c r="V9" s="0" t="n">
        <v>121802.695</v>
      </c>
      <c r="W9" s="0" t="n">
        <v>328.715</v>
      </c>
      <c r="X9" s="0" t="n">
        <v>709.666</v>
      </c>
      <c r="Y9" s="0" t="n">
        <v>87.108</v>
      </c>
      <c r="Z9" s="0" t="n">
        <v>851.269</v>
      </c>
      <c r="AA9" s="0" t="n">
        <f aca="false">H9*x_c_F+I9*x_c_CC+J9*x_c_DC+K9*x_c_HCC+L9*x_c_PLT+M9*x_c_SVRn+N9*x_c_SVRcc+O9*x_c_LT+P9*x_c_LT1</f>
        <v>293123829.923931</v>
      </c>
      <c r="AB9" s="0" t="n">
        <f aca="false">C9*x_c_DAA</f>
        <v>132419614.6</v>
      </c>
      <c r="AC9" s="0" t="n">
        <f aca="false">C9*x_c_MON</f>
        <v>33542015.7138387</v>
      </c>
      <c r="AD9" s="0" t="n">
        <f aca="false">D9*(1-x_testy)</f>
        <v>50000000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1223620.54528</v>
      </c>
      <c r="AH9" s="0" t="n">
        <f aca="false">x_z_F*U9+(1-x_AGRI)*x_EMP*x_WLOSS*(x_PEN_K74*Q9+x_PEN_C22*R9)</f>
        <v>38891118.4542204</v>
      </c>
      <c r="AI9" s="0" t="n">
        <f aca="false">x_AGRI*x_EMP*x_WLOSS*(x_PEN_K74*Q9+x_PEN_C22*R9)</f>
        <v>2307440.06566055</v>
      </c>
      <c r="AJ9" s="0" t="n">
        <f aca="false">x_EMP*x_WAGE*(x_WLOSS*(Q9+R9)+S9)+U9*x_ABS_D*x_WAGE/365</f>
        <v>495455853.513218</v>
      </c>
      <c r="AK9" s="0" t="n">
        <f aca="false">AJ9*x_R_FUS</f>
        <v>156762232.051582</v>
      </c>
      <c r="AL9" s="0" t="n">
        <f aca="false">AJ9*x_R_NFZ</f>
        <v>38477597.03969</v>
      </c>
      <c r="AM9" s="0" t="n">
        <f aca="false">AJ9*x_R_PIT</f>
        <v>32939973.0975297</v>
      </c>
      <c r="AN9" s="0" t="n">
        <f aca="false">AJ9*x_R_FP</f>
        <v>12634124.2645871</v>
      </c>
      <c r="AO9" s="0" t="n">
        <f aca="false">AA9+AB9+AC9+AD9+AF9</f>
        <v>509085460.23777</v>
      </c>
      <c r="AP9" s="0" t="n">
        <f aca="false">AO9+AE9+AG9+AH9+AI9+AK9+AL9+AM9+AN9</f>
        <v>792321565.75632</v>
      </c>
      <c r="AQ9" s="0" t="n">
        <f aca="false">AO9+AE9+AG9+AJ9</f>
        <v>1005764934.29627</v>
      </c>
      <c r="AR9" s="0" t="n">
        <f aca="false">AB9+AC9+AD9+AF9</f>
        <v>215961630.313839</v>
      </c>
      <c r="AS9" s="0" t="n">
        <f aca="false">AR9+AE9+AG9</f>
        <v>217185250.859119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5794.336</v>
      </c>
      <c r="D10" s="0" t="n">
        <v>50000000</v>
      </c>
      <c r="E10" s="0" t="n">
        <v>0</v>
      </c>
      <c r="F10" s="0" t="n">
        <v>0</v>
      </c>
      <c r="G10" s="0" t="n">
        <v>1</v>
      </c>
      <c r="H10" s="0" t="n">
        <v>2624.794</v>
      </c>
      <c r="I10" s="0" t="n">
        <v>362.088</v>
      </c>
      <c r="J10" s="0" t="n">
        <v>1663.534</v>
      </c>
      <c r="K10" s="0" t="n">
        <v>2325.26</v>
      </c>
      <c r="L10" s="0" t="n">
        <v>1383.353</v>
      </c>
      <c r="M10" s="0" t="n">
        <v>40467.133</v>
      </c>
      <c r="N10" s="0" t="n">
        <v>4360.616</v>
      </c>
      <c r="O10" s="0" t="n">
        <v>88.824</v>
      </c>
      <c r="P10" s="0" t="n">
        <v>87.966</v>
      </c>
      <c r="Q10" s="0" t="n">
        <v>2286.548</v>
      </c>
      <c r="R10" s="0" t="n">
        <v>1716.794</v>
      </c>
      <c r="S10" s="0" t="n">
        <v>4249.164</v>
      </c>
      <c r="T10" s="0" t="n">
        <v>2986.882</v>
      </c>
      <c r="U10" s="0" t="n">
        <v>1967.143</v>
      </c>
      <c r="V10" s="0" t="n">
        <v>123271.538</v>
      </c>
      <c r="W10" s="0" t="n">
        <v>336.24</v>
      </c>
      <c r="X10" s="0" t="n">
        <v>720.908</v>
      </c>
      <c r="Y10" s="0" t="n">
        <v>88.824</v>
      </c>
      <c r="Z10" s="0" t="n">
        <v>868.031</v>
      </c>
      <c r="AA10" s="0" t="n">
        <f aca="false">H10*x_c_F+I10*x_c_CC+J10*x_c_DC+K10*x_c_HCC+L10*x_c_PLT+M10*x_c_SVRn+N10*x_c_SVRcc+O10*x_c_LT+P10*x_c_LT1</f>
        <v>301330159.667733</v>
      </c>
      <c r="AB10" s="0" t="n">
        <f aca="false">C10*x_c_DAA</f>
        <v>131879087.36</v>
      </c>
      <c r="AC10" s="0" t="n">
        <f aca="false">C10*x_c_MON</f>
        <v>33405099.6441718</v>
      </c>
      <c r="AD10" s="0" t="n">
        <f aca="false">D10*(1-x_testy)</f>
        <v>50000000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1223620.54528</v>
      </c>
      <c r="AH10" s="0" t="n">
        <f aca="false">x_z_F*U10+(1-x_AGRI)*x_EMP*x_WLOSS*(x_PEN_K74*Q10+x_PEN_C22*R10)</f>
        <v>39911428.7652336</v>
      </c>
      <c r="AI10" s="0" t="n">
        <f aca="false">x_AGRI*x_EMP*x_WLOSS*(x_PEN_K74*Q10+x_PEN_C22*R10)</f>
        <v>2370754.05167624</v>
      </c>
      <c r="AJ10" s="0" t="n">
        <f aca="false">x_EMP*x_WAGE*(x_WLOSS*(Q10+R10)+S10)+U10*x_ABS_D*x_WAGE/365</f>
        <v>552448810.174826</v>
      </c>
      <c r="AK10" s="0" t="n">
        <f aca="false">AJ10*x_R_FUS</f>
        <v>174794803.539315</v>
      </c>
      <c r="AL10" s="0" t="n">
        <f aca="false">AJ10*x_R_NFZ</f>
        <v>42903727.0469871</v>
      </c>
      <c r="AM10" s="0" t="n">
        <f aca="false">AJ10*x_R_PIT</f>
        <v>36729102.7361645</v>
      </c>
      <c r="AN10" s="0" t="n">
        <f aca="false">AJ10*x_R_FP</f>
        <v>14087444.6594581</v>
      </c>
      <c r="AO10" s="0" t="n">
        <f aca="false">AA10+AB10+AC10+AD10+AF10</f>
        <v>516614346.671905</v>
      </c>
      <c r="AP10" s="0" t="n">
        <f aca="false">AO10+AE10+AG10+AH10+AI10+AK10+AL10+AM10+AN10</f>
        <v>828635228.016019</v>
      </c>
      <c r="AQ10" s="0" t="n">
        <f aca="false">AO10+AE10+AG10+AJ10</f>
        <v>1070286777.39201</v>
      </c>
      <c r="AR10" s="0" t="n">
        <f aca="false">AB10+AC10+AD10+AF10</f>
        <v>215284187.004172</v>
      </c>
      <c r="AS10" s="0" t="n">
        <f aca="false">AR10+AE10+AG10</f>
        <v>216507807.549452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5771.478</v>
      </c>
      <c r="D11" s="0" t="n">
        <v>50000000</v>
      </c>
      <c r="E11" s="0" t="n">
        <v>0</v>
      </c>
      <c r="F11" s="0" t="n">
        <v>0</v>
      </c>
      <c r="G11" s="0" t="n">
        <v>1</v>
      </c>
      <c r="H11" s="0" t="n">
        <v>2600.551</v>
      </c>
      <c r="I11" s="0" t="n">
        <v>372.034</v>
      </c>
      <c r="J11" s="0" t="n">
        <v>1694.731</v>
      </c>
      <c r="K11" s="0" t="n">
        <v>2369.745</v>
      </c>
      <c r="L11" s="0" t="n">
        <v>1368.371</v>
      </c>
      <c r="M11" s="0" t="n">
        <v>44765.408</v>
      </c>
      <c r="N11" s="0" t="n">
        <v>4923.783</v>
      </c>
      <c r="O11" s="0" t="n">
        <v>90.507</v>
      </c>
      <c r="P11" s="0" t="n">
        <v>89.665</v>
      </c>
      <c r="Q11" s="0" t="n">
        <v>2331.126</v>
      </c>
      <c r="R11" s="0" t="n">
        <v>1775.796</v>
      </c>
      <c r="S11" s="0" t="n">
        <v>4875.859</v>
      </c>
      <c r="T11" s="0" t="n">
        <v>2972.586</v>
      </c>
      <c r="U11" s="0" t="n">
        <v>1995.845</v>
      </c>
      <c r="V11" s="0" t="n">
        <v>124743.854</v>
      </c>
      <c r="W11" s="0" t="n">
        <v>341.776</v>
      </c>
      <c r="X11" s="0" t="n">
        <v>728.242</v>
      </c>
      <c r="Y11" s="0" t="n">
        <v>90.507</v>
      </c>
      <c r="Z11" s="0" t="n">
        <v>883.284</v>
      </c>
      <c r="AA11" s="0" t="n">
        <f aca="false">H11*x_c_F+I11*x_c_CC+J11*x_c_DC+K11*x_c_HCC+L11*x_c_PLT+M11*x_c_SVRn+N11*x_c_SVRcc+O11*x_c_LT+P11*x_c_LT1</f>
        <v>309029603.187289</v>
      </c>
      <c r="AB11" s="0" t="n">
        <f aca="false">C11*x_c_DAA</f>
        <v>131358839.28</v>
      </c>
      <c r="AC11" s="0" t="n">
        <f aca="false">C11*x_c_MON</f>
        <v>33273320.3052335</v>
      </c>
      <c r="AD11" s="0" t="n">
        <f aca="false">D11*(1-x_testy)</f>
        <v>50000000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1223620.54528</v>
      </c>
      <c r="AH11" s="0" t="n">
        <f aca="false">x_z_F*U11+(1-x_AGRI)*x_EMP*x_WLOSS*(x_PEN_K74*Q11+x_PEN_C22*R11)</f>
        <v>40915286.6185498</v>
      </c>
      <c r="AI11" s="0" t="n">
        <f aca="false">x_AGRI*x_EMP*x_WLOSS*(x_PEN_K74*Q11+x_PEN_C22*R11)</f>
        <v>2433206.81843857</v>
      </c>
      <c r="AJ11" s="0" t="n">
        <f aca="false">x_EMP*x_WAGE*(x_WLOSS*(Q11+R11)+S11)+U11*x_ABS_D*x_WAGE/365</f>
        <v>610736099.783879</v>
      </c>
      <c r="AK11" s="0" t="n">
        <f aca="false">AJ11*x_R_FUS</f>
        <v>193236901.971619</v>
      </c>
      <c r="AL11" s="0" t="n">
        <f aca="false">AJ11*x_R_NFZ</f>
        <v>47430376.2453158</v>
      </c>
      <c r="AM11" s="0" t="n">
        <f aca="false">AJ11*x_R_PIT</f>
        <v>40604285.0314906</v>
      </c>
      <c r="AN11" s="0" t="n">
        <f aca="false">AJ11*x_R_FP</f>
        <v>15573770.5444889</v>
      </c>
      <c r="AO11" s="0" t="n">
        <f aca="false">AA11+AB11+AC11+AD11+AF11</f>
        <v>523661762.772522</v>
      </c>
      <c r="AP11" s="0" t="n">
        <f aca="false">AO11+AE11+AG11+AH11+AI11+AK11+AL11+AM11+AN11</f>
        <v>865079210.547705</v>
      </c>
      <c r="AQ11" s="0" t="n">
        <f aca="false">AO11+AE11+AG11+AJ11</f>
        <v>1135621483.10168</v>
      </c>
      <c r="AR11" s="0" t="n">
        <f aca="false">AB11+AC11+AD11+AF11</f>
        <v>214632159.585234</v>
      </c>
      <c r="AS11" s="0" t="n">
        <f aca="false">AR11+AE11+AG11</f>
        <v>215855780.130514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5749.441</v>
      </c>
      <c r="D12" s="0" t="n">
        <v>50000000</v>
      </c>
      <c r="E12" s="0" t="n">
        <v>0</v>
      </c>
      <c r="F12" s="0" t="n">
        <v>0</v>
      </c>
      <c r="G12" s="0" t="n">
        <v>1</v>
      </c>
      <c r="H12" s="0" t="n">
        <v>2385.961</v>
      </c>
      <c r="I12" s="0" t="n">
        <v>351.048</v>
      </c>
      <c r="J12" s="0" t="n">
        <v>1723.476</v>
      </c>
      <c r="K12" s="0" t="n">
        <v>2405.23</v>
      </c>
      <c r="L12" s="0" t="n">
        <v>1354.337</v>
      </c>
      <c r="M12" s="0" t="n">
        <v>48569.026</v>
      </c>
      <c r="N12" s="0" t="n">
        <v>5423.914</v>
      </c>
      <c r="O12" s="0" t="n">
        <v>92.046</v>
      </c>
      <c r="P12" s="0" t="n">
        <v>91.276</v>
      </c>
      <c r="Q12" s="0" t="n">
        <v>2376.365</v>
      </c>
      <c r="R12" s="0" t="n">
        <v>1829.777</v>
      </c>
      <c r="S12" s="0" t="n">
        <v>5516.675</v>
      </c>
      <c r="T12" s="0" t="n">
        <v>2737.009</v>
      </c>
      <c r="U12" s="0" t="n">
        <v>1869.997</v>
      </c>
      <c r="V12" s="0" t="n">
        <v>126189.064</v>
      </c>
      <c r="W12" s="0" t="n">
        <v>345.268</v>
      </c>
      <c r="X12" s="0" t="n">
        <v>731.739</v>
      </c>
      <c r="Y12" s="0" t="n">
        <v>92.046</v>
      </c>
      <c r="Z12" s="0" t="n">
        <v>896.16</v>
      </c>
      <c r="AA12" s="0" t="n">
        <f aca="false">H12*x_c_F+I12*x_c_CC+J12*x_c_DC+K12*x_c_HCC+L12*x_c_PLT+M12*x_c_SVRn+N12*x_c_SVRcc+O12*x_c_LT+P12*x_c_LT1</f>
        <v>314888813.473576</v>
      </c>
      <c r="AB12" s="0" t="n">
        <f aca="false">C12*x_c_DAA</f>
        <v>130857277.16</v>
      </c>
      <c r="AC12" s="0" t="n">
        <f aca="false">C12*x_c_MON</f>
        <v>33146274.1379317</v>
      </c>
      <c r="AD12" s="0" t="n">
        <f aca="false">D12*(1-x_testy)</f>
        <v>50000000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1223620.54528</v>
      </c>
      <c r="AH12" s="0" t="n">
        <f aca="false">x_z_F*U12+(1-x_AGRI)*x_EMP*x_WLOSS*(x_PEN_K74*Q12+x_PEN_C22*R12)</f>
        <v>41558705.4016566</v>
      </c>
      <c r="AI12" s="0" t="n">
        <f aca="false">x_AGRI*x_EMP*x_WLOSS*(x_PEN_K74*Q12+x_PEN_C22*R12)</f>
        <v>2492837.03327667</v>
      </c>
      <c r="AJ12" s="0" t="n">
        <f aca="false">x_EMP*x_WAGE*(x_WLOSS*(Q12+R12)+S12)+U12*x_ABS_D*x_WAGE/365</f>
        <v>669572571.90951</v>
      </c>
      <c r="AK12" s="0" t="n">
        <f aca="false">AJ12*x_R_FUS</f>
        <v>211852761.752169</v>
      </c>
      <c r="AL12" s="0" t="n">
        <f aca="false">AJ12*x_R_NFZ</f>
        <v>51999675.5070644</v>
      </c>
      <c r="AM12" s="0" t="n">
        <f aca="false">AJ12*x_R_PIT</f>
        <v>44515979.2727216</v>
      </c>
      <c r="AN12" s="0" t="n">
        <f aca="false">AJ12*x_R_FP</f>
        <v>17074100.5836925</v>
      </c>
      <c r="AO12" s="0" t="n">
        <f aca="false">AA12+AB12+AC12+AD12+AF12</f>
        <v>528892364.771508</v>
      </c>
      <c r="AP12" s="0" t="n">
        <f aca="false">AO12+AE12+AG12+AH12+AI12+AK12+AL12+AM12+AN12</f>
        <v>899610044.867368</v>
      </c>
      <c r="AQ12" s="0" t="n">
        <f aca="false">AO12+AE12+AG12+AJ12</f>
        <v>1199688557.2263</v>
      </c>
      <c r="AR12" s="0" t="n">
        <f aca="false">AB12+AC12+AD12+AF12</f>
        <v>214003551.297932</v>
      </c>
      <c r="AS12" s="0" t="n">
        <f aca="false">AR12+AE12+AG12</f>
        <v>215227171.843212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2179.467</v>
      </c>
      <c r="I13" s="0" t="n">
        <v>328.207</v>
      </c>
      <c r="J13" s="0" t="n">
        <v>1748.97</v>
      </c>
      <c r="K13" s="0" t="n">
        <v>2432.161</v>
      </c>
      <c r="L13" s="0" t="n">
        <v>1341.041</v>
      </c>
      <c r="M13" s="0" t="n">
        <v>51894.071</v>
      </c>
      <c r="N13" s="0" t="n">
        <v>5857.994</v>
      </c>
      <c r="O13" s="0" t="n">
        <v>93.343</v>
      </c>
      <c r="P13" s="0" t="n">
        <v>92.695</v>
      </c>
      <c r="Q13" s="0" t="n">
        <v>2421.485</v>
      </c>
      <c r="R13" s="0" t="n">
        <v>1878.969</v>
      </c>
      <c r="S13" s="0" t="n">
        <v>6169.167</v>
      </c>
      <c r="T13" s="0" t="n">
        <v>2507.674</v>
      </c>
      <c r="U13" s="0" t="n">
        <v>1744.035</v>
      </c>
      <c r="V13" s="0" t="n">
        <v>127599.92</v>
      </c>
      <c r="W13" s="0" t="n">
        <v>348.601</v>
      </c>
      <c r="X13" s="0" t="n">
        <v>735.048</v>
      </c>
      <c r="Y13" s="0" t="n">
        <v>93.343</v>
      </c>
      <c r="Z13" s="0" t="n">
        <v>905.957</v>
      </c>
      <c r="AA13" s="0" t="n">
        <f aca="false">H13*x_c_F+I13*x_c_CC+J13*x_c_DC+K13*x_c_HCC+L13*x_c_PLT+M13*x_c_SVRn+N13*x_c_SVRcc+O13*x_c_LT+P13*x_c_LT1</f>
        <v>319622688.594741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42154817.0411907</v>
      </c>
      <c r="AI13" s="0" t="n">
        <f aca="false">x_AGRI*x_EMP*x_WLOSS*(x_PEN_K74*Q13+x_PEN_C22*R13)</f>
        <v>2549355.82815075</v>
      </c>
      <c r="AJ13" s="0" t="n">
        <f aca="false">x_EMP*x_WAGE*(x_WLOSS*(Q13+R13)+S13)+U13*x_ABS_D*x_WAGE/365</f>
        <v>729178159.388666</v>
      </c>
      <c r="AK13" s="0" t="n">
        <f aca="false">AJ13*x_R_FUS</f>
        <v>230711969.630574</v>
      </c>
      <c r="AL13" s="0" t="n">
        <f aca="false">AJ13*x_R_NFZ</f>
        <v>56628705.0362832</v>
      </c>
      <c r="AM13" s="0" t="n">
        <f aca="false">AJ13*x_R_PIT</f>
        <v>48478807.5128233</v>
      </c>
      <c r="AN13" s="0" t="n">
        <f aca="false">AJ13*x_R_FP</f>
        <v>18594043.064411</v>
      </c>
      <c r="AO13" s="0" t="n">
        <f aca="false">AA13+AB13+AC13+AD13+AF13</f>
        <v>457456116.204765</v>
      </c>
      <c r="AP13" s="0" t="n">
        <f aca="false">AO13+AE13+AG13+AH13+AI13+AK13+AL13+AM13+AN13</f>
        <v>856573814.318198</v>
      </c>
      <c r="AQ13" s="0" t="n">
        <f aca="false">AO13+AE13+AG13+AJ13</f>
        <v>1186634275.59343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2173.56</v>
      </c>
      <c r="I14" s="0" t="n">
        <v>332.506</v>
      </c>
      <c r="J14" s="0" t="n">
        <v>1770.619</v>
      </c>
      <c r="K14" s="0" t="n">
        <v>2451.096</v>
      </c>
      <c r="L14" s="0" t="n">
        <v>1328.16</v>
      </c>
      <c r="M14" s="0" t="n">
        <v>55133.251</v>
      </c>
      <c r="N14" s="0" t="n">
        <v>6279.823</v>
      </c>
      <c r="O14" s="0" t="n">
        <v>94.435</v>
      </c>
      <c r="P14" s="0" t="n">
        <v>93.889</v>
      </c>
      <c r="Q14" s="0" t="n">
        <v>2465.831</v>
      </c>
      <c r="R14" s="0" t="n">
        <v>1923.7</v>
      </c>
      <c r="S14" s="0" t="n">
        <v>6830.695</v>
      </c>
      <c r="T14" s="0" t="n">
        <v>2506.066</v>
      </c>
      <c r="U14" s="0" t="n">
        <v>1770.974</v>
      </c>
      <c r="V14" s="0" t="n">
        <v>128991.798</v>
      </c>
      <c r="W14" s="0" t="n">
        <v>350.072</v>
      </c>
      <c r="X14" s="0" t="n">
        <v>735.055</v>
      </c>
      <c r="Y14" s="0" t="n">
        <v>94.435</v>
      </c>
      <c r="Z14" s="0" t="n">
        <v>913.357</v>
      </c>
      <c r="AA14" s="0" t="n">
        <f aca="false">H14*x_c_F+I14*x_c_CC+J14*x_c_DC+K14*x_c_HCC+L14*x_c_PLT+M14*x_c_SVRn+N14*x_c_SVRcc+O14*x_c_LT+P14*x_c_LT1</f>
        <v>324371152.816411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43015813.4809665</v>
      </c>
      <c r="AI14" s="0" t="n">
        <f aca="false">x_AGRI*x_EMP*x_WLOSS*(x_PEN_K74*Q14+x_PEN_C22*R14)</f>
        <v>2602605.30346126</v>
      </c>
      <c r="AJ14" s="0" t="n">
        <f aca="false">x_EMP*x_WAGE*(x_WLOSS*(Q14+R14)+S14)+U14*x_ABS_D*x_WAGE/365</f>
        <v>789762174.027359</v>
      </c>
      <c r="AK14" s="0" t="n">
        <f aca="false">AJ14*x_R_FUS</f>
        <v>249880751.862257</v>
      </c>
      <c r="AL14" s="0" t="n">
        <f aca="false">AJ14*x_R_NFZ</f>
        <v>61333720.1971388</v>
      </c>
      <c r="AM14" s="0" t="n">
        <f aca="false">AJ14*x_R_PIT</f>
        <v>52506685.6742944</v>
      </c>
      <c r="AN14" s="0" t="n">
        <f aca="false">AJ14*x_R_FP</f>
        <v>20138935.4376977</v>
      </c>
      <c r="AO14" s="0" t="n">
        <f aca="false">AA14+AB14+AC14+AD14+AF14</f>
        <v>462204580.426435</v>
      </c>
      <c r="AP14" s="0" t="n">
        <f aca="false">AO14+AE14+AG14+AH14+AI14+AK14+AL14+AM14+AN14</f>
        <v>891683092.38225</v>
      </c>
      <c r="AQ14" s="0" t="n">
        <f aca="false">AO14+AE14+AG14+AJ14</f>
        <v>1251966754.45379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2169.397</v>
      </c>
      <c r="I15" s="0" t="n">
        <v>335.065</v>
      </c>
      <c r="J15" s="0" t="n">
        <v>1787.128</v>
      </c>
      <c r="K15" s="0" t="n">
        <v>2460.989</v>
      </c>
      <c r="L15" s="0" t="n">
        <v>1315.361</v>
      </c>
      <c r="M15" s="0" t="n">
        <v>58286.392</v>
      </c>
      <c r="N15" s="0" t="n">
        <v>6684.999</v>
      </c>
      <c r="O15" s="0" t="n">
        <v>95.246</v>
      </c>
      <c r="P15" s="0" t="n">
        <v>94.841</v>
      </c>
      <c r="Q15" s="0" t="n">
        <v>1628.643</v>
      </c>
      <c r="R15" s="0" t="n">
        <v>1286.627</v>
      </c>
      <c r="S15" s="0" t="n">
        <v>4760.62</v>
      </c>
      <c r="T15" s="0" t="n">
        <v>2504.462</v>
      </c>
      <c r="U15" s="0" t="n">
        <v>1513.315</v>
      </c>
      <c r="V15" s="0" t="n">
        <v>130358.243</v>
      </c>
      <c r="W15" s="0" t="n">
        <v>349.759</v>
      </c>
      <c r="X15" s="0" t="n">
        <v>731.955</v>
      </c>
      <c r="Y15" s="0" t="n">
        <v>95.246</v>
      </c>
      <c r="Z15" s="0" t="n">
        <v>917.823</v>
      </c>
      <c r="AA15" s="0" t="n">
        <f aca="false">H15*x_c_F+I15*x_c_CC+J15*x_c_DC+K15*x_c_HCC+L15*x_c_PLT+M15*x_c_SVRn+N15*x_c_SVRcc+O15*x_c_LT+P15*x_c_LT1</f>
        <v>328250409.686098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29272120.953512</v>
      </c>
      <c r="AI15" s="0" t="n">
        <f aca="false">x_AGRI*x_EMP*x_WLOSS*(x_PEN_K74*Q15+x_PEN_C22*R15)</f>
        <v>1729186.84845755</v>
      </c>
      <c r="AJ15" s="0" t="n">
        <f aca="false">x_EMP*x_WAGE*(x_WLOSS*(Q15+R15)+S15)+U15*x_ABS_D*x_WAGE/365</f>
        <v>544608630.473957</v>
      </c>
      <c r="AK15" s="0" t="n">
        <f aca="false">AJ15*x_R_FUS</f>
        <v>172314170.68196</v>
      </c>
      <c r="AL15" s="0" t="n">
        <f aca="false">AJ15*x_R_NFZ</f>
        <v>42294850.851238</v>
      </c>
      <c r="AM15" s="0" t="n">
        <f aca="false">AJ15*x_R_PIT</f>
        <v>36207854.8659553</v>
      </c>
      <c r="AN15" s="0" t="n">
        <f aca="false">AJ15*x_R_FP</f>
        <v>13887520.0770859</v>
      </c>
      <c r="AO15" s="0" t="n">
        <f aca="false">AA15+AB15+AC15+AD15+AF15</f>
        <v>466083837.296123</v>
      </c>
      <c r="AP15" s="0" t="n">
        <f aca="false">AO15+AE15+AG15+AH15+AI15+AK15+AL15+AM15+AN15</f>
        <v>761789541.574331</v>
      </c>
      <c r="AQ15" s="0" t="n">
        <f aca="false">AO15+AE15+AG15+AJ15</f>
        <v>1010692467.77008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2166.915</v>
      </c>
      <c r="I16" s="0" t="n">
        <v>335.946</v>
      </c>
      <c r="J16" s="0" t="n">
        <v>1797.537</v>
      </c>
      <c r="K16" s="0" t="n">
        <v>2461.324</v>
      </c>
      <c r="L16" s="0" t="n">
        <v>1302.292</v>
      </c>
      <c r="M16" s="0" t="n">
        <v>61352.813</v>
      </c>
      <c r="N16" s="0" t="n">
        <v>7069.223</v>
      </c>
      <c r="O16" s="0" t="n">
        <v>95.726</v>
      </c>
      <c r="P16" s="0" t="n">
        <v>95.486</v>
      </c>
      <c r="Q16" s="0" t="n">
        <v>781.315</v>
      </c>
      <c r="R16" s="0" t="n">
        <v>641.293</v>
      </c>
      <c r="S16" s="0" t="n">
        <v>2473.576</v>
      </c>
      <c r="T16" s="0" t="n">
        <v>2502.861</v>
      </c>
      <c r="U16" s="0" t="n">
        <v>1270.308</v>
      </c>
      <c r="V16" s="0" t="n">
        <v>131693.21</v>
      </c>
      <c r="W16" s="0" t="n">
        <v>347.778</v>
      </c>
      <c r="X16" s="0" t="n">
        <v>725.992</v>
      </c>
      <c r="Y16" s="0" t="n">
        <v>95.726</v>
      </c>
      <c r="Z16" s="0" t="n">
        <v>919.023</v>
      </c>
      <c r="AA16" s="0" t="n">
        <f aca="false">H16*x_c_F+I16*x_c_CC+J16*x_c_DC+K16*x_c_HCC+L16*x_c_PLT+M16*x_c_SVRn+N16*x_c_SVRcc+O16*x_c_LT+P16*x_c_LT1</f>
        <v>331167211.740366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15393263.5336849</v>
      </c>
      <c r="AI16" s="0" t="n">
        <f aca="false">x_AGRI*x_EMP*x_WLOSS*(x_PEN_K74*Q16+x_PEN_C22*R16)</f>
        <v>844843.195115219</v>
      </c>
      <c r="AJ16" s="0" t="n">
        <f aca="false">x_EMP*x_WAGE*(x_WLOSS*(Q16+R16)+S16)+U16*x_ABS_D*x_WAGE/365</f>
        <v>280151733.714856</v>
      </c>
      <c r="AK16" s="0" t="n">
        <f aca="false">AJ16*x_R_FUS</f>
        <v>88640008.5473805</v>
      </c>
      <c r="AL16" s="0" t="n">
        <f aca="false">AJ16*x_R_NFZ</f>
        <v>21756863.7920294</v>
      </c>
      <c r="AM16" s="0" t="n">
        <f aca="false">AJ16*x_R_PIT</f>
        <v>18625656.5672959</v>
      </c>
      <c r="AN16" s="0" t="n">
        <f aca="false">AJ16*x_R_FP</f>
        <v>7143869.20972883</v>
      </c>
      <c r="AO16" s="0" t="n">
        <f aca="false">AA16+AB16+AC16+AD16+AF16</f>
        <v>469000639.35039</v>
      </c>
      <c r="AP16" s="0" t="n">
        <f aca="false">AO16+AE16+AG16+AH16+AI16+AK16+AL16+AM16+AN16</f>
        <v>621405144.195625</v>
      </c>
      <c r="AQ16" s="0" t="n">
        <f aca="false">AO16+AE16+AG16+AJ16</f>
        <v>749152373.065246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2166.019</v>
      </c>
      <c r="I17" s="0" t="n">
        <v>335.248</v>
      </c>
      <c r="J17" s="0" t="n">
        <v>1801.259</v>
      </c>
      <c r="K17" s="0" t="n">
        <v>2452.098</v>
      </c>
      <c r="L17" s="0" t="n">
        <v>1288.608</v>
      </c>
      <c r="M17" s="0" t="n">
        <v>64332.877</v>
      </c>
      <c r="N17" s="0" t="n">
        <v>7428.632</v>
      </c>
      <c r="O17" s="0" t="n">
        <v>95.846</v>
      </c>
      <c r="P17" s="0" t="n">
        <v>95.786</v>
      </c>
      <c r="Q17" s="0" t="n">
        <v>805.202</v>
      </c>
      <c r="R17" s="0" t="n">
        <v>667.462</v>
      </c>
      <c r="S17" s="0" t="n">
        <v>2709.292</v>
      </c>
      <c r="T17" s="0" t="n">
        <v>2501.268</v>
      </c>
      <c r="U17" s="0" t="n">
        <v>1325.038</v>
      </c>
      <c r="V17" s="0" t="n">
        <v>132993.547</v>
      </c>
      <c r="W17" s="0" t="n">
        <v>344.29</v>
      </c>
      <c r="X17" s="0" t="n">
        <v>717.479</v>
      </c>
      <c r="Y17" s="0" t="n">
        <v>95.846</v>
      </c>
      <c r="Z17" s="0" t="n">
        <v>916.838</v>
      </c>
      <c r="AA17" s="0" t="n">
        <f aca="false">H17*x_c_F+I17*x_c_CC+J17*x_c_DC+K17*x_c_HCC+L17*x_c_PLT+M17*x_c_SVRn+N17*x_c_SVRcc+O17*x_c_LT+P17*x_c_LT1</f>
        <v>333077951.360093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15959681.7539056</v>
      </c>
      <c r="AI17" s="0" t="n">
        <f aca="false">x_AGRI*x_EMP*x_WLOSS*(x_PEN_K74*Q17+x_PEN_C22*R17)</f>
        <v>874845.10010845</v>
      </c>
      <c r="AJ17" s="0" t="n">
        <f aca="false">x_EMP*x_WAGE*(x_WLOSS*(Q17+R17)+S17)+U17*x_ABS_D*x_WAGE/365</f>
        <v>302715222.386425</v>
      </c>
      <c r="AK17" s="0" t="n">
        <f aca="false">AJ17*x_R_FUS</f>
        <v>95779096.3630647</v>
      </c>
      <c r="AL17" s="0" t="n">
        <f aca="false">AJ17*x_R_NFZ</f>
        <v>23509166.8857521</v>
      </c>
      <c r="AM17" s="0" t="n">
        <f aca="false">AJ17*x_R_PIT</f>
        <v>20125771.4706877</v>
      </c>
      <c r="AN17" s="0" t="n">
        <f aca="false">AJ17*x_R_FP</f>
        <v>7719238.17085383</v>
      </c>
      <c r="AO17" s="0" t="n">
        <f aca="false">AA17+AB17+AC17+AD17+AF17</f>
        <v>470911378.970118</v>
      </c>
      <c r="AP17" s="0" t="n">
        <f aca="false">AO17+AE17+AG17+AH17+AI17+AK17+AL17+AM17+AN17</f>
        <v>634879178.71449</v>
      </c>
      <c r="AQ17" s="0" t="n">
        <f aca="false">AO17+AE17+AG17+AJ17</f>
        <v>773626601.356542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2166.585</v>
      </c>
      <c r="I18" s="0" t="n">
        <v>333.104</v>
      </c>
      <c r="J18" s="0" t="n">
        <v>1798.118</v>
      </c>
      <c r="K18" s="0" t="n">
        <v>2433.798</v>
      </c>
      <c r="L18" s="0" t="n">
        <v>1274.039</v>
      </c>
      <c r="M18" s="0" t="n">
        <v>67229.653</v>
      </c>
      <c r="N18" s="0" t="n">
        <v>7760.194</v>
      </c>
      <c r="O18" s="0" t="n">
        <v>95.602</v>
      </c>
      <c r="P18" s="0" t="n">
        <v>95.724</v>
      </c>
      <c r="Q18" s="0" t="n">
        <v>830.158</v>
      </c>
      <c r="R18" s="0" t="n">
        <v>694.609</v>
      </c>
      <c r="S18" s="0" t="n">
        <v>2953.497</v>
      </c>
      <c r="T18" s="0" t="n">
        <v>2499.689</v>
      </c>
      <c r="U18" s="0" t="n">
        <v>1378.067</v>
      </c>
      <c r="V18" s="0" t="n">
        <v>134260.916</v>
      </c>
      <c r="W18" s="0" t="n">
        <v>339.494</v>
      </c>
      <c r="X18" s="0" t="n">
        <v>706.793</v>
      </c>
      <c r="Y18" s="0" t="n">
        <v>95.602</v>
      </c>
      <c r="Z18" s="0" t="n">
        <v>911.365</v>
      </c>
      <c r="AA18" s="0" t="n">
        <f aca="false">H18*x_c_F+I18*x_c_CC+J18*x_c_DC+K18*x_c_HCC+L18*x_c_PLT+M18*x_c_SVRn+N18*x_c_SVRcc+O18*x_c_LT+P18*x_c_LT1</f>
        <v>333993240.895119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16541058.3370544</v>
      </c>
      <c r="AI18" s="0" t="n">
        <f aca="false">x_AGRI*x_EMP*x_WLOSS*(x_PEN_K74*Q18+x_PEN_C22*R18)</f>
        <v>906066.872850223</v>
      </c>
      <c r="AJ18" s="0" t="n">
        <f aca="false">x_EMP*x_WAGE*(x_WLOSS*(Q18+R18)+S18)+U18*x_ABS_D*x_WAGE/365</f>
        <v>326091771.057094</v>
      </c>
      <c r="AK18" s="0" t="n">
        <f aca="false">AJ18*x_R_FUS</f>
        <v>103175436.362464</v>
      </c>
      <c r="AL18" s="0" t="n">
        <f aca="false">AJ18*x_R_NFZ</f>
        <v>25324613.032065</v>
      </c>
      <c r="AM18" s="0" t="n">
        <f aca="false">AJ18*x_R_PIT</f>
        <v>21679941.9964062</v>
      </c>
      <c r="AN18" s="0" t="n">
        <f aca="false">AJ18*x_R_FP</f>
        <v>8315340.16195589</v>
      </c>
      <c r="AO18" s="0" t="n">
        <f aca="false">AA18+AB18+AC18+AD18+AF18</f>
        <v>471826668.505143</v>
      </c>
      <c r="AP18" s="0" t="n">
        <f aca="false">AO18+AE18+AG18+AH18+AI18+AK18+AL18+AM18+AN18</f>
        <v>647769125.267939</v>
      </c>
      <c r="AQ18" s="0" t="n">
        <f aca="false">AO18+AE18+AG18+AJ18</f>
        <v>797918439.562237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2168.457</v>
      </c>
      <c r="I19" s="0" t="n">
        <v>329.676</v>
      </c>
      <c r="J19" s="0" t="n">
        <v>1788.152</v>
      </c>
      <c r="K19" s="0" t="n">
        <v>2407.14</v>
      </c>
      <c r="L19" s="0" t="n">
        <v>1258.133</v>
      </c>
      <c r="M19" s="0" t="n">
        <v>70042.552</v>
      </c>
      <c r="N19" s="0" t="n">
        <v>8060.959</v>
      </c>
      <c r="O19" s="0" t="n">
        <v>94.992</v>
      </c>
      <c r="P19" s="0" t="n">
        <v>95.297</v>
      </c>
      <c r="Q19" s="0" t="n">
        <v>856.211</v>
      </c>
      <c r="R19" s="0" t="n">
        <v>722.796</v>
      </c>
      <c r="S19" s="0" t="n">
        <v>3206.371</v>
      </c>
      <c r="T19" s="0" t="n">
        <v>2498.133</v>
      </c>
      <c r="U19" s="0" t="n">
        <v>1429.215</v>
      </c>
      <c r="V19" s="0" t="n">
        <v>135495.432</v>
      </c>
      <c r="W19" s="0" t="n">
        <v>333.584</v>
      </c>
      <c r="X19" s="0" t="n">
        <v>694.278</v>
      </c>
      <c r="Y19" s="0" t="n">
        <v>94.992</v>
      </c>
      <c r="Z19" s="0" t="n">
        <v>902.686</v>
      </c>
      <c r="AA19" s="0" t="n">
        <f aca="false">H19*x_c_F+I19*x_c_CC+J19*x_c_DC+K19*x_c_HCC+L19*x_c_PLT+M19*x_c_SVRn+N19*x_c_SVRcc+O19*x_c_LT+P19*x_c_LT1</f>
        <v>333935569.865107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17137856.5961489</v>
      </c>
      <c r="AI19" s="0" t="n">
        <f aca="false">x_AGRI*x_EMP*x_WLOSS*(x_PEN_K74*Q19+x_PEN_C22*R19)</f>
        <v>938563.597617972</v>
      </c>
      <c r="AJ19" s="0" t="n">
        <f aca="false">x_EMP*x_WAGE*(x_WLOSS*(Q19+R19)+S19)+U19*x_ABS_D*x_WAGE/365</f>
        <v>350300343.08462</v>
      </c>
      <c r="AK19" s="0" t="n">
        <f aca="false">AJ19*x_R_FUS</f>
        <v>110835028.551974</v>
      </c>
      <c r="AL19" s="0" t="n">
        <f aca="false">AJ19*x_R_NFZ</f>
        <v>27204674.9442946</v>
      </c>
      <c r="AM19" s="0" t="n">
        <f aca="false">AJ19*x_R_PIT</f>
        <v>23289428.9076251</v>
      </c>
      <c r="AN19" s="0" t="n">
        <f aca="false">AJ19*x_R_FP</f>
        <v>8932658.7486578</v>
      </c>
      <c r="AO19" s="0" t="n">
        <f aca="false">AA19+AB19+AC19+AD19+AF19</f>
        <v>471768997.475131</v>
      </c>
      <c r="AP19" s="0" t="n">
        <f aca="false">AO19+AE19+AG19+AH19+AI19+AK19+AL19+AM19+AN19</f>
        <v>660107208.82145</v>
      </c>
      <c r="AQ19" s="0" t="n">
        <f aca="false">AO19+AE19+AG19+AJ19</f>
        <v>822069340.559751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2171.43</v>
      </c>
      <c r="I20" s="0" t="n">
        <v>325.188</v>
      </c>
      <c r="J20" s="0" t="n">
        <v>1772.238</v>
      </c>
      <c r="K20" s="0" t="n">
        <v>2373.736</v>
      </c>
      <c r="L20" s="0" t="n">
        <v>1241.316</v>
      </c>
      <c r="M20" s="0" t="n">
        <v>72792.487</v>
      </c>
      <c r="N20" s="0" t="n">
        <v>8331.912</v>
      </c>
      <c r="O20" s="0" t="n">
        <v>94.104</v>
      </c>
      <c r="P20" s="0" t="n">
        <v>94.548</v>
      </c>
      <c r="Q20" s="0" t="n">
        <v>883.388</v>
      </c>
      <c r="R20" s="0" t="n">
        <v>752.057</v>
      </c>
      <c r="S20" s="0" t="n">
        <v>3468.07</v>
      </c>
      <c r="T20" s="0" t="n">
        <v>2496.618</v>
      </c>
      <c r="U20" s="0" t="n">
        <v>1478.186</v>
      </c>
      <c r="V20" s="0" t="n">
        <v>136722.938</v>
      </c>
      <c r="W20" s="0" t="n">
        <v>326.936</v>
      </c>
      <c r="X20" s="0" t="n">
        <v>680.659</v>
      </c>
      <c r="Y20" s="0" t="n">
        <v>94.104</v>
      </c>
      <c r="Z20" s="0" t="n">
        <v>891.738</v>
      </c>
      <c r="AA20" s="0" t="n">
        <f aca="false">H20*x_c_F+I20*x_c_CC+J20*x_c_DC+K20*x_c_HCC+L20*x_c_PLT+M20*x_c_SVRn+N20*x_c_SVRcc+O20*x_c_LT+P20*x_c_LT1</f>
        <v>333084011.716789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17750023.564907</v>
      </c>
      <c r="AI20" s="0" t="n">
        <f aca="false">x_AGRI*x_EMP*x_WLOSS*(x_PEN_K74*Q20+x_PEN_C22*R20)</f>
        <v>972371.996842717</v>
      </c>
      <c r="AJ20" s="0" t="n">
        <f aca="false">x_EMP*x_WAGE*(x_WLOSS*(Q20+R20)+S20)+U20*x_ABS_D*x_WAGE/365</f>
        <v>375356179.167253</v>
      </c>
      <c r="AK20" s="0" t="n">
        <f aca="false">AJ20*x_R_FUS</f>
        <v>118762695.088519</v>
      </c>
      <c r="AL20" s="0" t="n">
        <f aca="false">AJ20*x_R_NFZ</f>
        <v>29150536.230308</v>
      </c>
      <c r="AM20" s="0" t="n">
        <f aca="false">AJ20*x_R_PIT</f>
        <v>24955245.4695764</v>
      </c>
      <c r="AN20" s="0" t="n">
        <f aca="false">AJ20*x_R_FP</f>
        <v>9571582.56876495</v>
      </c>
      <c r="AO20" s="0" t="n">
        <f aca="false">AA20+AB20+AC20+AD20+AF20</f>
        <v>470917439.326813</v>
      </c>
      <c r="AP20" s="0" t="n">
        <f aca="false">AO20+AE20+AG20+AH20+AI20+AK20+AL20+AM20+AN20</f>
        <v>672079894.245731</v>
      </c>
      <c r="AQ20" s="0" t="n">
        <f aca="false">AO20+AE20+AG20+AJ20</f>
        <v>846273618.494066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2175.278</v>
      </c>
      <c r="I21" s="0" t="n">
        <v>319.885</v>
      </c>
      <c r="J21" s="0" t="n">
        <v>1751.422</v>
      </c>
      <c r="K21" s="0" t="n">
        <v>2335.305</v>
      </c>
      <c r="L21" s="0" t="n">
        <v>1223.987</v>
      </c>
      <c r="M21" s="0" t="n">
        <v>75499.712</v>
      </c>
      <c r="N21" s="0" t="n">
        <v>8574.801</v>
      </c>
      <c r="O21" s="0" t="n">
        <v>92.957</v>
      </c>
      <c r="P21" s="0" t="n">
        <v>93.531</v>
      </c>
      <c r="Q21" s="0" t="n">
        <v>911.728</v>
      </c>
      <c r="R21" s="0" t="n">
        <v>782.405</v>
      </c>
      <c r="S21" s="0" t="n">
        <v>3738.798</v>
      </c>
      <c r="T21" s="0" t="n">
        <v>2495.164</v>
      </c>
      <c r="U21" s="0" t="n">
        <v>1524.696</v>
      </c>
      <c r="V21" s="0" t="n">
        <v>137968.419</v>
      </c>
      <c r="W21" s="0" t="n">
        <v>319.757</v>
      </c>
      <c r="X21" s="0" t="n">
        <v>666.289</v>
      </c>
      <c r="Y21" s="0" t="n">
        <v>92.957</v>
      </c>
      <c r="Z21" s="0" t="n">
        <v>878.723</v>
      </c>
      <c r="AA21" s="0" t="n">
        <f aca="false">H21*x_c_F+I21*x_c_CC+J21*x_c_DC+K21*x_c_HCC+L21*x_c_PLT+M21*x_c_SVRn+N21*x_c_SVRcc+O21*x_c_LT+P21*x_c_LT1</f>
        <v>331605168.213342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18377430.5157444</v>
      </c>
      <c r="AI21" s="0" t="n">
        <f aca="false">x_AGRI*x_EMP*x_WLOSS*(x_PEN_K74*Q21+x_PEN_C22*R21)</f>
        <v>1007522.15460039</v>
      </c>
      <c r="AJ21" s="0" t="n">
        <f aca="false">x_EMP*x_WAGE*(x_WLOSS*(Q21+R21)+S21)+U21*x_ABS_D*x_WAGE/365</f>
        <v>401278233.235678</v>
      </c>
      <c r="AK21" s="0" t="n">
        <f aca="false">AJ21*x_R_FUS</f>
        <v>126964432.995768</v>
      </c>
      <c r="AL21" s="0" t="n">
        <f aca="false">AJ21*x_R_NFZ</f>
        <v>31163668.871316</v>
      </c>
      <c r="AM21" s="0" t="n">
        <f aca="false">AJ21*x_R_PIT</f>
        <v>26678651.8186828</v>
      </c>
      <c r="AN21" s="0" t="n">
        <f aca="false">AJ21*x_R_FP</f>
        <v>10232594.9475098</v>
      </c>
      <c r="AO21" s="0" t="n">
        <f aca="false">AA21+AB21+AC21+AD21+AF21</f>
        <v>469438595.823366</v>
      </c>
      <c r="AP21" s="0" t="n">
        <f aca="false">AO21+AE21+AG21+AH21+AI21+AK21+AL21+AM21+AN21</f>
        <v>683862897.126988</v>
      </c>
      <c r="AQ21" s="0" t="n">
        <f aca="false">AO21+AE21+AG21+AJ21</f>
        <v>870716829.059044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2179.783</v>
      </c>
      <c r="I22" s="0" t="n">
        <v>313.998</v>
      </c>
      <c r="J22" s="0" t="n">
        <v>1726.467</v>
      </c>
      <c r="K22" s="0" t="n">
        <v>2293.149</v>
      </c>
      <c r="L22" s="0" t="n">
        <v>1205.911</v>
      </c>
      <c r="M22" s="0" t="n">
        <v>78168.783</v>
      </c>
      <c r="N22" s="0" t="n">
        <v>8789.931</v>
      </c>
      <c r="O22" s="0" t="n">
        <v>91.609</v>
      </c>
      <c r="P22" s="0" t="n">
        <v>92.283</v>
      </c>
      <c r="Q22" s="0" t="n">
        <v>941.255</v>
      </c>
      <c r="R22" s="0" t="n">
        <v>813.817</v>
      </c>
      <c r="S22" s="0" t="n">
        <v>4018.724</v>
      </c>
      <c r="T22" s="0" t="n">
        <v>2493.781</v>
      </c>
      <c r="U22" s="0" t="n">
        <v>1568.544</v>
      </c>
      <c r="V22" s="0" t="n">
        <v>139238.535</v>
      </c>
      <c r="W22" s="0" t="n">
        <v>312.319</v>
      </c>
      <c r="X22" s="0" t="n">
        <v>651.656</v>
      </c>
      <c r="Y22" s="0" t="n">
        <v>91.609</v>
      </c>
      <c r="Z22" s="0" t="n">
        <v>864.228</v>
      </c>
      <c r="AA22" s="0" t="n">
        <f aca="false">H22*x_c_F+I22*x_c_CC+J22*x_c_DC+K22*x_c_HCC+L22*x_c_PLT+M22*x_c_SVRn+N22*x_c_SVRcc+O22*x_c_LT+P22*x_c_LT1</f>
        <v>329613096.480141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19019646.1142307</v>
      </c>
      <c r="AI22" s="0" t="n">
        <f aca="false">x_AGRI*x_EMP*x_WLOSS*(x_PEN_K74*Q22+x_PEN_C22*R22)</f>
        <v>1044012.87437611</v>
      </c>
      <c r="AJ22" s="0" t="n">
        <f aca="false">x_EMP*x_WAGE*(x_WLOSS*(Q22+R22)+S22)+U22*x_ABS_D*x_WAGE/365</f>
        <v>428080369.960848</v>
      </c>
      <c r="AK22" s="0" t="n">
        <f aca="false">AJ22*x_R_FUS</f>
        <v>135444629.055612</v>
      </c>
      <c r="AL22" s="0" t="n">
        <f aca="false">AJ22*x_R_NFZ</f>
        <v>33245149.6115294</v>
      </c>
      <c r="AM22" s="0" t="n">
        <f aca="false">AJ22*x_R_PIT</f>
        <v>28460569.7361384</v>
      </c>
      <c r="AN22" s="0" t="n">
        <f aca="false">AJ22*x_R_FP</f>
        <v>10916049.4340016</v>
      </c>
      <c r="AO22" s="0" t="n">
        <f aca="false">AA22+AB22+AC22+AD22+AF22</f>
        <v>467446524.090165</v>
      </c>
      <c r="AP22" s="0" t="n">
        <f aca="false">AO22+AE22+AG22+AH22+AI22+AK22+AL22+AM22+AN22</f>
        <v>695576580.916054</v>
      </c>
      <c r="AQ22" s="0" t="n">
        <f aca="false">AO22+AE22+AG22+AJ22</f>
        <v>895526894.051014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2184.724</v>
      </c>
      <c r="I23" s="0" t="n">
        <v>307.757</v>
      </c>
      <c r="J23" s="0" t="n">
        <v>1698.445</v>
      </c>
      <c r="K23" s="0" t="n">
        <v>2248.8</v>
      </c>
      <c r="L23" s="0" t="n">
        <v>1187.328</v>
      </c>
      <c r="M23" s="0" t="n">
        <v>80813.855</v>
      </c>
      <c r="N23" s="0" t="n">
        <v>8979.682</v>
      </c>
      <c r="O23" s="0" t="n">
        <v>90.112</v>
      </c>
      <c r="P23" s="0" t="n">
        <v>90.861</v>
      </c>
      <c r="Q23" s="0" t="n">
        <v>971.962</v>
      </c>
      <c r="R23" s="0" t="n">
        <v>846.225</v>
      </c>
      <c r="S23" s="0" t="n">
        <v>4307.938</v>
      </c>
      <c r="T23" s="0" t="n">
        <v>2492.482</v>
      </c>
      <c r="U23" s="0" t="n">
        <v>1609.553</v>
      </c>
      <c r="V23" s="0" t="n">
        <v>140548.396</v>
      </c>
      <c r="W23" s="0" t="n">
        <v>304.836</v>
      </c>
      <c r="X23" s="0" t="n">
        <v>637.136</v>
      </c>
      <c r="Y23" s="0" t="n">
        <v>90.112</v>
      </c>
      <c r="Z23" s="0" t="n">
        <v>848.749</v>
      </c>
      <c r="AA23" s="0" t="n">
        <f aca="false">H23*x_c_F+I23*x_c_CC+J23*x_c_DC+K23*x_c_HCC+L23*x_c_PLT+M23*x_c_SVRn+N23*x_c_SVRcc+O23*x_c_LT+P23*x_c_LT1</f>
        <v>327267438.61675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19675593.1269308</v>
      </c>
      <c r="AI23" s="0" t="n">
        <f aca="false">x_AGRI*x_EMP*x_WLOSS*(x_PEN_K74*Q23+x_PEN_C22*R23)</f>
        <v>1081797.00561348</v>
      </c>
      <c r="AJ23" s="0" t="n">
        <f aca="false">x_EMP*x_WAGE*(x_WLOSS*(Q23+R23)+S23)+U23*x_ABS_D*x_WAGE/365</f>
        <v>455766288.545149</v>
      </c>
      <c r="AK23" s="0" t="n">
        <f aca="false">AJ23*x_R_FUS</f>
        <v>144204453.695685</v>
      </c>
      <c r="AL23" s="0" t="n">
        <f aca="false">AJ23*x_R_NFZ</f>
        <v>35395265.7347048</v>
      </c>
      <c r="AM23" s="0" t="n">
        <f aca="false">AJ23*x_R_PIT</f>
        <v>30301245.1603574</v>
      </c>
      <c r="AN23" s="0" t="n">
        <f aca="false">AJ23*x_R_FP</f>
        <v>11622040.3579013</v>
      </c>
      <c r="AO23" s="0" t="n">
        <f aca="false">AA23+AB23+AC23+AD23+AF23</f>
        <v>465100866.226774</v>
      </c>
      <c r="AP23" s="0" t="n">
        <f aca="false">AO23+AE23+AG23+AH23+AI23+AK23+AL23+AM23+AN23</f>
        <v>707381261.307967</v>
      </c>
      <c r="AQ23" s="0" t="n">
        <f aca="false">AO23+AE23+AG23+AJ23</f>
        <v>920867154.771923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2189.908</v>
      </c>
      <c r="I24" s="0" t="n">
        <v>301.364</v>
      </c>
      <c r="J24" s="0" t="n">
        <v>1668.334</v>
      </c>
      <c r="K24" s="0" t="n">
        <v>2203.559</v>
      </c>
      <c r="L24" s="0" t="n">
        <v>1168.44</v>
      </c>
      <c r="M24" s="0" t="n">
        <v>83446.188</v>
      </c>
      <c r="N24" s="0" t="n">
        <v>9146.501</v>
      </c>
      <c r="O24" s="0" t="n">
        <v>88.519</v>
      </c>
      <c r="P24" s="0" t="n">
        <v>89.316</v>
      </c>
      <c r="Q24" s="0" t="n">
        <v>1003.826</v>
      </c>
      <c r="R24" s="0" t="n">
        <v>879.529</v>
      </c>
      <c r="S24" s="0" t="n">
        <v>4606.476</v>
      </c>
      <c r="T24" s="0" t="n">
        <v>2491.272</v>
      </c>
      <c r="U24" s="0" t="n">
        <v>1647.633</v>
      </c>
      <c r="V24" s="0" t="n">
        <v>141907.518</v>
      </c>
      <c r="W24" s="0" t="n">
        <v>297.485</v>
      </c>
      <c r="X24" s="0" t="n">
        <v>623.03</v>
      </c>
      <c r="Y24" s="0" t="n">
        <v>88.519</v>
      </c>
      <c r="Z24" s="0" t="n">
        <v>832.754</v>
      </c>
      <c r="AA24" s="0" t="n">
        <f aca="false">H24*x_c_F+I24*x_c_CC+J24*x_c_DC+K24*x_c_HCC+L24*x_c_PLT+M24*x_c_SVRn+N24*x_c_SVRcc+O24*x_c_LT+P24*x_c_LT1</f>
        <v>324708804.262475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20343929.9492447</v>
      </c>
      <c r="AI24" s="0" t="n">
        <f aca="false">x_AGRI*x_EMP*x_WLOSS*(x_PEN_K74*Q24+x_PEN_C22*R24)</f>
        <v>1120798.10091096</v>
      </c>
      <c r="AJ24" s="0" t="n">
        <f aca="false">x_EMP*x_WAGE*(x_WLOSS*(Q24+R24)+S24)+U24*x_ABS_D*x_WAGE/365</f>
        <v>484333128.904511</v>
      </c>
      <c r="AK24" s="0" t="n">
        <f aca="false">AJ24*x_R_FUS</f>
        <v>153243001.985387</v>
      </c>
      <c r="AL24" s="0" t="n">
        <f aca="false">AJ24*x_R_NFZ</f>
        <v>37613795.1238532</v>
      </c>
      <c r="AM24" s="0" t="n">
        <f aca="false">AJ24*x_R_PIT</f>
        <v>32200487.9410136</v>
      </c>
      <c r="AN24" s="0" t="n">
        <f aca="false">AJ24*x_R_FP</f>
        <v>12350494.787065</v>
      </c>
      <c r="AO24" s="0" t="n">
        <f aca="false">AA24+AB24+AC24+AD24+AF24</f>
        <v>462542231.872499</v>
      </c>
      <c r="AP24" s="0" t="n">
        <f aca="false">AO24+AE24+AG24+AH24+AI24+AK24+AL24+AM24+AN24</f>
        <v>719414739.759974</v>
      </c>
      <c r="AQ24" s="0" t="n">
        <f aca="false">AO24+AE24+AG24+AJ24</f>
        <v>946875360.77701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2195.166</v>
      </c>
      <c r="I25" s="0" t="n">
        <v>294.987</v>
      </c>
      <c r="J25" s="0" t="n">
        <v>1637.021</v>
      </c>
      <c r="K25" s="0" t="n">
        <v>2158.527</v>
      </c>
      <c r="L25" s="0" t="n">
        <v>1149.441</v>
      </c>
      <c r="M25" s="0" t="n">
        <v>86075.196</v>
      </c>
      <c r="N25" s="0" t="n">
        <v>9292.989</v>
      </c>
      <c r="O25" s="0" t="n">
        <v>86.874</v>
      </c>
      <c r="P25" s="0" t="n">
        <v>87.696</v>
      </c>
      <c r="Q25" s="0" t="n">
        <v>1036.798</v>
      </c>
      <c r="R25" s="0" t="n">
        <v>913.597</v>
      </c>
      <c r="S25" s="0" t="n">
        <v>4914.318</v>
      </c>
      <c r="T25" s="0" t="n">
        <v>2490.154</v>
      </c>
      <c r="U25" s="0" t="n">
        <v>1682.761</v>
      </c>
      <c r="V25" s="0" t="n">
        <v>143322.194</v>
      </c>
      <c r="W25" s="0" t="n">
        <v>290.397</v>
      </c>
      <c r="X25" s="0" t="n">
        <v>609.558</v>
      </c>
      <c r="Y25" s="0" t="n">
        <v>86.874</v>
      </c>
      <c r="Z25" s="0" t="n">
        <v>816.633</v>
      </c>
      <c r="AA25" s="0" t="n">
        <f aca="false">H25*x_c_F+I25*x_c_CC+J25*x_c_DC+K25*x_c_HCC+L25*x_c_PLT+M25*x_c_SVRn+N25*x_c_SVRcc+O25*x_c_LT+P25*x_c_LT1</f>
        <v>322059278.626814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21022924.8478923</v>
      </c>
      <c r="AI25" s="0" t="n">
        <f aca="false">x_AGRI*x_EMP*x_WLOSS*(x_PEN_K74*Q25+x_PEN_C22*R25)</f>
        <v>1160904.82148885</v>
      </c>
      <c r="AJ25" s="0" t="n">
        <f aca="false">x_EMP*x_WAGE*(x_WLOSS*(Q25+R25)+S25)+U25*x_ABS_D*x_WAGE/365</f>
        <v>513770781.823031</v>
      </c>
      <c r="AK25" s="0" t="n">
        <f aca="false">AJ25*x_R_FUS</f>
        <v>162557075.368807</v>
      </c>
      <c r="AL25" s="0" t="n">
        <f aca="false">AJ25*x_R_NFZ</f>
        <v>39899952.6871584</v>
      </c>
      <c r="AM25" s="0" t="n">
        <f aca="false">AJ25*x_R_PIT</f>
        <v>34157625.9752393</v>
      </c>
      <c r="AN25" s="0" t="n">
        <f aca="false">AJ25*x_R_FP</f>
        <v>13101154.9364873</v>
      </c>
      <c r="AO25" s="0" t="n">
        <f aca="false">AA25+AB25+AC25+AD25+AF25</f>
        <v>459892706.236838</v>
      </c>
      <c r="AP25" s="0" t="n">
        <f aca="false">AO25+AE25+AG25+AH25+AI25+AK25+AL25+AM25+AN25</f>
        <v>731792344.873912</v>
      </c>
      <c r="AQ25" s="0" t="n">
        <f aca="false">AO25+AE25+AG25+AJ25</f>
        <v>973663488.059869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2200.369</v>
      </c>
      <c r="I26" s="0" t="n">
        <v>288.756</v>
      </c>
      <c r="J26" s="0" t="n">
        <v>1605.216</v>
      </c>
      <c r="K26" s="0" t="n">
        <v>2114.506</v>
      </c>
      <c r="L26" s="0" t="n">
        <v>1130.459</v>
      </c>
      <c r="M26" s="0" t="n">
        <v>88706.578</v>
      </c>
      <c r="N26" s="0" t="n">
        <v>9421.342</v>
      </c>
      <c r="O26" s="0" t="n">
        <v>85.208</v>
      </c>
      <c r="P26" s="0" t="n">
        <v>86.041</v>
      </c>
      <c r="Q26" s="0" t="n">
        <v>1070.811</v>
      </c>
      <c r="R26" s="0" t="n">
        <v>948.278</v>
      </c>
      <c r="S26" s="0" t="n">
        <v>5231.39</v>
      </c>
      <c r="T26" s="0" t="n">
        <v>2489.125</v>
      </c>
      <c r="U26" s="0" t="n">
        <v>1714.997</v>
      </c>
      <c r="V26" s="0" t="n">
        <v>144793.225</v>
      </c>
      <c r="W26" s="0" t="n">
        <v>283.651</v>
      </c>
      <c r="X26" s="0" t="n">
        <v>596.835</v>
      </c>
      <c r="Y26" s="0" t="n">
        <v>85.208</v>
      </c>
      <c r="Z26" s="0" t="n">
        <v>800.657</v>
      </c>
      <c r="AA26" s="0" t="n">
        <f aca="false">H26*x_c_F+I26*x_c_CC+J26*x_c_DC+K26*x_c_HCC+L26*x_c_PLT+M26*x_c_SVRn+N26*x_c_SVRcc+O26*x_c_LT+P26*x_c_LT1</f>
        <v>319408541.326363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21710681.6143807</v>
      </c>
      <c r="AI26" s="0" t="n">
        <f aca="false">x_AGRI*x_EMP*x_WLOSS*(x_PEN_K74*Q26+x_PEN_C22*R26)</f>
        <v>1201983.6782125</v>
      </c>
      <c r="AJ26" s="0" t="n">
        <f aca="false">x_EMP*x_WAGE*(x_WLOSS*(Q26+R26)+S26)+U26*x_ABS_D*x_WAGE/365</f>
        <v>544063073.683793</v>
      </c>
      <c r="AK26" s="0" t="n">
        <f aca="false">AJ26*x_R_FUS</f>
        <v>172141556.513552</v>
      </c>
      <c r="AL26" s="0" t="n">
        <f aca="false">AJ26*x_R_NFZ</f>
        <v>42252482.365357</v>
      </c>
      <c r="AM26" s="0" t="n">
        <f aca="false">AJ26*x_R_PIT</f>
        <v>36171583.9734757</v>
      </c>
      <c r="AN26" s="0" t="n">
        <f aca="false">AJ26*x_R_FP</f>
        <v>13873608.3789367</v>
      </c>
      <c r="AO26" s="0" t="n">
        <f aca="false">AA26+AB26+AC26+AD26+AF26</f>
        <v>457241968.936387</v>
      </c>
      <c r="AP26" s="0" t="n">
        <f aca="false">AO26+AE26+AG26+AH26+AI26+AK26+AL26+AM26+AN26</f>
        <v>744593865.460302</v>
      </c>
      <c r="AQ26" s="0" t="n">
        <f aca="false">AO26+AE26+AG26+AJ26</f>
        <v>1001305042.62018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2205.423</v>
      </c>
      <c r="I27" s="0" t="n">
        <v>282.757</v>
      </c>
      <c r="J27" s="0" t="n">
        <v>1573.462</v>
      </c>
      <c r="K27" s="0" t="n">
        <v>2072.043</v>
      </c>
      <c r="L27" s="0" t="n">
        <v>1111.571</v>
      </c>
      <c r="M27" s="0" t="n">
        <v>91343.013</v>
      </c>
      <c r="N27" s="0" t="n">
        <v>9533.374</v>
      </c>
      <c r="O27" s="0" t="n">
        <v>83.551</v>
      </c>
      <c r="P27" s="0" t="n">
        <v>84.38</v>
      </c>
      <c r="Q27" s="0" t="n">
        <v>1105.755</v>
      </c>
      <c r="R27" s="0" t="n">
        <v>983.385</v>
      </c>
      <c r="S27" s="0" t="n">
        <v>5557.445</v>
      </c>
      <c r="T27" s="0" t="n">
        <v>2488.18</v>
      </c>
      <c r="U27" s="0" t="n">
        <v>1744.453</v>
      </c>
      <c r="V27" s="0" t="n">
        <v>146317.481</v>
      </c>
      <c r="W27" s="0" t="n">
        <v>277.292</v>
      </c>
      <c r="X27" s="0" t="n">
        <v>584.922</v>
      </c>
      <c r="Y27" s="0" t="n">
        <v>83.551</v>
      </c>
      <c r="Z27" s="0" t="n">
        <v>785.043</v>
      </c>
      <c r="AA27" s="0" t="n">
        <f aca="false">H27*x_c_F+I27*x_c_CC+J27*x_c_DC+K27*x_c_HCC+L27*x_c_PLT+M27*x_c_SVRn+N27*x_c_SVRcc+O27*x_c_LT+P27*x_c_LT1</f>
        <v>316821703.196714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22404700.7093815</v>
      </c>
      <c r="AI27" s="0" t="n">
        <f aca="false">x_AGRI*x_EMP*x_WLOSS*(x_PEN_K74*Q27+x_PEN_C22*R27)</f>
        <v>1243854.23666378</v>
      </c>
      <c r="AJ27" s="0" t="n">
        <f aca="false">x_EMP*x_WAGE*(x_WLOSS*(Q27+R27)+S27)+U27*x_ABS_D*x_WAGE/365</f>
        <v>575175594.988171</v>
      </c>
      <c r="AK27" s="0" t="n">
        <f aca="false">AJ27*x_R_FUS</f>
        <v>181985558.254257</v>
      </c>
      <c r="AL27" s="0" t="n">
        <f aca="false">AJ27*x_R_NFZ</f>
        <v>44668711.8823764</v>
      </c>
      <c r="AM27" s="0" t="n">
        <f aca="false">AJ27*x_R_PIT</f>
        <v>38240074.2486344</v>
      </c>
      <c r="AN27" s="0" t="n">
        <f aca="false">AJ27*x_R_FP</f>
        <v>14666977.6721984</v>
      </c>
      <c r="AO27" s="0" t="n">
        <f aca="false">AA27+AB27+AC27+AD27+AF27</f>
        <v>454655130.806738</v>
      </c>
      <c r="AP27" s="0" t="n">
        <f aca="false">AO27+AE27+AG27+AH27+AI27+AK27+AL27+AM27+AN27</f>
        <v>757865007.81025</v>
      </c>
      <c r="AQ27" s="0" t="n">
        <f aca="false">AO27+AE27+AG27+AJ27</f>
        <v>1029830725.79491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2210.267</v>
      </c>
      <c r="I28" s="0" t="n">
        <v>277.045</v>
      </c>
      <c r="J28" s="0" t="n">
        <v>1542.141</v>
      </c>
      <c r="K28" s="0" t="n">
        <v>2031.452</v>
      </c>
      <c r="L28" s="0" t="n">
        <v>1092.793</v>
      </c>
      <c r="M28" s="0" t="n">
        <v>93984.136</v>
      </c>
      <c r="N28" s="0" t="n">
        <v>9630.391</v>
      </c>
      <c r="O28" s="0" t="n">
        <v>81.918</v>
      </c>
      <c r="P28" s="0" t="n">
        <v>82.735</v>
      </c>
      <c r="Q28" s="0" t="n">
        <v>1141.495</v>
      </c>
      <c r="R28" s="0" t="n">
        <v>1018.716</v>
      </c>
      <c r="S28" s="0" t="n">
        <v>5892.105</v>
      </c>
      <c r="T28" s="0" t="n">
        <v>2487.312</v>
      </c>
      <c r="U28" s="0" t="n">
        <v>1771.286</v>
      </c>
      <c r="V28" s="0" t="n">
        <v>147888.48</v>
      </c>
      <c r="W28" s="0" t="n">
        <v>271.327</v>
      </c>
      <c r="X28" s="0" t="n">
        <v>573.804</v>
      </c>
      <c r="Y28" s="0" t="n">
        <v>81.918</v>
      </c>
      <c r="Z28" s="0" t="n">
        <v>769.894</v>
      </c>
      <c r="AA28" s="0" t="n">
        <f aca="false">H28*x_c_F+I28*x_c_CC+J28*x_c_DC+K28*x_c_HCC+L28*x_c_PLT+M28*x_c_SVRn+N28*x_c_SVRcc+O28*x_c_LT+P28*x_c_LT1</f>
        <v>314335575.648787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23102219.2230601</v>
      </c>
      <c r="AI28" s="0" t="n">
        <f aca="false">x_AGRI*x_EMP*x_WLOSS*(x_PEN_K74*Q28+x_PEN_C22*R28)</f>
        <v>1286312.53909547</v>
      </c>
      <c r="AJ28" s="0" t="n">
        <f aca="false">x_EMP*x_WAGE*(x_WLOSS*(Q28+R28)+S28)+U28*x_ABS_D*x_WAGE/365</f>
        <v>607061056.985865</v>
      </c>
      <c r="AK28" s="0" t="n">
        <f aca="false">AJ28*x_R_FUS</f>
        <v>192074118.430328</v>
      </c>
      <c r="AL28" s="0" t="n">
        <f aca="false">AJ28*x_R_NFZ</f>
        <v>47144968.7465793</v>
      </c>
      <c r="AM28" s="0" t="n">
        <f aca="false">AJ28*x_R_PIT</f>
        <v>40359952.8472194</v>
      </c>
      <c r="AN28" s="0" t="n">
        <f aca="false">AJ28*x_R_FP</f>
        <v>15480056.9531396</v>
      </c>
      <c r="AO28" s="0" t="n">
        <f aca="false">AA28+AB28+AC28+AD28+AF28</f>
        <v>452169003.258811</v>
      </c>
      <c r="AP28" s="0" t="n">
        <f aca="false">AO28+AE28+AG28+AH28+AI28+AK28+AL28+AM28+AN28</f>
        <v>771616631.998233</v>
      </c>
      <c r="AQ28" s="0" t="n">
        <f aca="false">AO28+AE28+AG28+AJ28</f>
        <v>1059230060.24468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2214.869</v>
      </c>
      <c r="I29" s="0" t="n">
        <v>271.641</v>
      </c>
      <c r="J29" s="0" t="n">
        <v>1511.477</v>
      </c>
      <c r="K29" s="0" t="n">
        <v>1992.835</v>
      </c>
      <c r="L29" s="0" t="n">
        <v>1074.081</v>
      </c>
      <c r="M29" s="0" t="n">
        <v>96626.586</v>
      </c>
      <c r="N29" s="0" t="n">
        <v>9713.087</v>
      </c>
      <c r="O29" s="0" t="n">
        <v>80.319</v>
      </c>
      <c r="P29" s="0" t="n">
        <v>81.119</v>
      </c>
      <c r="Q29" s="0" t="n">
        <v>1177.892</v>
      </c>
      <c r="R29" s="0" t="n">
        <v>1054.068</v>
      </c>
      <c r="S29" s="0" t="n">
        <v>6234.991</v>
      </c>
      <c r="T29" s="0" t="n">
        <v>2486.51</v>
      </c>
      <c r="U29" s="0" t="n">
        <v>1795.685</v>
      </c>
      <c r="V29" s="0" t="n">
        <v>149496.683</v>
      </c>
      <c r="W29" s="0" t="n">
        <v>265.741</v>
      </c>
      <c r="X29" s="0" t="n">
        <v>563.434</v>
      </c>
      <c r="Y29" s="0" t="n">
        <v>80.319</v>
      </c>
      <c r="Z29" s="0" t="n">
        <v>755.268</v>
      </c>
      <c r="AA29" s="0" t="n">
        <f aca="false">H29*x_c_F+I29*x_c_CC+J29*x_c_DC+K29*x_c_HCC+L29*x_c_PLT+M29*x_c_SVRn+N29*x_c_SVRcc+O29*x_c_LT+P29*x_c_LT1</f>
        <v>311963126.789614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23800496.5588283</v>
      </c>
      <c r="AI29" s="0" t="n">
        <f aca="false">x_AGRI*x_EMP*x_WLOSS*(x_PEN_K74*Q29+x_PEN_C22*R29)</f>
        <v>1329151.75414735</v>
      </c>
      <c r="AJ29" s="0" t="n">
        <f aca="false">x_EMP*x_WAGE*(x_WLOSS*(Q29+R29)+S29)+U29*x_ABS_D*x_WAGE/365</f>
        <v>639671949.373067</v>
      </c>
      <c r="AK29" s="0" t="n">
        <f aca="false">AJ29*x_R_FUS</f>
        <v>202392204.781638</v>
      </c>
      <c r="AL29" s="0" t="n">
        <f aca="false">AJ29*x_R_NFZ</f>
        <v>49677563.2602618</v>
      </c>
      <c r="AM29" s="0" t="n">
        <f aca="false">AJ29*x_R_PIT</f>
        <v>42528061.085933</v>
      </c>
      <c r="AN29" s="0" t="n">
        <f aca="false">AJ29*x_R_FP</f>
        <v>16311634.7090132</v>
      </c>
      <c r="AO29" s="0" t="n">
        <f aca="false">AA29+AB29+AC29+AD29+AF29</f>
        <v>449796554.399638</v>
      </c>
      <c r="AP29" s="0" t="n">
        <f aca="false">AO29+AE29+AG29+AH29+AI29+AK29+AL29+AM29+AN29</f>
        <v>785835666.54946</v>
      </c>
      <c r="AQ29" s="0" t="n">
        <f aca="false">AO29+AE29+AG29+AJ29</f>
        <v>1089468503.77271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2219.219</v>
      </c>
      <c r="I30" s="0" t="n">
        <v>266.548</v>
      </c>
      <c r="J30" s="0" t="n">
        <v>1481.561</v>
      </c>
      <c r="K30" s="0" t="n">
        <v>1956.134</v>
      </c>
      <c r="L30" s="0" t="n">
        <v>1055.327</v>
      </c>
      <c r="M30" s="0" t="n">
        <v>99264.233</v>
      </c>
      <c r="N30" s="0" t="n">
        <v>9781.54</v>
      </c>
      <c r="O30" s="0" t="n">
        <v>78.757</v>
      </c>
      <c r="P30" s="0" t="n">
        <v>79.538</v>
      </c>
      <c r="Q30" s="0" t="n">
        <v>1214.776</v>
      </c>
      <c r="R30" s="0" t="n">
        <v>1089.228</v>
      </c>
      <c r="S30" s="0" t="n">
        <v>6585.536</v>
      </c>
      <c r="T30" s="0" t="n">
        <v>2485.766</v>
      </c>
      <c r="U30" s="0" t="n">
        <v>1817.852</v>
      </c>
      <c r="V30" s="0" t="n">
        <v>151130.255</v>
      </c>
      <c r="W30" s="0" t="n">
        <v>260.498</v>
      </c>
      <c r="X30" s="0" t="n">
        <v>553.72</v>
      </c>
      <c r="Y30" s="0" t="n">
        <v>78.757</v>
      </c>
      <c r="Z30" s="0" t="n">
        <v>741.138</v>
      </c>
      <c r="AA30" s="0" t="n">
        <f aca="false">H30*x_c_F+I30*x_c_CC+J30*x_c_DC+K30*x_c_HCC+L30*x_c_PLT+M30*x_c_SVRn+N30*x_c_SVRcc+O30*x_c_LT+P30*x_c_LT1</f>
        <v>309696679.122323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24496460.272613</v>
      </c>
      <c r="AI30" s="0" t="n">
        <f aca="false">x_AGRI*x_EMP*x_WLOSS*(x_PEN_K74*Q30+x_PEN_C22*R30)</f>
        <v>1372141.34940903</v>
      </c>
      <c r="AJ30" s="0" t="n">
        <f aca="false">x_EMP*x_WAGE*(x_WLOSS*(Q30+R30)+S30)+U30*x_ABS_D*x_WAGE/365</f>
        <v>672942882.693048</v>
      </c>
      <c r="AK30" s="0" t="n">
        <f aca="false">AJ30*x_R_FUS</f>
        <v>212919128.08408</v>
      </c>
      <c r="AL30" s="0" t="n">
        <f aca="false">AJ30*x_R_NFZ</f>
        <v>52261417.2128248</v>
      </c>
      <c r="AM30" s="0" t="n">
        <f aca="false">AJ30*x_R_PIT</f>
        <v>44740051.6007663</v>
      </c>
      <c r="AN30" s="0" t="n">
        <f aca="false">AJ30*x_R_FP</f>
        <v>17160043.5086727</v>
      </c>
      <c r="AO30" s="0" t="n">
        <f aca="false">AA30+AB30+AC30+AD30+AF30</f>
        <v>447530106.732348</v>
      </c>
      <c r="AP30" s="0" t="n">
        <f aca="false">AO30+AE30+AG30+AH30+AI30+AK30+AL30+AM30+AN30</f>
        <v>800479348.760714</v>
      </c>
      <c r="AQ30" s="0" t="n">
        <f aca="false">AO30+AE30+AG30+AJ30</f>
        <v>1120472989.4254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2223.322</v>
      </c>
      <c r="I31" s="0" t="n">
        <v>261.748</v>
      </c>
      <c r="J31" s="0" t="n">
        <v>1452.382</v>
      </c>
      <c r="K31" s="0" t="n">
        <v>1921.169</v>
      </c>
      <c r="L31" s="0" t="n">
        <v>1036.364</v>
      </c>
      <c r="M31" s="0" t="n">
        <v>101888.296</v>
      </c>
      <c r="N31" s="0" t="n">
        <v>9835.213</v>
      </c>
      <c r="O31" s="0" t="n">
        <v>77.229</v>
      </c>
      <c r="P31" s="0" t="n">
        <v>77.993</v>
      </c>
      <c r="Q31" s="0" t="n">
        <v>1251.965</v>
      </c>
      <c r="R31" s="0" t="n">
        <v>1123.982</v>
      </c>
      <c r="S31" s="0" t="n">
        <v>6943.066</v>
      </c>
      <c r="T31" s="0" t="n">
        <v>2485.07</v>
      </c>
      <c r="U31" s="0" t="n">
        <v>1837.986</v>
      </c>
      <c r="V31" s="0" t="n">
        <v>152775.45</v>
      </c>
      <c r="W31" s="0" t="n">
        <v>255.556</v>
      </c>
      <c r="X31" s="0" t="n">
        <v>544.567</v>
      </c>
      <c r="Y31" s="0" t="n">
        <v>77.229</v>
      </c>
      <c r="Z31" s="0" t="n">
        <v>727.457</v>
      </c>
      <c r="AA31" s="0" t="n">
        <f aca="false">H31*x_c_F+I31*x_c_CC+J31*x_c_DC+K31*x_c_HCC+L31*x_c_PLT+M31*x_c_SVRn+N31*x_c_SVRcc+O31*x_c_LT+P31*x_c_LT1</f>
        <v>307511493.885904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25186920.5658136</v>
      </c>
      <c r="AI31" s="0" t="n">
        <f aca="false">x_AGRI*x_EMP*x_WLOSS*(x_PEN_K74*Q31+x_PEN_C22*R31)</f>
        <v>1415043.44323061</v>
      </c>
      <c r="AJ31" s="0" t="n">
        <f aca="false">x_EMP*x_WAGE*(x_WLOSS*(Q31+R31)+S31)+U31*x_ABS_D*x_WAGE/365</f>
        <v>706798737.054182</v>
      </c>
      <c r="AK31" s="0" t="n">
        <f aca="false">AJ31*x_R_FUS</f>
        <v>223631120.403943</v>
      </c>
      <c r="AL31" s="0" t="n">
        <f aca="false">AJ31*x_R_NFZ</f>
        <v>54890696.7183648</v>
      </c>
      <c r="AM31" s="0" t="n">
        <f aca="false">AJ31*x_R_PIT</f>
        <v>46990930.1077853</v>
      </c>
      <c r="AN31" s="0" t="n">
        <f aca="false">AJ31*x_R_FP</f>
        <v>18023367.7948816</v>
      </c>
      <c r="AO31" s="0" t="n">
        <f aca="false">AA31+AB31+AC31+AD31+AF31</f>
        <v>445344921.495929</v>
      </c>
      <c r="AP31" s="0" t="n">
        <f aca="false">AO31+AE31+AG31+AH31+AI31+AK31+AL31+AM31+AN31</f>
        <v>815483000.529948</v>
      </c>
      <c r="AQ31" s="0" t="n">
        <f aca="false">AO31+AE31+AG31+AJ31</f>
        <v>1152143658.55011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2227.188</v>
      </c>
      <c r="I32" s="0" t="n">
        <v>257.226</v>
      </c>
      <c r="J32" s="0" t="n">
        <v>1423.887</v>
      </c>
      <c r="K32" s="0" t="n">
        <v>1887.724</v>
      </c>
      <c r="L32" s="0" t="n">
        <v>1017.003</v>
      </c>
      <c r="M32" s="0" t="n">
        <v>104488.716</v>
      </c>
      <c r="N32" s="0" t="n">
        <v>9873.268</v>
      </c>
      <c r="O32" s="0" t="n">
        <v>75.733</v>
      </c>
      <c r="P32" s="0" t="n">
        <v>76.481</v>
      </c>
      <c r="Q32" s="0" t="n">
        <v>1289.267</v>
      </c>
      <c r="R32" s="0" t="n">
        <v>1158.125</v>
      </c>
      <c r="S32" s="0" t="n">
        <v>7306.821</v>
      </c>
      <c r="T32" s="0" t="n">
        <v>2484.414</v>
      </c>
      <c r="U32" s="0" t="n">
        <v>1856.268</v>
      </c>
      <c r="V32" s="0" t="n">
        <v>154418.498</v>
      </c>
      <c r="W32" s="0" t="n">
        <v>250.876</v>
      </c>
      <c r="X32" s="0" t="n">
        <v>535.885</v>
      </c>
      <c r="Y32" s="0" t="n">
        <v>75.733</v>
      </c>
      <c r="Z32" s="0" t="n">
        <v>714.159</v>
      </c>
      <c r="AA32" s="0" t="n">
        <f aca="false">H32*x_c_F+I32*x_c_CC+J32*x_c_DC+K32*x_c_HCC+L32*x_c_PLT+M32*x_c_SVRn+N32*x_c_SVRcc+O32*x_c_LT+P32*x_c_LT1</f>
        <v>305377687.242735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25868652.5653933</v>
      </c>
      <c r="AI32" s="0" t="n">
        <f aca="false">x_AGRI*x_EMP*x_WLOSS*(x_PEN_K74*Q32+x_PEN_C22*R32)</f>
        <v>1457620.2816269</v>
      </c>
      <c r="AJ32" s="0" t="n">
        <f aca="false">x_EMP*x_WAGE*(x_WLOSS*(Q32+R32)+S32)+U32*x_ABS_D*x_WAGE/365</f>
        <v>741156961.232433</v>
      </c>
      <c r="AK32" s="0" t="n">
        <f aca="false">AJ32*x_R_FUS</f>
        <v>234502062.533942</v>
      </c>
      <c r="AL32" s="0" t="n">
        <f aca="false">AJ32*x_R_NFZ</f>
        <v>57558990.7662719</v>
      </c>
      <c r="AM32" s="0" t="n">
        <f aca="false">AJ32*x_R_PIT</f>
        <v>49275208.2570599</v>
      </c>
      <c r="AN32" s="0" t="n">
        <f aca="false">AJ32*x_R_FP</f>
        <v>18899502.511427</v>
      </c>
      <c r="AO32" s="0" t="n">
        <f aca="false">AA32+AB32+AC32+AD32+AF32</f>
        <v>443211114.85276</v>
      </c>
      <c r="AP32" s="0" t="n">
        <f aca="false">AO32+AE32+AG32+AH32+AI32+AK32+AL32+AM32+AN32</f>
        <v>830773151.76848</v>
      </c>
      <c r="AQ32" s="0" t="n">
        <f aca="false">AO32+AE32+AG32+AJ32</f>
        <v>1184368076.08519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2230.832</v>
      </c>
      <c r="I33" s="0" t="n">
        <v>252.958</v>
      </c>
      <c r="J33" s="0" t="n">
        <v>1395.969</v>
      </c>
      <c r="K33" s="0" t="n">
        <v>1855.539</v>
      </c>
      <c r="L33" s="0" t="n">
        <v>997.01</v>
      </c>
      <c r="M33" s="0" t="n">
        <v>107053.281</v>
      </c>
      <c r="N33" s="0" t="n">
        <v>9894.364</v>
      </c>
      <c r="O33" s="0" t="n">
        <v>74.261</v>
      </c>
      <c r="P33" s="0" t="n">
        <v>74.997</v>
      </c>
      <c r="Q33" s="0" t="n">
        <v>1326.47</v>
      </c>
      <c r="R33" s="0" t="n">
        <v>1191.447</v>
      </c>
      <c r="S33" s="0" t="n">
        <v>7675.819</v>
      </c>
      <c r="T33" s="0" t="n">
        <v>2483.79</v>
      </c>
      <c r="U33" s="0" t="n">
        <v>1872.866</v>
      </c>
      <c r="V33" s="0" t="n">
        <v>156044.399</v>
      </c>
      <c r="W33" s="0" t="n">
        <v>246.413</v>
      </c>
      <c r="X33" s="0" t="n">
        <v>527.575</v>
      </c>
      <c r="Y33" s="0" t="n">
        <v>74.261</v>
      </c>
      <c r="Z33" s="0" t="n">
        <v>701.143</v>
      </c>
      <c r="AA33" s="0" t="n">
        <f aca="false">H33*x_c_F+I33*x_c_CC+J33*x_c_DC+K33*x_c_HCC+L33*x_c_PLT+M33*x_c_SVRn+N33*x_c_SVRcc+O33*x_c_LT+P33*x_c_LT1</f>
        <v>303255320.602137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26538187.2969279</v>
      </c>
      <c r="AI33" s="0" t="n">
        <f aca="false">x_AGRI*x_EMP*x_WLOSS*(x_PEN_K74*Q33+x_PEN_C22*R33)</f>
        <v>1499619.74254768</v>
      </c>
      <c r="AJ33" s="0" t="n">
        <f aca="false">x_EMP*x_WAGE*(x_WLOSS*(Q33+R33)+S33)+U33*x_ABS_D*x_WAGE/365</f>
        <v>775914886.546231</v>
      </c>
      <c r="AK33" s="0" t="n">
        <f aca="false">AJ33*x_R_FUS</f>
        <v>245499470.103228</v>
      </c>
      <c r="AL33" s="0" t="n">
        <f aca="false">AJ33*x_R_NFZ</f>
        <v>60258326.0040669</v>
      </c>
      <c r="AM33" s="0" t="n">
        <f aca="false">AJ33*x_R_PIT</f>
        <v>51586060.2061164</v>
      </c>
      <c r="AN33" s="0" t="n">
        <f aca="false">AJ33*x_R_FP</f>
        <v>19785829.6069289</v>
      </c>
      <c r="AO33" s="0" t="n">
        <f aca="false">AA33+AB33+AC33+AD33+AF33</f>
        <v>441088748.212162</v>
      </c>
      <c r="AP33" s="0" t="n">
        <f aca="false">AO33+AE33+AG33+AH33+AI33+AK33+AL33+AM33+AN33</f>
        <v>846256241.171977</v>
      </c>
      <c r="AQ33" s="0" t="n">
        <f aca="false">AO33+AE33+AG33+AJ33</f>
        <v>1217003634.75839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2234.31</v>
      </c>
      <c r="I34" s="0" t="n">
        <v>248.878</v>
      </c>
      <c r="J34" s="0" t="n">
        <v>1366.984</v>
      </c>
      <c r="K34" s="0" t="n">
        <v>1822.706</v>
      </c>
      <c r="L34" s="0" t="n">
        <v>973.682</v>
      </c>
      <c r="M34" s="0" t="n">
        <v>109479.525</v>
      </c>
      <c r="N34" s="0" t="n">
        <v>9878.86</v>
      </c>
      <c r="O34" s="0" t="n">
        <v>72.635</v>
      </c>
      <c r="P34" s="0" t="n">
        <v>73.448</v>
      </c>
      <c r="Q34" s="0" t="n">
        <v>1363.347</v>
      </c>
      <c r="R34" s="0" t="n">
        <v>1223.751</v>
      </c>
      <c r="S34" s="0" t="n">
        <v>8048.896</v>
      </c>
      <c r="T34" s="0" t="n">
        <v>2483.188</v>
      </c>
      <c r="U34" s="0" t="n">
        <v>1888.01</v>
      </c>
      <c r="V34" s="0" t="n">
        <v>157552.35</v>
      </c>
      <c r="W34" s="0" t="n">
        <v>241.84</v>
      </c>
      <c r="X34" s="0" t="n">
        <v>518.873</v>
      </c>
      <c r="Y34" s="0" t="n">
        <v>72.635</v>
      </c>
      <c r="Z34" s="0" t="n">
        <v>686.729</v>
      </c>
      <c r="AA34" s="0" t="n">
        <f aca="false">H34*x_c_F+I34*x_c_CC+J34*x_c_DC+K34*x_c_HCC+L34*x_c_PLT+M34*x_c_SVRn+N34*x_c_SVRcc+O34*x_c_LT+P34*x_c_LT1</f>
        <v>300726615.359261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27192181.3383357</v>
      </c>
      <c r="AI34" s="0" t="n">
        <f aca="false">x_AGRI*x_EMP*x_WLOSS*(x_PEN_K74*Q34+x_PEN_C22*R34)</f>
        <v>1540789.57753989</v>
      </c>
      <c r="AJ34" s="0" t="n">
        <f aca="false">x_EMP*x_WAGE*(x_WLOSS*(Q34+R34)+S34)+U34*x_ABS_D*x_WAGE/365</f>
        <v>810954416.905711</v>
      </c>
      <c r="AK34" s="0" t="n">
        <f aca="false">AJ34*x_R_FUS</f>
        <v>256585977.508967</v>
      </c>
      <c r="AL34" s="0" t="n">
        <f aca="false">AJ34*x_R_NFZ</f>
        <v>62979530.9713144</v>
      </c>
      <c r="AM34" s="0" t="n">
        <f aca="false">AJ34*x_R_PIT</f>
        <v>53915634.4339856</v>
      </c>
      <c r="AN34" s="0" t="n">
        <f aca="false">AJ34*x_R_FP</f>
        <v>20679337.6310956</v>
      </c>
      <c r="AO34" s="0" t="n">
        <f aca="false">AA34+AB34+AC34+AD34+AF34</f>
        <v>438560042.969285</v>
      </c>
      <c r="AP34" s="0" t="n">
        <f aca="false">AO34+AE34+AG34+AH34+AI34+AK34+AL34+AM34+AN34</f>
        <v>861453494.430523</v>
      </c>
      <c r="AQ34" s="0" t="n">
        <f aca="false">AO34+AE34+AG34+AJ34</f>
        <v>1249514459.875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2237.564</v>
      </c>
      <c r="I35" s="0" t="n">
        <v>245.05</v>
      </c>
      <c r="J35" s="0" t="n">
        <v>1339.017</v>
      </c>
      <c r="K35" s="0" t="n">
        <v>1791.37</v>
      </c>
      <c r="L35" s="0" t="n">
        <v>950.167</v>
      </c>
      <c r="M35" s="0" t="n">
        <v>111875.71</v>
      </c>
      <c r="N35" s="0" t="n">
        <v>9849.986</v>
      </c>
      <c r="O35" s="0" t="n">
        <v>71.27</v>
      </c>
      <c r="P35" s="0" t="n">
        <v>71.953</v>
      </c>
      <c r="Q35" s="0" t="n">
        <v>1399.666</v>
      </c>
      <c r="R35" s="0" t="n">
        <v>1254.844</v>
      </c>
      <c r="S35" s="0" t="n">
        <v>8424.714</v>
      </c>
      <c r="T35" s="0" t="n">
        <v>2482.613</v>
      </c>
      <c r="U35" s="0" t="n">
        <v>1901.681</v>
      </c>
      <c r="V35" s="0" t="n">
        <v>159045.971</v>
      </c>
      <c r="W35" s="0" t="n">
        <v>237.849</v>
      </c>
      <c r="X35" s="0" t="n">
        <v>511.387</v>
      </c>
      <c r="Y35" s="0" t="n">
        <v>71.27</v>
      </c>
      <c r="Z35" s="0" t="n">
        <v>674.733</v>
      </c>
      <c r="AA35" s="0" t="n">
        <f aca="false">H35*x_c_F+I35*x_c_CC+J35*x_c_DC+K35*x_c_HCC+L35*x_c_PLT+M35*x_c_SVRn+N35*x_c_SVRcc+O35*x_c_LT+P35*x_c_LT1</f>
        <v>298342209.559717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27826775.5090756</v>
      </c>
      <c r="AI35" s="0" t="n">
        <f aca="false">x_AGRI*x_EMP*x_WLOSS*(x_PEN_K74*Q35+x_PEN_C22*R35)</f>
        <v>1580877.28408291</v>
      </c>
      <c r="AJ35" s="0" t="n">
        <f aca="false">x_EMP*x_WAGE*(x_WLOSS*(Q35+R35)+S35)+U35*x_ABS_D*x_WAGE/365</f>
        <v>846141843.434907</v>
      </c>
      <c r="AK35" s="0" t="n">
        <f aca="false">AJ35*x_R_FUS</f>
        <v>267719279.262805</v>
      </c>
      <c r="AL35" s="0" t="n">
        <f aca="false">AJ35*x_R_NFZ</f>
        <v>65712221.7029983</v>
      </c>
      <c r="AM35" s="0" t="n">
        <f aca="false">AJ35*x_R_PIT</f>
        <v>56255041.4165133</v>
      </c>
      <c r="AN35" s="0" t="n">
        <f aca="false">AJ35*x_R_FP</f>
        <v>21576617.0075901</v>
      </c>
      <c r="AO35" s="0" t="n">
        <f aca="false">AA35+AB35+AC35+AD35+AF35</f>
        <v>436175637.169742</v>
      </c>
      <c r="AP35" s="0" t="n">
        <f aca="false">AO35+AE35+AG35+AH35+AI35+AK35+AL35+AM35+AN35</f>
        <v>876846449.352807</v>
      </c>
      <c r="AQ35" s="0" t="n">
        <f aca="false">AO35+AE35+AG35+AJ35</f>
        <v>1282317480.60465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2240.562</v>
      </c>
      <c r="I36" s="0" t="n">
        <v>241.505</v>
      </c>
      <c r="J36" s="0" t="n">
        <v>1313.334</v>
      </c>
      <c r="K36" s="0" t="n">
        <v>1762.787</v>
      </c>
      <c r="L36" s="0" t="n">
        <v>928.459</v>
      </c>
      <c r="M36" s="0" t="n">
        <v>114308.85</v>
      </c>
      <c r="N36" s="0" t="n">
        <v>9822.534</v>
      </c>
      <c r="O36" s="0" t="n">
        <v>69.895</v>
      </c>
      <c r="P36" s="0" t="n">
        <v>70.582</v>
      </c>
      <c r="Q36" s="0" t="n">
        <v>1054.778</v>
      </c>
      <c r="R36" s="0" t="n">
        <v>1058.638</v>
      </c>
      <c r="S36" s="0" t="n">
        <v>5513.417</v>
      </c>
      <c r="T36" s="0" t="n">
        <v>2482.067</v>
      </c>
      <c r="U36" s="0" t="n">
        <v>1874.959</v>
      </c>
      <c r="V36" s="0" t="n">
        <v>160589.064</v>
      </c>
      <c r="W36" s="0" t="n">
        <v>233.955</v>
      </c>
      <c r="X36" s="0" t="n">
        <v>503.998</v>
      </c>
      <c r="Y36" s="0" t="n">
        <v>69.895</v>
      </c>
      <c r="Z36" s="0" t="n">
        <v>662.618</v>
      </c>
      <c r="AA36" s="0" t="n">
        <f aca="false">H36*x_c_F+I36*x_c_CC+J36*x_c_DC+K36*x_c_HCC+L36*x_c_PLT+M36*x_c_SVRn+N36*x_c_SVRcc+O36*x_c_LT+P36*x_c_LT1</f>
        <v>296259386.206789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22965398.2338318</v>
      </c>
      <c r="AI36" s="0" t="n">
        <f aca="false">x_AGRI*x_EMP*x_WLOSS*(x_PEN_K74*Q36+x_PEN_C22*R36)</f>
        <v>1263180.82408384</v>
      </c>
      <c r="AJ36" s="0" t="n">
        <f aca="false">x_EMP*x_WAGE*(x_WLOSS*(Q36+R36)+S36)+U36*x_ABS_D*x_WAGE/365</f>
        <v>572923186.551565</v>
      </c>
      <c r="AK36" s="0" t="n">
        <f aca="false">AJ36*x_R_FUS</f>
        <v>181272896.224915</v>
      </c>
      <c r="AL36" s="0" t="n">
        <f aca="false">AJ36*x_R_NFZ</f>
        <v>44493787.5907811</v>
      </c>
      <c r="AM36" s="0" t="n">
        <f aca="false">AJ36*x_R_PIT</f>
        <v>38090324.734565</v>
      </c>
      <c r="AN36" s="0" t="n">
        <f aca="false">AJ36*x_R_FP</f>
        <v>14609541.2570649</v>
      </c>
      <c r="AO36" s="0" t="n">
        <f aca="false">AA36+AB36+AC36+AD36+AF36</f>
        <v>434092813.816813</v>
      </c>
      <c r="AP36" s="0" t="n">
        <f aca="false">AO36+AE36+AG36+AH36+AI36+AK36+AL36+AM36+AN36</f>
        <v>736787942.682055</v>
      </c>
      <c r="AQ36" s="0" t="n">
        <f aca="false">AO36+AE36+AG36+AJ36</f>
        <v>1007016000.36838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2243.369</v>
      </c>
      <c r="I37" s="0" t="n">
        <v>238.169</v>
      </c>
      <c r="J37" s="0" t="n">
        <v>1287.669</v>
      </c>
      <c r="K37" s="0" t="n">
        <v>1734.43</v>
      </c>
      <c r="L37" s="0" t="n">
        <v>904.92</v>
      </c>
      <c r="M37" s="0" t="n">
        <v>116641.011</v>
      </c>
      <c r="N37" s="0" t="n">
        <v>9769.916</v>
      </c>
      <c r="O37" s="0" t="n">
        <v>68.523</v>
      </c>
      <c r="P37" s="0" t="n">
        <v>69.209</v>
      </c>
      <c r="Q37" s="0" t="n">
        <v>689.61</v>
      </c>
      <c r="R37" s="0" t="n">
        <v>844.314</v>
      </c>
      <c r="S37" s="0" t="n">
        <v>2407.237</v>
      </c>
      <c r="T37" s="0" t="n">
        <v>2481.539</v>
      </c>
      <c r="U37" s="0" t="n">
        <v>1841.89</v>
      </c>
      <c r="V37" s="0" t="n">
        <v>162048.927</v>
      </c>
      <c r="W37" s="0" t="n">
        <v>230.183</v>
      </c>
      <c r="X37" s="0" t="n">
        <v>496.753</v>
      </c>
      <c r="Y37" s="0" t="n">
        <v>68.523</v>
      </c>
      <c r="Z37" s="0" t="n">
        <v>650.499</v>
      </c>
      <c r="AA37" s="0" t="n">
        <f aca="false">H37*x_c_F+I37*x_c_CC+J37*x_c_DC+K37*x_c_HCC+L37*x_c_PLT+M37*x_c_SVRn+N37*x_c_SVRcc+O37*x_c_LT+P37*x_c_LT1</f>
        <v>294003630.160371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17745044.9383715</v>
      </c>
      <c r="AI37" s="0" t="n">
        <f aca="false">x_AGRI*x_EMP*x_WLOSS*(x_PEN_K74*Q37+x_PEN_C22*R37)</f>
        <v>922619.23100077</v>
      </c>
      <c r="AJ37" s="0" t="n">
        <f aca="false">x_EMP*x_WAGE*(x_WLOSS*(Q37+R37)+S37)+U37*x_ABS_D*x_WAGE/365</f>
        <v>281301541.8354</v>
      </c>
      <c r="AK37" s="0" t="n">
        <f aca="false">AJ37*x_R_FUS</f>
        <v>89003807.8367205</v>
      </c>
      <c r="AL37" s="0" t="n">
        <f aca="false">AJ37*x_R_NFZ</f>
        <v>21846159.040479</v>
      </c>
      <c r="AM37" s="0" t="n">
        <f aca="false">AJ37*x_R_PIT</f>
        <v>18702100.6102706</v>
      </c>
      <c r="AN37" s="0" t="n">
        <f aca="false">AJ37*x_R_FP</f>
        <v>7173189.3168027</v>
      </c>
      <c r="AO37" s="0" t="n">
        <f aca="false">AA37+AB37+AC37+AD37+AF37</f>
        <v>431837057.770396</v>
      </c>
      <c r="AP37" s="0" t="n">
        <f aca="false">AO37+AE37+AG37+AH37+AI37+AK37+AL37+AM37+AN37</f>
        <v>587229978.744041</v>
      </c>
      <c r="AQ37" s="0" t="n">
        <f aca="false">AO37+AE37+AG37+AJ37</f>
        <v>713138599.605796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2245.96</v>
      </c>
      <c r="I38" s="0" t="n">
        <v>235.071</v>
      </c>
      <c r="J38" s="0" t="n">
        <v>1262.362</v>
      </c>
      <c r="K38" s="0" t="n">
        <v>1706.609</v>
      </c>
      <c r="L38" s="0" t="n">
        <v>879.813</v>
      </c>
      <c r="M38" s="0" t="n">
        <v>118873.706</v>
      </c>
      <c r="N38" s="0" t="n">
        <v>9694.348</v>
      </c>
      <c r="O38" s="0" t="n">
        <v>67.178</v>
      </c>
      <c r="P38" s="0" t="n">
        <v>67.851</v>
      </c>
      <c r="Q38" s="0" t="n">
        <v>685.117</v>
      </c>
      <c r="R38" s="0" t="n">
        <v>838.613</v>
      </c>
      <c r="S38" s="0" t="n">
        <v>2394.673</v>
      </c>
      <c r="T38" s="0" t="n">
        <v>2481.031</v>
      </c>
      <c r="U38" s="0" t="n">
        <v>1841.994</v>
      </c>
      <c r="V38" s="0" t="n">
        <v>163429.058</v>
      </c>
      <c r="W38" s="0" t="n">
        <v>226.574</v>
      </c>
      <c r="X38" s="0" t="n">
        <v>489.735</v>
      </c>
      <c r="Y38" s="0" t="n">
        <v>67.178</v>
      </c>
      <c r="Z38" s="0" t="n">
        <v>638.557</v>
      </c>
      <c r="AA38" s="0" t="n">
        <f aca="false">H38*x_c_F+I38*x_c_CC+J38*x_c_DC+K38*x_c_HCC+L38*x_c_PLT+M38*x_c_SVRn+N38*x_c_SVRcc+O38*x_c_LT+P38*x_c_LT1</f>
        <v>291625049.691977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17652391.9372424</v>
      </c>
      <c r="AI38" s="0" t="n">
        <f aca="false">x_AGRI*x_EMP*x_WLOSS*(x_PEN_K74*Q38+x_PEN_C22*R38)</f>
        <v>916480.912878906</v>
      </c>
      <c r="AJ38" s="0" t="n">
        <f aca="false">x_EMP*x_WAGE*(x_WLOSS*(Q38+R38)+S38)+U38*x_ABS_D*x_WAGE/365</f>
        <v>279761122.1505</v>
      </c>
      <c r="AK38" s="0" t="n">
        <f aca="false">AJ38*x_R_FUS</f>
        <v>88516419.0484182</v>
      </c>
      <c r="AL38" s="0" t="n">
        <f aca="false">AJ38*x_R_NFZ</f>
        <v>21726528.50733</v>
      </c>
      <c r="AM38" s="0" t="n">
        <f aca="false">AJ38*x_R_PIT</f>
        <v>18599687.0801453</v>
      </c>
      <c r="AN38" s="0" t="n">
        <f aca="false">AJ38*x_R_FP</f>
        <v>7133908.61483775</v>
      </c>
      <c r="AO38" s="0" t="n">
        <f aca="false">AA38+AB38+AC38+AD38+AF38</f>
        <v>429458477.302001</v>
      </c>
      <c r="AP38" s="0" t="n">
        <f aca="false">AO38+AE38+AG38+AH38+AI38+AK38+AL38+AM38+AN38</f>
        <v>584003893.402854</v>
      </c>
      <c r="AQ38" s="0" t="n">
        <f aca="false">AO38+AE38+AG38+AJ38</f>
        <v>709219599.452501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2248.301</v>
      </c>
      <c r="I39" s="0" t="n">
        <v>232.245</v>
      </c>
      <c r="J39" s="0" t="n">
        <v>1237.831</v>
      </c>
      <c r="K39" s="0" t="n">
        <v>1679.73</v>
      </c>
      <c r="L39" s="0" t="n">
        <v>853.566</v>
      </c>
      <c r="M39" s="0" t="n">
        <v>121014.073</v>
      </c>
      <c r="N39" s="0" t="n">
        <v>9599.544</v>
      </c>
      <c r="O39" s="0" t="n">
        <v>65.884</v>
      </c>
      <c r="P39" s="0" t="n">
        <v>66.531</v>
      </c>
      <c r="Q39" s="0" t="n">
        <v>680.717</v>
      </c>
      <c r="R39" s="0" t="n">
        <v>833.02</v>
      </c>
      <c r="S39" s="0" t="n">
        <v>2382.416</v>
      </c>
      <c r="T39" s="0" t="n">
        <v>2480.546</v>
      </c>
      <c r="U39" s="0" t="n">
        <v>1841.953</v>
      </c>
      <c r="V39" s="0" t="n">
        <v>164738.862</v>
      </c>
      <c r="W39" s="0" t="n">
        <v>223.175</v>
      </c>
      <c r="X39" s="0" t="n">
        <v>483.043</v>
      </c>
      <c r="Y39" s="0" t="n">
        <v>65.884</v>
      </c>
      <c r="Z39" s="0" t="n">
        <v>626.996</v>
      </c>
      <c r="AA39" s="0" t="n">
        <f aca="false">H39*x_c_F+I39*x_c_CC+J39*x_c_DC+K39*x_c_HCC+L39*x_c_PLT+M39*x_c_SVRn+N39*x_c_SVRcc+O39*x_c_LT+P39*x_c_LT1</f>
        <v>289194276.715155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17561266.8397838</v>
      </c>
      <c r="AI39" s="0" t="n">
        <f aca="false">x_AGRI*x_EMP*x_WLOSS*(x_PEN_K74*Q39+x_PEN_C22*R39)</f>
        <v>910463.290288359</v>
      </c>
      <c r="AJ39" s="0" t="n">
        <f aca="false">x_EMP*x_WAGE*(x_WLOSS*(Q39+R39)+S39)+U39*x_ABS_D*x_WAGE/365</f>
        <v>278255709.119897</v>
      </c>
      <c r="AK39" s="0" t="n">
        <f aca="false">AJ39*x_R_FUS</f>
        <v>88040106.3655355</v>
      </c>
      <c r="AL39" s="0" t="n">
        <f aca="false">AJ39*x_R_NFZ</f>
        <v>21609616.6259603</v>
      </c>
      <c r="AM39" s="0" t="n">
        <f aca="false">AJ39*x_R_PIT</f>
        <v>18499600.9385101</v>
      </c>
      <c r="AN39" s="0" t="n">
        <f aca="false">AJ39*x_R_FP</f>
        <v>7095520.58255738</v>
      </c>
      <c r="AO39" s="0" t="n">
        <f aca="false">AA39+AB39+AC39+AD39+AF39</f>
        <v>427027704.325179</v>
      </c>
      <c r="AP39" s="0" t="n">
        <f aca="false">AO39+AE39+AG39+AH39+AI39+AK39+AL39+AM39+AN39</f>
        <v>580744278.967815</v>
      </c>
      <c r="AQ39" s="0" t="n">
        <f aca="false">AO39+AE39+AG39+AJ39</f>
        <v>705283413.445077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2250.358</v>
      </c>
      <c r="I40" s="0" t="n">
        <v>229.729</v>
      </c>
      <c r="J40" s="0" t="n">
        <v>1214.55</v>
      </c>
      <c r="K40" s="0" t="n">
        <v>1654.27</v>
      </c>
      <c r="L40" s="0" t="n">
        <v>826.75</v>
      </c>
      <c r="M40" s="0" t="n">
        <v>123074.866</v>
      </c>
      <c r="N40" s="0" t="n">
        <v>9490.658</v>
      </c>
      <c r="O40" s="0" t="n">
        <v>64.668</v>
      </c>
      <c r="P40" s="0" t="n">
        <v>65.276</v>
      </c>
      <c r="Q40" s="0" t="n">
        <v>676.322</v>
      </c>
      <c r="R40" s="0" t="n">
        <v>827.458</v>
      </c>
      <c r="S40" s="0" t="n">
        <v>2370.042</v>
      </c>
      <c r="T40" s="0" t="n">
        <v>2480.087</v>
      </c>
      <c r="U40" s="0" t="n">
        <v>1841.7</v>
      </c>
      <c r="V40" s="0" t="n">
        <v>165993.383</v>
      </c>
      <c r="W40" s="0" t="n">
        <v>220.044</v>
      </c>
      <c r="X40" s="0" t="n">
        <v>476.801</v>
      </c>
      <c r="Y40" s="0" t="n">
        <v>64.668</v>
      </c>
      <c r="Z40" s="0" t="n">
        <v>616.059</v>
      </c>
      <c r="AA40" s="0" t="n">
        <f aca="false">H40*x_c_F+I40*x_c_CC+J40*x_c_DC+K40*x_c_HCC+L40*x_c_PLT+M40*x_c_SVRn+N40*x_c_SVRcc+O40*x_c_LT+P40*x_c_LT1</f>
        <v>286800588.309961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17470046.4053231</v>
      </c>
      <c r="AI40" s="0" t="n">
        <f aca="false">x_AGRI*x_EMP*x_WLOSS*(x_PEN_K74*Q40+x_PEN_C22*R40)</f>
        <v>904468.174756729</v>
      </c>
      <c r="AJ40" s="0" t="n">
        <f aca="false">x_EMP*x_WAGE*(x_WLOSS*(Q40+R40)+S40)+U40*x_ABS_D*x_WAGE/365</f>
        <v>276741355.969067</v>
      </c>
      <c r="AK40" s="0" t="n">
        <f aca="false">AJ40*x_R_FUS</f>
        <v>87560965.0286126</v>
      </c>
      <c r="AL40" s="0" t="n">
        <f aca="false">AJ40*x_R_NFZ</f>
        <v>21492010.4459137</v>
      </c>
      <c r="AM40" s="0" t="n">
        <f aca="false">AJ40*x_R_PIT</f>
        <v>18398920.4203675</v>
      </c>
      <c r="AN40" s="0" t="n">
        <f aca="false">AJ40*x_R_FP</f>
        <v>7056904.5772112</v>
      </c>
      <c r="AO40" s="0" t="n">
        <f aca="false">AA40+AB40+AC40+AD40+AF40</f>
        <v>424634015.919985</v>
      </c>
      <c r="AP40" s="0" t="n">
        <f aca="false">AO40+AE40+AG40+AH40+AI40+AK40+AL40+AM40+AN40</f>
        <v>577517330.97217</v>
      </c>
      <c r="AQ40" s="0" t="n">
        <f aca="false">AO40+AE40+AG40+AJ40</f>
        <v>701375371.889051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2252.102</v>
      </c>
      <c r="I41" s="0" t="n">
        <v>227.555</v>
      </c>
      <c r="J41" s="0" t="n">
        <v>1193.007</v>
      </c>
      <c r="K41" s="0" t="n">
        <v>1630.731</v>
      </c>
      <c r="L41" s="0" t="n">
        <v>800.059</v>
      </c>
      <c r="M41" s="0" t="n">
        <v>125073.948</v>
      </c>
      <c r="N41" s="0" t="n">
        <v>9374.075</v>
      </c>
      <c r="O41" s="0" t="n">
        <v>63.556</v>
      </c>
      <c r="P41" s="0" t="n">
        <v>64.112</v>
      </c>
      <c r="Q41" s="0" t="n">
        <v>671.913</v>
      </c>
      <c r="R41" s="0" t="n">
        <v>821.914</v>
      </c>
      <c r="S41" s="0" t="n">
        <v>2357.439</v>
      </c>
      <c r="T41" s="0" t="n">
        <v>2479.657</v>
      </c>
      <c r="U41" s="0" t="n">
        <v>1841.194</v>
      </c>
      <c r="V41" s="0" t="n">
        <v>167212.372</v>
      </c>
      <c r="W41" s="0" t="n">
        <v>217.233</v>
      </c>
      <c r="X41" s="0" t="n">
        <v>471.126</v>
      </c>
      <c r="Y41" s="0" t="n">
        <v>63.556</v>
      </c>
      <c r="Z41" s="0" t="n">
        <v>605.978</v>
      </c>
      <c r="AA41" s="0" t="n">
        <f aca="false">H41*x_c_F+I41*x_c_CC+J41*x_c_DC+K41*x_c_HCC+L41*x_c_PLT+M41*x_c_SVRn+N41*x_c_SVRcc+O41*x_c_LT+P41*x_c_LT1</f>
        <v>284545088.600126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17378360.4794796</v>
      </c>
      <c r="AI41" s="0" t="n">
        <f aca="false">x_AGRI*x_EMP*x_WLOSS*(x_PEN_K74*Q41+x_PEN_C22*R41)</f>
        <v>898476.671274309</v>
      </c>
      <c r="AJ41" s="0" t="n">
        <f aca="false">x_EMP*x_WAGE*(x_WLOSS*(Q41+R41)+S41)+U41*x_ABS_D*x_WAGE/365</f>
        <v>275206919.244298</v>
      </c>
      <c r="AK41" s="0" t="n">
        <f aca="false">AJ41*x_R_FUS</f>
        <v>87075469.248896</v>
      </c>
      <c r="AL41" s="0" t="n">
        <f aca="false">AJ41*x_R_NFZ</f>
        <v>21372844.5554315</v>
      </c>
      <c r="AM41" s="0" t="n">
        <f aca="false">AJ41*x_R_PIT</f>
        <v>18296904.6624037</v>
      </c>
      <c r="AN41" s="0" t="n">
        <f aca="false">AJ41*x_R_FP</f>
        <v>7017776.44072961</v>
      </c>
      <c r="AO41" s="0" t="n">
        <f aca="false">AA41+AB41+AC41+AD41+AF41</f>
        <v>422378516.21015</v>
      </c>
      <c r="AP41" s="0" t="n">
        <f aca="false">AO41+AE41+AG41+AH41+AI41+AK41+AL41+AM41+AN41</f>
        <v>574418348.268365</v>
      </c>
      <c r="AQ41" s="0" t="n">
        <f aca="false">AO41+AE41+AG41+AJ41</f>
        <v>697585435.454449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2253.523</v>
      </c>
      <c r="I42" s="0" t="n">
        <v>225.737</v>
      </c>
      <c r="J42" s="0" t="n">
        <v>1173.618</v>
      </c>
      <c r="K42" s="0" t="n">
        <v>1609.542</v>
      </c>
      <c r="L42" s="0" t="n">
        <v>774.204</v>
      </c>
      <c r="M42" s="0" t="n">
        <v>127031.009</v>
      </c>
      <c r="N42" s="0" t="n">
        <v>9256.489</v>
      </c>
      <c r="O42" s="0" t="n">
        <v>62.568</v>
      </c>
      <c r="P42" s="0" t="n">
        <v>63.062</v>
      </c>
      <c r="Q42" s="0" t="n">
        <v>667.468</v>
      </c>
      <c r="R42" s="0" t="n">
        <v>816.375</v>
      </c>
      <c r="S42" s="0" t="n">
        <v>2344.489</v>
      </c>
      <c r="T42" s="0" t="n">
        <v>2479.259</v>
      </c>
      <c r="U42" s="0" t="n">
        <v>1840.416</v>
      </c>
      <c r="V42" s="0" t="n">
        <v>168416.461</v>
      </c>
      <c r="W42" s="0" t="n">
        <v>214.778</v>
      </c>
      <c r="X42" s="0" t="n">
        <v>466.105</v>
      </c>
      <c r="Y42" s="0" t="n">
        <v>62.568</v>
      </c>
      <c r="Z42" s="0" t="n">
        <v>596.941</v>
      </c>
      <c r="AA42" s="0" t="n">
        <f aca="false">H42*x_c_F+I42*x_c_CC+J42*x_c_DC+K42*x_c_HCC+L42*x_c_PLT+M42*x_c_SVRn+N42*x_c_SVRcc+O42*x_c_LT+P42*x_c_LT1</f>
        <v>282523255.704553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17285858.7453189</v>
      </c>
      <c r="AI42" s="0" t="n">
        <f aca="false">x_AGRI*x_EMP*x_WLOSS*(x_PEN_K74*Q42+x_PEN_C22*R42)</f>
        <v>892468.206471458</v>
      </c>
      <c r="AJ42" s="0" t="n">
        <f aca="false">x_EMP*x_WAGE*(x_WLOSS*(Q42+R42)+S42)+U42*x_ABS_D*x_WAGE/365</f>
        <v>273640670.377743</v>
      </c>
      <c r="AK42" s="0" t="n">
        <f aca="false">AJ42*x_R_FUS</f>
        <v>86579908.1075178</v>
      </c>
      <c r="AL42" s="0" t="n">
        <f aca="false">AJ42*x_R_NFZ</f>
        <v>21251208.1022059</v>
      </c>
      <c r="AM42" s="0" t="n">
        <f aca="false">AJ42*x_R_PIT</f>
        <v>18192773.900475</v>
      </c>
      <c r="AN42" s="0" t="n">
        <f aca="false">AJ42*x_R_FP</f>
        <v>6977837.09463244</v>
      </c>
      <c r="AO42" s="0" t="n">
        <f aca="false">AA42+AB42+AC42+AD42+AF42</f>
        <v>420356683.314577</v>
      </c>
      <c r="AP42" s="0" t="n">
        <f aca="false">AO42+AE42+AG42+AH42+AI42+AK42+AL42+AM42+AN42</f>
        <v>571536737.471199</v>
      </c>
      <c r="AQ42" s="0" t="n">
        <f aca="false">AO42+AE42+AG42+AJ42</f>
        <v>693997353.69232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2254.627</v>
      </c>
      <c r="I43" s="0" t="n">
        <v>224.265</v>
      </c>
      <c r="J43" s="0" t="n">
        <v>1156.669</v>
      </c>
      <c r="K43" s="0" t="n">
        <v>1590.993</v>
      </c>
      <c r="L43" s="0" t="n">
        <v>749.834</v>
      </c>
      <c r="M43" s="0" t="n">
        <v>128964.984</v>
      </c>
      <c r="N43" s="0" t="n">
        <v>9144.172</v>
      </c>
      <c r="O43" s="0" t="n">
        <v>61.716</v>
      </c>
      <c r="P43" s="0" t="n">
        <v>62.142</v>
      </c>
      <c r="Q43" s="0" t="n">
        <v>662.97</v>
      </c>
      <c r="R43" s="0" t="n">
        <v>810.829</v>
      </c>
      <c r="S43" s="0" t="n">
        <v>2331.067</v>
      </c>
      <c r="T43" s="0" t="n">
        <v>2478.892</v>
      </c>
      <c r="U43" s="0" t="n">
        <v>1839.378</v>
      </c>
      <c r="V43" s="0" t="n">
        <v>169624.421</v>
      </c>
      <c r="W43" s="0" t="n">
        <v>212.691</v>
      </c>
      <c r="X43" s="0" t="n">
        <v>461.777</v>
      </c>
      <c r="Y43" s="0" t="n">
        <v>61.716</v>
      </c>
      <c r="Z43" s="0" t="n">
        <v>589.068</v>
      </c>
      <c r="AA43" s="0" t="n">
        <f aca="false">H43*x_c_F+I43*x_c_CC+J43*x_c_DC+K43*x_c_HCC+L43*x_c_PLT+M43*x_c_SVRn+N43*x_c_SVRcc+O43*x_c_LT+P43*x_c_LT1</f>
        <v>280812732.258315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17192306.5572251</v>
      </c>
      <c r="AI43" s="0" t="n">
        <f aca="false">x_AGRI*x_EMP*x_WLOSS*(x_PEN_K74*Q43+x_PEN_C22*R43)</f>
        <v>886425.640044847</v>
      </c>
      <c r="AJ43" s="0" t="n">
        <f aca="false">x_EMP*x_WAGE*(x_WLOSS*(Q43+R43)+S43)+U43*x_ABS_D*x_WAGE/365</f>
        <v>272030651.382625</v>
      </c>
      <c r="AK43" s="0" t="n">
        <f aca="false">AJ43*x_R_FUS</f>
        <v>86070498.0974626</v>
      </c>
      <c r="AL43" s="0" t="n">
        <f aca="false">AJ43*x_R_NFZ</f>
        <v>21126172.417026</v>
      </c>
      <c r="AM43" s="0" t="n">
        <f aca="false">AJ43*x_R_PIT</f>
        <v>18085733.1177097</v>
      </c>
      <c r="AN43" s="0" t="n">
        <f aca="false">AJ43*x_R_FP</f>
        <v>6936781.61025694</v>
      </c>
      <c r="AO43" s="0" t="n">
        <f aca="false">AA43+AB43+AC43+AD43+AF43</f>
        <v>418646159.868339</v>
      </c>
      <c r="AP43" s="0" t="n">
        <f aca="false">AO43+AE43+AG43+AH43+AI43+AK43+AL43+AM43+AN43</f>
        <v>568944077.308064</v>
      </c>
      <c r="AQ43" s="0" t="n">
        <f aca="false">AO43+AE43+AG43+AJ43</f>
        <v>690676811.250964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2255.446</v>
      </c>
      <c r="I44" s="0" t="n">
        <v>223.108</v>
      </c>
      <c r="J44" s="0" t="n">
        <v>1142.274</v>
      </c>
      <c r="K44" s="0" t="n">
        <v>1575.185</v>
      </c>
      <c r="L44" s="0" t="n">
        <v>727.457</v>
      </c>
      <c r="M44" s="0" t="n">
        <v>130891.094</v>
      </c>
      <c r="N44" s="0" t="n">
        <v>9042.177</v>
      </c>
      <c r="O44" s="0" t="n">
        <v>61.002</v>
      </c>
      <c r="P44" s="0" t="n">
        <v>61.359</v>
      </c>
      <c r="Q44" s="0" t="n">
        <v>658.4</v>
      </c>
      <c r="R44" s="0" t="n">
        <v>805.267</v>
      </c>
      <c r="S44" s="0" t="n">
        <v>2317.039</v>
      </c>
      <c r="T44" s="0" t="n">
        <v>2478.554</v>
      </c>
      <c r="U44" s="0" t="n">
        <v>1838.12</v>
      </c>
      <c r="V44" s="0" t="n">
        <v>170850.207</v>
      </c>
      <c r="W44" s="0" t="n">
        <v>210.953</v>
      </c>
      <c r="X44" s="0" t="n">
        <v>458.124</v>
      </c>
      <c r="Y44" s="0" t="n">
        <v>61.002</v>
      </c>
      <c r="Z44" s="0" t="n">
        <v>582.387</v>
      </c>
      <c r="AA44" s="0" t="n">
        <f aca="false">H44*x_c_F+I44*x_c_CC+J44*x_c_DC+K44*x_c_HCC+L44*x_c_PLT+M44*x_c_SVRn+N44*x_c_SVRcc+O44*x_c_LT+P44*x_c_LT1</f>
        <v>279462181.693253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17097538.7634142</v>
      </c>
      <c r="AI44" s="0" t="n">
        <f aca="false">x_AGRI*x_EMP*x_WLOSS*(x_PEN_K74*Q44+x_PEN_C22*R44)</f>
        <v>880332.620183782</v>
      </c>
      <c r="AJ44" s="0" t="n">
        <f aca="false">x_EMP*x_WAGE*(x_WLOSS*(Q44+R44)+S44)+U44*x_ABS_D*x_WAGE/365</f>
        <v>270364265.231595</v>
      </c>
      <c r="AK44" s="0" t="n">
        <f aca="false">AJ44*x_R_FUS</f>
        <v>85543253.5192767</v>
      </c>
      <c r="AL44" s="0" t="n">
        <f aca="false">AJ44*x_R_NFZ</f>
        <v>20996759.2021509</v>
      </c>
      <c r="AM44" s="0" t="n">
        <f aca="false">AJ44*x_R_PIT</f>
        <v>17974944.8111516</v>
      </c>
      <c r="AN44" s="0" t="n">
        <f aca="false">AJ44*x_R_FP</f>
        <v>6894288.76340567</v>
      </c>
      <c r="AO44" s="0" t="n">
        <f aca="false">AA44+AB44+AC44+AD44+AF44</f>
        <v>417295609.303278</v>
      </c>
      <c r="AP44" s="0" t="n">
        <f aca="false">AO44+AE44+AG44+AH44+AI44+AK44+AL44+AM44+AN44</f>
        <v>566682726.982861</v>
      </c>
      <c r="AQ44" s="0" t="n">
        <f aca="false">AO44+AE44+AG44+AJ44</f>
        <v>687659874.534873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2256.028</v>
      </c>
      <c r="I45" s="0" t="n">
        <v>222.212</v>
      </c>
      <c r="J45" s="0" t="n">
        <v>1130.39</v>
      </c>
      <c r="K45" s="0" t="n">
        <v>1562.046</v>
      </c>
      <c r="L45" s="0" t="n">
        <v>707.439</v>
      </c>
      <c r="M45" s="0" t="n">
        <v>132820.7</v>
      </c>
      <c r="N45" s="0" t="n">
        <v>8954.291</v>
      </c>
      <c r="O45" s="0" t="n">
        <v>60.423</v>
      </c>
      <c r="P45" s="0" t="n">
        <v>60.713</v>
      </c>
      <c r="Q45" s="0" t="n">
        <v>653.738</v>
      </c>
      <c r="R45" s="0" t="n">
        <v>799.678</v>
      </c>
      <c r="S45" s="0" t="n">
        <v>2302.263</v>
      </c>
      <c r="T45" s="0" t="n">
        <v>2478.24</v>
      </c>
      <c r="U45" s="0" t="n">
        <v>1836.701</v>
      </c>
      <c r="V45" s="0" t="n">
        <v>172103.109</v>
      </c>
      <c r="W45" s="0" t="n">
        <v>209.529</v>
      </c>
      <c r="X45" s="0" t="n">
        <v>455.095</v>
      </c>
      <c r="Y45" s="0" t="n">
        <v>60.423</v>
      </c>
      <c r="Z45" s="0" t="n">
        <v>576.874</v>
      </c>
      <c r="AA45" s="0" t="n">
        <f aca="false">H45*x_c_F+I45*x_c_CC+J45*x_c_DC+K45*x_c_HCC+L45*x_c_PLT+M45*x_c_SVRn+N45*x_c_SVRcc+O45*x_c_LT+P45*x_c_LT1</f>
        <v>278494084.112877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17001401.571806</v>
      </c>
      <c r="AI45" s="0" t="n">
        <f aca="false">x_AGRI*x_EMP*x_WLOSS*(x_PEN_K74*Q45+x_PEN_C22*R45)</f>
        <v>874170.964024753</v>
      </c>
      <c r="AJ45" s="0" t="n">
        <f aca="false">x_EMP*x_WAGE*(x_WLOSS*(Q45+R45)+S45)+U45*x_ABS_D*x_WAGE/365</f>
        <v>268628150.450097</v>
      </c>
      <c r="AK45" s="0" t="n">
        <f aca="false">AJ45*x_R_FUS</f>
        <v>84993946.8024107</v>
      </c>
      <c r="AL45" s="0" t="n">
        <f aca="false">AJ45*x_R_NFZ</f>
        <v>20861930.792105</v>
      </c>
      <c r="AM45" s="0" t="n">
        <f aca="false">AJ45*x_R_PIT</f>
        <v>17859520.6542035</v>
      </c>
      <c r="AN45" s="0" t="n">
        <f aca="false">AJ45*x_R_FP</f>
        <v>6850017.83647747</v>
      </c>
      <c r="AO45" s="0" t="n">
        <f aca="false">AA45+AB45+AC45+AD45+AF45</f>
        <v>416327511.722901</v>
      </c>
      <c r="AP45" s="0" t="n">
        <f aca="false">AO45+AE45+AG45+AH45+AI45+AK45+AL45+AM45+AN45</f>
        <v>564768500.343928</v>
      </c>
      <c r="AQ45" s="0" t="n">
        <f aca="false">AO45+AE45+AG45+AJ45</f>
        <v>684955662.172998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2256.429</v>
      </c>
      <c r="I46" s="0" t="n">
        <v>221.518</v>
      </c>
      <c r="J46" s="0" t="n">
        <v>1120.847</v>
      </c>
      <c r="K46" s="0" t="n">
        <v>1551.372</v>
      </c>
      <c r="L46" s="0" t="n">
        <v>690.005</v>
      </c>
      <c r="M46" s="0" t="n">
        <v>134761.276</v>
      </c>
      <c r="N46" s="0" t="n">
        <v>8883.03</v>
      </c>
      <c r="O46" s="0" t="n">
        <v>59.965</v>
      </c>
      <c r="P46" s="0" t="n">
        <v>60.194</v>
      </c>
      <c r="Q46" s="0" t="n">
        <v>648.967</v>
      </c>
      <c r="R46" s="0" t="n">
        <v>794.055</v>
      </c>
      <c r="S46" s="0" t="n">
        <v>2286.588</v>
      </c>
      <c r="T46" s="0" t="n">
        <v>2477.946</v>
      </c>
      <c r="U46" s="0" t="n">
        <v>1835.19</v>
      </c>
      <c r="V46" s="0" t="n">
        <v>173388.1</v>
      </c>
      <c r="W46" s="0" t="n">
        <v>208.369</v>
      </c>
      <c r="X46" s="0" t="n">
        <v>452.603</v>
      </c>
      <c r="Y46" s="0" t="n">
        <v>59.965</v>
      </c>
      <c r="Z46" s="0" t="n">
        <v>572.437</v>
      </c>
      <c r="AA46" s="0" t="n">
        <f aca="false">H46*x_c_F+I46*x_c_CC+J46*x_c_DC+K46*x_c_HCC+L46*x_c_PLT+M46*x_c_SVRn+N46*x_c_SVRcc+O46*x_c_LT+P46*x_c_LT1</f>
        <v>277905732.134752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16903825.6172442</v>
      </c>
      <c r="AI46" s="0" t="n">
        <f aca="false">x_AGRI*x_EMP*x_WLOSS*(x_PEN_K74*Q46+x_PEN_C22*R46)</f>
        <v>867926.710263195</v>
      </c>
      <c r="AJ46" s="0" t="n">
        <f aca="false">x_EMP*x_WAGE*(x_WLOSS*(Q46+R46)+S46)+U46*x_ABS_D*x_WAGE/365</f>
        <v>266808529.996793</v>
      </c>
      <c r="AK46" s="0" t="n">
        <f aca="false">AJ46*x_R_FUS</f>
        <v>84418218.8909854</v>
      </c>
      <c r="AL46" s="0" t="n">
        <f aca="false">AJ46*x_R_NFZ</f>
        <v>20720617.248081</v>
      </c>
      <c r="AM46" s="0" t="n">
        <f aca="false">AJ46*x_R_PIT</f>
        <v>17738544.691654</v>
      </c>
      <c r="AN46" s="0" t="n">
        <f aca="false">AJ46*x_R_FP</f>
        <v>6803617.51491823</v>
      </c>
      <c r="AO46" s="0" t="n">
        <f aca="false">AA46+AB46+AC46+AD46+AF46</f>
        <v>415739159.744777</v>
      </c>
      <c r="AP46" s="0" t="n">
        <f aca="false">AO46+AE46+AG46+AH46+AI46+AK46+AL46+AM46+AN46</f>
        <v>563191910.417923</v>
      </c>
      <c r="AQ46" s="0" t="n">
        <f aca="false">AO46+AE46+AG46+AJ46</f>
        <v>682547689.74157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2256.709</v>
      </c>
      <c r="I47" s="0" t="n">
        <v>220.958</v>
      </c>
      <c r="J47" s="0" t="n">
        <v>1113.364</v>
      </c>
      <c r="K47" s="0" t="n">
        <v>1542.838</v>
      </c>
      <c r="L47" s="0" t="n">
        <v>675.226</v>
      </c>
      <c r="M47" s="0" t="n">
        <v>136715.511</v>
      </c>
      <c r="N47" s="0" t="n">
        <v>8829.463</v>
      </c>
      <c r="O47" s="0" t="n">
        <v>59.613</v>
      </c>
      <c r="P47" s="0" t="n">
        <v>59.789</v>
      </c>
      <c r="Q47" s="0" t="n">
        <v>644.265</v>
      </c>
      <c r="R47" s="0" t="n">
        <v>788.563</v>
      </c>
      <c r="S47" s="0" t="n">
        <v>2270.848</v>
      </c>
      <c r="T47" s="0" t="n">
        <v>2477.667</v>
      </c>
      <c r="U47" s="0" t="n">
        <v>1833.711</v>
      </c>
      <c r="V47" s="0" t="n">
        <v>174705.192</v>
      </c>
      <c r="W47" s="0" t="n">
        <v>207.414</v>
      </c>
      <c r="X47" s="0" t="n">
        <v>450.546</v>
      </c>
      <c r="Y47" s="0" t="n">
        <v>59.613</v>
      </c>
      <c r="Z47" s="0" t="n">
        <v>568.938</v>
      </c>
      <c r="AA47" s="0" t="n">
        <f aca="false">H47*x_c_F+I47*x_c_CC+J47*x_c_DC+K47*x_c_HCC+L47*x_c_PLT+M47*x_c_SVRn+N47*x_c_SVRcc+O47*x_c_LT+P47*x_c_LT1</f>
        <v>277672493.822764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16808159.5596108</v>
      </c>
      <c r="AI47" s="0" t="n">
        <f aca="false">x_AGRI*x_EMP*x_WLOSS*(x_PEN_K74*Q47+x_PEN_C22*R47)</f>
        <v>861804.348547823</v>
      </c>
      <c r="AJ47" s="0" t="n">
        <f aca="false">x_EMP*x_WAGE*(x_WLOSS*(Q47+R47)+S47)+U47*x_ABS_D*x_WAGE/365</f>
        <v>264992673.150573</v>
      </c>
      <c r="AK47" s="0" t="n">
        <f aca="false">AJ47*x_R_FUS</f>
        <v>83843681.7848412</v>
      </c>
      <c r="AL47" s="0" t="n">
        <f aca="false">AJ47*x_R_NFZ</f>
        <v>20579595.9895466</v>
      </c>
      <c r="AM47" s="0" t="n">
        <f aca="false">AJ47*x_R_PIT</f>
        <v>17617818.9494121</v>
      </c>
      <c r="AN47" s="0" t="n">
        <f aca="false">AJ47*x_R_FP</f>
        <v>6757313.1653396</v>
      </c>
      <c r="AO47" s="0" t="n">
        <f aca="false">AA47+AB47+AC47+AD47+AF47</f>
        <v>415505921.432788</v>
      </c>
      <c r="AP47" s="0" t="n">
        <f aca="false">AO47+AE47+AG47+AH47+AI47+AK47+AL47+AM47+AN47</f>
        <v>561974295.230086</v>
      </c>
      <c r="AQ47" s="0" t="n">
        <f aca="false">AO47+AE47+AG47+AJ47</f>
        <v>680498594.583361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2256.928</v>
      </c>
      <c r="I48" s="0" t="n">
        <v>220.468</v>
      </c>
      <c r="J48" s="0" t="n">
        <v>1107.583</v>
      </c>
      <c r="K48" s="0" t="n">
        <v>1536.039</v>
      </c>
      <c r="L48" s="0" t="n">
        <v>663.026</v>
      </c>
      <c r="M48" s="0" t="n">
        <v>138681.304</v>
      </c>
      <c r="N48" s="0" t="n">
        <v>8793.291</v>
      </c>
      <c r="O48" s="0" t="n">
        <v>59.345</v>
      </c>
      <c r="P48" s="0" t="n">
        <v>59.479</v>
      </c>
      <c r="Q48" s="0" t="n">
        <v>639.818</v>
      </c>
      <c r="R48" s="0" t="n">
        <v>783.369</v>
      </c>
      <c r="S48" s="0" t="n">
        <v>2255.949</v>
      </c>
      <c r="T48" s="0" t="n">
        <v>2477.397</v>
      </c>
      <c r="U48" s="0" t="n">
        <v>1832.378</v>
      </c>
      <c r="V48" s="0" t="n">
        <v>176049.803</v>
      </c>
      <c r="W48" s="0" t="n">
        <v>206.6</v>
      </c>
      <c r="X48" s="0" t="n">
        <v>448.806</v>
      </c>
      <c r="Y48" s="0" t="n">
        <v>59.345</v>
      </c>
      <c r="Z48" s="0" t="n">
        <v>566.201</v>
      </c>
      <c r="AA48" s="0" t="n">
        <f aca="false">H48*x_c_F+I48*x_c_CC+J48*x_c_DC+K48*x_c_HCC+L48*x_c_PLT+M48*x_c_SVRn+N48*x_c_SVRcc+O48*x_c_LT+P48*x_c_LT1</f>
        <v>277749299.753587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16717818.449934</v>
      </c>
      <c r="AI48" s="0" t="n">
        <f aca="false">x_AGRI*x_EMP*x_WLOSS*(x_PEN_K74*Q48+x_PEN_C22*R48)</f>
        <v>856014.115753344</v>
      </c>
      <c r="AJ48" s="0" t="n">
        <f aca="false">x_EMP*x_WAGE*(x_WLOSS*(Q48+R48)+S48)+U48*x_ABS_D*x_WAGE/365</f>
        <v>263274419.149197</v>
      </c>
      <c r="AK48" s="0" t="n">
        <f aca="false">AJ48*x_R_FUS</f>
        <v>83300026.218806</v>
      </c>
      <c r="AL48" s="0" t="n">
        <f aca="false">AJ48*x_R_NFZ</f>
        <v>20446154.6655458</v>
      </c>
      <c r="AM48" s="0" t="n">
        <f aca="false">AJ48*x_R_PIT</f>
        <v>17503582.2516747</v>
      </c>
      <c r="AN48" s="0" t="n">
        <f aca="false">AJ48*x_R_FP</f>
        <v>6713497.68830453</v>
      </c>
      <c r="AO48" s="0" t="n">
        <f aca="false">AA48+AB48+AC48+AD48+AF48</f>
        <v>415582727.363612</v>
      </c>
      <c r="AP48" s="0" t="n">
        <f aca="false">AO48+AE48+AG48+AH48+AI48+AK48+AL48+AM48+AN48</f>
        <v>561119820.75363</v>
      </c>
      <c r="AQ48" s="0" t="n">
        <f aca="false">AO48+AE48+AG48+AJ48</f>
        <v>678857146.512809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2257.136</v>
      </c>
      <c r="I49" s="0" t="n">
        <v>219.995</v>
      </c>
      <c r="J49" s="0" t="n">
        <v>1103.111</v>
      </c>
      <c r="K49" s="0" t="n">
        <v>1530.543</v>
      </c>
      <c r="L49" s="0" t="n">
        <v>653.22</v>
      </c>
      <c r="M49" s="0" t="n">
        <v>140652.862</v>
      </c>
      <c r="N49" s="0" t="n">
        <v>8773.184</v>
      </c>
      <c r="O49" s="0" t="n">
        <v>59.14</v>
      </c>
      <c r="P49" s="0" t="n">
        <v>59.242</v>
      </c>
      <c r="Q49" s="0" t="n">
        <v>635.616</v>
      </c>
      <c r="R49" s="0" t="n">
        <v>778.462</v>
      </c>
      <c r="S49" s="0" t="n">
        <v>2241.874</v>
      </c>
      <c r="T49" s="0" t="n">
        <v>2477.131</v>
      </c>
      <c r="U49" s="0" t="n">
        <v>1831.236</v>
      </c>
      <c r="V49" s="0" t="n">
        <v>177414.08</v>
      </c>
      <c r="W49" s="0" t="n">
        <v>205.873</v>
      </c>
      <c r="X49" s="0" t="n">
        <v>447.278</v>
      </c>
      <c r="Y49" s="0" t="n">
        <v>59.14</v>
      </c>
      <c r="Z49" s="0" t="n">
        <v>564.05</v>
      </c>
      <c r="AA49" s="0" t="n">
        <f aca="false">H49*x_c_F+I49*x_c_CC+J49*x_c_DC+K49*x_c_HCC+L49*x_c_PLT+M49*x_c_SVRn+N49*x_c_SVRcc+O49*x_c_LT+P49*x_c_LT1</f>
        <v>278080431.137934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16632704.353655</v>
      </c>
      <c r="AI49" s="0" t="n">
        <f aca="false">x_AGRI*x_EMP*x_WLOSS*(x_PEN_K74*Q49+x_PEN_C22*R49)</f>
        <v>850543.423549357</v>
      </c>
      <c r="AJ49" s="0" t="n">
        <f aca="false">x_EMP*x_WAGE*(x_WLOSS*(Q49+R49)+S49)+U49*x_ABS_D*x_WAGE/365</f>
        <v>261651483.53354</v>
      </c>
      <c r="AK49" s="0" t="n">
        <f aca="false">AJ49*x_R_FUS</f>
        <v>82786529.3900121</v>
      </c>
      <c r="AL49" s="0" t="n">
        <f aca="false">AJ49*x_R_NFZ</f>
        <v>20320115.8626983</v>
      </c>
      <c r="AM49" s="0" t="n">
        <f aca="false">AJ49*x_R_PIT</f>
        <v>17395682.718064</v>
      </c>
      <c r="AN49" s="0" t="n">
        <f aca="false">AJ49*x_R_FP</f>
        <v>6672112.83010527</v>
      </c>
      <c r="AO49" s="0" t="n">
        <f aca="false">AA49+AB49+AC49+AD49+AF49</f>
        <v>415913858.747958</v>
      </c>
      <c r="AP49" s="0" t="n">
        <f aca="false">AO49+AE49+AG49+AH49+AI49+AK49+AL49+AM49+AN49</f>
        <v>560571547.326043</v>
      </c>
      <c r="AQ49" s="0" t="n">
        <f aca="false">AO49+AE49+AG49+AJ49</f>
        <v>677565342.281499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2257.373</v>
      </c>
      <c r="I50" s="0" t="n">
        <v>219.493</v>
      </c>
      <c r="J50" s="0" t="n">
        <v>1099.542</v>
      </c>
      <c r="K50" s="0" t="n">
        <v>1525.907</v>
      </c>
      <c r="L50" s="0" t="n">
        <v>645.513</v>
      </c>
      <c r="M50" s="0" t="n">
        <v>142620.106</v>
      </c>
      <c r="N50" s="0" t="n">
        <v>8766.741</v>
      </c>
      <c r="O50" s="0" t="n">
        <v>58.975</v>
      </c>
      <c r="P50" s="0" t="n">
        <v>59.057</v>
      </c>
      <c r="Q50" s="0" t="n">
        <v>631.652</v>
      </c>
      <c r="R50" s="0" t="n">
        <v>773.83</v>
      </c>
      <c r="S50" s="0" t="n">
        <v>2228.6</v>
      </c>
      <c r="T50" s="0" t="n">
        <v>2476.866</v>
      </c>
      <c r="U50" s="0" t="n">
        <v>1830.32</v>
      </c>
      <c r="V50" s="0" t="n">
        <v>178786.508</v>
      </c>
      <c r="W50" s="0" t="n">
        <v>205.177</v>
      </c>
      <c r="X50" s="0" t="n">
        <v>445.852</v>
      </c>
      <c r="Y50" s="0" t="n">
        <v>58.975</v>
      </c>
      <c r="Z50" s="0" t="n">
        <v>562.282</v>
      </c>
      <c r="AA50" s="0" t="n">
        <f aca="false">H50*x_c_F+I50*x_c_CC+J50*x_c_DC+K50*x_c_HCC+L50*x_c_PLT+M50*x_c_SVRn+N50*x_c_SVRcc+O50*x_c_LT+P50*x_c_LT1</f>
        <v>278599558.180227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16552714.5503202</v>
      </c>
      <c r="AI50" s="0" t="n">
        <f aca="false">x_AGRI*x_EMP*x_WLOSS*(x_PEN_K74*Q50+x_PEN_C22*R50)</f>
        <v>845380.726165642</v>
      </c>
      <c r="AJ50" s="0" t="n">
        <f aca="false">x_EMP*x_WAGE*(x_WLOSS*(Q50+R50)+S50)+U50*x_ABS_D*x_WAGE/365</f>
        <v>260121133.023349</v>
      </c>
      <c r="AK50" s="0" t="n">
        <f aca="false">AJ50*x_R_FUS</f>
        <v>82302326.4885875</v>
      </c>
      <c r="AL50" s="0" t="n">
        <f aca="false">AJ50*x_R_NFZ</f>
        <v>20201267.3117263</v>
      </c>
      <c r="AM50" s="0" t="n">
        <f aca="false">AJ50*x_R_PIT</f>
        <v>17293938.6287005</v>
      </c>
      <c r="AN50" s="0" t="n">
        <f aca="false">AJ50*x_R_FP</f>
        <v>6633088.89209539</v>
      </c>
      <c r="AO50" s="0" t="n">
        <f aca="false">AA50+AB50+AC50+AD50+AF50</f>
        <v>416432985.790251</v>
      </c>
      <c r="AP50" s="0" t="n">
        <f aca="false">AO50+AE50+AG50+AH50+AI50+AK50+AL50+AM50+AN50</f>
        <v>560261702.387847</v>
      </c>
      <c r="AQ50" s="0" t="n">
        <f aca="false">AO50+AE50+AG50+AJ50</f>
        <v>676554118.8136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2257.668</v>
      </c>
      <c r="I51" s="0" t="n">
        <v>218.93</v>
      </c>
      <c r="J51" s="0" t="n">
        <v>1096.483</v>
      </c>
      <c r="K51" s="0" t="n">
        <v>1521.707</v>
      </c>
      <c r="L51" s="0" t="n">
        <v>639.524</v>
      </c>
      <c r="M51" s="0" t="n">
        <v>144569.185</v>
      </c>
      <c r="N51" s="0" t="n">
        <v>8770.714</v>
      </c>
      <c r="O51" s="0" t="n">
        <v>58.83</v>
      </c>
      <c r="P51" s="0" t="n">
        <v>58.902</v>
      </c>
      <c r="Q51" s="0" t="n">
        <v>627.914</v>
      </c>
      <c r="R51" s="0" t="n">
        <v>769.458</v>
      </c>
      <c r="S51" s="0" t="n">
        <v>2216.098</v>
      </c>
      <c r="T51" s="0" t="n">
        <v>2476.599</v>
      </c>
      <c r="U51" s="0" t="n">
        <v>1829.647</v>
      </c>
      <c r="V51" s="0" t="n">
        <v>180152.542</v>
      </c>
      <c r="W51" s="0" t="n">
        <v>204.472</v>
      </c>
      <c r="X51" s="0" t="n">
        <v>444.441</v>
      </c>
      <c r="Y51" s="0" t="n">
        <v>58.83</v>
      </c>
      <c r="Z51" s="0" t="n">
        <v>560.72</v>
      </c>
      <c r="AA51" s="0" t="n">
        <f aca="false">H51*x_c_F+I51*x_c_CC+J51*x_c_DC+K51*x_c_HCC+L51*x_c_PLT+M51*x_c_SVRn+N51*x_c_SVRcc+O51*x_c_LT+P51*x_c_LT1</f>
        <v>279235441.225215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16477638.1365557</v>
      </c>
      <c r="AI51" s="0" t="n">
        <f aca="false">x_AGRI*x_EMP*x_WLOSS*(x_PEN_K74*Q51+x_PEN_C22*R51)</f>
        <v>840509.773166163</v>
      </c>
      <c r="AJ51" s="0" t="n">
        <f aca="false">x_EMP*x_WAGE*(x_WLOSS*(Q51+R51)+S51)+U51*x_ABS_D*x_WAGE/365</f>
        <v>258679701.441183</v>
      </c>
      <c r="AK51" s="0" t="n">
        <f aca="false">AJ51*x_R_FUS</f>
        <v>81846257.5359905</v>
      </c>
      <c r="AL51" s="0" t="n">
        <f aca="false">AJ51*x_R_NFZ</f>
        <v>20089324.2936238</v>
      </c>
      <c r="AM51" s="0" t="n">
        <f aca="false">AJ51*x_R_PIT</f>
        <v>17198106.2408061</v>
      </c>
      <c r="AN51" s="0" t="n">
        <f aca="false">AJ51*x_R_FP</f>
        <v>6596332.38675018</v>
      </c>
      <c r="AO51" s="0" t="n">
        <f aca="false">AA51+AB51+AC51+AD51+AF51</f>
        <v>417068868.83524</v>
      </c>
      <c r="AP51" s="0" t="n">
        <f aca="false">AO51+AE51+AG51+AH51+AI51+AK51+AL51+AM51+AN51</f>
        <v>560117037.202132</v>
      </c>
      <c r="AQ51" s="0" t="n">
        <f aca="false">AO51+AE51+AG51+AJ51</f>
        <v>675748570.276423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2258.038</v>
      </c>
      <c r="I52" s="0" t="n">
        <v>218.288</v>
      </c>
      <c r="J52" s="0" t="n">
        <v>1093.579</v>
      </c>
      <c r="K52" s="0" t="n">
        <v>1517.566</v>
      </c>
      <c r="L52" s="0" t="n">
        <v>634.827</v>
      </c>
      <c r="M52" s="0" t="n">
        <v>146483.52</v>
      </c>
      <c r="N52" s="0" t="n">
        <v>8781.337</v>
      </c>
      <c r="O52" s="0" t="n">
        <v>58.685</v>
      </c>
      <c r="P52" s="0" t="n">
        <v>58.757</v>
      </c>
      <c r="Q52" s="0" t="n">
        <v>624.39</v>
      </c>
      <c r="R52" s="0" t="n">
        <v>765.332</v>
      </c>
      <c r="S52" s="0" t="n">
        <v>2204.334</v>
      </c>
      <c r="T52" s="0" t="n">
        <v>2476.327</v>
      </c>
      <c r="U52" s="0" t="n">
        <v>1829.222</v>
      </c>
      <c r="V52" s="0" t="n">
        <v>181495.679</v>
      </c>
      <c r="W52" s="0" t="n">
        <v>203.72</v>
      </c>
      <c r="X52" s="0" t="n">
        <v>442.966</v>
      </c>
      <c r="Y52" s="0" t="n">
        <v>58.685</v>
      </c>
      <c r="Z52" s="0" t="n">
        <v>559.19</v>
      </c>
      <c r="AA52" s="0" t="n">
        <f aca="false">H52*x_c_F+I52*x_c_CC+J52*x_c_DC+K52*x_c_HCC+L52*x_c_PLT+M52*x_c_SVRn+N52*x_c_SVRcc+O52*x_c_LT+P52*x_c_LT1</f>
        <v>279916097.891031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16407249.1574362</v>
      </c>
      <c r="AI52" s="0" t="n">
        <f aca="false">x_AGRI*x_EMP*x_WLOSS*(x_PEN_K74*Q52+x_PEN_C22*R52)</f>
        <v>835914.949914636</v>
      </c>
      <c r="AJ52" s="0" t="n">
        <f aca="false">x_EMP*x_WAGE*(x_WLOSS*(Q52+R52)+S52)+U52*x_ABS_D*x_WAGE/365</f>
        <v>257323107.116531</v>
      </c>
      <c r="AK52" s="0" t="n">
        <f aca="false">AJ52*x_R_FUS</f>
        <v>81417031.0916705</v>
      </c>
      <c r="AL52" s="0" t="n">
        <f aca="false">AJ52*x_R_NFZ</f>
        <v>19983969.8217769</v>
      </c>
      <c r="AM52" s="0" t="n">
        <f aca="false">AJ52*x_R_PIT</f>
        <v>17107914.1878887</v>
      </c>
      <c r="AN52" s="0" t="n">
        <f aca="false">AJ52*x_R_FP</f>
        <v>6561739.23147155</v>
      </c>
      <c r="AO52" s="0" t="n">
        <f aca="false">AA52+AB52+AC52+AD52+AF52</f>
        <v>417749525.501055</v>
      </c>
      <c r="AP52" s="0" t="n">
        <f aca="false">AO52+AE52+AG52+AH52+AI52+AK52+AL52+AM52+AN52</f>
        <v>560063343.941214</v>
      </c>
      <c r="AQ52" s="0" t="n">
        <f aca="false">AO52+AE52+AG52+AJ52</f>
        <v>675072632.617587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608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4951.32</v>
      </c>
      <c r="D3" s="0" t="n">
        <v>16666666.667</v>
      </c>
      <c r="E3" s="0" t="n">
        <v>0</v>
      </c>
      <c r="F3" s="0" t="n">
        <v>0</v>
      </c>
      <c r="G3" s="0" t="n">
        <v>1</v>
      </c>
      <c r="H3" s="0" t="n">
        <v>2401.897</v>
      </c>
      <c r="I3" s="0" t="n">
        <v>216.643</v>
      </c>
      <c r="J3" s="0" t="n">
        <v>1576.61</v>
      </c>
      <c r="K3" s="0" t="n">
        <v>2043.757</v>
      </c>
      <c r="L3" s="0" t="n">
        <v>1540.438</v>
      </c>
      <c r="M3" s="0" t="n">
        <v>6639.138</v>
      </c>
      <c r="N3" s="0" t="n">
        <v>589.364</v>
      </c>
      <c r="O3" s="0" t="n">
        <v>84.604</v>
      </c>
      <c r="P3" s="0" t="n">
        <v>42.302</v>
      </c>
      <c r="Q3" s="0" t="n">
        <v>2131.358</v>
      </c>
      <c r="R3" s="0" t="n">
        <v>1378.762</v>
      </c>
      <c r="S3" s="0" t="n">
        <v>268.453</v>
      </c>
      <c r="T3" s="0" t="n">
        <v>2618.54</v>
      </c>
      <c r="U3" s="0" t="n">
        <v>1450.106</v>
      </c>
      <c r="V3" s="0" t="n">
        <v>113561.629</v>
      </c>
      <c r="W3" s="0" t="n">
        <v>260.255</v>
      </c>
      <c r="X3" s="0" t="n">
        <v>575.968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250938642.750129</v>
      </c>
      <c r="AB3" s="0" t="n">
        <f aca="false">C3*x_c_DAA</f>
        <v>112692043.2</v>
      </c>
      <c r="AC3" s="0" t="n">
        <f aca="false">C3*x_c_MON</f>
        <v>28545002.9080434</v>
      </c>
      <c r="AD3" s="0" t="n">
        <f aca="false">D3*(1-x_testy)</f>
        <v>16666666.667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1223620.54528</v>
      </c>
      <c r="AH3" s="0" t="n">
        <f aca="false">x_z_F*U3+(1-x_AGRI)*x_EMP*x_WLOSS*(x_PEN_K74*Q3+x_PEN_C22*R3)</f>
        <v>34283393.8049338</v>
      </c>
      <c r="AI3" s="0" t="n">
        <f aca="false">x_AGRI*x_EMP*x_WLOSS*(x_PEN_K74*Q3+x_PEN_C22*R3)</f>
        <v>2069011.83002371</v>
      </c>
      <c r="AJ3" s="0" t="n">
        <f aca="false">x_EMP*x_WAGE*(x_WLOSS*(Q3+R3)+S3)+U3*x_ABS_D*x_WAGE/365</f>
        <v>188816033.649303</v>
      </c>
      <c r="AK3" s="0" t="n">
        <f aca="false">AJ3*x_R_FUS</f>
        <v>59741393.0466396</v>
      </c>
      <c r="AL3" s="0" t="n">
        <f aca="false">AJ3*x_R_NFZ</f>
        <v>14663641.9892385</v>
      </c>
      <c r="AM3" s="0" t="n">
        <f aca="false">AJ3*x_R_PIT</f>
        <v>12553278.0058766</v>
      </c>
      <c r="AN3" s="0" t="n">
        <f aca="false">AJ3*x_R_FP</f>
        <v>4814808.85805723</v>
      </c>
      <c r="AO3" s="0" t="n">
        <f aca="false">AA3+AB3+AC3+AD3+AF3</f>
        <v>408842355.525172</v>
      </c>
      <c r="AP3" s="0" t="n">
        <f aca="false">AO3+AE3+AG3+AH3+AI3+AK3+AL3+AM3+AN3</f>
        <v>538191503.605221</v>
      </c>
      <c r="AQ3" s="0" t="n">
        <f aca="false">AO3+AE3+AG3+AJ3</f>
        <v>598882009.719755</v>
      </c>
      <c r="AR3" s="0" t="n">
        <f aca="false">AB3+AC3+AD3+AF3</f>
        <v>157903712.775043</v>
      </c>
      <c r="AS3" s="0" t="n">
        <f aca="false">AR3+AE3+AG3</f>
        <v>159127333.320323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5065.703</v>
      </c>
      <c r="D4" s="0" t="n">
        <v>33333333.333</v>
      </c>
      <c r="E4" s="0" t="n">
        <v>0</v>
      </c>
      <c r="F4" s="0" t="n">
        <v>0</v>
      </c>
      <c r="G4" s="0" t="n">
        <v>1</v>
      </c>
      <c r="H4" s="0" t="n">
        <v>2437.535</v>
      </c>
      <c r="I4" s="0" t="n">
        <v>235.748</v>
      </c>
      <c r="J4" s="0" t="n">
        <v>1557.908</v>
      </c>
      <c r="K4" s="0" t="n">
        <v>2043.762</v>
      </c>
      <c r="L4" s="0" t="n">
        <v>1487.589</v>
      </c>
      <c r="M4" s="0" t="n">
        <v>11087.838</v>
      </c>
      <c r="N4" s="0" t="n">
        <v>1011.799</v>
      </c>
      <c r="O4" s="0" t="n">
        <v>83.284</v>
      </c>
      <c r="P4" s="0" t="n">
        <v>83.944</v>
      </c>
      <c r="Q4" s="0" t="n">
        <v>2129.516</v>
      </c>
      <c r="R4" s="0" t="n">
        <v>1391.747</v>
      </c>
      <c r="S4" s="0" t="n">
        <v>807.88</v>
      </c>
      <c r="T4" s="0" t="n">
        <v>2673.283</v>
      </c>
      <c r="U4" s="0" t="n">
        <v>1524.835</v>
      </c>
      <c r="V4" s="0" t="n">
        <v>114755.739</v>
      </c>
      <c r="W4" s="0" t="n">
        <v>272.504</v>
      </c>
      <c r="X4" s="0" t="n">
        <v>605.241</v>
      </c>
      <c r="Y4" s="0" t="n">
        <v>83.284</v>
      </c>
      <c r="Z4" s="0" t="n">
        <v>795.8</v>
      </c>
      <c r="AA4" s="0" t="n">
        <f aca="false">H4*x_c_F+I4*x_c_CC+J4*x_c_DC+K4*x_c_HCC+L4*x_c_PLT+M4*x_c_SVRn+N4*x_c_SVRcc+O4*x_c_LT+P4*x_c_LT1</f>
        <v>254539171.507269</v>
      </c>
      <c r="AB4" s="0" t="n">
        <f aca="false">C4*x_c_DAA</f>
        <v>115295400.28</v>
      </c>
      <c r="AC4" s="0" t="n">
        <f aca="false">C4*x_c_MON</f>
        <v>29204435.7598144</v>
      </c>
      <c r="AD4" s="0" t="n">
        <f aca="false">D4*(1-x_testy)</f>
        <v>33333333.333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1223620.54528</v>
      </c>
      <c r="AH4" s="0" t="n">
        <f aca="false">x_z_F*U4+(1-x_AGRI)*x_EMP*x_WLOSS*(x_PEN_K74*Q4+x_PEN_C22*R4)</f>
        <v>34546340.3292858</v>
      </c>
      <c r="AI4" s="0" t="n">
        <f aca="false">x_AGRI*x_EMP*x_WLOSS*(x_PEN_K74*Q4+x_PEN_C22*R4)</f>
        <v>2076237.17682526</v>
      </c>
      <c r="AJ4" s="0" t="n">
        <f aca="false">x_EMP*x_WAGE*(x_WLOSS*(Q4+R4)+S4)+U4*x_ABS_D*x_WAGE/365</f>
        <v>235540571.520942</v>
      </c>
      <c r="AK4" s="0" t="n">
        <f aca="false">AJ4*x_R_FUS</f>
        <v>74525036.8292261</v>
      </c>
      <c r="AL4" s="0" t="n">
        <f aca="false">AJ4*x_R_NFZ</f>
        <v>18292316.3248879</v>
      </c>
      <c r="AM4" s="0" t="n">
        <f aca="false">AJ4*x_R_PIT</f>
        <v>15659720.3045651</v>
      </c>
      <c r="AN4" s="0" t="n">
        <f aca="false">AJ4*x_R_FP</f>
        <v>6006284.57378402</v>
      </c>
      <c r="AO4" s="0" t="n">
        <f aca="false">AA4+AB4+AC4+AD4+AF4</f>
        <v>432372340.880084</v>
      </c>
      <c r="AP4" s="0" t="n">
        <f aca="false">AO4+AE4+AG4+AH4+AI4+AK4+AL4+AM4+AN4</f>
        <v>584701896.963938</v>
      </c>
      <c r="AQ4" s="0" t="n">
        <f aca="false">AO4+AE4+AG4+AJ4</f>
        <v>669136532.946306</v>
      </c>
      <c r="AR4" s="0" t="n">
        <f aca="false">AB4+AC4+AD4+AF4</f>
        <v>177833169.372814</v>
      </c>
      <c r="AS4" s="0" t="n">
        <f aca="false">AR4+AE4+AG4</f>
        <v>179056789.918094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5175.288</v>
      </c>
      <c r="D5" s="0" t="n">
        <v>50000000</v>
      </c>
      <c r="E5" s="0" t="n">
        <v>0</v>
      </c>
      <c r="F5" s="0" t="n">
        <v>0</v>
      </c>
      <c r="G5" s="0" t="n">
        <v>1</v>
      </c>
      <c r="H5" s="0" t="n">
        <v>2443.508</v>
      </c>
      <c r="I5" s="0" t="n">
        <v>253.669</v>
      </c>
      <c r="J5" s="0" t="n">
        <v>1554.582</v>
      </c>
      <c r="K5" s="0" t="n">
        <v>2071.79</v>
      </c>
      <c r="L5" s="0" t="n">
        <v>1470.396</v>
      </c>
      <c r="M5" s="0" t="n">
        <v>15494.932</v>
      </c>
      <c r="N5" s="0" t="n">
        <v>1456.283</v>
      </c>
      <c r="O5" s="0" t="n">
        <v>82.938</v>
      </c>
      <c r="P5" s="0" t="n">
        <v>83.111</v>
      </c>
      <c r="Q5" s="0" t="n">
        <v>2135.556</v>
      </c>
      <c r="R5" s="0" t="n">
        <v>1427.037</v>
      </c>
      <c r="S5" s="0" t="n">
        <v>1352.277</v>
      </c>
      <c r="T5" s="0" t="n">
        <v>2697.176</v>
      </c>
      <c r="U5" s="0" t="n">
        <v>1581.396</v>
      </c>
      <c r="V5" s="0" t="n">
        <v>116027.692</v>
      </c>
      <c r="W5" s="0" t="n">
        <v>286.091</v>
      </c>
      <c r="X5" s="0" t="n">
        <v>634.084</v>
      </c>
      <c r="Y5" s="0" t="n">
        <v>82.938</v>
      </c>
      <c r="Z5" s="0" t="n">
        <v>797.547</v>
      </c>
      <c r="AA5" s="0" t="n">
        <f aca="false">H5*x_c_F+I5*x_c_CC+J5*x_c_DC+K5*x_c_HCC+L5*x_c_PLT+M5*x_c_SVRn+N5*x_c_SVRcc+O5*x_c_LT+P5*x_c_LT1</f>
        <v>259568249.987652</v>
      </c>
      <c r="AB5" s="0" t="n">
        <f aca="false">C5*x_c_DAA</f>
        <v>117789554.88</v>
      </c>
      <c r="AC5" s="0" t="n">
        <f aca="false">C5*x_c_MON</f>
        <v>29836207.5183915</v>
      </c>
      <c r="AD5" s="0" t="n">
        <f aca="false">D5*(1-x_testy)</f>
        <v>50000000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1223620.54528</v>
      </c>
      <c r="AH5" s="0" t="n">
        <f aca="false">x_z_F*U5+(1-x_AGRI)*x_EMP*x_WLOSS*(x_PEN_K74*Q5+x_PEN_C22*R5)</f>
        <v>35053201.3084728</v>
      </c>
      <c r="AI5" s="0" t="n">
        <f aca="false">x_AGRI*x_EMP*x_WLOSS*(x_PEN_K74*Q5+x_PEN_C22*R5)</f>
        <v>2102053.64812866</v>
      </c>
      <c r="AJ5" s="0" t="n">
        <f aca="false">x_EMP*x_WAGE*(x_WLOSS*(Q5+R5)+S5)+U5*x_ABS_D*x_WAGE/365</f>
        <v>284025832.349477</v>
      </c>
      <c r="AK5" s="0" t="n">
        <f aca="false">AJ5*x_R_FUS</f>
        <v>89865773.3553745</v>
      </c>
      <c r="AL5" s="0" t="n">
        <f aca="false">AJ5*x_R_NFZ</f>
        <v>22057730.1660927</v>
      </c>
      <c r="AM5" s="0" t="n">
        <f aca="false">AJ5*x_R_PIT</f>
        <v>18883222.814413</v>
      </c>
      <c r="AN5" s="0" t="n">
        <f aca="false">AJ5*x_R_FP</f>
        <v>7242658.72491167</v>
      </c>
      <c r="AO5" s="0" t="n">
        <f aca="false">AA5+AB5+AC5+AD5+AF5</f>
        <v>457194012.386044</v>
      </c>
      <c r="AP5" s="0" t="n">
        <f aca="false">AO5+AE5+AG5+AH5+AI5+AK5+AL5+AM5+AN5</f>
        <v>633622272.948717</v>
      </c>
      <c r="AQ5" s="0" t="n">
        <f aca="false">AO5+AE5+AG5+AJ5</f>
        <v>742443465.280801</v>
      </c>
      <c r="AR5" s="0" t="n">
        <f aca="false">AB5+AC5+AD5+AF5</f>
        <v>197625762.398392</v>
      </c>
      <c r="AS5" s="0" t="n">
        <f aca="false">AR5+AE5+AG5</f>
        <v>198849382.943672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5168.114</v>
      </c>
      <c r="D6" s="0" t="n">
        <v>50000000</v>
      </c>
      <c r="E6" s="0" t="n">
        <v>0</v>
      </c>
      <c r="F6" s="0" t="n">
        <v>0</v>
      </c>
      <c r="G6" s="0" t="n">
        <v>1</v>
      </c>
      <c r="H6" s="0" t="n">
        <v>2422.212</v>
      </c>
      <c r="I6" s="0" t="n">
        <v>269.447</v>
      </c>
      <c r="J6" s="0" t="n">
        <v>1564.75</v>
      </c>
      <c r="K6" s="0" t="n">
        <v>2118.849</v>
      </c>
      <c r="L6" s="0" t="n">
        <v>1452.381</v>
      </c>
      <c r="M6" s="0" t="n">
        <v>19805.243</v>
      </c>
      <c r="N6" s="0" t="n">
        <v>1917.566</v>
      </c>
      <c r="O6" s="0" t="n">
        <v>83.407</v>
      </c>
      <c r="P6" s="0" t="n">
        <v>83.172</v>
      </c>
      <c r="Q6" s="0" t="n">
        <v>2152.883</v>
      </c>
      <c r="R6" s="0" t="n">
        <v>1478.203</v>
      </c>
      <c r="S6" s="0" t="n">
        <v>1904.57</v>
      </c>
      <c r="T6" s="0" t="n">
        <v>2691.66</v>
      </c>
      <c r="U6" s="0" t="n">
        <v>1619.635</v>
      </c>
      <c r="V6" s="0" t="n">
        <v>117351.912</v>
      </c>
      <c r="W6" s="0" t="n">
        <v>300.111</v>
      </c>
      <c r="X6" s="0" t="n">
        <v>661.547</v>
      </c>
      <c r="Y6" s="0" t="n">
        <v>83.407</v>
      </c>
      <c r="Z6" s="0" t="n">
        <v>807.151</v>
      </c>
      <c r="AA6" s="0" t="n">
        <f aca="false">H6*x_c_F+I6*x_c_CC+J6*x_c_DC+K6*x_c_HCC+L6*x_c_PLT+M6*x_c_SVRn+N6*x_c_SVRcc+O6*x_c_LT+P6*x_c_LT1</f>
        <v>266227910.925925</v>
      </c>
      <c r="AB6" s="0" t="n">
        <f aca="false">C6*x_c_DAA</f>
        <v>117626274.64</v>
      </c>
      <c r="AC6" s="0" t="n">
        <f aca="false">C6*x_c_MON</f>
        <v>29794848.4765881</v>
      </c>
      <c r="AD6" s="0" t="n">
        <f aca="false">D6*(1-x_testy)</f>
        <v>50000000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1223620.54528</v>
      </c>
      <c r="AH6" s="0" t="n">
        <f aca="false">x_z_F*U6+(1-x_AGRI)*x_EMP*x_WLOSS*(x_PEN_K74*Q6+x_PEN_C22*R6)</f>
        <v>35770639.2371214</v>
      </c>
      <c r="AI6" s="0" t="n">
        <f aca="false">x_AGRI*x_EMP*x_WLOSS*(x_PEN_K74*Q6+x_PEN_C22*R6)</f>
        <v>2144278.62584215</v>
      </c>
      <c r="AJ6" s="0" t="n">
        <f aca="false">x_EMP*x_WAGE*(x_WLOSS*(Q6+R6)+S6)+U6*x_ABS_D*x_WAGE/365</f>
        <v>334381557.440402</v>
      </c>
      <c r="AK6" s="0" t="n">
        <f aca="false">AJ6*x_R_FUS</f>
        <v>105798324.774143</v>
      </c>
      <c r="AL6" s="0" t="n">
        <f aca="false">AJ6*x_R_NFZ</f>
        <v>25968406.132379</v>
      </c>
      <c r="AM6" s="0" t="n">
        <f aca="false">AJ6*x_R_PIT</f>
        <v>22231081.5954525</v>
      </c>
      <c r="AN6" s="0" t="n">
        <f aca="false">AJ6*x_R_FP</f>
        <v>8526729.71473025</v>
      </c>
      <c r="AO6" s="0" t="n">
        <f aca="false">AA6+AB6+AC6+AD6+AF6</f>
        <v>463649034.042513</v>
      </c>
      <c r="AP6" s="0" t="n">
        <f aca="false">AO6+AE6+AG6+AH6+AI6+AK6+AL6+AM6+AN6</f>
        <v>665312114.667462</v>
      </c>
      <c r="AQ6" s="0" t="n">
        <f aca="false">AO6+AE6+AG6+AJ6</f>
        <v>799254212.028195</v>
      </c>
      <c r="AR6" s="0" t="n">
        <f aca="false">AB6+AC6+AD6+AF6</f>
        <v>197421123.116588</v>
      </c>
      <c r="AS6" s="0" t="n">
        <f aca="false">AR6+AE6+AG6</f>
        <v>198644743.661868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5161.241</v>
      </c>
      <c r="D7" s="0" t="n">
        <v>50000000</v>
      </c>
      <c r="E7" s="0" t="n">
        <v>0</v>
      </c>
      <c r="F7" s="0" t="n">
        <v>0</v>
      </c>
      <c r="G7" s="0" t="n">
        <v>1</v>
      </c>
      <c r="H7" s="0" t="n">
        <v>2401.317</v>
      </c>
      <c r="I7" s="0" t="n">
        <v>284.977</v>
      </c>
      <c r="J7" s="0" t="n">
        <v>1585.983</v>
      </c>
      <c r="K7" s="0" t="n">
        <v>2177.557</v>
      </c>
      <c r="L7" s="0" t="n">
        <v>1434.299</v>
      </c>
      <c r="M7" s="0" t="n">
        <v>24017.399</v>
      </c>
      <c r="N7" s="0" t="n">
        <v>2394.138</v>
      </c>
      <c r="O7" s="0" t="n">
        <v>84.523</v>
      </c>
      <c r="P7" s="0" t="n">
        <v>83.965</v>
      </c>
      <c r="Q7" s="0" t="n">
        <v>2180.287</v>
      </c>
      <c r="R7" s="0" t="n">
        <v>1539.945</v>
      </c>
      <c r="S7" s="0" t="n">
        <v>2469.833</v>
      </c>
      <c r="T7" s="0" t="n">
        <v>2686.295</v>
      </c>
      <c r="U7" s="0" t="n">
        <v>1656.216</v>
      </c>
      <c r="V7" s="0" t="n">
        <v>118714.336</v>
      </c>
      <c r="W7" s="0" t="n">
        <v>313.753</v>
      </c>
      <c r="X7" s="0" t="n">
        <v>686.702</v>
      </c>
      <c r="Y7" s="0" t="n">
        <v>84.523</v>
      </c>
      <c r="Z7" s="0" t="n">
        <v>822.206</v>
      </c>
      <c r="AA7" s="0" t="n">
        <f aca="false">H7*x_c_F+I7*x_c_CC+J7*x_c_DC+K7*x_c_HCC+L7*x_c_PLT+M7*x_c_SVRn+N7*x_c_SVRcc+O7*x_c_LT+P7*x_c_LT1</f>
        <v>274055997.640577</v>
      </c>
      <c r="AB7" s="0" t="n">
        <f aca="false">C7*x_c_DAA</f>
        <v>117469845.16</v>
      </c>
      <c r="AC7" s="0" t="n">
        <f aca="false">C7*x_c_MON</f>
        <v>29755224.7388803</v>
      </c>
      <c r="AD7" s="0" t="n">
        <f aca="false">D7*(1-x_testy)</f>
        <v>50000000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1223620.54528</v>
      </c>
      <c r="AH7" s="0" t="n">
        <f aca="false">x_z_F*U7+(1-x_AGRI)*x_EMP*x_WLOSS*(x_PEN_K74*Q7+x_PEN_C22*R7)</f>
        <v>36671691.0259946</v>
      </c>
      <c r="AI7" s="0" t="n">
        <f aca="false">x_AGRI*x_EMP*x_WLOSS*(x_PEN_K74*Q7+x_PEN_C22*R7)</f>
        <v>2198865.43276525</v>
      </c>
      <c r="AJ7" s="0" t="n">
        <f aca="false">x_EMP*x_WAGE*(x_WLOSS*(Q7+R7)+S7)+U7*x_ABS_D*x_WAGE/365</f>
        <v>386789470.977684</v>
      </c>
      <c r="AK7" s="0" t="n">
        <f aca="false">AJ7*x_R_FUS</f>
        <v>122380188.617339</v>
      </c>
      <c r="AL7" s="0" t="n">
        <f aca="false">AJ7*x_R_NFZ</f>
        <v>30038457.1055979</v>
      </c>
      <c r="AM7" s="0" t="n">
        <f aca="false">AJ7*x_R_PIT</f>
        <v>25715378.4299225</v>
      </c>
      <c r="AN7" s="0" t="n">
        <f aca="false">AJ7*x_R_FP</f>
        <v>9863131.50993095</v>
      </c>
      <c r="AO7" s="0" t="n">
        <f aca="false">AA7+AB7+AC7+AD7+AF7</f>
        <v>471281067.539458</v>
      </c>
      <c r="AP7" s="0" t="n">
        <f aca="false">AO7+AE7+AG7+AH7+AI7+AK7+AL7+AM7+AN7</f>
        <v>699372400.206288</v>
      </c>
      <c r="AQ7" s="0" t="n">
        <f aca="false">AO7+AE7+AG7+AJ7</f>
        <v>859294159.062422</v>
      </c>
      <c r="AR7" s="0" t="n">
        <f aca="false">AB7+AC7+AD7+AF7</f>
        <v>197225069.89888</v>
      </c>
      <c r="AS7" s="0" t="n">
        <f aca="false">AR7+AE7+AG7</f>
        <v>198448690.44416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5154.633</v>
      </c>
      <c r="D8" s="0" t="n">
        <v>50000000</v>
      </c>
      <c r="E8" s="0" t="n">
        <v>0</v>
      </c>
      <c r="F8" s="0" t="n">
        <v>0</v>
      </c>
      <c r="G8" s="0" t="n">
        <v>1</v>
      </c>
      <c r="H8" s="0" t="n">
        <v>2381.307</v>
      </c>
      <c r="I8" s="0" t="n">
        <v>299.756</v>
      </c>
      <c r="J8" s="0" t="n">
        <v>1615.571</v>
      </c>
      <c r="K8" s="0" t="n">
        <v>2241.856</v>
      </c>
      <c r="L8" s="0" t="n">
        <v>1416.748</v>
      </c>
      <c r="M8" s="0" t="n">
        <v>28131.287</v>
      </c>
      <c r="N8" s="0" t="n">
        <v>2883.54</v>
      </c>
      <c r="O8" s="0" t="n">
        <v>86.116</v>
      </c>
      <c r="P8" s="0" t="n">
        <v>85.319</v>
      </c>
      <c r="Q8" s="0" t="n">
        <v>2216.244</v>
      </c>
      <c r="R8" s="0" t="n">
        <v>1607.881</v>
      </c>
      <c r="S8" s="0" t="n">
        <v>3051.479</v>
      </c>
      <c r="T8" s="0" t="n">
        <v>2681.063</v>
      </c>
      <c r="U8" s="0" t="n">
        <v>1691.176</v>
      </c>
      <c r="V8" s="0" t="n">
        <v>120104.837</v>
      </c>
      <c r="W8" s="0" t="n">
        <v>326.413</v>
      </c>
      <c r="X8" s="0" t="n">
        <v>708.897</v>
      </c>
      <c r="Y8" s="0" t="n">
        <v>86.116</v>
      </c>
      <c r="Z8" s="0" t="n">
        <v>840.632</v>
      </c>
      <c r="AA8" s="0" t="n">
        <f aca="false">H8*x_c_F+I8*x_c_CC+J8*x_c_DC+K8*x_c_HCC+L8*x_c_PLT+M8*x_c_SVRn+N8*x_c_SVRcc+O8*x_c_LT+P8*x_c_LT1</f>
        <v>282567135.311184</v>
      </c>
      <c r="AB8" s="0" t="n">
        <f aca="false">C8*x_c_DAA</f>
        <v>117319447.08</v>
      </c>
      <c r="AC8" s="0" t="n">
        <f aca="false">C8*x_c_MON</f>
        <v>29717128.7605925</v>
      </c>
      <c r="AD8" s="0" t="n">
        <f aca="false">D8*(1-x_testy)</f>
        <v>50000000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1223620.54528</v>
      </c>
      <c r="AH8" s="0" t="n">
        <f aca="false">x_z_F*U8+(1-x_AGRI)*x_EMP*x_WLOSS*(x_PEN_K74*Q8+x_PEN_C22*R8)</f>
        <v>37701383.0149651</v>
      </c>
      <c r="AI8" s="0" t="n">
        <f aca="false">x_AGRI*x_EMP*x_WLOSS*(x_PEN_K74*Q8+x_PEN_C22*R8)</f>
        <v>2262175.38753163</v>
      </c>
      <c r="AJ8" s="0" t="n">
        <f aca="false">x_EMP*x_WAGE*(x_WLOSS*(Q8+R8)+S8)+U8*x_ABS_D*x_WAGE/365</f>
        <v>441268658.821377</v>
      </c>
      <c r="AK8" s="0" t="n">
        <f aca="false">AJ8*x_R_FUS</f>
        <v>139617403.651084</v>
      </c>
      <c r="AL8" s="0" t="n">
        <f aca="false">AJ8*x_R_NFZ</f>
        <v>34269365.312727</v>
      </c>
      <c r="AM8" s="0" t="n">
        <f aca="false">AJ8*x_R_PIT</f>
        <v>29337382.2254608</v>
      </c>
      <c r="AN8" s="0" t="n">
        <f aca="false">AJ8*x_R_FP</f>
        <v>11252350.7999451</v>
      </c>
      <c r="AO8" s="0" t="n">
        <f aca="false">AA8+AB8+AC8+AD8+AF8</f>
        <v>479603711.151776</v>
      </c>
      <c r="AP8" s="0" t="n">
        <f aca="false">AO8+AE8+AG8+AH8+AI8+AK8+AL8+AM8+AN8</f>
        <v>735267392.088769</v>
      </c>
      <c r="AQ8" s="0" t="n">
        <f aca="false">AO8+AE8+AG8+AJ8</f>
        <v>922095990.518433</v>
      </c>
      <c r="AR8" s="0" t="n">
        <f aca="false">AB8+AC8+AD8+AF8</f>
        <v>197036575.840592</v>
      </c>
      <c r="AS8" s="0" t="n">
        <f aca="false">AR8+AE8+AG8</f>
        <v>198260196.385872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5148.269</v>
      </c>
      <c r="D9" s="0" t="n">
        <v>50000000</v>
      </c>
      <c r="E9" s="0" t="n">
        <v>0</v>
      </c>
      <c r="F9" s="0" t="n">
        <v>0</v>
      </c>
      <c r="G9" s="0" t="n">
        <v>1</v>
      </c>
      <c r="H9" s="0" t="n">
        <v>2362.558</v>
      </c>
      <c r="I9" s="0" t="n">
        <v>313.39</v>
      </c>
      <c r="J9" s="0" t="n">
        <v>1650.728</v>
      </c>
      <c r="K9" s="0" t="n">
        <v>2306.838</v>
      </c>
      <c r="L9" s="0" t="n">
        <v>1400.134</v>
      </c>
      <c r="M9" s="0" t="n">
        <v>32147.334</v>
      </c>
      <c r="N9" s="0" t="n">
        <v>3382.526</v>
      </c>
      <c r="O9" s="0" t="n">
        <v>88.015</v>
      </c>
      <c r="P9" s="0" t="n">
        <v>87.065</v>
      </c>
      <c r="Q9" s="0" t="n">
        <v>2259.032</v>
      </c>
      <c r="R9" s="0" t="n">
        <v>1678.424</v>
      </c>
      <c r="S9" s="0" t="n">
        <v>3651.421</v>
      </c>
      <c r="T9" s="0" t="n">
        <v>2675.948</v>
      </c>
      <c r="U9" s="0" t="n">
        <v>1724.572</v>
      </c>
      <c r="V9" s="0" t="n">
        <v>121513.271</v>
      </c>
      <c r="W9" s="0" t="n">
        <v>337.647</v>
      </c>
      <c r="X9" s="0" t="n">
        <v>727.676</v>
      </c>
      <c r="Y9" s="0" t="n">
        <v>88.015</v>
      </c>
      <c r="Z9" s="0" t="n">
        <v>860.622</v>
      </c>
      <c r="AA9" s="0" t="n">
        <f aca="false">H9*x_c_F+I9*x_c_CC+J9*x_c_DC+K9*x_c_HCC+L9*x_c_PLT+M9*x_c_SVRn+N9*x_c_SVRcc+O9*x_c_LT+P9*x_c_LT1</f>
        <v>291338983.585283</v>
      </c>
      <c r="AB9" s="0" t="n">
        <f aca="false">C9*x_c_DAA</f>
        <v>117174602.44</v>
      </c>
      <c r="AC9" s="0" t="n">
        <f aca="false">C9*x_c_MON</f>
        <v>29680439.4739968</v>
      </c>
      <c r="AD9" s="0" t="n">
        <f aca="false">D9*(1-x_testy)</f>
        <v>50000000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1223620.54528</v>
      </c>
      <c r="AH9" s="0" t="n">
        <f aca="false">x_z_F*U9+(1-x_AGRI)*x_EMP*x_WLOSS*(x_PEN_K74*Q9+x_PEN_C22*R9)</f>
        <v>38810753.924896</v>
      </c>
      <c r="AI9" s="0" t="n">
        <f aca="false">x_AGRI*x_EMP*x_WLOSS*(x_PEN_K74*Q9+x_PEN_C22*R9)</f>
        <v>2330964.49782349</v>
      </c>
      <c r="AJ9" s="0" t="n">
        <f aca="false">x_EMP*x_WAGE*(x_WLOSS*(Q9+R9)+S9)+U9*x_ABS_D*x_WAGE/365</f>
        <v>497737871.299974</v>
      </c>
      <c r="AK9" s="0" t="n">
        <f aca="false">AJ9*x_R_FUS</f>
        <v>157484262.479312</v>
      </c>
      <c r="AL9" s="0" t="n">
        <f aca="false">AJ9*x_R_NFZ</f>
        <v>38654820.8230272</v>
      </c>
      <c r="AM9" s="0" t="n">
        <f aca="false">AJ9*x_R_PIT</f>
        <v>33091691.1647819</v>
      </c>
      <c r="AN9" s="0" t="n">
        <f aca="false">AJ9*x_R_FP</f>
        <v>12692315.7181493</v>
      </c>
      <c r="AO9" s="0" t="n">
        <f aca="false">AA9+AB9+AC9+AD9+AF9</f>
        <v>488194025.49928</v>
      </c>
      <c r="AP9" s="0" t="n">
        <f aca="false">AO9+AE9+AG9+AH9+AI9+AK9+AL9+AM9+AN9</f>
        <v>772482454.652549</v>
      </c>
      <c r="AQ9" s="0" t="n">
        <f aca="false">AO9+AE9+AG9+AJ9</f>
        <v>987155517.344533</v>
      </c>
      <c r="AR9" s="0" t="n">
        <f aca="false">AB9+AC9+AD9+AF9</f>
        <v>196855041.913997</v>
      </c>
      <c r="AS9" s="0" t="n">
        <f aca="false">AR9+AE9+AG9</f>
        <v>198078662.459277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5142.119</v>
      </c>
      <c r="D10" s="0" t="n">
        <v>50000000</v>
      </c>
      <c r="E10" s="0" t="n">
        <v>0</v>
      </c>
      <c r="F10" s="0" t="n">
        <v>0</v>
      </c>
      <c r="G10" s="0" t="n">
        <v>1</v>
      </c>
      <c r="H10" s="0" t="n">
        <v>2345.354</v>
      </c>
      <c r="I10" s="0" t="n">
        <v>325.583</v>
      </c>
      <c r="J10" s="0" t="n">
        <v>1688.773</v>
      </c>
      <c r="K10" s="0" t="n">
        <v>2368.632</v>
      </c>
      <c r="L10" s="0" t="n">
        <v>1384.691</v>
      </c>
      <c r="M10" s="0" t="n">
        <v>36066.575</v>
      </c>
      <c r="N10" s="0" t="n">
        <v>3887.297</v>
      </c>
      <c r="O10" s="0" t="n">
        <v>90.068</v>
      </c>
      <c r="P10" s="0" t="n">
        <v>89.041</v>
      </c>
      <c r="Q10" s="0" t="n">
        <v>2306.862</v>
      </c>
      <c r="R10" s="0" t="n">
        <v>1748.699</v>
      </c>
      <c r="S10" s="0" t="n">
        <v>4270.305</v>
      </c>
      <c r="T10" s="0" t="n">
        <v>2670.936</v>
      </c>
      <c r="U10" s="0" t="n">
        <v>1756.453</v>
      </c>
      <c r="V10" s="0" t="n">
        <v>122930.872</v>
      </c>
      <c r="W10" s="0" t="n">
        <v>347.157</v>
      </c>
      <c r="X10" s="0" t="n">
        <v>742.777</v>
      </c>
      <c r="Y10" s="0" t="n">
        <v>90.068</v>
      </c>
      <c r="Z10" s="0" t="n">
        <v>880.704</v>
      </c>
      <c r="AA10" s="0" t="n">
        <f aca="false">H10*x_c_F+I10*x_c_CC+J10*x_c_DC+K10*x_c_HCC+L10*x_c_PLT+M10*x_c_SVRn+N10*x_c_SVRcc+O10*x_c_LT+P10*x_c_LT1</f>
        <v>300016800.86847</v>
      </c>
      <c r="AB10" s="0" t="n">
        <f aca="false">C10*x_c_DAA</f>
        <v>117034628.44</v>
      </c>
      <c r="AC10" s="0" t="n">
        <f aca="false">C10*x_c_MON</f>
        <v>29644983.9251968</v>
      </c>
      <c r="AD10" s="0" t="n">
        <f aca="false">D10*(1-x_testy)</f>
        <v>50000000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1223620.54528</v>
      </c>
      <c r="AH10" s="0" t="n">
        <f aca="false">x_z_F*U10+(1-x_AGRI)*x_EMP*x_WLOSS*(x_PEN_K74*Q10+x_PEN_C22*R10)</f>
        <v>39957107.6953587</v>
      </c>
      <c r="AI10" s="0" t="n">
        <f aca="false">x_AGRI*x_EMP*x_WLOSS*(x_PEN_K74*Q10+x_PEN_C22*R10)</f>
        <v>2402403.97737573</v>
      </c>
      <c r="AJ10" s="0" t="n">
        <f aca="false">x_EMP*x_WAGE*(x_WLOSS*(Q10+R10)+S10)+U10*x_ABS_D*x_WAGE/365</f>
        <v>556037517.429</v>
      </c>
      <c r="AK10" s="0" t="n">
        <f aca="false">AJ10*x_R_FUS</f>
        <v>175930270.514535</v>
      </c>
      <c r="AL10" s="0" t="n">
        <f aca="false">AJ10*x_R_NFZ</f>
        <v>43182429.6410535</v>
      </c>
      <c r="AM10" s="0" t="n">
        <f aca="false">AJ10*x_R_PIT</f>
        <v>36967694.97313</v>
      </c>
      <c r="AN10" s="0" t="n">
        <f aca="false">AJ10*x_R_FP</f>
        <v>14178956.6944395</v>
      </c>
      <c r="AO10" s="0" t="n">
        <f aca="false">AA10+AB10+AC10+AD10+AF10</f>
        <v>496696413.233667</v>
      </c>
      <c r="AP10" s="0" t="n">
        <f aca="false">AO10+AE10+AG10+AH10+AI10+AK10+AL10+AM10+AN10</f>
        <v>810538897.27484</v>
      </c>
      <c r="AQ10" s="0" t="n">
        <f aca="false">AO10+AE10+AG10+AJ10</f>
        <v>1053957551.20795</v>
      </c>
      <c r="AR10" s="0" t="n">
        <f aca="false">AB10+AC10+AD10+AF10</f>
        <v>196679612.365197</v>
      </c>
      <c r="AS10" s="0" t="n">
        <f aca="false">AR10+AE10+AG10</f>
        <v>197903232.910477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5136.173</v>
      </c>
      <c r="D11" s="0" t="n">
        <v>50000000</v>
      </c>
      <c r="E11" s="0" t="n">
        <v>0</v>
      </c>
      <c r="F11" s="0" t="n">
        <v>0</v>
      </c>
      <c r="G11" s="0" t="n">
        <v>1</v>
      </c>
      <c r="H11" s="0" t="n">
        <v>2329.897</v>
      </c>
      <c r="I11" s="0" t="n">
        <v>336.122</v>
      </c>
      <c r="J11" s="0" t="n">
        <v>1727.243</v>
      </c>
      <c r="K11" s="0" t="n">
        <v>2424.272</v>
      </c>
      <c r="L11" s="0" t="n">
        <v>1370.494</v>
      </c>
      <c r="M11" s="0" t="n">
        <v>39890.21</v>
      </c>
      <c r="N11" s="0" t="n">
        <v>4393.631</v>
      </c>
      <c r="O11" s="0" t="n">
        <v>92.131</v>
      </c>
      <c r="P11" s="0" t="n">
        <v>91.1</v>
      </c>
      <c r="Q11" s="0" t="n">
        <v>2357.966</v>
      </c>
      <c r="R11" s="0" t="n">
        <v>1816.446</v>
      </c>
      <c r="S11" s="0" t="n">
        <v>4907.665</v>
      </c>
      <c r="T11" s="0" t="n">
        <v>2666.018</v>
      </c>
      <c r="U11" s="0" t="n">
        <v>1786.864</v>
      </c>
      <c r="V11" s="0" t="n">
        <v>124349.878</v>
      </c>
      <c r="W11" s="0" t="n">
        <v>354.748</v>
      </c>
      <c r="X11" s="0" t="n">
        <v>754.068</v>
      </c>
      <c r="Y11" s="0" t="n">
        <v>92.131</v>
      </c>
      <c r="Z11" s="0" t="n">
        <v>899.641</v>
      </c>
      <c r="AA11" s="0" t="n">
        <f aca="false">H11*x_c_F+I11*x_c_CC+J11*x_c_DC+K11*x_c_HCC+L11*x_c_PLT+M11*x_c_SVRn+N11*x_c_SVRcc+O11*x_c_LT+P11*x_c_LT1</f>
        <v>308304241.00995</v>
      </c>
      <c r="AB11" s="0" t="n">
        <f aca="false">C11*x_c_DAA</f>
        <v>116899297.48</v>
      </c>
      <c r="AC11" s="0" t="n">
        <f aca="false">C11*x_c_MON</f>
        <v>29610704.4628936</v>
      </c>
      <c r="AD11" s="0" t="n">
        <f aca="false">D11*(1-x_testy)</f>
        <v>50000000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1223620.54528</v>
      </c>
      <c r="AH11" s="0" t="n">
        <f aca="false">x_z_F*U11+(1-x_AGRI)*x_EMP*x_WLOSS*(x_PEN_K74*Q11+x_PEN_C22*R11)</f>
        <v>41103833.4926403</v>
      </c>
      <c r="AI11" s="0" t="n">
        <f aca="false">x_AGRI*x_EMP*x_WLOSS*(x_PEN_K74*Q11+x_PEN_C22*R11)</f>
        <v>2474067.80529126</v>
      </c>
      <c r="AJ11" s="0" t="n">
        <f aca="false">x_EMP*x_WAGE*(x_WLOSS*(Q11+R11)+S11)+U11*x_ABS_D*x_WAGE/365</f>
        <v>615942477.517045</v>
      </c>
      <c r="AK11" s="0" t="n">
        <f aca="false">AJ11*x_R_FUS</f>
        <v>194884199.886393</v>
      </c>
      <c r="AL11" s="0" t="n">
        <f aca="false">AJ11*x_R_NFZ</f>
        <v>47834708.7464512</v>
      </c>
      <c r="AM11" s="0" t="n">
        <f aca="false">AJ11*x_R_PIT</f>
        <v>40950426.7538055</v>
      </c>
      <c r="AN11" s="0" t="n">
        <f aca="false">AJ11*x_R_FP</f>
        <v>15706533.1766846</v>
      </c>
      <c r="AO11" s="0" t="n">
        <f aca="false">AA11+AB11+AC11+AD11+AF11</f>
        <v>504814242.952844</v>
      </c>
      <c r="AP11" s="0" t="n">
        <f aca="false">AO11+AE11+AG11+AH11+AI11+AK11+AL11+AM11+AN11</f>
        <v>848991633.35939</v>
      </c>
      <c r="AQ11" s="0" t="n">
        <f aca="false">AO11+AE11+AG11+AJ11</f>
        <v>1121980341.01517</v>
      </c>
      <c r="AR11" s="0" t="n">
        <f aca="false">AB11+AC11+AD11+AF11</f>
        <v>196510001.942894</v>
      </c>
      <c r="AS11" s="0" t="n">
        <f aca="false">AR11+AE11+AG11</f>
        <v>197733622.488174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5130.411</v>
      </c>
      <c r="D12" s="0" t="n">
        <v>50000000</v>
      </c>
      <c r="E12" s="0" t="n">
        <v>0</v>
      </c>
      <c r="F12" s="0" t="n">
        <v>0</v>
      </c>
      <c r="G12" s="0" t="n">
        <v>1</v>
      </c>
      <c r="H12" s="0" t="n">
        <v>2252.831</v>
      </c>
      <c r="I12" s="0" t="n">
        <v>335.283</v>
      </c>
      <c r="J12" s="0" t="n">
        <v>1763.966</v>
      </c>
      <c r="K12" s="0" t="n">
        <v>2471.587</v>
      </c>
      <c r="L12" s="0" t="n">
        <v>1357.482</v>
      </c>
      <c r="M12" s="0" t="n">
        <v>43496.335</v>
      </c>
      <c r="N12" s="0" t="n">
        <v>4878.438</v>
      </c>
      <c r="O12" s="0" t="n">
        <v>94.089</v>
      </c>
      <c r="P12" s="0" t="n">
        <v>93.11</v>
      </c>
      <c r="Q12" s="0" t="n">
        <v>2410.653</v>
      </c>
      <c r="R12" s="0" t="n">
        <v>1879.936</v>
      </c>
      <c r="S12" s="0" t="n">
        <v>5562.103</v>
      </c>
      <c r="T12" s="0" t="n">
        <v>2588.114</v>
      </c>
      <c r="U12" s="0" t="n">
        <v>1765.538</v>
      </c>
      <c r="V12" s="0" t="n">
        <v>125755.895</v>
      </c>
      <c r="W12" s="0" t="n">
        <v>360.336</v>
      </c>
      <c r="X12" s="0" t="n">
        <v>761.558</v>
      </c>
      <c r="Y12" s="0" t="n">
        <v>94.089</v>
      </c>
      <c r="Z12" s="0" t="n">
        <v>916.501</v>
      </c>
      <c r="AA12" s="0" t="n">
        <f aca="false">H12*x_c_F+I12*x_c_CC+J12*x_c_DC+K12*x_c_HCC+L12*x_c_PLT+M12*x_c_SVRn+N12*x_c_SVRcc+O12*x_c_LT+P12*x_c_LT1</f>
        <v>315599807.789689</v>
      </c>
      <c r="AB12" s="0" t="n">
        <f aca="false">C12*x_c_DAA</f>
        <v>116768154.36</v>
      </c>
      <c r="AC12" s="0" t="n">
        <f aca="false">C12*x_c_MON</f>
        <v>29577485.7844894</v>
      </c>
      <c r="AD12" s="0" t="n">
        <f aca="false">D12*(1-x_testy)</f>
        <v>50000000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1223620.54528</v>
      </c>
      <c r="AH12" s="0" t="n">
        <f aca="false">x_z_F*U12+(1-x_AGRI)*x_EMP*x_WLOSS*(x_PEN_K74*Q12+x_PEN_C22*R12)</f>
        <v>42116644.373319</v>
      </c>
      <c r="AI12" s="0" t="n">
        <f aca="false">x_AGRI*x_EMP*x_WLOSS*(x_PEN_K74*Q12+x_PEN_C22*R12)</f>
        <v>2543910.64824712</v>
      </c>
      <c r="AJ12" s="0" t="n">
        <f aca="false">x_EMP*x_WAGE*(x_WLOSS*(Q12+R12)+S12)+U12*x_ABS_D*x_WAGE/365</f>
        <v>677028387.654125</v>
      </c>
      <c r="AK12" s="0" t="n">
        <f aca="false">AJ12*x_R_FUS</f>
        <v>214211781.853765</v>
      </c>
      <c r="AL12" s="0" t="n">
        <f aca="false">AJ12*x_R_NFZ</f>
        <v>52578701.613607</v>
      </c>
      <c r="AM12" s="0" t="n">
        <f aca="false">AJ12*x_R_PIT</f>
        <v>45011673.0228434</v>
      </c>
      <c r="AN12" s="0" t="n">
        <f aca="false">AJ12*x_R_FP</f>
        <v>17264223.8851802</v>
      </c>
      <c r="AO12" s="0" t="n">
        <f aca="false">AA12+AB12+AC12+AD12+AF12</f>
        <v>511945447.934179</v>
      </c>
      <c r="AP12" s="0" t="n">
        <f aca="false">AO12+AE12+AG12+AH12+AI12+AK12+AL12+AM12+AN12</f>
        <v>886896003.87642</v>
      </c>
      <c r="AQ12" s="0" t="n">
        <f aca="false">AO12+AE12+AG12+AJ12</f>
        <v>1190197456.13358</v>
      </c>
      <c r="AR12" s="0" t="n">
        <f aca="false">AB12+AC12+AD12+AF12</f>
        <v>196345640.144489</v>
      </c>
      <c r="AS12" s="0" t="n">
        <f aca="false">AR12+AE12+AG12</f>
        <v>197569260.689769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2179.234</v>
      </c>
      <c r="I13" s="0" t="n">
        <v>332.623</v>
      </c>
      <c r="J13" s="0" t="n">
        <v>1797.391</v>
      </c>
      <c r="K13" s="0" t="n">
        <v>2509.637</v>
      </c>
      <c r="L13" s="0" t="n">
        <v>1345.462</v>
      </c>
      <c r="M13" s="0" t="n">
        <v>46890.073</v>
      </c>
      <c r="N13" s="0" t="n">
        <v>5337.697</v>
      </c>
      <c r="O13" s="0" t="n">
        <v>95.835</v>
      </c>
      <c r="P13" s="0" t="n">
        <v>94.962</v>
      </c>
      <c r="Q13" s="0" t="n">
        <v>2463.605</v>
      </c>
      <c r="R13" s="0" t="n">
        <v>1938.353</v>
      </c>
      <c r="S13" s="0" t="n">
        <v>6231.432</v>
      </c>
      <c r="T13" s="0" t="n">
        <v>2511.858</v>
      </c>
      <c r="U13" s="0" t="n">
        <v>1743.052</v>
      </c>
      <c r="V13" s="0" t="n">
        <v>127142.163</v>
      </c>
      <c r="W13" s="0" t="n">
        <v>364.51</v>
      </c>
      <c r="X13" s="0" t="n">
        <v>766.48</v>
      </c>
      <c r="Y13" s="0" t="n">
        <v>95.835</v>
      </c>
      <c r="Z13" s="0" t="n">
        <v>930.511</v>
      </c>
      <c r="AA13" s="0" t="n">
        <f aca="false">H13*x_c_F+I13*x_c_CC+J13*x_c_DC+K13*x_c_HCC+L13*x_c_PLT+M13*x_c_SVRn+N13*x_c_SVRcc+O13*x_c_LT+P13*x_c_LT1</f>
        <v>322004908.096032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43080516.0228096</v>
      </c>
      <c r="AI13" s="0" t="n">
        <f aca="false">x_AGRI*x_EMP*x_WLOSS*(x_PEN_K74*Q13+x_PEN_C22*R13)</f>
        <v>2610676.33418038</v>
      </c>
      <c r="AJ13" s="0" t="n">
        <f aca="false">x_EMP*x_WAGE*(x_WLOSS*(Q13+R13)+S13)+U13*x_ABS_D*x_WAGE/365</f>
        <v>739159058.91342</v>
      </c>
      <c r="AK13" s="0" t="n">
        <f aca="false">AJ13*x_R_FUS</f>
        <v>233869926.240206</v>
      </c>
      <c r="AL13" s="0" t="n">
        <f aca="false">AJ13*x_R_NFZ</f>
        <v>57403831.6742751</v>
      </c>
      <c r="AM13" s="0" t="n">
        <f aca="false">AJ13*x_R_PIT</f>
        <v>49142379.3719572</v>
      </c>
      <c r="AN13" s="0" t="n">
        <f aca="false">AJ13*x_R_FP</f>
        <v>18848556.0022922</v>
      </c>
      <c r="AO13" s="0" t="n">
        <f aca="false">AA13+AB13+AC13+AD13+AF13</f>
        <v>459838335.706057</v>
      </c>
      <c r="AP13" s="0" t="n">
        <f aca="false">AO13+AE13+AG13+AH13+AI13+AK13+AL13+AM13+AN13</f>
        <v>864794221.351777</v>
      </c>
      <c r="AQ13" s="0" t="n">
        <f aca="false">AO13+AE13+AG13+AJ13</f>
        <v>1198997394.61948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2172.504</v>
      </c>
      <c r="I14" s="0" t="n">
        <v>337.771</v>
      </c>
      <c r="J14" s="0" t="n">
        <v>1826.24</v>
      </c>
      <c r="K14" s="0" t="n">
        <v>2537.875</v>
      </c>
      <c r="L14" s="0" t="n">
        <v>1334.117</v>
      </c>
      <c r="M14" s="0" t="n">
        <v>50199.025</v>
      </c>
      <c r="N14" s="0" t="n">
        <v>5786.042</v>
      </c>
      <c r="O14" s="0" t="n">
        <v>97.325</v>
      </c>
      <c r="P14" s="0" t="n">
        <v>96.58</v>
      </c>
      <c r="Q14" s="0" t="n">
        <v>2515.629</v>
      </c>
      <c r="R14" s="0" t="n">
        <v>1991.159</v>
      </c>
      <c r="S14" s="0" t="n">
        <v>6912.918</v>
      </c>
      <c r="T14" s="0" t="n">
        <v>2510.275</v>
      </c>
      <c r="U14" s="0" t="n">
        <v>1769.762</v>
      </c>
      <c r="V14" s="0" t="n">
        <v>128508.653</v>
      </c>
      <c r="W14" s="0" t="n">
        <v>366.727</v>
      </c>
      <c r="X14" s="0" t="n">
        <v>767.898</v>
      </c>
      <c r="Y14" s="0" t="n">
        <v>97.325</v>
      </c>
      <c r="Z14" s="0" t="n">
        <v>941.518</v>
      </c>
      <c r="AA14" s="0" t="n">
        <f aca="false">H14*x_c_F+I14*x_c_CC+J14*x_c_DC+K14*x_c_HCC+L14*x_c_PLT+M14*x_c_SVRn+N14*x_c_SVRcc+O14*x_c_LT+P14*x_c_LT1</f>
        <v>327791341.351384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44083701.8666887</v>
      </c>
      <c r="AI14" s="0" t="n">
        <f aca="false">x_AGRI*x_EMP*x_WLOSS*(x_PEN_K74*Q14+x_PEN_C22*R14)</f>
        <v>2673355.37502352</v>
      </c>
      <c r="AJ14" s="0" t="n">
        <f aca="false">x_EMP*x_WAGE*(x_WLOSS*(Q14+R14)+S14)+U14*x_ABS_D*x_WAGE/365</f>
        <v>802169576.982829</v>
      </c>
      <c r="AK14" s="0" t="n">
        <f aca="false">AJ14*x_R_FUS</f>
        <v>253806454.157367</v>
      </c>
      <c r="AL14" s="0" t="n">
        <f aca="false">AJ14*x_R_NFZ</f>
        <v>62297291.5180635</v>
      </c>
      <c r="AM14" s="0" t="n">
        <f aca="false">AJ14*x_R_PIT</f>
        <v>53331581.6093516</v>
      </c>
      <c r="AN14" s="0" t="n">
        <f aca="false">AJ14*x_R_FP</f>
        <v>20455324.2130621</v>
      </c>
      <c r="AO14" s="0" t="n">
        <f aca="false">AA14+AB14+AC14+AD14+AF14</f>
        <v>465624768.961408</v>
      </c>
      <c r="AP14" s="0" t="n">
        <f aca="false">AO14+AE14+AG14+AH14+AI14+AK14+AL14+AM14+AN14</f>
        <v>902272477.700965</v>
      </c>
      <c r="AQ14" s="0" t="n">
        <f aca="false">AO14+AE14+AG14+AJ14</f>
        <v>1267794345.94424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2167.506</v>
      </c>
      <c r="I15" s="0" t="n">
        <v>341.181</v>
      </c>
      <c r="J15" s="0" t="n">
        <v>1849.236</v>
      </c>
      <c r="K15" s="0" t="n">
        <v>2555.559</v>
      </c>
      <c r="L15" s="0" t="n">
        <v>1323.085</v>
      </c>
      <c r="M15" s="0" t="n">
        <v>53423.087</v>
      </c>
      <c r="N15" s="0" t="n">
        <v>6219.034</v>
      </c>
      <c r="O15" s="0" t="n">
        <v>98.49</v>
      </c>
      <c r="P15" s="0" t="n">
        <v>97.908</v>
      </c>
      <c r="Q15" s="0" t="n">
        <v>1664.845</v>
      </c>
      <c r="R15" s="0" t="n">
        <v>1334.654</v>
      </c>
      <c r="S15" s="0" t="n">
        <v>4824.931</v>
      </c>
      <c r="T15" s="0" t="n">
        <v>2508.687</v>
      </c>
      <c r="U15" s="0" t="n">
        <v>1506.885</v>
      </c>
      <c r="V15" s="0" t="n">
        <v>129849.398</v>
      </c>
      <c r="W15" s="0" t="n">
        <v>367.055</v>
      </c>
      <c r="X15" s="0" t="n">
        <v>765.996</v>
      </c>
      <c r="Y15" s="0" t="n">
        <v>98.49</v>
      </c>
      <c r="Z15" s="0" t="n">
        <v>949.072</v>
      </c>
      <c r="AA15" s="0" t="n">
        <f aca="false">H15*x_c_F+I15*x_c_CC+J15*x_c_DC+K15*x_c_HCC+L15*x_c_PLT+M15*x_c_SVRn+N15*x_c_SVRcc+O15*x_c_LT+P15*x_c_LT1</f>
        <v>332594828.331215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30027288.2884109</v>
      </c>
      <c r="AI15" s="0" t="n">
        <f aca="false">x_AGRI*x_EMP*x_WLOSS*(x_PEN_K74*Q15+x_PEN_C22*R15)</f>
        <v>1779975.73199068</v>
      </c>
      <c r="AJ15" s="0" t="n">
        <f aca="false">x_EMP*x_WAGE*(x_WLOSS*(Q15+R15)+S15)+U15*x_ABS_D*x_WAGE/365</f>
        <v>553952326.092958</v>
      </c>
      <c r="AK15" s="0" t="n">
        <f aca="false">AJ15*x_R_FUS</f>
        <v>175270515.975812</v>
      </c>
      <c r="AL15" s="0" t="n">
        <f aca="false">AJ15*x_R_NFZ</f>
        <v>43020491.5967052</v>
      </c>
      <c r="AM15" s="0" t="n">
        <f aca="false">AJ15*x_R_PIT</f>
        <v>36829062.7498444</v>
      </c>
      <c r="AN15" s="0" t="n">
        <f aca="false">AJ15*x_R_FP</f>
        <v>14125784.3153704</v>
      </c>
      <c r="AO15" s="0" t="n">
        <f aca="false">AA15+AB15+AC15+AD15+AF15</f>
        <v>470428255.94124</v>
      </c>
      <c r="AP15" s="0" t="n">
        <f aca="false">AO15+AE15+AG15+AH15+AI15+AK15+AL15+AM15+AN15</f>
        <v>771481374.599373</v>
      </c>
      <c r="AQ15" s="0" t="n">
        <f aca="false">AO15+AE15+AG15+AJ15</f>
        <v>1024380582.0342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2164.194</v>
      </c>
      <c r="I16" s="0" t="n">
        <v>342.901</v>
      </c>
      <c r="J16" s="0" t="n">
        <v>1865.424</v>
      </c>
      <c r="K16" s="0" t="n">
        <v>2562.383</v>
      </c>
      <c r="L16" s="0" t="n">
        <v>1311.957</v>
      </c>
      <c r="M16" s="0" t="n">
        <v>56561.707</v>
      </c>
      <c r="N16" s="0" t="n">
        <v>6632.303</v>
      </c>
      <c r="O16" s="0" t="n">
        <v>99.281</v>
      </c>
      <c r="P16" s="0" t="n">
        <v>98.885</v>
      </c>
      <c r="Q16" s="0" t="n">
        <v>801.415</v>
      </c>
      <c r="R16" s="0" t="n">
        <v>667.381</v>
      </c>
      <c r="S16" s="0" t="n">
        <v>2513.575</v>
      </c>
      <c r="T16" s="0" t="n">
        <v>2507.095</v>
      </c>
      <c r="U16" s="0" t="n">
        <v>1258.403</v>
      </c>
      <c r="V16" s="0" t="n">
        <v>131158.767</v>
      </c>
      <c r="W16" s="0" t="n">
        <v>365.605</v>
      </c>
      <c r="X16" s="0" t="n">
        <v>761.013</v>
      </c>
      <c r="Y16" s="0" t="n">
        <v>99.281</v>
      </c>
      <c r="Z16" s="0" t="n">
        <v>952.905</v>
      </c>
      <c r="AA16" s="0" t="n">
        <f aca="false">H16*x_c_F+I16*x_c_CC+J16*x_c_DC+K16*x_c_HCC+L16*x_c_PLT+M16*x_c_SVRn+N16*x_c_SVRcc+O16*x_c_LT+P16*x_c_LT1</f>
        <v>336333996.877098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15789855.7834427</v>
      </c>
      <c r="AI16" s="0" t="n">
        <f aca="false">x_AGRI*x_EMP*x_WLOSS*(x_PEN_K74*Q16+x_PEN_C22*R16)</f>
        <v>872674.950639435</v>
      </c>
      <c r="AJ16" s="0" t="n">
        <f aca="false">x_EMP*x_WAGE*(x_WLOSS*(Q16+R16)+S16)+U16*x_ABS_D*x_WAGE/365</f>
        <v>285654412.620568</v>
      </c>
      <c r="AK16" s="0" t="n">
        <f aca="false">AJ16*x_R_FUS</f>
        <v>90381056.1531477</v>
      </c>
      <c r="AL16" s="0" t="n">
        <f aca="false">AJ16*x_R_NFZ</f>
        <v>22184207.3385259</v>
      </c>
      <c r="AM16" s="0" t="n">
        <f aca="false">AJ16*x_R_PIT</f>
        <v>18991497.6282768</v>
      </c>
      <c r="AN16" s="0" t="n">
        <f aca="false">AJ16*x_R_FP</f>
        <v>7284187.52182448</v>
      </c>
      <c r="AO16" s="0" t="n">
        <f aca="false">AA16+AB16+AC16+AD16+AF16</f>
        <v>474167424.487122</v>
      </c>
      <c r="AP16" s="0" t="n">
        <f aca="false">AO16+AE16+AG16+AH16+AI16+AK16+AL16+AM16+AN16</f>
        <v>629670903.862979</v>
      </c>
      <c r="AQ16" s="0" t="n">
        <f aca="false">AO16+AE16+AG16+AJ16</f>
        <v>759821837.10769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2162.489</v>
      </c>
      <c r="I17" s="0" t="n">
        <v>343.015</v>
      </c>
      <c r="J17" s="0" t="n">
        <v>1874.222</v>
      </c>
      <c r="K17" s="0" t="n">
        <v>2558.49</v>
      </c>
      <c r="L17" s="0" t="n">
        <v>1300.33</v>
      </c>
      <c r="M17" s="0" t="n">
        <v>59615.295</v>
      </c>
      <c r="N17" s="0" t="n">
        <v>7021.865</v>
      </c>
      <c r="O17" s="0" t="n">
        <v>99.67</v>
      </c>
      <c r="P17" s="0" t="n">
        <v>99.475</v>
      </c>
      <c r="Q17" s="0" t="n">
        <v>827.905</v>
      </c>
      <c r="R17" s="0" t="n">
        <v>696.078</v>
      </c>
      <c r="S17" s="0" t="n">
        <v>2758.363</v>
      </c>
      <c r="T17" s="0" t="n">
        <v>2505.504</v>
      </c>
      <c r="U17" s="0" t="n">
        <v>1312.545</v>
      </c>
      <c r="V17" s="0" t="n">
        <v>132433.958</v>
      </c>
      <c r="W17" s="0" t="n">
        <v>362.535</v>
      </c>
      <c r="X17" s="0" t="n">
        <v>753.26</v>
      </c>
      <c r="Y17" s="0" t="n">
        <v>99.67</v>
      </c>
      <c r="Z17" s="0" t="n">
        <v>952.943</v>
      </c>
      <c r="AA17" s="0" t="n">
        <f aca="false">H17*x_c_F+I17*x_c_CC+J17*x_c_DC+K17*x_c_HCC+L17*x_c_PLT+M17*x_c_SVRn+N17*x_c_SVRcc+O17*x_c_LT+P17*x_c_LT1</f>
        <v>338972767.981949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16401413.8240303</v>
      </c>
      <c r="AI17" s="0" t="n">
        <f aca="false">x_AGRI*x_EMP*x_WLOSS*(x_PEN_K74*Q17+x_PEN_C22*R17)</f>
        <v>905740.414378453</v>
      </c>
      <c r="AJ17" s="0" t="n">
        <f aca="false">x_EMP*x_WAGE*(x_WLOSS*(Q17+R17)+S17)+U17*x_ABS_D*x_WAGE/365</f>
        <v>309225979.439846</v>
      </c>
      <c r="AK17" s="0" t="n">
        <f aca="false">AJ17*x_R_FUS</f>
        <v>97839099.8947674</v>
      </c>
      <c r="AL17" s="0" t="n">
        <f aca="false">AJ17*x_R_NFZ</f>
        <v>24014798.7892779</v>
      </c>
      <c r="AM17" s="0" t="n">
        <f aca="false">AJ17*x_R_PIT</f>
        <v>20558633.7744904</v>
      </c>
      <c r="AN17" s="0" t="n">
        <f aca="false">AJ17*x_R_FP</f>
        <v>7885262.47571608</v>
      </c>
      <c r="AO17" s="0" t="n">
        <f aca="false">AA17+AB17+AC17+AD17+AF17</f>
        <v>476806195.591973</v>
      </c>
      <c r="AP17" s="0" t="n">
        <f aca="false">AO17+AE17+AG17+AH17+AI17+AK17+AL17+AM17+AN17</f>
        <v>644411144.764634</v>
      </c>
      <c r="AQ17" s="0" t="n">
        <f aca="false">AO17+AE17+AG17+AJ17</f>
        <v>786032175.031819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2162.28</v>
      </c>
      <c r="I18" s="0" t="n">
        <v>341.639</v>
      </c>
      <c r="J18" s="0" t="n">
        <v>1875.458</v>
      </c>
      <c r="K18" s="0" t="n">
        <v>2544.48</v>
      </c>
      <c r="L18" s="0" t="n">
        <v>1287.887</v>
      </c>
      <c r="M18" s="0" t="n">
        <v>62586.772</v>
      </c>
      <c r="N18" s="0" t="n">
        <v>7384.503</v>
      </c>
      <c r="O18" s="0" t="n">
        <v>99.656</v>
      </c>
      <c r="P18" s="0" t="n">
        <v>99.663</v>
      </c>
      <c r="Q18" s="0" t="n">
        <v>855.516</v>
      </c>
      <c r="R18" s="0" t="n">
        <v>725.725</v>
      </c>
      <c r="S18" s="0" t="n">
        <v>3012.55</v>
      </c>
      <c r="T18" s="0" t="n">
        <v>2503.919</v>
      </c>
      <c r="U18" s="0" t="n">
        <v>1365.192</v>
      </c>
      <c r="V18" s="0" t="n">
        <v>133676.888</v>
      </c>
      <c r="W18" s="0" t="n">
        <v>358.044</v>
      </c>
      <c r="X18" s="0" t="n">
        <v>743.118</v>
      </c>
      <c r="Y18" s="0" t="n">
        <v>99.656</v>
      </c>
      <c r="Z18" s="0" t="n">
        <v>949.323</v>
      </c>
      <c r="AA18" s="0" t="n">
        <f aca="false">H18*x_c_F+I18*x_c_CC+J18*x_c_DC+K18*x_c_HCC+L18*x_c_PLT+M18*x_c_SVRn+N18*x_c_SVRcc+O18*x_c_LT+P18*x_c_LT1</f>
        <v>340527910.406062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17028524.5336298</v>
      </c>
      <c r="AI18" s="0" t="n">
        <f aca="false">x_AGRI*x_EMP*x_WLOSS*(x_PEN_K74*Q18+x_PEN_C22*R18)</f>
        <v>940037.035045087</v>
      </c>
      <c r="AJ18" s="0" t="n">
        <f aca="false">x_EMP*x_WAGE*(x_WLOSS*(Q18+R18)+S18)+U18*x_ABS_D*x_WAGE/365</f>
        <v>333689903.786319</v>
      </c>
      <c r="AK18" s="0" t="n">
        <f aca="false">AJ18*x_R_FUS</f>
        <v>105579485.557991</v>
      </c>
      <c r="AL18" s="0" t="n">
        <f aca="false">AJ18*x_R_NFZ</f>
        <v>25914691.6179493</v>
      </c>
      <c r="AM18" s="0" t="n">
        <f aca="false">AJ18*x_R_PIT</f>
        <v>22185097.5736739</v>
      </c>
      <c r="AN18" s="0" t="n">
        <f aca="false">AJ18*x_R_FP</f>
        <v>8509092.54655112</v>
      </c>
      <c r="AO18" s="0" t="n">
        <f aca="false">AA18+AB18+AC18+AD18+AF18</f>
        <v>478361338.016086</v>
      </c>
      <c r="AP18" s="0" t="n">
        <f aca="false">AO18+AE18+AG18+AH18+AI18+AK18+AL18+AM18+AN18</f>
        <v>658518266.880927</v>
      </c>
      <c r="AQ18" s="0" t="n">
        <f aca="false">AO18+AE18+AG18+AJ18</f>
        <v>812051241.802405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2163.426</v>
      </c>
      <c r="I19" s="0" t="n">
        <v>338.922</v>
      </c>
      <c r="J19" s="0" t="n">
        <v>1869.174</v>
      </c>
      <c r="K19" s="0" t="n">
        <v>2521.15</v>
      </c>
      <c r="L19" s="0" t="n">
        <v>1274.129</v>
      </c>
      <c r="M19" s="0" t="n">
        <v>65475.746</v>
      </c>
      <c r="N19" s="0" t="n">
        <v>7717.082</v>
      </c>
      <c r="O19" s="0" t="n">
        <v>99.236</v>
      </c>
      <c r="P19" s="0" t="n">
        <v>99.446</v>
      </c>
      <c r="Q19" s="0" t="n">
        <v>884.278</v>
      </c>
      <c r="R19" s="0" t="n">
        <v>756.398</v>
      </c>
      <c r="S19" s="0" t="n">
        <v>3276.303</v>
      </c>
      <c r="T19" s="0" t="n">
        <v>2502.348</v>
      </c>
      <c r="U19" s="0" t="n">
        <v>1416.161</v>
      </c>
      <c r="V19" s="0" t="n">
        <v>134888.09</v>
      </c>
      <c r="W19" s="0" t="n">
        <v>352.326</v>
      </c>
      <c r="X19" s="0" t="n">
        <v>730.933</v>
      </c>
      <c r="Y19" s="0" t="n">
        <v>99.236</v>
      </c>
      <c r="Z19" s="0" t="n">
        <v>942.142</v>
      </c>
      <c r="AA19" s="0" t="n">
        <f aca="false">H19*x_c_F+I19*x_c_CC+J19*x_c_DC+K19*x_c_HCC+L19*x_c_PLT+M19*x_c_SVRn+N19*x_c_SVRcc+O19*x_c_LT+P19*x_c_LT1</f>
        <v>341024830.495437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17671796.6520762</v>
      </c>
      <c r="AI19" s="0" t="n">
        <f aca="false">x_AGRI*x_EMP*x_WLOSS*(x_PEN_K74*Q19+x_PEN_C22*R19)</f>
        <v>975629.917019944</v>
      </c>
      <c r="AJ19" s="0" t="n">
        <f aca="false">x_EMP*x_WAGE*(x_WLOSS*(Q19+R19)+S19)+U19*x_ABS_D*x_WAGE/365</f>
        <v>359064768.74275</v>
      </c>
      <c r="AK19" s="0" t="n">
        <f aca="false">AJ19*x_R_FUS</f>
        <v>113608092.830206</v>
      </c>
      <c r="AL19" s="0" t="n">
        <f aca="false">AJ19*x_R_NFZ</f>
        <v>27885329.0053307</v>
      </c>
      <c r="AM19" s="0" t="n">
        <f aca="false">AJ19*x_R_PIT</f>
        <v>23872124.5067324</v>
      </c>
      <c r="AN19" s="0" t="n">
        <f aca="false">AJ19*x_R_FP</f>
        <v>9156151.60294013</v>
      </c>
      <c r="AO19" s="0" t="n">
        <f aca="false">AA19+AB19+AC19+AD19+AF19</f>
        <v>478858258.105462</v>
      </c>
      <c r="AP19" s="0" t="n">
        <f aca="false">AO19+AE19+AG19+AH19+AI19+AK19+AL19+AM19+AN19</f>
        <v>672027382.619767</v>
      </c>
      <c r="AQ19" s="0" t="n">
        <f aca="false">AO19+AE19+AG19+AJ19</f>
        <v>837923026.848212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2165.734</v>
      </c>
      <c r="I20" s="0" t="n">
        <v>335.077</v>
      </c>
      <c r="J20" s="0" t="n">
        <v>1856.291</v>
      </c>
      <c r="K20" s="0" t="n">
        <v>2490.224</v>
      </c>
      <c r="L20" s="0" t="n">
        <v>1259.449</v>
      </c>
      <c r="M20" s="0" t="n">
        <v>68301.733</v>
      </c>
      <c r="N20" s="0" t="n">
        <v>8020.226</v>
      </c>
      <c r="O20" s="0" t="n">
        <v>98.507</v>
      </c>
      <c r="P20" s="0" t="n">
        <v>98.872</v>
      </c>
      <c r="Q20" s="0" t="n">
        <v>914.217</v>
      </c>
      <c r="R20" s="0" t="n">
        <v>788.135</v>
      </c>
      <c r="S20" s="0" t="n">
        <v>3549.768</v>
      </c>
      <c r="T20" s="0" t="n">
        <v>2500.811</v>
      </c>
      <c r="U20" s="0" t="n">
        <v>1465.141</v>
      </c>
      <c r="V20" s="0" t="n">
        <v>136093.206</v>
      </c>
      <c r="W20" s="0" t="n">
        <v>345.775</v>
      </c>
      <c r="X20" s="0" t="n">
        <v>717.468</v>
      </c>
      <c r="Y20" s="0" t="n">
        <v>98.507</v>
      </c>
      <c r="Z20" s="0" t="n">
        <v>932.4</v>
      </c>
      <c r="AA20" s="0" t="n">
        <f aca="false">H20*x_c_F+I20*x_c_CC+J20*x_c_DC+K20*x_c_HCC+L20*x_c_PLT+M20*x_c_SVRn+N20*x_c_SVRcc+O20*x_c_LT+P20*x_c_LT1</f>
        <v>340650844.887571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18331176.3870076</v>
      </c>
      <c r="AI20" s="0" t="n">
        <f aca="false">x_AGRI*x_EMP*x_WLOSS*(x_PEN_K74*Q20+x_PEN_C22*R20)</f>
        <v>1012557.76647975</v>
      </c>
      <c r="AJ20" s="0" t="n">
        <f aca="false">x_EMP*x_WAGE*(x_WLOSS*(Q20+R20)+S20)+U20*x_ABS_D*x_WAGE/365</f>
        <v>385365056.515215</v>
      </c>
      <c r="AK20" s="0" t="n">
        <f aca="false">AJ20*x_R_FUS</f>
        <v>121929503.881414</v>
      </c>
      <c r="AL20" s="0" t="n">
        <f aca="false">AJ20*x_R_NFZ</f>
        <v>29927835.6540281</v>
      </c>
      <c r="AM20" s="0" t="n">
        <f aca="false">AJ20*x_R_PIT</f>
        <v>25620677.4111723</v>
      </c>
      <c r="AN20" s="0" t="n">
        <f aca="false">AJ20*x_R_FP</f>
        <v>9826808.94113799</v>
      </c>
      <c r="AO20" s="0" t="n">
        <f aca="false">AA20+AB20+AC20+AD20+AF20</f>
        <v>478484272.497596</v>
      </c>
      <c r="AP20" s="0" t="n">
        <f aca="false">AO20+AE20+AG20+AH20+AI20+AK20+AL20+AM20+AN20</f>
        <v>685132832.538836</v>
      </c>
      <c r="AQ20" s="0" t="n">
        <f aca="false">AO20+AE20+AG20+AJ20</f>
        <v>863849329.012811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2168.986</v>
      </c>
      <c r="I21" s="0" t="n">
        <v>330.339</v>
      </c>
      <c r="J21" s="0" t="n">
        <v>1837.906</v>
      </c>
      <c r="K21" s="0" t="n">
        <v>2453.532</v>
      </c>
      <c r="L21" s="0" t="n">
        <v>1244.22</v>
      </c>
      <c r="M21" s="0" t="n">
        <v>71083.74</v>
      </c>
      <c r="N21" s="0" t="n">
        <v>8295.333</v>
      </c>
      <c r="O21" s="0" t="n">
        <v>97.485</v>
      </c>
      <c r="P21" s="0" t="n">
        <v>97.996</v>
      </c>
      <c r="Q21" s="0" t="n">
        <v>945.368</v>
      </c>
      <c r="R21" s="0" t="n">
        <v>820.95</v>
      </c>
      <c r="S21" s="0" t="n">
        <v>3833.142</v>
      </c>
      <c r="T21" s="0" t="n">
        <v>2499.325</v>
      </c>
      <c r="U21" s="0" t="n">
        <v>1511.832</v>
      </c>
      <c r="V21" s="0" t="n">
        <v>137317.056</v>
      </c>
      <c r="W21" s="0" t="n">
        <v>338.6</v>
      </c>
      <c r="X21" s="0" t="n">
        <v>703.082</v>
      </c>
      <c r="Y21" s="0" t="n">
        <v>97.485</v>
      </c>
      <c r="Z21" s="0" t="n">
        <v>920.309</v>
      </c>
      <c r="AA21" s="0" t="n">
        <f aca="false">H21*x_c_F+I21*x_c_CC+J21*x_c_DC+K21*x_c_HCC+L21*x_c_PLT+M21*x_c_SVRn+N21*x_c_SVRcc+O21*x_c_LT+P21*x_c_LT1</f>
        <v>339576896.22459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19006477.8798109</v>
      </c>
      <c r="AI21" s="0" t="n">
        <f aca="false">x_AGRI*x_EMP*x_WLOSS*(x_PEN_K74*Q21+x_PEN_C22*R21)</f>
        <v>1050849.06548694</v>
      </c>
      <c r="AJ21" s="0" t="n">
        <f aca="false">x_EMP*x_WAGE*(x_WLOSS*(Q21+R21)+S21)+U21*x_ABS_D*x_WAGE/365</f>
        <v>412608939.040028</v>
      </c>
      <c r="AK21" s="0" t="n">
        <f aca="false">AJ21*x_R_FUS</f>
        <v>130549468.312265</v>
      </c>
      <c r="AL21" s="0" t="n">
        <f aca="false">AJ21*x_R_NFZ</f>
        <v>32043622.8147876</v>
      </c>
      <c r="AM21" s="0" t="n">
        <f aca="false">AJ21*x_R_PIT</f>
        <v>27431964.4331665</v>
      </c>
      <c r="AN21" s="0" t="n">
        <f aca="false">AJ21*x_R_FP</f>
        <v>10521527.9455207</v>
      </c>
      <c r="AO21" s="0" t="n">
        <f aca="false">AA21+AB21+AC21+AD21+AF21</f>
        <v>477410323.834615</v>
      </c>
      <c r="AP21" s="0" t="n">
        <f aca="false">AO21+AE21+AG21+AH21+AI21+AK21+AL21+AM21+AN21</f>
        <v>698014234.285652</v>
      </c>
      <c r="AQ21" s="0" t="n">
        <f aca="false">AO21+AE21+AG21+AJ21</f>
        <v>890019262.874642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2172.969</v>
      </c>
      <c r="I22" s="0" t="n">
        <v>324.934</v>
      </c>
      <c r="J22" s="0" t="n">
        <v>1814.814</v>
      </c>
      <c r="K22" s="0" t="n">
        <v>2412.444</v>
      </c>
      <c r="L22" s="0" t="n">
        <v>1228.178</v>
      </c>
      <c r="M22" s="0" t="n">
        <v>73826.383</v>
      </c>
      <c r="N22" s="0" t="n">
        <v>8542.49</v>
      </c>
      <c r="O22" s="0" t="n">
        <v>96.233</v>
      </c>
      <c r="P22" s="0" t="n">
        <v>96.859</v>
      </c>
      <c r="Q22" s="0" t="n">
        <v>977.75</v>
      </c>
      <c r="R22" s="0" t="n">
        <v>854.815</v>
      </c>
      <c r="S22" s="0" t="n">
        <v>4126.581</v>
      </c>
      <c r="T22" s="0" t="n">
        <v>2497.903</v>
      </c>
      <c r="U22" s="0" t="n">
        <v>1556.02</v>
      </c>
      <c r="V22" s="0" t="n">
        <v>138566.634</v>
      </c>
      <c r="W22" s="0" t="n">
        <v>331.087</v>
      </c>
      <c r="X22" s="0" t="n">
        <v>688.289</v>
      </c>
      <c r="Y22" s="0" t="n">
        <v>96.233</v>
      </c>
      <c r="Z22" s="0" t="n">
        <v>906.49</v>
      </c>
      <c r="AA22" s="0" t="n">
        <f aca="false">H22*x_c_F+I22*x_c_CC+J22*x_c_DC+K22*x_c_HCC+L22*x_c_PLT+M22*x_c_SVRn+N22*x_c_SVRcc+O22*x_c_LT+P22*x_c_LT1</f>
        <v>337922305.528019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19697152.6544765</v>
      </c>
      <c r="AI22" s="0" t="n">
        <f aca="false">x_AGRI*x_EMP*x_WLOSS*(x_PEN_K74*Q22+x_PEN_C22*R22)</f>
        <v>1090496.64126132</v>
      </c>
      <c r="AJ22" s="0" t="n">
        <f aca="false">x_EMP*x_WAGE*(x_WLOSS*(Q22+R22)+S22)+U22*x_ABS_D*x_WAGE/365</f>
        <v>440808673.838894</v>
      </c>
      <c r="AK22" s="0" t="n">
        <f aca="false">AJ22*x_R_FUS</f>
        <v>139471864.402626</v>
      </c>
      <c r="AL22" s="0" t="n">
        <f aca="false">AJ22*x_R_NFZ</f>
        <v>34233642.4190024</v>
      </c>
      <c r="AM22" s="0" t="n">
        <f aca="false">AJ22*x_R_PIT</f>
        <v>29306800.5039192</v>
      </c>
      <c r="AN22" s="0" t="n">
        <f aca="false">AJ22*x_R_FP</f>
        <v>11240621.1828918</v>
      </c>
      <c r="AO22" s="0" t="n">
        <f aca="false">AA22+AB22+AC22+AD22+AF22</f>
        <v>475755733.138044</v>
      </c>
      <c r="AP22" s="0" t="n">
        <f aca="false">AO22+AE22+AG22+AH22+AI22+AK22+AL22+AM22+AN22</f>
        <v>710796310.942221</v>
      </c>
      <c r="AQ22" s="0" t="n">
        <f aca="false">AO22+AE22+AG22+AJ22</f>
        <v>916564406.976938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2177.468</v>
      </c>
      <c r="I23" s="0" t="n">
        <v>319.088</v>
      </c>
      <c r="J23" s="0" t="n">
        <v>1788.144</v>
      </c>
      <c r="K23" s="0" t="n">
        <v>2368.586</v>
      </c>
      <c r="L23" s="0" t="n">
        <v>1211.548</v>
      </c>
      <c r="M23" s="0" t="n">
        <v>76543.181</v>
      </c>
      <c r="N23" s="0" t="n">
        <v>8763.812</v>
      </c>
      <c r="O23" s="0" t="n">
        <v>94.806</v>
      </c>
      <c r="P23" s="0" t="n">
        <v>95.519</v>
      </c>
      <c r="Q23" s="0" t="n">
        <v>1011.351</v>
      </c>
      <c r="R23" s="0" t="n">
        <v>889.653</v>
      </c>
      <c r="S23" s="0" t="n">
        <v>4430.163</v>
      </c>
      <c r="T23" s="0" t="n">
        <v>2496.557</v>
      </c>
      <c r="U23" s="0" t="n">
        <v>1597.503</v>
      </c>
      <c r="V23" s="0" t="n">
        <v>139857.049</v>
      </c>
      <c r="W23" s="0" t="n">
        <v>323.462</v>
      </c>
      <c r="X23" s="0" t="n">
        <v>673.486</v>
      </c>
      <c r="Y23" s="0" t="n">
        <v>94.806</v>
      </c>
      <c r="Z23" s="0" t="n">
        <v>891.47</v>
      </c>
      <c r="AA23" s="0" t="n">
        <f aca="false">H23*x_c_F+I23*x_c_CC+J23*x_c_DC+K23*x_c_HCC+L23*x_c_PLT+M23*x_c_SVRn+N23*x_c_SVRcc+O23*x_c_LT+P23*x_c_LT1</f>
        <v>335853135.384827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20401943.1892639</v>
      </c>
      <c r="AI23" s="0" t="n">
        <f aca="false">x_AGRI*x_EMP*x_WLOSS*(x_PEN_K74*Q23+x_PEN_C22*R23)</f>
        <v>1131444.82378213</v>
      </c>
      <c r="AJ23" s="0" t="n">
        <f aca="false">x_EMP*x_WAGE*(x_WLOSS*(Q23+R23)+S23)+U23*x_ABS_D*x_WAGE/365</f>
        <v>469966218.746237</v>
      </c>
      <c r="AK23" s="0" t="n">
        <f aca="false">AJ23*x_R_FUS</f>
        <v>148697311.611309</v>
      </c>
      <c r="AL23" s="0" t="n">
        <f aca="false">AJ23*x_R_NFZ</f>
        <v>36498046.5140515</v>
      </c>
      <c r="AM23" s="0" t="n">
        <f aca="false">AJ23*x_R_PIT</f>
        <v>31245315.7884344</v>
      </c>
      <c r="AN23" s="0" t="n">
        <f aca="false">AJ23*x_R_FP</f>
        <v>11984138.578029</v>
      </c>
      <c r="AO23" s="0" t="n">
        <f aca="false">AA23+AB23+AC23+AD23+AF23</f>
        <v>473686562.994852</v>
      </c>
      <c r="AP23" s="0" t="n">
        <f aca="false">AO23+AE23+AG23+AH23+AI23+AK23+AL23+AM23+AN23</f>
        <v>723644763.499722</v>
      </c>
      <c r="AQ23" s="0" t="n">
        <f aca="false">AO23+AE23+AG23+AJ23</f>
        <v>943652781.741089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2182.288</v>
      </c>
      <c r="I24" s="0" t="n">
        <v>313.005</v>
      </c>
      <c r="J24" s="0" t="n">
        <v>1758.927</v>
      </c>
      <c r="K24" s="0" t="n">
        <v>2323.343</v>
      </c>
      <c r="L24" s="0" t="n">
        <v>1194.518</v>
      </c>
      <c r="M24" s="0" t="n">
        <v>79244.982</v>
      </c>
      <c r="N24" s="0" t="n">
        <v>8961.53</v>
      </c>
      <c r="O24" s="0" t="n">
        <v>93.259</v>
      </c>
      <c r="P24" s="0" t="n">
        <v>94.033</v>
      </c>
      <c r="Q24" s="0" t="n">
        <v>1046.134</v>
      </c>
      <c r="R24" s="0" t="n">
        <v>925.354</v>
      </c>
      <c r="S24" s="0" t="n">
        <v>4743.902</v>
      </c>
      <c r="T24" s="0" t="n">
        <v>2495.293</v>
      </c>
      <c r="U24" s="0" t="n">
        <v>1636.169</v>
      </c>
      <c r="V24" s="0" t="n">
        <v>141197.823</v>
      </c>
      <c r="W24" s="0" t="n">
        <v>315.913</v>
      </c>
      <c r="X24" s="0" t="n">
        <v>658.999</v>
      </c>
      <c r="Y24" s="0" t="n">
        <v>93.259</v>
      </c>
      <c r="Z24" s="0" t="n">
        <v>875.744</v>
      </c>
      <c r="AA24" s="0" t="n">
        <f aca="false">H24*x_c_F+I24*x_c_CC+J24*x_c_DC+K24*x_c_HCC+L24*x_c_PLT+M24*x_c_SVRn+N24*x_c_SVRcc+O24*x_c_LT+P24*x_c_LT1</f>
        <v>333515921.732453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21119247.9639948</v>
      </c>
      <c r="AI24" s="0" t="n">
        <f aca="false">x_AGRI*x_EMP*x_WLOSS*(x_PEN_K74*Q24+x_PEN_C22*R24)</f>
        <v>1173602.97530397</v>
      </c>
      <c r="AJ24" s="0" t="n">
        <f aca="false">x_EMP*x_WAGE*(x_WLOSS*(Q24+R24)+S24)+U24*x_ABS_D*x_WAGE/365</f>
        <v>500075667.940033</v>
      </c>
      <c r="AK24" s="0" t="n">
        <f aca="false">AJ24*x_R_FUS</f>
        <v>158223941.336226</v>
      </c>
      <c r="AL24" s="0" t="n">
        <f aca="false">AJ24*x_R_NFZ</f>
        <v>38836376.4478909</v>
      </c>
      <c r="AM24" s="0" t="n">
        <f aca="false">AJ24*x_R_PIT</f>
        <v>33247117.643014</v>
      </c>
      <c r="AN24" s="0" t="n">
        <f aca="false">AJ24*x_R_FP</f>
        <v>12751929.5324708</v>
      </c>
      <c r="AO24" s="0" t="n">
        <f aca="false">AA24+AB24+AC24+AD24+AF24</f>
        <v>471349349.342477</v>
      </c>
      <c r="AP24" s="0" t="n">
        <f aca="false">AO24+AE24+AG24+AH24+AI24+AK24+AL24+AM24+AN24</f>
        <v>736701565.241378</v>
      </c>
      <c r="AQ24" s="0" t="n">
        <f aca="false">AO24+AE24+AG24+AJ24</f>
        <v>971425017.28251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2187.258</v>
      </c>
      <c r="I25" s="0" t="n">
        <v>306.858</v>
      </c>
      <c r="J25" s="0" t="n">
        <v>1728.109</v>
      </c>
      <c r="K25" s="0" t="n">
        <v>2277.895</v>
      </c>
      <c r="L25" s="0" t="n">
        <v>1177.273</v>
      </c>
      <c r="M25" s="0" t="n">
        <v>81940.913</v>
      </c>
      <c r="N25" s="0" t="n">
        <v>9138.066</v>
      </c>
      <c r="O25" s="0" t="n">
        <v>91.64</v>
      </c>
      <c r="P25" s="0" t="n">
        <v>92.449</v>
      </c>
      <c r="Q25" s="0" t="n">
        <v>1082.042</v>
      </c>
      <c r="R25" s="0" t="n">
        <v>961.776</v>
      </c>
      <c r="S25" s="0" t="n">
        <v>5067.754</v>
      </c>
      <c r="T25" s="0" t="n">
        <v>2494.116</v>
      </c>
      <c r="U25" s="0" t="n">
        <v>1671.967</v>
      </c>
      <c r="V25" s="0" t="n">
        <v>142595.25</v>
      </c>
      <c r="W25" s="0" t="n">
        <v>308.583</v>
      </c>
      <c r="X25" s="0" t="n">
        <v>645.067</v>
      </c>
      <c r="Y25" s="0" t="n">
        <v>91.64</v>
      </c>
      <c r="Z25" s="0" t="n">
        <v>859.728</v>
      </c>
      <c r="AA25" s="0" t="n">
        <f aca="false">H25*x_c_F+I25*x_c_CC+J25*x_c_DC+K25*x_c_HCC+L25*x_c_PLT+M25*x_c_SVRn+N25*x_c_SVRcc+O25*x_c_LT+P25*x_c_LT1</f>
        <v>331039223.529149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21847113.7784407</v>
      </c>
      <c r="AI25" s="0" t="n">
        <f aca="false">x_AGRI*x_EMP*x_WLOSS*(x_PEN_K74*Q25+x_PEN_C22*R25)</f>
        <v>1216848.9234231</v>
      </c>
      <c r="AJ25" s="0" t="n">
        <f aca="false">x_EMP*x_WAGE*(x_WLOSS*(Q25+R25)+S25)+U25*x_ABS_D*x_WAGE/365</f>
        <v>531123954.667576</v>
      </c>
      <c r="AK25" s="0" t="n">
        <f aca="false">AJ25*x_R_FUS</f>
        <v>168047619.256821</v>
      </c>
      <c r="AL25" s="0" t="n">
        <f aca="false">AJ25*x_R_NFZ</f>
        <v>41247617.4434387</v>
      </c>
      <c r="AM25" s="0" t="n">
        <f aca="false">AJ25*x_R_PIT</f>
        <v>35311337.3353995</v>
      </c>
      <c r="AN25" s="0" t="n">
        <f aca="false">AJ25*x_R_FP</f>
        <v>13543660.8440232</v>
      </c>
      <c r="AO25" s="0" t="n">
        <f aca="false">AA25+AB25+AC25+AD25+AF25</f>
        <v>468872651.139173</v>
      </c>
      <c r="AP25" s="0" t="n">
        <f aca="false">AO25+AE25+AG25+AH25+AI25+AK25+AL25+AM25+AN25</f>
        <v>750086848.72072</v>
      </c>
      <c r="AQ25" s="0" t="n">
        <f aca="false">AO25+AE25+AG25+AJ25</f>
        <v>999996605.80675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2192.242</v>
      </c>
      <c r="I26" s="0" t="n">
        <v>300.781</v>
      </c>
      <c r="J26" s="0" t="n">
        <v>1696.45</v>
      </c>
      <c r="K26" s="0" t="n">
        <v>2233.113</v>
      </c>
      <c r="L26" s="0" t="n">
        <v>1159.935</v>
      </c>
      <c r="M26" s="0" t="n">
        <v>84636.609</v>
      </c>
      <c r="N26" s="0" t="n">
        <v>9295.492</v>
      </c>
      <c r="O26" s="0" t="n">
        <v>89.982</v>
      </c>
      <c r="P26" s="0" t="n">
        <v>90.811</v>
      </c>
      <c r="Q26" s="0" t="n">
        <v>1118.993</v>
      </c>
      <c r="R26" s="0" t="n">
        <v>998.752</v>
      </c>
      <c r="S26" s="0" t="n">
        <v>5401.614</v>
      </c>
      <c r="T26" s="0" t="n">
        <v>2493.024</v>
      </c>
      <c r="U26" s="0" t="n">
        <v>1704.933</v>
      </c>
      <c r="V26" s="0" t="n">
        <v>144050.15</v>
      </c>
      <c r="W26" s="0" t="n">
        <v>301.56</v>
      </c>
      <c r="X26" s="0" t="n">
        <v>631.823</v>
      </c>
      <c r="Y26" s="0" t="n">
        <v>89.982</v>
      </c>
      <c r="Z26" s="0" t="n">
        <v>843.715</v>
      </c>
      <c r="AA26" s="0" t="n">
        <f aca="false">H26*x_c_F+I26*x_c_CC+J26*x_c_DC+K26*x_c_HCC+L26*x_c_PLT+M26*x_c_SVRn+N26*x_c_SVRcc+O26*x_c_LT+P26*x_c_LT1</f>
        <v>328518269.631777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22583314.2185686</v>
      </c>
      <c r="AI26" s="0" t="n">
        <f aca="false">x_AGRI*x_EMP*x_WLOSS*(x_PEN_K74*Q26+x_PEN_C22*R26)</f>
        <v>1261030.61440916</v>
      </c>
      <c r="AJ26" s="0" t="n">
        <f aca="false">x_EMP*x_WAGE*(x_WLOSS*(Q26+R26)+S26)+U26*x_ABS_D*x_WAGE/365</f>
        <v>563090763.950841</v>
      </c>
      <c r="AK26" s="0" t="n">
        <f aca="false">AJ26*x_R_FUS</f>
        <v>178161917.714046</v>
      </c>
      <c r="AL26" s="0" t="n">
        <f aca="false">AJ26*x_R_NFZ</f>
        <v>43730191.8191862</v>
      </c>
      <c r="AM26" s="0" t="n">
        <f aca="false">AJ26*x_R_PIT</f>
        <v>37436624.2410602</v>
      </c>
      <c r="AN26" s="0" t="n">
        <f aca="false">AJ26*x_R_FP</f>
        <v>14358814.4807464</v>
      </c>
      <c r="AO26" s="0" t="n">
        <f aca="false">AA26+AB26+AC26+AD26+AF26</f>
        <v>466351697.241801</v>
      </c>
      <c r="AP26" s="0" t="n">
        <f aca="false">AO26+AE26+AG26+AH26+AI26+AK26+AL26+AM26+AN26</f>
        <v>763883590.329818</v>
      </c>
      <c r="AQ26" s="0" t="n">
        <f aca="false">AO26+AE26+AG26+AJ26</f>
        <v>1029442461.19264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2197.142</v>
      </c>
      <c r="I27" s="0" t="n">
        <v>294.869</v>
      </c>
      <c r="J27" s="0" t="n">
        <v>1664.538</v>
      </c>
      <c r="K27" s="0" t="n">
        <v>2189.602</v>
      </c>
      <c r="L27" s="0" t="n">
        <v>1142.577</v>
      </c>
      <c r="M27" s="0" t="n">
        <v>87334.836</v>
      </c>
      <c r="N27" s="0" t="n">
        <v>9435.529</v>
      </c>
      <c r="O27" s="0" t="n">
        <v>88.318</v>
      </c>
      <c r="P27" s="0" t="n">
        <v>89.15</v>
      </c>
      <c r="Q27" s="0" t="n">
        <v>1156.866</v>
      </c>
      <c r="R27" s="0" t="n">
        <v>1036.084</v>
      </c>
      <c r="S27" s="0" t="n">
        <v>5745.194</v>
      </c>
      <c r="T27" s="0" t="n">
        <v>2492.012</v>
      </c>
      <c r="U27" s="0" t="n">
        <v>1735.158</v>
      </c>
      <c r="V27" s="0" t="n">
        <v>145559.416</v>
      </c>
      <c r="W27" s="0" t="n">
        <v>294.897</v>
      </c>
      <c r="X27" s="0" t="n">
        <v>619.342</v>
      </c>
      <c r="Y27" s="0" t="n">
        <v>88.318</v>
      </c>
      <c r="Z27" s="0" t="n">
        <v>827.944</v>
      </c>
      <c r="AA27" s="0" t="n">
        <f aca="false">H27*x_c_F+I27*x_c_CC+J27*x_c_DC+K27*x_c_HCC+L27*x_c_PLT+M27*x_c_SVRn+N27*x_c_SVRcc+O27*x_c_LT+P27*x_c_LT1</f>
        <v>326023462.765578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23325107.6582806</v>
      </c>
      <c r="AI27" s="0" t="n">
        <f aca="false">x_AGRI*x_EMP*x_WLOSS*(x_PEN_K74*Q27+x_PEN_C22*R27)</f>
        <v>1305954.46606029</v>
      </c>
      <c r="AJ27" s="0" t="n">
        <f aca="false">x_EMP*x_WAGE*(x_WLOSS*(Q27+R27)+S27)+U27*x_ABS_D*x_WAGE/365</f>
        <v>595937115.65672</v>
      </c>
      <c r="AK27" s="0" t="n">
        <f aca="false">AJ27*x_R_FUS</f>
        <v>188554503.393786</v>
      </c>
      <c r="AL27" s="0" t="n">
        <f aca="false">AJ27*x_R_NFZ</f>
        <v>46281072.3390166</v>
      </c>
      <c r="AM27" s="0" t="n">
        <f aca="false">AJ27*x_R_PIT</f>
        <v>39620386.7980502</v>
      </c>
      <c r="AN27" s="0" t="n">
        <f aca="false">AJ27*x_R_FP</f>
        <v>15196396.4492464</v>
      </c>
      <c r="AO27" s="0" t="n">
        <f aca="false">AA27+AB27+AC27+AD27+AF27</f>
        <v>463856890.375602</v>
      </c>
      <c r="AP27" s="0" t="n">
        <f aca="false">AO27+AE27+AG27+AH27+AI27+AK27+AL27+AM27+AN27</f>
        <v>778140311.480042</v>
      </c>
      <c r="AQ27" s="0" t="n">
        <f aca="false">AO27+AE27+AG27+AJ27</f>
        <v>1059794006.03232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2201.89</v>
      </c>
      <c r="I28" s="0" t="n">
        <v>289.184</v>
      </c>
      <c r="J28" s="0" t="n">
        <v>1632.794</v>
      </c>
      <c r="K28" s="0" t="n">
        <v>2147.725</v>
      </c>
      <c r="L28" s="0" t="n">
        <v>1125.211</v>
      </c>
      <c r="M28" s="0" t="n">
        <v>90035.459</v>
      </c>
      <c r="N28" s="0" t="n">
        <v>9559.424</v>
      </c>
      <c r="O28" s="0" t="n">
        <v>86.663</v>
      </c>
      <c r="P28" s="0" t="n">
        <v>87.49</v>
      </c>
      <c r="Q28" s="0" t="n">
        <v>1195.51</v>
      </c>
      <c r="R28" s="0" t="n">
        <v>1073.555</v>
      </c>
      <c r="S28" s="0" t="n">
        <v>6098.066</v>
      </c>
      <c r="T28" s="0" t="n">
        <v>2491.074</v>
      </c>
      <c r="U28" s="0" t="n">
        <v>1762.778</v>
      </c>
      <c r="V28" s="0" t="n">
        <v>147116.597</v>
      </c>
      <c r="W28" s="0" t="n">
        <v>288.605</v>
      </c>
      <c r="X28" s="0" t="n">
        <v>607.619</v>
      </c>
      <c r="Y28" s="0" t="n">
        <v>86.663</v>
      </c>
      <c r="Z28" s="0" t="n">
        <v>812.532</v>
      </c>
      <c r="AA28" s="0" t="n">
        <f aca="false">H28*x_c_F+I28*x_c_CC+J28*x_c_DC+K28*x_c_HCC+L28*x_c_PLT+M28*x_c_SVRn+N28*x_c_SVRcc+O28*x_c_LT+P28*x_c_LT1</f>
        <v>323595364.451275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24069408.3048965</v>
      </c>
      <c r="AI28" s="0" t="n">
        <f aca="false">x_AGRI*x_EMP*x_WLOSS*(x_PEN_K74*Q28+x_PEN_C22*R28)</f>
        <v>1351398.03238</v>
      </c>
      <c r="AJ28" s="0" t="n">
        <f aca="false">x_EMP*x_WAGE*(x_WLOSS*(Q28+R28)+S28)+U28*x_ABS_D*x_WAGE/365</f>
        <v>629609968.536568</v>
      </c>
      <c r="AK28" s="0" t="n">
        <f aca="false">AJ28*x_R_FUS</f>
        <v>199208594.04497</v>
      </c>
      <c r="AL28" s="0" t="n">
        <f aca="false">AJ28*x_R_NFZ</f>
        <v>48896139.7665184</v>
      </c>
      <c r="AM28" s="0" t="n">
        <f aca="false">AJ28*x_R_PIT</f>
        <v>41859098.6027734</v>
      </c>
      <c r="AN28" s="0" t="n">
        <f aca="false">AJ28*x_R_FP</f>
        <v>16055054.1976825</v>
      </c>
      <c r="AO28" s="0" t="n">
        <f aca="false">AA28+AB28+AC28+AD28+AF28</f>
        <v>461428792.061299</v>
      </c>
      <c r="AP28" s="0" t="n">
        <f aca="false">AO28+AE28+AG28+AH28+AI28+AK28+AL28+AM28+AN28</f>
        <v>792868485.01052</v>
      </c>
      <c r="AQ28" s="0" t="n">
        <f aca="false">AO28+AE28+AG28+AJ28</f>
        <v>1091038760.59787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2206.446</v>
      </c>
      <c r="I29" s="0" t="n">
        <v>283.756</v>
      </c>
      <c r="J29" s="0" t="n">
        <v>1601.473</v>
      </c>
      <c r="K29" s="0" t="n">
        <v>2107.62</v>
      </c>
      <c r="L29" s="0" t="n">
        <v>1107.79</v>
      </c>
      <c r="M29" s="0" t="n">
        <v>92735.475</v>
      </c>
      <c r="N29" s="0" t="n">
        <v>9667.834</v>
      </c>
      <c r="O29" s="0" t="n">
        <v>85.031</v>
      </c>
      <c r="P29" s="0" t="n">
        <v>85.847</v>
      </c>
      <c r="Q29" s="0" t="n">
        <v>1234.77</v>
      </c>
      <c r="R29" s="0" t="n">
        <v>1110.952</v>
      </c>
      <c r="S29" s="0" t="n">
        <v>6459.8</v>
      </c>
      <c r="T29" s="0" t="n">
        <v>2490.201</v>
      </c>
      <c r="U29" s="0" t="n">
        <v>1787.97</v>
      </c>
      <c r="V29" s="0" t="n">
        <v>148712.195</v>
      </c>
      <c r="W29" s="0" t="n">
        <v>282.677</v>
      </c>
      <c r="X29" s="0" t="n">
        <v>596.615</v>
      </c>
      <c r="Y29" s="0" t="n">
        <v>85.031</v>
      </c>
      <c r="Z29" s="0" t="n">
        <v>797.549</v>
      </c>
      <c r="AA29" s="0" t="n">
        <f aca="false">H29*x_c_F+I29*x_c_CC+J29*x_c_DC+K29*x_c_HCC+L29*x_c_PLT+M29*x_c_SVRn+N29*x_c_SVRcc+O29*x_c_LT+P29*x_c_LT1</f>
        <v>321251328.070195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24813219.2770969</v>
      </c>
      <c r="AI29" s="0" t="n">
        <f aca="false">x_AGRI*x_EMP*x_WLOSS*(x_PEN_K74*Q29+x_PEN_C22*R29)</f>
        <v>1397139.17275755</v>
      </c>
      <c r="AJ29" s="0" t="n">
        <f aca="false">x_EMP*x_WAGE*(x_WLOSS*(Q29+R29)+S29)+U29*x_ABS_D*x_WAGE/365</f>
        <v>664056231.252577</v>
      </c>
      <c r="AK29" s="0" t="n">
        <f aca="false">AJ29*x_R_FUS</f>
        <v>210107391.568315</v>
      </c>
      <c r="AL29" s="0" t="n">
        <f aca="false">AJ29*x_R_NFZ</f>
        <v>51571270.9753064</v>
      </c>
      <c r="AM29" s="0" t="n">
        <f aca="false">AJ29*x_R_PIT</f>
        <v>44149229.9214975</v>
      </c>
      <c r="AN29" s="0" t="n">
        <f aca="false">AJ29*x_R_FP</f>
        <v>16933433.8969407</v>
      </c>
      <c r="AO29" s="0" t="n">
        <f aca="false">AA29+AB29+AC29+AD29+AF29</f>
        <v>459084755.680219</v>
      </c>
      <c r="AP29" s="0" t="n">
        <f aca="false">AO29+AE29+AG29+AH29+AI29+AK29+AL29+AM29+AN29</f>
        <v>808056440.492134</v>
      </c>
      <c r="AQ29" s="0" t="n">
        <f aca="false">AO29+AE29+AG29+AJ29</f>
        <v>1123140986.9328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2210.795</v>
      </c>
      <c r="I30" s="0" t="n">
        <v>278.59</v>
      </c>
      <c r="J30" s="0" t="n">
        <v>1570.691</v>
      </c>
      <c r="K30" s="0" t="n">
        <v>2069.255</v>
      </c>
      <c r="L30" s="0" t="n">
        <v>1090.2</v>
      </c>
      <c r="M30" s="0" t="n">
        <v>95429.219</v>
      </c>
      <c r="N30" s="0" t="n">
        <v>9760.808</v>
      </c>
      <c r="O30" s="0" t="n">
        <v>83.423</v>
      </c>
      <c r="P30" s="0" t="n">
        <v>84.227</v>
      </c>
      <c r="Q30" s="0" t="n">
        <v>1274.462</v>
      </c>
      <c r="R30" s="0" t="n">
        <v>1148.048</v>
      </c>
      <c r="S30" s="0" t="n">
        <v>6829.763</v>
      </c>
      <c r="T30" s="0" t="n">
        <v>2489.385</v>
      </c>
      <c r="U30" s="0" t="n">
        <v>1810.92</v>
      </c>
      <c r="V30" s="0" t="n">
        <v>150334.431</v>
      </c>
      <c r="W30" s="0" t="n">
        <v>277.077</v>
      </c>
      <c r="X30" s="0" t="n">
        <v>586.243</v>
      </c>
      <c r="Y30" s="0" t="n">
        <v>83.423</v>
      </c>
      <c r="Z30" s="0" t="n">
        <v>782.977</v>
      </c>
      <c r="AA30" s="0" t="n">
        <f aca="false">H30*x_c_F+I30*x_c_CC+J30*x_c_DC+K30*x_c_HCC+L30*x_c_PLT+M30*x_c_SVRn+N30*x_c_SVRcc+O30*x_c_LT+P30*x_c_LT1</f>
        <v>318985087.741036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25553182.0743835</v>
      </c>
      <c r="AI30" s="0" t="n">
        <f aca="false">x_AGRI*x_EMP*x_WLOSS*(x_PEN_K74*Q30+x_PEN_C22*R30)</f>
        <v>1442930.62123965</v>
      </c>
      <c r="AJ30" s="0" t="n">
        <f aca="false">x_EMP*x_WAGE*(x_WLOSS*(Q30+R30)+S30)+U30*x_ABS_D*x_WAGE/365</f>
        <v>699203550.54178</v>
      </c>
      <c r="AK30" s="0" t="n">
        <f aca="false">AJ30*x_R_FUS</f>
        <v>221228003.391419</v>
      </c>
      <c r="AL30" s="0" t="n">
        <f aca="false">AJ30*x_R_NFZ</f>
        <v>54300846.9386252</v>
      </c>
      <c r="AM30" s="0" t="n">
        <f aca="false">AJ30*x_R_PIT</f>
        <v>46485970.407309</v>
      </c>
      <c r="AN30" s="0" t="n">
        <f aca="false">AJ30*x_R_FP</f>
        <v>17829690.5388154</v>
      </c>
      <c r="AO30" s="0" t="n">
        <f aca="false">AA30+AB30+AC30+AD30+AF30</f>
        <v>456818515.351061</v>
      </c>
      <c r="AP30" s="0" t="n">
        <f aca="false">AO30+AE30+AG30+AH30+AI30+AK30+AL30+AM30+AN30</f>
        <v>823659139.322853</v>
      </c>
      <c r="AQ30" s="0" t="n">
        <f aca="false">AO30+AE30+AG30+AJ30</f>
        <v>1156022065.89284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2214.938</v>
      </c>
      <c r="I31" s="0" t="n">
        <v>273.678</v>
      </c>
      <c r="J31" s="0" t="n">
        <v>1540.452</v>
      </c>
      <c r="K31" s="0" t="n">
        <v>2032.466</v>
      </c>
      <c r="L31" s="0" t="n">
        <v>1072.268</v>
      </c>
      <c r="M31" s="0" t="n">
        <v>98108.478</v>
      </c>
      <c r="N31" s="0" t="n">
        <v>9837.786</v>
      </c>
      <c r="O31" s="0" t="n">
        <v>81.84</v>
      </c>
      <c r="P31" s="0" t="n">
        <v>82.632</v>
      </c>
      <c r="Q31" s="0" t="n">
        <v>1314.387</v>
      </c>
      <c r="R31" s="0" t="n">
        <v>1184.619</v>
      </c>
      <c r="S31" s="0" t="n">
        <v>7207.212</v>
      </c>
      <c r="T31" s="0" t="n">
        <v>2488.616</v>
      </c>
      <c r="U31" s="0" t="n">
        <v>1831.823</v>
      </c>
      <c r="V31" s="0" t="n">
        <v>151969.643</v>
      </c>
      <c r="W31" s="0" t="n">
        <v>271.765</v>
      </c>
      <c r="X31" s="0" t="n">
        <v>576.41</v>
      </c>
      <c r="Y31" s="0" t="n">
        <v>81.84</v>
      </c>
      <c r="Z31" s="0" t="n">
        <v>768.773</v>
      </c>
      <c r="AA31" s="0" t="n">
        <f aca="false">H31*x_c_F+I31*x_c_CC+J31*x_c_DC+K31*x_c_HCC+L31*x_c_PLT+M31*x_c_SVRn+N31*x_c_SVRcc+O31*x_c_LT+P31*x_c_LT1</f>
        <v>316774737.131224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26285858.5964951</v>
      </c>
      <c r="AI31" s="0" t="n">
        <f aca="false">x_AGRI*x_EMP*x_WLOSS*(x_PEN_K74*Q31+x_PEN_C22*R31)</f>
        <v>1488518.62747258</v>
      </c>
      <c r="AJ31" s="0" t="n">
        <f aca="false">x_EMP*x_WAGE*(x_WLOSS*(Q31+R31)+S31)+U31*x_ABS_D*x_WAGE/365</f>
        <v>734969668.230899</v>
      </c>
      <c r="AK31" s="0" t="n">
        <f aca="false">AJ31*x_R_FUS</f>
        <v>232544403.028257</v>
      </c>
      <c r="AL31" s="0" t="n">
        <f aca="false">AJ31*x_R_NFZ</f>
        <v>57078479.4044799</v>
      </c>
      <c r="AM31" s="0" t="n">
        <f aca="false">AJ31*x_R_PIT</f>
        <v>48863851.1935156</v>
      </c>
      <c r="AN31" s="0" t="n">
        <f aca="false">AJ31*x_R_FP</f>
        <v>18741726.5398879</v>
      </c>
      <c r="AO31" s="0" t="n">
        <f aca="false">AA31+AB31+AC31+AD31+AF31</f>
        <v>454608164.741248</v>
      </c>
      <c r="AP31" s="0" t="n">
        <f aca="false">AO31+AE31+AG31+AH31+AI31+AK31+AL31+AM31+AN31</f>
        <v>839611002.131356</v>
      </c>
      <c r="AQ31" s="0" t="n">
        <f aca="false">AO31+AE31+AG31+AJ31</f>
        <v>1189577832.97215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2218.881</v>
      </c>
      <c r="I32" s="0" t="n">
        <v>269.006</v>
      </c>
      <c r="J32" s="0" t="n">
        <v>1510.712</v>
      </c>
      <c r="K32" s="0" t="n">
        <v>1997.048</v>
      </c>
      <c r="L32" s="0" t="n">
        <v>1053.797</v>
      </c>
      <c r="M32" s="0" t="n">
        <v>100763.787</v>
      </c>
      <c r="N32" s="0" t="n">
        <v>9897.899</v>
      </c>
      <c r="O32" s="0" t="n">
        <v>80.279</v>
      </c>
      <c r="P32" s="0" t="n">
        <v>81.059</v>
      </c>
      <c r="Q32" s="0" t="n">
        <v>1354.339</v>
      </c>
      <c r="R32" s="0" t="n">
        <v>1220.45</v>
      </c>
      <c r="S32" s="0" t="n">
        <v>7591.311</v>
      </c>
      <c r="T32" s="0" t="n">
        <v>2487.887</v>
      </c>
      <c r="U32" s="0" t="n">
        <v>1850.856</v>
      </c>
      <c r="V32" s="0" t="n">
        <v>153604.168</v>
      </c>
      <c r="W32" s="0" t="n">
        <v>266.702</v>
      </c>
      <c r="X32" s="0" t="n">
        <v>567.024</v>
      </c>
      <c r="Y32" s="0" t="n">
        <v>80.279</v>
      </c>
      <c r="Z32" s="0" t="n">
        <v>754.875</v>
      </c>
      <c r="AA32" s="0" t="n">
        <f aca="false">H32*x_c_F+I32*x_c_CC+J32*x_c_DC+K32*x_c_HCC+L32*x_c_PLT+M32*x_c_SVRn+N32*x_c_SVRcc+O32*x_c_LT+P32*x_c_LT1</f>
        <v>314590922.118922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27007801.0606954</v>
      </c>
      <c r="AI32" s="0" t="n">
        <f aca="false">x_AGRI*x_EMP*x_WLOSS*(x_PEN_K74*Q32+x_PEN_C22*R32)</f>
        <v>1533651.24712724</v>
      </c>
      <c r="AJ32" s="0" t="n">
        <f aca="false">x_EMP*x_WAGE*(x_WLOSS*(Q32+R32)+S32)+U32*x_ABS_D*x_WAGE/365</f>
        <v>771264436.163959</v>
      </c>
      <c r="AK32" s="0" t="n">
        <f aca="false">AJ32*x_R_FUS</f>
        <v>244028067.602277</v>
      </c>
      <c r="AL32" s="0" t="n">
        <f aca="false">AJ32*x_R_NFZ</f>
        <v>59897167.3769292</v>
      </c>
      <c r="AM32" s="0" t="n">
        <f aca="false">AJ32*x_R_PIT</f>
        <v>51276878.8544436</v>
      </c>
      <c r="AN32" s="0" t="n">
        <f aca="false">AJ32*x_R_FP</f>
        <v>19667243.122181</v>
      </c>
      <c r="AO32" s="0" t="n">
        <f aca="false">AA32+AB32+AC32+AD32+AF32</f>
        <v>452424349.728947</v>
      </c>
      <c r="AP32" s="0" t="n">
        <f aca="false">AO32+AE32+AG32+AH32+AI32+AK32+AL32+AM32+AN32</f>
        <v>855835158.9926</v>
      </c>
      <c r="AQ32" s="0" t="n">
        <f aca="false">AO32+AE32+AG32+AJ32</f>
        <v>1223688785.89291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2222.636</v>
      </c>
      <c r="I33" s="0" t="n">
        <v>264.554</v>
      </c>
      <c r="J33" s="0" t="n">
        <v>1481.372</v>
      </c>
      <c r="K33" s="0" t="n">
        <v>1962.743</v>
      </c>
      <c r="L33" s="0" t="n">
        <v>1034.542</v>
      </c>
      <c r="M33" s="0" t="n">
        <v>103383.602</v>
      </c>
      <c r="N33" s="0" t="n">
        <v>9939.769</v>
      </c>
      <c r="O33" s="0" t="n">
        <v>78.731</v>
      </c>
      <c r="P33" s="0" t="n">
        <v>79.505</v>
      </c>
      <c r="Q33" s="0" t="n">
        <v>1394.089</v>
      </c>
      <c r="R33" s="0" t="n">
        <v>1255.324</v>
      </c>
      <c r="S33" s="0" t="n">
        <v>7980.99</v>
      </c>
      <c r="T33" s="0" t="n">
        <v>2487.19</v>
      </c>
      <c r="U33" s="0" t="n">
        <v>1868.18</v>
      </c>
      <c r="V33" s="0" t="n">
        <v>155223.166</v>
      </c>
      <c r="W33" s="0" t="n">
        <v>261.844</v>
      </c>
      <c r="X33" s="0" t="n">
        <v>557.987</v>
      </c>
      <c r="Y33" s="0" t="n">
        <v>78.731</v>
      </c>
      <c r="Z33" s="0" t="n">
        <v>741.183</v>
      </c>
      <c r="AA33" s="0" t="n">
        <f aca="false">H33*x_c_F+I33*x_c_CC+J33*x_c_DC+K33*x_c_HCC+L33*x_c_PLT+M33*x_c_SVRn+N33*x_c_SVRcc+O33*x_c_LT+P33*x_c_LT1</f>
        <v>312393697.673267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27715314.8803581</v>
      </c>
      <c r="AI33" s="0" t="n">
        <f aca="false">x_AGRI*x_EMP*x_WLOSS*(x_PEN_K74*Q33+x_PEN_C22*R33)</f>
        <v>1578062.39684888</v>
      </c>
      <c r="AJ33" s="0" t="n">
        <f aca="false">x_EMP*x_WAGE*(x_WLOSS*(Q33+R33)+S33)+U33*x_ABS_D*x_WAGE/365</f>
        <v>807976556.789486</v>
      </c>
      <c r="AK33" s="0" t="n">
        <f aca="false">AJ33*x_R_FUS</f>
        <v>255643782.568193</v>
      </c>
      <c r="AL33" s="0" t="n">
        <f aca="false">AJ33*x_R_NFZ</f>
        <v>62748267.3768282</v>
      </c>
      <c r="AM33" s="0" t="n">
        <f aca="false">AJ33*x_R_PIT</f>
        <v>53717653.8643322</v>
      </c>
      <c r="AN33" s="0" t="n">
        <f aca="false">AJ33*x_R_FP</f>
        <v>20603402.1981319</v>
      </c>
      <c r="AO33" s="0" t="n">
        <f aca="false">AA33+AB33+AC33+AD33+AF33</f>
        <v>450227125.283291</v>
      </c>
      <c r="AP33" s="0" t="n">
        <f aca="false">AO33+AE33+AG33+AH33+AI33+AK33+AL33+AM33+AN33</f>
        <v>872233608.567984</v>
      </c>
      <c r="AQ33" s="0" t="n">
        <f aca="false">AO33+AE33+AG33+AJ33</f>
        <v>1258203682.07278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2226.265</v>
      </c>
      <c r="I34" s="0" t="n">
        <v>260.249</v>
      </c>
      <c r="J34" s="0" t="n">
        <v>1450.652</v>
      </c>
      <c r="K34" s="0" t="n">
        <v>1927.504</v>
      </c>
      <c r="L34" s="0" t="n">
        <v>1011.692</v>
      </c>
      <c r="M34" s="0" t="n">
        <v>105870.89</v>
      </c>
      <c r="N34" s="0" t="n">
        <v>9943.621</v>
      </c>
      <c r="O34" s="0" t="n">
        <v>77.005</v>
      </c>
      <c r="P34" s="0" t="n">
        <v>77.868</v>
      </c>
      <c r="Q34" s="0" t="n">
        <v>1433.397</v>
      </c>
      <c r="R34" s="0" t="n">
        <v>1289.034</v>
      </c>
      <c r="S34" s="0" t="n">
        <v>8374.991</v>
      </c>
      <c r="T34" s="0" t="n">
        <v>2486.514</v>
      </c>
      <c r="U34" s="0" t="n">
        <v>1884.046</v>
      </c>
      <c r="V34" s="0" t="n">
        <v>156728.75</v>
      </c>
      <c r="W34" s="0" t="n">
        <v>256.832</v>
      </c>
      <c r="X34" s="0" t="n">
        <v>548.475</v>
      </c>
      <c r="Y34" s="0" t="n">
        <v>77.005</v>
      </c>
      <c r="Z34" s="0" t="n">
        <v>725.888</v>
      </c>
      <c r="AA34" s="0" t="n">
        <f aca="false">H34*x_c_F+I34*x_c_CC+J34*x_c_DC+K34*x_c_HCC+L34*x_c_PLT+M34*x_c_SVRn+N34*x_c_SVRcc+O34*x_c_LT+P34*x_c_LT1</f>
        <v>309748711.648182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28404893.5847438</v>
      </c>
      <c r="AI34" s="0" t="n">
        <f aca="false">x_AGRI*x_EMP*x_WLOSS*(x_PEN_K74*Q34+x_PEN_C22*R34)</f>
        <v>1621486.19729383</v>
      </c>
      <c r="AJ34" s="0" t="n">
        <f aca="false">x_EMP*x_WAGE*(x_WLOSS*(Q34+R34)+S34)+U34*x_ABS_D*x_WAGE/365</f>
        <v>844978921.888598</v>
      </c>
      <c r="AK34" s="0" t="n">
        <f aca="false">AJ34*x_R_FUS</f>
        <v>267351330.885553</v>
      </c>
      <c r="AL34" s="0" t="n">
        <f aca="false">AJ34*x_R_NFZ</f>
        <v>65621908.0527904</v>
      </c>
      <c r="AM34" s="0" t="n">
        <f aca="false">AJ34*x_R_PIT</f>
        <v>56177725.5382603</v>
      </c>
      <c r="AN34" s="0" t="n">
        <f aca="false">AJ34*x_R_FP</f>
        <v>21546962.5081593</v>
      </c>
      <c r="AO34" s="0" t="n">
        <f aca="false">AA34+AB34+AC34+AD34+AF34</f>
        <v>447582139.258207</v>
      </c>
      <c r="AP34" s="0" t="n">
        <f aca="false">AO34+AE34+AG34+AH34+AI34+AK34+AL34+AM34+AN34</f>
        <v>888306446.025007</v>
      </c>
      <c r="AQ34" s="0" t="n">
        <f aca="false">AO34+AE34+AG34+AJ34</f>
        <v>1292561061.1468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2229.694</v>
      </c>
      <c r="I35" s="0" t="n">
        <v>256.17</v>
      </c>
      <c r="J35" s="0" t="n">
        <v>1420.839</v>
      </c>
      <c r="K35" s="0" t="n">
        <v>1893.682</v>
      </c>
      <c r="L35" s="0" t="n">
        <v>988.515</v>
      </c>
      <c r="M35" s="0" t="n">
        <v>108328.132</v>
      </c>
      <c r="N35" s="0" t="n">
        <v>9932.738</v>
      </c>
      <c r="O35" s="0" t="n">
        <v>75.553</v>
      </c>
      <c r="P35" s="0" t="n">
        <v>76.279</v>
      </c>
      <c r="Q35" s="0" t="n">
        <v>1472.015</v>
      </c>
      <c r="R35" s="0" t="n">
        <v>1321.383</v>
      </c>
      <c r="S35" s="0" t="n">
        <v>8771.87</v>
      </c>
      <c r="T35" s="0" t="n">
        <v>2485.865</v>
      </c>
      <c r="U35" s="0" t="n">
        <v>1898.405</v>
      </c>
      <c r="V35" s="0" t="n">
        <v>158221.182</v>
      </c>
      <c r="W35" s="0" t="n">
        <v>252.435</v>
      </c>
      <c r="X35" s="0" t="n">
        <v>540.241</v>
      </c>
      <c r="Y35" s="0" t="n">
        <v>75.553</v>
      </c>
      <c r="Z35" s="0" t="n">
        <v>713.12</v>
      </c>
      <c r="AA35" s="0" t="n">
        <f aca="false">H35*x_c_F+I35*x_c_CC+J35*x_c_DC+K35*x_c_HCC+L35*x_c_PLT+M35*x_c_SVRn+N35*x_c_SVRcc+O35*x_c_LT+P35*x_c_LT1</f>
        <v>307236911.33353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29072442.4169111</v>
      </c>
      <c r="AI35" s="0" t="n">
        <f aca="false">x_AGRI*x_EMP*x_WLOSS*(x_PEN_K74*Q35+x_PEN_C22*R35)</f>
        <v>1663658.6514895</v>
      </c>
      <c r="AJ35" s="0" t="n">
        <f aca="false">x_EMP*x_WAGE*(x_WLOSS*(Q35+R35)+S35)+U35*x_ABS_D*x_WAGE/365</f>
        <v>882127775.698149</v>
      </c>
      <c r="AK35" s="0" t="n">
        <f aca="false">AJ35*x_R_FUS</f>
        <v>279105228.230894</v>
      </c>
      <c r="AL35" s="0" t="n">
        <f aca="false">AJ35*x_R_NFZ</f>
        <v>68506925.1884939</v>
      </c>
      <c r="AM35" s="0" t="n">
        <f aca="false">AJ35*x_R_PIT</f>
        <v>58647536.3930795</v>
      </c>
      <c r="AN35" s="0" t="n">
        <f aca="false">AJ35*x_R_FP</f>
        <v>22494258.2803028</v>
      </c>
      <c r="AO35" s="0" t="n">
        <f aca="false">AA35+AB35+AC35+AD35+AF35</f>
        <v>445070338.943554</v>
      </c>
      <c r="AP35" s="0" t="n">
        <f aca="false">AO35+AE35+AG35+AH35+AI35+AK35+AL35+AM35+AN35</f>
        <v>904560388.104725</v>
      </c>
      <c r="AQ35" s="0" t="n">
        <f aca="false">AO35+AE35+AG35+AJ35</f>
        <v>1327198114.6417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2232.882</v>
      </c>
      <c r="I36" s="0" t="n">
        <v>252.363</v>
      </c>
      <c r="J36" s="0" t="n">
        <v>1393.323</v>
      </c>
      <c r="K36" s="0" t="n">
        <v>1862.662</v>
      </c>
      <c r="L36" s="0" t="n">
        <v>967.086</v>
      </c>
      <c r="M36" s="0" t="n">
        <v>110818.688</v>
      </c>
      <c r="N36" s="0" t="n">
        <v>9921.939</v>
      </c>
      <c r="O36" s="0" t="n">
        <v>74.079</v>
      </c>
      <c r="P36" s="0" t="n">
        <v>74.816</v>
      </c>
      <c r="Q36" s="0" t="n">
        <v>1108.395</v>
      </c>
      <c r="R36" s="0" t="n">
        <v>1111.751</v>
      </c>
      <c r="S36" s="0" t="n">
        <v>5749.425</v>
      </c>
      <c r="T36" s="0" t="n">
        <v>2485.245</v>
      </c>
      <c r="U36" s="0" t="n">
        <v>1869.9</v>
      </c>
      <c r="V36" s="0" t="n">
        <v>159762.043</v>
      </c>
      <c r="W36" s="0" t="n">
        <v>248.118</v>
      </c>
      <c r="X36" s="0" t="n">
        <v>532.072</v>
      </c>
      <c r="Y36" s="0" t="n">
        <v>74.079</v>
      </c>
      <c r="Z36" s="0" t="n">
        <v>700.146</v>
      </c>
      <c r="AA36" s="0" t="n">
        <f aca="false">H36*x_c_F+I36*x_c_CC+J36*x_c_DC+K36*x_c_HCC+L36*x_c_PLT+M36*x_c_SVRn+N36*x_c_SVRcc+O36*x_c_LT+P36*x_c_LT1</f>
        <v>305018206.060484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23919706.9320306</v>
      </c>
      <c r="AI36" s="0" t="n">
        <f aca="false">x_AGRI*x_EMP*x_WLOSS*(x_PEN_K74*Q36+x_PEN_C22*R36)</f>
        <v>1326946.26457585</v>
      </c>
      <c r="AJ36" s="0" t="n">
        <f aca="false">x_EMP*x_WAGE*(x_WLOSS*(Q36+R36)+S36)+U36*x_ABS_D*x_WAGE/365</f>
        <v>597946224.431132</v>
      </c>
      <c r="AK36" s="0" t="n">
        <f aca="false">AJ36*x_R_FUS</f>
        <v>189190185.41001</v>
      </c>
      <c r="AL36" s="0" t="n">
        <f aca="false">AJ36*x_R_NFZ</f>
        <v>46437101.7355462</v>
      </c>
      <c r="AM36" s="0" t="n">
        <f aca="false">AJ36*x_R_PIT</f>
        <v>39753960.7350819</v>
      </c>
      <c r="AN36" s="0" t="n">
        <f aca="false">AJ36*x_R_FP</f>
        <v>15247628.7229939</v>
      </c>
      <c r="AO36" s="0" t="n">
        <f aca="false">AA36+AB36+AC36+AD36+AF36</f>
        <v>442851633.670508</v>
      </c>
      <c r="AP36" s="0" t="n">
        <f aca="false">AO36+AE36+AG36+AH36+AI36+AK36+AL36+AM36+AN36</f>
        <v>758727163.470747</v>
      </c>
      <c r="AQ36" s="0" t="n">
        <f aca="false">AO36+AE36+AG36+AJ36</f>
        <v>1040797858.10164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2235.906</v>
      </c>
      <c r="I37" s="0" t="n">
        <v>248.738</v>
      </c>
      <c r="J37" s="0" t="n">
        <v>1365.647</v>
      </c>
      <c r="K37" s="0" t="n">
        <v>1831.711</v>
      </c>
      <c r="L37" s="0" t="n">
        <v>943.621</v>
      </c>
      <c r="M37" s="0" t="n">
        <v>113211.838</v>
      </c>
      <c r="N37" s="0" t="n">
        <v>9884.468</v>
      </c>
      <c r="O37" s="0" t="n">
        <v>72.6</v>
      </c>
      <c r="P37" s="0" t="n">
        <v>73.339</v>
      </c>
      <c r="Q37" s="0" t="n">
        <v>722.296</v>
      </c>
      <c r="R37" s="0" t="n">
        <v>882.217</v>
      </c>
      <c r="S37" s="0" t="n">
        <v>2517.623</v>
      </c>
      <c r="T37" s="0" t="n">
        <v>2484.644</v>
      </c>
      <c r="U37" s="0" t="n">
        <v>1834.638</v>
      </c>
      <c r="V37" s="0" t="n">
        <v>161222.63</v>
      </c>
      <c r="W37" s="0" t="n">
        <v>243.911</v>
      </c>
      <c r="X37" s="0" t="n">
        <v>524.024</v>
      </c>
      <c r="Y37" s="0" t="n">
        <v>72.6</v>
      </c>
      <c r="Z37" s="0" t="n">
        <v>687.092</v>
      </c>
      <c r="AA37" s="0" t="n">
        <f aca="false">H37*x_c_F+I37*x_c_CC+J37*x_c_DC+K37*x_c_HCC+L37*x_c_PLT+M37*x_c_SVRn+N37*x_c_SVRcc+O37*x_c_LT+P37*x_c_LT1</f>
        <v>302601649.857034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18371379.8490012</v>
      </c>
      <c r="AI37" s="0" t="n">
        <f aca="false">x_AGRI*x_EMP*x_WLOSS*(x_PEN_K74*Q37+x_PEN_C22*R37)</f>
        <v>965004.239986757</v>
      </c>
      <c r="AJ37" s="0" t="n">
        <f aca="false">x_EMP*x_WAGE*(x_WLOSS*(Q37+R37)+S37)+U37*x_ABS_D*x_WAGE/365</f>
        <v>293942972.785888</v>
      </c>
      <c r="AK37" s="0" t="n">
        <f aca="false">AJ37*x_R_FUS</f>
        <v>93003556.589455</v>
      </c>
      <c r="AL37" s="0" t="n">
        <f aca="false">AJ37*x_R_NFZ</f>
        <v>22827905.2095248</v>
      </c>
      <c r="AM37" s="0" t="n">
        <f aca="false">AJ37*x_R_PIT</f>
        <v>19542555.7032333</v>
      </c>
      <c r="AN37" s="0" t="n">
        <f aca="false">AJ37*x_R_FP</f>
        <v>7495545.80604014</v>
      </c>
      <c r="AO37" s="0" t="n">
        <f aca="false">AA37+AB37+AC37+AD37+AF37</f>
        <v>440435077.467058</v>
      </c>
      <c r="AP37" s="0" t="n">
        <f aca="false">AO37+AE37+AG37+AH37+AI37+AK37+AL37+AM37+AN37</f>
        <v>602641024.864299</v>
      </c>
      <c r="AQ37" s="0" t="n">
        <f aca="false">AO37+AE37+AG37+AJ37</f>
        <v>734378050.252946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2238.733</v>
      </c>
      <c r="I38" s="0" t="n">
        <v>245.33</v>
      </c>
      <c r="J38" s="0" t="n">
        <v>1338.185</v>
      </c>
      <c r="K38" s="0" t="n">
        <v>1801.181</v>
      </c>
      <c r="L38" s="0" t="n">
        <v>918.389</v>
      </c>
      <c r="M38" s="0" t="n">
        <v>115508.936</v>
      </c>
      <c r="N38" s="0" t="n">
        <v>9822.501</v>
      </c>
      <c r="O38" s="0" t="n">
        <v>71.14</v>
      </c>
      <c r="P38" s="0" t="n">
        <v>71.87</v>
      </c>
      <c r="Q38" s="0" t="n">
        <v>715.659</v>
      </c>
      <c r="R38" s="0" t="n">
        <v>874.17</v>
      </c>
      <c r="S38" s="0" t="n">
        <v>2497.177</v>
      </c>
      <c r="T38" s="0" t="n">
        <v>2484.063</v>
      </c>
      <c r="U38" s="0" t="n">
        <v>1834.602</v>
      </c>
      <c r="V38" s="0" t="n">
        <v>162606.441</v>
      </c>
      <c r="W38" s="0" t="n">
        <v>239.862</v>
      </c>
      <c r="X38" s="0" t="n">
        <v>516.189</v>
      </c>
      <c r="Y38" s="0" t="n">
        <v>71.14</v>
      </c>
      <c r="Z38" s="0" t="n">
        <v>674.161</v>
      </c>
      <c r="AA38" s="0" t="n">
        <f aca="false">H38*x_c_F+I38*x_c_CC+J38*x_c_DC+K38*x_c_HCC+L38*x_c_PLT+M38*x_c_SVRn+N38*x_c_SVRcc+O38*x_c_LT+P38*x_c_LT1</f>
        <v>300040836.470013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18237725.9797641</v>
      </c>
      <c r="AI38" s="0" t="n">
        <f aca="false">x_AGRI*x_EMP*x_WLOSS*(x_PEN_K74*Q38+x_PEN_C22*R38)</f>
        <v>956174.867744036</v>
      </c>
      <c r="AJ38" s="0" t="n">
        <f aca="false">x_EMP*x_WAGE*(x_WLOSS*(Q38+R38)+S38)+U38*x_ABS_D*x_WAGE/365</f>
        <v>291523319.534448</v>
      </c>
      <c r="AK38" s="0" t="n">
        <f aca="false">AJ38*x_R_FUS</f>
        <v>92237978.3006992</v>
      </c>
      <c r="AL38" s="0" t="n">
        <f aca="false">AJ38*x_R_NFZ</f>
        <v>22639992.5183647</v>
      </c>
      <c r="AM38" s="0" t="n">
        <f aca="false">AJ38*x_R_PIT</f>
        <v>19381687.0558197</v>
      </c>
      <c r="AN38" s="0" t="n">
        <f aca="false">AJ38*x_R_FP</f>
        <v>7433844.64812841</v>
      </c>
      <c r="AO38" s="0" t="n">
        <f aca="false">AA38+AB38+AC38+AD38+AF38</f>
        <v>437874264.080037</v>
      </c>
      <c r="AP38" s="0" t="n">
        <f aca="false">AO38+AE38+AG38+AH38+AI38+AK38+AL38+AM38+AN38</f>
        <v>598761667.450557</v>
      </c>
      <c r="AQ38" s="0" t="n">
        <f aca="false">AO38+AE38+AG38+AJ38</f>
        <v>729397583.614485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2241.325</v>
      </c>
      <c r="I39" s="0" t="n">
        <v>242.181</v>
      </c>
      <c r="J39" s="0" t="n">
        <v>1311.405</v>
      </c>
      <c r="K39" s="0" t="n">
        <v>1771.526</v>
      </c>
      <c r="L39" s="0" t="n">
        <v>891.833</v>
      </c>
      <c r="M39" s="0" t="n">
        <v>117716.679</v>
      </c>
      <c r="N39" s="0" t="n">
        <v>9739.752</v>
      </c>
      <c r="O39" s="0" t="n">
        <v>69.727</v>
      </c>
      <c r="P39" s="0" t="n">
        <v>70.434</v>
      </c>
      <c r="Q39" s="0" t="n">
        <v>709.214</v>
      </c>
      <c r="R39" s="0" t="n">
        <v>866.372</v>
      </c>
      <c r="S39" s="0" t="n">
        <v>2477.229</v>
      </c>
      <c r="T39" s="0" t="n">
        <v>2483.506</v>
      </c>
      <c r="U39" s="0" t="n">
        <v>1834.487</v>
      </c>
      <c r="V39" s="0" t="n">
        <v>163922.742</v>
      </c>
      <c r="W39" s="0" t="n">
        <v>236.024</v>
      </c>
      <c r="X39" s="0" t="n">
        <v>508.681</v>
      </c>
      <c r="Y39" s="0" t="n">
        <v>69.727</v>
      </c>
      <c r="Z39" s="0" t="n">
        <v>661.576</v>
      </c>
      <c r="AA39" s="0" t="n">
        <f aca="false">H39*x_c_F+I39*x_c_CC+J39*x_c_DC+K39*x_c_HCC+L39*x_c_PLT+M39*x_c_SVRn+N39*x_c_SVRcc+O39*x_c_LT+P39*x_c_LT1</f>
        <v>297412023.790238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18107929.9210856</v>
      </c>
      <c r="AI39" s="0" t="n">
        <f aca="false">x_AGRI*x_EMP*x_WLOSS*(x_PEN_K74*Q39+x_PEN_C22*R39)</f>
        <v>947611.224675685</v>
      </c>
      <c r="AJ39" s="0" t="n">
        <f aca="false">x_EMP*x_WAGE*(x_WLOSS*(Q39+R39)+S39)+U39*x_ABS_D*x_WAGE/365</f>
        <v>289166205.408942</v>
      </c>
      <c r="AK39" s="0" t="n">
        <f aca="false">AJ39*x_R_FUS</f>
        <v>91492187.3913894</v>
      </c>
      <c r="AL39" s="0" t="n">
        <f aca="false">AJ39*x_R_NFZ</f>
        <v>22456936.6782639</v>
      </c>
      <c r="AM39" s="0" t="n">
        <f aca="false">AJ39*x_R_PIT</f>
        <v>19224976.270527</v>
      </c>
      <c r="AN39" s="0" t="n">
        <f aca="false">AJ39*x_R_FP</f>
        <v>7373738.23792803</v>
      </c>
      <c r="AO39" s="0" t="n">
        <f aca="false">AA39+AB39+AC39+AD39+AF39</f>
        <v>435245451.400262</v>
      </c>
      <c r="AP39" s="0" t="n">
        <f aca="false">AO39+AE39+AG39+AH39+AI39+AK39+AL39+AM39+AN39</f>
        <v>594848831.124132</v>
      </c>
      <c r="AQ39" s="0" t="n">
        <f aca="false">AO39+AE39+AG39+AJ39</f>
        <v>724411656.809205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2243.639</v>
      </c>
      <c r="I40" s="0" t="n">
        <v>239.335</v>
      </c>
      <c r="J40" s="0" t="n">
        <v>1285.828</v>
      </c>
      <c r="K40" s="0" t="n">
        <v>1743.275</v>
      </c>
      <c r="L40" s="0" t="n">
        <v>864.551</v>
      </c>
      <c r="M40" s="0" t="n">
        <v>119847.118</v>
      </c>
      <c r="N40" s="0" t="n">
        <v>9641.42</v>
      </c>
      <c r="O40" s="0" t="n">
        <v>68.391</v>
      </c>
      <c r="P40" s="0" t="n">
        <v>69.059</v>
      </c>
      <c r="Q40" s="0" t="n">
        <v>702.938</v>
      </c>
      <c r="R40" s="0" t="n">
        <v>858.799</v>
      </c>
      <c r="S40" s="0" t="n">
        <v>2457.672</v>
      </c>
      <c r="T40" s="0" t="n">
        <v>2482.975</v>
      </c>
      <c r="U40" s="0" t="n">
        <v>1834.23</v>
      </c>
      <c r="V40" s="0" t="n">
        <v>165186.305</v>
      </c>
      <c r="W40" s="0" t="n">
        <v>232.462</v>
      </c>
      <c r="X40" s="0" t="n">
        <v>501.634</v>
      </c>
      <c r="Y40" s="0" t="n">
        <v>68.391</v>
      </c>
      <c r="Z40" s="0" t="n">
        <v>649.604</v>
      </c>
      <c r="AA40" s="0" t="n">
        <f aca="false">H40*x_c_F+I40*x_c_CC+J40*x_c_DC+K40*x_c_HCC+L40*x_c_PLT+M40*x_c_SVRn+N40*x_c_SVRcc+O40*x_c_LT+P40*x_c_LT1</f>
        <v>294810240.376326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17981436.6238434</v>
      </c>
      <c r="AI40" s="0" t="n">
        <f aca="false">x_AGRI*x_EMP*x_WLOSS*(x_PEN_K74*Q40+x_PEN_C22*R40)</f>
        <v>939285.184161463</v>
      </c>
      <c r="AJ40" s="0" t="n">
        <f aca="false">x_EMP*x_WAGE*(x_WLOSS*(Q40+R40)+S40)+U40*x_ABS_D*x_WAGE/365</f>
        <v>286860157.770407</v>
      </c>
      <c r="AK40" s="0" t="n">
        <f aca="false">AJ40*x_R_FUS</f>
        <v>90762553.9185568</v>
      </c>
      <c r="AL40" s="0" t="n">
        <f aca="false">AJ40*x_R_NFZ</f>
        <v>22277846.7126076</v>
      </c>
      <c r="AM40" s="0" t="n">
        <f aca="false">AJ40*x_R_PIT</f>
        <v>19071660.5984316</v>
      </c>
      <c r="AN40" s="0" t="n">
        <f aca="false">AJ40*x_R_FP</f>
        <v>7314934.02314538</v>
      </c>
      <c r="AO40" s="0" t="n">
        <f aca="false">AA40+AB40+AC40+AD40+AF40</f>
        <v>432643667.98635</v>
      </c>
      <c r="AP40" s="0" t="n">
        <f aca="false">AO40+AE40+AG40+AH40+AI40+AK40+AL40+AM40+AN40</f>
        <v>590991385.047097</v>
      </c>
      <c r="AQ40" s="0" t="n">
        <f aca="false">AO40+AE40+AG40+AJ40</f>
        <v>719503825.756757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2245.641</v>
      </c>
      <c r="I41" s="0" t="n">
        <v>236.833</v>
      </c>
      <c r="J41" s="0" t="n">
        <v>1261.998</v>
      </c>
      <c r="K41" s="0" t="n">
        <v>1716.985</v>
      </c>
      <c r="L41" s="0" t="n">
        <v>837.27</v>
      </c>
      <c r="M41" s="0" t="n">
        <v>121917.171</v>
      </c>
      <c r="N41" s="0" t="n">
        <v>9533.986</v>
      </c>
      <c r="O41" s="0" t="n">
        <v>67.16</v>
      </c>
      <c r="P41" s="0" t="n">
        <v>67.775</v>
      </c>
      <c r="Q41" s="0" t="n">
        <v>696.827</v>
      </c>
      <c r="R41" s="0" t="n">
        <v>851.446</v>
      </c>
      <c r="S41" s="0" t="n">
        <v>2438.5</v>
      </c>
      <c r="T41" s="0" t="n">
        <v>2482.475</v>
      </c>
      <c r="U41" s="0" t="n">
        <v>1833.779</v>
      </c>
      <c r="V41" s="0" t="n">
        <v>166416.468</v>
      </c>
      <c r="W41" s="0" t="n">
        <v>229.236</v>
      </c>
      <c r="X41" s="0" t="n">
        <v>495.183</v>
      </c>
      <c r="Y41" s="0" t="n">
        <v>67.16</v>
      </c>
      <c r="Z41" s="0" t="n">
        <v>638.503</v>
      </c>
      <c r="AA41" s="0" t="n">
        <f aca="false">H41*x_c_F+I41*x_c_CC+J41*x_c_DC+K41*x_c_HCC+L41*x_c_PLT+M41*x_c_SVRn+N41*x_c_SVRcc+O41*x_c_LT+P41*x_c_LT1</f>
        <v>292342703.065152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17858057.2310404</v>
      </c>
      <c r="AI41" s="0" t="n">
        <f aca="false">x_AGRI*x_EMP*x_WLOSS*(x_PEN_K74*Q41+x_PEN_C22*R41)</f>
        <v>931191.329389358</v>
      </c>
      <c r="AJ41" s="0" t="n">
        <f aca="false">x_EMP*x_WAGE*(x_WLOSS*(Q41+R41)+S41)+U41*x_ABS_D*x_WAGE/365</f>
        <v>284604097.793646</v>
      </c>
      <c r="AK41" s="0" t="n">
        <f aca="false">AJ41*x_R_FUS</f>
        <v>90048736.5419095</v>
      </c>
      <c r="AL41" s="0" t="n">
        <f aca="false">AJ41*x_R_NFZ</f>
        <v>22102638.8387523</v>
      </c>
      <c r="AM41" s="0" t="n">
        <f aca="false">AJ41*x_R_PIT</f>
        <v>18921668.3147317</v>
      </c>
      <c r="AN41" s="0" t="n">
        <f aca="false">AJ41*x_R_FP</f>
        <v>7257404.49373797</v>
      </c>
      <c r="AO41" s="0" t="n">
        <f aca="false">AA41+AB41+AC41+AD41+AF41</f>
        <v>430176130.675176</v>
      </c>
      <c r="AP41" s="0" t="n">
        <f aca="false">AO41+AE41+AG41+AH41+AI41+AK41+AL41+AM41+AN41</f>
        <v>587295827.424737</v>
      </c>
      <c r="AQ41" s="0" t="n">
        <f aca="false">AO41+AE41+AG41+AJ41</f>
        <v>714780228.468822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2247.311</v>
      </c>
      <c r="I42" s="0" t="n">
        <v>234.697</v>
      </c>
      <c r="J42" s="0" t="n">
        <v>1240.382</v>
      </c>
      <c r="K42" s="0" t="n">
        <v>1693.137</v>
      </c>
      <c r="L42" s="0" t="n">
        <v>810.739</v>
      </c>
      <c r="M42" s="0" t="n">
        <v>123945.499</v>
      </c>
      <c r="N42" s="0" t="n">
        <v>9424.281</v>
      </c>
      <c r="O42" s="0" t="n">
        <v>66.057</v>
      </c>
      <c r="P42" s="0" t="n">
        <v>66.609</v>
      </c>
      <c r="Q42" s="0" t="n">
        <v>690.878</v>
      </c>
      <c r="R42" s="0" t="n">
        <v>844.31</v>
      </c>
      <c r="S42" s="0" t="n">
        <v>2419.701</v>
      </c>
      <c r="T42" s="0" t="n">
        <v>2482.008</v>
      </c>
      <c r="U42" s="0" t="n">
        <v>1833.109</v>
      </c>
      <c r="V42" s="0" t="n">
        <v>167633.373</v>
      </c>
      <c r="W42" s="0" t="n">
        <v>226.389</v>
      </c>
      <c r="X42" s="0" t="n">
        <v>489.423</v>
      </c>
      <c r="Y42" s="0" t="n">
        <v>66.057</v>
      </c>
      <c r="Z42" s="0" t="n">
        <v>628.478</v>
      </c>
      <c r="AA42" s="0" t="n">
        <f aca="false">H42*x_c_F+I42*x_c_CC+J42*x_c_DC+K42*x_c_HCC+L42*x_c_PLT+M42*x_c_SVRn+N42*x_c_SVRcc+O42*x_c_LT+P42*x_c_LT1</f>
        <v>290111266.068447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17737686.0965556</v>
      </c>
      <c r="AI42" s="0" t="n">
        <f aca="false">x_AGRI*x_EMP*x_WLOSS*(x_PEN_K74*Q42+x_PEN_C22*R42)</f>
        <v>923326.074600176</v>
      </c>
      <c r="AJ42" s="0" t="n">
        <f aca="false">x_EMP*x_WAGE*(x_WLOSS*(Q42+R42)+S42)+U42*x_ABS_D*x_WAGE/365</f>
        <v>282396652.572431</v>
      </c>
      <c r="AK42" s="0" t="n">
        <f aca="false">AJ42*x_R_FUS</f>
        <v>89350300.8739173</v>
      </c>
      <c r="AL42" s="0" t="n">
        <f aca="false">AJ42*x_R_NFZ</f>
        <v>21931206.4354276</v>
      </c>
      <c r="AM42" s="0" t="n">
        <f aca="false">AJ42*x_R_PIT</f>
        <v>18774908.142891</v>
      </c>
      <c r="AN42" s="0" t="n">
        <f aca="false">AJ42*x_R_FP</f>
        <v>7201114.640597</v>
      </c>
      <c r="AO42" s="0" t="n">
        <f aca="false">AA42+AB42+AC42+AD42+AF42</f>
        <v>427944693.678471</v>
      </c>
      <c r="AP42" s="0" t="n">
        <f aca="false">AO42+AE42+AG42+AH42+AI42+AK42+AL42+AM42+AN42</f>
        <v>583863235.94246</v>
      </c>
      <c r="AQ42" s="0" t="n">
        <f aca="false">AO42+AE42+AG42+AJ42</f>
        <v>710341346.250903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2248.651</v>
      </c>
      <c r="I43" s="0" t="n">
        <v>232.923</v>
      </c>
      <c r="J43" s="0" t="n">
        <v>1221.307</v>
      </c>
      <c r="K43" s="0" t="n">
        <v>1672.061</v>
      </c>
      <c r="L43" s="0" t="n">
        <v>785.645</v>
      </c>
      <c r="M43" s="0" t="n">
        <v>125950.04</v>
      </c>
      <c r="N43" s="0" t="n">
        <v>9318.741</v>
      </c>
      <c r="O43" s="0" t="n">
        <v>65.097</v>
      </c>
      <c r="P43" s="0" t="n">
        <v>65.577</v>
      </c>
      <c r="Q43" s="0" t="n">
        <v>685.086</v>
      </c>
      <c r="R43" s="0" t="n">
        <v>837.388</v>
      </c>
      <c r="S43" s="0" t="n">
        <v>2401.257</v>
      </c>
      <c r="T43" s="0" t="n">
        <v>2481.574</v>
      </c>
      <c r="U43" s="0" t="n">
        <v>1832.22</v>
      </c>
      <c r="V43" s="0" t="n">
        <v>168855.265</v>
      </c>
      <c r="W43" s="0" t="n">
        <v>223.935</v>
      </c>
      <c r="X43" s="0" t="n">
        <v>484.402</v>
      </c>
      <c r="Y43" s="0" t="n">
        <v>65.097</v>
      </c>
      <c r="Z43" s="0" t="n">
        <v>619.669</v>
      </c>
      <c r="AA43" s="0" t="n">
        <f aca="false">H43*x_c_F+I43*x_c_CC+J43*x_c_DC+K43*x_c_HCC+L43*x_c_PLT+M43*x_c_SVRn+N43*x_c_SVRcc+O43*x_c_LT+P43*x_c_LT1</f>
        <v>288198923.206067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17620252.0433481</v>
      </c>
      <c r="AI43" s="0" t="n">
        <f aca="false">x_AGRI*x_EMP*x_WLOSS*(x_PEN_K74*Q43+x_PEN_C22*R43)</f>
        <v>915684.7151281</v>
      </c>
      <c r="AJ43" s="0" t="n">
        <f aca="false">x_EMP*x_WAGE*(x_WLOSS*(Q43+R43)+S43)+U43*x_ABS_D*x_WAGE/365</f>
        <v>280235918.956198</v>
      </c>
      <c r="AK43" s="0" t="n">
        <f aca="false">AJ43*x_R_FUS</f>
        <v>88666644.757741</v>
      </c>
      <c r="AL43" s="0" t="n">
        <f aca="false">AJ43*x_R_NFZ</f>
        <v>21763401.7020573</v>
      </c>
      <c r="AM43" s="0" t="n">
        <f aca="false">AJ43*x_R_PIT</f>
        <v>18631253.5535164</v>
      </c>
      <c r="AN43" s="0" t="n">
        <f aca="false">AJ43*x_R_FP</f>
        <v>7146015.93338305</v>
      </c>
      <c r="AO43" s="0" t="n">
        <f aca="false">AA43+AB43+AC43+AD43+AF43</f>
        <v>426032350.816091</v>
      </c>
      <c r="AP43" s="0" t="n">
        <f aca="false">AO43+AE43+AG43+AH43+AI43+AK43+AL43+AM43+AN43</f>
        <v>580775603.521265</v>
      </c>
      <c r="AQ43" s="0" t="n">
        <f aca="false">AO43+AE43+AG43+AJ43</f>
        <v>706268269.772289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2249.689</v>
      </c>
      <c r="I44" s="0" t="n">
        <v>231.483</v>
      </c>
      <c r="J44" s="0" t="n">
        <v>1204.916</v>
      </c>
      <c r="K44" s="0" t="n">
        <v>1653.884</v>
      </c>
      <c r="L44" s="0" t="n">
        <v>762.529</v>
      </c>
      <c r="M44" s="0" t="n">
        <v>127945.19</v>
      </c>
      <c r="N44" s="0" t="n">
        <v>9222.592</v>
      </c>
      <c r="O44" s="0" t="n">
        <v>64.282</v>
      </c>
      <c r="P44" s="0" t="n">
        <v>64.69</v>
      </c>
      <c r="Q44" s="0" t="n">
        <v>679.446</v>
      </c>
      <c r="R44" s="0" t="n">
        <v>830.675</v>
      </c>
      <c r="S44" s="0" t="n">
        <v>2383.144</v>
      </c>
      <c r="T44" s="0" t="n">
        <v>2481.172</v>
      </c>
      <c r="U44" s="0" t="n">
        <v>1831.148</v>
      </c>
      <c r="V44" s="0" t="n">
        <v>170095.61</v>
      </c>
      <c r="W44" s="0" t="n">
        <v>221.859</v>
      </c>
      <c r="X44" s="0" t="n">
        <v>480.107</v>
      </c>
      <c r="Y44" s="0" t="n">
        <v>64.282</v>
      </c>
      <c r="Z44" s="0" t="n">
        <v>612.111</v>
      </c>
      <c r="AA44" s="0" t="n">
        <f aca="false">H44*x_c_F+I44*x_c_CC+J44*x_c_DC+K44*x_c_HCC+L44*x_c_PLT+M44*x_c_SVRn+N44*x_c_SVRcc+O44*x_c_LT+P44*x_c_LT1</f>
        <v>286657708.528504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17505738.6680655</v>
      </c>
      <c r="AI44" s="0" t="n">
        <f aca="false">x_AGRI*x_EMP*x_WLOSS*(x_PEN_K74*Q44+x_PEN_C22*R44)</f>
        <v>908261.274707809</v>
      </c>
      <c r="AJ44" s="0" t="n">
        <f aca="false">x_EMP*x_WAGE*(x_WLOSS*(Q44+R44)+S44)+U44*x_ABS_D*x_WAGE/365</f>
        <v>278119495.861017</v>
      </c>
      <c r="AK44" s="0" t="n">
        <f aca="false">AJ44*x_R_FUS</f>
        <v>87997008.4904257</v>
      </c>
      <c r="AL44" s="0" t="n">
        <f aca="false">AJ44*x_R_NFZ</f>
        <v>21599038.1680624</v>
      </c>
      <c r="AM44" s="0" t="n">
        <f aca="false">AJ44*x_R_PIT</f>
        <v>18490544.9125267</v>
      </c>
      <c r="AN44" s="0" t="n">
        <f aca="false">AJ44*x_R_FP</f>
        <v>7092047.14445593</v>
      </c>
      <c r="AO44" s="0" t="n">
        <f aca="false">AA44+AB44+AC44+AD44+AF44</f>
        <v>424491136.138529</v>
      </c>
      <c r="AP44" s="0" t="n">
        <f aca="false">AO44+AE44+AG44+AH44+AI44+AK44+AL44+AM44+AN44</f>
        <v>578083774.796773</v>
      </c>
      <c r="AQ44" s="0" t="n">
        <f aca="false">AO44+AE44+AG44+AJ44</f>
        <v>702610631.999546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2250.469</v>
      </c>
      <c r="I45" s="0" t="n">
        <v>230.328</v>
      </c>
      <c r="J45" s="0" t="n">
        <v>1191.181</v>
      </c>
      <c r="K45" s="0" t="n">
        <v>1638.55</v>
      </c>
      <c r="L45" s="0" t="n">
        <v>741.785</v>
      </c>
      <c r="M45" s="0" t="n">
        <v>129941.654</v>
      </c>
      <c r="N45" s="0" t="n">
        <v>9139.785</v>
      </c>
      <c r="O45" s="0" t="n">
        <v>63.609</v>
      </c>
      <c r="P45" s="0" t="n">
        <v>63.946</v>
      </c>
      <c r="Q45" s="0" t="n">
        <v>673.954</v>
      </c>
      <c r="R45" s="0" t="n">
        <v>824.167</v>
      </c>
      <c r="S45" s="0" t="n">
        <v>2365.33</v>
      </c>
      <c r="T45" s="0" t="n">
        <v>2480.796</v>
      </c>
      <c r="U45" s="0" t="n">
        <v>1829.95</v>
      </c>
      <c r="V45" s="0" t="n">
        <v>171363.247</v>
      </c>
      <c r="W45" s="0" t="n">
        <v>220.126</v>
      </c>
      <c r="X45" s="0" t="n">
        <v>476.487</v>
      </c>
      <c r="Y45" s="0" t="n">
        <v>63.609</v>
      </c>
      <c r="Z45" s="0" t="n">
        <v>605.788</v>
      </c>
      <c r="AA45" s="0" t="n">
        <f aca="false">H45*x_c_F+I45*x_c_CC+J45*x_c_DC+K45*x_c_HCC+L45*x_c_PLT+M45*x_c_SVRn+N45*x_c_SVRcc+O45*x_c_LT+P45*x_c_LT1</f>
        <v>285512236.58543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17394190.8239034</v>
      </c>
      <c r="AI45" s="0" t="n">
        <f aca="false">x_AGRI*x_EMP*x_WLOSS*(x_PEN_K74*Q45+x_PEN_C22*R45)</f>
        <v>901050.972327041</v>
      </c>
      <c r="AJ45" s="0" t="n">
        <f aca="false">x_EMP*x_WAGE*(x_WLOSS*(Q45+R45)+S45)+U45*x_ABS_D*x_WAGE/365</f>
        <v>276044453.919062</v>
      </c>
      <c r="AK45" s="0" t="n">
        <f aca="false">AJ45*x_R_FUS</f>
        <v>87340465.2199911</v>
      </c>
      <c r="AL45" s="0" t="n">
        <f aca="false">AJ45*x_R_NFZ</f>
        <v>21437888.3358083</v>
      </c>
      <c r="AM45" s="0" t="n">
        <f aca="false">AJ45*x_R_PIT</f>
        <v>18352587.463322</v>
      </c>
      <c r="AN45" s="0" t="n">
        <f aca="false">AJ45*x_R_FP</f>
        <v>7039133.57493607</v>
      </c>
      <c r="AO45" s="0" t="n">
        <f aca="false">AA45+AB45+AC45+AD45+AF45</f>
        <v>423345664.195455</v>
      </c>
      <c r="AP45" s="0" t="n">
        <f aca="false">AO45+AE45+AG45+AH45+AI45+AK45+AL45+AM45+AN45</f>
        <v>575810980.585743</v>
      </c>
      <c r="AQ45" s="0" t="n">
        <f aca="false">AO45+AE45+AG45+AJ45</f>
        <v>699390118.114516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2251.047</v>
      </c>
      <c r="I46" s="0" t="n">
        <v>229.397</v>
      </c>
      <c r="J46" s="0" t="n">
        <v>1179.941</v>
      </c>
      <c r="K46" s="0" t="n">
        <v>1625.855</v>
      </c>
      <c r="L46" s="0" t="n">
        <v>723.661</v>
      </c>
      <c r="M46" s="0" t="n">
        <v>131946.424</v>
      </c>
      <c r="N46" s="0" t="n">
        <v>9072.986</v>
      </c>
      <c r="O46" s="0" t="n">
        <v>63.066</v>
      </c>
      <c r="P46" s="0" t="n">
        <v>63.338</v>
      </c>
      <c r="Q46" s="0" t="n">
        <v>668.602</v>
      </c>
      <c r="R46" s="0" t="n">
        <v>817.861</v>
      </c>
      <c r="S46" s="0" t="n">
        <v>2347.776</v>
      </c>
      <c r="T46" s="0" t="n">
        <v>2480.444</v>
      </c>
      <c r="U46" s="0" t="n">
        <v>1828.692</v>
      </c>
      <c r="V46" s="0" t="n">
        <v>172662.751</v>
      </c>
      <c r="W46" s="0" t="n">
        <v>218.683</v>
      </c>
      <c r="X46" s="0" t="n">
        <v>473.453</v>
      </c>
      <c r="Y46" s="0" t="n">
        <v>63.066</v>
      </c>
      <c r="Z46" s="0" t="n">
        <v>600.605</v>
      </c>
      <c r="AA46" s="0" t="n">
        <f aca="false">H46*x_c_F+I46*x_c_CC+J46*x_c_DC+K46*x_c_HCC+L46*x_c_PLT+M46*x_c_SVRn+N46*x_c_SVRcc+O46*x_c_LT+P46*x_c_LT1</f>
        <v>284761626.564829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17285647.6300834</v>
      </c>
      <c r="AI46" s="0" t="n">
        <f aca="false">x_AGRI*x_EMP*x_WLOSS*(x_PEN_K74*Q46+x_PEN_C22*R46)</f>
        <v>894047.42496005</v>
      </c>
      <c r="AJ46" s="0" t="n">
        <f aca="false">x_EMP*x_WAGE*(x_WLOSS*(Q46+R46)+S46)+U46*x_ABS_D*x_WAGE/365</f>
        <v>274007155.202174</v>
      </c>
      <c r="AK46" s="0" t="n">
        <f aca="false">AJ46*x_R_FUS</f>
        <v>86695863.905968</v>
      </c>
      <c r="AL46" s="0" t="n">
        <f aca="false">AJ46*x_R_NFZ</f>
        <v>21279669.6801561</v>
      </c>
      <c r="AM46" s="0" t="n">
        <f aca="false">AJ46*x_R_PIT</f>
        <v>18217139.3412541</v>
      </c>
      <c r="AN46" s="0" t="n">
        <f aca="false">AJ46*x_R_FP</f>
        <v>6987182.45765545</v>
      </c>
      <c r="AO46" s="0" t="n">
        <f aca="false">AA46+AB46+AC46+AD46+AF46</f>
        <v>422595054.174853</v>
      </c>
      <c r="AP46" s="0" t="n">
        <f aca="false">AO46+AE46+AG46+AH46+AI46+AK46+AL46+AM46+AN46</f>
        <v>573954604.61493</v>
      </c>
      <c r="AQ46" s="0" t="n">
        <f aca="false">AO46+AE46+AG46+AJ46</f>
        <v>696602209.377028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2251.486</v>
      </c>
      <c r="I47" s="0" t="n">
        <v>228.623</v>
      </c>
      <c r="J47" s="0" t="n">
        <v>1170.907</v>
      </c>
      <c r="K47" s="0" t="n">
        <v>1615.463</v>
      </c>
      <c r="L47" s="0" t="n">
        <v>708.242</v>
      </c>
      <c r="M47" s="0" t="n">
        <v>133961.922</v>
      </c>
      <c r="N47" s="0" t="n">
        <v>9023.387</v>
      </c>
      <c r="O47" s="0" t="n">
        <v>62.636</v>
      </c>
      <c r="P47" s="0" t="n">
        <v>62.851</v>
      </c>
      <c r="Q47" s="0" t="n">
        <v>663.449</v>
      </c>
      <c r="R47" s="0" t="n">
        <v>811.806</v>
      </c>
      <c r="S47" s="0" t="n">
        <v>2330.757</v>
      </c>
      <c r="T47" s="0" t="n">
        <v>2480.108</v>
      </c>
      <c r="U47" s="0" t="n">
        <v>1827.465</v>
      </c>
      <c r="V47" s="0" t="n">
        <v>173993.817</v>
      </c>
      <c r="W47" s="0" t="n">
        <v>217.469</v>
      </c>
      <c r="X47" s="0" t="n">
        <v>470.896</v>
      </c>
      <c r="Y47" s="0" t="n">
        <v>62.636</v>
      </c>
      <c r="Z47" s="0" t="n">
        <v>596.424</v>
      </c>
      <c r="AA47" s="0" t="n">
        <f aca="false">H47*x_c_F+I47*x_c_CC+J47*x_c_DC+K47*x_c_HCC+L47*x_c_PLT+M47*x_c_SVRn+N47*x_c_SVRcc+O47*x_c_LT+P47*x_c_LT1</f>
        <v>284380262.160413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17181266.8798423</v>
      </c>
      <c r="AI47" s="0" t="n">
        <f aca="false">x_AGRI*x_EMP*x_WLOSS*(x_PEN_K74*Q47+x_PEN_C22*R47)</f>
        <v>887314.794540113</v>
      </c>
      <c r="AJ47" s="0" t="n">
        <f aca="false">x_EMP*x_WAGE*(x_WLOSS*(Q47+R47)+S47)+U47*x_ABS_D*x_WAGE/365</f>
        <v>272036287.878594</v>
      </c>
      <c r="AK47" s="0" t="n">
        <f aca="false">AJ47*x_R_FUS</f>
        <v>86072281.4847873</v>
      </c>
      <c r="AL47" s="0" t="n">
        <f aca="false">AJ47*x_R_NFZ</f>
        <v>21126610.1529395</v>
      </c>
      <c r="AM47" s="0" t="n">
        <f aca="false">AJ47*x_R_PIT</f>
        <v>18086107.8554876</v>
      </c>
      <c r="AN47" s="0" t="n">
        <f aca="false">AJ47*x_R_FP</f>
        <v>6936925.34090416</v>
      </c>
      <c r="AO47" s="0" t="n">
        <f aca="false">AA47+AB47+AC47+AD47+AF47</f>
        <v>422213689.770437</v>
      </c>
      <c r="AP47" s="0" t="n">
        <f aca="false">AO47+AE47+AG47+AH47+AI47+AK47+AL47+AM47+AN47</f>
        <v>572504196.278938</v>
      </c>
      <c r="AQ47" s="0" t="n">
        <f aca="false">AO47+AE47+AG47+AJ47</f>
        <v>694249977.649032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2251.846</v>
      </c>
      <c r="I48" s="0" t="n">
        <v>227.938</v>
      </c>
      <c r="J48" s="0" t="n">
        <v>1163.707</v>
      </c>
      <c r="K48" s="0" t="n">
        <v>1606.954</v>
      </c>
      <c r="L48" s="0" t="n">
        <v>695.458</v>
      </c>
      <c r="M48" s="0" t="n">
        <v>135985.99</v>
      </c>
      <c r="N48" s="0" t="n">
        <v>8990.772</v>
      </c>
      <c r="O48" s="0" t="n">
        <v>62.296</v>
      </c>
      <c r="P48" s="0" t="n">
        <v>62.466</v>
      </c>
      <c r="Q48" s="0" t="n">
        <v>658.552</v>
      </c>
      <c r="R48" s="0" t="n">
        <v>806.054</v>
      </c>
      <c r="S48" s="0" t="n">
        <v>2314.567</v>
      </c>
      <c r="T48" s="0" t="n">
        <v>2479.784</v>
      </c>
      <c r="U48" s="0" t="n">
        <v>1826.35</v>
      </c>
      <c r="V48" s="0" t="n">
        <v>175351.648</v>
      </c>
      <c r="W48" s="0" t="n">
        <v>216.416</v>
      </c>
      <c r="X48" s="0" t="n">
        <v>468.693</v>
      </c>
      <c r="Y48" s="0" t="n">
        <v>62.296</v>
      </c>
      <c r="Z48" s="0" t="n">
        <v>593.059</v>
      </c>
      <c r="AA48" s="0" t="n">
        <f aca="false">H48*x_c_F+I48*x_c_CC+J48*x_c_DC+K48*x_c_HCC+L48*x_c_PLT+M48*x_c_SVRn+N48*x_c_SVRcc+O48*x_c_LT+P48*x_c_LT1</f>
        <v>284321896.430989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17082197.7367256</v>
      </c>
      <c r="AI48" s="0" t="n">
        <f aca="false">x_AGRI*x_EMP*x_WLOSS*(x_PEN_K74*Q48+x_PEN_C22*R48)</f>
        <v>880918.031493148</v>
      </c>
      <c r="AJ48" s="0" t="n">
        <f aca="false">x_EMP*x_WAGE*(x_WLOSS*(Q48+R48)+S48)+U48*x_ABS_D*x_WAGE/365</f>
        <v>270162176.749983</v>
      </c>
      <c r="AK48" s="0" t="n">
        <f aca="false">AJ48*x_R_FUS</f>
        <v>85479312.7236947</v>
      </c>
      <c r="AL48" s="0" t="n">
        <f aca="false">AJ48*x_R_NFZ</f>
        <v>20981064.8085805</v>
      </c>
      <c r="AM48" s="0" t="n">
        <f aca="false">AJ48*x_R_PIT</f>
        <v>17961509.1254081</v>
      </c>
      <c r="AN48" s="0" t="n">
        <f aca="false">AJ48*x_R_FP</f>
        <v>6889135.50712458</v>
      </c>
      <c r="AO48" s="0" t="n">
        <f aca="false">AA48+AB48+AC48+AD48+AF48</f>
        <v>422155324.041013</v>
      </c>
      <c r="AP48" s="0" t="n">
        <f aca="false">AO48+AE48+AG48+AH48+AI48+AK48+AL48+AM48+AN48</f>
        <v>571429461.974039</v>
      </c>
      <c r="AQ48" s="0" t="n">
        <f aca="false">AO48+AE48+AG48+AJ48</f>
        <v>692317500.790996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2252.182</v>
      </c>
      <c r="I49" s="0" t="n">
        <v>227.285</v>
      </c>
      <c r="J49" s="0" t="n">
        <v>1157.928</v>
      </c>
      <c r="K49" s="0" t="n">
        <v>1599.867</v>
      </c>
      <c r="L49" s="0" t="n">
        <v>685.125</v>
      </c>
      <c r="M49" s="0" t="n">
        <v>138012.947</v>
      </c>
      <c r="N49" s="0" t="n">
        <v>8973.862</v>
      </c>
      <c r="O49" s="0" t="n">
        <v>62.024</v>
      </c>
      <c r="P49" s="0" t="n">
        <v>62.16</v>
      </c>
      <c r="Q49" s="0" t="n">
        <v>653.904</v>
      </c>
      <c r="R49" s="0" t="n">
        <v>800.596</v>
      </c>
      <c r="S49" s="0" t="n">
        <v>2299.193</v>
      </c>
      <c r="T49" s="0" t="n">
        <v>2479.467</v>
      </c>
      <c r="U49" s="0" t="n">
        <v>1825.401</v>
      </c>
      <c r="V49" s="0" t="n">
        <v>176728.267</v>
      </c>
      <c r="W49" s="0" t="n">
        <v>215.464</v>
      </c>
      <c r="X49" s="0" t="n">
        <v>466.728</v>
      </c>
      <c r="Y49" s="0" t="n">
        <v>62.024</v>
      </c>
      <c r="Z49" s="0" t="n">
        <v>590.325</v>
      </c>
      <c r="AA49" s="0" t="n">
        <f aca="false">H49*x_c_F+I49*x_c_CC+J49*x_c_DC+K49*x_c_HCC+L49*x_c_PLT+M49*x_c_SVRn+N49*x_c_SVRcc+O49*x_c_LT+P49*x_c_LT1</f>
        <v>284528468.593742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16988405.3991459</v>
      </c>
      <c r="AI49" s="0" t="n">
        <f aca="false">x_AGRI*x_EMP*x_WLOSS*(x_PEN_K74*Q49+x_PEN_C22*R49)</f>
        <v>874847.497448195</v>
      </c>
      <c r="AJ49" s="0" t="n">
        <f aca="false">x_EMP*x_WAGE*(x_WLOSS*(Q49+R49)+S49)+U49*x_ABS_D*x_WAGE/365</f>
        <v>268383135.124015</v>
      </c>
      <c r="AK49" s="0" t="n">
        <f aca="false">AJ49*x_R_FUS</f>
        <v>84916423.9532382</v>
      </c>
      <c r="AL49" s="0" t="n">
        <f aca="false">AJ49*x_R_NFZ</f>
        <v>20842902.6568661</v>
      </c>
      <c r="AM49" s="0" t="n">
        <f aca="false">AJ49*x_R_PIT</f>
        <v>17843231.0126696</v>
      </c>
      <c r="AN49" s="0" t="n">
        <f aca="false">AJ49*x_R_FP</f>
        <v>6843769.94566237</v>
      </c>
      <c r="AO49" s="0" t="n">
        <f aca="false">AA49+AB49+AC49+AD49+AF49</f>
        <v>422361896.203766</v>
      </c>
      <c r="AP49" s="0" t="n">
        <f aca="false">AO49+AE49+AG49+AH49+AI49+AK49+AL49+AM49+AN49</f>
        <v>570671476.668797</v>
      </c>
      <c r="AQ49" s="0" t="n">
        <f aca="false">AO49+AE49+AG49+AJ49</f>
        <v>690745031.327781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2252.538</v>
      </c>
      <c r="I50" s="0" t="n">
        <v>226.614</v>
      </c>
      <c r="J50" s="0" t="n">
        <v>1153.14</v>
      </c>
      <c r="K50" s="0" t="n">
        <v>1593.731</v>
      </c>
      <c r="L50" s="0" t="n">
        <v>676.941</v>
      </c>
      <c r="M50" s="0" t="n">
        <v>140033.014</v>
      </c>
      <c r="N50" s="0" t="n">
        <v>8970.271</v>
      </c>
      <c r="O50" s="0" t="n">
        <v>61.797</v>
      </c>
      <c r="P50" s="0" t="n">
        <v>61.911</v>
      </c>
      <c r="Q50" s="0" t="n">
        <v>649.497</v>
      </c>
      <c r="R50" s="0" t="n">
        <v>795.419</v>
      </c>
      <c r="S50" s="0" t="n">
        <v>2284.618</v>
      </c>
      <c r="T50" s="0" t="n">
        <v>2479.152</v>
      </c>
      <c r="U50" s="0" t="n">
        <v>1824.659</v>
      </c>
      <c r="V50" s="0" t="n">
        <v>178112.158</v>
      </c>
      <c r="W50" s="0" t="n">
        <v>214.554</v>
      </c>
      <c r="X50" s="0" t="n">
        <v>464.884</v>
      </c>
      <c r="Y50" s="0" t="n">
        <v>61.797</v>
      </c>
      <c r="Z50" s="0" t="n">
        <v>588.006</v>
      </c>
      <c r="AA50" s="0" t="n">
        <f aca="false">H50*x_c_F+I50*x_c_CC+J50*x_c_DC+K50*x_c_HCC+L50*x_c_PLT+M50*x_c_SVRn+N50*x_c_SVRcc+O50*x_c_LT+P50*x_c_LT1</f>
        <v>284931399.632867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16899781.3989204</v>
      </c>
      <c r="AI50" s="0" t="n">
        <f aca="false">x_AGRI*x_EMP*x_WLOSS*(x_PEN_K74*Q50+x_PEN_C22*R50)</f>
        <v>869090.451381969</v>
      </c>
      <c r="AJ50" s="0" t="n">
        <f aca="false">x_EMP*x_WAGE*(x_WLOSS*(Q50+R50)+S50)+U50*x_ABS_D*x_WAGE/365</f>
        <v>266696866.792114</v>
      </c>
      <c r="AK50" s="0" t="n">
        <f aca="false">AJ50*x_R_FUS</f>
        <v>84382888.6530249</v>
      </c>
      <c r="AL50" s="0" t="n">
        <f aca="false">AJ50*x_R_NFZ</f>
        <v>20711945.3719424</v>
      </c>
      <c r="AM50" s="0" t="n">
        <f aca="false">AJ50*x_R_PIT</f>
        <v>17731120.8557421</v>
      </c>
      <c r="AN50" s="0" t="n">
        <f aca="false">AJ50*x_R_FP</f>
        <v>6800770.10319891</v>
      </c>
      <c r="AO50" s="0" t="n">
        <f aca="false">AA50+AB50+AC50+AD50+AF50</f>
        <v>422764827.242891</v>
      </c>
      <c r="AP50" s="0" t="n">
        <f aca="false">AO50+AE50+AG50+AH50+AI50+AK50+AL50+AM50+AN50</f>
        <v>570160424.077102</v>
      </c>
      <c r="AQ50" s="0" t="n">
        <f aca="false">AO50+AE50+AG50+AJ50</f>
        <v>689461694.035005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2252.947</v>
      </c>
      <c r="I51" s="0" t="n">
        <v>225.89</v>
      </c>
      <c r="J51" s="0" t="n">
        <v>1148.921</v>
      </c>
      <c r="K51" s="0" t="n">
        <v>1588.093</v>
      </c>
      <c r="L51" s="0" t="n">
        <v>670.514</v>
      </c>
      <c r="M51" s="0" t="n">
        <v>142032.809</v>
      </c>
      <c r="N51" s="0" t="n">
        <v>8976.727</v>
      </c>
      <c r="O51" s="0" t="n">
        <v>61.592</v>
      </c>
      <c r="P51" s="0" t="n">
        <v>61.695</v>
      </c>
      <c r="Q51" s="0" t="n">
        <v>645.323</v>
      </c>
      <c r="R51" s="0" t="n">
        <v>790.513</v>
      </c>
      <c r="S51" s="0" t="n">
        <v>2270.82</v>
      </c>
      <c r="T51" s="0" t="n">
        <v>2478.837</v>
      </c>
      <c r="U51" s="0" t="n">
        <v>1824.146</v>
      </c>
      <c r="V51" s="0" t="n">
        <v>179488.897</v>
      </c>
      <c r="W51" s="0" t="n">
        <v>213.64</v>
      </c>
      <c r="X51" s="0" t="n">
        <v>463.065</v>
      </c>
      <c r="Y51" s="0" t="n">
        <v>61.592</v>
      </c>
      <c r="Z51" s="0" t="n">
        <v>585.915</v>
      </c>
      <c r="AA51" s="0" t="n">
        <f aca="false">H51*x_c_F+I51*x_c_CC+J51*x_c_DC+K51*x_c_HCC+L51*x_c_PLT+M51*x_c_SVRn+N51*x_c_SVRcc+O51*x_c_LT+P51*x_c_LT1</f>
        <v>285455846.481136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16816207.0632097</v>
      </c>
      <c r="AI51" s="0" t="n">
        <f aca="false">x_AGRI*x_EMP*x_WLOSS*(x_PEN_K74*Q51+x_PEN_C22*R51)</f>
        <v>863636.059670445</v>
      </c>
      <c r="AJ51" s="0" t="n">
        <f aca="false">x_EMP*x_WAGE*(x_WLOSS*(Q51+R51)+S51)+U51*x_ABS_D*x_WAGE/365</f>
        <v>265100731.606538</v>
      </c>
      <c r="AK51" s="0" t="n">
        <f aca="false">AJ51*x_R_FUS</f>
        <v>83877871.4803085</v>
      </c>
      <c r="AL51" s="0" t="n">
        <f aca="false">AJ51*x_R_NFZ</f>
        <v>20587987.9172953</v>
      </c>
      <c r="AM51" s="0" t="n">
        <f aca="false">AJ51*x_R_PIT</f>
        <v>17625003.126584</v>
      </c>
      <c r="AN51" s="0" t="n">
        <f aca="false">AJ51*x_R_FP</f>
        <v>6760068.65596671</v>
      </c>
      <c r="AO51" s="0" t="n">
        <f aca="false">AA51+AB51+AC51+AD51+AF51</f>
        <v>423289274.091161</v>
      </c>
      <c r="AP51" s="0" t="n">
        <f aca="false">AO51+AE51+AG51+AH51+AI51+AK51+AL51+AM51+AN51</f>
        <v>569820048.394195</v>
      </c>
      <c r="AQ51" s="0" t="n">
        <f aca="false">AO51+AE51+AG51+AJ51</f>
        <v>688390005.697698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2253.428</v>
      </c>
      <c r="I52" s="0" t="n">
        <v>225.09</v>
      </c>
      <c r="J52" s="0" t="n">
        <v>1144.891</v>
      </c>
      <c r="K52" s="0" t="n">
        <v>1582.548</v>
      </c>
      <c r="L52" s="0" t="n">
        <v>665.4</v>
      </c>
      <c r="M52" s="0" t="n">
        <v>143996.34</v>
      </c>
      <c r="N52" s="0" t="n">
        <v>8989.418</v>
      </c>
      <c r="O52" s="0" t="n">
        <v>61.389</v>
      </c>
      <c r="P52" s="0" t="n">
        <v>61.491</v>
      </c>
      <c r="Q52" s="0" t="n">
        <v>641.37</v>
      </c>
      <c r="R52" s="0" t="n">
        <v>785.863</v>
      </c>
      <c r="S52" s="0" t="n">
        <v>2257.767</v>
      </c>
      <c r="T52" s="0" t="n">
        <v>2478.518</v>
      </c>
      <c r="U52" s="0" t="n">
        <v>1823.873</v>
      </c>
      <c r="V52" s="0" t="n">
        <v>180842.22</v>
      </c>
      <c r="W52" s="0" t="n">
        <v>212.682</v>
      </c>
      <c r="X52" s="0" t="n">
        <v>461.186</v>
      </c>
      <c r="Y52" s="0" t="n">
        <v>61.389</v>
      </c>
      <c r="Z52" s="0" t="n">
        <v>583.865</v>
      </c>
      <c r="AA52" s="0" t="n">
        <f aca="false">H52*x_c_F+I52*x_c_CC+J52*x_c_DC+K52*x_c_HCC+L52*x_c_PLT+M52*x_c_SVRn+N52*x_c_SVRcc+O52*x_c_LT+P52*x_c_LT1</f>
        <v>286027207.261954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16737459.1533468</v>
      </c>
      <c r="AI52" s="0" t="n">
        <f aca="false">x_AGRI*x_EMP*x_WLOSS*(x_PEN_K74*Q52+x_PEN_C22*R52)</f>
        <v>858468.071877588</v>
      </c>
      <c r="AJ52" s="0" t="n">
        <f aca="false">x_EMP*x_WAGE*(x_WLOSS*(Q52+R52)+S52)+U52*x_ABS_D*x_WAGE/365</f>
        <v>263590789.984205</v>
      </c>
      <c r="AK52" s="0" t="n">
        <f aca="false">AJ52*x_R_FUS</f>
        <v>83400125.9510024</v>
      </c>
      <c r="AL52" s="0" t="n">
        <f aca="false">AJ52*x_R_NFZ</f>
        <v>20470724.3409633</v>
      </c>
      <c r="AM52" s="0" t="n">
        <f aca="false">AJ52*x_R_PIT</f>
        <v>17524615.9052689</v>
      </c>
      <c r="AN52" s="0" t="n">
        <f aca="false">AJ52*x_R_FP</f>
        <v>6721565.14459722</v>
      </c>
      <c r="AO52" s="0" t="n">
        <f aca="false">AA52+AB52+AC52+AD52+AF52</f>
        <v>423860634.871978</v>
      </c>
      <c r="AP52" s="0" t="n">
        <f aca="false">AO52+AE52+AG52+AH52+AI52+AK52+AL52+AM52+AN52</f>
        <v>569573593.439034</v>
      </c>
      <c r="AQ52" s="0" t="n">
        <f aca="false">AO52+AE52+AG52+AJ52</f>
        <v>687451424.856183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609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5255.342</v>
      </c>
      <c r="D3" s="0" t="n">
        <v>0</v>
      </c>
      <c r="E3" s="0" t="n">
        <v>666666.667</v>
      </c>
      <c r="F3" s="0" t="n">
        <v>0</v>
      </c>
      <c r="G3" s="0" t="n">
        <v>0</v>
      </c>
      <c r="H3" s="0" t="n">
        <v>2597.167</v>
      </c>
      <c r="I3" s="0" t="n">
        <v>234.39</v>
      </c>
      <c r="J3" s="0" t="n">
        <v>1576.412</v>
      </c>
      <c r="K3" s="0" t="n">
        <v>2043.36</v>
      </c>
      <c r="L3" s="0" t="n">
        <v>1540.438</v>
      </c>
      <c r="M3" s="0" t="n">
        <v>7113.136</v>
      </c>
      <c r="N3" s="0" t="n">
        <v>635.031</v>
      </c>
      <c r="O3" s="0" t="n">
        <v>84.604</v>
      </c>
      <c r="P3" s="0" t="n">
        <v>42.302</v>
      </c>
      <c r="Q3" s="0" t="n">
        <v>2131.224</v>
      </c>
      <c r="R3" s="0" t="n">
        <v>1378.493</v>
      </c>
      <c r="S3" s="0" t="n">
        <v>268.453</v>
      </c>
      <c r="T3" s="0" t="n">
        <v>2831.556</v>
      </c>
      <c r="U3" s="0" t="n">
        <v>1568.35</v>
      </c>
      <c r="V3" s="0" t="n">
        <v>113593.835</v>
      </c>
      <c r="W3" s="0" t="n">
        <v>259.86</v>
      </c>
      <c r="X3" s="0" t="n">
        <v>575.173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251999664.722902</v>
      </c>
      <c r="AB3" s="0" t="n">
        <f aca="false">C3*x_c_DAA</f>
        <v>119611583.92</v>
      </c>
      <c r="AC3" s="0" t="n">
        <f aca="false">C3*x_c_MON</f>
        <v>30297729.2262998</v>
      </c>
      <c r="AD3" s="0" t="n">
        <f aca="false">D3*(1-x_testy)</f>
        <v>0</v>
      </c>
      <c r="AE3" s="0" t="n">
        <f aca="false">E3*(1-x_testy)</f>
        <v>666666.667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34522767.8428689</v>
      </c>
      <c r="AI3" s="0" t="n">
        <f aca="false">x_AGRI*x_EMP*x_WLOSS*(x_PEN_K74*Q3+x_PEN_C22*R3)</f>
        <v>2068765.83314631</v>
      </c>
      <c r="AJ3" s="0" t="n">
        <f aca="false">x_EMP*x_WAGE*(x_WLOSS*(Q3+R3)+S3)+U3*x_ABS_D*x_WAGE/365</f>
        <v>189144797.766133</v>
      </c>
      <c r="AK3" s="0" t="n">
        <f aca="false">AJ3*x_R_FUS</f>
        <v>59845414.0132045</v>
      </c>
      <c r="AL3" s="0" t="n">
        <f aca="false">AJ3*x_R_NFZ</f>
        <v>14689174.1393157</v>
      </c>
      <c r="AM3" s="0" t="n">
        <f aca="false">AJ3*x_R_PIT</f>
        <v>12575135.616574</v>
      </c>
      <c r="AN3" s="0" t="n">
        <f aca="false">AJ3*x_R_FP</f>
        <v>4823192.3430364</v>
      </c>
      <c r="AO3" s="0" t="n">
        <f aca="false">AA3+AB3+AC3+AD3+AF3</f>
        <v>401908977.869201</v>
      </c>
      <c r="AP3" s="0" t="n">
        <f aca="false">AO3+AE3+AG3+AH3+AI3+AK3+AL3+AM3+AN3</f>
        <v>531100094.324347</v>
      </c>
      <c r="AQ3" s="0" t="n">
        <f aca="false">AO3+AE3+AG3+AJ3</f>
        <v>591720442.302335</v>
      </c>
      <c r="AR3" s="0" t="n">
        <f aca="false">AB3+AC3+AD3+AF3</f>
        <v>149909313.1463</v>
      </c>
      <c r="AS3" s="0" t="n">
        <f aca="false">AR3+AE3+AG3</f>
        <v>150575979.8133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5606.997</v>
      </c>
      <c r="D4" s="0" t="n">
        <v>0</v>
      </c>
      <c r="E4" s="0" t="n">
        <v>1333333.333</v>
      </c>
      <c r="F4" s="0" t="n">
        <v>0</v>
      </c>
      <c r="G4" s="0" t="n">
        <v>0</v>
      </c>
      <c r="H4" s="0" t="n">
        <v>2703.865</v>
      </c>
      <c r="I4" s="0" t="n">
        <v>261.434</v>
      </c>
      <c r="J4" s="0" t="n">
        <v>1557.01</v>
      </c>
      <c r="K4" s="0" t="n">
        <v>2041.989</v>
      </c>
      <c r="L4" s="0" t="n">
        <v>1487.589</v>
      </c>
      <c r="M4" s="0" t="n">
        <v>11945.855</v>
      </c>
      <c r="N4" s="0" t="n">
        <v>1105.909</v>
      </c>
      <c r="O4" s="0" t="n">
        <v>83.261</v>
      </c>
      <c r="P4" s="0" t="n">
        <v>83.932</v>
      </c>
      <c r="Q4" s="0" t="n">
        <v>2128.867</v>
      </c>
      <c r="R4" s="0" t="n">
        <v>1390.477</v>
      </c>
      <c r="S4" s="0" t="n">
        <v>807.793</v>
      </c>
      <c r="T4" s="0" t="n">
        <v>2965.299</v>
      </c>
      <c r="U4" s="0" t="n">
        <v>1690.564</v>
      </c>
      <c r="V4" s="0" t="n">
        <v>114828.035</v>
      </c>
      <c r="W4" s="0" t="n">
        <v>271.428</v>
      </c>
      <c r="X4" s="0" t="n">
        <v>603.055</v>
      </c>
      <c r="Y4" s="0" t="n">
        <v>83.261</v>
      </c>
      <c r="Z4" s="0" t="n">
        <v>795.545</v>
      </c>
      <c r="AA4" s="0" t="n">
        <f aca="false">H4*x_c_F+I4*x_c_CC+J4*x_c_DC+K4*x_c_HCC+L4*x_c_PLT+M4*x_c_SVRn+N4*x_c_SVRcc+O4*x_c_LT+P4*x_c_LT1</f>
        <v>256113805.572507</v>
      </c>
      <c r="AB4" s="0" t="n">
        <f aca="false">C4*x_c_DAA</f>
        <v>127615251.72</v>
      </c>
      <c r="AC4" s="0" t="n">
        <f aca="false">C4*x_c_MON</f>
        <v>32325065.9764246</v>
      </c>
      <c r="AD4" s="0" t="n">
        <f aca="false">D4*(1-x_testy)</f>
        <v>0</v>
      </c>
      <c r="AE4" s="0" t="n">
        <f aca="false">E4*(1-x_testy)</f>
        <v>1333333.333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34869350.3251735</v>
      </c>
      <c r="AI4" s="0" t="n">
        <f aca="false">x_AGRI*x_EMP*x_WLOSS*(x_PEN_K74*Q4+x_PEN_C22*R4)</f>
        <v>2075066.62593931</v>
      </c>
      <c r="AJ4" s="0" t="n">
        <f aca="false">x_EMP*x_WAGE*(x_WLOSS*(Q4+R4)+S4)+U4*x_ABS_D*x_WAGE/365</f>
        <v>235931575.088384</v>
      </c>
      <c r="AK4" s="0" t="n">
        <f aca="false">AJ4*x_R_FUS</f>
        <v>74648750.3579646</v>
      </c>
      <c r="AL4" s="0" t="n">
        <f aca="false">AJ4*x_R_NFZ</f>
        <v>18322682.052939</v>
      </c>
      <c r="AM4" s="0" t="n">
        <f aca="false">AJ4*x_R_PIT</f>
        <v>15685715.853717</v>
      </c>
      <c r="AN4" s="0" t="n">
        <f aca="false">AJ4*x_R_FP</f>
        <v>6016255.16475378</v>
      </c>
      <c r="AO4" s="0" t="n">
        <f aca="false">AA4+AB4+AC4+AD4+AF4</f>
        <v>416054123.268931</v>
      </c>
      <c r="AP4" s="0" t="n">
        <f aca="false">AO4+AE4+AG4+AH4+AI4+AK4+AL4+AM4+AN4</f>
        <v>569005276.982418</v>
      </c>
      <c r="AQ4" s="0" t="n">
        <f aca="false">AO4+AE4+AG4+AJ4</f>
        <v>653319031.690315</v>
      </c>
      <c r="AR4" s="0" t="n">
        <f aca="false">AB4+AC4+AD4+AF4</f>
        <v>159940317.696425</v>
      </c>
      <c r="AS4" s="0" t="n">
        <f aca="false">AR4+AE4+AG4</f>
        <v>161273651.029425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5797.642</v>
      </c>
      <c r="D5" s="0" t="n">
        <v>0</v>
      </c>
      <c r="E5" s="0" t="n">
        <v>2000000</v>
      </c>
      <c r="F5" s="0" t="n">
        <v>0</v>
      </c>
      <c r="G5" s="0" t="n">
        <v>0</v>
      </c>
      <c r="H5" s="0" t="n">
        <v>2672.232</v>
      </c>
      <c r="I5" s="0" t="n">
        <v>276.903</v>
      </c>
      <c r="J5" s="0" t="n">
        <v>1552.41</v>
      </c>
      <c r="K5" s="0" t="n">
        <v>2067.609</v>
      </c>
      <c r="L5" s="0" t="n">
        <v>1470.386</v>
      </c>
      <c r="M5" s="0" t="n">
        <v>16553.407</v>
      </c>
      <c r="N5" s="0" t="n">
        <v>1592.879</v>
      </c>
      <c r="O5" s="0" t="n">
        <v>82.855</v>
      </c>
      <c r="P5" s="0" t="n">
        <v>83.058</v>
      </c>
      <c r="Q5" s="0" t="n">
        <v>2133.853</v>
      </c>
      <c r="R5" s="0" t="n">
        <v>1423.824</v>
      </c>
      <c r="S5" s="0" t="n">
        <v>1351.776</v>
      </c>
      <c r="T5" s="0" t="n">
        <v>2949.135</v>
      </c>
      <c r="U5" s="0" t="n">
        <v>1726.243</v>
      </c>
      <c r="V5" s="0" t="n">
        <v>116150.182</v>
      </c>
      <c r="W5" s="0" t="n">
        <v>284.295</v>
      </c>
      <c r="X5" s="0" t="n">
        <v>630.43</v>
      </c>
      <c r="Y5" s="0" t="n">
        <v>82.855</v>
      </c>
      <c r="Z5" s="0" t="n">
        <v>796.653</v>
      </c>
      <c r="AA5" s="0" t="n">
        <f aca="false">H5*x_c_F+I5*x_c_CC+J5*x_c_DC+K5*x_c_HCC+L5*x_c_PLT+M5*x_c_SVRn+N5*x_c_SVRcc+O5*x_c_LT+P5*x_c_LT1</f>
        <v>261060145.167161</v>
      </c>
      <c r="AB5" s="0" t="n">
        <f aca="false">C5*x_c_DAA</f>
        <v>131954331.92</v>
      </c>
      <c r="AC5" s="0" t="n">
        <f aca="false">C5*x_c_MON</f>
        <v>33424159.1635755</v>
      </c>
      <c r="AD5" s="0" t="n">
        <f aca="false">D5*(1-x_testy)</f>
        <v>0</v>
      </c>
      <c r="AE5" s="0" t="n">
        <f aca="false">E5*(1-x_testy)</f>
        <v>2000000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35305669.5451855</v>
      </c>
      <c r="AI5" s="0" t="n">
        <f aca="false">x_AGRI*x_EMP*x_WLOSS*(x_PEN_K74*Q5+x_PEN_C22*R5)</f>
        <v>2099058.07453161</v>
      </c>
      <c r="AJ5" s="0" t="n">
        <f aca="false">x_EMP*x_WAGE*(x_WLOSS*(Q5+R5)+S5)+U5*x_ABS_D*x_WAGE/365</f>
        <v>284182165.112502</v>
      </c>
      <c r="AK5" s="0" t="n">
        <f aca="false">AJ5*x_R_FUS</f>
        <v>89915237.0415956</v>
      </c>
      <c r="AL5" s="0" t="n">
        <f aca="false">AJ5*x_R_NFZ</f>
        <v>22069871.124802</v>
      </c>
      <c r="AM5" s="0" t="n">
        <f aca="false">AJ5*x_R_PIT</f>
        <v>18893616.4690076</v>
      </c>
      <c r="AN5" s="0" t="n">
        <f aca="false">AJ5*x_R_FP</f>
        <v>7246645.2103688</v>
      </c>
      <c r="AO5" s="0" t="n">
        <f aca="false">AA5+AB5+AC5+AD5+AF5</f>
        <v>426438636.250737</v>
      </c>
      <c r="AP5" s="0" t="n">
        <f aca="false">AO5+AE5+AG5+AH5+AI5+AK5+AL5+AM5+AN5</f>
        <v>603968733.716228</v>
      </c>
      <c r="AQ5" s="0" t="n">
        <f aca="false">AO5+AE5+AG5+AJ5</f>
        <v>712620801.363239</v>
      </c>
      <c r="AR5" s="0" t="n">
        <f aca="false">AB5+AC5+AD5+AF5</f>
        <v>165378491.083576</v>
      </c>
      <c r="AS5" s="0" t="n">
        <f aca="false">AR5+AE5+AG5</f>
        <v>167378491.083576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5552.364</v>
      </c>
      <c r="D6" s="0" t="n">
        <v>0</v>
      </c>
      <c r="E6" s="0" t="n">
        <v>2000000</v>
      </c>
      <c r="F6" s="0" t="n">
        <v>0</v>
      </c>
      <c r="G6" s="0" t="n">
        <v>0</v>
      </c>
      <c r="H6" s="0" t="n">
        <v>2556.067</v>
      </c>
      <c r="I6" s="0" t="n">
        <v>283.638</v>
      </c>
      <c r="J6" s="0" t="n">
        <v>1561.06</v>
      </c>
      <c r="K6" s="0" t="n">
        <v>2111.997</v>
      </c>
      <c r="L6" s="0" t="n">
        <v>1452.329</v>
      </c>
      <c r="M6" s="0" t="n">
        <v>20804.915</v>
      </c>
      <c r="N6" s="0" t="n">
        <v>2077.928</v>
      </c>
      <c r="O6" s="0" t="n">
        <v>83.233</v>
      </c>
      <c r="P6" s="0" t="n">
        <v>83.044</v>
      </c>
      <c r="Q6" s="0" t="n">
        <v>2149.683</v>
      </c>
      <c r="R6" s="0" t="n">
        <v>1472.434</v>
      </c>
      <c r="S6" s="0" t="n">
        <v>1903.016</v>
      </c>
      <c r="T6" s="0" t="n">
        <v>2839.704</v>
      </c>
      <c r="U6" s="0" t="n">
        <v>1704.132</v>
      </c>
      <c r="V6" s="0" t="n">
        <v>117528.821</v>
      </c>
      <c r="W6" s="0" t="n">
        <v>298.094</v>
      </c>
      <c r="X6" s="0" t="n">
        <v>657.46</v>
      </c>
      <c r="Y6" s="0" t="n">
        <v>83.233</v>
      </c>
      <c r="Z6" s="0" t="n">
        <v>805.308</v>
      </c>
      <c r="AA6" s="0" t="n">
        <f aca="false">H6*x_c_F+I6*x_c_CC+J6*x_c_DC+K6*x_c_HCC+L6*x_c_PLT+M6*x_c_SVRn+N6*x_c_SVRcc+O6*x_c_LT+P6*x_c_LT1</f>
        <v>267187577.306171</v>
      </c>
      <c r="AB6" s="0" t="n">
        <f aca="false">C6*x_c_DAA</f>
        <v>126371804.64</v>
      </c>
      <c r="AC6" s="0" t="n">
        <f aca="false">C6*x_c_MON</f>
        <v>32010099.6353529</v>
      </c>
      <c r="AD6" s="0" t="n">
        <f aca="false">D6*(1-x_testy)</f>
        <v>0</v>
      </c>
      <c r="AE6" s="0" t="n">
        <f aca="false">E6*(1-x_testy)</f>
        <v>2000000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35861778.1419643</v>
      </c>
      <c r="AI6" s="0" t="n">
        <f aca="false">x_AGRI*x_EMP*x_WLOSS*(x_PEN_K74*Q6+x_PEN_C22*R6)</f>
        <v>2138820.44646823</v>
      </c>
      <c r="AJ6" s="0" t="n">
        <f aca="false">x_EMP*x_WAGE*(x_WLOSS*(Q6+R6)+S6)+U6*x_ABS_D*x_WAGE/365</f>
        <v>334084169.211514</v>
      </c>
      <c r="AK6" s="0" t="n">
        <f aca="false">AJ6*x_R_FUS</f>
        <v>105704231.138523</v>
      </c>
      <c r="AL6" s="0" t="n">
        <f aca="false">AJ6*x_R_NFZ</f>
        <v>25945310.6651354</v>
      </c>
      <c r="AM6" s="0" t="n">
        <f aca="false">AJ6*x_R_PIT</f>
        <v>22211309.9847437</v>
      </c>
      <c r="AN6" s="0" t="n">
        <f aca="false">AJ6*x_R_FP</f>
        <v>8519146.31489362</v>
      </c>
      <c r="AO6" s="0" t="n">
        <f aca="false">AA6+AB6+AC6+AD6+AF6</f>
        <v>425569481.581524</v>
      </c>
      <c r="AP6" s="0" t="n">
        <f aca="false">AO6+AE6+AG6+AH6+AI6+AK6+AL6+AM6+AN6</f>
        <v>627950078.273252</v>
      </c>
      <c r="AQ6" s="0" t="n">
        <f aca="false">AO6+AE6+AG6+AJ6</f>
        <v>761653650.793038</v>
      </c>
      <c r="AR6" s="0" t="n">
        <f aca="false">AB6+AC6+AD6+AF6</f>
        <v>158381904.275353</v>
      </c>
      <c r="AS6" s="0" t="n">
        <f aca="false">AR6+AE6+AG6</f>
        <v>160381904.275353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5369.388</v>
      </c>
      <c r="D7" s="0" t="n">
        <v>0</v>
      </c>
      <c r="E7" s="0" t="n">
        <v>2000000</v>
      </c>
      <c r="F7" s="0" t="n">
        <v>0</v>
      </c>
      <c r="G7" s="0" t="n">
        <v>0</v>
      </c>
      <c r="H7" s="0" t="n">
        <v>2465.958</v>
      </c>
      <c r="I7" s="0" t="n">
        <v>291.749</v>
      </c>
      <c r="J7" s="0" t="n">
        <v>1581.022</v>
      </c>
      <c r="K7" s="0" t="n">
        <v>2168.779</v>
      </c>
      <c r="L7" s="0" t="n">
        <v>1434.145</v>
      </c>
      <c r="M7" s="0" t="n">
        <v>24804.493</v>
      </c>
      <c r="N7" s="0" t="n">
        <v>2563.087</v>
      </c>
      <c r="O7" s="0" t="n">
        <v>84.263</v>
      </c>
      <c r="P7" s="0" t="n">
        <v>83.748</v>
      </c>
      <c r="Q7" s="0" t="n">
        <v>2175.403</v>
      </c>
      <c r="R7" s="0" t="n">
        <v>1531.604</v>
      </c>
      <c r="S7" s="0" t="n">
        <v>2466.377</v>
      </c>
      <c r="T7" s="0" t="n">
        <v>2757.706</v>
      </c>
      <c r="U7" s="0" t="n">
        <v>1693.861</v>
      </c>
      <c r="V7" s="0" t="n">
        <v>118947.624</v>
      </c>
      <c r="W7" s="0" t="n">
        <v>311.924</v>
      </c>
      <c r="X7" s="0" t="n">
        <v>683.034</v>
      </c>
      <c r="Y7" s="0" t="n">
        <v>84.263</v>
      </c>
      <c r="Z7" s="0" t="n">
        <v>819.507</v>
      </c>
      <c r="AA7" s="0" t="n">
        <f aca="false">H7*x_c_F+I7*x_c_CC+J7*x_c_DC+K7*x_c_HCC+L7*x_c_PLT+M7*x_c_SVRn+N7*x_c_SVRcc+O7*x_c_LT+P7*x_c_LT1</f>
        <v>274482861.397504</v>
      </c>
      <c r="AB7" s="0" t="n">
        <f aca="false">C7*x_c_DAA</f>
        <v>122207270.88</v>
      </c>
      <c r="AC7" s="0" t="n">
        <f aca="false">C7*x_c_MON</f>
        <v>30955219.2292992</v>
      </c>
      <c r="AD7" s="0" t="n">
        <f aca="false">D7*(1-x_testy)</f>
        <v>0</v>
      </c>
      <c r="AE7" s="0" t="n">
        <f aca="false">E7*(1-x_testy)</f>
        <v>2000000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36627514.2264848</v>
      </c>
      <c r="AI7" s="0" t="n">
        <f aca="false">x_AGRI*x_EMP*x_WLOSS*(x_PEN_K74*Q7+x_PEN_C22*R7)</f>
        <v>2190829.85704925</v>
      </c>
      <c r="AJ7" s="0" t="n">
        <f aca="false">x_EMP*x_WAGE*(x_WLOSS*(Q7+R7)+S7)+U7*x_ABS_D*x_WAGE/365</f>
        <v>385996274.389783</v>
      </c>
      <c r="AK7" s="0" t="n">
        <f aca="false">AJ7*x_R_FUS</f>
        <v>122129221.216927</v>
      </c>
      <c r="AL7" s="0" t="n">
        <f aca="false">AJ7*x_R_NFZ</f>
        <v>29976856.6653849</v>
      </c>
      <c r="AM7" s="0" t="n">
        <f aca="false">AJ7*x_R_PIT</f>
        <v>25662643.4100792</v>
      </c>
      <c r="AN7" s="0" t="n">
        <f aca="false">AJ7*x_R_FP</f>
        <v>9842904.99693946</v>
      </c>
      <c r="AO7" s="0" t="n">
        <f aca="false">AA7+AB7+AC7+AD7+AF7</f>
        <v>427645351.506803</v>
      </c>
      <c r="AP7" s="0" t="n">
        <f aca="false">AO7+AE7+AG7+AH7+AI7+AK7+AL7+AM7+AN7</f>
        <v>656075321.879668</v>
      </c>
      <c r="AQ7" s="0" t="n">
        <f aca="false">AO7+AE7+AG7+AJ7</f>
        <v>815641625.896586</v>
      </c>
      <c r="AR7" s="0" t="n">
        <f aca="false">AB7+AC7+AD7+AF7</f>
        <v>153162490.109299</v>
      </c>
      <c r="AS7" s="0" t="n">
        <f aca="false">AR7+AE7+AG7</f>
        <v>155162490.109299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5232.888</v>
      </c>
      <c r="D8" s="0" t="n">
        <v>0</v>
      </c>
      <c r="E8" s="0" t="n">
        <v>2000000</v>
      </c>
      <c r="F8" s="0" t="n">
        <v>0</v>
      </c>
      <c r="G8" s="0" t="n">
        <v>0</v>
      </c>
      <c r="H8" s="0" t="n">
        <v>2395.701</v>
      </c>
      <c r="I8" s="0" t="n">
        <v>300.492</v>
      </c>
      <c r="J8" s="0" t="n">
        <v>1609.9</v>
      </c>
      <c r="K8" s="0" t="n">
        <v>2232.431</v>
      </c>
      <c r="L8" s="0" t="n">
        <v>1416.427</v>
      </c>
      <c r="M8" s="0" t="n">
        <v>28618.742</v>
      </c>
      <c r="N8" s="0" t="n">
        <v>3048.898</v>
      </c>
      <c r="O8" s="0" t="n">
        <v>85.798</v>
      </c>
      <c r="P8" s="0" t="n">
        <v>85.031</v>
      </c>
      <c r="Q8" s="0" t="n">
        <v>2209.703</v>
      </c>
      <c r="R8" s="0" t="n">
        <v>1597.366</v>
      </c>
      <c r="S8" s="0" t="n">
        <v>3045.251</v>
      </c>
      <c r="T8" s="0" t="n">
        <v>2696.192</v>
      </c>
      <c r="U8" s="0" t="n">
        <v>1692.656</v>
      </c>
      <c r="V8" s="0" t="n">
        <v>120391.521</v>
      </c>
      <c r="W8" s="0" t="n">
        <v>325.104</v>
      </c>
      <c r="X8" s="0" t="n">
        <v>706.332</v>
      </c>
      <c r="Y8" s="0" t="n">
        <v>85.798</v>
      </c>
      <c r="Z8" s="0" t="n">
        <v>837.408</v>
      </c>
      <c r="AA8" s="0" t="n">
        <f aca="false">H8*x_c_F+I8*x_c_CC+J8*x_c_DC+K8*x_c_HCC+L8*x_c_PLT+M8*x_c_SVRn+N8*x_c_SVRcc+O8*x_c_LT+P8*x_c_LT1</f>
        <v>282537102.175405</v>
      </c>
      <c r="AB8" s="0" t="n">
        <f aca="false">C8*x_c_DAA</f>
        <v>119100530.88</v>
      </c>
      <c r="AC8" s="0" t="n">
        <f aca="false">C8*x_c_MON</f>
        <v>30168278.9998355</v>
      </c>
      <c r="AD8" s="0" t="n">
        <f aca="false">D8*(1-x_testy)</f>
        <v>0</v>
      </c>
      <c r="AE8" s="0" t="n">
        <f aca="false">E8*(1-x_testy)</f>
        <v>2000000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37547918.6275495</v>
      </c>
      <c r="AI8" s="0" t="n">
        <f aca="false">x_AGRI*x_EMP*x_WLOSS*(x_PEN_K74*Q8+x_PEN_C22*R8)</f>
        <v>2251830.56901488</v>
      </c>
      <c r="AJ8" s="0" t="n">
        <f aca="false">x_EMP*x_WAGE*(x_WLOSS*(Q8+R8)+S8)+U8*x_ABS_D*x_WAGE/365</f>
        <v>439956443.360074</v>
      </c>
      <c r="AK8" s="0" t="n">
        <f aca="false">AJ8*x_R_FUS</f>
        <v>139202218.679127</v>
      </c>
      <c r="AL8" s="0" t="n">
        <f aca="false">AJ8*x_R_NFZ</f>
        <v>34167457.3477867</v>
      </c>
      <c r="AM8" s="0" t="n">
        <f aca="false">AJ8*x_R_PIT</f>
        <v>29250140.6646093</v>
      </c>
      <c r="AN8" s="0" t="n">
        <f aca="false">AJ8*x_R_FP</f>
        <v>11218889.3056819</v>
      </c>
      <c r="AO8" s="0" t="n">
        <f aca="false">AA8+AB8+AC8+AD8+AF8</f>
        <v>431805912.055241</v>
      </c>
      <c r="AP8" s="0" t="n">
        <f aca="false">AO8+AE8+AG8+AH8+AI8+AK8+AL8+AM8+AN8</f>
        <v>687444367.24901</v>
      </c>
      <c r="AQ8" s="0" t="n">
        <f aca="false">AO8+AE8+AG8+AJ8</f>
        <v>873762355.415314</v>
      </c>
      <c r="AR8" s="0" t="n">
        <f aca="false">AB8+AC8+AD8+AF8</f>
        <v>149268809.879836</v>
      </c>
      <c r="AS8" s="0" t="n">
        <f aca="false">AR8+AE8+AG8</f>
        <v>151268809.879836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5131.06</v>
      </c>
      <c r="D9" s="0" t="n">
        <v>0</v>
      </c>
      <c r="E9" s="0" t="n">
        <v>2000000</v>
      </c>
      <c r="F9" s="0" t="n">
        <v>0</v>
      </c>
      <c r="G9" s="0" t="n">
        <v>0</v>
      </c>
      <c r="H9" s="0" t="n">
        <v>2340.677</v>
      </c>
      <c r="I9" s="0" t="n">
        <v>309.285</v>
      </c>
      <c r="J9" s="0" t="n">
        <v>1645.088</v>
      </c>
      <c r="K9" s="0" t="n">
        <v>2298.255</v>
      </c>
      <c r="L9" s="0" t="n">
        <v>1399.594</v>
      </c>
      <c r="M9" s="0" t="n">
        <v>32290.144</v>
      </c>
      <c r="N9" s="0" t="n">
        <v>3534.693</v>
      </c>
      <c r="O9" s="0" t="n">
        <v>87.68</v>
      </c>
      <c r="P9" s="0" t="n">
        <v>86.739</v>
      </c>
      <c r="Q9" s="0" t="n">
        <v>2251.047</v>
      </c>
      <c r="R9" s="0" t="n">
        <v>1666.416</v>
      </c>
      <c r="S9" s="0" t="n">
        <v>3641.676</v>
      </c>
      <c r="T9" s="0" t="n">
        <v>2649.963</v>
      </c>
      <c r="U9" s="0" t="n">
        <v>1698.309</v>
      </c>
      <c r="V9" s="0" t="n">
        <v>121845.674</v>
      </c>
      <c r="W9" s="0" t="n">
        <v>337.118</v>
      </c>
      <c r="X9" s="0" t="n">
        <v>726.737</v>
      </c>
      <c r="Y9" s="0" t="n">
        <v>87.68</v>
      </c>
      <c r="Z9" s="0" t="n">
        <v>857.325</v>
      </c>
      <c r="AA9" s="0" t="n">
        <f aca="false">H9*x_c_F+I9*x_c_CC+J9*x_c_DC+K9*x_c_HCC+L9*x_c_PLT+M9*x_c_SVRn+N9*x_c_SVRcc+O9*x_c_LT+P9*x_c_LT1</f>
        <v>290967015.480741</v>
      </c>
      <c r="AB9" s="0" t="n">
        <f aca="false">C9*x_c_DAA</f>
        <v>116782925.6</v>
      </c>
      <c r="AC9" s="0" t="n">
        <f aca="false">C9*x_c_MON</f>
        <v>29581227.3537855</v>
      </c>
      <c r="AD9" s="0" t="n">
        <f aca="false">D9*(1-x_testy)</f>
        <v>0</v>
      </c>
      <c r="AE9" s="0" t="n">
        <f aca="false">E9*(1-x_testy)</f>
        <v>2000000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38573669.9813984</v>
      </c>
      <c r="AI9" s="0" t="n">
        <f aca="false">x_AGRI*x_EMP*x_WLOSS*(x_PEN_K74*Q9+x_PEN_C22*R9)</f>
        <v>2318862.57969345</v>
      </c>
      <c r="AJ9" s="0" t="n">
        <f aca="false">x_EMP*x_WAGE*(x_WLOSS*(Q9+R9)+S9)+U9*x_ABS_D*x_WAGE/365</f>
        <v>495909031.957607</v>
      </c>
      <c r="AK9" s="0" t="n">
        <f aca="false">AJ9*x_R_FUS</f>
        <v>156905617.711387</v>
      </c>
      <c r="AL9" s="0" t="n">
        <f aca="false">AJ9*x_R_NFZ</f>
        <v>38512791.3308597</v>
      </c>
      <c r="AM9" s="0" t="n">
        <f aca="false">AJ9*x_R_PIT</f>
        <v>32970102.2920092</v>
      </c>
      <c r="AN9" s="0" t="n">
        <f aca="false">AJ9*x_R_FP</f>
        <v>12645680.314919</v>
      </c>
      <c r="AO9" s="0" t="n">
        <f aca="false">AA9+AB9+AC9+AD9+AF9</f>
        <v>437331168.434527</v>
      </c>
      <c r="AP9" s="0" t="n">
        <f aca="false">AO9+AE9+AG9+AH9+AI9+AK9+AL9+AM9+AN9</f>
        <v>721257892.644793</v>
      </c>
      <c r="AQ9" s="0" t="n">
        <f aca="false">AO9+AE9+AG9+AJ9</f>
        <v>935240200.392133</v>
      </c>
      <c r="AR9" s="0" t="n">
        <f aca="false">AB9+AC9+AD9+AF9</f>
        <v>146364152.953786</v>
      </c>
      <c r="AS9" s="0" t="n">
        <f aca="false">AR9+AE9+AG9</f>
        <v>148364152.953786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5055.097</v>
      </c>
      <c r="D10" s="0" t="n">
        <v>0</v>
      </c>
      <c r="E10" s="0" t="n">
        <v>2000000</v>
      </c>
      <c r="F10" s="0" t="n">
        <v>0</v>
      </c>
      <c r="G10" s="0" t="n">
        <v>0</v>
      </c>
      <c r="H10" s="0" t="n">
        <v>2297.455</v>
      </c>
      <c r="I10" s="0" t="n">
        <v>317.676</v>
      </c>
      <c r="J10" s="0" t="n">
        <v>1683.985</v>
      </c>
      <c r="K10" s="0" t="n">
        <v>2362.381</v>
      </c>
      <c r="L10" s="0" t="n">
        <v>1383.911</v>
      </c>
      <c r="M10" s="0" t="n">
        <v>35845.318</v>
      </c>
      <c r="N10" s="0" t="n">
        <v>4018.893</v>
      </c>
      <c r="O10" s="0" t="n">
        <v>89.761</v>
      </c>
      <c r="P10" s="0" t="n">
        <v>88.72</v>
      </c>
      <c r="Q10" s="0" t="n">
        <v>2297.797</v>
      </c>
      <c r="R10" s="0" t="n">
        <v>1736.048</v>
      </c>
      <c r="S10" s="0" t="n">
        <v>4256.513</v>
      </c>
      <c r="T10" s="0" t="n">
        <v>2615.131</v>
      </c>
      <c r="U10" s="0" t="n">
        <v>1709.064</v>
      </c>
      <c r="V10" s="0" t="n">
        <v>123297.192</v>
      </c>
      <c r="W10" s="0" t="n">
        <v>347.604</v>
      </c>
      <c r="X10" s="0" t="n">
        <v>743.847</v>
      </c>
      <c r="Y10" s="0" t="n">
        <v>89.761</v>
      </c>
      <c r="Z10" s="0" t="n">
        <v>877.826</v>
      </c>
      <c r="AA10" s="0" t="n">
        <f aca="false">H10*x_c_F+I10*x_c_CC+J10*x_c_DC+K10*x_c_HCC+L10*x_c_PLT+M10*x_c_SVRn+N10*x_c_SVRcc+O10*x_c_LT+P10*x_c_LT1</f>
        <v>299432108.821004</v>
      </c>
      <c r="AB10" s="0" t="n">
        <f aca="false">C10*x_c_DAA</f>
        <v>115054007.72</v>
      </c>
      <c r="AC10" s="0" t="n">
        <f aca="false">C10*x_c_MON</f>
        <v>29143290.7922416</v>
      </c>
      <c r="AD10" s="0" t="n">
        <f aca="false">D10*(1-x_testy)</f>
        <v>0</v>
      </c>
      <c r="AE10" s="0" t="n">
        <f aca="false">E10*(1-x_testy)</f>
        <v>2000000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39661265.0392435</v>
      </c>
      <c r="AI10" s="0" t="n">
        <f aca="false">x_AGRI*x_EMP*x_WLOSS*(x_PEN_K74*Q10+x_PEN_C22*R10)</f>
        <v>2389289.03042818</v>
      </c>
      <c r="AJ10" s="0" t="n">
        <f aca="false">x_EMP*x_WAGE*(x_WLOSS*(Q10+R10)+S10)+U10*x_ABS_D*x_WAGE/365</f>
        <v>553722216.735256</v>
      </c>
      <c r="AK10" s="0" t="n">
        <f aca="false">AJ10*x_R_FUS</f>
        <v>175197709.375035</v>
      </c>
      <c r="AL10" s="0" t="n">
        <f aca="false">AJ10*x_R_NFZ</f>
        <v>43002621.0738767</v>
      </c>
      <c r="AM10" s="0" t="n">
        <f aca="false">AJ10*x_R_PIT</f>
        <v>36813764.1193036</v>
      </c>
      <c r="AN10" s="0" t="n">
        <f aca="false">AJ10*x_R_FP</f>
        <v>14119916.526749</v>
      </c>
      <c r="AO10" s="0" t="n">
        <f aca="false">AA10+AB10+AC10+AD10+AF10</f>
        <v>443629407.333246</v>
      </c>
      <c r="AP10" s="0" t="n">
        <f aca="false">AO10+AE10+AG10+AH10+AI10+AK10+AL10+AM10+AN10</f>
        <v>756813972.497882</v>
      </c>
      <c r="AQ10" s="0" t="n">
        <f aca="false">AO10+AE10+AG10+AJ10</f>
        <v>999351624.068502</v>
      </c>
      <c r="AR10" s="0" t="n">
        <f aca="false">AB10+AC10+AD10+AF10</f>
        <v>144197298.512242</v>
      </c>
      <c r="AS10" s="0" t="n">
        <f aca="false">AR10+AE10+AG10</f>
        <v>146197298.512242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4998.429</v>
      </c>
      <c r="D11" s="0" t="n">
        <v>0</v>
      </c>
      <c r="E11" s="0" t="n">
        <v>2000000</v>
      </c>
      <c r="F11" s="0" t="n">
        <v>0</v>
      </c>
      <c r="G11" s="0" t="n">
        <v>0</v>
      </c>
      <c r="H11" s="0" t="n">
        <v>2263.483</v>
      </c>
      <c r="I11" s="0" t="n">
        <v>325.312</v>
      </c>
      <c r="J11" s="0" t="n">
        <v>1724.129</v>
      </c>
      <c r="K11" s="0" t="n">
        <v>2421.707</v>
      </c>
      <c r="L11" s="0" t="n">
        <v>1369.486</v>
      </c>
      <c r="M11" s="0" t="n">
        <v>39300.484</v>
      </c>
      <c r="N11" s="0" t="n">
        <v>4499.189</v>
      </c>
      <c r="O11" s="0" t="n">
        <v>91.9</v>
      </c>
      <c r="P11" s="0" t="n">
        <v>90.83</v>
      </c>
      <c r="Q11" s="0" t="n">
        <v>2348.301</v>
      </c>
      <c r="R11" s="0" t="n">
        <v>1804.092</v>
      </c>
      <c r="S11" s="0" t="n">
        <v>4889.576</v>
      </c>
      <c r="T11" s="0" t="n">
        <v>2588.795</v>
      </c>
      <c r="U11" s="0" t="n">
        <v>1723.539</v>
      </c>
      <c r="V11" s="0" t="n">
        <v>124735.121</v>
      </c>
      <c r="W11" s="0" t="n">
        <v>356.308</v>
      </c>
      <c r="X11" s="0" t="n">
        <v>757.394</v>
      </c>
      <c r="Y11" s="0" t="n">
        <v>91.9</v>
      </c>
      <c r="Z11" s="0" t="n">
        <v>897.66</v>
      </c>
      <c r="AA11" s="0" t="n">
        <f aca="false">H11*x_c_F+I11*x_c_CC+J11*x_c_DC+K11*x_c_HCC+L11*x_c_PLT+M11*x_c_SVRn+N11*x_c_SVRcc+O11*x_c_LT+P11*x_c_LT1</f>
        <v>307635250.887865</v>
      </c>
      <c r="AB11" s="0" t="n">
        <f aca="false">C11*x_c_DAA</f>
        <v>113764244.04</v>
      </c>
      <c r="AC11" s="0" t="n">
        <f aca="false">C11*x_c_MON</f>
        <v>28816592.4118515</v>
      </c>
      <c r="AD11" s="0" t="n">
        <f aca="false">D11*(1-x_testy)</f>
        <v>0</v>
      </c>
      <c r="AE11" s="0" t="n">
        <f aca="false">E11*(1-x_testy)</f>
        <v>2000000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40773006.759162</v>
      </c>
      <c r="AI11" s="0" t="n">
        <f aca="false">x_AGRI*x_EMP*x_WLOSS*(x_PEN_K74*Q11+x_PEN_C22*R11)</f>
        <v>2460806.0188839</v>
      </c>
      <c r="AJ11" s="0" t="n">
        <f aca="false">x_EMP*x_WAGE*(x_WLOSS*(Q11+R11)+S11)+U11*x_ABS_D*x_WAGE/365</f>
        <v>613200047.213769</v>
      </c>
      <c r="AK11" s="0" t="n">
        <f aca="false">AJ11*x_R_FUS</f>
        <v>194016494.938436</v>
      </c>
      <c r="AL11" s="0" t="n">
        <f aca="false">AJ11*x_R_NFZ</f>
        <v>47621728.8666685</v>
      </c>
      <c r="AM11" s="0" t="n">
        <f aca="false">AJ11*x_R_PIT</f>
        <v>40768098.5407645</v>
      </c>
      <c r="AN11" s="0" t="n">
        <f aca="false">AJ11*x_R_FP</f>
        <v>15636601.2039511</v>
      </c>
      <c r="AO11" s="0" t="n">
        <f aca="false">AA11+AB11+AC11+AD11+AF11</f>
        <v>450216087.339716</v>
      </c>
      <c r="AP11" s="0" t="n">
        <f aca="false">AO11+AE11+AG11+AH11+AI11+AK11+AL11+AM11+AN11</f>
        <v>793492823.667583</v>
      </c>
      <c r="AQ11" s="0" t="n">
        <f aca="false">AO11+AE11+AG11+AJ11</f>
        <v>1065416134.55348</v>
      </c>
      <c r="AR11" s="0" t="n">
        <f aca="false">AB11+AC11+AD11+AF11</f>
        <v>142580836.451852</v>
      </c>
      <c r="AS11" s="0" t="n">
        <f aca="false">AR11+AE11+AG11</f>
        <v>144580836.451852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4956.155</v>
      </c>
      <c r="D12" s="0" t="n">
        <v>0</v>
      </c>
      <c r="E12" s="0" t="n">
        <v>2000000</v>
      </c>
      <c r="F12" s="0" t="n">
        <v>0</v>
      </c>
      <c r="G12" s="0" t="n">
        <v>0</v>
      </c>
      <c r="H12" s="0" t="n">
        <v>2216.717</v>
      </c>
      <c r="I12" s="0" t="n">
        <v>328.898</v>
      </c>
      <c r="J12" s="0" t="n">
        <v>1763.295</v>
      </c>
      <c r="K12" s="0" t="n">
        <v>2473.847</v>
      </c>
      <c r="L12" s="0" t="n">
        <v>1356.292</v>
      </c>
      <c r="M12" s="0" t="n">
        <v>42626.691</v>
      </c>
      <c r="N12" s="0" t="n">
        <v>4966.882</v>
      </c>
      <c r="O12" s="0" t="n">
        <v>93.976</v>
      </c>
      <c r="P12" s="0" t="n">
        <v>92.938</v>
      </c>
      <c r="Q12" s="0" t="n">
        <v>2400.959</v>
      </c>
      <c r="R12" s="0" t="n">
        <v>1868.845</v>
      </c>
      <c r="S12" s="0" t="n">
        <v>5539.783</v>
      </c>
      <c r="T12" s="0" t="n">
        <v>2545.614</v>
      </c>
      <c r="U12" s="0" t="n">
        <v>1724.799</v>
      </c>
      <c r="V12" s="0" t="n">
        <v>126148.487</v>
      </c>
      <c r="W12" s="0" t="n">
        <v>363.09</v>
      </c>
      <c r="X12" s="0" t="n">
        <v>767.28</v>
      </c>
      <c r="Y12" s="0" t="n">
        <v>93.976</v>
      </c>
      <c r="Z12" s="0" t="n">
        <v>915.842</v>
      </c>
      <c r="AA12" s="0" t="n">
        <f aca="false">H12*x_c_F+I12*x_c_CC+J12*x_c_DC+K12*x_c_HCC+L12*x_c_PLT+M12*x_c_SVRn+N12*x_c_SVRcc+O12*x_c_LT+P12*x_c_LT1</f>
        <v>315212995.732052</v>
      </c>
      <c r="AB12" s="0" t="n">
        <f aca="false">C12*x_c_DAA</f>
        <v>112802087.8</v>
      </c>
      <c r="AC12" s="0" t="n">
        <f aca="false">C12*x_c_MON</f>
        <v>28572877.3110431</v>
      </c>
      <c r="AD12" s="0" t="n">
        <f aca="false">D12*(1-x_testy)</f>
        <v>0</v>
      </c>
      <c r="AE12" s="0" t="n">
        <f aca="false">E12*(1-x_testy)</f>
        <v>2000000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41844155.1803379</v>
      </c>
      <c r="AI12" s="0" t="n">
        <f aca="false">x_AGRI*x_EMP*x_WLOSS*(x_PEN_K74*Q12+x_PEN_C22*R12)</f>
        <v>2531435.65278253</v>
      </c>
      <c r="AJ12" s="0" t="n">
        <f aca="false">x_EMP*x_WAGE*(x_WLOSS*(Q12+R12)+S12)+U12*x_ABS_D*x_WAGE/365</f>
        <v>674048398.68559</v>
      </c>
      <c r="AK12" s="0" t="n">
        <f aca="false">AJ12*x_R_FUS</f>
        <v>213268913.344121</v>
      </c>
      <c r="AL12" s="0" t="n">
        <f aca="false">AJ12*x_R_NFZ</f>
        <v>52347272.6903216</v>
      </c>
      <c r="AM12" s="0" t="n">
        <f aca="false">AJ12*x_R_PIT</f>
        <v>44813550.9182029</v>
      </c>
      <c r="AN12" s="0" t="n">
        <f aca="false">AJ12*x_R_FP</f>
        <v>17188234.1664825</v>
      </c>
      <c r="AO12" s="0" t="n">
        <f aca="false">AA12+AB12+AC12+AD12+AF12</f>
        <v>456587960.843095</v>
      </c>
      <c r="AP12" s="0" t="n">
        <f aca="false">AO12+AE12+AG12+AH12+AI12+AK12+AL12+AM12+AN12</f>
        <v>830581522.795343</v>
      </c>
      <c r="AQ12" s="0" t="n">
        <f aca="false">AO12+AE12+AG12+AJ12</f>
        <v>1132636359.52868</v>
      </c>
      <c r="AR12" s="0" t="n">
        <f aca="false">AB12+AC12+AD12+AF12</f>
        <v>141374965.111043</v>
      </c>
      <c r="AS12" s="0" t="n">
        <f aca="false">AR12+AE12+AG12</f>
        <v>143374965.111043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2181.072</v>
      </c>
      <c r="I13" s="0" t="n">
        <v>332.003</v>
      </c>
      <c r="J13" s="0" t="n">
        <v>1799.621</v>
      </c>
      <c r="K13" s="0" t="n">
        <v>2517.205</v>
      </c>
      <c r="L13" s="0" t="n">
        <v>1344.165</v>
      </c>
      <c r="M13" s="0" t="n">
        <v>45848.228</v>
      </c>
      <c r="N13" s="0" t="n">
        <v>5420.294</v>
      </c>
      <c r="O13" s="0" t="n">
        <v>95.88</v>
      </c>
      <c r="P13" s="0" t="n">
        <v>94.928</v>
      </c>
      <c r="Q13" s="0" t="n">
        <v>2454.345</v>
      </c>
      <c r="R13" s="0" t="n">
        <v>1929.152</v>
      </c>
      <c r="S13" s="0" t="n">
        <v>6205.274</v>
      </c>
      <c r="T13" s="0" t="n">
        <v>2513.075</v>
      </c>
      <c r="U13" s="0" t="n">
        <v>1731.746</v>
      </c>
      <c r="V13" s="0" t="n">
        <v>127530.099</v>
      </c>
      <c r="W13" s="0" t="n">
        <v>368.066</v>
      </c>
      <c r="X13" s="0" t="n">
        <v>773.839</v>
      </c>
      <c r="Y13" s="0" t="n">
        <v>95.88</v>
      </c>
      <c r="Z13" s="0" t="n">
        <v>931.527</v>
      </c>
      <c r="AA13" s="0" t="n">
        <f aca="false">H13*x_c_F+I13*x_c_CC+J13*x_c_DC+K13*x_c_HCC+L13*x_c_PLT+M13*x_c_SVRn+N13*x_c_SVRcc+O13*x_c_LT+P13*x_c_LT1</f>
        <v>322083662.10492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42890390.9566227</v>
      </c>
      <c r="AI13" s="0" t="n">
        <f aca="false">x_AGRI*x_EMP*x_WLOSS*(x_PEN_K74*Q13+x_PEN_C22*R13)</f>
        <v>2599645.8029871</v>
      </c>
      <c r="AJ13" s="0" t="n">
        <f aca="false">x_EMP*x_WAGE*(x_WLOSS*(Q13+R13)+S13)+U13*x_ABS_D*x_WAGE/365</f>
        <v>736045333.678345</v>
      </c>
      <c r="AK13" s="0" t="n">
        <f aca="false">AJ13*x_R_FUS</f>
        <v>232884743.575828</v>
      </c>
      <c r="AL13" s="0" t="n">
        <f aca="false">AJ13*x_R_NFZ</f>
        <v>57162016.6587939</v>
      </c>
      <c r="AM13" s="0" t="n">
        <f aca="false">AJ13*x_R_PIT</f>
        <v>48935365.9221227</v>
      </c>
      <c r="AN13" s="0" t="n">
        <f aca="false">AJ13*x_R_FP</f>
        <v>18769156.0087978</v>
      </c>
      <c r="AO13" s="0" t="n">
        <f aca="false">AA13+AB13+AC13+AD13+AF13</f>
        <v>459917089.714944</v>
      </c>
      <c r="AP13" s="0" t="n">
        <f aca="false">AO13+AE13+AG13+AH13+AI13+AK13+AL13+AM13+AN13</f>
        <v>863158408.640096</v>
      </c>
      <c r="AQ13" s="0" t="n">
        <f aca="false">AO13+AE13+AG13+AJ13</f>
        <v>1195962423.39329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2174.266</v>
      </c>
      <c r="I14" s="0" t="n">
        <v>337.362</v>
      </c>
      <c r="J14" s="0" t="n">
        <v>1831.463</v>
      </c>
      <c r="K14" s="0" t="n">
        <v>2550.551</v>
      </c>
      <c r="L14" s="0" t="n">
        <v>1332.815</v>
      </c>
      <c r="M14" s="0" t="n">
        <v>49017.424</v>
      </c>
      <c r="N14" s="0" t="n">
        <v>5862.907</v>
      </c>
      <c r="O14" s="0" t="n">
        <v>97.535</v>
      </c>
      <c r="P14" s="0" t="n">
        <v>96.708</v>
      </c>
      <c r="Q14" s="0" t="n">
        <v>2507.107</v>
      </c>
      <c r="R14" s="0" t="n">
        <v>1984.109</v>
      </c>
      <c r="S14" s="0" t="n">
        <v>6883.536</v>
      </c>
      <c r="T14" s="0" t="n">
        <v>2511.628</v>
      </c>
      <c r="U14" s="0" t="n">
        <v>1758.653</v>
      </c>
      <c r="V14" s="0" t="n">
        <v>128874.418</v>
      </c>
      <c r="W14" s="0" t="n">
        <v>370.938</v>
      </c>
      <c r="X14" s="0" t="n">
        <v>776.594</v>
      </c>
      <c r="Y14" s="0" t="n">
        <v>97.535</v>
      </c>
      <c r="Z14" s="0" t="n">
        <v>944.22</v>
      </c>
      <c r="AA14" s="0" t="n">
        <f aca="false">H14*x_c_F+I14*x_c_CC+J14*x_c_DC+K14*x_c_HCC+L14*x_c_PLT+M14*x_c_SVRn+N14*x_c_SVRcc+O14*x_c_LT+P14*x_c_LT1</f>
        <v>328209071.171866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43920918.7760837</v>
      </c>
      <c r="AI14" s="0" t="n">
        <f aca="false">x_AGRI*x_EMP*x_WLOSS*(x_PEN_K74*Q14+x_PEN_C22*R14)</f>
        <v>2664105.32564379</v>
      </c>
      <c r="AJ14" s="0" t="n">
        <f aca="false">x_EMP*x_WAGE*(x_WLOSS*(Q14+R14)+S14)+U14*x_ABS_D*x_WAGE/365</f>
        <v>798914611.330823</v>
      </c>
      <c r="AK14" s="0" t="n">
        <f aca="false">AJ14*x_R_FUS</f>
        <v>252776583.025073</v>
      </c>
      <c r="AL14" s="0" t="n">
        <f aca="false">AJ14*x_R_NFZ</f>
        <v>62044507.6305631</v>
      </c>
      <c r="AM14" s="0" t="n">
        <f aca="false">AJ14*x_R_PIT</f>
        <v>53115177.907084</v>
      </c>
      <c r="AN14" s="0" t="n">
        <f aca="false">AJ14*x_R_FP</f>
        <v>20372322.588936</v>
      </c>
      <c r="AO14" s="0" t="n">
        <f aca="false">AA14+AB14+AC14+AD14+AF14</f>
        <v>466042498.78189</v>
      </c>
      <c r="AP14" s="0" t="n">
        <f aca="false">AO14+AE14+AG14+AH14+AI14+AK14+AL14+AM14+AN14</f>
        <v>900936114.035273</v>
      </c>
      <c r="AQ14" s="0" t="n">
        <f aca="false">AO14+AE14+AG14+AJ14</f>
        <v>1264957110.11271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2169.142</v>
      </c>
      <c r="I15" s="0" t="n">
        <v>341.002</v>
      </c>
      <c r="J15" s="0" t="n">
        <v>1857.372</v>
      </c>
      <c r="K15" s="0" t="n">
        <v>2572.899</v>
      </c>
      <c r="L15" s="0" t="n">
        <v>1321.887</v>
      </c>
      <c r="M15" s="0" t="n">
        <v>52124.481</v>
      </c>
      <c r="N15" s="0" t="n">
        <v>6290.285</v>
      </c>
      <c r="O15" s="0" t="n">
        <v>98.86</v>
      </c>
      <c r="P15" s="0" t="n">
        <v>98.198</v>
      </c>
      <c r="Q15" s="0" t="n">
        <v>1658.618</v>
      </c>
      <c r="R15" s="0" t="n">
        <v>1329.627</v>
      </c>
      <c r="S15" s="0" t="n">
        <v>4802.685</v>
      </c>
      <c r="T15" s="0" t="n">
        <v>2510.144</v>
      </c>
      <c r="U15" s="0" t="n">
        <v>1496.092</v>
      </c>
      <c r="V15" s="0" t="n">
        <v>130176.633</v>
      </c>
      <c r="W15" s="0" t="n">
        <v>371.782</v>
      </c>
      <c r="X15" s="0" t="n">
        <v>775.743</v>
      </c>
      <c r="Y15" s="0" t="n">
        <v>98.86</v>
      </c>
      <c r="Z15" s="0" t="n">
        <v>953.367</v>
      </c>
      <c r="AA15" s="0" t="n">
        <f aca="false">H15*x_c_F+I15*x_c_CC+J15*x_c_DC+K15*x_c_HCC+L15*x_c_PLT+M15*x_c_SVRn+N15*x_c_SVRcc+O15*x_c_LT+P15*x_c_LT1</f>
        <v>333338135.948538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29904039.0149444</v>
      </c>
      <c r="AI15" s="0" t="n">
        <f aca="false">x_AGRI*x_EMP*x_WLOSS*(x_PEN_K74*Q15+x_PEN_C22*R15)</f>
        <v>1773295.85086137</v>
      </c>
      <c r="AJ15" s="0" t="n">
        <f aca="false">x_EMP*x_WAGE*(x_WLOSS*(Q15+R15)+S15)+U15*x_ABS_D*x_WAGE/365</f>
        <v>551505584.72984</v>
      </c>
      <c r="AK15" s="0" t="n">
        <f aca="false">AJ15*x_R_FUS</f>
        <v>174496367.008522</v>
      </c>
      <c r="AL15" s="0" t="n">
        <f aca="false">AJ15*x_R_NFZ</f>
        <v>42830475.2157041</v>
      </c>
      <c r="AM15" s="0" t="n">
        <f aca="false">AJ15*x_R_PIT</f>
        <v>36666393.171705</v>
      </c>
      <c r="AN15" s="0" t="n">
        <f aca="false">AJ15*x_R_FP</f>
        <v>14063392.4106109</v>
      </c>
      <c r="AO15" s="0" t="n">
        <f aca="false">AA15+AB15+AC15+AD15+AF15</f>
        <v>471171563.558562</v>
      </c>
      <c r="AP15" s="0" t="n">
        <f aca="false">AO15+AE15+AG15+AH15+AI15+AK15+AL15+AM15+AN15</f>
        <v>770905526.23091</v>
      </c>
      <c r="AQ15" s="0" t="n">
        <f aca="false">AO15+AE15+AG15+AJ15</f>
        <v>1022677148.2884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2165.669</v>
      </c>
      <c r="I16" s="0" t="n">
        <v>342.961</v>
      </c>
      <c r="J16" s="0" t="n">
        <v>1876.262</v>
      </c>
      <c r="K16" s="0" t="n">
        <v>2583.786</v>
      </c>
      <c r="L16" s="0" t="n">
        <v>1310.958</v>
      </c>
      <c r="M16" s="0" t="n">
        <v>55164.602</v>
      </c>
      <c r="N16" s="0" t="n">
        <v>6698.037</v>
      </c>
      <c r="O16" s="0" t="n">
        <v>99.799</v>
      </c>
      <c r="P16" s="0" t="n">
        <v>99.33</v>
      </c>
      <c r="Q16" s="0" t="n">
        <v>797.068</v>
      </c>
      <c r="R16" s="0" t="n">
        <v>663.488</v>
      </c>
      <c r="S16" s="0" t="n">
        <v>2499.147</v>
      </c>
      <c r="T16" s="0" t="n">
        <v>2508.63</v>
      </c>
      <c r="U16" s="0" t="n">
        <v>1247.734</v>
      </c>
      <c r="V16" s="0" t="n">
        <v>131434.62</v>
      </c>
      <c r="W16" s="0" t="n">
        <v>370.715</v>
      </c>
      <c r="X16" s="0" t="n">
        <v>771.541</v>
      </c>
      <c r="Y16" s="0" t="n">
        <v>99.799</v>
      </c>
      <c r="Z16" s="0" t="n">
        <v>958.632</v>
      </c>
      <c r="AA16" s="0" t="n">
        <f aca="false">H16*x_c_F+I16*x_c_CC+J16*x_c_DC+K16*x_c_HCC+L16*x_c_PLT+M16*x_c_SVRn+N16*x_c_SVRcc+O16*x_c_LT+P16*x_c_LT1</f>
        <v>337371400.395195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15693681.720953</v>
      </c>
      <c r="AI16" s="0" t="n">
        <f aca="false">x_AGRI*x_EMP*x_WLOSS*(x_PEN_K74*Q16+x_PEN_C22*R16)</f>
        <v>867767.838655497</v>
      </c>
      <c r="AJ16" s="0" t="n">
        <f aca="false">x_EMP*x_WAGE*(x_WLOSS*(Q16+R16)+S16)+U16*x_ABS_D*x_WAGE/365</f>
        <v>284013419.964518</v>
      </c>
      <c r="AK16" s="0" t="n">
        <f aca="false">AJ16*x_R_FUS</f>
        <v>89861846.0767735</v>
      </c>
      <c r="AL16" s="0" t="n">
        <f aca="false">AJ16*x_R_NFZ</f>
        <v>22056766.2078644</v>
      </c>
      <c r="AM16" s="0" t="n">
        <f aca="false">AJ16*x_R_PIT</f>
        <v>18882397.5872535</v>
      </c>
      <c r="AN16" s="0" t="n">
        <f aca="false">AJ16*x_R_FP</f>
        <v>7242342.2090952</v>
      </c>
      <c r="AO16" s="0" t="n">
        <f aca="false">AA16+AB16+AC16+AD16+AF16</f>
        <v>475204828.005219</v>
      </c>
      <c r="AP16" s="0" t="n">
        <f aca="false">AO16+AE16+AG16+AH16+AI16+AK16+AL16+AM16+AN16</f>
        <v>629809629.645814</v>
      </c>
      <c r="AQ16" s="0" t="n">
        <f aca="false">AO16+AE16+AG16+AJ16</f>
        <v>759218247.969737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2163.782</v>
      </c>
      <c r="I17" s="0" t="n">
        <v>343.311</v>
      </c>
      <c r="J17" s="0" t="n">
        <v>1887.449</v>
      </c>
      <c r="K17" s="0" t="n">
        <v>2583.264</v>
      </c>
      <c r="L17" s="0" t="n">
        <v>1299.608</v>
      </c>
      <c r="M17" s="0" t="n">
        <v>58136.124</v>
      </c>
      <c r="N17" s="0" t="n">
        <v>7082.134</v>
      </c>
      <c r="O17" s="0" t="n">
        <v>100.319</v>
      </c>
      <c r="P17" s="0" t="n">
        <v>100.059</v>
      </c>
      <c r="Q17" s="0" t="n">
        <v>823.662</v>
      </c>
      <c r="R17" s="0" t="n">
        <v>692.736</v>
      </c>
      <c r="S17" s="0" t="n">
        <v>2742.485</v>
      </c>
      <c r="T17" s="0" t="n">
        <v>2507.093</v>
      </c>
      <c r="U17" s="0" t="n">
        <v>1301.956</v>
      </c>
      <c r="V17" s="0" t="n">
        <v>132649.532</v>
      </c>
      <c r="W17" s="0" t="n">
        <v>367.904</v>
      </c>
      <c r="X17" s="0" t="n">
        <v>764.321</v>
      </c>
      <c r="Y17" s="0" t="n">
        <v>100.319</v>
      </c>
      <c r="Z17" s="0" t="n">
        <v>959.895</v>
      </c>
      <c r="AA17" s="0" t="n">
        <f aca="false">H17*x_c_F+I17*x_c_CC+J17*x_c_DC+K17*x_c_HCC+L17*x_c_PLT+M17*x_c_SVRn+N17*x_c_SVRcc+O17*x_c_LT+P17*x_c_LT1</f>
        <v>340261121.813921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16311584.5750579</v>
      </c>
      <c r="AI17" s="0" t="n">
        <f aca="false">x_AGRI*x_EMP*x_WLOSS*(x_PEN_K74*Q17+x_PEN_C22*R17)</f>
        <v>901241.8112031</v>
      </c>
      <c r="AJ17" s="0" t="n">
        <f aca="false">x_EMP*x_WAGE*(x_WLOSS*(Q17+R17)+S17)+U17*x_ABS_D*x_WAGE/365</f>
        <v>307491761.866042</v>
      </c>
      <c r="AK17" s="0" t="n">
        <f aca="false">AJ17*x_R_FUS</f>
        <v>97290393.4544157</v>
      </c>
      <c r="AL17" s="0" t="n">
        <f aca="false">AJ17*x_R_NFZ</f>
        <v>23880117.7182787</v>
      </c>
      <c r="AM17" s="0" t="n">
        <f aca="false">AJ17*x_R_PIT</f>
        <v>20443335.7518284</v>
      </c>
      <c r="AN17" s="0" t="n">
        <f aca="false">AJ17*x_R_FP</f>
        <v>7841039.92758407</v>
      </c>
      <c r="AO17" s="0" t="n">
        <f aca="false">AA17+AB17+AC17+AD17+AF17</f>
        <v>478094549.423945</v>
      </c>
      <c r="AP17" s="0" t="n">
        <f aca="false">AO17+AE17+AG17+AH17+AI17+AK17+AL17+AM17+AN17</f>
        <v>644762262.662313</v>
      </c>
      <c r="AQ17" s="0" t="n">
        <f aca="false">AO17+AE17+AG17+AJ17</f>
        <v>785586311.289987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2163.382</v>
      </c>
      <c r="I18" s="0" t="n">
        <v>342.161</v>
      </c>
      <c r="J18" s="0" t="n">
        <v>1890.7</v>
      </c>
      <c r="K18" s="0" t="n">
        <v>2571.902</v>
      </c>
      <c r="L18" s="0" t="n">
        <v>1287.497</v>
      </c>
      <c r="M18" s="0" t="n">
        <v>61040.368</v>
      </c>
      <c r="N18" s="0" t="n">
        <v>7439.315</v>
      </c>
      <c r="O18" s="0" t="n">
        <v>100.414</v>
      </c>
      <c r="P18" s="0" t="n">
        <v>100.367</v>
      </c>
      <c r="Q18" s="0" t="n">
        <v>851.482</v>
      </c>
      <c r="R18" s="0" t="n">
        <v>723.062</v>
      </c>
      <c r="S18" s="0" t="n">
        <v>2995.395</v>
      </c>
      <c r="T18" s="0" t="n">
        <v>2505.543</v>
      </c>
      <c r="U18" s="0" t="n">
        <v>1354.886</v>
      </c>
      <c r="V18" s="0" t="n">
        <v>133826.85</v>
      </c>
      <c r="W18" s="0" t="n">
        <v>363.563</v>
      </c>
      <c r="X18" s="0" t="n">
        <v>754.491</v>
      </c>
      <c r="Y18" s="0" t="n">
        <v>100.414</v>
      </c>
      <c r="Z18" s="0" t="n">
        <v>957.27</v>
      </c>
      <c r="AA18" s="0" t="n">
        <f aca="false">H18*x_c_F+I18*x_c_CC+J18*x_c_DC+K18*x_c_HCC+L18*x_c_PLT+M18*x_c_SVRn+N18*x_c_SVRcc+O18*x_c_LT+P18*x_c_LT1</f>
        <v>342017326.892997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16947577.39739</v>
      </c>
      <c r="AI18" s="0" t="n">
        <f aca="false">x_AGRI*x_EMP*x_WLOSS*(x_PEN_K74*Q18+x_PEN_C22*R18)</f>
        <v>936087.065644441</v>
      </c>
      <c r="AJ18" s="0" t="n">
        <f aca="false">x_EMP*x_WAGE*(x_WLOSS*(Q18+R18)+S18)+U18*x_ABS_D*x_WAGE/365</f>
        <v>331888539.092079</v>
      </c>
      <c r="AK18" s="0" t="n">
        <f aca="false">AJ18*x_R_FUS</f>
        <v>105009533.768734</v>
      </c>
      <c r="AL18" s="0" t="n">
        <f aca="false">AJ18*x_R_NFZ</f>
        <v>25774795.8344299</v>
      </c>
      <c r="AM18" s="0" t="n">
        <f aca="false">AJ18*x_R_PIT</f>
        <v>22065335.3301836</v>
      </c>
      <c r="AN18" s="0" t="n">
        <f aca="false">AJ18*x_R_FP</f>
        <v>8463157.74684801</v>
      </c>
      <c r="AO18" s="0" t="n">
        <f aca="false">AA18+AB18+AC18+AD18+AF18</f>
        <v>479850754.503021</v>
      </c>
      <c r="AP18" s="0" t="n">
        <f aca="false">AO18+AE18+AG18+AH18+AI18+AK18+AL18+AM18+AN18</f>
        <v>659047241.646251</v>
      </c>
      <c r="AQ18" s="0" t="n">
        <f aca="false">AO18+AE18+AG18+AJ18</f>
        <v>811739293.5951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2164.344</v>
      </c>
      <c r="I19" s="0" t="n">
        <v>339.646</v>
      </c>
      <c r="J19" s="0" t="n">
        <v>1885.955</v>
      </c>
      <c r="K19" s="0" t="n">
        <v>2550.417</v>
      </c>
      <c r="L19" s="0" t="n">
        <v>1274.084</v>
      </c>
      <c r="M19" s="0" t="n">
        <v>63874.743</v>
      </c>
      <c r="N19" s="0" t="n">
        <v>7766.143</v>
      </c>
      <c r="O19" s="0" t="n">
        <v>100.074</v>
      </c>
      <c r="P19" s="0" t="n">
        <v>100.244</v>
      </c>
      <c r="Q19" s="0" t="n">
        <v>880.565</v>
      </c>
      <c r="R19" s="0" t="n">
        <v>754.541</v>
      </c>
      <c r="S19" s="0" t="n">
        <v>3258.09</v>
      </c>
      <c r="T19" s="0" t="n">
        <v>2503.99</v>
      </c>
      <c r="U19" s="0" t="n">
        <v>1406.328</v>
      </c>
      <c r="V19" s="0" t="n">
        <v>134968.263</v>
      </c>
      <c r="W19" s="0" t="n">
        <v>357.876</v>
      </c>
      <c r="X19" s="0" t="n">
        <v>742.376</v>
      </c>
      <c r="Y19" s="0" t="n">
        <v>100.074</v>
      </c>
      <c r="Z19" s="0" t="n">
        <v>950.784</v>
      </c>
      <c r="AA19" s="0" t="n">
        <f aca="false">H19*x_c_F+I19*x_c_CC+J19*x_c_DC+K19*x_c_HCC+L19*x_c_PLT+M19*x_c_SVRn+N19*x_c_SVRcc+O19*x_c_LT+P19*x_c_LT1</f>
        <v>342652278.936452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17602291.8301915</v>
      </c>
      <c r="AI19" s="0" t="n">
        <f aca="false">x_AGRI*x_EMP*x_WLOSS*(x_PEN_K74*Q19+x_PEN_C22*R19)</f>
        <v>972371.98673355</v>
      </c>
      <c r="AJ19" s="0" t="n">
        <f aca="false">x_EMP*x_WAGE*(x_WLOSS*(Q19+R19)+S19)+U19*x_ABS_D*x_WAGE/365</f>
        <v>357226494.868561</v>
      </c>
      <c r="AK19" s="0" t="n">
        <f aca="false">AJ19*x_R_FUS</f>
        <v>113026462.976413</v>
      </c>
      <c r="AL19" s="0" t="n">
        <f aca="false">AJ19*x_R_NFZ</f>
        <v>27742566.8179873</v>
      </c>
      <c r="AM19" s="0" t="n">
        <f aca="false">AJ19*x_R_PIT</f>
        <v>23749908.386906</v>
      </c>
      <c r="AN19" s="0" t="n">
        <f aca="false">AJ19*x_R_FP</f>
        <v>9109275.61914831</v>
      </c>
      <c r="AO19" s="0" t="n">
        <f aca="false">AA19+AB19+AC19+AD19+AF19</f>
        <v>480485706.546476</v>
      </c>
      <c r="AP19" s="0" t="n">
        <f aca="false">AO19+AE19+AG19+AH19+AI19+AK19+AL19+AM19+AN19</f>
        <v>672688584.163856</v>
      </c>
      <c r="AQ19" s="0" t="n">
        <f aca="false">AO19+AE19+AG19+AJ19</f>
        <v>837712201.415037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2166.471</v>
      </c>
      <c r="I20" s="0" t="n">
        <v>335.985</v>
      </c>
      <c r="J20" s="0" t="n">
        <v>1874.235</v>
      </c>
      <c r="K20" s="0" t="n">
        <v>2520.728</v>
      </c>
      <c r="L20" s="0" t="n">
        <v>1259.759</v>
      </c>
      <c r="M20" s="0" t="n">
        <v>66657.824</v>
      </c>
      <c r="N20" s="0" t="n">
        <v>8063.593</v>
      </c>
      <c r="O20" s="0" t="n">
        <v>99.413</v>
      </c>
      <c r="P20" s="0" t="n">
        <v>99.744</v>
      </c>
      <c r="Q20" s="0" t="n">
        <v>910.942</v>
      </c>
      <c r="R20" s="0" t="n">
        <v>787.21</v>
      </c>
      <c r="S20" s="0" t="n">
        <v>3530.764</v>
      </c>
      <c r="T20" s="0" t="n">
        <v>2502.457</v>
      </c>
      <c r="U20" s="0" t="n">
        <v>1455.914</v>
      </c>
      <c r="V20" s="0" t="n">
        <v>136104.166</v>
      </c>
      <c r="W20" s="0" t="n">
        <v>351.316</v>
      </c>
      <c r="X20" s="0" t="n">
        <v>728.904</v>
      </c>
      <c r="Y20" s="0" t="n">
        <v>99.413</v>
      </c>
      <c r="Z20" s="0" t="n">
        <v>941.615</v>
      </c>
      <c r="AA20" s="0" t="n">
        <f aca="false">H20*x_c_F+I20*x_c_CC+J20*x_c_DC+K20*x_c_HCC+L20*x_c_PLT+M20*x_c_SVRn+N20*x_c_SVRcc+O20*x_c_LT+P20*x_c_LT1</f>
        <v>342373785.696606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18275589.596717</v>
      </c>
      <c r="AI20" s="0" t="n">
        <f aca="false">x_AGRI*x_EMP*x_WLOSS*(x_PEN_K74*Q20+x_PEN_C22*R20)</f>
        <v>1010137.44211395</v>
      </c>
      <c r="AJ20" s="0" t="n">
        <f aca="false">x_EMP*x_WAGE*(x_WLOSS*(Q20+R20)+S20)+U20*x_ABS_D*x_WAGE/365</f>
        <v>383524220.706371</v>
      </c>
      <c r="AK20" s="0" t="n">
        <f aca="false">AJ20*x_R_FUS</f>
        <v>121347063.431496</v>
      </c>
      <c r="AL20" s="0" t="n">
        <f aca="false">AJ20*x_R_NFZ</f>
        <v>29784874.5042775</v>
      </c>
      <c r="AM20" s="0" t="n">
        <f aca="false">AJ20*x_R_PIT</f>
        <v>25498290.9632369</v>
      </c>
      <c r="AN20" s="0" t="n">
        <f aca="false">AJ20*x_R_FP</f>
        <v>9779867.62801247</v>
      </c>
      <c r="AO20" s="0" t="n">
        <f aca="false">AA20+AB20+AC20+AD20+AF20</f>
        <v>480207213.306631</v>
      </c>
      <c r="AP20" s="0" t="n">
        <f aca="false">AO20+AE20+AG20+AH20+AI20+AK20+AL20+AM20+AN20</f>
        <v>685903036.872484</v>
      </c>
      <c r="AQ20" s="0" t="n">
        <f aca="false">AO20+AE20+AG20+AJ20</f>
        <v>863731434.013002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2169.547</v>
      </c>
      <c r="I21" s="0" t="n">
        <v>331.419</v>
      </c>
      <c r="J21" s="0" t="n">
        <v>1856.735</v>
      </c>
      <c r="K21" s="0" t="n">
        <v>2484.844</v>
      </c>
      <c r="L21" s="0" t="n">
        <v>1244.89</v>
      </c>
      <c r="M21" s="0" t="n">
        <v>69407.367</v>
      </c>
      <c r="N21" s="0" t="n">
        <v>8333.335</v>
      </c>
      <c r="O21" s="0" t="n">
        <v>98.439</v>
      </c>
      <c r="P21" s="0" t="n">
        <v>98.926</v>
      </c>
      <c r="Q21" s="0" t="n">
        <v>942.653</v>
      </c>
      <c r="R21" s="0" t="n">
        <v>821.075</v>
      </c>
      <c r="S21" s="0" t="n">
        <v>3813.658</v>
      </c>
      <c r="T21" s="0" t="n">
        <v>2500.966</v>
      </c>
      <c r="U21" s="0" t="n">
        <v>1503.29</v>
      </c>
      <c r="V21" s="0" t="n">
        <v>137262.76</v>
      </c>
      <c r="W21" s="0" t="n">
        <v>344.075</v>
      </c>
      <c r="X21" s="0" t="n">
        <v>714.391</v>
      </c>
      <c r="Y21" s="0" t="n">
        <v>98.439</v>
      </c>
      <c r="Z21" s="0" t="n">
        <v>929.906</v>
      </c>
      <c r="AA21" s="0" t="n">
        <f aca="false">H21*x_c_F+I21*x_c_CC+J21*x_c_DC+K21*x_c_HCC+L21*x_c_PLT+M21*x_c_SVRn+N21*x_c_SVRcc+O21*x_c_LT+P21*x_c_LT1</f>
        <v>341363121.158106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18967139.1883717</v>
      </c>
      <c r="AI21" s="0" t="n">
        <f aca="false">x_AGRI*x_EMP*x_WLOSS*(x_PEN_K74*Q21+x_PEN_C22*R21)</f>
        <v>1049409.62471662</v>
      </c>
      <c r="AJ21" s="0" t="n">
        <f aca="false">x_EMP*x_WAGE*(x_WLOSS*(Q21+R21)+S21)+U21*x_ABS_D*x_WAGE/365</f>
        <v>410803343.212734</v>
      </c>
      <c r="AK21" s="0" t="n">
        <f aca="false">AJ21*x_R_FUS</f>
        <v>129978177.792509</v>
      </c>
      <c r="AL21" s="0" t="n">
        <f aca="false">AJ21*x_R_NFZ</f>
        <v>31903398.4372441</v>
      </c>
      <c r="AM21" s="0" t="n">
        <f aca="false">AJ21*x_R_PIT</f>
        <v>27311920.8862908</v>
      </c>
      <c r="AN21" s="0" t="n">
        <f aca="false">AJ21*x_R_FP</f>
        <v>10475485.2519247</v>
      </c>
      <c r="AO21" s="0" t="n">
        <f aca="false">AA21+AB21+AC21+AD21+AF21</f>
        <v>479196548.76813</v>
      </c>
      <c r="AP21" s="0" t="n">
        <f aca="false">AO21+AE21+AG21+AH21+AI21+AK21+AL21+AM21+AN21</f>
        <v>698882079.949188</v>
      </c>
      <c r="AQ21" s="0" t="n">
        <f aca="false">AO21+AE21+AG21+AJ21</f>
        <v>889999891.980864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2173.365</v>
      </c>
      <c r="I22" s="0" t="n">
        <v>326.165</v>
      </c>
      <c r="J22" s="0" t="n">
        <v>1834.208</v>
      </c>
      <c r="K22" s="0" t="n">
        <v>2444.112</v>
      </c>
      <c r="L22" s="0" t="n">
        <v>1229.183</v>
      </c>
      <c r="M22" s="0" t="n">
        <v>72125.49</v>
      </c>
      <c r="N22" s="0" t="n">
        <v>8575.162</v>
      </c>
      <c r="O22" s="0" t="n">
        <v>97.218</v>
      </c>
      <c r="P22" s="0" t="n">
        <v>97.828</v>
      </c>
      <c r="Q22" s="0" t="n">
        <v>975.717</v>
      </c>
      <c r="R22" s="0" t="n">
        <v>856.099</v>
      </c>
      <c r="S22" s="0" t="n">
        <v>4106.972</v>
      </c>
      <c r="T22" s="0" t="n">
        <v>2499.531</v>
      </c>
      <c r="U22" s="0" t="n">
        <v>1548.23</v>
      </c>
      <c r="V22" s="0" t="n">
        <v>138449.95</v>
      </c>
      <c r="W22" s="0" t="n">
        <v>336.459</v>
      </c>
      <c r="X22" s="0" t="n">
        <v>699.395</v>
      </c>
      <c r="Y22" s="0" t="n">
        <v>97.218</v>
      </c>
      <c r="Z22" s="0" t="n">
        <v>916.315</v>
      </c>
      <c r="AA22" s="0" t="n">
        <f aca="false">H22*x_c_F+I22*x_c_CC+J22*x_c_DC+K22*x_c_HCC+L22*x_c_PLT+M22*x_c_SVRn+N22*x_c_SVRcc+O22*x_c_LT+P22*x_c_LT1</f>
        <v>339734967.357567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19676280.8872451</v>
      </c>
      <c r="AI22" s="0" t="n">
        <f aca="false">x_AGRI*x_EMP*x_WLOSS*(x_PEN_K74*Q22+x_PEN_C22*R22)</f>
        <v>1090175.63956356</v>
      </c>
      <c r="AJ22" s="0" t="n">
        <f aca="false">x_EMP*x_WAGE*(x_WLOSS*(Q22+R22)+S22)+U22*x_ABS_D*x_WAGE/365</f>
        <v>439079421.603149</v>
      </c>
      <c r="AK22" s="0" t="n">
        <f aca="false">AJ22*x_R_FUS</f>
        <v>138924728.995236</v>
      </c>
      <c r="AL22" s="0" t="n">
        <f aca="false">AJ22*x_R_NFZ</f>
        <v>34099346.9611222</v>
      </c>
      <c r="AM22" s="0" t="n">
        <f aca="false">AJ22*x_R_PIT</f>
        <v>29191832.597656</v>
      </c>
      <c r="AN22" s="0" t="n">
        <f aca="false">AJ22*x_R_FP</f>
        <v>11196525.2508803</v>
      </c>
      <c r="AO22" s="0" t="n">
        <f aca="false">AA22+AB22+AC22+AD22+AF22</f>
        <v>477568394.967591</v>
      </c>
      <c r="AP22" s="0" t="n">
        <f aca="false">AO22+AE22+AG22+AH22+AI22+AK22+AL22+AM22+AN22</f>
        <v>711747285.299295</v>
      </c>
      <c r="AQ22" s="0" t="n">
        <f aca="false">AO22+AE22+AG22+AJ22</f>
        <v>916647816.570741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2177.707</v>
      </c>
      <c r="I23" s="0" t="n">
        <v>320.458</v>
      </c>
      <c r="J23" s="0" t="n">
        <v>1807.86</v>
      </c>
      <c r="K23" s="0" t="n">
        <v>2400.29</v>
      </c>
      <c r="L23" s="0" t="n">
        <v>1212.854</v>
      </c>
      <c r="M23" s="0" t="n">
        <v>74824.263</v>
      </c>
      <c r="N23" s="0" t="n">
        <v>8791.314</v>
      </c>
      <c r="O23" s="0" t="n">
        <v>95.81</v>
      </c>
      <c r="P23" s="0" t="n">
        <v>96.514</v>
      </c>
      <c r="Q23" s="0" t="n">
        <v>1010.122</v>
      </c>
      <c r="R23" s="0" t="n">
        <v>892.196</v>
      </c>
      <c r="S23" s="0" t="n">
        <v>4410.826</v>
      </c>
      <c r="T23" s="0" t="n">
        <v>2498.165</v>
      </c>
      <c r="U23" s="0" t="n">
        <v>1590.494</v>
      </c>
      <c r="V23" s="0" t="n">
        <v>139682.125</v>
      </c>
      <c r="W23" s="0" t="n">
        <v>328.714</v>
      </c>
      <c r="X23" s="0" t="n">
        <v>684.354</v>
      </c>
      <c r="Y23" s="0" t="n">
        <v>95.81</v>
      </c>
      <c r="Z23" s="0" t="n">
        <v>901.413</v>
      </c>
      <c r="AA23" s="0" t="n">
        <f aca="false">H23*x_c_F+I23*x_c_CC+J23*x_c_DC+K23*x_c_HCC+L23*x_c_PLT+M23*x_c_SVRn+N23*x_c_SVRcc+O23*x_c_LT+P23*x_c_LT1</f>
        <v>337666285.733598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20401592.4767589</v>
      </c>
      <c r="AI23" s="0" t="n">
        <f aca="false">x_AGRI*x_EMP*x_WLOSS*(x_PEN_K74*Q23+x_PEN_C22*R23)</f>
        <v>1132374.09443625</v>
      </c>
      <c r="AJ23" s="0" t="n">
        <f aca="false">x_EMP*x_WAGE*(x_WLOSS*(Q23+R23)+S23)+U23*x_ABS_D*x_WAGE/365</f>
        <v>468357468.513452</v>
      </c>
      <c r="AK23" s="0" t="n">
        <f aca="false">AJ23*x_R_FUS</f>
        <v>148188303.037656</v>
      </c>
      <c r="AL23" s="0" t="n">
        <f aca="false">AJ23*x_R_NFZ</f>
        <v>36373109.3622232</v>
      </c>
      <c r="AM23" s="0" t="n">
        <f aca="false">AJ23*x_R_PIT</f>
        <v>31138359.3582846</v>
      </c>
      <c r="AN23" s="0" t="n">
        <f aca="false">AJ23*x_R_FP</f>
        <v>11943115.447093</v>
      </c>
      <c r="AO23" s="0" t="n">
        <f aca="false">AA23+AB23+AC23+AD23+AF23</f>
        <v>475499713.343623</v>
      </c>
      <c r="AP23" s="0" t="n">
        <f aca="false">AO23+AE23+AG23+AH23+AI23+AK23+AL23+AM23+AN23</f>
        <v>724676567.120075</v>
      </c>
      <c r="AQ23" s="0" t="n">
        <f aca="false">AO23+AE23+AG23+AJ23</f>
        <v>943857181.857074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2182.373</v>
      </c>
      <c r="I24" s="0" t="n">
        <v>314.506</v>
      </c>
      <c r="J24" s="0" t="n">
        <v>1778.802</v>
      </c>
      <c r="K24" s="0" t="n">
        <v>2354.886</v>
      </c>
      <c r="L24" s="0" t="n">
        <v>1196.094</v>
      </c>
      <c r="M24" s="0" t="n">
        <v>77513.372</v>
      </c>
      <c r="N24" s="0" t="n">
        <v>8984.176</v>
      </c>
      <c r="O24" s="0" t="n">
        <v>94.274</v>
      </c>
      <c r="P24" s="0" t="n">
        <v>95.042</v>
      </c>
      <c r="Q24" s="0" t="n">
        <v>1045.829</v>
      </c>
      <c r="R24" s="0" t="n">
        <v>929.239</v>
      </c>
      <c r="S24" s="0" t="n">
        <v>4725.273</v>
      </c>
      <c r="T24" s="0" t="n">
        <v>2496.88</v>
      </c>
      <c r="U24" s="0" t="n">
        <v>1629.933</v>
      </c>
      <c r="V24" s="0" t="n">
        <v>140969.678</v>
      </c>
      <c r="W24" s="0" t="n">
        <v>321.045</v>
      </c>
      <c r="X24" s="0" t="n">
        <v>669.623</v>
      </c>
      <c r="Y24" s="0" t="n">
        <v>94.274</v>
      </c>
      <c r="Z24" s="0" t="n">
        <v>885.735</v>
      </c>
      <c r="AA24" s="0" t="n">
        <f aca="false">H24*x_c_F+I24*x_c_CC+J24*x_c_DC+K24*x_c_HCC+L24*x_c_PLT+M24*x_c_SVRn+N24*x_c_SVRcc+O24*x_c_LT+P24*x_c_LT1</f>
        <v>335314022.503294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21141215.917525</v>
      </c>
      <c r="AI24" s="0" t="n">
        <f aca="false">x_AGRI*x_EMP*x_WLOSS*(x_PEN_K74*Q24+x_PEN_C22*R24)</f>
        <v>1175902.42408684</v>
      </c>
      <c r="AJ24" s="0" t="n">
        <f aca="false">x_EMP*x_WAGE*(x_WLOSS*(Q24+R24)+S24)+U24*x_ABS_D*x_WAGE/365</f>
        <v>498633919.50175</v>
      </c>
      <c r="AK24" s="0" t="n">
        <f aca="false">AJ24*x_R_FUS</f>
        <v>157767772.130354</v>
      </c>
      <c r="AL24" s="0" t="n">
        <f aca="false">AJ24*x_R_NFZ</f>
        <v>38724408.8224254</v>
      </c>
      <c r="AM24" s="0" t="n">
        <f aca="false">AJ24*x_R_PIT</f>
        <v>33151264.1892023</v>
      </c>
      <c r="AN24" s="0" t="n">
        <f aca="false">AJ24*x_R_FP</f>
        <v>12715164.9472946</v>
      </c>
      <c r="AO24" s="0" t="n">
        <f aca="false">AA24+AB24+AC24+AD24+AF24</f>
        <v>473147450.113319</v>
      </c>
      <c r="AP24" s="0" t="n">
        <f aca="false">AO24+AE24+AG24+AH24+AI24+AK24+AL24+AM24+AN24</f>
        <v>737823178.544207</v>
      </c>
      <c r="AQ24" s="0" t="n">
        <f aca="false">AO24+AE24+AG24+AJ24</f>
        <v>971781369.615069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2187.188</v>
      </c>
      <c r="I25" s="0" t="n">
        <v>308.491</v>
      </c>
      <c r="J25" s="0" t="n">
        <v>1748.057</v>
      </c>
      <c r="K25" s="0" t="n">
        <v>2309.19</v>
      </c>
      <c r="L25" s="0" t="n">
        <v>1179.095</v>
      </c>
      <c r="M25" s="0" t="n">
        <v>80201.044</v>
      </c>
      <c r="N25" s="0" t="n">
        <v>9156.335</v>
      </c>
      <c r="O25" s="0" t="n">
        <v>92.662</v>
      </c>
      <c r="P25" s="0" t="n">
        <v>93.468</v>
      </c>
      <c r="Q25" s="0" t="n">
        <v>1082.772</v>
      </c>
      <c r="R25" s="0" t="n">
        <v>967.071</v>
      </c>
      <c r="S25" s="0" t="n">
        <v>5050.299</v>
      </c>
      <c r="T25" s="0" t="n">
        <v>2495.678</v>
      </c>
      <c r="U25" s="0" t="n">
        <v>1666.472</v>
      </c>
      <c r="V25" s="0" t="n">
        <v>142319.429</v>
      </c>
      <c r="W25" s="0" t="n">
        <v>313.608</v>
      </c>
      <c r="X25" s="0" t="n">
        <v>655.468</v>
      </c>
      <c r="Y25" s="0" t="n">
        <v>92.662</v>
      </c>
      <c r="Z25" s="0" t="n">
        <v>869.737</v>
      </c>
      <c r="AA25" s="0" t="n">
        <f aca="false">H25*x_c_F+I25*x_c_CC+J25*x_c_DC+K25*x_c_HCC+L25*x_c_PLT+M25*x_c_SVRn+N25*x_c_SVRcc+O25*x_c_LT+P25*x_c_LT1</f>
        <v>332816955.862275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21892928.2067331</v>
      </c>
      <c r="AI25" s="0" t="n">
        <f aca="false">x_AGRI*x_EMP*x_WLOSS*(x_PEN_K74*Q25+x_PEN_C22*R25)</f>
        <v>1220623.8840355</v>
      </c>
      <c r="AJ25" s="0" t="n">
        <f aca="false">x_EMP*x_WAGE*(x_WLOSS*(Q25+R25)+S25)+U25*x_ABS_D*x_WAGE/365</f>
        <v>529897089.748171</v>
      </c>
      <c r="AK25" s="0" t="n">
        <f aca="false">AJ25*x_R_FUS</f>
        <v>167659439.196321</v>
      </c>
      <c r="AL25" s="0" t="n">
        <f aca="false">AJ25*x_R_NFZ</f>
        <v>41152337.8869327</v>
      </c>
      <c r="AM25" s="0" t="n">
        <f aca="false">AJ25*x_R_PIT</f>
        <v>35229770.2348134</v>
      </c>
      <c r="AN25" s="0" t="n">
        <f aca="false">AJ25*x_R_FP</f>
        <v>13512375.7885784</v>
      </c>
      <c r="AO25" s="0" t="n">
        <f aca="false">AA25+AB25+AC25+AD25+AF25</f>
        <v>470650383.4723</v>
      </c>
      <c r="AP25" s="0" t="n">
        <f aca="false">AO25+AE25+AG25+AH25+AI25+AK25+AL25+AM25+AN25</f>
        <v>751317858.669714</v>
      </c>
      <c r="AQ25" s="0" t="n">
        <f aca="false">AO25+AE25+AG25+AJ25</f>
        <v>1000547473.22047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2192.013</v>
      </c>
      <c r="I26" s="0" t="n">
        <v>302.549</v>
      </c>
      <c r="J26" s="0" t="n">
        <v>1716.45</v>
      </c>
      <c r="K26" s="0" t="n">
        <v>2264.161</v>
      </c>
      <c r="L26" s="0" t="n">
        <v>1161.991</v>
      </c>
      <c r="M26" s="0" t="n">
        <v>82892.283</v>
      </c>
      <c r="N26" s="0" t="n">
        <v>9310.021</v>
      </c>
      <c r="O26" s="0" t="n">
        <v>91.012</v>
      </c>
      <c r="P26" s="0" t="n">
        <v>91.837</v>
      </c>
      <c r="Q26" s="0" t="n">
        <v>1120.866</v>
      </c>
      <c r="R26" s="0" t="n">
        <v>1005.51</v>
      </c>
      <c r="S26" s="0" t="n">
        <v>5385.828</v>
      </c>
      <c r="T26" s="0" t="n">
        <v>2494.561</v>
      </c>
      <c r="U26" s="0" t="n">
        <v>1700.125</v>
      </c>
      <c r="V26" s="0" t="n">
        <v>143732.418</v>
      </c>
      <c r="W26" s="0" t="n">
        <v>306.497</v>
      </c>
      <c r="X26" s="0" t="n">
        <v>642.037</v>
      </c>
      <c r="Y26" s="0" t="n">
        <v>91.012</v>
      </c>
      <c r="Z26" s="0" t="n">
        <v>853.74</v>
      </c>
      <c r="AA26" s="0" t="n">
        <f aca="false">H26*x_c_F+I26*x_c_CC+J26*x_c_DC+K26*x_c_HCC+L26*x_c_PLT+M26*x_c_SVRn+N26*x_c_SVRcc+O26*x_c_LT+P26*x_c_LT1</f>
        <v>330279213.41559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22654288.023456</v>
      </c>
      <c r="AI26" s="0" t="n">
        <f aca="false">x_AGRI*x_EMP*x_WLOSS*(x_PEN_K74*Q26+x_PEN_C22*R26)</f>
        <v>1266375.20519561</v>
      </c>
      <c r="AJ26" s="0" t="n">
        <f aca="false">x_EMP*x_WAGE*(x_WLOSS*(Q26+R26)+S26)+U26*x_ABS_D*x_WAGE/365</f>
        <v>562128243.168055</v>
      </c>
      <c r="AK26" s="0" t="n">
        <f aca="false">AJ26*x_R_FUS</f>
        <v>177857376.138372</v>
      </c>
      <c r="AL26" s="0" t="n">
        <f aca="false">AJ26*x_R_NFZ</f>
        <v>43655441.4926743</v>
      </c>
      <c r="AM26" s="0" t="n">
        <f aca="false">AJ26*x_R_PIT</f>
        <v>37372631.842008</v>
      </c>
      <c r="AN26" s="0" t="n">
        <f aca="false">AJ26*x_R_FP</f>
        <v>14334270.2007854</v>
      </c>
      <c r="AO26" s="0" t="n">
        <f aca="false">AA26+AB26+AC26+AD26+AF26</f>
        <v>468112641.025615</v>
      </c>
      <c r="AP26" s="0" t="n">
        <f aca="false">AO26+AE26+AG26+AH26+AI26+AK26+AL26+AM26+AN26</f>
        <v>765253023.928106</v>
      </c>
      <c r="AQ26" s="0" t="n">
        <f aca="false">AO26+AE26+AG26+AJ26</f>
        <v>1030240884.19367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2196.746</v>
      </c>
      <c r="I27" s="0" t="n">
        <v>296.779</v>
      </c>
      <c r="J27" s="0" t="n">
        <v>1684.62</v>
      </c>
      <c r="K27" s="0" t="n">
        <v>2220.464</v>
      </c>
      <c r="L27" s="0" t="n">
        <v>1144.865</v>
      </c>
      <c r="M27" s="0" t="n">
        <v>85589.391</v>
      </c>
      <c r="N27" s="0" t="n">
        <v>9447.097</v>
      </c>
      <c r="O27" s="0" t="n">
        <v>89.356</v>
      </c>
      <c r="P27" s="0" t="n">
        <v>90.184</v>
      </c>
      <c r="Q27" s="0" t="n">
        <v>1159.976</v>
      </c>
      <c r="R27" s="0" t="n">
        <v>1044.34</v>
      </c>
      <c r="S27" s="0" t="n">
        <v>5731.593</v>
      </c>
      <c r="T27" s="0" t="n">
        <v>2493.525</v>
      </c>
      <c r="U27" s="0" t="n">
        <v>1730.974</v>
      </c>
      <c r="V27" s="0" t="n">
        <v>145205.474</v>
      </c>
      <c r="W27" s="0" t="n">
        <v>299.77</v>
      </c>
      <c r="X27" s="0" t="n">
        <v>629.412</v>
      </c>
      <c r="Y27" s="0" t="n">
        <v>89.356</v>
      </c>
      <c r="Z27" s="0" t="n">
        <v>838.005</v>
      </c>
      <c r="AA27" s="0" t="n">
        <f aca="false">H27*x_c_F+I27*x_c_CC+J27*x_c_DC+K27*x_c_HCC+L27*x_c_PLT+M27*x_c_SVRn+N27*x_c_SVRcc+O27*x_c_LT+P27*x_c_LT1</f>
        <v>327776171.592888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23422243.6002058</v>
      </c>
      <c r="AI27" s="0" t="n">
        <f aca="false">x_AGRI*x_EMP*x_WLOSS*(x_PEN_K74*Q27+x_PEN_C22*R27)</f>
        <v>1312943.52862342</v>
      </c>
      <c r="AJ27" s="0" t="n">
        <f aca="false">x_EMP*x_WAGE*(x_WLOSS*(Q27+R27)+S27)+U27*x_ABS_D*x_WAGE/365</f>
        <v>595288689.815399</v>
      </c>
      <c r="AK27" s="0" t="n">
        <f aca="false">AJ27*x_R_FUS</f>
        <v>188349341.457592</v>
      </c>
      <c r="AL27" s="0" t="n">
        <f aca="false">AJ27*x_R_NFZ</f>
        <v>46230714.9397537</v>
      </c>
      <c r="AM27" s="0" t="n">
        <f aca="false">AJ27*x_R_PIT</f>
        <v>39577276.7416902</v>
      </c>
      <c r="AN27" s="0" t="n">
        <f aca="false">AJ27*x_R_FP</f>
        <v>15179861.5902927</v>
      </c>
      <c r="AO27" s="0" t="n">
        <f aca="false">AA27+AB27+AC27+AD27+AF27</f>
        <v>465609599.202912</v>
      </c>
      <c r="AP27" s="0" t="n">
        <f aca="false">AO27+AE27+AG27+AH27+AI27+AK27+AL27+AM27+AN27</f>
        <v>779681981.06107</v>
      </c>
      <c r="AQ27" s="0" t="n">
        <f aca="false">AO27+AE27+AG27+AJ27</f>
        <v>1060898289.01831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2201.321</v>
      </c>
      <c r="I28" s="0" t="n">
        <v>291.243</v>
      </c>
      <c r="J28" s="0" t="n">
        <v>1653.019</v>
      </c>
      <c r="K28" s="0" t="n">
        <v>2178.496</v>
      </c>
      <c r="L28" s="0" t="n">
        <v>1127.746</v>
      </c>
      <c r="M28" s="0" t="n">
        <v>88291.918</v>
      </c>
      <c r="N28" s="0" t="n">
        <v>9568.911</v>
      </c>
      <c r="O28" s="0" t="n">
        <v>87.713</v>
      </c>
      <c r="P28" s="0" t="n">
        <v>88.534</v>
      </c>
      <c r="Q28" s="0" t="n">
        <v>1199.942</v>
      </c>
      <c r="R28" s="0" t="n">
        <v>1083.329</v>
      </c>
      <c r="S28" s="0" t="n">
        <v>6087.183</v>
      </c>
      <c r="T28" s="0" t="n">
        <v>2492.564</v>
      </c>
      <c r="U28" s="0" t="n">
        <v>1759.153</v>
      </c>
      <c r="V28" s="0" t="n">
        <v>146731.87</v>
      </c>
      <c r="W28" s="0" t="n">
        <v>293.438</v>
      </c>
      <c r="X28" s="0" t="n">
        <v>617.588</v>
      </c>
      <c r="Y28" s="0" t="n">
        <v>87.713</v>
      </c>
      <c r="Z28" s="0" t="n">
        <v>822.659</v>
      </c>
      <c r="AA28" s="0" t="n">
        <f aca="false">H28*x_c_F+I28*x_c_CC+J28*x_c_DC+K28*x_c_HCC+L28*x_c_PLT+M28*x_c_SVRn+N28*x_c_SVRcc+O28*x_c_LT+P28*x_c_LT1</f>
        <v>325353138.545665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24193484.5711285</v>
      </c>
      <c r="AI28" s="0" t="n">
        <f aca="false">x_AGRI*x_EMP*x_WLOSS*(x_PEN_K74*Q28+x_PEN_C22*R28)</f>
        <v>1360091.83624631</v>
      </c>
      <c r="AJ28" s="0" t="n">
        <f aca="false">x_EMP*x_WAGE*(x_WLOSS*(Q28+R28)+S28)+U28*x_ABS_D*x_WAGE/365</f>
        <v>629325726.609965</v>
      </c>
      <c r="AK28" s="0" t="n">
        <f aca="false">AJ28*x_R_FUS</f>
        <v>199118659.899393</v>
      </c>
      <c r="AL28" s="0" t="n">
        <f aca="false">AJ28*x_R_NFZ</f>
        <v>48874065.2542565</v>
      </c>
      <c r="AM28" s="0" t="n">
        <f aca="false">AJ28*x_R_PIT</f>
        <v>41840201.0131111</v>
      </c>
      <c r="AN28" s="0" t="n">
        <f aca="false">AJ28*x_R_FP</f>
        <v>16047806.0285541</v>
      </c>
      <c r="AO28" s="0" t="n">
        <f aca="false">AA28+AB28+AC28+AD28+AF28</f>
        <v>463186566.15569</v>
      </c>
      <c r="AP28" s="0" t="n">
        <f aca="false">AO28+AE28+AG28+AH28+AI28+AK28+AL28+AM28+AN28</f>
        <v>794620874.758379</v>
      </c>
      <c r="AQ28" s="0" t="n">
        <f aca="false">AO28+AE28+AG28+AJ28</f>
        <v>1092512292.76566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2205.699</v>
      </c>
      <c r="I29" s="0" t="n">
        <v>285.968</v>
      </c>
      <c r="J29" s="0" t="n">
        <v>1621.914</v>
      </c>
      <c r="K29" s="0" t="n">
        <v>2138.404</v>
      </c>
      <c r="L29" s="0" t="n">
        <v>1110.595</v>
      </c>
      <c r="M29" s="0" t="n">
        <v>90996.701</v>
      </c>
      <c r="N29" s="0" t="n">
        <v>9676.176</v>
      </c>
      <c r="O29" s="0" t="n">
        <v>86.096</v>
      </c>
      <c r="P29" s="0" t="n">
        <v>86.904</v>
      </c>
      <c r="Q29" s="0" t="n">
        <v>1240.597</v>
      </c>
      <c r="R29" s="0" t="n">
        <v>1122.244</v>
      </c>
      <c r="S29" s="0" t="n">
        <v>6452.172</v>
      </c>
      <c r="T29" s="0" t="n">
        <v>2491.668</v>
      </c>
      <c r="U29" s="0" t="n">
        <v>1784.838</v>
      </c>
      <c r="V29" s="0" t="n">
        <v>148301.717</v>
      </c>
      <c r="W29" s="0" t="n">
        <v>287.489</v>
      </c>
      <c r="X29" s="0" t="n">
        <v>606.52</v>
      </c>
      <c r="Y29" s="0" t="n">
        <v>86.096</v>
      </c>
      <c r="Z29" s="0" t="n">
        <v>807.778</v>
      </c>
      <c r="AA29" s="0" t="n">
        <f aca="false">H29*x_c_F+I29*x_c_CC+J29*x_c_DC+K29*x_c_HCC+L29*x_c_PLT+M29*x_c_SVRn+N29*x_c_SVRcc+O29*x_c_LT+P29*x_c_LT1</f>
        <v>323028251.407446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24964718.0504766</v>
      </c>
      <c r="AI29" s="0" t="n">
        <f aca="false">x_AGRI*x_EMP*x_WLOSS*(x_PEN_K74*Q29+x_PEN_C22*R29)</f>
        <v>1407578.55801876</v>
      </c>
      <c r="AJ29" s="0" t="n">
        <f aca="false">x_EMP*x_WAGE*(x_WLOSS*(Q29+R29)+S29)+U29*x_ABS_D*x_WAGE/365</f>
        <v>664185126.471604</v>
      </c>
      <c r="AK29" s="0" t="n">
        <f aca="false">AJ29*x_R_FUS</f>
        <v>210148174.015616</v>
      </c>
      <c r="AL29" s="0" t="n">
        <f aca="false">AJ29*x_R_NFZ</f>
        <v>51581281.1069112</v>
      </c>
      <c r="AM29" s="0" t="n">
        <f aca="false">AJ29*x_R_PIT</f>
        <v>44157799.4136471</v>
      </c>
      <c r="AN29" s="0" t="n">
        <f aca="false">AJ29*x_R_FP</f>
        <v>16936720.7250259</v>
      </c>
      <c r="AO29" s="0" t="n">
        <f aca="false">AA29+AB29+AC29+AD29+AF29</f>
        <v>460861679.01747</v>
      </c>
      <c r="AP29" s="0" t="n">
        <f aca="false">AO29+AE29+AG29+AH29+AI29+AK29+AL29+AM29+AN29</f>
        <v>810057950.887165</v>
      </c>
      <c r="AQ29" s="0" t="n">
        <f aca="false">AO29+AE29+AG29+AJ29</f>
        <v>1125046805.48907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2209.871</v>
      </c>
      <c r="I30" s="0" t="n">
        <v>280.958</v>
      </c>
      <c r="J30" s="0" t="n">
        <v>1591.42</v>
      </c>
      <c r="K30" s="0" t="n">
        <v>2100.145</v>
      </c>
      <c r="L30" s="0" t="n">
        <v>1093.307</v>
      </c>
      <c r="M30" s="0" t="n">
        <v>93697.991</v>
      </c>
      <c r="N30" s="0" t="n">
        <v>9768.95</v>
      </c>
      <c r="O30" s="0" t="n">
        <v>84.507</v>
      </c>
      <c r="P30" s="0" t="n">
        <v>85.302</v>
      </c>
      <c r="Q30" s="0" t="n">
        <v>1281.743</v>
      </c>
      <c r="R30" s="0" t="n">
        <v>1160.845</v>
      </c>
      <c r="S30" s="0" t="n">
        <v>6825.932</v>
      </c>
      <c r="T30" s="0" t="n">
        <v>2490.829</v>
      </c>
      <c r="U30" s="0" t="n">
        <v>1808.226</v>
      </c>
      <c r="V30" s="0" t="n">
        <v>149902.766</v>
      </c>
      <c r="W30" s="0" t="n">
        <v>281.882</v>
      </c>
      <c r="X30" s="0" t="n">
        <v>596.111</v>
      </c>
      <c r="Y30" s="0" t="n">
        <v>84.507</v>
      </c>
      <c r="Z30" s="0" t="n">
        <v>793.336</v>
      </c>
      <c r="AA30" s="0" t="n">
        <f aca="false">H30*x_c_F+I30*x_c_CC+J30*x_c_DC+K30*x_c_HCC+L30*x_c_PLT+M30*x_c_SVRn+N30*x_c_SVRcc+O30*x_c_LT+P30*x_c_LT1</f>
        <v>320795244.073956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25732364.6091804</v>
      </c>
      <c r="AI30" s="0" t="n">
        <f aca="false">x_AGRI*x_EMP*x_WLOSS*(x_PEN_K74*Q30+x_PEN_C22*R30)</f>
        <v>1455140.3302443</v>
      </c>
      <c r="AJ30" s="0" t="n">
        <f aca="false">x_EMP*x_WAGE*(x_WLOSS*(Q30+R30)+S30)+U30*x_ABS_D*x_WAGE/365</f>
        <v>699793751.192419</v>
      </c>
      <c r="AK30" s="0" t="n">
        <f aca="false">AJ30*x_R_FUS</f>
        <v>221414742.877281</v>
      </c>
      <c r="AL30" s="0" t="n">
        <f aca="false">AJ30*x_R_NFZ</f>
        <v>54346682.5113544</v>
      </c>
      <c r="AM30" s="0" t="n">
        <f aca="false">AJ30*x_R_PIT</f>
        <v>46525209.4099695</v>
      </c>
      <c r="AN30" s="0" t="n">
        <f aca="false">AJ30*x_R_FP</f>
        <v>17844740.6554067</v>
      </c>
      <c r="AO30" s="0" t="n">
        <f aca="false">AA30+AB30+AC30+AD30+AF30</f>
        <v>458628671.68398</v>
      </c>
      <c r="AP30" s="0" t="n">
        <f aca="false">AO30+AE30+AG30+AH30+AI30+AK30+AL30+AM30+AN30</f>
        <v>825947552.077417</v>
      </c>
      <c r="AQ30" s="0" t="n">
        <f aca="false">AO30+AE30+AG30+AJ30</f>
        <v>1158422422.8764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2213.84</v>
      </c>
      <c r="I31" s="0" t="n">
        <v>276.197</v>
      </c>
      <c r="J31" s="0" t="n">
        <v>1561.521</v>
      </c>
      <c r="K31" s="0" t="n">
        <v>2063.527</v>
      </c>
      <c r="L31" s="0" t="n">
        <v>1075.711</v>
      </c>
      <c r="M31" s="0" t="n">
        <v>96387.541</v>
      </c>
      <c r="N31" s="0" t="n">
        <v>9846.62</v>
      </c>
      <c r="O31" s="0" t="n">
        <v>82.945</v>
      </c>
      <c r="P31" s="0" t="n">
        <v>83.726</v>
      </c>
      <c r="Q31" s="0" t="n">
        <v>1323.167</v>
      </c>
      <c r="R31" s="0" t="n">
        <v>1198.891</v>
      </c>
      <c r="S31" s="0" t="n">
        <v>7207.712</v>
      </c>
      <c r="T31" s="0" t="n">
        <v>2490.037</v>
      </c>
      <c r="U31" s="0" t="n">
        <v>1829.518</v>
      </c>
      <c r="V31" s="0" t="n">
        <v>151520.847</v>
      </c>
      <c r="W31" s="0" t="n">
        <v>276.571</v>
      </c>
      <c r="X31" s="0" t="n">
        <v>586.256</v>
      </c>
      <c r="Y31" s="0" t="n">
        <v>82.945</v>
      </c>
      <c r="Z31" s="0" t="n">
        <v>779.282</v>
      </c>
      <c r="AA31" s="0" t="n">
        <f aca="false">H31*x_c_F+I31*x_c_CC+J31*x_c_DC+K31*x_c_HCC+L31*x_c_PLT+M31*x_c_SVRn+N31*x_c_SVRcc+O31*x_c_LT+P31*x_c_LT1</f>
        <v>318629072.707168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26492716.4628564</v>
      </c>
      <c r="AI31" s="0" t="n">
        <f aca="false">x_AGRI*x_EMP*x_WLOSS*(x_PEN_K74*Q31+x_PEN_C22*R31)</f>
        <v>1502504.76162707</v>
      </c>
      <c r="AJ31" s="0" t="n">
        <f aca="false">x_EMP*x_WAGE*(x_WLOSS*(Q31+R31)+S31)+U31*x_ABS_D*x_WAGE/365</f>
        <v>736067250.350148</v>
      </c>
      <c r="AK31" s="0" t="n">
        <f aca="false">AJ31*x_R_FUS</f>
        <v>232891678.010787</v>
      </c>
      <c r="AL31" s="0" t="n">
        <f aca="false">AJ31*x_R_NFZ</f>
        <v>57163718.7294428</v>
      </c>
      <c r="AM31" s="0" t="n">
        <f aca="false">AJ31*x_R_PIT</f>
        <v>48936823.0339409</v>
      </c>
      <c r="AN31" s="0" t="n">
        <f aca="false">AJ31*x_R_FP</f>
        <v>18769714.8839288</v>
      </c>
      <c r="AO31" s="0" t="n">
        <f aca="false">AA31+AB31+AC31+AD31+AF31</f>
        <v>456462500.317193</v>
      </c>
      <c r="AP31" s="0" t="n">
        <f aca="false">AO31+AE31+AG31+AH31+AI31+AK31+AL31+AM31+AN31</f>
        <v>842219656.199776</v>
      </c>
      <c r="AQ31" s="0" t="n">
        <f aca="false">AO31+AE31+AG31+AJ31</f>
        <v>1192529750.66734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2217.617</v>
      </c>
      <c r="I32" s="0" t="n">
        <v>271.668</v>
      </c>
      <c r="J32" s="0" t="n">
        <v>1532.151</v>
      </c>
      <c r="K32" s="0" t="n">
        <v>2028.311</v>
      </c>
      <c r="L32" s="0" t="n">
        <v>1057.609</v>
      </c>
      <c r="M32" s="0" t="n">
        <v>99055.885</v>
      </c>
      <c r="N32" s="0" t="n">
        <v>9908.223</v>
      </c>
      <c r="O32" s="0" t="n">
        <v>81.406</v>
      </c>
      <c r="P32" s="0" t="n">
        <v>82.175</v>
      </c>
      <c r="Q32" s="0" t="n">
        <v>1364.649</v>
      </c>
      <c r="R32" s="0" t="n">
        <v>1236.153</v>
      </c>
      <c r="S32" s="0" t="n">
        <v>7596.664</v>
      </c>
      <c r="T32" s="0" t="n">
        <v>2489.285</v>
      </c>
      <c r="U32" s="0" t="n">
        <v>1848.901</v>
      </c>
      <c r="V32" s="0" t="n">
        <v>153141.83</v>
      </c>
      <c r="W32" s="0" t="n">
        <v>271.511</v>
      </c>
      <c r="X32" s="0" t="n">
        <v>576.852</v>
      </c>
      <c r="Y32" s="0" t="n">
        <v>81.406</v>
      </c>
      <c r="Z32" s="0" t="n">
        <v>765.54</v>
      </c>
      <c r="AA32" s="0" t="n">
        <f aca="false">H32*x_c_F+I32*x_c_CC+J32*x_c_DC+K32*x_c_HCC+L32*x_c_PLT+M32*x_c_SVRn+N32*x_c_SVRcc+O32*x_c_LT+P32*x_c_LT1</f>
        <v>316497308.882249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27242093.2252798</v>
      </c>
      <c r="AI32" s="0" t="n">
        <f aca="false">x_AGRI*x_EMP*x_WLOSS*(x_PEN_K74*Q32+x_PEN_C22*R32)</f>
        <v>1549403.17429505</v>
      </c>
      <c r="AJ32" s="0" t="n">
        <f aca="false">x_EMP*x_WAGE*(x_WLOSS*(Q32+R32)+S32)+U32*x_ABS_D*x_WAGE/365</f>
        <v>772913192.42047</v>
      </c>
      <c r="AK32" s="0" t="n">
        <f aca="false">AJ32*x_R_FUS</f>
        <v>244549734.081837</v>
      </c>
      <c r="AL32" s="0" t="n">
        <f aca="false">AJ32*x_R_NFZ</f>
        <v>60025211.4365661</v>
      </c>
      <c r="AM32" s="0" t="n">
        <f aca="false">AJ32*x_R_PIT</f>
        <v>51386495.0520296</v>
      </c>
      <c r="AN32" s="0" t="n">
        <f aca="false">AJ32*x_R_FP</f>
        <v>19709286.406722</v>
      </c>
      <c r="AO32" s="0" t="n">
        <f aca="false">AA32+AB32+AC32+AD32+AF32</f>
        <v>454330736.492273</v>
      </c>
      <c r="AP32" s="0" t="n">
        <f aca="false">AO32+AE32+AG32+AH32+AI32+AK32+AL32+AM32+AN32</f>
        <v>858792959.869002</v>
      </c>
      <c r="AQ32" s="0" t="n">
        <f aca="false">AO32+AE32+AG32+AJ32</f>
        <v>1227243928.91274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2221.218</v>
      </c>
      <c r="I33" s="0" t="n">
        <v>267.346</v>
      </c>
      <c r="J33" s="0" t="n">
        <v>1503.181</v>
      </c>
      <c r="K33" s="0" t="n">
        <v>1994.201</v>
      </c>
      <c r="L33" s="0" t="n">
        <v>1038.749</v>
      </c>
      <c r="M33" s="0" t="n">
        <v>101691.498</v>
      </c>
      <c r="N33" s="0" t="n">
        <v>9952.245</v>
      </c>
      <c r="O33" s="0" t="n">
        <v>79.879</v>
      </c>
      <c r="P33" s="0" t="n">
        <v>80.642</v>
      </c>
      <c r="Q33" s="0" t="n">
        <v>1405.945</v>
      </c>
      <c r="R33" s="0" t="n">
        <v>1272.403</v>
      </c>
      <c r="S33" s="0" t="n">
        <v>7991.7</v>
      </c>
      <c r="T33" s="0" t="n">
        <v>2488.564</v>
      </c>
      <c r="U33" s="0" t="n">
        <v>1866.545</v>
      </c>
      <c r="V33" s="0" t="n">
        <v>154750.468</v>
      </c>
      <c r="W33" s="0" t="n">
        <v>266.65</v>
      </c>
      <c r="X33" s="0" t="n">
        <v>567.789</v>
      </c>
      <c r="Y33" s="0" t="n">
        <v>79.879</v>
      </c>
      <c r="Z33" s="0" t="n">
        <v>751.997</v>
      </c>
      <c r="AA33" s="0" t="n">
        <f aca="false">H33*x_c_F+I33*x_c_CC+J33*x_c_DC+K33*x_c_HCC+L33*x_c_PLT+M33*x_c_SVRn+N33*x_c_SVRcc+O33*x_c_LT+P33*x_c_LT1</f>
        <v>314355601.900557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27976586.043571</v>
      </c>
      <c r="AI33" s="0" t="n">
        <f aca="false">x_AGRI*x_EMP*x_WLOSS*(x_PEN_K74*Q33+x_PEN_C22*R33)</f>
        <v>1595554.09929654</v>
      </c>
      <c r="AJ33" s="0" t="n">
        <f aca="false">x_EMP*x_WAGE*(x_WLOSS*(Q33+R33)+S33)+U33*x_ABS_D*x_WAGE/365</f>
        <v>810217574.098691</v>
      </c>
      <c r="AK33" s="0" t="n">
        <f aca="false">AJ33*x_R_FUS</f>
        <v>256352840.444826</v>
      </c>
      <c r="AL33" s="0" t="n">
        <f aca="false">AJ33*x_R_NFZ</f>
        <v>62922307.0220785</v>
      </c>
      <c r="AM33" s="0" t="n">
        <f aca="false">AJ33*x_R_PIT</f>
        <v>53866646.0487072</v>
      </c>
      <c r="AN33" s="0" t="n">
        <f aca="false">AJ33*x_R_FP</f>
        <v>20660548.1395166</v>
      </c>
      <c r="AO33" s="0" t="n">
        <f aca="false">AA33+AB33+AC33+AD33+AF33</f>
        <v>452189029.510581</v>
      </c>
      <c r="AP33" s="0" t="n">
        <f aca="false">AO33+AE33+AG33+AH33+AI33+AK33+AL33+AM33+AN33</f>
        <v>875563511.308577</v>
      </c>
      <c r="AQ33" s="0" t="n">
        <f aca="false">AO33+AE33+AG33+AJ33</f>
        <v>1262406603.60927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2224.716</v>
      </c>
      <c r="I34" s="0" t="n">
        <v>263.147</v>
      </c>
      <c r="J34" s="0" t="n">
        <v>1472.651</v>
      </c>
      <c r="K34" s="0" t="n">
        <v>1958.955</v>
      </c>
      <c r="L34" s="0" t="n">
        <v>1016.194</v>
      </c>
      <c r="M34" s="0" t="n">
        <v>104197.479</v>
      </c>
      <c r="N34" s="0" t="n">
        <v>9957.619</v>
      </c>
      <c r="O34" s="0" t="n">
        <v>78.155</v>
      </c>
      <c r="P34" s="0" t="n">
        <v>79.017</v>
      </c>
      <c r="Q34" s="0" t="n">
        <v>1446.801</v>
      </c>
      <c r="R34" s="0" t="n">
        <v>1307.42</v>
      </c>
      <c r="S34" s="0" t="n">
        <v>8391.535</v>
      </c>
      <c r="T34" s="0" t="n">
        <v>2487.863</v>
      </c>
      <c r="U34" s="0" t="n">
        <v>1882.716</v>
      </c>
      <c r="V34" s="0" t="n">
        <v>156247.316</v>
      </c>
      <c r="W34" s="0" t="n">
        <v>261.598</v>
      </c>
      <c r="X34" s="0" t="n">
        <v>558.172</v>
      </c>
      <c r="Y34" s="0" t="n">
        <v>78.155</v>
      </c>
      <c r="Z34" s="0" t="n">
        <v>736.685</v>
      </c>
      <c r="AA34" s="0" t="n">
        <f aca="false">H34*x_c_F+I34*x_c_CC+J34*x_c_DC+K34*x_c_HCC+L34*x_c_PLT+M34*x_c_SVRn+N34*x_c_SVRcc+O34*x_c_LT+P34*x_c_LT1</f>
        <v>311740046.328333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28692466.1229133</v>
      </c>
      <c r="AI34" s="0" t="n">
        <f aca="false">x_AGRI*x_EMP*x_WLOSS*(x_PEN_K74*Q34+x_PEN_C22*R34)</f>
        <v>1640674.92374497</v>
      </c>
      <c r="AJ34" s="0" t="n">
        <f aca="false">x_EMP*x_WAGE*(x_WLOSS*(Q34+R34)+S34)+U34*x_ABS_D*x_WAGE/365</f>
        <v>847849739.577034</v>
      </c>
      <c r="AK34" s="0" t="n">
        <f aca="false">AJ34*x_R_FUS</f>
        <v>268259657.602174</v>
      </c>
      <c r="AL34" s="0" t="n">
        <f aca="false">AJ34*x_R_NFZ</f>
        <v>65844858.625292</v>
      </c>
      <c r="AM34" s="0" t="n">
        <f aca="false">AJ34*x_R_PIT</f>
        <v>56368589.4805358</v>
      </c>
      <c r="AN34" s="0" t="n">
        <f aca="false">AJ34*x_R_FP</f>
        <v>21620168.3592144</v>
      </c>
      <c r="AO34" s="0" t="n">
        <f aca="false">AA34+AB34+AC34+AD34+AF34</f>
        <v>449573473.938358</v>
      </c>
      <c r="AP34" s="0" t="n">
        <f aca="false">AO34+AE34+AG34+AH34+AI34+AK34+AL34+AM34+AN34</f>
        <v>891999889.052231</v>
      </c>
      <c r="AQ34" s="0" t="n">
        <f aca="false">AO34+AE34+AG34+AJ34</f>
        <v>1297423213.51539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2228.029</v>
      </c>
      <c r="I35" s="0" t="n">
        <v>259.158</v>
      </c>
      <c r="J35" s="0" t="n">
        <v>1443.035</v>
      </c>
      <c r="K35" s="0" t="n">
        <v>1925.125</v>
      </c>
      <c r="L35" s="0" t="n">
        <v>993.358</v>
      </c>
      <c r="M35" s="0" t="n">
        <v>106676.226</v>
      </c>
      <c r="N35" s="0" t="n">
        <v>9949.026</v>
      </c>
      <c r="O35" s="0" t="n">
        <v>76.725</v>
      </c>
      <c r="P35" s="0" t="n">
        <v>77.44</v>
      </c>
      <c r="Q35" s="0" t="n">
        <v>1486.954</v>
      </c>
      <c r="R35" s="0" t="n">
        <v>1340.997</v>
      </c>
      <c r="S35" s="0" t="n">
        <v>8794.696</v>
      </c>
      <c r="T35" s="0" t="n">
        <v>2487.187</v>
      </c>
      <c r="U35" s="0" t="n">
        <v>1897.354</v>
      </c>
      <c r="V35" s="0" t="n">
        <v>157734.187</v>
      </c>
      <c r="W35" s="0" t="n">
        <v>257.191</v>
      </c>
      <c r="X35" s="0" t="n">
        <v>549.905</v>
      </c>
      <c r="Y35" s="0" t="n">
        <v>76.725</v>
      </c>
      <c r="Z35" s="0" t="n">
        <v>724.076</v>
      </c>
      <c r="AA35" s="0" t="n">
        <f aca="false">H35*x_c_F+I35*x_c_CC+J35*x_c_DC+K35*x_c_HCC+L35*x_c_PLT+M35*x_c_SVRn+N35*x_c_SVRcc+O35*x_c_LT+P35*x_c_LT1</f>
        <v>309269841.844252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29385392.9415033</v>
      </c>
      <c r="AI35" s="0" t="n">
        <f aca="false">x_AGRI*x_EMP*x_WLOSS*(x_PEN_K74*Q35+x_PEN_C22*R35)</f>
        <v>1684486.90087053</v>
      </c>
      <c r="AJ35" s="0" t="n">
        <f aca="false">x_EMP*x_WAGE*(x_WLOSS*(Q35+R35)+S35)+U35*x_ABS_D*x_WAGE/365</f>
        <v>885662276.784221</v>
      </c>
      <c r="AK35" s="0" t="n">
        <f aca="false">AJ35*x_R_FUS</f>
        <v>280223544.374528</v>
      </c>
      <c r="AL35" s="0" t="n">
        <f aca="false">AJ35*x_R_NFZ</f>
        <v>68781418.0773394</v>
      </c>
      <c r="AM35" s="0" t="n">
        <f aca="false">AJ35*x_R_PIT</f>
        <v>58882524.7777415</v>
      </c>
      <c r="AN35" s="0" t="n">
        <f aca="false">AJ35*x_R_FP</f>
        <v>22584388.0579976</v>
      </c>
      <c r="AO35" s="0" t="n">
        <f aca="false">AA35+AB35+AC35+AD35+AF35</f>
        <v>447103269.454277</v>
      </c>
      <c r="AP35" s="0" t="n">
        <f aca="false">AO35+AE35+AG35+AH35+AI35+AK35+AL35+AM35+AN35</f>
        <v>908645024.584257</v>
      </c>
      <c r="AQ35" s="0" t="n">
        <f aca="false">AO35+AE35+AG35+AJ35</f>
        <v>1332765546.2385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2231.113</v>
      </c>
      <c r="I36" s="0" t="n">
        <v>255.429</v>
      </c>
      <c r="J36" s="0" t="n">
        <v>1415.831</v>
      </c>
      <c r="K36" s="0" t="n">
        <v>1894.212</v>
      </c>
      <c r="L36" s="0" t="n">
        <v>972.406</v>
      </c>
      <c r="M36" s="0" t="n">
        <v>109191.027</v>
      </c>
      <c r="N36" s="0" t="n">
        <v>9942.147</v>
      </c>
      <c r="O36" s="0" t="n">
        <v>75.266</v>
      </c>
      <c r="P36" s="0" t="n">
        <v>75.996</v>
      </c>
      <c r="Q36" s="0" t="n">
        <v>1122.121</v>
      </c>
      <c r="R36" s="0" t="n">
        <v>1129.025</v>
      </c>
      <c r="S36" s="0" t="n">
        <v>5780.465</v>
      </c>
      <c r="T36" s="0" t="n">
        <v>2486.542</v>
      </c>
      <c r="U36" s="0" t="n">
        <v>1867.689</v>
      </c>
      <c r="V36" s="0" t="n">
        <v>159273.573</v>
      </c>
      <c r="W36" s="0" t="n">
        <v>252.846</v>
      </c>
      <c r="X36" s="0" t="n">
        <v>541.667</v>
      </c>
      <c r="Y36" s="0" t="n">
        <v>75.266</v>
      </c>
      <c r="Z36" s="0" t="n">
        <v>711.2</v>
      </c>
      <c r="AA36" s="0" t="n">
        <f aca="false">H36*x_c_F+I36*x_c_CC+J36*x_c_DC+K36*x_c_HCC+L36*x_c_PLT+M36*x_c_SVRn+N36*x_c_SVRcc+O36*x_c_LT+P36*x_c_LT1</f>
        <v>307110409.32357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24197497.2749738</v>
      </c>
      <c r="AI36" s="0" t="n">
        <f aca="false">x_AGRI*x_EMP*x_WLOSS*(x_PEN_K74*Q36+x_PEN_C22*R36)</f>
        <v>1345608.12566714</v>
      </c>
      <c r="AJ36" s="0" t="n">
        <f aca="false">x_EMP*x_WAGE*(x_WLOSS*(Q36+R36)+S36)+U36*x_ABS_D*x_WAGE/365</f>
        <v>602014004.778787</v>
      </c>
      <c r="AK36" s="0" t="n">
        <f aca="false">AJ36*x_R_FUS</f>
        <v>190477231.112008</v>
      </c>
      <c r="AL36" s="0" t="n">
        <f aca="false">AJ36*x_R_NFZ</f>
        <v>46753009.6251254</v>
      </c>
      <c r="AM36" s="0" t="n">
        <f aca="false">AJ36*x_R_PIT</f>
        <v>40024403.7508789</v>
      </c>
      <c r="AN36" s="0" t="n">
        <f aca="false">AJ36*x_R_FP</f>
        <v>15351357.1218591</v>
      </c>
      <c r="AO36" s="0" t="n">
        <f aca="false">AA36+AB36+AC36+AD36+AF36</f>
        <v>444943836.933594</v>
      </c>
      <c r="AP36" s="0" t="n">
        <f aca="false">AO36+AE36+AG36+AH36+AI36+AK36+AL36+AM36+AN36</f>
        <v>763092943.944107</v>
      </c>
      <c r="AQ36" s="0" t="n">
        <f aca="false">AO36+AE36+AG36+AJ36</f>
        <v>1046957841.71238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2234.055</v>
      </c>
      <c r="I37" s="0" t="n">
        <v>251.859</v>
      </c>
      <c r="J37" s="0" t="n">
        <v>1388.343</v>
      </c>
      <c r="K37" s="0" t="n">
        <v>1863.226</v>
      </c>
      <c r="L37" s="0" t="n">
        <v>949.377</v>
      </c>
      <c r="M37" s="0" t="n">
        <v>111611.237</v>
      </c>
      <c r="N37" s="0" t="n">
        <v>9908.435</v>
      </c>
      <c r="O37" s="0" t="n">
        <v>73.796</v>
      </c>
      <c r="P37" s="0" t="n">
        <v>74.531</v>
      </c>
      <c r="Q37" s="0" t="n">
        <v>733.9</v>
      </c>
      <c r="R37" s="0" t="n">
        <v>896.299</v>
      </c>
      <c r="S37" s="0" t="n">
        <v>2553.585</v>
      </c>
      <c r="T37" s="0" t="n">
        <v>2485.914</v>
      </c>
      <c r="U37" s="0" t="n">
        <v>1831.081</v>
      </c>
      <c r="V37" s="0" t="n">
        <v>160734.763</v>
      </c>
      <c r="W37" s="0" t="n">
        <v>248.595</v>
      </c>
      <c r="X37" s="0" t="n">
        <v>533.52</v>
      </c>
      <c r="Y37" s="0" t="n">
        <v>73.796</v>
      </c>
      <c r="Z37" s="0" t="n">
        <v>698.191</v>
      </c>
      <c r="AA37" s="0" t="n">
        <f aca="false">H37*x_c_F+I37*x_c_CC+J37*x_c_DC+K37*x_c_HCC+L37*x_c_PLT+M37*x_c_SVRn+N37*x_c_SVRcc+O37*x_c_LT+P37*x_c_LT1</f>
        <v>304739488.084478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18597738.4340493</v>
      </c>
      <c r="AI37" s="0" t="n">
        <f aca="false">x_AGRI*x_EMP*x_WLOSS*(x_PEN_K74*Q37+x_PEN_C22*R37)</f>
        <v>980449.468338487</v>
      </c>
      <c r="AJ37" s="0" t="n">
        <f aca="false">x_EMP*x_WAGE*(x_WLOSS*(Q37+R37)+S37)+U37*x_ABS_D*x_WAGE/365</f>
        <v>298181700.871319</v>
      </c>
      <c r="AK37" s="0" t="n">
        <f aca="false">AJ37*x_R_FUS</f>
        <v>94344690.1556853</v>
      </c>
      <c r="AL37" s="0" t="n">
        <f aca="false">AJ37*x_R_NFZ</f>
        <v>23157089.0713675</v>
      </c>
      <c r="AM37" s="0" t="n">
        <f aca="false">AJ37*x_R_PIT</f>
        <v>19824364.038147</v>
      </c>
      <c r="AN37" s="0" t="n">
        <f aca="false">AJ37*x_R_FP</f>
        <v>7603633.37221863</v>
      </c>
      <c r="AO37" s="0" t="n">
        <f aca="false">AA37+AB37+AC37+AD37+AF37</f>
        <v>442572915.694503</v>
      </c>
      <c r="AP37" s="0" t="n">
        <f aca="false">AO37+AE37+AG37+AH37+AI37+AK37+AL37+AM37+AN37</f>
        <v>607080880.234309</v>
      </c>
      <c r="AQ37" s="0" t="n">
        <f aca="false">AO37+AE37+AG37+AJ37</f>
        <v>740754616.565822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2236.82</v>
      </c>
      <c r="I38" s="0" t="n">
        <v>248.485</v>
      </c>
      <c r="J38" s="0" t="n">
        <v>1360.958</v>
      </c>
      <c r="K38" s="0" t="n">
        <v>1832.538</v>
      </c>
      <c r="L38" s="0" t="n">
        <v>924.538</v>
      </c>
      <c r="M38" s="0" t="n">
        <v>113938.044</v>
      </c>
      <c r="N38" s="0" t="n">
        <v>9850.029</v>
      </c>
      <c r="O38" s="0" t="n">
        <v>72.339</v>
      </c>
      <c r="P38" s="0" t="n">
        <v>73.068</v>
      </c>
      <c r="Q38" s="0" t="n">
        <v>726.904</v>
      </c>
      <c r="R38" s="0" t="n">
        <v>887.69</v>
      </c>
      <c r="S38" s="0" t="n">
        <v>2532.67</v>
      </c>
      <c r="T38" s="0" t="n">
        <v>2485.305</v>
      </c>
      <c r="U38" s="0" t="n">
        <v>1830.943</v>
      </c>
      <c r="V38" s="0" t="n">
        <v>162121.258</v>
      </c>
      <c r="W38" s="0" t="n">
        <v>244.487</v>
      </c>
      <c r="X38" s="0" t="n">
        <v>525.561</v>
      </c>
      <c r="Y38" s="0" t="n">
        <v>72.339</v>
      </c>
      <c r="Z38" s="0" t="n">
        <v>685.254</v>
      </c>
      <c r="AA38" s="0" t="n">
        <f aca="false">H38*x_c_F+I38*x_c_CC+J38*x_c_DC+K38*x_c_HCC+L38*x_c_PLT+M38*x_c_SVRn+N38*x_c_SVRcc+O38*x_c_LT+P38*x_c_LT1</f>
        <v>302211887.311197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18455430.3957687</v>
      </c>
      <c r="AI38" s="0" t="n">
        <f aca="false">x_AGRI*x_EMP*x_WLOSS*(x_PEN_K74*Q38+x_PEN_C22*R38)</f>
        <v>971061.932895572</v>
      </c>
      <c r="AJ38" s="0" t="n">
        <f aca="false">x_EMP*x_WAGE*(x_WLOSS*(Q38+R38)+S38)+U38*x_ABS_D*x_WAGE/365</f>
        <v>295679341.681572</v>
      </c>
      <c r="AK38" s="0" t="n">
        <f aca="false">AJ38*x_R_FUS</f>
        <v>93552943.7080495</v>
      </c>
      <c r="AL38" s="0" t="n">
        <f aca="false">AJ38*x_R_NFZ</f>
        <v>22962753.3543326</v>
      </c>
      <c r="AM38" s="0" t="n">
        <f aca="false">AJ38*x_R_PIT</f>
        <v>19657996.7547531</v>
      </c>
      <c r="AN38" s="0" t="n">
        <f aca="false">AJ38*x_R_FP</f>
        <v>7539823.21288009</v>
      </c>
      <c r="AO38" s="0" t="n">
        <f aca="false">AA38+AB38+AC38+AD38+AF38</f>
        <v>440045314.921222</v>
      </c>
      <c r="AP38" s="0" t="n">
        <f aca="false">AO38+AE38+AG38+AH38+AI38+AK38+AL38+AM38+AN38</f>
        <v>603185324.279901</v>
      </c>
      <c r="AQ38" s="0" t="n">
        <f aca="false">AO38+AE38+AG38+AJ38</f>
        <v>735724656.602794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2239.367</v>
      </c>
      <c r="I39" s="0" t="n">
        <v>245.351</v>
      </c>
      <c r="J39" s="0" t="n">
        <v>1334.157</v>
      </c>
      <c r="K39" s="0" t="n">
        <v>1802.622</v>
      </c>
      <c r="L39" s="0" t="n">
        <v>898.329</v>
      </c>
      <c r="M39" s="0" t="n">
        <v>116177.841</v>
      </c>
      <c r="N39" s="0" t="n">
        <v>9770.614</v>
      </c>
      <c r="O39" s="0" t="n">
        <v>70.924</v>
      </c>
      <c r="P39" s="0" t="n">
        <v>71.632</v>
      </c>
      <c r="Q39" s="0" t="n">
        <v>719.995</v>
      </c>
      <c r="R39" s="0" t="n">
        <v>879.267</v>
      </c>
      <c r="S39" s="0" t="n">
        <v>2511.608</v>
      </c>
      <c r="T39" s="0" t="n">
        <v>2484.719</v>
      </c>
      <c r="U39" s="0" t="n">
        <v>1830.77</v>
      </c>
      <c r="V39" s="0" t="n">
        <v>163442.238</v>
      </c>
      <c r="W39" s="0" t="n">
        <v>240.58</v>
      </c>
      <c r="X39" s="0" t="n">
        <v>517.908</v>
      </c>
      <c r="Y39" s="0" t="n">
        <v>70.924</v>
      </c>
      <c r="Z39" s="0" t="n">
        <v>672.624</v>
      </c>
      <c r="AA39" s="0" t="n">
        <f aca="false">H39*x_c_F+I39*x_c_CC+J39*x_c_DC+K39*x_c_HCC+L39*x_c_PLT+M39*x_c_SVRn+N39*x_c_SVRcc+O39*x_c_LT+P39*x_c_LT1</f>
        <v>299605341.108291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18315575.9090039</v>
      </c>
      <c r="AI39" s="0" t="n">
        <f aca="false">x_AGRI*x_EMP*x_WLOSS*(x_PEN_K74*Q39+x_PEN_C22*R39)</f>
        <v>961841.328644889</v>
      </c>
      <c r="AJ39" s="0" t="n">
        <f aca="false">x_EMP*x_WAGE*(x_WLOSS*(Q39+R39)+S39)+U39*x_ABS_D*x_WAGE/365</f>
        <v>293176920.148801</v>
      </c>
      <c r="AK39" s="0" t="n">
        <f aca="false">AJ39*x_R_FUS</f>
        <v>92761177.5350806</v>
      </c>
      <c r="AL39" s="0" t="n">
        <f aca="false">AJ39*x_R_NFZ</f>
        <v>22768412.795676</v>
      </c>
      <c r="AM39" s="0" t="n">
        <f aca="false">AJ39*x_R_PIT</f>
        <v>19491625.3265347</v>
      </c>
      <c r="AN39" s="0" t="n">
        <f aca="false">AJ39*x_R_FP</f>
        <v>7476011.46379442</v>
      </c>
      <c r="AO39" s="0" t="n">
        <f aca="false">AA39+AB39+AC39+AD39+AF39</f>
        <v>437438768.718316</v>
      </c>
      <c r="AP39" s="0" t="n">
        <f aca="false">AO39+AE39+AG39+AH39+AI39+AK39+AL39+AM39+AN39</f>
        <v>599213413.07705</v>
      </c>
      <c r="AQ39" s="0" t="n">
        <f aca="false">AO39+AE39+AG39+AJ39</f>
        <v>730615688.867117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2241.653</v>
      </c>
      <c r="I40" s="0" t="n">
        <v>242.506</v>
      </c>
      <c r="J40" s="0" t="n">
        <v>1308.481</v>
      </c>
      <c r="K40" s="0" t="n">
        <v>1774.029</v>
      </c>
      <c r="L40" s="0" t="n">
        <v>871.353</v>
      </c>
      <c r="M40" s="0" t="n">
        <v>118342.228</v>
      </c>
      <c r="N40" s="0" t="n">
        <v>9675.386</v>
      </c>
      <c r="O40" s="0" t="n">
        <v>69.582</v>
      </c>
      <c r="P40" s="0" t="n">
        <v>70.253</v>
      </c>
      <c r="Q40" s="0" t="n">
        <v>713.2</v>
      </c>
      <c r="R40" s="0" t="n">
        <v>871.053</v>
      </c>
      <c r="S40" s="0" t="n">
        <v>2490.516</v>
      </c>
      <c r="T40" s="0" t="n">
        <v>2484.159</v>
      </c>
      <c r="U40" s="0" t="n">
        <v>1830.501</v>
      </c>
      <c r="V40" s="0" t="n">
        <v>164712.289</v>
      </c>
      <c r="W40" s="0" t="n">
        <v>236.942</v>
      </c>
      <c r="X40" s="0" t="n">
        <v>510.704</v>
      </c>
      <c r="Y40" s="0" t="n">
        <v>69.582</v>
      </c>
      <c r="Z40" s="0" t="n">
        <v>660.576</v>
      </c>
      <c r="AA40" s="0" t="n">
        <f aca="false">H40*x_c_F+I40*x_c_CC+J40*x_c_DC+K40*x_c_HCC+L40*x_c_PLT+M40*x_c_SVRn+N40*x_c_SVRcc+O40*x_c_LT+P40*x_c_LT1</f>
        <v>297016962.111025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18178499.3304006</v>
      </c>
      <c r="AI40" s="0" t="n">
        <f aca="false">x_AGRI*x_EMP*x_WLOSS*(x_PEN_K74*Q40+x_PEN_C22*R40)</f>
        <v>952817.38422017</v>
      </c>
      <c r="AJ40" s="0" t="n">
        <f aca="false">x_EMP*x_WAGE*(x_WLOSS*(Q40+R40)+S40)+U40*x_ABS_D*x_WAGE/365</f>
        <v>290686535.457197</v>
      </c>
      <c r="AK40" s="0" t="n">
        <f aca="false">AJ40*x_R_FUS</f>
        <v>91973219.8186572</v>
      </c>
      <c r="AL40" s="0" t="n">
        <f aca="false">AJ40*x_R_NFZ</f>
        <v>22575007.0301414</v>
      </c>
      <c r="AM40" s="0" t="n">
        <f aca="false">AJ40*x_R_PIT</f>
        <v>19326054.157757</v>
      </c>
      <c r="AN40" s="0" t="n">
        <f aca="false">AJ40*x_R_FP</f>
        <v>7412506.65415853</v>
      </c>
      <c r="AO40" s="0" t="n">
        <f aca="false">AA40+AB40+AC40+AD40+AF40</f>
        <v>434850389.721049</v>
      </c>
      <c r="AP40" s="0" t="n">
        <f aca="false">AO40+AE40+AG40+AH40+AI40+AK40+AL40+AM40+AN40</f>
        <v>595268494.096384</v>
      </c>
      <c r="AQ40" s="0" t="n">
        <f aca="false">AO40+AE40+AG40+AJ40</f>
        <v>725536925.178246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2243.639</v>
      </c>
      <c r="I41" s="0" t="n">
        <v>239.992</v>
      </c>
      <c r="J41" s="0" t="n">
        <v>1284.492</v>
      </c>
      <c r="K41" s="0" t="n">
        <v>1747.341</v>
      </c>
      <c r="L41" s="0" t="n">
        <v>844.338</v>
      </c>
      <c r="M41" s="0" t="n">
        <v>120447.54</v>
      </c>
      <c r="N41" s="0" t="n">
        <v>9570.836</v>
      </c>
      <c r="O41" s="0" t="n">
        <v>68.343</v>
      </c>
      <c r="P41" s="0" t="n">
        <v>68.962</v>
      </c>
      <c r="Q41" s="0" t="n">
        <v>706.556</v>
      </c>
      <c r="R41" s="0" t="n">
        <v>863.077</v>
      </c>
      <c r="S41" s="0" t="n">
        <v>2469.588</v>
      </c>
      <c r="T41" s="0" t="n">
        <v>2483.631</v>
      </c>
      <c r="U41" s="0" t="n">
        <v>1830.077</v>
      </c>
      <c r="V41" s="0" t="n">
        <v>165950.465</v>
      </c>
      <c r="W41" s="0" t="n">
        <v>233.637</v>
      </c>
      <c r="X41" s="0" t="n">
        <v>504.088</v>
      </c>
      <c r="Y41" s="0" t="n">
        <v>68.343</v>
      </c>
      <c r="Z41" s="0" t="n">
        <v>649.375</v>
      </c>
      <c r="AA41" s="0" t="n">
        <f aca="false">H41*x_c_F+I41*x_c_CC+J41*x_c_DC+K41*x_c_HCC+L41*x_c_PLT+M41*x_c_SVRn+N41*x_c_SVRcc+O41*x_c_LT+P41*x_c_LT1</f>
        <v>294556290.138967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18044671.4824506</v>
      </c>
      <c r="AI41" s="0" t="n">
        <f aca="false">x_AGRI*x_EMP*x_WLOSS*(x_PEN_K74*Q41+x_PEN_C22*R41)</f>
        <v>944029.237586777</v>
      </c>
      <c r="AJ41" s="0" t="n">
        <f aca="false">x_EMP*x_WAGE*(x_WLOSS*(Q41+R41)+S41)+U41*x_ABS_D*x_WAGE/365</f>
        <v>288227594.646921</v>
      </c>
      <c r="AK41" s="0" t="n">
        <f aca="false">AJ41*x_R_FUS</f>
        <v>91195210.9462858</v>
      </c>
      <c r="AL41" s="0" t="n">
        <f aca="false">AJ41*x_R_NFZ</f>
        <v>22384043.2278745</v>
      </c>
      <c r="AM41" s="0" t="n">
        <f aca="false">AJ41*x_R_PIT</f>
        <v>19162573.5094519</v>
      </c>
      <c r="AN41" s="0" t="n">
        <f aca="false">AJ41*x_R_FP</f>
        <v>7349803.66349649</v>
      </c>
      <c r="AO41" s="0" t="n">
        <f aca="false">AA41+AB41+AC41+AD41+AF41</f>
        <v>432389717.748991</v>
      </c>
      <c r="AP41" s="0" t="n">
        <f aca="false">AO41+AE41+AG41+AH41+AI41+AK41+AL41+AM41+AN41</f>
        <v>591470049.816138</v>
      </c>
      <c r="AQ41" s="0" t="n">
        <f aca="false">AO41+AE41+AG41+AJ41</f>
        <v>720617312.395912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2245.302</v>
      </c>
      <c r="I42" s="0" t="n">
        <v>237.833</v>
      </c>
      <c r="J42" s="0" t="n">
        <v>1262.675</v>
      </c>
      <c r="K42" s="0" t="n">
        <v>1723.058</v>
      </c>
      <c r="L42" s="0" t="n">
        <v>818.039</v>
      </c>
      <c r="M42" s="0" t="n">
        <v>122511.801</v>
      </c>
      <c r="N42" s="0" t="n">
        <v>9463.822</v>
      </c>
      <c r="O42" s="0" t="n">
        <v>67.23</v>
      </c>
      <c r="P42" s="0" t="n">
        <v>67.786</v>
      </c>
      <c r="Q42" s="0" t="n">
        <v>700.091</v>
      </c>
      <c r="R42" s="0" t="n">
        <v>855.358</v>
      </c>
      <c r="S42" s="0" t="n">
        <v>2448.986</v>
      </c>
      <c r="T42" s="0" t="n">
        <v>2483.135</v>
      </c>
      <c r="U42" s="0" t="n">
        <v>1829.466</v>
      </c>
      <c r="V42" s="0" t="n">
        <v>167176.556</v>
      </c>
      <c r="W42" s="0" t="n">
        <v>230.708</v>
      </c>
      <c r="X42" s="0" t="n">
        <v>498.16</v>
      </c>
      <c r="Y42" s="0" t="n">
        <v>67.23</v>
      </c>
      <c r="Z42" s="0" t="n">
        <v>639.237</v>
      </c>
      <c r="AA42" s="0" t="n">
        <f aca="false">H42*x_c_F+I42*x_c_CC+J42*x_c_DC+K42*x_c_HCC+L42*x_c_PLT+M42*x_c_SVRn+N42*x_c_SVRcc+O42*x_c_LT+P42*x_c_LT1</f>
        <v>292326575.672051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17914446.3302301</v>
      </c>
      <c r="AI42" s="0" t="n">
        <f aca="false">x_AGRI*x_EMP*x_WLOSS*(x_PEN_K74*Q42+x_PEN_C22*R42)</f>
        <v>935504.633632739</v>
      </c>
      <c r="AJ42" s="0" t="n">
        <f aca="false">x_EMP*x_WAGE*(x_WLOSS*(Q42+R42)+S42)+U42*x_ABS_D*x_WAGE/365</f>
        <v>285815980.634574</v>
      </c>
      <c r="AK42" s="0" t="n">
        <f aca="false">AJ42*x_R_FUS</f>
        <v>90432176.2727791</v>
      </c>
      <c r="AL42" s="0" t="n">
        <f aca="false">AJ42*x_R_NFZ</f>
        <v>22196754.8720616</v>
      </c>
      <c r="AM42" s="0" t="n">
        <f aca="false">AJ42*x_R_PIT</f>
        <v>19002239.3442078</v>
      </c>
      <c r="AN42" s="0" t="n">
        <f aca="false">AJ42*x_R_FP</f>
        <v>7288307.50618163</v>
      </c>
      <c r="AO42" s="0" t="n">
        <f aca="false">AA42+AB42+AC42+AD42+AF42</f>
        <v>430160003.282076</v>
      </c>
      <c r="AP42" s="0" t="n">
        <f aca="false">AO42+AE42+AG42+AH42+AI42+AK42+AL42+AM42+AN42</f>
        <v>587929432.241169</v>
      </c>
      <c r="AQ42" s="0" t="n">
        <f aca="false">AO42+AE42+AG42+AJ42</f>
        <v>715975983.91665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2246.643</v>
      </c>
      <c r="I43" s="0" t="n">
        <v>236.031</v>
      </c>
      <c r="J43" s="0" t="n">
        <v>1243.376</v>
      </c>
      <c r="K43" s="0" t="n">
        <v>1701.532</v>
      </c>
      <c r="L43" s="0" t="n">
        <v>793.152</v>
      </c>
      <c r="M43" s="0" t="n">
        <v>124552.333</v>
      </c>
      <c r="N43" s="0" t="n">
        <v>9360.817</v>
      </c>
      <c r="O43" s="0" t="n">
        <v>66.258</v>
      </c>
      <c r="P43" s="0" t="n">
        <v>66.744</v>
      </c>
      <c r="Q43" s="0" t="n">
        <v>693.829</v>
      </c>
      <c r="R43" s="0" t="n">
        <v>847.915</v>
      </c>
      <c r="S43" s="0" t="n">
        <v>2428.839</v>
      </c>
      <c r="T43" s="0" t="n">
        <v>2482.674</v>
      </c>
      <c r="U43" s="0" t="n">
        <v>1828.665</v>
      </c>
      <c r="V43" s="0" t="n">
        <v>168408.432</v>
      </c>
      <c r="W43" s="0" t="n">
        <v>228.174</v>
      </c>
      <c r="X43" s="0" t="n">
        <v>492.975</v>
      </c>
      <c r="Y43" s="0" t="n">
        <v>66.258</v>
      </c>
      <c r="Z43" s="0" t="n">
        <v>630.306</v>
      </c>
      <c r="AA43" s="0" t="n">
        <f aca="false">H43*x_c_F+I43*x_c_CC+J43*x_c_DC+K43*x_c_HCC+L43*x_c_PLT+M43*x_c_SVRn+N43*x_c_SVRcc+O43*x_c_LT+P43*x_c_LT1</f>
        <v>290412721.315394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17788203.6034497</v>
      </c>
      <c r="AI43" s="0" t="n">
        <f aca="false">x_AGRI*x_EMP*x_WLOSS*(x_PEN_K74*Q43+x_PEN_C22*R43)</f>
        <v>927269.07943284</v>
      </c>
      <c r="AJ43" s="0" t="n">
        <f aca="false">x_EMP*x_WAGE*(x_WLOSS*(Q43+R43)+S43)+U43*x_ABS_D*x_WAGE/365</f>
        <v>283464663.693184</v>
      </c>
      <c r="AK43" s="0" t="n">
        <f aca="false">AJ43*x_R_FUS</f>
        <v>89688219.5925233</v>
      </c>
      <c r="AL43" s="0" t="n">
        <f aca="false">AJ43*x_R_NFZ</f>
        <v>22014149.2470763</v>
      </c>
      <c r="AM43" s="0" t="n">
        <f aca="false">AJ43*x_R_PIT</f>
        <v>18845913.9799116</v>
      </c>
      <c r="AN43" s="0" t="n">
        <f aca="false">AJ43*x_R_FP</f>
        <v>7228348.92417618</v>
      </c>
      <c r="AO43" s="0" t="n">
        <f aca="false">AA43+AB43+AC43+AD43+AF43</f>
        <v>428246148.925418</v>
      </c>
      <c r="AP43" s="0" t="n">
        <f aca="false">AO43+AE43+AG43+AH43+AI43+AK43+AL43+AM43+AN43</f>
        <v>584738253.351988</v>
      </c>
      <c r="AQ43" s="0" t="n">
        <f aca="false">AO43+AE43+AG43+AJ43</f>
        <v>711710812.618602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2247.686</v>
      </c>
      <c r="I44" s="0" t="n">
        <v>234.557</v>
      </c>
      <c r="J44" s="0" t="n">
        <v>1226.747</v>
      </c>
      <c r="K44" s="0" t="n">
        <v>1682.902</v>
      </c>
      <c r="L44" s="0" t="n">
        <v>770.224</v>
      </c>
      <c r="M44" s="0" t="n">
        <v>126582.999</v>
      </c>
      <c r="N44" s="0" t="n">
        <v>9267.081</v>
      </c>
      <c r="O44" s="0" t="n">
        <v>65.431</v>
      </c>
      <c r="P44" s="0" t="n">
        <v>65.845</v>
      </c>
      <c r="Q44" s="0" t="n">
        <v>687.787</v>
      </c>
      <c r="R44" s="0" t="n">
        <v>840.757</v>
      </c>
      <c r="S44" s="0" t="n">
        <v>2409.251</v>
      </c>
      <c r="T44" s="0" t="n">
        <v>2482.244</v>
      </c>
      <c r="U44" s="0" t="n">
        <v>1827.707</v>
      </c>
      <c r="V44" s="0" t="n">
        <v>169659.199</v>
      </c>
      <c r="W44" s="0" t="n">
        <v>226.019</v>
      </c>
      <c r="X44" s="0" t="n">
        <v>488.519</v>
      </c>
      <c r="Y44" s="0" t="n">
        <v>65.431</v>
      </c>
      <c r="Z44" s="0" t="n">
        <v>622.625</v>
      </c>
      <c r="AA44" s="0" t="n">
        <f aca="false">H44*x_c_F+I44*x_c_CC+J44*x_c_DC+K44*x_c_HCC+L44*x_c_PLT+M44*x_c_SVRn+N44*x_c_SVRcc+O44*x_c_LT+P44*x_c_LT1</f>
        <v>288868208.869951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17666241.6053184</v>
      </c>
      <c r="AI44" s="0" t="n">
        <f aca="false">x_AGRI*x_EMP*x_WLOSS*(x_PEN_K74*Q44+x_PEN_C22*R44)</f>
        <v>919337.807891151</v>
      </c>
      <c r="AJ44" s="0" t="n">
        <f aca="false">x_EMP*x_WAGE*(x_WLOSS*(Q44+R44)+S44)+U44*x_ABS_D*x_WAGE/365</f>
        <v>281183805.347342</v>
      </c>
      <c r="AK44" s="0" t="n">
        <f aca="false">AJ44*x_R_FUS</f>
        <v>88966556.0118989</v>
      </c>
      <c r="AL44" s="0" t="n">
        <f aca="false">AJ44*x_R_NFZ</f>
        <v>21837015.5070799</v>
      </c>
      <c r="AM44" s="0" t="n">
        <f aca="false">AJ44*x_R_PIT</f>
        <v>18694272.9971306</v>
      </c>
      <c r="AN44" s="0" t="n">
        <f aca="false">AJ44*x_R_FP</f>
        <v>7170187.03635721</v>
      </c>
      <c r="AO44" s="0" t="n">
        <f aca="false">AA44+AB44+AC44+AD44+AF44</f>
        <v>426701636.479975</v>
      </c>
      <c r="AP44" s="0" t="n">
        <f aca="false">AO44+AE44+AG44+AH44+AI44+AK44+AL44+AM44+AN44</f>
        <v>581955247.445651</v>
      </c>
      <c r="AQ44" s="0" t="n">
        <f aca="false">AO44+AE44+AG44+AJ44</f>
        <v>707885441.827317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2248.476</v>
      </c>
      <c r="I45" s="0" t="n">
        <v>233.366</v>
      </c>
      <c r="J45" s="0" t="n">
        <v>1212.773</v>
      </c>
      <c r="K45" s="0" t="n">
        <v>1667.12</v>
      </c>
      <c r="L45" s="0" t="n">
        <v>749.656</v>
      </c>
      <c r="M45" s="0" t="n">
        <v>128614.072</v>
      </c>
      <c r="N45" s="0" t="n">
        <v>9186.601</v>
      </c>
      <c r="O45" s="0" t="n">
        <v>64.746</v>
      </c>
      <c r="P45" s="0" t="n">
        <v>65.089</v>
      </c>
      <c r="Q45" s="0" t="n">
        <v>681.977</v>
      </c>
      <c r="R45" s="0" t="n">
        <v>833.894</v>
      </c>
      <c r="S45" s="0" t="n">
        <v>2390.303</v>
      </c>
      <c r="T45" s="0" t="n">
        <v>2481.842</v>
      </c>
      <c r="U45" s="0" t="n">
        <v>1826.644</v>
      </c>
      <c r="V45" s="0" t="n">
        <v>170937.372</v>
      </c>
      <c r="W45" s="0" t="n">
        <v>224.209</v>
      </c>
      <c r="X45" s="0" t="n">
        <v>484.742</v>
      </c>
      <c r="Y45" s="0" t="n">
        <v>64.746</v>
      </c>
      <c r="Z45" s="0" t="n">
        <v>616.179</v>
      </c>
      <c r="AA45" s="0" t="n">
        <f aca="false">H45*x_c_F+I45*x_c_CC+J45*x_c_DC+K45*x_c_HCC+L45*x_c_PLT+M45*x_c_SVRn+N45*x_c_SVRcc+O45*x_c_LT+P45*x_c_LT1</f>
        <v>287718566.915567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17548864.9999059</v>
      </c>
      <c r="AI45" s="0" t="n">
        <f aca="false">x_AGRI*x_EMP*x_WLOSS*(x_PEN_K74*Q45+x_PEN_C22*R45)</f>
        <v>911723.890444939</v>
      </c>
      <c r="AJ45" s="0" t="n">
        <f aca="false">x_EMP*x_WAGE*(x_WLOSS*(Q45+R45)+S45)+U45*x_ABS_D*x_WAGE/365</f>
        <v>278981477.709357</v>
      </c>
      <c r="AK45" s="0" t="n">
        <f aca="false">AJ45*x_R_FUS</f>
        <v>88269739.5472405</v>
      </c>
      <c r="AL45" s="0" t="n">
        <f aca="false">AJ45*x_R_NFZ</f>
        <v>21665980.5403863</v>
      </c>
      <c r="AM45" s="0" t="n">
        <f aca="false">AJ45*x_R_PIT</f>
        <v>18547853.063583</v>
      </c>
      <c r="AN45" s="0" t="n">
        <f aca="false">AJ45*x_R_FP</f>
        <v>7114027.6815886</v>
      </c>
      <c r="AO45" s="0" t="n">
        <f aca="false">AA45+AB45+AC45+AD45+AF45</f>
        <v>425551994.525591</v>
      </c>
      <c r="AP45" s="0" t="n">
        <f aca="false">AO45+AE45+AG45+AH45+AI45+AK45+AL45+AM45+AN45</f>
        <v>579610184.24874</v>
      </c>
      <c r="AQ45" s="0" t="n">
        <f aca="false">AO45+AE45+AG45+AJ45</f>
        <v>704533472.234948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2249.068</v>
      </c>
      <c r="I46" s="0" t="n">
        <v>232.396</v>
      </c>
      <c r="J46" s="0" t="n">
        <v>1201.293</v>
      </c>
      <c r="K46" s="0" t="n">
        <v>1653.987</v>
      </c>
      <c r="L46" s="0" t="n">
        <v>731.701</v>
      </c>
      <c r="M46" s="0" t="n">
        <v>130652.214</v>
      </c>
      <c r="N46" s="0" t="n">
        <v>9122.071</v>
      </c>
      <c r="O46" s="0" t="n">
        <v>64.191</v>
      </c>
      <c r="P46" s="0" t="n">
        <v>64.469</v>
      </c>
      <c r="Q46" s="0" t="n">
        <v>676.409</v>
      </c>
      <c r="R46" s="0" t="n">
        <v>827.33</v>
      </c>
      <c r="S46" s="0" t="n">
        <v>2372.06</v>
      </c>
      <c r="T46" s="0" t="n">
        <v>2481.464</v>
      </c>
      <c r="U46" s="0" t="n">
        <v>1825.543</v>
      </c>
      <c r="V46" s="0" t="n">
        <v>172247.249</v>
      </c>
      <c r="W46" s="0" t="n">
        <v>222.693</v>
      </c>
      <c r="X46" s="0" t="n">
        <v>481.557</v>
      </c>
      <c r="Y46" s="0" t="n">
        <v>64.191</v>
      </c>
      <c r="Z46" s="0" t="n">
        <v>610.875</v>
      </c>
      <c r="AA46" s="0" t="n">
        <f aca="false">H46*x_c_F+I46*x_c_CC+J46*x_c_DC+K46*x_c_HCC+L46*x_c_PLT+M46*x_c_SVRn+N46*x_c_SVRcc+O46*x_c_LT+P46*x_c_LT1</f>
        <v>286963254.113261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17436334.64733</v>
      </c>
      <c r="AI46" s="0" t="n">
        <f aca="false">x_AGRI*x_EMP*x_WLOSS*(x_PEN_K74*Q46+x_PEN_C22*R46)</f>
        <v>904435.46482633</v>
      </c>
      <c r="AJ46" s="0" t="n">
        <f aca="false">x_EMP*x_WAGE*(x_WLOSS*(Q46+R46)+S46)+U46*x_ABS_D*x_WAGE/365</f>
        <v>276864064.322376</v>
      </c>
      <c r="AK46" s="0" t="n">
        <f aca="false">AJ46*x_R_FUS</f>
        <v>87599789.9515996</v>
      </c>
      <c r="AL46" s="0" t="n">
        <f aca="false">AJ46*x_R_NFZ</f>
        <v>21501540.09934</v>
      </c>
      <c r="AM46" s="0" t="n">
        <f aca="false">AJ46*x_R_PIT</f>
        <v>18407078.5838611</v>
      </c>
      <c r="AN46" s="0" t="n">
        <f aca="false">AJ46*x_R_FP</f>
        <v>7060033.64022058</v>
      </c>
      <c r="AO46" s="0" t="n">
        <f aca="false">AA46+AB46+AC46+AD46+AF46</f>
        <v>424796681.723285</v>
      </c>
      <c r="AP46" s="0" t="n">
        <f aca="false">AO46+AE46+AG46+AH46+AI46+AK46+AL46+AM46+AN46</f>
        <v>577705894.110463</v>
      </c>
      <c r="AQ46" s="0" t="n">
        <f aca="false">AO46+AE46+AG46+AJ46</f>
        <v>701660746.045661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2249.522</v>
      </c>
      <c r="I47" s="0" t="n">
        <v>231.581</v>
      </c>
      <c r="J47" s="0" t="n">
        <v>1192.023</v>
      </c>
      <c r="K47" s="0" t="n">
        <v>1643.168</v>
      </c>
      <c r="L47" s="0" t="n">
        <v>716.446</v>
      </c>
      <c r="M47" s="0" t="n">
        <v>132699.639</v>
      </c>
      <c r="N47" s="0" t="n">
        <v>9074.702</v>
      </c>
      <c r="O47" s="0" t="n">
        <v>63.749</v>
      </c>
      <c r="P47" s="0" t="n">
        <v>63.97</v>
      </c>
      <c r="Q47" s="0" t="n">
        <v>671.09</v>
      </c>
      <c r="R47" s="0" t="n">
        <v>821.068</v>
      </c>
      <c r="S47" s="0" t="n">
        <v>2354.584</v>
      </c>
      <c r="T47" s="0" t="n">
        <v>2481.103</v>
      </c>
      <c r="U47" s="0" t="n">
        <v>1824.473</v>
      </c>
      <c r="V47" s="0" t="n">
        <v>173588.314</v>
      </c>
      <c r="W47" s="0" t="n">
        <v>221.406</v>
      </c>
      <c r="X47" s="0" t="n">
        <v>478.853</v>
      </c>
      <c r="Y47" s="0" t="n">
        <v>63.749</v>
      </c>
      <c r="Z47" s="0" t="n">
        <v>606.575</v>
      </c>
      <c r="AA47" s="0" t="n">
        <f aca="false">H47*x_c_F+I47*x_c_CC+J47*x_c_DC+K47*x_c_HCC+L47*x_c_PLT+M47*x_c_SVRn+N47*x_c_SVRcc+O47*x_c_LT+P47*x_c_LT1</f>
        <v>286576792.075117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17328880.5084765</v>
      </c>
      <c r="AI47" s="0" t="n">
        <f aca="false">x_AGRI*x_EMP*x_WLOSS*(x_PEN_K74*Q47+x_PEN_C22*R47)</f>
        <v>897478.354607761</v>
      </c>
      <c r="AJ47" s="0" t="n">
        <f aca="false">x_EMP*x_WAGE*(x_WLOSS*(Q47+R47)+S47)+U47*x_ABS_D*x_WAGE/365</f>
        <v>274837514.591929</v>
      </c>
      <c r="AK47" s="0" t="n">
        <f aca="false">AJ47*x_R_FUS</f>
        <v>86958589.6168863</v>
      </c>
      <c r="AL47" s="0" t="n">
        <f aca="false">AJ47*x_R_NFZ</f>
        <v>21344156.2207238</v>
      </c>
      <c r="AM47" s="0" t="n">
        <f aca="false">AJ47*x_R_PIT</f>
        <v>18272345.0992764</v>
      </c>
      <c r="AN47" s="0" t="n">
        <f aca="false">AJ47*x_R_FP</f>
        <v>7008356.62209418</v>
      </c>
      <c r="AO47" s="0" t="n">
        <f aca="false">AA47+AB47+AC47+AD47+AF47</f>
        <v>424410219.685142</v>
      </c>
      <c r="AP47" s="0" t="n">
        <f aca="false">AO47+AE47+AG47+AH47+AI47+AK47+AL47+AM47+AN47</f>
        <v>576220026.107206</v>
      </c>
      <c r="AQ47" s="0" t="n">
        <f aca="false">AO47+AE47+AG47+AJ47</f>
        <v>699247734.27707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2249.901</v>
      </c>
      <c r="I48" s="0" t="n">
        <v>230.855</v>
      </c>
      <c r="J48" s="0" t="n">
        <v>1184.587</v>
      </c>
      <c r="K48" s="0" t="n">
        <v>1634.236</v>
      </c>
      <c r="L48" s="0" t="n">
        <v>703.825</v>
      </c>
      <c r="M48" s="0" t="n">
        <v>134754.108</v>
      </c>
      <c r="N48" s="0" t="n">
        <v>9044.284</v>
      </c>
      <c r="O48" s="0" t="n">
        <v>63.397</v>
      </c>
      <c r="P48" s="0" t="n">
        <v>63.573</v>
      </c>
      <c r="Q48" s="0" t="n">
        <v>666.024</v>
      </c>
      <c r="R48" s="0" t="n">
        <v>815.105</v>
      </c>
      <c r="S48" s="0" t="n">
        <v>2337.914</v>
      </c>
      <c r="T48" s="0" t="n">
        <v>2480.755</v>
      </c>
      <c r="U48" s="0" t="n">
        <v>1823.502</v>
      </c>
      <c r="V48" s="0" t="n">
        <v>174955.636</v>
      </c>
      <c r="W48" s="0" t="n">
        <v>220.282</v>
      </c>
      <c r="X48" s="0" t="n">
        <v>476.505</v>
      </c>
      <c r="Y48" s="0" t="n">
        <v>63.397</v>
      </c>
      <c r="Z48" s="0" t="n">
        <v>603.091</v>
      </c>
      <c r="AA48" s="0" t="n">
        <f aca="false">H48*x_c_F+I48*x_c_CC+J48*x_c_DC+K48*x_c_HCC+L48*x_c_PLT+M48*x_c_SVRn+N48*x_c_SVRcc+O48*x_c_LT+P48*x_c_LT1</f>
        <v>286512535.112733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17226647.3821776</v>
      </c>
      <c r="AI48" s="0" t="n">
        <f aca="false">x_AGRI*x_EMP*x_WLOSS*(x_PEN_K74*Q48+x_PEN_C22*R48)</f>
        <v>890852.890203218</v>
      </c>
      <c r="AJ48" s="0" t="n">
        <f aca="false">x_EMP*x_WAGE*(x_WLOSS*(Q48+R48)+S48)+U48*x_ABS_D*x_WAGE/365</f>
        <v>272905399.475449</v>
      </c>
      <c r="AK48" s="0" t="n">
        <f aca="false">AJ48*x_R_FUS</f>
        <v>86347268.3940321</v>
      </c>
      <c r="AL48" s="0" t="n">
        <f aca="false">AJ48*x_R_NFZ</f>
        <v>21194106.2286629</v>
      </c>
      <c r="AM48" s="0" t="n">
        <f aca="false">AJ48*x_R_PIT</f>
        <v>18143890.0219837</v>
      </c>
      <c r="AN48" s="0" t="n">
        <f aca="false">AJ48*x_R_FP</f>
        <v>6959087.68662395</v>
      </c>
      <c r="AO48" s="0" t="n">
        <f aca="false">AA48+AB48+AC48+AD48+AF48</f>
        <v>424345962.722758</v>
      </c>
      <c r="AP48" s="0" t="n">
        <f aca="false">AO48+AE48+AG48+AH48+AI48+AK48+AL48+AM48+AN48</f>
        <v>575107815.326441</v>
      </c>
      <c r="AQ48" s="0" t="n">
        <f aca="false">AO48+AE48+AG48+AJ48</f>
        <v>697251362.198207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2250.258</v>
      </c>
      <c r="I49" s="0" t="n">
        <v>230.157</v>
      </c>
      <c r="J49" s="0" t="n">
        <v>1178.568</v>
      </c>
      <c r="K49" s="0" t="n">
        <v>1626.728</v>
      </c>
      <c r="L49" s="0" t="n">
        <v>693.653</v>
      </c>
      <c r="M49" s="0" t="n">
        <v>136809.952</v>
      </c>
      <c r="N49" s="0" t="n">
        <v>9029.534</v>
      </c>
      <c r="O49" s="0" t="n">
        <v>63.113</v>
      </c>
      <c r="P49" s="0" t="n">
        <v>63.255</v>
      </c>
      <c r="Q49" s="0" t="n">
        <v>661.206</v>
      </c>
      <c r="R49" s="0" t="n">
        <v>809.436</v>
      </c>
      <c r="S49" s="0" t="n">
        <v>2322.046</v>
      </c>
      <c r="T49" s="0" t="n">
        <v>2480.415</v>
      </c>
      <c r="U49" s="0" t="n">
        <v>1822.684</v>
      </c>
      <c r="V49" s="0" t="n">
        <v>176341.17</v>
      </c>
      <c r="W49" s="0" t="n">
        <v>219.259</v>
      </c>
      <c r="X49" s="0" t="n">
        <v>474.397</v>
      </c>
      <c r="Y49" s="0" t="n">
        <v>63.113</v>
      </c>
      <c r="Z49" s="0" t="n">
        <v>600.235</v>
      </c>
      <c r="AA49" s="0" t="n">
        <f aca="false">H49*x_c_F+I49*x_c_CC+J49*x_c_DC+K49*x_c_HCC+L49*x_c_PLT+M49*x_c_SVRn+N49*x_c_SVRcc+O49*x_c_LT+P49*x_c_LT1</f>
        <v>286712161.452883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17129655.8709602</v>
      </c>
      <c r="AI49" s="0" t="n">
        <f aca="false">x_AGRI*x_EMP*x_WLOSS*(x_PEN_K74*Q49+x_PEN_C22*R49)</f>
        <v>884553.095347375</v>
      </c>
      <c r="AJ49" s="0" t="n">
        <f aca="false">x_EMP*x_WAGE*(x_WLOSS*(Q49+R49)+S49)+U49*x_ABS_D*x_WAGE/365</f>
        <v>271067075.971327</v>
      </c>
      <c r="AK49" s="0" t="n">
        <f aca="false">AJ49*x_R_FUS</f>
        <v>85765622.8373278</v>
      </c>
      <c r="AL49" s="0" t="n">
        <f aca="false">AJ49*x_R_NFZ</f>
        <v>21051340.1870092</v>
      </c>
      <c r="AM49" s="0" t="n">
        <f aca="false">AJ49*x_R_PIT</f>
        <v>18021670.6025521</v>
      </c>
      <c r="AN49" s="0" t="n">
        <f aca="false">AJ49*x_R_FP</f>
        <v>6912210.43726884</v>
      </c>
      <c r="AO49" s="0" t="n">
        <f aca="false">AA49+AB49+AC49+AD49+AF49</f>
        <v>424545589.062908</v>
      </c>
      <c r="AP49" s="0" t="n">
        <f aca="false">AO49+AE49+AG49+AH49+AI49+AK49+AL49+AM49+AN49</f>
        <v>574310642.093373</v>
      </c>
      <c r="AQ49" s="0" t="n">
        <f aca="false">AO49+AE49+AG49+AJ49</f>
        <v>695612665.034235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2250.638</v>
      </c>
      <c r="I50" s="0" t="n">
        <v>229.439</v>
      </c>
      <c r="J50" s="0" t="n">
        <v>1173.53</v>
      </c>
      <c r="K50" s="0" t="n">
        <v>1620.167</v>
      </c>
      <c r="L50" s="0" t="n">
        <v>685.627</v>
      </c>
      <c r="M50" s="0" t="n">
        <v>138857.517</v>
      </c>
      <c r="N50" s="0" t="n">
        <v>9028.049</v>
      </c>
      <c r="O50" s="0" t="n">
        <v>62.873</v>
      </c>
      <c r="P50" s="0" t="n">
        <v>62.993</v>
      </c>
      <c r="Q50" s="0" t="n">
        <v>656.629</v>
      </c>
      <c r="R50" s="0" t="n">
        <v>804.051</v>
      </c>
      <c r="S50" s="0" t="n">
        <v>2306.972</v>
      </c>
      <c r="T50" s="0" t="n">
        <v>2480.077</v>
      </c>
      <c r="U50" s="0" t="n">
        <v>1822.063</v>
      </c>
      <c r="V50" s="0" t="n">
        <v>177733.41</v>
      </c>
      <c r="W50" s="0" t="n">
        <v>218.276</v>
      </c>
      <c r="X50" s="0" t="n">
        <v>472.408</v>
      </c>
      <c r="Y50" s="0" t="n">
        <v>62.873</v>
      </c>
      <c r="Z50" s="0" t="n">
        <v>597.791</v>
      </c>
      <c r="AA50" s="0" t="n">
        <f aca="false">H50*x_c_F+I50*x_c_CC+J50*x_c_DC+K50*x_c_HCC+L50*x_c_PLT+M50*x_c_SVRn+N50*x_c_SVRcc+O50*x_c_LT+P50*x_c_LT1</f>
        <v>287106228.082903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17037840.9953801</v>
      </c>
      <c r="AI50" s="0" t="n">
        <f aca="false">x_AGRI*x_EMP*x_WLOSS*(x_PEN_K74*Q50+x_PEN_C22*R50)</f>
        <v>878568.69586952</v>
      </c>
      <c r="AJ50" s="0" t="n">
        <f aca="false">x_EMP*x_WAGE*(x_WLOSS*(Q50+R50)+S50)+U50*x_ABS_D*x_WAGE/365</f>
        <v>269321208.258356</v>
      </c>
      <c r="AK50" s="0" t="n">
        <f aca="false">AJ50*x_R_FUS</f>
        <v>85213230.2929439</v>
      </c>
      <c r="AL50" s="0" t="n">
        <f aca="false">AJ50*x_R_NFZ</f>
        <v>20915754.3545522</v>
      </c>
      <c r="AM50" s="0" t="n">
        <f aca="false">AJ50*x_R_PIT</f>
        <v>17905598.0300125</v>
      </c>
      <c r="AN50" s="0" t="n">
        <f aca="false">AJ50*x_R_FP</f>
        <v>6867690.81058808</v>
      </c>
      <c r="AO50" s="0" t="n">
        <f aca="false">AA50+AB50+AC50+AD50+AF50</f>
        <v>424939655.692928</v>
      </c>
      <c r="AP50" s="0" t="n">
        <f aca="false">AO50+AE50+AG50+AH50+AI50+AK50+AL50+AM50+AN50</f>
        <v>573758338.872274</v>
      </c>
      <c r="AQ50" s="0" t="n">
        <f aca="false">AO50+AE50+AG50+AJ50</f>
        <v>694260863.951284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2251.075</v>
      </c>
      <c r="I51" s="0" t="n">
        <v>228.665</v>
      </c>
      <c r="J51" s="0" t="n">
        <v>1169.046</v>
      </c>
      <c r="K51" s="0" t="n">
        <v>1614.092</v>
      </c>
      <c r="L51" s="0" t="n">
        <v>679.35</v>
      </c>
      <c r="M51" s="0" t="n">
        <v>140883.64</v>
      </c>
      <c r="N51" s="0" t="n">
        <v>9036.531</v>
      </c>
      <c r="O51" s="0" t="n">
        <v>62.655</v>
      </c>
      <c r="P51" s="0" t="n">
        <v>62.764</v>
      </c>
      <c r="Q51" s="0" t="n">
        <v>652.287</v>
      </c>
      <c r="R51" s="0" t="n">
        <v>798.939</v>
      </c>
      <c r="S51" s="0" t="n">
        <v>2292.672</v>
      </c>
      <c r="T51" s="0" t="n">
        <v>2479.74</v>
      </c>
      <c r="U51" s="0" t="n">
        <v>1821.664</v>
      </c>
      <c r="V51" s="0" t="n">
        <v>179118.02</v>
      </c>
      <c r="W51" s="0" t="n">
        <v>217.288</v>
      </c>
      <c r="X51" s="0" t="n">
        <v>470.442</v>
      </c>
      <c r="Y51" s="0" t="n">
        <v>62.655</v>
      </c>
      <c r="Z51" s="0" t="n">
        <v>595.566</v>
      </c>
      <c r="AA51" s="0" t="n">
        <f aca="false">H51*x_c_F+I51*x_c_CC+J51*x_c_DC+K51*x_c_HCC+L51*x_c_PLT+M51*x_c_SVRn+N51*x_c_SVRcc+O51*x_c_LT+P51*x_c_LT1</f>
        <v>287619590.505078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16951097.5591839</v>
      </c>
      <c r="AI51" s="0" t="n">
        <f aca="false">x_AGRI*x_EMP*x_WLOSS*(x_PEN_K74*Q51+x_PEN_C22*R51)</f>
        <v>872889.341252497</v>
      </c>
      <c r="AJ51" s="0" t="n">
        <f aca="false">x_EMP*x_WAGE*(x_WLOSS*(Q51+R51)+S51)+U51*x_ABS_D*x_WAGE/365</f>
        <v>267665381.579575</v>
      </c>
      <c r="AK51" s="0" t="n">
        <f aca="false">AJ51*x_R_FUS</f>
        <v>84689326.7317774</v>
      </c>
      <c r="AL51" s="0" t="n">
        <f aca="false">AJ51*x_R_NFZ</f>
        <v>20787161.1988513</v>
      </c>
      <c r="AM51" s="0" t="n">
        <f aca="false">AJ51*x_R_PIT</f>
        <v>17795511.7612431</v>
      </c>
      <c r="AN51" s="0" t="n">
        <f aca="false">AJ51*x_R_FP</f>
        <v>6825467.23027915</v>
      </c>
      <c r="AO51" s="0" t="n">
        <f aca="false">AA51+AB51+AC51+AD51+AF51</f>
        <v>425453018.115102</v>
      </c>
      <c r="AP51" s="0" t="n">
        <f aca="false">AO51+AE51+AG51+AH51+AI51+AK51+AL51+AM51+AN51</f>
        <v>573374471.93769</v>
      </c>
      <c r="AQ51" s="0" t="n">
        <f aca="false">AO51+AE51+AG51+AJ51</f>
        <v>693118399.694677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2251.588</v>
      </c>
      <c r="I52" s="0" t="n">
        <v>227.812</v>
      </c>
      <c r="J52" s="0" t="n">
        <v>1164.731</v>
      </c>
      <c r="K52" s="0" t="n">
        <v>1608.091</v>
      </c>
      <c r="L52" s="0" t="n">
        <v>674.375</v>
      </c>
      <c r="M52" s="0" t="n">
        <v>142872.615</v>
      </c>
      <c r="N52" s="0" t="n">
        <v>9051.13</v>
      </c>
      <c r="O52" s="0" t="n">
        <v>62.436</v>
      </c>
      <c r="P52" s="0" t="n">
        <v>62.545</v>
      </c>
      <c r="Q52" s="0" t="n">
        <v>648.167</v>
      </c>
      <c r="R52" s="0" t="n">
        <v>794.086</v>
      </c>
      <c r="S52" s="0" t="n">
        <v>2279.122</v>
      </c>
      <c r="T52" s="0" t="n">
        <v>2479.4</v>
      </c>
      <c r="U52" s="0" t="n">
        <v>1821.497</v>
      </c>
      <c r="V52" s="0" t="n">
        <v>180478.883</v>
      </c>
      <c r="W52" s="0" t="n">
        <v>216.253</v>
      </c>
      <c r="X52" s="0" t="n">
        <v>468.411</v>
      </c>
      <c r="Y52" s="0" t="n">
        <v>62.436</v>
      </c>
      <c r="Z52" s="0" t="n">
        <v>593.374</v>
      </c>
      <c r="AA52" s="0" t="n">
        <f aca="false">H52*x_c_F+I52*x_c_CC+J52*x_c_DC+K52*x_c_HCC+L52*x_c_PLT+M52*x_c_SVRn+N52*x_c_SVRcc+O52*x_c_LT+P52*x_c_LT1</f>
        <v>288175968.614889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16869201.4228701</v>
      </c>
      <c r="AI52" s="0" t="n">
        <f aca="false">x_AGRI*x_EMP*x_WLOSS*(x_PEN_K74*Q52+x_PEN_C22*R52)</f>
        <v>867498.857406711</v>
      </c>
      <c r="AJ52" s="0" t="n">
        <f aca="false">x_EMP*x_WAGE*(x_WLOSS*(Q52+R52)+S52)+U52*x_ABS_D*x_WAGE/365</f>
        <v>266096335.498466</v>
      </c>
      <c r="AK52" s="0" t="n">
        <f aca="false">AJ52*x_R_FUS</f>
        <v>84192880.5517145</v>
      </c>
      <c r="AL52" s="0" t="n">
        <f aca="false">AJ52*x_R_NFZ</f>
        <v>20665307.5111463</v>
      </c>
      <c r="AM52" s="0" t="n">
        <f aca="false">AJ52*x_R_PIT</f>
        <v>17691195.0288157</v>
      </c>
      <c r="AN52" s="0" t="n">
        <f aca="false">AJ52*x_R_FP</f>
        <v>6785456.55521087</v>
      </c>
      <c r="AO52" s="0" t="n">
        <f aca="false">AA52+AB52+AC52+AD52+AF52</f>
        <v>426009396.224914</v>
      </c>
      <c r="AP52" s="0" t="n">
        <f aca="false">AO52+AE52+AG52+AH52+AI52+AK52+AL52+AM52+AN52</f>
        <v>573080936.152078</v>
      </c>
      <c r="AQ52" s="0" t="n">
        <f aca="false">AO52+AE52+AG52+AJ52</f>
        <v>692105731.723379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610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6976.093</v>
      </c>
      <c r="D3" s="0" t="n">
        <v>83333333.333</v>
      </c>
      <c r="E3" s="0" t="n">
        <v>666666.667</v>
      </c>
      <c r="F3" s="0" t="n">
        <v>3087.2475</v>
      </c>
      <c r="G3" s="0" t="n">
        <v>1</v>
      </c>
      <c r="H3" s="0" t="n">
        <v>3733.468</v>
      </c>
      <c r="I3" s="0" t="n">
        <v>337.802</v>
      </c>
      <c r="J3" s="0" t="n">
        <v>1575.293</v>
      </c>
      <c r="K3" s="0" t="n">
        <v>2041.111</v>
      </c>
      <c r="L3" s="0" t="n">
        <v>1540.438</v>
      </c>
      <c r="M3" s="0" t="n">
        <v>10095.529</v>
      </c>
      <c r="N3" s="0" t="n">
        <v>903.88</v>
      </c>
      <c r="O3" s="0" t="n">
        <v>84.604</v>
      </c>
      <c r="P3" s="0" t="n">
        <v>42.302</v>
      </c>
      <c r="Q3" s="0" t="n">
        <v>2130.465</v>
      </c>
      <c r="R3" s="0" t="n">
        <v>1376.97</v>
      </c>
      <c r="S3" s="0" t="n">
        <v>268.453</v>
      </c>
      <c r="T3" s="0" t="n">
        <v>4071.27</v>
      </c>
      <c r="U3" s="0" t="n">
        <v>2258.047</v>
      </c>
      <c r="V3" s="0" t="n">
        <v>113776.042</v>
      </c>
      <c r="W3" s="0" t="n">
        <v>257.62</v>
      </c>
      <c r="X3" s="0" t="n">
        <v>570.676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258324904.257508</v>
      </c>
      <c r="AB3" s="0" t="n">
        <f aca="false">C3*x_c_DAA</f>
        <v>158775876.68</v>
      </c>
      <c r="AC3" s="0" t="n">
        <f aca="false">C3*x_c_MON</f>
        <v>40218082.2430749</v>
      </c>
      <c r="AD3" s="0" t="n">
        <f aca="false">D3*(1-x_testy)</f>
        <v>83333333.333</v>
      </c>
      <c r="AE3" s="0" t="n">
        <f aca="false">E3*(1-x_testy)</f>
        <v>666666.667</v>
      </c>
      <c r="AF3" s="0" t="n">
        <f aca="false">F3*x_NAV</f>
        <v>6195901.84409246</v>
      </c>
      <c r="AG3" s="0" t="n">
        <f aca="false">G3*x_FIX*(1-x_testy)</f>
        <v>1223620.54528</v>
      </c>
      <c r="AH3" s="0" t="n">
        <f aca="false">x_z_F*U3+(1-x_AGRI)*x_EMP*x_WLOSS*(x_PEN_K74*Q3+x_PEN_C22*R3)</f>
        <v>35919629.6590114</v>
      </c>
      <c r="AI3" s="0" t="n">
        <f aca="false">x_AGRI*x_EMP*x_WLOSS*(x_PEN_K74*Q3+x_PEN_C22*R3)</f>
        <v>2067372.88505848</v>
      </c>
      <c r="AJ3" s="0" t="n">
        <f aca="false">x_EMP*x_WAGE*(x_WLOSS*(Q3+R3)+S3)+U3*x_ABS_D*x_WAGE/365</f>
        <v>191065583.491256</v>
      </c>
      <c r="AK3" s="0" t="n">
        <f aca="false">AJ3*x_R_FUS</f>
        <v>60453150.6166334</v>
      </c>
      <c r="AL3" s="0" t="n">
        <f aca="false">AJ3*x_R_NFZ</f>
        <v>14838344.2795144</v>
      </c>
      <c r="AM3" s="0" t="n">
        <f aca="false">AJ3*x_R_PIT</f>
        <v>12702837.4686422</v>
      </c>
      <c r="AN3" s="0" t="n">
        <f aca="false">AJ3*x_R_FP</f>
        <v>4872172.37902703</v>
      </c>
      <c r="AO3" s="0" t="n">
        <f aca="false">AA3+AB3+AC3+AD3+AF3</f>
        <v>546848098.357675</v>
      </c>
      <c r="AP3" s="0" t="n">
        <f aca="false">AO3+AE3+AG3+AH3+AI3+AK3+AL3+AM3+AN3</f>
        <v>679591892.857842</v>
      </c>
      <c r="AQ3" s="0" t="n">
        <f aca="false">AO3+AE3+AG3+AJ3</f>
        <v>739803969.061212</v>
      </c>
      <c r="AR3" s="0" t="n">
        <f aca="false">AB3+AC3+AD3+AF3</f>
        <v>288523194.100167</v>
      </c>
      <c r="AS3" s="0" t="n">
        <f aca="false">AR3+AE3+AG3</f>
        <v>290413481.312447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8920.16</v>
      </c>
      <c r="D4" s="0" t="n">
        <v>166666666.667</v>
      </c>
      <c r="E4" s="0" t="n">
        <v>1333333.333</v>
      </c>
      <c r="F4" s="0" t="n">
        <v>5886.4793</v>
      </c>
      <c r="G4" s="0" t="n">
        <v>1</v>
      </c>
      <c r="H4" s="0" t="n">
        <v>4471.292</v>
      </c>
      <c r="I4" s="0" t="n">
        <v>432.632</v>
      </c>
      <c r="J4" s="0" t="n">
        <v>1551.455</v>
      </c>
      <c r="K4" s="0" t="n">
        <v>2030.982</v>
      </c>
      <c r="L4" s="0" t="n">
        <v>1487.589</v>
      </c>
      <c r="M4" s="0" t="n">
        <v>18386.321</v>
      </c>
      <c r="N4" s="0" t="n">
        <v>1710.938</v>
      </c>
      <c r="O4" s="0" t="n">
        <v>83.127</v>
      </c>
      <c r="P4" s="0" t="n">
        <v>83.865</v>
      </c>
      <c r="Q4" s="0" t="n">
        <v>2125.011</v>
      </c>
      <c r="R4" s="0" t="n">
        <v>1382.925</v>
      </c>
      <c r="S4" s="0" t="n">
        <v>807.299</v>
      </c>
      <c r="T4" s="0" t="n">
        <v>4903.924</v>
      </c>
      <c r="U4" s="0" t="n">
        <v>2798.953</v>
      </c>
      <c r="V4" s="0" t="n">
        <v>115234.066</v>
      </c>
      <c r="W4" s="0" t="n">
        <v>264.392</v>
      </c>
      <c r="X4" s="0" t="n">
        <v>588.734</v>
      </c>
      <c r="Y4" s="0" t="n">
        <v>83.127</v>
      </c>
      <c r="Z4" s="0" t="n">
        <v>794.099</v>
      </c>
      <c r="AA4" s="0" t="n">
        <f aca="false">H4*x_c_F+I4*x_c_CC+J4*x_c_DC+K4*x_c_HCC+L4*x_c_PLT+M4*x_c_SVRn+N4*x_c_SVRcc+O4*x_c_LT+P4*x_c_LT1</f>
        <v>267033336.326923</v>
      </c>
      <c r="AB4" s="0" t="n">
        <f aca="false">C4*x_c_DAA</f>
        <v>203022841.6</v>
      </c>
      <c r="AC4" s="0" t="n">
        <f aca="false">C4*x_c_MON</f>
        <v>51425881.0055122</v>
      </c>
      <c r="AD4" s="0" t="n">
        <f aca="false">D4*(1-x_testy)</f>
        <v>166666666.667</v>
      </c>
      <c r="AE4" s="0" t="n">
        <f aca="false">E4*(1-x_testy)</f>
        <v>1333333.333</v>
      </c>
      <c r="AF4" s="0" t="n">
        <f aca="false">F4*x_NAV</f>
        <v>11813775.1994559</v>
      </c>
      <c r="AG4" s="0" t="n">
        <f aca="false">G4*x_FIX*(1-x_testy)</f>
        <v>1223620.54528</v>
      </c>
      <c r="AH4" s="0" t="n">
        <f aca="false">x_z_F*U4+(1-x_AGRI)*x_EMP*x_WLOSS*(x_PEN_K74*Q4+x_PEN_C22*R4)</f>
        <v>37042787.4332757</v>
      </c>
      <c r="AI4" s="0" t="n">
        <f aca="false">x_AGRI*x_EMP*x_WLOSS*(x_PEN_K74*Q4+x_PEN_C22*R4)</f>
        <v>2068107.81423267</v>
      </c>
      <c r="AJ4" s="0" t="n">
        <f aca="false">x_EMP*x_WAGE*(x_WLOSS*(Q4+R4)+S4)+U4*x_ABS_D*x_WAGE/365</f>
        <v>238619769.17964</v>
      </c>
      <c r="AK4" s="0" t="n">
        <f aca="false">AJ4*x_R_FUS</f>
        <v>75499294.9684382</v>
      </c>
      <c r="AL4" s="0" t="n">
        <f aca="false">AJ4*x_R_NFZ</f>
        <v>18531449.89426</v>
      </c>
      <c r="AM4" s="0" t="n">
        <f aca="false">AJ4*x_R_PIT</f>
        <v>15864438.2170094</v>
      </c>
      <c r="AN4" s="0" t="n">
        <f aca="false">AJ4*x_R_FP</f>
        <v>6084804.11408083</v>
      </c>
      <c r="AO4" s="0" t="n">
        <f aca="false">AA4+AB4+AC4+AD4+AF4</f>
        <v>699962500.798891</v>
      </c>
      <c r="AP4" s="0" t="n">
        <f aca="false">AO4+AE4+AG4+AH4+AI4+AK4+AL4+AM4+AN4</f>
        <v>857610337.118468</v>
      </c>
      <c r="AQ4" s="0" t="n">
        <f aca="false">AO4+AE4+AG4+AJ4</f>
        <v>941139223.856811</v>
      </c>
      <c r="AR4" s="0" t="n">
        <f aca="false">AB4+AC4+AD4+AF4</f>
        <v>432929164.471968</v>
      </c>
      <c r="AS4" s="0" t="n">
        <f aca="false">AR4+AE4+AG4</f>
        <v>435486118.350248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10496.534</v>
      </c>
      <c r="D5" s="0" t="n">
        <v>250000000</v>
      </c>
      <c r="E5" s="0" t="n">
        <v>2000000</v>
      </c>
      <c r="F5" s="0" t="n">
        <v>8156.276</v>
      </c>
      <c r="G5" s="0" t="n">
        <v>1</v>
      </c>
      <c r="H5" s="0" t="n">
        <v>4646.301</v>
      </c>
      <c r="I5" s="0" t="n">
        <v>479.579</v>
      </c>
      <c r="J5" s="0" t="n">
        <v>1537.019</v>
      </c>
      <c r="K5" s="0" t="n">
        <v>2037.644</v>
      </c>
      <c r="L5" s="0" t="n">
        <v>1470.332</v>
      </c>
      <c r="M5" s="0" t="n">
        <v>26816.29</v>
      </c>
      <c r="N5" s="0" t="n">
        <v>2591.559</v>
      </c>
      <c r="O5" s="0" t="n">
        <v>82.328</v>
      </c>
      <c r="P5" s="0" t="n">
        <v>82.727</v>
      </c>
      <c r="Q5" s="0" t="n">
        <v>2122.882</v>
      </c>
      <c r="R5" s="0" t="n">
        <v>1402.974</v>
      </c>
      <c r="S5" s="0" t="n">
        <v>1348.822</v>
      </c>
      <c r="T5" s="0" t="n">
        <v>5125.881</v>
      </c>
      <c r="U5" s="0" t="n">
        <v>3002.391</v>
      </c>
      <c r="V5" s="0" t="n">
        <v>116824.116</v>
      </c>
      <c r="W5" s="0" t="n">
        <v>269.642</v>
      </c>
      <c r="X5" s="0" t="n">
        <v>600.463</v>
      </c>
      <c r="Y5" s="0" t="n">
        <v>82.328</v>
      </c>
      <c r="Z5" s="0" t="n">
        <v>790.985</v>
      </c>
      <c r="AA5" s="0" t="n">
        <f aca="false">H5*x_c_F+I5*x_c_CC+J5*x_c_DC+K5*x_c_HCC+L5*x_c_PLT+M5*x_c_SVRn+N5*x_c_SVRcc+O5*x_c_LT+P5*x_c_LT1</f>
        <v>274662521.982043</v>
      </c>
      <c r="AB5" s="0" t="n">
        <f aca="false">C5*x_c_DAA</f>
        <v>238901113.84</v>
      </c>
      <c r="AC5" s="0" t="n">
        <f aca="false">C5*x_c_MON</f>
        <v>60513881.8647102</v>
      </c>
      <c r="AD5" s="0" t="n">
        <f aca="false">D5*(1-x_testy)</f>
        <v>250000000</v>
      </c>
      <c r="AE5" s="0" t="n">
        <f aca="false">E5*(1-x_testy)</f>
        <v>2000000</v>
      </c>
      <c r="AF5" s="0" t="n">
        <f aca="false">F5*x_NAV</f>
        <v>16369107.2741421</v>
      </c>
      <c r="AG5" s="0" t="n">
        <f aca="false">G5*x_FIX*(1-x_testy)</f>
        <v>1223620.54528</v>
      </c>
      <c r="AH5" s="0" t="n">
        <f aca="false">x_z_F*U5+(1-x_AGRI)*x_EMP*x_WLOSS*(x_PEN_K74*Q5+x_PEN_C22*R5)</f>
        <v>37635864.196071</v>
      </c>
      <c r="AI5" s="0" t="n">
        <f aca="false">x_AGRI*x_EMP*x_WLOSS*(x_PEN_K74*Q5+x_PEN_C22*R5)</f>
        <v>2079663.8873934</v>
      </c>
      <c r="AJ5" s="0" t="n">
        <f aca="false">x_EMP*x_WAGE*(x_WLOSS*(Q5+R5)+S5)+U5*x_ABS_D*x_WAGE/365</f>
        <v>286213211.0528</v>
      </c>
      <c r="AK5" s="0" t="n">
        <f aca="false">AJ5*x_R_FUS</f>
        <v>90557859.977106</v>
      </c>
      <c r="AL5" s="0" t="n">
        <f aca="false">AJ5*x_R_NFZ</f>
        <v>22227604.1835715</v>
      </c>
      <c r="AM5" s="0" t="n">
        <f aca="false">AJ5*x_R_PIT</f>
        <v>19028648.8803897</v>
      </c>
      <c r="AN5" s="0" t="n">
        <f aca="false">AJ5*x_R_FP</f>
        <v>7298436.8818464</v>
      </c>
      <c r="AO5" s="0" t="n">
        <f aca="false">AA5+AB5+AC5+AD5+AF5</f>
        <v>840446624.960896</v>
      </c>
      <c r="AP5" s="0" t="n">
        <f aca="false">AO5+AE5+AG5+AH5+AI5+AK5+AL5+AM5+AN5</f>
        <v>1022498323.51255</v>
      </c>
      <c r="AQ5" s="0" t="n">
        <f aca="false">AO5+AE5+AG5+AJ5</f>
        <v>1129883456.55898</v>
      </c>
      <c r="AR5" s="0" t="n">
        <f aca="false">AB5+AC5+AD5+AF5</f>
        <v>565784102.978852</v>
      </c>
      <c r="AS5" s="0" t="n">
        <f aca="false">AR5+AE5+AG5</f>
        <v>569007723.524132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9929.01</v>
      </c>
      <c r="D6" s="0" t="n">
        <v>250000000</v>
      </c>
      <c r="E6" s="0" t="n">
        <v>2000000</v>
      </c>
      <c r="F6" s="0" t="n">
        <v>7339.1073</v>
      </c>
      <c r="G6" s="0" t="n">
        <v>1</v>
      </c>
      <c r="H6" s="0" t="n">
        <v>4385.982</v>
      </c>
      <c r="I6" s="0" t="n">
        <v>482.802</v>
      </c>
      <c r="J6" s="0" t="n">
        <v>1529.67</v>
      </c>
      <c r="K6" s="0" t="n">
        <v>2052.27</v>
      </c>
      <c r="L6" s="0" t="n">
        <v>1452.01</v>
      </c>
      <c r="M6" s="0" t="n">
        <v>34529.48</v>
      </c>
      <c r="N6" s="0" t="n">
        <v>3453.087</v>
      </c>
      <c r="O6" s="0" t="n">
        <v>81.939</v>
      </c>
      <c r="P6" s="0" t="n">
        <v>82.133</v>
      </c>
      <c r="Q6" s="0" t="n">
        <v>2126.684</v>
      </c>
      <c r="R6" s="0" t="n">
        <v>1430.283</v>
      </c>
      <c r="S6" s="0" t="n">
        <v>1893.238</v>
      </c>
      <c r="T6" s="0" t="n">
        <v>4868.785</v>
      </c>
      <c r="U6" s="0" t="n">
        <v>2925.889</v>
      </c>
      <c r="V6" s="0" t="n">
        <v>118474.59</v>
      </c>
      <c r="W6" s="0" t="n">
        <v>275.151</v>
      </c>
      <c r="X6" s="0" t="n">
        <v>610.53</v>
      </c>
      <c r="Y6" s="0" t="n">
        <v>81.939</v>
      </c>
      <c r="Z6" s="0" t="n">
        <v>791.503</v>
      </c>
      <c r="AA6" s="0" t="n">
        <f aca="false">H6*x_c_F+I6*x_c_CC+J6*x_c_DC+K6*x_c_HCC+L6*x_c_PLT+M6*x_c_SVRn+N6*x_c_SVRcc+O6*x_c_LT+P6*x_c_LT1</f>
        <v>281036237.14582</v>
      </c>
      <c r="AB6" s="0" t="n">
        <f aca="false">C6*x_c_DAA</f>
        <v>225984267.6</v>
      </c>
      <c r="AC6" s="0" t="n">
        <f aca="false">C6*x_c_MON</f>
        <v>57242032.2911855</v>
      </c>
      <c r="AD6" s="0" t="n">
        <f aca="false">D6*(1-x_testy)</f>
        <v>250000000</v>
      </c>
      <c r="AE6" s="0" t="n">
        <f aca="false">E6*(1-x_testy)</f>
        <v>2000000</v>
      </c>
      <c r="AF6" s="0" t="n">
        <f aca="false">F6*x_NAV</f>
        <v>14729103.6608054</v>
      </c>
      <c r="AG6" s="0" t="n">
        <f aca="false">G6*x_FIX*(1-x_testy)</f>
        <v>1223620.54528</v>
      </c>
      <c r="AH6" s="0" t="n">
        <f aca="false">x_z_F*U6+(1-x_AGRI)*x_EMP*x_WLOSS*(x_PEN_K74*Q6+x_PEN_C22*R6)</f>
        <v>37773451.4030652</v>
      </c>
      <c r="AI6" s="0" t="n">
        <f aca="false">x_AGRI*x_EMP*x_WLOSS*(x_PEN_K74*Q6+x_PEN_C22*R6)</f>
        <v>2099153.98435316</v>
      </c>
      <c r="AJ6" s="0" t="n">
        <f aca="false">x_EMP*x_WAGE*(x_WLOSS*(Q6+R6)+S6)+U6*x_ABS_D*x_WAGE/365</f>
        <v>333838573.88333</v>
      </c>
      <c r="AK6" s="0" t="n">
        <f aca="false">AJ6*x_R_FUS</f>
        <v>105626524.776686</v>
      </c>
      <c r="AL6" s="0" t="n">
        <f aca="false">AJ6*x_R_NFZ</f>
        <v>25926237.4863533</v>
      </c>
      <c r="AM6" s="0" t="n">
        <f aca="false">AJ6*x_R_PIT</f>
        <v>22194981.7822491</v>
      </c>
      <c r="AN6" s="0" t="n">
        <f aca="false">AJ6*x_R_FP</f>
        <v>8512883.63402492</v>
      </c>
      <c r="AO6" s="0" t="n">
        <f aca="false">AA6+AB6+AC6+AD6+AF6</f>
        <v>828991640.697811</v>
      </c>
      <c r="AP6" s="0" t="n">
        <f aca="false">AO6+AE6+AG6+AH6+AI6+AK6+AL6+AM6+AN6</f>
        <v>1034348494.30982</v>
      </c>
      <c r="AQ6" s="0" t="n">
        <f aca="false">AO6+AE6+AG6+AJ6</f>
        <v>1166053835.12642</v>
      </c>
      <c r="AR6" s="0" t="n">
        <f aca="false">AB6+AC6+AD6+AF6</f>
        <v>547955403.551991</v>
      </c>
      <c r="AS6" s="0" t="n">
        <f aca="false">AR6+AE6+AG6</f>
        <v>551179024.097271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9473.274</v>
      </c>
      <c r="D7" s="0" t="n">
        <v>250000000</v>
      </c>
      <c r="E7" s="0" t="n">
        <v>2000000</v>
      </c>
      <c r="F7" s="0" t="n">
        <v>6682.8999</v>
      </c>
      <c r="G7" s="0" t="n">
        <v>1</v>
      </c>
      <c r="H7" s="0" t="n">
        <v>4172.325</v>
      </c>
      <c r="I7" s="0" t="n">
        <v>486.805</v>
      </c>
      <c r="J7" s="0" t="n">
        <v>1527.933</v>
      </c>
      <c r="K7" s="0" t="n">
        <v>2070.398</v>
      </c>
      <c r="L7" s="0" t="n">
        <v>1433.109</v>
      </c>
      <c r="M7" s="0" t="n">
        <v>41695.487</v>
      </c>
      <c r="N7" s="0" t="n">
        <v>4296.615</v>
      </c>
      <c r="O7" s="0" t="n">
        <v>81.871</v>
      </c>
      <c r="P7" s="0" t="n">
        <v>81.905</v>
      </c>
      <c r="Q7" s="0" t="n">
        <v>2135.399</v>
      </c>
      <c r="R7" s="0" t="n">
        <v>1461.192</v>
      </c>
      <c r="S7" s="0" t="n">
        <v>2442.736</v>
      </c>
      <c r="T7" s="0" t="n">
        <v>4659.13</v>
      </c>
      <c r="U7" s="0" t="n">
        <v>2868.547</v>
      </c>
      <c r="V7" s="0" t="n">
        <v>120170.989</v>
      </c>
      <c r="W7" s="0" t="n">
        <v>280.023</v>
      </c>
      <c r="X7" s="0" t="n">
        <v>617.983</v>
      </c>
      <c r="Y7" s="0" t="n">
        <v>81.871</v>
      </c>
      <c r="Z7" s="0" t="n">
        <v>794.257</v>
      </c>
      <c r="AA7" s="0" t="n">
        <f aca="false">H7*x_c_F+I7*x_c_CC+J7*x_c_DC+K7*x_c_HCC+L7*x_c_PLT+M7*x_c_SVRn+N7*x_c_SVRcc+O7*x_c_LT+P7*x_c_LT1</f>
        <v>287598446.719011</v>
      </c>
      <c r="AB7" s="0" t="n">
        <f aca="false">C7*x_c_DAA</f>
        <v>215611716.24</v>
      </c>
      <c r="AC7" s="0" t="n">
        <f aca="false">C7*x_c_MON</f>
        <v>54614655.0573771</v>
      </c>
      <c r="AD7" s="0" t="n">
        <f aca="false">D7*(1-x_testy)</f>
        <v>250000000</v>
      </c>
      <c r="AE7" s="0" t="n">
        <f aca="false">E7*(1-x_testy)</f>
        <v>2000000</v>
      </c>
      <c r="AF7" s="0" t="n">
        <f aca="false">F7*x_NAV</f>
        <v>13412138.7463413</v>
      </c>
      <c r="AG7" s="0" t="n">
        <f aca="false">G7*x_FIX*(1-x_testy)</f>
        <v>1223620.54528</v>
      </c>
      <c r="AH7" s="0" t="n">
        <f aca="false">x_z_F*U7+(1-x_AGRI)*x_EMP*x_WLOSS*(x_PEN_K74*Q7+x_PEN_C22*R7)</f>
        <v>38026641.4076489</v>
      </c>
      <c r="AI7" s="0" t="n">
        <f aca="false">x_AGRI*x_EMP*x_WLOSS*(x_PEN_K74*Q7+x_PEN_C22*R7)</f>
        <v>2123681.5545431</v>
      </c>
      <c r="AJ7" s="0" t="n">
        <f aca="false">x_EMP*x_WAGE*(x_WLOSS*(Q7+R7)+S7)+U7*x_ABS_D*x_WAGE/365</f>
        <v>382345599.718631</v>
      </c>
      <c r="AK7" s="0" t="n">
        <f aca="false">AJ7*x_R_FUS</f>
        <v>120974147.750975</v>
      </c>
      <c r="AL7" s="0" t="n">
        <f aca="false">AJ7*x_R_NFZ</f>
        <v>29693341.6197486</v>
      </c>
      <c r="AM7" s="0" t="n">
        <f aca="false">AJ7*x_R_PIT</f>
        <v>25419931.3205905</v>
      </c>
      <c r="AN7" s="0" t="n">
        <f aca="false">AJ7*x_R_FP</f>
        <v>9749812.79282508</v>
      </c>
      <c r="AO7" s="0" t="n">
        <f aca="false">AA7+AB7+AC7+AD7+AF7</f>
        <v>821236956.762729</v>
      </c>
      <c r="AP7" s="0" t="n">
        <f aca="false">AO7+AE7+AG7+AH7+AI7+AK7+AL7+AM7+AN7</f>
        <v>1050448133.75434</v>
      </c>
      <c r="AQ7" s="0" t="n">
        <f aca="false">AO7+AE7+AG7+AJ7</f>
        <v>1206806177.02664</v>
      </c>
      <c r="AR7" s="0" t="n">
        <f aca="false">AB7+AC7+AD7+AF7</f>
        <v>533638510.043718</v>
      </c>
      <c r="AS7" s="0" t="n">
        <f aca="false">AR7+AE7+AG7</f>
        <v>536862130.588998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9101.454</v>
      </c>
      <c r="D8" s="0" t="n">
        <v>250000000</v>
      </c>
      <c r="E8" s="0" t="n">
        <v>2000000</v>
      </c>
      <c r="F8" s="0" t="n">
        <v>6147.5225</v>
      </c>
      <c r="G8" s="0" t="n">
        <v>1</v>
      </c>
      <c r="H8" s="0" t="n">
        <v>3994.864</v>
      </c>
      <c r="I8" s="0" t="n">
        <v>490.331</v>
      </c>
      <c r="J8" s="0" t="n">
        <v>1529.842</v>
      </c>
      <c r="K8" s="0" t="n">
        <v>2088.071</v>
      </c>
      <c r="L8" s="0" t="n">
        <v>1413.962</v>
      </c>
      <c r="M8" s="0" t="n">
        <v>48427.471</v>
      </c>
      <c r="N8" s="0" t="n">
        <v>5120.717</v>
      </c>
      <c r="O8" s="0" t="n">
        <v>82.008</v>
      </c>
      <c r="P8" s="0" t="n">
        <v>81.94</v>
      </c>
      <c r="Q8" s="0" t="n">
        <v>2147.691</v>
      </c>
      <c r="R8" s="0" t="n">
        <v>1492.624</v>
      </c>
      <c r="S8" s="0" t="n">
        <v>2998.334</v>
      </c>
      <c r="T8" s="0" t="n">
        <v>4485.194</v>
      </c>
      <c r="U8" s="0" t="n">
        <v>2825.763</v>
      </c>
      <c r="V8" s="0" t="n">
        <v>121897.881</v>
      </c>
      <c r="W8" s="0" t="n">
        <v>283.655</v>
      </c>
      <c r="X8" s="0" t="n">
        <v>622.233</v>
      </c>
      <c r="Y8" s="0" t="n">
        <v>82.008</v>
      </c>
      <c r="Z8" s="0" t="n">
        <v>797.902</v>
      </c>
      <c r="AA8" s="0" t="n">
        <f aca="false">H8*x_c_F+I8*x_c_CC+J8*x_c_DC+K8*x_c_HCC+L8*x_c_PLT+M8*x_c_SVRn+N8*x_c_SVRcc+O8*x_c_LT+P8*x_c_LT1</f>
        <v>294058368.568518</v>
      </c>
      <c r="AB8" s="0" t="n">
        <f aca="false">C8*x_c_DAA</f>
        <v>207149093.04</v>
      </c>
      <c r="AC8" s="0" t="n">
        <f aca="false">C8*x_c_MON</f>
        <v>52471064.4630974</v>
      </c>
      <c r="AD8" s="0" t="n">
        <f aca="false">D8*(1-x_testy)</f>
        <v>250000000</v>
      </c>
      <c r="AE8" s="0" t="n">
        <f aca="false">E8*(1-x_testy)</f>
        <v>2000000</v>
      </c>
      <c r="AF8" s="0" t="n">
        <f aca="false">F8*x_NAV</f>
        <v>12337671.6620063</v>
      </c>
      <c r="AG8" s="0" t="n">
        <f aca="false">G8*x_FIX*(1-x_testy)</f>
        <v>1223620.54528</v>
      </c>
      <c r="AH8" s="0" t="n">
        <f aca="false">x_z_F*U8+(1-x_AGRI)*x_EMP*x_WLOSS*(x_PEN_K74*Q8+x_PEN_C22*R8)</f>
        <v>38345067.3824997</v>
      </c>
      <c r="AI8" s="0" t="n">
        <f aca="false">x_AGRI*x_EMP*x_WLOSS*(x_PEN_K74*Q8+x_PEN_C22*R8)</f>
        <v>2150542.81249783</v>
      </c>
      <c r="AJ8" s="0" t="n">
        <f aca="false">x_EMP*x_WAGE*(x_WLOSS*(Q8+R8)+S8)+U8*x_ABS_D*x_WAGE/365</f>
        <v>431604313.295206</v>
      </c>
      <c r="AK8" s="0" t="n">
        <f aca="false">AJ8*x_R_FUS</f>
        <v>136559604.726603</v>
      </c>
      <c r="AL8" s="0" t="n">
        <f aca="false">AJ8*x_R_NFZ</f>
        <v>33518822.574819</v>
      </c>
      <c r="AM8" s="0" t="n">
        <f aca="false">AJ8*x_R_PIT</f>
        <v>28694856.1974</v>
      </c>
      <c r="AN8" s="0" t="n">
        <f aca="false">AJ8*x_R_FP</f>
        <v>11005909.9890278</v>
      </c>
      <c r="AO8" s="0" t="n">
        <f aca="false">AA8+AB8+AC8+AD8+AF8</f>
        <v>816016197.733621</v>
      </c>
      <c r="AP8" s="0" t="n">
        <f aca="false">AO8+AE8+AG8+AH8+AI8+AK8+AL8+AM8+AN8</f>
        <v>1069514621.96175</v>
      </c>
      <c r="AQ8" s="0" t="n">
        <f aca="false">AO8+AE8+AG8+AJ8</f>
        <v>1250844131.57411</v>
      </c>
      <c r="AR8" s="0" t="n">
        <f aca="false">AB8+AC8+AD8+AF8</f>
        <v>521957829.165104</v>
      </c>
      <c r="AS8" s="0" t="n">
        <f aca="false">AR8+AE8+AG8</f>
        <v>525181449.710384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8793.066</v>
      </c>
      <c r="D9" s="0" t="n">
        <v>250000000</v>
      </c>
      <c r="E9" s="0" t="n">
        <v>2000000</v>
      </c>
      <c r="F9" s="0" t="n">
        <v>5703.4788</v>
      </c>
      <c r="G9" s="0" t="n">
        <v>1</v>
      </c>
      <c r="H9" s="0" t="n">
        <v>3845.844</v>
      </c>
      <c r="I9" s="0" t="n">
        <v>492.467</v>
      </c>
      <c r="J9" s="0" t="n">
        <v>1533.254</v>
      </c>
      <c r="K9" s="0" t="n">
        <v>2101.975</v>
      </c>
      <c r="L9" s="0" t="n">
        <v>1394.78</v>
      </c>
      <c r="M9" s="0" t="n">
        <v>54801.848</v>
      </c>
      <c r="N9" s="0" t="n">
        <v>5922.079</v>
      </c>
      <c r="O9" s="0" t="n">
        <v>82.227</v>
      </c>
      <c r="P9" s="0" t="n">
        <v>82.117</v>
      </c>
      <c r="Q9" s="0" t="n">
        <v>2162.061</v>
      </c>
      <c r="R9" s="0" t="n">
        <v>1522.086</v>
      </c>
      <c r="S9" s="0" t="n">
        <v>3559.974</v>
      </c>
      <c r="T9" s="0" t="n">
        <v>4338.311</v>
      </c>
      <c r="U9" s="0" t="n">
        <v>2793.915</v>
      </c>
      <c r="V9" s="0" t="n">
        <v>123639.417</v>
      </c>
      <c r="W9" s="0" t="n">
        <v>285.657</v>
      </c>
      <c r="X9" s="0" t="n">
        <v>622.939</v>
      </c>
      <c r="Y9" s="0" t="n">
        <v>82.227</v>
      </c>
      <c r="Z9" s="0" t="n">
        <v>801.193</v>
      </c>
      <c r="AA9" s="0" t="n">
        <f aca="false">H9*x_c_F+I9*x_c_CC+J9*x_c_DC+K9*x_c_HCC+L9*x_c_PLT+M9*x_c_SVRn+N9*x_c_SVRcc+O9*x_c_LT+P9*x_c_LT1</f>
        <v>300137530.873858</v>
      </c>
      <c r="AB9" s="0" t="n">
        <f aca="false">C9*x_c_DAA</f>
        <v>200130182.16</v>
      </c>
      <c r="AC9" s="0" t="n">
        <f aca="false">C9*x_c_MON</f>
        <v>50693167.587758</v>
      </c>
      <c r="AD9" s="0" t="n">
        <f aca="false">D9*(1-x_testy)</f>
        <v>250000000</v>
      </c>
      <c r="AE9" s="0" t="n">
        <f aca="false">E9*(1-x_testy)</f>
        <v>2000000</v>
      </c>
      <c r="AF9" s="0" t="n">
        <f aca="false">F9*x_NAV</f>
        <v>11446505.2816991</v>
      </c>
      <c r="AG9" s="0" t="n">
        <f aca="false">G9*x_FIX*(1-x_testy)</f>
        <v>1223620.54528</v>
      </c>
      <c r="AH9" s="0" t="n">
        <f aca="false">x_z_F*U9+(1-x_AGRI)*x_EMP*x_WLOSS*(x_PEN_K74*Q9+x_PEN_C22*R9)</f>
        <v>38684615.1513497</v>
      </c>
      <c r="AI9" s="0" t="n">
        <f aca="false">x_AGRI*x_EMP*x_WLOSS*(x_PEN_K74*Q9+x_PEN_C22*R9)</f>
        <v>2177314.08891835</v>
      </c>
      <c r="AJ9" s="0" t="n">
        <f aca="false">x_EMP*x_WAGE*(x_WLOSS*(Q9+R9)+S9)+U9*x_ABS_D*x_WAGE/365</f>
        <v>481415267.974876</v>
      </c>
      <c r="AK9" s="0" t="n">
        <f aca="false">AJ9*x_R_FUS</f>
        <v>152319790.787251</v>
      </c>
      <c r="AL9" s="0" t="n">
        <f aca="false">AJ9*x_R_NFZ</f>
        <v>37387191.1261969</v>
      </c>
      <c r="AM9" s="0" t="n">
        <f aca="false">AJ9*x_R_PIT</f>
        <v>32006496.367712</v>
      </c>
      <c r="AN9" s="0" t="n">
        <f aca="false">AJ9*x_R_FP</f>
        <v>12276089.3333593</v>
      </c>
      <c r="AO9" s="0" t="n">
        <f aca="false">AA9+AB9+AC9+AD9+AF9</f>
        <v>812407385.903315</v>
      </c>
      <c r="AP9" s="0" t="n">
        <f aca="false">AO9+AE9+AG9+AH9+AI9+AK9+AL9+AM9+AN9</f>
        <v>1090482503.30338</v>
      </c>
      <c r="AQ9" s="0" t="n">
        <f aca="false">AO9+AE9+AG9+AJ9</f>
        <v>1297046274.42347</v>
      </c>
      <c r="AR9" s="0" t="n">
        <f aca="false">AB9+AC9+AD9+AF9</f>
        <v>512269855.029457</v>
      </c>
      <c r="AS9" s="0" t="n">
        <f aca="false">AR9+AE9+AG9</f>
        <v>515493475.574737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8532.89</v>
      </c>
      <c r="D10" s="0" t="n">
        <v>250000000</v>
      </c>
      <c r="E10" s="0" t="n">
        <v>2000000</v>
      </c>
      <c r="F10" s="0" t="n">
        <v>5328.8547</v>
      </c>
      <c r="G10" s="0" t="n">
        <v>1</v>
      </c>
      <c r="H10" s="0" t="n">
        <v>3719.516</v>
      </c>
      <c r="I10" s="0" t="n">
        <v>492.574</v>
      </c>
      <c r="J10" s="0" t="n">
        <v>1536.104</v>
      </c>
      <c r="K10" s="0" t="n">
        <v>2109.526</v>
      </c>
      <c r="L10" s="0" t="n">
        <v>1375.658</v>
      </c>
      <c r="M10" s="0" t="n">
        <v>60870.718</v>
      </c>
      <c r="N10" s="0" t="n">
        <v>6696.135</v>
      </c>
      <c r="O10" s="0" t="n">
        <v>82.411</v>
      </c>
      <c r="P10" s="0" t="n">
        <v>82.319</v>
      </c>
      <c r="Q10" s="0" t="n">
        <v>2176.994</v>
      </c>
      <c r="R10" s="0" t="n">
        <v>1547.652</v>
      </c>
      <c r="S10" s="0" t="n">
        <v>4126.687</v>
      </c>
      <c r="T10" s="0" t="n">
        <v>4212.091</v>
      </c>
      <c r="U10" s="0" t="n">
        <v>2770.157</v>
      </c>
      <c r="V10" s="0" t="n">
        <v>125381.44</v>
      </c>
      <c r="W10" s="0" t="n">
        <v>285.823</v>
      </c>
      <c r="X10" s="0" t="n">
        <v>620.002</v>
      </c>
      <c r="Y10" s="0" t="n">
        <v>82.411</v>
      </c>
      <c r="Z10" s="0" t="n">
        <v>803.105</v>
      </c>
      <c r="AA10" s="0" t="n">
        <f aca="false">H10*x_c_F+I10*x_c_CC+J10*x_c_DC+K10*x_c_HCC+L10*x_c_PLT+M10*x_c_SVRn+N10*x_c_SVRcc+O10*x_c_LT+P10*x_c_LT1</f>
        <v>305592431.11603</v>
      </c>
      <c r="AB10" s="0" t="n">
        <f aca="false">C10*x_c_DAA</f>
        <v>194208576.4</v>
      </c>
      <c r="AC10" s="0" t="n">
        <f aca="false">C10*x_c_MON</f>
        <v>49193219.1544911</v>
      </c>
      <c r="AD10" s="0" t="n">
        <f aca="false">D10*(1-x_testy)</f>
        <v>250000000</v>
      </c>
      <c r="AE10" s="0" t="n">
        <f aca="false">E10*(1-x_testy)</f>
        <v>2000000</v>
      </c>
      <c r="AF10" s="0" t="n">
        <f aca="false">F10*x_NAV</f>
        <v>10694659.4539734</v>
      </c>
      <c r="AG10" s="0" t="n">
        <f aca="false">G10*x_FIX*(1-x_testy)</f>
        <v>1223620.54528</v>
      </c>
      <c r="AH10" s="0" t="n">
        <f aca="false">x_z_F*U10+(1-x_AGRI)*x_EMP*x_WLOSS*(x_PEN_K74*Q10+x_PEN_C22*R10)</f>
        <v>39008084.4715436</v>
      </c>
      <c r="AI10" s="0" t="n">
        <f aca="false">x_AGRI*x_EMP*x_WLOSS*(x_PEN_K74*Q10+x_PEN_C22*R10)</f>
        <v>2201923.26171295</v>
      </c>
      <c r="AJ10" s="0" t="n">
        <f aca="false">x_EMP*x_WAGE*(x_WLOSS*(Q10+R10)+S10)+U10*x_ABS_D*x_WAGE/365</f>
        <v>531529002.007174</v>
      </c>
      <c r="AK10" s="0" t="n">
        <f aca="false">AJ10*x_R_FUS</f>
        <v>168175776.23507</v>
      </c>
      <c r="AL10" s="0" t="n">
        <f aca="false">AJ10*x_R_NFZ</f>
        <v>41279073.8248791</v>
      </c>
      <c r="AM10" s="0" t="n">
        <f aca="false">AJ10*x_R_PIT</f>
        <v>35338266.5731408</v>
      </c>
      <c r="AN10" s="0" t="n">
        <f aca="false">AJ10*x_R_FP</f>
        <v>13553989.5511829</v>
      </c>
      <c r="AO10" s="0" t="n">
        <f aca="false">AA10+AB10+AC10+AD10+AF10</f>
        <v>809688886.124494</v>
      </c>
      <c r="AP10" s="0" t="n">
        <f aca="false">AO10+AE10+AG10+AH10+AI10+AK10+AL10+AM10+AN10</f>
        <v>1112469620.5873</v>
      </c>
      <c r="AQ10" s="0" t="n">
        <f aca="false">AO10+AE10+AG10+AJ10</f>
        <v>1344441508.67695</v>
      </c>
      <c r="AR10" s="0" t="n">
        <f aca="false">AB10+AC10+AD10+AF10</f>
        <v>504096455.008464</v>
      </c>
      <c r="AS10" s="0" t="n">
        <f aca="false">AR10+AE10+AG10</f>
        <v>507320075.553744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8309.828</v>
      </c>
      <c r="D11" s="0" t="n">
        <v>250000000</v>
      </c>
      <c r="E11" s="0" t="n">
        <v>2000000</v>
      </c>
      <c r="F11" s="0" t="n">
        <v>5007.6712</v>
      </c>
      <c r="G11" s="0" t="n">
        <v>1</v>
      </c>
      <c r="H11" s="0" t="n">
        <v>3611.594</v>
      </c>
      <c r="I11" s="0" t="n">
        <v>490.231</v>
      </c>
      <c r="J11" s="0" t="n">
        <v>1536.547</v>
      </c>
      <c r="K11" s="0" t="n">
        <v>2108.86</v>
      </c>
      <c r="L11" s="0" t="n">
        <v>1356.575</v>
      </c>
      <c r="M11" s="0" t="n">
        <v>66669.986</v>
      </c>
      <c r="N11" s="0" t="n">
        <v>7437.471</v>
      </c>
      <c r="O11" s="0" t="n">
        <v>82.456</v>
      </c>
      <c r="P11" s="0" t="n">
        <v>82.434</v>
      </c>
      <c r="Q11" s="0" t="n">
        <v>2191.057</v>
      </c>
      <c r="R11" s="0" t="n">
        <v>1567.921</v>
      </c>
      <c r="S11" s="0" t="n">
        <v>4696.724</v>
      </c>
      <c r="T11" s="0" t="n">
        <v>4101.825</v>
      </c>
      <c r="U11" s="0" t="n">
        <v>2752.262</v>
      </c>
      <c r="V11" s="0" t="n">
        <v>127111.76</v>
      </c>
      <c r="W11" s="0" t="n">
        <v>284.075</v>
      </c>
      <c r="X11" s="0" t="n">
        <v>613.467</v>
      </c>
      <c r="Y11" s="0" t="n">
        <v>82.456</v>
      </c>
      <c r="Z11" s="0" t="n">
        <v>802.795</v>
      </c>
      <c r="AA11" s="0" t="n">
        <f aca="false">H11*x_c_F+I11*x_c_CC+J11*x_c_DC+K11*x_c_HCC+L11*x_c_PLT+M11*x_c_SVRn+N11*x_c_SVRcc+O11*x_c_LT+P11*x_c_LT1</f>
        <v>310223090.113458</v>
      </c>
      <c r="AB11" s="0" t="n">
        <f aca="false">C11*x_c_DAA</f>
        <v>189131685.28</v>
      </c>
      <c r="AC11" s="0" t="n">
        <f aca="false">C11*x_c_MON</f>
        <v>47907237.7518199</v>
      </c>
      <c r="AD11" s="0" t="n">
        <f aca="false">D11*(1-x_testy)</f>
        <v>250000000</v>
      </c>
      <c r="AE11" s="0" t="n">
        <f aca="false">E11*(1-x_testy)</f>
        <v>2000000</v>
      </c>
      <c r="AF11" s="0" t="n">
        <f aca="false">F11*x_NAV</f>
        <v>10050065.3811166</v>
      </c>
      <c r="AG11" s="0" t="n">
        <f aca="false">G11*x_FIX*(1-x_testy)</f>
        <v>1223620.54528</v>
      </c>
      <c r="AH11" s="0" t="n">
        <f aca="false">x_z_F*U11+(1-x_AGRI)*x_EMP*x_WLOSS*(x_PEN_K74*Q11+x_PEN_C22*R11)</f>
        <v>39285291.7318113</v>
      </c>
      <c r="AI11" s="0" t="n">
        <f aca="false">x_AGRI*x_EMP*x_WLOSS*(x_PEN_K74*Q11+x_PEN_C22*R11)</f>
        <v>2222677.8788321</v>
      </c>
      <c r="AJ11" s="0" t="n">
        <f aca="false">x_EMP*x_WAGE*(x_WLOSS*(Q11+R11)+S11)+U11*x_ABS_D*x_WAGE/365</f>
        <v>581659325.720003</v>
      </c>
      <c r="AK11" s="0" t="n">
        <f aca="false">AJ11*x_R_FUS</f>
        <v>184037010.657809</v>
      </c>
      <c r="AL11" s="0" t="n">
        <f aca="false">AJ11*x_R_NFZ</f>
        <v>45172244.8947411</v>
      </c>
      <c r="AM11" s="0" t="n">
        <f aca="false">AJ11*x_R_PIT</f>
        <v>38671139.7297741</v>
      </c>
      <c r="AN11" s="0" t="n">
        <f aca="false">AJ11*x_R_FP</f>
        <v>14832312.8058601</v>
      </c>
      <c r="AO11" s="0" t="n">
        <f aca="false">AA11+AB11+AC11+AD11+AF11</f>
        <v>807312078.526395</v>
      </c>
      <c r="AP11" s="0" t="n">
        <f aca="false">AO11+AE11+AG11+AH11+AI11+AK11+AL11+AM11+AN11</f>
        <v>1134756376.7705</v>
      </c>
      <c r="AQ11" s="0" t="n">
        <f aca="false">AO11+AE11+AG11+AJ11</f>
        <v>1392195024.79168</v>
      </c>
      <c r="AR11" s="0" t="n">
        <f aca="false">AB11+AC11+AD11+AF11</f>
        <v>497088988.412936</v>
      </c>
      <c r="AS11" s="0" t="n">
        <f aca="false">AR11+AE11+AG11</f>
        <v>500312608.958216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8115.583</v>
      </c>
      <c r="D12" s="0" t="n">
        <v>250000000</v>
      </c>
      <c r="E12" s="0" t="n">
        <v>2000000</v>
      </c>
      <c r="F12" s="0" t="n">
        <v>4727.9806</v>
      </c>
      <c r="G12" s="0" t="n">
        <v>1</v>
      </c>
      <c r="H12" s="0" t="n">
        <v>2872.496</v>
      </c>
      <c r="I12" s="0" t="n">
        <v>395.574</v>
      </c>
      <c r="J12" s="0" t="n">
        <v>1533.054</v>
      </c>
      <c r="K12" s="0" t="n">
        <v>2098.791</v>
      </c>
      <c r="L12" s="0" t="n">
        <v>1337.417</v>
      </c>
      <c r="M12" s="0" t="n">
        <v>70900.182</v>
      </c>
      <c r="N12" s="0" t="n">
        <v>7956.461</v>
      </c>
      <c r="O12" s="0" t="n">
        <v>82.282</v>
      </c>
      <c r="P12" s="0" t="n">
        <v>82.369</v>
      </c>
      <c r="Q12" s="0" t="n">
        <v>2202.958</v>
      </c>
      <c r="R12" s="0" t="n">
        <v>1581.949</v>
      </c>
      <c r="S12" s="0" t="n">
        <v>5267.72</v>
      </c>
      <c r="T12" s="0" t="n">
        <v>3268.07</v>
      </c>
      <c r="U12" s="0" t="n">
        <v>2230.389</v>
      </c>
      <c r="V12" s="0" t="n">
        <v>128737.865</v>
      </c>
      <c r="W12" s="0" t="n">
        <v>280.452</v>
      </c>
      <c r="X12" s="0" t="n">
        <v>603.544</v>
      </c>
      <c r="Y12" s="0" t="n">
        <v>82.282</v>
      </c>
      <c r="Z12" s="0" t="n">
        <v>799.68</v>
      </c>
      <c r="AA12" s="0" t="n">
        <f aca="false">H12*x_c_F+I12*x_c_CC+J12*x_c_DC+K12*x_c_HCC+L12*x_c_PLT+M12*x_c_SVRn+N12*x_c_SVRcc+O12*x_c_LT+P12*x_c_LT1</f>
        <v>310167009.513995</v>
      </c>
      <c r="AB12" s="0" t="n">
        <f aca="false">C12*x_c_DAA</f>
        <v>184710669.08</v>
      </c>
      <c r="AC12" s="0" t="n">
        <f aca="false">C12*x_c_MON</f>
        <v>46787390.0970787</v>
      </c>
      <c r="AD12" s="0" t="n">
        <f aca="false">D12*(1-x_testy)</f>
        <v>250000000</v>
      </c>
      <c r="AE12" s="0" t="n">
        <f aca="false">E12*(1-x_testy)</f>
        <v>2000000</v>
      </c>
      <c r="AF12" s="0" t="n">
        <f aca="false">F12*x_NAV</f>
        <v>9488744.81828016</v>
      </c>
      <c r="AG12" s="0" t="n">
        <f aca="false">G12*x_FIX*(1-x_testy)</f>
        <v>1223620.54528</v>
      </c>
      <c r="AH12" s="0" t="n">
        <f aca="false">x_z_F*U12+(1-x_AGRI)*x_EMP*x_WLOSS*(x_PEN_K74*Q12+x_PEN_C22*R12)</f>
        <v>38448048.0645575</v>
      </c>
      <c r="AI12" s="0" t="n">
        <f aca="false">x_AGRI*x_EMP*x_WLOSS*(x_PEN_K74*Q12+x_PEN_C22*R12)</f>
        <v>2238254.93163052</v>
      </c>
      <c r="AJ12" s="0" t="n">
        <f aca="false">x_EMP*x_WAGE*(x_WLOSS*(Q12+R12)+S12)+U12*x_ABS_D*x_WAGE/365</f>
        <v>630004025.658039</v>
      </c>
      <c r="AK12" s="0" t="n">
        <f aca="false">AJ12*x_R_FUS</f>
        <v>199333273.718203</v>
      </c>
      <c r="AL12" s="0" t="n">
        <f aca="false">AJ12*x_R_NFZ</f>
        <v>48926742.6366289</v>
      </c>
      <c r="AM12" s="0" t="n">
        <f aca="false">AJ12*x_R_PIT</f>
        <v>41885297.1649422</v>
      </c>
      <c r="AN12" s="0" t="n">
        <f aca="false">AJ12*x_R_FP</f>
        <v>16065102.65428</v>
      </c>
      <c r="AO12" s="0" t="n">
        <f aca="false">AA12+AB12+AC12+AD12+AF12</f>
        <v>801153813.509354</v>
      </c>
      <c r="AP12" s="0" t="n">
        <f aca="false">AO12+AE12+AG12+AH12+AI12+AK12+AL12+AM12+AN12</f>
        <v>1151274153.22488</v>
      </c>
      <c r="AQ12" s="0" t="n">
        <f aca="false">AO12+AE12+AG12+AJ12</f>
        <v>1434381459.71267</v>
      </c>
      <c r="AR12" s="0" t="n">
        <f aca="false">AB12+AC12+AD12+AF12</f>
        <v>490986803.995359</v>
      </c>
      <c r="AS12" s="0" t="n">
        <f aca="false">AR12+AE12+AG12</f>
        <v>494210424.540639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2182.022</v>
      </c>
      <c r="I13" s="0" t="n">
        <v>303.255</v>
      </c>
      <c r="J13" s="0" t="n">
        <v>1527.487</v>
      </c>
      <c r="K13" s="0" t="n">
        <v>2084.448</v>
      </c>
      <c r="L13" s="0" t="n">
        <v>1317.973</v>
      </c>
      <c r="M13" s="0" t="n">
        <v>73671.128</v>
      </c>
      <c r="N13" s="0" t="n">
        <v>8262.411</v>
      </c>
      <c r="O13" s="0" t="n">
        <v>81.819</v>
      </c>
      <c r="P13" s="0" t="n">
        <v>82.05</v>
      </c>
      <c r="Q13" s="0" t="n">
        <v>2213.958</v>
      </c>
      <c r="R13" s="0" t="n">
        <v>1593.653</v>
      </c>
      <c r="S13" s="0" t="n">
        <v>5836.826</v>
      </c>
      <c r="T13" s="0" t="n">
        <v>2485.277</v>
      </c>
      <c r="U13" s="0" t="n">
        <v>1730.909</v>
      </c>
      <c r="V13" s="0" t="n">
        <v>130251.656</v>
      </c>
      <c r="W13" s="0" t="n">
        <v>281.165</v>
      </c>
      <c r="X13" s="0" t="n">
        <v>601.967</v>
      </c>
      <c r="Y13" s="0" t="n">
        <v>81.819</v>
      </c>
      <c r="Z13" s="0" t="n">
        <v>793.33</v>
      </c>
      <c r="AA13" s="0" t="n">
        <f aca="false">H13*x_c_F+I13*x_c_CC+J13*x_c_DC+K13*x_c_HCC+L13*x_c_PLT+M13*x_c_SVRn+N13*x_c_SVRcc+O13*x_c_LT+P13*x_c_LT1</f>
        <v>308363830.935951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37626861.0772303</v>
      </c>
      <c r="AI13" s="0" t="n">
        <f aca="false">x_AGRI*x_EMP*x_WLOSS*(x_PEN_K74*Q13+x_PEN_C22*R13)</f>
        <v>2251850.31836831</v>
      </c>
      <c r="AJ13" s="0" t="n">
        <f aca="false">x_EMP*x_WAGE*(x_WLOSS*(Q13+R13)+S13)+U13*x_ABS_D*x_WAGE/365</f>
        <v>678104823.468336</v>
      </c>
      <c r="AK13" s="0" t="n">
        <f aca="false">AJ13*x_R_FUS</f>
        <v>214552366.145382</v>
      </c>
      <c r="AL13" s="0" t="n">
        <f aca="false">AJ13*x_R_NFZ</f>
        <v>52662298.6953744</v>
      </c>
      <c r="AM13" s="0" t="n">
        <f aca="false">AJ13*x_R_PIT</f>
        <v>45083238.9686485</v>
      </c>
      <c r="AN13" s="0" t="n">
        <f aca="false">AJ13*x_R_FP</f>
        <v>17291672.9984426</v>
      </c>
      <c r="AO13" s="0" t="n">
        <f aca="false">AA13+AB13+AC13+AD13+AF13</f>
        <v>446197258.545975</v>
      </c>
      <c r="AP13" s="0" t="n">
        <f aca="false">AO13+AE13+AG13+AH13+AI13+AK13+AL13+AM13+AN13</f>
        <v>815665546.749421</v>
      </c>
      <c r="AQ13" s="0" t="n">
        <f aca="false">AO13+AE13+AG13+AJ13</f>
        <v>1124302082.01431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2180.47</v>
      </c>
      <c r="I14" s="0" t="n">
        <v>303.422</v>
      </c>
      <c r="J14" s="0" t="n">
        <v>1521.475</v>
      </c>
      <c r="K14" s="0" t="n">
        <v>2069.755</v>
      </c>
      <c r="L14" s="0" t="n">
        <v>1297.949</v>
      </c>
      <c r="M14" s="0" t="n">
        <v>76397.185</v>
      </c>
      <c r="N14" s="0" t="n">
        <v>8549.296</v>
      </c>
      <c r="O14" s="0" t="n">
        <v>81.38</v>
      </c>
      <c r="P14" s="0" t="n">
        <v>81.6</v>
      </c>
      <c r="Q14" s="0" t="n">
        <v>2225.311</v>
      </c>
      <c r="R14" s="0" t="n">
        <v>1606.174</v>
      </c>
      <c r="S14" s="0" t="n">
        <v>6402.258</v>
      </c>
      <c r="T14" s="0" t="n">
        <v>2483.892</v>
      </c>
      <c r="U14" s="0" t="n">
        <v>1759.471</v>
      </c>
      <c r="V14" s="0" t="n">
        <v>131726.406</v>
      </c>
      <c r="W14" s="0" t="n">
        <v>280.281</v>
      </c>
      <c r="X14" s="0" t="n">
        <v>597.641</v>
      </c>
      <c r="Y14" s="0" t="n">
        <v>81.38</v>
      </c>
      <c r="Z14" s="0" t="n">
        <v>787.237</v>
      </c>
      <c r="AA14" s="0" t="n">
        <f aca="false">H14*x_c_F+I14*x_c_CC+J14*x_c_DC+K14*x_c_HCC+L14*x_c_PLT+M14*x_c_SVRn+N14*x_c_SVRcc+O14*x_c_LT+P14*x_c_LT1</f>
        <v>308974702.053926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37902112.7676635</v>
      </c>
      <c r="AI14" s="0" t="n">
        <f aca="false">x_AGRI*x_EMP*x_WLOSS*(x_PEN_K74*Q14+x_PEN_C22*R14)</f>
        <v>2266162.64052359</v>
      </c>
      <c r="AJ14" s="0" t="n">
        <f aca="false">x_EMP*x_WAGE*(x_WLOSS*(Q14+R14)+S14)+U14*x_ABS_D*x_WAGE/365</f>
        <v>727497312.022355</v>
      </c>
      <c r="AK14" s="0" t="n">
        <f aca="false">AJ14*x_R_FUS</f>
        <v>230180149.523873</v>
      </c>
      <c r="AL14" s="0" t="n">
        <f aca="false">AJ14*x_R_NFZ</f>
        <v>56498168.7489681</v>
      </c>
      <c r="AM14" s="0" t="n">
        <f aca="false">AJ14*x_R_PIT</f>
        <v>48367057.7643144</v>
      </c>
      <c r="AN14" s="0" t="n">
        <f aca="false">AJ14*x_R_FP</f>
        <v>18551181.45657</v>
      </c>
      <c r="AO14" s="0" t="n">
        <f aca="false">AA14+AB14+AC14+AD14+AF14</f>
        <v>446808129.66395</v>
      </c>
      <c r="AP14" s="0" t="n">
        <f aca="false">AO14+AE14+AG14+AH14+AI14+AK14+AL14+AM14+AN14</f>
        <v>840572962.565863</v>
      </c>
      <c r="AQ14" s="0" t="n">
        <f aca="false">AO14+AE14+AG14+AJ14</f>
        <v>1174305441.68631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2180.551</v>
      </c>
      <c r="I15" s="0" t="n">
        <v>301.936</v>
      </c>
      <c r="J15" s="0" t="n">
        <v>1513.447</v>
      </c>
      <c r="K15" s="0" t="n">
        <v>2052.082</v>
      </c>
      <c r="L15" s="0" t="n">
        <v>1277.166</v>
      </c>
      <c r="M15" s="0" t="n">
        <v>79064.678</v>
      </c>
      <c r="N15" s="0" t="n">
        <v>8813.078</v>
      </c>
      <c r="O15" s="0" t="n">
        <v>80.86</v>
      </c>
      <c r="P15" s="0" t="n">
        <v>81.12</v>
      </c>
      <c r="Q15" s="0" t="n">
        <v>1454.49</v>
      </c>
      <c r="R15" s="0" t="n">
        <v>1061.416</v>
      </c>
      <c r="S15" s="0" t="n">
        <v>4428.352</v>
      </c>
      <c r="T15" s="0" t="n">
        <v>2482.487</v>
      </c>
      <c r="U15" s="0" t="n">
        <v>1530.158</v>
      </c>
      <c r="V15" s="0" t="n">
        <v>133155.539</v>
      </c>
      <c r="W15" s="0" t="n">
        <v>277.922</v>
      </c>
      <c r="X15" s="0" t="n">
        <v>590.822</v>
      </c>
      <c r="Y15" s="0" t="n">
        <v>80.86</v>
      </c>
      <c r="Z15" s="0" t="n">
        <v>780.379</v>
      </c>
      <c r="AA15" s="0" t="n">
        <f aca="false">H15*x_c_F+I15*x_c_CC+J15*x_c_DC+K15*x_c_HCC+L15*x_c_PLT+M15*x_c_SVRn+N15*x_c_SVRcc+O15*x_c_LT+P15*x_c_LT1</f>
        <v>309205199.967809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25666406.9287011</v>
      </c>
      <c r="AI15" s="0" t="n">
        <f aca="false">x_AGRI*x_EMP*x_WLOSS*(x_PEN_K74*Q15+x_PEN_C22*R15)</f>
        <v>1488567.27766857</v>
      </c>
      <c r="AJ15" s="0" t="n">
        <f aca="false">x_EMP*x_WAGE*(x_WLOSS*(Q15+R15)+S15)+U15*x_ABS_D*x_WAGE/365</f>
        <v>497934977.684628</v>
      </c>
      <c r="AK15" s="0" t="n">
        <f aca="false">AJ15*x_R_FUS</f>
        <v>157546626.939416</v>
      </c>
      <c r="AL15" s="0" t="n">
        <f aca="false">AJ15*x_R_NFZ</f>
        <v>38670128.3019659</v>
      </c>
      <c r="AM15" s="0" t="n">
        <f aca="false">AJ15*x_R_PIT</f>
        <v>33104795.6199252</v>
      </c>
      <c r="AN15" s="0" t="n">
        <f aca="false">AJ15*x_R_FP</f>
        <v>12697341.930958</v>
      </c>
      <c r="AO15" s="0" t="n">
        <f aca="false">AA15+AB15+AC15+AD15+AF15</f>
        <v>447038627.577834</v>
      </c>
      <c r="AP15" s="0" t="n">
        <f aca="false">AO15+AE15+AG15+AH15+AI15+AK15+AL15+AM15+AN15</f>
        <v>716212494.576469</v>
      </c>
      <c r="AQ15" s="0" t="n">
        <f aca="false">AO15+AE15+AG15+AJ15</f>
        <v>944973605.262462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2182.151</v>
      </c>
      <c r="I16" s="0" t="n">
        <v>298.924</v>
      </c>
      <c r="J16" s="0" t="n">
        <v>1502.255</v>
      </c>
      <c r="K16" s="0" t="n">
        <v>2029.849</v>
      </c>
      <c r="L16" s="0" t="n">
        <v>1255.522</v>
      </c>
      <c r="M16" s="0" t="n">
        <v>81666.486</v>
      </c>
      <c r="N16" s="0" t="n">
        <v>9049.955</v>
      </c>
      <c r="O16" s="0" t="n">
        <v>80.186</v>
      </c>
      <c r="P16" s="0" t="n">
        <v>80.523</v>
      </c>
      <c r="Q16" s="0" t="n">
        <v>684.071</v>
      </c>
      <c r="R16" s="0" t="n">
        <v>518.047</v>
      </c>
      <c r="S16" s="0" t="n">
        <v>2267.91</v>
      </c>
      <c r="T16" s="0" t="n">
        <v>2481.074</v>
      </c>
      <c r="U16" s="0" t="n">
        <v>1316.341</v>
      </c>
      <c r="V16" s="0" t="n">
        <v>134536.031</v>
      </c>
      <c r="W16" s="0" t="n">
        <v>274.239</v>
      </c>
      <c r="X16" s="0" t="n">
        <v>581.803</v>
      </c>
      <c r="Y16" s="0" t="n">
        <v>80.186</v>
      </c>
      <c r="Z16" s="0" t="n">
        <v>772.06</v>
      </c>
      <c r="AA16" s="0" t="n">
        <f aca="false">H16*x_c_F+I16*x_c_CC+J16*x_c_DC+K16*x_c_HCC+L16*x_c_PLT+M16*x_c_SVRn+N16*x_c_SVRcc+O16*x_c_LT+P16*x_c_LT1</f>
        <v>308888409.821797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13479322.4024581</v>
      </c>
      <c r="AI16" s="0" t="n">
        <f aca="false">x_AGRI*x_EMP*x_WLOSS*(x_PEN_K74*Q16+x_PEN_C22*R16)</f>
        <v>712079.940902356</v>
      </c>
      <c r="AJ16" s="0" t="n">
        <f aca="false">x_EMP*x_WAGE*(x_WLOSS*(Q16+R16)+S16)+U16*x_ABS_D*x_WAGE/365</f>
        <v>252596499.205222</v>
      </c>
      <c r="AK16" s="0" t="n">
        <f aca="false">AJ16*x_R_FUS</f>
        <v>79921532.3485321</v>
      </c>
      <c r="AL16" s="0" t="n">
        <f aca="false">AJ16*x_R_NFZ</f>
        <v>19616896.7247767</v>
      </c>
      <c r="AM16" s="0" t="n">
        <f aca="false">AJ16*x_R_PIT</f>
        <v>16793669.5658157</v>
      </c>
      <c r="AN16" s="0" t="n">
        <f aca="false">AJ16*x_R_FP</f>
        <v>6441210.72973315</v>
      </c>
      <c r="AO16" s="0" t="n">
        <f aca="false">AA16+AB16+AC16+AD16+AF16</f>
        <v>446721837.431821</v>
      </c>
      <c r="AP16" s="0" t="n">
        <f aca="false">AO16+AE16+AG16+AH16+AI16+AK16+AL16+AM16+AN16</f>
        <v>583686549.144039</v>
      </c>
      <c r="AQ16" s="0" t="n">
        <f aca="false">AO16+AE16+AG16+AJ16</f>
        <v>699318336.637043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2185.119</v>
      </c>
      <c r="I17" s="0" t="n">
        <v>294.549</v>
      </c>
      <c r="J17" s="0" t="n">
        <v>1487.183</v>
      </c>
      <c r="K17" s="0" t="n">
        <v>2002.32</v>
      </c>
      <c r="L17" s="0" t="n">
        <v>1232.886</v>
      </c>
      <c r="M17" s="0" t="n">
        <v>84199.788</v>
      </c>
      <c r="N17" s="0" t="n">
        <v>9256.776</v>
      </c>
      <c r="O17" s="0" t="n">
        <v>79.314</v>
      </c>
      <c r="P17" s="0" t="n">
        <v>79.75</v>
      </c>
      <c r="Q17" s="0" t="n">
        <v>696.597</v>
      </c>
      <c r="R17" s="0" t="n">
        <v>533.817</v>
      </c>
      <c r="S17" s="0" t="n">
        <v>2460.618</v>
      </c>
      <c r="T17" s="0" t="n">
        <v>2479.668</v>
      </c>
      <c r="U17" s="0" t="n">
        <v>1373.892</v>
      </c>
      <c r="V17" s="0" t="n">
        <v>135868.474</v>
      </c>
      <c r="W17" s="0" t="n">
        <v>269.416</v>
      </c>
      <c r="X17" s="0" t="n">
        <v>570.926</v>
      </c>
      <c r="Y17" s="0" t="n">
        <v>79.314</v>
      </c>
      <c r="Z17" s="0" t="n">
        <v>761.916</v>
      </c>
      <c r="AA17" s="0" t="n">
        <f aca="false">H17*x_c_F+I17*x_c_CC+J17*x_c_DC+K17*x_c_HCC+L17*x_c_PLT+M17*x_c_SVRn+N17*x_c_SVRcc+O17*x_c_LT+P17*x_c_LT1</f>
        <v>307933144.464763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13855352.5630708</v>
      </c>
      <c r="AI17" s="0" t="n">
        <f aca="false">x_AGRI*x_EMP*x_WLOSS*(x_PEN_K74*Q17+x_PEN_C22*R17)</f>
        <v>729114.21519096</v>
      </c>
      <c r="AJ17" s="0" t="n">
        <f aca="false">x_EMP*x_WAGE*(x_WLOSS*(Q17+R17)+S17)+U17*x_ABS_D*x_WAGE/365</f>
        <v>270499175.073731</v>
      </c>
      <c r="AK17" s="0" t="n">
        <f aca="false">AJ17*x_R_FUS</f>
        <v>85585938.9933285</v>
      </c>
      <c r="AL17" s="0" t="n">
        <f aca="false">AJ17*x_R_NFZ</f>
        <v>21007236.435401</v>
      </c>
      <c r="AM17" s="0" t="n">
        <f aca="false">AJ17*x_R_PIT</f>
        <v>17983914.1805496</v>
      </c>
      <c r="AN17" s="0" t="n">
        <f aca="false">AJ17*x_R_FP</f>
        <v>6897728.96438014</v>
      </c>
      <c r="AO17" s="0" t="n">
        <f aca="false">AA17+AB17+AC17+AD17+AF17</f>
        <v>445766572.074787</v>
      </c>
      <c r="AP17" s="0" t="n">
        <f aca="false">AO17+AE17+AG17+AH17+AI17+AK17+AL17+AM17+AN17</f>
        <v>591825857.426709</v>
      </c>
      <c r="AQ17" s="0" t="n">
        <f aca="false">AO17+AE17+AG17+AJ17</f>
        <v>716265747.148519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2189.276</v>
      </c>
      <c r="I18" s="0" t="n">
        <v>289.009</v>
      </c>
      <c r="J18" s="0" t="n">
        <v>1467.949</v>
      </c>
      <c r="K18" s="0" t="n">
        <v>1969.464</v>
      </c>
      <c r="L18" s="0" t="n">
        <v>1209.177</v>
      </c>
      <c r="M18" s="0" t="n">
        <v>86665.97</v>
      </c>
      <c r="N18" s="0" t="n">
        <v>9431.497</v>
      </c>
      <c r="O18" s="0" t="n">
        <v>78.229</v>
      </c>
      <c r="P18" s="0" t="n">
        <v>78.771</v>
      </c>
      <c r="Q18" s="0" t="n">
        <v>710.106</v>
      </c>
      <c r="R18" s="0" t="n">
        <v>550.838</v>
      </c>
      <c r="S18" s="0" t="n">
        <v>2658.045</v>
      </c>
      <c r="T18" s="0" t="n">
        <v>2478.284</v>
      </c>
      <c r="U18" s="0" t="n">
        <v>1428.891</v>
      </c>
      <c r="V18" s="0" t="n">
        <v>137158.038</v>
      </c>
      <c r="W18" s="0" t="n">
        <v>263.665</v>
      </c>
      <c r="X18" s="0" t="n">
        <v>558.578</v>
      </c>
      <c r="Y18" s="0" t="n">
        <v>78.229</v>
      </c>
      <c r="Z18" s="0" t="n">
        <v>749.866</v>
      </c>
      <c r="AA18" s="0" t="n">
        <f aca="false">H18*x_c_F+I18*x_c_CC+J18*x_c_DC+K18*x_c_HCC+L18*x_c_PLT+M18*x_c_SVRn+N18*x_c_SVRcc+O18*x_c_LT+P18*x_c_LT1</f>
        <v>306319011.865545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14246489.6245272</v>
      </c>
      <c r="AI18" s="0" t="n">
        <f aca="false">x_AGRI*x_EMP*x_WLOSS*(x_PEN_K74*Q18+x_PEN_C22*R18)</f>
        <v>747493.817576089</v>
      </c>
      <c r="AJ18" s="0" t="n">
        <f aca="false">x_EMP*x_WAGE*(x_WLOSS*(Q18+R18)+S18)+U18*x_ABS_D*x_WAGE/365</f>
        <v>288899591.990347</v>
      </c>
      <c r="AK18" s="0" t="n">
        <f aca="false">AJ18*x_R_FUS</f>
        <v>91407830.9057459</v>
      </c>
      <c r="AL18" s="0" t="n">
        <f aca="false">AJ18*x_R_NFZ</f>
        <v>22436231.2135624</v>
      </c>
      <c r="AM18" s="0" t="n">
        <f aca="false">AJ18*x_R_PIT</f>
        <v>19207250.6976557</v>
      </c>
      <c r="AN18" s="0" t="n">
        <f aca="false">AJ18*x_R_FP</f>
        <v>7366939.59575386</v>
      </c>
      <c r="AO18" s="0" t="n">
        <f aca="false">AA18+AB18+AC18+AD18+AF18</f>
        <v>444152439.47557</v>
      </c>
      <c r="AP18" s="0" t="n">
        <f aca="false">AO18+AE18+AG18+AH18+AI18+AK18+AL18+AM18+AN18</f>
        <v>599564675.330391</v>
      </c>
      <c r="AQ18" s="0" t="n">
        <f aca="false">AO18+AE18+AG18+AJ18</f>
        <v>733052031.465917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2194.419</v>
      </c>
      <c r="I19" s="0" t="n">
        <v>282.518</v>
      </c>
      <c r="J19" s="0" t="n">
        <v>1444.457</v>
      </c>
      <c r="K19" s="0" t="n">
        <v>1931.557</v>
      </c>
      <c r="L19" s="0" t="n">
        <v>1184.097</v>
      </c>
      <c r="M19" s="0" t="n">
        <v>89059.952</v>
      </c>
      <c r="N19" s="0" t="n">
        <v>9571.778</v>
      </c>
      <c r="O19" s="0" t="n">
        <v>76.915</v>
      </c>
      <c r="P19" s="0" t="n">
        <v>77.572</v>
      </c>
      <c r="Q19" s="0" t="n">
        <v>724.628</v>
      </c>
      <c r="R19" s="0" t="n">
        <v>569.113</v>
      </c>
      <c r="S19" s="0" t="n">
        <v>2860.481</v>
      </c>
      <c r="T19" s="0" t="n">
        <v>2476.937</v>
      </c>
      <c r="U19" s="0" t="n">
        <v>1481.171</v>
      </c>
      <c r="V19" s="0" t="n">
        <v>138404.295</v>
      </c>
      <c r="W19" s="0" t="n">
        <v>257.167</v>
      </c>
      <c r="X19" s="0" t="n">
        <v>545.07</v>
      </c>
      <c r="Y19" s="0" t="n">
        <v>76.915</v>
      </c>
      <c r="Z19" s="0" t="n">
        <v>735.82</v>
      </c>
      <c r="AA19" s="0" t="n">
        <f aca="false">H19*x_c_F+I19*x_c_CC+J19*x_c_DC+K19*x_c_HCC+L19*x_c_PLT+M19*x_c_SVRn+N19*x_c_SVRcc+O19*x_c_LT+P19*x_c_LT1</f>
        <v>304037048.165394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14652673.0312238</v>
      </c>
      <c r="AI19" s="0" t="n">
        <f aca="false">x_AGRI*x_EMP*x_WLOSS*(x_PEN_K74*Q19+x_PEN_C22*R19)</f>
        <v>767237.439056336</v>
      </c>
      <c r="AJ19" s="0" t="n">
        <f aca="false">x_EMP*x_WAGE*(x_WLOSS*(Q19+R19)+S19)+U19*x_ABS_D*x_WAGE/365</f>
        <v>307823504.862618</v>
      </c>
      <c r="AK19" s="0" t="n">
        <f aca="false">AJ19*x_R_FUS</f>
        <v>97395356.9385323</v>
      </c>
      <c r="AL19" s="0" t="n">
        <f aca="false">AJ19*x_R_NFZ</f>
        <v>23905881.2111358</v>
      </c>
      <c r="AM19" s="0" t="n">
        <f aca="false">AJ19*x_R_PIT</f>
        <v>20465391.4108846</v>
      </c>
      <c r="AN19" s="0" t="n">
        <f aca="false">AJ19*x_R_FP</f>
        <v>7849499.37399676</v>
      </c>
      <c r="AO19" s="0" t="n">
        <f aca="false">AA19+AB19+AC19+AD19+AF19</f>
        <v>441870475.775419</v>
      </c>
      <c r="AP19" s="0" t="n">
        <f aca="false">AO19+AE19+AG19+AH19+AI19+AK19+AL19+AM19+AN19</f>
        <v>606906515.180248</v>
      </c>
      <c r="AQ19" s="0" t="n">
        <f aca="false">AO19+AE19+AG19+AJ19</f>
        <v>749693980.638037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2200.298</v>
      </c>
      <c r="I20" s="0" t="n">
        <v>275.356</v>
      </c>
      <c r="J20" s="0" t="n">
        <v>1417.494</v>
      </c>
      <c r="K20" s="0" t="n">
        <v>1889.928</v>
      </c>
      <c r="L20" s="0" t="n">
        <v>1158.211</v>
      </c>
      <c r="M20" s="0" t="n">
        <v>91408.16</v>
      </c>
      <c r="N20" s="0" t="n">
        <v>9681</v>
      </c>
      <c r="O20" s="0" t="n">
        <v>75.461</v>
      </c>
      <c r="P20" s="0" t="n">
        <v>76.188</v>
      </c>
      <c r="Q20" s="0" t="n">
        <v>740.202</v>
      </c>
      <c r="R20" s="0" t="n">
        <v>588.649</v>
      </c>
      <c r="S20" s="0" t="n">
        <v>3068.184</v>
      </c>
      <c r="T20" s="0" t="n">
        <v>2475.654</v>
      </c>
      <c r="U20" s="0" t="n">
        <v>1530.448</v>
      </c>
      <c r="V20" s="0" t="n">
        <v>139640.275</v>
      </c>
      <c r="W20" s="0" t="n">
        <v>250.304</v>
      </c>
      <c r="X20" s="0" t="n">
        <v>531.139</v>
      </c>
      <c r="Y20" s="0" t="n">
        <v>75.461</v>
      </c>
      <c r="Z20" s="0" t="n">
        <v>720.668</v>
      </c>
      <c r="AA20" s="0" t="n">
        <f aca="false">H20*x_c_F+I20*x_c_CC+J20*x_c_DC+K20*x_c_HCC+L20*x_c_PLT+M20*x_c_SVRn+N20*x_c_SVRcc+O20*x_c_LT+P20*x_c_LT1</f>
        <v>301261394.641946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15073716.3413662</v>
      </c>
      <c r="AI20" s="0" t="n">
        <f aca="false">x_AGRI*x_EMP*x_WLOSS*(x_PEN_K74*Q20+x_PEN_C22*R20)</f>
        <v>788371.348909107</v>
      </c>
      <c r="AJ20" s="0" t="n">
        <f aca="false">x_EMP*x_WAGE*(x_WLOSS*(Q20+R20)+S20)+U20*x_ABS_D*x_WAGE/365</f>
        <v>327294195.341415</v>
      </c>
      <c r="AK20" s="0" t="n">
        <f aca="false">AJ20*x_R_FUS</f>
        <v>103555883.406024</v>
      </c>
      <c r="AL20" s="0" t="n">
        <f aca="false">AJ20*x_R_NFZ</f>
        <v>25417994.5044096</v>
      </c>
      <c r="AM20" s="0" t="n">
        <f aca="false">AJ20*x_R_PIT</f>
        <v>21759884.1815605</v>
      </c>
      <c r="AN20" s="0" t="n">
        <f aca="false">AJ20*x_R_FP</f>
        <v>8346001.98120608</v>
      </c>
      <c r="AO20" s="0" t="n">
        <f aca="false">AA20+AB20+AC20+AD20+AF20</f>
        <v>439094822.25197</v>
      </c>
      <c r="AP20" s="0" t="n">
        <f aca="false">AO20+AE20+AG20+AH20+AI20+AK20+AL20+AM20+AN20</f>
        <v>614036674.015446</v>
      </c>
      <c r="AQ20" s="0" t="n">
        <f aca="false">AO20+AE20+AG20+AJ20</f>
        <v>766389017.593385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2206.653</v>
      </c>
      <c r="I21" s="0" t="n">
        <v>267.804</v>
      </c>
      <c r="J21" s="0" t="n">
        <v>1387.981</v>
      </c>
      <c r="K21" s="0" t="n">
        <v>1846.021</v>
      </c>
      <c r="L21" s="0" t="n">
        <v>1132.031</v>
      </c>
      <c r="M21" s="0" t="n">
        <v>93735.095</v>
      </c>
      <c r="N21" s="0" t="n">
        <v>9763.106</v>
      </c>
      <c r="O21" s="0" t="n">
        <v>73.867</v>
      </c>
      <c r="P21" s="0" t="n">
        <v>74.664</v>
      </c>
      <c r="Q21" s="0" t="n">
        <v>756.879</v>
      </c>
      <c r="R21" s="0" t="n">
        <v>609.448</v>
      </c>
      <c r="S21" s="0" t="n">
        <v>3281.451</v>
      </c>
      <c r="T21" s="0" t="n">
        <v>2474.457</v>
      </c>
      <c r="U21" s="0" t="n">
        <v>1576.473</v>
      </c>
      <c r="V21" s="0" t="n">
        <v>140896.169</v>
      </c>
      <c r="W21" s="0" t="n">
        <v>243.241</v>
      </c>
      <c r="X21" s="0" t="n">
        <v>517.048</v>
      </c>
      <c r="Y21" s="0" t="n">
        <v>73.867</v>
      </c>
      <c r="Z21" s="0" t="n">
        <v>704.461</v>
      </c>
      <c r="AA21" s="0" t="n">
        <f aca="false">H21*x_c_F+I21*x_c_CC+J21*x_c_DC+K21*x_c_HCC+L21*x_c_PLT+M21*x_c_SVRn+N21*x_c_SVRcc+O21*x_c_LT+P21*x_c_LT1</f>
        <v>298144459.62964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15509558.5417081</v>
      </c>
      <c r="AI21" s="0" t="n">
        <f aca="false">x_AGRI*x_EMP*x_WLOSS*(x_PEN_K74*Q21+x_PEN_C22*R21)</f>
        <v>810925.350852773</v>
      </c>
      <c r="AJ21" s="0" t="n">
        <f aca="false">x_EMP*x_WAGE*(x_WLOSS*(Q21+R21)+S21)+U21*x_ABS_D*x_WAGE/365</f>
        <v>347338695.448415</v>
      </c>
      <c r="AK21" s="0" t="n">
        <f aca="false">AJ21*x_R_FUS</f>
        <v>109897963.239878</v>
      </c>
      <c r="AL21" s="0" t="n">
        <f aca="false">AJ21*x_R_NFZ</f>
        <v>26974670.4272193</v>
      </c>
      <c r="AM21" s="0" t="n">
        <f aca="false">AJ21*x_R_PIT</f>
        <v>23092526.2113118</v>
      </c>
      <c r="AN21" s="0" t="n">
        <f aca="false">AJ21*x_R_FP</f>
        <v>8857136.73393457</v>
      </c>
      <c r="AO21" s="0" t="n">
        <f aca="false">AA21+AB21+AC21+AD21+AF21</f>
        <v>435977887.239664</v>
      </c>
      <c r="AP21" s="0" t="n">
        <f aca="false">AO21+AE21+AG21+AH21+AI21+AK21+AL21+AM21+AN21</f>
        <v>621120667.744569</v>
      </c>
      <c r="AQ21" s="0" t="n">
        <f aca="false">AO21+AE21+AG21+AJ21</f>
        <v>783316582.688079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2213.251</v>
      </c>
      <c r="I22" s="0" t="n">
        <v>260.109</v>
      </c>
      <c r="J22" s="0" t="n">
        <v>1356.471</v>
      </c>
      <c r="K22" s="0" t="n">
        <v>1800.779</v>
      </c>
      <c r="L22" s="0" t="n">
        <v>1105.401</v>
      </c>
      <c r="M22" s="0" t="n">
        <v>96040.814</v>
      </c>
      <c r="N22" s="0" t="n">
        <v>9819.059</v>
      </c>
      <c r="O22" s="0" t="n">
        <v>72.183</v>
      </c>
      <c r="P22" s="0" t="n">
        <v>73.025</v>
      </c>
      <c r="Q22" s="0" t="n">
        <v>774.705</v>
      </c>
      <c r="R22" s="0" t="n">
        <v>631.492</v>
      </c>
      <c r="S22" s="0" t="n">
        <v>3500.549</v>
      </c>
      <c r="T22" s="0" t="n">
        <v>2473.36</v>
      </c>
      <c r="U22" s="0" t="n">
        <v>1619.123</v>
      </c>
      <c r="V22" s="0" t="n">
        <v>142175.46</v>
      </c>
      <c r="W22" s="0" t="n">
        <v>236.217</v>
      </c>
      <c r="X22" s="0" t="n">
        <v>503.223</v>
      </c>
      <c r="Y22" s="0" t="n">
        <v>72.183</v>
      </c>
      <c r="Z22" s="0" t="n">
        <v>687.683</v>
      </c>
      <c r="AA22" s="0" t="n">
        <f aca="false">H22*x_c_F+I22*x_c_CC+J22*x_c_DC+K22*x_c_HCC+L22*x_c_PLT+M22*x_c_SVRn+N22*x_c_SVRcc+O22*x_c_LT+P22*x_c_LT1</f>
        <v>294772218.799892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15960162.9595223</v>
      </c>
      <c r="AI22" s="0" t="n">
        <f aca="false">x_AGRI*x_EMP*x_WLOSS*(x_PEN_K74*Q22+x_PEN_C22*R22)</f>
        <v>834913.735344079</v>
      </c>
      <c r="AJ22" s="0" t="n">
        <f aca="false">x_EMP*x_WAGE*(x_WLOSS*(Q22+R22)+S22)+U22*x_ABS_D*x_WAGE/365</f>
        <v>367980698.055204</v>
      </c>
      <c r="AK22" s="0" t="n">
        <f aca="false">AJ22*x_R_FUS</f>
        <v>116429092.864667</v>
      </c>
      <c r="AL22" s="0" t="n">
        <f aca="false">AJ22*x_R_NFZ</f>
        <v>28577748.9916652</v>
      </c>
      <c r="AM22" s="0" t="n">
        <f aca="false">AJ22*x_R_PIT</f>
        <v>24464892.7011319</v>
      </c>
      <c r="AN22" s="0" t="n">
        <f aca="false">AJ22*x_R_FP</f>
        <v>9383507.80040771</v>
      </c>
      <c r="AO22" s="0" t="n">
        <f aca="false">AA22+AB22+AC22+AD22+AF22</f>
        <v>432605646.409917</v>
      </c>
      <c r="AP22" s="0" t="n">
        <f aca="false">AO22+AE22+AG22+AH22+AI22+AK22+AL22+AM22+AN22</f>
        <v>628255965.462655</v>
      </c>
      <c r="AQ22" s="0" t="n">
        <f aca="false">AO22+AE22+AG22+AJ22</f>
        <v>800586344.465121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2219.867</v>
      </c>
      <c r="I23" s="0" t="n">
        <v>252.508</v>
      </c>
      <c r="J23" s="0" t="n">
        <v>1323.865</v>
      </c>
      <c r="K23" s="0" t="n">
        <v>1755.467</v>
      </c>
      <c r="L23" s="0" t="n">
        <v>1078.627</v>
      </c>
      <c r="M23" s="0" t="n">
        <v>98340.294</v>
      </c>
      <c r="N23" s="0" t="n">
        <v>9852.74</v>
      </c>
      <c r="O23" s="0" t="n">
        <v>70.453</v>
      </c>
      <c r="P23" s="0" t="n">
        <v>71.318</v>
      </c>
      <c r="Q23" s="0" t="n">
        <v>793.703</v>
      </c>
      <c r="R23" s="0" t="n">
        <v>654.734</v>
      </c>
      <c r="S23" s="0" t="n">
        <v>3725.681</v>
      </c>
      <c r="T23" s="0" t="n">
        <v>2472.375</v>
      </c>
      <c r="U23" s="0" t="n">
        <v>1658.299</v>
      </c>
      <c r="V23" s="0" t="n">
        <v>143494.872</v>
      </c>
      <c r="W23" s="0" t="n">
        <v>229.412</v>
      </c>
      <c r="X23" s="0" t="n">
        <v>489.976</v>
      </c>
      <c r="Y23" s="0" t="n">
        <v>70.453</v>
      </c>
      <c r="Z23" s="0" t="n">
        <v>670.747</v>
      </c>
      <c r="AA23" s="0" t="n">
        <f aca="false">H23*x_c_F+I23*x_c_CC+J23*x_c_DC+K23*x_c_HCC+L23*x_c_PLT+M23*x_c_SVRn+N23*x_c_SVRcc+O23*x_c_LT+P23*x_c_LT1</f>
        <v>291287955.72942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16425068.6395339</v>
      </c>
      <c r="AI23" s="0" t="n">
        <f aca="false">x_AGRI*x_EMP*x_WLOSS*(x_PEN_K74*Q23+x_PEN_C22*R23)</f>
        <v>860319.487220759</v>
      </c>
      <c r="AJ23" s="0" t="n">
        <f aca="false">x_EMP*x_WAGE*(x_WLOSS*(Q23+R23)+S23)+U23*x_ABS_D*x_WAGE/365</f>
        <v>389236114.857368</v>
      </c>
      <c r="AK23" s="0" t="n">
        <f aca="false">AJ23*x_R_FUS</f>
        <v>123154306.740871</v>
      </c>
      <c r="AL23" s="0" t="n">
        <f aca="false">AJ23*x_R_NFZ</f>
        <v>30228465.9159381</v>
      </c>
      <c r="AM23" s="0" t="n">
        <f aca="false">AJ23*x_R_PIT</f>
        <v>25878041.5269564</v>
      </c>
      <c r="AN23" s="0" t="n">
        <f aca="false">AJ23*x_R_FP</f>
        <v>9925520.9288629</v>
      </c>
      <c r="AO23" s="0" t="n">
        <f aca="false">AA23+AB23+AC23+AD23+AF23</f>
        <v>429121383.339444</v>
      </c>
      <c r="AP23" s="0" t="n">
        <f aca="false">AO23+AE23+AG23+AH23+AI23+AK23+AL23+AM23+AN23</f>
        <v>635593106.578828</v>
      </c>
      <c r="AQ23" s="0" t="n">
        <f aca="false">AO23+AE23+AG23+AJ23</f>
        <v>818357498.196812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2226.317</v>
      </c>
      <c r="I24" s="0" t="n">
        <v>245.189</v>
      </c>
      <c r="J24" s="0" t="n">
        <v>1290.973</v>
      </c>
      <c r="K24" s="0" t="n">
        <v>1711.14</v>
      </c>
      <c r="L24" s="0" t="n">
        <v>1051.967</v>
      </c>
      <c r="M24" s="0" t="n">
        <v>100644.976</v>
      </c>
      <c r="N24" s="0" t="n">
        <v>9867.871</v>
      </c>
      <c r="O24" s="0" t="n">
        <v>68.719</v>
      </c>
      <c r="P24" s="0" t="n">
        <v>69.586</v>
      </c>
      <c r="Q24" s="0" t="n">
        <v>813.882</v>
      </c>
      <c r="R24" s="0" t="n">
        <v>679.098</v>
      </c>
      <c r="S24" s="0" t="n">
        <v>3957.014</v>
      </c>
      <c r="T24" s="0" t="n">
        <v>2471.506</v>
      </c>
      <c r="U24" s="0" t="n">
        <v>1694.011</v>
      </c>
      <c r="V24" s="0" t="n">
        <v>144864.963</v>
      </c>
      <c r="W24" s="0" t="n">
        <v>222.965</v>
      </c>
      <c r="X24" s="0" t="n">
        <v>477.54</v>
      </c>
      <c r="Y24" s="0" t="n">
        <v>68.719</v>
      </c>
      <c r="Z24" s="0" t="n">
        <v>654.035</v>
      </c>
      <c r="AA24" s="0" t="n">
        <f aca="false">H24*x_c_F+I24*x_c_CC+J24*x_c_DC+K24*x_c_HCC+L24*x_c_PLT+M24*x_c_SVRn+N24*x_c_SVRcc+O24*x_c_LT+P24*x_c_LT1</f>
        <v>287814958.23937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16903641.269791</v>
      </c>
      <c r="AI24" s="0" t="n">
        <f aca="false">x_AGRI*x_EMP*x_WLOSS*(x_PEN_K74*Q24+x_PEN_C22*R24)</f>
        <v>887099.320781338</v>
      </c>
      <c r="AJ24" s="0" t="n">
        <f aca="false">x_EMP*x_WAGE*(x_WLOSS*(Q24+R24)+S24)+U24*x_ABS_D*x_WAGE/365</f>
        <v>411116127.863407</v>
      </c>
      <c r="AK24" s="0" t="n">
        <f aca="false">AJ24*x_R_FUS</f>
        <v>130077142.855982</v>
      </c>
      <c r="AL24" s="0" t="n">
        <f aca="false">AJ24*x_R_NFZ</f>
        <v>31927689.606</v>
      </c>
      <c r="AM24" s="0" t="n">
        <f aca="false">AJ24*x_R_PIT</f>
        <v>27332716.1153822</v>
      </c>
      <c r="AN24" s="0" t="n">
        <f aca="false">AJ24*x_R_FP</f>
        <v>10483461.2605169</v>
      </c>
      <c r="AO24" s="0" t="n">
        <f aca="false">AA24+AB24+AC24+AD24+AF24</f>
        <v>425648385.849395</v>
      </c>
      <c r="AP24" s="0" t="n">
        <f aca="false">AO24+AE24+AG24+AH24+AI24+AK24+AL24+AM24+AN24</f>
        <v>643260136.277848</v>
      </c>
      <c r="AQ24" s="0" t="n">
        <f aca="false">AO24+AE24+AG24+AJ24</f>
        <v>836764513.712801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2232.457</v>
      </c>
      <c r="I25" s="0" t="n">
        <v>238.294</v>
      </c>
      <c r="J25" s="0" t="n">
        <v>1258.505</v>
      </c>
      <c r="K25" s="0" t="n">
        <v>1668.656</v>
      </c>
      <c r="L25" s="0" t="n">
        <v>1025.656</v>
      </c>
      <c r="M25" s="0" t="n">
        <v>102964.242</v>
      </c>
      <c r="N25" s="0" t="n">
        <v>9868.109</v>
      </c>
      <c r="O25" s="0" t="n">
        <v>67.016</v>
      </c>
      <c r="P25" s="0" t="n">
        <v>67.867</v>
      </c>
      <c r="Q25" s="0" t="n">
        <v>835.231</v>
      </c>
      <c r="R25" s="0" t="n">
        <v>704.483</v>
      </c>
      <c r="S25" s="0" t="n">
        <v>4194.672</v>
      </c>
      <c r="T25" s="0" t="n">
        <v>2470.751</v>
      </c>
      <c r="U25" s="0" t="n">
        <v>1726.343</v>
      </c>
      <c r="V25" s="0" t="n">
        <v>146292.665</v>
      </c>
      <c r="W25" s="0" t="n">
        <v>216.969</v>
      </c>
      <c r="X25" s="0" t="n">
        <v>466.066</v>
      </c>
      <c r="Y25" s="0" t="n">
        <v>67.016</v>
      </c>
      <c r="Z25" s="0" t="n">
        <v>637.858</v>
      </c>
      <c r="AA25" s="0" t="n">
        <f aca="false">H25*x_c_F+I25*x_c_CC+J25*x_c_DC+K25*x_c_HCC+L25*x_c_PLT+M25*x_c_SVRn+N25*x_c_SVRcc+O25*x_c_LT+P25*x_c_LT1</f>
        <v>284457381.776171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17394988.9180044</v>
      </c>
      <c r="AI25" s="0" t="n">
        <f aca="false">x_AGRI*x_EMP*x_WLOSS*(x_PEN_K74*Q25+x_PEN_C22*R25)</f>
        <v>915182.866264281</v>
      </c>
      <c r="AJ25" s="0" t="n">
        <f aca="false">x_EMP*x_WAGE*(x_WLOSS*(Q25+R25)+S25)+U25*x_ABS_D*x_WAGE/365</f>
        <v>433626397.648213</v>
      </c>
      <c r="AK25" s="0" t="n">
        <f aca="false">AJ25*x_R_FUS</f>
        <v>137199392.215894</v>
      </c>
      <c r="AL25" s="0" t="n">
        <f aca="false">AJ25*x_R_NFZ</f>
        <v>33675859.6677578</v>
      </c>
      <c r="AM25" s="0" t="n">
        <f aca="false">AJ25*x_R_PIT</f>
        <v>28829292.8050547</v>
      </c>
      <c r="AN25" s="0" t="n">
        <f aca="false">AJ25*x_R_FP</f>
        <v>11057473.1400294</v>
      </c>
      <c r="AO25" s="0" t="n">
        <f aca="false">AA25+AB25+AC25+AD25+AF25</f>
        <v>422290809.386196</v>
      </c>
      <c r="AP25" s="0" t="n">
        <f aca="false">AO25+AE25+AG25+AH25+AI25+AK25+AL25+AM25+AN25</f>
        <v>651362998.999201</v>
      </c>
      <c r="AQ25" s="0" t="n">
        <f aca="false">AO25+AE25+AG25+AJ25</f>
        <v>855917207.034408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2238.191</v>
      </c>
      <c r="I26" s="0" t="n">
        <v>231.912</v>
      </c>
      <c r="J26" s="0" t="n">
        <v>1227.005</v>
      </c>
      <c r="K26" s="0" t="n">
        <v>1628.599</v>
      </c>
      <c r="L26" s="0" t="n">
        <v>999.859</v>
      </c>
      <c r="M26" s="0" t="n">
        <v>105303.151</v>
      </c>
      <c r="N26" s="0" t="n">
        <v>9856.45</v>
      </c>
      <c r="O26" s="0" t="n">
        <v>65.368</v>
      </c>
      <c r="P26" s="0" t="n">
        <v>66.192</v>
      </c>
      <c r="Q26" s="0" t="n">
        <v>857.722</v>
      </c>
      <c r="R26" s="0" t="n">
        <v>730.768</v>
      </c>
      <c r="S26" s="0" t="n">
        <v>4438.745</v>
      </c>
      <c r="T26" s="0" t="n">
        <v>2470.103</v>
      </c>
      <c r="U26" s="0" t="n">
        <v>1755.468</v>
      </c>
      <c r="V26" s="0" t="n">
        <v>147778.975</v>
      </c>
      <c r="W26" s="0" t="n">
        <v>211.469</v>
      </c>
      <c r="X26" s="0" t="n">
        <v>455.608</v>
      </c>
      <c r="Y26" s="0" t="n">
        <v>65.368</v>
      </c>
      <c r="Z26" s="0" t="n">
        <v>622.417</v>
      </c>
      <c r="AA26" s="0" t="n">
        <f aca="false">H26*x_c_F+I26*x_c_CC+J26*x_c_DC+K26*x_c_HCC+L26*x_c_PLT+M26*x_c_SVRn+N26*x_c_SVRcc+O26*x_c_LT+P26*x_c_LT1</f>
        <v>281288221.979514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17898066.3569174</v>
      </c>
      <c r="AI26" s="0" t="n">
        <f aca="false">x_AGRI*x_EMP*x_WLOSS*(x_PEN_K74*Q26+x_PEN_C22*R26)</f>
        <v>944477.527206694</v>
      </c>
      <c r="AJ26" s="0" t="n">
        <f aca="false">x_EMP*x_WAGE*(x_WLOSS*(Q26+R26)+S26)+U26*x_ABS_D*x_WAGE/365</f>
        <v>456768243.219648</v>
      </c>
      <c r="AK26" s="0" t="n">
        <f aca="false">AJ26*x_R_FUS</f>
        <v>144521472.154697</v>
      </c>
      <c r="AL26" s="0" t="n">
        <f aca="false">AJ26*x_R_NFZ</f>
        <v>35473078.5366811</v>
      </c>
      <c r="AM26" s="0" t="n">
        <f aca="false">AJ26*x_R_PIT</f>
        <v>30367859.2891217</v>
      </c>
      <c r="AN26" s="0" t="n">
        <f aca="false">AJ26*x_R_FP</f>
        <v>11647590.202101</v>
      </c>
      <c r="AO26" s="0" t="n">
        <f aca="false">AA26+AB26+AC26+AD26+AF26</f>
        <v>419121649.589538</v>
      </c>
      <c r="AP26" s="0" t="n">
        <f aca="false">AO26+AE26+AG26+AH26+AI26+AK26+AL26+AM26+AN26</f>
        <v>659974193.656263</v>
      </c>
      <c r="AQ26" s="0" t="n">
        <f aca="false">AO26+AE26+AG26+AJ26</f>
        <v>875889892.809187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2243.465</v>
      </c>
      <c r="I27" s="0" t="n">
        <v>226.086</v>
      </c>
      <c r="J27" s="0" t="n">
        <v>1196.857</v>
      </c>
      <c r="K27" s="0" t="n">
        <v>1591.31</v>
      </c>
      <c r="L27" s="0" t="n">
        <v>974.682</v>
      </c>
      <c r="M27" s="0" t="n">
        <v>107663.275</v>
      </c>
      <c r="N27" s="0" t="n">
        <v>9835.274</v>
      </c>
      <c r="O27" s="0" t="n">
        <v>63.796</v>
      </c>
      <c r="P27" s="0" t="n">
        <v>64.582</v>
      </c>
      <c r="Q27" s="0" t="n">
        <v>881.292</v>
      </c>
      <c r="R27" s="0" t="n">
        <v>757.804</v>
      </c>
      <c r="S27" s="0" t="n">
        <v>4689.184</v>
      </c>
      <c r="T27" s="0" t="n">
        <v>2469.551</v>
      </c>
      <c r="U27" s="0" t="n">
        <v>1781.605</v>
      </c>
      <c r="V27" s="0" t="n">
        <v>149320.599</v>
      </c>
      <c r="W27" s="0" t="n">
        <v>206.475</v>
      </c>
      <c r="X27" s="0" t="n">
        <v>446.166</v>
      </c>
      <c r="Y27" s="0" t="n">
        <v>63.796</v>
      </c>
      <c r="Z27" s="0" t="n">
        <v>607.857</v>
      </c>
      <c r="AA27" s="0" t="n">
        <f aca="false">H27*x_c_F+I27*x_c_CC+J27*x_c_DC+K27*x_c_HCC+L27*x_c_PLT+M27*x_c_SVRn+N27*x_c_SVRcc+O27*x_c_LT+P27*x_c_LT1</f>
        <v>278354977.42553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18411357.3573224</v>
      </c>
      <c r="AI27" s="0" t="n">
        <f aca="false">x_AGRI*x_EMP*x_WLOSS*(x_PEN_K74*Q27+x_PEN_C22*R27)</f>
        <v>974853.323886692</v>
      </c>
      <c r="AJ27" s="0" t="n">
        <f aca="false">x_EMP*x_WAGE*(x_WLOSS*(Q27+R27)+S27)+U27*x_ABS_D*x_WAGE/365</f>
        <v>480528365.859848</v>
      </c>
      <c r="AK27" s="0" t="n">
        <f aca="false">AJ27*x_R_FUS</f>
        <v>152039174.958056</v>
      </c>
      <c r="AL27" s="0" t="n">
        <f aca="false">AJ27*x_R_NFZ</f>
        <v>37318313.4210417</v>
      </c>
      <c r="AM27" s="0" t="n">
        <f aca="false">AJ27*x_R_PIT</f>
        <v>31947531.4133129</v>
      </c>
      <c r="AN27" s="0" t="n">
        <f aca="false">AJ27*x_R_FP</f>
        <v>12253473.3294261</v>
      </c>
      <c r="AO27" s="0" t="n">
        <f aca="false">AA27+AB27+AC27+AD27+AF27</f>
        <v>416188405.035554</v>
      </c>
      <c r="AP27" s="0" t="n">
        <f aca="false">AO27+AE27+AG27+AH27+AI27+AK27+AL27+AM27+AN27</f>
        <v>669133108.8386</v>
      </c>
      <c r="AQ27" s="0" t="n">
        <f aca="false">AO27+AE27+AG27+AJ27</f>
        <v>896716770.895402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2248.261</v>
      </c>
      <c r="I28" s="0" t="n">
        <v>220.822</v>
      </c>
      <c r="J28" s="0" t="n">
        <v>1168.291</v>
      </c>
      <c r="K28" s="0" t="n">
        <v>1556.919</v>
      </c>
      <c r="L28" s="0" t="n">
        <v>950.17</v>
      </c>
      <c r="M28" s="0" t="n">
        <v>110042.732</v>
      </c>
      <c r="N28" s="0" t="n">
        <v>9806.244</v>
      </c>
      <c r="O28" s="0" t="n">
        <v>62.308</v>
      </c>
      <c r="P28" s="0" t="n">
        <v>63.052</v>
      </c>
      <c r="Q28" s="0" t="n">
        <v>905.855</v>
      </c>
      <c r="R28" s="0" t="n">
        <v>785.422</v>
      </c>
      <c r="S28" s="0" t="n">
        <v>4945.836</v>
      </c>
      <c r="T28" s="0" t="n">
        <v>2469.084</v>
      </c>
      <c r="U28" s="0" t="n">
        <v>1805.007</v>
      </c>
      <c r="V28" s="0" t="n">
        <v>150910.622</v>
      </c>
      <c r="W28" s="0" t="n">
        <v>201.966</v>
      </c>
      <c r="X28" s="0" t="n">
        <v>437.681</v>
      </c>
      <c r="Y28" s="0" t="n">
        <v>62.308</v>
      </c>
      <c r="Z28" s="0" t="n">
        <v>594.224</v>
      </c>
      <c r="AA28" s="0" t="n">
        <f aca="false">H28*x_c_F+I28*x_c_CC+J28*x_c_DC+K28*x_c_HCC+L28*x_c_PLT+M28*x_c_SVRn+N28*x_c_SVRcc+O28*x_c_LT+P28*x_c_LT1</f>
        <v>275678243.224301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18933028.5376009</v>
      </c>
      <c r="AI28" s="0" t="n">
        <f aca="false">x_AGRI*x_EMP*x_WLOSS*(x_PEN_K74*Q28+x_PEN_C22*R28)</f>
        <v>1006154.69316117</v>
      </c>
      <c r="AJ28" s="0" t="n">
        <f aca="false">x_EMP*x_WAGE*(x_WLOSS*(Q28+R28)+S28)+U28*x_ABS_D*x_WAGE/365</f>
        <v>504882719.148387</v>
      </c>
      <c r="AK28" s="0" t="n">
        <f aca="false">AJ28*x_R_FUS</f>
        <v>159744892.33855</v>
      </c>
      <c r="AL28" s="0" t="n">
        <f aca="false">AJ28*x_R_NFZ</f>
        <v>39209696.8517829</v>
      </c>
      <c r="AM28" s="0" t="n">
        <f aca="false">AJ28*x_R_PIT</f>
        <v>33566710.4712324</v>
      </c>
      <c r="AN28" s="0" t="n">
        <f aca="false">AJ28*x_R_FP</f>
        <v>12874509.3382839</v>
      </c>
      <c r="AO28" s="0" t="n">
        <f aca="false">AA28+AB28+AC28+AD28+AF28</f>
        <v>413511670.834326</v>
      </c>
      <c r="AP28" s="0" t="n">
        <f aca="false">AO28+AE28+AG28+AH28+AI28+AK28+AL28+AM28+AN28</f>
        <v>678846663.064937</v>
      </c>
      <c r="AQ28" s="0" t="n">
        <f aca="false">AO28+AE28+AG28+AJ28</f>
        <v>918394389.982713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2252.59</v>
      </c>
      <c r="I29" s="0" t="n">
        <v>216.095</v>
      </c>
      <c r="J29" s="0" t="n">
        <v>1141.398</v>
      </c>
      <c r="K29" s="0" t="n">
        <v>1525.368</v>
      </c>
      <c r="L29" s="0" t="n">
        <v>926.303</v>
      </c>
      <c r="M29" s="0" t="n">
        <v>112436.291</v>
      </c>
      <c r="N29" s="0" t="n">
        <v>9770.239</v>
      </c>
      <c r="O29" s="0" t="n">
        <v>60.907</v>
      </c>
      <c r="P29" s="0" t="n">
        <v>61.608</v>
      </c>
      <c r="Q29" s="0" t="n">
        <v>931.317</v>
      </c>
      <c r="R29" s="0" t="n">
        <v>813.453</v>
      </c>
      <c r="S29" s="0" t="n">
        <v>5208.555</v>
      </c>
      <c r="T29" s="0" t="n">
        <v>2468.686</v>
      </c>
      <c r="U29" s="0" t="n">
        <v>1825.944</v>
      </c>
      <c r="V29" s="0" t="n">
        <v>152538.929</v>
      </c>
      <c r="W29" s="0" t="n">
        <v>197.905</v>
      </c>
      <c r="X29" s="0" t="n">
        <v>430.063</v>
      </c>
      <c r="Y29" s="0" t="n">
        <v>60.907</v>
      </c>
      <c r="Z29" s="0" t="n">
        <v>581.519</v>
      </c>
      <c r="AA29" s="0" t="n">
        <f aca="false">H29*x_c_F+I29*x_c_CC+J29*x_c_DC+K29*x_c_HCC+L29*x_c_PLT+M29*x_c_SVRn+N29*x_c_SVRcc+O29*x_c_LT+P29*x_c_LT1</f>
        <v>273255793.646616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19461213.7542341</v>
      </c>
      <c r="AI29" s="0" t="n">
        <f aca="false">x_AGRI*x_EMP*x_WLOSS*(x_PEN_K74*Q29+x_PEN_C22*R29)</f>
        <v>1038221.59626052</v>
      </c>
      <c r="AJ29" s="0" t="n">
        <f aca="false">x_EMP*x_WAGE*(x_WLOSS*(Q29+R29)+S29)+U29*x_ABS_D*x_WAGE/365</f>
        <v>529807534.961687</v>
      </c>
      <c r="AK29" s="0" t="n">
        <f aca="false">AJ29*x_R_FUS</f>
        <v>167631104.061878</v>
      </c>
      <c r="AL29" s="0" t="n">
        <f aca="false">AJ29*x_R_NFZ</f>
        <v>41145382.9726596</v>
      </c>
      <c r="AM29" s="0" t="n">
        <f aca="false">AJ29*x_R_PIT</f>
        <v>35223816.2588201</v>
      </c>
      <c r="AN29" s="0" t="n">
        <f aca="false">AJ29*x_R_FP</f>
        <v>13510092.141523</v>
      </c>
      <c r="AO29" s="0" t="n">
        <f aca="false">AA29+AB29+AC29+AD29+AF29</f>
        <v>411089221.25664</v>
      </c>
      <c r="AP29" s="0" t="n">
        <f aca="false">AO29+AE29+AG29+AH29+AI29+AK29+AL29+AM29+AN29</f>
        <v>689099052.042015</v>
      </c>
      <c r="AQ29" s="0" t="n">
        <f aca="false">AO29+AE29+AG29+AJ29</f>
        <v>940896756.218327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2256.479</v>
      </c>
      <c r="I30" s="0" t="n">
        <v>211.866</v>
      </c>
      <c r="J30" s="0" t="n">
        <v>1116.155</v>
      </c>
      <c r="K30" s="0" t="n">
        <v>1496.468</v>
      </c>
      <c r="L30" s="0" t="n">
        <v>902.999</v>
      </c>
      <c r="M30" s="0" t="n">
        <v>114835.575</v>
      </c>
      <c r="N30" s="0" t="n">
        <v>9727.402</v>
      </c>
      <c r="O30" s="0" t="n">
        <v>59.591</v>
      </c>
      <c r="P30" s="0" t="n">
        <v>60.249</v>
      </c>
      <c r="Q30" s="0" t="n">
        <v>957.557</v>
      </c>
      <c r="R30" s="0" t="n">
        <v>841.714</v>
      </c>
      <c r="S30" s="0" t="n">
        <v>5477.043</v>
      </c>
      <c r="T30" s="0" t="n">
        <v>2468.345</v>
      </c>
      <c r="U30" s="0" t="n">
        <v>1844.68</v>
      </c>
      <c r="V30" s="0" t="n">
        <v>154192.947</v>
      </c>
      <c r="W30" s="0" t="n">
        <v>194.239</v>
      </c>
      <c r="X30" s="0" t="n">
        <v>423.196</v>
      </c>
      <c r="Y30" s="0" t="n">
        <v>59.591</v>
      </c>
      <c r="Z30" s="0" t="n">
        <v>569.671</v>
      </c>
      <c r="AA30" s="0" t="n">
        <f aca="false">H30*x_c_F+I30*x_c_CC+J30*x_c_DC+K30*x_c_HCC+L30*x_c_PLT+M30*x_c_SVRn+N30*x_c_SVRcc+O30*x_c_LT+P30*x_c_LT1</f>
        <v>271067117.705753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19993671.3342662</v>
      </c>
      <c r="AI30" s="0" t="n">
        <f aca="false">x_AGRI*x_EMP*x_WLOSS*(x_PEN_K74*Q30+x_PEN_C22*R30)</f>
        <v>1070869.9879792</v>
      </c>
      <c r="AJ30" s="0" t="n">
        <f aca="false">x_EMP*x_WAGE*(x_WLOSS*(Q30+R30)+S30)+U30*x_ABS_D*x_WAGE/365</f>
        <v>555264179.591036</v>
      </c>
      <c r="AK30" s="0" t="n">
        <f aca="false">AJ30*x_R_FUS</f>
        <v>175685586.422604</v>
      </c>
      <c r="AL30" s="0" t="n">
        <f aca="false">AJ30*x_R_NFZ</f>
        <v>43122371.4512194</v>
      </c>
      <c r="AM30" s="0" t="n">
        <f aca="false">AJ30*x_R_PIT</f>
        <v>36916280.2458699</v>
      </c>
      <c r="AN30" s="0" t="n">
        <f aca="false">AJ30*x_R_FP</f>
        <v>14159236.5795714</v>
      </c>
      <c r="AO30" s="0" t="n">
        <f aca="false">AA30+AB30+AC30+AD30+AF30</f>
        <v>408900545.315778</v>
      </c>
      <c r="AP30" s="0" t="n">
        <f aca="false">AO30+AE30+AG30+AH30+AI30+AK30+AL30+AM30+AN30</f>
        <v>699848561.337287</v>
      </c>
      <c r="AQ30" s="0" t="n">
        <f aca="false">AO30+AE30+AG30+AJ30</f>
        <v>964164724.906813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2259.964</v>
      </c>
      <c r="I31" s="0" t="n">
        <v>208.085</v>
      </c>
      <c r="J31" s="0" t="n">
        <v>1092.455</v>
      </c>
      <c r="K31" s="0" t="n">
        <v>1469.937</v>
      </c>
      <c r="L31" s="0" t="n">
        <v>880.118</v>
      </c>
      <c r="M31" s="0" t="n">
        <v>117229.181</v>
      </c>
      <c r="N31" s="0" t="n">
        <v>9677.173</v>
      </c>
      <c r="O31" s="0" t="n">
        <v>58.352</v>
      </c>
      <c r="P31" s="0" t="n">
        <v>58.971</v>
      </c>
      <c r="Q31" s="0" t="n">
        <v>984.439</v>
      </c>
      <c r="R31" s="0" t="n">
        <v>870.02</v>
      </c>
      <c r="S31" s="0" t="n">
        <v>5750.918</v>
      </c>
      <c r="T31" s="0" t="n">
        <v>2468.049</v>
      </c>
      <c r="U31" s="0" t="n">
        <v>1861.456</v>
      </c>
      <c r="V31" s="0" t="n">
        <v>155858.032</v>
      </c>
      <c r="W31" s="0" t="n">
        <v>190.916</v>
      </c>
      <c r="X31" s="0" t="n">
        <v>416.967</v>
      </c>
      <c r="Y31" s="0" t="n">
        <v>58.352</v>
      </c>
      <c r="Z31" s="0" t="n">
        <v>558.598</v>
      </c>
      <c r="AA31" s="0" t="n">
        <f aca="false">H31*x_c_F+I31*x_c_CC+J31*x_c_DC+K31*x_c_HCC+L31*x_c_PLT+M31*x_c_SVRn+N31*x_c_SVRcc+O31*x_c_LT+P31*x_c_LT1</f>
        <v>269076484.425048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20527966.1215732</v>
      </c>
      <c r="AI31" s="0" t="n">
        <f aca="false">x_AGRI*x_EMP*x_WLOSS*(x_PEN_K74*Q31+x_PEN_C22*R31)</f>
        <v>1103906.1597125</v>
      </c>
      <c r="AJ31" s="0" t="n">
        <f aca="false">x_EMP*x_WAGE*(x_WLOSS*(Q31+R31)+S31)+U31*x_ABS_D*x_WAGE/365</f>
        <v>581206006.906011</v>
      </c>
      <c r="AK31" s="0" t="n">
        <f aca="false">AJ31*x_R_FUS</f>
        <v>183893580.585062</v>
      </c>
      <c r="AL31" s="0" t="n">
        <f aca="false">AJ31*x_R_NFZ</f>
        <v>45137039.7023277</v>
      </c>
      <c r="AM31" s="0" t="n">
        <f aca="false">AJ31*x_R_PIT</f>
        <v>38641001.2029374</v>
      </c>
      <c r="AN31" s="0" t="n">
        <f aca="false">AJ31*x_R_FP</f>
        <v>14820753.1761033</v>
      </c>
      <c r="AO31" s="0" t="n">
        <f aca="false">AA31+AB31+AC31+AD31+AF31</f>
        <v>406909912.035073</v>
      </c>
      <c r="AP31" s="0" t="n">
        <f aca="false">AO31+AE31+AG31+AH31+AI31+AK31+AL31+AM31+AN31</f>
        <v>711034158.982788</v>
      </c>
      <c r="AQ31" s="0" t="n">
        <f aca="false">AO31+AE31+AG31+AJ31</f>
        <v>988115918.941083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2263.08</v>
      </c>
      <c r="I32" s="0" t="n">
        <v>204.708</v>
      </c>
      <c r="J32" s="0" t="n">
        <v>1070.162</v>
      </c>
      <c r="K32" s="0" t="n">
        <v>1445.475</v>
      </c>
      <c r="L32" s="0" t="n">
        <v>857.499</v>
      </c>
      <c r="M32" s="0" t="n">
        <v>119604.341</v>
      </c>
      <c r="N32" s="0" t="n">
        <v>9618.658</v>
      </c>
      <c r="O32" s="0" t="n">
        <v>57.184</v>
      </c>
      <c r="P32" s="0" t="n">
        <v>57.768</v>
      </c>
      <c r="Q32" s="0" t="n">
        <v>1011.819</v>
      </c>
      <c r="R32" s="0" t="n">
        <v>898.189</v>
      </c>
      <c r="S32" s="0" t="n">
        <v>6029.725</v>
      </c>
      <c r="T32" s="0" t="n">
        <v>2467.788</v>
      </c>
      <c r="U32" s="0" t="n">
        <v>1876.484</v>
      </c>
      <c r="V32" s="0" t="n">
        <v>157519.435</v>
      </c>
      <c r="W32" s="0" t="n">
        <v>187.886</v>
      </c>
      <c r="X32" s="0" t="n">
        <v>411.27</v>
      </c>
      <c r="Y32" s="0" t="n">
        <v>57.184</v>
      </c>
      <c r="Z32" s="0" t="n">
        <v>548.2</v>
      </c>
      <c r="AA32" s="0" t="n">
        <f aca="false">H32*x_c_F+I32*x_c_CC+J32*x_c_DC+K32*x_c_HCC+L32*x_c_PLT+M32*x_c_SVRn+N32*x_c_SVRcc+O32*x_c_LT+P32*x_c_LT1</f>
        <v>267244708.952602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21061564.4846556</v>
      </c>
      <c r="AI32" s="0" t="n">
        <f aca="false">x_AGRI*x_EMP*x_WLOSS*(x_PEN_K74*Q32+x_PEN_C22*R32)</f>
        <v>1137133.83462845</v>
      </c>
      <c r="AJ32" s="0" t="n">
        <f aca="false">x_EMP*x_WAGE*(x_WLOSS*(Q32+R32)+S32)+U32*x_ABS_D*x_WAGE/365</f>
        <v>607579831.288311</v>
      </c>
      <c r="AK32" s="0" t="n">
        <f aca="false">AJ32*x_R_FUS</f>
        <v>192238258.619622</v>
      </c>
      <c r="AL32" s="0" t="n">
        <f aca="false">AJ32*x_R_NFZ</f>
        <v>47185257.2776815</v>
      </c>
      <c r="AM32" s="0" t="n">
        <f aca="false">AJ32*x_R_PIT</f>
        <v>40394443.1281296</v>
      </c>
      <c r="AN32" s="0" t="n">
        <f aca="false">AJ32*x_R_FP</f>
        <v>15493285.6978519</v>
      </c>
      <c r="AO32" s="0" t="n">
        <f aca="false">AA32+AB32+AC32+AD32+AF32</f>
        <v>405078136.562626</v>
      </c>
      <c r="AP32" s="0" t="n">
        <f aca="false">AO32+AE32+AG32+AH32+AI32+AK32+AL32+AM32+AN32</f>
        <v>722588079.605195</v>
      </c>
      <c r="AQ32" s="0" t="n">
        <f aca="false">AO32+AE32+AG32+AJ32</f>
        <v>1012657967.85094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2265.862</v>
      </c>
      <c r="I33" s="0" t="n">
        <v>201.693</v>
      </c>
      <c r="J33" s="0" t="n">
        <v>1049.108</v>
      </c>
      <c r="K33" s="0" t="n">
        <v>1422.765</v>
      </c>
      <c r="L33" s="0" t="n">
        <v>834.936</v>
      </c>
      <c r="M33" s="0" t="n">
        <v>121945.843</v>
      </c>
      <c r="N33" s="0" t="n">
        <v>9550.455</v>
      </c>
      <c r="O33" s="0" t="n">
        <v>56.075</v>
      </c>
      <c r="P33" s="0" t="n">
        <v>56.63</v>
      </c>
      <c r="Q33" s="0" t="n">
        <v>1039.532</v>
      </c>
      <c r="R33" s="0" t="n">
        <v>926.04</v>
      </c>
      <c r="S33" s="0" t="n">
        <v>6312.829</v>
      </c>
      <c r="T33" s="0" t="n">
        <v>2467.556</v>
      </c>
      <c r="U33" s="0" t="n">
        <v>1889.946</v>
      </c>
      <c r="V33" s="0" t="n">
        <v>159160.99</v>
      </c>
      <c r="W33" s="0" t="n">
        <v>185.104</v>
      </c>
      <c r="X33" s="0" t="n">
        <v>406.006</v>
      </c>
      <c r="Y33" s="0" t="n">
        <v>56.075</v>
      </c>
      <c r="Z33" s="0" t="n">
        <v>538.359</v>
      </c>
      <c r="AA33" s="0" t="n">
        <f aca="false">H33*x_c_F+I33*x_c_CC+J33*x_c_DC+K33*x_c_HCC+L33*x_c_PLT+M33*x_c_SVRn+N33*x_c_SVRcc+O33*x_c_LT+P33*x_c_LT1</f>
        <v>265524404.599742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21591702.9908523</v>
      </c>
      <c r="AI33" s="0" t="n">
        <f aca="false">x_AGRI*x_EMP*x_WLOSS*(x_PEN_K74*Q33+x_PEN_C22*R33)</f>
        <v>1170345.62317535</v>
      </c>
      <c r="AJ33" s="0" t="n">
        <f aca="false">x_EMP*x_WAGE*(x_WLOSS*(Q33+R33)+S33)+U33*x_ABS_D*x_WAGE/365</f>
        <v>634316110.956145</v>
      </c>
      <c r="AK33" s="0" t="n">
        <f aca="false">AJ33*x_R_FUS</f>
        <v>200697617.506524</v>
      </c>
      <c r="AL33" s="0" t="n">
        <f aca="false">AJ33*x_R_NFZ</f>
        <v>49261623.4929652</v>
      </c>
      <c r="AM33" s="0" t="n">
        <f aca="false">AJ33*x_R_PIT</f>
        <v>42171982.5935363</v>
      </c>
      <c r="AN33" s="0" t="n">
        <f aca="false">AJ33*x_R_FP</f>
        <v>16175060.8293817</v>
      </c>
      <c r="AO33" s="0" t="n">
        <f aca="false">AA33+AB33+AC33+AD33+AF33</f>
        <v>403357832.209767</v>
      </c>
      <c r="AP33" s="0" t="n">
        <f aca="false">AO33+AE33+AG33+AH33+AI33+AK33+AL33+AM33+AN33</f>
        <v>734426165.246202</v>
      </c>
      <c r="AQ33" s="0" t="n">
        <f aca="false">AO33+AE33+AG33+AJ33</f>
        <v>1037673943.16591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2268.354</v>
      </c>
      <c r="I34" s="0" t="n">
        <v>198.988</v>
      </c>
      <c r="J34" s="0" t="n">
        <v>1027.971</v>
      </c>
      <c r="K34" s="0" t="n">
        <v>1400.223</v>
      </c>
      <c r="L34" s="0" t="n">
        <v>810.055</v>
      </c>
      <c r="M34" s="0" t="n">
        <v>124126.273</v>
      </c>
      <c r="N34" s="0" t="n">
        <v>9451.805</v>
      </c>
      <c r="O34" s="0" t="n">
        <v>54.888</v>
      </c>
      <c r="P34" s="0" t="n">
        <v>55.482</v>
      </c>
      <c r="Q34" s="0" t="n">
        <v>1067.398</v>
      </c>
      <c r="R34" s="0" t="n">
        <v>953.392</v>
      </c>
      <c r="S34" s="0" t="n">
        <v>6599.446</v>
      </c>
      <c r="T34" s="0" t="n">
        <v>2467.342</v>
      </c>
      <c r="U34" s="0" t="n">
        <v>1902.033</v>
      </c>
      <c r="V34" s="0" t="n">
        <v>160665.511</v>
      </c>
      <c r="W34" s="0" t="n">
        <v>182.309</v>
      </c>
      <c r="X34" s="0" t="n">
        <v>400.542</v>
      </c>
      <c r="Y34" s="0" t="n">
        <v>54.888</v>
      </c>
      <c r="Z34" s="0" t="n">
        <v>527.721</v>
      </c>
      <c r="AA34" s="0" t="n">
        <f aca="false">H34*x_c_F+I34*x_c_CC+J34*x_c_DC+K34*x_c_HCC+L34*x_c_PLT+M34*x_c_SVRn+N34*x_c_SVRcc+O34*x_c_LT+P34*x_c_LT1</f>
        <v>263531048.378749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22115509.750634</v>
      </c>
      <c r="AI34" s="0" t="n">
        <f aca="false">x_AGRI*x_EMP*x_WLOSS*(x_PEN_K74*Q34+x_PEN_C22*R34)</f>
        <v>1203325.74400178</v>
      </c>
      <c r="AJ34" s="0" t="n">
        <f aca="false">x_EMP*x_WAGE*(x_WLOSS*(Q34+R34)+S34)+U34*x_ABS_D*x_WAGE/365</f>
        <v>661331935.885131</v>
      </c>
      <c r="AK34" s="0" t="n">
        <f aca="false">AJ34*x_R_FUS</f>
        <v>209245424.514056</v>
      </c>
      <c r="AL34" s="0" t="n">
        <f aca="false">AJ34*x_R_NFZ</f>
        <v>51359699.4727752</v>
      </c>
      <c r="AM34" s="0" t="n">
        <f aca="false">AJ34*x_R_PIT</f>
        <v>43968107.3946829</v>
      </c>
      <c r="AN34" s="0" t="n">
        <f aca="false">AJ34*x_R_FP</f>
        <v>16863964.3650708</v>
      </c>
      <c r="AO34" s="0" t="n">
        <f aca="false">AA34+AB34+AC34+AD34+AF34</f>
        <v>401364475.988774</v>
      </c>
      <c r="AP34" s="0" t="n">
        <f aca="false">AO34+AE34+AG34+AH34+AI34+AK34+AL34+AM34+AN34</f>
        <v>746120507.229994</v>
      </c>
      <c r="AQ34" s="0" t="n">
        <f aca="false">AO34+AE34+AG34+AJ34</f>
        <v>1062696411.87391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2270.553</v>
      </c>
      <c r="I35" s="0" t="n">
        <v>196.596</v>
      </c>
      <c r="J35" s="0" t="n">
        <v>1008.255</v>
      </c>
      <c r="K35" s="0" t="n">
        <v>1379.422</v>
      </c>
      <c r="L35" s="0" t="n">
        <v>785.633</v>
      </c>
      <c r="M35" s="0" t="n">
        <v>126280.682</v>
      </c>
      <c r="N35" s="0" t="n">
        <v>9347.425</v>
      </c>
      <c r="O35" s="0" t="n">
        <v>53.933</v>
      </c>
      <c r="P35" s="0" t="n">
        <v>54.41</v>
      </c>
      <c r="Q35" s="0" t="n">
        <v>1095.233</v>
      </c>
      <c r="R35" s="0" t="n">
        <v>980.075</v>
      </c>
      <c r="S35" s="0" t="n">
        <v>6888.644</v>
      </c>
      <c r="T35" s="0" t="n">
        <v>2467.149</v>
      </c>
      <c r="U35" s="0" t="n">
        <v>1912.807</v>
      </c>
      <c r="V35" s="0" t="n">
        <v>162155.464</v>
      </c>
      <c r="W35" s="0" t="n">
        <v>180.01</v>
      </c>
      <c r="X35" s="0" t="n">
        <v>396.14</v>
      </c>
      <c r="Y35" s="0" t="n">
        <v>53.933</v>
      </c>
      <c r="Z35" s="0" t="n">
        <v>519.243</v>
      </c>
      <c r="AA35" s="0" t="n">
        <f aca="false">H35*x_c_F+I35*x_c_CC+J35*x_c_DC+K35*x_c_HCC+L35*x_c_PLT+M35*x_c_SVRn+N35*x_c_SVRcc+O35*x_c_LT+P35*x_c_LT1</f>
        <v>261739772.035554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22629919.619106</v>
      </c>
      <c r="AI35" s="0" t="n">
        <f aca="false">x_AGRI*x_EMP*x_WLOSS*(x_PEN_K74*Q35+x_PEN_C22*R35)</f>
        <v>1235863.17174042</v>
      </c>
      <c r="AJ35" s="0" t="n">
        <f aca="false">x_EMP*x_WAGE*(x_WLOSS*(Q35+R35)+S35)+U35*x_ABS_D*x_WAGE/365</f>
        <v>688531720.982663</v>
      </c>
      <c r="AK35" s="0" t="n">
        <f aca="false">AJ35*x_R_FUS</f>
        <v>217851436.518915</v>
      </c>
      <c r="AL35" s="0" t="n">
        <f aca="false">AJ35*x_R_NFZ</f>
        <v>53472061.9832346</v>
      </c>
      <c r="AM35" s="0" t="n">
        <f aca="false">AJ35*x_R_PIT</f>
        <v>45776462.6356557</v>
      </c>
      <c r="AN35" s="0" t="n">
        <f aca="false">AJ35*x_R_FP</f>
        <v>17557558.8850579</v>
      </c>
      <c r="AO35" s="0" t="n">
        <f aca="false">AA35+AB35+AC35+AD35+AF35</f>
        <v>399573199.645579</v>
      </c>
      <c r="AP35" s="0" t="n">
        <f aca="false">AO35+AE35+AG35+AH35+AI35+AK35+AL35+AM35+AN35</f>
        <v>758096502.459288</v>
      </c>
      <c r="AQ35" s="0" t="n">
        <f aca="false">AO35+AE35+AG35+AJ35</f>
        <v>1088104920.62824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2272.462</v>
      </c>
      <c r="I36" s="0" t="n">
        <v>194.513</v>
      </c>
      <c r="J36" s="0" t="n">
        <v>990.848</v>
      </c>
      <c r="K36" s="0" t="n">
        <v>1361.271</v>
      </c>
      <c r="L36" s="0" t="n">
        <v>763.426</v>
      </c>
      <c r="M36" s="0" t="n">
        <v>128492.977</v>
      </c>
      <c r="N36" s="0" t="n">
        <v>9253.039</v>
      </c>
      <c r="O36" s="0" t="n">
        <v>53</v>
      </c>
      <c r="P36" s="0" t="n">
        <v>53.466</v>
      </c>
      <c r="Q36" s="0" t="n">
        <v>829.476</v>
      </c>
      <c r="R36" s="0" t="n">
        <v>837.979</v>
      </c>
      <c r="S36" s="0" t="n">
        <v>4479.988</v>
      </c>
      <c r="T36" s="0" t="n">
        <v>2466.976</v>
      </c>
      <c r="U36" s="0" t="n">
        <v>1892.413</v>
      </c>
      <c r="V36" s="0" t="n">
        <v>163706.881</v>
      </c>
      <c r="W36" s="0" t="n">
        <v>177.84</v>
      </c>
      <c r="X36" s="0" t="n">
        <v>391.904</v>
      </c>
      <c r="Y36" s="0" t="n">
        <v>53</v>
      </c>
      <c r="Z36" s="0" t="n">
        <v>510.911</v>
      </c>
      <c r="AA36" s="0" t="n">
        <f aca="false">H36*x_c_F+I36*x_c_CC+J36*x_c_DC+K36*x_c_HCC+L36*x_c_PLT+M36*x_c_SVRn+N36*x_c_SVRcc+O36*x_c_LT+P36*x_c_LT1</f>
        <v>260304515.900539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18971801.719497</v>
      </c>
      <c r="AI36" s="0" t="n">
        <f aca="false">x_AGRI*x_EMP*x_WLOSS*(x_PEN_K74*Q36+x_PEN_C22*R36)</f>
        <v>996839.936366003</v>
      </c>
      <c r="AJ36" s="0" t="n">
        <f aca="false">x_EMP*x_WAGE*(x_WLOSS*(Q36+R36)+S36)+U36*x_ABS_D*x_WAGE/365</f>
        <v>464323846.229518</v>
      </c>
      <c r="AK36" s="0" t="n">
        <f aca="false">AJ36*x_R_FUS</f>
        <v>146912064.94702</v>
      </c>
      <c r="AL36" s="0" t="n">
        <f aca="false">AJ36*x_R_NFZ</f>
        <v>36059854.2220306</v>
      </c>
      <c r="AM36" s="0" t="n">
        <f aca="false">AJ36*x_R_PIT</f>
        <v>30870187.3131342</v>
      </c>
      <c r="AN36" s="0" t="n">
        <f aca="false">AJ36*x_R_FP</f>
        <v>11840258.0788527</v>
      </c>
      <c r="AO36" s="0" t="n">
        <f aca="false">AA36+AB36+AC36+AD36+AF36</f>
        <v>398137943.510563</v>
      </c>
      <c r="AP36" s="0" t="n">
        <f aca="false">AO36+AE36+AG36+AH36+AI36+AK36+AL36+AM36+AN36</f>
        <v>643788949.727463</v>
      </c>
      <c r="AQ36" s="0" t="n">
        <f aca="false">AO36+AE36+AG36+AJ36</f>
        <v>862461789.740081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2274.119</v>
      </c>
      <c r="I37" s="0" t="n">
        <v>192.697</v>
      </c>
      <c r="J37" s="0" t="n">
        <v>973.981</v>
      </c>
      <c r="K37" s="0" t="n">
        <v>1343.737</v>
      </c>
      <c r="L37" s="0" t="n">
        <v>740.217</v>
      </c>
      <c r="M37" s="0" t="n">
        <v>130591.891</v>
      </c>
      <c r="N37" s="0" t="n">
        <v>9140.443</v>
      </c>
      <c r="O37" s="0" t="n">
        <v>52.097</v>
      </c>
      <c r="P37" s="0" t="n">
        <v>52.548</v>
      </c>
      <c r="Q37" s="0" t="n">
        <v>551.596</v>
      </c>
      <c r="R37" s="0" t="n">
        <v>684.225</v>
      </c>
      <c r="S37" s="0" t="n">
        <v>1935.059</v>
      </c>
      <c r="T37" s="0" t="n">
        <v>2466.816</v>
      </c>
      <c r="U37" s="0" t="n">
        <v>1867.26</v>
      </c>
      <c r="V37" s="0" t="n">
        <v>165164.521</v>
      </c>
      <c r="W37" s="0" t="n">
        <v>175.805</v>
      </c>
      <c r="X37" s="0" t="n">
        <v>387.849</v>
      </c>
      <c r="Y37" s="0" t="n">
        <v>52.097</v>
      </c>
      <c r="Z37" s="0" t="n">
        <v>502.785</v>
      </c>
      <c r="AA37" s="0" t="n">
        <f aca="false">H37*x_c_F+I37*x_c_CC+J37*x_c_DC+K37*x_c_HCC+L37*x_c_PLT+M37*x_c_SVRn+N37*x_c_SVRcc+O37*x_c_LT+P37*x_c_LT1</f>
        <v>258778864.387767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15089152.2500661</v>
      </c>
      <c r="AI37" s="0" t="n">
        <f aca="false">x_AGRI*x_EMP*x_WLOSS*(x_PEN_K74*Q37+x_PEN_C22*R37)</f>
        <v>743622.294974152</v>
      </c>
      <c r="AJ37" s="0" t="n">
        <f aca="false">x_EMP*x_WAGE*(x_WLOSS*(Q37+R37)+S37)+U37*x_ABS_D*x_WAGE/365</f>
        <v>227387991.174779</v>
      </c>
      <c r="AK37" s="0" t="n">
        <f aca="false">AJ37*x_R_FUS</f>
        <v>71945560.4077</v>
      </c>
      <c r="AL37" s="0" t="n">
        <f aca="false">AJ37*x_R_NFZ</f>
        <v>17659178.7826245</v>
      </c>
      <c r="AM37" s="0" t="n">
        <f aca="false">AJ37*x_R_PIT</f>
        <v>15117702.7355449</v>
      </c>
      <c r="AN37" s="0" t="n">
        <f aca="false">AJ37*x_R_FP</f>
        <v>5798393.77495686</v>
      </c>
      <c r="AO37" s="0" t="n">
        <f aca="false">AA37+AB37+AC37+AD37+AF37</f>
        <v>396612291.997791</v>
      </c>
      <c r="AP37" s="0" t="n">
        <f aca="false">AO37+AE37+AG37+AH37+AI37+AK37+AL37+AM37+AN37</f>
        <v>522965902.243658</v>
      </c>
      <c r="AQ37" s="0" t="n">
        <f aca="false">AO37+AE37+AG37+AJ37</f>
        <v>624000283.17257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2275.52</v>
      </c>
      <c r="I38" s="0" t="n">
        <v>191.151</v>
      </c>
      <c r="J38" s="0" t="n">
        <v>957.843</v>
      </c>
      <c r="K38" s="0" t="n">
        <v>1326.98</v>
      </c>
      <c r="L38" s="0" t="n">
        <v>716.231</v>
      </c>
      <c r="M38" s="0" t="n">
        <v>132579.466</v>
      </c>
      <c r="N38" s="0" t="n">
        <v>9011.864</v>
      </c>
      <c r="O38" s="0" t="n">
        <v>51.237</v>
      </c>
      <c r="P38" s="0" t="n">
        <v>51.667</v>
      </c>
      <c r="Q38" s="0" t="n">
        <v>555.097</v>
      </c>
      <c r="R38" s="0" t="n">
        <v>687.13</v>
      </c>
      <c r="S38" s="0" t="n">
        <v>1953.059</v>
      </c>
      <c r="T38" s="0" t="n">
        <v>2466.671</v>
      </c>
      <c r="U38" s="0" t="n">
        <v>1867.717</v>
      </c>
      <c r="V38" s="0" t="n">
        <v>166531.9</v>
      </c>
      <c r="W38" s="0" t="n">
        <v>173.925</v>
      </c>
      <c r="X38" s="0" t="n">
        <v>384.02</v>
      </c>
      <c r="Y38" s="0" t="n">
        <v>51.237</v>
      </c>
      <c r="Z38" s="0" t="n">
        <v>494.974</v>
      </c>
      <c r="AA38" s="0" t="n">
        <f aca="false">H38*x_c_F+I38*x_c_CC+J38*x_c_DC+K38*x_c_HCC+L38*x_c_PLT+M38*x_c_SVRn+N38*x_c_SVRcc+O38*x_c_LT+P38*x_c_LT1</f>
        <v>257195777.357476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15147667.503997</v>
      </c>
      <c r="AI38" s="0" t="n">
        <f aca="false">x_AGRI*x_EMP*x_WLOSS*(x_PEN_K74*Q38+x_PEN_C22*R38)</f>
        <v>747427.939300377</v>
      </c>
      <c r="AJ38" s="0" t="n">
        <f aca="false">x_EMP*x_WAGE*(x_WLOSS*(Q38+R38)+S38)+U38*x_ABS_D*x_WAGE/365</f>
        <v>229219068.114183</v>
      </c>
      <c r="AK38" s="0" t="n">
        <f aca="false">AJ38*x_R_FUS</f>
        <v>72524913.1513276</v>
      </c>
      <c r="AL38" s="0" t="n">
        <f aca="false">AJ38*x_R_NFZ</f>
        <v>17801382.0488156</v>
      </c>
      <c r="AM38" s="0" t="n">
        <f aca="false">AJ38*x_R_PIT</f>
        <v>15239440.373108</v>
      </c>
      <c r="AN38" s="0" t="n">
        <f aca="false">AJ38*x_R_FP</f>
        <v>5845086.23691167</v>
      </c>
      <c r="AO38" s="0" t="n">
        <f aca="false">AA38+AB38+AC38+AD38+AF38</f>
        <v>395029204.967501</v>
      </c>
      <c r="AP38" s="0" t="n">
        <f aca="false">AO38+AE38+AG38+AH38+AI38+AK38+AL38+AM38+AN38</f>
        <v>522335122.220961</v>
      </c>
      <c r="AQ38" s="0" t="n">
        <f aca="false">AO38+AE38+AG38+AJ38</f>
        <v>624248273.081684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2276.657</v>
      </c>
      <c r="I39" s="0" t="n">
        <v>189.885</v>
      </c>
      <c r="J39" s="0" t="n">
        <v>942.678</v>
      </c>
      <c r="K39" s="0" t="n">
        <v>1311.234</v>
      </c>
      <c r="L39" s="0" t="n">
        <v>691.817</v>
      </c>
      <c r="M39" s="0" t="n">
        <v>134464.396</v>
      </c>
      <c r="N39" s="0" t="n">
        <v>8870.861</v>
      </c>
      <c r="O39" s="0" t="n">
        <v>50.436</v>
      </c>
      <c r="P39" s="0" t="n">
        <v>50.837</v>
      </c>
      <c r="Q39" s="0" t="n">
        <v>558.313</v>
      </c>
      <c r="R39" s="0" t="n">
        <v>689.662</v>
      </c>
      <c r="S39" s="0" t="n">
        <v>1970.44</v>
      </c>
      <c r="T39" s="0" t="n">
        <v>2466.542</v>
      </c>
      <c r="U39" s="0" t="n">
        <v>1867.872</v>
      </c>
      <c r="V39" s="0" t="n">
        <v>167818.918</v>
      </c>
      <c r="W39" s="0" t="n">
        <v>172.224</v>
      </c>
      <c r="X39" s="0" t="n">
        <v>380.474</v>
      </c>
      <c r="Y39" s="0" t="n">
        <v>50.436</v>
      </c>
      <c r="Z39" s="0" t="n">
        <v>487.604</v>
      </c>
      <c r="AA39" s="0" t="n">
        <f aca="false">H39*x_c_F+I39*x_c_CC+J39*x_c_DC+K39*x_c_HCC+L39*x_c_PLT+M39*x_c_SVRn+N39*x_c_SVRcc+O39*x_c_LT+P39*x_c_LT1</f>
        <v>255606722.242626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15199561.7451119</v>
      </c>
      <c r="AI39" s="0" t="n">
        <f aca="false">x_AGRI*x_EMP*x_WLOSS*(x_PEN_K74*Q39+x_PEN_C22*R39)</f>
        <v>750836.986124856</v>
      </c>
      <c r="AJ39" s="0" t="n">
        <f aca="false">x_EMP*x_WAGE*(x_WLOSS*(Q39+R39)+S39)+U39*x_ABS_D*x_WAGE/365</f>
        <v>230966175.748963</v>
      </c>
      <c r="AK39" s="0" t="n">
        <f aca="false">AJ39*x_R_FUS</f>
        <v>73077698.0069718</v>
      </c>
      <c r="AL39" s="0" t="n">
        <f aca="false">AJ39*x_R_NFZ</f>
        <v>17937064.1748402</v>
      </c>
      <c r="AM39" s="0" t="n">
        <f aca="false">AJ39*x_R_PIT</f>
        <v>15355595.3808247</v>
      </c>
      <c r="AN39" s="0" t="n">
        <f aca="false">AJ39*x_R_FP</f>
        <v>5889637.48159855</v>
      </c>
      <c r="AO39" s="0" t="n">
        <f aca="false">AA39+AB39+AC39+AD39+AF39</f>
        <v>393440149.85265</v>
      </c>
      <c r="AP39" s="0" t="n">
        <f aca="false">AO39+AE39+AG39+AH39+AI39+AK39+AL39+AM39+AN39</f>
        <v>521650543.628122</v>
      </c>
      <c r="AQ39" s="0" t="n">
        <f aca="false">AO39+AE39+AG39+AJ39</f>
        <v>624406325.601613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2277.526</v>
      </c>
      <c r="I40" s="0" t="n">
        <v>188.906</v>
      </c>
      <c r="J40" s="0" t="n">
        <v>928.768</v>
      </c>
      <c r="K40" s="0" t="n">
        <v>1296.784</v>
      </c>
      <c r="L40" s="0" t="n">
        <v>667.435</v>
      </c>
      <c r="M40" s="0" t="n">
        <v>136261.989</v>
      </c>
      <c r="N40" s="0" t="n">
        <v>8722.245</v>
      </c>
      <c r="O40" s="0" t="n">
        <v>49.708</v>
      </c>
      <c r="P40" s="0" t="n">
        <v>50.072</v>
      </c>
      <c r="Q40" s="0" t="n">
        <v>560.982</v>
      </c>
      <c r="R40" s="0" t="n">
        <v>691.602</v>
      </c>
      <c r="S40" s="0" t="n">
        <v>1985.828</v>
      </c>
      <c r="T40" s="0" t="n">
        <v>2466.432</v>
      </c>
      <c r="U40" s="0" t="n">
        <v>1867.652</v>
      </c>
      <c r="V40" s="0" t="n">
        <v>169041.597</v>
      </c>
      <c r="W40" s="0" t="n">
        <v>170.732</v>
      </c>
      <c r="X40" s="0" t="n">
        <v>377.285</v>
      </c>
      <c r="Y40" s="0" t="n">
        <v>49.708</v>
      </c>
      <c r="Z40" s="0" t="n">
        <v>480.828</v>
      </c>
      <c r="AA40" s="0" t="n">
        <f aca="false">H40*x_c_F+I40*x_c_CC+J40*x_c_DC+K40*x_c_HCC+L40*x_c_PLT+M40*x_c_SVRn+N40*x_c_SVRcc+O40*x_c_LT+P40*x_c_LT1</f>
        <v>254077377.958223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15240360.7607067</v>
      </c>
      <c r="AI40" s="0" t="n">
        <f aca="false">x_AGRI*x_EMP*x_WLOSS*(x_PEN_K74*Q40+x_PEN_C22*R40)</f>
        <v>753563.618534055</v>
      </c>
      <c r="AJ40" s="0" t="n">
        <f aca="false">x_EMP*x_WAGE*(x_WLOSS*(Q40+R40)+S40)+U40*x_ABS_D*x_WAGE/365</f>
        <v>232489797.975819</v>
      </c>
      <c r="AK40" s="0" t="n">
        <f aca="false">AJ40*x_R_FUS</f>
        <v>73559772.079549</v>
      </c>
      <c r="AL40" s="0" t="n">
        <f aca="false">AJ40*x_R_NFZ</f>
        <v>18055390.2006001</v>
      </c>
      <c r="AM40" s="0" t="n">
        <f aca="false">AJ40*x_R_PIT</f>
        <v>15456892.1458292</v>
      </c>
      <c r="AN40" s="0" t="n">
        <f aca="false">AJ40*x_R_FP</f>
        <v>5928489.84838338</v>
      </c>
      <c r="AO40" s="0" t="n">
        <f aca="false">AA40+AB40+AC40+AD40+AF40</f>
        <v>391910805.568248</v>
      </c>
      <c r="AP40" s="0" t="n">
        <f aca="false">AO40+AE40+AG40+AH40+AI40+AK40+AL40+AM40+AN40</f>
        <v>520905274.22185</v>
      </c>
      <c r="AQ40" s="0" t="n">
        <f aca="false">AO40+AE40+AG40+AJ40</f>
        <v>624400603.544066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2278.127</v>
      </c>
      <c r="I41" s="0" t="n">
        <v>188.214</v>
      </c>
      <c r="J41" s="0" t="n">
        <v>916.403</v>
      </c>
      <c r="K41" s="0" t="n">
        <v>1283.936</v>
      </c>
      <c r="L41" s="0" t="n">
        <v>643.634</v>
      </c>
      <c r="M41" s="0" t="n">
        <v>137993.546</v>
      </c>
      <c r="N41" s="0" t="n">
        <v>8571.845</v>
      </c>
      <c r="O41" s="0" t="n">
        <v>49.071</v>
      </c>
      <c r="P41" s="0" t="n">
        <v>49.39</v>
      </c>
      <c r="Q41" s="0" t="n">
        <v>563.034</v>
      </c>
      <c r="R41" s="0" t="n">
        <v>692.903</v>
      </c>
      <c r="S41" s="0" t="n">
        <v>1998.801</v>
      </c>
      <c r="T41" s="0" t="n">
        <v>2466.341</v>
      </c>
      <c r="U41" s="0" t="n">
        <v>1867.041</v>
      </c>
      <c r="V41" s="0" t="n">
        <v>170221.16</v>
      </c>
      <c r="W41" s="0" t="n">
        <v>169.479</v>
      </c>
      <c r="X41" s="0" t="n">
        <v>374.526</v>
      </c>
      <c r="Y41" s="0" t="n">
        <v>49.071</v>
      </c>
      <c r="Z41" s="0" t="n">
        <v>474.794</v>
      </c>
      <c r="AA41" s="0" t="n">
        <f aca="false">H41*x_c_F+I41*x_c_CC+J41*x_c_DC+K41*x_c_HCC+L41*x_c_PLT+M41*x_c_SVRn+N41*x_c_SVRcc+O41*x_c_LT+P41*x_c_LT1</f>
        <v>252685711.512124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15268987.0829191</v>
      </c>
      <c r="AI41" s="0" t="n">
        <f aca="false">x_AGRI*x_EMP*x_WLOSS*(x_PEN_K74*Q41+x_PEN_C22*R41)</f>
        <v>755538.792207781</v>
      </c>
      <c r="AJ41" s="0" t="n">
        <f aca="false">x_EMP*x_WAGE*(x_WLOSS*(Q41+R41)+S41)+U41*x_ABS_D*x_WAGE/365</f>
        <v>233748519.117061</v>
      </c>
      <c r="AK41" s="0" t="n">
        <f aca="false">AJ41*x_R_FUS</f>
        <v>73958031.4486382</v>
      </c>
      <c r="AL41" s="0" t="n">
        <f aca="false">AJ41*x_R_NFZ</f>
        <v>18153143.7431501</v>
      </c>
      <c r="AM41" s="0" t="n">
        <f aca="false">AJ41*x_R_PIT</f>
        <v>15540577.1810061</v>
      </c>
      <c r="AN41" s="0" t="n">
        <f aca="false">AJ41*x_R_FP</f>
        <v>5960587.23748506</v>
      </c>
      <c r="AO41" s="0" t="n">
        <f aca="false">AA41+AB41+AC41+AD41+AF41</f>
        <v>390519139.122148</v>
      </c>
      <c r="AP41" s="0" t="n">
        <f aca="false">AO41+AE41+AG41+AH41+AI41+AK41+AL41+AM41+AN41</f>
        <v>520156004.607554</v>
      </c>
      <c r="AQ41" s="0" t="n">
        <f aca="false">AO41+AE41+AG41+AJ41</f>
        <v>624267658.239209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2278.472</v>
      </c>
      <c r="I42" s="0" t="n">
        <v>187.798</v>
      </c>
      <c r="J42" s="0" t="n">
        <v>905.819</v>
      </c>
      <c r="K42" s="0" t="n">
        <v>1272.945</v>
      </c>
      <c r="L42" s="0" t="n">
        <v>620.965</v>
      </c>
      <c r="M42" s="0" t="n">
        <v>139682.502</v>
      </c>
      <c r="N42" s="0" t="n">
        <v>8425.655</v>
      </c>
      <c r="O42" s="0" t="n">
        <v>48.535</v>
      </c>
      <c r="P42" s="0" t="n">
        <v>48.803</v>
      </c>
      <c r="Q42" s="0" t="n">
        <v>564.397</v>
      </c>
      <c r="R42" s="0" t="n">
        <v>693.517</v>
      </c>
      <c r="S42" s="0" t="n">
        <v>2008.892</v>
      </c>
      <c r="T42" s="0" t="n">
        <v>2466.27</v>
      </c>
      <c r="U42" s="0" t="n">
        <v>1866.04</v>
      </c>
      <c r="V42" s="0" t="n">
        <v>171380.013</v>
      </c>
      <c r="W42" s="0" t="n">
        <v>168.479</v>
      </c>
      <c r="X42" s="0" t="n">
        <v>372.243</v>
      </c>
      <c r="Y42" s="0" t="n">
        <v>48.535</v>
      </c>
      <c r="Z42" s="0" t="n">
        <v>469.616</v>
      </c>
      <c r="AA42" s="0" t="n">
        <f aca="false">H42*x_c_F+I42*x_c_CC+J42*x_c_DC+K42*x_c_HCC+L42*x_c_PLT+M42*x_c_SVRn+N42*x_c_SVRcc+O42*x_c_LT+P42*x_c_LT1</f>
        <v>251504278.327668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15284371.6468744</v>
      </c>
      <c r="AI42" s="0" t="n">
        <f aca="false">x_AGRI*x_EMP*x_WLOSS*(x_PEN_K74*Q42+x_PEN_C22*R42)</f>
        <v>756691.708119463</v>
      </c>
      <c r="AJ42" s="0" t="n">
        <f aca="false">x_EMP*x_WAGE*(x_WLOSS*(Q42+R42)+S42)+U42*x_ABS_D*x_WAGE/365</f>
        <v>234696998.534921</v>
      </c>
      <c r="AK42" s="0" t="n">
        <f aca="false">AJ42*x_R_FUS</f>
        <v>74258130.3364489</v>
      </c>
      <c r="AL42" s="0" t="n">
        <f aca="false">AJ42*x_R_NFZ</f>
        <v>18226803.6032205</v>
      </c>
      <c r="AM42" s="0" t="n">
        <f aca="false">AJ42*x_R_PIT</f>
        <v>15603636.0515115</v>
      </c>
      <c r="AN42" s="0" t="n">
        <f aca="false">AJ42*x_R_FP</f>
        <v>5984773.46264048</v>
      </c>
      <c r="AO42" s="0" t="n">
        <f aca="false">AA42+AB42+AC42+AD42+AF42</f>
        <v>389337705.937693</v>
      </c>
      <c r="AP42" s="0" t="n">
        <f aca="false">AO42+AE42+AG42+AH42+AI42+AK42+AL42+AM42+AN42</f>
        <v>519452112.746508</v>
      </c>
      <c r="AQ42" s="0" t="n">
        <f aca="false">AO42+AE42+AG42+AJ42</f>
        <v>624034704.472613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2278.592</v>
      </c>
      <c r="I43" s="0" t="n">
        <v>187.626</v>
      </c>
      <c r="J43" s="0" t="n">
        <v>897.16</v>
      </c>
      <c r="K43" s="0" t="n">
        <v>1263.967</v>
      </c>
      <c r="L43" s="0" t="n">
        <v>599.922</v>
      </c>
      <c r="M43" s="0" t="n">
        <v>141351.398</v>
      </c>
      <c r="N43" s="0" t="n">
        <v>8289.157</v>
      </c>
      <c r="O43" s="0" t="n">
        <v>48.106</v>
      </c>
      <c r="P43" s="0" t="n">
        <v>48.321</v>
      </c>
      <c r="Q43" s="0" t="n">
        <v>564.994</v>
      </c>
      <c r="R43" s="0" t="n">
        <v>693.398</v>
      </c>
      <c r="S43" s="0" t="n">
        <v>2015.591</v>
      </c>
      <c r="T43" s="0" t="n">
        <v>2466.218</v>
      </c>
      <c r="U43" s="0" t="n">
        <v>1864.674</v>
      </c>
      <c r="V43" s="0" t="n">
        <v>172538.822</v>
      </c>
      <c r="W43" s="0" t="n">
        <v>167.73</v>
      </c>
      <c r="X43" s="0" t="n">
        <v>370.451</v>
      </c>
      <c r="Y43" s="0" t="n">
        <v>48.106</v>
      </c>
      <c r="Z43" s="0" t="n">
        <v>465.359</v>
      </c>
      <c r="AA43" s="0" t="n">
        <f aca="false">H43*x_c_F+I43*x_c_CC+J43*x_c_DC+K43*x_c_HCC+L43*x_c_PLT+M43*x_c_SVRn+N43*x_c_SVRcc+O43*x_c_LT+P43*x_c_LT1</f>
        <v>250592461.469855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15285471.6470045</v>
      </c>
      <c r="AI43" s="0" t="n">
        <f aca="false">x_AGRI*x_EMP*x_WLOSS*(x_PEN_K74*Q43+x_PEN_C22*R43)</f>
        <v>756950.041575486</v>
      </c>
      <c r="AJ43" s="0" t="n">
        <f aca="false">x_EMP*x_WAGE*(x_WLOSS*(Q43+R43)+S43)+U43*x_ABS_D*x_WAGE/365</f>
        <v>235286161.714058</v>
      </c>
      <c r="AK43" s="0" t="n">
        <f aca="false">AJ43*x_R_FUS</f>
        <v>74444541.5663279</v>
      </c>
      <c r="AL43" s="0" t="n">
        <f aca="false">AJ43*x_R_NFZ</f>
        <v>18272558.6048755</v>
      </c>
      <c r="AM43" s="0" t="n">
        <f aca="false">AJ43*x_R_PIT</f>
        <v>15642806.0787364</v>
      </c>
      <c r="AN43" s="0" t="n">
        <f aca="false">AJ43*x_R_FP</f>
        <v>5999797.12370848</v>
      </c>
      <c r="AO43" s="0" t="n">
        <f aca="false">AA43+AB43+AC43+AD43+AF43</f>
        <v>388425889.07988</v>
      </c>
      <c r="AP43" s="0" t="n">
        <f aca="false">AO43+AE43+AG43+AH43+AI43+AK43+AL43+AM43+AN43</f>
        <v>518828014.142108</v>
      </c>
      <c r="AQ43" s="0" t="n">
        <f aca="false">AO43+AE43+AG43+AJ43</f>
        <v>623712050.793938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2278.527</v>
      </c>
      <c r="I44" s="0" t="n">
        <v>187.654</v>
      </c>
      <c r="J44" s="0" t="n">
        <v>890.445</v>
      </c>
      <c r="K44" s="0" t="n">
        <v>1257.019</v>
      </c>
      <c r="L44" s="0" t="n">
        <v>580.879</v>
      </c>
      <c r="M44" s="0" t="n">
        <v>143018.432</v>
      </c>
      <c r="N44" s="0" t="n">
        <v>8166.625</v>
      </c>
      <c r="O44" s="0" t="n">
        <v>47.782</v>
      </c>
      <c r="P44" s="0" t="n">
        <v>47.944</v>
      </c>
      <c r="Q44" s="0" t="n">
        <v>564.747</v>
      </c>
      <c r="R44" s="0" t="n">
        <v>692.502</v>
      </c>
      <c r="S44" s="0" t="n">
        <v>2018.333</v>
      </c>
      <c r="T44" s="0" t="n">
        <v>2466.181</v>
      </c>
      <c r="U44" s="0" t="n">
        <v>1862.987</v>
      </c>
      <c r="V44" s="0" t="n">
        <v>173713.341</v>
      </c>
      <c r="W44" s="0" t="n">
        <v>167.212</v>
      </c>
      <c r="X44" s="0" t="n">
        <v>369.123</v>
      </c>
      <c r="Y44" s="0" t="n">
        <v>47.782</v>
      </c>
      <c r="Z44" s="0" t="n">
        <v>462.021</v>
      </c>
      <c r="AA44" s="0" t="n">
        <f aca="false">H44*x_c_F+I44*x_c_CC+J44*x_c_DC+K44*x_c_HCC+L44*x_c_PLT+M44*x_c_SVRn+N44*x_c_SVRcc+O44*x_c_LT+P44*x_c_LT1</f>
        <v>249985606.695051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15271294.1135852</v>
      </c>
      <c r="AI44" s="0" t="n">
        <f aca="false">x_AGRI*x_EMP*x_WLOSS*(x_PEN_K74*Q44+x_PEN_C22*R44)</f>
        <v>756242.180028427</v>
      </c>
      <c r="AJ44" s="0" t="n">
        <f aca="false">x_EMP*x_WAGE*(x_WLOSS*(Q44+R44)+S44)+U44*x_ABS_D*x_WAGE/365</f>
        <v>235462346.67974</v>
      </c>
      <c r="AK44" s="0" t="n">
        <f aca="false">AJ44*x_R_FUS</f>
        <v>74500286.4894699</v>
      </c>
      <c r="AL44" s="0" t="n">
        <f aca="false">AJ44*x_R_NFZ</f>
        <v>18286241.3054953</v>
      </c>
      <c r="AM44" s="0" t="n">
        <f aca="false">AJ44*x_R_PIT</f>
        <v>15654519.5906237</v>
      </c>
      <c r="AN44" s="0" t="n">
        <f aca="false">AJ44*x_R_FP</f>
        <v>6004289.84033338</v>
      </c>
      <c r="AO44" s="0" t="n">
        <f aca="false">AA44+AB44+AC44+AD44+AF44</f>
        <v>387819034.305076</v>
      </c>
      <c r="AP44" s="0" t="n">
        <f aca="false">AO44+AE44+AG44+AH44+AI44+AK44+AL44+AM44+AN44</f>
        <v>518291907.824612</v>
      </c>
      <c r="AQ44" s="0" t="n">
        <f aca="false">AO44+AE44+AG44+AJ44</f>
        <v>623281380.984816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2278.329</v>
      </c>
      <c r="I45" s="0" t="n">
        <v>187.827</v>
      </c>
      <c r="J45" s="0" t="n">
        <v>885.587</v>
      </c>
      <c r="K45" s="0" t="n">
        <v>1252.005</v>
      </c>
      <c r="L45" s="0" t="n">
        <v>564.089</v>
      </c>
      <c r="M45" s="0" t="n">
        <v>144697.299</v>
      </c>
      <c r="N45" s="0" t="n">
        <v>8061.121</v>
      </c>
      <c r="O45" s="0" t="n">
        <v>47.558</v>
      </c>
      <c r="P45" s="0" t="n">
        <v>47.67</v>
      </c>
      <c r="Q45" s="0" t="n">
        <v>563.574</v>
      </c>
      <c r="R45" s="0" t="n">
        <v>690.782</v>
      </c>
      <c r="S45" s="0" t="n">
        <v>2016.504</v>
      </c>
      <c r="T45" s="0" t="n">
        <v>2466.156</v>
      </c>
      <c r="U45" s="0" t="n">
        <v>1861.037</v>
      </c>
      <c r="V45" s="0" t="n">
        <v>174914.528</v>
      </c>
      <c r="W45" s="0" t="n">
        <v>166.893</v>
      </c>
      <c r="X45" s="0" t="n">
        <v>368.214</v>
      </c>
      <c r="Y45" s="0" t="n">
        <v>47.558</v>
      </c>
      <c r="Z45" s="0" t="n">
        <v>459.566</v>
      </c>
      <c r="AA45" s="0" t="n">
        <f aca="false">H45*x_c_F+I45*x_c_CC+J45*x_c_DC+K45*x_c_HCC+L45*x_c_PLT+M45*x_c_SVRn+N45*x_c_SVRcc+O45*x_c_LT+P45*x_c_LT1</f>
        <v>249698968.517469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15240812.1461893</v>
      </c>
      <c r="AI45" s="0" t="n">
        <f aca="false">x_AGRI*x_EMP*x_WLOSS*(x_PEN_K74*Q45+x_PEN_C22*R45)</f>
        <v>754492.365718362</v>
      </c>
      <c r="AJ45" s="0" t="n">
        <f aca="false">x_EMP*x_WAGE*(x_WLOSS*(Q45+R45)+S45)+U45*x_ABS_D*x_WAGE/365</f>
        <v>235167432.41224</v>
      </c>
      <c r="AK45" s="0" t="n">
        <f aca="false">AJ45*x_R_FUS</f>
        <v>74406975.6152327</v>
      </c>
      <c r="AL45" s="0" t="n">
        <f aca="false">AJ45*x_R_NFZ</f>
        <v>18263337.9685669</v>
      </c>
      <c r="AM45" s="0" t="n">
        <f aca="false">AJ45*x_R_PIT</f>
        <v>15634912.4591938</v>
      </c>
      <c r="AN45" s="0" t="n">
        <f aca="false">AJ45*x_R_FP</f>
        <v>5996769.52651211</v>
      </c>
      <c r="AO45" s="0" t="n">
        <f aca="false">AA45+AB45+AC45+AD45+AF45</f>
        <v>387532396.127494</v>
      </c>
      <c r="AP45" s="0" t="n">
        <f aca="false">AO45+AE45+AG45+AH45+AI45+AK45+AL45+AM45+AN45</f>
        <v>517829696.208907</v>
      </c>
      <c r="AQ45" s="0" t="n">
        <f aca="false">AO45+AE45+AG45+AJ45</f>
        <v>622699828.539734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2278.048</v>
      </c>
      <c r="I46" s="0" t="n">
        <v>188.088</v>
      </c>
      <c r="J46" s="0" t="n">
        <v>882.418</v>
      </c>
      <c r="K46" s="0" t="n">
        <v>1248.734</v>
      </c>
      <c r="L46" s="0" t="n">
        <v>549.694</v>
      </c>
      <c r="M46" s="0" t="n">
        <v>146397.167</v>
      </c>
      <c r="N46" s="0" t="n">
        <v>7974.534</v>
      </c>
      <c r="O46" s="0" t="n">
        <v>47.421</v>
      </c>
      <c r="P46" s="0" t="n">
        <v>47.49</v>
      </c>
      <c r="Q46" s="0" t="n">
        <v>561.39</v>
      </c>
      <c r="R46" s="0" t="n">
        <v>688.193</v>
      </c>
      <c r="S46" s="0" t="n">
        <v>2009.429</v>
      </c>
      <c r="T46" s="0" t="n">
        <v>2466.137</v>
      </c>
      <c r="U46" s="0" t="n">
        <v>1858.882</v>
      </c>
      <c r="V46" s="0" t="n">
        <v>176148.854</v>
      </c>
      <c r="W46" s="0" t="n">
        <v>166.731</v>
      </c>
      <c r="X46" s="0" t="n">
        <v>367.654</v>
      </c>
      <c r="Y46" s="0" t="n">
        <v>47.421</v>
      </c>
      <c r="Z46" s="0" t="n">
        <v>457.907</v>
      </c>
      <c r="AA46" s="0" t="n">
        <f aca="false">H46*x_c_F+I46*x_c_CC+J46*x_c_DC+K46*x_c_HCC+L46*x_c_PLT+M46*x_c_SVRn+N46*x_c_SVRcc+O46*x_c_LT+P46*x_c_LT1</f>
        <v>249727759.129377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15192992.6904981</v>
      </c>
      <c r="AI46" s="0" t="n">
        <f aca="false">x_AGRI*x_EMP*x_WLOSS*(x_PEN_K74*Q46+x_PEN_C22*R46)</f>
        <v>751624.434124938</v>
      </c>
      <c r="AJ46" s="0" t="n">
        <f aca="false">x_EMP*x_WAGE*(x_WLOSS*(Q46+R46)+S46)+U46*x_ABS_D*x_WAGE/365</f>
        <v>234338050.944187</v>
      </c>
      <c r="AK46" s="0" t="n">
        <f aca="false">AJ46*x_R_FUS</f>
        <v>74144559.3187407</v>
      </c>
      <c r="AL46" s="0" t="n">
        <f aca="false">AJ46*x_R_NFZ</f>
        <v>18198927.3743765</v>
      </c>
      <c r="AM46" s="0" t="n">
        <f aca="false">AJ46*x_R_PIT</f>
        <v>15579771.7174879</v>
      </c>
      <c r="AN46" s="0" t="n">
        <f aca="false">AJ46*x_R_FP</f>
        <v>5975620.29907676</v>
      </c>
      <c r="AO46" s="0" t="n">
        <f aca="false">AA46+AB46+AC46+AD46+AF46</f>
        <v>387561186.739402</v>
      </c>
      <c r="AP46" s="0" t="n">
        <f aca="false">AO46+AE46+AG46+AH46+AI46+AK46+AL46+AM46+AN46</f>
        <v>517404682.573706</v>
      </c>
      <c r="AQ46" s="0" t="n">
        <f aca="false">AO46+AE46+AG46+AJ46</f>
        <v>621899237.683588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2277.735</v>
      </c>
      <c r="I47" s="0" t="n">
        <v>188.384</v>
      </c>
      <c r="J47" s="0" t="n">
        <v>880.696</v>
      </c>
      <c r="K47" s="0" t="n">
        <v>1246.944</v>
      </c>
      <c r="L47" s="0" t="n">
        <v>537.709</v>
      </c>
      <c r="M47" s="0" t="n">
        <v>148121.631</v>
      </c>
      <c r="N47" s="0" t="n">
        <v>7907.451</v>
      </c>
      <c r="O47" s="0" t="n">
        <v>47.359</v>
      </c>
      <c r="P47" s="0" t="n">
        <v>47.39</v>
      </c>
      <c r="Q47" s="0" t="n">
        <v>558.794</v>
      </c>
      <c r="R47" s="0" t="n">
        <v>685.285</v>
      </c>
      <c r="S47" s="0" t="n">
        <v>1999.963</v>
      </c>
      <c r="T47" s="0" t="n">
        <v>2466.119</v>
      </c>
      <c r="U47" s="0" t="n">
        <v>1856.752</v>
      </c>
      <c r="V47" s="0" t="n">
        <v>177417.538</v>
      </c>
      <c r="W47" s="0" t="n">
        <v>166.686</v>
      </c>
      <c r="X47" s="0" t="n">
        <v>367.367</v>
      </c>
      <c r="Y47" s="0" t="n">
        <v>47.359</v>
      </c>
      <c r="Z47" s="0" t="n">
        <v>456.932</v>
      </c>
      <c r="AA47" s="0" t="n">
        <f aca="false">H47*x_c_F+I47*x_c_CC+J47*x_c_DC+K47*x_c_HCC+L47*x_c_PLT+M47*x_c_SVRn+N47*x_c_SVRcc+O47*x_c_LT+P47*x_c_LT1</f>
        <v>250050503.2054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15138668.9969799</v>
      </c>
      <c r="AI47" s="0" t="n">
        <f aca="false">x_AGRI*x_EMP*x_WLOSS*(x_PEN_K74*Q47+x_PEN_C22*R47)</f>
        <v>748323.187645959</v>
      </c>
      <c r="AJ47" s="0" t="n">
        <f aca="false">x_EMP*x_WAGE*(x_WLOSS*(Q47+R47)+S47)+U47*x_ABS_D*x_WAGE/365</f>
        <v>233271216.886115</v>
      </c>
      <c r="AK47" s="0" t="n">
        <f aca="false">AJ47*x_R_FUS</f>
        <v>73807013.0227669</v>
      </c>
      <c r="AL47" s="0" t="n">
        <f aca="false">AJ47*x_R_NFZ</f>
        <v>18116075.9745926</v>
      </c>
      <c r="AM47" s="0" t="n">
        <f aca="false">AJ47*x_R_PIT</f>
        <v>15508844.1365072</v>
      </c>
      <c r="AN47" s="0" t="n">
        <f aca="false">AJ47*x_R_FP</f>
        <v>5948416.03059594</v>
      </c>
      <c r="AO47" s="0" t="n">
        <f aca="false">AA47+AB47+AC47+AD47+AF47</f>
        <v>387883930.815425</v>
      </c>
      <c r="AP47" s="0" t="n">
        <f aca="false">AO47+AE47+AG47+AH47+AI47+AK47+AL47+AM47+AN47</f>
        <v>517151272.164513</v>
      </c>
      <c r="AQ47" s="0" t="n">
        <f aca="false">AO47+AE47+AG47+AJ47</f>
        <v>621155147.70154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2277.431</v>
      </c>
      <c r="I48" s="0" t="n">
        <v>188.669</v>
      </c>
      <c r="J48" s="0" t="n">
        <v>880.138</v>
      </c>
      <c r="K48" s="0" t="n">
        <v>1246.324</v>
      </c>
      <c r="L48" s="0" t="n">
        <v>528.037</v>
      </c>
      <c r="M48" s="0" t="n">
        <v>149868.706</v>
      </c>
      <c r="N48" s="0" t="n">
        <v>7859.255</v>
      </c>
      <c r="O48" s="0" t="n">
        <v>47.355</v>
      </c>
      <c r="P48" s="0" t="n">
        <v>47.357</v>
      </c>
      <c r="Q48" s="0" t="n">
        <v>556.419</v>
      </c>
      <c r="R48" s="0" t="n">
        <v>682.629</v>
      </c>
      <c r="S48" s="0" t="n">
        <v>1991.301</v>
      </c>
      <c r="T48" s="0" t="n">
        <v>2466.1</v>
      </c>
      <c r="U48" s="0" t="n">
        <v>1854.866</v>
      </c>
      <c r="V48" s="0" t="n">
        <v>178716.823</v>
      </c>
      <c r="W48" s="0" t="n">
        <v>166.713</v>
      </c>
      <c r="X48" s="0" t="n">
        <v>367.272</v>
      </c>
      <c r="Y48" s="0" t="n">
        <v>47.355</v>
      </c>
      <c r="Z48" s="0" t="n">
        <v>456.502</v>
      </c>
      <c r="AA48" s="0" t="n">
        <f aca="false">H48*x_c_F+I48*x_c_CC+J48*x_c_DC+K48*x_c_HCC+L48*x_c_PLT+M48*x_c_SVRn+N48*x_c_SVRcc+O48*x_c_LT+P48*x_c_LT1</f>
        <v>250629970.275577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15089141.4766984</v>
      </c>
      <c r="AI48" s="0" t="n">
        <f aca="false">x_AGRI*x_EMP*x_WLOSS*(x_PEN_K74*Q48+x_PEN_C22*R48)</f>
        <v>745305.801886631</v>
      </c>
      <c r="AJ48" s="0" t="n">
        <f aca="false">x_EMP*x_WAGE*(x_WLOSS*(Q48+R48)+S48)+U48*x_ABS_D*x_WAGE/365</f>
        <v>232295434.278809</v>
      </c>
      <c r="AK48" s="0" t="n">
        <f aca="false">AJ48*x_R_FUS</f>
        <v>73498275.4058152</v>
      </c>
      <c r="AL48" s="0" t="n">
        <f aca="false">AJ48*x_R_NFZ</f>
        <v>18040295.7215266</v>
      </c>
      <c r="AM48" s="0" t="n">
        <f aca="false">AJ48*x_R_PIT</f>
        <v>15443970.0360081</v>
      </c>
      <c r="AN48" s="0" t="n">
        <f aca="false">AJ48*x_R_FP</f>
        <v>5923533.57410963</v>
      </c>
      <c r="AO48" s="0" t="n">
        <f aca="false">AA48+AB48+AC48+AD48+AF48</f>
        <v>388463397.885601</v>
      </c>
      <c r="AP48" s="0" t="n">
        <f aca="false">AO48+AE48+AG48+AH48+AI48+AK48+AL48+AM48+AN48</f>
        <v>517203919.901646</v>
      </c>
      <c r="AQ48" s="0" t="n">
        <f aca="false">AO48+AE48+AG48+AJ48</f>
        <v>620758832.16441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2277.168</v>
      </c>
      <c r="I49" s="0" t="n">
        <v>188.907</v>
      </c>
      <c r="J49" s="0" t="n">
        <v>880.445</v>
      </c>
      <c r="K49" s="0" t="n">
        <v>1246.553</v>
      </c>
      <c r="L49" s="0" t="n">
        <v>520.499</v>
      </c>
      <c r="M49" s="0" t="n">
        <v>151632.103</v>
      </c>
      <c r="N49" s="0" t="n">
        <v>7828.447</v>
      </c>
      <c r="O49" s="0" t="n">
        <v>47.392</v>
      </c>
      <c r="P49" s="0" t="n">
        <v>47.374</v>
      </c>
      <c r="Q49" s="0" t="n">
        <v>554.257</v>
      </c>
      <c r="R49" s="0" t="n">
        <v>680.21</v>
      </c>
      <c r="S49" s="0" t="n">
        <v>1983.413</v>
      </c>
      <c r="T49" s="0" t="n">
        <v>2466.075</v>
      </c>
      <c r="U49" s="0" t="n">
        <v>1853.24</v>
      </c>
      <c r="V49" s="0" t="n">
        <v>180039.332</v>
      </c>
      <c r="W49" s="0" t="n">
        <v>166.775</v>
      </c>
      <c r="X49" s="0" t="n">
        <v>367.296</v>
      </c>
      <c r="Y49" s="0" t="n">
        <v>47.392</v>
      </c>
      <c r="Z49" s="0" t="n">
        <v>456.483</v>
      </c>
      <c r="AA49" s="0" t="n">
        <f aca="false">H49*x_c_F+I49*x_c_CC+J49*x_c_DC+K49*x_c_HCC+L49*x_c_PLT+M49*x_c_SVRn+N49*x_c_SVRcc+O49*x_c_LT+P49*x_c_LT1</f>
        <v>251420191.215313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15044231.0263461</v>
      </c>
      <c r="AI49" s="0" t="n">
        <f aca="false">x_AGRI*x_EMP*x_WLOSS*(x_PEN_K74*Q49+x_PEN_C22*R49)</f>
        <v>742558.264224163</v>
      </c>
      <c r="AJ49" s="0" t="n">
        <f aca="false">x_EMP*x_WAGE*(x_WLOSS*(Q49+R49)+S49)+U49*x_ABS_D*x_WAGE/365</f>
        <v>231407132.977844</v>
      </c>
      <c r="AK49" s="0" t="n">
        <f aca="false">AJ49*x_R_FUS</f>
        <v>73217216.8741899</v>
      </c>
      <c r="AL49" s="0" t="n">
        <f aca="false">AJ49*x_R_NFZ</f>
        <v>17971309.3541924</v>
      </c>
      <c r="AM49" s="0" t="n">
        <f aca="false">AJ49*x_R_PIT</f>
        <v>15384912.0578879</v>
      </c>
      <c r="AN49" s="0" t="n">
        <f aca="false">AJ49*x_R_FP</f>
        <v>5900881.89093503</v>
      </c>
      <c r="AO49" s="0" t="n">
        <f aca="false">AA49+AB49+AC49+AD49+AF49</f>
        <v>389253618.825338</v>
      </c>
      <c r="AP49" s="0" t="n">
        <f aca="false">AO49+AE49+AG49+AH49+AI49+AK49+AL49+AM49+AN49</f>
        <v>517514728.293113</v>
      </c>
      <c r="AQ49" s="0" t="n">
        <f aca="false">AO49+AE49+AG49+AJ49</f>
        <v>620660751.803182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2276.97</v>
      </c>
      <c r="I50" s="0" t="n">
        <v>189.073</v>
      </c>
      <c r="J50" s="0" t="n">
        <v>881.321</v>
      </c>
      <c r="K50" s="0" t="n">
        <v>1247.312</v>
      </c>
      <c r="L50" s="0" t="n">
        <v>514.829</v>
      </c>
      <c r="M50" s="0" t="n">
        <v>153400.549</v>
      </c>
      <c r="N50" s="0" t="n">
        <v>7812.62</v>
      </c>
      <c r="O50" s="0" t="n">
        <v>47.455</v>
      </c>
      <c r="P50" s="0" t="n">
        <v>47.424</v>
      </c>
      <c r="Q50" s="0" t="n">
        <v>552.294</v>
      </c>
      <c r="R50" s="0" t="n">
        <v>678.011</v>
      </c>
      <c r="S50" s="0" t="n">
        <v>1976.263</v>
      </c>
      <c r="T50" s="0" t="n">
        <v>2466.043</v>
      </c>
      <c r="U50" s="0" t="n">
        <v>1851.884</v>
      </c>
      <c r="V50" s="0" t="n">
        <v>181373.546</v>
      </c>
      <c r="W50" s="0" t="n">
        <v>166.84</v>
      </c>
      <c r="X50" s="0" t="n">
        <v>367.366</v>
      </c>
      <c r="Y50" s="0" t="n">
        <v>47.455</v>
      </c>
      <c r="Z50" s="0" t="n">
        <v>456.724</v>
      </c>
      <c r="AA50" s="0" t="n">
        <f aca="false">H50*x_c_F+I50*x_c_CC+J50*x_c_DC+K50*x_c_HCC+L50*x_c_PLT+M50*x_c_SVRn+N50*x_c_SVRcc+O50*x_c_LT+P50*x_c_LT1</f>
        <v>252367793.519042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15003676.1853295</v>
      </c>
      <c r="AI50" s="0" t="n">
        <f aca="false">x_AGRI*x_EMP*x_WLOSS*(x_PEN_K74*Q50+x_PEN_C22*R50)</f>
        <v>740061.933716387</v>
      </c>
      <c r="AJ50" s="0" t="n">
        <f aca="false">x_EMP*x_WAGE*(x_WLOSS*(Q50+R50)+S50)+U50*x_ABS_D*x_WAGE/365</f>
        <v>230601845.189949</v>
      </c>
      <c r="AK50" s="0" t="n">
        <f aca="false">AJ50*x_R_FUS</f>
        <v>72962423.8180999</v>
      </c>
      <c r="AL50" s="0" t="n">
        <f aca="false">AJ50*x_R_NFZ</f>
        <v>17908769.8992966</v>
      </c>
      <c r="AM50" s="0" t="n">
        <f aca="false">AJ50*x_R_PIT</f>
        <v>15331373.1646022</v>
      </c>
      <c r="AN50" s="0" t="n">
        <f aca="false">AJ50*x_R_FP</f>
        <v>5880347.0523437</v>
      </c>
      <c r="AO50" s="0" t="n">
        <f aca="false">AA50+AB50+AC50+AD50+AF50</f>
        <v>390201221.129066</v>
      </c>
      <c r="AP50" s="0" t="n">
        <f aca="false">AO50+AE50+AG50+AH50+AI50+AK50+AL50+AM50+AN50</f>
        <v>518027873.182455</v>
      </c>
      <c r="AQ50" s="0" t="n">
        <f aca="false">AO50+AE50+AG50+AJ50</f>
        <v>620803066.319016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2276.848</v>
      </c>
      <c r="I51" s="0" t="n">
        <v>189.153</v>
      </c>
      <c r="J51" s="0" t="n">
        <v>882.481</v>
      </c>
      <c r="K51" s="0" t="n">
        <v>1248.302</v>
      </c>
      <c r="L51" s="0" t="n">
        <v>510.702</v>
      </c>
      <c r="M51" s="0" t="n">
        <v>155158.376</v>
      </c>
      <c r="N51" s="0" t="n">
        <v>7808.654</v>
      </c>
      <c r="O51" s="0" t="n">
        <v>47.528</v>
      </c>
      <c r="P51" s="0" t="n">
        <v>47.492</v>
      </c>
      <c r="Q51" s="0" t="n">
        <v>550.516</v>
      </c>
      <c r="R51" s="0" t="n">
        <v>676.017</v>
      </c>
      <c r="S51" s="0" t="n">
        <v>1969.81</v>
      </c>
      <c r="T51" s="0" t="n">
        <v>2466</v>
      </c>
      <c r="U51" s="0" t="n">
        <v>1850.794</v>
      </c>
      <c r="V51" s="0" t="n">
        <v>182704.422</v>
      </c>
      <c r="W51" s="0" t="n">
        <v>166.88</v>
      </c>
      <c r="X51" s="0" t="n">
        <v>367.425</v>
      </c>
      <c r="Y51" s="0" t="n">
        <v>47.528</v>
      </c>
      <c r="Z51" s="0" t="n">
        <v>457.096</v>
      </c>
      <c r="AA51" s="0" t="n">
        <f aca="false">H51*x_c_F+I51*x_c_CC+J51*x_c_DC+K51*x_c_HCC+L51*x_c_PLT+M51*x_c_SVRn+N51*x_c_SVRcc+O51*x_c_LT+P51*x_c_LT1</f>
        <v>253414114.279366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14967205.9487745</v>
      </c>
      <c r="AI51" s="0" t="n">
        <f aca="false">x_AGRI*x_EMP*x_WLOSS*(x_PEN_K74*Q51+x_PEN_C22*R51)</f>
        <v>737799.441020645</v>
      </c>
      <c r="AJ51" s="0" t="n">
        <f aca="false">x_EMP*x_WAGE*(x_WLOSS*(Q51+R51)+S51)+U51*x_ABS_D*x_WAGE/365</f>
        <v>229874727.811772</v>
      </c>
      <c r="AK51" s="0" t="n">
        <f aca="false">AJ51*x_R_FUS</f>
        <v>72732363.8796445</v>
      </c>
      <c r="AL51" s="0" t="n">
        <f aca="false">AJ51*x_R_NFZ</f>
        <v>17852301.23659</v>
      </c>
      <c r="AM51" s="0" t="n">
        <f aca="false">AJ51*x_R_PIT</f>
        <v>15283031.3664257</v>
      </c>
      <c r="AN51" s="0" t="n">
        <f aca="false">AJ51*x_R_FP</f>
        <v>5861805.55920018</v>
      </c>
      <c r="AO51" s="0" t="n">
        <f aca="false">AA51+AB51+AC51+AD51+AF51</f>
        <v>391247541.88939</v>
      </c>
      <c r="AP51" s="0" t="n">
        <f aca="false">AO51+AE51+AG51+AH51+AI51+AK51+AL51+AM51+AN51</f>
        <v>518682049.321046</v>
      </c>
      <c r="AQ51" s="0" t="n">
        <f aca="false">AO51+AE51+AG51+AJ51</f>
        <v>621122269.701162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2276.806</v>
      </c>
      <c r="I52" s="0" t="n">
        <v>189.142</v>
      </c>
      <c r="J52" s="0" t="n">
        <v>883.675</v>
      </c>
      <c r="K52" s="0" t="n">
        <v>1249.254</v>
      </c>
      <c r="L52" s="0" t="n">
        <v>507.758</v>
      </c>
      <c r="M52" s="0" t="n">
        <v>156886.752</v>
      </c>
      <c r="N52" s="0" t="n">
        <v>7813.011</v>
      </c>
      <c r="O52" s="0" t="n">
        <v>47.598</v>
      </c>
      <c r="P52" s="0" t="n">
        <v>47.563</v>
      </c>
      <c r="Q52" s="0" t="n">
        <v>548.908</v>
      </c>
      <c r="R52" s="0" t="n">
        <v>674.209</v>
      </c>
      <c r="S52" s="0" t="n">
        <v>1964.005</v>
      </c>
      <c r="T52" s="0" t="n">
        <v>2465.948</v>
      </c>
      <c r="U52" s="0" t="n">
        <v>1849.958</v>
      </c>
      <c r="V52" s="0" t="n">
        <v>184014.526</v>
      </c>
      <c r="W52" s="0" t="n">
        <v>166.873</v>
      </c>
      <c r="X52" s="0" t="n">
        <v>367.42</v>
      </c>
      <c r="Y52" s="0" t="n">
        <v>47.598</v>
      </c>
      <c r="Z52" s="0" t="n">
        <v>457.471</v>
      </c>
      <c r="AA52" s="0" t="n">
        <f aca="false">H52*x_c_F+I52*x_c_CC+J52*x_c_DC+K52*x_c_HCC+L52*x_c_PLT+M52*x_c_SVRn+N52*x_c_SVRcc+O52*x_c_LT+P52*x_c_LT1</f>
        <v>254499870.401586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14934485.9246225</v>
      </c>
      <c r="AI52" s="0" t="n">
        <f aca="false">x_AGRI*x_EMP*x_WLOSS*(x_PEN_K74*Q52+x_PEN_C22*R52)</f>
        <v>735750.314141953</v>
      </c>
      <c r="AJ52" s="0" t="n">
        <f aca="false">x_EMP*x_WAGE*(x_WLOSS*(Q52+R52)+S52)+U52*x_ABS_D*x_WAGE/365</f>
        <v>229220001.868558</v>
      </c>
      <c r="AK52" s="0" t="n">
        <f aca="false">AJ52*x_R_FUS</f>
        <v>72525208.5912117</v>
      </c>
      <c r="AL52" s="0" t="n">
        <f aca="false">AJ52*x_R_NFZ</f>
        <v>17801454.5651141</v>
      </c>
      <c r="AM52" s="0" t="n">
        <f aca="false">AJ52*x_R_PIT</f>
        <v>15239502.4529962</v>
      </c>
      <c r="AN52" s="0" t="n">
        <f aca="false">AJ52*x_R_FP</f>
        <v>5845110.04764822</v>
      </c>
      <c r="AO52" s="0" t="n">
        <f aca="false">AA52+AB52+AC52+AD52+AF52</f>
        <v>392333298.01161</v>
      </c>
      <c r="AP52" s="0" t="n">
        <f aca="false">AO52+AE52+AG52+AH52+AI52+AK52+AL52+AM52+AN52</f>
        <v>519414809.907345</v>
      </c>
      <c r="AQ52" s="0" t="n">
        <f aca="false">AO52+AE52+AG52+AJ52</f>
        <v>621553299.880168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611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3382.4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2481.966</v>
      </c>
      <c r="I3" s="0" t="n">
        <v>224.638</v>
      </c>
      <c r="J3" s="0" t="n">
        <v>1577.631</v>
      </c>
      <c r="K3" s="0" t="n">
        <v>2045.807</v>
      </c>
      <c r="L3" s="0" t="n">
        <v>1540.438</v>
      </c>
      <c r="M3" s="0" t="n">
        <v>4500.684</v>
      </c>
      <c r="N3" s="0" t="n">
        <v>399.432</v>
      </c>
      <c r="O3" s="0" t="n">
        <v>84.604</v>
      </c>
      <c r="P3" s="0" t="n">
        <v>42.302</v>
      </c>
      <c r="Q3" s="0" t="n">
        <v>2132.05</v>
      </c>
      <c r="R3" s="0" t="n">
        <v>1380.151</v>
      </c>
      <c r="S3" s="0" t="n">
        <v>268.453</v>
      </c>
      <c r="T3" s="0" t="n">
        <v>2706.604</v>
      </c>
      <c r="U3" s="0" t="n">
        <v>1500.87</v>
      </c>
      <c r="V3" s="0" t="n">
        <v>113431.631</v>
      </c>
      <c r="W3" s="0" t="n">
        <v>262.298</v>
      </c>
      <c r="X3" s="0" t="n">
        <v>580.068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249536265.151337</v>
      </c>
      <c r="AB3" s="0" t="n">
        <f aca="false">C3*x_c_DAA</f>
        <v>76983424</v>
      </c>
      <c r="AC3" s="0" t="n">
        <f aca="false">C3*x_c_MON</f>
        <v>19499975.3270171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34406976.5267033</v>
      </c>
      <c r="AI3" s="0" t="n">
        <f aca="false">x_AGRI*x_EMP*x_WLOSS*(x_PEN_K74*Q3+x_PEN_C22*R3)</f>
        <v>2070282.09757271</v>
      </c>
      <c r="AJ3" s="0" t="n">
        <f aca="false">x_EMP*x_WAGE*(x_WLOSS*(Q3+R3)+S3)+U3*x_ABS_D*x_WAGE/365</f>
        <v>189060991.979102</v>
      </c>
      <c r="AK3" s="0" t="n">
        <f aca="false">AJ3*x_R_FUS</f>
        <v>59818897.8621879</v>
      </c>
      <c r="AL3" s="0" t="n">
        <f aca="false">AJ3*x_R_NFZ</f>
        <v>14682665.6980891</v>
      </c>
      <c r="AM3" s="0" t="n">
        <f aca="false">AJ3*x_R_PIT</f>
        <v>12569563.8580598</v>
      </c>
      <c r="AN3" s="0" t="n">
        <f aca="false">AJ3*x_R_FP</f>
        <v>4821055.2954671</v>
      </c>
      <c r="AO3" s="0" t="n">
        <f aca="false">AA3+AB3+AC3+AD3+AF3</f>
        <v>346019664.478354</v>
      </c>
      <c r="AP3" s="0" t="n">
        <f aca="false">AO3+AE3+AG3+AH3+AI3+AK3+AL3+AM3+AN3</f>
        <v>474389105.816434</v>
      </c>
      <c r="AQ3" s="0" t="n">
        <f aca="false">AO3+AE3+AG3+AJ3</f>
        <v>535080656.457456</v>
      </c>
      <c r="AR3" s="0" t="n">
        <f aca="false">AB3+AC3+AD3+AF3</f>
        <v>96483399.3270171</v>
      </c>
      <c r="AS3" s="0" t="n">
        <f aca="false">AR3+AE3+AG3</f>
        <v>96483399.3270171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3382.4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2964.127</v>
      </c>
      <c r="I4" s="0" t="n">
        <v>287.647</v>
      </c>
      <c r="J4" s="0" t="n">
        <v>1562.068</v>
      </c>
      <c r="K4" s="0" t="n">
        <v>2051.968</v>
      </c>
      <c r="L4" s="0" t="n">
        <v>1487.589</v>
      </c>
      <c r="M4" s="0" t="n">
        <v>7437.792</v>
      </c>
      <c r="N4" s="0" t="n">
        <v>678.333</v>
      </c>
      <c r="O4" s="0" t="n">
        <v>83.406</v>
      </c>
      <c r="P4" s="0" t="n">
        <v>84.005</v>
      </c>
      <c r="Q4" s="0" t="n">
        <v>2132.401</v>
      </c>
      <c r="R4" s="0" t="n">
        <v>1397.353</v>
      </c>
      <c r="S4" s="0" t="n">
        <v>808.33</v>
      </c>
      <c r="T4" s="0" t="n">
        <v>3251.774</v>
      </c>
      <c r="U4" s="0" t="n">
        <v>1855.854</v>
      </c>
      <c r="V4" s="0" t="n">
        <v>114527.917</v>
      </c>
      <c r="W4" s="0" t="n">
        <v>277.111</v>
      </c>
      <c r="X4" s="0" t="n">
        <v>614.639</v>
      </c>
      <c r="Y4" s="0" t="n">
        <v>83.406</v>
      </c>
      <c r="Z4" s="0" t="n">
        <v>797.119</v>
      </c>
      <c r="AA4" s="0" t="n">
        <f aca="false">H4*x_c_F+I4*x_c_CC+J4*x_c_DC+K4*x_c_HCC+L4*x_c_PLT+M4*x_c_SVRn+N4*x_c_SVRcc+O4*x_c_LT+P4*x_c_LT1</f>
        <v>253865895.644305</v>
      </c>
      <c r="AB4" s="0" t="n">
        <f aca="false">C4*x_c_DAA</f>
        <v>76983424</v>
      </c>
      <c r="AC4" s="0" t="n">
        <f aca="false">C4*x_c_MON</f>
        <v>19499975.3270171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35305219.3061614</v>
      </c>
      <c r="AI4" s="0" t="n">
        <f aca="false">x_AGRI*x_EMP*x_WLOSS*(x_PEN_K74*Q4+x_PEN_C22*R4)</f>
        <v>2081415.49304635</v>
      </c>
      <c r="AJ4" s="0" t="n">
        <f aca="false">x_EMP*x_WAGE*(x_WLOSS*(Q4+R4)+S4)+U4*x_ABS_D*x_WAGE/365</f>
        <v>236942337.293122</v>
      </c>
      <c r="AK4" s="0" t="n">
        <f aca="false">AJ4*x_R_FUS</f>
        <v>74968555.5195438</v>
      </c>
      <c r="AL4" s="0" t="n">
        <f aca="false">AJ4*x_R_NFZ</f>
        <v>18401178.8565212</v>
      </c>
      <c r="AM4" s="0" t="n">
        <f aca="false">AJ4*x_R_PIT</f>
        <v>15752915.5438528</v>
      </c>
      <c r="AN4" s="0" t="n">
        <f aca="false">AJ4*x_R_FP</f>
        <v>6042029.60097461</v>
      </c>
      <c r="AO4" s="0" t="n">
        <f aca="false">AA4+AB4+AC4+AD4+AF4</f>
        <v>350349294.971322</v>
      </c>
      <c r="AP4" s="0" t="n">
        <f aca="false">AO4+AE4+AG4+AH4+AI4+AK4+AL4+AM4+AN4</f>
        <v>502900609.291423</v>
      </c>
      <c r="AQ4" s="0" t="n">
        <f aca="false">AO4+AE4+AG4+AJ4</f>
        <v>587291632.264445</v>
      </c>
      <c r="AR4" s="0" t="n">
        <f aca="false">AB4+AC4+AD4+AF4</f>
        <v>96483399.3270171</v>
      </c>
      <c r="AS4" s="0" t="n">
        <f aca="false">AR4+AE4+AG4</f>
        <v>96483399.3270171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3382.4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3391.333</v>
      </c>
      <c r="I5" s="0" t="n">
        <v>353.586</v>
      </c>
      <c r="J5" s="0" t="n">
        <v>1564.188</v>
      </c>
      <c r="K5" s="0" t="n">
        <v>2090.316</v>
      </c>
      <c r="L5" s="0" t="n">
        <v>1470.445</v>
      </c>
      <c r="M5" s="0" t="n">
        <v>10317.148</v>
      </c>
      <c r="N5" s="0" t="n">
        <v>969.154</v>
      </c>
      <c r="O5" s="0" t="n">
        <v>83.31</v>
      </c>
      <c r="P5" s="0" t="n">
        <v>83.358</v>
      </c>
      <c r="Q5" s="0" t="n">
        <v>2142.393</v>
      </c>
      <c r="R5" s="0" t="n">
        <v>1439.83</v>
      </c>
      <c r="S5" s="0" t="n">
        <v>1354.556</v>
      </c>
      <c r="T5" s="0" t="n">
        <v>3744.918</v>
      </c>
      <c r="U5" s="0" t="n">
        <v>2195.609</v>
      </c>
      <c r="V5" s="0" t="n">
        <v>115693.964</v>
      </c>
      <c r="W5" s="0" t="n">
        <v>293.885</v>
      </c>
      <c r="X5" s="0" t="n">
        <v>650.079</v>
      </c>
      <c r="Y5" s="0" t="n">
        <v>83.31</v>
      </c>
      <c r="Z5" s="0" t="n">
        <v>801.54</v>
      </c>
      <c r="AA5" s="0" t="n">
        <f aca="false">H5*x_c_F+I5*x_c_CC+J5*x_c_DC+K5*x_c_HCC+L5*x_c_PLT+M5*x_c_SVRn+N5*x_c_SVRcc+O5*x_c_LT+P5*x_c_LT1</f>
        <v>259888754.065976</v>
      </c>
      <c r="AB5" s="0" t="n">
        <f aca="false">C5*x_c_DAA</f>
        <v>76983424</v>
      </c>
      <c r="AC5" s="0" t="n">
        <f aca="false">C5*x_c_MON</f>
        <v>19499975.3270171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36496875.4655481</v>
      </c>
      <c r="AI5" s="0" t="n">
        <f aca="false">x_AGRI*x_EMP*x_WLOSS*(x_PEN_K74*Q5+x_PEN_C22*R5)</f>
        <v>2114012.41666419</v>
      </c>
      <c r="AJ5" s="0" t="n">
        <f aca="false">x_EMP*x_WAGE*(x_WLOSS*(Q5+R5)+S5)+U5*x_ABS_D*x_WAGE/365</f>
        <v>286928419.629753</v>
      </c>
      <c r="AK5" s="0" t="n">
        <f aca="false">AJ5*x_R_FUS</f>
        <v>90784151.970854</v>
      </c>
      <c r="AL5" s="0" t="n">
        <f aca="false">AJ5*x_R_NFZ</f>
        <v>22283147.9968663</v>
      </c>
      <c r="AM5" s="0" t="n">
        <f aca="false">AJ5*x_R_PIT</f>
        <v>19076198.9317553</v>
      </c>
      <c r="AN5" s="0" t="n">
        <f aca="false">AJ5*x_R_FP</f>
        <v>7316674.70055871</v>
      </c>
      <c r="AO5" s="0" t="n">
        <f aca="false">AA5+AB5+AC5+AD5+AF5</f>
        <v>356372153.392994</v>
      </c>
      <c r="AP5" s="0" t="n">
        <f aca="false">AO5+AE5+AG5+AH5+AI5+AK5+AL5+AM5+AN5</f>
        <v>534443214.87524</v>
      </c>
      <c r="AQ5" s="0" t="n">
        <f aca="false">AO5+AE5+AG5+AJ5</f>
        <v>643300573.022747</v>
      </c>
      <c r="AR5" s="0" t="n">
        <f aca="false">AB5+AC5+AD5+AF5</f>
        <v>96483399.3270171</v>
      </c>
      <c r="AS5" s="0" t="n">
        <f aca="false">AR5+AE5+AG5</f>
        <v>96483399.3270171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3382.4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3768.619</v>
      </c>
      <c r="I6" s="0" t="n">
        <v>421.544</v>
      </c>
      <c r="J6" s="0" t="n">
        <v>1582.25</v>
      </c>
      <c r="K6" s="0" t="n">
        <v>2151.792</v>
      </c>
      <c r="L6" s="0" t="n">
        <v>1452.627</v>
      </c>
      <c r="M6" s="0" t="n">
        <v>13136.489</v>
      </c>
      <c r="N6" s="0" t="n">
        <v>1271.934</v>
      </c>
      <c r="O6" s="0" t="n">
        <v>84.167</v>
      </c>
      <c r="P6" s="0" t="n">
        <v>83.739</v>
      </c>
      <c r="Q6" s="0" t="n">
        <v>2165.67</v>
      </c>
      <c r="R6" s="0" t="n">
        <v>1501.213</v>
      </c>
      <c r="S6" s="0" t="n">
        <v>1911.047</v>
      </c>
      <c r="T6" s="0" t="n">
        <v>4190.164</v>
      </c>
      <c r="U6" s="0" t="n">
        <v>2519.236</v>
      </c>
      <c r="V6" s="0" t="n">
        <v>116906.128</v>
      </c>
      <c r="W6" s="0" t="n">
        <v>311.603</v>
      </c>
      <c r="X6" s="0" t="n">
        <v>685.134</v>
      </c>
      <c r="Y6" s="0" t="n">
        <v>84.167</v>
      </c>
      <c r="Z6" s="0" t="n">
        <v>815.23</v>
      </c>
      <c r="AA6" s="0" t="n">
        <f aca="false">H6*x_c_F+I6*x_c_CC+J6*x_c_DC+K6*x_c_HCC+L6*x_c_PLT+M6*x_c_SVRn+N6*x_c_SVRcc+O6*x_c_LT+P6*x_c_LT1</f>
        <v>267867178.733962</v>
      </c>
      <c r="AB6" s="0" t="n">
        <f aca="false">C6*x_c_DAA</f>
        <v>76983424</v>
      </c>
      <c r="AC6" s="0" t="n">
        <f aca="false">C6*x_c_MON</f>
        <v>19499975.3270171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37949675.9023025</v>
      </c>
      <c r="AI6" s="0" t="n">
        <f aca="false">x_AGRI*x_EMP*x_WLOSS*(x_PEN_K74*Q6+x_PEN_C22*R6)</f>
        <v>2166062.10766102</v>
      </c>
      <c r="AJ6" s="0" t="n">
        <f aca="false">x_EMP*x_WAGE*(x_WLOSS*(Q6+R6)+S6)+U6*x_ABS_D*x_WAGE/365</f>
        <v>339224971.103187</v>
      </c>
      <c r="AK6" s="0" t="n">
        <f aca="false">AJ6*x_R_FUS</f>
        <v>107330780.857048</v>
      </c>
      <c r="AL6" s="0" t="n">
        <f aca="false">AJ6*x_R_NFZ</f>
        <v>26344550.4808446</v>
      </c>
      <c r="AM6" s="0" t="n">
        <f aca="false">AJ6*x_R_PIT</f>
        <v>22553091.9514127</v>
      </c>
      <c r="AN6" s="0" t="n">
        <f aca="false">AJ6*x_R_FP</f>
        <v>8650236.76313127</v>
      </c>
      <c r="AO6" s="0" t="n">
        <f aca="false">AA6+AB6+AC6+AD6+AF6</f>
        <v>364350578.060979</v>
      </c>
      <c r="AP6" s="0" t="n">
        <f aca="false">AO6+AE6+AG6+AH6+AI6+AK6+AL6+AM6+AN6</f>
        <v>569344976.12338</v>
      </c>
      <c r="AQ6" s="0" t="n">
        <f aca="false">AO6+AE6+AG6+AJ6</f>
        <v>703575549.164166</v>
      </c>
      <c r="AR6" s="0" t="n">
        <f aca="false">AB6+AC6+AD6+AF6</f>
        <v>96483399.3270171</v>
      </c>
      <c r="AS6" s="0" t="n">
        <f aca="false">AR6+AE6+AG6</f>
        <v>96483399.3270171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3382.4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4100.529</v>
      </c>
      <c r="I7" s="0" t="n">
        <v>490.275</v>
      </c>
      <c r="J7" s="0" t="n">
        <v>1613.885</v>
      </c>
      <c r="K7" s="0" t="n">
        <v>2228.781</v>
      </c>
      <c r="L7" s="0" t="n">
        <v>1434.989</v>
      </c>
      <c r="M7" s="0" t="n">
        <v>15894.347</v>
      </c>
      <c r="N7" s="0" t="n">
        <v>1585.935</v>
      </c>
      <c r="O7" s="0" t="n">
        <v>85.81</v>
      </c>
      <c r="P7" s="0" t="n">
        <v>84.988</v>
      </c>
      <c r="Q7" s="0" t="n">
        <v>2201.209</v>
      </c>
      <c r="R7" s="0" t="n">
        <v>1576.15</v>
      </c>
      <c r="S7" s="0" t="n">
        <v>2483.899</v>
      </c>
      <c r="T7" s="0" t="n">
        <v>4590.804</v>
      </c>
      <c r="U7" s="0" t="n">
        <v>2825.83</v>
      </c>
      <c r="V7" s="0" t="n">
        <v>118149.594</v>
      </c>
      <c r="W7" s="0" t="n">
        <v>329.456</v>
      </c>
      <c r="X7" s="0" t="n">
        <v>718.818</v>
      </c>
      <c r="Y7" s="0" t="n">
        <v>85.81</v>
      </c>
      <c r="Z7" s="0" t="n">
        <v>835.729</v>
      </c>
      <c r="AA7" s="0" t="n">
        <f aca="false">H7*x_c_F+I7*x_c_CC+J7*x_c_DC+K7*x_c_HCC+L7*x_c_PLT+M7*x_c_SVRn+N7*x_c_SVRcc+O7*x_c_LT+P7*x_c_LT1</f>
        <v>277245617.082215</v>
      </c>
      <c r="AB7" s="0" t="n">
        <f aca="false">C7*x_c_DAA</f>
        <v>76983424</v>
      </c>
      <c r="AC7" s="0" t="n">
        <f aca="false">C7*x_c_MON</f>
        <v>19499975.3270171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39601620.3089322</v>
      </c>
      <c r="AI7" s="0" t="n">
        <f aca="false">x_AGRI*x_EMP*x_WLOSS*(x_PEN_K74*Q7+x_PEN_C22*R7)</f>
        <v>2233589.44501835</v>
      </c>
      <c r="AJ7" s="0" t="n">
        <f aca="false">x_EMP*x_WAGE*(x_WLOSS*(Q7+R7)+S7)+U7*x_ABS_D*x_WAGE/365</f>
        <v>394055463.405813</v>
      </c>
      <c r="AK7" s="0" t="n">
        <f aca="false">AJ7*x_R_FUS</f>
        <v>124679148.621599</v>
      </c>
      <c r="AL7" s="0" t="n">
        <f aca="false">AJ7*x_R_NFZ</f>
        <v>30602741.3435589</v>
      </c>
      <c r="AM7" s="0" t="n">
        <f aca="false">AJ7*x_R_PIT</f>
        <v>26198451.9336712</v>
      </c>
      <c r="AN7" s="0" t="n">
        <f aca="false">AJ7*x_R_FP</f>
        <v>10048414.3168482</v>
      </c>
      <c r="AO7" s="0" t="n">
        <f aca="false">AA7+AB7+AC7+AD7+AF7</f>
        <v>373729016.409232</v>
      </c>
      <c r="AP7" s="0" t="n">
        <f aca="false">AO7+AE7+AG7+AH7+AI7+AK7+AL7+AM7+AN7</f>
        <v>607092982.37886</v>
      </c>
      <c r="AQ7" s="0" t="n">
        <f aca="false">AO7+AE7+AG7+AJ7</f>
        <v>767784479.815045</v>
      </c>
      <c r="AR7" s="0" t="n">
        <f aca="false">AB7+AC7+AD7+AF7</f>
        <v>96483399.3270171</v>
      </c>
      <c r="AS7" s="0" t="n">
        <f aca="false">AR7+AE7+AG7</f>
        <v>96483399.3270171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3382.4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4391.227</v>
      </c>
      <c r="I8" s="0" t="n">
        <v>558.391</v>
      </c>
      <c r="J8" s="0" t="n">
        <v>1656.414</v>
      </c>
      <c r="K8" s="0" t="n">
        <v>2314.976</v>
      </c>
      <c r="L8" s="0" t="n">
        <v>1418.225</v>
      </c>
      <c r="M8" s="0" t="n">
        <v>18590.047</v>
      </c>
      <c r="N8" s="0" t="n">
        <v>1909.819</v>
      </c>
      <c r="O8" s="0" t="n">
        <v>88.067</v>
      </c>
      <c r="P8" s="0" t="n">
        <v>86.938</v>
      </c>
      <c r="Q8" s="0" t="n">
        <v>2247.657</v>
      </c>
      <c r="R8" s="0" t="n">
        <v>1660.198</v>
      </c>
      <c r="S8" s="0" t="n">
        <v>3077.538</v>
      </c>
      <c r="T8" s="0" t="n">
        <v>4949.618</v>
      </c>
      <c r="U8" s="0" t="n">
        <v>3114.584</v>
      </c>
      <c r="V8" s="0" t="n">
        <v>119413.762</v>
      </c>
      <c r="W8" s="0" t="n">
        <v>346.813</v>
      </c>
      <c r="X8" s="0" t="n">
        <v>750.387</v>
      </c>
      <c r="Y8" s="0" t="n">
        <v>88.067</v>
      </c>
      <c r="Z8" s="0" t="n">
        <v>860.901</v>
      </c>
      <c r="AA8" s="0" t="n">
        <f aca="false">H8*x_c_F+I8*x_c_CC+J8*x_c_DC+K8*x_c_HCC+L8*x_c_PLT+M8*x_c_SVRn+N8*x_c_SVRcc+O8*x_c_LT+P8*x_c_LT1</f>
        <v>287534979.469326</v>
      </c>
      <c r="AB8" s="0" t="n">
        <f aca="false">C8*x_c_DAA</f>
        <v>76983424</v>
      </c>
      <c r="AC8" s="0" t="n">
        <f aca="false">C8*x_c_MON</f>
        <v>19499975.3270171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41396860.4414246</v>
      </c>
      <c r="AI8" s="0" t="n">
        <f aca="false">x_AGRI*x_EMP*x_WLOSS*(x_PEN_K74*Q8+x_PEN_C22*R8)</f>
        <v>2313012.63010107</v>
      </c>
      <c r="AJ8" s="0" t="n">
        <f aca="false">x_EMP*x_WAGE*(x_WLOSS*(Q8+R8)+S8)+U8*x_ABS_D*x_WAGE/365</f>
        <v>451527938.490361</v>
      </c>
      <c r="AK8" s="0" t="n">
        <f aca="false">AJ8*x_R_FUS</f>
        <v>142863439.73835</v>
      </c>
      <c r="AL8" s="0" t="n">
        <f aca="false">AJ8*x_R_NFZ</f>
        <v>35066111.2311</v>
      </c>
      <c r="AM8" s="0" t="n">
        <f aca="false">AJ8*x_R_PIT</f>
        <v>30019461.9584987</v>
      </c>
      <c r="AN8" s="0" t="n">
        <f aca="false">AJ8*x_R_FP</f>
        <v>11513962.4315042</v>
      </c>
      <c r="AO8" s="0" t="n">
        <f aca="false">AA8+AB8+AC8+AD8+AF8</f>
        <v>384018378.796343</v>
      </c>
      <c r="AP8" s="0" t="n">
        <f aca="false">AO8+AE8+AG8+AH8+AI8+AK8+AL8+AM8+AN8</f>
        <v>647191227.227322</v>
      </c>
      <c r="AQ8" s="0" t="n">
        <f aca="false">AO8+AE8+AG8+AJ8</f>
        <v>835546317.286704</v>
      </c>
      <c r="AR8" s="0" t="n">
        <f aca="false">AB8+AC8+AD8+AF8</f>
        <v>96483399.3270171</v>
      </c>
      <c r="AS8" s="0" t="n">
        <f aca="false">AR8+AE8+AG8</f>
        <v>96483399.3270171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3382.4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4644.399</v>
      </c>
      <c r="I9" s="0" t="n">
        <v>624.485</v>
      </c>
      <c r="J9" s="0" t="n">
        <v>1707.032</v>
      </c>
      <c r="K9" s="0" t="n">
        <v>2405.183</v>
      </c>
      <c r="L9" s="0" t="n">
        <v>1402.829</v>
      </c>
      <c r="M9" s="0" t="n">
        <v>21223.25</v>
      </c>
      <c r="N9" s="0" t="n">
        <v>2241.748</v>
      </c>
      <c r="O9" s="0" t="n">
        <v>90.767</v>
      </c>
      <c r="P9" s="0" t="n">
        <v>89.417</v>
      </c>
      <c r="Q9" s="0" t="n">
        <v>2303.436</v>
      </c>
      <c r="R9" s="0" t="n">
        <v>1749.682</v>
      </c>
      <c r="S9" s="0" t="n">
        <v>3694.881</v>
      </c>
      <c r="T9" s="0" t="n">
        <v>5268.884</v>
      </c>
      <c r="U9" s="0" t="n">
        <v>3384.763</v>
      </c>
      <c r="V9" s="0" t="n">
        <v>120688.239</v>
      </c>
      <c r="W9" s="0" t="n">
        <v>363.183</v>
      </c>
      <c r="X9" s="0" t="n">
        <v>779.272</v>
      </c>
      <c r="Y9" s="0" t="n">
        <v>90.767</v>
      </c>
      <c r="Z9" s="0" t="n">
        <v>888.869</v>
      </c>
      <c r="AA9" s="0" t="n">
        <f aca="false">H9*x_c_F+I9*x_c_CC+J9*x_c_DC+K9*x_c_HCC+L9*x_c_PLT+M9*x_c_SVRn+N9*x_c_SVRcc+O9*x_c_LT+P9*x_c_LT1</f>
        <v>298304951.858873</v>
      </c>
      <c r="AB9" s="0" t="n">
        <f aca="false">C9*x_c_DAA</f>
        <v>76983424</v>
      </c>
      <c r="AC9" s="0" t="n">
        <f aca="false">C9*x_c_MON</f>
        <v>19499975.3270171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43285179.1010322</v>
      </c>
      <c r="AI9" s="0" t="n">
        <f aca="false">x_AGRI*x_EMP*x_WLOSS*(x_PEN_K74*Q9+x_PEN_C22*R9)</f>
        <v>2401112.28148984</v>
      </c>
      <c r="AJ9" s="0" t="n">
        <f aca="false">x_EMP*x_WAGE*(x_WLOSS*(Q9+R9)+S9)+U9*x_ABS_D*x_WAGE/365</f>
        <v>511647001.059666</v>
      </c>
      <c r="AK9" s="0" t="n">
        <f aca="false">AJ9*x_R_FUS</f>
        <v>161885111.135278</v>
      </c>
      <c r="AL9" s="0" t="n">
        <f aca="false">AJ9*x_R_NFZ</f>
        <v>39735017.7492947</v>
      </c>
      <c r="AM9" s="0" t="n">
        <f aca="false">AJ9*x_R_PIT</f>
        <v>34016428.1657589</v>
      </c>
      <c r="AN9" s="0" t="n">
        <f aca="false">AJ9*x_R_FP</f>
        <v>13046998.5270215</v>
      </c>
      <c r="AO9" s="0" t="n">
        <f aca="false">AA9+AB9+AC9+AD9+AF9</f>
        <v>394788351.18589</v>
      </c>
      <c r="AP9" s="0" t="n">
        <f aca="false">AO9+AE9+AG9+AH9+AI9+AK9+AL9+AM9+AN9</f>
        <v>689158198.145766</v>
      </c>
      <c r="AQ9" s="0" t="n">
        <f aca="false">AO9+AE9+AG9+AJ9</f>
        <v>906435352.245557</v>
      </c>
      <c r="AR9" s="0" t="n">
        <f aca="false">AB9+AC9+AD9+AF9</f>
        <v>96483399.3270171</v>
      </c>
      <c r="AS9" s="0" t="n">
        <f aca="false">AR9+AE9+AG9</f>
        <v>96483399.3270171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3382.4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4863.318</v>
      </c>
      <c r="I10" s="0" t="n">
        <v>687.232</v>
      </c>
      <c r="J10" s="0" t="n">
        <v>1762.983</v>
      </c>
      <c r="K10" s="0" t="n">
        <v>2495.199</v>
      </c>
      <c r="L10" s="0" t="n">
        <v>1389.119</v>
      </c>
      <c r="M10" s="0" t="n">
        <v>23793.987</v>
      </c>
      <c r="N10" s="0" t="n">
        <v>2579.52</v>
      </c>
      <c r="O10" s="0" t="n">
        <v>93.749</v>
      </c>
      <c r="P10" s="0" t="n">
        <v>92.258</v>
      </c>
      <c r="Q10" s="0" t="n">
        <v>2366.858</v>
      </c>
      <c r="R10" s="0" t="n">
        <v>1841.605</v>
      </c>
      <c r="S10" s="0" t="n">
        <v>4337.547</v>
      </c>
      <c r="T10" s="0" t="n">
        <v>5550.55</v>
      </c>
      <c r="U10" s="0" t="n">
        <v>3635.705</v>
      </c>
      <c r="V10" s="0" t="n">
        <v>121964.176</v>
      </c>
      <c r="W10" s="0" t="n">
        <v>378.204</v>
      </c>
      <c r="X10" s="0" t="n">
        <v>805.08</v>
      </c>
      <c r="Y10" s="0" t="n">
        <v>93.749</v>
      </c>
      <c r="Z10" s="0" t="n">
        <v>918.076</v>
      </c>
      <c r="AA10" s="0" t="n">
        <f aca="false">H10*x_c_F+I10*x_c_CC+J10*x_c_DC+K10*x_c_HCC+L10*x_c_PLT+M10*x_c_SVRn+N10*x_c_SVRcc+O10*x_c_LT+P10*x_c_LT1</f>
        <v>309184942.080151</v>
      </c>
      <c r="AB10" s="0" t="n">
        <f aca="false">C10*x_c_DAA</f>
        <v>76983424</v>
      </c>
      <c r="AC10" s="0" t="n">
        <f aca="false">C10*x_c_MON</f>
        <v>19499975.3270171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45222099.835534</v>
      </c>
      <c r="AI10" s="0" t="n">
        <f aca="false">x_AGRI*x_EMP*x_WLOSS*(x_PEN_K74*Q10+x_PEN_C22*R10)</f>
        <v>2495038.55013406</v>
      </c>
      <c r="AJ10" s="0" t="n">
        <f aca="false">x_EMP*x_WAGE*(x_WLOSS*(Q10+R10)+S10)+U10*x_ABS_D*x_WAGE/365</f>
        <v>574332962.910464</v>
      </c>
      <c r="AK10" s="0" t="n">
        <f aca="false">AJ10*x_R_FUS</f>
        <v>181718949.464871</v>
      </c>
      <c r="AL10" s="0" t="n">
        <f aca="false">AJ10*x_R_NFZ</f>
        <v>44603272.2325895</v>
      </c>
      <c r="AM10" s="0" t="n">
        <f aca="false">AJ10*x_R_PIT</f>
        <v>38184052.5510927</v>
      </c>
      <c r="AN10" s="0" t="n">
        <f aca="false">AJ10*x_R_FP</f>
        <v>14645490.5542168</v>
      </c>
      <c r="AO10" s="0" t="n">
        <f aca="false">AA10+AB10+AC10+AD10+AF10</f>
        <v>405668341.407168</v>
      </c>
      <c r="AP10" s="0" t="n">
        <f aca="false">AO10+AE10+AG10+AH10+AI10+AK10+AL10+AM10+AN10</f>
        <v>732537244.595605</v>
      </c>
      <c r="AQ10" s="0" t="n">
        <f aca="false">AO10+AE10+AG10+AJ10</f>
        <v>980001304.317631</v>
      </c>
      <c r="AR10" s="0" t="n">
        <f aca="false">AB10+AC10+AD10+AF10</f>
        <v>96483399.3270171</v>
      </c>
      <c r="AS10" s="0" t="n">
        <f aca="false">AR10+AE10+AG10</f>
        <v>96483399.3270171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3382.4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5050.861</v>
      </c>
      <c r="I11" s="0" t="n">
        <v>745.445</v>
      </c>
      <c r="J11" s="0" t="n">
        <v>1821.666</v>
      </c>
      <c r="K11" s="0" t="n">
        <v>2581.678</v>
      </c>
      <c r="L11" s="0" t="n">
        <v>1377.242</v>
      </c>
      <c r="M11" s="0" t="n">
        <v>26302.389</v>
      </c>
      <c r="N11" s="0" t="n">
        <v>2920.653</v>
      </c>
      <c r="O11" s="0" t="n">
        <v>96.866</v>
      </c>
      <c r="P11" s="0" t="n">
        <v>95.308</v>
      </c>
      <c r="Q11" s="0" t="n">
        <v>2436.212</v>
      </c>
      <c r="R11" s="0" t="n">
        <v>1933.546</v>
      </c>
      <c r="S11" s="0" t="n">
        <v>5006</v>
      </c>
      <c r="T11" s="0" t="n">
        <v>5796.306</v>
      </c>
      <c r="U11" s="0" t="n">
        <v>3866.82</v>
      </c>
      <c r="V11" s="0" t="n">
        <v>123233.876</v>
      </c>
      <c r="W11" s="0" t="n">
        <v>391.608</v>
      </c>
      <c r="X11" s="0" t="n">
        <v>827.536</v>
      </c>
      <c r="Y11" s="0" t="n">
        <v>96.866</v>
      </c>
      <c r="Z11" s="0" t="n">
        <v>947.173</v>
      </c>
      <c r="AA11" s="0" t="n">
        <f aca="false">H11*x_c_F+I11*x_c_CC+J11*x_c_DC+K11*x_c_HCC+L11*x_c_PLT+M11*x_c_SVRn+N11*x_c_SVRcc+O11*x_c_LT+P11*x_c_LT1</f>
        <v>319859945.06103</v>
      </c>
      <c r="AB11" s="0" t="n">
        <f aca="false">C11*x_c_DAA</f>
        <v>76983424</v>
      </c>
      <c r="AC11" s="0" t="n">
        <f aca="false">C11*x_c_MON</f>
        <v>19499975.3270171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47168640.1086699</v>
      </c>
      <c r="AI11" s="0" t="n">
        <f aca="false">x_AGRI*x_EMP*x_WLOSS*(x_PEN_K74*Q11+x_PEN_C22*R11)</f>
        <v>2592294.94021503</v>
      </c>
      <c r="AJ11" s="0" t="n">
        <f aca="false">x_EMP*x_WAGE*(x_WLOSS*(Q11+R11)+S11)+U11*x_ABS_D*x_WAGE/365</f>
        <v>639433341.380425</v>
      </c>
      <c r="AK11" s="0" t="n">
        <f aca="false">AJ11*x_R_FUS</f>
        <v>202316709.212767</v>
      </c>
      <c r="AL11" s="0" t="n">
        <f aca="false">AJ11*x_R_NFZ</f>
        <v>49659032.7249452</v>
      </c>
      <c r="AM11" s="0" t="n">
        <f aca="false">AJ11*x_R_PIT</f>
        <v>42512197.4306693</v>
      </c>
      <c r="AN11" s="0" t="n">
        <f aca="false">AJ11*x_R_FP</f>
        <v>16305550.2052008</v>
      </c>
      <c r="AO11" s="0" t="n">
        <f aca="false">AA11+AB11+AC11+AD11+AF11</f>
        <v>416343344.388047</v>
      </c>
      <c r="AP11" s="0" t="n">
        <f aca="false">AO11+AE11+AG11+AH11+AI11+AK11+AL11+AM11+AN11</f>
        <v>776897769.010513</v>
      </c>
      <c r="AQ11" s="0" t="n">
        <f aca="false">AO11+AE11+AG11+AJ11</f>
        <v>1055776685.76847</v>
      </c>
      <c r="AR11" s="0" t="n">
        <f aca="false">AB11+AC11+AD11+AF11</f>
        <v>96483399.3270171</v>
      </c>
      <c r="AS11" s="0" t="n">
        <f aca="false">AR11+AE11+AG11</f>
        <v>96483399.3270171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3382.4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5209.567</v>
      </c>
      <c r="I12" s="0" t="n">
        <v>798.122</v>
      </c>
      <c r="J12" s="0" t="n">
        <v>1880.712</v>
      </c>
      <c r="K12" s="0" t="n">
        <v>2662.028</v>
      </c>
      <c r="L12" s="0" t="n">
        <v>1367.196</v>
      </c>
      <c r="M12" s="0" t="n">
        <v>28748.768</v>
      </c>
      <c r="N12" s="0" t="n">
        <v>3262.487</v>
      </c>
      <c r="O12" s="0" t="n">
        <v>99.987</v>
      </c>
      <c r="P12" s="0" t="n">
        <v>98.426</v>
      </c>
      <c r="Q12" s="0" t="n">
        <v>2509.815</v>
      </c>
      <c r="R12" s="0" t="n">
        <v>2023.585</v>
      </c>
      <c r="S12" s="0" t="n">
        <v>5699.711</v>
      </c>
      <c r="T12" s="0" t="n">
        <v>6007.689</v>
      </c>
      <c r="U12" s="0" t="n">
        <v>4077.601</v>
      </c>
      <c r="V12" s="0" t="n">
        <v>124490.936</v>
      </c>
      <c r="W12" s="0" t="n">
        <v>403.231</v>
      </c>
      <c r="X12" s="0" t="n">
        <v>846.508</v>
      </c>
      <c r="Y12" s="0" t="n">
        <v>99.987</v>
      </c>
      <c r="Z12" s="0" t="n">
        <v>975.101</v>
      </c>
      <c r="AA12" s="0" t="n">
        <f aca="false">H12*x_c_F+I12*x_c_CC+J12*x_c_DC+K12*x_c_HCC+L12*x_c_PLT+M12*x_c_SVRn+N12*x_c_SVRcc+O12*x_c_LT+P12*x_c_LT1</f>
        <v>330067502.202822</v>
      </c>
      <c r="AB12" s="0" t="n">
        <f aca="false">C12*x_c_DAA</f>
        <v>76983424</v>
      </c>
      <c r="AC12" s="0" t="n">
        <f aca="false">C12*x_c_MON</f>
        <v>19499975.3270171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49091044.1505683</v>
      </c>
      <c r="AI12" s="0" t="n">
        <f aca="false">x_AGRI*x_EMP*x_WLOSS*(x_PEN_K74*Q12+x_PEN_C22*R12)</f>
        <v>2690719.15628333</v>
      </c>
      <c r="AJ12" s="0" t="n">
        <f aca="false">x_EMP*x_WAGE*(x_WLOSS*(Q12+R12)+S12)+U12*x_ABS_D*x_WAGE/365</f>
        <v>706735598.473395</v>
      </c>
      <c r="AK12" s="0" t="n">
        <f aca="false">AJ12*x_R_FUS</f>
        <v>223611143.356982</v>
      </c>
      <c r="AL12" s="0" t="n">
        <f aca="false">AJ12*x_R_NFZ</f>
        <v>54885793.3130424</v>
      </c>
      <c r="AM12" s="0" t="n">
        <f aca="false">AJ12*x_R_PIT</f>
        <v>46986732.3914039</v>
      </c>
      <c r="AN12" s="0" t="n">
        <f aca="false">AJ12*x_R_FP</f>
        <v>18021757.7610716</v>
      </c>
      <c r="AO12" s="0" t="n">
        <f aca="false">AA12+AB12+AC12+AD12+AF12</f>
        <v>426550901.529839</v>
      </c>
      <c r="AP12" s="0" t="n">
        <f aca="false">AO12+AE12+AG12+AH12+AI12+AK12+AL12+AM12+AN12</f>
        <v>821838091.659191</v>
      </c>
      <c r="AQ12" s="0" t="n">
        <f aca="false">AO12+AE12+AG12+AJ12</f>
        <v>1133286500.00323</v>
      </c>
      <c r="AR12" s="0" t="n">
        <f aca="false">AB12+AC12+AD12+AF12</f>
        <v>96483399.3270171</v>
      </c>
      <c r="AS12" s="0" t="n">
        <f aca="false">AR12+AE12+AG12</f>
        <v>96483399.3270171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3382.4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5341.626</v>
      </c>
      <c r="I13" s="0" t="n">
        <v>844.453</v>
      </c>
      <c r="J13" s="0" t="n">
        <v>1938.008</v>
      </c>
      <c r="K13" s="0" t="n">
        <v>2734.273</v>
      </c>
      <c r="L13" s="0" t="n">
        <v>1358.834</v>
      </c>
      <c r="M13" s="0" t="n">
        <v>31133.172</v>
      </c>
      <c r="N13" s="0" t="n">
        <v>3602.198</v>
      </c>
      <c r="O13" s="0" t="n">
        <v>102.993</v>
      </c>
      <c r="P13" s="0" t="n">
        <v>101.49</v>
      </c>
      <c r="Q13" s="0" t="n">
        <v>2586.066</v>
      </c>
      <c r="R13" s="0" t="n">
        <v>2110.227</v>
      </c>
      <c r="S13" s="0" t="n">
        <v>6417.28</v>
      </c>
      <c r="T13" s="0" t="n">
        <v>6186.079</v>
      </c>
      <c r="U13" s="0" t="n">
        <v>4267.634</v>
      </c>
      <c r="V13" s="0" t="n">
        <v>125729.13</v>
      </c>
      <c r="W13" s="0" t="n">
        <v>412.958</v>
      </c>
      <c r="X13" s="0" t="n">
        <v>861.915</v>
      </c>
      <c r="Y13" s="0" t="n">
        <v>102.993</v>
      </c>
      <c r="Z13" s="0" t="n">
        <v>1000.94</v>
      </c>
      <c r="AA13" s="0" t="n">
        <f aca="false">H13*x_c_F+I13*x_c_CC+J13*x_c_DC+K13*x_c_HCC+L13*x_c_PLT+M13*x_c_SVRn+N13*x_c_SVRcc+O13*x_c_LT+P13*x_c_LT1</f>
        <v>339588317.248855</v>
      </c>
      <c r="AB13" s="0" t="n">
        <f aca="false">C13*x_c_DAA</f>
        <v>76983424</v>
      </c>
      <c r="AC13" s="0" t="n">
        <f aca="false">C13*x_c_MON</f>
        <v>19499975.3270171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50960529.5252172</v>
      </c>
      <c r="AI13" s="0" t="n">
        <f aca="false">x_AGRI*x_EMP*x_WLOSS*(x_PEN_K74*Q13+x_PEN_C22*R13)</f>
        <v>2788464.99295632</v>
      </c>
      <c r="AJ13" s="0" t="n">
        <f aca="false">x_EMP*x_WAGE*(x_WLOSS*(Q13+R13)+S13)+U13*x_ABS_D*x_WAGE/365</f>
        <v>775976558.743084</v>
      </c>
      <c r="AK13" s="0" t="n">
        <f aca="false">AJ13*x_R_FUS</f>
        <v>245518983.186312</v>
      </c>
      <c r="AL13" s="0" t="n">
        <f aca="false">AJ13*x_R_NFZ</f>
        <v>60263115.5285466</v>
      </c>
      <c r="AM13" s="0" t="n">
        <f aca="false">AJ13*x_R_PIT</f>
        <v>51590160.4311733</v>
      </c>
      <c r="AN13" s="0" t="n">
        <f aca="false">AJ13*x_R_FP</f>
        <v>19787402.2479486</v>
      </c>
      <c r="AO13" s="0" t="n">
        <f aca="false">AA13+AB13+AC13+AD13+AF13</f>
        <v>436071716.575872</v>
      </c>
      <c r="AP13" s="0" t="n">
        <f aca="false">AO13+AE13+AG13+AH13+AI13+AK13+AL13+AM13+AN13</f>
        <v>866980372.488026</v>
      </c>
      <c r="AQ13" s="0" t="n">
        <f aca="false">AO13+AE13+AG13+AJ13</f>
        <v>1212048275.31896</v>
      </c>
      <c r="AR13" s="0" t="n">
        <f aca="false">AB13+AC13+AD13+AF13</f>
        <v>96483399.3270171</v>
      </c>
      <c r="AS13" s="0" t="n">
        <f aca="false">AR13+AE13+AG13</f>
        <v>96483399.3270171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3382.4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5448.859</v>
      </c>
      <c r="I14" s="0" t="n">
        <v>883.813</v>
      </c>
      <c r="J14" s="0" t="n">
        <v>1991.7</v>
      </c>
      <c r="K14" s="0" t="n">
        <v>2796.941</v>
      </c>
      <c r="L14" s="0" t="n">
        <v>1351.87</v>
      </c>
      <c r="M14" s="0" t="n">
        <v>33455.174</v>
      </c>
      <c r="N14" s="0" t="n">
        <v>3936.835</v>
      </c>
      <c r="O14" s="0" t="n">
        <v>105.789</v>
      </c>
      <c r="P14" s="0" t="n">
        <v>104.391</v>
      </c>
      <c r="Q14" s="0" t="n">
        <v>2663.45</v>
      </c>
      <c r="R14" s="0" t="n">
        <v>2192.318</v>
      </c>
      <c r="S14" s="0" t="n">
        <v>7156.514</v>
      </c>
      <c r="T14" s="0" t="n">
        <v>6332.673</v>
      </c>
      <c r="U14" s="0" t="n">
        <v>4436.549</v>
      </c>
      <c r="V14" s="0" t="n">
        <v>126941.367</v>
      </c>
      <c r="W14" s="0" t="n">
        <v>420.739</v>
      </c>
      <c r="X14" s="0" t="n">
        <v>873.768</v>
      </c>
      <c r="Y14" s="0" t="n">
        <v>105.789</v>
      </c>
      <c r="Z14" s="0" t="n">
        <v>1023.999</v>
      </c>
      <c r="AA14" s="0" t="n">
        <f aca="false">H14*x_c_F+I14*x_c_CC+J14*x_c_DC+K14*x_c_HCC+L14*x_c_PLT+M14*x_c_SVRn+N14*x_c_SVRcc+O14*x_c_LT+P14*x_c_LT1</f>
        <v>348243162.173591</v>
      </c>
      <c r="AB14" s="0" t="n">
        <f aca="false">C14*x_c_DAA</f>
        <v>76983424</v>
      </c>
      <c r="AC14" s="0" t="n">
        <f aca="false">C14*x_c_MON</f>
        <v>19499975.3270171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52752412.2492479</v>
      </c>
      <c r="AI14" s="0" t="n">
        <f aca="false">x_AGRI*x_EMP*x_WLOSS*(x_PEN_K74*Q14+x_PEN_C22*R14)</f>
        <v>2883951.16555211</v>
      </c>
      <c r="AJ14" s="0" t="n">
        <f aca="false">x_EMP*x_WAGE*(x_WLOSS*(Q14+R14)+S14)+U14*x_ABS_D*x_WAGE/365</f>
        <v>846845231.063251</v>
      </c>
      <c r="AK14" s="0" t="n">
        <f aca="false">AJ14*x_R_FUS</f>
        <v>267941831.108413</v>
      </c>
      <c r="AL14" s="0" t="n">
        <f aca="false">AJ14*x_R_NFZ</f>
        <v>65766847.4896031</v>
      </c>
      <c r="AM14" s="0" t="n">
        <f aca="false">AJ14*x_R_PIT</f>
        <v>56301805.5618766</v>
      </c>
      <c r="AN14" s="0" t="n">
        <f aca="false">AJ14*x_R_FP</f>
        <v>21594553.3921129</v>
      </c>
      <c r="AO14" s="0" t="n">
        <f aca="false">AA14+AB14+AC14+AD14+AF14</f>
        <v>444726561.500608</v>
      </c>
      <c r="AP14" s="0" t="n">
        <f aca="false">AO14+AE14+AG14+AH14+AI14+AK14+AL14+AM14+AN14</f>
        <v>911967962.467413</v>
      </c>
      <c r="AQ14" s="0" t="n">
        <f aca="false">AO14+AE14+AG14+AJ14</f>
        <v>1291571792.56386</v>
      </c>
      <c r="AR14" s="0" t="n">
        <f aca="false">AB14+AC14+AD14+AF14</f>
        <v>96483399.3270171</v>
      </c>
      <c r="AS14" s="0" t="n">
        <f aca="false">AR14+AE14+AG14</f>
        <v>96483399.3270171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3382.4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5532.867</v>
      </c>
      <c r="I15" s="0" t="n">
        <v>915.788</v>
      </c>
      <c r="J15" s="0" t="n">
        <v>2040.247</v>
      </c>
      <c r="K15" s="0" t="n">
        <v>2849.037</v>
      </c>
      <c r="L15" s="0" t="n">
        <v>1345.937</v>
      </c>
      <c r="M15" s="0" t="n">
        <v>35714.291</v>
      </c>
      <c r="N15" s="0" t="n">
        <v>4263.425</v>
      </c>
      <c r="O15" s="0" t="n">
        <v>108.29</v>
      </c>
      <c r="P15" s="0" t="n">
        <v>107.04</v>
      </c>
      <c r="Q15" s="0" t="n">
        <v>1774.537</v>
      </c>
      <c r="R15" s="0" t="n">
        <v>1481.967</v>
      </c>
      <c r="S15" s="0" t="n">
        <v>5015.346</v>
      </c>
      <c r="T15" s="0" t="n">
        <v>6448.655</v>
      </c>
      <c r="U15" s="0" t="n">
        <v>3804.199</v>
      </c>
      <c r="V15" s="0" t="n">
        <v>128122.368</v>
      </c>
      <c r="W15" s="0" t="n">
        <v>426.573</v>
      </c>
      <c r="X15" s="0" t="n">
        <v>882.132</v>
      </c>
      <c r="Y15" s="0" t="n">
        <v>108.29</v>
      </c>
      <c r="Z15" s="0" t="n">
        <v>1043.73</v>
      </c>
      <c r="AA15" s="0" t="n">
        <f aca="false">H15*x_c_F+I15*x_c_CC+J15*x_c_DC+K15*x_c_HCC+L15*x_c_PLT+M15*x_c_SVRn+N15*x_c_SVRcc+O15*x_c_LT+P15*x_c_LT1</f>
        <v>355890657.998284</v>
      </c>
      <c r="AB15" s="0" t="n">
        <f aca="false">C15*x_c_DAA</f>
        <v>76983424</v>
      </c>
      <c r="AC15" s="0" t="n">
        <f aca="false">C15*x_c_MON</f>
        <v>19499975.3270171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37095735.7886533</v>
      </c>
      <c r="AI15" s="0" t="n">
        <f aca="false">x_AGRI*x_EMP*x_WLOSS*(x_PEN_K74*Q15+x_PEN_C22*R15)</f>
        <v>1935004.85368952</v>
      </c>
      <c r="AJ15" s="0" t="n">
        <f aca="false">x_EMP*x_WAGE*(x_WLOSS*(Q15+R15)+S15)+U15*x_ABS_D*x_WAGE/365</f>
        <v>588772307.727126</v>
      </c>
      <c r="AK15" s="0" t="n">
        <f aca="false">AJ15*x_R_FUS</f>
        <v>186287558.164863</v>
      </c>
      <c r="AL15" s="0" t="n">
        <f aca="false">AJ15*x_R_NFZ</f>
        <v>45724646.1903963</v>
      </c>
      <c r="AM15" s="0" t="n">
        <f aca="false">AJ15*x_R_PIT</f>
        <v>39144040.4620925</v>
      </c>
      <c r="AN15" s="0" t="n">
        <f aca="false">AJ15*x_R_FP</f>
        <v>15013693.8470417</v>
      </c>
      <c r="AO15" s="0" t="n">
        <f aca="false">AA15+AB15+AC15+AD15+AF15</f>
        <v>452374057.325301</v>
      </c>
      <c r="AP15" s="0" t="n">
        <f aca="false">AO15+AE15+AG15+AH15+AI15+AK15+AL15+AM15+AN15</f>
        <v>777574736.632037</v>
      </c>
      <c r="AQ15" s="0" t="n">
        <f aca="false">AO15+AE15+AG15+AJ15</f>
        <v>1041146365.05243</v>
      </c>
      <c r="AR15" s="0" t="n">
        <f aca="false">AB15+AC15+AD15+AF15</f>
        <v>96483399.3270171</v>
      </c>
      <c r="AS15" s="0" t="n">
        <f aca="false">AR15+AE15+AG15</f>
        <v>96483399.3270171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3382.4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5595.029</v>
      </c>
      <c r="I16" s="0" t="n">
        <v>940.156</v>
      </c>
      <c r="J16" s="0" t="n">
        <v>2082.397</v>
      </c>
      <c r="K16" s="0" t="n">
        <v>2889.956</v>
      </c>
      <c r="L16" s="0" t="n">
        <v>1340.59</v>
      </c>
      <c r="M16" s="0" t="n">
        <v>37909.739</v>
      </c>
      <c r="N16" s="0" t="n">
        <v>4578.989</v>
      </c>
      <c r="O16" s="0" t="n">
        <v>110.434</v>
      </c>
      <c r="P16" s="0" t="n">
        <v>109.362</v>
      </c>
      <c r="Q16" s="0" t="n">
        <v>865.052</v>
      </c>
      <c r="R16" s="0" t="n">
        <v>752.097</v>
      </c>
      <c r="S16" s="0" t="n">
        <v>2633.105</v>
      </c>
      <c r="T16" s="0" t="n">
        <v>6535.185</v>
      </c>
      <c r="U16" s="0" t="n">
        <v>3178.482</v>
      </c>
      <c r="V16" s="0" t="n">
        <v>129267.277</v>
      </c>
      <c r="W16" s="0" t="n">
        <v>430.501</v>
      </c>
      <c r="X16" s="0" t="n">
        <v>887.134</v>
      </c>
      <c r="Y16" s="0" t="n">
        <v>110.434</v>
      </c>
      <c r="Z16" s="0" t="n">
        <v>1059.752</v>
      </c>
      <c r="AA16" s="0" t="n">
        <f aca="false">H16*x_c_F+I16*x_c_CC+J16*x_c_DC+K16*x_c_HCC+L16*x_c_PLT+M16*x_c_SVRn+N16*x_c_SVRcc+O16*x_c_LT+P16*x_c_LT1</f>
        <v>362425422.353043</v>
      </c>
      <c r="AB16" s="0" t="n">
        <f aca="false">C16*x_c_DAA</f>
        <v>76983424</v>
      </c>
      <c r="AC16" s="0" t="n">
        <f aca="false">C16*x_c_MON</f>
        <v>19499975.3270171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21090820.9062845</v>
      </c>
      <c r="AI16" s="0" t="n">
        <f aca="false">x_AGRI*x_EMP*x_WLOSS*(x_PEN_K74*Q16+x_PEN_C22*R16)</f>
        <v>962139.29292132</v>
      </c>
      <c r="AJ16" s="0" t="n">
        <f aca="false">x_EMP*x_WAGE*(x_WLOSS*(Q16+R16)+S16)+U16*x_ABS_D*x_WAGE/365</f>
        <v>308318365.736993</v>
      </c>
      <c r="AK16" s="0" t="n">
        <f aca="false">AJ16*x_R_FUS</f>
        <v>97551930.9191846</v>
      </c>
      <c r="AL16" s="0" t="n">
        <f aca="false">AJ16*x_R_NFZ</f>
        <v>23944312.6015006</v>
      </c>
      <c r="AM16" s="0" t="n">
        <f aca="false">AJ16*x_R_PIT</f>
        <v>20498291.8272857</v>
      </c>
      <c r="AN16" s="0" t="n">
        <f aca="false">AJ16*x_R_FP</f>
        <v>7862118.32629332</v>
      </c>
      <c r="AO16" s="0" t="n">
        <f aca="false">AA16+AB16+AC16+AD16+AF16</f>
        <v>458908821.68006</v>
      </c>
      <c r="AP16" s="0" t="n">
        <f aca="false">AO16+AE16+AG16+AH16+AI16+AK16+AL16+AM16+AN16</f>
        <v>630818435.55353</v>
      </c>
      <c r="AQ16" s="0" t="n">
        <f aca="false">AO16+AE16+AG16+AJ16</f>
        <v>767227187.417053</v>
      </c>
      <c r="AR16" s="0" t="n">
        <f aca="false">AB16+AC16+AD16+AF16</f>
        <v>96483399.3270171</v>
      </c>
      <c r="AS16" s="0" t="n">
        <f aca="false">AR16+AE16+AG16</f>
        <v>96483399.3270171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3382.4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5636.64</v>
      </c>
      <c r="I17" s="0" t="n">
        <v>956.909</v>
      </c>
      <c r="J17" s="0" t="n">
        <v>2117.258</v>
      </c>
      <c r="K17" s="0" t="n">
        <v>2919.528</v>
      </c>
      <c r="L17" s="0" t="n">
        <v>1335.38</v>
      </c>
      <c r="M17" s="0" t="n">
        <v>40041.402</v>
      </c>
      <c r="N17" s="0" t="n">
        <v>4880.752</v>
      </c>
      <c r="O17" s="0" t="n">
        <v>112.179</v>
      </c>
      <c r="P17" s="0" t="n">
        <v>111.307</v>
      </c>
      <c r="Q17" s="0" t="n">
        <v>902.599</v>
      </c>
      <c r="R17" s="0" t="n">
        <v>793.629</v>
      </c>
      <c r="S17" s="0" t="n">
        <v>2907.23</v>
      </c>
      <c r="T17" s="0" t="n">
        <v>6593.548</v>
      </c>
      <c r="U17" s="0" t="n">
        <v>3343.09</v>
      </c>
      <c r="V17" s="0" t="n">
        <v>130374.052</v>
      </c>
      <c r="W17" s="0" t="n">
        <v>432.62</v>
      </c>
      <c r="X17" s="0" t="n">
        <v>888.995</v>
      </c>
      <c r="Y17" s="0" t="n">
        <v>112.179</v>
      </c>
      <c r="Z17" s="0" t="n">
        <v>1071.872</v>
      </c>
      <c r="AA17" s="0" t="n">
        <f aca="false">H17*x_c_F+I17*x_c_CC+J17*x_c_DC+K17*x_c_HCC+L17*x_c_PLT+M17*x_c_SVRn+N17*x_c_SVRcc+O17*x_c_LT+P17*x_c_LT1</f>
        <v>367785724.713115</v>
      </c>
      <c r="AB17" s="0" t="n">
        <f aca="false">C17*x_c_DAA</f>
        <v>76983424</v>
      </c>
      <c r="AC17" s="0" t="n">
        <f aca="false">C17*x_c_MON</f>
        <v>19499975.3270171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22146530.6482469</v>
      </c>
      <c r="AI17" s="0" t="n">
        <f aca="false">x_AGRI*x_EMP*x_WLOSS*(x_PEN_K74*Q17+x_PEN_C22*R17)</f>
        <v>1009551.12175818</v>
      </c>
      <c r="AJ17" s="0" t="n">
        <f aca="false">x_EMP*x_WAGE*(x_WLOSS*(Q17+R17)+S17)+U17*x_ABS_D*x_WAGE/365</f>
        <v>335816109.121205</v>
      </c>
      <c r="AK17" s="0" t="n">
        <f aca="false">AJ17*x_R_FUS</f>
        <v>106252216.925949</v>
      </c>
      <c r="AL17" s="0" t="n">
        <f aca="false">AJ17*x_R_NFZ</f>
        <v>26079814.8504619</v>
      </c>
      <c r="AM17" s="0" t="n">
        <f aca="false">AJ17*x_R_PIT</f>
        <v>22326456.5787888</v>
      </c>
      <c r="AN17" s="0" t="n">
        <f aca="false">AJ17*x_R_FP</f>
        <v>8563310.78259073</v>
      </c>
      <c r="AO17" s="0" t="n">
        <f aca="false">AA17+AB17+AC17+AD17+AF17</f>
        <v>464269124.040132</v>
      </c>
      <c r="AP17" s="0" t="n">
        <f aca="false">AO17+AE17+AG17+AH17+AI17+AK17+AL17+AM17+AN17</f>
        <v>650647004.947928</v>
      </c>
      <c r="AQ17" s="0" t="n">
        <f aca="false">AO17+AE17+AG17+AJ17</f>
        <v>800085233.161338</v>
      </c>
      <c r="AR17" s="0" t="n">
        <f aca="false">AB17+AC17+AD17+AF17</f>
        <v>96483399.3270171</v>
      </c>
      <c r="AS17" s="0" t="n">
        <f aca="false">AR17+AE17+AG17</f>
        <v>96483399.3270171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3382.4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5659.032</v>
      </c>
      <c r="I18" s="0" t="n">
        <v>966.272</v>
      </c>
      <c r="J18" s="0" t="n">
        <v>2144.362</v>
      </c>
      <c r="K18" s="0" t="n">
        <v>2938.066</v>
      </c>
      <c r="L18" s="0" t="n">
        <v>1329.931</v>
      </c>
      <c r="M18" s="0" t="n">
        <v>42110.902</v>
      </c>
      <c r="N18" s="0" t="n">
        <v>5166.407</v>
      </c>
      <c r="O18" s="0" t="n">
        <v>113.507</v>
      </c>
      <c r="P18" s="0" t="n">
        <v>112.843</v>
      </c>
      <c r="Q18" s="0" t="n">
        <v>942.383</v>
      </c>
      <c r="R18" s="0" t="n">
        <v>837.233</v>
      </c>
      <c r="S18" s="0" t="n">
        <v>3195.256</v>
      </c>
      <c r="T18" s="0" t="n">
        <v>6625.304</v>
      </c>
      <c r="U18" s="0" t="n">
        <v>3493.238</v>
      </c>
      <c r="V18" s="0" t="n">
        <v>131445.251</v>
      </c>
      <c r="W18" s="0" t="n">
        <v>433.085</v>
      </c>
      <c r="X18" s="0" t="n">
        <v>888.026</v>
      </c>
      <c r="Y18" s="0" t="n">
        <v>113.507</v>
      </c>
      <c r="Z18" s="0" t="n">
        <v>1080.115</v>
      </c>
      <c r="AA18" s="0" t="n">
        <f aca="false">H18*x_c_F+I18*x_c_CC+J18*x_c_DC+K18*x_c_HCC+L18*x_c_PLT+M18*x_c_SVRn+N18*x_c_SVRcc+O18*x_c_LT+P18*x_c_LT1</f>
        <v>371962986.339181</v>
      </c>
      <c r="AB18" s="0" t="n">
        <f aca="false">C18*x_c_DAA</f>
        <v>76983424</v>
      </c>
      <c r="AC18" s="0" t="n">
        <f aca="false">C18*x_c_MON</f>
        <v>19499975.3270171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23211376.9136961</v>
      </c>
      <c r="AI18" s="0" t="n">
        <f aca="false">x_AGRI*x_EMP*x_WLOSS*(x_PEN_K74*Q18+x_PEN_C22*R18)</f>
        <v>1059531.82474133</v>
      </c>
      <c r="AJ18" s="0" t="n">
        <f aca="false">x_EMP*x_WAGE*(x_WLOSS*(Q18+R18)+S18)+U18*x_ABS_D*x_WAGE/365</f>
        <v>364655047.03952</v>
      </c>
      <c r="AK18" s="0" t="n">
        <f aca="false">AJ18*x_R_FUS</f>
        <v>115376856.883304</v>
      </c>
      <c r="AL18" s="0" t="n">
        <f aca="false">AJ18*x_R_NFZ</f>
        <v>28319475.6081362</v>
      </c>
      <c r="AM18" s="0" t="n">
        <f aca="false">AJ18*x_R_PIT</f>
        <v>24243789.5408572</v>
      </c>
      <c r="AN18" s="0" t="n">
        <f aca="false">AJ18*x_R_FP</f>
        <v>9298703.69950776</v>
      </c>
      <c r="AO18" s="0" t="n">
        <f aca="false">AA18+AB18+AC18+AD18+AF18</f>
        <v>468446385.666198</v>
      </c>
      <c r="AP18" s="0" t="n">
        <f aca="false">AO18+AE18+AG18+AH18+AI18+AK18+AL18+AM18+AN18</f>
        <v>669956120.13644</v>
      </c>
      <c r="AQ18" s="0" t="n">
        <f aca="false">AO18+AE18+AG18+AJ18</f>
        <v>833101432.705718</v>
      </c>
      <c r="AR18" s="0" t="n">
        <f aca="false">AB18+AC18+AD18+AF18</f>
        <v>96483399.3270171</v>
      </c>
      <c r="AS18" s="0" t="n">
        <f aca="false">AR18+AE18+AG18</f>
        <v>96483399.3270171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3382.4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5663.565</v>
      </c>
      <c r="I19" s="0" t="n">
        <v>968.67</v>
      </c>
      <c r="J19" s="0" t="n">
        <v>2163.446</v>
      </c>
      <c r="K19" s="0" t="n">
        <v>2946.076</v>
      </c>
      <c r="L19" s="0" t="n">
        <v>1323.668</v>
      </c>
      <c r="M19" s="0" t="n">
        <v>44117.571</v>
      </c>
      <c r="N19" s="0" t="n">
        <v>5433.61</v>
      </c>
      <c r="O19" s="0" t="n">
        <v>114.399</v>
      </c>
      <c r="P19" s="0" t="n">
        <v>113.953</v>
      </c>
      <c r="Q19" s="0" t="n">
        <v>984.507</v>
      </c>
      <c r="R19" s="0" t="n">
        <v>883.063</v>
      </c>
      <c r="S19" s="0" t="n">
        <v>3497.735</v>
      </c>
      <c r="T19" s="0" t="n">
        <v>6632.235</v>
      </c>
      <c r="U19" s="0" t="n">
        <v>3627.9</v>
      </c>
      <c r="V19" s="0" t="n">
        <v>132482.599</v>
      </c>
      <c r="W19" s="0" t="n">
        <v>432.04</v>
      </c>
      <c r="X19" s="0" t="n">
        <v>884.497</v>
      </c>
      <c r="Y19" s="0" t="n">
        <v>114.399</v>
      </c>
      <c r="Z19" s="0" t="n">
        <v>1084.448</v>
      </c>
      <c r="AA19" s="0" t="n">
        <f aca="false">H19*x_c_F+I19*x_c_CC+J19*x_c_DC+K19*x_c_HCC+L19*x_c_PLT+M19*x_c_SVRn+N19*x_c_SVRcc+O19*x_c_LT+P19*x_c_LT1</f>
        <v>374958173.951965</v>
      </c>
      <c r="AB19" s="0" t="n">
        <f aca="false">C19*x_c_DAA</f>
        <v>76983424</v>
      </c>
      <c r="AC19" s="0" t="n">
        <f aca="false">C19*x_c_MON</f>
        <v>19499975.3270171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24285603.4895819</v>
      </c>
      <c r="AI19" s="0" t="n">
        <f aca="false">x_AGRI*x_EMP*x_WLOSS*(x_PEN_K74*Q19+x_PEN_C22*R19)</f>
        <v>1112236.93872388</v>
      </c>
      <c r="AJ19" s="0" t="n">
        <f aca="false">x_EMP*x_WAGE*(x_WLOSS*(Q19+R19)+S19)+U19*x_ABS_D*x_WAGE/365</f>
        <v>394891066.383066</v>
      </c>
      <c r="AK19" s="0" t="n">
        <f aca="false">AJ19*x_R_FUS</f>
        <v>124943533.403602</v>
      </c>
      <c r="AL19" s="0" t="n">
        <f aca="false">AJ19*x_R_NFZ</f>
        <v>30667635.1063753</v>
      </c>
      <c r="AM19" s="0" t="n">
        <f aca="false">AJ19*x_R_PIT</f>
        <v>26254006.3072763</v>
      </c>
      <c r="AN19" s="0" t="n">
        <f aca="false">AJ19*x_R_FP</f>
        <v>10069722.1927682</v>
      </c>
      <c r="AO19" s="0" t="n">
        <f aca="false">AA19+AB19+AC19+AD19+AF19</f>
        <v>471441573.278982</v>
      </c>
      <c r="AP19" s="0" t="n">
        <f aca="false">AO19+AE19+AG19+AH19+AI19+AK19+AL19+AM19+AN19</f>
        <v>688774310.71731</v>
      </c>
      <c r="AQ19" s="0" t="n">
        <f aca="false">AO19+AE19+AG19+AJ19</f>
        <v>866332639.662048</v>
      </c>
      <c r="AR19" s="0" t="n">
        <f aca="false">AB19+AC19+AD19+AF19</f>
        <v>96483399.3270171</v>
      </c>
      <c r="AS19" s="0" t="n">
        <f aca="false">AR19+AE19+AG19</f>
        <v>96483399.3270171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3382.4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5652.233</v>
      </c>
      <c r="I20" s="0" t="n">
        <v>964.949</v>
      </c>
      <c r="J20" s="0" t="n">
        <v>2175.292</v>
      </c>
      <c r="K20" s="0" t="n">
        <v>2945.222</v>
      </c>
      <c r="L20" s="0" t="n">
        <v>1316.928</v>
      </c>
      <c r="M20" s="0" t="n">
        <v>46074.642</v>
      </c>
      <c r="N20" s="0" t="n">
        <v>5682.671</v>
      </c>
      <c r="O20" s="0" t="n">
        <v>114.953</v>
      </c>
      <c r="P20" s="0" t="n">
        <v>114.676</v>
      </c>
      <c r="Q20" s="0" t="n">
        <v>1029.075</v>
      </c>
      <c r="R20" s="0" t="n">
        <v>931.237</v>
      </c>
      <c r="S20" s="0" t="n">
        <v>3815.219</v>
      </c>
      <c r="T20" s="0" t="n">
        <v>6617.183</v>
      </c>
      <c r="U20" s="0" t="n">
        <v>3746.436</v>
      </c>
      <c r="V20" s="0" t="n">
        <v>133511.087</v>
      </c>
      <c r="W20" s="0" t="n">
        <v>429.914</v>
      </c>
      <c r="X20" s="0" t="n">
        <v>879.252</v>
      </c>
      <c r="Y20" s="0" t="n">
        <v>114.953</v>
      </c>
      <c r="Z20" s="0" t="n">
        <v>1085.909</v>
      </c>
      <c r="AA20" s="0" t="n">
        <f aca="false">H20*x_c_F+I20*x_c_CC+J20*x_c_DC+K20*x_c_HCC+L20*x_c_PLT+M20*x_c_SVRn+N20*x_c_SVRcc+O20*x_c_LT+P20*x_c_LT1</f>
        <v>376955648.600063</v>
      </c>
      <c r="AB20" s="0" t="n">
        <f aca="false">C20*x_c_DAA</f>
        <v>76983424</v>
      </c>
      <c r="AC20" s="0" t="n">
        <f aca="false">C20*x_c_MON</f>
        <v>19499975.3270171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25369909.912104</v>
      </c>
      <c r="AI20" s="0" t="n">
        <f aca="false">x_AGRI*x_EMP*x_WLOSS*(x_PEN_K74*Q20+x_PEN_C22*R20)</f>
        <v>1167799.67122109</v>
      </c>
      <c r="AJ20" s="0" t="n">
        <f aca="false">x_EMP*x_WAGE*(x_WLOSS*(Q20+R20)+S20)+U20*x_ABS_D*x_WAGE/365</f>
        <v>426579575.844426</v>
      </c>
      <c r="AK20" s="0" t="n">
        <f aca="false">AJ20*x_R_FUS</f>
        <v>134969777.797177</v>
      </c>
      <c r="AL20" s="0" t="n">
        <f aca="false">AJ20*x_R_NFZ</f>
        <v>33128596.439654</v>
      </c>
      <c r="AM20" s="0" t="n">
        <f aca="false">AJ20*x_R_PIT</f>
        <v>28360790.6791965</v>
      </c>
      <c r="AN20" s="0" t="n">
        <f aca="false">AJ20*x_R_FP</f>
        <v>10877779.1840329</v>
      </c>
      <c r="AO20" s="0" t="n">
        <f aca="false">AA20+AB20+AC20+AD20+AF20</f>
        <v>473439047.92708</v>
      </c>
      <c r="AP20" s="0" t="n">
        <f aca="false">AO20+AE20+AG20+AH20+AI20+AK20+AL20+AM20+AN20</f>
        <v>707313701.610465</v>
      </c>
      <c r="AQ20" s="0" t="n">
        <f aca="false">AO20+AE20+AG20+AJ20</f>
        <v>900018623.771507</v>
      </c>
      <c r="AR20" s="0" t="n">
        <f aca="false">AB20+AC20+AD20+AF20</f>
        <v>96483399.3270171</v>
      </c>
      <c r="AS20" s="0" t="n">
        <f aca="false">AR20+AE20+AG20</f>
        <v>96483399.3270171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3382.4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5627.272</v>
      </c>
      <c r="I21" s="0" t="n">
        <v>956.134</v>
      </c>
      <c r="J21" s="0" t="n">
        <v>2180.904</v>
      </c>
      <c r="K21" s="0" t="n">
        <v>2937.333</v>
      </c>
      <c r="L21" s="0" t="n">
        <v>1310.029</v>
      </c>
      <c r="M21" s="0" t="n">
        <v>47995.074</v>
      </c>
      <c r="N21" s="0" t="n">
        <v>5914.402</v>
      </c>
      <c r="O21" s="0" t="n">
        <v>115.174</v>
      </c>
      <c r="P21" s="0" t="n">
        <v>115.064</v>
      </c>
      <c r="Q21" s="0" t="n">
        <v>1076.202</v>
      </c>
      <c r="R21" s="0" t="n">
        <v>981.838</v>
      </c>
      <c r="S21" s="0" t="n">
        <v>4148.332</v>
      </c>
      <c r="T21" s="0" t="n">
        <v>6583.406</v>
      </c>
      <c r="U21" s="0" t="n">
        <v>3848.724</v>
      </c>
      <c r="V21" s="0" t="n">
        <v>134554.96</v>
      </c>
      <c r="W21" s="0" t="n">
        <v>426.895</v>
      </c>
      <c r="X21" s="0" t="n">
        <v>872.623</v>
      </c>
      <c r="Y21" s="0" t="n">
        <v>115.174</v>
      </c>
      <c r="Z21" s="0" t="n">
        <v>1084.622</v>
      </c>
      <c r="AA21" s="0" t="n">
        <f aca="false">H21*x_c_F+I21*x_c_CC+J21*x_c_DC+K21*x_c_HCC+L21*x_c_PLT+M21*x_c_SVRn+N21*x_c_SVRcc+O21*x_c_LT+P21*x_c_LT1</f>
        <v>378125181.263692</v>
      </c>
      <c r="AB21" s="0" t="n">
        <f aca="false">C21*x_c_DAA</f>
        <v>76983424</v>
      </c>
      <c r="AC21" s="0" t="n">
        <f aca="false">C21*x_c_MON</f>
        <v>19499975.3270171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26465817.1020666</v>
      </c>
      <c r="AI21" s="0" t="n">
        <f aca="false">x_AGRI*x_EMP*x_WLOSS*(x_PEN_K74*Q21+x_PEN_C22*R21)</f>
        <v>1226337.13074329</v>
      </c>
      <c r="AJ21" s="0" t="n">
        <f aca="false">x_EMP*x_WAGE*(x_WLOSS*(Q21+R21)+S21)+U21*x_ABS_D*x_WAGE/365</f>
        <v>459782539.03957</v>
      </c>
      <c r="AK21" s="0" t="n">
        <f aca="false">AJ21*x_R_FUS</f>
        <v>145475195.35212</v>
      </c>
      <c r="AL21" s="0" t="n">
        <f aca="false">AJ21*x_R_NFZ</f>
        <v>35707171.7643521</v>
      </c>
      <c r="AM21" s="0" t="n">
        <f aca="false">AJ21*x_R_PIT</f>
        <v>30568262.2564339</v>
      </c>
      <c r="AN21" s="0" t="n">
        <f aca="false">AJ21*x_R_FP</f>
        <v>11724454.745509</v>
      </c>
      <c r="AO21" s="0" t="n">
        <f aca="false">AA21+AB21+AC21+AD21+AF21</f>
        <v>474608580.590709</v>
      </c>
      <c r="AP21" s="0" t="n">
        <f aca="false">AO21+AE21+AG21+AH21+AI21+AK21+AL21+AM21+AN21</f>
        <v>725775818.941934</v>
      </c>
      <c r="AQ21" s="0" t="n">
        <f aca="false">AO21+AE21+AG21+AJ21</f>
        <v>934391119.630279</v>
      </c>
      <c r="AR21" s="0" t="n">
        <f aca="false">AB21+AC21+AD21+AF21</f>
        <v>96483399.3270171</v>
      </c>
      <c r="AS21" s="0" t="n">
        <f aca="false">AR21+AE21+AG21</f>
        <v>96483399.3270171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3382.4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5590.708</v>
      </c>
      <c r="I22" s="0" t="n">
        <v>943.214</v>
      </c>
      <c r="J22" s="0" t="n">
        <v>2180.958</v>
      </c>
      <c r="K22" s="0" t="n">
        <v>2923.737</v>
      </c>
      <c r="L22" s="0" t="n">
        <v>1302.638</v>
      </c>
      <c r="M22" s="0" t="n">
        <v>49881.945</v>
      </c>
      <c r="N22" s="0" t="n">
        <v>6128.62</v>
      </c>
      <c r="O22" s="0" t="n">
        <v>115.123</v>
      </c>
      <c r="P22" s="0" t="n">
        <v>115.148</v>
      </c>
      <c r="Q22" s="0" t="n">
        <v>1125.983</v>
      </c>
      <c r="R22" s="0" t="n">
        <v>1034.901</v>
      </c>
      <c r="S22" s="0" t="n">
        <v>4497.68</v>
      </c>
      <c r="T22" s="0" t="n">
        <v>6533.922</v>
      </c>
      <c r="U22" s="0" t="n">
        <v>3935.086</v>
      </c>
      <c r="V22" s="0" t="n">
        <v>135622.105</v>
      </c>
      <c r="W22" s="0" t="n">
        <v>423.291</v>
      </c>
      <c r="X22" s="0" t="n">
        <v>865.175</v>
      </c>
      <c r="Y22" s="0" t="n">
        <v>115.123</v>
      </c>
      <c r="Z22" s="0" t="n">
        <v>1081.212</v>
      </c>
      <c r="AA22" s="0" t="n">
        <f aca="false">H22*x_c_F+I22*x_c_CC+J22*x_c_DC+K22*x_c_HCC+L22*x_c_PLT+M22*x_c_SVRn+N22*x_c_SVRcc+O22*x_c_LT+P22*x_c_LT1</f>
        <v>378587026.441918</v>
      </c>
      <c r="AB22" s="0" t="n">
        <f aca="false">C22*x_c_DAA</f>
        <v>76983424</v>
      </c>
      <c r="AC22" s="0" t="n">
        <f aca="false">C22*x_c_MON</f>
        <v>19499975.3270171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27575127.7985396</v>
      </c>
      <c r="AI22" s="0" t="n">
        <f aca="false">x_AGRI*x_EMP*x_WLOSS*(x_PEN_K74*Q22+x_PEN_C22*R22)</f>
        <v>1287924.71834641</v>
      </c>
      <c r="AJ22" s="0" t="n">
        <f aca="false">x_EMP*x_WAGE*(x_WLOSS*(Q22+R22)+S22)+U22*x_ABS_D*x_WAGE/365</f>
        <v>494558557.1594</v>
      </c>
      <c r="AK22" s="0" t="n">
        <f aca="false">AJ22*x_R_FUS</f>
        <v>156478327.485234</v>
      </c>
      <c r="AL22" s="0" t="n">
        <f aca="false">AJ22*x_R_NFZ</f>
        <v>38407912.1075562</v>
      </c>
      <c r="AM22" s="0" t="n">
        <f aca="false">AJ22*x_R_PIT</f>
        <v>32880317.0907519</v>
      </c>
      <c r="AN22" s="0" t="n">
        <f aca="false">AJ22*x_R_FP</f>
        <v>12611243.2075647</v>
      </c>
      <c r="AO22" s="0" t="n">
        <f aca="false">AA22+AB22+AC22+AD22+AF22</f>
        <v>475070425.768935</v>
      </c>
      <c r="AP22" s="0" t="n">
        <f aca="false">AO22+AE22+AG22+AH22+AI22+AK22+AL22+AM22+AN22</f>
        <v>744311278.176928</v>
      </c>
      <c r="AQ22" s="0" t="n">
        <f aca="false">AO22+AE22+AG22+AJ22</f>
        <v>969628982.928335</v>
      </c>
      <c r="AR22" s="0" t="n">
        <f aca="false">AB22+AC22+AD22+AF22</f>
        <v>96483399.3270171</v>
      </c>
      <c r="AS22" s="0" t="n">
        <f aca="false">AR22+AE22+AG22</f>
        <v>96483399.3270171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3382.4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5544.703</v>
      </c>
      <c r="I23" s="0" t="n">
        <v>927.253</v>
      </c>
      <c r="J23" s="0" t="n">
        <v>2176.574</v>
      </c>
      <c r="K23" s="0" t="n">
        <v>2906.155</v>
      </c>
      <c r="L23" s="0" t="n">
        <v>1294.928</v>
      </c>
      <c r="M23" s="0" t="n">
        <v>51744.657</v>
      </c>
      <c r="N23" s="0" t="n">
        <v>6326.608</v>
      </c>
      <c r="O23" s="0" t="n">
        <v>114.855</v>
      </c>
      <c r="P23" s="0" t="n">
        <v>114.989</v>
      </c>
      <c r="Q23" s="0" t="n">
        <v>1178.479</v>
      </c>
      <c r="R23" s="0" t="n">
        <v>1090.397</v>
      </c>
      <c r="S23" s="0" t="n">
        <v>4863.798</v>
      </c>
      <c r="T23" s="0" t="n">
        <v>6471.956</v>
      </c>
      <c r="U23" s="0" t="n">
        <v>4006.233</v>
      </c>
      <c r="V23" s="0" t="n">
        <v>136727.504</v>
      </c>
      <c r="W23" s="0" t="n">
        <v>419.357</v>
      </c>
      <c r="X23" s="0" t="n">
        <v>857.363</v>
      </c>
      <c r="Y23" s="0" t="n">
        <v>114.855</v>
      </c>
      <c r="Z23" s="0" t="n">
        <v>1076.22</v>
      </c>
      <c r="AA23" s="0" t="n">
        <f aca="false">H23*x_c_F+I23*x_c_CC+J23*x_c_DC+K23*x_c_HCC+L23*x_c_PLT+M23*x_c_SVRn+N23*x_c_SVRcc+O23*x_c_LT+P23*x_c_LT1</f>
        <v>378518321.939301</v>
      </c>
      <c r="AB23" s="0" t="n">
        <f aca="false">C23*x_c_DAA</f>
        <v>76983424</v>
      </c>
      <c r="AC23" s="0" t="n">
        <f aca="false">C23*x_c_MON</f>
        <v>19499975.3270171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28699541.0849577</v>
      </c>
      <c r="AI23" s="0" t="n">
        <f aca="false">x_AGRI*x_EMP*x_WLOSS*(x_PEN_K74*Q23+x_PEN_C22*R23)</f>
        <v>1352578.12248955</v>
      </c>
      <c r="AJ23" s="0" t="n">
        <f aca="false">x_EMP*x_WAGE*(x_WLOSS*(Q23+R23)+S23)+U23*x_ABS_D*x_WAGE/365</f>
        <v>530956806.877357</v>
      </c>
      <c r="AK23" s="0" t="n">
        <f aca="false">AJ23*x_R_FUS</f>
        <v>167994733.695996</v>
      </c>
      <c r="AL23" s="0" t="n">
        <f aca="false">AJ23*x_R_NFZ</f>
        <v>41234636.5789024</v>
      </c>
      <c r="AM23" s="0" t="n">
        <f aca="false">AJ23*x_R_PIT</f>
        <v>35300224.6526568</v>
      </c>
      <c r="AN23" s="0" t="n">
        <f aca="false">AJ23*x_R_FP</f>
        <v>13539398.5753726</v>
      </c>
      <c r="AO23" s="0" t="n">
        <f aca="false">AA23+AB23+AC23+AD23+AF23</f>
        <v>475001721.266318</v>
      </c>
      <c r="AP23" s="0" t="n">
        <f aca="false">AO23+AE23+AG23+AH23+AI23+AK23+AL23+AM23+AN23</f>
        <v>763122833.976693</v>
      </c>
      <c r="AQ23" s="0" t="n">
        <f aca="false">AO23+AE23+AG23+AJ23</f>
        <v>1005958528.14368</v>
      </c>
      <c r="AR23" s="0" t="n">
        <f aca="false">AB23+AC23+AD23+AF23</f>
        <v>96483399.3270171</v>
      </c>
      <c r="AS23" s="0" t="n">
        <f aca="false">AR23+AE23+AG23</f>
        <v>96483399.3270171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3382.4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5491.282</v>
      </c>
      <c r="I24" s="0" t="n">
        <v>909.225</v>
      </c>
      <c r="J24" s="0" t="n">
        <v>2168.815</v>
      </c>
      <c r="K24" s="0" t="n">
        <v>2886.105</v>
      </c>
      <c r="L24" s="0" t="n">
        <v>1287.043</v>
      </c>
      <c r="M24" s="0" t="n">
        <v>53590.877</v>
      </c>
      <c r="N24" s="0" t="n">
        <v>6509.747</v>
      </c>
      <c r="O24" s="0" t="n">
        <v>114.426</v>
      </c>
      <c r="P24" s="0" t="n">
        <v>114.64</v>
      </c>
      <c r="Q24" s="0" t="n">
        <v>1233.722</v>
      </c>
      <c r="R24" s="0" t="n">
        <v>1148.252</v>
      </c>
      <c r="S24" s="0" t="n">
        <v>5247.168</v>
      </c>
      <c r="T24" s="0" t="n">
        <v>6400.507</v>
      </c>
      <c r="U24" s="0" t="n">
        <v>4063.219</v>
      </c>
      <c r="V24" s="0" t="n">
        <v>137880.589</v>
      </c>
      <c r="W24" s="0" t="n">
        <v>415.313</v>
      </c>
      <c r="X24" s="0" t="n">
        <v>849.578</v>
      </c>
      <c r="Y24" s="0" t="n">
        <v>114.426</v>
      </c>
      <c r="Z24" s="0" t="n">
        <v>1070.174</v>
      </c>
      <c r="AA24" s="0" t="n">
        <f aca="false">H24*x_c_F+I24*x_c_CC+J24*x_c_DC+K24*x_c_HCC+L24*x_c_PLT+M24*x_c_SVRn+N24*x_c_SVRcc+O24*x_c_LT+P24*x_c_LT1</f>
        <v>378079764.432252</v>
      </c>
      <c r="AB24" s="0" t="n">
        <f aca="false">C24*x_c_DAA</f>
        <v>76983424</v>
      </c>
      <c r="AC24" s="0" t="n">
        <f aca="false">C24*x_c_MON</f>
        <v>19499975.3270171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29840782.9001413</v>
      </c>
      <c r="AI24" s="0" t="n">
        <f aca="false">x_AGRI*x_EMP*x_WLOSS*(x_PEN_K74*Q24+x_PEN_C22*R24)</f>
        <v>1420268.19649692</v>
      </c>
      <c r="AJ24" s="0" t="n">
        <f aca="false">x_EMP*x_WAGE*(x_WLOSS*(Q24+R24)+S24)+U24*x_ABS_D*x_WAGE/365</f>
        <v>569019545.30483</v>
      </c>
      <c r="AK24" s="0" t="n">
        <f aca="false">AJ24*x_R_FUS</f>
        <v>180037784.134448</v>
      </c>
      <c r="AL24" s="0" t="n">
        <f aca="false">AJ24*x_R_NFZ</f>
        <v>44190626.9079184</v>
      </c>
      <c r="AM24" s="0" t="n">
        <f aca="false">AJ24*x_R_PIT</f>
        <v>37830794.3712883</v>
      </c>
      <c r="AN24" s="0" t="n">
        <f aca="false">AJ24*x_R_FP</f>
        <v>14509998.4052732</v>
      </c>
      <c r="AO24" s="0" t="n">
        <f aca="false">AA24+AB24+AC24+AD24+AF24</f>
        <v>474563163.759269</v>
      </c>
      <c r="AP24" s="0" t="n">
        <f aca="false">AO24+AE24+AG24+AH24+AI24+AK24+AL24+AM24+AN24</f>
        <v>782393418.674835</v>
      </c>
      <c r="AQ24" s="0" t="n">
        <f aca="false">AO24+AE24+AG24+AJ24</f>
        <v>1043582709.0641</v>
      </c>
      <c r="AR24" s="0" t="n">
        <f aca="false">AB24+AC24+AD24+AF24</f>
        <v>96483399.3270171</v>
      </c>
      <c r="AS24" s="0" t="n">
        <f aca="false">AR24+AE24+AG24</f>
        <v>96483399.3270171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3382.4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5432.353</v>
      </c>
      <c r="I25" s="0" t="n">
        <v>889.999</v>
      </c>
      <c r="J25" s="0" t="n">
        <v>2158.692</v>
      </c>
      <c r="K25" s="0" t="n">
        <v>2864.929</v>
      </c>
      <c r="L25" s="0" t="n">
        <v>1279.134</v>
      </c>
      <c r="M25" s="0" t="n">
        <v>55427.162</v>
      </c>
      <c r="N25" s="0" t="n">
        <v>6679.575</v>
      </c>
      <c r="O25" s="0" t="n">
        <v>113.887</v>
      </c>
      <c r="P25" s="0" t="n">
        <v>114.156</v>
      </c>
      <c r="Q25" s="0" t="n">
        <v>1291.712</v>
      </c>
      <c r="R25" s="0" t="n">
        <v>1208.341</v>
      </c>
      <c r="S25" s="0" t="n">
        <v>5648.211</v>
      </c>
      <c r="T25" s="0" t="n">
        <v>6322.352</v>
      </c>
      <c r="U25" s="0" t="n">
        <v>4107.361</v>
      </c>
      <c r="V25" s="0" t="n">
        <v>139087.555</v>
      </c>
      <c r="W25" s="0" t="n">
        <v>411.34</v>
      </c>
      <c r="X25" s="0" t="n">
        <v>842.13</v>
      </c>
      <c r="Y25" s="0" t="n">
        <v>113.887</v>
      </c>
      <c r="Z25" s="0" t="n">
        <v>1063.537</v>
      </c>
      <c r="AA25" s="0" t="n">
        <f aca="false">H25*x_c_F+I25*x_c_CC+J25*x_c_DC+K25*x_c_HCC+L25*x_c_PLT+M25*x_c_SVRn+N25*x_c_SVRcc+O25*x_c_LT+P25*x_c_LT1</f>
        <v>377417482.795642</v>
      </c>
      <c r="AB25" s="0" t="n">
        <f aca="false">C25*x_c_DAA</f>
        <v>76983424</v>
      </c>
      <c r="AC25" s="0" t="n">
        <f aca="false">C25*x_c_MON</f>
        <v>19499975.3270171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31000358.4615503</v>
      </c>
      <c r="AI25" s="0" t="n">
        <f aca="false">x_AGRI*x_EMP*x_WLOSS*(x_PEN_K74*Q25+x_PEN_C22*R25)</f>
        <v>1490915.46539931</v>
      </c>
      <c r="AJ25" s="0" t="n">
        <f aca="false">x_EMP*x_WAGE*(x_WLOSS*(Q25+R25)+S25)+U25*x_ABS_D*x_WAGE/365</f>
        <v>608780778.398855</v>
      </c>
      <c r="AK25" s="0" t="n">
        <f aca="false">AJ25*x_R_FUS</f>
        <v>192618238.285398</v>
      </c>
      <c r="AL25" s="0" t="n">
        <f aca="false">AJ25*x_R_NFZ</f>
        <v>47278524.0312335</v>
      </c>
      <c r="AM25" s="0" t="n">
        <f aca="false">AJ25*x_R_PIT</f>
        <v>40474287.1046057</v>
      </c>
      <c r="AN25" s="0" t="n">
        <f aca="false">AJ25*x_R_FP</f>
        <v>15523909.8491708</v>
      </c>
      <c r="AO25" s="0" t="n">
        <f aca="false">AA25+AB25+AC25+AD25+AF25</f>
        <v>473900882.122659</v>
      </c>
      <c r="AP25" s="0" t="n">
        <f aca="false">AO25+AE25+AG25+AH25+AI25+AK25+AL25+AM25+AN25</f>
        <v>802287115.320016</v>
      </c>
      <c r="AQ25" s="0" t="n">
        <f aca="false">AO25+AE25+AG25+AJ25</f>
        <v>1082681660.52151</v>
      </c>
      <c r="AR25" s="0" t="n">
        <f aca="false">AB25+AC25+AD25+AF25</f>
        <v>96483399.3270171</v>
      </c>
      <c r="AS25" s="0" t="n">
        <f aca="false">AR25+AE25+AG25</f>
        <v>96483399.3270171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3382.4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5369.609</v>
      </c>
      <c r="I26" s="0" t="n">
        <v>870.28</v>
      </c>
      <c r="J26" s="0" t="n">
        <v>2147.044</v>
      </c>
      <c r="K26" s="0" t="n">
        <v>2843.664</v>
      </c>
      <c r="L26" s="0" t="n">
        <v>1271.29</v>
      </c>
      <c r="M26" s="0" t="n">
        <v>57257.696</v>
      </c>
      <c r="N26" s="0" t="n">
        <v>6837.404</v>
      </c>
      <c r="O26" s="0" t="n">
        <v>113.278</v>
      </c>
      <c r="P26" s="0" t="n">
        <v>113.582</v>
      </c>
      <c r="Q26" s="0" t="n">
        <v>1352.418</v>
      </c>
      <c r="R26" s="0" t="n">
        <v>1270.502</v>
      </c>
      <c r="S26" s="0" t="n">
        <v>6067.289</v>
      </c>
      <c r="T26" s="0" t="n">
        <v>6239.889</v>
      </c>
      <c r="U26" s="0" t="n">
        <v>4140.136</v>
      </c>
      <c r="V26" s="0" t="n">
        <v>140349.231</v>
      </c>
      <c r="W26" s="0" t="n">
        <v>407.556</v>
      </c>
      <c r="X26" s="0" t="n">
        <v>835.207</v>
      </c>
      <c r="Y26" s="0" t="n">
        <v>113.278</v>
      </c>
      <c r="Z26" s="0" t="n">
        <v>1056.639</v>
      </c>
      <c r="AA26" s="0" t="n">
        <f aca="false">H26*x_c_F+I26*x_c_CC+J26*x_c_DC+K26*x_c_HCC+L26*x_c_PLT+M26*x_c_SVRn+N26*x_c_SVRcc+O26*x_c_LT+P26*x_c_LT1</f>
        <v>376645506.063406</v>
      </c>
      <c r="AB26" s="0" t="n">
        <f aca="false">C26*x_c_DAA</f>
        <v>76983424</v>
      </c>
      <c r="AC26" s="0" t="n">
        <f aca="false">C26*x_c_MON</f>
        <v>19499975.3270171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32179483.6398963</v>
      </c>
      <c r="AI26" s="0" t="n">
        <f aca="false">x_AGRI*x_EMP*x_WLOSS*(x_PEN_K74*Q26+x_PEN_C22*R26)</f>
        <v>1564399.58658399</v>
      </c>
      <c r="AJ26" s="0" t="n">
        <f aca="false">x_EMP*x_WAGE*(x_WLOSS*(Q26+R26)+S26)+U26*x_ABS_D*x_WAGE/365</f>
        <v>650266819.800614</v>
      </c>
      <c r="AK26" s="0" t="n">
        <f aca="false">AJ26*x_R_FUS</f>
        <v>205744421.784914</v>
      </c>
      <c r="AL26" s="0" t="n">
        <f aca="false">AJ26*x_R_NFZ</f>
        <v>50500371.4925355</v>
      </c>
      <c r="AM26" s="0" t="n">
        <f aca="false">AJ26*x_R_PIT</f>
        <v>43232452.293304</v>
      </c>
      <c r="AN26" s="0" t="n">
        <f aca="false">AJ26*x_R_FP</f>
        <v>16581803.9049157</v>
      </c>
      <c r="AO26" s="0" t="n">
        <f aca="false">AA26+AB26+AC26+AD26+AF26</f>
        <v>473128905.390423</v>
      </c>
      <c r="AP26" s="0" t="n">
        <f aca="false">AO26+AE26+AG26+AH26+AI26+AK26+AL26+AM26+AN26</f>
        <v>822931838.092573</v>
      </c>
      <c r="AQ26" s="0" t="n">
        <f aca="false">AO26+AE26+AG26+AJ26</f>
        <v>1123395725.19104</v>
      </c>
      <c r="AR26" s="0" t="n">
        <f aca="false">AB26+AC26+AD26+AF26</f>
        <v>96483399.3270171</v>
      </c>
      <c r="AS26" s="0" t="n">
        <f aca="false">AR26+AE26+AG26</f>
        <v>96483399.3270171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3382.4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5304.526</v>
      </c>
      <c r="I27" s="0" t="n">
        <v>850.616</v>
      </c>
      <c r="J27" s="0" t="n">
        <v>2134.539</v>
      </c>
      <c r="K27" s="0" t="n">
        <v>2823.065</v>
      </c>
      <c r="L27" s="0" t="n">
        <v>1263.554</v>
      </c>
      <c r="M27" s="0" t="n">
        <v>59084.693</v>
      </c>
      <c r="N27" s="0" t="n">
        <v>6984.325</v>
      </c>
      <c r="O27" s="0" t="n">
        <v>112.631</v>
      </c>
      <c r="P27" s="0" t="n">
        <v>112.954</v>
      </c>
      <c r="Q27" s="0" t="n">
        <v>1415.752</v>
      </c>
      <c r="R27" s="0" t="n">
        <v>1334.52</v>
      </c>
      <c r="S27" s="0" t="n">
        <v>6504.559</v>
      </c>
      <c r="T27" s="0" t="n">
        <v>6155.141</v>
      </c>
      <c r="U27" s="0" t="n">
        <v>4163.071</v>
      </c>
      <c r="V27" s="0" t="n">
        <v>141662.596</v>
      </c>
      <c r="W27" s="0" t="n">
        <v>404.046</v>
      </c>
      <c r="X27" s="0" t="n">
        <v>828.938</v>
      </c>
      <c r="Y27" s="0" t="n">
        <v>112.631</v>
      </c>
      <c r="Z27" s="0" t="n">
        <v>1049.764</v>
      </c>
      <c r="AA27" s="0" t="n">
        <f aca="false">H27*x_c_F+I27*x_c_CC+J27*x_c_DC+K27*x_c_HCC+L27*x_c_PLT+M27*x_c_SVRn+N27*x_c_SVRcc+O27*x_c_LT+P27*x_c_LT1</f>
        <v>375849104.884107</v>
      </c>
      <c r="AB27" s="0" t="n">
        <f aca="false">C27*x_c_DAA</f>
        <v>76983424</v>
      </c>
      <c r="AC27" s="0" t="n">
        <f aca="false">C27*x_c_MON</f>
        <v>19499975.3270171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33378484.8438761</v>
      </c>
      <c r="AI27" s="0" t="n">
        <f aca="false">x_AGRI*x_EMP*x_WLOSS*(x_PEN_K74*Q27+x_PEN_C22*R27)</f>
        <v>1640534.63121257</v>
      </c>
      <c r="AJ27" s="0" t="n">
        <f aca="false">x_EMP*x_WAGE*(x_WLOSS*(Q27+R27)+S27)+U27*x_ABS_D*x_WAGE/365</f>
        <v>693481585.269931</v>
      </c>
      <c r="AK27" s="0" t="n">
        <f aca="false">AJ27*x_R_FUS</f>
        <v>219417573.579406</v>
      </c>
      <c r="AL27" s="0" t="n">
        <f aca="false">AJ27*x_R_NFZ</f>
        <v>53856473.3936481</v>
      </c>
      <c r="AM27" s="0" t="n">
        <f aca="false">AJ27*x_R_PIT</f>
        <v>46105550.2734399</v>
      </c>
      <c r="AN27" s="0" t="n">
        <f aca="false">AJ27*x_R_FP</f>
        <v>17683780.4243832</v>
      </c>
      <c r="AO27" s="0" t="n">
        <f aca="false">AA27+AB27+AC27+AD27+AF27</f>
        <v>472332504.211124</v>
      </c>
      <c r="AP27" s="0" t="n">
        <f aca="false">AO27+AE27+AG27+AH27+AI27+AK27+AL27+AM27+AN27</f>
        <v>844414901.35709</v>
      </c>
      <c r="AQ27" s="0" t="n">
        <f aca="false">AO27+AE27+AG27+AJ27</f>
        <v>1165814089.48106</v>
      </c>
      <c r="AR27" s="0" t="n">
        <f aca="false">AB27+AC27+AD27+AF27</f>
        <v>96483399.3270171</v>
      </c>
      <c r="AS27" s="0" t="n">
        <f aca="false">AR27+AE27+AG27</f>
        <v>96483399.3270171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3382.4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5238.357</v>
      </c>
      <c r="I28" s="0" t="n">
        <v>831.402</v>
      </c>
      <c r="J28" s="0" t="n">
        <v>2121.671</v>
      </c>
      <c r="K28" s="0" t="n">
        <v>2803.624</v>
      </c>
      <c r="L28" s="0" t="n">
        <v>1255.914</v>
      </c>
      <c r="M28" s="0" t="n">
        <v>60908.334</v>
      </c>
      <c r="N28" s="0" t="n">
        <v>7121.097</v>
      </c>
      <c r="O28" s="0" t="n">
        <v>111.968</v>
      </c>
      <c r="P28" s="0" t="n">
        <v>112.3</v>
      </c>
      <c r="Q28" s="0" t="n">
        <v>1481.582</v>
      </c>
      <c r="R28" s="0" t="n">
        <v>1400.142</v>
      </c>
      <c r="S28" s="0" t="n">
        <v>6960.009</v>
      </c>
      <c r="T28" s="0" t="n">
        <v>6069.759</v>
      </c>
      <c r="U28" s="0" t="n">
        <v>4177.665</v>
      </c>
      <c r="V28" s="0" t="n">
        <v>143021.379</v>
      </c>
      <c r="W28" s="0" t="n">
        <v>400.843</v>
      </c>
      <c r="X28" s="0" t="n">
        <v>823.356</v>
      </c>
      <c r="Y28" s="0" t="n">
        <v>111.968</v>
      </c>
      <c r="Z28" s="0" t="n">
        <v>1043.058</v>
      </c>
      <c r="AA28" s="0" t="n">
        <f aca="false">H28*x_c_F+I28*x_c_CC+J28*x_c_DC+K28*x_c_HCC+L28*x_c_PLT+M28*x_c_SVRn+N28*x_c_SVRcc+O28*x_c_LT+P28*x_c_LT1</f>
        <v>375084669.240019</v>
      </c>
      <c r="AB28" s="0" t="n">
        <f aca="false">C28*x_c_DAA</f>
        <v>76983424</v>
      </c>
      <c r="AC28" s="0" t="n">
        <f aca="false">C28*x_c_MON</f>
        <v>19499975.3270171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34596892.9787197</v>
      </c>
      <c r="AI28" s="0" t="n">
        <f aca="false">x_AGRI*x_EMP*x_WLOSS*(x_PEN_K74*Q28+x_PEN_C22*R28)</f>
        <v>1719085.89411033</v>
      </c>
      <c r="AJ28" s="0" t="n">
        <f aca="false">x_EMP*x_WAGE*(x_WLOSS*(Q28+R28)+S28)+U28*x_ABS_D*x_WAGE/365</f>
        <v>738410722.564806</v>
      </c>
      <c r="AK28" s="0" t="n">
        <f aca="false">AJ28*x_R_FUS</f>
        <v>233633152.619505</v>
      </c>
      <c r="AL28" s="0" t="n">
        <f aca="false">AJ28*x_R_NFZ</f>
        <v>57345715.1251054</v>
      </c>
      <c r="AM28" s="0" t="n">
        <f aca="false">AJ28*x_R_PIT</f>
        <v>49092626.8480614</v>
      </c>
      <c r="AN28" s="0" t="n">
        <f aca="false">AJ28*x_R_FP</f>
        <v>18829473.4254026</v>
      </c>
      <c r="AO28" s="0" t="n">
        <f aca="false">AA28+AB28+AC28+AD28+AF28</f>
        <v>471568068.567036</v>
      </c>
      <c r="AP28" s="0" t="n">
        <f aca="false">AO28+AE28+AG28+AH28+AI28+AK28+AL28+AM28+AN28</f>
        <v>866785015.45794</v>
      </c>
      <c r="AQ28" s="0" t="n">
        <f aca="false">AO28+AE28+AG28+AJ28</f>
        <v>1209978791.13184</v>
      </c>
      <c r="AR28" s="0" t="n">
        <f aca="false">AB28+AC28+AD28+AF28</f>
        <v>96483399.3270171</v>
      </c>
      <c r="AS28" s="0" t="n">
        <f aca="false">AR28+AE28+AG28</f>
        <v>96483399.3270171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3382.4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5172.124</v>
      </c>
      <c r="I29" s="0" t="n">
        <v>812.897</v>
      </c>
      <c r="J29" s="0" t="n">
        <v>2108.748</v>
      </c>
      <c r="K29" s="0" t="n">
        <v>2785.573</v>
      </c>
      <c r="L29" s="0" t="n">
        <v>1248.286</v>
      </c>
      <c r="M29" s="0" t="n">
        <v>62726.77</v>
      </c>
      <c r="N29" s="0" t="n">
        <v>7248.063</v>
      </c>
      <c r="O29" s="0" t="n">
        <v>111.304</v>
      </c>
      <c r="P29" s="0" t="n">
        <v>111.636</v>
      </c>
      <c r="Q29" s="0" t="n">
        <v>1549.76</v>
      </c>
      <c r="R29" s="0" t="n">
        <v>1467.103</v>
      </c>
      <c r="S29" s="0" t="n">
        <v>7433.607</v>
      </c>
      <c r="T29" s="0" t="n">
        <v>5985.021</v>
      </c>
      <c r="U29" s="0" t="n">
        <v>4185.341</v>
      </c>
      <c r="V29" s="0" t="n">
        <v>144416.366</v>
      </c>
      <c r="W29" s="0" t="n">
        <v>397.954</v>
      </c>
      <c r="X29" s="0" t="n">
        <v>818.446</v>
      </c>
      <c r="Y29" s="0" t="n">
        <v>111.304</v>
      </c>
      <c r="Z29" s="0" t="n">
        <v>1036.618</v>
      </c>
      <c r="AA29" s="0" t="n">
        <f aca="false">H29*x_c_F+I29*x_c_CC+J29*x_c_DC+K29*x_c_HCC+L29*x_c_PLT+M29*x_c_SVRn+N29*x_c_SVRcc+O29*x_c_LT+P29*x_c_LT1</f>
        <v>374379818.430337</v>
      </c>
      <c r="AB29" s="0" t="n">
        <f aca="false">C29*x_c_DAA</f>
        <v>76983424</v>
      </c>
      <c r="AC29" s="0" t="n">
        <f aca="false">C29*x_c_MON</f>
        <v>19499975.3270171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35833831.8503967</v>
      </c>
      <c r="AI29" s="0" t="n">
        <f aca="false">x_AGRI*x_EMP*x_WLOSS*(x_PEN_K74*Q29+x_PEN_C22*R29)</f>
        <v>1799802.08925252</v>
      </c>
      <c r="AJ29" s="0" t="n">
        <f aca="false">x_EMP*x_WAGE*(x_WLOSS*(Q29+R29)+S29)+U29*x_ABS_D*x_WAGE/365</f>
        <v>785036661.377879</v>
      </c>
      <c r="AK29" s="0" t="n">
        <f aca="false">AJ29*x_R_FUS</f>
        <v>248385599.659961</v>
      </c>
      <c r="AL29" s="0" t="n">
        <f aca="false">AJ29*x_R_NFZ</f>
        <v>60966732.1592675</v>
      </c>
      <c r="AM29" s="0" t="n">
        <f aca="false">AJ29*x_R_PIT</f>
        <v>52192513.8697993</v>
      </c>
      <c r="AN29" s="0" t="n">
        <f aca="false">AJ29*x_R_FP</f>
        <v>20018434.8651359</v>
      </c>
      <c r="AO29" s="0" t="n">
        <f aca="false">AA29+AB29+AC29+AD29+AF29</f>
        <v>470863217.757354</v>
      </c>
      <c r="AP29" s="0" t="n">
        <f aca="false">AO29+AE29+AG29+AH29+AI29+AK29+AL29+AM29+AN29</f>
        <v>890060132.251167</v>
      </c>
      <c r="AQ29" s="0" t="n">
        <f aca="false">AO29+AE29+AG29+AJ29</f>
        <v>1255899879.13523</v>
      </c>
      <c r="AR29" s="0" t="n">
        <f aca="false">AB29+AC29+AD29+AF29</f>
        <v>96483399.3270171</v>
      </c>
      <c r="AS29" s="0" t="n">
        <f aca="false">AR29+AE29+AG29</f>
        <v>96483399.3270171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3382.4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5106.627</v>
      </c>
      <c r="I30" s="0" t="n">
        <v>795.244</v>
      </c>
      <c r="J30" s="0" t="n">
        <v>2095.912</v>
      </c>
      <c r="K30" s="0" t="n">
        <v>2768.93</v>
      </c>
      <c r="L30" s="0" t="n">
        <v>1240.521</v>
      </c>
      <c r="M30" s="0" t="n">
        <v>64536.239</v>
      </c>
      <c r="N30" s="0" t="n">
        <v>7365.116</v>
      </c>
      <c r="O30" s="0" t="n">
        <v>110.639</v>
      </c>
      <c r="P30" s="0" t="n">
        <v>110.972</v>
      </c>
      <c r="Q30" s="0" t="n">
        <v>1620.087</v>
      </c>
      <c r="R30" s="0" t="n">
        <v>1535.108</v>
      </c>
      <c r="S30" s="0" t="n">
        <v>7925.072</v>
      </c>
      <c r="T30" s="0" t="n">
        <v>5901.87</v>
      </c>
      <c r="U30" s="0" t="n">
        <v>4187.375</v>
      </c>
      <c r="V30" s="0" t="n">
        <v>145836.198</v>
      </c>
      <c r="W30" s="0" t="n">
        <v>395.349</v>
      </c>
      <c r="X30" s="0" t="n">
        <v>814.125</v>
      </c>
      <c r="Y30" s="0" t="n">
        <v>110.639</v>
      </c>
      <c r="Z30" s="0" t="n">
        <v>1030.425</v>
      </c>
      <c r="AA30" s="0" t="n">
        <f aca="false">H30*x_c_F+I30*x_c_CC+J30*x_c_DC+K30*x_c_HCC+L30*x_c_PLT+M30*x_c_SVRn+N30*x_c_SVRcc+O30*x_c_LT+P30*x_c_LT1</f>
        <v>373734533.584609</v>
      </c>
      <c r="AB30" s="0" t="n">
        <f aca="false">C30*x_c_DAA</f>
        <v>76983424</v>
      </c>
      <c r="AC30" s="0" t="n">
        <f aca="false">C30*x_c_MON</f>
        <v>19499975.3270171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37087402.8157997</v>
      </c>
      <c r="AI30" s="0" t="n">
        <f aca="false">x_AGRI*x_EMP*x_WLOSS*(x_PEN_K74*Q30+x_PEN_C22*R30)</f>
        <v>1882384.32450293</v>
      </c>
      <c r="AJ30" s="0" t="n">
        <f aca="false">x_EMP*x_WAGE*(x_WLOSS*(Q30+R30)+S30)+U30*x_ABS_D*x_WAGE/365</f>
        <v>833316439.072417</v>
      </c>
      <c r="AK30" s="0" t="n">
        <f aca="false">AJ30*x_R_FUS</f>
        <v>263661321.322513</v>
      </c>
      <c r="AL30" s="0" t="n">
        <f aca="false">AJ30*x_R_NFZ</f>
        <v>64716187.974803</v>
      </c>
      <c r="AM30" s="0" t="n">
        <f aca="false">AJ30*x_R_PIT</f>
        <v>55402355.0032442</v>
      </c>
      <c r="AN30" s="0" t="n">
        <f aca="false">AJ30*x_R_FP</f>
        <v>21249569.1963466</v>
      </c>
      <c r="AO30" s="0" t="n">
        <f aca="false">AA30+AB30+AC30+AD30+AF30</f>
        <v>470217932.911626</v>
      </c>
      <c r="AP30" s="0" t="n">
        <f aca="false">AO30+AE30+AG30+AH30+AI30+AK30+AL30+AM30+AN30</f>
        <v>914217153.548835</v>
      </c>
      <c r="AQ30" s="0" t="n">
        <f aca="false">AO30+AE30+AG30+AJ30</f>
        <v>1303534371.98404</v>
      </c>
      <c r="AR30" s="0" t="n">
        <f aca="false">AB30+AC30+AD30+AF30</f>
        <v>96483399.3270171</v>
      </c>
      <c r="AS30" s="0" t="n">
        <f aca="false">AR30+AE30+AG30</f>
        <v>96483399.3270171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3382.4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5042.453</v>
      </c>
      <c r="I31" s="0" t="n">
        <v>778.495</v>
      </c>
      <c r="J31" s="0" t="n">
        <v>2083.16</v>
      </c>
      <c r="K31" s="0" t="n">
        <v>2753.534</v>
      </c>
      <c r="L31" s="0" t="n">
        <v>1232.395</v>
      </c>
      <c r="M31" s="0" t="n">
        <v>66331.128</v>
      </c>
      <c r="N31" s="0" t="n">
        <v>7471.671</v>
      </c>
      <c r="O31" s="0" t="n">
        <v>109.975</v>
      </c>
      <c r="P31" s="0" t="n">
        <v>110.307</v>
      </c>
      <c r="Q31" s="0" t="n">
        <v>1692.335</v>
      </c>
      <c r="R31" s="0" t="n">
        <v>1603.845</v>
      </c>
      <c r="S31" s="0" t="n">
        <v>8433.965</v>
      </c>
      <c r="T31" s="0" t="n">
        <v>5820.949</v>
      </c>
      <c r="U31" s="0" t="n">
        <v>4184.869</v>
      </c>
      <c r="V31" s="0" t="n">
        <v>147267.788</v>
      </c>
      <c r="W31" s="0" t="n">
        <v>392.986</v>
      </c>
      <c r="X31" s="0" t="n">
        <v>810.294</v>
      </c>
      <c r="Y31" s="0" t="n">
        <v>109.975</v>
      </c>
      <c r="Z31" s="0" t="n">
        <v>1024.433</v>
      </c>
      <c r="AA31" s="0" t="n">
        <f aca="false">H31*x_c_F+I31*x_c_CC+J31*x_c_DC+K31*x_c_HCC+L31*x_c_PLT+M31*x_c_SVRn+N31*x_c_SVRcc+O31*x_c_LT+P31*x_c_LT1</f>
        <v>373129133.494996</v>
      </c>
      <c r="AB31" s="0" t="n">
        <f aca="false">C31*x_c_DAA</f>
        <v>76983424</v>
      </c>
      <c r="AC31" s="0" t="n">
        <f aca="false">C31*x_c_MON</f>
        <v>19499975.3270171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38354940.5290988</v>
      </c>
      <c r="AI31" s="0" t="n">
        <f aca="false">x_AGRI*x_EMP*x_WLOSS*(x_PEN_K74*Q31+x_PEN_C22*R31)</f>
        <v>1966506.67498352</v>
      </c>
      <c r="AJ31" s="0" t="n">
        <f aca="false">x_EMP*x_WAGE*(x_WLOSS*(Q31+R31)+S31)+U31*x_ABS_D*x_WAGE/365</f>
        <v>883190992.09829</v>
      </c>
      <c r="AK31" s="0" t="n">
        <f aca="false">AJ31*x_R_FUS</f>
        <v>279441629.899899</v>
      </c>
      <c r="AL31" s="0" t="n">
        <f aca="false">AJ31*x_R_NFZ</f>
        <v>68589495.6373453</v>
      </c>
      <c r="AM31" s="0" t="n">
        <f aca="false">AJ31*x_R_PIT</f>
        <v>58718223.4570614</v>
      </c>
      <c r="AN31" s="0" t="n">
        <f aca="false">AJ31*x_R_FP</f>
        <v>22521370.2985064</v>
      </c>
      <c r="AO31" s="0" t="n">
        <f aca="false">AA31+AB31+AC31+AD31+AF31</f>
        <v>469612532.822014</v>
      </c>
      <c r="AP31" s="0" t="n">
        <f aca="false">AO31+AE31+AG31+AH31+AI31+AK31+AL31+AM31+AN31</f>
        <v>939204699.318908</v>
      </c>
      <c r="AQ31" s="0" t="n">
        <f aca="false">AO31+AE31+AG31+AJ31</f>
        <v>1352803524.9203</v>
      </c>
      <c r="AR31" s="0" t="n">
        <f aca="false">AB31+AC31+AD31+AF31</f>
        <v>96483399.3270171</v>
      </c>
      <c r="AS31" s="0" t="n">
        <f aca="false">AR31+AE31+AG31</f>
        <v>96483399.3270171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3382.4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4980.033</v>
      </c>
      <c r="I32" s="0" t="n">
        <v>762.656</v>
      </c>
      <c r="J32" s="0" t="n">
        <v>2070.423</v>
      </c>
      <c r="K32" s="0" t="n">
        <v>2739.154</v>
      </c>
      <c r="L32" s="0" t="n">
        <v>1223.655</v>
      </c>
      <c r="M32" s="0" t="n">
        <v>68104.88</v>
      </c>
      <c r="N32" s="0" t="n">
        <v>7566.878</v>
      </c>
      <c r="O32" s="0" t="n">
        <v>109.305</v>
      </c>
      <c r="P32" s="0" t="n">
        <v>109.64</v>
      </c>
      <c r="Q32" s="0" t="n">
        <v>1766.252</v>
      </c>
      <c r="R32" s="0" t="n">
        <v>1672.999</v>
      </c>
      <c r="S32" s="0" t="n">
        <v>8959.702</v>
      </c>
      <c r="T32" s="0" t="n">
        <v>5742.689</v>
      </c>
      <c r="U32" s="0" t="n">
        <v>4178.752</v>
      </c>
      <c r="V32" s="0" t="n">
        <v>148698.172</v>
      </c>
      <c r="W32" s="0" t="n">
        <v>390.822</v>
      </c>
      <c r="X32" s="0" t="n">
        <v>806.847</v>
      </c>
      <c r="Y32" s="0" t="n">
        <v>109.305</v>
      </c>
      <c r="Z32" s="0" t="n">
        <v>1018.56</v>
      </c>
      <c r="AA32" s="0" t="n">
        <f aca="false">H32*x_c_F+I32*x_c_CC+J32*x_c_DC+K32*x_c_HCC+L32*x_c_PLT+M32*x_c_SVRn+N32*x_c_SVRcc+O32*x_c_LT+P32*x_c_LT1</f>
        <v>372532321.087721</v>
      </c>
      <c r="AB32" s="0" t="n">
        <f aca="false">C32*x_c_DAA</f>
        <v>76983424</v>
      </c>
      <c r="AC32" s="0" t="n">
        <f aca="false">C32*x_c_MON</f>
        <v>19499975.3270171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39633191.9840491</v>
      </c>
      <c r="AI32" s="0" t="n">
        <f aca="false">x_AGRI*x_EMP*x_WLOSS*(x_PEN_K74*Q32+x_PEN_C22*R32)</f>
        <v>2051827.88153752</v>
      </c>
      <c r="AJ32" s="0" t="n">
        <f aca="false">x_EMP*x_WAGE*(x_WLOSS*(Q32+R32)+S32)+U32*x_ABS_D*x_WAGE/365</f>
        <v>934587142.412332</v>
      </c>
      <c r="AK32" s="0" t="n">
        <f aca="false">AJ32*x_R_FUS</f>
        <v>295703371.859262</v>
      </c>
      <c r="AL32" s="0" t="n">
        <f aca="false">AJ32*x_R_NFZ</f>
        <v>72580972.0668841</v>
      </c>
      <c r="AM32" s="0" t="n">
        <f aca="false">AJ32*x_R_PIT</f>
        <v>62135254.0495075</v>
      </c>
      <c r="AN32" s="0" t="n">
        <f aca="false">AJ32*x_R_FP</f>
        <v>23831972.1315145</v>
      </c>
      <c r="AO32" s="0" t="n">
        <f aca="false">AA32+AB32+AC32+AD32+AF32</f>
        <v>469015720.414738</v>
      </c>
      <c r="AP32" s="0" t="n">
        <f aca="false">AO32+AE32+AG32+AH32+AI32+AK32+AL32+AM32+AN32</f>
        <v>964952310.387492</v>
      </c>
      <c r="AQ32" s="0" t="n">
        <f aca="false">AO32+AE32+AG32+AJ32</f>
        <v>1403602862.82707</v>
      </c>
      <c r="AR32" s="0" t="n">
        <f aca="false">AB32+AC32+AD32+AF32</f>
        <v>96483399.3270171</v>
      </c>
      <c r="AS32" s="0" t="n">
        <f aca="false">AR32+AE32+AG32</f>
        <v>96483399.3270171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3382.4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4919.633</v>
      </c>
      <c r="I33" s="0" t="n">
        <v>747.685</v>
      </c>
      <c r="J33" s="0" t="n">
        <v>2057.542</v>
      </c>
      <c r="K33" s="0" t="n">
        <v>2725.464</v>
      </c>
      <c r="L33" s="0" t="n">
        <v>1213.985</v>
      </c>
      <c r="M33" s="0" t="n">
        <v>69849.413</v>
      </c>
      <c r="N33" s="0" t="n">
        <v>7649.453</v>
      </c>
      <c r="O33" s="0" t="n">
        <v>108.618</v>
      </c>
      <c r="P33" s="0" t="n">
        <v>108.962</v>
      </c>
      <c r="Q33" s="0" t="n">
        <v>1841.539</v>
      </c>
      <c r="R33" s="0" t="n">
        <v>1742.235</v>
      </c>
      <c r="S33" s="0" t="n">
        <v>9501.386</v>
      </c>
      <c r="T33" s="0" t="n">
        <v>5667.318</v>
      </c>
      <c r="U33" s="0" t="n">
        <v>4169.772</v>
      </c>
      <c r="V33" s="0" t="n">
        <v>150113.456</v>
      </c>
      <c r="W33" s="0" t="n">
        <v>388.795</v>
      </c>
      <c r="X33" s="0" t="n">
        <v>803.654</v>
      </c>
      <c r="Y33" s="0" t="n">
        <v>108.618</v>
      </c>
      <c r="Z33" s="0" t="n">
        <v>1012.67</v>
      </c>
      <c r="AA33" s="0" t="n">
        <f aca="false">H33*x_c_F+I33*x_c_CC+J33*x_c_DC+K33*x_c_HCC+L33*x_c_PLT+M33*x_c_SVRn+N33*x_c_SVRcc+O33*x_c_LT+P33*x_c_LT1</f>
        <v>371898574.7298</v>
      </c>
      <c r="AB33" s="0" t="n">
        <f aca="false">C33*x_c_DAA</f>
        <v>76983424</v>
      </c>
      <c r="AC33" s="0" t="n">
        <f aca="false">C33*x_c_MON</f>
        <v>19499975.3270171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40917941.8716333</v>
      </c>
      <c r="AI33" s="0" t="n">
        <f aca="false">x_AGRI*x_EMP*x_WLOSS*(x_PEN_K74*Q33+x_PEN_C22*R33)</f>
        <v>2137967.67470746</v>
      </c>
      <c r="AJ33" s="0" t="n">
        <f aca="false">x_EMP*x_WAGE*(x_WLOSS*(Q33+R33)+S33)+U33*x_ABS_D*x_WAGE/365</f>
        <v>987401407.908359</v>
      </c>
      <c r="AK33" s="0" t="n">
        <f aca="false">AJ33*x_R_FUS</f>
        <v>312413805.462205</v>
      </c>
      <c r="AL33" s="0" t="n">
        <f aca="false">AJ33*x_R_NFZ</f>
        <v>76682580.739571</v>
      </c>
      <c r="AM33" s="0" t="n">
        <f aca="false">AJ33*x_R_PIT</f>
        <v>65646566.8582449</v>
      </c>
      <c r="AN33" s="0" t="n">
        <f aca="false">AJ33*x_R_FP</f>
        <v>25178735.9016631</v>
      </c>
      <c r="AO33" s="0" t="n">
        <f aca="false">AA33+AB33+AC33+AD33+AF33</f>
        <v>468381974.056817</v>
      </c>
      <c r="AP33" s="0" t="n">
        <f aca="false">AO33+AE33+AG33+AH33+AI33+AK33+AL33+AM33+AN33</f>
        <v>991359572.564841</v>
      </c>
      <c r="AQ33" s="0" t="n">
        <f aca="false">AO33+AE33+AG33+AJ33</f>
        <v>1455783381.96518</v>
      </c>
      <c r="AR33" s="0" t="n">
        <f aca="false">AB33+AC33+AD33+AF33</f>
        <v>96483399.3270171</v>
      </c>
      <c r="AS33" s="0" t="n">
        <f aca="false">AR33+AE33+AG33</f>
        <v>96483399.3270171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3382.4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4860.829</v>
      </c>
      <c r="I34" s="0" t="n">
        <v>733.091</v>
      </c>
      <c r="J34" s="0" t="n">
        <v>2041.745</v>
      </c>
      <c r="K34" s="0" t="n">
        <v>2709.328</v>
      </c>
      <c r="L34" s="0" t="n">
        <v>1200.034</v>
      </c>
      <c r="M34" s="0" t="n">
        <v>71495.201</v>
      </c>
      <c r="N34" s="0" t="n">
        <v>7703.155</v>
      </c>
      <c r="O34" s="0" t="n">
        <v>107.62</v>
      </c>
      <c r="P34" s="0" t="n">
        <v>108.119</v>
      </c>
      <c r="Q34" s="0" t="n">
        <v>1917.868</v>
      </c>
      <c r="R34" s="0" t="n">
        <v>1811.215</v>
      </c>
      <c r="S34" s="0" t="n">
        <v>10057.844</v>
      </c>
      <c r="T34" s="0" t="n">
        <v>5593.92</v>
      </c>
      <c r="U34" s="0" t="n">
        <v>4158.327</v>
      </c>
      <c r="V34" s="0" t="n">
        <v>151428.77</v>
      </c>
      <c r="W34" s="0" t="n">
        <v>386.269</v>
      </c>
      <c r="X34" s="0" t="n">
        <v>799.379</v>
      </c>
      <c r="Y34" s="0" t="n">
        <v>107.62</v>
      </c>
      <c r="Z34" s="0" t="n">
        <v>1004.087</v>
      </c>
      <c r="AA34" s="0" t="n">
        <f aca="false">H34*x_c_F+I34*x_c_CC+J34*x_c_DC+K34*x_c_HCC+L34*x_c_PLT+M34*x_c_SVRn+N34*x_c_SVRcc+O34*x_c_LT+P34*x_c_LT1</f>
        <v>370675022.494644</v>
      </c>
      <c r="AB34" s="0" t="n">
        <f aca="false">C34*x_c_DAA</f>
        <v>76983424</v>
      </c>
      <c r="AC34" s="0" t="n">
        <f aca="false">C34*x_c_MON</f>
        <v>19499975.3270171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42203981.0113375</v>
      </c>
      <c r="AI34" s="0" t="n">
        <f aca="false">x_AGRI*x_EMP*x_WLOSS*(x_PEN_K74*Q34+x_PEN_C22*R34)</f>
        <v>2224527.6534906</v>
      </c>
      <c r="AJ34" s="0" t="n">
        <f aca="false">x_EMP*x_WAGE*(x_WLOSS*(Q34+R34)+S34)+U34*x_ABS_D*x_WAGE/365</f>
        <v>1041504272.66131</v>
      </c>
      <c r="AK34" s="0" t="n">
        <f aca="false">AJ34*x_R_FUS</f>
        <v>329531951.870038</v>
      </c>
      <c r="AL34" s="0" t="n">
        <f aca="false">AJ34*x_R_NFZ</f>
        <v>80884263.3191499</v>
      </c>
      <c r="AM34" s="0" t="n">
        <f aca="false">AJ34*x_R_PIT</f>
        <v>69243551.1239963</v>
      </c>
      <c r="AN34" s="0" t="n">
        <f aca="false">AJ34*x_R_FP</f>
        <v>26558358.9528634</v>
      </c>
      <c r="AO34" s="0" t="n">
        <f aca="false">AA34+AB34+AC34+AD34+AF34</f>
        <v>467158421.821661</v>
      </c>
      <c r="AP34" s="0" t="n">
        <f aca="false">AO34+AE34+AG34+AH34+AI34+AK34+AL34+AM34+AN34</f>
        <v>1017805055.75254</v>
      </c>
      <c r="AQ34" s="0" t="n">
        <f aca="false">AO34+AE34+AG34+AJ34</f>
        <v>1508662694.48297</v>
      </c>
      <c r="AR34" s="0" t="n">
        <f aca="false">AB34+AC34+AD34+AF34</f>
        <v>96483399.3270171</v>
      </c>
      <c r="AS34" s="0" t="n">
        <f aca="false">AR34+AE34+AG34</f>
        <v>96483399.3270171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3382.4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4804.117</v>
      </c>
      <c r="I35" s="0" t="n">
        <v>719.388</v>
      </c>
      <c r="J35" s="0" t="n">
        <v>2026.509</v>
      </c>
      <c r="K35" s="0" t="n">
        <v>2694.408</v>
      </c>
      <c r="L35" s="0" t="n">
        <v>1185.589</v>
      </c>
      <c r="M35" s="0" t="n">
        <v>73116.096</v>
      </c>
      <c r="N35" s="0" t="n">
        <v>7746.54</v>
      </c>
      <c r="O35" s="0" t="n">
        <v>106.992</v>
      </c>
      <c r="P35" s="0" t="n">
        <v>107.306</v>
      </c>
      <c r="Q35" s="0" t="n">
        <v>1994.88</v>
      </c>
      <c r="R35" s="0" t="n">
        <v>1879.596</v>
      </c>
      <c r="S35" s="0" t="n">
        <v>10627.626</v>
      </c>
      <c r="T35" s="0" t="n">
        <v>5523.504</v>
      </c>
      <c r="U35" s="0" t="n">
        <v>4144.777</v>
      </c>
      <c r="V35" s="0" t="n">
        <v>152730.184</v>
      </c>
      <c r="W35" s="0" t="n">
        <v>384.643</v>
      </c>
      <c r="X35" s="0" t="n">
        <v>796.922</v>
      </c>
      <c r="Y35" s="0" t="n">
        <v>106.992</v>
      </c>
      <c r="Z35" s="0" t="n">
        <v>998.891</v>
      </c>
      <c r="AA35" s="0" t="n">
        <f aca="false">H35*x_c_F+I35*x_c_CC+J35*x_c_DC+K35*x_c_HCC+L35*x_c_PLT+M35*x_c_SVRn+N35*x_c_SVRcc+O35*x_c_LT+P35*x_c_LT1</f>
        <v>369618152.564967</v>
      </c>
      <c r="AB35" s="0" t="n">
        <f aca="false">C35*x_c_DAA</f>
        <v>76983424</v>
      </c>
      <c r="AC35" s="0" t="n">
        <f aca="false">C35*x_c_MON</f>
        <v>19499975.3270171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43485711.6203468</v>
      </c>
      <c r="AI35" s="0" t="n">
        <f aca="false">x_AGRI*x_EMP*x_WLOSS*(x_PEN_K74*Q35+x_PEN_C22*R35)</f>
        <v>2311088.89483278</v>
      </c>
      <c r="AJ35" s="0" t="n">
        <f aca="false">x_EMP*x_WAGE*(x_WLOSS*(Q35+R35)+S35)+U35*x_ABS_D*x_WAGE/365</f>
        <v>1096740833.89269</v>
      </c>
      <c r="AK35" s="0" t="n">
        <f aca="false">AJ35*x_R_FUS</f>
        <v>347008799.843646</v>
      </c>
      <c r="AL35" s="0" t="n">
        <f aca="false">AJ35*x_R_NFZ</f>
        <v>85173989.90094</v>
      </c>
      <c r="AM35" s="0" t="n">
        <f aca="false">AJ35*x_R_PIT</f>
        <v>72915908.2635071</v>
      </c>
      <c r="AN35" s="0" t="n">
        <f aca="false">AJ35*x_R_FP</f>
        <v>27966891.2642635</v>
      </c>
      <c r="AO35" s="0" t="n">
        <f aca="false">AA35+AB35+AC35+AD35+AF35</f>
        <v>466101551.891984</v>
      </c>
      <c r="AP35" s="0" t="n">
        <f aca="false">AO35+AE35+AG35+AH35+AI35+AK35+AL35+AM35+AN35</f>
        <v>1044963941.67952</v>
      </c>
      <c r="AQ35" s="0" t="n">
        <f aca="false">AO35+AE35+AG35+AJ35</f>
        <v>1562842385.78467</v>
      </c>
      <c r="AR35" s="0" t="n">
        <f aca="false">AB35+AC35+AD35+AF35</f>
        <v>96483399.3270171</v>
      </c>
      <c r="AS35" s="0" t="n">
        <f aca="false">AR35+AE35+AG35</f>
        <v>96483399.3270171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3382.4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4750.144</v>
      </c>
      <c r="I36" s="0" t="n">
        <v>706.908</v>
      </c>
      <c r="J36" s="0" t="n">
        <v>2013.958</v>
      </c>
      <c r="K36" s="0" t="n">
        <v>2682.877</v>
      </c>
      <c r="L36" s="0" t="n">
        <v>1173.054</v>
      </c>
      <c r="M36" s="0" t="n">
        <v>74757.662</v>
      </c>
      <c r="N36" s="0" t="n">
        <v>7791.332</v>
      </c>
      <c r="O36" s="0" t="n">
        <v>106.289</v>
      </c>
      <c r="P36" s="0" t="n">
        <v>106.64</v>
      </c>
      <c r="Q36" s="0" t="n">
        <v>1538.265</v>
      </c>
      <c r="R36" s="0" t="n">
        <v>1601.783</v>
      </c>
      <c r="S36" s="0" t="n">
        <v>7154.551</v>
      </c>
      <c r="T36" s="0" t="n">
        <v>5457.053</v>
      </c>
      <c r="U36" s="0" t="n">
        <v>4009.009</v>
      </c>
      <c r="V36" s="0" t="n">
        <v>154069.809</v>
      </c>
      <c r="W36" s="0" t="n">
        <v>382.956</v>
      </c>
      <c r="X36" s="0" t="n">
        <v>794.288</v>
      </c>
      <c r="Y36" s="0" t="n">
        <v>106.289</v>
      </c>
      <c r="Z36" s="0" t="n">
        <v>993.064</v>
      </c>
      <c r="AA36" s="0" t="n">
        <f aca="false">H36*x_c_F+I36*x_c_CC+J36*x_c_DC+K36*x_c_HCC+L36*x_c_PLT+M36*x_c_SVRn+N36*x_c_SVRcc+O36*x_c_LT+P36*x_c_LT1</f>
        <v>368896125.023094</v>
      </c>
      <c r="AB36" s="0" t="n">
        <f aca="false">C36*x_c_DAA</f>
        <v>76983424</v>
      </c>
      <c r="AC36" s="0" t="n">
        <f aca="false">C36*x_c_MON</f>
        <v>19499975.3270171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36669512.1322458</v>
      </c>
      <c r="AI36" s="0" t="n">
        <f aca="false">x_AGRI*x_EMP*x_WLOSS*(x_PEN_K74*Q36+x_PEN_C22*R36)</f>
        <v>1879000.68425704</v>
      </c>
      <c r="AJ36" s="0" t="n">
        <f aca="false">x_EMP*x_WAGE*(x_WLOSS*(Q36+R36)+S36)+U36*x_ABS_D*x_WAGE/365</f>
        <v>766399878.959527</v>
      </c>
      <c r="AK36" s="0" t="n">
        <f aca="false">AJ36*x_R_FUS</f>
        <v>242488921.702794</v>
      </c>
      <c r="AL36" s="0" t="n">
        <f aca="false">AJ36*x_R_NFZ</f>
        <v>59519380.9998758</v>
      </c>
      <c r="AM36" s="0" t="n">
        <f aca="false">AJ36*x_R_PIT</f>
        <v>50953462.7875848</v>
      </c>
      <c r="AN36" s="0" t="n">
        <f aca="false">AJ36*x_R_FP</f>
        <v>19543196.9134679</v>
      </c>
      <c r="AO36" s="0" t="n">
        <f aca="false">AA36+AB36+AC36+AD36+AF36</f>
        <v>465379524.350111</v>
      </c>
      <c r="AP36" s="0" t="n">
        <f aca="false">AO36+AE36+AG36+AH36+AI36+AK36+AL36+AM36+AN36</f>
        <v>876432999.570336</v>
      </c>
      <c r="AQ36" s="0" t="n">
        <f aca="false">AO36+AE36+AG36+AJ36</f>
        <v>1231779403.30964</v>
      </c>
      <c r="AR36" s="0" t="n">
        <f aca="false">AB36+AC36+AD36+AF36</f>
        <v>96483399.3270171</v>
      </c>
      <c r="AS36" s="0" t="n">
        <f aca="false">AR36+AE36+AG36</f>
        <v>96483399.3270171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3382.4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4698.526</v>
      </c>
      <c r="I37" s="0" t="n">
        <v>695.042</v>
      </c>
      <c r="J37" s="0" t="n">
        <v>2000.268</v>
      </c>
      <c r="K37" s="0" t="n">
        <v>2670.487</v>
      </c>
      <c r="L37" s="0" t="n">
        <v>1157.926</v>
      </c>
      <c r="M37" s="0" t="n">
        <v>76325.915</v>
      </c>
      <c r="N37" s="0" t="n">
        <v>7815.505</v>
      </c>
      <c r="O37" s="0" t="n">
        <v>105.531</v>
      </c>
      <c r="P37" s="0" t="n">
        <v>105.91</v>
      </c>
      <c r="Q37" s="0" t="n">
        <v>1041.794</v>
      </c>
      <c r="R37" s="0" t="n">
        <v>1288.545</v>
      </c>
      <c r="S37" s="0" t="n">
        <v>3389.53</v>
      </c>
      <c r="T37" s="0" t="n">
        <v>5393.567</v>
      </c>
      <c r="U37" s="0" t="n">
        <v>3855.594</v>
      </c>
      <c r="V37" s="0" t="n">
        <v>155336.535</v>
      </c>
      <c r="W37" s="0" t="n">
        <v>381.254</v>
      </c>
      <c r="X37" s="0" t="n">
        <v>791.558</v>
      </c>
      <c r="Y37" s="0" t="n">
        <v>105.531</v>
      </c>
      <c r="Z37" s="0" t="n">
        <v>986.764</v>
      </c>
      <c r="AA37" s="0" t="n">
        <f aca="false">H37*x_c_F+I37*x_c_CC+J37*x_c_DC+K37*x_c_HCC+L37*x_c_PLT+M37*x_c_SVRn+N37*x_c_SVRcc+O37*x_c_LT+P37*x_c_LT1</f>
        <v>367904113.810461</v>
      </c>
      <c r="AB37" s="0" t="n">
        <f aca="false">C37*x_c_DAA</f>
        <v>76983424</v>
      </c>
      <c r="AC37" s="0" t="n">
        <f aca="false">C37*x_c_MON</f>
        <v>19499975.3270171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29138937.5036204</v>
      </c>
      <c r="AI37" s="0" t="n">
        <f aca="false">x_AGRI*x_EMP*x_WLOSS*(x_PEN_K74*Q37+x_PEN_C22*R37)</f>
        <v>1402091.69624446</v>
      </c>
      <c r="AJ37" s="0" t="n">
        <f aca="false">x_EMP*x_WAGE*(x_WLOSS*(Q37+R37)+S37)+U37*x_ABS_D*x_WAGE/365</f>
        <v>407648358.236896</v>
      </c>
      <c r="AK37" s="0" t="n">
        <f aca="false">AJ37*x_R_FUS</f>
        <v>128979940.546154</v>
      </c>
      <c r="AL37" s="0" t="n">
        <f aca="false">AJ37*x_R_NFZ</f>
        <v>31658379.1490356</v>
      </c>
      <c r="AM37" s="0" t="n">
        <f aca="false">AJ37*x_R_PIT</f>
        <v>27102164.3166787</v>
      </c>
      <c r="AN37" s="0" t="n">
        <f aca="false">AJ37*x_R_FP</f>
        <v>10395033.1350409</v>
      </c>
      <c r="AO37" s="0" t="n">
        <f aca="false">AA37+AB37+AC37+AD37+AF37</f>
        <v>464387513.137478</v>
      </c>
      <c r="AP37" s="0" t="n">
        <f aca="false">AO37+AE37+AG37+AH37+AI37+AK37+AL37+AM37+AN37</f>
        <v>693064059.484252</v>
      </c>
      <c r="AQ37" s="0" t="n">
        <f aca="false">AO37+AE37+AG37+AJ37</f>
        <v>872035871.374374</v>
      </c>
      <c r="AR37" s="0" t="n">
        <f aca="false">AB37+AC37+AD37+AF37</f>
        <v>96483399.3270171</v>
      </c>
      <c r="AS37" s="0" t="n">
        <f aca="false">AR37+AE37+AG37</f>
        <v>96483399.3270171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3382.4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4649.261</v>
      </c>
      <c r="I38" s="0" t="n">
        <v>683.872</v>
      </c>
      <c r="J38" s="0" t="n">
        <v>1985.936</v>
      </c>
      <c r="K38" s="0" t="n">
        <v>2657.73</v>
      </c>
      <c r="L38" s="0" t="n">
        <v>1140.453</v>
      </c>
      <c r="M38" s="0" t="n">
        <v>77821.867</v>
      </c>
      <c r="N38" s="0" t="n">
        <v>7820.337</v>
      </c>
      <c r="O38" s="0" t="n">
        <v>104.751</v>
      </c>
      <c r="P38" s="0" t="n">
        <v>105.141</v>
      </c>
      <c r="Q38" s="0" t="n">
        <v>1039.413</v>
      </c>
      <c r="R38" s="0" t="n">
        <v>1285.782</v>
      </c>
      <c r="S38" s="0" t="n">
        <v>3381.865</v>
      </c>
      <c r="T38" s="0" t="n">
        <v>5333.133</v>
      </c>
      <c r="U38" s="0" t="n">
        <v>3807.135</v>
      </c>
      <c r="V38" s="0" t="n">
        <v>156534.251</v>
      </c>
      <c r="W38" s="0" t="n">
        <v>379.615</v>
      </c>
      <c r="X38" s="0" t="n">
        <v>788.879</v>
      </c>
      <c r="Y38" s="0" t="n">
        <v>104.751</v>
      </c>
      <c r="Z38" s="0" t="n">
        <v>980.265</v>
      </c>
      <c r="AA38" s="0" t="n">
        <f aca="false">H38*x_c_F+I38*x_c_CC+J38*x_c_DC+K38*x_c_HCC+L38*x_c_PLT+M38*x_c_SVRn+N38*x_c_SVRcc+O38*x_c_LT+P38*x_c_LT1</f>
        <v>366706976.283054</v>
      </c>
      <c r="AB38" s="0" t="n">
        <f aca="false">C38*x_c_DAA</f>
        <v>76983424</v>
      </c>
      <c r="AC38" s="0" t="n">
        <f aca="false">C38*x_c_MON</f>
        <v>19499975.3270171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28992581.3618497</v>
      </c>
      <c r="AI38" s="0" t="n">
        <f aca="false">x_AGRI*x_EMP*x_WLOSS*(x_PEN_K74*Q38+x_PEN_C22*R38)</f>
        <v>1399002.92319163</v>
      </c>
      <c r="AJ38" s="0" t="n">
        <f aca="false">x_EMP*x_WAGE*(x_WLOSS*(Q38+R38)+S38)+U38*x_ABS_D*x_WAGE/365</f>
        <v>406615574.07811</v>
      </c>
      <c r="AK38" s="0" t="n">
        <f aca="false">AJ38*x_R_FUS</f>
        <v>128653167.638314</v>
      </c>
      <c r="AL38" s="0" t="n">
        <f aca="false">AJ38*x_R_NFZ</f>
        <v>31578172.0984801</v>
      </c>
      <c r="AM38" s="0" t="n">
        <f aca="false">AJ38*x_R_PIT</f>
        <v>27033500.5151215</v>
      </c>
      <c r="AN38" s="0" t="n">
        <f aca="false">AJ38*x_R_FP</f>
        <v>10368697.1389918</v>
      </c>
      <c r="AO38" s="0" t="n">
        <f aca="false">AA38+AB38+AC38+AD38+AF38</f>
        <v>463190375.610072</v>
      </c>
      <c r="AP38" s="0" t="n">
        <f aca="false">AO38+AE38+AG38+AH38+AI38+AK38+AL38+AM38+AN38</f>
        <v>691215497.28602</v>
      </c>
      <c r="AQ38" s="0" t="n">
        <f aca="false">AO38+AE38+AG38+AJ38</f>
        <v>869805949.688181</v>
      </c>
      <c r="AR38" s="0" t="n">
        <f aca="false">AB38+AC38+AD38+AF38</f>
        <v>96483399.3270171</v>
      </c>
      <c r="AS38" s="0" t="n">
        <f aca="false">AR38+AE38+AG38</f>
        <v>96483399.3270171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3382.4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4602.461</v>
      </c>
      <c r="I39" s="0" t="n">
        <v>673.531</v>
      </c>
      <c r="J39" s="0" t="n">
        <v>1971.626</v>
      </c>
      <c r="K39" s="0" t="n">
        <v>2645.279</v>
      </c>
      <c r="L39" s="0" t="n">
        <v>1121.103</v>
      </c>
      <c r="M39" s="0" t="n">
        <v>79250.372</v>
      </c>
      <c r="N39" s="0" t="n">
        <v>7808.368</v>
      </c>
      <c r="O39" s="0" t="n">
        <v>103.989</v>
      </c>
      <c r="P39" s="0" t="n">
        <v>104.37</v>
      </c>
      <c r="Q39" s="0" t="n">
        <v>1037.165</v>
      </c>
      <c r="R39" s="0" t="n">
        <v>1283.196</v>
      </c>
      <c r="S39" s="0" t="n">
        <v>3374.508</v>
      </c>
      <c r="T39" s="0" t="n">
        <v>5275.992</v>
      </c>
      <c r="U39" s="0" t="n">
        <v>3761.281</v>
      </c>
      <c r="V39" s="0" t="n">
        <v>157671.927</v>
      </c>
      <c r="W39" s="0" t="n">
        <v>378.13</v>
      </c>
      <c r="X39" s="0" t="n">
        <v>786.424</v>
      </c>
      <c r="Y39" s="0" t="n">
        <v>103.989</v>
      </c>
      <c r="Z39" s="0" t="n">
        <v>973.889</v>
      </c>
      <c r="AA39" s="0" t="n">
        <f aca="false">H39*x_c_F+I39*x_c_CC+J39*x_c_DC+K39*x_c_HCC+L39*x_c_PLT+M39*x_c_SVRn+N39*x_c_SVRcc+O39*x_c_LT+P39*x_c_LT1</f>
        <v>365400354.087496</v>
      </c>
      <c r="AB39" s="0" t="n">
        <f aca="false">C39*x_c_DAA</f>
        <v>76983424</v>
      </c>
      <c r="AC39" s="0" t="n">
        <f aca="false">C39*x_c_MON</f>
        <v>19499975.3270171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28854409.0726489</v>
      </c>
      <c r="AI39" s="0" t="n">
        <f aca="false">x_AGRI*x_EMP*x_WLOSS*(x_PEN_K74*Q39+x_PEN_C22*R39)</f>
        <v>1396101.09398556</v>
      </c>
      <c r="AJ39" s="0" t="n">
        <f aca="false">x_EMP*x_WAGE*(x_WLOSS*(Q39+R39)+S39)+U39*x_ABS_D*x_WAGE/365</f>
        <v>405630979.869472</v>
      </c>
      <c r="AK39" s="0" t="n">
        <f aca="false">AJ39*x_R_FUS</f>
        <v>128341642.030701</v>
      </c>
      <c r="AL39" s="0" t="n">
        <f aca="false">AJ39*x_R_NFZ</f>
        <v>31501707.5276431</v>
      </c>
      <c r="AM39" s="0" t="n">
        <f aca="false">AJ39*x_R_PIT</f>
        <v>26968040.5825875</v>
      </c>
      <c r="AN39" s="0" t="n">
        <f aca="false">AJ39*x_R_FP</f>
        <v>10343589.9866715</v>
      </c>
      <c r="AO39" s="0" t="n">
        <f aca="false">AA39+AB39+AC39+AD39+AF39</f>
        <v>461883753.414513</v>
      </c>
      <c r="AP39" s="0" t="n">
        <f aca="false">AO39+AE39+AG39+AH39+AI39+AK39+AL39+AM39+AN39</f>
        <v>689289243.708751</v>
      </c>
      <c r="AQ39" s="0" t="n">
        <f aca="false">AO39+AE39+AG39+AJ39</f>
        <v>867514733.283985</v>
      </c>
      <c r="AR39" s="0" t="n">
        <f aca="false">AB39+AC39+AD39+AF39</f>
        <v>96483399.3270171</v>
      </c>
      <c r="AS39" s="0" t="n">
        <f aca="false">AR39+AE39+AG39</f>
        <v>96483399.3270171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3382.4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4558.374</v>
      </c>
      <c r="I40" s="0" t="n">
        <v>664.191</v>
      </c>
      <c r="J40" s="0" t="n">
        <v>1958.132</v>
      </c>
      <c r="K40" s="0" t="n">
        <v>2633.951</v>
      </c>
      <c r="L40" s="0" t="n">
        <v>1100.553</v>
      </c>
      <c r="M40" s="0" t="n">
        <v>80620.145</v>
      </c>
      <c r="N40" s="0" t="n">
        <v>7783.403</v>
      </c>
      <c r="O40" s="0" t="n">
        <v>103.291</v>
      </c>
      <c r="P40" s="0" t="n">
        <v>103.64</v>
      </c>
      <c r="Q40" s="0" t="n">
        <v>1035.055</v>
      </c>
      <c r="R40" s="0" t="n">
        <v>1280.79</v>
      </c>
      <c r="S40" s="0" t="n">
        <v>3367.5</v>
      </c>
      <c r="T40" s="0" t="n">
        <v>5222.565</v>
      </c>
      <c r="U40" s="0" t="n">
        <v>3718.127</v>
      </c>
      <c r="V40" s="0" t="n">
        <v>158763.322</v>
      </c>
      <c r="W40" s="0" t="n">
        <v>376.915</v>
      </c>
      <c r="X40" s="0" t="n">
        <v>784.418</v>
      </c>
      <c r="Y40" s="0" t="n">
        <v>103.291</v>
      </c>
      <c r="Z40" s="0" t="n">
        <v>968.036</v>
      </c>
      <c r="AA40" s="0" t="n">
        <f aca="false">H40*x_c_F+I40*x_c_CC+J40*x_c_DC+K40*x_c_HCC+L40*x_c_PLT+M40*x_c_SVRn+N40*x_c_SVRcc+O40*x_c_LT+P40*x_c_LT1</f>
        <v>364106720.472078</v>
      </c>
      <c r="AB40" s="0" t="n">
        <f aca="false">C40*x_c_DAA</f>
        <v>76983424</v>
      </c>
      <c r="AC40" s="0" t="n">
        <f aca="false">C40*x_c_MON</f>
        <v>19499975.3270171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28724687.1218662</v>
      </c>
      <c r="AI40" s="0" t="n">
        <f aca="false">x_AGRI*x_EMP*x_WLOSS*(x_PEN_K74*Q40+x_PEN_C22*R40)</f>
        <v>1393390.91329206</v>
      </c>
      <c r="AJ40" s="0" t="n">
        <f aca="false">x_EMP*x_WAGE*(x_WLOSS*(Q40+R40)+S40)+U40*x_ABS_D*x_WAGE/365</f>
        <v>404698718.802177</v>
      </c>
      <c r="AK40" s="0" t="n">
        <f aca="false">AJ40*x_R_FUS</f>
        <v>128046674.629009</v>
      </c>
      <c r="AL40" s="0" t="n">
        <f aca="false">AJ40*x_R_NFZ</f>
        <v>31429307.2008959</v>
      </c>
      <c r="AM40" s="0" t="n">
        <f aca="false">AJ40*x_R_PIT</f>
        <v>26906059.9757205</v>
      </c>
      <c r="AN40" s="0" t="n">
        <f aca="false">AJ40*x_R_FP</f>
        <v>10319817.3294555</v>
      </c>
      <c r="AO40" s="0" t="n">
        <f aca="false">AA40+AB40+AC40+AD40+AF40</f>
        <v>460590119.799095</v>
      </c>
      <c r="AP40" s="0" t="n">
        <f aca="false">AO40+AE40+AG40+AH40+AI40+AK40+AL40+AM40+AN40</f>
        <v>687410056.969334</v>
      </c>
      <c r="AQ40" s="0" t="n">
        <f aca="false">AO40+AE40+AG40+AJ40</f>
        <v>865288838.601272</v>
      </c>
      <c r="AR40" s="0" t="n">
        <f aca="false">AB40+AC40+AD40+AF40</f>
        <v>96483399.3270171</v>
      </c>
      <c r="AS40" s="0" t="n">
        <f aca="false">AR40+AE40+AG40</f>
        <v>96483399.3270171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3382.4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4517.382</v>
      </c>
      <c r="I41" s="0" t="n">
        <v>656.045</v>
      </c>
      <c r="J41" s="0" t="n">
        <v>1946.326</v>
      </c>
      <c r="K41" s="0" t="n">
        <v>2624.645</v>
      </c>
      <c r="L41" s="0" t="n">
        <v>1079.666</v>
      </c>
      <c r="M41" s="0" t="n">
        <v>81943.429</v>
      </c>
      <c r="N41" s="0" t="n">
        <v>7750.39</v>
      </c>
      <c r="O41" s="0" t="n">
        <v>102.703</v>
      </c>
      <c r="P41" s="0" t="n">
        <v>102.997</v>
      </c>
      <c r="Q41" s="0" t="n">
        <v>1033.088</v>
      </c>
      <c r="R41" s="0" t="n">
        <v>1278.564</v>
      </c>
      <c r="S41" s="0" t="n">
        <v>3360.875</v>
      </c>
      <c r="T41" s="0" t="n">
        <v>5173.428</v>
      </c>
      <c r="U41" s="0" t="n">
        <v>3677.886</v>
      </c>
      <c r="V41" s="0" t="n">
        <v>159826.033</v>
      </c>
      <c r="W41" s="0" t="n">
        <v>376.085</v>
      </c>
      <c r="X41" s="0" t="n">
        <v>783.086</v>
      </c>
      <c r="Y41" s="0" t="n">
        <v>102.703</v>
      </c>
      <c r="Z41" s="0" t="n">
        <v>963.108</v>
      </c>
      <c r="AA41" s="0" t="n">
        <f aca="false">H41*x_c_F+I41*x_c_CC+J41*x_c_DC+K41*x_c_HCC+L41*x_c_PLT+M41*x_c_SVRn+N41*x_c_SVRcc+O41*x_c_LT+P41*x_c_LT1</f>
        <v>362966970.275491</v>
      </c>
      <c r="AB41" s="0" t="n">
        <f aca="false">C41*x_c_DAA</f>
        <v>76983424</v>
      </c>
      <c r="AC41" s="0" t="n">
        <f aca="false">C41*x_c_MON</f>
        <v>19499975.3270171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28603895.732342</v>
      </c>
      <c r="AI41" s="0" t="n">
        <f aca="false">x_AGRI*x_EMP*x_WLOSS*(x_PEN_K74*Q41+x_PEN_C22*R41)</f>
        <v>1390875.17837769</v>
      </c>
      <c r="AJ41" s="0" t="n">
        <f aca="false">x_EMP*x_WAGE*(x_WLOSS*(Q41+R41)+S41)+U41*x_ABS_D*x_WAGE/365</f>
        <v>403822545.679496</v>
      </c>
      <c r="AK41" s="0" t="n">
        <f aca="false">AJ41*x_R_FUS</f>
        <v>127769453.452993</v>
      </c>
      <c r="AL41" s="0" t="n">
        <f aca="false">AJ41*x_R_NFZ</f>
        <v>31361262.7200153</v>
      </c>
      <c r="AM41" s="0" t="n">
        <f aca="false">AJ41*x_R_PIT</f>
        <v>26847808.3295138</v>
      </c>
      <c r="AN41" s="0" t="n">
        <f aca="false">AJ41*x_R_FP</f>
        <v>10297474.9148271</v>
      </c>
      <c r="AO41" s="0" t="n">
        <f aca="false">AA41+AB41+AC41+AD41+AF41</f>
        <v>459450369.602508</v>
      </c>
      <c r="AP41" s="0" t="n">
        <f aca="false">AO41+AE41+AG41+AH41+AI41+AK41+AL41+AM41+AN41</f>
        <v>685721139.930577</v>
      </c>
      <c r="AQ41" s="0" t="n">
        <f aca="false">AO41+AE41+AG41+AJ41</f>
        <v>863272915.282004</v>
      </c>
      <c r="AR41" s="0" t="n">
        <f aca="false">AB41+AC41+AD41+AF41</f>
        <v>96483399.3270171</v>
      </c>
      <c r="AS41" s="0" t="n">
        <f aca="false">AR41+AE41+AG41</f>
        <v>96483399.3270171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3382.4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4479.961</v>
      </c>
      <c r="I42" s="0" t="n">
        <v>649.266</v>
      </c>
      <c r="J42" s="0" t="n">
        <v>1937.011</v>
      </c>
      <c r="K42" s="0" t="n">
        <v>2618.179</v>
      </c>
      <c r="L42" s="0" t="n">
        <v>1059.358</v>
      </c>
      <c r="M42" s="0" t="n">
        <v>83233.746</v>
      </c>
      <c r="N42" s="0" t="n">
        <v>7714.711</v>
      </c>
      <c r="O42" s="0" t="n">
        <v>102.267</v>
      </c>
      <c r="P42" s="0" t="n">
        <v>102.485</v>
      </c>
      <c r="Q42" s="0" t="n">
        <v>1031.268</v>
      </c>
      <c r="R42" s="0" t="n">
        <v>1276.521</v>
      </c>
      <c r="S42" s="0" t="n">
        <v>3354.661</v>
      </c>
      <c r="T42" s="0" t="n">
        <v>5129.227</v>
      </c>
      <c r="U42" s="0" t="n">
        <v>3640.868</v>
      </c>
      <c r="V42" s="0" t="n">
        <v>160878.025</v>
      </c>
      <c r="W42" s="0" t="n">
        <v>375.732</v>
      </c>
      <c r="X42" s="0" t="n">
        <v>782.609</v>
      </c>
      <c r="Y42" s="0" t="n">
        <v>102.267</v>
      </c>
      <c r="Z42" s="0" t="n">
        <v>959.452</v>
      </c>
      <c r="AA42" s="0" t="n">
        <f aca="false">H42*x_c_F+I42*x_c_CC+J42*x_c_DC+K42*x_c_HCC+L42*x_c_PLT+M42*x_c_SVRn+N42*x_c_SVRcc+O42*x_c_LT+P42*x_c_LT1</f>
        <v>362118018.770117</v>
      </c>
      <c r="AB42" s="0" t="n">
        <f aca="false">C42*x_c_DAA</f>
        <v>76983424</v>
      </c>
      <c r="AC42" s="0" t="n">
        <f aca="false">C42*x_c_MON</f>
        <v>19499975.3270171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28492734.9406064</v>
      </c>
      <c r="AI42" s="0" t="n">
        <f aca="false">x_AGRI*x_EMP*x_WLOSS*(x_PEN_K74*Q42+x_PEN_C22*R42)</f>
        <v>1388558.03445496</v>
      </c>
      <c r="AJ42" s="0" t="n">
        <f aca="false">x_EMP*x_WAGE*(x_WLOSS*(Q42+R42)+S42)+U42*x_ABS_D*x_WAGE/365</f>
        <v>403006080.781257</v>
      </c>
      <c r="AK42" s="0" t="n">
        <f aca="false">AJ42*x_R_FUS</f>
        <v>127511123.95919</v>
      </c>
      <c r="AL42" s="0" t="n">
        <f aca="false">AJ42*x_R_NFZ</f>
        <v>31297855.2395532</v>
      </c>
      <c r="AM42" s="0" t="n">
        <f aca="false">AJ42*x_R_PIT</f>
        <v>26793526.3352809</v>
      </c>
      <c r="AN42" s="0" t="n">
        <f aca="false">AJ42*x_R_FP</f>
        <v>10276655.0599221</v>
      </c>
      <c r="AO42" s="0" t="n">
        <f aca="false">AA42+AB42+AC42+AD42+AF42</f>
        <v>458601418.097134</v>
      </c>
      <c r="AP42" s="0" t="n">
        <f aca="false">AO42+AE42+AG42+AH42+AI42+AK42+AL42+AM42+AN42</f>
        <v>684361871.666141</v>
      </c>
      <c r="AQ42" s="0" t="n">
        <f aca="false">AO42+AE42+AG42+AJ42</f>
        <v>861607498.878391</v>
      </c>
      <c r="AR42" s="0" t="n">
        <f aca="false">AB42+AC42+AD42+AF42</f>
        <v>96483399.3270171</v>
      </c>
      <c r="AS42" s="0" t="n">
        <f aca="false">AR42+AE42+AG42</f>
        <v>96483399.3270171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3382.4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4446.627</v>
      </c>
      <c r="I43" s="0" t="n">
        <v>643.977</v>
      </c>
      <c r="J43" s="0" t="n">
        <v>1930.821</v>
      </c>
      <c r="K43" s="0" t="n">
        <v>2615.181</v>
      </c>
      <c r="L43" s="0" t="n">
        <v>1040.503</v>
      </c>
      <c r="M43" s="0" t="n">
        <v>84504.116</v>
      </c>
      <c r="N43" s="0" t="n">
        <v>7681.579</v>
      </c>
      <c r="O43" s="0" t="n">
        <v>102.01</v>
      </c>
      <c r="P43" s="0" t="n">
        <v>102.138</v>
      </c>
      <c r="Q43" s="0" t="n">
        <v>1029.597</v>
      </c>
      <c r="R43" s="0" t="n">
        <v>1274.659</v>
      </c>
      <c r="S43" s="0" t="n">
        <v>3348.882</v>
      </c>
      <c r="T43" s="0" t="n">
        <v>5090.603</v>
      </c>
      <c r="U43" s="0" t="n">
        <v>3607.452</v>
      </c>
      <c r="V43" s="0" t="n">
        <v>161935.196</v>
      </c>
      <c r="W43" s="0" t="n">
        <v>375.912</v>
      </c>
      <c r="X43" s="0" t="n">
        <v>783.105</v>
      </c>
      <c r="Y43" s="0" t="n">
        <v>102.01</v>
      </c>
      <c r="Z43" s="0" t="n">
        <v>957.323</v>
      </c>
      <c r="AA43" s="0" t="n">
        <f aca="false">H43*x_c_F+I43*x_c_CC+J43*x_c_DC+K43*x_c_HCC+L43*x_c_PLT+M43*x_c_SVRn+N43*x_c_SVRcc+O43*x_c_LT+P43*x_c_LT1</f>
        <v>361673905.707333</v>
      </c>
      <c r="AB43" s="0" t="n">
        <f aca="false">C43*x_c_DAA</f>
        <v>76983424</v>
      </c>
      <c r="AC43" s="0" t="n">
        <f aca="false">C43*x_c_MON</f>
        <v>19499975.3270171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28391981.6159103</v>
      </c>
      <c r="AI43" s="0" t="n">
        <f aca="false">x_AGRI*x_EMP*x_WLOSS*(x_PEN_K74*Q43+x_PEN_C22*R43)</f>
        <v>1386439.32883098</v>
      </c>
      <c r="AJ43" s="0" t="n">
        <f aca="false">x_EMP*x_WAGE*(x_WLOSS*(Q43+R43)+S43)+U43*x_ABS_D*x_WAGE/365</f>
        <v>402252483.619254</v>
      </c>
      <c r="AK43" s="0" t="n">
        <f aca="false">AJ43*x_R_FUS</f>
        <v>127272685.817132</v>
      </c>
      <c r="AL43" s="0" t="n">
        <f aca="false">AJ43*x_R_NFZ</f>
        <v>31239330.1303549</v>
      </c>
      <c r="AM43" s="0" t="n">
        <f aca="false">AJ43*x_R_PIT</f>
        <v>26743424.0505531</v>
      </c>
      <c r="AN43" s="0" t="n">
        <f aca="false">AJ43*x_R_FP</f>
        <v>10257438.332291</v>
      </c>
      <c r="AO43" s="0" t="n">
        <f aca="false">AA43+AB43+AC43+AD43+AF43</f>
        <v>458157305.03435</v>
      </c>
      <c r="AP43" s="0" t="n">
        <f aca="false">AO43+AE43+AG43+AH43+AI43+AK43+AL43+AM43+AN43</f>
        <v>683448604.309422</v>
      </c>
      <c r="AQ43" s="0" t="n">
        <f aca="false">AO43+AE43+AG43+AJ43</f>
        <v>860409788.653604</v>
      </c>
      <c r="AR43" s="0" t="n">
        <f aca="false">AB43+AC43+AD43+AF43</f>
        <v>96483399.3270171</v>
      </c>
      <c r="AS43" s="0" t="n">
        <f aca="false">AR43+AE43+AG43</f>
        <v>96483399.3270171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3382.4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4417.872</v>
      </c>
      <c r="I44" s="0" t="n">
        <v>640.232</v>
      </c>
      <c r="J44" s="0" t="n">
        <v>1928.13</v>
      </c>
      <c r="K44" s="0" t="n">
        <v>2615.99</v>
      </c>
      <c r="L44" s="0" t="n">
        <v>1023.817</v>
      </c>
      <c r="M44" s="0" t="n">
        <v>85765.016</v>
      </c>
      <c r="N44" s="0" t="n">
        <v>7655.363</v>
      </c>
      <c r="O44" s="0" t="n">
        <v>101.945</v>
      </c>
      <c r="P44" s="0" t="n">
        <v>101.977</v>
      </c>
      <c r="Q44" s="0" t="n">
        <v>1028.076</v>
      </c>
      <c r="R44" s="0" t="n">
        <v>1272.979</v>
      </c>
      <c r="S44" s="0" t="n">
        <v>3343.559</v>
      </c>
      <c r="T44" s="0" t="n">
        <v>5058.104</v>
      </c>
      <c r="U44" s="0" t="n">
        <v>3578.024</v>
      </c>
      <c r="V44" s="0" t="n">
        <v>163008.856</v>
      </c>
      <c r="W44" s="0" t="n">
        <v>376.632</v>
      </c>
      <c r="X44" s="0" t="n">
        <v>784.595</v>
      </c>
      <c r="Y44" s="0" t="n">
        <v>101.945</v>
      </c>
      <c r="Z44" s="0" t="n">
        <v>956.833</v>
      </c>
      <c r="AA44" s="0" t="n">
        <f aca="false">H44*x_c_F+I44*x_c_CC+J44*x_c_DC+K44*x_c_HCC+L44*x_c_PLT+M44*x_c_SVRn+N44*x_c_SVRcc+O44*x_c_LT+P44*x_c_LT1</f>
        <v>361711048.277365</v>
      </c>
      <c r="AB44" s="0" t="n">
        <f aca="false">C44*x_c_DAA</f>
        <v>76983424</v>
      </c>
      <c r="AC44" s="0" t="n">
        <f aca="false">C44*x_c_MON</f>
        <v>19499975.3270171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28302447.4117978</v>
      </c>
      <c r="AI44" s="0" t="n">
        <f aca="false">x_AGRI*x_EMP*x_WLOSS*(x_PEN_K74*Q44+x_PEN_C22*R44)</f>
        <v>1384520.25675881</v>
      </c>
      <c r="AJ44" s="0" t="n">
        <f aca="false">x_EMP*x_WAGE*(x_WLOSS*(Q44+R44)+S44)+U44*x_ABS_D*x_WAGE/365</f>
        <v>401564770.600772</v>
      </c>
      <c r="AK44" s="0" t="n">
        <f aca="false">AJ44*x_R_FUS</f>
        <v>127055093.418084</v>
      </c>
      <c r="AL44" s="0" t="n">
        <f aca="false">AJ44*x_R_NFZ</f>
        <v>31185921.6496266</v>
      </c>
      <c r="AM44" s="0" t="n">
        <f aca="false">AJ44*x_R_PIT</f>
        <v>26697702.0186769</v>
      </c>
      <c r="AN44" s="0" t="n">
        <f aca="false">AJ44*x_R_FP</f>
        <v>10239901.6503197</v>
      </c>
      <c r="AO44" s="0" t="n">
        <f aca="false">AA44+AB44+AC44+AD44+AF44</f>
        <v>458194447.604382</v>
      </c>
      <c r="AP44" s="0" t="n">
        <f aca="false">AO44+AE44+AG44+AH44+AI44+AK44+AL44+AM44+AN44</f>
        <v>683060034.009646</v>
      </c>
      <c r="AQ44" s="0" t="n">
        <f aca="false">AO44+AE44+AG44+AJ44</f>
        <v>859759218.205154</v>
      </c>
      <c r="AR44" s="0" t="n">
        <f aca="false">AB44+AC44+AD44+AF44</f>
        <v>96483399.3270171</v>
      </c>
      <c r="AS44" s="0" t="n">
        <f aca="false">AR44+AE44+AG44</f>
        <v>96483399.3270171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3382.4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4394.121</v>
      </c>
      <c r="I45" s="0" t="n">
        <v>638.022</v>
      </c>
      <c r="J45" s="0" t="n">
        <v>1929.062</v>
      </c>
      <c r="K45" s="0" t="n">
        <v>2620.668</v>
      </c>
      <c r="L45" s="0" t="n">
        <v>1009.846</v>
      </c>
      <c r="M45" s="0" t="n">
        <v>87024.254</v>
      </c>
      <c r="N45" s="0" t="n">
        <v>7639.502</v>
      </c>
      <c r="O45" s="0" t="n">
        <v>102.075</v>
      </c>
      <c r="P45" s="0" t="n">
        <v>102.01</v>
      </c>
      <c r="Q45" s="0" t="n">
        <v>1026.708</v>
      </c>
      <c r="R45" s="0" t="n">
        <v>1271.481</v>
      </c>
      <c r="S45" s="0" t="n">
        <v>3338.703</v>
      </c>
      <c r="T45" s="0" t="n">
        <v>5032.143</v>
      </c>
      <c r="U45" s="0" t="n">
        <v>3552.94</v>
      </c>
      <c r="V45" s="0" t="n">
        <v>164105.916</v>
      </c>
      <c r="W45" s="0" t="n">
        <v>377.867</v>
      </c>
      <c r="X45" s="0" t="n">
        <v>787.044</v>
      </c>
      <c r="Y45" s="0" t="n">
        <v>102.075</v>
      </c>
      <c r="Z45" s="0" t="n">
        <v>958.012</v>
      </c>
      <c r="AA45" s="0" t="n">
        <f aca="false">H45*x_c_F+I45*x_c_CC+J45*x_c_DC+K45*x_c_HCC+L45*x_c_PLT+M45*x_c_SVRn+N45*x_c_SVRcc+O45*x_c_LT+P45*x_c_LT1</f>
        <v>362269758.678142</v>
      </c>
      <c r="AB45" s="0" t="n">
        <f aca="false">C45*x_c_DAA</f>
        <v>76983424</v>
      </c>
      <c r="AC45" s="0" t="n">
        <f aca="false">C45*x_c_MON</f>
        <v>19499975.3270171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28224889.614287</v>
      </c>
      <c r="AI45" s="0" t="n">
        <f aca="false">x_AGRI*x_EMP*x_WLOSS*(x_PEN_K74*Q45+x_PEN_C22*R45)</f>
        <v>1382802.49659838</v>
      </c>
      <c r="AJ45" s="0" t="n">
        <f aca="false">x_EMP*x_WAGE*(x_WLOSS*(Q45+R45)+S45)+U45*x_ABS_D*x_WAGE/365</f>
        <v>400945063.465065</v>
      </c>
      <c r="AK45" s="0" t="n">
        <f aca="false">AJ45*x_R_FUS</f>
        <v>126859018.080347</v>
      </c>
      <c r="AL45" s="0" t="n">
        <f aca="false">AJ45*x_R_NFZ</f>
        <v>31137794.5737604</v>
      </c>
      <c r="AM45" s="0" t="n">
        <f aca="false">AJ45*x_R_PIT</f>
        <v>26656501.3017335</v>
      </c>
      <c r="AN45" s="0" t="n">
        <f aca="false">AJ45*x_R_FP</f>
        <v>10224099.1183592</v>
      </c>
      <c r="AO45" s="0" t="n">
        <f aca="false">AA45+AB45+AC45+AD45+AF45</f>
        <v>458753158.005159</v>
      </c>
      <c r="AP45" s="0" t="n">
        <f aca="false">AO45+AE45+AG45+AH45+AI45+AK45+AL45+AM45+AN45</f>
        <v>683238263.190244</v>
      </c>
      <c r="AQ45" s="0" t="n">
        <f aca="false">AO45+AE45+AG45+AJ45</f>
        <v>859698221.470224</v>
      </c>
      <c r="AR45" s="0" t="n">
        <f aca="false">AB45+AC45+AD45+AF45</f>
        <v>96483399.3270171</v>
      </c>
      <c r="AS45" s="0" t="n">
        <f aca="false">AR45+AE45+AG45</f>
        <v>96483399.3270171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3382.4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4375.696</v>
      </c>
      <c r="I46" s="0" t="n">
        <v>637.285</v>
      </c>
      <c r="J46" s="0" t="n">
        <v>1933.524</v>
      </c>
      <c r="K46" s="0" t="n">
        <v>2629.041</v>
      </c>
      <c r="L46" s="0" t="n">
        <v>998.966</v>
      </c>
      <c r="M46" s="0" t="n">
        <v>88286.949</v>
      </c>
      <c r="N46" s="0" t="n">
        <v>7636.455</v>
      </c>
      <c r="O46" s="0" t="n">
        <v>102.39</v>
      </c>
      <c r="P46" s="0" t="n">
        <v>102.232</v>
      </c>
      <c r="Q46" s="0" t="n">
        <v>1025.493</v>
      </c>
      <c r="R46" s="0" t="n">
        <v>1270.166</v>
      </c>
      <c r="S46" s="0" t="n">
        <v>3334.326</v>
      </c>
      <c r="T46" s="0" t="n">
        <v>5012.981</v>
      </c>
      <c r="U46" s="0" t="n">
        <v>3532.48</v>
      </c>
      <c r="V46" s="0" t="n">
        <v>165229.31</v>
      </c>
      <c r="W46" s="0" t="n">
        <v>379.557</v>
      </c>
      <c r="X46" s="0" t="n">
        <v>790.348</v>
      </c>
      <c r="Y46" s="0" t="n">
        <v>102.39</v>
      </c>
      <c r="Z46" s="0" t="n">
        <v>960.773</v>
      </c>
      <c r="AA46" s="0" t="n">
        <f aca="false">H46*x_c_F+I46*x_c_CC+J46*x_c_DC+K46*x_c_HCC+L46*x_c_PLT+M46*x_c_SVRn+N46*x_c_SVRcc+O46*x_c_LT+P46*x_c_LT1</f>
        <v>363356188.305858</v>
      </c>
      <c r="AB46" s="0" t="n">
        <f aca="false">C46*x_c_DAA</f>
        <v>76983424</v>
      </c>
      <c r="AC46" s="0" t="n">
        <f aca="false">C46*x_c_MON</f>
        <v>19499975.3270171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28159893.4894237</v>
      </c>
      <c r="AI46" s="0" t="n">
        <f aca="false">x_AGRI*x_EMP*x_WLOSS*(x_PEN_K74*Q46+x_PEN_C22*R46)</f>
        <v>1381286.68414946</v>
      </c>
      <c r="AJ46" s="0" t="n">
        <f aca="false">x_EMP*x_WAGE*(x_WLOSS*(Q46+R46)+S46)+U46*x_ABS_D*x_WAGE/365</f>
        <v>400395253.856964</v>
      </c>
      <c r="AK46" s="0" t="n">
        <f aca="false">AJ46*x_R_FUS</f>
        <v>126685058.320343</v>
      </c>
      <c r="AL46" s="0" t="n">
        <f aca="false">AJ46*x_R_NFZ</f>
        <v>31095095.8097857</v>
      </c>
      <c r="AM46" s="0" t="n">
        <f aca="false">AJ46*x_R_PIT</f>
        <v>26619947.6641668</v>
      </c>
      <c r="AN46" s="0" t="n">
        <f aca="false">AJ46*x_R_FP</f>
        <v>10210078.9733526</v>
      </c>
      <c r="AO46" s="0" t="n">
        <f aca="false">AA46+AB46+AC46+AD46+AF46</f>
        <v>459839587.632875</v>
      </c>
      <c r="AP46" s="0" t="n">
        <f aca="false">AO46+AE46+AG46+AH46+AI46+AK46+AL46+AM46+AN46</f>
        <v>683990948.574097</v>
      </c>
      <c r="AQ46" s="0" t="n">
        <f aca="false">AO46+AE46+AG46+AJ46</f>
        <v>860234841.489839</v>
      </c>
      <c r="AR46" s="0" t="n">
        <f aca="false">AB46+AC46+AD46+AF46</f>
        <v>96483399.3270171</v>
      </c>
      <c r="AS46" s="0" t="n">
        <f aca="false">AR46+AE46+AG46</f>
        <v>96483399.3270171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3382.4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4362.792</v>
      </c>
      <c r="I47" s="0" t="n">
        <v>637.909</v>
      </c>
      <c r="J47" s="0" t="n">
        <v>1941.208</v>
      </c>
      <c r="K47" s="0" t="n">
        <v>2640.709</v>
      </c>
      <c r="L47" s="0" t="n">
        <v>991.345</v>
      </c>
      <c r="M47" s="0" t="n">
        <v>89554.901</v>
      </c>
      <c r="N47" s="0" t="n">
        <v>7647.499</v>
      </c>
      <c r="O47" s="0" t="n">
        <v>102.868</v>
      </c>
      <c r="P47" s="0" t="n">
        <v>102.629</v>
      </c>
      <c r="Q47" s="0" t="n">
        <v>1024.431</v>
      </c>
      <c r="R47" s="0" t="n">
        <v>1269.031</v>
      </c>
      <c r="S47" s="0" t="n">
        <v>3330.431</v>
      </c>
      <c r="T47" s="0" t="n">
        <v>5000.701</v>
      </c>
      <c r="U47" s="0" t="n">
        <v>3516.829</v>
      </c>
      <c r="V47" s="0" t="n">
        <v>166377.537</v>
      </c>
      <c r="W47" s="0" t="n">
        <v>381.617</v>
      </c>
      <c r="X47" s="0" t="n">
        <v>794.358</v>
      </c>
      <c r="Y47" s="0" t="n">
        <v>102.868</v>
      </c>
      <c r="Z47" s="0" t="n">
        <v>964.947</v>
      </c>
      <c r="AA47" s="0" t="n">
        <f aca="false">H47*x_c_F+I47*x_c_CC+J47*x_c_DC+K47*x_c_HCC+L47*x_c_PLT+M47*x_c_SVRn+N47*x_c_SVRcc+O47*x_c_LT+P47*x_c_LT1</f>
        <v>364941323.906096</v>
      </c>
      <c r="AB47" s="0" t="n">
        <f aca="false">C47*x_c_DAA</f>
        <v>76983424</v>
      </c>
      <c r="AC47" s="0" t="n">
        <f aca="false">C47*x_c_MON</f>
        <v>19499975.3270171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28107810.5183063</v>
      </c>
      <c r="AI47" s="0" t="n">
        <f aca="false">x_AGRI*x_EMP*x_WLOSS*(x_PEN_K74*Q47+x_PEN_C22*R47)</f>
        <v>1379970.91201278</v>
      </c>
      <c r="AJ47" s="0" t="n">
        <f aca="false">x_EMP*x_WAGE*(x_WLOSS*(Q47+R47)+S47)+U47*x_ABS_D*x_WAGE/365</f>
        <v>399916002.796673</v>
      </c>
      <c r="AK47" s="0" t="n">
        <f aca="false">AJ47*x_R_FUS</f>
        <v>126533423.284867</v>
      </c>
      <c r="AL47" s="0" t="n">
        <f aca="false">AJ47*x_R_NFZ</f>
        <v>31057876.6931924</v>
      </c>
      <c r="AM47" s="0" t="n">
        <f aca="false">AJ47*x_R_PIT</f>
        <v>26588085.053359</v>
      </c>
      <c r="AN47" s="0" t="n">
        <f aca="false">AJ47*x_R_FP</f>
        <v>10197858.0713152</v>
      </c>
      <c r="AO47" s="0" t="n">
        <f aca="false">AA47+AB47+AC47+AD47+AF47</f>
        <v>461424723.233113</v>
      </c>
      <c r="AP47" s="0" t="n">
        <f aca="false">AO47+AE47+AG47+AH47+AI47+AK47+AL47+AM47+AN47</f>
        <v>685289747.766167</v>
      </c>
      <c r="AQ47" s="0" t="n">
        <f aca="false">AO47+AE47+AG47+AJ47</f>
        <v>861340726.029787</v>
      </c>
      <c r="AR47" s="0" t="n">
        <f aca="false">AB47+AC47+AD47+AF47</f>
        <v>96483399.3270171</v>
      </c>
      <c r="AS47" s="0" t="n">
        <f aca="false">AR47+AE47+AG47</f>
        <v>96483399.3270171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3382.4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4355.463</v>
      </c>
      <c r="I48" s="0" t="n">
        <v>639.747</v>
      </c>
      <c r="J48" s="0" t="n">
        <v>1951.633</v>
      </c>
      <c r="K48" s="0" t="n">
        <v>2655.094</v>
      </c>
      <c r="L48" s="0" t="n">
        <v>986.953</v>
      </c>
      <c r="M48" s="0" t="n">
        <v>90826.589</v>
      </c>
      <c r="N48" s="0" t="n">
        <v>7672.736</v>
      </c>
      <c r="O48" s="0" t="n">
        <v>103.482</v>
      </c>
      <c r="P48" s="0" t="n">
        <v>103.175</v>
      </c>
      <c r="Q48" s="0" t="n">
        <v>1023.52</v>
      </c>
      <c r="R48" s="0" t="n">
        <v>1268.075</v>
      </c>
      <c r="S48" s="0" t="n">
        <v>3327.02</v>
      </c>
      <c r="T48" s="0" t="n">
        <v>4995.21</v>
      </c>
      <c r="U48" s="0" t="n">
        <v>3506.058</v>
      </c>
      <c r="V48" s="0" t="n">
        <v>167545.134</v>
      </c>
      <c r="W48" s="0" t="n">
        <v>383.947</v>
      </c>
      <c r="X48" s="0" t="n">
        <v>798.888</v>
      </c>
      <c r="Y48" s="0" t="n">
        <v>103.482</v>
      </c>
      <c r="Z48" s="0" t="n">
        <v>970.283</v>
      </c>
      <c r="AA48" s="0" t="n">
        <f aca="false">H48*x_c_F+I48*x_c_CC+J48*x_c_DC+K48*x_c_HCC+L48*x_c_PLT+M48*x_c_SVRn+N48*x_c_SVRcc+O48*x_c_LT+P48*x_c_LT1</f>
        <v>366967397.245874</v>
      </c>
      <c r="AB48" s="0" t="n">
        <f aca="false">C48*x_c_DAA</f>
        <v>76983424</v>
      </c>
      <c r="AC48" s="0" t="n">
        <f aca="false">C48*x_c_MON</f>
        <v>19499975.3270171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28068760.1215604</v>
      </c>
      <c r="AI48" s="0" t="n">
        <f aca="false">x_AGRI*x_EMP*x_WLOSS*(x_PEN_K74*Q48+x_PEN_C22*R48)</f>
        <v>1378853.42548197</v>
      </c>
      <c r="AJ48" s="0" t="n">
        <f aca="false">x_EMP*x_WAGE*(x_WLOSS*(Q48+R48)+S48)+U48*x_ABS_D*x_WAGE/365</f>
        <v>399507551.184691</v>
      </c>
      <c r="AK48" s="0" t="n">
        <f aca="false">AJ48*x_R_FUS</f>
        <v>126404189.194836</v>
      </c>
      <c r="AL48" s="0" t="n">
        <f aca="false">AJ48*x_R_NFZ</f>
        <v>31026155.9325543</v>
      </c>
      <c r="AM48" s="0" t="n">
        <f aca="false">AJ48*x_R_PIT</f>
        <v>26560929.4853807</v>
      </c>
      <c r="AN48" s="0" t="n">
        <f aca="false">AJ48*x_R_FP</f>
        <v>10187442.5552096</v>
      </c>
      <c r="AO48" s="0" t="n">
        <f aca="false">AA48+AB48+AC48+AD48+AF48</f>
        <v>463450796.572891</v>
      </c>
      <c r="AP48" s="0" t="n">
        <f aca="false">AO48+AE48+AG48+AH48+AI48+AK48+AL48+AM48+AN48</f>
        <v>687077127.287914</v>
      </c>
      <c r="AQ48" s="0" t="n">
        <f aca="false">AO48+AE48+AG48+AJ48</f>
        <v>862958347.757582</v>
      </c>
      <c r="AR48" s="0" t="n">
        <f aca="false">AB48+AC48+AD48+AF48</f>
        <v>96483399.3270171</v>
      </c>
      <c r="AS48" s="0" t="n">
        <f aca="false">AR48+AE48+AG48</f>
        <v>96483399.3270171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3382.4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4353.63</v>
      </c>
      <c r="I49" s="0" t="n">
        <v>642.63</v>
      </c>
      <c r="J49" s="0" t="n">
        <v>1964.215</v>
      </c>
      <c r="K49" s="0" t="n">
        <v>2671.517</v>
      </c>
      <c r="L49" s="0" t="n">
        <v>985.602</v>
      </c>
      <c r="M49" s="0" t="n">
        <v>92097.927</v>
      </c>
      <c r="N49" s="0" t="n">
        <v>7711.336</v>
      </c>
      <c r="O49" s="0" t="n">
        <v>104.198</v>
      </c>
      <c r="P49" s="0" t="n">
        <v>103.84</v>
      </c>
      <c r="Q49" s="0" t="n">
        <v>1022.76</v>
      </c>
      <c r="R49" s="0" t="n">
        <v>1267.295</v>
      </c>
      <c r="S49" s="0" t="n">
        <v>3324.089</v>
      </c>
      <c r="T49" s="0" t="n">
        <v>4996.26</v>
      </c>
      <c r="U49" s="0" t="n">
        <v>3500.121</v>
      </c>
      <c r="V49" s="0" t="n">
        <v>168723.933</v>
      </c>
      <c r="W49" s="0" t="n">
        <v>386.442</v>
      </c>
      <c r="X49" s="0" t="n">
        <v>803.748</v>
      </c>
      <c r="Y49" s="0" t="n">
        <v>104.198</v>
      </c>
      <c r="Z49" s="0" t="n">
        <v>976.509</v>
      </c>
      <c r="AA49" s="0" t="n">
        <f aca="false">H49*x_c_F+I49*x_c_CC+J49*x_c_DC+K49*x_c_HCC+L49*x_c_PLT+M49*x_c_SVRn+N49*x_c_SVRcc+O49*x_c_LT+P49*x_c_LT1</f>
        <v>369356180.155214</v>
      </c>
      <c r="AB49" s="0" t="n">
        <f aca="false">C49*x_c_DAA</f>
        <v>76983424</v>
      </c>
      <c r="AC49" s="0" t="n">
        <f aca="false">C49*x_c_MON</f>
        <v>19499975.3270171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28042618.8715007</v>
      </c>
      <c r="AI49" s="0" t="n">
        <f aca="false">x_AGRI*x_EMP*x_WLOSS*(x_PEN_K74*Q49+x_PEN_C22*R49)</f>
        <v>1377932.31715775</v>
      </c>
      <c r="AJ49" s="0" t="n">
        <f aca="false">x_EMP*x_WAGE*(x_WLOSS*(Q49+R49)+S49)+U49*x_ABS_D*x_WAGE/365</f>
        <v>399169284.687274</v>
      </c>
      <c r="AK49" s="0" t="n">
        <f aca="false">AJ49*x_R_FUS</f>
        <v>126297161.675053</v>
      </c>
      <c r="AL49" s="0" t="n">
        <f aca="false">AJ49*x_R_NFZ</f>
        <v>30999885.8180984</v>
      </c>
      <c r="AM49" s="0" t="n">
        <f aca="false">AJ49*x_R_PIT</f>
        <v>26538440.1167604</v>
      </c>
      <c r="AN49" s="0" t="n">
        <f aca="false">AJ49*x_R_FP</f>
        <v>10178816.7595255</v>
      </c>
      <c r="AO49" s="0" t="n">
        <f aca="false">AA49+AB49+AC49+AD49+AF49</f>
        <v>465839579.482231</v>
      </c>
      <c r="AP49" s="0" t="n">
        <f aca="false">AO49+AE49+AG49+AH49+AI49+AK49+AL49+AM49+AN49</f>
        <v>689274435.040327</v>
      </c>
      <c r="AQ49" s="0" t="n">
        <f aca="false">AO49+AE49+AG49+AJ49</f>
        <v>865008864.169505</v>
      </c>
      <c r="AR49" s="0" t="n">
        <f aca="false">AB49+AC49+AD49+AF49</f>
        <v>96483399.3270171</v>
      </c>
      <c r="AS49" s="0" t="n">
        <f aca="false">AR49+AE49+AG49</f>
        <v>96483399.3270171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3382.4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4357.082</v>
      </c>
      <c r="I50" s="0" t="n">
        <v>646.379</v>
      </c>
      <c r="J50" s="0" t="n">
        <v>1978.29</v>
      </c>
      <c r="K50" s="0" t="n">
        <v>2689.231</v>
      </c>
      <c r="L50" s="0" t="n">
        <v>986.939</v>
      </c>
      <c r="M50" s="0" t="n">
        <v>93361.862</v>
      </c>
      <c r="N50" s="0" t="n">
        <v>7761.459</v>
      </c>
      <c r="O50" s="0" t="n">
        <v>104.978</v>
      </c>
      <c r="P50" s="0" t="n">
        <v>104.588</v>
      </c>
      <c r="Q50" s="0" t="n">
        <v>1022.145</v>
      </c>
      <c r="R50" s="0" t="n">
        <v>1266.685</v>
      </c>
      <c r="S50" s="0" t="n">
        <v>3321.628</v>
      </c>
      <c r="T50" s="0" t="n">
        <v>5003.461</v>
      </c>
      <c r="U50" s="0" t="n">
        <v>3498.864</v>
      </c>
      <c r="V50" s="0" t="n">
        <v>169902.891</v>
      </c>
      <c r="W50" s="0" t="n">
        <v>388.992</v>
      </c>
      <c r="X50" s="0" t="n">
        <v>808.731</v>
      </c>
      <c r="Y50" s="0" t="n">
        <v>104.978</v>
      </c>
      <c r="Z50" s="0" t="n">
        <v>983.292</v>
      </c>
      <c r="AA50" s="0" t="n">
        <f aca="false">H50*x_c_F+I50*x_c_CC+J50*x_c_DC+K50*x_c_HCC+L50*x_c_PLT+M50*x_c_SVRn+N50*x_c_SVRcc+O50*x_c_LT+P50*x_c_LT1</f>
        <v>372011794.028598</v>
      </c>
      <c r="AB50" s="0" t="n">
        <f aca="false">C50*x_c_DAA</f>
        <v>76983424</v>
      </c>
      <c r="AC50" s="0" t="n">
        <f aca="false">C50*x_c_MON</f>
        <v>19499975.3270171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28028961.6641382</v>
      </c>
      <c r="AI50" s="0" t="n">
        <f aca="false">x_AGRI*x_EMP*x_WLOSS*(x_PEN_K74*Q50+x_PEN_C22*R50)</f>
        <v>1377200.41552176</v>
      </c>
      <c r="AJ50" s="0" t="n">
        <f aca="false">x_EMP*x_WAGE*(x_WLOSS*(Q50+R50)+S50)+U50*x_ABS_D*x_WAGE/365</f>
        <v>398899345.653236</v>
      </c>
      <c r="AK50" s="0" t="n">
        <f aca="false">AJ50*x_R_FUS</f>
        <v>126211752.964684</v>
      </c>
      <c r="AL50" s="0" t="n">
        <f aca="false">AJ50*x_R_NFZ</f>
        <v>30978922.082776</v>
      </c>
      <c r="AM50" s="0" t="n">
        <f aca="false">AJ50*x_R_PIT</f>
        <v>26520493.4430939</v>
      </c>
      <c r="AN50" s="0" t="n">
        <f aca="false">AJ50*x_R_FP</f>
        <v>10171933.3141575</v>
      </c>
      <c r="AO50" s="0" t="n">
        <f aca="false">AA50+AB50+AC50+AD50+AF50</f>
        <v>468495193.355615</v>
      </c>
      <c r="AP50" s="0" t="n">
        <f aca="false">AO50+AE50+AG50+AH50+AI50+AK50+AL50+AM50+AN50</f>
        <v>691784457.239986</v>
      </c>
      <c r="AQ50" s="0" t="n">
        <f aca="false">AO50+AE50+AG50+AJ50</f>
        <v>867394539.008851</v>
      </c>
      <c r="AR50" s="0" t="n">
        <f aca="false">AB50+AC50+AD50+AF50</f>
        <v>96483399.3270171</v>
      </c>
      <c r="AS50" s="0" t="n">
        <f aca="false">AR50+AE50+AG50</f>
        <v>96483399.3270171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3382.4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4365.499</v>
      </c>
      <c r="I51" s="0" t="n">
        <v>650.811</v>
      </c>
      <c r="J51" s="0" t="n">
        <v>1993.162</v>
      </c>
      <c r="K51" s="0" t="n">
        <v>2707.471</v>
      </c>
      <c r="L51" s="0" t="n">
        <v>990.471</v>
      </c>
      <c r="M51" s="0" t="n">
        <v>94608.726</v>
      </c>
      <c r="N51" s="0" t="n">
        <v>7820.421</v>
      </c>
      <c r="O51" s="0" t="n">
        <v>105.787</v>
      </c>
      <c r="P51" s="0" t="n">
        <v>105.382</v>
      </c>
      <c r="Q51" s="0" t="n">
        <v>1021.671</v>
      </c>
      <c r="R51" s="0" t="n">
        <v>1266.238</v>
      </c>
      <c r="S51" s="0" t="n">
        <v>3319.624</v>
      </c>
      <c r="T51" s="0" t="n">
        <v>5016.31</v>
      </c>
      <c r="U51" s="0" t="n">
        <v>3502.035</v>
      </c>
      <c r="V51" s="0" t="n">
        <v>171068.759</v>
      </c>
      <c r="W51" s="0" t="n">
        <v>391.502</v>
      </c>
      <c r="X51" s="0" t="n">
        <v>813.653</v>
      </c>
      <c r="Y51" s="0" t="n">
        <v>105.787</v>
      </c>
      <c r="Z51" s="0" t="n">
        <v>990.323</v>
      </c>
      <c r="AA51" s="0" t="n">
        <f aca="false">H51*x_c_F+I51*x_c_CC+J51*x_c_DC+K51*x_c_HCC+L51*x_c_PLT+M51*x_c_SVRn+N51*x_c_SVRcc+O51*x_c_LT+P51*x_c_LT1</f>
        <v>374828923.786923</v>
      </c>
      <c r="AB51" s="0" t="n">
        <f aca="false">C51*x_c_DAA</f>
        <v>76983424</v>
      </c>
      <c r="AC51" s="0" t="n">
        <f aca="false">C51*x_c_MON</f>
        <v>19499975.3270171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28027169.2279698</v>
      </c>
      <c r="AI51" s="0" t="n">
        <f aca="false">x_AGRI*x_EMP*x_WLOSS*(x_PEN_K74*Q51+x_PEN_C22*R51)</f>
        <v>1376651.03216246</v>
      </c>
      <c r="AJ51" s="0" t="n">
        <f aca="false">x_EMP*x_WAGE*(x_WLOSS*(Q51+R51)+S51)+U51*x_ABS_D*x_WAGE/365</f>
        <v>398695378.846209</v>
      </c>
      <c r="AK51" s="0" t="n">
        <f aca="false">AJ51*x_R_FUS</f>
        <v>126147217.866941</v>
      </c>
      <c r="AL51" s="0" t="n">
        <f aca="false">AJ51*x_R_NFZ</f>
        <v>30963081.8165754</v>
      </c>
      <c r="AM51" s="0" t="n">
        <f aca="false">AJ51*x_R_PIT</f>
        <v>26506932.8784369</v>
      </c>
      <c r="AN51" s="0" t="n">
        <f aca="false">AJ51*x_R_FP</f>
        <v>10166732.1605783</v>
      </c>
      <c r="AO51" s="0" t="n">
        <f aca="false">AA51+AB51+AC51+AD51+AF51</f>
        <v>471312323.11394</v>
      </c>
      <c r="AP51" s="0" t="n">
        <f aca="false">AO51+AE51+AG51+AH51+AI51+AK51+AL51+AM51+AN51</f>
        <v>694500108.096604</v>
      </c>
      <c r="AQ51" s="0" t="n">
        <f aca="false">AO51+AE51+AG51+AJ51</f>
        <v>870007701.96015</v>
      </c>
      <c r="AR51" s="0" t="n">
        <f aca="false">AB51+AC51+AD51+AF51</f>
        <v>96483399.3270171</v>
      </c>
      <c r="AS51" s="0" t="n">
        <f aca="false">AR51+AE51+AG51</f>
        <v>96483399.3270171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3382.4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4378.476</v>
      </c>
      <c r="I52" s="0" t="n">
        <v>655.754</v>
      </c>
      <c r="J52" s="0" t="n">
        <v>2008.163</v>
      </c>
      <c r="K52" s="0" t="n">
        <v>2725.515</v>
      </c>
      <c r="L52" s="0" t="n">
        <v>995.618</v>
      </c>
      <c r="M52" s="0" t="n">
        <v>95826.967</v>
      </c>
      <c r="N52" s="0" t="n">
        <v>7884.961</v>
      </c>
      <c r="O52" s="0" t="n">
        <v>106.587</v>
      </c>
      <c r="P52" s="0" t="n">
        <v>106.187</v>
      </c>
      <c r="Q52" s="0" t="n">
        <v>1021.331</v>
      </c>
      <c r="R52" s="0" t="n">
        <v>1265.947</v>
      </c>
      <c r="S52" s="0" t="n">
        <v>3318.058</v>
      </c>
      <c r="T52" s="0" t="n">
        <v>5034.23</v>
      </c>
      <c r="U52" s="0" t="n">
        <v>3509.304</v>
      </c>
      <c r="V52" s="0" t="n">
        <v>172207.117</v>
      </c>
      <c r="W52" s="0" t="n">
        <v>393.882</v>
      </c>
      <c r="X52" s="0" t="n">
        <v>818.343</v>
      </c>
      <c r="Y52" s="0" t="n">
        <v>106.587</v>
      </c>
      <c r="Z52" s="0" t="n">
        <v>997.284</v>
      </c>
      <c r="AA52" s="0" t="n">
        <f aca="false">H52*x_c_F+I52*x_c_CC+J52*x_c_DC+K52*x_c_HCC+L52*x_c_PLT+M52*x_c_SVRn+N52*x_c_SVRcc+O52*x_c_LT+P52*x_c_LT1</f>
        <v>377698839.051465</v>
      </c>
      <c r="AB52" s="0" t="n">
        <f aca="false">C52*x_c_DAA</f>
        <v>76983424</v>
      </c>
      <c r="AC52" s="0" t="n">
        <f aca="false">C52*x_c_MON</f>
        <v>19499975.3270171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28036436.5407203</v>
      </c>
      <c r="AI52" s="0" t="n">
        <f aca="false">x_AGRI*x_EMP*x_WLOSS*(x_PEN_K74*Q52+x_PEN_C22*R52)</f>
        <v>1376275.8003084</v>
      </c>
      <c r="AJ52" s="0" t="n">
        <f aca="false">x_EMP*x_WAGE*(x_WLOSS*(Q52+R52)+S52)+U52*x_ABS_D*x_WAGE/365</f>
        <v>398554150.179528</v>
      </c>
      <c r="AK52" s="0" t="n">
        <f aca="false">AJ52*x_R_FUS</f>
        <v>126102533.116803</v>
      </c>
      <c r="AL52" s="0" t="n">
        <f aca="false">AJ52*x_R_NFZ</f>
        <v>30952113.8570923</v>
      </c>
      <c r="AM52" s="0" t="n">
        <f aca="false">AJ52*x_R_PIT</f>
        <v>26497543.4072094</v>
      </c>
      <c r="AN52" s="0" t="n">
        <f aca="false">AJ52*x_R_FP</f>
        <v>10163130.829578</v>
      </c>
      <c r="AO52" s="0" t="n">
        <f aca="false">AA52+AB52+AC52+AD52+AF52</f>
        <v>474182238.378482</v>
      </c>
      <c r="AP52" s="0" t="n">
        <f aca="false">AO52+AE52+AG52+AH52+AI52+AK52+AL52+AM52+AN52</f>
        <v>697310271.930193</v>
      </c>
      <c r="AQ52" s="0" t="n">
        <f aca="false">AO52+AE52+AG52+AJ52</f>
        <v>872736388.55801</v>
      </c>
      <c r="AR52" s="0" t="n">
        <f aca="false">AB52+AC52+AD52+AF52</f>
        <v>96483399.3270171</v>
      </c>
      <c r="AS52" s="0" t="n">
        <f aca="false">AR52+AE52+AG52</f>
        <v>96483399.3270171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612</v>
      </c>
    </row>
    <row r="2" customFormat="false" ht="28.35" hidden="false" customHeight="false" outlineLevel="0" collapsed="false">
      <c r="A2" s="3" t="s">
        <v>320</v>
      </c>
      <c r="B2" s="3" t="s">
        <v>565</v>
      </c>
      <c r="C2" s="3" t="s">
        <v>566</v>
      </c>
      <c r="D2" s="3" t="s">
        <v>567</v>
      </c>
      <c r="E2" s="3" t="s">
        <v>568</v>
      </c>
      <c r="F2" s="3" t="s">
        <v>569</v>
      </c>
      <c r="G2" s="3" t="s">
        <v>570</v>
      </c>
      <c r="H2" s="3" t="s">
        <v>571</v>
      </c>
      <c r="I2" s="3" t="s">
        <v>572</v>
      </c>
      <c r="J2" s="3" t="s">
        <v>573</v>
      </c>
      <c r="K2" s="3" t="s">
        <v>574</v>
      </c>
      <c r="L2" s="3" t="s">
        <v>575</v>
      </c>
      <c r="M2" s="3" t="s">
        <v>576</v>
      </c>
      <c r="N2" s="3" t="s">
        <v>577</v>
      </c>
      <c r="O2" s="3" t="s">
        <v>578</v>
      </c>
      <c r="P2" s="3" t="s">
        <v>579</v>
      </c>
      <c r="Q2" s="3" t="s">
        <v>580</v>
      </c>
      <c r="R2" s="3" t="s">
        <v>581</v>
      </c>
      <c r="S2" s="3" t="s">
        <v>582</v>
      </c>
      <c r="T2" s="3" t="s">
        <v>583</v>
      </c>
      <c r="U2" s="3" t="s">
        <v>584</v>
      </c>
      <c r="V2" s="3" t="s">
        <v>585</v>
      </c>
      <c r="W2" s="3" t="s">
        <v>586</v>
      </c>
      <c r="X2" s="3" t="s">
        <v>587</v>
      </c>
      <c r="Y2" s="3" t="s">
        <v>588</v>
      </c>
      <c r="Z2" s="3" t="s">
        <v>589</v>
      </c>
      <c r="AA2" s="3" t="s">
        <v>590</v>
      </c>
      <c r="AB2" s="3" t="s">
        <v>591</v>
      </c>
      <c r="AC2" s="3" t="s">
        <v>592</v>
      </c>
      <c r="AD2" s="3" t="s">
        <v>593</v>
      </c>
      <c r="AE2" s="3" t="s">
        <v>594</v>
      </c>
      <c r="AF2" s="3" t="s">
        <v>595</v>
      </c>
      <c r="AG2" s="3" t="s">
        <v>596</v>
      </c>
      <c r="AH2" s="3" t="s">
        <v>252</v>
      </c>
      <c r="AI2" s="3" t="s">
        <v>303</v>
      </c>
      <c r="AJ2" s="3" t="s">
        <v>597</v>
      </c>
      <c r="AK2" s="3" t="s">
        <v>598</v>
      </c>
      <c r="AL2" s="3" t="s">
        <v>599</v>
      </c>
      <c r="AM2" s="3" t="s">
        <v>600</v>
      </c>
      <c r="AN2" s="3" t="s">
        <v>601</v>
      </c>
      <c r="AO2" s="3" t="s">
        <v>129</v>
      </c>
      <c r="AP2" s="3" t="s">
        <v>602</v>
      </c>
      <c r="AQ2" s="3" t="s">
        <v>603</v>
      </c>
      <c r="AR2" s="3" t="s">
        <v>604</v>
      </c>
      <c r="AS2" s="3" t="s">
        <v>605</v>
      </c>
    </row>
    <row r="3" customFormat="false" ht="15" hidden="false" customHeight="false" outlineLevel="0" collapsed="false">
      <c r="A3" s="0" t="n">
        <v>2026</v>
      </c>
      <c r="B3" s="0" t="n">
        <v>0</v>
      </c>
      <c r="C3" s="0" t="n">
        <v>5213.16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2580.54</v>
      </c>
      <c r="I3" s="0" t="n">
        <v>232.917</v>
      </c>
      <c r="J3" s="0" t="n">
        <v>1576.44</v>
      </c>
      <c r="K3" s="0" t="n">
        <v>2043.415</v>
      </c>
      <c r="L3" s="0" t="n">
        <v>1540.438</v>
      </c>
      <c r="M3" s="0" t="n">
        <v>7098.382</v>
      </c>
      <c r="N3" s="0" t="n">
        <v>630.598</v>
      </c>
      <c r="O3" s="0" t="n">
        <v>84.604</v>
      </c>
      <c r="P3" s="0" t="n">
        <v>42.302</v>
      </c>
      <c r="Q3" s="0" t="n">
        <v>2131.243</v>
      </c>
      <c r="R3" s="0" t="n">
        <v>1378.531</v>
      </c>
      <c r="S3" s="0" t="n">
        <v>268.453</v>
      </c>
      <c r="T3" s="0" t="n">
        <v>2813.457</v>
      </c>
      <c r="U3" s="0" t="n">
        <v>1558.589</v>
      </c>
      <c r="V3" s="0" t="n">
        <v>113589.478</v>
      </c>
      <c r="W3" s="0" t="n">
        <v>259.915</v>
      </c>
      <c r="X3" s="0" t="n">
        <v>575.283</v>
      </c>
      <c r="Y3" s="0" t="n">
        <v>84.604</v>
      </c>
      <c r="Z3" s="0" t="n">
        <v>792.637</v>
      </c>
      <c r="AA3" s="0" t="n">
        <f aca="false">H3*x_c_F+I3*x_c_CC+J3*x_c_DC+K3*x_c_HCC+L3*x_c_PLT+M3*x_c_SVRn+N3*x_c_SVRcc+O3*x_c_LT+P3*x_c_LT1</f>
        <v>251925255.924397</v>
      </c>
      <c r="AB3" s="0" t="n">
        <f aca="false">C3*x_c_DAA</f>
        <v>118651521.6</v>
      </c>
      <c r="AC3" s="0" t="n">
        <f aca="false">C3*x_c_MON</f>
        <v>30054544.517441</v>
      </c>
      <c r="AD3" s="0" t="n">
        <f aca="false">D3*(1-x_testy)</f>
        <v>0</v>
      </c>
      <c r="AE3" s="0" t="n">
        <f aca="false">E3*(1-x_testy)</f>
        <v>0</v>
      </c>
      <c r="AF3" s="0" t="n">
        <f aca="false">F3*x_NAV</f>
        <v>0</v>
      </c>
      <c r="AG3" s="0" t="n">
        <f aca="false">G3*x_FIX*(1-x_testy)</f>
        <v>0</v>
      </c>
      <c r="AH3" s="0" t="n">
        <f aca="false">x_z_F*U3+(1-x_AGRI)*x_EMP*x_WLOSS*(x_PEN_K74*Q3+x_PEN_C22*R3)</f>
        <v>34503226.7159845</v>
      </c>
      <c r="AI3" s="0" t="n">
        <f aca="false">x_AGRI*x_EMP*x_WLOSS*(x_PEN_K74*Q3+x_PEN_C22*R3)</f>
        <v>2068800.62314985</v>
      </c>
      <c r="AJ3" s="0" t="n">
        <f aca="false">x_EMP*x_WAGE*(x_WLOSS*(Q3+R3)+S3)+U3*x_ABS_D*x_WAGE/365</f>
        <v>189118751.470106</v>
      </c>
      <c r="AK3" s="0" t="n">
        <f aca="false">AJ3*x_R_FUS</f>
        <v>59837172.9651414</v>
      </c>
      <c r="AL3" s="0" t="n">
        <f aca="false">AJ3*x_R_NFZ</f>
        <v>14687151.3579199</v>
      </c>
      <c r="AM3" s="0" t="n">
        <f aca="false">AJ3*x_R_PIT</f>
        <v>12573403.9501008</v>
      </c>
      <c r="AN3" s="0" t="n">
        <f aca="false">AJ3*x_R_FP</f>
        <v>4822528.16248769</v>
      </c>
      <c r="AO3" s="0" t="n">
        <f aca="false">AA3+AB3+AC3+AD3+AF3</f>
        <v>400631322.041838</v>
      </c>
      <c r="AP3" s="0" t="n">
        <f aca="false">AO3+AE3+AG3+AH3+AI3+AK3+AL3+AM3+AN3</f>
        <v>529123605.816622</v>
      </c>
      <c r="AQ3" s="0" t="n">
        <f aca="false">AO3+AE3+AG3+AJ3</f>
        <v>589750073.511944</v>
      </c>
      <c r="AR3" s="0" t="n">
        <f aca="false">AB3+AC3+AD3+AF3</f>
        <v>148706066.117441</v>
      </c>
      <c r="AS3" s="0" t="n">
        <f aca="false">AR3+AE3+AG3</f>
        <v>148706066.117441</v>
      </c>
    </row>
    <row r="4" customFormat="false" ht="15" hidden="false" customHeight="false" outlineLevel="0" collapsed="false">
      <c r="A4" s="0" t="n">
        <v>2027</v>
      </c>
      <c r="B4" s="0" t="n">
        <v>1</v>
      </c>
      <c r="C4" s="0" t="n">
        <v>5577.334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2725.369</v>
      </c>
      <c r="I4" s="0" t="n">
        <v>263.713</v>
      </c>
      <c r="J4" s="0" t="n">
        <v>1557.054</v>
      </c>
      <c r="K4" s="0" t="n">
        <v>2042.069</v>
      </c>
      <c r="L4" s="0" t="n">
        <v>1487.589</v>
      </c>
      <c r="M4" s="0" t="n">
        <v>12098.366</v>
      </c>
      <c r="N4" s="0" t="n">
        <v>1106.047</v>
      </c>
      <c r="O4" s="0" t="n">
        <v>83.264</v>
      </c>
      <c r="P4" s="0" t="n">
        <v>83.934</v>
      </c>
      <c r="Q4" s="0" t="n">
        <v>2128.925</v>
      </c>
      <c r="R4" s="0" t="n">
        <v>1390.588</v>
      </c>
      <c r="S4" s="0" t="n">
        <v>807.805</v>
      </c>
      <c r="T4" s="0" t="n">
        <v>2989.082</v>
      </c>
      <c r="U4" s="0" t="n">
        <v>1705.565</v>
      </c>
      <c r="V4" s="0" t="n">
        <v>114818.27</v>
      </c>
      <c r="W4" s="0" t="n">
        <v>271.416</v>
      </c>
      <c r="X4" s="0" t="n">
        <v>603.026</v>
      </c>
      <c r="Y4" s="0" t="n">
        <v>83.264</v>
      </c>
      <c r="Z4" s="0" t="n">
        <v>795.58</v>
      </c>
      <c r="AA4" s="0" t="n">
        <f aca="false">H4*x_c_F+I4*x_c_CC+J4*x_c_DC+K4*x_c_HCC+L4*x_c_PLT+M4*x_c_SVRn+N4*x_c_SVRcc+O4*x_c_LT+P4*x_c_LT1</f>
        <v>256290558.249569</v>
      </c>
      <c r="AB4" s="0" t="n">
        <f aca="false">C4*x_c_DAA</f>
        <v>126940121.84</v>
      </c>
      <c r="AC4" s="0" t="n">
        <f aca="false">C4*x_c_MON</f>
        <v>32154054.9286109</v>
      </c>
      <c r="AD4" s="0" t="n">
        <f aca="false">D4*(1-x_testy)</f>
        <v>0</v>
      </c>
      <c r="AE4" s="0" t="n">
        <f aca="false">E4*(1-x_testy)</f>
        <v>0</v>
      </c>
      <c r="AF4" s="0" t="n">
        <f aca="false">F4*x_NAV</f>
        <v>0</v>
      </c>
      <c r="AG4" s="0" t="n">
        <f aca="false">G4*x_FIX*(1-x_testy)</f>
        <v>0</v>
      </c>
      <c r="AH4" s="0" t="n">
        <f aca="false">x_z_F*U4+(1-x_AGRI)*x_EMP*x_WLOSS*(x_PEN_K74*Q4+x_PEN_C22*R4)</f>
        <v>34901749.237913</v>
      </c>
      <c r="AI4" s="0" t="n">
        <f aca="false">x_AGRI*x_EMP*x_WLOSS*(x_PEN_K74*Q4+x_PEN_C22*R4)</f>
        <v>2075169.648004</v>
      </c>
      <c r="AJ4" s="0" t="n">
        <f aca="false">x_EMP*x_WAGE*(x_WLOSS*(Q4+R4)+S4)+U4*x_ABS_D*x_WAGE/365</f>
        <v>235984445.328758</v>
      </c>
      <c r="AK4" s="0" t="n">
        <f aca="false">AJ4*x_R_FUS</f>
        <v>74665478.5020192</v>
      </c>
      <c r="AL4" s="0" t="n">
        <f aca="false">AJ4*x_R_NFZ</f>
        <v>18326788.0086767</v>
      </c>
      <c r="AM4" s="0" t="n">
        <f aca="false">AJ4*x_R_PIT</f>
        <v>15689230.8879693</v>
      </c>
      <c r="AN4" s="0" t="n">
        <f aca="false">AJ4*x_R_FP</f>
        <v>6017603.35588334</v>
      </c>
      <c r="AO4" s="0" t="n">
        <f aca="false">AA4+AB4+AC4+AD4+AF4</f>
        <v>415384735.01818</v>
      </c>
      <c r="AP4" s="0" t="n">
        <f aca="false">AO4+AE4+AG4+AH4+AI4+AK4+AL4+AM4+AN4</f>
        <v>567060754.658646</v>
      </c>
      <c r="AQ4" s="0" t="n">
        <f aca="false">AO4+AE4+AG4+AJ4</f>
        <v>651369180.346939</v>
      </c>
      <c r="AR4" s="0" t="n">
        <f aca="false">AB4+AC4+AD4+AF4</f>
        <v>159094176.768611</v>
      </c>
      <c r="AS4" s="0" t="n">
        <f aca="false">AR4+AE4+AG4</f>
        <v>159094176.768611</v>
      </c>
    </row>
    <row r="5" customFormat="false" ht="15" hidden="false" customHeight="false" outlineLevel="0" collapsed="false">
      <c r="A5" s="0" t="n">
        <v>2028</v>
      </c>
      <c r="B5" s="0" t="n">
        <v>2</v>
      </c>
      <c r="C5" s="0" t="n">
        <v>5923.265</v>
      </c>
      <c r="D5" s="0" t="n">
        <v>0</v>
      </c>
      <c r="E5" s="0" t="n">
        <v>0</v>
      </c>
      <c r="F5" s="0" t="n">
        <v>0</v>
      </c>
      <c r="G5" s="0" t="n">
        <v>0</v>
      </c>
      <c r="H5" s="0" t="n">
        <v>2777.424</v>
      </c>
      <c r="I5" s="0" t="n">
        <v>288.168</v>
      </c>
      <c r="J5" s="0" t="n">
        <v>1552.179</v>
      </c>
      <c r="K5" s="0" t="n">
        <v>2067.107</v>
      </c>
      <c r="L5" s="0" t="n">
        <v>1470.387</v>
      </c>
      <c r="M5" s="0" t="n">
        <v>17141.499</v>
      </c>
      <c r="N5" s="0" t="n">
        <v>1614.996</v>
      </c>
      <c r="O5" s="0" t="n">
        <v>82.857</v>
      </c>
      <c r="P5" s="0" t="n">
        <v>83.06</v>
      </c>
      <c r="Q5" s="0" t="n">
        <v>2133.853</v>
      </c>
      <c r="R5" s="0" t="n">
        <v>1423.796</v>
      </c>
      <c r="S5" s="0" t="n">
        <v>1351.824</v>
      </c>
      <c r="T5" s="0" t="n">
        <v>3065.592</v>
      </c>
      <c r="U5" s="0" t="n">
        <v>1797.758</v>
      </c>
      <c r="V5" s="0" t="n">
        <v>116132.351</v>
      </c>
      <c r="W5" s="0" t="n">
        <v>283.771</v>
      </c>
      <c r="X5" s="0" t="n">
        <v>629.339</v>
      </c>
      <c r="Y5" s="0" t="n">
        <v>82.857</v>
      </c>
      <c r="Z5" s="0" t="n">
        <v>796.673</v>
      </c>
      <c r="AA5" s="0" t="n">
        <f aca="false">H5*x_c_F+I5*x_c_CC+J5*x_c_DC+K5*x_c_HCC+L5*x_c_PLT+M5*x_c_SVRn+N5*x_c_SVRcc+O5*x_c_LT+P5*x_c_LT1</f>
        <v>261818436.782823</v>
      </c>
      <c r="AB5" s="0" t="n">
        <f aca="false">C5*x_c_DAA</f>
        <v>134813511.4</v>
      </c>
      <c r="AC5" s="0" t="n">
        <f aca="false">C5*x_c_MON</f>
        <v>34148392.0752672</v>
      </c>
      <c r="AD5" s="0" t="n">
        <f aca="false">D5*(1-x_testy)</f>
        <v>0</v>
      </c>
      <c r="AE5" s="0" t="n">
        <f aca="false">E5*(1-x_testy)</f>
        <v>0</v>
      </c>
      <c r="AF5" s="0" t="n">
        <f aca="false">F5*x_NAV</f>
        <v>0</v>
      </c>
      <c r="AG5" s="0" t="n">
        <f aca="false">G5*x_FIX*(1-x_testy)</f>
        <v>0</v>
      </c>
      <c r="AH5" s="0" t="n">
        <f aca="false">x_z_F*U5+(1-x_AGRI)*x_EMP*x_WLOSS*(x_PEN_K74*Q5+x_PEN_C22*R5)</f>
        <v>35452426.6263914</v>
      </c>
      <c r="AI5" s="0" t="n">
        <f aca="false">x_AGRI*x_EMP*x_WLOSS*(x_PEN_K74*Q5+x_PEN_C22*R5)</f>
        <v>2099040.27213851</v>
      </c>
      <c r="AJ5" s="0" t="n">
        <f aca="false">x_EMP*x_WAGE*(x_WLOSS*(Q5+R5)+S5)+U5*x_ABS_D*x_WAGE/365</f>
        <v>284395033.409808</v>
      </c>
      <c r="AK5" s="0" t="n">
        <f aca="false">AJ5*x_R_FUS</f>
        <v>89982588.5708631</v>
      </c>
      <c r="AL5" s="0" t="n">
        <f aca="false">AJ5*x_R_NFZ</f>
        <v>22086402.6896391</v>
      </c>
      <c r="AM5" s="0" t="n">
        <f aca="false">AJ5*x_R_PIT</f>
        <v>18907768.8418918</v>
      </c>
      <c r="AN5" s="0" t="n">
        <f aca="false">AJ5*x_R_FP</f>
        <v>7252073.35195009</v>
      </c>
      <c r="AO5" s="0" t="n">
        <f aca="false">AA5+AB5+AC5+AD5+AF5</f>
        <v>430780340.258091</v>
      </c>
      <c r="AP5" s="0" t="n">
        <f aca="false">AO5+AE5+AG5+AH5+AI5+AK5+AL5+AM5+AN5</f>
        <v>606560640.610964</v>
      </c>
      <c r="AQ5" s="0" t="n">
        <f aca="false">AO5+AE5+AG5+AJ5</f>
        <v>715175373.667898</v>
      </c>
      <c r="AR5" s="0" t="n">
        <f aca="false">AB5+AC5+AD5+AF5</f>
        <v>168961903.475267</v>
      </c>
      <c r="AS5" s="0" t="n">
        <f aca="false">AR5+AE5+AG5</f>
        <v>168961903.475267</v>
      </c>
    </row>
    <row r="6" customFormat="false" ht="15" hidden="false" customHeight="false" outlineLevel="0" collapsed="false">
      <c r="A6" s="0" t="n">
        <v>2029</v>
      </c>
      <c r="B6" s="0" t="n">
        <v>3</v>
      </c>
      <c r="C6" s="0" t="n">
        <v>5895.255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2743.868</v>
      </c>
      <c r="I6" s="0" t="n">
        <v>304.878</v>
      </c>
      <c r="J6" s="0" t="n">
        <v>1559.76</v>
      </c>
      <c r="K6" s="0" t="n">
        <v>2109.337</v>
      </c>
      <c r="L6" s="0" t="n">
        <v>1452.332</v>
      </c>
      <c r="M6" s="0" t="n">
        <v>22057.793</v>
      </c>
      <c r="N6" s="0" t="n">
        <v>2140.959</v>
      </c>
      <c r="O6" s="0" t="n">
        <v>83.203</v>
      </c>
      <c r="P6" s="0" t="n">
        <v>83.03</v>
      </c>
      <c r="Q6" s="0" t="n">
        <v>2149.257</v>
      </c>
      <c r="R6" s="0" t="n">
        <v>1471.544</v>
      </c>
      <c r="S6" s="0" t="n">
        <v>1903.057</v>
      </c>
      <c r="T6" s="0" t="n">
        <v>3048.746</v>
      </c>
      <c r="U6" s="0" t="n">
        <v>1835.232</v>
      </c>
      <c r="V6" s="0" t="n">
        <v>117499.998</v>
      </c>
      <c r="W6" s="0" t="n">
        <v>296.381</v>
      </c>
      <c r="X6" s="0" t="n">
        <v>653.918</v>
      </c>
      <c r="Y6" s="0" t="n">
        <v>83.203</v>
      </c>
      <c r="Z6" s="0" t="n">
        <v>804.983</v>
      </c>
      <c r="AA6" s="0" t="n">
        <f aca="false">H6*x_c_F+I6*x_c_CC+J6*x_c_DC+K6*x_c_HCC+L6*x_c_PLT+M6*x_c_SVRn+N6*x_c_SVRcc+O6*x_c_LT+P6*x_c_LT1</f>
        <v>268597025.681288</v>
      </c>
      <c r="AB6" s="0" t="n">
        <f aca="false">C6*x_c_DAA</f>
        <v>134176003.8</v>
      </c>
      <c r="AC6" s="0" t="n">
        <f aca="false">C6*x_c_MON</f>
        <v>33986910.7871553</v>
      </c>
      <c r="AD6" s="0" t="n">
        <f aca="false">D6*(1-x_testy)</f>
        <v>0</v>
      </c>
      <c r="AE6" s="0" t="n">
        <f aca="false">E6*(1-x_testy)</f>
        <v>0</v>
      </c>
      <c r="AF6" s="0" t="n">
        <f aca="false">F6*x_NAV</f>
        <v>0</v>
      </c>
      <c r="AG6" s="0" t="n">
        <f aca="false">G6*x_FIX*(1-x_testy)</f>
        <v>0</v>
      </c>
      <c r="AH6" s="0" t="n">
        <f aca="false">x_z_F*U6+(1-x_AGRI)*x_EMP*x_WLOSS*(x_PEN_K74*Q6+x_PEN_C22*R6)</f>
        <v>36119137.6962372</v>
      </c>
      <c r="AI6" s="0" t="n">
        <f aca="false">x_AGRI*x_EMP*x_WLOSS*(x_PEN_K74*Q6+x_PEN_C22*R6)</f>
        <v>2138016.25757702</v>
      </c>
      <c r="AJ6" s="0" t="n">
        <f aca="false">x_EMP*x_WAGE*(x_WLOSS*(Q6+R6)+S6)+U6*x_ABS_D*x_WAGE/365</f>
        <v>334412141.032668</v>
      </c>
      <c r="AK6" s="0" t="n">
        <f aca="false">AJ6*x_R_FUS</f>
        <v>105808001.422736</v>
      </c>
      <c r="AL6" s="0" t="n">
        <f aca="false">AJ6*x_R_NFZ</f>
        <v>25970781.2847381</v>
      </c>
      <c r="AM6" s="0" t="n">
        <f aca="false">AJ6*x_R_PIT</f>
        <v>22233114.9203176</v>
      </c>
      <c r="AN6" s="0" t="n">
        <f aca="false">AJ6*x_R_FP</f>
        <v>8527509.59633304</v>
      </c>
      <c r="AO6" s="0" t="n">
        <f aca="false">AA6+AB6+AC6+AD6+AF6</f>
        <v>436759940.268443</v>
      </c>
      <c r="AP6" s="0" t="n">
        <f aca="false">AO6+AE6+AG6+AH6+AI6+AK6+AL6+AM6+AN6</f>
        <v>637556501.446382</v>
      </c>
      <c r="AQ6" s="0" t="n">
        <f aca="false">AO6+AE6+AG6+AJ6</f>
        <v>771172081.301111</v>
      </c>
      <c r="AR6" s="0" t="n">
        <f aca="false">AB6+AC6+AD6+AF6</f>
        <v>168162914.587155</v>
      </c>
      <c r="AS6" s="0" t="n">
        <f aca="false">AR6+AE6+AG6</f>
        <v>168162914.587155</v>
      </c>
    </row>
    <row r="7" customFormat="false" ht="15" hidden="false" customHeight="false" outlineLevel="0" collapsed="false">
      <c r="A7" s="0" t="n">
        <v>2030</v>
      </c>
      <c r="B7" s="0" t="n">
        <v>4</v>
      </c>
      <c r="C7" s="0" t="n">
        <v>5868.458</v>
      </c>
      <c r="D7" s="0" t="n">
        <v>0</v>
      </c>
      <c r="E7" s="0" t="n">
        <v>0</v>
      </c>
      <c r="F7" s="0" t="n">
        <v>0</v>
      </c>
      <c r="G7" s="0" t="n">
        <v>0</v>
      </c>
      <c r="H7" s="0" t="n">
        <v>2711.368</v>
      </c>
      <c r="I7" s="0" t="n">
        <v>321.135</v>
      </c>
      <c r="J7" s="0" t="n">
        <v>1577.382</v>
      </c>
      <c r="K7" s="0" t="n">
        <v>2161.576</v>
      </c>
      <c r="L7" s="0" t="n">
        <v>1434.138</v>
      </c>
      <c r="M7" s="0" t="n">
        <v>26847.037</v>
      </c>
      <c r="N7" s="0" t="n">
        <v>2681.964</v>
      </c>
      <c r="O7" s="0" t="n">
        <v>84.14</v>
      </c>
      <c r="P7" s="0" t="n">
        <v>83.672</v>
      </c>
      <c r="Q7" s="0" t="n">
        <v>2173.876</v>
      </c>
      <c r="R7" s="0" t="n">
        <v>1528.624</v>
      </c>
      <c r="S7" s="0" t="n">
        <v>2466.131</v>
      </c>
      <c r="T7" s="0" t="n">
        <v>3032.502</v>
      </c>
      <c r="U7" s="0" t="n">
        <v>1870.87</v>
      </c>
      <c r="V7" s="0" t="n">
        <v>118907.55</v>
      </c>
      <c r="W7" s="0" t="n">
        <v>308.44</v>
      </c>
      <c r="X7" s="0" t="n">
        <v>675.869</v>
      </c>
      <c r="Y7" s="0" t="n">
        <v>84.14</v>
      </c>
      <c r="Z7" s="0" t="n">
        <v>818.159</v>
      </c>
      <c r="AA7" s="0" t="n">
        <f aca="false">H7*x_c_F+I7*x_c_CC+J7*x_c_DC+K7*x_c_HCC+L7*x_c_PLT+M7*x_c_SVRn+N7*x_c_SVRcc+O7*x_c_LT+P7*x_c_LT1</f>
        <v>276380531.607052</v>
      </c>
      <c r="AB7" s="0" t="n">
        <f aca="false">C7*x_c_DAA</f>
        <v>133566104.08</v>
      </c>
      <c r="AC7" s="0" t="n">
        <f aca="false">C7*x_c_MON</f>
        <v>33832422.6015953</v>
      </c>
      <c r="AD7" s="0" t="n">
        <f aca="false">D7*(1-x_testy)</f>
        <v>0</v>
      </c>
      <c r="AE7" s="0" t="n">
        <f aca="false">E7*(1-x_testy)</f>
        <v>0</v>
      </c>
      <c r="AF7" s="0" t="n">
        <f aca="false">F7*x_NAV</f>
        <v>0</v>
      </c>
      <c r="AG7" s="0" t="n">
        <f aca="false">G7*x_FIX*(1-x_testy)</f>
        <v>0</v>
      </c>
      <c r="AH7" s="0" t="n">
        <f aca="false">x_z_F*U7+(1-x_AGRI)*x_EMP*x_WLOSS*(x_PEN_K74*Q7+x_PEN_C22*R7)</f>
        <v>36949834.6428041</v>
      </c>
      <c r="AI7" s="0" t="n">
        <f aca="false">x_AGRI*x_EMP*x_WLOSS*(x_PEN_K74*Q7+x_PEN_C22*R7)</f>
        <v>2188080.88857754</v>
      </c>
      <c r="AJ7" s="0" t="n">
        <f aca="false">x_EMP*x_WAGE*(x_WLOSS*(Q7+R7)+S7)+U7*x_ABS_D*x_WAGE/365</f>
        <v>386287657.605689</v>
      </c>
      <c r="AK7" s="0" t="n">
        <f aca="false">AJ7*x_R_FUS</f>
        <v>122221414.86644</v>
      </c>
      <c r="AL7" s="0" t="n">
        <f aca="false">AJ7*x_R_NFZ</f>
        <v>29999485.7773154</v>
      </c>
      <c r="AM7" s="0" t="n">
        <f aca="false">AJ7*x_R_PIT</f>
        <v>25682015.782461</v>
      </c>
      <c r="AN7" s="0" t="n">
        <f aca="false">AJ7*x_R_FP</f>
        <v>9850335.26894507</v>
      </c>
      <c r="AO7" s="0" t="n">
        <f aca="false">AA7+AB7+AC7+AD7+AF7</f>
        <v>443779058.288647</v>
      </c>
      <c r="AP7" s="0" t="n">
        <f aca="false">AO7+AE7+AG7+AH7+AI7+AK7+AL7+AM7+AN7</f>
        <v>670670225.51519</v>
      </c>
      <c r="AQ7" s="0" t="n">
        <f aca="false">AO7+AE7+AG7+AJ7</f>
        <v>830066715.894336</v>
      </c>
      <c r="AR7" s="0" t="n">
        <f aca="false">AB7+AC7+AD7+AF7</f>
        <v>167398526.681595</v>
      </c>
      <c r="AS7" s="0" t="n">
        <f aca="false">AR7+AE7+AG7</f>
        <v>167398526.681595</v>
      </c>
    </row>
    <row r="8" customFormat="false" ht="15" hidden="false" customHeight="false" outlineLevel="0" collapsed="false">
      <c r="A8" s="0" t="n">
        <v>2031</v>
      </c>
      <c r="B8" s="0" t="n">
        <v>5</v>
      </c>
      <c r="C8" s="0" t="n">
        <v>5842.759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2680.444</v>
      </c>
      <c r="I8" s="0" t="n">
        <v>336.364</v>
      </c>
      <c r="J8" s="0" t="n">
        <v>1602.361</v>
      </c>
      <c r="K8" s="0" t="n">
        <v>2217.952</v>
      </c>
      <c r="L8" s="0" t="n">
        <v>1416.36</v>
      </c>
      <c r="M8" s="0" t="n">
        <v>31510.404</v>
      </c>
      <c r="N8" s="0" t="n">
        <v>3234.959</v>
      </c>
      <c r="O8" s="0" t="n">
        <v>85.497</v>
      </c>
      <c r="P8" s="0" t="n">
        <v>84.818</v>
      </c>
      <c r="Q8" s="0" t="n">
        <v>2206.14</v>
      </c>
      <c r="R8" s="0" t="n">
        <v>1590.738</v>
      </c>
      <c r="S8" s="0" t="n">
        <v>3044.035</v>
      </c>
      <c r="T8" s="0" t="n">
        <v>3016.808</v>
      </c>
      <c r="U8" s="0" t="n">
        <v>1904.701</v>
      </c>
      <c r="V8" s="0" t="n">
        <v>120345.122</v>
      </c>
      <c r="W8" s="0" t="n">
        <v>319.358</v>
      </c>
      <c r="X8" s="0" t="n">
        <v>694.585</v>
      </c>
      <c r="Y8" s="0" t="n">
        <v>85.497</v>
      </c>
      <c r="Z8" s="0" t="n">
        <v>834.173</v>
      </c>
      <c r="AA8" s="0" t="n">
        <f aca="false">H8*x_c_F+I8*x_c_CC+J8*x_c_DC+K8*x_c_HCC+L8*x_c_PLT+M8*x_c_SVRn+N8*x_c_SVRcc+O8*x_c_LT+P8*x_c_LT1</f>
        <v>284693058.789343</v>
      </c>
      <c r="AB8" s="0" t="n">
        <f aca="false">C8*x_c_DAA</f>
        <v>132981194.84</v>
      </c>
      <c r="AC8" s="0" t="n">
        <f aca="false">C8*x_c_MON</f>
        <v>33684264.5286503</v>
      </c>
      <c r="AD8" s="0" t="n">
        <f aca="false">D8*(1-x_testy)</f>
        <v>0</v>
      </c>
      <c r="AE8" s="0" t="n">
        <f aca="false">E8*(1-x_testy)</f>
        <v>0</v>
      </c>
      <c r="AF8" s="0" t="n">
        <f aca="false">F8*x_NAV</f>
        <v>0</v>
      </c>
      <c r="AG8" s="0" t="n">
        <f aca="false">G8*x_FIX*(1-x_testy)</f>
        <v>0</v>
      </c>
      <c r="AH8" s="0" t="n">
        <f aca="false">x_z_F*U8+(1-x_AGRI)*x_EMP*x_WLOSS*(x_PEN_K74*Q8+x_PEN_C22*R8)</f>
        <v>37889946.0144352</v>
      </c>
      <c r="AI8" s="0" t="n">
        <f aca="false">x_AGRI*x_EMP*x_WLOSS*(x_PEN_K74*Q8+x_PEN_C22*R8)</f>
        <v>2245623.15610071</v>
      </c>
      <c r="AJ8" s="0" t="n">
        <f aca="false">x_EMP*x_WAGE*(x_WLOSS*(Q8+R8)+S8)+U8*x_ABS_D*x_WAGE/365</f>
        <v>440006245.235279</v>
      </c>
      <c r="AK8" s="0" t="n">
        <f aca="false">AJ8*x_R_FUS</f>
        <v>139217975.992442</v>
      </c>
      <c r="AL8" s="0" t="n">
        <f aca="false">AJ8*x_R_NFZ</f>
        <v>34171325.011217</v>
      </c>
      <c r="AM8" s="0" t="n">
        <f aca="false">AJ8*x_R_PIT</f>
        <v>29253451.7011382</v>
      </c>
      <c r="AN8" s="0" t="n">
        <f aca="false">AJ8*x_R_FP</f>
        <v>11220159.2534996</v>
      </c>
      <c r="AO8" s="0" t="n">
        <f aca="false">AA8+AB8+AC8+AD8+AF8</f>
        <v>451358518.157993</v>
      </c>
      <c r="AP8" s="0" t="n">
        <f aca="false">AO8+AE8+AG8+AH8+AI8+AK8+AL8+AM8+AN8</f>
        <v>705356999.286826</v>
      </c>
      <c r="AQ8" s="0" t="n">
        <f aca="false">AO8+AE8+AG8+AJ8</f>
        <v>891364763.393272</v>
      </c>
      <c r="AR8" s="0" t="n">
        <f aca="false">AB8+AC8+AD8+AF8</f>
        <v>166665459.36865</v>
      </c>
      <c r="AS8" s="0" t="n">
        <f aca="false">AR8+AE8+AG8</f>
        <v>166665459.36865</v>
      </c>
    </row>
    <row r="9" customFormat="false" ht="15" hidden="false" customHeight="false" outlineLevel="0" collapsed="false">
      <c r="A9" s="0" t="n">
        <v>2032</v>
      </c>
      <c r="B9" s="0" t="n">
        <v>6</v>
      </c>
      <c r="C9" s="0" t="n">
        <v>5818.085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2651.49</v>
      </c>
      <c r="I9" s="0" t="n">
        <v>350.124</v>
      </c>
      <c r="J9" s="0" t="n">
        <v>1631.951</v>
      </c>
      <c r="K9" s="0" t="n">
        <v>2273.74</v>
      </c>
      <c r="L9" s="0" t="n">
        <v>1399.364</v>
      </c>
      <c r="M9" s="0" t="n">
        <v>36049.641</v>
      </c>
      <c r="N9" s="0" t="n">
        <v>3796.019</v>
      </c>
      <c r="O9" s="0" t="n">
        <v>87.108</v>
      </c>
      <c r="P9" s="0" t="n">
        <v>86.302</v>
      </c>
      <c r="Q9" s="0" t="n">
        <v>2244.298</v>
      </c>
      <c r="R9" s="0" t="n">
        <v>1654.389</v>
      </c>
      <c r="S9" s="0" t="n">
        <v>3638.288</v>
      </c>
      <c r="T9" s="0" t="n">
        <v>3001.613</v>
      </c>
      <c r="U9" s="0" t="n">
        <v>1936.776</v>
      </c>
      <c r="V9" s="0" t="n">
        <v>121802.695</v>
      </c>
      <c r="W9" s="0" t="n">
        <v>328.715</v>
      </c>
      <c r="X9" s="0" t="n">
        <v>709.666</v>
      </c>
      <c r="Y9" s="0" t="n">
        <v>87.108</v>
      </c>
      <c r="Z9" s="0" t="n">
        <v>851.269</v>
      </c>
      <c r="AA9" s="0" t="n">
        <f aca="false">H9*x_c_F+I9*x_c_CC+J9*x_c_DC+K9*x_c_HCC+L9*x_c_PLT+M9*x_c_SVRn+N9*x_c_SVRcc+O9*x_c_LT+P9*x_c_LT1</f>
        <v>293123829.923931</v>
      </c>
      <c r="AB9" s="0" t="n">
        <f aca="false">C9*x_c_DAA</f>
        <v>132419614.6</v>
      </c>
      <c r="AC9" s="0" t="n">
        <f aca="false">C9*x_c_MON</f>
        <v>33542015.7138387</v>
      </c>
      <c r="AD9" s="0" t="n">
        <f aca="false">D9*(1-x_testy)</f>
        <v>0</v>
      </c>
      <c r="AE9" s="0" t="n">
        <f aca="false">E9*(1-x_testy)</f>
        <v>0</v>
      </c>
      <c r="AF9" s="0" t="n">
        <f aca="false">F9*x_NAV</f>
        <v>0</v>
      </c>
      <c r="AG9" s="0" t="n">
        <f aca="false">G9*x_FIX*(1-x_testy)</f>
        <v>0</v>
      </c>
      <c r="AH9" s="0" t="n">
        <f aca="false">x_z_F*U9+(1-x_AGRI)*x_EMP*x_WLOSS*(x_PEN_K74*Q9+x_PEN_C22*R9)</f>
        <v>38891118.4542204</v>
      </c>
      <c r="AI9" s="0" t="n">
        <f aca="false">x_AGRI*x_EMP*x_WLOSS*(x_PEN_K74*Q9+x_PEN_C22*R9)</f>
        <v>2307440.06566055</v>
      </c>
      <c r="AJ9" s="0" t="n">
        <f aca="false">x_EMP*x_WAGE*(x_WLOSS*(Q9+R9)+S9)+U9*x_ABS_D*x_WAGE/365</f>
        <v>495455853.513218</v>
      </c>
      <c r="AK9" s="0" t="n">
        <f aca="false">AJ9*x_R_FUS</f>
        <v>156762232.051582</v>
      </c>
      <c r="AL9" s="0" t="n">
        <f aca="false">AJ9*x_R_NFZ</f>
        <v>38477597.03969</v>
      </c>
      <c r="AM9" s="0" t="n">
        <f aca="false">AJ9*x_R_PIT</f>
        <v>32939973.0975297</v>
      </c>
      <c r="AN9" s="0" t="n">
        <f aca="false">AJ9*x_R_FP</f>
        <v>12634124.2645871</v>
      </c>
      <c r="AO9" s="0" t="n">
        <f aca="false">AA9+AB9+AC9+AD9+AF9</f>
        <v>459085460.23777</v>
      </c>
      <c r="AP9" s="0" t="n">
        <f aca="false">AO9+AE9+AG9+AH9+AI9+AK9+AL9+AM9+AN9</f>
        <v>741097945.21104</v>
      </c>
      <c r="AQ9" s="0" t="n">
        <f aca="false">AO9+AE9+AG9+AJ9</f>
        <v>954541313.750988</v>
      </c>
      <c r="AR9" s="0" t="n">
        <f aca="false">AB9+AC9+AD9+AF9</f>
        <v>165961630.313839</v>
      </c>
      <c r="AS9" s="0" t="n">
        <f aca="false">AR9+AE9+AG9</f>
        <v>165961630.313839</v>
      </c>
    </row>
    <row r="10" customFormat="false" ht="15" hidden="false" customHeight="false" outlineLevel="0" collapsed="false">
      <c r="A10" s="0" t="n">
        <v>2033</v>
      </c>
      <c r="B10" s="0" t="n">
        <v>7</v>
      </c>
      <c r="C10" s="0" t="n">
        <v>5794.336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2624.794</v>
      </c>
      <c r="I10" s="0" t="n">
        <v>362.088</v>
      </c>
      <c r="J10" s="0" t="n">
        <v>1663.534</v>
      </c>
      <c r="K10" s="0" t="n">
        <v>2325.26</v>
      </c>
      <c r="L10" s="0" t="n">
        <v>1383.353</v>
      </c>
      <c r="M10" s="0" t="n">
        <v>40467.133</v>
      </c>
      <c r="N10" s="0" t="n">
        <v>4360.616</v>
      </c>
      <c r="O10" s="0" t="n">
        <v>88.824</v>
      </c>
      <c r="P10" s="0" t="n">
        <v>87.966</v>
      </c>
      <c r="Q10" s="0" t="n">
        <v>2286.548</v>
      </c>
      <c r="R10" s="0" t="n">
        <v>1716.794</v>
      </c>
      <c r="S10" s="0" t="n">
        <v>4249.164</v>
      </c>
      <c r="T10" s="0" t="n">
        <v>2986.882</v>
      </c>
      <c r="U10" s="0" t="n">
        <v>1967.143</v>
      </c>
      <c r="V10" s="0" t="n">
        <v>123271.538</v>
      </c>
      <c r="W10" s="0" t="n">
        <v>336.24</v>
      </c>
      <c r="X10" s="0" t="n">
        <v>720.908</v>
      </c>
      <c r="Y10" s="0" t="n">
        <v>88.824</v>
      </c>
      <c r="Z10" s="0" t="n">
        <v>868.031</v>
      </c>
      <c r="AA10" s="0" t="n">
        <f aca="false">H10*x_c_F+I10*x_c_CC+J10*x_c_DC+K10*x_c_HCC+L10*x_c_PLT+M10*x_c_SVRn+N10*x_c_SVRcc+O10*x_c_LT+P10*x_c_LT1</f>
        <v>301330159.667733</v>
      </c>
      <c r="AB10" s="0" t="n">
        <f aca="false">C10*x_c_DAA</f>
        <v>131879087.36</v>
      </c>
      <c r="AC10" s="0" t="n">
        <f aca="false">C10*x_c_MON</f>
        <v>33405099.6441718</v>
      </c>
      <c r="AD10" s="0" t="n">
        <f aca="false">D10*(1-x_testy)</f>
        <v>0</v>
      </c>
      <c r="AE10" s="0" t="n">
        <f aca="false">E10*(1-x_testy)</f>
        <v>0</v>
      </c>
      <c r="AF10" s="0" t="n">
        <f aca="false">F10*x_NAV</f>
        <v>0</v>
      </c>
      <c r="AG10" s="0" t="n">
        <f aca="false">G10*x_FIX*(1-x_testy)</f>
        <v>0</v>
      </c>
      <c r="AH10" s="0" t="n">
        <f aca="false">x_z_F*U10+(1-x_AGRI)*x_EMP*x_WLOSS*(x_PEN_K74*Q10+x_PEN_C22*R10)</f>
        <v>39911428.7652336</v>
      </c>
      <c r="AI10" s="0" t="n">
        <f aca="false">x_AGRI*x_EMP*x_WLOSS*(x_PEN_K74*Q10+x_PEN_C22*R10)</f>
        <v>2370754.05167624</v>
      </c>
      <c r="AJ10" s="0" t="n">
        <f aca="false">x_EMP*x_WAGE*(x_WLOSS*(Q10+R10)+S10)+U10*x_ABS_D*x_WAGE/365</f>
        <v>552448810.174826</v>
      </c>
      <c r="AK10" s="0" t="n">
        <f aca="false">AJ10*x_R_FUS</f>
        <v>174794803.539315</v>
      </c>
      <c r="AL10" s="0" t="n">
        <f aca="false">AJ10*x_R_NFZ</f>
        <v>42903727.0469871</v>
      </c>
      <c r="AM10" s="0" t="n">
        <f aca="false">AJ10*x_R_PIT</f>
        <v>36729102.7361645</v>
      </c>
      <c r="AN10" s="0" t="n">
        <f aca="false">AJ10*x_R_FP</f>
        <v>14087444.6594581</v>
      </c>
      <c r="AO10" s="0" t="n">
        <f aca="false">AA10+AB10+AC10+AD10+AF10</f>
        <v>466614346.671905</v>
      </c>
      <c r="AP10" s="0" t="n">
        <f aca="false">AO10+AE10+AG10+AH10+AI10+AK10+AL10+AM10+AN10</f>
        <v>777411607.470739</v>
      </c>
      <c r="AQ10" s="0" t="n">
        <f aca="false">AO10+AE10+AG10+AJ10</f>
        <v>1019063156.84673</v>
      </c>
      <c r="AR10" s="0" t="n">
        <f aca="false">AB10+AC10+AD10+AF10</f>
        <v>165284187.004172</v>
      </c>
      <c r="AS10" s="0" t="n">
        <f aca="false">AR10+AE10+AG10</f>
        <v>165284187.004172</v>
      </c>
    </row>
    <row r="11" customFormat="false" ht="15" hidden="false" customHeight="false" outlineLevel="0" collapsed="false">
      <c r="A11" s="0" t="n">
        <v>2034</v>
      </c>
      <c r="B11" s="0" t="n">
        <v>8</v>
      </c>
      <c r="C11" s="0" t="n">
        <v>5771.478</v>
      </c>
      <c r="D11" s="0" t="n">
        <v>0</v>
      </c>
      <c r="E11" s="0" t="n">
        <v>0</v>
      </c>
      <c r="F11" s="0" t="n">
        <v>0</v>
      </c>
      <c r="G11" s="0" t="n">
        <v>0</v>
      </c>
      <c r="H11" s="0" t="n">
        <v>2600.551</v>
      </c>
      <c r="I11" s="0" t="n">
        <v>372.034</v>
      </c>
      <c r="J11" s="0" t="n">
        <v>1694.731</v>
      </c>
      <c r="K11" s="0" t="n">
        <v>2369.745</v>
      </c>
      <c r="L11" s="0" t="n">
        <v>1368.371</v>
      </c>
      <c r="M11" s="0" t="n">
        <v>44765.408</v>
      </c>
      <c r="N11" s="0" t="n">
        <v>4923.783</v>
      </c>
      <c r="O11" s="0" t="n">
        <v>90.507</v>
      </c>
      <c r="P11" s="0" t="n">
        <v>89.665</v>
      </c>
      <c r="Q11" s="0" t="n">
        <v>2331.126</v>
      </c>
      <c r="R11" s="0" t="n">
        <v>1775.796</v>
      </c>
      <c r="S11" s="0" t="n">
        <v>4875.859</v>
      </c>
      <c r="T11" s="0" t="n">
        <v>2972.586</v>
      </c>
      <c r="U11" s="0" t="n">
        <v>1995.845</v>
      </c>
      <c r="V11" s="0" t="n">
        <v>124743.854</v>
      </c>
      <c r="W11" s="0" t="n">
        <v>341.776</v>
      </c>
      <c r="X11" s="0" t="n">
        <v>728.242</v>
      </c>
      <c r="Y11" s="0" t="n">
        <v>90.507</v>
      </c>
      <c r="Z11" s="0" t="n">
        <v>883.284</v>
      </c>
      <c r="AA11" s="0" t="n">
        <f aca="false">H11*x_c_F+I11*x_c_CC+J11*x_c_DC+K11*x_c_HCC+L11*x_c_PLT+M11*x_c_SVRn+N11*x_c_SVRcc+O11*x_c_LT+P11*x_c_LT1</f>
        <v>309029603.187289</v>
      </c>
      <c r="AB11" s="0" t="n">
        <f aca="false">C11*x_c_DAA</f>
        <v>131358839.28</v>
      </c>
      <c r="AC11" s="0" t="n">
        <f aca="false">C11*x_c_MON</f>
        <v>33273320.3052335</v>
      </c>
      <c r="AD11" s="0" t="n">
        <f aca="false">D11*(1-x_testy)</f>
        <v>0</v>
      </c>
      <c r="AE11" s="0" t="n">
        <f aca="false">E11*(1-x_testy)</f>
        <v>0</v>
      </c>
      <c r="AF11" s="0" t="n">
        <f aca="false">F11*x_NAV</f>
        <v>0</v>
      </c>
      <c r="AG11" s="0" t="n">
        <f aca="false">G11*x_FIX*(1-x_testy)</f>
        <v>0</v>
      </c>
      <c r="AH11" s="0" t="n">
        <f aca="false">x_z_F*U11+(1-x_AGRI)*x_EMP*x_WLOSS*(x_PEN_K74*Q11+x_PEN_C22*R11)</f>
        <v>40915286.6185498</v>
      </c>
      <c r="AI11" s="0" t="n">
        <f aca="false">x_AGRI*x_EMP*x_WLOSS*(x_PEN_K74*Q11+x_PEN_C22*R11)</f>
        <v>2433206.81843857</v>
      </c>
      <c r="AJ11" s="0" t="n">
        <f aca="false">x_EMP*x_WAGE*(x_WLOSS*(Q11+R11)+S11)+U11*x_ABS_D*x_WAGE/365</f>
        <v>610736099.783879</v>
      </c>
      <c r="AK11" s="0" t="n">
        <f aca="false">AJ11*x_R_FUS</f>
        <v>193236901.971619</v>
      </c>
      <c r="AL11" s="0" t="n">
        <f aca="false">AJ11*x_R_NFZ</f>
        <v>47430376.2453158</v>
      </c>
      <c r="AM11" s="0" t="n">
        <f aca="false">AJ11*x_R_PIT</f>
        <v>40604285.0314906</v>
      </c>
      <c r="AN11" s="0" t="n">
        <f aca="false">AJ11*x_R_FP</f>
        <v>15573770.5444889</v>
      </c>
      <c r="AO11" s="0" t="n">
        <f aca="false">AA11+AB11+AC11+AD11+AF11</f>
        <v>473661762.772522</v>
      </c>
      <c r="AP11" s="0" t="n">
        <f aca="false">AO11+AE11+AG11+AH11+AI11+AK11+AL11+AM11+AN11</f>
        <v>813855590.002425</v>
      </c>
      <c r="AQ11" s="0" t="n">
        <f aca="false">AO11+AE11+AG11+AJ11</f>
        <v>1084397862.5564</v>
      </c>
      <c r="AR11" s="0" t="n">
        <f aca="false">AB11+AC11+AD11+AF11</f>
        <v>164632159.585234</v>
      </c>
      <c r="AS11" s="0" t="n">
        <f aca="false">AR11+AE11+AG11</f>
        <v>164632159.585234</v>
      </c>
    </row>
    <row r="12" customFormat="false" ht="15" hidden="false" customHeight="false" outlineLevel="0" collapsed="false">
      <c r="A12" s="0" t="n">
        <v>2035</v>
      </c>
      <c r="B12" s="0" t="n">
        <v>9</v>
      </c>
      <c r="C12" s="0" t="n">
        <v>5749.441</v>
      </c>
      <c r="D12" s="0" t="n">
        <v>0</v>
      </c>
      <c r="E12" s="0" t="n">
        <v>0</v>
      </c>
      <c r="F12" s="0" t="n">
        <v>0</v>
      </c>
      <c r="G12" s="0" t="n">
        <v>0</v>
      </c>
      <c r="H12" s="0" t="n">
        <v>2385.961</v>
      </c>
      <c r="I12" s="0" t="n">
        <v>351.048</v>
      </c>
      <c r="J12" s="0" t="n">
        <v>1723.476</v>
      </c>
      <c r="K12" s="0" t="n">
        <v>2405.23</v>
      </c>
      <c r="L12" s="0" t="n">
        <v>1354.337</v>
      </c>
      <c r="M12" s="0" t="n">
        <v>48569.026</v>
      </c>
      <c r="N12" s="0" t="n">
        <v>5423.914</v>
      </c>
      <c r="O12" s="0" t="n">
        <v>92.046</v>
      </c>
      <c r="P12" s="0" t="n">
        <v>91.276</v>
      </c>
      <c r="Q12" s="0" t="n">
        <v>2376.365</v>
      </c>
      <c r="R12" s="0" t="n">
        <v>1829.777</v>
      </c>
      <c r="S12" s="0" t="n">
        <v>5516.675</v>
      </c>
      <c r="T12" s="0" t="n">
        <v>2737.009</v>
      </c>
      <c r="U12" s="0" t="n">
        <v>1869.997</v>
      </c>
      <c r="V12" s="0" t="n">
        <v>126189.064</v>
      </c>
      <c r="W12" s="0" t="n">
        <v>345.268</v>
      </c>
      <c r="X12" s="0" t="n">
        <v>731.739</v>
      </c>
      <c r="Y12" s="0" t="n">
        <v>92.046</v>
      </c>
      <c r="Z12" s="0" t="n">
        <v>896.16</v>
      </c>
      <c r="AA12" s="0" t="n">
        <f aca="false">H12*x_c_F+I12*x_c_CC+J12*x_c_DC+K12*x_c_HCC+L12*x_c_PLT+M12*x_c_SVRn+N12*x_c_SVRcc+O12*x_c_LT+P12*x_c_LT1</f>
        <v>314888813.473576</v>
      </c>
      <c r="AB12" s="0" t="n">
        <f aca="false">C12*x_c_DAA</f>
        <v>130857277.16</v>
      </c>
      <c r="AC12" s="0" t="n">
        <f aca="false">C12*x_c_MON</f>
        <v>33146274.1379317</v>
      </c>
      <c r="AD12" s="0" t="n">
        <f aca="false">D12*(1-x_testy)</f>
        <v>0</v>
      </c>
      <c r="AE12" s="0" t="n">
        <f aca="false">E12*(1-x_testy)</f>
        <v>0</v>
      </c>
      <c r="AF12" s="0" t="n">
        <f aca="false">F12*x_NAV</f>
        <v>0</v>
      </c>
      <c r="AG12" s="0" t="n">
        <f aca="false">G12*x_FIX*(1-x_testy)</f>
        <v>0</v>
      </c>
      <c r="AH12" s="0" t="n">
        <f aca="false">x_z_F*U12+(1-x_AGRI)*x_EMP*x_WLOSS*(x_PEN_K74*Q12+x_PEN_C22*R12)</f>
        <v>41558705.4016566</v>
      </c>
      <c r="AI12" s="0" t="n">
        <f aca="false">x_AGRI*x_EMP*x_WLOSS*(x_PEN_K74*Q12+x_PEN_C22*R12)</f>
        <v>2492837.03327667</v>
      </c>
      <c r="AJ12" s="0" t="n">
        <f aca="false">x_EMP*x_WAGE*(x_WLOSS*(Q12+R12)+S12)+U12*x_ABS_D*x_WAGE/365</f>
        <v>669572571.90951</v>
      </c>
      <c r="AK12" s="0" t="n">
        <f aca="false">AJ12*x_R_FUS</f>
        <v>211852761.752169</v>
      </c>
      <c r="AL12" s="0" t="n">
        <f aca="false">AJ12*x_R_NFZ</f>
        <v>51999675.5070644</v>
      </c>
      <c r="AM12" s="0" t="n">
        <f aca="false">AJ12*x_R_PIT</f>
        <v>44515979.2727216</v>
      </c>
      <c r="AN12" s="0" t="n">
        <f aca="false">AJ12*x_R_FP</f>
        <v>17074100.5836925</v>
      </c>
      <c r="AO12" s="0" t="n">
        <f aca="false">AA12+AB12+AC12+AD12+AF12</f>
        <v>478892364.771508</v>
      </c>
      <c r="AP12" s="0" t="n">
        <f aca="false">AO12+AE12+AG12+AH12+AI12+AK12+AL12+AM12+AN12</f>
        <v>848386424.322088</v>
      </c>
      <c r="AQ12" s="0" t="n">
        <f aca="false">AO12+AE12+AG12+AJ12</f>
        <v>1148464936.68102</v>
      </c>
      <c r="AR12" s="0" t="n">
        <f aca="false">AB12+AC12+AD12+AF12</f>
        <v>164003551.297932</v>
      </c>
      <c r="AS12" s="0" t="n">
        <f aca="false">AR12+AE12+AG12</f>
        <v>164003551.297932</v>
      </c>
    </row>
    <row r="13" customFormat="false" ht="15" hidden="false" customHeight="false" outlineLevel="0" collapsed="false">
      <c r="A13" s="0" t="n">
        <v>2036</v>
      </c>
      <c r="B13" s="0" t="n">
        <v>10</v>
      </c>
      <c r="C13" s="0" t="n">
        <v>4832</v>
      </c>
      <c r="D13" s="0" t="n">
        <v>0</v>
      </c>
      <c r="E13" s="0" t="n">
        <v>0</v>
      </c>
      <c r="F13" s="0" t="n">
        <v>0</v>
      </c>
      <c r="G13" s="0" t="n">
        <v>0</v>
      </c>
      <c r="H13" s="0" t="n">
        <v>2179.467</v>
      </c>
      <c r="I13" s="0" t="n">
        <v>328.207</v>
      </c>
      <c r="J13" s="0" t="n">
        <v>1748.97</v>
      </c>
      <c r="K13" s="0" t="n">
        <v>2432.161</v>
      </c>
      <c r="L13" s="0" t="n">
        <v>1341.041</v>
      </c>
      <c r="M13" s="0" t="n">
        <v>51894.071</v>
      </c>
      <c r="N13" s="0" t="n">
        <v>5857.994</v>
      </c>
      <c r="O13" s="0" t="n">
        <v>93.343</v>
      </c>
      <c r="P13" s="0" t="n">
        <v>92.695</v>
      </c>
      <c r="Q13" s="0" t="n">
        <v>2421.485</v>
      </c>
      <c r="R13" s="0" t="n">
        <v>1878.969</v>
      </c>
      <c r="S13" s="0" t="n">
        <v>6169.167</v>
      </c>
      <c r="T13" s="0" t="n">
        <v>2507.674</v>
      </c>
      <c r="U13" s="0" t="n">
        <v>1744.035</v>
      </c>
      <c r="V13" s="0" t="n">
        <v>127599.92</v>
      </c>
      <c r="W13" s="0" t="n">
        <v>348.601</v>
      </c>
      <c r="X13" s="0" t="n">
        <v>735.048</v>
      </c>
      <c r="Y13" s="0" t="n">
        <v>93.343</v>
      </c>
      <c r="Z13" s="0" t="n">
        <v>905.957</v>
      </c>
      <c r="AA13" s="0" t="n">
        <f aca="false">H13*x_c_F+I13*x_c_CC+J13*x_c_DC+K13*x_c_HCC+L13*x_c_PLT+M13*x_c_SVRn+N13*x_c_SVRcc+O13*x_c_LT+P13*x_c_LT1</f>
        <v>319622688.594741</v>
      </c>
      <c r="AB13" s="0" t="n">
        <f aca="false">C13*x_c_DAA</f>
        <v>109976320</v>
      </c>
      <c r="AC13" s="0" t="n">
        <f aca="false">C13*x_c_MON</f>
        <v>27857107.6100244</v>
      </c>
      <c r="AD13" s="0" t="n">
        <f aca="false">D13*(1-x_testy)</f>
        <v>0</v>
      </c>
      <c r="AE13" s="0" t="n">
        <f aca="false">E13*(1-x_testy)</f>
        <v>0</v>
      </c>
      <c r="AF13" s="0" t="n">
        <f aca="false">F13*x_NAV</f>
        <v>0</v>
      </c>
      <c r="AG13" s="0" t="n">
        <f aca="false">G13*x_FIX*(1-x_testy)</f>
        <v>0</v>
      </c>
      <c r="AH13" s="0" t="n">
        <f aca="false">x_z_F*U13+(1-x_AGRI)*x_EMP*x_WLOSS*(x_PEN_K74*Q13+x_PEN_C22*R13)</f>
        <v>42154817.0411907</v>
      </c>
      <c r="AI13" s="0" t="n">
        <f aca="false">x_AGRI*x_EMP*x_WLOSS*(x_PEN_K74*Q13+x_PEN_C22*R13)</f>
        <v>2549355.82815075</v>
      </c>
      <c r="AJ13" s="0" t="n">
        <f aca="false">x_EMP*x_WAGE*(x_WLOSS*(Q13+R13)+S13)+U13*x_ABS_D*x_WAGE/365</f>
        <v>729178159.388666</v>
      </c>
      <c r="AK13" s="0" t="n">
        <f aca="false">AJ13*x_R_FUS</f>
        <v>230711969.630574</v>
      </c>
      <c r="AL13" s="0" t="n">
        <f aca="false">AJ13*x_R_NFZ</f>
        <v>56628705.0362832</v>
      </c>
      <c r="AM13" s="0" t="n">
        <f aca="false">AJ13*x_R_PIT</f>
        <v>48478807.5128233</v>
      </c>
      <c r="AN13" s="0" t="n">
        <f aca="false">AJ13*x_R_FP</f>
        <v>18594043.064411</v>
      </c>
      <c r="AO13" s="0" t="n">
        <f aca="false">AA13+AB13+AC13+AD13+AF13</f>
        <v>457456116.204765</v>
      </c>
      <c r="AP13" s="0" t="n">
        <f aca="false">AO13+AE13+AG13+AH13+AI13+AK13+AL13+AM13+AN13</f>
        <v>856573814.318198</v>
      </c>
      <c r="AQ13" s="0" t="n">
        <f aca="false">AO13+AE13+AG13+AJ13</f>
        <v>1186634275.59343</v>
      </c>
      <c r="AR13" s="0" t="n">
        <f aca="false">AB13+AC13+AD13+AF13</f>
        <v>137833427.610024</v>
      </c>
      <c r="AS13" s="0" t="n">
        <f aca="false">AR13+AE13+AG13</f>
        <v>137833427.610024</v>
      </c>
    </row>
    <row r="14" customFormat="false" ht="15" hidden="false" customHeight="false" outlineLevel="0" collapsed="false">
      <c r="A14" s="0" t="n">
        <v>2037</v>
      </c>
      <c r="B14" s="0" t="n">
        <v>11</v>
      </c>
      <c r="C14" s="0" t="n">
        <v>4832</v>
      </c>
      <c r="D14" s="0" t="n">
        <v>0</v>
      </c>
      <c r="E14" s="0" t="n">
        <v>0</v>
      </c>
      <c r="F14" s="0" t="n">
        <v>0</v>
      </c>
      <c r="G14" s="0" t="n">
        <v>0</v>
      </c>
      <c r="H14" s="0" t="n">
        <v>2173.56</v>
      </c>
      <c r="I14" s="0" t="n">
        <v>332.506</v>
      </c>
      <c r="J14" s="0" t="n">
        <v>1770.619</v>
      </c>
      <c r="K14" s="0" t="n">
        <v>2451.096</v>
      </c>
      <c r="L14" s="0" t="n">
        <v>1328.16</v>
      </c>
      <c r="M14" s="0" t="n">
        <v>55133.251</v>
      </c>
      <c r="N14" s="0" t="n">
        <v>6279.823</v>
      </c>
      <c r="O14" s="0" t="n">
        <v>94.435</v>
      </c>
      <c r="P14" s="0" t="n">
        <v>93.889</v>
      </c>
      <c r="Q14" s="0" t="n">
        <v>2465.831</v>
      </c>
      <c r="R14" s="0" t="n">
        <v>1923.7</v>
      </c>
      <c r="S14" s="0" t="n">
        <v>6830.695</v>
      </c>
      <c r="T14" s="0" t="n">
        <v>2506.066</v>
      </c>
      <c r="U14" s="0" t="n">
        <v>1770.974</v>
      </c>
      <c r="V14" s="0" t="n">
        <v>128991.798</v>
      </c>
      <c r="W14" s="0" t="n">
        <v>350.072</v>
      </c>
      <c r="X14" s="0" t="n">
        <v>735.055</v>
      </c>
      <c r="Y14" s="0" t="n">
        <v>94.435</v>
      </c>
      <c r="Z14" s="0" t="n">
        <v>913.357</v>
      </c>
      <c r="AA14" s="0" t="n">
        <f aca="false">H14*x_c_F+I14*x_c_CC+J14*x_c_DC+K14*x_c_HCC+L14*x_c_PLT+M14*x_c_SVRn+N14*x_c_SVRcc+O14*x_c_LT+P14*x_c_LT1</f>
        <v>324371152.816411</v>
      </c>
      <c r="AB14" s="0" t="n">
        <f aca="false">C14*x_c_DAA</f>
        <v>109976320</v>
      </c>
      <c r="AC14" s="0" t="n">
        <f aca="false">C14*x_c_MON</f>
        <v>27857107.6100244</v>
      </c>
      <c r="AD14" s="0" t="n">
        <f aca="false">D14*(1-x_testy)</f>
        <v>0</v>
      </c>
      <c r="AE14" s="0" t="n">
        <f aca="false">E14*(1-x_testy)</f>
        <v>0</v>
      </c>
      <c r="AF14" s="0" t="n">
        <f aca="false">F14*x_NAV</f>
        <v>0</v>
      </c>
      <c r="AG14" s="0" t="n">
        <f aca="false">G14*x_FIX*(1-x_testy)</f>
        <v>0</v>
      </c>
      <c r="AH14" s="0" t="n">
        <f aca="false">x_z_F*U14+(1-x_AGRI)*x_EMP*x_WLOSS*(x_PEN_K74*Q14+x_PEN_C22*R14)</f>
        <v>43015813.4809665</v>
      </c>
      <c r="AI14" s="0" t="n">
        <f aca="false">x_AGRI*x_EMP*x_WLOSS*(x_PEN_K74*Q14+x_PEN_C22*R14)</f>
        <v>2602605.30346126</v>
      </c>
      <c r="AJ14" s="0" t="n">
        <f aca="false">x_EMP*x_WAGE*(x_WLOSS*(Q14+R14)+S14)+U14*x_ABS_D*x_WAGE/365</f>
        <v>789762174.027359</v>
      </c>
      <c r="AK14" s="0" t="n">
        <f aca="false">AJ14*x_R_FUS</f>
        <v>249880751.862257</v>
      </c>
      <c r="AL14" s="0" t="n">
        <f aca="false">AJ14*x_R_NFZ</f>
        <v>61333720.1971388</v>
      </c>
      <c r="AM14" s="0" t="n">
        <f aca="false">AJ14*x_R_PIT</f>
        <v>52506685.6742944</v>
      </c>
      <c r="AN14" s="0" t="n">
        <f aca="false">AJ14*x_R_FP</f>
        <v>20138935.4376977</v>
      </c>
      <c r="AO14" s="0" t="n">
        <f aca="false">AA14+AB14+AC14+AD14+AF14</f>
        <v>462204580.426435</v>
      </c>
      <c r="AP14" s="0" t="n">
        <f aca="false">AO14+AE14+AG14+AH14+AI14+AK14+AL14+AM14+AN14</f>
        <v>891683092.38225</v>
      </c>
      <c r="AQ14" s="0" t="n">
        <f aca="false">AO14+AE14+AG14+AJ14</f>
        <v>1251966754.45379</v>
      </c>
      <c r="AR14" s="0" t="n">
        <f aca="false">AB14+AC14+AD14+AF14</f>
        <v>137833427.610024</v>
      </c>
      <c r="AS14" s="0" t="n">
        <f aca="false">AR14+AE14+AG14</f>
        <v>137833427.610024</v>
      </c>
    </row>
    <row r="15" customFormat="false" ht="15" hidden="false" customHeight="false" outlineLevel="0" collapsed="false">
      <c r="A15" s="0" t="n">
        <v>2038</v>
      </c>
      <c r="B15" s="0" t="n">
        <v>12</v>
      </c>
      <c r="C15" s="0" t="n">
        <v>4832</v>
      </c>
      <c r="D15" s="0" t="n">
        <v>0</v>
      </c>
      <c r="E15" s="0" t="n">
        <v>0</v>
      </c>
      <c r="F15" s="0" t="n">
        <v>0</v>
      </c>
      <c r="G15" s="0" t="n">
        <v>0</v>
      </c>
      <c r="H15" s="0" t="n">
        <v>2169.397</v>
      </c>
      <c r="I15" s="0" t="n">
        <v>335.065</v>
      </c>
      <c r="J15" s="0" t="n">
        <v>1787.128</v>
      </c>
      <c r="K15" s="0" t="n">
        <v>2460.989</v>
      </c>
      <c r="L15" s="0" t="n">
        <v>1315.361</v>
      </c>
      <c r="M15" s="0" t="n">
        <v>58286.392</v>
      </c>
      <c r="N15" s="0" t="n">
        <v>6684.999</v>
      </c>
      <c r="O15" s="0" t="n">
        <v>95.246</v>
      </c>
      <c r="P15" s="0" t="n">
        <v>94.841</v>
      </c>
      <c r="Q15" s="0" t="n">
        <v>1628.643</v>
      </c>
      <c r="R15" s="0" t="n">
        <v>1286.627</v>
      </c>
      <c r="S15" s="0" t="n">
        <v>4760.62</v>
      </c>
      <c r="T15" s="0" t="n">
        <v>2504.462</v>
      </c>
      <c r="U15" s="0" t="n">
        <v>1513.315</v>
      </c>
      <c r="V15" s="0" t="n">
        <v>130358.243</v>
      </c>
      <c r="W15" s="0" t="n">
        <v>349.759</v>
      </c>
      <c r="X15" s="0" t="n">
        <v>731.955</v>
      </c>
      <c r="Y15" s="0" t="n">
        <v>95.246</v>
      </c>
      <c r="Z15" s="0" t="n">
        <v>917.823</v>
      </c>
      <c r="AA15" s="0" t="n">
        <f aca="false">H15*x_c_F+I15*x_c_CC+J15*x_c_DC+K15*x_c_HCC+L15*x_c_PLT+M15*x_c_SVRn+N15*x_c_SVRcc+O15*x_c_LT+P15*x_c_LT1</f>
        <v>328250409.686098</v>
      </c>
      <c r="AB15" s="0" t="n">
        <f aca="false">C15*x_c_DAA</f>
        <v>109976320</v>
      </c>
      <c r="AC15" s="0" t="n">
        <f aca="false">C15*x_c_MON</f>
        <v>27857107.6100244</v>
      </c>
      <c r="AD15" s="0" t="n">
        <f aca="false">D15*(1-x_testy)</f>
        <v>0</v>
      </c>
      <c r="AE15" s="0" t="n">
        <f aca="false">E15*(1-x_testy)</f>
        <v>0</v>
      </c>
      <c r="AF15" s="0" t="n">
        <f aca="false">F15*x_NAV</f>
        <v>0</v>
      </c>
      <c r="AG15" s="0" t="n">
        <f aca="false">G15*x_FIX*(1-x_testy)</f>
        <v>0</v>
      </c>
      <c r="AH15" s="0" t="n">
        <f aca="false">x_z_F*U15+(1-x_AGRI)*x_EMP*x_WLOSS*(x_PEN_K74*Q15+x_PEN_C22*R15)</f>
        <v>29272120.953512</v>
      </c>
      <c r="AI15" s="0" t="n">
        <f aca="false">x_AGRI*x_EMP*x_WLOSS*(x_PEN_K74*Q15+x_PEN_C22*R15)</f>
        <v>1729186.84845755</v>
      </c>
      <c r="AJ15" s="0" t="n">
        <f aca="false">x_EMP*x_WAGE*(x_WLOSS*(Q15+R15)+S15)+U15*x_ABS_D*x_WAGE/365</f>
        <v>544608630.473957</v>
      </c>
      <c r="AK15" s="0" t="n">
        <f aca="false">AJ15*x_R_FUS</f>
        <v>172314170.68196</v>
      </c>
      <c r="AL15" s="0" t="n">
        <f aca="false">AJ15*x_R_NFZ</f>
        <v>42294850.851238</v>
      </c>
      <c r="AM15" s="0" t="n">
        <f aca="false">AJ15*x_R_PIT</f>
        <v>36207854.8659553</v>
      </c>
      <c r="AN15" s="0" t="n">
        <f aca="false">AJ15*x_R_FP</f>
        <v>13887520.0770859</v>
      </c>
      <c r="AO15" s="0" t="n">
        <f aca="false">AA15+AB15+AC15+AD15+AF15</f>
        <v>466083837.296123</v>
      </c>
      <c r="AP15" s="0" t="n">
        <f aca="false">AO15+AE15+AG15+AH15+AI15+AK15+AL15+AM15+AN15</f>
        <v>761789541.574331</v>
      </c>
      <c r="AQ15" s="0" t="n">
        <f aca="false">AO15+AE15+AG15+AJ15</f>
        <v>1010692467.77008</v>
      </c>
      <c r="AR15" s="0" t="n">
        <f aca="false">AB15+AC15+AD15+AF15</f>
        <v>137833427.610024</v>
      </c>
      <c r="AS15" s="0" t="n">
        <f aca="false">AR15+AE15+AG15</f>
        <v>137833427.610024</v>
      </c>
    </row>
    <row r="16" customFormat="false" ht="15" hidden="false" customHeight="false" outlineLevel="0" collapsed="false">
      <c r="A16" s="0" t="n">
        <v>2039</v>
      </c>
      <c r="B16" s="0" t="n">
        <v>13</v>
      </c>
      <c r="C16" s="0" t="n">
        <v>4832</v>
      </c>
      <c r="D16" s="0" t="n">
        <v>0</v>
      </c>
      <c r="E16" s="0" t="n">
        <v>0</v>
      </c>
      <c r="F16" s="0" t="n">
        <v>0</v>
      </c>
      <c r="G16" s="0" t="n">
        <v>0</v>
      </c>
      <c r="H16" s="0" t="n">
        <v>2166.915</v>
      </c>
      <c r="I16" s="0" t="n">
        <v>335.946</v>
      </c>
      <c r="J16" s="0" t="n">
        <v>1797.537</v>
      </c>
      <c r="K16" s="0" t="n">
        <v>2461.324</v>
      </c>
      <c r="L16" s="0" t="n">
        <v>1302.292</v>
      </c>
      <c r="M16" s="0" t="n">
        <v>61352.813</v>
      </c>
      <c r="N16" s="0" t="n">
        <v>7069.223</v>
      </c>
      <c r="O16" s="0" t="n">
        <v>95.726</v>
      </c>
      <c r="P16" s="0" t="n">
        <v>95.486</v>
      </c>
      <c r="Q16" s="0" t="n">
        <v>781.315</v>
      </c>
      <c r="R16" s="0" t="n">
        <v>641.293</v>
      </c>
      <c r="S16" s="0" t="n">
        <v>2473.576</v>
      </c>
      <c r="T16" s="0" t="n">
        <v>2502.861</v>
      </c>
      <c r="U16" s="0" t="n">
        <v>1270.308</v>
      </c>
      <c r="V16" s="0" t="n">
        <v>131693.21</v>
      </c>
      <c r="W16" s="0" t="n">
        <v>347.778</v>
      </c>
      <c r="X16" s="0" t="n">
        <v>725.992</v>
      </c>
      <c r="Y16" s="0" t="n">
        <v>95.726</v>
      </c>
      <c r="Z16" s="0" t="n">
        <v>919.023</v>
      </c>
      <c r="AA16" s="0" t="n">
        <f aca="false">H16*x_c_F+I16*x_c_CC+J16*x_c_DC+K16*x_c_HCC+L16*x_c_PLT+M16*x_c_SVRn+N16*x_c_SVRcc+O16*x_c_LT+P16*x_c_LT1</f>
        <v>331167211.740366</v>
      </c>
      <c r="AB16" s="0" t="n">
        <f aca="false">C16*x_c_DAA</f>
        <v>109976320</v>
      </c>
      <c r="AC16" s="0" t="n">
        <f aca="false">C16*x_c_MON</f>
        <v>27857107.6100244</v>
      </c>
      <c r="AD16" s="0" t="n">
        <f aca="false">D16*(1-x_testy)</f>
        <v>0</v>
      </c>
      <c r="AE16" s="0" t="n">
        <f aca="false">E16*(1-x_testy)</f>
        <v>0</v>
      </c>
      <c r="AF16" s="0" t="n">
        <f aca="false">F16*x_NAV</f>
        <v>0</v>
      </c>
      <c r="AG16" s="0" t="n">
        <f aca="false">G16*x_FIX*(1-x_testy)</f>
        <v>0</v>
      </c>
      <c r="AH16" s="0" t="n">
        <f aca="false">x_z_F*U16+(1-x_AGRI)*x_EMP*x_WLOSS*(x_PEN_K74*Q16+x_PEN_C22*R16)</f>
        <v>15393263.5336849</v>
      </c>
      <c r="AI16" s="0" t="n">
        <f aca="false">x_AGRI*x_EMP*x_WLOSS*(x_PEN_K74*Q16+x_PEN_C22*R16)</f>
        <v>844843.195115219</v>
      </c>
      <c r="AJ16" s="0" t="n">
        <f aca="false">x_EMP*x_WAGE*(x_WLOSS*(Q16+R16)+S16)+U16*x_ABS_D*x_WAGE/365</f>
        <v>280151733.714856</v>
      </c>
      <c r="AK16" s="0" t="n">
        <f aca="false">AJ16*x_R_FUS</f>
        <v>88640008.5473805</v>
      </c>
      <c r="AL16" s="0" t="n">
        <f aca="false">AJ16*x_R_NFZ</f>
        <v>21756863.7920294</v>
      </c>
      <c r="AM16" s="0" t="n">
        <f aca="false">AJ16*x_R_PIT</f>
        <v>18625656.5672959</v>
      </c>
      <c r="AN16" s="0" t="n">
        <f aca="false">AJ16*x_R_FP</f>
        <v>7143869.20972883</v>
      </c>
      <c r="AO16" s="0" t="n">
        <f aca="false">AA16+AB16+AC16+AD16+AF16</f>
        <v>469000639.35039</v>
      </c>
      <c r="AP16" s="0" t="n">
        <f aca="false">AO16+AE16+AG16+AH16+AI16+AK16+AL16+AM16+AN16</f>
        <v>621405144.195625</v>
      </c>
      <c r="AQ16" s="0" t="n">
        <f aca="false">AO16+AE16+AG16+AJ16</f>
        <v>749152373.065246</v>
      </c>
      <c r="AR16" s="0" t="n">
        <f aca="false">AB16+AC16+AD16+AF16</f>
        <v>137833427.610024</v>
      </c>
      <c r="AS16" s="0" t="n">
        <f aca="false">AR16+AE16+AG16</f>
        <v>137833427.610024</v>
      </c>
    </row>
    <row r="17" customFormat="false" ht="15" hidden="false" customHeight="false" outlineLevel="0" collapsed="false">
      <c r="A17" s="0" t="n">
        <v>2040</v>
      </c>
      <c r="B17" s="0" t="n">
        <v>14</v>
      </c>
      <c r="C17" s="0" t="n">
        <v>4832</v>
      </c>
      <c r="D17" s="0" t="n">
        <v>0</v>
      </c>
      <c r="E17" s="0" t="n">
        <v>0</v>
      </c>
      <c r="F17" s="0" t="n">
        <v>0</v>
      </c>
      <c r="G17" s="0" t="n">
        <v>0</v>
      </c>
      <c r="H17" s="0" t="n">
        <v>2166.019</v>
      </c>
      <c r="I17" s="0" t="n">
        <v>335.248</v>
      </c>
      <c r="J17" s="0" t="n">
        <v>1801.259</v>
      </c>
      <c r="K17" s="0" t="n">
        <v>2452.098</v>
      </c>
      <c r="L17" s="0" t="n">
        <v>1288.608</v>
      </c>
      <c r="M17" s="0" t="n">
        <v>64332.877</v>
      </c>
      <c r="N17" s="0" t="n">
        <v>7428.632</v>
      </c>
      <c r="O17" s="0" t="n">
        <v>95.846</v>
      </c>
      <c r="P17" s="0" t="n">
        <v>95.786</v>
      </c>
      <c r="Q17" s="0" t="n">
        <v>805.202</v>
      </c>
      <c r="R17" s="0" t="n">
        <v>667.462</v>
      </c>
      <c r="S17" s="0" t="n">
        <v>2709.292</v>
      </c>
      <c r="T17" s="0" t="n">
        <v>2501.268</v>
      </c>
      <c r="U17" s="0" t="n">
        <v>1325.038</v>
      </c>
      <c r="V17" s="0" t="n">
        <v>132993.547</v>
      </c>
      <c r="W17" s="0" t="n">
        <v>344.29</v>
      </c>
      <c r="X17" s="0" t="n">
        <v>717.479</v>
      </c>
      <c r="Y17" s="0" t="n">
        <v>95.846</v>
      </c>
      <c r="Z17" s="0" t="n">
        <v>916.838</v>
      </c>
      <c r="AA17" s="0" t="n">
        <f aca="false">H17*x_c_F+I17*x_c_CC+J17*x_c_DC+K17*x_c_HCC+L17*x_c_PLT+M17*x_c_SVRn+N17*x_c_SVRcc+O17*x_c_LT+P17*x_c_LT1</f>
        <v>333077951.360093</v>
      </c>
      <c r="AB17" s="0" t="n">
        <f aca="false">C17*x_c_DAA</f>
        <v>109976320</v>
      </c>
      <c r="AC17" s="0" t="n">
        <f aca="false">C17*x_c_MON</f>
        <v>27857107.6100244</v>
      </c>
      <c r="AD17" s="0" t="n">
        <f aca="false">D17*(1-x_testy)</f>
        <v>0</v>
      </c>
      <c r="AE17" s="0" t="n">
        <f aca="false">E17*(1-x_testy)</f>
        <v>0</v>
      </c>
      <c r="AF17" s="0" t="n">
        <f aca="false">F17*x_NAV</f>
        <v>0</v>
      </c>
      <c r="AG17" s="0" t="n">
        <f aca="false">G17*x_FIX*(1-x_testy)</f>
        <v>0</v>
      </c>
      <c r="AH17" s="0" t="n">
        <f aca="false">x_z_F*U17+(1-x_AGRI)*x_EMP*x_WLOSS*(x_PEN_K74*Q17+x_PEN_C22*R17)</f>
        <v>15959681.7539056</v>
      </c>
      <c r="AI17" s="0" t="n">
        <f aca="false">x_AGRI*x_EMP*x_WLOSS*(x_PEN_K74*Q17+x_PEN_C22*R17)</f>
        <v>874845.10010845</v>
      </c>
      <c r="AJ17" s="0" t="n">
        <f aca="false">x_EMP*x_WAGE*(x_WLOSS*(Q17+R17)+S17)+U17*x_ABS_D*x_WAGE/365</f>
        <v>302715222.386425</v>
      </c>
      <c r="AK17" s="0" t="n">
        <f aca="false">AJ17*x_R_FUS</f>
        <v>95779096.3630647</v>
      </c>
      <c r="AL17" s="0" t="n">
        <f aca="false">AJ17*x_R_NFZ</f>
        <v>23509166.8857521</v>
      </c>
      <c r="AM17" s="0" t="n">
        <f aca="false">AJ17*x_R_PIT</f>
        <v>20125771.4706877</v>
      </c>
      <c r="AN17" s="0" t="n">
        <f aca="false">AJ17*x_R_FP</f>
        <v>7719238.17085383</v>
      </c>
      <c r="AO17" s="0" t="n">
        <f aca="false">AA17+AB17+AC17+AD17+AF17</f>
        <v>470911378.970118</v>
      </c>
      <c r="AP17" s="0" t="n">
        <f aca="false">AO17+AE17+AG17+AH17+AI17+AK17+AL17+AM17+AN17</f>
        <v>634879178.71449</v>
      </c>
      <c r="AQ17" s="0" t="n">
        <f aca="false">AO17+AE17+AG17+AJ17</f>
        <v>773626601.356542</v>
      </c>
      <c r="AR17" s="0" t="n">
        <f aca="false">AB17+AC17+AD17+AF17</f>
        <v>137833427.610024</v>
      </c>
      <c r="AS17" s="0" t="n">
        <f aca="false">AR17+AE17+AG17</f>
        <v>137833427.610024</v>
      </c>
    </row>
    <row r="18" customFormat="false" ht="15" hidden="false" customHeight="false" outlineLevel="0" collapsed="false">
      <c r="A18" s="0" t="n">
        <v>2041</v>
      </c>
      <c r="B18" s="0" t="n">
        <v>15</v>
      </c>
      <c r="C18" s="0" t="n">
        <v>4832</v>
      </c>
      <c r="D18" s="0" t="n">
        <v>0</v>
      </c>
      <c r="E18" s="0" t="n">
        <v>0</v>
      </c>
      <c r="F18" s="0" t="n">
        <v>0</v>
      </c>
      <c r="G18" s="0" t="n">
        <v>0</v>
      </c>
      <c r="H18" s="0" t="n">
        <v>2166.585</v>
      </c>
      <c r="I18" s="0" t="n">
        <v>333.104</v>
      </c>
      <c r="J18" s="0" t="n">
        <v>1798.118</v>
      </c>
      <c r="K18" s="0" t="n">
        <v>2433.798</v>
      </c>
      <c r="L18" s="0" t="n">
        <v>1274.039</v>
      </c>
      <c r="M18" s="0" t="n">
        <v>67229.653</v>
      </c>
      <c r="N18" s="0" t="n">
        <v>7760.194</v>
      </c>
      <c r="O18" s="0" t="n">
        <v>95.602</v>
      </c>
      <c r="P18" s="0" t="n">
        <v>95.724</v>
      </c>
      <c r="Q18" s="0" t="n">
        <v>830.158</v>
      </c>
      <c r="R18" s="0" t="n">
        <v>694.609</v>
      </c>
      <c r="S18" s="0" t="n">
        <v>2953.497</v>
      </c>
      <c r="T18" s="0" t="n">
        <v>2499.689</v>
      </c>
      <c r="U18" s="0" t="n">
        <v>1378.067</v>
      </c>
      <c r="V18" s="0" t="n">
        <v>134260.916</v>
      </c>
      <c r="W18" s="0" t="n">
        <v>339.494</v>
      </c>
      <c r="X18" s="0" t="n">
        <v>706.793</v>
      </c>
      <c r="Y18" s="0" t="n">
        <v>95.602</v>
      </c>
      <c r="Z18" s="0" t="n">
        <v>911.365</v>
      </c>
      <c r="AA18" s="0" t="n">
        <f aca="false">H18*x_c_F+I18*x_c_CC+J18*x_c_DC+K18*x_c_HCC+L18*x_c_PLT+M18*x_c_SVRn+N18*x_c_SVRcc+O18*x_c_LT+P18*x_c_LT1</f>
        <v>333993240.895119</v>
      </c>
      <c r="AB18" s="0" t="n">
        <f aca="false">C18*x_c_DAA</f>
        <v>109976320</v>
      </c>
      <c r="AC18" s="0" t="n">
        <f aca="false">C18*x_c_MON</f>
        <v>27857107.6100244</v>
      </c>
      <c r="AD18" s="0" t="n">
        <f aca="false">D18*(1-x_testy)</f>
        <v>0</v>
      </c>
      <c r="AE18" s="0" t="n">
        <f aca="false">E18*(1-x_testy)</f>
        <v>0</v>
      </c>
      <c r="AF18" s="0" t="n">
        <f aca="false">F18*x_NAV</f>
        <v>0</v>
      </c>
      <c r="AG18" s="0" t="n">
        <f aca="false">G18*x_FIX*(1-x_testy)</f>
        <v>0</v>
      </c>
      <c r="AH18" s="0" t="n">
        <f aca="false">x_z_F*U18+(1-x_AGRI)*x_EMP*x_WLOSS*(x_PEN_K74*Q18+x_PEN_C22*R18)</f>
        <v>16541058.3370544</v>
      </c>
      <c r="AI18" s="0" t="n">
        <f aca="false">x_AGRI*x_EMP*x_WLOSS*(x_PEN_K74*Q18+x_PEN_C22*R18)</f>
        <v>906066.872850223</v>
      </c>
      <c r="AJ18" s="0" t="n">
        <f aca="false">x_EMP*x_WAGE*(x_WLOSS*(Q18+R18)+S18)+U18*x_ABS_D*x_WAGE/365</f>
        <v>326091771.057094</v>
      </c>
      <c r="AK18" s="0" t="n">
        <f aca="false">AJ18*x_R_FUS</f>
        <v>103175436.362464</v>
      </c>
      <c r="AL18" s="0" t="n">
        <f aca="false">AJ18*x_R_NFZ</f>
        <v>25324613.032065</v>
      </c>
      <c r="AM18" s="0" t="n">
        <f aca="false">AJ18*x_R_PIT</f>
        <v>21679941.9964062</v>
      </c>
      <c r="AN18" s="0" t="n">
        <f aca="false">AJ18*x_R_FP</f>
        <v>8315340.16195589</v>
      </c>
      <c r="AO18" s="0" t="n">
        <f aca="false">AA18+AB18+AC18+AD18+AF18</f>
        <v>471826668.505143</v>
      </c>
      <c r="AP18" s="0" t="n">
        <f aca="false">AO18+AE18+AG18+AH18+AI18+AK18+AL18+AM18+AN18</f>
        <v>647769125.267939</v>
      </c>
      <c r="AQ18" s="0" t="n">
        <f aca="false">AO18+AE18+AG18+AJ18</f>
        <v>797918439.562237</v>
      </c>
      <c r="AR18" s="0" t="n">
        <f aca="false">AB18+AC18+AD18+AF18</f>
        <v>137833427.610024</v>
      </c>
      <c r="AS18" s="0" t="n">
        <f aca="false">AR18+AE18+AG18</f>
        <v>137833427.610024</v>
      </c>
    </row>
    <row r="19" customFormat="false" ht="15" hidden="false" customHeight="false" outlineLevel="0" collapsed="false">
      <c r="A19" s="0" t="n">
        <v>2042</v>
      </c>
      <c r="B19" s="0" t="n">
        <v>16</v>
      </c>
      <c r="C19" s="0" t="n">
        <v>4832</v>
      </c>
      <c r="D19" s="0" t="n">
        <v>0</v>
      </c>
      <c r="E19" s="0" t="n">
        <v>0</v>
      </c>
      <c r="F19" s="0" t="n">
        <v>0</v>
      </c>
      <c r="G19" s="0" t="n">
        <v>0</v>
      </c>
      <c r="H19" s="0" t="n">
        <v>2168.457</v>
      </c>
      <c r="I19" s="0" t="n">
        <v>329.676</v>
      </c>
      <c r="J19" s="0" t="n">
        <v>1788.152</v>
      </c>
      <c r="K19" s="0" t="n">
        <v>2407.14</v>
      </c>
      <c r="L19" s="0" t="n">
        <v>1258.133</v>
      </c>
      <c r="M19" s="0" t="n">
        <v>70042.552</v>
      </c>
      <c r="N19" s="0" t="n">
        <v>8060.959</v>
      </c>
      <c r="O19" s="0" t="n">
        <v>94.992</v>
      </c>
      <c r="P19" s="0" t="n">
        <v>95.297</v>
      </c>
      <c r="Q19" s="0" t="n">
        <v>856.211</v>
      </c>
      <c r="R19" s="0" t="n">
        <v>722.796</v>
      </c>
      <c r="S19" s="0" t="n">
        <v>3206.371</v>
      </c>
      <c r="T19" s="0" t="n">
        <v>2498.133</v>
      </c>
      <c r="U19" s="0" t="n">
        <v>1429.215</v>
      </c>
      <c r="V19" s="0" t="n">
        <v>135495.432</v>
      </c>
      <c r="W19" s="0" t="n">
        <v>333.584</v>
      </c>
      <c r="X19" s="0" t="n">
        <v>694.278</v>
      </c>
      <c r="Y19" s="0" t="n">
        <v>94.992</v>
      </c>
      <c r="Z19" s="0" t="n">
        <v>902.686</v>
      </c>
      <c r="AA19" s="0" t="n">
        <f aca="false">H19*x_c_F+I19*x_c_CC+J19*x_c_DC+K19*x_c_HCC+L19*x_c_PLT+M19*x_c_SVRn+N19*x_c_SVRcc+O19*x_c_LT+P19*x_c_LT1</f>
        <v>333935569.865107</v>
      </c>
      <c r="AB19" s="0" t="n">
        <f aca="false">C19*x_c_DAA</f>
        <v>109976320</v>
      </c>
      <c r="AC19" s="0" t="n">
        <f aca="false">C19*x_c_MON</f>
        <v>27857107.6100244</v>
      </c>
      <c r="AD19" s="0" t="n">
        <f aca="false">D19*(1-x_testy)</f>
        <v>0</v>
      </c>
      <c r="AE19" s="0" t="n">
        <f aca="false">E19*(1-x_testy)</f>
        <v>0</v>
      </c>
      <c r="AF19" s="0" t="n">
        <f aca="false">F19*x_NAV</f>
        <v>0</v>
      </c>
      <c r="AG19" s="0" t="n">
        <f aca="false">G19*x_FIX*(1-x_testy)</f>
        <v>0</v>
      </c>
      <c r="AH19" s="0" t="n">
        <f aca="false">x_z_F*U19+(1-x_AGRI)*x_EMP*x_WLOSS*(x_PEN_K74*Q19+x_PEN_C22*R19)</f>
        <v>17137856.5961489</v>
      </c>
      <c r="AI19" s="0" t="n">
        <f aca="false">x_AGRI*x_EMP*x_WLOSS*(x_PEN_K74*Q19+x_PEN_C22*R19)</f>
        <v>938563.597617972</v>
      </c>
      <c r="AJ19" s="0" t="n">
        <f aca="false">x_EMP*x_WAGE*(x_WLOSS*(Q19+R19)+S19)+U19*x_ABS_D*x_WAGE/365</f>
        <v>350300343.08462</v>
      </c>
      <c r="AK19" s="0" t="n">
        <f aca="false">AJ19*x_R_FUS</f>
        <v>110835028.551974</v>
      </c>
      <c r="AL19" s="0" t="n">
        <f aca="false">AJ19*x_R_NFZ</f>
        <v>27204674.9442946</v>
      </c>
      <c r="AM19" s="0" t="n">
        <f aca="false">AJ19*x_R_PIT</f>
        <v>23289428.9076251</v>
      </c>
      <c r="AN19" s="0" t="n">
        <f aca="false">AJ19*x_R_FP</f>
        <v>8932658.7486578</v>
      </c>
      <c r="AO19" s="0" t="n">
        <f aca="false">AA19+AB19+AC19+AD19+AF19</f>
        <v>471768997.475131</v>
      </c>
      <c r="AP19" s="0" t="n">
        <f aca="false">AO19+AE19+AG19+AH19+AI19+AK19+AL19+AM19+AN19</f>
        <v>660107208.82145</v>
      </c>
      <c r="AQ19" s="0" t="n">
        <f aca="false">AO19+AE19+AG19+AJ19</f>
        <v>822069340.559751</v>
      </c>
      <c r="AR19" s="0" t="n">
        <f aca="false">AB19+AC19+AD19+AF19</f>
        <v>137833427.610024</v>
      </c>
      <c r="AS19" s="0" t="n">
        <f aca="false">AR19+AE19+AG19</f>
        <v>137833427.610024</v>
      </c>
    </row>
    <row r="20" customFormat="false" ht="15" hidden="false" customHeight="false" outlineLevel="0" collapsed="false">
      <c r="A20" s="0" t="n">
        <v>2043</v>
      </c>
      <c r="B20" s="0" t="n">
        <v>17</v>
      </c>
      <c r="C20" s="0" t="n">
        <v>4832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2171.43</v>
      </c>
      <c r="I20" s="0" t="n">
        <v>325.188</v>
      </c>
      <c r="J20" s="0" t="n">
        <v>1772.238</v>
      </c>
      <c r="K20" s="0" t="n">
        <v>2373.736</v>
      </c>
      <c r="L20" s="0" t="n">
        <v>1241.316</v>
      </c>
      <c r="M20" s="0" t="n">
        <v>72792.487</v>
      </c>
      <c r="N20" s="0" t="n">
        <v>8331.912</v>
      </c>
      <c r="O20" s="0" t="n">
        <v>94.104</v>
      </c>
      <c r="P20" s="0" t="n">
        <v>94.548</v>
      </c>
      <c r="Q20" s="0" t="n">
        <v>883.388</v>
      </c>
      <c r="R20" s="0" t="n">
        <v>752.057</v>
      </c>
      <c r="S20" s="0" t="n">
        <v>3468.07</v>
      </c>
      <c r="T20" s="0" t="n">
        <v>2496.618</v>
      </c>
      <c r="U20" s="0" t="n">
        <v>1478.186</v>
      </c>
      <c r="V20" s="0" t="n">
        <v>136722.938</v>
      </c>
      <c r="W20" s="0" t="n">
        <v>326.936</v>
      </c>
      <c r="X20" s="0" t="n">
        <v>680.659</v>
      </c>
      <c r="Y20" s="0" t="n">
        <v>94.104</v>
      </c>
      <c r="Z20" s="0" t="n">
        <v>891.738</v>
      </c>
      <c r="AA20" s="0" t="n">
        <f aca="false">H20*x_c_F+I20*x_c_CC+J20*x_c_DC+K20*x_c_HCC+L20*x_c_PLT+M20*x_c_SVRn+N20*x_c_SVRcc+O20*x_c_LT+P20*x_c_LT1</f>
        <v>333084011.716789</v>
      </c>
      <c r="AB20" s="0" t="n">
        <f aca="false">C20*x_c_DAA</f>
        <v>109976320</v>
      </c>
      <c r="AC20" s="0" t="n">
        <f aca="false">C20*x_c_MON</f>
        <v>27857107.6100244</v>
      </c>
      <c r="AD20" s="0" t="n">
        <f aca="false">D20*(1-x_testy)</f>
        <v>0</v>
      </c>
      <c r="AE20" s="0" t="n">
        <f aca="false">E20*(1-x_testy)</f>
        <v>0</v>
      </c>
      <c r="AF20" s="0" t="n">
        <f aca="false">F20*x_NAV</f>
        <v>0</v>
      </c>
      <c r="AG20" s="0" t="n">
        <f aca="false">G20*x_FIX*(1-x_testy)</f>
        <v>0</v>
      </c>
      <c r="AH20" s="0" t="n">
        <f aca="false">x_z_F*U20+(1-x_AGRI)*x_EMP*x_WLOSS*(x_PEN_K74*Q20+x_PEN_C22*R20)</f>
        <v>17750023.564907</v>
      </c>
      <c r="AI20" s="0" t="n">
        <f aca="false">x_AGRI*x_EMP*x_WLOSS*(x_PEN_K74*Q20+x_PEN_C22*R20)</f>
        <v>972371.996842717</v>
      </c>
      <c r="AJ20" s="0" t="n">
        <f aca="false">x_EMP*x_WAGE*(x_WLOSS*(Q20+R20)+S20)+U20*x_ABS_D*x_WAGE/365</f>
        <v>375356179.167253</v>
      </c>
      <c r="AK20" s="0" t="n">
        <f aca="false">AJ20*x_R_FUS</f>
        <v>118762695.088519</v>
      </c>
      <c r="AL20" s="0" t="n">
        <f aca="false">AJ20*x_R_NFZ</f>
        <v>29150536.230308</v>
      </c>
      <c r="AM20" s="0" t="n">
        <f aca="false">AJ20*x_R_PIT</f>
        <v>24955245.4695764</v>
      </c>
      <c r="AN20" s="0" t="n">
        <f aca="false">AJ20*x_R_FP</f>
        <v>9571582.56876495</v>
      </c>
      <c r="AO20" s="0" t="n">
        <f aca="false">AA20+AB20+AC20+AD20+AF20</f>
        <v>470917439.326813</v>
      </c>
      <c r="AP20" s="0" t="n">
        <f aca="false">AO20+AE20+AG20+AH20+AI20+AK20+AL20+AM20+AN20</f>
        <v>672079894.245731</v>
      </c>
      <c r="AQ20" s="0" t="n">
        <f aca="false">AO20+AE20+AG20+AJ20</f>
        <v>846273618.494066</v>
      </c>
      <c r="AR20" s="0" t="n">
        <f aca="false">AB20+AC20+AD20+AF20</f>
        <v>137833427.610024</v>
      </c>
      <c r="AS20" s="0" t="n">
        <f aca="false">AR20+AE20+AG20</f>
        <v>137833427.610024</v>
      </c>
    </row>
    <row r="21" customFormat="false" ht="15" hidden="false" customHeight="false" outlineLevel="0" collapsed="false">
      <c r="A21" s="0" t="n">
        <v>2044</v>
      </c>
      <c r="B21" s="0" t="n">
        <v>18</v>
      </c>
      <c r="C21" s="0" t="n">
        <v>4832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2175.278</v>
      </c>
      <c r="I21" s="0" t="n">
        <v>319.885</v>
      </c>
      <c r="J21" s="0" t="n">
        <v>1751.422</v>
      </c>
      <c r="K21" s="0" t="n">
        <v>2335.305</v>
      </c>
      <c r="L21" s="0" t="n">
        <v>1223.987</v>
      </c>
      <c r="M21" s="0" t="n">
        <v>75499.712</v>
      </c>
      <c r="N21" s="0" t="n">
        <v>8574.801</v>
      </c>
      <c r="O21" s="0" t="n">
        <v>92.957</v>
      </c>
      <c r="P21" s="0" t="n">
        <v>93.531</v>
      </c>
      <c r="Q21" s="0" t="n">
        <v>911.728</v>
      </c>
      <c r="R21" s="0" t="n">
        <v>782.405</v>
      </c>
      <c r="S21" s="0" t="n">
        <v>3738.798</v>
      </c>
      <c r="T21" s="0" t="n">
        <v>2495.164</v>
      </c>
      <c r="U21" s="0" t="n">
        <v>1524.696</v>
      </c>
      <c r="V21" s="0" t="n">
        <v>137968.419</v>
      </c>
      <c r="W21" s="0" t="n">
        <v>319.757</v>
      </c>
      <c r="X21" s="0" t="n">
        <v>666.289</v>
      </c>
      <c r="Y21" s="0" t="n">
        <v>92.957</v>
      </c>
      <c r="Z21" s="0" t="n">
        <v>878.723</v>
      </c>
      <c r="AA21" s="0" t="n">
        <f aca="false">H21*x_c_F+I21*x_c_CC+J21*x_c_DC+K21*x_c_HCC+L21*x_c_PLT+M21*x_c_SVRn+N21*x_c_SVRcc+O21*x_c_LT+P21*x_c_LT1</f>
        <v>331605168.213342</v>
      </c>
      <c r="AB21" s="0" t="n">
        <f aca="false">C21*x_c_DAA</f>
        <v>109976320</v>
      </c>
      <c r="AC21" s="0" t="n">
        <f aca="false">C21*x_c_MON</f>
        <v>27857107.6100244</v>
      </c>
      <c r="AD21" s="0" t="n">
        <f aca="false">D21*(1-x_testy)</f>
        <v>0</v>
      </c>
      <c r="AE21" s="0" t="n">
        <f aca="false">E21*(1-x_testy)</f>
        <v>0</v>
      </c>
      <c r="AF21" s="0" t="n">
        <f aca="false">F21*x_NAV</f>
        <v>0</v>
      </c>
      <c r="AG21" s="0" t="n">
        <f aca="false">G21*x_FIX*(1-x_testy)</f>
        <v>0</v>
      </c>
      <c r="AH21" s="0" t="n">
        <f aca="false">x_z_F*U21+(1-x_AGRI)*x_EMP*x_WLOSS*(x_PEN_K74*Q21+x_PEN_C22*R21)</f>
        <v>18377430.5157444</v>
      </c>
      <c r="AI21" s="0" t="n">
        <f aca="false">x_AGRI*x_EMP*x_WLOSS*(x_PEN_K74*Q21+x_PEN_C22*R21)</f>
        <v>1007522.15460039</v>
      </c>
      <c r="AJ21" s="0" t="n">
        <f aca="false">x_EMP*x_WAGE*(x_WLOSS*(Q21+R21)+S21)+U21*x_ABS_D*x_WAGE/365</f>
        <v>401278233.235678</v>
      </c>
      <c r="AK21" s="0" t="n">
        <f aca="false">AJ21*x_R_FUS</f>
        <v>126964432.995768</v>
      </c>
      <c r="AL21" s="0" t="n">
        <f aca="false">AJ21*x_R_NFZ</f>
        <v>31163668.871316</v>
      </c>
      <c r="AM21" s="0" t="n">
        <f aca="false">AJ21*x_R_PIT</f>
        <v>26678651.8186828</v>
      </c>
      <c r="AN21" s="0" t="n">
        <f aca="false">AJ21*x_R_FP</f>
        <v>10232594.9475098</v>
      </c>
      <c r="AO21" s="0" t="n">
        <f aca="false">AA21+AB21+AC21+AD21+AF21</f>
        <v>469438595.823366</v>
      </c>
      <c r="AP21" s="0" t="n">
        <f aca="false">AO21+AE21+AG21+AH21+AI21+AK21+AL21+AM21+AN21</f>
        <v>683862897.126988</v>
      </c>
      <c r="AQ21" s="0" t="n">
        <f aca="false">AO21+AE21+AG21+AJ21</f>
        <v>870716829.059044</v>
      </c>
      <c r="AR21" s="0" t="n">
        <f aca="false">AB21+AC21+AD21+AF21</f>
        <v>137833427.610024</v>
      </c>
      <c r="AS21" s="0" t="n">
        <f aca="false">AR21+AE21+AG21</f>
        <v>137833427.610024</v>
      </c>
    </row>
    <row r="22" customFormat="false" ht="15" hidden="false" customHeight="false" outlineLevel="0" collapsed="false">
      <c r="A22" s="0" t="n">
        <v>2045</v>
      </c>
      <c r="B22" s="0" t="n">
        <v>19</v>
      </c>
      <c r="C22" s="0" t="n">
        <v>4832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2179.783</v>
      </c>
      <c r="I22" s="0" t="n">
        <v>313.998</v>
      </c>
      <c r="J22" s="0" t="n">
        <v>1726.467</v>
      </c>
      <c r="K22" s="0" t="n">
        <v>2293.149</v>
      </c>
      <c r="L22" s="0" t="n">
        <v>1205.911</v>
      </c>
      <c r="M22" s="0" t="n">
        <v>78168.783</v>
      </c>
      <c r="N22" s="0" t="n">
        <v>8789.931</v>
      </c>
      <c r="O22" s="0" t="n">
        <v>91.609</v>
      </c>
      <c r="P22" s="0" t="n">
        <v>92.283</v>
      </c>
      <c r="Q22" s="0" t="n">
        <v>941.255</v>
      </c>
      <c r="R22" s="0" t="n">
        <v>813.817</v>
      </c>
      <c r="S22" s="0" t="n">
        <v>4018.724</v>
      </c>
      <c r="T22" s="0" t="n">
        <v>2493.781</v>
      </c>
      <c r="U22" s="0" t="n">
        <v>1568.544</v>
      </c>
      <c r="V22" s="0" t="n">
        <v>139238.535</v>
      </c>
      <c r="W22" s="0" t="n">
        <v>312.319</v>
      </c>
      <c r="X22" s="0" t="n">
        <v>651.656</v>
      </c>
      <c r="Y22" s="0" t="n">
        <v>91.609</v>
      </c>
      <c r="Z22" s="0" t="n">
        <v>864.228</v>
      </c>
      <c r="AA22" s="0" t="n">
        <f aca="false">H22*x_c_F+I22*x_c_CC+J22*x_c_DC+K22*x_c_HCC+L22*x_c_PLT+M22*x_c_SVRn+N22*x_c_SVRcc+O22*x_c_LT+P22*x_c_LT1</f>
        <v>329613096.480141</v>
      </c>
      <c r="AB22" s="0" t="n">
        <f aca="false">C22*x_c_DAA</f>
        <v>109976320</v>
      </c>
      <c r="AC22" s="0" t="n">
        <f aca="false">C22*x_c_MON</f>
        <v>27857107.6100244</v>
      </c>
      <c r="AD22" s="0" t="n">
        <f aca="false">D22*(1-x_testy)</f>
        <v>0</v>
      </c>
      <c r="AE22" s="0" t="n">
        <f aca="false">E22*(1-x_testy)</f>
        <v>0</v>
      </c>
      <c r="AF22" s="0" t="n">
        <f aca="false">F22*x_NAV</f>
        <v>0</v>
      </c>
      <c r="AG22" s="0" t="n">
        <f aca="false">G22*x_FIX*(1-x_testy)</f>
        <v>0</v>
      </c>
      <c r="AH22" s="0" t="n">
        <f aca="false">x_z_F*U22+(1-x_AGRI)*x_EMP*x_WLOSS*(x_PEN_K74*Q22+x_PEN_C22*R22)</f>
        <v>19019646.1142307</v>
      </c>
      <c r="AI22" s="0" t="n">
        <f aca="false">x_AGRI*x_EMP*x_WLOSS*(x_PEN_K74*Q22+x_PEN_C22*R22)</f>
        <v>1044012.87437611</v>
      </c>
      <c r="AJ22" s="0" t="n">
        <f aca="false">x_EMP*x_WAGE*(x_WLOSS*(Q22+R22)+S22)+U22*x_ABS_D*x_WAGE/365</f>
        <v>428080369.960848</v>
      </c>
      <c r="AK22" s="0" t="n">
        <f aca="false">AJ22*x_R_FUS</f>
        <v>135444629.055612</v>
      </c>
      <c r="AL22" s="0" t="n">
        <f aca="false">AJ22*x_R_NFZ</f>
        <v>33245149.6115294</v>
      </c>
      <c r="AM22" s="0" t="n">
        <f aca="false">AJ22*x_R_PIT</f>
        <v>28460569.7361384</v>
      </c>
      <c r="AN22" s="0" t="n">
        <f aca="false">AJ22*x_R_FP</f>
        <v>10916049.4340016</v>
      </c>
      <c r="AO22" s="0" t="n">
        <f aca="false">AA22+AB22+AC22+AD22+AF22</f>
        <v>467446524.090165</v>
      </c>
      <c r="AP22" s="0" t="n">
        <f aca="false">AO22+AE22+AG22+AH22+AI22+AK22+AL22+AM22+AN22</f>
        <v>695576580.916054</v>
      </c>
      <c r="AQ22" s="0" t="n">
        <f aca="false">AO22+AE22+AG22+AJ22</f>
        <v>895526894.051014</v>
      </c>
      <c r="AR22" s="0" t="n">
        <f aca="false">AB22+AC22+AD22+AF22</f>
        <v>137833427.610024</v>
      </c>
      <c r="AS22" s="0" t="n">
        <f aca="false">AR22+AE22+AG22</f>
        <v>137833427.610024</v>
      </c>
    </row>
    <row r="23" customFormat="false" ht="15" hidden="false" customHeight="false" outlineLevel="0" collapsed="false">
      <c r="A23" s="0" t="n">
        <v>2046</v>
      </c>
      <c r="B23" s="0" t="n">
        <v>20</v>
      </c>
      <c r="C23" s="0" t="n">
        <v>4832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2184.724</v>
      </c>
      <c r="I23" s="0" t="n">
        <v>307.757</v>
      </c>
      <c r="J23" s="0" t="n">
        <v>1698.445</v>
      </c>
      <c r="K23" s="0" t="n">
        <v>2248.8</v>
      </c>
      <c r="L23" s="0" t="n">
        <v>1187.328</v>
      </c>
      <c r="M23" s="0" t="n">
        <v>80813.855</v>
      </c>
      <c r="N23" s="0" t="n">
        <v>8979.682</v>
      </c>
      <c r="O23" s="0" t="n">
        <v>90.112</v>
      </c>
      <c r="P23" s="0" t="n">
        <v>90.861</v>
      </c>
      <c r="Q23" s="0" t="n">
        <v>971.962</v>
      </c>
      <c r="R23" s="0" t="n">
        <v>846.225</v>
      </c>
      <c r="S23" s="0" t="n">
        <v>4307.938</v>
      </c>
      <c r="T23" s="0" t="n">
        <v>2492.482</v>
      </c>
      <c r="U23" s="0" t="n">
        <v>1609.553</v>
      </c>
      <c r="V23" s="0" t="n">
        <v>140548.396</v>
      </c>
      <c r="W23" s="0" t="n">
        <v>304.836</v>
      </c>
      <c r="X23" s="0" t="n">
        <v>637.136</v>
      </c>
      <c r="Y23" s="0" t="n">
        <v>90.112</v>
      </c>
      <c r="Z23" s="0" t="n">
        <v>848.749</v>
      </c>
      <c r="AA23" s="0" t="n">
        <f aca="false">H23*x_c_F+I23*x_c_CC+J23*x_c_DC+K23*x_c_HCC+L23*x_c_PLT+M23*x_c_SVRn+N23*x_c_SVRcc+O23*x_c_LT+P23*x_c_LT1</f>
        <v>327267438.61675</v>
      </c>
      <c r="AB23" s="0" t="n">
        <f aca="false">C23*x_c_DAA</f>
        <v>109976320</v>
      </c>
      <c r="AC23" s="0" t="n">
        <f aca="false">C23*x_c_MON</f>
        <v>27857107.6100244</v>
      </c>
      <c r="AD23" s="0" t="n">
        <f aca="false">D23*(1-x_testy)</f>
        <v>0</v>
      </c>
      <c r="AE23" s="0" t="n">
        <f aca="false">E23*(1-x_testy)</f>
        <v>0</v>
      </c>
      <c r="AF23" s="0" t="n">
        <f aca="false">F23*x_NAV</f>
        <v>0</v>
      </c>
      <c r="AG23" s="0" t="n">
        <f aca="false">G23*x_FIX*(1-x_testy)</f>
        <v>0</v>
      </c>
      <c r="AH23" s="0" t="n">
        <f aca="false">x_z_F*U23+(1-x_AGRI)*x_EMP*x_WLOSS*(x_PEN_K74*Q23+x_PEN_C22*R23)</f>
        <v>19675593.1269308</v>
      </c>
      <c r="AI23" s="0" t="n">
        <f aca="false">x_AGRI*x_EMP*x_WLOSS*(x_PEN_K74*Q23+x_PEN_C22*R23)</f>
        <v>1081797.00561348</v>
      </c>
      <c r="AJ23" s="0" t="n">
        <f aca="false">x_EMP*x_WAGE*(x_WLOSS*(Q23+R23)+S23)+U23*x_ABS_D*x_WAGE/365</f>
        <v>455766288.545149</v>
      </c>
      <c r="AK23" s="0" t="n">
        <f aca="false">AJ23*x_R_FUS</f>
        <v>144204453.695685</v>
      </c>
      <c r="AL23" s="0" t="n">
        <f aca="false">AJ23*x_R_NFZ</f>
        <v>35395265.7347048</v>
      </c>
      <c r="AM23" s="0" t="n">
        <f aca="false">AJ23*x_R_PIT</f>
        <v>30301245.1603574</v>
      </c>
      <c r="AN23" s="0" t="n">
        <f aca="false">AJ23*x_R_FP</f>
        <v>11622040.3579013</v>
      </c>
      <c r="AO23" s="0" t="n">
        <f aca="false">AA23+AB23+AC23+AD23+AF23</f>
        <v>465100866.226774</v>
      </c>
      <c r="AP23" s="0" t="n">
        <f aca="false">AO23+AE23+AG23+AH23+AI23+AK23+AL23+AM23+AN23</f>
        <v>707381261.307967</v>
      </c>
      <c r="AQ23" s="0" t="n">
        <f aca="false">AO23+AE23+AG23+AJ23</f>
        <v>920867154.771923</v>
      </c>
      <c r="AR23" s="0" t="n">
        <f aca="false">AB23+AC23+AD23+AF23</f>
        <v>137833427.610024</v>
      </c>
      <c r="AS23" s="0" t="n">
        <f aca="false">AR23+AE23+AG23</f>
        <v>137833427.610024</v>
      </c>
    </row>
    <row r="24" customFormat="false" ht="15" hidden="false" customHeight="false" outlineLevel="0" collapsed="false">
      <c r="A24" s="0" t="n">
        <v>2047</v>
      </c>
      <c r="B24" s="0" t="n">
        <v>21</v>
      </c>
      <c r="C24" s="0" t="n">
        <v>4832</v>
      </c>
      <c r="D24" s="0" t="n">
        <v>0</v>
      </c>
      <c r="E24" s="0" t="n">
        <v>0</v>
      </c>
      <c r="F24" s="0" t="n">
        <v>0</v>
      </c>
      <c r="G24" s="0" t="n">
        <v>0</v>
      </c>
      <c r="H24" s="0" t="n">
        <v>2189.908</v>
      </c>
      <c r="I24" s="0" t="n">
        <v>301.364</v>
      </c>
      <c r="J24" s="0" t="n">
        <v>1668.334</v>
      </c>
      <c r="K24" s="0" t="n">
        <v>2203.559</v>
      </c>
      <c r="L24" s="0" t="n">
        <v>1168.44</v>
      </c>
      <c r="M24" s="0" t="n">
        <v>83446.188</v>
      </c>
      <c r="N24" s="0" t="n">
        <v>9146.501</v>
      </c>
      <c r="O24" s="0" t="n">
        <v>88.519</v>
      </c>
      <c r="P24" s="0" t="n">
        <v>89.316</v>
      </c>
      <c r="Q24" s="0" t="n">
        <v>1003.826</v>
      </c>
      <c r="R24" s="0" t="n">
        <v>879.529</v>
      </c>
      <c r="S24" s="0" t="n">
        <v>4606.476</v>
      </c>
      <c r="T24" s="0" t="n">
        <v>2491.272</v>
      </c>
      <c r="U24" s="0" t="n">
        <v>1647.633</v>
      </c>
      <c r="V24" s="0" t="n">
        <v>141907.518</v>
      </c>
      <c r="W24" s="0" t="n">
        <v>297.485</v>
      </c>
      <c r="X24" s="0" t="n">
        <v>623.03</v>
      </c>
      <c r="Y24" s="0" t="n">
        <v>88.519</v>
      </c>
      <c r="Z24" s="0" t="n">
        <v>832.754</v>
      </c>
      <c r="AA24" s="0" t="n">
        <f aca="false">H24*x_c_F+I24*x_c_CC+J24*x_c_DC+K24*x_c_HCC+L24*x_c_PLT+M24*x_c_SVRn+N24*x_c_SVRcc+O24*x_c_LT+P24*x_c_LT1</f>
        <v>324708804.262475</v>
      </c>
      <c r="AB24" s="0" t="n">
        <f aca="false">C24*x_c_DAA</f>
        <v>109976320</v>
      </c>
      <c r="AC24" s="0" t="n">
        <f aca="false">C24*x_c_MON</f>
        <v>27857107.6100244</v>
      </c>
      <c r="AD24" s="0" t="n">
        <f aca="false">D24*(1-x_testy)</f>
        <v>0</v>
      </c>
      <c r="AE24" s="0" t="n">
        <f aca="false">E24*(1-x_testy)</f>
        <v>0</v>
      </c>
      <c r="AF24" s="0" t="n">
        <f aca="false">F24*x_NAV</f>
        <v>0</v>
      </c>
      <c r="AG24" s="0" t="n">
        <f aca="false">G24*x_FIX*(1-x_testy)</f>
        <v>0</v>
      </c>
      <c r="AH24" s="0" t="n">
        <f aca="false">x_z_F*U24+(1-x_AGRI)*x_EMP*x_WLOSS*(x_PEN_K74*Q24+x_PEN_C22*R24)</f>
        <v>20343929.9492447</v>
      </c>
      <c r="AI24" s="0" t="n">
        <f aca="false">x_AGRI*x_EMP*x_WLOSS*(x_PEN_K74*Q24+x_PEN_C22*R24)</f>
        <v>1120798.10091096</v>
      </c>
      <c r="AJ24" s="0" t="n">
        <f aca="false">x_EMP*x_WAGE*(x_WLOSS*(Q24+R24)+S24)+U24*x_ABS_D*x_WAGE/365</f>
        <v>484333128.904511</v>
      </c>
      <c r="AK24" s="0" t="n">
        <f aca="false">AJ24*x_R_FUS</f>
        <v>153243001.985387</v>
      </c>
      <c r="AL24" s="0" t="n">
        <f aca="false">AJ24*x_R_NFZ</f>
        <v>37613795.1238532</v>
      </c>
      <c r="AM24" s="0" t="n">
        <f aca="false">AJ24*x_R_PIT</f>
        <v>32200487.9410136</v>
      </c>
      <c r="AN24" s="0" t="n">
        <f aca="false">AJ24*x_R_FP</f>
        <v>12350494.787065</v>
      </c>
      <c r="AO24" s="0" t="n">
        <f aca="false">AA24+AB24+AC24+AD24+AF24</f>
        <v>462542231.872499</v>
      </c>
      <c r="AP24" s="0" t="n">
        <f aca="false">AO24+AE24+AG24+AH24+AI24+AK24+AL24+AM24+AN24</f>
        <v>719414739.759974</v>
      </c>
      <c r="AQ24" s="0" t="n">
        <f aca="false">AO24+AE24+AG24+AJ24</f>
        <v>946875360.77701</v>
      </c>
      <c r="AR24" s="0" t="n">
        <f aca="false">AB24+AC24+AD24+AF24</f>
        <v>137833427.610024</v>
      </c>
      <c r="AS24" s="0" t="n">
        <f aca="false">AR24+AE24+AG24</f>
        <v>137833427.610024</v>
      </c>
    </row>
    <row r="25" customFormat="false" ht="15" hidden="false" customHeight="false" outlineLevel="0" collapsed="false">
      <c r="A25" s="0" t="n">
        <v>2048</v>
      </c>
      <c r="B25" s="0" t="n">
        <v>22</v>
      </c>
      <c r="C25" s="0" t="n">
        <v>4832</v>
      </c>
      <c r="D25" s="0" t="n">
        <v>0</v>
      </c>
      <c r="E25" s="0" t="n">
        <v>0</v>
      </c>
      <c r="F25" s="0" t="n">
        <v>0</v>
      </c>
      <c r="G25" s="0" t="n">
        <v>0</v>
      </c>
      <c r="H25" s="0" t="n">
        <v>2195.166</v>
      </c>
      <c r="I25" s="0" t="n">
        <v>294.987</v>
      </c>
      <c r="J25" s="0" t="n">
        <v>1637.021</v>
      </c>
      <c r="K25" s="0" t="n">
        <v>2158.527</v>
      </c>
      <c r="L25" s="0" t="n">
        <v>1149.441</v>
      </c>
      <c r="M25" s="0" t="n">
        <v>86075.196</v>
      </c>
      <c r="N25" s="0" t="n">
        <v>9292.989</v>
      </c>
      <c r="O25" s="0" t="n">
        <v>86.874</v>
      </c>
      <c r="P25" s="0" t="n">
        <v>87.696</v>
      </c>
      <c r="Q25" s="0" t="n">
        <v>1036.798</v>
      </c>
      <c r="R25" s="0" t="n">
        <v>913.597</v>
      </c>
      <c r="S25" s="0" t="n">
        <v>4914.318</v>
      </c>
      <c r="T25" s="0" t="n">
        <v>2490.154</v>
      </c>
      <c r="U25" s="0" t="n">
        <v>1682.761</v>
      </c>
      <c r="V25" s="0" t="n">
        <v>143322.194</v>
      </c>
      <c r="W25" s="0" t="n">
        <v>290.397</v>
      </c>
      <c r="X25" s="0" t="n">
        <v>609.558</v>
      </c>
      <c r="Y25" s="0" t="n">
        <v>86.874</v>
      </c>
      <c r="Z25" s="0" t="n">
        <v>816.633</v>
      </c>
      <c r="AA25" s="0" t="n">
        <f aca="false">H25*x_c_F+I25*x_c_CC+J25*x_c_DC+K25*x_c_HCC+L25*x_c_PLT+M25*x_c_SVRn+N25*x_c_SVRcc+O25*x_c_LT+P25*x_c_LT1</f>
        <v>322059278.626814</v>
      </c>
      <c r="AB25" s="0" t="n">
        <f aca="false">C25*x_c_DAA</f>
        <v>109976320</v>
      </c>
      <c r="AC25" s="0" t="n">
        <f aca="false">C25*x_c_MON</f>
        <v>27857107.6100244</v>
      </c>
      <c r="AD25" s="0" t="n">
        <f aca="false">D25*(1-x_testy)</f>
        <v>0</v>
      </c>
      <c r="AE25" s="0" t="n">
        <f aca="false">E25*(1-x_testy)</f>
        <v>0</v>
      </c>
      <c r="AF25" s="0" t="n">
        <f aca="false">F25*x_NAV</f>
        <v>0</v>
      </c>
      <c r="AG25" s="0" t="n">
        <f aca="false">G25*x_FIX*(1-x_testy)</f>
        <v>0</v>
      </c>
      <c r="AH25" s="0" t="n">
        <f aca="false">x_z_F*U25+(1-x_AGRI)*x_EMP*x_WLOSS*(x_PEN_K74*Q25+x_PEN_C22*R25)</f>
        <v>21022924.8478923</v>
      </c>
      <c r="AI25" s="0" t="n">
        <f aca="false">x_AGRI*x_EMP*x_WLOSS*(x_PEN_K74*Q25+x_PEN_C22*R25)</f>
        <v>1160904.82148885</v>
      </c>
      <c r="AJ25" s="0" t="n">
        <f aca="false">x_EMP*x_WAGE*(x_WLOSS*(Q25+R25)+S25)+U25*x_ABS_D*x_WAGE/365</f>
        <v>513770781.823031</v>
      </c>
      <c r="AK25" s="0" t="n">
        <f aca="false">AJ25*x_R_FUS</f>
        <v>162557075.368807</v>
      </c>
      <c r="AL25" s="0" t="n">
        <f aca="false">AJ25*x_R_NFZ</f>
        <v>39899952.6871584</v>
      </c>
      <c r="AM25" s="0" t="n">
        <f aca="false">AJ25*x_R_PIT</f>
        <v>34157625.9752393</v>
      </c>
      <c r="AN25" s="0" t="n">
        <f aca="false">AJ25*x_R_FP</f>
        <v>13101154.9364873</v>
      </c>
      <c r="AO25" s="0" t="n">
        <f aca="false">AA25+AB25+AC25+AD25+AF25</f>
        <v>459892706.236838</v>
      </c>
      <c r="AP25" s="0" t="n">
        <f aca="false">AO25+AE25+AG25+AH25+AI25+AK25+AL25+AM25+AN25</f>
        <v>731792344.873912</v>
      </c>
      <c r="AQ25" s="0" t="n">
        <f aca="false">AO25+AE25+AG25+AJ25</f>
        <v>973663488.059869</v>
      </c>
      <c r="AR25" s="0" t="n">
        <f aca="false">AB25+AC25+AD25+AF25</f>
        <v>137833427.610024</v>
      </c>
      <c r="AS25" s="0" t="n">
        <f aca="false">AR25+AE25+AG25</f>
        <v>137833427.610024</v>
      </c>
    </row>
    <row r="26" customFormat="false" ht="15" hidden="false" customHeight="false" outlineLevel="0" collapsed="false">
      <c r="A26" s="0" t="n">
        <v>2049</v>
      </c>
      <c r="B26" s="0" t="n">
        <v>23</v>
      </c>
      <c r="C26" s="0" t="n">
        <v>4832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2200.369</v>
      </c>
      <c r="I26" s="0" t="n">
        <v>288.756</v>
      </c>
      <c r="J26" s="0" t="n">
        <v>1605.216</v>
      </c>
      <c r="K26" s="0" t="n">
        <v>2114.506</v>
      </c>
      <c r="L26" s="0" t="n">
        <v>1130.459</v>
      </c>
      <c r="M26" s="0" t="n">
        <v>88706.578</v>
      </c>
      <c r="N26" s="0" t="n">
        <v>9421.342</v>
      </c>
      <c r="O26" s="0" t="n">
        <v>85.208</v>
      </c>
      <c r="P26" s="0" t="n">
        <v>86.041</v>
      </c>
      <c r="Q26" s="0" t="n">
        <v>1070.811</v>
      </c>
      <c r="R26" s="0" t="n">
        <v>948.278</v>
      </c>
      <c r="S26" s="0" t="n">
        <v>5231.39</v>
      </c>
      <c r="T26" s="0" t="n">
        <v>2489.125</v>
      </c>
      <c r="U26" s="0" t="n">
        <v>1714.997</v>
      </c>
      <c r="V26" s="0" t="n">
        <v>144793.225</v>
      </c>
      <c r="W26" s="0" t="n">
        <v>283.651</v>
      </c>
      <c r="X26" s="0" t="n">
        <v>596.835</v>
      </c>
      <c r="Y26" s="0" t="n">
        <v>85.208</v>
      </c>
      <c r="Z26" s="0" t="n">
        <v>800.657</v>
      </c>
      <c r="AA26" s="0" t="n">
        <f aca="false">H26*x_c_F+I26*x_c_CC+J26*x_c_DC+K26*x_c_HCC+L26*x_c_PLT+M26*x_c_SVRn+N26*x_c_SVRcc+O26*x_c_LT+P26*x_c_LT1</f>
        <v>319408541.326363</v>
      </c>
      <c r="AB26" s="0" t="n">
        <f aca="false">C26*x_c_DAA</f>
        <v>109976320</v>
      </c>
      <c r="AC26" s="0" t="n">
        <f aca="false">C26*x_c_MON</f>
        <v>27857107.6100244</v>
      </c>
      <c r="AD26" s="0" t="n">
        <f aca="false">D26*(1-x_testy)</f>
        <v>0</v>
      </c>
      <c r="AE26" s="0" t="n">
        <f aca="false">E26*(1-x_testy)</f>
        <v>0</v>
      </c>
      <c r="AF26" s="0" t="n">
        <f aca="false">F26*x_NAV</f>
        <v>0</v>
      </c>
      <c r="AG26" s="0" t="n">
        <f aca="false">G26*x_FIX*(1-x_testy)</f>
        <v>0</v>
      </c>
      <c r="AH26" s="0" t="n">
        <f aca="false">x_z_F*U26+(1-x_AGRI)*x_EMP*x_WLOSS*(x_PEN_K74*Q26+x_PEN_C22*R26)</f>
        <v>21710681.6143807</v>
      </c>
      <c r="AI26" s="0" t="n">
        <f aca="false">x_AGRI*x_EMP*x_WLOSS*(x_PEN_K74*Q26+x_PEN_C22*R26)</f>
        <v>1201983.6782125</v>
      </c>
      <c r="AJ26" s="0" t="n">
        <f aca="false">x_EMP*x_WAGE*(x_WLOSS*(Q26+R26)+S26)+U26*x_ABS_D*x_WAGE/365</f>
        <v>544063073.683793</v>
      </c>
      <c r="AK26" s="0" t="n">
        <f aca="false">AJ26*x_R_FUS</f>
        <v>172141556.513552</v>
      </c>
      <c r="AL26" s="0" t="n">
        <f aca="false">AJ26*x_R_NFZ</f>
        <v>42252482.365357</v>
      </c>
      <c r="AM26" s="0" t="n">
        <f aca="false">AJ26*x_R_PIT</f>
        <v>36171583.9734757</v>
      </c>
      <c r="AN26" s="0" t="n">
        <f aca="false">AJ26*x_R_FP</f>
        <v>13873608.3789367</v>
      </c>
      <c r="AO26" s="0" t="n">
        <f aca="false">AA26+AB26+AC26+AD26+AF26</f>
        <v>457241968.936387</v>
      </c>
      <c r="AP26" s="0" t="n">
        <f aca="false">AO26+AE26+AG26+AH26+AI26+AK26+AL26+AM26+AN26</f>
        <v>744593865.460302</v>
      </c>
      <c r="AQ26" s="0" t="n">
        <f aca="false">AO26+AE26+AG26+AJ26</f>
        <v>1001305042.62018</v>
      </c>
      <c r="AR26" s="0" t="n">
        <f aca="false">AB26+AC26+AD26+AF26</f>
        <v>137833427.610024</v>
      </c>
      <c r="AS26" s="0" t="n">
        <f aca="false">AR26+AE26+AG26</f>
        <v>137833427.610024</v>
      </c>
    </row>
    <row r="27" customFormat="false" ht="15" hidden="false" customHeight="false" outlineLevel="0" collapsed="false">
      <c r="A27" s="0" t="n">
        <v>2050</v>
      </c>
      <c r="B27" s="0" t="n">
        <v>24</v>
      </c>
      <c r="C27" s="0" t="n">
        <v>4832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2205.423</v>
      </c>
      <c r="I27" s="0" t="n">
        <v>282.757</v>
      </c>
      <c r="J27" s="0" t="n">
        <v>1573.462</v>
      </c>
      <c r="K27" s="0" t="n">
        <v>2072.043</v>
      </c>
      <c r="L27" s="0" t="n">
        <v>1111.571</v>
      </c>
      <c r="M27" s="0" t="n">
        <v>91343.013</v>
      </c>
      <c r="N27" s="0" t="n">
        <v>9533.374</v>
      </c>
      <c r="O27" s="0" t="n">
        <v>83.551</v>
      </c>
      <c r="P27" s="0" t="n">
        <v>84.38</v>
      </c>
      <c r="Q27" s="0" t="n">
        <v>1105.755</v>
      </c>
      <c r="R27" s="0" t="n">
        <v>983.385</v>
      </c>
      <c r="S27" s="0" t="n">
        <v>5557.445</v>
      </c>
      <c r="T27" s="0" t="n">
        <v>2488.18</v>
      </c>
      <c r="U27" s="0" t="n">
        <v>1744.453</v>
      </c>
      <c r="V27" s="0" t="n">
        <v>146317.481</v>
      </c>
      <c r="W27" s="0" t="n">
        <v>277.292</v>
      </c>
      <c r="X27" s="0" t="n">
        <v>584.922</v>
      </c>
      <c r="Y27" s="0" t="n">
        <v>83.551</v>
      </c>
      <c r="Z27" s="0" t="n">
        <v>785.043</v>
      </c>
      <c r="AA27" s="0" t="n">
        <f aca="false">H27*x_c_F+I27*x_c_CC+J27*x_c_DC+K27*x_c_HCC+L27*x_c_PLT+M27*x_c_SVRn+N27*x_c_SVRcc+O27*x_c_LT+P27*x_c_LT1</f>
        <v>316821703.196714</v>
      </c>
      <c r="AB27" s="0" t="n">
        <f aca="false">C27*x_c_DAA</f>
        <v>109976320</v>
      </c>
      <c r="AC27" s="0" t="n">
        <f aca="false">C27*x_c_MON</f>
        <v>27857107.6100244</v>
      </c>
      <c r="AD27" s="0" t="n">
        <f aca="false">D27*(1-x_testy)</f>
        <v>0</v>
      </c>
      <c r="AE27" s="0" t="n">
        <f aca="false">E27*(1-x_testy)</f>
        <v>0</v>
      </c>
      <c r="AF27" s="0" t="n">
        <f aca="false">F27*x_NAV</f>
        <v>0</v>
      </c>
      <c r="AG27" s="0" t="n">
        <f aca="false">G27*x_FIX*(1-x_testy)</f>
        <v>0</v>
      </c>
      <c r="AH27" s="0" t="n">
        <f aca="false">x_z_F*U27+(1-x_AGRI)*x_EMP*x_WLOSS*(x_PEN_K74*Q27+x_PEN_C22*R27)</f>
        <v>22404700.7093815</v>
      </c>
      <c r="AI27" s="0" t="n">
        <f aca="false">x_AGRI*x_EMP*x_WLOSS*(x_PEN_K74*Q27+x_PEN_C22*R27)</f>
        <v>1243854.23666378</v>
      </c>
      <c r="AJ27" s="0" t="n">
        <f aca="false">x_EMP*x_WAGE*(x_WLOSS*(Q27+R27)+S27)+U27*x_ABS_D*x_WAGE/365</f>
        <v>575175594.988171</v>
      </c>
      <c r="AK27" s="0" t="n">
        <f aca="false">AJ27*x_R_FUS</f>
        <v>181985558.254257</v>
      </c>
      <c r="AL27" s="0" t="n">
        <f aca="false">AJ27*x_R_NFZ</f>
        <v>44668711.8823764</v>
      </c>
      <c r="AM27" s="0" t="n">
        <f aca="false">AJ27*x_R_PIT</f>
        <v>38240074.2486344</v>
      </c>
      <c r="AN27" s="0" t="n">
        <f aca="false">AJ27*x_R_FP</f>
        <v>14666977.6721984</v>
      </c>
      <c r="AO27" s="0" t="n">
        <f aca="false">AA27+AB27+AC27+AD27+AF27</f>
        <v>454655130.806738</v>
      </c>
      <c r="AP27" s="0" t="n">
        <f aca="false">AO27+AE27+AG27+AH27+AI27+AK27+AL27+AM27+AN27</f>
        <v>757865007.81025</v>
      </c>
      <c r="AQ27" s="0" t="n">
        <f aca="false">AO27+AE27+AG27+AJ27</f>
        <v>1029830725.79491</v>
      </c>
      <c r="AR27" s="0" t="n">
        <f aca="false">AB27+AC27+AD27+AF27</f>
        <v>137833427.610024</v>
      </c>
      <c r="AS27" s="0" t="n">
        <f aca="false">AR27+AE27+AG27</f>
        <v>137833427.610024</v>
      </c>
    </row>
    <row r="28" customFormat="false" ht="15" hidden="false" customHeight="false" outlineLevel="0" collapsed="false">
      <c r="A28" s="0" t="n">
        <v>2051</v>
      </c>
      <c r="B28" s="0" t="n">
        <v>25</v>
      </c>
      <c r="C28" s="0" t="n">
        <v>4832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2210.267</v>
      </c>
      <c r="I28" s="0" t="n">
        <v>277.045</v>
      </c>
      <c r="J28" s="0" t="n">
        <v>1542.141</v>
      </c>
      <c r="K28" s="0" t="n">
        <v>2031.452</v>
      </c>
      <c r="L28" s="0" t="n">
        <v>1092.793</v>
      </c>
      <c r="M28" s="0" t="n">
        <v>93984.136</v>
      </c>
      <c r="N28" s="0" t="n">
        <v>9630.391</v>
      </c>
      <c r="O28" s="0" t="n">
        <v>81.918</v>
      </c>
      <c r="P28" s="0" t="n">
        <v>82.735</v>
      </c>
      <c r="Q28" s="0" t="n">
        <v>1141.495</v>
      </c>
      <c r="R28" s="0" t="n">
        <v>1018.716</v>
      </c>
      <c r="S28" s="0" t="n">
        <v>5892.105</v>
      </c>
      <c r="T28" s="0" t="n">
        <v>2487.312</v>
      </c>
      <c r="U28" s="0" t="n">
        <v>1771.286</v>
      </c>
      <c r="V28" s="0" t="n">
        <v>147888.48</v>
      </c>
      <c r="W28" s="0" t="n">
        <v>271.327</v>
      </c>
      <c r="X28" s="0" t="n">
        <v>573.804</v>
      </c>
      <c r="Y28" s="0" t="n">
        <v>81.918</v>
      </c>
      <c r="Z28" s="0" t="n">
        <v>769.894</v>
      </c>
      <c r="AA28" s="0" t="n">
        <f aca="false">H28*x_c_F+I28*x_c_CC+J28*x_c_DC+K28*x_c_HCC+L28*x_c_PLT+M28*x_c_SVRn+N28*x_c_SVRcc+O28*x_c_LT+P28*x_c_LT1</f>
        <v>314335575.648787</v>
      </c>
      <c r="AB28" s="0" t="n">
        <f aca="false">C28*x_c_DAA</f>
        <v>109976320</v>
      </c>
      <c r="AC28" s="0" t="n">
        <f aca="false">C28*x_c_MON</f>
        <v>27857107.6100244</v>
      </c>
      <c r="AD28" s="0" t="n">
        <f aca="false">D28*(1-x_testy)</f>
        <v>0</v>
      </c>
      <c r="AE28" s="0" t="n">
        <f aca="false">E28*(1-x_testy)</f>
        <v>0</v>
      </c>
      <c r="AF28" s="0" t="n">
        <f aca="false">F28*x_NAV</f>
        <v>0</v>
      </c>
      <c r="AG28" s="0" t="n">
        <f aca="false">G28*x_FIX*(1-x_testy)</f>
        <v>0</v>
      </c>
      <c r="AH28" s="0" t="n">
        <f aca="false">x_z_F*U28+(1-x_AGRI)*x_EMP*x_WLOSS*(x_PEN_K74*Q28+x_PEN_C22*R28)</f>
        <v>23102219.2230601</v>
      </c>
      <c r="AI28" s="0" t="n">
        <f aca="false">x_AGRI*x_EMP*x_WLOSS*(x_PEN_K74*Q28+x_PEN_C22*R28)</f>
        <v>1286312.53909547</v>
      </c>
      <c r="AJ28" s="0" t="n">
        <f aca="false">x_EMP*x_WAGE*(x_WLOSS*(Q28+R28)+S28)+U28*x_ABS_D*x_WAGE/365</f>
        <v>607061056.985865</v>
      </c>
      <c r="AK28" s="0" t="n">
        <f aca="false">AJ28*x_R_FUS</f>
        <v>192074118.430328</v>
      </c>
      <c r="AL28" s="0" t="n">
        <f aca="false">AJ28*x_R_NFZ</f>
        <v>47144968.7465793</v>
      </c>
      <c r="AM28" s="0" t="n">
        <f aca="false">AJ28*x_R_PIT</f>
        <v>40359952.8472194</v>
      </c>
      <c r="AN28" s="0" t="n">
        <f aca="false">AJ28*x_R_FP</f>
        <v>15480056.9531396</v>
      </c>
      <c r="AO28" s="0" t="n">
        <f aca="false">AA28+AB28+AC28+AD28+AF28</f>
        <v>452169003.258811</v>
      </c>
      <c r="AP28" s="0" t="n">
        <f aca="false">AO28+AE28+AG28+AH28+AI28+AK28+AL28+AM28+AN28</f>
        <v>771616631.998233</v>
      </c>
      <c r="AQ28" s="0" t="n">
        <f aca="false">AO28+AE28+AG28+AJ28</f>
        <v>1059230060.24468</v>
      </c>
      <c r="AR28" s="0" t="n">
        <f aca="false">AB28+AC28+AD28+AF28</f>
        <v>137833427.610024</v>
      </c>
      <c r="AS28" s="0" t="n">
        <f aca="false">AR28+AE28+AG28</f>
        <v>137833427.610024</v>
      </c>
    </row>
    <row r="29" customFormat="false" ht="15" hidden="false" customHeight="false" outlineLevel="0" collapsed="false">
      <c r="A29" s="0" t="n">
        <v>2052</v>
      </c>
      <c r="B29" s="0" t="n">
        <v>26</v>
      </c>
      <c r="C29" s="0" t="n">
        <v>4832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2214.869</v>
      </c>
      <c r="I29" s="0" t="n">
        <v>271.641</v>
      </c>
      <c r="J29" s="0" t="n">
        <v>1511.477</v>
      </c>
      <c r="K29" s="0" t="n">
        <v>1992.835</v>
      </c>
      <c r="L29" s="0" t="n">
        <v>1074.081</v>
      </c>
      <c r="M29" s="0" t="n">
        <v>96626.586</v>
      </c>
      <c r="N29" s="0" t="n">
        <v>9713.087</v>
      </c>
      <c r="O29" s="0" t="n">
        <v>80.319</v>
      </c>
      <c r="P29" s="0" t="n">
        <v>81.119</v>
      </c>
      <c r="Q29" s="0" t="n">
        <v>1177.892</v>
      </c>
      <c r="R29" s="0" t="n">
        <v>1054.068</v>
      </c>
      <c r="S29" s="0" t="n">
        <v>6234.991</v>
      </c>
      <c r="T29" s="0" t="n">
        <v>2486.51</v>
      </c>
      <c r="U29" s="0" t="n">
        <v>1795.685</v>
      </c>
      <c r="V29" s="0" t="n">
        <v>149496.683</v>
      </c>
      <c r="W29" s="0" t="n">
        <v>265.741</v>
      </c>
      <c r="X29" s="0" t="n">
        <v>563.434</v>
      </c>
      <c r="Y29" s="0" t="n">
        <v>80.319</v>
      </c>
      <c r="Z29" s="0" t="n">
        <v>755.268</v>
      </c>
      <c r="AA29" s="0" t="n">
        <f aca="false">H29*x_c_F+I29*x_c_CC+J29*x_c_DC+K29*x_c_HCC+L29*x_c_PLT+M29*x_c_SVRn+N29*x_c_SVRcc+O29*x_c_LT+P29*x_c_LT1</f>
        <v>311963126.789614</v>
      </c>
      <c r="AB29" s="0" t="n">
        <f aca="false">C29*x_c_DAA</f>
        <v>109976320</v>
      </c>
      <c r="AC29" s="0" t="n">
        <f aca="false">C29*x_c_MON</f>
        <v>27857107.6100244</v>
      </c>
      <c r="AD29" s="0" t="n">
        <f aca="false">D29*(1-x_testy)</f>
        <v>0</v>
      </c>
      <c r="AE29" s="0" t="n">
        <f aca="false">E29*(1-x_testy)</f>
        <v>0</v>
      </c>
      <c r="AF29" s="0" t="n">
        <f aca="false">F29*x_NAV</f>
        <v>0</v>
      </c>
      <c r="AG29" s="0" t="n">
        <f aca="false">G29*x_FIX*(1-x_testy)</f>
        <v>0</v>
      </c>
      <c r="AH29" s="0" t="n">
        <f aca="false">x_z_F*U29+(1-x_AGRI)*x_EMP*x_WLOSS*(x_PEN_K74*Q29+x_PEN_C22*R29)</f>
        <v>23800496.5588283</v>
      </c>
      <c r="AI29" s="0" t="n">
        <f aca="false">x_AGRI*x_EMP*x_WLOSS*(x_PEN_K74*Q29+x_PEN_C22*R29)</f>
        <v>1329151.75414735</v>
      </c>
      <c r="AJ29" s="0" t="n">
        <f aca="false">x_EMP*x_WAGE*(x_WLOSS*(Q29+R29)+S29)+U29*x_ABS_D*x_WAGE/365</f>
        <v>639671949.373067</v>
      </c>
      <c r="AK29" s="0" t="n">
        <f aca="false">AJ29*x_R_FUS</f>
        <v>202392204.781638</v>
      </c>
      <c r="AL29" s="0" t="n">
        <f aca="false">AJ29*x_R_NFZ</f>
        <v>49677563.2602618</v>
      </c>
      <c r="AM29" s="0" t="n">
        <f aca="false">AJ29*x_R_PIT</f>
        <v>42528061.085933</v>
      </c>
      <c r="AN29" s="0" t="n">
        <f aca="false">AJ29*x_R_FP</f>
        <v>16311634.7090132</v>
      </c>
      <c r="AO29" s="0" t="n">
        <f aca="false">AA29+AB29+AC29+AD29+AF29</f>
        <v>449796554.399638</v>
      </c>
      <c r="AP29" s="0" t="n">
        <f aca="false">AO29+AE29+AG29+AH29+AI29+AK29+AL29+AM29+AN29</f>
        <v>785835666.54946</v>
      </c>
      <c r="AQ29" s="0" t="n">
        <f aca="false">AO29+AE29+AG29+AJ29</f>
        <v>1089468503.77271</v>
      </c>
      <c r="AR29" s="0" t="n">
        <f aca="false">AB29+AC29+AD29+AF29</f>
        <v>137833427.610024</v>
      </c>
      <c r="AS29" s="0" t="n">
        <f aca="false">AR29+AE29+AG29</f>
        <v>137833427.610024</v>
      </c>
    </row>
    <row r="30" customFormat="false" ht="15" hidden="false" customHeight="false" outlineLevel="0" collapsed="false">
      <c r="A30" s="0" t="n">
        <v>2053</v>
      </c>
      <c r="B30" s="0" t="n">
        <v>27</v>
      </c>
      <c r="C30" s="0" t="n">
        <v>4832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2219.219</v>
      </c>
      <c r="I30" s="0" t="n">
        <v>266.548</v>
      </c>
      <c r="J30" s="0" t="n">
        <v>1481.561</v>
      </c>
      <c r="K30" s="0" t="n">
        <v>1956.134</v>
      </c>
      <c r="L30" s="0" t="n">
        <v>1055.327</v>
      </c>
      <c r="M30" s="0" t="n">
        <v>99264.233</v>
      </c>
      <c r="N30" s="0" t="n">
        <v>9781.54</v>
      </c>
      <c r="O30" s="0" t="n">
        <v>78.757</v>
      </c>
      <c r="P30" s="0" t="n">
        <v>79.538</v>
      </c>
      <c r="Q30" s="0" t="n">
        <v>1214.776</v>
      </c>
      <c r="R30" s="0" t="n">
        <v>1089.228</v>
      </c>
      <c r="S30" s="0" t="n">
        <v>6585.536</v>
      </c>
      <c r="T30" s="0" t="n">
        <v>2485.766</v>
      </c>
      <c r="U30" s="0" t="n">
        <v>1817.852</v>
      </c>
      <c r="V30" s="0" t="n">
        <v>151130.255</v>
      </c>
      <c r="W30" s="0" t="n">
        <v>260.498</v>
      </c>
      <c r="X30" s="0" t="n">
        <v>553.72</v>
      </c>
      <c r="Y30" s="0" t="n">
        <v>78.757</v>
      </c>
      <c r="Z30" s="0" t="n">
        <v>741.138</v>
      </c>
      <c r="AA30" s="0" t="n">
        <f aca="false">H30*x_c_F+I30*x_c_CC+J30*x_c_DC+K30*x_c_HCC+L30*x_c_PLT+M30*x_c_SVRn+N30*x_c_SVRcc+O30*x_c_LT+P30*x_c_LT1</f>
        <v>309696679.122323</v>
      </c>
      <c r="AB30" s="0" t="n">
        <f aca="false">C30*x_c_DAA</f>
        <v>109976320</v>
      </c>
      <c r="AC30" s="0" t="n">
        <f aca="false">C30*x_c_MON</f>
        <v>27857107.6100244</v>
      </c>
      <c r="AD30" s="0" t="n">
        <f aca="false">D30*(1-x_testy)</f>
        <v>0</v>
      </c>
      <c r="AE30" s="0" t="n">
        <f aca="false">E30*(1-x_testy)</f>
        <v>0</v>
      </c>
      <c r="AF30" s="0" t="n">
        <f aca="false">F30*x_NAV</f>
        <v>0</v>
      </c>
      <c r="AG30" s="0" t="n">
        <f aca="false">G30*x_FIX*(1-x_testy)</f>
        <v>0</v>
      </c>
      <c r="AH30" s="0" t="n">
        <f aca="false">x_z_F*U30+(1-x_AGRI)*x_EMP*x_WLOSS*(x_PEN_K74*Q30+x_PEN_C22*R30)</f>
        <v>24496460.272613</v>
      </c>
      <c r="AI30" s="0" t="n">
        <f aca="false">x_AGRI*x_EMP*x_WLOSS*(x_PEN_K74*Q30+x_PEN_C22*R30)</f>
        <v>1372141.34940903</v>
      </c>
      <c r="AJ30" s="0" t="n">
        <f aca="false">x_EMP*x_WAGE*(x_WLOSS*(Q30+R30)+S30)+U30*x_ABS_D*x_WAGE/365</f>
        <v>672942882.693048</v>
      </c>
      <c r="AK30" s="0" t="n">
        <f aca="false">AJ30*x_R_FUS</f>
        <v>212919128.08408</v>
      </c>
      <c r="AL30" s="0" t="n">
        <f aca="false">AJ30*x_R_NFZ</f>
        <v>52261417.2128248</v>
      </c>
      <c r="AM30" s="0" t="n">
        <f aca="false">AJ30*x_R_PIT</f>
        <v>44740051.6007663</v>
      </c>
      <c r="AN30" s="0" t="n">
        <f aca="false">AJ30*x_R_FP</f>
        <v>17160043.5086727</v>
      </c>
      <c r="AO30" s="0" t="n">
        <f aca="false">AA30+AB30+AC30+AD30+AF30</f>
        <v>447530106.732348</v>
      </c>
      <c r="AP30" s="0" t="n">
        <f aca="false">AO30+AE30+AG30+AH30+AI30+AK30+AL30+AM30+AN30</f>
        <v>800479348.760714</v>
      </c>
      <c r="AQ30" s="0" t="n">
        <f aca="false">AO30+AE30+AG30+AJ30</f>
        <v>1120472989.4254</v>
      </c>
      <c r="AR30" s="0" t="n">
        <f aca="false">AB30+AC30+AD30+AF30</f>
        <v>137833427.610024</v>
      </c>
      <c r="AS30" s="0" t="n">
        <f aca="false">AR30+AE30+AG30</f>
        <v>137833427.610024</v>
      </c>
    </row>
    <row r="31" customFormat="false" ht="15" hidden="false" customHeight="false" outlineLevel="0" collapsed="false">
      <c r="A31" s="0" t="n">
        <v>2054</v>
      </c>
      <c r="B31" s="0" t="n">
        <v>28</v>
      </c>
      <c r="C31" s="0" t="n">
        <v>4832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2223.322</v>
      </c>
      <c r="I31" s="0" t="n">
        <v>261.748</v>
      </c>
      <c r="J31" s="0" t="n">
        <v>1452.382</v>
      </c>
      <c r="K31" s="0" t="n">
        <v>1921.169</v>
      </c>
      <c r="L31" s="0" t="n">
        <v>1036.364</v>
      </c>
      <c r="M31" s="0" t="n">
        <v>101888.296</v>
      </c>
      <c r="N31" s="0" t="n">
        <v>9835.213</v>
      </c>
      <c r="O31" s="0" t="n">
        <v>77.229</v>
      </c>
      <c r="P31" s="0" t="n">
        <v>77.993</v>
      </c>
      <c r="Q31" s="0" t="n">
        <v>1251.965</v>
      </c>
      <c r="R31" s="0" t="n">
        <v>1123.982</v>
      </c>
      <c r="S31" s="0" t="n">
        <v>6943.066</v>
      </c>
      <c r="T31" s="0" t="n">
        <v>2485.07</v>
      </c>
      <c r="U31" s="0" t="n">
        <v>1837.986</v>
      </c>
      <c r="V31" s="0" t="n">
        <v>152775.45</v>
      </c>
      <c r="W31" s="0" t="n">
        <v>255.556</v>
      </c>
      <c r="X31" s="0" t="n">
        <v>544.567</v>
      </c>
      <c r="Y31" s="0" t="n">
        <v>77.229</v>
      </c>
      <c r="Z31" s="0" t="n">
        <v>727.457</v>
      </c>
      <c r="AA31" s="0" t="n">
        <f aca="false">H31*x_c_F+I31*x_c_CC+J31*x_c_DC+K31*x_c_HCC+L31*x_c_PLT+M31*x_c_SVRn+N31*x_c_SVRcc+O31*x_c_LT+P31*x_c_LT1</f>
        <v>307511493.885904</v>
      </c>
      <c r="AB31" s="0" t="n">
        <f aca="false">C31*x_c_DAA</f>
        <v>109976320</v>
      </c>
      <c r="AC31" s="0" t="n">
        <f aca="false">C31*x_c_MON</f>
        <v>27857107.6100244</v>
      </c>
      <c r="AD31" s="0" t="n">
        <f aca="false">D31*(1-x_testy)</f>
        <v>0</v>
      </c>
      <c r="AE31" s="0" t="n">
        <f aca="false">E31*(1-x_testy)</f>
        <v>0</v>
      </c>
      <c r="AF31" s="0" t="n">
        <f aca="false">F31*x_NAV</f>
        <v>0</v>
      </c>
      <c r="AG31" s="0" t="n">
        <f aca="false">G31*x_FIX*(1-x_testy)</f>
        <v>0</v>
      </c>
      <c r="AH31" s="0" t="n">
        <f aca="false">x_z_F*U31+(1-x_AGRI)*x_EMP*x_WLOSS*(x_PEN_K74*Q31+x_PEN_C22*R31)</f>
        <v>25186920.5658136</v>
      </c>
      <c r="AI31" s="0" t="n">
        <f aca="false">x_AGRI*x_EMP*x_WLOSS*(x_PEN_K74*Q31+x_PEN_C22*R31)</f>
        <v>1415043.44323061</v>
      </c>
      <c r="AJ31" s="0" t="n">
        <f aca="false">x_EMP*x_WAGE*(x_WLOSS*(Q31+R31)+S31)+U31*x_ABS_D*x_WAGE/365</f>
        <v>706798737.054182</v>
      </c>
      <c r="AK31" s="0" t="n">
        <f aca="false">AJ31*x_R_FUS</f>
        <v>223631120.403943</v>
      </c>
      <c r="AL31" s="0" t="n">
        <f aca="false">AJ31*x_R_NFZ</f>
        <v>54890696.7183648</v>
      </c>
      <c r="AM31" s="0" t="n">
        <f aca="false">AJ31*x_R_PIT</f>
        <v>46990930.1077853</v>
      </c>
      <c r="AN31" s="0" t="n">
        <f aca="false">AJ31*x_R_FP</f>
        <v>18023367.7948816</v>
      </c>
      <c r="AO31" s="0" t="n">
        <f aca="false">AA31+AB31+AC31+AD31+AF31</f>
        <v>445344921.495929</v>
      </c>
      <c r="AP31" s="0" t="n">
        <f aca="false">AO31+AE31+AG31+AH31+AI31+AK31+AL31+AM31+AN31</f>
        <v>815483000.529948</v>
      </c>
      <c r="AQ31" s="0" t="n">
        <f aca="false">AO31+AE31+AG31+AJ31</f>
        <v>1152143658.55011</v>
      </c>
      <c r="AR31" s="0" t="n">
        <f aca="false">AB31+AC31+AD31+AF31</f>
        <v>137833427.610024</v>
      </c>
      <c r="AS31" s="0" t="n">
        <f aca="false">AR31+AE31+AG31</f>
        <v>137833427.610024</v>
      </c>
    </row>
    <row r="32" customFormat="false" ht="15" hidden="false" customHeight="false" outlineLevel="0" collapsed="false">
      <c r="A32" s="0" t="n">
        <v>2055</v>
      </c>
      <c r="B32" s="0" t="n">
        <v>29</v>
      </c>
      <c r="C32" s="0" t="n">
        <v>4832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2227.188</v>
      </c>
      <c r="I32" s="0" t="n">
        <v>257.226</v>
      </c>
      <c r="J32" s="0" t="n">
        <v>1423.887</v>
      </c>
      <c r="K32" s="0" t="n">
        <v>1887.724</v>
      </c>
      <c r="L32" s="0" t="n">
        <v>1017.003</v>
      </c>
      <c r="M32" s="0" t="n">
        <v>104488.716</v>
      </c>
      <c r="N32" s="0" t="n">
        <v>9873.268</v>
      </c>
      <c r="O32" s="0" t="n">
        <v>75.733</v>
      </c>
      <c r="P32" s="0" t="n">
        <v>76.481</v>
      </c>
      <c r="Q32" s="0" t="n">
        <v>1289.267</v>
      </c>
      <c r="R32" s="0" t="n">
        <v>1158.125</v>
      </c>
      <c r="S32" s="0" t="n">
        <v>7306.821</v>
      </c>
      <c r="T32" s="0" t="n">
        <v>2484.414</v>
      </c>
      <c r="U32" s="0" t="n">
        <v>1856.268</v>
      </c>
      <c r="V32" s="0" t="n">
        <v>154418.498</v>
      </c>
      <c r="W32" s="0" t="n">
        <v>250.876</v>
      </c>
      <c r="X32" s="0" t="n">
        <v>535.885</v>
      </c>
      <c r="Y32" s="0" t="n">
        <v>75.733</v>
      </c>
      <c r="Z32" s="0" t="n">
        <v>714.159</v>
      </c>
      <c r="AA32" s="0" t="n">
        <f aca="false">H32*x_c_F+I32*x_c_CC+J32*x_c_DC+K32*x_c_HCC+L32*x_c_PLT+M32*x_c_SVRn+N32*x_c_SVRcc+O32*x_c_LT+P32*x_c_LT1</f>
        <v>305377687.242735</v>
      </c>
      <c r="AB32" s="0" t="n">
        <f aca="false">C32*x_c_DAA</f>
        <v>109976320</v>
      </c>
      <c r="AC32" s="0" t="n">
        <f aca="false">C32*x_c_MON</f>
        <v>27857107.6100244</v>
      </c>
      <c r="AD32" s="0" t="n">
        <f aca="false">D32*(1-x_testy)</f>
        <v>0</v>
      </c>
      <c r="AE32" s="0" t="n">
        <f aca="false">E32*(1-x_testy)</f>
        <v>0</v>
      </c>
      <c r="AF32" s="0" t="n">
        <f aca="false">F32*x_NAV</f>
        <v>0</v>
      </c>
      <c r="AG32" s="0" t="n">
        <f aca="false">G32*x_FIX*(1-x_testy)</f>
        <v>0</v>
      </c>
      <c r="AH32" s="0" t="n">
        <f aca="false">x_z_F*U32+(1-x_AGRI)*x_EMP*x_WLOSS*(x_PEN_K74*Q32+x_PEN_C22*R32)</f>
        <v>25868652.5653933</v>
      </c>
      <c r="AI32" s="0" t="n">
        <f aca="false">x_AGRI*x_EMP*x_WLOSS*(x_PEN_K74*Q32+x_PEN_C22*R32)</f>
        <v>1457620.2816269</v>
      </c>
      <c r="AJ32" s="0" t="n">
        <f aca="false">x_EMP*x_WAGE*(x_WLOSS*(Q32+R32)+S32)+U32*x_ABS_D*x_WAGE/365</f>
        <v>741156961.232433</v>
      </c>
      <c r="AK32" s="0" t="n">
        <f aca="false">AJ32*x_R_FUS</f>
        <v>234502062.533942</v>
      </c>
      <c r="AL32" s="0" t="n">
        <f aca="false">AJ32*x_R_NFZ</f>
        <v>57558990.7662719</v>
      </c>
      <c r="AM32" s="0" t="n">
        <f aca="false">AJ32*x_R_PIT</f>
        <v>49275208.2570599</v>
      </c>
      <c r="AN32" s="0" t="n">
        <f aca="false">AJ32*x_R_FP</f>
        <v>18899502.511427</v>
      </c>
      <c r="AO32" s="0" t="n">
        <f aca="false">AA32+AB32+AC32+AD32+AF32</f>
        <v>443211114.85276</v>
      </c>
      <c r="AP32" s="0" t="n">
        <f aca="false">AO32+AE32+AG32+AH32+AI32+AK32+AL32+AM32+AN32</f>
        <v>830773151.76848</v>
      </c>
      <c r="AQ32" s="0" t="n">
        <f aca="false">AO32+AE32+AG32+AJ32</f>
        <v>1184368076.08519</v>
      </c>
      <c r="AR32" s="0" t="n">
        <f aca="false">AB32+AC32+AD32+AF32</f>
        <v>137833427.610024</v>
      </c>
      <c r="AS32" s="0" t="n">
        <f aca="false">AR32+AE32+AG32</f>
        <v>137833427.610024</v>
      </c>
    </row>
    <row r="33" customFormat="false" ht="15" hidden="false" customHeight="false" outlineLevel="0" collapsed="false">
      <c r="A33" s="0" t="n">
        <v>2056</v>
      </c>
      <c r="B33" s="0" t="n">
        <v>30</v>
      </c>
      <c r="C33" s="0" t="n">
        <v>4832</v>
      </c>
      <c r="D33" s="0" t="n">
        <v>0</v>
      </c>
      <c r="E33" s="0" t="n">
        <v>0</v>
      </c>
      <c r="F33" s="0" t="n">
        <v>0</v>
      </c>
      <c r="G33" s="0" t="n">
        <v>0</v>
      </c>
      <c r="H33" s="0" t="n">
        <v>2230.832</v>
      </c>
      <c r="I33" s="0" t="n">
        <v>252.958</v>
      </c>
      <c r="J33" s="0" t="n">
        <v>1395.969</v>
      </c>
      <c r="K33" s="0" t="n">
        <v>1855.539</v>
      </c>
      <c r="L33" s="0" t="n">
        <v>997.01</v>
      </c>
      <c r="M33" s="0" t="n">
        <v>107053.281</v>
      </c>
      <c r="N33" s="0" t="n">
        <v>9894.364</v>
      </c>
      <c r="O33" s="0" t="n">
        <v>74.261</v>
      </c>
      <c r="P33" s="0" t="n">
        <v>74.997</v>
      </c>
      <c r="Q33" s="0" t="n">
        <v>1326.47</v>
      </c>
      <c r="R33" s="0" t="n">
        <v>1191.447</v>
      </c>
      <c r="S33" s="0" t="n">
        <v>7675.819</v>
      </c>
      <c r="T33" s="0" t="n">
        <v>2483.79</v>
      </c>
      <c r="U33" s="0" t="n">
        <v>1872.866</v>
      </c>
      <c r="V33" s="0" t="n">
        <v>156044.399</v>
      </c>
      <c r="W33" s="0" t="n">
        <v>246.413</v>
      </c>
      <c r="X33" s="0" t="n">
        <v>527.575</v>
      </c>
      <c r="Y33" s="0" t="n">
        <v>74.261</v>
      </c>
      <c r="Z33" s="0" t="n">
        <v>701.143</v>
      </c>
      <c r="AA33" s="0" t="n">
        <f aca="false">H33*x_c_F+I33*x_c_CC+J33*x_c_DC+K33*x_c_HCC+L33*x_c_PLT+M33*x_c_SVRn+N33*x_c_SVRcc+O33*x_c_LT+P33*x_c_LT1</f>
        <v>303255320.602137</v>
      </c>
      <c r="AB33" s="0" t="n">
        <f aca="false">C33*x_c_DAA</f>
        <v>109976320</v>
      </c>
      <c r="AC33" s="0" t="n">
        <f aca="false">C33*x_c_MON</f>
        <v>27857107.6100244</v>
      </c>
      <c r="AD33" s="0" t="n">
        <f aca="false">D33*(1-x_testy)</f>
        <v>0</v>
      </c>
      <c r="AE33" s="0" t="n">
        <f aca="false">E33*(1-x_testy)</f>
        <v>0</v>
      </c>
      <c r="AF33" s="0" t="n">
        <f aca="false">F33*x_NAV</f>
        <v>0</v>
      </c>
      <c r="AG33" s="0" t="n">
        <f aca="false">G33*x_FIX*(1-x_testy)</f>
        <v>0</v>
      </c>
      <c r="AH33" s="0" t="n">
        <f aca="false">x_z_F*U33+(1-x_AGRI)*x_EMP*x_WLOSS*(x_PEN_K74*Q33+x_PEN_C22*R33)</f>
        <v>26538187.2969279</v>
      </c>
      <c r="AI33" s="0" t="n">
        <f aca="false">x_AGRI*x_EMP*x_WLOSS*(x_PEN_K74*Q33+x_PEN_C22*R33)</f>
        <v>1499619.74254768</v>
      </c>
      <c r="AJ33" s="0" t="n">
        <f aca="false">x_EMP*x_WAGE*(x_WLOSS*(Q33+R33)+S33)+U33*x_ABS_D*x_WAGE/365</f>
        <v>775914886.546231</v>
      </c>
      <c r="AK33" s="0" t="n">
        <f aca="false">AJ33*x_R_FUS</f>
        <v>245499470.103228</v>
      </c>
      <c r="AL33" s="0" t="n">
        <f aca="false">AJ33*x_R_NFZ</f>
        <v>60258326.0040669</v>
      </c>
      <c r="AM33" s="0" t="n">
        <f aca="false">AJ33*x_R_PIT</f>
        <v>51586060.2061164</v>
      </c>
      <c r="AN33" s="0" t="n">
        <f aca="false">AJ33*x_R_FP</f>
        <v>19785829.6069289</v>
      </c>
      <c r="AO33" s="0" t="n">
        <f aca="false">AA33+AB33+AC33+AD33+AF33</f>
        <v>441088748.212162</v>
      </c>
      <c r="AP33" s="0" t="n">
        <f aca="false">AO33+AE33+AG33+AH33+AI33+AK33+AL33+AM33+AN33</f>
        <v>846256241.171977</v>
      </c>
      <c r="AQ33" s="0" t="n">
        <f aca="false">AO33+AE33+AG33+AJ33</f>
        <v>1217003634.75839</v>
      </c>
      <c r="AR33" s="0" t="n">
        <f aca="false">AB33+AC33+AD33+AF33</f>
        <v>137833427.610024</v>
      </c>
      <c r="AS33" s="0" t="n">
        <f aca="false">AR33+AE33+AG33</f>
        <v>137833427.610024</v>
      </c>
    </row>
    <row r="34" customFormat="false" ht="15" hidden="false" customHeight="false" outlineLevel="0" collapsed="false">
      <c r="A34" s="0" t="n">
        <v>2057</v>
      </c>
      <c r="B34" s="0" t="n">
        <v>31</v>
      </c>
      <c r="C34" s="0" t="n">
        <v>4832</v>
      </c>
      <c r="D34" s="0" t="n">
        <v>0</v>
      </c>
      <c r="E34" s="0" t="n">
        <v>0</v>
      </c>
      <c r="F34" s="0" t="n">
        <v>0</v>
      </c>
      <c r="G34" s="0" t="n">
        <v>0</v>
      </c>
      <c r="H34" s="0" t="n">
        <v>2234.31</v>
      </c>
      <c r="I34" s="0" t="n">
        <v>248.878</v>
      </c>
      <c r="J34" s="0" t="n">
        <v>1366.984</v>
      </c>
      <c r="K34" s="0" t="n">
        <v>1822.706</v>
      </c>
      <c r="L34" s="0" t="n">
        <v>973.682</v>
      </c>
      <c r="M34" s="0" t="n">
        <v>109479.525</v>
      </c>
      <c r="N34" s="0" t="n">
        <v>9878.86</v>
      </c>
      <c r="O34" s="0" t="n">
        <v>72.635</v>
      </c>
      <c r="P34" s="0" t="n">
        <v>73.448</v>
      </c>
      <c r="Q34" s="0" t="n">
        <v>1363.347</v>
      </c>
      <c r="R34" s="0" t="n">
        <v>1223.751</v>
      </c>
      <c r="S34" s="0" t="n">
        <v>8048.896</v>
      </c>
      <c r="T34" s="0" t="n">
        <v>2483.188</v>
      </c>
      <c r="U34" s="0" t="n">
        <v>1888.01</v>
      </c>
      <c r="V34" s="0" t="n">
        <v>157552.35</v>
      </c>
      <c r="W34" s="0" t="n">
        <v>241.84</v>
      </c>
      <c r="X34" s="0" t="n">
        <v>518.873</v>
      </c>
      <c r="Y34" s="0" t="n">
        <v>72.635</v>
      </c>
      <c r="Z34" s="0" t="n">
        <v>686.729</v>
      </c>
      <c r="AA34" s="0" t="n">
        <f aca="false">H34*x_c_F+I34*x_c_CC+J34*x_c_DC+K34*x_c_HCC+L34*x_c_PLT+M34*x_c_SVRn+N34*x_c_SVRcc+O34*x_c_LT+P34*x_c_LT1</f>
        <v>300726615.359261</v>
      </c>
      <c r="AB34" s="0" t="n">
        <f aca="false">C34*x_c_DAA</f>
        <v>109976320</v>
      </c>
      <c r="AC34" s="0" t="n">
        <f aca="false">C34*x_c_MON</f>
        <v>27857107.6100244</v>
      </c>
      <c r="AD34" s="0" t="n">
        <f aca="false">D34*(1-x_testy)</f>
        <v>0</v>
      </c>
      <c r="AE34" s="0" t="n">
        <f aca="false">E34*(1-x_testy)</f>
        <v>0</v>
      </c>
      <c r="AF34" s="0" t="n">
        <f aca="false">F34*x_NAV</f>
        <v>0</v>
      </c>
      <c r="AG34" s="0" t="n">
        <f aca="false">G34*x_FIX*(1-x_testy)</f>
        <v>0</v>
      </c>
      <c r="AH34" s="0" t="n">
        <f aca="false">x_z_F*U34+(1-x_AGRI)*x_EMP*x_WLOSS*(x_PEN_K74*Q34+x_PEN_C22*R34)</f>
        <v>27192181.3383357</v>
      </c>
      <c r="AI34" s="0" t="n">
        <f aca="false">x_AGRI*x_EMP*x_WLOSS*(x_PEN_K74*Q34+x_PEN_C22*R34)</f>
        <v>1540789.57753989</v>
      </c>
      <c r="AJ34" s="0" t="n">
        <f aca="false">x_EMP*x_WAGE*(x_WLOSS*(Q34+R34)+S34)+U34*x_ABS_D*x_WAGE/365</f>
        <v>810954416.905711</v>
      </c>
      <c r="AK34" s="0" t="n">
        <f aca="false">AJ34*x_R_FUS</f>
        <v>256585977.508967</v>
      </c>
      <c r="AL34" s="0" t="n">
        <f aca="false">AJ34*x_R_NFZ</f>
        <v>62979530.9713144</v>
      </c>
      <c r="AM34" s="0" t="n">
        <f aca="false">AJ34*x_R_PIT</f>
        <v>53915634.4339856</v>
      </c>
      <c r="AN34" s="0" t="n">
        <f aca="false">AJ34*x_R_FP</f>
        <v>20679337.6310956</v>
      </c>
      <c r="AO34" s="0" t="n">
        <f aca="false">AA34+AB34+AC34+AD34+AF34</f>
        <v>438560042.969285</v>
      </c>
      <c r="AP34" s="0" t="n">
        <f aca="false">AO34+AE34+AG34+AH34+AI34+AK34+AL34+AM34+AN34</f>
        <v>861453494.430523</v>
      </c>
      <c r="AQ34" s="0" t="n">
        <f aca="false">AO34+AE34+AG34+AJ34</f>
        <v>1249514459.875</v>
      </c>
      <c r="AR34" s="0" t="n">
        <f aca="false">AB34+AC34+AD34+AF34</f>
        <v>137833427.610024</v>
      </c>
      <c r="AS34" s="0" t="n">
        <f aca="false">AR34+AE34+AG34</f>
        <v>137833427.610024</v>
      </c>
    </row>
    <row r="35" customFormat="false" ht="15" hidden="false" customHeight="false" outlineLevel="0" collapsed="false">
      <c r="A35" s="0" t="n">
        <v>2058</v>
      </c>
      <c r="B35" s="0" t="n">
        <v>32</v>
      </c>
      <c r="C35" s="0" t="n">
        <v>4832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2237.564</v>
      </c>
      <c r="I35" s="0" t="n">
        <v>245.05</v>
      </c>
      <c r="J35" s="0" t="n">
        <v>1339.017</v>
      </c>
      <c r="K35" s="0" t="n">
        <v>1791.37</v>
      </c>
      <c r="L35" s="0" t="n">
        <v>950.167</v>
      </c>
      <c r="M35" s="0" t="n">
        <v>111875.71</v>
      </c>
      <c r="N35" s="0" t="n">
        <v>9849.986</v>
      </c>
      <c r="O35" s="0" t="n">
        <v>71.27</v>
      </c>
      <c r="P35" s="0" t="n">
        <v>71.953</v>
      </c>
      <c r="Q35" s="0" t="n">
        <v>1399.666</v>
      </c>
      <c r="R35" s="0" t="n">
        <v>1254.844</v>
      </c>
      <c r="S35" s="0" t="n">
        <v>8424.714</v>
      </c>
      <c r="T35" s="0" t="n">
        <v>2482.613</v>
      </c>
      <c r="U35" s="0" t="n">
        <v>1901.681</v>
      </c>
      <c r="V35" s="0" t="n">
        <v>159045.971</v>
      </c>
      <c r="W35" s="0" t="n">
        <v>237.849</v>
      </c>
      <c r="X35" s="0" t="n">
        <v>511.387</v>
      </c>
      <c r="Y35" s="0" t="n">
        <v>71.27</v>
      </c>
      <c r="Z35" s="0" t="n">
        <v>674.733</v>
      </c>
      <c r="AA35" s="0" t="n">
        <f aca="false">H35*x_c_F+I35*x_c_CC+J35*x_c_DC+K35*x_c_HCC+L35*x_c_PLT+M35*x_c_SVRn+N35*x_c_SVRcc+O35*x_c_LT+P35*x_c_LT1</f>
        <v>298342209.559717</v>
      </c>
      <c r="AB35" s="0" t="n">
        <f aca="false">C35*x_c_DAA</f>
        <v>109976320</v>
      </c>
      <c r="AC35" s="0" t="n">
        <f aca="false">C35*x_c_MON</f>
        <v>27857107.6100244</v>
      </c>
      <c r="AD35" s="0" t="n">
        <f aca="false">D35*(1-x_testy)</f>
        <v>0</v>
      </c>
      <c r="AE35" s="0" t="n">
        <f aca="false">E35*(1-x_testy)</f>
        <v>0</v>
      </c>
      <c r="AF35" s="0" t="n">
        <f aca="false">F35*x_NAV</f>
        <v>0</v>
      </c>
      <c r="AG35" s="0" t="n">
        <f aca="false">G35*x_FIX*(1-x_testy)</f>
        <v>0</v>
      </c>
      <c r="AH35" s="0" t="n">
        <f aca="false">x_z_F*U35+(1-x_AGRI)*x_EMP*x_WLOSS*(x_PEN_K74*Q35+x_PEN_C22*R35)</f>
        <v>27826775.5090756</v>
      </c>
      <c r="AI35" s="0" t="n">
        <f aca="false">x_AGRI*x_EMP*x_WLOSS*(x_PEN_K74*Q35+x_PEN_C22*R35)</f>
        <v>1580877.28408291</v>
      </c>
      <c r="AJ35" s="0" t="n">
        <f aca="false">x_EMP*x_WAGE*(x_WLOSS*(Q35+R35)+S35)+U35*x_ABS_D*x_WAGE/365</f>
        <v>846141843.434907</v>
      </c>
      <c r="AK35" s="0" t="n">
        <f aca="false">AJ35*x_R_FUS</f>
        <v>267719279.262805</v>
      </c>
      <c r="AL35" s="0" t="n">
        <f aca="false">AJ35*x_R_NFZ</f>
        <v>65712221.7029983</v>
      </c>
      <c r="AM35" s="0" t="n">
        <f aca="false">AJ35*x_R_PIT</f>
        <v>56255041.4165133</v>
      </c>
      <c r="AN35" s="0" t="n">
        <f aca="false">AJ35*x_R_FP</f>
        <v>21576617.0075901</v>
      </c>
      <c r="AO35" s="0" t="n">
        <f aca="false">AA35+AB35+AC35+AD35+AF35</f>
        <v>436175637.169742</v>
      </c>
      <c r="AP35" s="0" t="n">
        <f aca="false">AO35+AE35+AG35+AH35+AI35+AK35+AL35+AM35+AN35</f>
        <v>876846449.352807</v>
      </c>
      <c r="AQ35" s="0" t="n">
        <f aca="false">AO35+AE35+AG35+AJ35</f>
        <v>1282317480.60465</v>
      </c>
      <c r="AR35" s="0" t="n">
        <f aca="false">AB35+AC35+AD35+AF35</f>
        <v>137833427.610024</v>
      </c>
      <c r="AS35" s="0" t="n">
        <f aca="false">AR35+AE35+AG35</f>
        <v>137833427.610024</v>
      </c>
    </row>
    <row r="36" customFormat="false" ht="15" hidden="false" customHeight="false" outlineLevel="0" collapsed="false">
      <c r="A36" s="0" t="n">
        <v>2059</v>
      </c>
      <c r="B36" s="0" t="n">
        <v>33</v>
      </c>
      <c r="C36" s="0" t="n">
        <v>4832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2240.562</v>
      </c>
      <c r="I36" s="0" t="n">
        <v>241.505</v>
      </c>
      <c r="J36" s="0" t="n">
        <v>1313.334</v>
      </c>
      <c r="K36" s="0" t="n">
        <v>1762.787</v>
      </c>
      <c r="L36" s="0" t="n">
        <v>928.459</v>
      </c>
      <c r="M36" s="0" t="n">
        <v>114308.85</v>
      </c>
      <c r="N36" s="0" t="n">
        <v>9822.534</v>
      </c>
      <c r="O36" s="0" t="n">
        <v>69.895</v>
      </c>
      <c r="P36" s="0" t="n">
        <v>70.582</v>
      </c>
      <c r="Q36" s="0" t="n">
        <v>1054.778</v>
      </c>
      <c r="R36" s="0" t="n">
        <v>1058.638</v>
      </c>
      <c r="S36" s="0" t="n">
        <v>5513.417</v>
      </c>
      <c r="T36" s="0" t="n">
        <v>2482.067</v>
      </c>
      <c r="U36" s="0" t="n">
        <v>1874.959</v>
      </c>
      <c r="V36" s="0" t="n">
        <v>160589.064</v>
      </c>
      <c r="W36" s="0" t="n">
        <v>233.955</v>
      </c>
      <c r="X36" s="0" t="n">
        <v>503.998</v>
      </c>
      <c r="Y36" s="0" t="n">
        <v>69.895</v>
      </c>
      <c r="Z36" s="0" t="n">
        <v>662.618</v>
      </c>
      <c r="AA36" s="0" t="n">
        <f aca="false">H36*x_c_F+I36*x_c_CC+J36*x_c_DC+K36*x_c_HCC+L36*x_c_PLT+M36*x_c_SVRn+N36*x_c_SVRcc+O36*x_c_LT+P36*x_c_LT1</f>
        <v>296259386.206789</v>
      </c>
      <c r="AB36" s="0" t="n">
        <f aca="false">C36*x_c_DAA</f>
        <v>109976320</v>
      </c>
      <c r="AC36" s="0" t="n">
        <f aca="false">C36*x_c_MON</f>
        <v>27857107.6100244</v>
      </c>
      <c r="AD36" s="0" t="n">
        <f aca="false">D36*(1-x_testy)</f>
        <v>0</v>
      </c>
      <c r="AE36" s="0" t="n">
        <f aca="false">E36*(1-x_testy)</f>
        <v>0</v>
      </c>
      <c r="AF36" s="0" t="n">
        <f aca="false">F36*x_NAV</f>
        <v>0</v>
      </c>
      <c r="AG36" s="0" t="n">
        <f aca="false">G36*x_FIX*(1-x_testy)</f>
        <v>0</v>
      </c>
      <c r="AH36" s="0" t="n">
        <f aca="false">x_z_F*U36+(1-x_AGRI)*x_EMP*x_WLOSS*(x_PEN_K74*Q36+x_PEN_C22*R36)</f>
        <v>22965398.2338318</v>
      </c>
      <c r="AI36" s="0" t="n">
        <f aca="false">x_AGRI*x_EMP*x_WLOSS*(x_PEN_K74*Q36+x_PEN_C22*R36)</f>
        <v>1263180.82408384</v>
      </c>
      <c r="AJ36" s="0" t="n">
        <f aca="false">x_EMP*x_WAGE*(x_WLOSS*(Q36+R36)+S36)+U36*x_ABS_D*x_WAGE/365</f>
        <v>572923186.551565</v>
      </c>
      <c r="AK36" s="0" t="n">
        <f aca="false">AJ36*x_R_FUS</f>
        <v>181272896.224915</v>
      </c>
      <c r="AL36" s="0" t="n">
        <f aca="false">AJ36*x_R_NFZ</f>
        <v>44493787.5907811</v>
      </c>
      <c r="AM36" s="0" t="n">
        <f aca="false">AJ36*x_R_PIT</f>
        <v>38090324.734565</v>
      </c>
      <c r="AN36" s="0" t="n">
        <f aca="false">AJ36*x_R_FP</f>
        <v>14609541.2570649</v>
      </c>
      <c r="AO36" s="0" t="n">
        <f aca="false">AA36+AB36+AC36+AD36+AF36</f>
        <v>434092813.816813</v>
      </c>
      <c r="AP36" s="0" t="n">
        <f aca="false">AO36+AE36+AG36+AH36+AI36+AK36+AL36+AM36+AN36</f>
        <v>736787942.682055</v>
      </c>
      <c r="AQ36" s="0" t="n">
        <f aca="false">AO36+AE36+AG36+AJ36</f>
        <v>1007016000.36838</v>
      </c>
      <c r="AR36" s="0" t="n">
        <f aca="false">AB36+AC36+AD36+AF36</f>
        <v>137833427.610024</v>
      </c>
      <c r="AS36" s="0" t="n">
        <f aca="false">AR36+AE36+AG36</f>
        <v>137833427.610024</v>
      </c>
    </row>
    <row r="37" customFormat="false" ht="15" hidden="false" customHeight="false" outlineLevel="0" collapsed="false">
      <c r="A37" s="0" t="n">
        <v>2060</v>
      </c>
      <c r="B37" s="0" t="n">
        <v>34</v>
      </c>
      <c r="C37" s="0" t="n">
        <v>4832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2243.369</v>
      </c>
      <c r="I37" s="0" t="n">
        <v>238.169</v>
      </c>
      <c r="J37" s="0" t="n">
        <v>1287.669</v>
      </c>
      <c r="K37" s="0" t="n">
        <v>1734.43</v>
      </c>
      <c r="L37" s="0" t="n">
        <v>904.92</v>
      </c>
      <c r="M37" s="0" t="n">
        <v>116641.011</v>
      </c>
      <c r="N37" s="0" t="n">
        <v>9769.916</v>
      </c>
      <c r="O37" s="0" t="n">
        <v>68.523</v>
      </c>
      <c r="P37" s="0" t="n">
        <v>69.209</v>
      </c>
      <c r="Q37" s="0" t="n">
        <v>689.61</v>
      </c>
      <c r="R37" s="0" t="n">
        <v>844.314</v>
      </c>
      <c r="S37" s="0" t="n">
        <v>2407.237</v>
      </c>
      <c r="T37" s="0" t="n">
        <v>2481.539</v>
      </c>
      <c r="U37" s="0" t="n">
        <v>1841.89</v>
      </c>
      <c r="V37" s="0" t="n">
        <v>162048.927</v>
      </c>
      <c r="W37" s="0" t="n">
        <v>230.183</v>
      </c>
      <c r="X37" s="0" t="n">
        <v>496.753</v>
      </c>
      <c r="Y37" s="0" t="n">
        <v>68.523</v>
      </c>
      <c r="Z37" s="0" t="n">
        <v>650.499</v>
      </c>
      <c r="AA37" s="0" t="n">
        <f aca="false">H37*x_c_F+I37*x_c_CC+J37*x_c_DC+K37*x_c_HCC+L37*x_c_PLT+M37*x_c_SVRn+N37*x_c_SVRcc+O37*x_c_LT+P37*x_c_LT1</f>
        <v>294003630.160371</v>
      </c>
      <c r="AB37" s="0" t="n">
        <f aca="false">C37*x_c_DAA</f>
        <v>109976320</v>
      </c>
      <c r="AC37" s="0" t="n">
        <f aca="false">C37*x_c_MON</f>
        <v>27857107.6100244</v>
      </c>
      <c r="AD37" s="0" t="n">
        <f aca="false">D37*(1-x_testy)</f>
        <v>0</v>
      </c>
      <c r="AE37" s="0" t="n">
        <f aca="false">E37*(1-x_testy)</f>
        <v>0</v>
      </c>
      <c r="AF37" s="0" t="n">
        <f aca="false">F37*x_NAV</f>
        <v>0</v>
      </c>
      <c r="AG37" s="0" t="n">
        <f aca="false">G37*x_FIX*(1-x_testy)</f>
        <v>0</v>
      </c>
      <c r="AH37" s="0" t="n">
        <f aca="false">x_z_F*U37+(1-x_AGRI)*x_EMP*x_WLOSS*(x_PEN_K74*Q37+x_PEN_C22*R37)</f>
        <v>17745044.9383715</v>
      </c>
      <c r="AI37" s="0" t="n">
        <f aca="false">x_AGRI*x_EMP*x_WLOSS*(x_PEN_K74*Q37+x_PEN_C22*R37)</f>
        <v>922619.23100077</v>
      </c>
      <c r="AJ37" s="0" t="n">
        <f aca="false">x_EMP*x_WAGE*(x_WLOSS*(Q37+R37)+S37)+U37*x_ABS_D*x_WAGE/365</f>
        <v>281301541.8354</v>
      </c>
      <c r="AK37" s="0" t="n">
        <f aca="false">AJ37*x_R_FUS</f>
        <v>89003807.8367205</v>
      </c>
      <c r="AL37" s="0" t="n">
        <f aca="false">AJ37*x_R_NFZ</f>
        <v>21846159.040479</v>
      </c>
      <c r="AM37" s="0" t="n">
        <f aca="false">AJ37*x_R_PIT</f>
        <v>18702100.6102706</v>
      </c>
      <c r="AN37" s="0" t="n">
        <f aca="false">AJ37*x_R_FP</f>
        <v>7173189.3168027</v>
      </c>
      <c r="AO37" s="0" t="n">
        <f aca="false">AA37+AB37+AC37+AD37+AF37</f>
        <v>431837057.770396</v>
      </c>
      <c r="AP37" s="0" t="n">
        <f aca="false">AO37+AE37+AG37+AH37+AI37+AK37+AL37+AM37+AN37</f>
        <v>587229978.744041</v>
      </c>
      <c r="AQ37" s="0" t="n">
        <f aca="false">AO37+AE37+AG37+AJ37</f>
        <v>713138599.605796</v>
      </c>
      <c r="AR37" s="0" t="n">
        <f aca="false">AB37+AC37+AD37+AF37</f>
        <v>137833427.610024</v>
      </c>
      <c r="AS37" s="0" t="n">
        <f aca="false">AR37+AE37+AG37</f>
        <v>137833427.610024</v>
      </c>
    </row>
    <row r="38" customFormat="false" ht="15" hidden="false" customHeight="false" outlineLevel="0" collapsed="false">
      <c r="A38" s="0" t="n">
        <v>2061</v>
      </c>
      <c r="B38" s="0" t="n">
        <v>35</v>
      </c>
      <c r="C38" s="0" t="n">
        <v>4832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2245.96</v>
      </c>
      <c r="I38" s="0" t="n">
        <v>235.071</v>
      </c>
      <c r="J38" s="0" t="n">
        <v>1262.362</v>
      </c>
      <c r="K38" s="0" t="n">
        <v>1706.609</v>
      </c>
      <c r="L38" s="0" t="n">
        <v>879.813</v>
      </c>
      <c r="M38" s="0" t="n">
        <v>118873.706</v>
      </c>
      <c r="N38" s="0" t="n">
        <v>9694.348</v>
      </c>
      <c r="O38" s="0" t="n">
        <v>67.178</v>
      </c>
      <c r="P38" s="0" t="n">
        <v>67.851</v>
      </c>
      <c r="Q38" s="0" t="n">
        <v>685.117</v>
      </c>
      <c r="R38" s="0" t="n">
        <v>838.613</v>
      </c>
      <c r="S38" s="0" t="n">
        <v>2394.673</v>
      </c>
      <c r="T38" s="0" t="n">
        <v>2481.031</v>
      </c>
      <c r="U38" s="0" t="n">
        <v>1841.994</v>
      </c>
      <c r="V38" s="0" t="n">
        <v>163429.058</v>
      </c>
      <c r="W38" s="0" t="n">
        <v>226.574</v>
      </c>
      <c r="X38" s="0" t="n">
        <v>489.735</v>
      </c>
      <c r="Y38" s="0" t="n">
        <v>67.178</v>
      </c>
      <c r="Z38" s="0" t="n">
        <v>638.557</v>
      </c>
      <c r="AA38" s="0" t="n">
        <f aca="false">H38*x_c_F+I38*x_c_CC+J38*x_c_DC+K38*x_c_HCC+L38*x_c_PLT+M38*x_c_SVRn+N38*x_c_SVRcc+O38*x_c_LT+P38*x_c_LT1</f>
        <v>291625049.691977</v>
      </c>
      <c r="AB38" s="0" t="n">
        <f aca="false">C38*x_c_DAA</f>
        <v>109976320</v>
      </c>
      <c r="AC38" s="0" t="n">
        <f aca="false">C38*x_c_MON</f>
        <v>27857107.6100244</v>
      </c>
      <c r="AD38" s="0" t="n">
        <f aca="false">D38*(1-x_testy)</f>
        <v>0</v>
      </c>
      <c r="AE38" s="0" t="n">
        <f aca="false">E38*(1-x_testy)</f>
        <v>0</v>
      </c>
      <c r="AF38" s="0" t="n">
        <f aca="false">F38*x_NAV</f>
        <v>0</v>
      </c>
      <c r="AG38" s="0" t="n">
        <f aca="false">G38*x_FIX*(1-x_testy)</f>
        <v>0</v>
      </c>
      <c r="AH38" s="0" t="n">
        <f aca="false">x_z_F*U38+(1-x_AGRI)*x_EMP*x_WLOSS*(x_PEN_K74*Q38+x_PEN_C22*R38)</f>
        <v>17652391.9372424</v>
      </c>
      <c r="AI38" s="0" t="n">
        <f aca="false">x_AGRI*x_EMP*x_WLOSS*(x_PEN_K74*Q38+x_PEN_C22*R38)</f>
        <v>916480.912878906</v>
      </c>
      <c r="AJ38" s="0" t="n">
        <f aca="false">x_EMP*x_WAGE*(x_WLOSS*(Q38+R38)+S38)+U38*x_ABS_D*x_WAGE/365</f>
        <v>279761122.1505</v>
      </c>
      <c r="AK38" s="0" t="n">
        <f aca="false">AJ38*x_R_FUS</f>
        <v>88516419.0484182</v>
      </c>
      <c r="AL38" s="0" t="n">
        <f aca="false">AJ38*x_R_NFZ</f>
        <v>21726528.50733</v>
      </c>
      <c r="AM38" s="0" t="n">
        <f aca="false">AJ38*x_R_PIT</f>
        <v>18599687.0801453</v>
      </c>
      <c r="AN38" s="0" t="n">
        <f aca="false">AJ38*x_R_FP</f>
        <v>7133908.61483775</v>
      </c>
      <c r="AO38" s="0" t="n">
        <f aca="false">AA38+AB38+AC38+AD38+AF38</f>
        <v>429458477.302001</v>
      </c>
      <c r="AP38" s="0" t="n">
        <f aca="false">AO38+AE38+AG38+AH38+AI38+AK38+AL38+AM38+AN38</f>
        <v>584003893.402854</v>
      </c>
      <c r="AQ38" s="0" t="n">
        <f aca="false">AO38+AE38+AG38+AJ38</f>
        <v>709219599.452501</v>
      </c>
      <c r="AR38" s="0" t="n">
        <f aca="false">AB38+AC38+AD38+AF38</f>
        <v>137833427.610024</v>
      </c>
      <c r="AS38" s="0" t="n">
        <f aca="false">AR38+AE38+AG38</f>
        <v>137833427.610024</v>
      </c>
    </row>
    <row r="39" customFormat="false" ht="15" hidden="false" customHeight="false" outlineLevel="0" collapsed="false">
      <c r="A39" s="0" t="n">
        <v>2062</v>
      </c>
      <c r="B39" s="0" t="n">
        <v>36</v>
      </c>
      <c r="C39" s="0" t="n">
        <v>4832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2248.301</v>
      </c>
      <c r="I39" s="0" t="n">
        <v>232.245</v>
      </c>
      <c r="J39" s="0" t="n">
        <v>1237.831</v>
      </c>
      <c r="K39" s="0" t="n">
        <v>1679.73</v>
      </c>
      <c r="L39" s="0" t="n">
        <v>853.566</v>
      </c>
      <c r="M39" s="0" t="n">
        <v>121014.073</v>
      </c>
      <c r="N39" s="0" t="n">
        <v>9599.544</v>
      </c>
      <c r="O39" s="0" t="n">
        <v>65.884</v>
      </c>
      <c r="P39" s="0" t="n">
        <v>66.531</v>
      </c>
      <c r="Q39" s="0" t="n">
        <v>680.717</v>
      </c>
      <c r="R39" s="0" t="n">
        <v>833.02</v>
      </c>
      <c r="S39" s="0" t="n">
        <v>2382.416</v>
      </c>
      <c r="T39" s="0" t="n">
        <v>2480.546</v>
      </c>
      <c r="U39" s="0" t="n">
        <v>1841.953</v>
      </c>
      <c r="V39" s="0" t="n">
        <v>164738.862</v>
      </c>
      <c r="W39" s="0" t="n">
        <v>223.175</v>
      </c>
      <c r="X39" s="0" t="n">
        <v>483.043</v>
      </c>
      <c r="Y39" s="0" t="n">
        <v>65.884</v>
      </c>
      <c r="Z39" s="0" t="n">
        <v>626.996</v>
      </c>
      <c r="AA39" s="0" t="n">
        <f aca="false">H39*x_c_F+I39*x_c_CC+J39*x_c_DC+K39*x_c_HCC+L39*x_c_PLT+M39*x_c_SVRn+N39*x_c_SVRcc+O39*x_c_LT+P39*x_c_LT1</f>
        <v>289194276.715155</v>
      </c>
      <c r="AB39" s="0" t="n">
        <f aca="false">C39*x_c_DAA</f>
        <v>109976320</v>
      </c>
      <c r="AC39" s="0" t="n">
        <f aca="false">C39*x_c_MON</f>
        <v>27857107.6100244</v>
      </c>
      <c r="AD39" s="0" t="n">
        <f aca="false">D39*(1-x_testy)</f>
        <v>0</v>
      </c>
      <c r="AE39" s="0" t="n">
        <f aca="false">E39*(1-x_testy)</f>
        <v>0</v>
      </c>
      <c r="AF39" s="0" t="n">
        <f aca="false">F39*x_NAV</f>
        <v>0</v>
      </c>
      <c r="AG39" s="0" t="n">
        <f aca="false">G39*x_FIX*(1-x_testy)</f>
        <v>0</v>
      </c>
      <c r="AH39" s="0" t="n">
        <f aca="false">x_z_F*U39+(1-x_AGRI)*x_EMP*x_WLOSS*(x_PEN_K74*Q39+x_PEN_C22*R39)</f>
        <v>17561266.8397838</v>
      </c>
      <c r="AI39" s="0" t="n">
        <f aca="false">x_AGRI*x_EMP*x_WLOSS*(x_PEN_K74*Q39+x_PEN_C22*R39)</f>
        <v>910463.290288359</v>
      </c>
      <c r="AJ39" s="0" t="n">
        <f aca="false">x_EMP*x_WAGE*(x_WLOSS*(Q39+R39)+S39)+U39*x_ABS_D*x_WAGE/365</f>
        <v>278255709.119897</v>
      </c>
      <c r="AK39" s="0" t="n">
        <f aca="false">AJ39*x_R_FUS</f>
        <v>88040106.3655355</v>
      </c>
      <c r="AL39" s="0" t="n">
        <f aca="false">AJ39*x_R_NFZ</f>
        <v>21609616.6259603</v>
      </c>
      <c r="AM39" s="0" t="n">
        <f aca="false">AJ39*x_R_PIT</f>
        <v>18499600.9385101</v>
      </c>
      <c r="AN39" s="0" t="n">
        <f aca="false">AJ39*x_R_FP</f>
        <v>7095520.58255738</v>
      </c>
      <c r="AO39" s="0" t="n">
        <f aca="false">AA39+AB39+AC39+AD39+AF39</f>
        <v>427027704.325179</v>
      </c>
      <c r="AP39" s="0" t="n">
        <f aca="false">AO39+AE39+AG39+AH39+AI39+AK39+AL39+AM39+AN39</f>
        <v>580744278.967815</v>
      </c>
      <c r="AQ39" s="0" t="n">
        <f aca="false">AO39+AE39+AG39+AJ39</f>
        <v>705283413.445077</v>
      </c>
      <c r="AR39" s="0" t="n">
        <f aca="false">AB39+AC39+AD39+AF39</f>
        <v>137833427.610024</v>
      </c>
      <c r="AS39" s="0" t="n">
        <f aca="false">AR39+AE39+AG39</f>
        <v>137833427.610024</v>
      </c>
    </row>
    <row r="40" customFormat="false" ht="15" hidden="false" customHeight="false" outlineLevel="0" collapsed="false">
      <c r="A40" s="0" t="n">
        <v>2063</v>
      </c>
      <c r="B40" s="0" t="n">
        <v>37</v>
      </c>
      <c r="C40" s="0" t="n">
        <v>4832</v>
      </c>
      <c r="D40" s="0" t="n">
        <v>0</v>
      </c>
      <c r="E40" s="0" t="n">
        <v>0</v>
      </c>
      <c r="F40" s="0" t="n">
        <v>0</v>
      </c>
      <c r="G40" s="0" t="n">
        <v>0</v>
      </c>
      <c r="H40" s="0" t="n">
        <v>2250.358</v>
      </c>
      <c r="I40" s="0" t="n">
        <v>229.729</v>
      </c>
      <c r="J40" s="0" t="n">
        <v>1214.55</v>
      </c>
      <c r="K40" s="0" t="n">
        <v>1654.27</v>
      </c>
      <c r="L40" s="0" t="n">
        <v>826.75</v>
      </c>
      <c r="M40" s="0" t="n">
        <v>123074.866</v>
      </c>
      <c r="N40" s="0" t="n">
        <v>9490.658</v>
      </c>
      <c r="O40" s="0" t="n">
        <v>64.668</v>
      </c>
      <c r="P40" s="0" t="n">
        <v>65.276</v>
      </c>
      <c r="Q40" s="0" t="n">
        <v>676.322</v>
      </c>
      <c r="R40" s="0" t="n">
        <v>827.458</v>
      </c>
      <c r="S40" s="0" t="n">
        <v>2370.042</v>
      </c>
      <c r="T40" s="0" t="n">
        <v>2480.087</v>
      </c>
      <c r="U40" s="0" t="n">
        <v>1841.7</v>
      </c>
      <c r="V40" s="0" t="n">
        <v>165993.383</v>
      </c>
      <c r="W40" s="0" t="n">
        <v>220.044</v>
      </c>
      <c r="X40" s="0" t="n">
        <v>476.801</v>
      </c>
      <c r="Y40" s="0" t="n">
        <v>64.668</v>
      </c>
      <c r="Z40" s="0" t="n">
        <v>616.059</v>
      </c>
      <c r="AA40" s="0" t="n">
        <f aca="false">H40*x_c_F+I40*x_c_CC+J40*x_c_DC+K40*x_c_HCC+L40*x_c_PLT+M40*x_c_SVRn+N40*x_c_SVRcc+O40*x_c_LT+P40*x_c_LT1</f>
        <v>286800588.309961</v>
      </c>
      <c r="AB40" s="0" t="n">
        <f aca="false">C40*x_c_DAA</f>
        <v>109976320</v>
      </c>
      <c r="AC40" s="0" t="n">
        <f aca="false">C40*x_c_MON</f>
        <v>27857107.6100244</v>
      </c>
      <c r="AD40" s="0" t="n">
        <f aca="false">D40*(1-x_testy)</f>
        <v>0</v>
      </c>
      <c r="AE40" s="0" t="n">
        <f aca="false">E40*(1-x_testy)</f>
        <v>0</v>
      </c>
      <c r="AF40" s="0" t="n">
        <f aca="false">F40*x_NAV</f>
        <v>0</v>
      </c>
      <c r="AG40" s="0" t="n">
        <f aca="false">G40*x_FIX*(1-x_testy)</f>
        <v>0</v>
      </c>
      <c r="AH40" s="0" t="n">
        <f aca="false">x_z_F*U40+(1-x_AGRI)*x_EMP*x_WLOSS*(x_PEN_K74*Q40+x_PEN_C22*R40)</f>
        <v>17470046.4053231</v>
      </c>
      <c r="AI40" s="0" t="n">
        <f aca="false">x_AGRI*x_EMP*x_WLOSS*(x_PEN_K74*Q40+x_PEN_C22*R40)</f>
        <v>904468.174756729</v>
      </c>
      <c r="AJ40" s="0" t="n">
        <f aca="false">x_EMP*x_WAGE*(x_WLOSS*(Q40+R40)+S40)+U40*x_ABS_D*x_WAGE/365</f>
        <v>276741355.969067</v>
      </c>
      <c r="AK40" s="0" t="n">
        <f aca="false">AJ40*x_R_FUS</f>
        <v>87560965.0286126</v>
      </c>
      <c r="AL40" s="0" t="n">
        <f aca="false">AJ40*x_R_NFZ</f>
        <v>21492010.4459137</v>
      </c>
      <c r="AM40" s="0" t="n">
        <f aca="false">AJ40*x_R_PIT</f>
        <v>18398920.4203675</v>
      </c>
      <c r="AN40" s="0" t="n">
        <f aca="false">AJ40*x_R_FP</f>
        <v>7056904.5772112</v>
      </c>
      <c r="AO40" s="0" t="n">
        <f aca="false">AA40+AB40+AC40+AD40+AF40</f>
        <v>424634015.919985</v>
      </c>
      <c r="AP40" s="0" t="n">
        <f aca="false">AO40+AE40+AG40+AH40+AI40+AK40+AL40+AM40+AN40</f>
        <v>577517330.97217</v>
      </c>
      <c r="AQ40" s="0" t="n">
        <f aca="false">AO40+AE40+AG40+AJ40</f>
        <v>701375371.889051</v>
      </c>
      <c r="AR40" s="0" t="n">
        <f aca="false">AB40+AC40+AD40+AF40</f>
        <v>137833427.610024</v>
      </c>
      <c r="AS40" s="0" t="n">
        <f aca="false">AR40+AE40+AG40</f>
        <v>137833427.610024</v>
      </c>
    </row>
    <row r="41" customFormat="false" ht="15" hidden="false" customHeight="false" outlineLevel="0" collapsed="false">
      <c r="A41" s="0" t="n">
        <v>2064</v>
      </c>
      <c r="B41" s="0" t="n">
        <v>38</v>
      </c>
      <c r="C41" s="0" t="n">
        <v>4832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2252.102</v>
      </c>
      <c r="I41" s="0" t="n">
        <v>227.555</v>
      </c>
      <c r="J41" s="0" t="n">
        <v>1193.007</v>
      </c>
      <c r="K41" s="0" t="n">
        <v>1630.731</v>
      </c>
      <c r="L41" s="0" t="n">
        <v>800.059</v>
      </c>
      <c r="M41" s="0" t="n">
        <v>125073.948</v>
      </c>
      <c r="N41" s="0" t="n">
        <v>9374.075</v>
      </c>
      <c r="O41" s="0" t="n">
        <v>63.556</v>
      </c>
      <c r="P41" s="0" t="n">
        <v>64.112</v>
      </c>
      <c r="Q41" s="0" t="n">
        <v>671.913</v>
      </c>
      <c r="R41" s="0" t="n">
        <v>821.914</v>
      </c>
      <c r="S41" s="0" t="n">
        <v>2357.439</v>
      </c>
      <c r="T41" s="0" t="n">
        <v>2479.657</v>
      </c>
      <c r="U41" s="0" t="n">
        <v>1841.194</v>
      </c>
      <c r="V41" s="0" t="n">
        <v>167212.372</v>
      </c>
      <c r="W41" s="0" t="n">
        <v>217.233</v>
      </c>
      <c r="X41" s="0" t="n">
        <v>471.126</v>
      </c>
      <c r="Y41" s="0" t="n">
        <v>63.556</v>
      </c>
      <c r="Z41" s="0" t="n">
        <v>605.978</v>
      </c>
      <c r="AA41" s="0" t="n">
        <f aca="false">H41*x_c_F+I41*x_c_CC+J41*x_c_DC+K41*x_c_HCC+L41*x_c_PLT+M41*x_c_SVRn+N41*x_c_SVRcc+O41*x_c_LT+P41*x_c_LT1</f>
        <v>284545088.600126</v>
      </c>
      <c r="AB41" s="0" t="n">
        <f aca="false">C41*x_c_DAA</f>
        <v>109976320</v>
      </c>
      <c r="AC41" s="0" t="n">
        <f aca="false">C41*x_c_MON</f>
        <v>27857107.6100244</v>
      </c>
      <c r="AD41" s="0" t="n">
        <f aca="false">D41*(1-x_testy)</f>
        <v>0</v>
      </c>
      <c r="AE41" s="0" t="n">
        <f aca="false">E41*(1-x_testy)</f>
        <v>0</v>
      </c>
      <c r="AF41" s="0" t="n">
        <f aca="false">F41*x_NAV</f>
        <v>0</v>
      </c>
      <c r="AG41" s="0" t="n">
        <f aca="false">G41*x_FIX*(1-x_testy)</f>
        <v>0</v>
      </c>
      <c r="AH41" s="0" t="n">
        <f aca="false">x_z_F*U41+(1-x_AGRI)*x_EMP*x_WLOSS*(x_PEN_K74*Q41+x_PEN_C22*R41)</f>
        <v>17378360.4794796</v>
      </c>
      <c r="AI41" s="0" t="n">
        <f aca="false">x_AGRI*x_EMP*x_WLOSS*(x_PEN_K74*Q41+x_PEN_C22*R41)</f>
        <v>898476.671274309</v>
      </c>
      <c r="AJ41" s="0" t="n">
        <f aca="false">x_EMP*x_WAGE*(x_WLOSS*(Q41+R41)+S41)+U41*x_ABS_D*x_WAGE/365</f>
        <v>275206919.244298</v>
      </c>
      <c r="AK41" s="0" t="n">
        <f aca="false">AJ41*x_R_FUS</f>
        <v>87075469.248896</v>
      </c>
      <c r="AL41" s="0" t="n">
        <f aca="false">AJ41*x_R_NFZ</f>
        <v>21372844.5554315</v>
      </c>
      <c r="AM41" s="0" t="n">
        <f aca="false">AJ41*x_R_PIT</f>
        <v>18296904.6624037</v>
      </c>
      <c r="AN41" s="0" t="n">
        <f aca="false">AJ41*x_R_FP</f>
        <v>7017776.44072961</v>
      </c>
      <c r="AO41" s="0" t="n">
        <f aca="false">AA41+AB41+AC41+AD41+AF41</f>
        <v>422378516.21015</v>
      </c>
      <c r="AP41" s="0" t="n">
        <f aca="false">AO41+AE41+AG41+AH41+AI41+AK41+AL41+AM41+AN41</f>
        <v>574418348.268365</v>
      </c>
      <c r="AQ41" s="0" t="n">
        <f aca="false">AO41+AE41+AG41+AJ41</f>
        <v>697585435.454449</v>
      </c>
      <c r="AR41" s="0" t="n">
        <f aca="false">AB41+AC41+AD41+AF41</f>
        <v>137833427.610024</v>
      </c>
      <c r="AS41" s="0" t="n">
        <f aca="false">AR41+AE41+AG41</f>
        <v>137833427.610024</v>
      </c>
    </row>
    <row r="42" customFormat="false" ht="15" hidden="false" customHeight="false" outlineLevel="0" collapsed="false">
      <c r="A42" s="0" t="n">
        <v>2065</v>
      </c>
      <c r="B42" s="0" t="n">
        <v>39</v>
      </c>
      <c r="C42" s="0" t="n">
        <v>4832</v>
      </c>
      <c r="D42" s="0" t="n">
        <v>0</v>
      </c>
      <c r="E42" s="0" t="n">
        <v>0</v>
      </c>
      <c r="F42" s="0" t="n">
        <v>0</v>
      </c>
      <c r="G42" s="0" t="n">
        <v>0</v>
      </c>
      <c r="H42" s="0" t="n">
        <v>2253.523</v>
      </c>
      <c r="I42" s="0" t="n">
        <v>225.737</v>
      </c>
      <c r="J42" s="0" t="n">
        <v>1173.618</v>
      </c>
      <c r="K42" s="0" t="n">
        <v>1609.542</v>
      </c>
      <c r="L42" s="0" t="n">
        <v>774.204</v>
      </c>
      <c r="M42" s="0" t="n">
        <v>127031.009</v>
      </c>
      <c r="N42" s="0" t="n">
        <v>9256.489</v>
      </c>
      <c r="O42" s="0" t="n">
        <v>62.568</v>
      </c>
      <c r="P42" s="0" t="n">
        <v>63.062</v>
      </c>
      <c r="Q42" s="0" t="n">
        <v>667.468</v>
      </c>
      <c r="R42" s="0" t="n">
        <v>816.375</v>
      </c>
      <c r="S42" s="0" t="n">
        <v>2344.489</v>
      </c>
      <c r="T42" s="0" t="n">
        <v>2479.259</v>
      </c>
      <c r="U42" s="0" t="n">
        <v>1840.416</v>
      </c>
      <c r="V42" s="0" t="n">
        <v>168416.461</v>
      </c>
      <c r="W42" s="0" t="n">
        <v>214.778</v>
      </c>
      <c r="X42" s="0" t="n">
        <v>466.105</v>
      </c>
      <c r="Y42" s="0" t="n">
        <v>62.568</v>
      </c>
      <c r="Z42" s="0" t="n">
        <v>596.941</v>
      </c>
      <c r="AA42" s="0" t="n">
        <f aca="false">H42*x_c_F+I42*x_c_CC+J42*x_c_DC+K42*x_c_HCC+L42*x_c_PLT+M42*x_c_SVRn+N42*x_c_SVRcc+O42*x_c_LT+P42*x_c_LT1</f>
        <v>282523255.704553</v>
      </c>
      <c r="AB42" s="0" t="n">
        <f aca="false">C42*x_c_DAA</f>
        <v>109976320</v>
      </c>
      <c r="AC42" s="0" t="n">
        <f aca="false">C42*x_c_MON</f>
        <v>27857107.6100244</v>
      </c>
      <c r="AD42" s="0" t="n">
        <f aca="false">D42*(1-x_testy)</f>
        <v>0</v>
      </c>
      <c r="AE42" s="0" t="n">
        <f aca="false">E42*(1-x_testy)</f>
        <v>0</v>
      </c>
      <c r="AF42" s="0" t="n">
        <f aca="false">F42*x_NAV</f>
        <v>0</v>
      </c>
      <c r="AG42" s="0" t="n">
        <f aca="false">G42*x_FIX*(1-x_testy)</f>
        <v>0</v>
      </c>
      <c r="AH42" s="0" t="n">
        <f aca="false">x_z_F*U42+(1-x_AGRI)*x_EMP*x_WLOSS*(x_PEN_K74*Q42+x_PEN_C22*R42)</f>
        <v>17285858.7453189</v>
      </c>
      <c r="AI42" s="0" t="n">
        <f aca="false">x_AGRI*x_EMP*x_WLOSS*(x_PEN_K74*Q42+x_PEN_C22*R42)</f>
        <v>892468.206471458</v>
      </c>
      <c r="AJ42" s="0" t="n">
        <f aca="false">x_EMP*x_WAGE*(x_WLOSS*(Q42+R42)+S42)+U42*x_ABS_D*x_WAGE/365</f>
        <v>273640670.377743</v>
      </c>
      <c r="AK42" s="0" t="n">
        <f aca="false">AJ42*x_R_FUS</f>
        <v>86579908.1075178</v>
      </c>
      <c r="AL42" s="0" t="n">
        <f aca="false">AJ42*x_R_NFZ</f>
        <v>21251208.1022059</v>
      </c>
      <c r="AM42" s="0" t="n">
        <f aca="false">AJ42*x_R_PIT</f>
        <v>18192773.900475</v>
      </c>
      <c r="AN42" s="0" t="n">
        <f aca="false">AJ42*x_R_FP</f>
        <v>6977837.09463244</v>
      </c>
      <c r="AO42" s="0" t="n">
        <f aca="false">AA42+AB42+AC42+AD42+AF42</f>
        <v>420356683.314577</v>
      </c>
      <c r="AP42" s="0" t="n">
        <f aca="false">AO42+AE42+AG42+AH42+AI42+AK42+AL42+AM42+AN42</f>
        <v>571536737.471199</v>
      </c>
      <c r="AQ42" s="0" t="n">
        <f aca="false">AO42+AE42+AG42+AJ42</f>
        <v>693997353.69232</v>
      </c>
      <c r="AR42" s="0" t="n">
        <f aca="false">AB42+AC42+AD42+AF42</f>
        <v>137833427.610024</v>
      </c>
      <c r="AS42" s="0" t="n">
        <f aca="false">AR42+AE42+AG42</f>
        <v>137833427.610024</v>
      </c>
    </row>
    <row r="43" customFormat="false" ht="15" hidden="false" customHeight="false" outlineLevel="0" collapsed="false">
      <c r="A43" s="0" t="n">
        <v>2066</v>
      </c>
      <c r="B43" s="0" t="n">
        <v>40</v>
      </c>
      <c r="C43" s="0" t="n">
        <v>4832</v>
      </c>
      <c r="D43" s="0" t="n">
        <v>0</v>
      </c>
      <c r="E43" s="0" t="n">
        <v>0</v>
      </c>
      <c r="F43" s="0" t="n">
        <v>0</v>
      </c>
      <c r="G43" s="0" t="n">
        <v>0</v>
      </c>
      <c r="H43" s="0" t="n">
        <v>2254.627</v>
      </c>
      <c r="I43" s="0" t="n">
        <v>224.265</v>
      </c>
      <c r="J43" s="0" t="n">
        <v>1156.669</v>
      </c>
      <c r="K43" s="0" t="n">
        <v>1590.993</v>
      </c>
      <c r="L43" s="0" t="n">
        <v>749.834</v>
      </c>
      <c r="M43" s="0" t="n">
        <v>128964.984</v>
      </c>
      <c r="N43" s="0" t="n">
        <v>9144.172</v>
      </c>
      <c r="O43" s="0" t="n">
        <v>61.716</v>
      </c>
      <c r="P43" s="0" t="n">
        <v>62.142</v>
      </c>
      <c r="Q43" s="0" t="n">
        <v>662.97</v>
      </c>
      <c r="R43" s="0" t="n">
        <v>810.829</v>
      </c>
      <c r="S43" s="0" t="n">
        <v>2331.067</v>
      </c>
      <c r="T43" s="0" t="n">
        <v>2478.892</v>
      </c>
      <c r="U43" s="0" t="n">
        <v>1839.378</v>
      </c>
      <c r="V43" s="0" t="n">
        <v>169624.421</v>
      </c>
      <c r="W43" s="0" t="n">
        <v>212.691</v>
      </c>
      <c r="X43" s="0" t="n">
        <v>461.777</v>
      </c>
      <c r="Y43" s="0" t="n">
        <v>61.716</v>
      </c>
      <c r="Z43" s="0" t="n">
        <v>589.068</v>
      </c>
      <c r="AA43" s="0" t="n">
        <f aca="false">H43*x_c_F+I43*x_c_CC+J43*x_c_DC+K43*x_c_HCC+L43*x_c_PLT+M43*x_c_SVRn+N43*x_c_SVRcc+O43*x_c_LT+P43*x_c_LT1</f>
        <v>280812732.258315</v>
      </c>
      <c r="AB43" s="0" t="n">
        <f aca="false">C43*x_c_DAA</f>
        <v>109976320</v>
      </c>
      <c r="AC43" s="0" t="n">
        <f aca="false">C43*x_c_MON</f>
        <v>27857107.6100244</v>
      </c>
      <c r="AD43" s="0" t="n">
        <f aca="false">D43*(1-x_testy)</f>
        <v>0</v>
      </c>
      <c r="AE43" s="0" t="n">
        <f aca="false">E43*(1-x_testy)</f>
        <v>0</v>
      </c>
      <c r="AF43" s="0" t="n">
        <f aca="false">F43*x_NAV</f>
        <v>0</v>
      </c>
      <c r="AG43" s="0" t="n">
        <f aca="false">G43*x_FIX*(1-x_testy)</f>
        <v>0</v>
      </c>
      <c r="AH43" s="0" t="n">
        <f aca="false">x_z_F*U43+(1-x_AGRI)*x_EMP*x_WLOSS*(x_PEN_K74*Q43+x_PEN_C22*R43)</f>
        <v>17192306.5572251</v>
      </c>
      <c r="AI43" s="0" t="n">
        <f aca="false">x_AGRI*x_EMP*x_WLOSS*(x_PEN_K74*Q43+x_PEN_C22*R43)</f>
        <v>886425.640044847</v>
      </c>
      <c r="AJ43" s="0" t="n">
        <f aca="false">x_EMP*x_WAGE*(x_WLOSS*(Q43+R43)+S43)+U43*x_ABS_D*x_WAGE/365</f>
        <v>272030651.382625</v>
      </c>
      <c r="AK43" s="0" t="n">
        <f aca="false">AJ43*x_R_FUS</f>
        <v>86070498.0974626</v>
      </c>
      <c r="AL43" s="0" t="n">
        <f aca="false">AJ43*x_R_NFZ</f>
        <v>21126172.417026</v>
      </c>
      <c r="AM43" s="0" t="n">
        <f aca="false">AJ43*x_R_PIT</f>
        <v>18085733.1177097</v>
      </c>
      <c r="AN43" s="0" t="n">
        <f aca="false">AJ43*x_R_FP</f>
        <v>6936781.61025694</v>
      </c>
      <c r="AO43" s="0" t="n">
        <f aca="false">AA43+AB43+AC43+AD43+AF43</f>
        <v>418646159.868339</v>
      </c>
      <c r="AP43" s="0" t="n">
        <f aca="false">AO43+AE43+AG43+AH43+AI43+AK43+AL43+AM43+AN43</f>
        <v>568944077.308064</v>
      </c>
      <c r="AQ43" s="0" t="n">
        <f aca="false">AO43+AE43+AG43+AJ43</f>
        <v>690676811.250964</v>
      </c>
      <c r="AR43" s="0" t="n">
        <f aca="false">AB43+AC43+AD43+AF43</f>
        <v>137833427.610024</v>
      </c>
      <c r="AS43" s="0" t="n">
        <f aca="false">AR43+AE43+AG43</f>
        <v>137833427.610024</v>
      </c>
    </row>
    <row r="44" customFormat="false" ht="15" hidden="false" customHeight="false" outlineLevel="0" collapsed="false">
      <c r="A44" s="0" t="n">
        <v>2067</v>
      </c>
      <c r="B44" s="0" t="n">
        <v>41</v>
      </c>
      <c r="C44" s="0" t="n">
        <v>4832</v>
      </c>
      <c r="D44" s="0" t="n">
        <v>0</v>
      </c>
      <c r="E44" s="0" t="n">
        <v>0</v>
      </c>
      <c r="F44" s="0" t="n">
        <v>0</v>
      </c>
      <c r="G44" s="0" t="n">
        <v>0</v>
      </c>
      <c r="H44" s="0" t="n">
        <v>2255.446</v>
      </c>
      <c r="I44" s="0" t="n">
        <v>223.108</v>
      </c>
      <c r="J44" s="0" t="n">
        <v>1142.274</v>
      </c>
      <c r="K44" s="0" t="n">
        <v>1575.185</v>
      </c>
      <c r="L44" s="0" t="n">
        <v>727.457</v>
      </c>
      <c r="M44" s="0" t="n">
        <v>130891.094</v>
      </c>
      <c r="N44" s="0" t="n">
        <v>9042.177</v>
      </c>
      <c r="O44" s="0" t="n">
        <v>61.002</v>
      </c>
      <c r="P44" s="0" t="n">
        <v>61.359</v>
      </c>
      <c r="Q44" s="0" t="n">
        <v>658.4</v>
      </c>
      <c r="R44" s="0" t="n">
        <v>805.267</v>
      </c>
      <c r="S44" s="0" t="n">
        <v>2317.039</v>
      </c>
      <c r="T44" s="0" t="n">
        <v>2478.554</v>
      </c>
      <c r="U44" s="0" t="n">
        <v>1838.12</v>
      </c>
      <c r="V44" s="0" t="n">
        <v>170850.207</v>
      </c>
      <c r="W44" s="0" t="n">
        <v>210.953</v>
      </c>
      <c r="X44" s="0" t="n">
        <v>458.124</v>
      </c>
      <c r="Y44" s="0" t="n">
        <v>61.002</v>
      </c>
      <c r="Z44" s="0" t="n">
        <v>582.387</v>
      </c>
      <c r="AA44" s="0" t="n">
        <f aca="false">H44*x_c_F+I44*x_c_CC+J44*x_c_DC+K44*x_c_HCC+L44*x_c_PLT+M44*x_c_SVRn+N44*x_c_SVRcc+O44*x_c_LT+P44*x_c_LT1</f>
        <v>279462181.693253</v>
      </c>
      <c r="AB44" s="0" t="n">
        <f aca="false">C44*x_c_DAA</f>
        <v>109976320</v>
      </c>
      <c r="AC44" s="0" t="n">
        <f aca="false">C44*x_c_MON</f>
        <v>27857107.6100244</v>
      </c>
      <c r="AD44" s="0" t="n">
        <f aca="false">D44*(1-x_testy)</f>
        <v>0</v>
      </c>
      <c r="AE44" s="0" t="n">
        <f aca="false">E44*(1-x_testy)</f>
        <v>0</v>
      </c>
      <c r="AF44" s="0" t="n">
        <f aca="false">F44*x_NAV</f>
        <v>0</v>
      </c>
      <c r="AG44" s="0" t="n">
        <f aca="false">G44*x_FIX*(1-x_testy)</f>
        <v>0</v>
      </c>
      <c r="AH44" s="0" t="n">
        <f aca="false">x_z_F*U44+(1-x_AGRI)*x_EMP*x_WLOSS*(x_PEN_K74*Q44+x_PEN_C22*R44)</f>
        <v>17097538.7634142</v>
      </c>
      <c r="AI44" s="0" t="n">
        <f aca="false">x_AGRI*x_EMP*x_WLOSS*(x_PEN_K74*Q44+x_PEN_C22*R44)</f>
        <v>880332.620183782</v>
      </c>
      <c r="AJ44" s="0" t="n">
        <f aca="false">x_EMP*x_WAGE*(x_WLOSS*(Q44+R44)+S44)+U44*x_ABS_D*x_WAGE/365</f>
        <v>270364265.231595</v>
      </c>
      <c r="AK44" s="0" t="n">
        <f aca="false">AJ44*x_R_FUS</f>
        <v>85543253.5192767</v>
      </c>
      <c r="AL44" s="0" t="n">
        <f aca="false">AJ44*x_R_NFZ</f>
        <v>20996759.2021509</v>
      </c>
      <c r="AM44" s="0" t="n">
        <f aca="false">AJ44*x_R_PIT</f>
        <v>17974944.8111516</v>
      </c>
      <c r="AN44" s="0" t="n">
        <f aca="false">AJ44*x_R_FP</f>
        <v>6894288.76340567</v>
      </c>
      <c r="AO44" s="0" t="n">
        <f aca="false">AA44+AB44+AC44+AD44+AF44</f>
        <v>417295609.303278</v>
      </c>
      <c r="AP44" s="0" t="n">
        <f aca="false">AO44+AE44+AG44+AH44+AI44+AK44+AL44+AM44+AN44</f>
        <v>566682726.982861</v>
      </c>
      <c r="AQ44" s="0" t="n">
        <f aca="false">AO44+AE44+AG44+AJ44</f>
        <v>687659874.534873</v>
      </c>
      <c r="AR44" s="0" t="n">
        <f aca="false">AB44+AC44+AD44+AF44</f>
        <v>137833427.610024</v>
      </c>
      <c r="AS44" s="0" t="n">
        <f aca="false">AR44+AE44+AG44</f>
        <v>137833427.610024</v>
      </c>
    </row>
    <row r="45" customFormat="false" ht="15" hidden="false" customHeight="false" outlineLevel="0" collapsed="false">
      <c r="A45" s="0" t="n">
        <v>2068</v>
      </c>
      <c r="B45" s="0" t="n">
        <v>42</v>
      </c>
      <c r="C45" s="0" t="n">
        <v>4832</v>
      </c>
      <c r="D45" s="0" t="n">
        <v>0</v>
      </c>
      <c r="E45" s="0" t="n">
        <v>0</v>
      </c>
      <c r="F45" s="0" t="n">
        <v>0</v>
      </c>
      <c r="G45" s="0" t="n">
        <v>0</v>
      </c>
      <c r="H45" s="0" t="n">
        <v>2256.028</v>
      </c>
      <c r="I45" s="0" t="n">
        <v>222.212</v>
      </c>
      <c r="J45" s="0" t="n">
        <v>1130.39</v>
      </c>
      <c r="K45" s="0" t="n">
        <v>1562.046</v>
      </c>
      <c r="L45" s="0" t="n">
        <v>707.439</v>
      </c>
      <c r="M45" s="0" t="n">
        <v>132820.7</v>
      </c>
      <c r="N45" s="0" t="n">
        <v>8954.291</v>
      </c>
      <c r="O45" s="0" t="n">
        <v>60.423</v>
      </c>
      <c r="P45" s="0" t="n">
        <v>60.713</v>
      </c>
      <c r="Q45" s="0" t="n">
        <v>653.738</v>
      </c>
      <c r="R45" s="0" t="n">
        <v>799.678</v>
      </c>
      <c r="S45" s="0" t="n">
        <v>2302.263</v>
      </c>
      <c r="T45" s="0" t="n">
        <v>2478.24</v>
      </c>
      <c r="U45" s="0" t="n">
        <v>1836.701</v>
      </c>
      <c r="V45" s="0" t="n">
        <v>172103.109</v>
      </c>
      <c r="W45" s="0" t="n">
        <v>209.529</v>
      </c>
      <c r="X45" s="0" t="n">
        <v>455.095</v>
      </c>
      <c r="Y45" s="0" t="n">
        <v>60.423</v>
      </c>
      <c r="Z45" s="0" t="n">
        <v>576.874</v>
      </c>
      <c r="AA45" s="0" t="n">
        <f aca="false">H45*x_c_F+I45*x_c_CC+J45*x_c_DC+K45*x_c_HCC+L45*x_c_PLT+M45*x_c_SVRn+N45*x_c_SVRcc+O45*x_c_LT+P45*x_c_LT1</f>
        <v>278494084.112877</v>
      </c>
      <c r="AB45" s="0" t="n">
        <f aca="false">C45*x_c_DAA</f>
        <v>109976320</v>
      </c>
      <c r="AC45" s="0" t="n">
        <f aca="false">C45*x_c_MON</f>
        <v>27857107.6100244</v>
      </c>
      <c r="AD45" s="0" t="n">
        <f aca="false">D45*(1-x_testy)</f>
        <v>0</v>
      </c>
      <c r="AE45" s="0" t="n">
        <f aca="false">E45*(1-x_testy)</f>
        <v>0</v>
      </c>
      <c r="AF45" s="0" t="n">
        <f aca="false">F45*x_NAV</f>
        <v>0</v>
      </c>
      <c r="AG45" s="0" t="n">
        <f aca="false">G45*x_FIX*(1-x_testy)</f>
        <v>0</v>
      </c>
      <c r="AH45" s="0" t="n">
        <f aca="false">x_z_F*U45+(1-x_AGRI)*x_EMP*x_WLOSS*(x_PEN_K74*Q45+x_PEN_C22*R45)</f>
        <v>17001401.571806</v>
      </c>
      <c r="AI45" s="0" t="n">
        <f aca="false">x_AGRI*x_EMP*x_WLOSS*(x_PEN_K74*Q45+x_PEN_C22*R45)</f>
        <v>874170.964024753</v>
      </c>
      <c r="AJ45" s="0" t="n">
        <f aca="false">x_EMP*x_WAGE*(x_WLOSS*(Q45+R45)+S45)+U45*x_ABS_D*x_WAGE/365</f>
        <v>268628150.450097</v>
      </c>
      <c r="AK45" s="0" t="n">
        <f aca="false">AJ45*x_R_FUS</f>
        <v>84993946.8024107</v>
      </c>
      <c r="AL45" s="0" t="n">
        <f aca="false">AJ45*x_R_NFZ</f>
        <v>20861930.792105</v>
      </c>
      <c r="AM45" s="0" t="n">
        <f aca="false">AJ45*x_R_PIT</f>
        <v>17859520.6542035</v>
      </c>
      <c r="AN45" s="0" t="n">
        <f aca="false">AJ45*x_R_FP</f>
        <v>6850017.83647747</v>
      </c>
      <c r="AO45" s="0" t="n">
        <f aca="false">AA45+AB45+AC45+AD45+AF45</f>
        <v>416327511.722901</v>
      </c>
      <c r="AP45" s="0" t="n">
        <f aca="false">AO45+AE45+AG45+AH45+AI45+AK45+AL45+AM45+AN45</f>
        <v>564768500.343928</v>
      </c>
      <c r="AQ45" s="0" t="n">
        <f aca="false">AO45+AE45+AG45+AJ45</f>
        <v>684955662.172998</v>
      </c>
      <c r="AR45" s="0" t="n">
        <f aca="false">AB45+AC45+AD45+AF45</f>
        <v>137833427.610024</v>
      </c>
      <c r="AS45" s="0" t="n">
        <f aca="false">AR45+AE45+AG45</f>
        <v>137833427.610024</v>
      </c>
    </row>
    <row r="46" customFormat="false" ht="15" hidden="false" customHeight="false" outlineLevel="0" collapsed="false">
      <c r="A46" s="0" t="n">
        <v>2069</v>
      </c>
      <c r="B46" s="0" t="n">
        <v>43</v>
      </c>
      <c r="C46" s="0" t="n">
        <v>4832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2256.429</v>
      </c>
      <c r="I46" s="0" t="n">
        <v>221.518</v>
      </c>
      <c r="J46" s="0" t="n">
        <v>1120.847</v>
      </c>
      <c r="K46" s="0" t="n">
        <v>1551.372</v>
      </c>
      <c r="L46" s="0" t="n">
        <v>690.005</v>
      </c>
      <c r="M46" s="0" t="n">
        <v>134761.276</v>
      </c>
      <c r="N46" s="0" t="n">
        <v>8883.03</v>
      </c>
      <c r="O46" s="0" t="n">
        <v>59.965</v>
      </c>
      <c r="P46" s="0" t="n">
        <v>60.194</v>
      </c>
      <c r="Q46" s="0" t="n">
        <v>648.967</v>
      </c>
      <c r="R46" s="0" t="n">
        <v>794.055</v>
      </c>
      <c r="S46" s="0" t="n">
        <v>2286.588</v>
      </c>
      <c r="T46" s="0" t="n">
        <v>2477.946</v>
      </c>
      <c r="U46" s="0" t="n">
        <v>1835.19</v>
      </c>
      <c r="V46" s="0" t="n">
        <v>173388.1</v>
      </c>
      <c r="W46" s="0" t="n">
        <v>208.369</v>
      </c>
      <c r="X46" s="0" t="n">
        <v>452.603</v>
      </c>
      <c r="Y46" s="0" t="n">
        <v>59.965</v>
      </c>
      <c r="Z46" s="0" t="n">
        <v>572.437</v>
      </c>
      <c r="AA46" s="0" t="n">
        <f aca="false">H46*x_c_F+I46*x_c_CC+J46*x_c_DC+K46*x_c_HCC+L46*x_c_PLT+M46*x_c_SVRn+N46*x_c_SVRcc+O46*x_c_LT+P46*x_c_LT1</f>
        <v>277905732.134752</v>
      </c>
      <c r="AB46" s="0" t="n">
        <f aca="false">C46*x_c_DAA</f>
        <v>109976320</v>
      </c>
      <c r="AC46" s="0" t="n">
        <f aca="false">C46*x_c_MON</f>
        <v>27857107.6100244</v>
      </c>
      <c r="AD46" s="0" t="n">
        <f aca="false">D46*(1-x_testy)</f>
        <v>0</v>
      </c>
      <c r="AE46" s="0" t="n">
        <f aca="false">E46*(1-x_testy)</f>
        <v>0</v>
      </c>
      <c r="AF46" s="0" t="n">
        <f aca="false">F46*x_NAV</f>
        <v>0</v>
      </c>
      <c r="AG46" s="0" t="n">
        <f aca="false">G46*x_FIX*(1-x_testy)</f>
        <v>0</v>
      </c>
      <c r="AH46" s="0" t="n">
        <f aca="false">x_z_F*U46+(1-x_AGRI)*x_EMP*x_WLOSS*(x_PEN_K74*Q46+x_PEN_C22*R46)</f>
        <v>16903825.6172442</v>
      </c>
      <c r="AI46" s="0" t="n">
        <f aca="false">x_AGRI*x_EMP*x_WLOSS*(x_PEN_K74*Q46+x_PEN_C22*R46)</f>
        <v>867926.710263195</v>
      </c>
      <c r="AJ46" s="0" t="n">
        <f aca="false">x_EMP*x_WAGE*(x_WLOSS*(Q46+R46)+S46)+U46*x_ABS_D*x_WAGE/365</f>
        <v>266808529.996793</v>
      </c>
      <c r="AK46" s="0" t="n">
        <f aca="false">AJ46*x_R_FUS</f>
        <v>84418218.8909854</v>
      </c>
      <c r="AL46" s="0" t="n">
        <f aca="false">AJ46*x_R_NFZ</f>
        <v>20720617.248081</v>
      </c>
      <c r="AM46" s="0" t="n">
        <f aca="false">AJ46*x_R_PIT</f>
        <v>17738544.691654</v>
      </c>
      <c r="AN46" s="0" t="n">
        <f aca="false">AJ46*x_R_FP</f>
        <v>6803617.51491823</v>
      </c>
      <c r="AO46" s="0" t="n">
        <f aca="false">AA46+AB46+AC46+AD46+AF46</f>
        <v>415739159.744777</v>
      </c>
      <c r="AP46" s="0" t="n">
        <f aca="false">AO46+AE46+AG46+AH46+AI46+AK46+AL46+AM46+AN46</f>
        <v>563191910.417923</v>
      </c>
      <c r="AQ46" s="0" t="n">
        <f aca="false">AO46+AE46+AG46+AJ46</f>
        <v>682547689.74157</v>
      </c>
      <c r="AR46" s="0" t="n">
        <f aca="false">AB46+AC46+AD46+AF46</f>
        <v>137833427.610024</v>
      </c>
      <c r="AS46" s="0" t="n">
        <f aca="false">AR46+AE46+AG46</f>
        <v>137833427.610024</v>
      </c>
    </row>
    <row r="47" customFormat="false" ht="15" hidden="false" customHeight="false" outlineLevel="0" collapsed="false">
      <c r="A47" s="0" t="n">
        <v>2070</v>
      </c>
      <c r="B47" s="0" t="n">
        <v>44</v>
      </c>
      <c r="C47" s="0" t="n">
        <v>4832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2256.709</v>
      </c>
      <c r="I47" s="0" t="n">
        <v>220.958</v>
      </c>
      <c r="J47" s="0" t="n">
        <v>1113.364</v>
      </c>
      <c r="K47" s="0" t="n">
        <v>1542.838</v>
      </c>
      <c r="L47" s="0" t="n">
        <v>675.226</v>
      </c>
      <c r="M47" s="0" t="n">
        <v>136715.511</v>
      </c>
      <c r="N47" s="0" t="n">
        <v>8829.463</v>
      </c>
      <c r="O47" s="0" t="n">
        <v>59.613</v>
      </c>
      <c r="P47" s="0" t="n">
        <v>59.789</v>
      </c>
      <c r="Q47" s="0" t="n">
        <v>644.265</v>
      </c>
      <c r="R47" s="0" t="n">
        <v>788.563</v>
      </c>
      <c r="S47" s="0" t="n">
        <v>2270.848</v>
      </c>
      <c r="T47" s="0" t="n">
        <v>2477.667</v>
      </c>
      <c r="U47" s="0" t="n">
        <v>1833.711</v>
      </c>
      <c r="V47" s="0" t="n">
        <v>174705.192</v>
      </c>
      <c r="W47" s="0" t="n">
        <v>207.414</v>
      </c>
      <c r="X47" s="0" t="n">
        <v>450.546</v>
      </c>
      <c r="Y47" s="0" t="n">
        <v>59.613</v>
      </c>
      <c r="Z47" s="0" t="n">
        <v>568.938</v>
      </c>
      <c r="AA47" s="0" t="n">
        <f aca="false">H47*x_c_F+I47*x_c_CC+J47*x_c_DC+K47*x_c_HCC+L47*x_c_PLT+M47*x_c_SVRn+N47*x_c_SVRcc+O47*x_c_LT+P47*x_c_LT1</f>
        <v>277672493.822764</v>
      </c>
      <c r="AB47" s="0" t="n">
        <f aca="false">C47*x_c_DAA</f>
        <v>109976320</v>
      </c>
      <c r="AC47" s="0" t="n">
        <f aca="false">C47*x_c_MON</f>
        <v>27857107.6100244</v>
      </c>
      <c r="AD47" s="0" t="n">
        <f aca="false">D47*(1-x_testy)</f>
        <v>0</v>
      </c>
      <c r="AE47" s="0" t="n">
        <f aca="false">E47*(1-x_testy)</f>
        <v>0</v>
      </c>
      <c r="AF47" s="0" t="n">
        <f aca="false">F47*x_NAV</f>
        <v>0</v>
      </c>
      <c r="AG47" s="0" t="n">
        <f aca="false">G47*x_FIX*(1-x_testy)</f>
        <v>0</v>
      </c>
      <c r="AH47" s="0" t="n">
        <f aca="false">x_z_F*U47+(1-x_AGRI)*x_EMP*x_WLOSS*(x_PEN_K74*Q47+x_PEN_C22*R47)</f>
        <v>16808159.5596108</v>
      </c>
      <c r="AI47" s="0" t="n">
        <f aca="false">x_AGRI*x_EMP*x_WLOSS*(x_PEN_K74*Q47+x_PEN_C22*R47)</f>
        <v>861804.348547823</v>
      </c>
      <c r="AJ47" s="0" t="n">
        <f aca="false">x_EMP*x_WAGE*(x_WLOSS*(Q47+R47)+S47)+U47*x_ABS_D*x_WAGE/365</f>
        <v>264992673.150573</v>
      </c>
      <c r="AK47" s="0" t="n">
        <f aca="false">AJ47*x_R_FUS</f>
        <v>83843681.7848412</v>
      </c>
      <c r="AL47" s="0" t="n">
        <f aca="false">AJ47*x_R_NFZ</f>
        <v>20579595.9895466</v>
      </c>
      <c r="AM47" s="0" t="n">
        <f aca="false">AJ47*x_R_PIT</f>
        <v>17617818.9494121</v>
      </c>
      <c r="AN47" s="0" t="n">
        <f aca="false">AJ47*x_R_FP</f>
        <v>6757313.1653396</v>
      </c>
      <c r="AO47" s="0" t="n">
        <f aca="false">AA47+AB47+AC47+AD47+AF47</f>
        <v>415505921.432788</v>
      </c>
      <c r="AP47" s="0" t="n">
        <f aca="false">AO47+AE47+AG47+AH47+AI47+AK47+AL47+AM47+AN47</f>
        <v>561974295.230086</v>
      </c>
      <c r="AQ47" s="0" t="n">
        <f aca="false">AO47+AE47+AG47+AJ47</f>
        <v>680498594.583361</v>
      </c>
      <c r="AR47" s="0" t="n">
        <f aca="false">AB47+AC47+AD47+AF47</f>
        <v>137833427.610024</v>
      </c>
      <c r="AS47" s="0" t="n">
        <f aca="false">AR47+AE47+AG47</f>
        <v>137833427.610024</v>
      </c>
    </row>
    <row r="48" customFormat="false" ht="15" hidden="false" customHeight="false" outlineLevel="0" collapsed="false">
      <c r="A48" s="0" t="n">
        <v>2071</v>
      </c>
      <c r="B48" s="0" t="n">
        <v>45</v>
      </c>
      <c r="C48" s="0" t="n">
        <v>4832</v>
      </c>
      <c r="D48" s="0" t="n">
        <v>0</v>
      </c>
      <c r="E48" s="0" t="n">
        <v>0</v>
      </c>
      <c r="F48" s="0" t="n">
        <v>0</v>
      </c>
      <c r="G48" s="0" t="n">
        <v>0</v>
      </c>
      <c r="H48" s="0" t="n">
        <v>2256.928</v>
      </c>
      <c r="I48" s="0" t="n">
        <v>220.468</v>
      </c>
      <c r="J48" s="0" t="n">
        <v>1107.583</v>
      </c>
      <c r="K48" s="0" t="n">
        <v>1536.039</v>
      </c>
      <c r="L48" s="0" t="n">
        <v>663.026</v>
      </c>
      <c r="M48" s="0" t="n">
        <v>138681.304</v>
      </c>
      <c r="N48" s="0" t="n">
        <v>8793.291</v>
      </c>
      <c r="O48" s="0" t="n">
        <v>59.345</v>
      </c>
      <c r="P48" s="0" t="n">
        <v>59.479</v>
      </c>
      <c r="Q48" s="0" t="n">
        <v>639.818</v>
      </c>
      <c r="R48" s="0" t="n">
        <v>783.369</v>
      </c>
      <c r="S48" s="0" t="n">
        <v>2255.949</v>
      </c>
      <c r="T48" s="0" t="n">
        <v>2477.397</v>
      </c>
      <c r="U48" s="0" t="n">
        <v>1832.378</v>
      </c>
      <c r="V48" s="0" t="n">
        <v>176049.803</v>
      </c>
      <c r="W48" s="0" t="n">
        <v>206.6</v>
      </c>
      <c r="X48" s="0" t="n">
        <v>448.806</v>
      </c>
      <c r="Y48" s="0" t="n">
        <v>59.345</v>
      </c>
      <c r="Z48" s="0" t="n">
        <v>566.201</v>
      </c>
      <c r="AA48" s="0" t="n">
        <f aca="false">H48*x_c_F+I48*x_c_CC+J48*x_c_DC+K48*x_c_HCC+L48*x_c_PLT+M48*x_c_SVRn+N48*x_c_SVRcc+O48*x_c_LT+P48*x_c_LT1</f>
        <v>277749299.753587</v>
      </c>
      <c r="AB48" s="0" t="n">
        <f aca="false">C48*x_c_DAA</f>
        <v>109976320</v>
      </c>
      <c r="AC48" s="0" t="n">
        <f aca="false">C48*x_c_MON</f>
        <v>27857107.6100244</v>
      </c>
      <c r="AD48" s="0" t="n">
        <f aca="false">D48*(1-x_testy)</f>
        <v>0</v>
      </c>
      <c r="AE48" s="0" t="n">
        <f aca="false">E48*(1-x_testy)</f>
        <v>0</v>
      </c>
      <c r="AF48" s="0" t="n">
        <f aca="false">F48*x_NAV</f>
        <v>0</v>
      </c>
      <c r="AG48" s="0" t="n">
        <f aca="false">G48*x_FIX*(1-x_testy)</f>
        <v>0</v>
      </c>
      <c r="AH48" s="0" t="n">
        <f aca="false">x_z_F*U48+(1-x_AGRI)*x_EMP*x_WLOSS*(x_PEN_K74*Q48+x_PEN_C22*R48)</f>
        <v>16717818.449934</v>
      </c>
      <c r="AI48" s="0" t="n">
        <f aca="false">x_AGRI*x_EMP*x_WLOSS*(x_PEN_K74*Q48+x_PEN_C22*R48)</f>
        <v>856014.115753344</v>
      </c>
      <c r="AJ48" s="0" t="n">
        <f aca="false">x_EMP*x_WAGE*(x_WLOSS*(Q48+R48)+S48)+U48*x_ABS_D*x_WAGE/365</f>
        <v>263274419.149197</v>
      </c>
      <c r="AK48" s="0" t="n">
        <f aca="false">AJ48*x_R_FUS</f>
        <v>83300026.218806</v>
      </c>
      <c r="AL48" s="0" t="n">
        <f aca="false">AJ48*x_R_NFZ</f>
        <v>20446154.6655458</v>
      </c>
      <c r="AM48" s="0" t="n">
        <f aca="false">AJ48*x_R_PIT</f>
        <v>17503582.2516747</v>
      </c>
      <c r="AN48" s="0" t="n">
        <f aca="false">AJ48*x_R_FP</f>
        <v>6713497.68830453</v>
      </c>
      <c r="AO48" s="0" t="n">
        <f aca="false">AA48+AB48+AC48+AD48+AF48</f>
        <v>415582727.363612</v>
      </c>
      <c r="AP48" s="0" t="n">
        <f aca="false">AO48+AE48+AG48+AH48+AI48+AK48+AL48+AM48+AN48</f>
        <v>561119820.75363</v>
      </c>
      <c r="AQ48" s="0" t="n">
        <f aca="false">AO48+AE48+AG48+AJ48</f>
        <v>678857146.512809</v>
      </c>
      <c r="AR48" s="0" t="n">
        <f aca="false">AB48+AC48+AD48+AF48</f>
        <v>137833427.610024</v>
      </c>
      <c r="AS48" s="0" t="n">
        <f aca="false">AR48+AE48+AG48</f>
        <v>137833427.610024</v>
      </c>
    </row>
    <row r="49" customFormat="false" ht="15" hidden="false" customHeight="false" outlineLevel="0" collapsed="false">
      <c r="A49" s="0" t="n">
        <v>2072</v>
      </c>
      <c r="B49" s="0" t="n">
        <v>46</v>
      </c>
      <c r="C49" s="0" t="n">
        <v>4832</v>
      </c>
      <c r="D49" s="0" t="n">
        <v>0</v>
      </c>
      <c r="E49" s="0" t="n">
        <v>0</v>
      </c>
      <c r="F49" s="0" t="n">
        <v>0</v>
      </c>
      <c r="G49" s="0" t="n">
        <v>0</v>
      </c>
      <c r="H49" s="0" t="n">
        <v>2257.136</v>
      </c>
      <c r="I49" s="0" t="n">
        <v>219.995</v>
      </c>
      <c r="J49" s="0" t="n">
        <v>1103.111</v>
      </c>
      <c r="K49" s="0" t="n">
        <v>1530.543</v>
      </c>
      <c r="L49" s="0" t="n">
        <v>653.22</v>
      </c>
      <c r="M49" s="0" t="n">
        <v>140652.862</v>
      </c>
      <c r="N49" s="0" t="n">
        <v>8773.184</v>
      </c>
      <c r="O49" s="0" t="n">
        <v>59.14</v>
      </c>
      <c r="P49" s="0" t="n">
        <v>59.242</v>
      </c>
      <c r="Q49" s="0" t="n">
        <v>635.616</v>
      </c>
      <c r="R49" s="0" t="n">
        <v>778.462</v>
      </c>
      <c r="S49" s="0" t="n">
        <v>2241.874</v>
      </c>
      <c r="T49" s="0" t="n">
        <v>2477.131</v>
      </c>
      <c r="U49" s="0" t="n">
        <v>1831.236</v>
      </c>
      <c r="V49" s="0" t="n">
        <v>177414.08</v>
      </c>
      <c r="W49" s="0" t="n">
        <v>205.873</v>
      </c>
      <c r="X49" s="0" t="n">
        <v>447.278</v>
      </c>
      <c r="Y49" s="0" t="n">
        <v>59.14</v>
      </c>
      <c r="Z49" s="0" t="n">
        <v>564.05</v>
      </c>
      <c r="AA49" s="0" t="n">
        <f aca="false">H49*x_c_F+I49*x_c_CC+J49*x_c_DC+K49*x_c_HCC+L49*x_c_PLT+M49*x_c_SVRn+N49*x_c_SVRcc+O49*x_c_LT+P49*x_c_LT1</f>
        <v>278080431.137934</v>
      </c>
      <c r="AB49" s="0" t="n">
        <f aca="false">C49*x_c_DAA</f>
        <v>109976320</v>
      </c>
      <c r="AC49" s="0" t="n">
        <f aca="false">C49*x_c_MON</f>
        <v>27857107.6100244</v>
      </c>
      <c r="AD49" s="0" t="n">
        <f aca="false">D49*(1-x_testy)</f>
        <v>0</v>
      </c>
      <c r="AE49" s="0" t="n">
        <f aca="false">E49*(1-x_testy)</f>
        <v>0</v>
      </c>
      <c r="AF49" s="0" t="n">
        <f aca="false">F49*x_NAV</f>
        <v>0</v>
      </c>
      <c r="AG49" s="0" t="n">
        <f aca="false">G49*x_FIX*(1-x_testy)</f>
        <v>0</v>
      </c>
      <c r="AH49" s="0" t="n">
        <f aca="false">x_z_F*U49+(1-x_AGRI)*x_EMP*x_WLOSS*(x_PEN_K74*Q49+x_PEN_C22*R49)</f>
        <v>16632704.353655</v>
      </c>
      <c r="AI49" s="0" t="n">
        <f aca="false">x_AGRI*x_EMP*x_WLOSS*(x_PEN_K74*Q49+x_PEN_C22*R49)</f>
        <v>850543.423549357</v>
      </c>
      <c r="AJ49" s="0" t="n">
        <f aca="false">x_EMP*x_WAGE*(x_WLOSS*(Q49+R49)+S49)+U49*x_ABS_D*x_WAGE/365</f>
        <v>261651483.53354</v>
      </c>
      <c r="AK49" s="0" t="n">
        <f aca="false">AJ49*x_R_FUS</f>
        <v>82786529.3900121</v>
      </c>
      <c r="AL49" s="0" t="n">
        <f aca="false">AJ49*x_R_NFZ</f>
        <v>20320115.8626983</v>
      </c>
      <c r="AM49" s="0" t="n">
        <f aca="false">AJ49*x_R_PIT</f>
        <v>17395682.718064</v>
      </c>
      <c r="AN49" s="0" t="n">
        <f aca="false">AJ49*x_R_FP</f>
        <v>6672112.83010527</v>
      </c>
      <c r="AO49" s="0" t="n">
        <f aca="false">AA49+AB49+AC49+AD49+AF49</f>
        <v>415913858.747958</v>
      </c>
      <c r="AP49" s="0" t="n">
        <f aca="false">AO49+AE49+AG49+AH49+AI49+AK49+AL49+AM49+AN49</f>
        <v>560571547.326043</v>
      </c>
      <c r="AQ49" s="0" t="n">
        <f aca="false">AO49+AE49+AG49+AJ49</f>
        <v>677565342.281499</v>
      </c>
      <c r="AR49" s="0" t="n">
        <f aca="false">AB49+AC49+AD49+AF49</f>
        <v>137833427.610024</v>
      </c>
      <c r="AS49" s="0" t="n">
        <f aca="false">AR49+AE49+AG49</f>
        <v>137833427.610024</v>
      </c>
    </row>
    <row r="50" customFormat="false" ht="15" hidden="false" customHeight="false" outlineLevel="0" collapsed="false">
      <c r="A50" s="0" t="n">
        <v>2073</v>
      </c>
      <c r="B50" s="0" t="n">
        <v>47</v>
      </c>
      <c r="C50" s="0" t="n">
        <v>4832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2257.373</v>
      </c>
      <c r="I50" s="0" t="n">
        <v>219.493</v>
      </c>
      <c r="J50" s="0" t="n">
        <v>1099.542</v>
      </c>
      <c r="K50" s="0" t="n">
        <v>1525.907</v>
      </c>
      <c r="L50" s="0" t="n">
        <v>645.513</v>
      </c>
      <c r="M50" s="0" t="n">
        <v>142620.106</v>
      </c>
      <c r="N50" s="0" t="n">
        <v>8766.741</v>
      </c>
      <c r="O50" s="0" t="n">
        <v>58.975</v>
      </c>
      <c r="P50" s="0" t="n">
        <v>59.057</v>
      </c>
      <c r="Q50" s="0" t="n">
        <v>631.652</v>
      </c>
      <c r="R50" s="0" t="n">
        <v>773.83</v>
      </c>
      <c r="S50" s="0" t="n">
        <v>2228.6</v>
      </c>
      <c r="T50" s="0" t="n">
        <v>2476.866</v>
      </c>
      <c r="U50" s="0" t="n">
        <v>1830.32</v>
      </c>
      <c r="V50" s="0" t="n">
        <v>178786.508</v>
      </c>
      <c r="W50" s="0" t="n">
        <v>205.177</v>
      </c>
      <c r="X50" s="0" t="n">
        <v>445.852</v>
      </c>
      <c r="Y50" s="0" t="n">
        <v>58.975</v>
      </c>
      <c r="Z50" s="0" t="n">
        <v>562.282</v>
      </c>
      <c r="AA50" s="0" t="n">
        <f aca="false">H50*x_c_F+I50*x_c_CC+J50*x_c_DC+K50*x_c_HCC+L50*x_c_PLT+M50*x_c_SVRn+N50*x_c_SVRcc+O50*x_c_LT+P50*x_c_LT1</f>
        <v>278599558.180227</v>
      </c>
      <c r="AB50" s="0" t="n">
        <f aca="false">C50*x_c_DAA</f>
        <v>109976320</v>
      </c>
      <c r="AC50" s="0" t="n">
        <f aca="false">C50*x_c_MON</f>
        <v>27857107.6100244</v>
      </c>
      <c r="AD50" s="0" t="n">
        <f aca="false">D50*(1-x_testy)</f>
        <v>0</v>
      </c>
      <c r="AE50" s="0" t="n">
        <f aca="false">E50*(1-x_testy)</f>
        <v>0</v>
      </c>
      <c r="AF50" s="0" t="n">
        <f aca="false">F50*x_NAV</f>
        <v>0</v>
      </c>
      <c r="AG50" s="0" t="n">
        <f aca="false">G50*x_FIX*(1-x_testy)</f>
        <v>0</v>
      </c>
      <c r="AH50" s="0" t="n">
        <f aca="false">x_z_F*U50+(1-x_AGRI)*x_EMP*x_WLOSS*(x_PEN_K74*Q50+x_PEN_C22*R50)</f>
        <v>16552714.5503202</v>
      </c>
      <c r="AI50" s="0" t="n">
        <f aca="false">x_AGRI*x_EMP*x_WLOSS*(x_PEN_K74*Q50+x_PEN_C22*R50)</f>
        <v>845380.726165642</v>
      </c>
      <c r="AJ50" s="0" t="n">
        <f aca="false">x_EMP*x_WAGE*(x_WLOSS*(Q50+R50)+S50)+U50*x_ABS_D*x_WAGE/365</f>
        <v>260121133.023349</v>
      </c>
      <c r="AK50" s="0" t="n">
        <f aca="false">AJ50*x_R_FUS</f>
        <v>82302326.4885875</v>
      </c>
      <c r="AL50" s="0" t="n">
        <f aca="false">AJ50*x_R_NFZ</f>
        <v>20201267.3117263</v>
      </c>
      <c r="AM50" s="0" t="n">
        <f aca="false">AJ50*x_R_PIT</f>
        <v>17293938.6287005</v>
      </c>
      <c r="AN50" s="0" t="n">
        <f aca="false">AJ50*x_R_FP</f>
        <v>6633088.89209539</v>
      </c>
      <c r="AO50" s="0" t="n">
        <f aca="false">AA50+AB50+AC50+AD50+AF50</f>
        <v>416432985.790251</v>
      </c>
      <c r="AP50" s="0" t="n">
        <f aca="false">AO50+AE50+AG50+AH50+AI50+AK50+AL50+AM50+AN50</f>
        <v>560261702.387847</v>
      </c>
      <c r="AQ50" s="0" t="n">
        <f aca="false">AO50+AE50+AG50+AJ50</f>
        <v>676554118.8136</v>
      </c>
      <c r="AR50" s="0" t="n">
        <f aca="false">AB50+AC50+AD50+AF50</f>
        <v>137833427.610024</v>
      </c>
      <c r="AS50" s="0" t="n">
        <f aca="false">AR50+AE50+AG50</f>
        <v>137833427.610024</v>
      </c>
    </row>
    <row r="51" customFormat="false" ht="15" hidden="false" customHeight="false" outlineLevel="0" collapsed="false">
      <c r="A51" s="0" t="n">
        <v>2074</v>
      </c>
      <c r="B51" s="0" t="n">
        <v>48</v>
      </c>
      <c r="C51" s="0" t="n">
        <v>4832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2257.668</v>
      </c>
      <c r="I51" s="0" t="n">
        <v>218.93</v>
      </c>
      <c r="J51" s="0" t="n">
        <v>1096.483</v>
      </c>
      <c r="K51" s="0" t="n">
        <v>1521.707</v>
      </c>
      <c r="L51" s="0" t="n">
        <v>639.524</v>
      </c>
      <c r="M51" s="0" t="n">
        <v>144569.185</v>
      </c>
      <c r="N51" s="0" t="n">
        <v>8770.714</v>
      </c>
      <c r="O51" s="0" t="n">
        <v>58.83</v>
      </c>
      <c r="P51" s="0" t="n">
        <v>58.902</v>
      </c>
      <c r="Q51" s="0" t="n">
        <v>627.914</v>
      </c>
      <c r="R51" s="0" t="n">
        <v>769.458</v>
      </c>
      <c r="S51" s="0" t="n">
        <v>2216.098</v>
      </c>
      <c r="T51" s="0" t="n">
        <v>2476.599</v>
      </c>
      <c r="U51" s="0" t="n">
        <v>1829.647</v>
      </c>
      <c r="V51" s="0" t="n">
        <v>180152.542</v>
      </c>
      <c r="W51" s="0" t="n">
        <v>204.472</v>
      </c>
      <c r="X51" s="0" t="n">
        <v>444.441</v>
      </c>
      <c r="Y51" s="0" t="n">
        <v>58.83</v>
      </c>
      <c r="Z51" s="0" t="n">
        <v>560.72</v>
      </c>
      <c r="AA51" s="0" t="n">
        <f aca="false">H51*x_c_F+I51*x_c_CC+J51*x_c_DC+K51*x_c_HCC+L51*x_c_PLT+M51*x_c_SVRn+N51*x_c_SVRcc+O51*x_c_LT+P51*x_c_LT1</f>
        <v>279235441.225215</v>
      </c>
      <c r="AB51" s="0" t="n">
        <f aca="false">C51*x_c_DAA</f>
        <v>109976320</v>
      </c>
      <c r="AC51" s="0" t="n">
        <f aca="false">C51*x_c_MON</f>
        <v>27857107.6100244</v>
      </c>
      <c r="AD51" s="0" t="n">
        <f aca="false">D51*(1-x_testy)</f>
        <v>0</v>
      </c>
      <c r="AE51" s="0" t="n">
        <f aca="false">E51*(1-x_testy)</f>
        <v>0</v>
      </c>
      <c r="AF51" s="0" t="n">
        <f aca="false">F51*x_NAV</f>
        <v>0</v>
      </c>
      <c r="AG51" s="0" t="n">
        <f aca="false">G51*x_FIX*(1-x_testy)</f>
        <v>0</v>
      </c>
      <c r="AH51" s="0" t="n">
        <f aca="false">x_z_F*U51+(1-x_AGRI)*x_EMP*x_WLOSS*(x_PEN_K74*Q51+x_PEN_C22*R51)</f>
        <v>16477638.1365557</v>
      </c>
      <c r="AI51" s="0" t="n">
        <f aca="false">x_AGRI*x_EMP*x_WLOSS*(x_PEN_K74*Q51+x_PEN_C22*R51)</f>
        <v>840509.773166163</v>
      </c>
      <c r="AJ51" s="0" t="n">
        <f aca="false">x_EMP*x_WAGE*(x_WLOSS*(Q51+R51)+S51)+U51*x_ABS_D*x_WAGE/365</f>
        <v>258679701.441183</v>
      </c>
      <c r="AK51" s="0" t="n">
        <f aca="false">AJ51*x_R_FUS</f>
        <v>81846257.5359905</v>
      </c>
      <c r="AL51" s="0" t="n">
        <f aca="false">AJ51*x_R_NFZ</f>
        <v>20089324.2936238</v>
      </c>
      <c r="AM51" s="0" t="n">
        <f aca="false">AJ51*x_R_PIT</f>
        <v>17198106.2408061</v>
      </c>
      <c r="AN51" s="0" t="n">
        <f aca="false">AJ51*x_R_FP</f>
        <v>6596332.38675018</v>
      </c>
      <c r="AO51" s="0" t="n">
        <f aca="false">AA51+AB51+AC51+AD51+AF51</f>
        <v>417068868.83524</v>
      </c>
      <c r="AP51" s="0" t="n">
        <f aca="false">AO51+AE51+AG51+AH51+AI51+AK51+AL51+AM51+AN51</f>
        <v>560117037.202132</v>
      </c>
      <c r="AQ51" s="0" t="n">
        <f aca="false">AO51+AE51+AG51+AJ51</f>
        <v>675748570.276423</v>
      </c>
      <c r="AR51" s="0" t="n">
        <f aca="false">AB51+AC51+AD51+AF51</f>
        <v>137833427.610024</v>
      </c>
      <c r="AS51" s="0" t="n">
        <f aca="false">AR51+AE51+AG51</f>
        <v>137833427.610024</v>
      </c>
    </row>
    <row r="52" customFormat="false" ht="15" hidden="false" customHeight="false" outlineLevel="0" collapsed="false">
      <c r="A52" s="0" t="n">
        <v>2075</v>
      </c>
      <c r="B52" s="0" t="n">
        <v>49</v>
      </c>
      <c r="C52" s="0" t="n">
        <v>4832</v>
      </c>
      <c r="D52" s="0" t="n">
        <v>0</v>
      </c>
      <c r="E52" s="0" t="n">
        <v>0</v>
      </c>
      <c r="F52" s="0" t="n">
        <v>0</v>
      </c>
      <c r="G52" s="0" t="n">
        <v>0</v>
      </c>
      <c r="H52" s="0" t="n">
        <v>2258.038</v>
      </c>
      <c r="I52" s="0" t="n">
        <v>218.288</v>
      </c>
      <c r="J52" s="0" t="n">
        <v>1093.579</v>
      </c>
      <c r="K52" s="0" t="n">
        <v>1517.566</v>
      </c>
      <c r="L52" s="0" t="n">
        <v>634.827</v>
      </c>
      <c r="M52" s="0" t="n">
        <v>146483.52</v>
      </c>
      <c r="N52" s="0" t="n">
        <v>8781.337</v>
      </c>
      <c r="O52" s="0" t="n">
        <v>58.685</v>
      </c>
      <c r="P52" s="0" t="n">
        <v>58.757</v>
      </c>
      <c r="Q52" s="0" t="n">
        <v>624.39</v>
      </c>
      <c r="R52" s="0" t="n">
        <v>765.332</v>
      </c>
      <c r="S52" s="0" t="n">
        <v>2204.334</v>
      </c>
      <c r="T52" s="0" t="n">
        <v>2476.327</v>
      </c>
      <c r="U52" s="0" t="n">
        <v>1829.222</v>
      </c>
      <c r="V52" s="0" t="n">
        <v>181495.679</v>
      </c>
      <c r="W52" s="0" t="n">
        <v>203.72</v>
      </c>
      <c r="X52" s="0" t="n">
        <v>442.966</v>
      </c>
      <c r="Y52" s="0" t="n">
        <v>58.685</v>
      </c>
      <c r="Z52" s="0" t="n">
        <v>559.19</v>
      </c>
      <c r="AA52" s="0" t="n">
        <f aca="false">H52*x_c_F+I52*x_c_CC+J52*x_c_DC+K52*x_c_HCC+L52*x_c_PLT+M52*x_c_SVRn+N52*x_c_SVRcc+O52*x_c_LT+P52*x_c_LT1</f>
        <v>279916097.891031</v>
      </c>
      <c r="AB52" s="0" t="n">
        <f aca="false">C52*x_c_DAA</f>
        <v>109976320</v>
      </c>
      <c r="AC52" s="0" t="n">
        <f aca="false">C52*x_c_MON</f>
        <v>27857107.6100244</v>
      </c>
      <c r="AD52" s="0" t="n">
        <f aca="false">D52*(1-x_testy)</f>
        <v>0</v>
      </c>
      <c r="AE52" s="0" t="n">
        <f aca="false">E52*(1-x_testy)</f>
        <v>0</v>
      </c>
      <c r="AF52" s="0" t="n">
        <f aca="false">F52*x_NAV</f>
        <v>0</v>
      </c>
      <c r="AG52" s="0" t="n">
        <f aca="false">G52*x_FIX*(1-x_testy)</f>
        <v>0</v>
      </c>
      <c r="AH52" s="0" t="n">
        <f aca="false">x_z_F*U52+(1-x_AGRI)*x_EMP*x_WLOSS*(x_PEN_K74*Q52+x_PEN_C22*R52)</f>
        <v>16407249.1574362</v>
      </c>
      <c r="AI52" s="0" t="n">
        <f aca="false">x_AGRI*x_EMP*x_WLOSS*(x_PEN_K74*Q52+x_PEN_C22*R52)</f>
        <v>835914.949914636</v>
      </c>
      <c r="AJ52" s="0" t="n">
        <f aca="false">x_EMP*x_WAGE*(x_WLOSS*(Q52+R52)+S52)+U52*x_ABS_D*x_WAGE/365</f>
        <v>257323107.116531</v>
      </c>
      <c r="AK52" s="0" t="n">
        <f aca="false">AJ52*x_R_FUS</f>
        <v>81417031.0916705</v>
      </c>
      <c r="AL52" s="0" t="n">
        <f aca="false">AJ52*x_R_NFZ</f>
        <v>19983969.8217769</v>
      </c>
      <c r="AM52" s="0" t="n">
        <f aca="false">AJ52*x_R_PIT</f>
        <v>17107914.1878887</v>
      </c>
      <c r="AN52" s="0" t="n">
        <f aca="false">AJ52*x_R_FP</f>
        <v>6561739.23147155</v>
      </c>
      <c r="AO52" s="0" t="n">
        <f aca="false">AA52+AB52+AC52+AD52+AF52</f>
        <v>417749525.501055</v>
      </c>
      <c r="AP52" s="0" t="n">
        <f aca="false">AO52+AE52+AG52+AH52+AI52+AK52+AL52+AM52+AN52</f>
        <v>560063343.941214</v>
      </c>
      <c r="AQ52" s="0" t="n">
        <f aca="false">AO52+AE52+AG52+AJ52</f>
        <v>675072632.617587</v>
      </c>
      <c r="AR52" s="0" t="n">
        <f aca="false">AB52+AC52+AD52+AF52</f>
        <v>137833427.610024</v>
      </c>
      <c r="AS52" s="0" t="n">
        <f aca="false">AR52+AE52+AG52</f>
        <v>137833427.610024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613</v>
      </c>
    </row>
    <row r="2" customFormat="false" ht="15" hidden="false" customHeight="false" outlineLevel="0" collapsed="false">
      <c r="A2" s="1" t="s">
        <v>614</v>
      </c>
      <c r="B2" s="0" t="n">
        <f aca="false">x_H</f>
        <v>20</v>
      </c>
    </row>
    <row r="3" customFormat="false" ht="15" hidden="false" customHeight="false" outlineLevel="0" collapsed="false">
      <c r="A3" s="1" t="s">
        <v>615</v>
      </c>
      <c r="B3" s="0" t="n">
        <f aca="false">SUM(H13:H62)</f>
        <v>-1803594625.46485</v>
      </c>
    </row>
    <row r="4" customFormat="false" ht="15" hidden="false" customHeight="false" outlineLevel="0" collapsed="false">
      <c r="A4" s="1" t="s">
        <v>616</v>
      </c>
      <c r="B4" s="0" t="n">
        <f aca="false">SUM(F13:F62)</f>
        <v>993258453.533723</v>
      </c>
    </row>
    <row r="5" customFormat="false" ht="15" hidden="false" customHeight="false" outlineLevel="0" collapsed="false">
      <c r="A5" s="1" t="s">
        <v>617</v>
      </c>
      <c r="B5" s="0" t="n">
        <f aca="false">B3-B4</f>
        <v>-2796853078.99857</v>
      </c>
    </row>
    <row r="6" customFormat="false" ht="15" hidden="false" customHeight="false" outlineLevel="0" collapsed="false">
      <c r="A6" s="1" t="s">
        <v>618</v>
      </c>
      <c r="B6" s="0" t="n">
        <f aca="false">IF(B3=0,"—",(B5-B3)/ABS(B3))</f>
        <v>-0.550710475352922</v>
      </c>
    </row>
    <row r="7" customFormat="false" ht="15" hidden="false" customHeight="false" outlineLevel="0" collapsed="false">
      <c r="A7" s="1" t="s">
        <v>619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620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621</v>
      </c>
      <c r="B9" s="0" t="n">
        <f aca="false">SUM(E13:E62)</f>
        <v>-207029422.869455</v>
      </c>
    </row>
    <row r="10" customFormat="false" ht="15" hidden="false" customHeight="false" outlineLevel="0" collapsed="false">
      <c r="A10" s="1" t="s">
        <v>622</v>
      </c>
      <c r="B10" s="0" t="n">
        <f aca="false">IFERROR(B4/SUM(P13:P62),"—")</f>
        <v>-18860.3773899394</v>
      </c>
    </row>
    <row r="11" customFormat="false" ht="15" hidden="false" customHeight="false" outlineLevel="0" collapsed="false">
      <c r="A11" s="1" t="s">
        <v>623</v>
      </c>
      <c r="B11" s="0" t="n">
        <f aca="false">IFERROR(B9/SUM(P13:P62),"—")</f>
        <v>3931.15511098613</v>
      </c>
    </row>
    <row r="12" customFormat="false" ht="55.2" hidden="false" customHeight="false" outlineLevel="0" collapsed="false">
      <c r="A12" s="3" t="s">
        <v>320</v>
      </c>
      <c r="B12" s="3" t="s">
        <v>565</v>
      </c>
      <c r="C12" s="3" t="s">
        <v>624</v>
      </c>
      <c r="D12" s="3" t="s">
        <v>625</v>
      </c>
      <c r="E12" s="3" t="s">
        <v>626</v>
      </c>
      <c r="F12" s="3" t="s">
        <v>627</v>
      </c>
      <c r="G12" s="3" t="s">
        <v>628</v>
      </c>
      <c r="H12" s="3" t="s">
        <v>629</v>
      </c>
      <c r="I12" s="3" t="s">
        <v>630</v>
      </c>
      <c r="J12" s="3" t="s">
        <v>631</v>
      </c>
      <c r="K12" s="3" t="s">
        <v>632</v>
      </c>
      <c r="L12" s="3" t="s">
        <v>633</v>
      </c>
      <c r="M12" s="3" t="s">
        <v>634</v>
      </c>
      <c r="N12" s="3" t="s">
        <v>635</v>
      </c>
      <c r="O12" s="3" t="s">
        <v>636</v>
      </c>
      <c r="P12" s="3" t="s">
        <v>637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(L_S0!AO3-L_S1!AO3)*C13</f>
        <v>-131850397.668961</v>
      </c>
      <c r="F13" s="0" t="n">
        <f aca="false">(L_S0!AP3-L_S1!AP3)*C13</f>
        <v>-124873165.956998</v>
      </c>
      <c r="G13" s="0" t="n">
        <f aca="false">(L_S0!AQ3-L_S1!AQ3)*C13</f>
        <v>-125846205.945552</v>
      </c>
      <c r="H13" s="0" t="n">
        <f aca="false">(L_S0!AS3-L_S1!AS3)*C13</f>
        <v>-137833427.610024</v>
      </c>
      <c r="I13" s="0" t="n">
        <f aca="false">E13</f>
        <v>-131850397.668961</v>
      </c>
      <c r="J13" s="0" t="n">
        <f aca="false">F13</f>
        <v>-124873165.956998</v>
      </c>
      <c r="K13" s="0" t="n">
        <f aca="false">G13</f>
        <v>-125846205.945552</v>
      </c>
      <c r="L13" s="0" t="n">
        <f aca="false">J13</f>
        <v>-124873165.956998</v>
      </c>
      <c r="M13" s="0" t="n">
        <v>0</v>
      </c>
      <c r="N13" s="0" t="n">
        <v>0</v>
      </c>
      <c r="O13" s="0" t="n">
        <f aca="false">I13</f>
        <v>-131850397.668961</v>
      </c>
      <c r="P13" s="0" t="n">
        <f aca="false">(L_S0!V3-L_S1!V3)*D13</f>
        <v>-390.972999999998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(L_S0!AO4-L_S1!AO4)*C14</f>
        <v>-115687252.17445</v>
      </c>
      <c r="F14" s="0" t="n">
        <f aca="false">(L_S0!AP4-L_S1!AP4)*C14</f>
        <v>-100772930.278786</v>
      </c>
      <c r="G14" s="0" t="n">
        <f aca="false">(L_S0!AQ4-L_S1!AQ4)*C14</f>
        <v>-102583646.956012</v>
      </c>
      <c r="H14" s="0" t="n">
        <f aca="false">(L_S0!AS4-L_S1!AS4)*C14</f>
        <v>-131269931.057166</v>
      </c>
      <c r="I14" s="0" t="n">
        <f aca="false">I13+E14</f>
        <v>-247537649.843411</v>
      </c>
      <c r="J14" s="0" t="n">
        <f aca="false">J13+F14</f>
        <v>-225646096.235784</v>
      </c>
      <c r="K14" s="0" t="n">
        <f aca="false">K13+G14</f>
        <v>-228429852.901564</v>
      </c>
      <c r="L14" s="0" t="n">
        <f aca="false">MAX(L13,J14)</f>
        <v>-124873165.956998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-131850397.668961</v>
      </c>
      <c r="P14" s="0" t="n">
        <f aca="false">(L_S0!V4-L_S1!V4)*D14</f>
        <v>-641.641545893722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(L_S0!AO5-L_S1!AO5)*C15</f>
        <v>-99905740.1479466</v>
      </c>
      <c r="F15" s="0" t="n">
        <f aca="false">(L_S0!AP5-L_S1!AP5)*C15</f>
        <v>-77016675.511373</v>
      </c>
      <c r="G15" s="0" t="n">
        <f aca="false">(L_S0!AQ5-L_S1!AQ5)*C15</f>
        <v>-79297309.3377838</v>
      </c>
      <c r="H15" s="0" t="n">
        <f aca="false">(L_S0!AS5-L_S1!AS5)*C15</f>
        <v>-125018981.959206</v>
      </c>
      <c r="I15" s="0" t="n">
        <f aca="false">I14+E15</f>
        <v>-347443389.991357</v>
      </c>
      <c r="J15" s="0" t="n">
        <f aca="false">J14+F15</f>
        <v>-302662771.747157</v>
      </c>
      <c r="K15" s="0" t="n">
        <f aca="false">K14+G15</f>
        <v>-307727162.239347</v>
      </c>
      <c r="L15" s="0" t="n">
        <f aca="false">MAX(L14,J15)</f>
        <v>-124873165.956998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-131850397.668961</v>
      </c>
      <c r="P15" s="0" t="n">
        <f aca="false">(L_S0!V5-L_S1!V5)*D15</f>
        <v>-889.093327732278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(L_S0!AO6-L_S1!AO6)*C16</f>
        <v>-84544651.3279178</v>
      </c>
      <c r="F16" s="0" t="n">
        <f aca="false">(L_S0!AP6-L_S1!AP6)*C16</f>
        <v>-53619605.0237486</v>
      </c>
      <c r="G16" s="0" t="n">
        <f aca="false">(L_S0!AQ6-L_S1!AQ6)*C16</f>
        <v>-55936036.7754433</v>
      </c>
      <c r="H16" s="0" t="n">
        <f aca="false">(L_S0!AS6-L_S1!AS6)*C16</f>
        <v>-119065697.104006</v>
      </c>
      <c r="I16" s="0" t="n">
        <f aca="false">I15+E16</f>
        <v>-431988041.319275</v>
      </c>
      <c r="J16" s="0" t="n">
        <f aca="false">J15+F16</f>
        <v>-356282376.770906</v>
      </c>
      <c r="K16" s="0" t="n">
        <f aca="false">K15+G16</f>
        <v>-363663199.014791</v>
      </c>
      <c r="L16" s="0" t="n">
        <f aca="false">MAX(L15,J16)</f>
        <v>-124873165.956998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-131850397.668961</v>
      </c>
      <c r="P16" s="0" t="n">
        <f aca="false">(L_S0!V6-L_S1!V6)*D16</f>
        <v>-1135.32398853045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(L_S0!AO7-L_S1!AO7)*C17</f>
        <v>-69643900.635546</v>
      </c>
      <c r="F17" s="0" t="n">
        <f aca="false">(L_S0!AP7-L_S1!AP7)*C17</f>
        <v>-30604206.2257082</v>
      </c>
      <c r="G17" s="0" t="n">
        <f aca="false">(L_S0!AQ7-L_S1!AQ7)*C17</f>
        <v>-32472198.9584985</v>
      </c>
      <c r="H17" s="0" t="n">
        <f aca="false">(L_S0!AS7-L_S1!AS7)*C17</f>
        <v>-113395902.003815</v>
      </c>
      <c r="I17" s="0" t="n">
        <f aca="false">I16+E17</f>
        <v>-501631941.954821</v>
      </c>
      <c r="J17" s="0" t="n">
        <f aca="false">J16+F17</f>
        <v>-386886582.996614</v>
      </c>
      <c r="K17" s="0" t="n">
        <f aca="false">K16+G17</f>
        <v>-396135397.973289</v>
      </c>
      <c r="L17" s="0" t="n">
        <f aca="false">MAX(L16,J17)</f>
        <v>-124873165.956998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-131850397.668961</v>
      </c>
      <c r="P17" s="0" t="n">
        <f aca="false">(L_S0!V7-L_S1!V7)*D17</f>
        <v>-1381.22634503772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(L_S0!AO8-L_S1!AO8)*C18</f>
        <v>-55246054.1387165</v>
      </c>
      <c r="F18" s="0" t="n">
        <f aca="false">(L_S0!AP8-L_S1!AP8)*C18</f>
        <v>-8003287.75401291</v>
      </c>
      <c r="G18" s="0" t="n">
        <f aca="false">(L_S0!AQ8-L_S1!AQ8)*C18</f>
        <v>-8904157.85306854</v>
      </c>
      <c r="H18" s="0" t="n">
        <f aca="false">(L_S0!AS8-L_S1!AS8)*C18</f>
        <v>-107996097.14649</v>
      </c>
      <c r="I18" s="0" t="n">
        <f aca="false">I17+E18</f>
        <v>-556877996.093538</v>
      </c>
      <c r="J18" s="0" t="n">
        <f aca="false">J17+F18</f>
        <v>-394889870.750627</v>
      </c>
      <c r="K18" s="0" t="n">
        <f aca="false">K17+G18</f>
        <v>-405039555.826358</v>
      </c>
      <c r="L18" s="0" t="n">
        <f aca="false">MAX(L17,J18)</f>
        <v>-124873165.956998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-131850397.668961</v>
      </c>
      <c r="P18" s="0" t="n">
        <f aca="false">(L_S0!V8-L_S1!V8)*D18</f>
        <v>-1626.9733774084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(L_S0!AO9-L_S1!AO9)*C19</f>
        <v>-41399894.6029081</v>
      </c>
      <c r="F19" s="0" t="n">
        <f aca="false">(L_S0!AP9-L_S1!AP9)*C19</f>
        <v>14134820.1662898</v>
      </c>
      <c r="G19" s="0" t="n">
        <f aca="false">(L_S0!AQ9-L_S1!AQ9)*C19</f>
        <v>14739562.041898</v>
      </c>
      <c r="H19" s="0" t="n">
        <f aca="false">(L_S0!AS9-L_S1!AS9)*C19</f>
        <v>-102853425.8538</v>
      </c>
      <c r="I19" s="0" t="n">
        <f aca="false">I18+E19</f>
        <v>-598277890.696446</v>
      </c>
      <c r="J19" s="0" t="n">
        <f aca="false">J18+F19</f>
        <v>-380755050.584337</v>
      </c>
      <c r="K19" s="0" t="n">
        <f aca="false">K18+G19</f>
        <v>-390299993.78446</v>
      </c>
      <c r="L19" s="0" t="n">
        <f aca="false">MAX(L18,J19)</f>
        <v>-124873165.956998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-131850397.668961</v>
      </c>
      <c r="P19" s="0" t="n">
        <f aca="false">(L_S0!V9-L_S1!V9)*D19</f>
        <v>-1872.24976835691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(L_S0!AO10-L_S1!AO10)*C20</f>
        <v>-28158488.9291572</v>
      </c>
      <c r="F20" s="0" t="n">
        <f aca="false">(L_S0!AP10-L_S1!AP10)*C20</f>
        <v>35747819.2900829</v>
      </c>
      <c r="G20" s="0" t="n">
        <f aca="false">(L_S0!AQ10-L_S1!AQ10)*C20</f>
        <v>38402101.4158523</v>
      </c>
      <c r="H20" s="0" t="n">
        <f aca="false">(L_S0!AS10-L_S1!AS10)*C20</f>
        <v>-97955643.6702859</v>
      </c>
      <c r="I20" s="0" t="n">
        <f aca="false">I19+E20</f>
        <v>-626436379.625603</v>
      </c>
      <c r="J20" s="0" t="n">
        <f aca="false">J19+F20</f>
        <v>-345007231.294254</v>
      </c>
      <c r="K20" s="0" t="n">
        <f aca="false">K19+G20</f>
        <v>-351897892.368607</v>
      </c>
      <c r="L20" s="0" t="n">
        <f aca="false">MAX(L19,J20)</f>
        <v>-124873165.956998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-131850397.668961</v>
      </c>
      <c r="P20" s="0" t="n">
        <f aca="false">(L_S0!V10-L_S1!V10)*D20</f>
        <v>-2116.43707384237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(L_S0!AO11-L_S1!AO11)*C21</f>
        <v>-15573557.8825528</v>
      </c>
      <c r="F21" s="0" t="n">
        <f aca="false">(L_S0!AP11-L_S1!AP11)*C21</f>
        <v>56765221.7276944</v>
      </c>
      <c r="G21" s="0" t="n">
        <f aca="false">(L_S0!AQ11-L_S1!AQ11)*C21</f>
        <v>62005096.3628812</v>
      </c>
      <c r="H21" s="0" t="n">
        <f aca="false">(L_S0!AS11-L_S1!AS11)*C21</f>
        <v>-93291089.2097961</v>
      </c>
      <c r="I21" s="0" t="n">
        <f aca="false">I20+E21</f>
        <v>-642009937.508156</v>
      </c>
      <c r="J21" s="0" t="n">
        <f aca="false">J20+F21</f>
        <v>-288242009.56656</v>
      </c>
      <c r="K21" s="0" t="n">
        <f aca="false">K20+G21</f>
        <v>-289892796.005726</v>
      </c>
      <c r="L21" s="0" t="n">
        <f aca="false">MAX(L20,J21)</f>
        <v>-124873165.956998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-131850397.668961</v>
      </c>
      <c r="P21" s="0" t="n">
        <f aca="false">(L_S0!V11-L_S1!V11)*D21</f>
        <v>-2358.69128538364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(L_S0!AO12-L_S1!AO12)*C22</f>
        <v>-3695745.87662641</v>
      </c>
      <c r="F22" s="0" t="n">
        <f aca="false">(L_S0!AP12-L_S1!AP12)*C22</f>
        <v>77109002.3607191</v>
      </c>
      <c r="G22" s="0" t="n">
        <f aca="false">(L_S0!AQ12-L_S1!AQ12)*C22</f>
        <v>85450364.768399</v>
      </c>
      <c r="H22" s="0" t="n">
        <f aca="false">(L_S0!AS12-L_S1!AS12)*C22</f>
        <v>-88848656.390282</v>
      </c>
      <c r="I22" s="0" t="n">
        <f aca="false">I21+E22</f>
        <v>-645705683.384782</v>
      </c>
      <c r="J22" s="0" t="n">
        <f aca="false">J21+F22</f>
        <v>-211133007.205841</v>
      </c>
      <c r="K22" s="0" t="n">
        <f aca="false">K21+G22</f>
        <v>-204442431.237327</v>
      </c>
      <c r="L22" s="0" t="n">
        <f aca="false">MAX(L21,J22)</f>
        <v>-124873165.956998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-131850397.668961</v>
      </c>
      <c r="P22" s="0" t="n">
        <f aca="false">(L_S0!V12-L_S1!V12)*D22</f>
        <v>-2598.03424780149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(L_S0!AO13-L_S1!AO13)*C23</f>
        <v>7428228.02139717</v>
      </c>
      <c r="F23" s="0" t="n">
        <f aca="false">(L_S0!AP13-L_S1!AP13)*C23</f>
        <v>96697543.3786602</v>
      </c>
      <c r="G23" s="0" t="n">
        <f aca="false">(L_S0!AQ13-L_S1!AQ13)*C23</f>
        <v>108625134.407546</v>
      </c>
      <c r="H23" s="0" t="n">
        <f aca="false">(L_S0!AS13-L_S1!AS13)*C23</f>
        <v>-84617767.9907448</v>
      </c>
      <c r="I23" s="0" t="n">
        <f aca="false">I22+E23</f>
        <v>-638277455.363385</v>
      </c>
      <c r="J23" s="0" t="n">
        <f aca="false">J22+F23</f>
        <v>-114435463.82718</v>
      </c>
      <c r="K23" s="0" t="n">
        <f aca="false">K22+G23</f>
        <v>-95817296.8297813</v>
      </c>
      <c r="L23" s="0" t="n">
        <f aca="false">MAX(L22,J23)</f>
        <v>-114435463.82718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-131850397.668961</v>
      </c>
      <c r="P23" s="0" t="n">
        <f aca="false">(L_S0!V13-L_S1!V13)*D23</f>
        <v>-2833.34716545487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(L_S0!AO14-L_S1!AO14)*C24</f>
        <v>17758065.8442078</v>
      </c>
      <c r="F24" s="0" t="n">
        <f aca="false">(L_S0!AP14-L_S1!AP14)*C24</f>
        <v>115448698.45444</v>
      </c>
      <c r="G24" s="0" t="n">
        <f aca="false">(L_S0!AQ14-L_S1!AQ14)*C24</f>
        <v>131406309.319818</v>
      </c>
      <c r="H24" s="0" t="n">
        <f aca="false">(L_S0!AS14-L_S1!AS14)*C24</f>
        <v>-80588350.467376</v>
      </c>
      <c r="I24" s="0" t="n">
        <f aca="false">I23+E24</f>
        <v>-620519389.519177</v>
      </c>
      <c r="J24" s="0" t="n">
        <f aca="false">J23+F24</f>
        <v>1013234.62725942</v>
      </c>
      <c r="K24" s="0" t="n">
        <f aca="false">K23+G24</f>
        <v>35589012.4900371</v>
      </c>
      <c r="L24" s="0" t="n">
        <f aca="false">MAX(L23,J24)</f>
        <v>1013234.62725942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-131850397.668961</v>
      </c>
      <c r="P24" s="0" t="n">
        <f aca="false">(L_S0!V14-L_S1!V14)*D24</f>
        <v>-3063.37860791123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(L_S0!AO15-L_S1!AO15)*C25</f>
        <v>27260713.1715863</v>
      </c>
      <c r="F25" s="0" t="n">
        <f aca="false">(L_S0!AP15-L_S1!AP15)*C25</f>
        <v>105383672.998477</v>
      </c>
      <c r="G25" s="0" t="n">
        <f aca="false">(L_S0!AQ15-L_S1!AQ15)*C25</f>
        <v>115992480.857899</v>
      </c>
      <c r="H25" s="0" t="n">
        <f aca="false">(L_S0!AS15-L_S1!AS15)*C25</f>
        <v>-76750809.9689295</v>
      </c>
      <c r="I25" s="0" t="n">
        <f aca="false">I24+E25</f>
        <v>-593258676.347591</v>
      </c>
      <c r="J25" s="0" t="n">
        <f aca="false">J24+F25</f>
        <v>106396907.625737</v>
      </c>
      <c r="K25" s="0" t="n">
        <f aca="false">K24+G25</f>
        <v>151581493.347937</v>
      </c>
      <c r="L25" s="0" t="n">
        <f aca="false">MAX(L24,J25)</f>
        <v>106396907.625737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-131850397.668961</v>
      </c>
      <c r="P25" s="0" t="n">
        <f aca="false">(L_S0!V15-L_S1!V15)*D25</f>
        <v>-3286.80366431661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(L_S0!AO16-L_S1!AO16)*C26</f>
        <v>35913673.0148645</v>
      </c>
      <c r="F26" s="0" t="n">
        <f aca="false">(L_S0!AP16-L_S1!AP16)*C26</f>
        <v>93875066.1908084</v>
      </c>
      <c r="G26" s="0" t="n">
        <f aca="false">(L_S0!AQ16-L_S1!AQ16)*C26</f>
        <v>98145613.8624836</v>
      </c>
      <c r="H26" s="0" t="n">
        <f aca="false">(L_S0!AS16-L_S1!AS16)*C26</f>
        <v>-73096009.4942186</v>
      </c>
      <c r="I26" s="0" t="n">
        <f aca="false">I25+E26</f>
        <v>-557345003.332726</v>
      </c>
      <c r="J26" s="0" t="n">
        <f aca="false">J25+F26</f>
        <v>200271973.816545</v>
      </c>
      <c r="K26" s="0" t="n">
        <f aca="false">K25+G26</f>
        <v>249727107.21042</v>
      </c>
      <c r="L26" s="0" t="n">
        <f aca="false">MAX(L25,J26)</f>
        <v>200271973.816545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-131850397.668961</v>
      </c>
      <c r="P26" s="0" t="n">
        <f aca="false">(L_S0!V16-L_S1!V16)*D26</f>
        <v>-3502.23010661951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(L_S0!AO17-L_S1!AO17)*C27</f>
        <v>43705549.6920071</v>
      </c>
      <c r="F27" s="0" t="n">
        <f aca="false">(L_S0!AP17-L_S1!AP17)*C27</f>
        <v>106275784.203461</v>
      </c>
      <c r="G27" s="0" t="n">
        <f aca="false">(L_S0!AQ17-L_S1!AQ17)*C27</f>
        <v>112049499.756122</v>
      </c>
      <c r="H27" s="0" t="n">
        <f aca="false">(L_S0!AS17-L_S1!AS17)*C27</f>
        <v>-69615247.137351</v>
      </c>
      <c r="I27" s="0" t="n">
        <f aca="false">I26+E27</f>
        <v>-513639453.640719</v>
      </c>
      <c r="J27" s="0" t="n">
        <f aca="false">J26+F27</f>
        <v>306547758.020006</v>
      </c>
      <c r="K27" s="0" t="n">
        <f aca="false">K26+G27</f>
        <v>361776606.966542</v>
      </c>
      <c r="L27" s="0" t="n">
        <f aca="false">MAX(L26,J27)</f>
        <v>306547758.020006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-131850397.668961</v>
      </c>
      <c r="P27" s="0" t="n">
        <f aca="false">(L_S0!V17-L_S1!V17)*D27</f>
        <v>-3708.37975707465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(L_S0!AO18-L_S1!AO18)*C28</f>
        <v>50641440.4300284</v>
      </c>
      <c r="F28" s="0" t="n">
        <f aca="false">(L_S0!AP18-L_S1!AP18)*C28</f>
        <v>117773009.685642</v>
      </c>
      <c r="G28" s="0" t="n">
        <f aca="false">(L_S0!AQ18-L_S1!AQ18)*C28</f>
        <v>125225012.231481</v>
      </c>
      <c r="H28" s="0" t="n">
        <f aca="false">(L_S0!AS18-L_S1!AS18)*C28</f>
        <v>-66300235.3689057</v>
      </c>
      <c r="I28" s="0" t="n">
        <f aca="false">I27+E28</f>
        <v>-462998013.210691</v>
      </c>
      <c r="J28" s="0" t="n">
        <f aca="false">J27+F28</f>
        <v>424320767.705648</v>
      </c>
      <c r="K28" s="0" t="n">
        <f aca="false">K27+G28</f>
        <v>487001619.198023</v>
      </c>
      <c r="L28" s="0" t="n">
        <f aca="false">MAX(L27,J28)</f>
        <v>424320767.705648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-131850397.668961</v>
      </c>
      <c r="P28" s="0" t="n">
        <f aca="false">(L_S0!V18-L_S1!V18)*D28</f>
        <v>-3904.28421826837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(L_S0!AO19-L_S1!AO19)*C29</f>
        <v>56733809.7707462</v>
      </c>
      <c r="F29" s="0" t="n">
        <f aca="false">(L_S0!AP19-L_S1!AP19)*C29</f>
        <v>128371964.066697</v>
      </c>
      <c r="G29" s="0" t="n">
        <f aca="false">(L_S0!AQ19-L_S1!AQ19)*C29</f>
        <v>137674467.874629</v>
      </c>
      <c r="H29" s="0" t="n">
        <f aca="false">(L_S0!AS19-L_S1!AS19)*C29</f>
        <v>-63143081.3037197</v>
      </c>
      <c r="I29" s="0" t="n">
        <f aca="false">I28+E29</f>
        <v>-406264203.439945</v>
      </c>
      <c r="J29" s="0" t="n">
        <f aca="false">J28+F29</f>
        <v>552692731.772345</v>
      </c>
      <c r="K29" s="0" t="n">
        <f aca="false">K28+G29</f>
        <v>624676087.072652</v>
      </c>
      <c r="L29" s="0" t="n">
        <f aca="false">MAX(L28,J29)</f>
        <v>552692731.772345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-131850397.668961</v>
      </c>
      <c r="P29" s="0" t="n">
        <f aca="false">(L_S0!V19-L_S1!V19)*D29</f>
        <v>-4088.26532461657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(L_S0!AO20-L_S1!AO20)*C30</f>
        <v>62044062.4105427</v>
      </c>
      <c r="F30" s="0" t="n">
        <f aca="false">(L_S0!AP20-L_S1!AP20)*C30</f>
        <v>138128443.117438</v>
      </c>
      <c r="G30" s="0" t="n">
        <f aca="false">(L_S0!AQ20-L_S1!AQ20)*C30</f>
        <v>149449669.366131</v>
      </c>
      <c r="H30" s="0" t="n">
        <f aca="false">(L_S0!AS20-L_S1!AS20)*C30</f>
        <v>-60136267.9083045</v>
      </c>
      <c r="I30" s="0" t="n">
        <f aca="false">I29+E30</f>
        <v>-344220141.029402</v>
      </c>
      <c r="J30" s="0" t="n">
        <f aca="false">J29+F30</f>
        <v>690821174.889784</v>
      </c>
      <c r="K30" s="0" t="n">
        <f aca="false">K29+G30</f>
        <v>774125756.438782</v>
      </c>
      <c r="L30" s="0" t="n">
        <f aca="false">MAX(L29,J30)</f>
        <v>690821174.889784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-131850397.668961</v>
      </c>
      <c r="P30" s="0" t="n">
        <f aca="false">(L_S0!V20-L_S1!V20)*D30</f>
        <v>-4261.66166624948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(L_S0!AO21-L_S1!AO21)*C31</f>
        <v>66633660.3804719</v>
      </c>
      <c r="F31" s="0" t="n">
        <f aca="false">(L_S0!AP21-L_S1!AP21)*C31</f>
        <v>147100005.983107</v>
      </c>
      <c r="G31" s="0" t="n">
        <f aca="false">(L_S0!AQ21-L_S1!AQ21)*C31</f>
        <v>160603546.341957</v>
      </c>
      <c r="H31" s="0" t="n">
        <f aca="false">(L_S0!AS21-L_S1!AS21)*C31</f>
        <v>-57272636.1031471</v>
      </c>
      <c r="I31" s="0" t="n">
        <f aca="false">I30+E31</f>
        <v>-277586480.64893</v>
      </c>
      <c r="J31" s="0" t="n">
        <f aca="false">J30+F31</f>
        <v>837921180.872891</v>
      </c>
      <c r="K31" s="0" t="n">
        <f aca="false">K30+G31</f>
        <v>934729302.780739</v>
      </c>
      <c r="L31" s="0" t="n">
        <f aca="false">MAX(L30,J31)</f>
        <v>837921180.872891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-131850397.668961</v>
      </c>
      <c r="P31" s="0" t="n">
        <f aca="false">(L_S0!V21-L_S1!V21)*D31</f>
        <v>-4425.6090532573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(L_S0!AO22-L_S1!AO22)*C32</f>
        <v>70557057.7794753</v>
      </c>
      <c r="F32" s="0" t="n">
        <f aca="false">(L_S0!AP22-L_S1!AP22)*C32</f>
        <v>155337272.660832</v>
      </c>
      <c r="G32" s="0" t="n">
        <f aca="false">(L_S0!AQ22-L_S1!AQ22)*C32</f>
        <v>171180805.382382</v>
      </c>
      <c r="H32" s="0" t="n">
        <f aca="false">(L_S0!AS22-L_S1!AS22)*C32</f>
        <v>-54545367.717283</v>
      </c>
      <c r="I32" s="0" t="n">
        <f aca="false">I31+E32</f>
        <v>-207029422.869455</v>
      </c>
      <c r="J32" s="0" t="n">
        <f aca="false">J31+F32</f>
        <v>993258453.533723</v>
      </c>
      <c r="K32" s="0" t="n">
        <f aca="false">K31+G32</f>
        <v>1105910108.16312</v>
      </c>
      <c r="L32" s="0" t="n">
        <f aca="false">MAX(L31,J32)</f>
        <v>993258453.533723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-131850397.668961</v>
      </c>
      <c r="P32" s="0" t="n">
        <f aca="false">(L_S0!V22-L_S1!V22)*D32</f>
        <v>-4579.15993113428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(L_S0!AO23-L_S1!AO23)*C33</f>
        <v>0</v>
      </c>
      <c r="F33" s="0" t="n">
        <f aca="false">(L_S0!AP23-L_S1!AP23)*C33</f>
        <v>0</v>
      </c>
      <c r="G33" s="0" t="n">
        <f aca="false">(L_S0!AQ23-L_S1!AQ23)*C33</f>
        <v>0</v>
      </c>
      <c r="H33" s="0" t="n">
        <f aca="false">(L_S0!AS23-L_S1!AS23)*C33</f>
        <v>-0</v>
      </c>
      <c r="I33" s="0" t="n">
        <f aca="false">I32+E33</f>
        <v>-207029422.869455</v>
      </c>
      <c r="J33" s="0" t="n">
        <f aca="false">J32+F33</f>
        <v>993258453.533723</v>
      </c>
      <c r="K33" s="0" t="n">
        <f aca="false">K32+G33</f>
        <v>1105910108.16312</v>
      </c>
      <c r="L33" s="0" t="n">
        <f aca="false">MAX(L32,J33)</f>
        <v>993258453.533723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-131850397.668961</v>
      </c>
      <c r="P33" s="0" t="n">
        <f aca="false">(L_S0!V23-L_S1!V23)*D33</f>
        <v>-0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(L_S0!AO24-L_S1!AO24)*C34</f>
        <v>0</v>
      </c>
      <c r="F34" s="0" t="n">
        <f aca="false">(L_S0!AP24-L_S1!AP24)*C34</f>
        <v>0</v>
      </c>
      <c r="G34" s="0" t="n">
        <f aca="false">(L_S0!AQ24-L_S1!AQ24)*C34</f>
        <v>0</v>
      </c>
      <c r="H34" s="0" t="n">
        <f aca="false">(L_S0!AS24-L_S1!AS24)*C34</f>
        <v>-0</v>
      </c>
      <c r="I34" s="0" t="n">
        <f aca="false">I33+E34</f>
        <v>-207029422.869455</v>
      </c>
      <c r="J34" s="0" t="n">
        <f aca="false">J33+F34</f>
        <v>993258453.533723</v>
      </c>
      <c r="K34" s="0" t="n">
        <f aca="false">K33+G34</f>
        <v>1105910108.16312</v>
      </c>
      <c r="L34" s="0" t="n">
        <f aca="false">MAX(L33,J34)</f>
        <v>993258453.533723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-131850397.668961</v>
      </c>
      <c r="P34" s="0" t="n">
        <f aca="false">(L_S0!V24-L_S1!V24)*D34</f>
        <v>-0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(L_S0!AO25-L_S1!AO25)*C35</f>
        <v>0</v>
      </c>
      <c r="F35" s="0" t="n">
        <f aca="false">(L_S0!AP25-L_S1!AP25)*C35</f>
        <v>0</v>
      </c>
      <c r="G35" s="0" t="n">
        <f aca="false">(L_S0!AQ25-L_S1!AQ25)*C35</f>
        <v>0</v>
      </c>
      <c r="H35" s="0" t="n">
        <f aca="false">(L_S0!AS25-L_S1!AS25)*C35</f>
        <v>-0</v>
      </c>
      <c r="I35" s="0" t="n">
        <f aca="false">I34+E35</f>
        <v>-207029422.869455</v>
      </c>
      <c r="J35" s="0" t="n">
        <f aca="false">J34+F35</f>
        <v>993258453.533723</v>
      </c>
      <c r="K35" s="0" t="n">
        <f aca="false">K34+G35</f>
        <v>1105910108.16312</v>
      </c>
      <c r="L35" s="0" t="n">
        <f aca="false">MAX(L34,J35)</f>
        <v>993258453.533723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-131850397.668961</v>
      </c>
      <c r="P35" s="0" t="n">
        <f aca="false">(L_S0!V25-L_S1!V25)*D35</f>
        <v>-0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(L_S0!AO26-L_S1!AO26)*C36</f>
        <v>0</v>
      </c>
      <c r="F36" s="0" t="n">
        <f aca="false">(L_S0!AP26-L_S1!AP26)*C36</f>
        <v>0</v>
      </c>
      <c r="G36" s="0" t="n">
        <f aca="false">(L_S0!AQ26-L_S1!AQ26)*C36</f>
        <v>0</v>
      </c>
      <c r="H36" s="0" t="n">
        <f aca="false">(L_S0!AS26-L_S1!AS26)*C36</f>
        <v>-0</v>
      </c>
      <c r="I36" s="0" t="n">
        <f aca="false">I35+E36</f>
        <v>-207029422.869455</v>
      </c>
      <c r="J36" s="0" t="n">
        <f aca="false">J35+F36</f>
        <v>993258453.533723</v>
      </c>
      <c r="K36" s="0" t="n">
        <f aca="false">K35+G36</f>
        <v>1105910108.16312</v>
      </c>
      <c r="L36" s="0" t="n">
        <f aca="false">MAX(L35,J36)</f>
        <v>993258453.533723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-131850397.668961</v>
      </c>
      <c r="P36" s="0" t="n">
        <f aca="false">(L_S0!V26-L_S1!V26)*D36</f>
        <v>-0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(L_S0!AO27-L_S1!AO27)*C37</f>
        <v>0</v>
      </c>
      <c r="F37" s="0" t="n">
        <f aca="false">(L_S0!AP27-L_S1!AP27)*C37</f>
        <v>0</v>
      </c>
      <c r="G37" s="0" t="n">
        <f aca="false">(L_S0!AQ27-L_S1!AQ27)*C37</f>
        <v>0</v>
      </c>
      <c r="H37" s="0" t="n">
        <f aca="false">(L_S0!AS27-L_S1!AS27)*C37</f>
        <v>-0</v>
      </c>
      <c r="I37" s="0" t="n">
        <f aca="false">I36+E37</f>
        <v>-207029422.869455</v>
      </c>
      <c r="J37" s="0" t="n">
        <f aca="false">J36+F37</f>
        <v>993258453.533723</v>
      </c>
      <c r="K37" s="0" t="n">
        <f aca="false">K36+G37</f>
        <v>1105910108.16312</v>
      </c>
      <c r="L37" s="0" t="n">
        <f aca="false">MAX(L36,J37)</f>
        <v>993258453.533723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-131850397.668961</v>
      </c>
      <c r="P37" s="0" t="n">
        <f aca="false">(L_S0!V27-L_S1!V27)*D37</f>
        <v>-0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(L_S0!AO28-L_S1!AO28)*C38</f>
        <v>0</v>
      </c>
      <c r="F38" s="0" t="n">
        <f aca="false">(L_S0!AP28-L_S1!AP28)*C38</f>
        <v>0</v>
      </c>
      <c r="G38" s="0" t="n">
        <f aca="false">(L_S0!AQ28-L_S1!AQ28)*C38</f>
        <v>0</v>
      </c>
      <c r="H38" s="0" t="n">
        <f aca="false">(L_S0!AS28-L_S1!AS28)*C38</f>
        <v>-0</v>
      </c>
      <c r="I38" s="0" t="n">
        <f aca="false">I37+E38</f>
        <v>-207029422.869455</v>
      </c>
      <c r="J38" s="0" t="n">
        <f aca="false">J37+F38</f>
        <v>993258453.533723</v>
      </c>
      <c r="K38" s="0" t="n">
        <f aca="false">K37+G38</f>
        <v>1105910108.16312</v>
      </c>
      <c r="L38" s="0" t="n">
        <f aca="false">MAX(L37,J38)</f>
        <v>993258453.533723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-131850397.668961</v>
      </c>
      <c r="P38" s="0" t="n">
        <f aca="false">(L_S0!V28-L_S1!V28)*D38</f>
        <v>-0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(L_S0!AO29-L_S1!AO29)*C39</f>
        <v>0</v>
      </c>
      <c r="F39" s="0" t="n">
        <f aca="false">(L_S0!AP29-L_S1!AP29)*C39</f>
        <v>0</v>
      </c>
      <c r="G39" s="0" t="n">
        <f aca="false">(L_S0!AQ29-L_S1!AQ29)*C39</f>
        <v>0</v>
      </c>
      <c r="H39" s="0" t="n">
        <f aca="false">(L_S0!AS29-L_S1!AS29)*C39</f>
        <v>-0</v>
      </c>
      <c r="I39" s="0" t="n">
        <f aca="false">I38+E39</f>
        <v>-207029422.869455</v>
      </c>
      <c r="J39" s="0" t="n">
        <f aca="false">J38+F39</f>
        <v>993258453.533723</v>
      </c>
      <c r="K39" s="0" t="n">
        <f aca="false">K38+G39</f>
        <v>1105910108.16312</v>
      </c>
      <c r="L39" s="0" t="n">
        <f aca="false">MAX(L38,J39)</f>
        <v>993258453.533723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-131850397.668961</v>
      </c>
      <c r="P39" s="0" t="n">
        <f aca="false">(L_S0!V29-L_S1!V29)*D39</f>
        <v>-0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(L_S0!AO30-L_S1!AO30)*C40</f>
        <v>0</v>
      </c>
      <c r="F40" s="0" t="n">
        <f aca="false">(L_S0!AP30-L_S1!AP30)*C40</f>
        <v>0</v>
      </c>
      <c r="G40" s="0" t="n">
        <f aca="false">(L_S0!AQ30-L_S1!AQ30)*C40</f>
        <v>0</v>
      </c>
      <c r="H40" s="0" t="n">
        <f aca="false">(L_S0!AS30-L_S1!AS30)*C40</f>
        <v>-0</v>
      </c>
      <c r="I40" s="0" t="n">
        <f aca="false">I39+E40</f>
        <v>-207029422.869455</v>
      </c>
      <c r="J40" s="0" t="n">
        <f aca="false">J39+F40</f>
        <v>993258453.533723</v>
      </c>
      <c r="K40" s="0" t="n">
        <f aca="false">K39+G40</f>
        <v>1105910108.16312</v>
      </c>
      <c r="L40" s="0" t="n">
        <f aca="false">MAX(L39,J40)</f>
        <v>993258453.533723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-131850397.668961</v>
      </c>
      <c r="P40" s="0" t="n">
        <f aca="false">(L_S0!V30-L_S1!V30)*D40</f>
        <v>-0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(L_S0!AO31-L_S1!AO31)*C41</f>
        <v>0</v>
      </c>
      <c r="F41" s="0" t="n">
        <f aca="false">(L_S0!AP31-L_S1!AP31)*C41</f>
        <v>0</v>
      </c>
      <c r="G41" s="0" t="n">
        <f aca="false">(L_S0!AQ31-L_S1!AQ31)*C41</f>
        <v>0</v>
      </c>
      <c r="H41" s="0" t="n">
        <f aca="false">(L_S0!AS31-L_S1!AS31)*C41</f>
        <v>-0</v>
      </c>
      <c r="I41" s="0" t="n">
        <f aca="false">I40+E41</f>
        <v>-207029422.869455</v>
      </c>
      <c r="J41" s="0" t="n">
        <f aca="false">J40+F41</f>
        <v>993258453.533723</v>
      </c>
      <c r="K41" s="0" t="n">
        <f aca="false">K40+G41</f>
        <v>1105910108.16312</v>
      </c>
      <c r="L41" s="0" t="n">
        <f aca="false">MAX(L40,J41)</f>
        <v>993258453.533723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-131850397.668961</v>
      </c>
      <c r="P41" s="0" t="n">
        <f aca="false">(L_S0!V31-L_S1!V31)*D41</f>
        <v>-0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(L_S0!AO32-L_S1!AO32)*C42</f>
        <v>0</v>
      </c>
      <c r="F42" s="0" t="n">
        <f aca="false">(L_S0!AP32-L_S1!AP32)*C42</f>
        <v>0</v>
      </c>
      <c r="G42" s="0" t="n">
        <f aca="false">(L_S0!AQ32-L_S1!AQ32)*C42</f>
        <v>0</v>
      </c>
      <c r="H42" s="0" t="n">
        <f aca="false">(L_S0!AS32-L_S1!AS32)*C42</f>
        <v>-0</v>
      </c>
      <c r="I42" s="0" t="n">
        <f aca="false">I41+E42</f>
        <v>-207029422.869455</v>
      </c>
      <c r="J42" s="0" t="n">
        <f aca="false">J41+F42</f>
        <v>993258453.533723</v>
      </c>
      <c r="K42" s="0" t="n">
        <f aca="false">K41+G42</f>
        <v>1105910108.16312</v>
      </c>
      <c r="L42" s="0" t="n">
        <f aca="false">MAX(L41,J42)</f>
        <v>993258453.533723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-131850397.668961</v>
      </c>
      <c r="P42" s="0" t="n">
        <f aca="false">(L_S0!V32-L_S1!V32)*D42</f>
        <v>-0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(L_S0!AO33-L_S1!AO33)*C43</f>
        <v>0</v>
      </c>
      <c r="F43" s="0" t="n">
        <f aca="false">(L_S0!AP33-L_S1!AP33)*C43</f>
        <v>0</v>
      </c>
      <c r="G43" s="0" t="n">
        <f aca="false">(L_S0!AQ33-L_S1!AQ33)*C43</f>
        <v>0</v>
      </c>
      <c r="H43" s="0" t="n">
        <f aca="false">(L_S0!AS33-L_S1!AS33)*C43</f>
        <v>-0</v>
      </c>
      <c r="I43" s="0" t="n">
        <f aca="false">I42+E43</f>
        <v>-207029422.869455</v>
      </c>
      <c r="J43" s="0" t="n">
        <f aca="false">J42+F43</f>
        <v>993258453.533723</v>
      </c>
      <c r="K43" s="0" t="n">
        <f aca="false">K42+G43</f>
        <v>1105910108.16312</v>
      </c>
      <c r="L43" s="0" t="n">
        <f aca="false">MAX(L42,J43)</f>
        <v>993258453.533723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-131850397.668961</v>
      </c>
      <c r="P43" s="0" t="n">
        <f aca="false">(L_S0!V33-L_S1!V33)*D43</f>
        <v>-0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(L_S0!AO34-L_S1!AO34)*C44</f>
        <v>0</v>
      </c>
      <c r="F44" s="0" t="n">
        <f aca="false">(L_S0!AP34-L_S1!AP34)*C44</f>
        <v>0</v>
      </c>
      <c r="G44" s="0" t="n">
        <f aca="false">(L_S0!AQ34-L_S1!AQ34)*C44</f>
        <v>0</v>
      </c>
      <c r="H44" s="0" t="n">
        <f aca="false">(L_S0!AS34-L_S1!AS34)*C44</f>
        <v>-0</v>
      </c>
      <c r="I44" s="0" t="n">
        <f aca="false">I43+E44</f>
        <v>-207029422.869455</v>
      </c>
      <c r="J44" s="0" t="n">
        <f aca="false">J43+F44</f>
        <v>993258453.533723</v>
      </c>
      <c r="K44" s="0" t="n">
        <f aca="false">K43+G44</f>
        <v>1105910108.16312</v>
      </c>
      <c r="L44" s="0" t="n">
        <f aca="false">MAX(L43,J44)</f>
        <v>993258453.533723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-131850397.668961</v>
      </c>
      <c r="P44" s="0" t="n">
        <f aca="false">(L_S0!V34-L_S1!V34)*D44</f>
        <v>-0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(L_S0!AO35-L_S1!AO35)*C45</f>
        <v>0</v>
      </c>
      <c r="F45" s="0" t="n">
        <f aca="false">(L_S0!AP35-L_S1!AP35)*C45</f>
        <v>0</v>
      </c>
      <c r="G45" s="0" t="n">
        <f aca="false">(L_S0!AQ35-L_S1!AQ35)*C45</f>
        <v>0</v>
      </c>
      <c r="H45" s="0" t="n">
        <f aca="false">(L_S0!AS35-L_S1!AS35)*C45</f>
        <v>-0</v>
      </c>
      <c r="I45" s="0" t="n">
        <f aca="false">I44+E45</f>
        <v>-207029422.869455</v>
      </c>
      <c r="J45" s="0" t="n">
        <f aca="false">J44+F45</f>
        <v>993258453.533723</v>
      </c>
      <c r="K45" s="0" t="n">
        <f aca="false">K44+G45</f>
        <v>1105910108.16312</v>
      </c>
      <c r="L45" s="0" t="n">
        <f aca="false">MAX(L44,J45)</f>
        <v>993258453.533723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-131850397.668961</v>
      </c>
      <c r="P45" s="0" t="n">
        <f aca="false">(L_S0!V35-L_S1!V35)*D45</f>
        <v>-0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(L_S0!AO36-L_S1!AO36)*C46</f>
        <v>0</v>
      </c>
      <c r="F46" s="0" t="n">
        <f aca="false">(L_S0!AP36-L_S1!AP36)*C46</f>
        <v>0</v>
      </c>
      <c r="G46" s="0" t="n">
        <f aca="false">(L_S0!AQ36-L_S1!AQ36)*C46</f>
        <v>0</v>
      </c>
      <c r="H46" s="0" t="n">
        <f aca="false">(L_S0!AS36-L_S1!AS36)*C46</f>
        <v>-0</v>
      </c>
      <c r="I46" s="0" t="n">
        <f aca="false">I45+E46</f>
        <v>-207029422.869455</v>
      </c>
      <c r="J46" s="0" t="n">
        <f aca="false">J45+F46</f>
        <v>993258453.533723</v>
      </c>
      <c r="K46" s="0" t="n">
        <f aca="false">K45+G46</f>
        <v>1105910108.16312</v>
      </c>
      <c r="L46" s="0" t="n">
        <f aca="false">MAX(L45,J46)</f>
        <v>993258453.533723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-131850397.668961</v>
      </c>
      <c r="P46" s="0" t="n">
        <f aca="false">(L_S0!V36-L_S1!V36)*D46</f>
        <v>-0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(L_S0!AO37-L_S1!AO37)*C47</f>
        <v>0</v>
      </c>
      <c r="F47" s="0" t="n">
        <f aca="false">(L_S0!AP37-L_S1!AP37)*C47</f>
        <v>0</v>
      </c>
      <c r="G47" s="0" t="n">
        <f aca="false">(L_S0!AQ37-L_S1!AQ37)*C47</f>
        <v>0</v>
      </c>
      <c r="H47" s="0" t="n">
        <f aca="false">(L_S0!AS37-L_S1!AS37)*C47</f>
        <v>-0</v>
      </c>
      <c r="I47" s="0" t="n">
        <f aca="false">I46+E47</f>
        <v>-207029422.869455</v>
      </c>
      <c r="J47" s="0" t="n">
        <f aca="false">J46+F47</f>
        <v>993258453.533723</v>
      </c>
      <c r="K47" s="0" t="n">
        <f aca="false">K46+G47</f>
        <v>1105910108.16312</v>
      </c>
      <c r="L47" s="0" t="n">
        <f aca="false">MAX(L46,J47)</f>
        <v>993258453.533723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-131850397.668961</v>
      </c>
      <c r="P47" s="0" t="n">
        <f aca="false">(L_S0!V37-L_S1!V37)*D47</f>
        <v>-0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(L_S0!AO38-L_S1!AO38)*C48</f>
        <v>0</v>
      </c>
      <c r="F48" s="0" t="n">
        <f aca="false">(L_S0!AP38-L_S1!AP38)*C48</f>
        <v>0</v>
      </c>
      <c r="G48" s="0" t="n">
        <f aca="false">(L_S0!AQ38-L_S1!AQ38)*C48</f>
        <v>0</v>
      </c>
      <c r="H48" s="0" t="n">
        <f aca="false">(L_S0!AS38-L_S1!AS38)*C48</f>
        <v>-0</v>
      </c>
      <c r="I48" s="0" t="n">
        <f aca="false">I47+E48</f>
        <v>-207029422.869455</v>
      </c>
      <c r="J48" s="0" t="n">
        <f aca="false">J47+F48</f>
        <v>993258453.533723</v>
      </c>
      <c r="K48" s="0" t="n">
        <f aca="false">K47+G48</f>
        <v>1105910108.16312</v>
      </c>
      <c r="L48" s="0" t="n">
        <f aca="false">MAX(L47,J48)</f>
        <v>993258453.533723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-131850397.668961</v>
      </c>
      <c r="P48" s="0" t="n">
        <f aca="false">(L_S0!V38-L_S1!V38)*D48</f>
        <v>-0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(L_S0!AO39-L_S1!AO39)*C49</f>
        <v>0</v>
      </c>
      <c r="F49" s="0" t="n">
        <f aca="false">(L_S0!AP39-L_S1!AP39)*C49</f>
        <v>0</v>
      </c>
      <c r="G49" s="0" t="n">
        <f aca="false">(L_S0!AQ39-L_S1!AQ39)*C49</f>
        <v>0</v>
      </c>
      <c r="H49" s="0" t="n">
        <f aca="false">(L_S0!AS39-L_S1!AS39)*C49</f>
        <v>-0</v>
      </c>
      <c r="I49" s="0" t="n">
        <f aca="false">I48+E49</f>
        <v>-207029422.869455</v>
      </c>
      <c r="J49" s="0" t="n">
        <f aca="false">J48+F49</f>
        <v>993258453.533723</v>
      </c>
      <c r="K49" s="0" t="n">
        <f aca="false">K48+G49</f>
        <v>1105910108.16312</v>
      </c>
      <c r="L49" s="0" t="n">
        <f aca="false">MAX(L48,J49)</f>
        <v>993258453.533723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-131850397.668961</v>
      </c>
      <c r="P49" s="0" t="n">
        <f aca="false">(L_S0!V39-L_S1!V39)*D49</f>
        <v>-0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(L_S0!AO40-L_S1!AO40)*C50</f>
        <v>0</v>
      </c>
      <c r="F50" s="0" t="n">
        <f aca="false">(L_S0!AP40-L_S1!AP40)*C50</f>
        <v>0</v>
      </c>
      <c r="G50" s="0" t="n">
        <f aca="false">(L_S0!AQ40-L_S1!AQ40)*C50</f>
        <v>0</v>
      </c>
      <c r="H50" s="0" t="n">
        <f aca="false">(L_S0!AS40-L_S1!AS40)*C50</f>
        <v>-0</v>
      </c>
      <c r="I50" s="0" t="n">
        <f aca="false">I49+E50</f>
        <v>-207029422.869455</v>
      </c>
      <c r="J50" s="0" t="n">
        <f aca="false">J49+F50</f>
        <v>993258453.533723</v>
      </c>
      <c r="K50" s="0" t="n">
        <f aca="false">K49+G50</f>
        <v>1105910108.16312</v>
      </c>
      <c r="L50" s="0" t="n">
        <f aca="false">MAX(L49,J50)</f>
        <v>993258453.533723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-131850397.668961</v>
      </c>
      <c r="P50" s="0" t="n">
        <f aca="false">(L_S0!V40-L_S1!V40)*D50</f>
        <v>-0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(L_S0!AO41-L_S1!AO41)*C51</f>
        <v>0</v>
      </c>
      <c r="F51" s="0" t="n">
        <f aca="false">(L_S0!AP41-L_S1!AP41)*C51</f>
        <v>0</v>
      </c>
      <c r="G51" s="0" t="n">
        <f aca="false">(L_S0!AQ41-L_S1!AQ41)*C51</f>
        <v>0</v>
      </c>
      <c r="H51" s="0" t="n">
        <f aca="false">(L_S0!AS41-L_S1!AS41)*C51</f>
        <v>-0</v>
      </c>
      <c r="I51" s="0" t="n">
        <f aca="false">I50+E51</f>
        <v>-207029422.869455</v>
      </c>
      <c r="J51" s="0" t="n">
        <f aca="false">J50+F51</f>
        <v>993258453.533723</v>
      </c>
      <c r="K51" s="0" t="n">
        <f aca="false">K50+G51</f>
        <v>1105910108.16312</v>
      </c>
      <c r="L51" s="0" t="n">
        <f aca="false">MAX(L50,J51)</f>
        <v>993258453.533723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-131850397.668961</v>
      </c>
      <c r="P51" s="0" t="n">
        <f aca="false">(L_S0!V41-L_S1!V41)*D51</f>
        <v>-0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(L_S0!AO42-L_S1!AO42)*C52</f>
        <v>0</v>
      </c>
      <c r="F52" s="0" t="n">
        <f aca="false">(L_S0!AP42-L_S1!AP42)*C52</f>
        <v>0</v>
      </c>
      <c r="G52" s="0" t="n">
        <f aca="false">(L_S0!AQ42-L_S1!AQ42)*C52</f>
        <v>0</v>
      </c>
      <c r="H52" s="0" t="n">
        <f aca="false">(L_S0!AS42-L_S1!AS42)*C52</f>
        <v>-0</v>
      </c>
      <c r="I52" s="0" t="n">
        <f aca="false">I51+E52</f>
        <v>-207029422.869455</v>
      </c>
      <c r="J52" s="0" t="n">
        <f aca="false">J51+F52</f>
        <v>993258453.533723</v>
      </c>
      <c r="K52" s="0" t="n">
        <f aca="false">K51+G52</f>
        <v>1105910108.16312</v>
      </c>
      <c r="L52" s="0" t="n">
        <f aca="false">MAX(L51,J52)</f>
        <v>993258453.533723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-131850397.668961</v>
      </c>
      <c r="P52" s="0" t="n">
        <f aca="false">(L_S0!V42-L_S1!V42)*D52</f>
        <v>-0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(L_S0!AO43-L_S1!AO43)*C53</f>
        <v>0</v>
      </c>
      <c r="F53" s="0" t="n">
        <f aca="false">(L_S0!AP43-L_S1!AP43)*C53</f>
        <v>0</v>
      </c>
      <c r="G53" s="0" t="n">
        <f aca="false">(L_S0!AQ43-L_S1!AQ43)*C53</f>
        <v>0</v>
      </c>
      <c r="H53" s="0" t="n">
        <f aca="false">(L_S0!AS43-L_S1!AS43)*C53</f>
        <v>-0</v>
      </c>
      <c r="I53" s="0" t="n">
        <f aca="false">I52+E53</f>
        <v>-207029422.869455</v>
      </c>
      <c r="J53" s="0" t="n">
        <f aca="false">J52+F53</f>
        <v>993258453.533723</v>
      </c>
      <c r="K53" s="0" t="n">
        <f aca="false">K52+G53</f>
        <v>1105910108.16312</v>
      </c>
      <c r="L53" s="0" t="n">
        <f aca="false">MAX(L52,J53)</f>
        <v>993258453.533723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-131850397.668961</v>
      </c>
      <c r="P53" s="0" t="n">
        <f aca="false">(L_S0!V43-L_S1!V43)*D53</f>
        <v>-0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(L_S0!AO44-L_S1!AO44)*C54</f>
        <v>0</v>
      </c>
      <c r="F54" s="0" t="n">
        <f aca="false">(L_S0!AP44-L_S1!AP44)*C54</f>
        <v>0</v>
      </c>
      <c r="G54" s="0" t="n">
        <f aca="false">(L_S0!AQ44-L_S1!AQ44)*C54</f>
        <v>0</v>
      </c>
      <c r="H54" s="0" t="n">
        <f aca="false">(L_S0!AS44-L_S1!AS44)*C54</f>
        <v>-0</v>
      </c>
      <c r="I54" s="0" t="n">
        <f aca="false">I53+E54</f>
        <v>-207029422.869455</v>
      </c>
      <c r="J54" s="0" t="n">
        <f aca="false">J53+F54</f>
        <v>993258453.533723</v>
      </c>
      <c r="K54" s="0" t="n">
        <f aca="false">K53+G54</f>
        <v>1105910108.16312</v>
      </c>
      <c r="L54" s="0" t="n">
        <f aca="false">MAX(L53,J54)</f>
        <v>993258453.533723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-131850397.668961</v>
      </c>
      <c r="P54" s="0" t="n">
        <f aca="false">(L_S0!V44-L_S1!V44)*D54</f>
        <v>-0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(L_S0!AO45-L_S1!AO45)*C55</f>
        <v>0</v>
      </c>
      <c r="F55" s="0" t="n">
        <f aca="false">(L_S0!AP45-L_S1!AP45)*C55</f>
        <v>0</v>
      </c>
      <c r="G55" s="0" t="n">
        <f aca="false">(L_S0!AQ45-L_S1!AQ45)*C55</f>
        <v>0</v>
      </c>
      <c r="H55" s="0" t="n">
        <f aca="false">(L_S0!AS45-L_S1!AS45)*C55</f>
        <v>-0</v>
      </c>
      <c r="I55" s="0" t="n">
        <f aca="false">I54+E55</f>
        <v>-207029422.869455</v>
      </c>
      <c r="J55" s="0" t="n">
        <f aca="false">J54+F55</f>
        <v>993258453.533723</v>
      </c>
      <c r="K55" s="0" t="n">
        <f aca="false">K54+G55</f>
        <v>1105910108.16312</v>
      </c>
      <c r="L55" s="0" t="n">
        <f aca="false">MAX(L54,J55)</f>
        <v>993258453.533723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-131850397.668961</v>
      </c>
      <c r="P55" s="0" t="n">
        <f aca="false">(L_S0!V45-L_S1!V45)*D55</f>
        <v>-0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(L_S0!AO46-L_S1!AO46)*C56</f>
        <v>0</v>
      </c>
      <c r="F56" s="0" t="n">
        <f aca="false">(L_S0!AP46-L_S1!AP46)*C56</f>
        <v>0</v>
      </c>
      <c r="G56" s="0" t="n">
        <f aca="false">(L_S0!AQ46-L_S1!AQ46)*C56</f>
        <v>0</v>
      </c>
      <c r="H56" s="0" t="n">
        <f aca="false">(L_S0!AS46-L_S1!AS46)*C56</f>
        <v>-0</v>
      </c>
      <c r="I56" s="0" t="n">
        <f aca="false">I55+E56</f>
        <v>-207029422.869455</v>
      </c>
      <c r="J56" s="0" t="n">
        <f aca="false">J55+F56</f>
        <v>993258453.533723</v>
      </c>
      <c r="K56" s="0" t="n">
        <f aca="false">K55+G56</f>
        <v>1105910108.16312</v>
      </c>
      <c r="L56" s="0" t="n">
        <f aca="false">MAX(L55,J56)</f>
        <v>993258453.533723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-131850397.668961</v>
      </c>
      <c r="P56" s="0" t="n">
        <f aca="false">(L_S0!V46-L_S1!V46)*D56</f>
        <v>-0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(L_S0!AO47-L_S1!AO47)*C57</f>
        <v>0</v>
      </c>
      <c r="F57" s="0" t="n">
        <f aca="false">(L_S0!AP47-L_S1!AP47)*C57</f>
        <v>0</v>
      </c>
      <c r="G57" s="0" t="n">
        <f aca="false">(L_S0!AQ47-L_S1!AQ47)*C57</f>
        <v>0</v>
      </c>
      <c r="H57" s="0" t="n">
        <f aca="false">(L_S0!AS47-L_S1!AS47)*C57</f>
        <v>-0</v>
      </c>
      <c r="I57" s="0" t="n">
        <f aca="false">I56+E57</f>
        <v>-207029422.869455</v>
      </c>
      <c r="J57" s="0" t="n">
        <f aca="false">J56+F57</f>
        <v>993258453.533723</v>
      </c>
      <c r="K57" s="0" t="n">
        <f aca="false">K56+G57</f>
        <v>1105910108.16312</v>
      </c>
      <c r="L57" s="0" t="n">
        <f aca="false">MAX(L56,J57)</f>
        <v>993258453.533723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-131850397.668961</v>
      </c>
      <c r="P57" s="0" t="n">
        <f aca="false">(L_S0!V47-L_S1!V47)*D57</f>
        <v>-0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(L_S0!AO48-L_S1!AO48)*C58</f>
        <v>0</v>
      </c>
      <c r="F58" s="0" t="n">
        <f aca="false">(L_S0!AP48-L_S1!AP48)*C58</f>
        <v>0</v>
      </c>
      <c r="G58" s="0" t="n">
        <f aca="false">(L_S0!AQ48-L_S1!AQ48)*C58</f>
        <v>0</v>
      </c>
      <c r="H58" s="0" t="n">
        <f aca="false">(L_S0!AS48-L_S1!AS48)*C58</f>
        <v>-0</v>
      </c>
      <c r="I58" s="0" t="n">
        <f aca="false">I57+E58</f>
        <v>-207029422.869455</v>
      </c>
      <c r="J58" s="0" t="n">
        <f aca="false">J57+F58</f>
        <v>993258453.533723</v>
      </c>
      <c r="K58" s="0" t="n">
        <f aca="false">K57+G58</f>
        <v>1105910108.16312</v>
      </c>
      <c r="L58" s="0" t="n">
        <f aca="false">MAX(L57,J58)</f>
        <v>993258453.533723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-131850397.668961</v>
      </c>
      <c r="P58" s="0" t="n">
        <f aca="false">(L_S0!V48-L_S1!V48)*D58</f>
        <v>-0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(L_S0!AO49-L_S1!AO49)*C59</f>
        <v>0</v>
      </c>
      <c r="F59" s="0" t="n">
        <f aca="false">(L_S0!AP49-L_S1!AP49)*C59</f>
        <v>0</v>
      </c>
      <c r="G59" s="0" t="n">
        <f aca="false">(L_S0!AQ49-L_S1!AQ49)*C59</f>
        <v>0</v>
      </c>
      <c r="H59" s="0" t="n">
        <f aca="false">(L_S0!AS49-L_S1!AS49)*C59</f>
        <v>-0</v>
      </c>
      <c r="I59" s="0" t="n">
        <f aca="false">I58+E59</f>
        <v>-207029422.869455</v>
      </c>
      <c r="J59" s="0" t="n">
        <f aca="false">J58+F59</f>
        <v>993258453.533723</v>
      </c>
      <c r="K59" s="0" t="n">
        <f aca="false">K58+G59</f>
        <v>1105910108.16312</v>
      </c>
      <c r="L59" s="0" t="n">
        <f aca="false">MAX(L58,J59)</f>
        <v>993258453.533723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-131850397.668961</v>
      </c>
      <c r="P59" s="0" t="n">
        <f aca="false">(L_S0!V49-L_S1!V49)*D59</f>
        <v>-0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(L_S0!AO50-L_S1!AO50)*C60</f>
        <v>0</v>
      </c>
      <c r="F60" s="0" t="n">
        <f aca="false">(L_S0!AP50-L_S1!AP50)*C60</f>
        <v>0</v>
      </c>
      <c r="G60" s="0" t="n">
        <f aca="false">(L_S0!AQ50-L_S1!AQ50)*C60</f>
        <v>0</v>
      </c>
      <c r="H60" s="0" t="n">
        <f aca="false">(L_S0!AS50-L_S1!AS50)*C60</f>
        <v>-0</v>
      </c>
      <c r="I60" s="0" t="n">
        <f aca="false">I59+E60</f>
        <v>-207029422.869455</v>
      </c>
      <c r="J60" s="0" t="n">
        <f aca="false">J59+F60</f>
        <v>993258453.533723</v>
      </c>
      <c r="K60" s="0" t="n">
        <f aca="false">K59+G60</f>
        <v>1105910108.16312</v>
      </c>
      <c r="L60" s="0" t="n">
        <f aca="false">MAX(L59,J60)</f>
        <v>993258453.533723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-131850397.668961</v>
      </c>
      <c r="P60" s="0" t="n">
        <f aca="false">(L_S0!V50-L_S1!V50)*D60</f>
        <v>-0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(L_S0!AO51-L_S1!AO51)*C61</f>
        <v>0</v>
      </c>
      <c r="F61" s="0" t="n">
        <f aca="false">(L_S0!AP51-L_S1!AP51)*C61</f>
        <v>0</v>
      </c>
      <c r="G61" s="0" t="n">
        <f aca="false">(L_S0!AQ51-L_S1!AQ51)*C61</f>
        <v>0</v>
      </c>
      <c r="H61" s="0" t="n">
        <f aca="false">(L_S0!AS51-L_S1!AS51)*C61</f>
        <v>-0</v>
      </c>
      <c r="I61" s="0" t="n">
        <f aca="false">I60+E61</f>
        <v>-207029422.869455</v>
      </c>
      <c r="J61" s="0" t="n">
        <f aca="false">J60+F61</f>
        <v>993258453.533723</v>
      </c>
      <c r="K61" s="0" t="n">
        <f aca="false">K60+G61</f>
        <v>1105910108.16312</v>
      </c>
      <c r="L61" s="0" t="n">
        <f aca="false">MAX(L60,J61)</f>
        <v>993258453.533723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-131850397.668961</v>
      </c>
      <c r="P61" s="0" t="n">
        <f aca="false">(L_S0!V51-L_S1!V51)*D61</f>
        <v>-0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(L_S0!AO52-L_S1!AO52)*C62</f>
        <v>0</v>
      </c>
      <c r="F62" s="0" t="n">
        <f aca="false">(L_S0!AP52-L_S1!AP52)*C62</f>
        <v>0</v>
      </c>
      <c r="G62" s="0" t="n">
        <f aca="false">(L_S0!AQ52-L_S1!AQ52)*C62</f>
        <v>0</v>
      </c>
      <c r="H62" s="0" t="n">
        <f aca="false">(L_S0!AS52-L_S1!AS52)*C62</f>
        <v>-0</v>
      </c>
      <c r="I62" s="0" t="n">
        <f aca="false">I61+E62</f>
        <v>-207029422.869455</v>
      </c>
      <c r="J62" s="0" t="n">
        <f aca="false">J61+F62</f>
        <v>993258453.533723</v>
      </c>
      <c r="K62" s="0" t="n">
        <f aca="false">K61+G62</f>
        <v>1105910108.16312</v>
      </c>
      <c r="L62" s="0" t="n">
        <f aca="false">MAX(L61,J62)</f>
        <v>993258453.533723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-131850397.668961</v>
      </c>
      <c r="P62" s="0" t="n">
        <f aca="false">(L_S0!V52-L_S1!V52)*D62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638</v>
      </c>
    </row>
    <row r="2" customFormat="false" ht="15" hidden="false" customHeight="false" outlineLevel="0" collapsed="false">
      <c r="A2" s="1" t="s">
        <v>614</v>
      </c>
      <c r="B2" s="0" t="n">
        <f aca="false">x_H</f>
        <v>20</v>
      </c>
    </row>
    <row r="3" customFormat="false" ht="15" hidden="false" customHeight="false" outlineLevel="0" collapsed="false">
      <c r="A3" s="1" t="s">
        <v>615</v>
      </c>
      <c r="B3" s="0" t="n">
        <f aca="false">SUM(H13:H62)</f>
        <v>574081102.565944</v>
      </c>
    </row>
    <row r="4" customFormat="false" ht="15" hidden="false" customHeight="false" outlineLevel="0" collapsed="false">
      <c r="A4" s="1" t="s">
        <v>616</v>
      </c>
      <c r="B4" s="0" t="n">
        <f aca="false">SUM(F13:F62)</f>
        <v>505630636.878371</v>
      </c>
    </row>
    <row r="5" customFormat="false" ht="15" hidden="false" customHeight="false" outlineLevel="0" collapsed="false">
      <c r="A5" s="1" t="s">
        <v>617</v>
      </c>
      <c r="B5" s="0" t="n">
        <f aca="false">B3-B4</f>
        <v>68450465.687573</v>
      </c>
    </row>
    <row r="6" customFormat="false" ht="15" hidden="false" customHeight="false" outlineLevel="0" collapsed="false">
      <c r="A6" s="1" t="s">
        <v>618</v>
      </c>
      <c r="B6" s="0" t="n">
        <f aca="false">IF(B3=0,"—",(B5-B3)/ABS(B3))</f>
        <v>-0.880765164744802</v>
      </c>
    </row>
    <row r="7" customFormat="false" ht="15" hidden="false" customHeight="false" outlineLevel="0" collapsed="false">
      <c r="A7" s="1" t="s">
        <v>619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620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621</v>
      </c>
      <c r="B9" s="0" t="n">
        <f aca="false">SUM(E13:E62)</f>
        <v>541758910.449849</v>
      </c>
    </row>
    <row r="10" customFormat="false" ht="15" hidden="false" customHeight="false" outlineLevel="0" collapsed="false">
      <c r="A10" s="1" t="s">
        <v>622</v>
      </c>
      <c r="B10" s="0" t="n">
        <f aca="false">IFERROR(B4/SUM(P13:P62),"—")</f>
        <v>65817.3982536544</v>
      </c>
    </row>
    <row r="11" customFormat="false" ht="15" hidden="false" customHeight="false" outlineLevel="0" collapsed="false">
      <c r="A11" s="1" t="s">
        <v>623</v>
      </c>
      <c r="B11" s="0" t="n">
        <f aca="false">IFERROR(B9/SUM(P13:P62),"—")</f>
        <v>70520.1769154683</v>
      </c>
    </row>
    <row r="12" customFormat="false" ht="55.2" hidden="false" customHeight="false" outlineLevel="0" collapsed="false">
      <c r="A12" s="3" t="s">
        <v>320</v>
      </c>
      <c r="B12" s="3" t="s">
        <v>565</v>
      </c>
      <c r="C12" s="3" t="s">
        <v>624</v>
      </c>
      <c r="D12" s="3" t="s">
        <v>625</v>
      </c>
      <c r="E12" s="3" t="s">
        <v>626</v>
      </c>
      <c r="F12" s="3" t="s">
        <v>627</v>
      </c>
      <c r="G12" s="3" t="s">
        <v>628</v>
      </c>
      <c r="H12" s="3" t="s">
        <v>629</v>
      </c>
      <c r="I12" s="3" t="s">
        <v>630</v>
      </c>
      <c r="J12" s="3" t="s">
        <v>631</v>
      </c>
      <c r="K12" s="3" t="s">
        <v>632</v>
      </c>
      <c r="L12" s="3" t="s">
        <v>633</v>
      </c>
      <c r="M12" s="3" t="s">
        <v>634</v>
      </c>
      <c r="N12" s="3" t="s">
        <v>635</v>
      </c>
      <c r="O12" s="3" t="s">
        <v>636</v>
      </c>
      <c r="P12" s="3" t="s">
        <v>637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(L_I1!AO3-L_S1!AO3)*C13</f>
        <v>28977372.7701228</v>
      </c>
      <c r="F13" s="0" t="n">
        <f aca="false">(L_I1!AP3-L_S1!AP3)*C13</f>
        <v>30735849.0357016</v>
      </c>
      <c r="G13" s="0" t="n">
        <f aca="false">(L_I1!AQ3-L_S1!AQ3)*C13</f>
        <v>30642451.1986545</v>
      </c>
      <c r="H13" s="0" t="n">
        <f aca="false">(L_I1!AS3-L_S1!AS3)*C13</f>
        <v>28762925.7196966</v>
      </c>
      <c r="I13" s="0" t="n">
        <f aca="false">E13</f>
        <v>28977372.7701228</v>
      </c>
      <c r="J13" s="0" t="n">
        <f aca="false">F13</f>
        <v>30735849.0357016</v>
      </c>
      <c r="K13" s="0" t="n">
        <f aca="false">G13</f>
        <v>30642451.1986545</v>
      </c>
      <c r="L13" s="0" t="n">
        <f aca="false">J13</f>
        <v>30735849.0357016</v>
      </c>
      <c r="M13" s="0" t="n">
        <v>0</v>
      </c>
      <c r="N13" s="0" t="n">
        <v>0</v>
      </c>
      <c r="O13" s="0" t="n">
        <f aca="false">I13</f>
        <v>28977372.7701228</v>
      </c>
      <c r="P13" s="0" t="n">
        <f aca="false">(L_I1!V3-L_S1!V3)*D13</f>
        <v>40.5550000000076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(L_I1!AO4-L_S1!AO4)*C14</f>
        <v>54428762.1942022</v>
      </c>
      <c r="F14" s="0" t="n">
        <f aca="false">(L_I1!AP4-L_S1!AP4)*C14</f>
        <v>56387765.8606234</v>
      </c>
      <c r="G14" s="0" t="n">
        <f aca="false">(L_I1!AQ4-L_S1!AQ4)*C14</f>
        <v>56212271.9166818</v>
      </c>
      <c r="H14" s="0" t="n">
        <f aca="false">(L_I1!AS4-L_S1!AS4)*C14</f>
        <v>53159717.1779681</v>
      </c>
      <c r="I14" s="0" t="n">
        <f aca="false">I13+E14</f>
        <v>83406134.9643251</v>
      </c>
      <c r="J14" s="0" t="n">
        <f aca="false">J13+F14</f>
        <v>87123614.896325</v>
      </c>
      <c r="K14" s="0" t="n">
        <f aca="false">K13+G14</f>
        <v>86854723.1153363</v>
      </c>
      <c r="L14" s="0" t="n">
        <f aca="false">MAX(L13,J14)</f>
        <v>87123614.896325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83406134.9643251</v>
      </c>
      <c r="P14" s="0" t="n">
        <f aca="false">(L_I1!V4-L_S1!V4)*D14</f>
        <v>88.0396135265693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(L_I1!AO5-L_S1!AO5)*C15</f>
        <v>76569782.320002</v>
      </c>
      <c r="F15" s="0" t="n">
        <f aca="false">(L_I1!AP5-L_S1!AP5)*C15</f>
        <v>78445423.6102766</v>
      </c>
      <c r="G15" s="0" t="n">
        <f aca="false">(L_I1!AQ5-L_S1!AQ5)*C15</f>
        <v>78171827.5294905</v>
      </c>
      <c r="H15" s="0" t="n">
        <f aca="false">(L_I1!AS5-L_S1!AS5)*C15</f>
        <v>74695779.0571636</v>
      </c>
      <c r="I15" s="0" t="n">
        <f aca="false">I14+E15</f>
        <v>159975917.284327</v>
      </c>
      <c r="J15" s="0" t="n">
        <f aca="false">J14+F15</f>
        <v>165569038.506602</v>
      </c>
      <c r="K15" s="0" t="n">
        <f aca="false">K14+G15</f>
        <v>165026550.644827</v>
      </c>
      <c r="L15" s="0" t="n">
        <f aca="false">MAX(L14,J15)</f>
        <v>165569038.506602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159975917.284327</v>
      </c>
      <c r="P15" s="0" t="n">
        <f aca="false">(L_I1!V5-L_S1!V5)*D15</f>
        <v>142.492940325322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(L_I1!AO6-L_S1!AO6)*C16</f>
        <v>72389682.6495319</v>
      </c>
      <c r="F16" s="0" t="n">
        <f aca="false">(L_I1!AP6-L_S1!AP6)*C16</f>
        <v>73902811.0384702</v>
      </c>
      <c r="G16" s="0" t="n">
        <f aca="false">(L_I1!AQ6-L_S1!AQ6)*C16</f>
        <v>73490634.4035996</v>
      </c>
      <c r="H16" s="0" t="n">
        <f aca="false">(L_I1!AS6-L_S1!AS6)*C16</f>
        <v>70448640.5549387</v>
      </c>
      <c r="I16" s="0" t="n">
        <f aca="false">I15+E16</f>
        <v>232365599.933859</v>
      </c>
      <c r="J16" s="0" t="n">
        <f aca="false">J15+F16</f>
        <v>239471849.545072</v>
      </c>
      <c r="K16" s="0" t="n">
        <f aca="false">K15+G16</f>
        <v>238517185.048426</v>
      </c>
      <c r="L16" s="0" t="n">
        <f aca="false">MAX(L15,J16)</f>
        <v>239471849.545072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232365599.933859</v>
      </c>
      <c r="P16" s="0" t="n">
        <f aca="false">(L_I1!V6-L_S1!V6)*D16</f>
        <v>194.986483824852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(L_I1!AO7-L_S1!AO7)*C17</f>
        <v>68266301.5737013</v>
      </c>
      <c r="F17" s="0" t="n">
        <f aca="false">(L_I1!AP7-L_S1!AP7)*C17</f>
        <v>69308675.2417215</v>
      </c>
      <c r="G17" s="0" t="n">
        <f aca="false">(L_I1!AQ7-L_S1!AQ7)*C17</f>
        <v>68677138.9612313</v>
      </c>
      <c r="H17" s="0" t="n">
        <f aca="false">(L_I1!AS7-L_S1!AS7)*C17</f>
        <v>66465079.5640507</v>
      </c>
      <c r="I17" s="0" t="n">
        <f aca="false">I16+E17</f>
        <v>300631901.50756</v>
      </c>
      <c r="J17" s="0" t="n">
        <f aca="false">J16+F17</f>
        <v>308780524.786793</v>
      </c>
      <c r="K17" s="0" t="n">
        <f aca="false">K16+G17</f>
        <v>307194324.009658</v>
      </c>
      <c r="L17" s="0" t="n">
        <f aca="false">MAX(L16,J17)</f>
        <v>308780524.786793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300631901.50756</v>
      </c>
      <c r="P17" s="0" t="n">
        <f aca="false">(L_I1!V7-L_S1!V7)*D17</f>
        <v>246.036027030602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(L_I1!AO8-L_S1!AO8)*C18</f>
        <v>64220058.9254554</v>
      </c>
      <c r="F18" s="0" t="n">
        <f aca="false">(L_I1!AP8-L_S1!AP8)*C18</f>
        <v>64682276.8875331</v>
      </c>
      <c r="G18" s="0" t="n">
        <f aca="false">(L_I1!AQ8-L_S1!AQ8)*C18</f>
        <v>63742248.4191666</v>
      </c>
      <c r="H18" s="0" t="n">
        <f aca="false">(L_I1!AS8-L_S1!AS8)*C18</f>
        <v>62725698.3538113</v>
      </c>
      <c r="I18" s="0" t="n">
        <f aca="false">I17+E18</f>
        <v>364851960.433016</v>
      </c>
      <c r="J18" s="0" t="n">
        <f aca="false">J17+F18</f>
        <v>373462801.674326</v>
      </c>
      <c r="K18" s="0" t="n">
        <f aca="false">K17+G18</f>
        <v>370936572.428824</v>
      </c>
      <c r="L18" s="0" t="n">
        <f aca="false">MAX(L17,J18)</f>
        <v>373462801.674326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364851960.433016</v>
      </c>
      <c r="P18" s="0" t="n">
        <f aca="false">(L_I1!V8-L_S1!V8)*D18</f>
        <v>295.903891733932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(L_I1!AO9-L_S1!AO9)*C19</f>
        <v>60270609.8812465</v>
      </c>
      <c r="F19" s="0" t="n">
        <f aca="false">(L_I1!AP9-L_S1!AP9)*C19</f>
        <v>60045801.5969407</v>
      </c>
      <c r="G19" s="0" t="n">
        <f aca="false">(L_I1!AQ9-L_S1!AQ9)*C19</f>
        <v>58704118.8391069</v>
      </c>
      <c r="H19" s="0" t="n">
        <f aca="false">(L_I1!AS9-L_S1!AS9)*C19</f>
        <v>59213552.2596625</v>
      </c>
      <c r="I19" s="0" t="n">
        <f aca="false">I18+E19</f>
        <v>425122570.314262</v>
      </c>
      <c r="J19" s="0" t="n">
        <f aca="false">J18+F19</f>
        <v>433508603.271267</v>
      </c>
      <c r="K19" s="0" t="n">
        <f aca="false">K18+G19</f>
        <v>429640691.267931</v>
      </c>
      <c r="L19" s="0" t="n">
        <f aca="false">MAX(L18,J19)</f>
        <v>433508603.271267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425122570.314262</v>
      </c>
      <c r="P19" s="0" t="n">
        <f aca="false">(L_I1!V9-L_S1!V9)*D19</f>
        <v>344.677782491262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(L_I1!AO10-L_S1!AO10)*C20</f>
        <v>56434339.6969221</v>
      </c>
      <c r="F20" s="0" t="n">
        <f aca="false">(L_I1!AP10-L_S1!AP10)*C20</f>
        <v>55421135.5388185</v>
      </c>
      <c r="G20" s="0" t="n">
        <f aca="false">(L_I1!AQ10-L_S1!AQ10)*C20</f>
        <v>53584066.9220861</v>
      </c>
      <c r="H20" s="0" t="n">
        <f aca="false">(L_I1!AS10-L_S1!AS10)*C20</f>
        <v>55912412.9825148</v>
      </c>
      <c r="I20" s="0" t="n">
        <f aca="false">I19+E20</f>
        <v>481556910.011184</v>
      </c>
      <c r="J20" s="0" t="n">
        <f aca="false">J19+F20</f>
        <v>488929738.810085</v>
      </c>
      <c r="K20" s="0" t="n">
        <f aca="false">K19+G20</f>
        <v>483224758.190017</v>
      </c>
      <c r="L20" s="0" t="n">
        <f aca="false">MAX(L19,J20)</f>
        <v>488929738.810085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481556910.011184</v>
      </c>
      <c r="P20" s="0" t="n">
        <f aca="false">(L_I1!V10-L_S1!V10)*D20</f>
        <v>392.330531989167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(L_I1!AO11-L_S1!AO11)*C21</f>
        <v>52727515.0805004</v>
      </c>
      <c r="F21" s="0" t="n">
        <f aca="false">(L_I1!AP11-L_S1!AP11)*C21</f>
        <v>50832783.3678176</v>
      </c>
      <c r="G21" s="0" t="n">
        <f aca="false">(L_I1!AQ11-L_S1!AQ11)*C21</f>
        <v>48409240.1626582</v>
      </c>
      <c r="H21" s="0" t="n">
        <f aca="false">(L_I1!AS11-L_S1!AS11)*C21</f>
        <v>52808599.3039452</v>
      </c>
      <c r="I21" s="0" t="n">
        <f aca="false">I20+E21</f>
        <v>534284425.091685</v>
      </c>
      <c r="J21" s="0" t="n">
        <f aca="false">J20+F21</f>
        <v>539762522.177903</v>
      </c>
      <c r="K21" s="0" t="n">
        <f aca="false">K20+G21</f>
        <v>531633998.352676</v>
      </c>
      <c r="L21" s="0" t="n">
        <f aca="false">MAX(L20,J21)</f>
        <v>539762522.177903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534284425.091685</v>
      </c>
      <c r="P21" s="0" t="n">
        <f aca="false">(L_I1!V11-L_S1!V11)*D21</f>
        <v>438.760658365734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(L_I1!AO12-L_S1!AO12)*C22</f>
        <v>48446473.242838</v>
      </c>
      <c r="F22" s="0" t="n">
        <f aca="false">(L_I1!AP12-L_S1!AP12)*C22</f>
        <v>45244379.746453</v>
      </c>
      <c r="G22" s="0" t="n">
        <f aca="false">(L_I1!AQ12-L_S1!AQ12)*C22</f>
        <v>42202645.9464234</v>
      </c>
      <c r="H22" s="0" t="n">
        <f aca="false">(L_I1!AS12-L_S1!AS12)*C22</f>
        <v>49888697.5921923</v>
      </c>
      <c r="I22" s="0" t="n">
        <f aca="false">I21+E22</f>
        <v>582730898.334523</v>
      </c>
      <c r="J22" s="0" t="n">
        <f aca="false">J21+F22</f>
        <v>585006901.924356</v>
      </c>
      <c r="K22" s="0" t="n">
        <f aca="false">K21+G22</f>
        <v>573836644.299099</v>
      </c>
      <c r="L22" s="0" t="n">
        <f aca="false">MAX(L21,J22)</f>
        <v>585006901.924356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582730898.334523</v>
      </c>
      <c r="P22" s="0" t="n">
        <f aca="false">(L_I1!V12-L_S1!V12)*D22</f>
        <v>466.28163044066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(L_I1!AO13-L_S1!AO13)*C23</f>
        <v>-2138828.06953457</v>
      </c>
      <c r="F23" s="0" t="n">
        <f aca="false">(L_I1!AP13-L_S1!AP13)*C23</f>
        <v>-7391458.38315067</v>
      </c>
      <c r="G23" s="0" t="n">
        <f aca="false">(L_I1!AQ13-L_S1!AQ13)*C23</f>
        <v>-11116564.0900829</v>
      </c>
      <c r="H23" s="0" t="n">
        <f aca="false">(L_I1!AS13-L_S1!AS13)*C23</f>
        <v>0</v>
      </c>
      <c r="I23" s="0" t="n">
        <f aca="false">I22+E23</f>
        <v>580592070.264988</v>
      </c>
      <c r="J23" s="0" t="n">
        <f aca="false">J22+F23</f>
        <v>577615443.541205</v>
      </c>
      <c r="K23" s="0" t="n">
        <f aca="false">K22+G23</f>
        <v>562720080.209016</v>
      </c>
      <c r="L23" s="0" t="n">
        <f aca="false">MAX(L22,J23)</f>
        <v>585006901.924356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582730898.334523</v>
      </c>
      <c r="P23" s="0" t="n">
        <f aca="false">(L_I1!V13-L_S1!V13)*D23</f>
        <v>476.090025560699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(L_I1!AO14-L_S1!AO14)*C24</f>
        <v>-2931209.16196555</v>
      </c>
      <c r="F24" s="0" t="n">
        <f aca="false">(L_I1!AP14-L_S1!AP14)*C24</f>
        <v>-9077283.32073705</v>
      </c>
      <c r="G24" s="0" t="n">
        <f aca="false">(L_I1!AQ14-L_S1!AQ14)*C24</f>
        <v>-13565598.1085767</v>
      </c>
      <c r="H24" s="0" t="n">
        <f aca="false">(L_I1!AS14-L_S1!AS14)*C24</f>
        <v>0</v>
      </c>
      <c r="I24" s="0" t="n">
        <f aca="false">I23+E24</f>
        <v>577660861.103023</v>
      </c>
      <c r="J24" s="0" t="n">
        <f aca="false">J23+F24</f>
        <v>568538160.220468</v>
      </c>
      <c r="K24" s="0" t="n">
        <f aca="false">K23+G24</f>
        <v>549154482.100439</v>
      </c>
      <c r="L24" s="0" t="n">
        <f aca="false">MAX(L23,J24)</f>
        <v>585006901.924356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582730898.334523</v>
      </c>
      <c r="P24" s="0" t="n">
        <f aca="false">(L_I1!V14-L_S1!V14)*D24</f>
        <v>485.510070262704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(L_I1!AO15-L_S1!AO15)*C25</f>
        <v>-3549924.8286512</v>
      </c>
      <c r="F25" s="0" t="n">
        <f aca="false">(L_I1!AP15-L_S1!AP15)*C25</f>
        <v>-7917374.76017587</v>
      </c>
      <c r="G25" s="0" t="n">
        <f aca="false">(L_I1!AQ15-L_S1!AQ15)*C25</f>
        <v>-11179568.9997798</v>
      </c>
      <c r="H25" s="0" t="n">
        <f aca="false">(L_I1!AS15-L_S1!AS15)*C25</f>
        <v>0</v>
      </c>
      <c r="I25" s="0" t="n">
        <f aca="false">I24+E25</f>
        <v>574110936.274371</v>
      </c>
      <c r="J25" s="0" t="n">
        <f aca="false">J24+F25</f>
        <v>560620785.460293</v>
      </c>
      <c r="K25" s="0" t="n">
        <f aca="false">K24+G25</f>
        <v>537974913.10066</v>
      </c>
      <c r="L25" s="0" t="n">
        <f aca="false">MAX(L24,J25)</f>
        <v>585006901.924356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582730898.334523</v>
      </c>
      <c r="P25" s="0" t="n">
        <f aca="false">(L_I1!V15-L_S1!V15)*D25</f>
        <v>494.058953820838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(L_I1!AO16-L_S1!AO16)*C26</f>
        <v>-4023165.13164391</v>
      </c>
      <c r="F26" s="0" t="n">
        <f aca="false">(L_I1!AP16-L_S1!AP16)*C26</f>
        <v>-6434926.13072246</v>
      </c>
      <c r="G26" s="0" t="n">
        <f aca="false">(L_I1!AQ16-L_S1!AQ16)*C26</f>
        <v>-8304524.09150135</v>
      </c>
      <c r="H26" s="0" t="n">
        <f aca="false">(L_I1!AS16-L_S1!AS16)*C26</f>
        <v>0</v>
      </c>
      <c r="I26" s="0" t="n">
        <f aca="false">I25+E26</f>
        <v>570087771.142728</v>
      </c>
      <c r="J26" s="0" t="n">
        <f aca="false">J25+F26</f>
        <v>554185859.32957</v>
      </c>
      <c r="K26" s="0" t="n">
        <f aca="false">K25+G26</f>
        <v>529670389.009158</v>
      </c>
      <c r="L26" s="0" t="n">
        <f aca="false">MAX(L25,J26)</f>
        <v>585006901.924356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582730898.334523</v>
      </c>
      <c r="P26" s="0" t="n">
        <f aca="false">(L_I1!V16-L_S1!V16)*D26</f>
        <v>501.382372483505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(L_I1!AO17-L_S1!AO17)*C27</f>
        <v>-4373508.56869203</v>
      </c>
      <c r="F27" s="0" t="n">
        <f aca="false">(L_I1!AP17-L_S1!AP17)*C27</f>
        <v>-7069978.16276114</v>
      </c>
      <c r="G27" s="0" t="n">
        <f aca="false">(L_I1!AQ17-L_S1!AQ17)*C27</f>
        <v>-9199304.77525585</v>
      </c>
      <c r="H27" s="0" t="n">
        <f aca="false">(L_I1!AS17-L_S1!AS17)*C27</f>
        <v>0</v>
      </c>
      <c r="I27" s="0" t="n">
        <f aca="false">I26+E27</f>
        <v>565714262.574036</v>
      </c>
      <c r="J27" s="0" t="n">
        <f aca="false">J26+F27</f>
        <v>547115881.166809</v>
      </c>
      <c r="K27" s="0" t="n">
        <f aca="false">K26+G27</f>
        <v>520471084.233902</v>
      </c>
      <c r="L27" s="0" t="n">
        <f aca="false">MAX(L26,J27)</f>
        <v>585006901.924356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582730898.334523</v>
      </c>
      <c r="P27" s="0" t="n">
        <f aca="false">(L_I1!V17-L_S1!V17)*D27</f>
        <v>507.241476760671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(L_I1!AO18-L_S1!AO18)*C28</f>
        <v>-4619081.10848712</v>
      </c>
      <c r="F28" s="0" t="n">
        <f aca="false">(L_I1!AP18-L_S1!AP18)*C28</f>
        <v>-7595351.19861141</v>
      </c>
      <c r="G28" s="0" t="n">
        <f aca="false">(L_I1!AQ18-L_S1!AQ18)*C28</f>
        <v>-9983841.31604587</v>
      </c>
      <c r="H28" s="0" t="n">
        <f aca="false">(L_I1!AS18-L_S1!AS18)*C28</f>
        <v>0</v>
      </c>
      <c r="I28" s="0" t="n">
        <f aca="false">I27+E28</f>
        <v>561095181.465548</v>
      </c>
      <c r="J28" s="0" t="n">
        <f aca="false">J27+F28</f>
        <v>539520529.968198</v>
      </c>
      <c r="K28" s="0" t="n">
        <f aca="false">K27+G28</f>
        <v>510487242.917856</v>
      </c>
      <c r="L28" s="0" t="n">
        <f aca="false">MAX(L27,J28)</f>
        <v>585006901.924356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582730898.334523</v>
      </c>
      <c r="P28" s="0" t="n">
        <f aca="false">(L_I1!V18-L_S1!V18)*D28</f>
        <v>511.514965880416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(L_I1!AO19-L_S1!AO19)*C29</f>
        <v>-4773930.33226558</v>
      </c>
      <c r="F29" s="0" t="n">
        <f aca="false">(L_I1!AP19-L_S1!AP19)*C29</f>
        <v>-8023621.82985684</v>
      </c>
      <c r="G29" s="0" t="n">
        <f aca="false">(L_I1!AQ19-L_S1!AQ19)*C29</f>
        <v>-10668617.6264751</v>
      </c>
      <c r="H29" s="0" t="n">
        <f aca="false">(L_I1!AS19-L_S1!AS19)*C29</f>
        <v>0</v>
      </c>
      <c r="I29" s="0" t="n">
        <f aca="false">I28+E29</f>
        <v>556321251.133283</v>
      </c>
      <c r="J29" s="0" t="n">
        <f aca="false">J28+F29</f>
        <v>531496908.138341</v>
      </c>
      <c r="K29" s="0" t="n">
        <f aca="false">K28+G29</f>
        <v>499818625.291381</v>
      </c>
      <c r="L29" s="0" t="n">
        <f aca="false">MAX(L28,J29)</f>
        <v>585006901.924356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582730898.334523</v>
      </c>
      <c r="P29" s="0" t="n">
        <f aca="false">(L_I1!V19-L_S1!V19)*D29</f>
        <v>513.972996050281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(L_I1!AO20-L_S1!AO20)*C30</f>
        <v>-4854129.05818259</v>
      </c>
      <c r="F30" s="0" t="n">
        <f aca="false">(L_I1!AP20-L_S1!AP20)*C30</f>
        <v>-8369354.12133955</v>
      </c>
      <c r="G30" s="0" t="n">
        <f aca="false">(L_I1!AQ20-L_S1!AQ20)*C30</f>
        <v>-11266343.9665818</v>
      </c>
      <c r="H30" s="0" t="n">
        <f aca="false">(L_I1!AS20-L_S1!AS20)*C30</f>
        <v>0</v>
      </c>
      <c r="I30" s="0" t="n">
        <f aca="false">I29+E30</f>
        <v>551467122.0751</v>
      </c>
      <c r="J30" s="0" t="n">
        <f aca="false">J29+F30</f>
        <v>523127554.017001</v>
      </c>
      <c r="K30" s="0" t="n">
        <f aca="false">K29+G30</f>
        <v>488552281.3248</v>
      </c>
      <c r="L30" s="0" t="n">
        <f aca="false">MAX(L29,J30)</f>
        <v>585006901.924356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582730898.334523</v>
      </c>
      <c r="P30" s="0" t="n">
        <f aca="false">(L_I1!V20-L_S1!V20)*D30</f>
        <v>514.926499873752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(L_I1!AO21-L_S1!AO21)*C31</f>
        <v>-4871404.79584558</v>
      </c>
      <c r="F31" s="0" t="n">
        <f aca="false">(L_I1!AP21-L_S1!AP21)*C31</f>
        <v>-8642908.53676383</v>
      </c>
      <c r="G31" s="0" t="n">
        <f aca="false">(L_I1!AQ21-L_S1!AQ21)*C31</f>
        <v>-11785753.4968004</v>
      </c>
      <c r="H31" s="0" t="n">
        <f aca="false">(L_I1!AS21-L_S1!AS21)*C31</f>
        <v>0</v>
      </c>
      <c r="I31" s="0" t="n">
        <f aca="false">I30+E31</f>
        <v>546595717.279255</v>
      </c>
      <c r="J31" s="0" t="n">
        <f aca="false">J30+F31</f>
        <v>514484645.480237</v>
      </c>
      <c r="K31" s="0" t="n">
        <f aca="false">K30+G31</f>
        <v>476766527.827999</v>
      </c>
      <c r="L31" s="0" t="n">
        <f aca="false">MAX(L30,J31)</f>
        <v>585006901.924356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582730898.334523</v>
      </c>
      <c r="P31" s="0" t="n">
        <f aca="false">(L_I1!V21-L_S1!V21)*D31</f>
        <v>514.629642157796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(L_I1!AO22-L_S1!AO22)*C32</f>
        <v>-4836806.82940581</v>
      </c>
      <c r="F32" s="0" t="n">
        <f aca="false">(L_I1!AP22-L_S1!AP22)*C32</f>
        <v>-8854008.60186661</v>
      </c>
      <c r="G32" s="0" t="n">
        <f aca="false">(L_I1!AQ22-L_S1!AQ22)*C32</f>
        <v>-12235097.1460773</v>
      </c>
      <c r="H32" s="0" t="n">
        <f aca="false">(L_I1!AS22-L_S1!AS22)*C32</f>
        <v>0</v>
      </c>
      <c r="I32" s="0" t="n">
        <f aca="false">I31+E32</f>
        <v>541758910.449849</v>
      </c>
      <c r="J32" s="0" t="n">
        <f aca="false">J31+F32</f>
        <v>505630636.878371</v>
      </c>
      <c r="K32" s="0" t="n">
        <f aca="false">K31+G32</f>
        <v>464531430.681922</v>
      </c>
      <c r="L32" s="0" t="n">
        <f aca="false">MAX(L31,J32)</f>
        <v>585006901.924356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582730898.334523</v>
      </c>
      <c r="P32" s="0" t="n">
        <f aca="false">(L_I1!V22-L_S1!V22)*D32</f>
        <v>512.933328625754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(L_I1!AO23-L_S1!AO23)*C33</f>
        <v>-0</v>
      </c>
      <c r="F33" s="0" t="n">
        <f aca="false">(L_I1!AP23-L_S1!AP23)*C33</f>
        <v>-0</v>
      </c>
      <c r="G33" s="0" t="n">
        <f aca="false">(L_I1!AQ23-L_S1!AQ23)*C33</f>
        <v>-0</v>
      </c>
      <c r="H33" s="0" t="n">
        <f aca="false">(L_I1!AS23-L_S1!AS23)*C33</f>
        <v>0</v>
      </c>
      <c r="I33" s="0" t="n">
        <f aca="false">I32+E33</f>
        <v>541758910.449849</v>
      </c>
      <c r="J33" s="0" t="n">
        <f aca="false">J32+F33</f>
        <v>505630636.878371</v>
      </c>
      <c r="K33" s="0" t="n">
        <f aca="false">K32+G33</f>
        <v>464531430.681922</v>
      </c>
      <c r="L33" s="0" t="n">
        <f aca="false">MAX(L32,J33)</f>
        <v>585006901.924356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582730898.334523</v>
      </c>
      <c r="P33" s="0" t="n">
        <f aca="false">(L_I1!V23-L_S1!V23)*D33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(L_I1!AO24-L_S1!AO24)*C34</f>
        <v>-0</v>
      </c>
      <c r="F34" s="0" t="n">
        <f aca="false">(L_I1!AP24-L_S1!AP24)*C34</f>
        <v>-0</v>
      </c>
      <c r="G34" s="0" t="n">
        <f aca="false">(L_I1!AQ24-L_S1!AQ24)*C34</f>
        <v>-0</v>
      </c>
      <c r="H34" s="0" t="n">
        <f aca="false">(L_I1!AS24-L_S1!AS24)*C34</f>
        <v>0</v>
      </c>
      <c r="I34" s="0" t="n">
        <f aca="false">I33+E34</f>
        <v>541758910.449849</v>
      </c>
      <c r="J34" s="0" t="n">
        <f aca="false">J33+F34</f>
        <v>505630636.878371</v>
      </c>
      <c r="K34" s="0" t="n">
        <f aca="false">K33+G34</f>
        <v>464531430.681922</v>
      </c>
      <c r="L34" s="0" t="n">
        <f aca="false">MAX(L33,J34)</f>
        <v>585006901.924356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582730898.334523</v>
      </c>
      <c r="P34" s="0" t="n">
        <f aca="false">(L_I1!V24-L_S1!V24)*D34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(L_I1!AO25-L_S1!AO25)*C35</f>
        <v>-0</v>
      </c>
      <c r="F35" s="0" t="n">
        <f aca="false">(L_I1!AP25-L_S1!AP25)*C35</f>
        <v>-0</v>
      </c>
      <c r="G35" s="0" t="n">
        <f aca="false">(L_I1!AQ25-L_S1!AQ25)*C35</f>
        <v>-0</v>
      </c>
      <c r="H35" s="0" t="n">
        <f aca="false">(L_I1!AS25-L_S1!AS25)*C35</f>
        <v>0</v>
      </c>
      <c r="I35" s="0" t="n">
        <f aca="false">I34+E35</f>
        <v>541758910.449849</v>
      </c>
      <c r="J35" s="0" t="n">
        <f aca="false">J34+F35</f>
        <v>505630636.878371</v>
      </c>
      <c r="K35" s="0" t="n">
        <f aca="false">K34+G35</f>
        <v>464531430.681922</v>
      </c>
      <c r="L35" s="0" t="n">
        <f aca="false">MAX(L34,J35)</f>
        <v>585006901.924356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582730898.334523</v>
      </c>
      <c r="P35" s="0" t="n">
        <f aca="false">(L_I1!V25-L_S1!V25)*D35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(L_I1!AO26-L_S1!AO26)*C36</f>
        <v>-0</v>
      </c>
      <c r="F36" s="0" t="n">
        <f aca="false">(L_I1!AP26-L_S1!AP26)*C36</f>
        <v>-0</v>
      </c>
      <c r="G36" s="0" t="n">
        <f aca="false">(L_I1!AQ26-L_S1!AQ26)*C36</f>
        <v>-0</v>
      </c>
      <c r="H36" s="0" t="n">
        <f aca="false">(L_I1!AS26-L_S1!AS26)*C36</f>
        <v>0</v>
      </c>
      <c r="I36" s="0" t="n">
        <f aca="false">I35+E36</f>
        <v>541758910.449849</v>
      </c>
      <c r="J36" s="0" t="n">
        <f aca="false">J35+F36</f>
        <v>505630636.878371</v>
      </c>
      <c r="K36" s="0" t="n">
        <f aca="false">K35+G36</f>
        <v>464531430.681922</v>
      </c>
      <c r="L36" s="0" t="n">
        <f aca="false">MAX(L35,J36)</f>
        <v>585006901.924356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582730898.334523</v>
      </c>
      <c r="P36" s="0" t="n">
        <f aca="false">(L_I1!V26-L_S1!V26)*D36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(L_I1!AO27-L_S1!AO27)*C37</f>
        <v>-0</v>
      </c>
      <c r="F37" s="0" t="n">
        <f aca="false">(L_I1!AP27-L_S1!AP27)*C37</f>
        <v>-0</v>
      </c>
      <c r="G37" s="0" t="n">
        <f aca="false">(L_I1!AQ27-L_S1!AQ27)*C37</f>
        <v>-0</v>
      </c>
      <c r="H37" s="0" t="n">
        <f aca="false">(L_I1!AS27-L_S1!AS27)*C37</f>
        <v>0</v>
      </c>
      <c r="I37" s="0" t="n">
        <f aca="false">I36+E37</f>
        <v>541758910.449849</v>
      </c>
      <c r="J37" s="0" t="n">
        <f aca="false">J36+F37</f>
        <v>505630636.878371</v>
      </c>
      <c r="K37" s="0" t="n">
        <f aca="false">K36+G37</f>
        <v>464531430.681922</v>
      </c>
      <c r="L37" s="0" t="n">
        <f aca="false">MAX(L36,J37)</f>
        <v>585006901.924356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582730898.334523</v>
      </c>
      <c r="P37" s="0" t="n">
        <f aca="false">(L_I1!V27-L_S1!V27)*D37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(L_I1!AO28-L_S1!AO28)*C38</f>
        <v>-0</v>
      </c>
      <c r="F38" s="0" t="n">
        <f aca="false">(L_I1!AP28-L_S1!AP28)*C38</f>
        <v>-0</v>
      </c>
      <c r="G38" s="0" t="n">
        <f aca="false">(L_I1!AQ28-L_S1!AQ28)*C38</f>
        <v>-0</v>
      </c>
      <c r="H38" s="0" t="n">
        <f aca="false">(L_I1!AS28-L_S1!AS28)*C38</f>
        <v>0</v>
      </c>
      <c r="I38" s="0" t="n">
        <f aca="false">I37+E38</f>
        <v>541758910.449849</v>
      </c>
      <c r="J38" s="0" t="n">
        <f aca="false">J37+F38</f>
        <v>505630636.878371</v>
      </c>
      <c r="K38" s="0" t="n">
        <f aca="false">K37+G38</f>
        <v>464531430.681922</v>
      </c>
      <c r="L38" s="0" t="n">
        <f aca="false">MAX(L37,J38)</f>
        <v>585006901.924356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582730898.334523</v>
      </c>
      <c r="P38" s="0" t="n">
        <f aca="false">(L_I1!V28-L_S1!V28)*D38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(L_I1!AO29-L_S1!AO29)*C39</f>
        <v>-0</v>
      </c>
      <c r="F39" s="0" t="n">
        <f aca="false">(L_I1!AP29-L_S1!AP29)*C39</f>
        <v>-0</v>
      </c>
      <c r="G39" s="0" t="n">
        <f aca="false">(L_I1!AQ29-L_S1!AQ29)*C39</f>
        <v>-0</v>
      </c>
      <c r="H39" s="0" t="n">
        <f aca="false">(L_I1!AS29-L_S1!AS29)*C39</f>
        <v>0</v>
      </c>
      <c r="I39" s="0" t="n">
        <f aca="false">I38+E39</f>
        <v>541758910.449849</v>
      </c>
      <c r="J39" s="0" t="n">
        <f aca="false">J38+F39</f>
        <v>505630636.878371</v>
      </c>
      <c r="K39" s="0" t="n">
        <f aca="false">K38+G39</f>
        <v>464531430.681922</v>
      </c>
      <c r="L39" s="0" t="n">
        <f aca="false">MAX(L38,J39)</f>
        <v>585006901.924356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582730898.334523</v>
      </c>
      <c r="P39" s="0" t="n">
        <f aca="false">(L_I1!V29-L_S1!V29)*D39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(L_I1!AO30-L_S1!AO30)*C40</f>
        <v>-0</v>
      </c>
      <c r="F40" s="0" t="n">
        <f aca="false">(L_I1!AP30-L_S1!AP30)*C40</f>
        <v>-0</v>
      </c>
      <c r="G40" s="0" t="n">
        <f aca="false">(L_I1!AQ30-L_S1!AQ30)*C40</f>
        <v>-0</v>
      </c>
      <c r="H40" s="0" t="n">
        <f aca="false">(L_I1!AS30-L_S1!AS30)*C40</f>
        <v>0</v>
      </c>
      <c r="I40" s="0" t="n">
        <f aca="false">I39+E40</f>
        <v>541758910.449849</v>
      </c>
      <c r="J40" s="0" t="n">
        <f aca="false">J39+F40</f>
        <v>505630636.878371</v>
      </c>
      <c r="K40" s="0" t="n">
        <f aca="false">K39+G40</f>
        <v>464531430.681922</v>
      </c>
      <c r="L40" s="0" t="n">
        <f aca="false">MAX(L39,J40)</f>
        <v>585006901.924356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582730898.334523</v>
      </c>
      <c r="P40" s="0" t="n">
        <f aca="false">(L_I1!V30-L_S1!V30)*D40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(L_I1!AO31-L_S1!AO31)*C41</f>
        <v>-0</v>
      </c>
      <c r="F41" s="0" t="n">
        <f aca="false">(L_I1!AP31-L_S1!AP31)*C41</f>
        <v>-0</v>
      </c>
      <c r="G41" s="0" t="n">
        <f aca="false">(L_I1!AQ31-L_S1!AQ31)*C41</f>
        <v>-0</v>
      </c>
      <c r="H41" s="0" t="n">
        <f aca="false">(L_I1!AS31-L_S1!AS31)*C41</f>
        <v>0</v>
      </c>
      <c r="I41" s="0" t="n">
        <f aca="false">I40+E41</f>
        <v>541758910.449849</v>
      </c>
      <c r="J41" s="0" t="n">
        <f aca="false">J40+F41</f>
        <v>505630636.878371</v>
      </c>
      <c r="K41" s="0" t="n">
        <f aca="false">K40+G41</f>
        <v>464531430.681922</v>
      </c>
      <c r="L41" s="0" t="n">
        <f aca="false">MAX(L40,J41)</f>
        <v>585006901.924356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582730898.334523</v>
      </c>
      <c r="P41" s="0" t="n">
        <f aca="false">(L_I1!V31-L_S1!V31)*D41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(L_I1!AO32-L_S1!AO32)*C42</f>
        <v>-0</v>
      </c>
      <c r="F42" s="0" t="n">
        <f aca="false">(L_I1!AP32-L_S1!AP32)*C42</f>
        <v>-0</v>
      </c>
      <c r="G42" s="0" t="n">
        <f aca="false">(L_I1!AQ32-L_S1!AQ32)*C42</f>
        <v>-0</v>
      </c>
      <c r="H42" s="0" t="n">
        <f aca="false">(L_I1!AS32-L_S1!AS32)*C42</f>
        <v>0</v>
      </c>
      <c r="I42" s="0" t="n">
        <f aca="false">I41+E42</f>
        <v>541758910.449849</v>
      </c>
      <c r="J42" s="0" t="n">
        <f aca="false">J41+F42</f>
        <v>505630636.878371</v>
      </c>
      <c r="K42" s="0" t="n">
        <f aca="false">K41+G42</f>
        <v>464531430.681922</v>
      </c>
      <c r="L42" s="0" t="n">
        <f aca="false">MAX(L41,J42)</f>
        <v>585006901.924356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582730898.334523</v>
      </c>
      <c r="P42" s="0" t="n">
        <f aca="false">(L_I1!V32-L_S1!V32)*D42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(L_I1!AO33-L_S1!AO33)*C43</f>
        <v>-0</v>
      </c>
      <c r="F43" s="0" t="n">
        <f aca="false">(L_I1!AP33-L_S1!AP33)*C43</f>
        <v>-0</v>
      </c>
      <c r="G43" s="0" t="n">
        <f aca="false">(L_I1!AQ33-L_S1!AQ33)*C43</f>
        <v>-0</v>
      </c>
      <c r="H43" s="0" t="n">
        <f aca="false">(L_I1!AS33-L_S1!AS33)*C43</f>
        <v>0</v>
      </c>
      <c r="I43" s="0" t="n">
        <f aca="false">I42+E43</f>
        <v>541758910.449849</v>
      </c>
      <c r="J43" s="0" t="n">
        <f aca="false">J42+F43</f>
        <v>505630636.878371</v>
      </c>
      <c r="K43" s="0" t="n">
        <f aca="false">K42+G43</f>
        <v>464531430.681922</v>
      </c>
      <c r="L43" s="0" t="n">
        <f aca="false">MAX(L42,J43)</f>
        <v>585006901.924356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582730898.334523</v>
      </c>
      <c r="P43" s="0" t="n">
        <f aca="false">(L_I1!V33-L_S1!V33)*D43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(L_I1!AO34-L_S1!AO34)*C44</f>
        <v>-0</v>
      </c>
      <c r="F44" s="0" t="n">
        <f aca="false">(L_I1!AP34-L_S1!AP34)*C44</f>
        <v>-0</v>
      </c>
      <c r="G44" s="0" t="n">
        <f aca="false">(L_I1!AQ34-L_S1!AQ34)*C44</f>
        <v>-0</v>
      </c>
      <c r="H44" s="0" t="n">
        <f aca="false">(L_I1!AS34-L_S1!AS34)*C44</f>
        <v>0</v>
      </c>
      <c r="I44" s="0" t="n">
        <f aca="false">I43+E44</f>
        <v>541758910.449849</v>
      </c>
      <c r="J44" s="0" t="n">
        <f aca="false">J43+F44</f>
        <v>505630636.878371</v>
      </c>
      <c r="K44" s="0" t="n">
        <f aca="false">K43+G44</f>
        <v>464531430.681922</v>
      </c>
      <c r="L44" s="0" t="n">
        <f aca="false">MAX(L43,J44)</f>
        <v>585006901.924356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582730898.334523</v>
      </c>
      <c r="P44" s="0" t="n">
        <f aca="false">(L_I1!V34-L_S1!V34)*D44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(L_I1!AO35-L_S1!AO35)*C45</f>
        <v>-0</v>
      </c>
      <c r="F45" s="0" t="n">
        <f aca="false">(L_I1!AP35-L_S1!AP35)*C45</f>
        <v>-0</v>
      </c>
      <c r="G45" s="0" t="n">
        <f aca="false">(L_I1!AQ35-L_S1!AQ35)*C45</f>
        <v>-0</v>
      </c>
      <c r="H45" s="0" t="n">
        <f aca="false">(L_I1!AS35-L_S1!AS35)*C45</f>
        <v>0</v>
      </c>
      <c r="I45" s="0" t="n">
        <f aca="false">I44+E45</f>
        <v>541758910.449849</v>
      </c>
      <c r="J45" s="0" t="n">
        <f aca="false">J44+F45</f>
        <v>505630636.878371</v>
      </c>
      <c r="K45" s="0" t="n">
        <f aca="false">K44+G45</f>
        <v>464531430.681922</v>
      </c>
      <c r="L45" s="0" t="n">
        <f aca="false">MAX(L44,J45)</f>
        <v>585006901.924356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582730898.334523</v>
      </c>
      <c r="P45" s="0" t="n">
        <f aca="false">(L_I1!V35-L_S1!V35)*D45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(L_I1!AO36-L_S1!AO36)*C46</f>
        <v>-0</v>
      </c>
      <c r="F46" s="0" t="n">
        <f aca="false">(L_I1!AP36-L_S1!AP36)*C46</f>
        <v>-0</v>
      </c>
      <c r="G46" s="0" t="n">
        <f aca="false">(L_I1!AQ36-L_S1!AQ36)*C46</f>
        <v>-0</v>
      </c>
      <c r="H46" s="0" t="n">
        <f aca="false">(L_I1!AS36-L_S1!AS36)*C46</f>
        <v>0</v>
      </c>
      <c r="I46" s="0" t="n">
        <f aca="false">I45+E46</f>
        <v>541758910.449849</v>
      </c>
      <c r="J46" s="0" t="n">
        <f aca="false">J45+F46</f>
        <v>505630636.878371</v>
      </c>
      <c r="K46" s="0" t="n">
        <f aca="false">K45+G46</f>
        <v>464531430.681922</v>
      </c>
      <c r="L46" s="0" t="n">
        <f aca="false">MAX(L45,J46)</f>
        <v>585006901.924356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582730898.334523</v>
      </c>
      <c r="P46" s="0" t="n">
        <f aca="false">(L_I1!V36-L_S1!V36)*D46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(L_I1!AO37-L_S1!AO37)*C47</f>
        <v>-0</v>
      </c>
      <c r="F47" s="0" t="n">
        <f aca="false">(L_I1!AP37-L_S1!AP37)*C47</f>
        <v>-0</v>
      </c>
      <c r="G47" s="0" t="n">
        <f aca="false">(L_I1!AQ37-L_S1!AQ37)*C47</f>
        <v>-0</v>
      </c>
      <c r="H47" s="0" t="n">
        <f aca="false">(L_I1!AS37-L_S1!AS37)*C47</f>
        <v>0</v>
      </c>
      <c r="I47" s="0" t="n">
        <f aca="false">I46+E47</f>
        <v>541758910.449849</v>
      </c>
      <c r="J47" s="0" t="n">
        <f aca="false">J46+F47</f>
        <v>505630636.878371</v>
      </c>
      <c r="K47" s="0" t="n">
        <f aca="false">K46+G47</f>
        <v>464531430.681922</v>
      </c>
      <c r="L47" s="0" t="n">
        <f aca="false">MAX(L46,J47)</f>
        <v>585006901.924356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582730898.334523</v>
      </c>
      <c r="P47" s="0" t="n">
        <f aca="false">(L_I1!V37-L_S1!V37)*D47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(L_I1!AO38-L_S1!AO38)*C48</f>
        <v>-0</v>
      </c>
      <c r="F48" s="0" t="n">
        <f aca="false">(L_I1!AP38-L_S1!AP38)*C48</f>
        <v>-0</v>
      </c>
      <c r="G48" s="0" t="n">
        <f aca="false">(L_I1!AQ38-L_S1!AQ38)*C48</f>
        <v>-0</v>
      </c>
      <c r="H48" s="0" t="n">
        <f aca="false">(L_I1!AS38-L_S1!AS38)*C48</f>
        <v>0</v>
      </c>
      <c r="I48" s="0" t="n">
        <f aca="false">I47+E48</f>
        <v>541758910.449849</v>
      </c>
      <c r="J48" s="0" t="n">
        <f aca="false">J47+F48</f>
        <v>505630636.878371</v>
      </c>
      <c r="K48" s="0" t="n">
        <f aca="false">K47+G48</f>
        <v>464531430.681922</v>
      </c>
      <c r="L48" s="0" t="n">
        <f aca="false">MAX(L47,J48)</f>
        <v>585006901.924356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582730898.334523</v>
      </c>
      <c r="P48" s="0" t="n">
        <f aca="false">(L_I1!V38-L_S1!V38)*D48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(L_I1!AO39-L_S1!AO39)*C49</f>
        <v>-0</v>
      </c>
      <c r="F49" s="0" t="n">
        <f aca="false">(L_I1!AP39-L_S1!AP39)*C49</f>
        <v>-0</v>
      </c>
      <c r="G49" s="0" t="n">
        <f aca="false">(L_I1!AQ39-L_S1!AQ39)*C49</f>
        <v>-0</v>
      </c>
      <c r="H49" s="0" t="n">
        <f aca="false">(L_I1!AS39-L_S1!AS39)*C49</f>
        <v>0</v>
      </c>
      <c r="I49" s="0" t="n">
        <f aca="false">I48+E49</f>
        <v>541758910.449849</v>
      </c>
      <c r="J49" s="0" t="n">
        <f aca="false">J48+F49</f>
        <v>505630636.878371</v>
      </c>
      <c r="K49" s="0" t="n">
        <f aca="false">K48+G49</f>
        <v>464531430.681922</v>
      </c>
      <c r="L49" s="0" t="n">
        <f aca="false">MAX(L48,J49)</f>
        <v>585006901.924356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582730898.334523</v>
      </c>
      <c r="P49" s="0" t="n">
        <f aca="false">(L_I1!V39-L_S1!V39)*D49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(L_I1!AO40-L_S1!AO40)*C50</f>
        <v>-0</v>
      </c>
      <c r="F50" s="0" t="n">
        <f aca="false">(L_I1!AP40-L_S1!AP40)*C50</f>
        <v>-0</v>
      </c>
      <c r="G50" s="0" t="n">
        <f aca="false">(L_I1!AQ40-L_S1!AQ40)*C50</f>
        <v>-0</v>
      </c>
      <c r="H50" s="0" t="n">
        <f aca="false">(L_I1!AS40-L_S1!AS40)*C50</f>
        <v>0</v>
      </c>
      <c r="I50" s="0" t="n">
        <f aca="false">I49+E50</f>
        <v>541758910.449849</v>
      </c>
      <c r="J50" s="0" t="n">
        <f aca="false">J49+F50</f>
        <v>505630636.878371</v>
      </c>
      <c r="K50" s="0" t="n">
        <f aca="false">K49+G50</f>
        <v>464531430.681922</v>
      </c>
      <c r="L50" s="0" t="n">
        <f aca="false">MAX(L49,J50)</f>
        <v>585006901.924356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582730898.334523</v>
      </c>
      <c r="P50" s="0" t="n">
        <f aca="false">(L_I1!V40-L_S1!V40)*D50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(L_I1!AO41-L_S1!AO41)*C51</f>
        <v>-0</v>
      </c>
      <c r="F51" s="0" t="n">
        <f aca="false">(L_I1!AP41-L_S1!AP41)*C51</f>
        <v>-0</v>
      </c>
      <c r="G51" s="0" t="n">
        <f aca="false">(L_I1!AQ41-L_S1!AQ41)*C51</f>
        <v>-0</v>
      </c>
      <c r="H51" s="0" t="n">
        <f aca="false">(L_I1!AS41-L_S1!AS41)*C51</f>
        <v>0</v>
      </c>
      <c r="I51" s="0" t="n">
        <f aca="false">I50+E51</f>
        <v>541758910.449849</v>
      </c>
      <c r="J51" s="0" t="n">
        <f aca="false">J50+F51</f>
        <v>505630636.878371</v>
      </c>
      <c r="K51" s="0" t="n">
        <f aca="false">K50+G51</f>
        <v>464531430.681922</v>
      </c>
      <c r="L51" s="0" t="n">
        <f aca="false">MAX(L50,J51)</f>
        <v>585006901.924356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582730898.334523</v>
      </c>
      <c r="P51" s="0" t="n">
        <f aca="false">(L_I1!V41-L_S1!V41)*D51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(L_I1!AO42-L_S1!AO42)*C52</f>
        <v>-0</v>
      </c>
      <c r="F52" s="0" t="n">
        <f aca="false">(L_I1!AP42-L_S1!AP42)*C52</f>
        <v>-0</v>
      </c>
      <c r="G52" s="0" t="n">
        <f aca="false">(L_I1!AQ42-L_S1!AQ42)*C52</f>
        <v>-0</v>
      </c>
      <c r="H52" s="0" t="n">
        <f aca="false">(L_I1!AS42-L_S1!AS42)*C52</f>
        <v>0</v>
      </c>
      <c r="I52" s="0" t="n">
        <f aca="false">I51+E52</f>
        <v>541758910.449849</v>
      </c>
      <c r="J52" s="0" t="n">
        <f aca="false">J51+F52</f>
        <v>505630636.878371</v>
      </c>
      <c r="K52" s="0" t="n">
        <f aca="false">K51+G52</f>
        <v>464531430.681922</v>
      </c>
      <c r="L52" s="0" t="n">
        <f aca="false">MAX(L51,J52)</f>
        <v>585006901.924356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582730898.334523</v>
      </c>
      <c r="P52" s="0" t="n">
        <f aca="false">(L_I1!V42-L_S1!V42)*D52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(L_I1!AO43-L_S1!AO43)*C53</f>
        <v>-0</v>
      </c>
      <c r="F53" s="0" t="n">
        <f aca="false">(L_I1!AP43-L_S1!AP43)*C53</f>
        <v>-0</v>
      </c>
      <c r="G53" s="0" t="n">
        <f aca="false">(L_I1!AQ43-L_S1!AQ43)*C53</f>
        <v>-0</v>
      </c>
      <c r="H53" s="0" t="n">
        <f aca="false">(L_I1!AS43-L_S1!AS43)*C53</f>
        <v>0</v>
      </c>
      <c r="I53" s="0" t="n">
        <f aca="false">I52+E53</f>
        <v>541758910.449849</v>
      </c>
      <c r="J53" s="0" t="n">
        <f aca="false">J52+F53</f>
        <v>505630636.878371</v>
      </c>
      <c r="K53" s="0" t="n">
        <f aca="false">K52+G53</f>
        <v>464531430.681922</v>
      </c>
      <c r="L53" s="0" t="n">
        <f aca="false">MAX(L52,J53)</f>
        <v>585006901.924356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582730898.334523</v>
      </c>
      <c r="P53" s="0" t="n">
        <f aca="false">(L_I1!V43-L_S1!V43)*D53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(L_I1!AO44-L_S1!AO44)*C54</f>
        <v>-0</v>
      </c>
      <c r="F54" s="0" t="n">
        <f aca="false">(L_I1!AP44-L_S1!AP44)*C54</f>
        <v>-0</v>
      </c>
      <c r="G54" s="0" t="n">
        <f aca="false">(L_I1!AQ44-L_S1!AQ44)*C54</f>
        <v>-0</v>
      </c>
      <c r="H54" s="0" t="n">
        <f aca="false">(L_I1!AS44-L_S1!AS44)*C54</f>
        <v>0</v>
      </c>
      <c r="I54" s="0" t="n">
        <f aca="false">I53+E54</f>
        <v>541758910.449849</v>
      </c>
      <c r="J54" s="0" t="n">
        <f aca="false">J53+F54</f>
        <v>505630636.878371</v>
      </c>
      <c r="K54" s="0" t="n">
        <f aca="false">K53+G54</f>
        <v>464531430.681922</v>
      </c>
      <c r="L54" s="0" t="n">
        <f aca="false">MAX(L53,J54)</f>
        <v>585006901.924356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582730898.334523</v>
      </c>
      <c r="P54" s="0" t="n">
        <f aca="false">(L_I1!V44-L_S1!V44)*D54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(L_I1!AO45-L_S1!AO45)*C55</f>
        <v>-0</v>
      </c>
      <c r="F55" s="0" t="n">
        <f aca="false">(L_I1!AP45-L_S1!AP45)*C55</f>
        <v>-0</v>
      </c>
      <c r="G55" s="0" t="n">
        <f aca="false">(L_I1!AQ45-L_S1!AQ45)*C55</f>
        <v>-0</v>
      </c>
      <c r="H55" s="0" t="n">
        <f aca="false">(L_I1!AS45-L_S1!AS45)*C55</f>
        <v>0</v>
      </c>
      <c r="I55" s="0" t="n">
        <f aca="false">I54+E55</f>
        <v>541758910.449849</v>
      </c>
      <c r="J55" s="0" t="n">
        <f aca="false">J54+F55</f>
        <v>505630636.878371</v>
      </c>
      <c r="K55" s="0" t="n">
        <f aca="false">K54+G55</f>
        <v>464531430.681922</v>
      </c>
      <c r="L55" s="0" t="n">
        <f aca="false">MAX(L54,J55)</f>
        <v>585006901.924356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582730898.334523</v>
      </c>
      <c r="P55" s="0" t="n">
        <f aca="false">(L_I1!V45-L_S1!V45)*D55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(L_I1!AO46-L_S1!AO46)*C56</f>
        <v>-0</v>
      </c>
      <c r="F56" s="0" t="n">
        <f aca="false">(L_I1!AP46-L_S1!AP46)*C56</f>
        <v>-0</v>
      </c>
      <c r="G56" s="0" t="n">
        <f aca="false">(L_I1!AQ46-L_S1!AQ46)*C56</f>
        <v>-0</v>
      </c>
      <c r="H56" s="0" t="n">
        <f aca="false">(L_I1!AS46-L_S1!AS46)*C56</f>
        <v>0</v>
      </c>
      <c r="I56" s="0" t="n">
        <f aca="false">I55+E56</f>
        <v>541758910.449849</v>
      </c>
      <c r="J56" s="0" t="n">
        <f aca="false">J55+F56</f>
        <v>505630636.878371</v>
      </c>
      <c r="K56" s="0" t="n">
        <f aca="false">K55+G56</f>
        <v>464531430.681922</v>
      </c>
      <c r="L56" s="0" t="n">
        <f aca="false">MAX(L55,J56)</f>
        <v>585006901.924356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582730898.334523</v>
      </c>
      <c r="P56" s="0" t="n">
        <f aca="false">(L_I1!V46-L_S1!V46)*D56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(L_I1!AO47-L_S1!AO47)*C57</f>
        <v>-0</v>
      </c>
      <c r="F57" s="0" t="n">
        <f aca="false">(L_I1!AP47-L_S1!AP47)*C57</f>
        <v>-0</v>
      </c>
      <c r="G57" s="0" t="n">
        <f aca="false">(L_I1!AQ47-L_S1!AQ47)*C57</f>
        <v>-0</v>
      </c>
      <c r="H57" s="0" t="n">
        <f aca="false">(L_I1!AS47-L_S1!AS47)*C57</f>
        <v>0</v>
      </c>
      <c r="I57" s="0" t="n">
        <f aca="false">I56+E57</f>
        <v>541758910.449849</v>
      </c>
      <c r="J57" s="0" t="n">
        <f aca="false">J56+F57</f>
        <v>505630636.878371</v>
      </c>
      <c r="K57" s="0" t="n">
        <f aca="false">K56+G57</f>
        <v>464531430.681922</v>
      </c>
      <c r="L57" s="0" t="n">
        <f aca="false">MAX(L56,J57)</f>
        <v>585006901.924356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582730898.334523</v>
      </c>
      <c r="P57" s="0" t="n">
        <f aca="false">(L_I1!V47-L_S1!V47)*D57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(L_I1!AO48-L_S1!AO48)*C58</f>
        <v>-0</v>
      </c>
      <c r="F58" s="0" t="n">
        <f aca="false">(L_I1!AP48-L_S1!AP48)*C58</f>
        <v>-0</v>
      </c>
      <c r="G58" s="0" t="n">
        <f aca="false">(L_I1!AQ48-L_S1!AQ48)*C58</f>
        <v>-0</v>
      </c>
      <c r="H58" s="0" t="n">
        <f aca="false">(L_I1!AS48-L_S1!AS48)*C58</f>
        <v>0</v>
      </c>
      <c r="I58" s="0" t="n">
        <f aca="false">I57+E58</f>
        <v>541758910.449849</v>
      </c>
      <c r="J58" s="0" t="n">
        <f aca="false">J57+F58</f>
        <v>505630636.878371</v>
      </c>
      <c r="K58" s="0" t="n">
        <f aca="false">K57+G58</f>
        <v>464531430.681922</v>
      </c>
      <c r="L58" s="0" t="n">
        <f aca="false">MAX(L57,J58)</f>
        <v>585006901.924356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582730898.334523</v>
      </c>
      <c r="P58" s="0" t="n">
        <f aca="false">(L_I1!V48-L_S1!V48)*D58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(L_I1!AO49-L_S1!AO49)*C59</f>
        <v>-0</v>
      </c>
      <c r="F59" s="0" t="n">
        <f aca="false">(L_I1!AP49-L_S1!AP49)*C59</f>
        <v>-0</v>
      </c>
      <c r="G59" s="0" t="n">
        <f aca="false">(L_I1!AQ49-L_S1!AQ49)*C59</f>
        <v>-0</v>
      </c>
      <c r="H59" s="0" t="n">
        <f aca="false">(L_I1!AS49-L_S1!AS49)*C59</f>
        <v>0</v>
      </c>
      <c r="I59" s="0" t="n">
        <f aca="false">I58+E59</f>
        <v>541758910.449849</v>
      </c>
      <c r="J59" s="0" t="n">
        <f aca="false">J58+F59</f>
        <v>505630636.878371</v>
      </c>
      <c r="K59" s="0" t="n">
        <f aca="false">K58+G59</f>
        <v>464531430.681922</v>
      </c>
      <c r="L59" s="0" t="n">
        <f aca="false">MAX(L58,J59)</f>
        <v>585006901.924356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582730898.334523</v>
      </c>
      <c r="P59" s="0" t="n">
        <f aca="false">(L_I1!V49-L_S1!V49)*D59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(L_I1!AO50-L_S1!AO50)*C60</f>
        <v>-0</v>
      </c>
      <c r="F60" s="0" t="n">
        <f aca="false">(L_I1!AP50-L_S1!AP50)*C60</f>
        <v>-0</v>
      </c>
      <c r="G60" s="0" t="n">
        <f aca="false">(L_I1!AQ50-L_S1!AQ50)*C60</f>
        <v>-0</v>
      </c>
      <c r="H60" s="0" t="n">
        <f aca="false">(L_I1!AS50-L_S1!AS50)*C60</f>
        <v>0</v>
      </c>
      <c r="I60" s="0" t="n">
        <f aca="false">I59+E60</f>
        <v>541758910.449849</v>
      </c>
      <c r="J60" s="0" t="n">
        <f aca="false">J59+F60</f>
        <v>505630636.878371</v>
      </c>
      <c r="K60" s="0" t="n">
        <f aca="false">K59+G60</f>
        <v>464531430.681922</v>
      </c>
      <c r="L60" s="0" t="n">
        <f aca="false">MAX(L59,J60)</f>
        <v>585006901.924356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582730898.334523</v>
      </c>
      <c r="P60" s="0" t="n">
        <f aca="false">(L_I1!V50-L_S1!V50)*D60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(L_I1!AO51-L_S1!AO51)*C61</f>
        <v>-0</v>
      </c>
      <c r="F61" s="0" t="n">
        <f aca="false">(L_I1!AP51-L_S1!AP51)*C61</f>
        <v>-0</v>
      </c>
      <c r="G61" s="0" t="n">
        <f aca="false">(L_I1!AQ51-L_S1!AQ51)*C61</f>
        <v>-0</v>
      </c>
      <c r="H61" s="0" t="n">
        <f aca="false">(L_I1!AS51-L_S1!AS51)*C61</f>
        <v>0</v>
      </c>
      <c r="I61" s="0" t="n">
        <f aca="false">I60+E61</f>
        <v>541758910.449849</v>
      </c>
      <c r="J61" s="0" t="n">
        <f aca="false">J60+F61</f>
        <v>505630636.878371</v>
      </c>
      <c r="K61" s="0" t="n">
        <f aca="false">K60+G61</f>
        <v>464531430.681922</v>
      </c>
      <c r="L61" s="0" t="n">
        <f aca="false">MAX(L60,J61)</f>
        <v>585006901.924356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582730898.334523</v>
      </c>
      <c r="P61" s="0" t="n">
        <f aca="false">(L_I1!V51-L_S1!V51)*D61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(L_I1!AO52-L_S1!AO52)*C62</f>
        <v>-0</v>
      </c>
      <c r="F62" s="0" t="n">
        <f aca="false">(L_I1!AP52-L_S1!AP52)*C62</f>
        <v>-0</v>
      </c>
      <c r="G62" s="0" t="n">
        <f aca="false">(L_I1!AQ52-L_S1!AQ52)*C62</f>
        <v>-0</v>
      </c>
      <c r="H62" s="0" t="n">
        <f aca="false">(L_I1!AS52-L_S1!AS52)*C62</f>
        <v>0</v>
      </c>
      <c r="I62" s="0" t="n">
        <f aca="false">I61+E62</f>
        <v>541758910.449849</v>
      </c>
      <c r="J62" s="0" t="n">
        <f aca="false">J61+F62</f>
        <v>505630636.878371</v>
      </c>
      <c r="K62" s="0" t="n">
        <f aca="false">K61+G62</f>
        <v>464531430.681922</v>
      </c>
      <c r="L62" s="0" t="n">
        <f aca="false">MAX(L61,J62)</f>
        <v>585006901.924356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582730898.334523</v>
      </c>
      <c r="P62" s="0" t="n">
        <f aca="false">(L_I1!V52-L_S1!V52)*D62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639</v>
      </c>
    </row>
    <row r="2" customFormat="false" ht="15" hidden="false" customHeight="false" outlineLevel="0" collapsed="false">
      <c r="A2" s="1" t="s">
        <v>614</v>
      </c>
      <c r="B2" s="0" t="n">
        <f aca="false">x_H</f>
        <v>20</v>
      </c>
    </row>
    <row r="3" customFormat="false" ht="15" hidden="false" customHeight="false" outlineLevel="0" collapsed="false">
      <c r="A3" s="1" t="s">
        <v>615</v>
      </c>
      <c r="B3" s="0" t="n">
        <f aca="false">SUM(H13:H62)</f>
        <v>432338374.623792</v>
      </c>
    </row>
    <row r="4" customFormat="false" ht="15" hidden="false" customHeight="false" outlineLevel="0" collapsed="false">
      <c r="A4" s="1" t="s">
        <v>616</v>
      </c>
      <c r="B4" s="0" t="n">
        <f aca="false">SUM(F13:F62)</f>
        <v>410594549.247885</v>
      </c>
    </row>
    <row r="5" customFormat="false" ht="15" hidden="false" customHeight="false" outlineLevel="0" collapsed="false">
      <c r="A5" s="1" t="s">
        <v>617</v>
      </c>
      <c r="B5" s="0" t="n">
        <f aca="false">B3-B4</f>
        <v>21743825.3759072</v>
      </c>
    </row>
    <row r="6" customFormat="false" ht="15" hidden="false" customHeight="false" outlineLevel="0" collapsed="false">
      <c r="A6" s="1" t="s">
        <v>618</v>
      </c>
      <c r="B6" s="0" t="n">
        <f aca="false">IF(B3=0,"—",(B5-B3)/ABS(B3))</f>
        <v>-0.949706464537579</v>
      </c>
    </row>
    <row r="7" customFormat="false" ht="15" hidden="false" customHeight="false" outlineLevel="0" collapsed="false">
      <c r="A7" s="1" t="s">
        <v>619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620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621</v>
      </c>
      <c r="B9" s="0" t="n">
        <f aca="false">SUM(E13:E62)</f>
        <v>415289711.123538</v>
      </c>
    </row>
    <row r="10" customFormat="false" ht="15" hidden="false" customHeight="false" outlineLevel="0" collapsed="false">
      <c r="A10" s="1" t="s">
        <v>622</v>
      </c>
      <c r="B10" s="0" t="n">
        <f aca="false">IFERROR(B4/SUM(P13:P62),"—")</f>
        <v>168114.177799297</v>
      </c>
    </row>
    <row r="11" customFormat="false" ht="15" hidden="false" customHeight="false" outlineLevel="0" collapsed="false">
      <c r="A11" s="1" t="s">
        <v>623</v>
      </c>
      <c r="B11" s="0" t="n">
        <f aca="false">IFERROR(B9/SUM(P13:P62),"—")</f>
        <v>170036.568829099</v>
      </c>
    </row>
    <row r="12" customFormat="false" ht="55.2" hidden="false" customHeight="false" outlineLevel="0" collapsed="false">
      <c r="A12" s="3" t="s">
        <v>320</v>
      </c>
      <c r="B12" s="3" t="s">
        <v>565</v>
      </c>
      <c r="C12" s="3" t="s">
        <v>624</v>
      </c>
      <c r="D12" s="3" t="s">
        <v>625</v>
      </c>
      <c r="E12" s="3" t="s">
        <v>626</v>
      </c>
      <c r="F12" s="3" t="s">
        <v>627</v>
      </c>
      <c r="G12" s="3" t="s">
        <v>628</v>
      </c>
      <c r="H12" s="3" t="s">
        <v>629</v>
      </c>
      <c r="I12" s="3" t="s">
        <v>630</v>
      </c>
      <c r="J12" s="3" t="s">
        <v>631</v>
      </c>
      <c r="K12" s="3" t="s">
        <v>632</v>
      </c>
      <c r="L12" s="3" t="s">
        <v>633</v>
      </c>
      <c r="M12" s="3" t="s">
        <v>634</v>
      </c>
      <c r="N12" s="3" t="s">
        <v>635</v>
      </c>
      <c r="O12" s="3" t="s">
        <v>636</v>
      </c>
      <c r="P12" s="3" t="s">
        <v>637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(L_I2!AO3-L_S1!AO3)*C13</f>
        <v>20521739.5864568</v>
      </c>
      <c r="F13" s="0" t="n">
        <f aca="false">(L_I2!AP3-L_S1!AP3)*C13</f>
        <v>21913459.6120209</v>
      </c>
      <c r="G13" s="0" t="n">
        <f aca="false">(L_I2!AQ3-L_S1!AQ3)*C13</f>
        <v>21884100.1941862</v>
      </c>
      <c r="H13" s="0" t="n">
        <f aca="false">(L_I2!AS3-L_S1!AS3)*C13</f>
        <v>21293905.710299</v>
      </c>
      <c r="I13" s="0" t="n">
        <f aca="false">E13</f>
        <v>20521739.5864568</v>
      </c>
      <c r="J13" s="0" t="n">
        <f aca="false">F13</f>
        <v>21913459.6120209</v>
      </c>
      <c r="K13" s="0" t="n">
        <f aca="false">G13</f>
        <v>21884100.1941862</v>
      </c>
      <c r="L13" s="0" t="n">
        <f aca="false">J13</f>
        <v>21913459.6120209</v>
      </c>
      <c r="M13" s="0" t="n">
        <v>0</v>
      </c>
      <c r="N13" s="0" t="n">
        <v>0</v>
      </c>
      <c r="O13" s="0" t="n">
        <f aca="false">I13</f>
        <v>20521739.5864568</v>
      </c>
      <c r="P13" s="0" t="n">
        <f aca="false">(L_I2!V3-L_S1!V3)*D13</f>
        <v>12.7060000000056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(L_I2!AO4-L_S1!AO4)*C14</f>
        <v>38861402.6979199</v>
      </c>
      <c r="F14" s="0" t="n">
        <f aca="false">(L_I2!AP4-L_S1!AP4)*C14</f>
        <v>40277469.1244448</v>
      </c>
      <c r="G14" s="0" t="n">
        <f aca="false">(L_I2!AQ4-L_S1!AQ4)*C14</f>
        <v>40222175.4605744</v>
      </c>
      <c r="H14" s="0" t="n">
        <f aca="false">(L_I2!AS4-L_S1!AS4)*C14</f>
        <v>39260345.0553048</v>
      </c>
      <c r="I14" s="0" t="n">
        <f aca="false">I13+E14</f>
        <v>59383142.2843768</v>
      </c>
      <c r="J14" s="0" t="n">
        <f aca="false">J13+F14</f>
        <v>62190928.7364656</v>
      </c>
      <c r="K14" s="0" t="n">
        <f aca="false">K13+G14</f>
        <v>62106275.6547606</v>
      </c>
      <c r="L14" s="0" t="n">
        <f aca="false">MAX(L13,J14)</f>
        <v>62190928.7364656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59383142.2843768</v>
      </c>
      <c r="P14" s="0" t="n">
        <f aca="false">(L_I2!V4-L_S1!V4)*D14</f>
        <v>27.6231884057937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(L_I2!AO5-L_S1!AO5)*C15</f>
        <v>55176287.6514788</v>
      </c>
      <c r="F15" s="0" t="n">
        <f aca="false">(L_I2!AP5-L_S1!AP5)*C15</f>
        <v>56529788.0478935</v>
      </c>
      <c r="G15" s="0" t="n">
        <f aca="false">(L_I2!AQ5-L_S1!AQ5)*C15</f>
        <v>56443456.6157697</v>
      </c>
      <c r="H15" s="0" t="n">
        <f aca="false">(L_I2!AS5-L_S1!AS5)*C15</f>
        <v>55343270.1438976</v>
      </c>
      <c r="I15" s="0" t="n">
        <f aca="false">I14+E15</f>
        <v>114559429.935856</v>
      </c>
      <c r="J15" s="0" t="n">
        <f aca="false">J14+F15</f>
        <v>118720716.784359</v>
      </c>
      <c r="K15" s="0" t="n">
        <f aca="false">K14+G15</f>
        <v>118549732.27053</v>
      </c>
      <c r="L15" s="0" t="n">
        <f aca="false">MAX(L14,J15)</f>
        <v>118720716.784359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114559429.935856</v>
      </c>
      <c r="P15" s="0" t="n">
        <f aca="false">(L_I2!V5-L_S1!V5)*D15</f>
        <v>44.7926439356745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(L_I2!AO6-L_S1!AO6)*C16</f>
        <v>52425612.9154385</v>
      </c>
      <c r="F16" s="0" t="n">
        <f aca="false">(L_I2!AP6-L_S1!AP6)*C16</f>
        <v>53630263.9492139</v>
      </c>
      <c r="G16" s="0" t="n">
        <f aca="false">(L_I2!AQ6-L_S1!AQ6)*C16</f>
        <v>53500145.4126082</v>
      </c>
      <c r="H16" s="0" t="n">
        <f aca="false">(L_I2!AS6-L_S1!AS6)*C16</f>
        <v>52531101.2217632</v>
      </c>
      <c r="I16" s="0" t="n">
        <f aca="false">I15+E16</f>
        <v>166985042.851294</v>
      </c>
      <c r="J16" s="0" t="n">
        <f aca="false">J15+F16</f>
        <v>172350980.733573</v>
      </c>
      <c r="K16" s="0" t="n">
        <f aca="false">K15+G16</f>
        <v>172049877.683138</v>
      </c>
      <c r="L16" s="0" t="n">
        <f aca="false">MAX(L15,J16)</f>
        <v>172350980.733573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166985042.851294</v>
      </c>
      <c r="P16" s="0" t="n">
        <f aca="false">(L_I2!V6-L_S1!V6)*D16</f>
        <v>61.4213963132884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(L_I2!AO7-L_S1!AO7)*C17</f>
        <v>49757148.9064982</v>
      </c>
      <c r="F17" s="0" t="n">
        <f aca="false">(L_I2!AP7-L_S1!AP7)*C17</f>
        <v>50780226.0015943</v>
      </c>
      <c r="G17" s="0" t="n">
        <f aca="false">(L_I2!AQ7-L_S1!AQ7)*C17</f>
        <v>50580829.3970522</v>
      </c>
      <c r="H17" s="0" t="n">
        <f aca="false">(L_I2!AS7-L_S1!AS7)*C17</f>
        <v>49868326.743804</v>
      </c>
      <c r="I17" s="0" t="n">
        <f aca="false">I16+E17</f>
        <v>216742191.757792</v>
      </c>
      <c r="J17" s="0" t="n">
        <f aca="false">J16+F17</f>
        <v>223131206.735167</v>
      </c>
      <c r="K17" s="0" t="n">
        <f aca="false">K16+G17</f>
        <v>222630707.080191</v>
      </c>
      <c r="L17" s="0" t="n">
        <f aca="false">MAX(L16,J17)</f>
        <v>223131206.735167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216742191.757792</v>
      </c>
      <c r="P17" s="0" t="n">
        <f aca="false">(L_I2!V7-L_S1!V7)*D17</f>
        <v>77.6611884480433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(L_I2!AO8-L_S1!AO8)*C18</f>
        <v>47174598.3896129</v>
      </c>
      <c r="F18" s="0" t="n">
        <f aca="false">(L_I2!AP8-L_S1!AP8)*C18</f>
        <v>47982805.2587272</v>
      </c>
      <c r="G18" s="0" t="n">
        <f aca="false">(L_I2!AQ8-L_S1!AQ8)*C18</f>
        <v>47685921.9609375</v>
      </c>
      <c r="H18" s="0" t="n">
        <f aca="false">(L_I2!AS8-L_S1!AS8)*C18</f>
        <v>47345954.4910162</v>
      </c>
      <c r="I18" s="0" t="n">
        <f aca="false">I17+E18</f>
        <v>263916790.147405</v>
      </c>
      <c r="J18" s="0" t="n">
        <f aca="false">J17+F18</f>
        <v>271114011.993895</v>
      </c>
      <c r="K18" s="0" t="n">
        <f aca="false">K17+G18</f>
        <v>270316629.041128</v>
      </c>
      <c r="L18" s="0" t="n">
        <f aca="false">MAX(L17,J18)</f>
        <v>271114011.993895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263916790.147405</v>
      </c>
      <c r="P18" s="0" t="n">
        <f aca="false">(L_I2!V8-L_S1!V8)*D18</f>
        <v>93.5903693353284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(L_I2!AO9-L_S1!AO9)*C19</f>
        <v>44681099.6215557</v>
      </c>
      <c r="F19" s="0" t="n">
        <f aca="false">(L_I2!AP9-L_S1!AP9)*C19</f>
        <v>45241551.4357223</v>
      </c>
      <c r="G19" s="0" t="n">
        <f aca="false">(L_I2!AQ9-L_S1!AQ9)*C19</f>
        <v>44817485.3872917</v>
      </c>
      <c r="H19" s="0" t="n">
        <f aca="false">(L_I2!AS9-L_S1!AS9)*C19</f>
        <v>44955921.8185017</v>
      </c>
      <c r="I19" s="0" t="n">
        <f aca="false">I18+E19</f>
        <v>308597889.768961</v>
      </c>
      <c r="J19" s="0" t="n">
        <f aca="false">J18+F19</f>
        <v>316355563.429617</v>
      </c>
      <c r="K19" s="0" t="n">
        <f aca="false">K18+G19</f>
        <v>315134114.42842</v>
      </c>
      <c r="L19" s="0" t="n">
        <f aca="false">MAX(L18,J19)</f>
        <v>316355563.429617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308597889.768961</v>
      </c>
      <c r="P19" s="0" t="n">
        <f aca="false">(L_I2!V9-L_S1!V9)*D19</f>
        <v>109.231172013124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(L_I2!AO10-L_S1!AO10)*C20</f>
        <v>42279036.2675919</v>
      </c>
      <c r="F20" s="0" t="n">
        <f aca="false">(L_I2!AP10-L_S1!AP10)*C20</f>
        <v>42560411.1372024</v>
      </c>
      <c r="G20" s="0" t="n">
        <f aca="false">(L_I2!AQ10-L_S1!AQ10)*C20</f>
        <v>41979190.7375997</v>
      </c>
      <c r="H20" s="0" t="n">
        <f aca="false">(L_I2!AS10-L_S1!AS10)*C20</f>
        <v>42690489.1315829</v>
      </c>
      <c r="I20" s="0" t="n">
        <f aca="false">I19+E20</f>
        <v>350876926.036553</v>
      </c>
      <c r="J20" s="0" t="n">
        <f aca="false">J19+F20</f>
        <v>358915974.566819</v>
      </c>
      <c r="K20" s="0" t="n">
        <f aca="false">K19+G20</f>
        <v>357113305.16602</v>
      </c>
      <c r="L20" s="0" t="n">
        <f aca="false">MAX(L19,J20)</f>
        <v>358915974.566819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350876926.036553</v>
      </c>
      <c r="P20" s="0" t="n">
        <f aca="false">(L_I2!V10-L_S1!V10)*D20</f>
        <v>124.570135376855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(L_I2!AO11-L_S1!AO11)*C21</f>
        <v>39970771.7899262</v>
      </c>
      <c r="F21" s="0" t="n">
        <f aca="false">(L_I2!AP11-L_S1!AP11)*C21</f>
        <v>39944077.8870909</v>
      </c>
      <c r="G21" s="0" t="n">
        <f aca="false">(L_I2!AQ11-L_S1!AQ11)*C21</f>
        <v>39176378.2554803</v>
      </c>
      <c r="H21" s="0" t="n">
        <f aca="false">(L_I2!AS11-L_S1!AS11)*C21</f>
        <v>40542809.6867205</v>
      </c>
      <c r="I21" s="0" t="n">
        <f aca="false">I20+E21</f>
        <v>390847697.826479</v>
      </c>
      <c r="J21" s="0" t="n">
        <f aca="false">J20+F21</f>
        <v>398860052.45391</v>
      </c>
      <c r="K21" s="0" t="n">
        <f aca="false">K20+G21</f>
        <v>396289683.4215</v>
      </c>
      <c r="L21" s="0" t="n">
        <f aca="false">MAX(L20,J21)</f>
        <v>398860052.45391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390847697.826479</v>
      </c>
      <c r="P21" s="0" t="n">
        <f aca="false">(L_I2!V11-L_S1!V11)*D21</f>
        <v>139.570731093873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(L_I2!AO12-L_S1!AO12)*C22</f>
        <v>37522339.5470942</v>
      </c>
      <c r="F22" s="0" t="n">
        <f aca="false">(L_I2!AP12-L_S1!AP12)*C22</f>
        <v>37048795.5625293</v>
      </c>
      <c r="G22" s="0" t="n">
        <f aca="false">(L_I2!AQ12-L_S1!AQ12)*C22</f>
        <v>36084597.5573356</v>
      </c>
      <c r="H22" s="0" t="n">
        <f aca="false">(L_I2!AS12-L_S1!AS12)*C22</f>
        <v>38506250.6209017</v>
      </c>
      <c r="I22" s="0" t="n">
        <f aca="false">I21+E22</f>
        <v>428370037.373573</v>
      </c>
      <c r="J22" s="0" t="n">
        <f aca="false">J21+F22</f>
        <v>435908848.016439</v>
      </c>
      <c r="K22" s="0" t="n">
        <f aca="false">K21+G22</f>
        <v>432374280.978835</v>
      </c>
      <c r="L22" s="0" t="n">
        <f aca="false">MAX(L21,J22)</f>
        <v>435908848.016439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428370037.373573</v>
      </c>
      <c r="P22" s="0" t="n">
        <f aca="false">(L_I2!V12-L_S1!V12)*D22</f>
        <v>148.452118948262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(L_I2!AO13-L_S1!AO13)*C23</f>
        <v>-676351.944848566</v>
      </c>
      <c r="F23" s="0" t="n">
        <f aca="false">(L_I2!AP13-L_S1!AP13)*C23</f>
        <v>-2344841.55573685</v>
      </c>
      <c r="G23" s="0" t="n">
        <f aca="false">(L_I2!AQ13-L_S1!AQ13)*C23</f>
        <v>-3526681.46489175</v>
      </c>
      <c r="H23" s="0" t="n">
        <f aca="false">(L_I2!AS13-L_S1!AS13)*C23</f>
        <v>0</v>
      </c>
      <c r="I23" s="0" t="n">
        <f aca="false">I22+E23</f>
        <v>427693685.428725</v>
      </c>
      <c r="J23" s="0" t="n">
        <f aca="false">J22+F23</f>
        <v>433564006.460703</v>
      </c>
      <c r="K23" s="0" t="n">
        <f aca="false">K22+G23</f>
        <v>428847599.513944</v>
      </c>
      <c r="L23" s="0" t="n">
        <f aca="false">MAX(L22,J23)</f>
        <v>435908848.016439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428370037.373573</v>
      </c>
      <c r="P23" s="0" t="n">
        <f aca="false">(L_I2!V13-L_S1!V13)*D23</f>
        <v>151.577476153357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(L_I2!AO14-L_S1!AO14)*C24</f>
        <v>-931495.760796006</v>
      </c>
      <c r="F24" s="0" t="n">
        <f aca="false">(L_I2!AP14-L_S1!AP14)*C24</f>
        <v>-2885889.04072877</v>
      </c>
      <c r="G24" s="0" t="n">
        <f aca="false">(L_I2!AQ14-L_S1!AQ14)*C24</f>
        <v>-4311533.16799434</v>
      </c>
      <c r="H24" s="0" t="n">
        <f aca="false">(L_I2!AS14-L_S1!AS14)*C24</f>
        <v>0</v>
      </c>
      <c r="I24" s="0" t="n">
        <f aca="false">I23+E24</f>
        <v>426762189.667929</v>
      </c>
      <c r="J24" s="0" t="n">
        <f aca="false">J23+F24</f>
        <v>430678117.419974</v>
      </c>
      <c r="K24" s="0" t="n">
        <f aca="false">K23+G24</f>
        <v>424536066.345949</v>
      </c>
      <c r="L24" s="0" t="n">
        <f aca="false">MAX(L23,J24)</f>
        <v>435908848.016439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428370037.373573</v>
      </c>
      <c r="P24" s="0" t="n">
        <f aca="false">(L_I2!V14-L_S1!V14)*D24</f>
        <v>154.581973402994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(L_I2!AO15-L_S1!AO15)*C25</f>
        <v>-1130789.96682181</v>
      </c>
      <c r="F25" s="0" t="n">
        <f aca="false">(L_I2!AP15-L_S1!AP15)*C25</f>
        <v>-2520599.48110357</v>
      </c>
      <c r="G25" s="0" t="n">
        <f aca="false">(L_I2!AQ15-L_S1!AQ15)*C25</f>
        <v>-3557514.79322905</v>
      </c>
      <c r="H25" s="0" t="n">
        <f aca="false">(L_I2!AS15-L_S1!AS15)*C25</f>
        <v>0</v>
      </c>
      <c r="I25" s="0" t="n">
        <f aca="false">I24+E25</f>
        <v>425631399.701107</v>
      </c>
      <c r="J25" s="0" t="n">
        <f aca="false">J24+F25</f>
        <v>428157517.93887</v>
      </c>
      <c r="K25" s="0" t="n">
        <f aca="false">K24+G25</f>
        <v>420978551.55272</v>
      </c>
      <c r="L25" s="0" t="n">
        <f aca="false">MAX(L24,J25)</f>
        <v>435908848.016439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428370037.373573</v>
      </c>
      <c r="P25" s="0" t="n">
        <f aca="false">(L_I2!V15-L_S1!V15)*D25</f>
        <v>157.313831402905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(L_I2!AO16-L_S1!AO16)*C26</f>
        <v>-1283108.65943815</v>
      </c>
      <c r="F26" s="0" t="n">
        <f aca="false">(L_I2!AP16-L_S1!AP16)*C26</f>
        <v>-2051417.29982183</v>
      </c>
      <c r="G26" s="0" t="n">
        <f aca="false">(L_I2!AQ16-L_S1!AQ16)*C26</f>
        <v>-2646279.50985124</v>
      </c>
      <c r="H26" s="0" t="n">
        <f aca="false">(L_I2!AS16-L_S1!AS16)*C26</f>
        <v>0</v>
      </c>
      <c r="I26" s="0" t="n">
        <f aca="false">I25+E26</f>
        <v>424348291.041669</v>
      </c>
      <c r="J26" s="0" t="n">
        <f aca="false">J25+F26</f>
        <v>426106100.639048</v>
      </c>
      <c r="K26" s="0" t="n">
        <f aca="false">K25+G26</f>
        <v>418332272.042869</v>
      </c>
      <c r="L26" s="0" t="n">
        <f aca="false">MAX(L25,J26)</f>
        <v>435908848.016439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428370037.373573</v>
      </c>
      <c r="P26" s="0" t="n">
        <f aca="false">(L_I2!V16-L_S1!V16)*D26</f>
        <v>159.65729877574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(L_I2!AO17-L_S1!AO17)*C27</f>
        <v>-1396225.60420757</v>
      </c>
      <c r="F27" s="0" t="n">
        <f aca="false">(L_I2!AP17-L_S1!AP17)*C27</f>
        <v>-2255687.58179233</v>
      </c>
      <c r="G27" s="0" t="n">
        <f aca="false">(L_I2!AQ17-L_S1!AQ17)*C27</f>
        <v>-2933647.07334849</v>
      </c>
      <c r="H27" s="0" t="n">
        <f aca="false">(L_I2!AS17-L_S1!AS17)*C27</f>
        <v>0</v>
      </c>
      <c r="I27" s="0" t="n">
        <f aca="false">I26+E27</f>
        <v>422952065.437461</v>
      </c>
      <c r="J27" s="0" t="n">
        <f aca="false">J26+F27</f>
        <v>423850413.057256</v>
      </c>
      <c r="K27" s="0" t="n">
        <f aca="false">K26+G27</f>
        <v>415398624.969521</v>
      </c>
      <c r="L27" s="0" t="n">
        <f aca="false">MAX(L26,J27)</f>
        <v>435908848.016439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428370037.373573</v>
      </c>
      <c r="P27" s="0" t="n">
        <f aca="false">(L_I2!V17-L_S1!V17)*D27</f>
        <v>161.537582521551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(L_I2!AO18-L_S1!AO18)*C28</f>
        <v>-1475793.34334967</v>
      </c>
      <c r="F28" s="0" t="n">
        <f aca="false">(L_I2!AP18-L_S1!AP18)*C28</f>
        <v>-2424830.29296327</v>
      </c>
      <c r="G28" s="0" t="n">
        <f aca="false">(L_I2!AQ18-L_S1!AQ18)*C28</f>
        <v>-3185721.79458665</v>
      </c>
      <c r="H28" s="0" t="n">
        <f aca="false">(L_I2!AS18-L_S1!AS18)*C28</f>
        <v>0</v>
      </c>
      <c r="I28" s="0" t="n">
        <f aca="false">I27+E28</f>
        <v>421476272.094112</v>
      </c>
      <c r="J28" s="0" t="n">
        <f aca="false">J27+F28</f>
        <v>421425582.764293</v>
      </c>
      <c r="K28" s="0" t="n">
        <f aca="false">K27+G28</f>
        <v>412212903.174934</v>
      </c>
      <c r="L28" s="0" t="n">
        <f aca="false">MAX(L27,J28)</f>
        <v>435908848.016439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428370037.373573</v>
      </c>
      <c r="P28" s="0" t="n">
        <f aca="false">(L_I2!V18-L_S1!V18)*D28</f>
        <v>162.914131666214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(L_I2!AO19-L_S1!AO19)*C29</f>
        <v>-1526258.35511122</v>
      </c>
      <c r="F29" s="0" t="n">
        <f aca="false">(L_I2!AP19-L_S1!AP19)*C29</f>
        <v>-2562852.86870747</v>
      </c>
      <c r="G29" s="0" t="n">
        <f aca="false">(L_I2!AQ19-L_S1!AQ19)*C29</f>
        <v>-3405861.27169401</v>
      </c>
      <c r="H29" s="0" t="n">
        <f aca="false">(L_I2!AS19-L_S1!AS19)*C29</f>
        <v>0</v>
      </c>
      <c r="I29" s="0" t="n">
        <f aca="false">I28+E29</f>
        <v>419950013.739</v>
      </c>
      <c r="J29" s="0" t="n">
        <f aca="false">J28+F29</f>
        <v>418862729.895585</v>
      </c>
      <c r="K29" s="0" t="n">
        <f aca="false">K28+G29</f>
        <v>408807041.90324</v>
      </c>
      <c r="L29" s="0" t="n">
        <f aca="false">MAX(L28,J29)</f>
        <v>435908848.016439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428370037.373573</v>
      </c>
      <c r="P29" s="0" t="n">
        <f aca="false">(L_I2!V19-L_S1!V19)*D29</f>
        <v>163.715274217597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(L_I2!AO20-L_S1!AO20)*C30</f>
        <v>-1552744.81006604</v>
      </c>
      <c r="F30" s="0" t="n">
        <f aca="false">(L_I2!AP20-L_S1!AP20)*C30</f>
        <v>-2674400.38046897</v>
      </c>
      <c r="G30" s="0" t="n">
        <f aca="false">(L_I2!AQ20-L_S1!AQ20)*C30</f>
        <v>-3598119.68484602</v>
      </c>
      <c r="H30" s="0" t="n">
        <f aca="false">(L_I2!AS20-L_S1!AS20)*C30</f>
        <v>0</v>
      </c>
      <c r="I30" s="0" t="n">
        <f aca="false">I29+E30</f>
        <v>418397268.928934</v>
      </c>
      <c r="J30" s="0" t="n">
        <f aca="false">J29+F30</f>
        <v>416188329.515116</v>
      </c>
      <c r="K30" s="0" t="n">
        <f aca="false">K29+G30</f>
        <v>405208922.218394</v>
      </c>
      <c r="L30" s="0" t="n">
        <f aca="false">MAX(L29,J30)</f>
        <v>435908848.016439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428370037.373573</v>
      </c>
      <c r="P30" s="0" t="n">
        <f aca="false">(L_I2!V20-L_S1!V20)*D30</f>
        <v>164.037449442863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(L_I2!AO21-L_S1!AO21)*C31</f>
        <v>-1558987.15218625</v>
      </c>
      <c r="F31" s="0" t="n">
        <f aca="false">(L_I2!AP21-L_S1!AP21)*C31</f>
        <v>-2762735.65334527</v>
      </c>
      <c r="G31" s="0" t="n">
        <f aca="false">(L_I2!AQ21-L_S1!AQ21)*C31</f>
        <v>-3765193.55720688</v>
      </c>
      <c r="H31" s="0" t="n">
        <f aca="false">(L_I2!AS21-L_S1!AS21)*C31</f>
        <v>0</v>
      </c>
      <c r="I31" s="0" t="n">
        <f aca="false">I30+E31</f>
        <v>416838281.776748</v>
      </c>
      <c r="J31" s="0" t="n">
        <f aca="false">J30+F31</f>
        <v>413425593.861771</v>
      </c>
      <c r="K31" s="0" t="n">
        <f aca="false">K30+G31</f>
        <v>401443728.661187</v>
      </c>
      <c r="L31" s="0" t="n">
        <f aca="false">MAX(L30,J31)</f>
        <v>435908848.016439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428370037.373573</v>
      </c>
      <c r="P31" s="0" t="n">
        <f aca="false">(L_I2!V21-L_S1!V21)*D31</f>
        <v>163.961115216892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(L_I2!AO22-L_S1!AO22)*C32</f>
        <v>-1548570.65321044</v>
      </c>
      <c r="F32" s="0" t="n">
        <f aca="false">(L_I2!AP22-L_S1!AP22)*C32</f>
        <v>-2831044.61388645</v>
      </c>
      <c r="G32" s="0" t="n">
        <f aca="false">(L_I2!AQ22-L_S1!AQ22)*C32</f>
        <v>-3909838.91011238</v>
      </c>
      <c r="H32" s="0" t="n">
        <f aca="false">(L_I2!AS22-L_S1!AS22)*C32</f>
        <v>0</v>
      </c>
      <c r="I32" s="0" t="n">
        <f aca="false">I31+E32</f>
        <v>415289711.123538</v>
      </c>
      <c r="J32" s="0" t="n">
        <f aca="false">J31+F32</f>
        <v>410594549.247884</v>
      </c>
      <c r="K32" s="0" t="n">
        <f aca="false">K31+G32</f>
        <v>397533889.751075</v>
      </c>
      <c r="L32" s="0" t="n">
        <f aca="false">MAX(L31,J32)</f>
        <v>435908848.016439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428370037.373573</v>
      </c>
      <c r="P32" s="0" t="n">
        <f aca="false">(L_I2!V22-L_S1!V22)*D32</f>
        <v>163.44020009918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(L_I2!AO23-L_S1!AO23)*C33</f>
        <v>-0</v>
      </c>
      <c r="F33" s="0" t="n">
        <f aca="false">(L_I2!AP23-L_S1!AP23)*C33</f>
        <v>-0</v>
      </c>
      <c r="G33" s="0" t="n">
        <f aca="false">(L_I2!AQ23-L_S1!AQ23)*C33</f>
        <v>-0</v>
      </c>
      <c r="H33" s="0" t="n">
        <f aca="false">(L_I2!AS23-L_S1!AS23)*C33</f>
        <v>0</v>
      </c>
      <c r="I33" s="0" t="n">
        <f aca="false">I32+E33</f>
        <v>415289711.123538</v>
      </c>
      <c r="J33" s="0" t="n">
        <f aca="false">J32+F33</f>
        <v>410594549.247884</v>
      </c>
      <c r="K33" s="0" t="n">
        <f aca="false">K32+G33</f>
        <v>397533889.751075</v>
      </c>
      <c r="L33" s="0" t="n">
        <f aca="false">MAX(L32,J33)</f>
        <v>435908848.016439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428370037.373573</v>
      </c>
      <c r="P33" s="0" t="n">
        <f aca="false">(L_I2!V23-L_S1!V23)*D33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(L_I2!AO24-L_S1!AO24)*C34</f>
        <v>-0</v>
      </c>
      <c r="F34" s="0" t="n">
        <f aca="false">(L_I2!AP24-L_S1!AP24)*C34</f>
        <v>-0</v>
      </c>
      <c r="G34" s="0" t="n">
        <f aca="false">(L_I2!AQ24-L_S1!AQ24)*C34</f>
        <v>-0</v>
      </c>
      <c r="H34" s="0" t="n">
        <f aca="false">(L_I2!AS24-L_S1!AS24)*C34</f>
        <v>0</v>
      </c>
      <c r="I34" s="0" t="n">
        <f aca="false">I33+E34</f>
        <v>415289711.123538</v>
      </c>
      <c r="J34" s="0" t="n">
        <f aca="false">J33+F34</f>
        <v>410594549.247884</v>
      </c>
      <c r="K34" s="0" t="n">
        <f aca="false">K33+G34</f>
        <v>397533889.751075</v>
      </c>
      <c r="L34" s="0" t="n">
        <f aca="false">MAX(L33,J34)</f>
        <v>435908848.016439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428370037.373573</v>
      </c>
      <c r="P34" s="0" t="n">
        <f aca="false">(L_I2!V24-L_S1!V24)*D34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(L_I2!AO25-L_S1!AO25)*C35</f>
        <v>-0</v>
      </c>
      <c r="F35" s="0" t="n">
        <f aca="false">(L_I2!AP25-L_S1!AP25)*C35</f>
        <v>-0</v>
      </c>
      <c r="G35" s="0" t="n">
        <f aca="false">(L_I2!AQ25-L_S1!AQ25)*C35</f>
        <v>-0</v>
      </c>
      <c r="H35" s="0" t="n">
        <f aca="false">(L_I2!AS25-L_S1!AS25)*C35</f>
        <v>0</v>
      </c>
      <c r="I35" s="0" t="n">
        <f aca="false">I34+E35</f>
        <v>415289711.123538</v>
      </c>
      <c r="J35" s="0" t="n">
        <f aca="false">J34+F35</f>
        <v>410594549.247884</v>
      </c>
      <c r="K35" s="0" t="n">
        <f aca="false">K34+G35</f>
        <v>397533889.751075</v>
      </c>
      <c r="L35" s="0" t="n">
        <f aca="false">MAX(L34,J35)</f>
        <v>435908848.016439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428370037.373573</v>
      </c>
      <c r="P35" s="0" t="n">
        <f aca="false">(L_I2!V25-L_S1!V25)*D35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(L_I2!AO26-L_S1!AO26)*C36</f>
        <v>-0</v>
      </c>
      <c r="F36" s="0" t="n">
        <f aca="false">(L_I2!AP26-L_S1!AP26)*C36</f>
        <v>-0</v>
      </c>
      <c r="G36" s="0" t="n">
        <f aca="false">(L_I2!AQ26-L_S1!AQ26)*C36</f>
        <v>-0</v>
      </c>
      <c r="H36" s="0" t="n">
        <f aca="false">(L_I2!AS26-L_S1!AS26)*C36</f>
        <v>0</v>
      </c>
      <c r="I36" s="0" t="n">
        <f aca="false">I35+E36</f>
        <v>415289711.123538</v>
      </c>
      <c r="J36" s="0" t="n">
        <f aca="false">J35+F36</f>
        <v>410594549.247884</v>
      </c>
      <c r="K36" s="0" t="n">
        <f aca="false">K35+G36</f>
        <v>397533889.751075</v>
      </c>
      <c r="L36" s="0" t="n">
        <f aca="false">MAX(L35,J36)</f>
        <v>435908848.016439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428370037.373573</v>
      </c>
      <c r="P36" s="0" t="n">
        <f aca="false">(L_I2!V26-L_S1!V26)*D36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(L_I2!AO27-L_S1!AO27)*C37</f>
        <v>-0</v>
      </c>
      <c r="F37" s="0" t="n">
        <f aca="false">(L_I2!AP27-L_S1!AP27)*C37</f>
        <v>-0</v>
      </c>
      <c r="G37" s="0" t="n">
        <f aca="false">(L_I2!AQ27-L_S1!AQ27)*C37</f>
        <v>-0</v>
      </c>
      <c r="H37" s="0" t="n">
        <f aca="false">(L_I2!AS27-L_S1!AS27)*C37</f>
        <v>0</v>
      </c>
      <c r="I37" s="0" t="n">
        <f aca="false">I36+E37</f>
        <v>415289711.123538</v>
      </c>
      <c r="J37" s="0" t="n">
        <f aca="false">J36+F37</f>
        <v>410594549.247884</v>
      </c>
      <c r="K37" s="0" t="n">
        <f aca="false">K36+G37</f>
        <v>397533889.751075</v>
      </c>
      <c r="L37" s="0" t="n">
        <f aca="false">MAX(L36,J37)</f>
        <v>435908848.016439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428370037.373573</v>
      </c>
      <c r="P37" s="0" t="n">
        <f aca="false">(L_I2!V27-L_S1!V27)*D37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(L_I2!AO28-L_S1!AO28)*C38</f>
        <v>-0</v>
      </c>
      <c r="F38" s="0" t="n">
        <f aca="false">(L_I2!AP28-L_S1!AP28)*C38</f>
        <v>-0</v>
      </c>
      <c r="G38" s="0" t="n">
        <f aca="false">(L_I2!AQ28-L_S1!AQ28)*C38</f>
        <v>-0</v>
      </c>
      <c r="H38" s="0" t="n">
        <f aca="false">(L_I2!AS28-L_S1!AS28)*C38</f>
        <v>0</v>
      </c>
      <c r="I38" s="0" t="n">
        <f aca="false">I37+E38</f>
        <v>415289711.123538</v>
      </c>
      <c r="J38" s="0" t="n">
        <f aca="false">J37+F38</f>
        <v>410594549.247884</v>
      </c>
      <c r="K38" s="0" t="n">
        <f aca="false">K37+G38</f>
        <v>397533889.751075</v>
      </c>
      <c r="L38" s="0" t="n">
        <f aca="false">MAX(L37,J38)</f>
        <v>435908848.016439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428370037.373573</v>
      </c>
      <c r="P38" s="0" t="n">
        <f aca="false">(L_I2!V28-L_S1!V28)*D38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(L_I2!AO29-L_S1!AO29)*C39</f>
        <v>-0</v>
      </c>
      <c r="F39" s="0" t="n">
        <f aca="false">(L_I2!AP29-L_S1!AP29)*C39</f>
        <v>-0</v>
      </c>
      <c r="G39" s="0" t="n">
        <f aca="false">(L_I2!AQ29-L_S1!AQ29)*C39</f>
        <v>-0</v>
      </c>
      <c r="H39" s="0" t="n">
        <f aca="false">(L_I2!AS29-L_S1!AS29)*C39</f>
        <v>0</v>
      </c>
      <c r="I39" s="0" t="n">
        <f aca="false">I38+E39</f>
        <v>415289711.123538</v>
      </c>
      <c r="J39" s="0" t="n">
        <f aca="false">J38+F39</f>
        <v>410594549.247884</v>
      </c>
      <c r="K39" s="0" t="n">
        <f aca="false">K38+G39</f>
        <v>397533889.751075</v>
      </c>
      <c r="L39" s="0" t="n">
        <f aca="false">MAX(L38,J39)</f>
        <v>435908848.016439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428370037.373573</v>
      </c>
      <c r="P39" s="0" t="n">
        <f aca="false">(L_I2!V29-L_S1!V29)*D39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(L_I2!AO30-L_S1!AO30)*C40</f>
        <v>-0</v>
      </c>
      <c r="F40" s="0" t="n">
        <f aca="false">(L_I2!AP30-L_S1!AP30)*C40</f>
        <v>-0</v>
      </c>
      <c r="G40" s="0" t="n">
        <f aca="false">(L_I2!AQ30-L_S1!AQ30)*C40</f>
        <v>-0</v>
      </c>
      <c r="H40" s="0" t="n">
        <f aca="false">(L_I2!AS30-L_S1!AS30)*C40</f>
        <v>0</v>
      </c>
      <c r="I40" s="0" t="n">
        <f aca="false">I39+E40</f>
        <v>415289711.123538</v>
      </c>
      <c r="J40" s="0" t="n">
        <f aca="false">J39+F40</f>
        <v>410594549.247884</v>
      </c>
      <c r="K40" s="0" t="n">
        <f aca="false">K39+G40</f>
        <v>397533889.751075</v>
      </c>
      <c r="L40" s="0" t="n">
        <f aca="false">MAX(L39,J40)</f>
        <v>435908848.016439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428370037.373573</v>
      </c>
      <c r="P40" s="0" t="n">
        <f aca="false">(L_I2!V30-L_S1!V30)*D40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(L_I2!AO31-L_S1!AO31)*C41</f>
        <v>-0</v>
      </c>
      <c r="F41" s="0" t="n">
        <f aca="false">(L_I2!AP31-L_S1!AP31)*C41</f>
        <v>-0</v>
      </c>
      <c r="G41" s="0" t="n">
        <f aca="false">(L_I2!AQ31-L_S1!AQ31)*C41</f>
        <v>-0</v>
      </c>
      <c r="H41" s="0" t="n">
        <f aca="false">(L_I2!AS31-L_S1!AS31)*C41</f>
        <v>0</v>
      </c>
      <c r="I41" s="0" t="n">
        <f aca="false">I40+E41</f>
        <v>415289711.123538</v>
      </c>
      <c r="J41" s="0" t="n">
        <f aca="false">J40+F41</f>
        <v>410594549.247884</v>
      </c>
      <c r="K41" s="0" t="n">
        <f aca="false">K40+G41</f>
        <v>397533889.751075</v>
      </c>
      <c r="L41" s="0" t="n">
        <f aca="false">MAX(L40,J41)</f>
        <v>435908848.016439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428370037.373573</v>
      </c>
      <c r="P41" s="0" t="n">
        <f aca="false">(L_I2!V31-L_S1!V31)*D41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(L_I2!AO32-L_S1!AO32)*C42</f>
        <v>-0</v>
      </c>
      <c r="F42" s="0" t="n">
        <f aca="false">(L_I2!AP32-L_S1!AP32)*C42</f>
        <v>-0</v>
      </c>
      <c r="G42" s="0" t="n">
        <f aca="false">(L_I2!AQ32-L_S1!AQ32)*C42</f>
        <v>-0</v>
      </c>
      <c r="H42" s="0" t="n">
        <f aca="false">(L_I2!AS32-L_S1!AS32)*C42</f>
        <v>0</v>
      </c>
      <c r="I42" s="0" t="n">
        <f aca="false">I41+E42</f>
        <v>415289711.123538</v>
      </c>
      <c r="J42" s="0" t="n">
        <f aca="false">J41+F42</f>
        <v>410594549.247884</v>
      </c>
      <c r="K42" s="0" t="n">
        <f aca="false">K41+G42</f>
        <v>397533889.751075</v>
      </c>
      <c r="L42" s="0" t="n">
        <f aca="false">MAX(L41,J42)</f>
        <v>435908848.016439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428370037.373573</v>
      </c>
      <c r="P42" s="0" t="n">
        <f aca="false">(L_I2!V32-L_S1!V32)*D42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(L_I2!AO33-L_S1!AO33)*C43</f>
        <v>-0</v>
      </c>
      <c r="F43" s="0" t="n">
        <f aca="false">(L_I2!AP33-L_S1!AP33)*C43</f>
        <v>-0</v>
      </c>
      <c r="G43" s="0" t="n">
        <f aca="false">(L_I2!AQ33-L_S1!AQ33)*C43</f>
        <v>-0</v>
      </c>
      <c r="H43" s="0" t="n">
        <f aca="false">(L_I2!AS33-L_S1!AS33)*C43</f>
        <v>0</v>
      </c>
      <c r="I43" s="0" t="n">
        <f aca="false">I42+E43</f>
        <v>415289711.123538</v>
      </c>
      <c r="J43" s="0" t="n">
        <f aca="false">J42+F43</f>
        <v>410594549.247884</v>
      </c>
      <c r="K43" s="0" t="n">
        <f aca="false">K42+G43</f>
        <v>397533889.751075</v>
      </c>
      <c r="L43" s="0" t="n">
        <f aca="false">MAX(L42,J43)</f>
        <v>435908848.016439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428370037.373573</v>
      </c>
      <c r="P43" s="0" t="n">
        <f aca="false">(L_I2!V33-L_S1!V33)*D43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(L_I2!AO34-L_S1!AO34)*C44</f>
        <v>-0</v>
      </c>
      <c r="F44" s="0" t="n">
        <f aca="false">(L_I2!AP34-L_S1!AP34)*C44</f>
        <v>-0</v>
      </c>
      <c r="G44" s="0" t="n">
        <f aca="false">(L_I2!AQ34-L_S1!AQ34)*C44</f>
        <v>-0</v>
      </c>
      <c r="H44" s="0" t="n">
        <f aca="false">(L_I2!AS34-L_S1!AS34)*C44</f>
        <v>0</v>
      </c>
      <c r="I44" s="0" t="n">
        <f aca="false">I43+E44</f>
        <v>415289711.123538</v>
      </c>
      <c r="J44" s="0" t="n">
        <f aca="false">J43+F44</f>
        <v>410594549.247884</v>
      </c>
      <c r="K44" s="0" t="n">
        <f aca="false">K43+G44</f>
        <v>397533889.751075</v>
      </c>
      <c r="L44" s="0" t="n">
        <f aca="false">MAX(L43,J44)</f>
        <v>435908848.016439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428370037.373573</v>
      </c>
      <c r="P44" s="0" t="n">
        <f aca="false">(L_I2!V34-L_S1!V34)*D44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(L_I2!AO35-L_S1!AO35)*C45</f>
        <v>-0</v>
      </c>
      <c r="F45" s="0" t="n">
        <f aca="false">(L_I2!AP35-L_S1!AP35)*C45</f>
        <v>-0</v>
      </c>
      <c r="G45" s="0" t="n">
        <f aca="false">(L_I2!AQ35-L_S1!AQ35)*C45</f>
        <v>-0</v>
      </c>
      <c r="H45" s="0" t="n">
        <f aca="false">(L_I2!AS35-L_S1!AS35)*C45</f>
        <v>0</v>
      </c>
      <c r="I45" s="0" t="n">
        <f aca="false">I44+E45</f>
        <v>415289711.123538</v>
      </c>
      <c r="J45" s="0" t="n">
        <f aca="false">J44+F45</f>
        <v>410594549.247884</v>
      </c>
      <c r="K45" s="0" t="n">
        <f aca="false">K44+G45</f>
        <v>397533889.751075</v>
      </c>
      <c r="L45" s="0" t="n">
        <f aca="false">MAX(L44,J45)</f>
        <v>435908848.016439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428370037.373573</v>
      </c>
      <c r="P45" s="0" t="n">
        <f aca="false">(L_I2!V35-L_S1!V35)*D45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(L_I2!AO36-L_S1!AO36)*C46</f>
        <v>-0</v>
      </c>
      <c r="F46" s="0" t="n">
        <f aca="false">(L_I2!AP36-L_S1!AP36)*C46</f>
        <v>-0</v>
      </c>
      <c r="G46" s="0" t="n">
        <f aca="false">(L_I2!AQ36-L_S1!AQ36)*C46</f>
        <v>-0</v>
      </c>
      <c r="H46" s="0" t="n">
        <f aca="false">(L_I2!AS36-L_S1!AS36)*C46</f>
        <v>0</v>
      </c>
      <c r="I46" s="0" t="n">
        <f aca="false">I45+E46</f>
        <v>415289711.123538</v>
      </c>
      <c r="J46" s="0" t="n">
        <f aca="false">J45+F46</f>
        <v>410594549.247884</v>
      </c>
      <c r="K46" s="0" t="n">
        <f aca="false">K45+G46</f>
        <v>397533889.751075</v>
      </c>
      <c r="L46" s="0" t="n">
        <f aca="false">MAX(L45,J46)</f>
        <v>435908848.016439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428370037.373573</v>
      </c>
      <c r="P46" s="0" t="n">
        <f aca="false">(L_I2!V36-L_S1!V36)*D46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(L_I2!AO37-L_S1!AO37)*C47</f>
        <v>-0</v>
      </c>
      <c r="F47" s="0" t="n">
        <f aca="false">(L_I2!AP37-L_S1!AP37)*C47</f>
        <v>-0</v>
      </c>
      <c r="G47" s="0" t="n">
        <f aca="false">(L_I2!AQ37-L_S1!AQ37)*C47</f>
        <v>-0</v>
      </c>
      <c r="H47" s="0" t="n">
        <f aca="false">(L_I2!AS37-L_S1!AS37)*C47</f>
        <v>0</v>
      </c>
      <c r="I47" s="0" t="n">
        <f aca="false">I46+E47</f>
        <v>415289711.123538</v>
      </c>
      <c r="J47" s="0" t="n">
        <f aca="false">J46+F47</f>
        <v>410594549.247884</v>
      </c>
      <c r="K47" s="0" t="n">
        <f aca="false">K46+G47</f>
        <v>397533889.751075</v>
      </c>
      <c r="L47" s="0" t="n">
        <f aca="false">MAX(L46,J47)</f>
        <v>435908848.016439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428370037.373573</v>
      </c>
      <c r="P47" s="0" t="n">
        <f aca="false">(L_I2!V37-L_S1!V37)*D47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(L_I2!AO38-L_S1!AO38)*C48</f>
        <v>-0</v>
      </c>
      <c r="F48" s="0" t="n">
        <f aca="false">(L_I2!AP38-L_S1!AP38)*C48</f>
        <v>-0</v>
      </c>
      <c r="G48" s="0" t="n">
        <f aca="false">(L_I2!AQ38-L_S1!AQ38)*C48</f>
        <v>-0</v>
      </c>
      <c r="H48" s="0" t="n">
        <f aca="false">(L_I2!AS38-L_S1!AS38)*C48</f>
        <v>0</v>
      </c>
      <c r="I48" s="0" t="n">
        <f aca="false">I47+E48</f>
        <v>415289711.123538</v>
      </c>
      <c r="J48" s="0" t="n">
        <f aca="false">J47+F48</f>
        <v>410594549.247884</v>
      </c>
      <c r="K48" s="0" t="n">
        <f aca="false">K47+G48</f>
        <v>397533889.751075</v>
      </c>
      <c r="L48" s="0" t="n">
        <f aca="false">MAX(L47,J48)</f>
        <v>435908848.016439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428370037.373573</v>
      </c>
      <c r="P48" s="0" t="n">
        <f aca="false">(L_I2!V38-L_S1!V38)*D48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(L_I2!AO39-L_S1!AO39)*C49</f>
        <v>-0</v>
      </c>
      <c r="F49" s="0" t="n">
        <f aca="false">(L_I2!AP39-L_S1!AP39)*C49</f>
        <v>-0</v>
      </c>
      <c r="G49" s="0" t="n">
        <f aca="false">(L_I2!AQ39-L_S1!AQ39)*C49</f>
        <v>-0</v>
      </c>
      <c r="H49" s="0" t="n">
        <f aca="false">(L_I2!AS39-L_S1!AS39)*C49</f>
        <v>0</v>
      </c>
      <c r="I49" s="0" t="n">
        <f aca="false">I48+E49</f>
        <v>415289711.123538</v>
      </c>
      <c r="J49" s="0" t="n">
        <f aca="false">J48+F49</f>
        <v>410594549.247884</v>
      </c>
      <c r="K49" s="0" t="n">
        <f aca="false">K48+G49</f>
        <v>397533889.751075</v>
      </c>
      <c r="L49" s="0" t="n">
        <f aca="false">MAX(L48,J49)</f>
        <v>435908848.016439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428370037.373573</v>
      </c>
      <c r="P49" s="0" t="n">
        <f aca="false">(L_I2!V39-L_S1!V39)*D49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(L_I2!AO40-L_S1!AO40)*C50</f>
        <v>-0</v>
      </c>
      <c r="F50" s="0" t="n">
        <f aca="false">(L_I2!AP40-L_S1!AP40)*C50</f>
        <v>-0</v>
      </c>
      <c r="G50" s="0" t="n">
        <f aca="false">(L_I2!AQ40-L_S1!AQ40)*C50</f>
        <v>-0</v>
      </c>
      <c r="H50" s="0" t="n">
        <f aca="false">(L_I2!AS40-L_S1!AS40)*C50</f>
        <v>0</v>
      </c>
      <c r="I50" s="0" t="n">
        <f aca="false">I49+E50</f>
        <v>415289711.123538</v>
      </c>
      <c r="J50" s="0" t="n">
        <f aca="false">J49+F50</f>
        <v>410594549.247884</v>
      </c>
      <c r="K50" s="0" t="n">
        <f aca="false">K49+G50</f>
        <v>397533889.751075</v>
      </c>
      <c r="L50" s="0" t="n">
        <f aca="false">MAX(L49,J50)</f>
        <v>435908848.016439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428370037.373573</v>
      </c>
      <c r="P50" s="0" t="n">
        <f aca="false">(L_I2!V40-L_S1!V40)*D50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(L_I2!AO41-L_S1!AO41)*C51</f>
        <v>-0</v>
      </c>
      <c r="F51" s="0" t="n">
        <f aca="false">(L_I2!AP41-L_S1!AP41)*C51</f>
        <v>-0</v>
      </c>
      <c r="G51" s="0" t="n">
        <f aca="false">(L_I2!AQ41-L_S1!AQ41)*C51</f>
        <v>-0</v>
      </c>
      <c r="H51" s="0" t="n">
        <f aca="false">(L_I2!AS41-L_S1!AS41)*C51</f>
        <v>0</v>
      </c>
      <c r="I51" s="0" t="n">
        <f aca="false">I50+E51</f>
        <v>415289711.123538</v>
      </c>
      <c r="J51" s="0" t="n">
        <f aca="false">J50+F51</f>
        <v>410594549.247884</v>
      </c>
      <c r="K51" s="0" t="n">
        <f aca="false">K50+G51</f>
        <v>397533889.751075</v>
      </c>
      <c r="L51" s="0" t="n">
        <f aca="false">MAX(L50,J51)</f>
        <v>435908848.016439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428370037.373573</v>
      </c>
      <c r="P51" s="0" t="n">
        <f aca="false">(L_I2!V41-L_S1!V41)*D51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(L_I2!AO42-L_S1!AO42)*C52</f>
        <v>-0</v>
      </c>
      <c r="F52" s="0" t="n">
        <f aca="false">(L_I2!AP42-L_S1!AP42)*C52</f>
        <v>-0</v>
      </c>
      <c r="G52" s="0" t="n">
        <f aca="false">(L_I2!AQ42-L_S1!AQ42)*C52</f>
        <v>-0</v>
      </c>
      <c r="H52" s="0" t="n">
        <f aca="false">(L_I2!AS42-L_S1!AS42)*C52</f>
        <v>0</v>
      </c>
      <c r="I52" s="0" t="n">
        <f aca="false">I51+E52</f>
        <v>415289711.123538</v>
      </c>
      <c r="J52" s="0" t="n">
        <f aca="false">J51+F52</f>
        <v>410594549.247884</v>
      </c>
      <c r="K52" s="0" t="n">
        <f aca="false">K51+G52</f>
        <v>397533889.751075</v>
      </c>
      <c r="L52" s="0" t="n">
        <f aca="false">MAX(L51,J52)</f>
        <v>435908848.016439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428370037.373573</v>
      </c>
      <c r="P52" s="0" t="n">
        <f aca="false">(L_I2!V42-L_S1!V42)*D52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(L_I2!AO43-L_S1!AO43)*C53</f>
        <v>-0</v>
      </c>
      <c r="F53" s="0" t="n">
        <f aca="false">(L_I2!AP43-L_S1!AP43)*C53</f>
        <v>-0</v>
      </c>
      <c r="G53" s="0" t="n">
        <f aca="false">(L_I2!AQ43-L_S1!AQ43)*C53</f>
        <v>-0</v>
      </c>
      <c r="H53" s="0" t="n">
        <f aca="false">(L_I2!AS43-L_S1!AS43)*C53</f>
        <v>0</v>
      </c>
      <c r="I53" s="0" t="n">
        <f aca="false">I52+E53</f>
        <v>415289711.123538</v>
      </c>
      <c r="J53" s="0" t="n">
        <f aca="false">J52+F53</f>
        <v>410594549.247884</v>
      </c>
      <c r="K53" s="0" t="n">
        <f aca="false">K52+G53</f>
        <v>397533889.751075</v>
      </c>
      <c r="L53" s="0" t="n">
        <f aca="false">MAX(L52,J53)</f>
        <v>435908848.016439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428370037.373573</v>
      </c>
      <c r="P53" s="0" t="n">
        <f aca="false">(L_I2!V43-L_S1!V43)*D53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(L_I2!AO44-L_S1!AO44)*C54</f>
        <v>-0</v>
      </c>
      <c r="F54" s="0" t="n">
        <f aca="false">(L_I2!AP44-L_S1!AP44)*C54</f>
        <v>-0</v>
      </c>
      <c r="G54" s="0" t="n">
        <f aca="false">(L_I2!AQ44-L_S1!AQ44)*C54</f>
        <v>-0</v>
      </c>
      <c r="H54" s="0" t="n">
        <f aca="false">(L_I2!AS44-L_S1!AS44)*C54</f>
        <v>0</v>
      </c>
      <c r="I54" s="0" t="n">
        <f aca="false">I53+E54</f>
        <v>415289711.123538</v>
      </c>
      <c r="J54" s="0" t="n">
        <f aca="false">J53+F54</f>
        <v>410594549.247884</v>
      </c>
      <c r="K54" s="0" t="n">
        <f aca="false">K53+G54</f>
        <v>397533889.751075</v>
      </c>
      <c r="L54" s="0" t="n">
        <f aca="false">MAX(L53,J54)</f>
        <v>435908848.016439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428370037.373573</v>
      </c>
      <c r="P54" s="0" t="n">
        <f aca="false">(L_I2!V44-L_S1!V44)*D54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(L_I2!AO45-L_S1!AO45)*C55</f>
        <v>-0</v>
      </c>
      <c r="F55" s="0" t="n">
        <f aca="false">(L_I2!AP45-L_S1!AP45)*C55</f>
        <v>-0</v>
      </c>
      <c r="G55" s="0" t="n">
        <f aca="false">(L_I2!AQ45-L_S1!AQ45)*C55</f>
        <v>-0</v>
      </c>
      <c r="H55" s="0" t="n">
        <f aca="false">(L_I2!AS45-L_S1!AS45)*C55</f>
        <v>0</v>
      </c>
      <c r="I55" s="0" t="n">
        <f aca="false">I54+E55</f>
        <v>415289711.123538</v>
      </c>
      <c r="J55" s="0" t="n">
        <f aca="false">J54+F55</f>
        <v>410594549.247884</v>
      </c>
      <c r="K55" s="0" t="n">
        <f aca="false">K54+G55</f>
        <v>397533889.751075</v>
      </c>
      <c r="L55" s="0" t="n">
        <f aca="false">MAX(L54,J55)</f>
        <v>435908848.016439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428370037.373573</v>
      </c>
      <c r="P55" s="0" t="n">
        <f aca="false">(L_I2!V45-L_S1!V45)*D55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(L_I2!AO46-L_S1!AO46)*C56</f>
        <v>-0</v>
      </c>
      <c r="F56" s="0" t="n">
        <f aca="false">(L_I2!AP46-L_S1!AP46)*C56</f>
        <v>-0</v>
      </c>
      <c r="G56" s="0" t="n">
        <f aca="false">(L_I2!AQ46-L_S1!AQ46)*C56</f>
        <v>-0</v>
      </c>
      <c r="H56" s="0" t="n">
        <f aca="false">(L_I2!AS46-L_S1!AS46)*C56</f>
        <v>0</v>
      </c>
      <c r="I56" s="0" t="n">
        <f aca="false">I55+E56</f>
        <v>415289711.123538</v>
      </c>
      <c r="J56" s="0" t="n">
        <f aca="false">J55+F56</f>
        <v>410594549.247884</v>
      </c>
      <c r="K56" s="0" t="n">
        <f aca="false">K55+G56</f>
        <v>397533889.751075</v>
      </c>
      <c r="L56" s="0" t="n">
        <f aca="false">MAX(L55,J56)</f>
        <v>435908848.016439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428370037.373573</v>
      </c>
      <c r="P56" s="0" t="n">
        <f aca="false">(L_I2!V46-L_S1!V46)*D56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(L_I2!AO47-L_S1!AO47)*C57</f>
        <v>-0</v>
      </c>
      <c r="F57" s="0" t="n">
        <f aca="false">(L_I2!AP47-L_S1!AP47)*C57</f>
        <v>-0</v>
      </c>
      <c r="G57" s="0" t="n">
        <f aca="false">(L_I2!AQ47-L_S1!AQ47)*C57</f>
        <v>-0</v>
      </c>
      <c r="H57" s="0" t="n">
        <f aca="false">(L_I2!AS47-L_S1!AS47)*C57</f>
        <v>0</v>
      </c>
      <c r="I57" s="0" t="n">
        <f aca="false">I56+E57</f>
        <v>415289711.123538</v>
      </c>
      <c r="J57" s="0" t="n">
        <f aca="false">J56+F57</f>
        <v>410594549.247884</v>
      </c>
      <c r="K57" s="0" t="n">
        <f aca="false">K56+G57</f>
        <v>397533889.751075</v>
      </c>
      <c r="L57" s="0" t="n">
        <f aca="false">MAX(L56,J57)</f>
        <v>435908848.016439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428370037.373573</v>
      </c>
      <c r="P57" s="0" t="n">
        <f aca="false">(L_I2!V47-L_S1!V47)*D57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(L_I2!AO48-L_S1!AO48)*C58</f>
        <v>-0</v>
      </c>
      <c r="F58" s="0" t="n">
        <f aca="false">(L_I2!AP48-L_S1!AP48)*C58</f>
        <v>-0</v>
      </c>
      <c r="G58" s="0" t="n">
        <f aca="false">(L_I2!AQ48-L_S1!AQ48)*C58</f>
        <v>-0</v>
      </c>
      <c r="H58" s="0" t="n">
        <f aca="false">(L_I2!AS48-L_S1!AS48)*C58</f>
        <v>0</v>
      </c>
      <c r="I58" s="0" t="n">
        <f aca="false">I57+E58</f>
        <v>415289711.123538</v>
      </c>
      <c r="J58" s="0" t="n">
        <f aca="false">J57+F58</f>
        <v>410594549.247884</v>
      </c>
      <c r="K58" s="0" t="n">
        <f aca="false">K57+G58</f>
        <v>397533889.751075</v>
      </c>
      <c r="L58" s="0" t="n">
        <f aca="false">MAX(L57,J58)</f>
        <v>435908848.016439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428370037.373573</v>
      </c>
      <c r="P58" s="0" t="n">
        <f aca="false">(L_I2!V48-L_S1!V48)*D58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(L_I2!AO49-L_S1!AO49)*C59</f>
        <v>-0</v>
      </c>
      <c r="F59" s="0" t="n">
        <f aca="false">(L_I2!AP49-L_S1!AP49)*C59</f>
        <v>-0</v>
      </c>
      <c r="G59" s="0" t="n">
        <f aca="false">(L_I2!AQ49-L_S1!AQ49)*C59</f>
        <v>-0</v>
      </c>
      <c r="H59" s="0" t="n">
        <f aca="false">(L_I2!AS49-L_S1!AS49)*C59</f>
        <v>0</v>
      </c>
      <c r="I59" s="0" t="n">
        <f aca="false">I58+E59</f>
        <v>415289711.123538</v>
      </c>
      <c r="J59" s="0" t="n">
        <f aca="false">J58+F59</f>
        <v>410594549.247884</v>
      </c>
      <c r="K59" s="0" t="n">
        <f aca="false">K58+G59</f>
        <v>397533889.751075</v>
      </c>
      <c r="L59" s="0" t="n">
        <f aca="false">MAX(L58,J59)</f>
        <v>435908848.016439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428370037.373573</v>
      </c>
      <c r="P59" s="0" t="n">
        <f aca="false">(L_I2!V49-L_S1!V49)*D59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(L_I2!AO50-L_S1!AO50)*C60</f>
        <v>-0</v>
      </c>
      <c r="F60" s="0" t="n">
        <f aca="false">(L_I2!AP50-L_S1!AP50)*C60</f>
        <v>-0</v>
      </c>
      <c r="G60" s="0" t="n">
        <f aca="false">(L_I2!AQ50-L_S1!AQ50)*C60</f>
        <v>-0</v>
      </c>
      <c r="H60" s="0" t="n">
        <f aca="false">(L_I2!AS50-L_S1!AS50)*C60</f>
        <v>0</v>
      </c>
      <c r="I60" s="0" t="n">
        <f aca="false">I59+E60</f>
        <v>415289711.123538</v>
      </c>
      <c r="J60" s="0" t="n">
        <f aca="false">J59+F60</f>
        <v>410594549.247884</v>
      </c>
      <c r="K60" s="0" t="n">
        <f aca="false">K59+G60</f>
        <v>397533889.751075</v>
      </c>
      <c r="L60" s="0" t="n">
        <f aca="false">MAX(L59,J60)</f>
        <v>435908848.016439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428370037.373573</v>
      </c>
      <c r="P60" s="0" t="n">
        <f aca="false">(L_I2!V50-L_S1!V50)*D60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(L_I2!AO51-L_S1!AO51)*C61</f>
        <v>-0</v>
      </c>
      <c r="F61" s="0" t="n">
        <f aca="false">(L_I2!AP51-L_S1!AP51)*C61</f>
        <v>-0</v>
      </c>
      <c r="G61" s="0" t="n">
        <f aca="false">(L_I2!AQ51-L_S1!AQ51)*C61</f>
        <v>-0</v>
      </c>
      <c r="H61" s="0" t="n">
        <f aca="false">(L_I2!AS51-L_S1!AS51)*C61</f>
        <v>0</v>
      </c>
      <c r="I61" s="0" t="n">
        <f aca="false">I60+E61</f>
        <v>415289711.123538</v>
      </c>
      <c r="J61" s="0" t="n">
        <f aca="false">J60+F61</f>
        <v>410594549.247884</v>
      </c>
      <c r="K61" s="0" t="n">
        <f aca="false">K60+G61</f>
        <v>397533889.751075</v>
      </c>
      <c r="L61" s="0" t="n">
        <f aca="false">MAX(L60,J61)</f>
        <v>435908848.016439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428370037.373573</v>
      </c>
      <c r="P61" s="0" t="n">
        <f aca="false">(L_I2!V51-L_S1!V51)*D61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(L_I2!AO52-L_S1!AO52)*C62</f>
        <v>-0</v>
      </c>
      <c r="F62" s="0" t="n">
        <f aca="false">(L_I2!AP52-L_S1!AP52)*C62</f>
        <v>-0</v>
      </c>
      <c r="G62" s="0" t="n">
        <f aca="false">(L_I2!AQ52-L_S1!AQ52)*C62</f>
        <v>-0</v>
      </c>
      <c r="H62" s="0" t="n">
        <f aca="false">(L_I2!AS52-L_S1!AS52)*C62</f>
        <v>0</v>
      </c>
      <c r="I62" s="0" t="n">
        <f aca="false">I61+E62</f>
        <v>415289711.123538</v>
      </c>
      <c r="J62" s="0" t="n">
        <f aca="false">J61+F62</f>
        <v>410594549.247884</v>
      </c>
      <c r="K62" s="0" t="n">
        <f aca="false">K61+G62</f>
        <v>397533889.751075</v>
      </c>
      <c r="L62" s="0" t="n">
        <f aca="false">MAX(L61,J62)</f>
        <v>435908848.016439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428370037.373573</v>
      </c>
      <c r="P62" s="0" t="n">
        <f aca="false">(L_I2!V52-L_S1!V52)*D62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640</v>
      </c>
    </row>
    <row r="2" customFormat="false" ht="15" hidden="false" customHeight="false" outlineLevel="0" collapsed="false">
      <c r="A2" s="1" t="s">
        <v>614</v>
      </c>
      <c r="B2" s="0" t="n">
        <f aca="false">x_H</f>
        <v>20</v>
      </c>
    </row>
    <row r="3" customFormat="false" ht="15" hidden="false" customHeight="false" outlineLevel="0" collapsed="false">
      <c r="A3" s="1" t="s">
        <v>615</v>
      </c>
      <c r="B3" s="0" t="n">
        <f aca="false">SUM(H13:H62)</f>
        <v>128067948.788543</v>
      </c>
    </row>
    <row r="4" customFormat="false" ht="15" hidden="false" customHeight="false" outlineLevel="0" collapsed="false">
      <c r="A4" s="1" t="s">
        <v>616</v>
      </c>
      <c r="B4" s="0" t="n">
        <f aca="false">SUM(F13:F62)</f>
        <v>105795944.485379</v>
      </c>
    </row>
    <row r="5" customFormat="false" ht="15" hidden="false" customHeight="false" outlineLevel="0" collapsed="false">
      <c r="A5" s="1" t="s">
        <v>617</v>
      </c>
      <c r="B5" s="0" t="n">
        <f aca="false">B3-B4</f>
        <v>22272004.3031645</v>
      </c>
    </row>
    <row r="6" customFormat="false" ht="15" hidden="false" customHeight="false" outlineLevel="0" collapsed="false">
      <c r="A6" s="1" t="s">
        <v>618</v>
      </c>
      <c r="B6" s="0" t="n">
        <f aca="false">IF(B3=0,"—",(B5-B3)/ABS(B3))</f>
        <v>-0.826092285276322</v>
      </c>
    </row>
    <row r="7" customFormat="false" ht="15" hidden="false" customHeight="false" outlineLevel="0" collapsed="false">
      <c r="A7" s="1" t="s">
        <v>619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620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621</v>
      </c>
      <c r="B9" s="0" t="n">
        <f aca="false">SUM(E13:E62)</f>
        <v>115948663.386122</v>
      </c>
    </row>
    <row r="10" customFormat="false" ht="15" hidden="false" customHeight="false" outlineLevel="0" collapsed="false">
      <c r="A10" s="1" t="s">
        <v>622</v>
      </c>
      <c r="B10" s="0" t="n">
        <f aca="false">IFERROR(B4/SUM(P13:P62),"—")</f>
        <v>19216.2772019189</v>
      </c>
    </row>
    <row r="11" customFormat="false" ht="15" hidden="false" customHeight="false" outlineLevel="0" collapsed="false">
      <c r="A11" s="1" t="s">
        <v>623</v>
      </c>
      <c r="B11" s="0" t="n">
        <f aca="false">IFERROR(B9/SUM(P13:P62),"—")</f>
        <v>21060.3692576102</v>
      </c>
    </row>
    <row r="12" customFormat="false" ht="55.2" hidden="false" customHeight="false" outlineLevel="0" collapsed="false">
      <c r="A12" s="3" t="s">
        <v>320</v>
      </c>
      <c r="B12" s="3" t="s">
        <v>565</v>
      </c>
      <c r="C12" s="3" t="s">
        <v>624</v>
      </c>
      <c r="D12" s="3" t="s">
        <v>625</v>
      </c>
      <c r="E12" s="3" t="s">
        <v>626</v>
      </c>
      <c r="F12" s="3" t="s">
        <v>627</v>
      </c>
      <c r="G12" s="3" t="s">
        <v>628</v>
      </c>
      <c r="H12" s="3" t="s">
        <v>629</v>
      </c>
      <c r="I12" s="3" t="s">
        <v>630</v>
      </c>
      <c r="J12" s="3" t="s">
        <v>631</v>
      </c>
      <c r="K12" s="3" t="s">
        <v>632</v>
      </c>
      <c r="L12" s="3" t="s">
        <v>633</v>
      </c>
      <c r="M12" s="3" t="s">
        <v>634</v>
      </c>
      <c r="N12" s="3" t="s">
        <v>635</v>
      </c>
      <c r="O12" s="3" t="s">
        <v>636</v>
      </c>
      <c r="P12" s="3" t="s">
        <v>637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(L_I3!AO3-L_S1!AO3)*C13</f>
        <v>13588361.9304863</v>
      </c>
      <c r="F13" s="0" t="n">
        <f aca="false">(L_I3!AP3-L_S1!AP3)*C13</f>
        <v>14822050.3311466</v>
      </c>
      <c r="G13" s="0" t="n">
        <f aca="false">(L_I3!AQ3-L_S1!AQ3)*C13</f>
        <v>14722532.7767656</v>
      </c>
      <c r="H13" s="0" t="n">
        <f aca="false">(L_I3!AS3-L_S1!AS3)*C13</f>
        <v>12742552.2032754</v>
      </c>
      <c r="I13" s="0" t="n">
        <f aca="false">E13</f>
        <v>13588361.9304863</v>
      </c>
      <c r="J13" s="0" t="n">
        <f aca="false">F13</f>
        <v>14822050.3311466</v>
      </c>
      <c r="K13" s="0" t="n">
        <f aca="false">G13</f>
        <v>14722532.7767656</v>
      </c>
      <c r="L13" s="0" t="n">
        <f aca="false">J13</f>
        <v>14822050.3311466</v>
      </c>
      <c r="M13" s="0" t="n">
        <v>0</v>
      </c>
      <c r="N13" s="0" t="n">
        <v>0</v>
      </c>
      <c r="O13" s="0" t="n">
        <f aca="false">I13</f>
        <v>13588361.9304863</v>
      </c>
      <c r="P13" s="0" t="n">
        <f aca="false">(L_I3!V3-L_S1!V3)*D13</f>
        <v>44.9120000000112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(L_I3!AO4-L_S1!AO4)*C14</f>
        <v>23320243.0682509</v>
      </c>
      <c r="F14" s="0" t="n">
        <f aca="false">(L_I3!AP4-L_S1!AP4)*C14</f>
        <v>25328307.2372832</v>
      </c>
      <c r="G14" s="0" t="n">
        <f aca="false">(L_I3!AQ4-L_S1!AQ4)*C14</f>
        <v>25157888.5501068</v>
      </c>
      <c r="H14" s="0" t="n">
        <f aca="false">(L_I3!AS4-L_S1!AS4)*C14</f>
        <v>22324022.3041907</v>
      </c>
      <c r="I14" s="0" t="n">
        <f aca="false">I13+E14</f>
        <v>36908604.9987371</v>
      </c>
      <c r="J14" s="0" t="n">
        <f aca="false">J13+F14</f>
        <v>40150357.5684298</v>
      </c>
      <c r="K14" s="0" t="n">
        <f aca="false">K13+G14</f>
        <v>39880421.3268724</v>
      </c>
      <c r="L14" s="0" t="n">
        <f aca="false">MAX(L13,J14)</f>
        <v>40150357.5684298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36908604.9987371</v>
      </c>
      <c r="P14" s="0" t="n">
        <f aca="false">(L_I3!V4-L_S1!V4)*D14</f>
        <v>97.4743961352644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(L_I3!AO5-L_S1!AO5)*C15</f>
        <v>27280254.8756902</v>
      </c>
      <c r="F15" s="0" t="n">
        <f aca="false">(L_I3!AP5-L_S1!AP5)*C15</f>
        <v>29633153.8234135</v>
      </c>
      <c r="G15" s="0" t="n">
        <f aca="false">(L_I3!AQ5-L_S1!AQ5)*C15</f>
        <v>29393421.3163936</v>
      </c>
      <c r="H15" s="0" t="n">
        <f aca="false">(L_I3!AS5-L_S1!AS5)*C15</f>
        <v>26798243.5134251</v>
      </c>
      <c r="I15" s="0" t="n">
        <f aca="false">I14+E15</f>
        <v>64188859.8744274</v>
      </c>
      <c r="J15" s="0" t="n">
        <f aca="false">J14+F15</f>
        <v>69783511.3918433</v>
      </c>
      <c r="K15" s="0" t="n">
        <f aca="false">K14+G15</f>
        <v>69273842.643266</v>
      </c>
      <c r="L15" s="0" t="n">
        <f aca="false">MAX(L14,J15)</f>
        <v>69783511.3918433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64188859.8744274</v>
      </c>
      <c r="P15" s="0" t="n">
        <f aca="false">(L_I3!V5-L_S1!V5)*D15</f>
        <v>159.13836962356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(L_I3!AO6-L_S1!AO6)*C16</f>
        <v>19531063.764384</v>
      </c>
      <c r="F16" s="0" t="n">
        <f aca="false">(L_I3!AP6-L_S1!AP6)*C16</f>
        <v>21355532.1541943</v>
      </c>
      <c r="G16" s="0" t="n">
        <f aca="false">(L_I3!AQ6-L_S1!AQ6)*C16</f>
        <v>21019366.8917945</v>
      </c>
      <c r="H16" s="0" t="n">
        <f aca="false">(L_I3!AS6-L_S1!AS6)*C16</f>
        <v>19478221.9331204</v>
      </c>
      <c r="I16" s="0" t="n">
        <f aca="false">I15+E16</f>
        <v>83719923.6388114</v>
      </c>
      <c r="J16" s="0" t="n">
        <f aca="false">J15+F16</f>
        <v>91139043.5460376</v>
      </c>
      <c r="K16" s="0" t="n">
        <f aca="false">K15+G16</f>
        <v>90293209.5350605</v>
      </c>
      <c r="L16" s="0" t="n">
        <f aca="false">MAX(L15,J16)</f>
        <v>91139043.5460376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83719923.6388114</v>
      </c>
      <c r="P16" s="0" t="n">
        <f aca="false">(L_I3!V6-L_S1!V6)*D16</f>
        <v>220.983178430312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(L_I3!AO7-L_S1!AO7)*C17</f>
        <v>13857937.3371173</v>
      </c>
      <c r="F17" s="0" t="n">
        <f aca="false">(L_I3!AP7-L_S1!AP7)*C17</f>
        <v>15159612.5110257</v>
      </c>
      <c r="G17" s="0" t="n">
        <f aca="false">(L_I3!AQ7-L_S1!AQ7)*C17</f>
        <v>14667782.3305842</v>
      </c>
      <c r="H17" s="0" t="n">
        <f aca="false">(L_I3!AS7-L_S1!AS7)*C17</f>
        <v>14256662.6039765</v>
      </c>
      <c r="I17" s="0" t="n">
        <f aca="false">I16+E17</f>
        <v>97577860.9759287</v>
      </c>
      <c r="J17" s="0" t="n">
        <f aca="false">J16+F17</f>
        <v>106298656.057063</v>
      </c>
      <c r="K17" s="0" t="n">
        <f aca="false">K16+G17</f>
        <v>104960991.865645</v>
      </c>
      <c r="L17" s="0" t="n">
        <f aca="false">MAX(L16,J17)</f>
        <v>106298656.057063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97577860.9759287</v>
      </c>
      <c r="P17" s="0" t="n">
        <f aca="false">(L_I3!V7-L_S1!V7)*D17</f>
        <v>280.958202863388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(L_I3!AO8-L_S1!AO8)*C18</f>
        <v>9723772.09787514</v>
      </c>
      <c r="F18" s="0" t="n">
        <f aca="false">(L_I3!AP8-L_S1!AP8)*C18</f>
        <v>10512213.9371049</v>
      </c>
      <c r="G18" s="0" t="n">
        <f aca="false">(L_I3!AQ8-L_S1!AQ8)*C18</f>
        <v>9815254.13710556</v>
      </c>
      <c r="H18" s="0" t="n">
        <f aca="false">(L_I3!AS8-L_S1!AS8)*C18</f>
        <v>10526973.5649034</v>
      </c>
      <c r="I18" s="0" t="n">
        <f aca="false">I17+E18</f>
        <v>107301633.073804</v>
      </c>
      <c r="J18" s="0" t="n">
        <f aca="false">J17+F18</f>
        <v>116810869.994168</v>
      </c>
      <c r="K18" s="0" t="n">
        <f aca="false">K17+G18</f>
        <v>114776246.00275</v>
      </c>
      <c r="L18" s="0" t="n">
        <f aca="false">MAX(L17,J18)</f>
        <v>116810869.994168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107301633.073804</v>
      </c>
      <c r="P18" s="0" t="n">
        <f aca="false">(L_I3!V8-L_S1!V8)*D18</f>
        <v>334.970604702992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(L_I3!AO9-L_S1!AO9)*C19</f>
        <v>6726452.5629089</v>
      </c>
      <c r="F19" s="0" t="n">
        <f aca="false">(L_I3!AP9-L_S1!AP9)*C19</f>
        <v>7016994.57956701</v>
      </c>
      <c r="G19" s="0" t="n">
        <f aca="false">(L_I3!AQ9-L_S1!AQ9)*C19</f>
        <v>6077476.5561402</v>
      </c>
      <c r="H19" s="0" t="n">
        <f aca="false">(L_I3!AS9-L_S1!AS9)*C19</f>
        <v>7858189.38926611</v>
      </c>
      <c r="I19" s="0" t="n">
        <f aca="false">I18+E19</f>
        <v>114028085.636713</v>
      </c>
      <c r="J19" s="0" t="n">
        <f aca="false">J18+F19</f>
        <v>123827864.573735</v>
      </c>
      <c r="K19" s="0" t="n">
        <f aca="false">K18+G19</f>
        <v>120853722.55889</v>
      </c>
      <c r="L19" s="0" t="n">
        <f aca="false">MAX(L18,J19)</f>
        <v>123827864.573735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114028085.636713</v>
      </c>
      <c r="P19" s="0" t="n">
        <f aca="false">(L_I3!V9-L_S1!V9)*D19</f>
        <v>379.641226682959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(L_I3!AO10-L_S1!AO10)*C20</f>
        <v>4565305.92825761</v>
      </c>
      <c r="F20" s="0" t="n">
        <f aca="false">(L_I3!AP10-L_S1!AP10)*C20</f>
        <v>4379110.13557322</v>
      </c>
      <c r="G20" s="0" t="n">
        <f aca="false">(L_I3!AQ10-L_S1!AQ10)*C20</f>
        <v>3171777.80515098</v>
      </c>
      <c r="H20" s="0" t="n">
        <f aca="false">(L_I3!AS10-L_S1!AS10)*C20</f>
        <v>5944046.89782434</v>
      </c>
      <c r="I20" s="0" t="n">
        <f aca="false">I19+E20</f>
        <v>118593391.56497</v>
      </c>
      <c r="J20" s="0" t="n">
        <f aca="false">J19+F20</f>
        <v>128206974.709308</v>
      </c>
      <c r="K20" s="0" t="n">
        <f aca="false">K19+G20</f>
        <v>124025500.364041</v>
      </c>
      <c r="L20" s="0" t="n">
        <f aca="false">MAX(L19,J20)</f>
        <v>128206974.709308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118593391.56497</v>
      </c>
      <c r="P20" s="0" t="n">
        <f aca="false">(L_I3!V10-L_S1!V10)*D20</f>
        <v>412.494344094546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(L_I3!AO11-L_S1!AO11)*C21</f>
        <v>3016590.97679405</v>
      </c>
      <c r="F21" s="0" t="n">
        <f aca="false">(L_I3!AP11-L_S1!AP11)*C21</f>
        <v>2380298.94193669</v>
      </c>
      <c r="G21" s="0" t="n">
        <f aca="false">(L_I3!AQ11-L_S1!AQ11)*C21</f>
        <v>891496.840295355</v>
      </c>
      <c r="H21" s="0" t="n">
        <f aca="false">(L_I3!AS11-L_S1!AS11)*C21</f>
        <v>4566911.89584899</v>
      </c>
      <c r="I21" s="0" t="n">
        <f aca="false">I20+E21</f>
        <v>121609982.541764</v>
      </c>
      <c r="J21" s="0" t="n">
        <f aca="false">J20+F21</f>
        <v>130587273.651245</v>
      </c>
      <c r="K21" s="0" t="n">
        <f aca="false">K20+G21</f>
        <v>124916997.204337</v>
      </c>
      <c r="L21" s="0" t="n">
        <f aca="false">MAX(L20,J21)</f>
        <v>130587273.651245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121609982.541764</v>
      </c>
      <c r="P21" s="0" t="n">
        <f aca="false">(L_I3!V11-L_S1!V11)*D21</f>
        <v>432.128717245291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(L_I3!AO12-L_S1!AO12)*C22</f>
        <v>1838409.78877001</v>
      </c>
      <c r="F22" s="0" t="n">
        <f aca="false">(L_I3!AP12-L_S1!AP12)*C22</f>
        <v>747978.94548831</v>
      </c>
      <c r="G22" s="0" t="n">
        <f aca="false">(L_I3!AQ12-L_S1!AQ12)*C22</f>
        <v>-1019798.5414561</v>
      </c>
      <c r="H22" s="0" t="n">
        <f aca="false">(L_I3!AS12-L_S1!AS12)*C22</f>
        <v>3572124.48271197</v>
      </c>
      <c r="I22" s="0" t="n">
        <f aca="false">I21+E22</f>
        <v>123448392.330534</v>
      </c>
      <c r="J22" s="0" t="n">
        <f aca="false">J21+F22</f>
        <v>131335252.596733</v>
      </c>
      <c r="K22" s="0" t="n">
        <f aca="false">K21+G22</f>
        <v>123897198.662881</v>
      </c>
      <c r="L22" s="0" t="n">
        <f aca="false">MAX(L21,J22)</f>
        <v>131335252.596733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123448392.330534</v>
      </c>
      <c r="P22" s="0" t="n">
        <f aca="false">(L_I3!V12-L_S1!V12)*D22</f>
        <v>436.509028782119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(L_I3!AO13-L_S1!AO13)*C23</f>
        <v>-628003.815023191</v>
      </c>
      <c r="F23" s="0" t="n">
        <f aca="false">(L_I3!AP13-L_S1!AP13)*C23</f>
        <v>-3349088.6597482</v>
      </c>
      <c r="G23" s="0" t="n">
        <f aca="false">(L_I3!AQ13-L_S1!AQ13)*C23</f>
        <v>-5389890.52476367</v>
      </c>
      <c r="H23" s="0" t="n">
        <f aca="false">(L_I3!AS13-L_S1!AS13)*C23</f>
        <v>0</v>
      </c>
      <c r="I23" s="0" t="n">
        <f aca="false">I22+E23</f>
        <v>122820388.515511</v>
      </c>
      <c r="J23" s="0" t="n">
        <f aca="false">J22+F23</f>
        <v>127986163.936985</v>
      </c>
      <c r="K23" s="0" t="n">
        <f aca="false">K22+G23</f>
        <v>118507308.138117</v>
      </c>
      <c r="L23" s="0" t="n">
        <f aca="false">MAX(L22,J23)</f>
        <v>131335252.596733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123448392.330534</v>
      </c>
      <c r="P23" s="0" t="n">
        <f aca="false">(L_I3!V13-L_S1!V13)*D23</f>
        <v>426.592605068672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(L_I3!AO14-L_S1!AO14)*C24</f>
        <v>-687257.786326237</v>
      </c>
      <c r="F24" s="0" t="n">
        <f aca="false">(L_I3!AP14-L_S1!AP14)*C24</f>
        <v>-3667233.19874608</v>
      </c>
      <c r="G24" s="0" t="n">
        <f aca="false">(L_I3!AQ14-L_S1!AQ14)*C24</f>
        <v>-5970406.19693974</v>
      </c>
      <c r="H24" s="0" t="n">
        <f aca="false">(L_I3!AS14-L_S1!AS14)*C24</f>
        <v>0</v>
      </c>
      <c r="I24" s="0" t="n">
        <f aca="false">I23+E24</f>
        <v>122133130.729185</v>
      </c>
      <c r="J24" s="0" t="n">
        <f aca="false">J23+F24</f>
        <v>124318930.738239</v>
      </c>
      <c r="K24" s="0" t="n">
        <f aca="false">K23+G24</f>
        <v>112536901.941177</v>
      </c>
      <c r="L24" s="0" t="n">
        <f aca="false">MAX(L23,J24)</f>
        <v>131335252.596733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123448392.330534</v>
      </c>
      <c r="P24" s="0" t="n">
        <f aca="false">(L_I3!V14-L_S1!V14)*D24</f>
        <v>405.111142385172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(L_I3!AO15-L_S1!AO15)*C25</f>
        <v>-716888.472280133</v>
      </c>
      <c r="F25" s="0" t="n">
        <f aca="false">(L_I3!AP15-L_S1!AP15)*C25</f>
        <v>-2841253.39986063</v>
      </c>
      <c r="G25" s="0" t="n">
        <f aca="false">(L_I3!AQ15-L_S1!AQ15)*C25</f>
        <v>-4506050.44227394</v>
      </c>
      <c r="H25" s="0" t="n">
        <f aca="false">(L_I3!AS15-L_S1!AS15)*C25</f>
        <v>0</v>
      </c>
      <c r="I25" s="0" t="n">
        <f aca="false">I24+E25</f>
        <v>121416242.256905</v>
      </c>
      <c r="J25" s="0" t="n">
        <f aca="false">J24+F25</f>
        <v>121477677.338378</v>
      </c>
      <c r="K25" s="0" t="n">
        <f aca="false">K24+G25</f>
        <v>108030851.498903</v>
      </c>
      <c r="L25" s="0" t="n">
        <f aca="false">MAX(L24,J25)</f>
        <v>131335252.596733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123448392.330534</v>
      </c>
      <c r="P25" s="0" t="n">
        <f aca="false">(L_I3!V15-L_S1!V15)*D25</f>
        <v>373.872489018549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(L_I3!AO16-L_S1!AO16)*C26</f>
        <v>-732951.424556583</v>
      </c>
      <c r="F26" s="0" t="n">
        <f aca="false">(L_I3!AP16-L_S1!AP16)*C26</f>
        <v>-1977848.05529926</v>
      </c>
      <c r="G26" s="0" t="n">
        <f aca="false">(L_I3!AQ16-L_S1!AQ16)*C26</f>
        <v>-2966375.71672514</v>
      </c>
      <c r="H26" s="0" t="n">
        <f aca="false">(L_I3!AS16-L_S1!AS16)*C26</f>
        <v>0</v>
      </c>
      <c r="I26" s="0" t="n">
        <f aca="false">I25+E26</f>
        <v>120683290.832348</v>
      </c>
      <c r="J26" s="0" t="n">
        <f aca="false">J25+F26</f>
        <v>119499829.283079</v>
      </c>
      <c r="K26" s="0" t="n">
        <f aca="false">K25+G26</f>
        <v>105064475.782178</v>
      </c>
      <c r="L26" s="0" t="n">
        <f aca="false">MAX(L25,J26)</f>
        <v>131335252.596733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123448392.330534</v>
      </c>
      <c r="P26" s="0" t="n">
        <f aca="false">(L_I3!V16-L_S1!V16)*D26</f>
        <v>336.038852575695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(L_I3!AO17-L_S1!AO17)*C27</f>
        <v>-745519.371559422</v>
      </c>
      <c r="F27" s="0" t="n">
        <f aca="false">(L_I3!AP17-L_S1!AP17)*C27</f>
        <v>-2078349.18395122</v>
      </c>
      <c r="G27" s="0" t="n">
        <f aca="false">(L_I3!AQ17-L_S1!AQ17)*C27</f>
        <v>-3158838.56075051</v>
      </c>
      <c r="H27" s="0" t="n">
        <f aca="false">(L_I3!AS17-L_S1!AS17)*C27</f>
        <v>0</v>
      </c>
      <c r="I27" s="0" t="n">
        <f aca="false">I26+E27</f>
        <v>119937771.460789</v>
      </c>
      <c r="J27" s="0" t="n">
        <f aca="false">J26+F27</f>
        <v>117421480.099128</v>
      </c>
      <c r="K27" s="0" t="n">
        <f aca="false">K26+G27</f>
        <v>101905637.221428</v>
      </c>
      <c r="L27" s="0" t="n">
        <f aca="false">MAX(L26,J27)</f>
        <v>131335252.596733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123448392.330534</v>
      </c>
      <c r="P27" s="0" t="n">
        <f aca="false">(L_I3!V17-L_S1!V17)*D27</f>
        <v>294.71527417865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(L_I3!AO18-L_S1!AO18)*C28</f>
        <v>-759358.546955425</v>
      </c>
      <c r="F28" s="0" t="n">
        <f aca="false">(L_I3!AP18-L_S1!AP18)*C28</f>
        <v>-2170384.3863836</v>
      </c>
      <c r="G28" s="0" t="n">
        <f aca="false">(L_I3!AQ18-L_S1!AQ18)*C28</f>
        <v>-3335774.21601916</v>
      </c>
      <c r="H28" s="0" t="n">
        <f aca="false">(L_I3!AS18-L_S1!AS18)*C28</f>
        <v>0</v>
      </c>
      <c r="I28" s="0" t="n">
        <f aca="false">I27+E28</f>
        <v>119178412.913833</v>
      </c>
      <c r="J28" s="0" t="n">
        <f aca="false">J27+F28</f>
        <v>115251095.712744</v>
      </c>
      <c r="K28" s="0" t="n">
        <f aca="false">K27+G28</f>
        <v>98569863.0054085</v>
      </c>
      <c r="L28" s="0" t="n">
        <f aca="false">MAX(L27,J28)</f>
        <v>131335252.596733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123448392.330534</v>
      </c>
      <c r="P28" s="0" t="n">
        <f aca="false">(L_I3!V18-L_S1!V18)*D28</f>
        <v>252.425042616427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(L_I3!AO19-L_S1!AO19)*C29</f>
        <v>-780705.472835658</v>
      </c>
      <c r="F29" s="0" t="n">
        <f aca="false">(L_I3!AP19-L_S1!AP19)*C29</f>
        <v>-2259948.82300214</v>
      </c>
      <c r="G29" s="0" t="n">
        <f aca="false">(L_I3!AQ19-L_S1!AQ19)*C29</f>
        <v>-3502442.83176018</v>
      </c>
      <c r="H29" s="0" t="n">
        <f aca="false">(L_I3!AS19-L_S1!AS19)*C29</f>
        <v>0</v>
      </c>
      <c r="I29" s="0" t="n">
        <f aca="false">I28+E29</f>
        <v>118397707.440998</v>
      </c>
      <c r="J29" s="0" t="n">
        <f aca="false">J28+F29</f>
        <v>112991146.889742</v>
      </c>
      <c r="K29" s="0" t="n">
        <f aca="false">K28+G29</f>
        <v>95067420.1736483</v>
      </c>
      <c r="L29" s="0" t="n">
        <f aca="false">MAX(L28,J29)</f>
        <v>131335252.596733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123448392.330534</v>
      </c>
      <c r="P29" s="0" t="n">
        <f aca="false">(L_I3!V19-L_S1!V19)*D29</f>
        <v>209.951517277512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(L_I3!AO20-L_S1!AO20)*C30</f>
        <v>-801031.442134474</v>
      </c>
      <c r="F30" s="0" t="n">
        <f aca="false">(L_I3!AP20-L_S1!AP20)*C30</f>
        <v>-2338362.78091447</v>
      </c>
      <c r="G30" s="0" t="n">
        <f aca="false">(L_I3!AQ20-L_S1!AQ20)*C30</f>
        <v>-3649556.88274848</v>
      </c>
      <c r="H30" s="0" t="n">
        <f aca="false">(L_I3!AS20-L_S1!AS20)*C30</f>
        <v>0</v>
      </c>
      <c r="I30" s="0" t="n">
        <f aca="false">I29+E30</f>
        <v>117596675.998863</v>
      </c>
      <c r="J30" s="0" t="n">
        <f aca="false">J29+F30</f>
        <v>110652784.108828</v>
      </c>
      <c r="K30" s="0" t="n">
        <f aca="false">K29+G30</f>
        <v>91417863.2908999</v>
      </c>
      <c r="L30" s="0" t="n">
        <f aca="false">MAX(L29,J30)</f>
        <v>131335252.596733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123448392.330534</v>
      </c>
      <c r="P30" s="0" t="n">
        <f aca="false">(L_I3!V20-L_S1!V20)*D30</f>
        <v>170.144402865462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(L_I3!AO21-L_S1!AO21)*C31</f>
        <v>-816773.798071097</v>
      </c>
      <c r="F31" s="0" t="n">
        <f aca="false">(L_I3!AP21-L_S1!AP21)*C31</f>
        <v>-2402127.85490906</v>
      </c>
      <c r="G31" s="0" t="n">
        <f aca="false">(L_I3!AQ21-L_S1!AQ21)*C31</f>
        <v>-3773242.56367477</v>
      </c>
      <c r="H31" s="0" t="n">
        <f aca="false">(L_I3!AS21-L_S1!AS21)*C31</f>
        <v>0</v>
      </c>
      <c r="I31" s="0" t="n">
        <f aca="false">I30+E31</f>
        <v>116779902.200792</v>
      </c>
      <c r="J31" s="0" t="n">
        <f aca="false">J30+F31</f>
        <v>108250656.253919</v>
      </c>
      <c r="K31" s="0" t="n">
        <f aca="false">K30+G31</f>
        <v>87644620.7272251</v>
      </c>
      <c r="L31" s="0" t="n">
        <f aca="false">MAX(L30,J31)</f>
        <v>131335252.596733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123448392.330534</v>
      </c>
      <c r="P31" s="0" t="n">
        <f aca="false">(L_I3!V21-L_S1!V21)*D31</f>
        <v>134.730258783867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(L_I3!AO22-L_S1!AO22)*C32</f>
        <v>-831238.814670463</v>
      </c>
      <c r="F32" s="0" t="n">
        <f aca="false">(L_I3!AP22-L_S1!AP22)*C32</f>
        <v>-2454711.76854023</v>
      </c>
      <c r="G32" s="0" t="n">
        <f aca="false">(L_I3!AQ22-L_S1!AQ22)*C32</f>
        <v>-3876830.90150364</v>
      </c>
      <c r="H32" s="0" t="n">
        <f aca="false">(L_I3!AS22-L_S1!AS22)*C32</f>
        <v>0</v>
      </c>
      <c r="I32" s="0" t="n">
        <f aca="false">I31+E32</f>
        <v>115948663.386122</v>
      </c>
      <c r="J32" s="0" t="n">
        <f aca="false">J31+F32</f>
        <v>105795944.485379</v>
      </c>
      <c r="K32" s="0" t="n">
        <f aca="false">K31+G32</f>
        <v>83767789.8257215</v>
      </c>
      <c r="L32" s="0" t="n">
        <f aca="false">MAX(L31,J32)</f>
        <v>131335252.596733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123448392.330534</v>
      </c>
      <c r="P32" s="0" t="n">
        <f aca="false">(L_I3!V22-L_S1!V22)*D32</f>
        <v>102.7463535221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(L_I3!AO23-L_S1!AO23)*C33</f>
        <v>-0</v>
      </c>
      <c r="F33" s="0" t="n">
        <f aca="false">(L_I3!AP23-L_S1!AP23)*C33</f>
        <v>-0</v>
      </c>
      <c r="G33" s="0" t="n">
        <f aca="false">(L_I3!AQ23-L_S1!AQ23)*C33</f>
        <v>-0</v>
      </c>
      <c r="H33" s="0" t="n">
        <f aca="false">(L_I3!AS23-L_S1!AS23)*C33</f>
        <v>0</v>
      </c>
      <c r="I33" s="0" t="n">
        <f aca="false">I32+E33</f>
        <v>115948663.386122</v>
      </c>
      <c r="J33" s="0" t="n">
        <f aca="false">J32+F33</f>
        <v>105795944.485379</v>
      </c>
      <c r="K33" s="0" t="n">
        <f aca="false">K32+G33</f>
        <v>83767789.8257215</v>
      </c>
      <c r="L33" s="0" t="n">
        <f aca="false">MAX(L32,J33)</f>
        <v>131335252.596733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123448392.330534</v>
      </c>
      <c r="P33" s="0" t="n">
        <f aca="false">(L_I3!V23-L_S1!V23)*D33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(L_I3!AO24-L_S1!AO24)*C34</f>
        <v>-0</v>
      </c>
      <c r="F34" s="0" t="n">
        <f aca="false">(L_I3!AP24-L_S1!AP24)*C34</f>
        <v>-0</v>
      </c>
      <c r="G34" s="0" t="n">
        <f aca="false">(L_I3!AQ24-L_S1!AQ24)*C34</f>
        <v>-0</v>
      </c>
      <c r="H34" s="0" t="n">
        <f aca="false">(L_I3!AS24-L_S1!AS24)*C34</f>
        <v>0</v>
      </c>
      <c r="I34" s="0" t="n">
        <f aca="false">I33+E34</f>
        <v>115948663.386122</v>
      </c>
      <c r="J34" s="0" t="n">
        <f aca="false">J33+F34</f>
        <v>105795944.485379</v>
      </c>
      <c r="K34" s="0" t="n">
        <f aca="false">K33+G34</f>
        <v>83767789.8257215</v>
      </c>
      <c r="L34" s="0" t="n">
        <f aca="false">MAX(L33,J34)</f>
        <v>131335252.596733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123448392.330534</v>
      </c>
      <c r="P34" s="0" t="n">
        <f aca="false">(L_I3!V24-L_S1!V24)*D34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(L_I3!AO25-L_S1!AO25)*C35</f>
        <v>-0</v>
      </c>
      <c r="F35" s="0" t="n">
        <f aca="false">(L_I3!AP25-L_S1!AP25)*C35</f>
        <v>-0</v>
      </c>
      <c r="G35" s="0" t="n">
        <f aca="false">(L_I3!AQ25-L_S1!AQ25)*C35</f>
        <v>-0</v>
      </c>
      <c r="H35" s="0" t="n">
        <f aca="false">(L_I3!AS25-L_S1!AS25)*C35</f>
        <v>0</v>
      </c>
      <c r="I35" s="0" t="n">
        <f aca="false">I34+E35</f>
        <v>115948663.386122</v>
      </c>
      <c r="J35" s="0" t="n">
        <f aca="false">J34+F35</f>
        <v>105795944.485379</v>
      </c>
      <c r="K35" s="0" t="n">
        <f aca="false">K34+G35</f>
        <v>83767789.8257215</v>
      </c>
      <c r="L35" s="0" t="n">
        <f aca="false">MAX(L34,J35)</f>
        <v>131335252.596733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123448392.330534</v>
      </c>
      <c r="P35" s="0" t="n">
        <f aca="false">(L_I3!V25-L_S1!V25)*D35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(L_I3!AO26-L_S1!AO26)*C36</f>
        <v>-0</v>
      </c>
      <c r="F36" s="0" t="n">
        <f aca="false">(L_I3!AP26-L_S1!AP26)*C36</f>
        <v>-0</v>
      </c>
      <c r="G36" s="0" t="n">
        <f aca="false">(L_I3!AQ26-L_S1!AQ26)*C36</f>
        <v>-0</v>
      </c>
      <c r="H36" s="0" t="n">
        <f aca="false">(L_I3!AS26-L_S1!AS26)*C36</f>
        <v>0</v>
      </c>
      <c r="I36" s="0" t="n">
        <f aca="false">I35+E36</f>
        <v>115948663.386122</v>
      </c>
      <c r="J36" s="0" t="n">
        <f aca="false">J35+F36</f>
        <v>105795944.485379</v>
      </c>
      <c r="K36" s="0" t="n">
        <f aca="false">K35+G36</f>
        <v>83767789.8257215</v>
      </c>
      <c r="L36" s="0" t="n">
        <f aca="false">MAX(L35,J36)</f>
        <v>131335252.596733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123448392.330534</v>
      </c>
      <c r="P36" s="0" t="n">
        <f aca="false">(L_I3!V26-L_S1!V26)*D36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(L_I3!AO27-L_S1!AO27)*C37</f>
        <v>-0</v>
      </c>
      <c r="F37" s="0" t="n">
        <f aca="false">(L_I3!AP27-L_S1!AP27)*C37</f>
        <v>-0</v>
      </c>
      <c r="G37" s="0" t="n">
        <f aca="false">(L_I3!AQ27-L_S1!AQ27)*C37</f>
        <v>-0</v>
      </c>
      <c r="H37" s="0" t="n">
        <f aca="false">(L_I3!AS27-L_S1!AS27)*C37</f>
        <v>0</v>
      </c>
      <c r="I37" s="0" t="n">
        <f aca="false">I36+E37</f>
        <v>115948663.386122</v>
      </c>
      <c r="J37" s="0" t="n">
        <f aca="false">J36+F37</f>
        <v>105795944.485379</v>
      </c>
      <c r="K37" s="0" t="n">
        <f aca="false">K36+G37</f>
        <v>83767789.8257215</v>
      </c>
      <c r="L37" s="0" t="n">
        <f aca="false">MAX(L36,J37)</f>
        <v>131335252.596733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123448392.330534</v>
      </c>
      <c r="P37" s="0" t="n">
        <f aca="false">(L_I3!V27-L_S1!V27)*D37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(L_I3!AO28-L_S1!AO28)*C38</f>
        <v>-0</v>
      </c>
      <c r="F38" s="0" t="n">
        <f aca="false">(L_I3!AP28-L_S1!AP28)*C38</f>
        <v>-0</v>
      </c>
      <c r="G38" s="0" t="n">
        <f aca="false">(L_I3!AQ28-L_S1!AQ28)*C38</f>
        <v>-0</v>
      </c>
      <c r="H38" s="0" t="n">
        <f aca="false">(L_I3!AS28-L_S1!AS28)*C38</f>
        <v>0</v>
      </c>
      <c r="I38" s="0" t="n">
        <f aca="false">I37+E38</f>
        <v>115948663.386122</v>
      </c>
      <c r="J38" s="0" t="n">
        <f aca="false">J37+F38</f>
        <v>105795944.485379</v>
      </c>
      <c r="K38" s="0" t="n">
        <f aca="false">K37+G38</f>
        <v>83767789.8257215</v>
      </c>
      <c r="L38" s="0" t="n">
        <f aca="false">MAX(L37,J38)</f>
        <v>131335252.596733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123448392.330534</v>
      </c>
      <c r="P38" s="0" t="n">
        <f aca="false">(L_I3!V28-L_S1!V28)*D38</f>
        <v>-0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(L_I3!AO29-L_S1!AO29)*C39</f>
        <v>-0</v>
      </c>
      <c r="F39" s="0" t="n">
        <f aca="false">(L_I3!AP29-L_S1!AP29)*C39</f>
        <v>-0</v>
      </c>
      <c r="G39" s="0" t="n">
        <f aca="false">(L_I3!AQ29-L_S1!AQ29)*C39</f>
        <v>-0</v>
      </c>
      <c r="H39" s="0" t="n">
        <f aca="false">(L_I3!AS29-L_S1!AS29)*C39</f>
        <v>0</v>
      </c>
      <c r="I39" s="0" t="n">
        <f aca="false">I38+E39</f>
        <v>115948663.386122</v>
      </c>
      <c r="J39" s="0" t="n">
        <f aca="false">J38+F39</f>
        <v>105795944.485379</v>
      </c>
      <c r="K39" s="0" t="n">
        <f aca="false">K38+G39</f>
        <v>83767789.8257215</v>
      </c>
      <c r="L39" s="0" t="n">
        <f aca="false">MAX(L38,J39)</f>
        <v>131335252.596733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123448392.330534</v>
      </c>
      <c r="P39" s="0" t="n">
        <f aca="false">(L_I3!V29-L_S1!V29)*D39</f>
        <v>-0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(L_I3!AO30-L_S1!AO30)*C40</f>
        <v>-0</v>
      </c>
      <c r="F40" s="0" t="n">
        <f aca="false">(L_I3!AP30-L_S1!AP30)*C40</f>
        <v>-0</v>
      </c>
      <c r="G40" s="0" t="n">
        <f aca="false">(L_I3!AQ30-L_S1!AQ30)*C40</f>
        <v>-0</v>
      </c>
      <c r="H40" s="0" t="n">
        <f aca="false">(L_I3!AS30-L_S1!AS30)*C40</f>
        <v>0</v>
      </c>
      <c r="I40" s="0" t="n">
        <f aca="false">I39+E40</f>
        <v>115948663.386122</v>
      </c>
      <c r="J40" s="0" t="n">
        <f aca="false">J39+F40</f>
        <v>105795944.485379</v>
      </c>
      <c r="K40" s="0" t="n">
        <f aca="false">K39+G40</f>
        <v>83767789.8257215</v>
      </c>
      <c r="L40" s="0" t="n">
        <f aca="false">MAX(L39,J40)</f>
        <v>131335252.596733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123448392.330534</v>
      </c>
      <c r="P40" s="0" t="n">
        <f aca="false">(L_I3!V30-L_S1!V30)*D40</f>
        <v>-0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(L_I3!AO31-L_S1!AO31)*C41</f>
        <v>-0</v>
      </c>
      <c r="F41" s="0" t="n">
        <f aca="false">(L_I3!AP31-L_S1!AP31)*C41</f>
        <v>-0</v>
      </c>
      <c r="G41" s="0" t="n">
        <f aca="false">(L_I3!AQ31-L_S1!AQ31)*C41</f>
        <v>-0</v>
      </c>
      <c r="H41" s="0" t="n">
        <f aca="false">(L_I3!AS31-L_S1!AS31)*C41</f>
        <v>0</v>
      </c>
      <c r="I41" s="0" t="n">
        <f aca="false">I40+E41</f>
        <v>115948663.386122</v>
      </c>
      <c r="J41" s="0" t="n">
        <f aca="false">J40+F41</f>
        <v>105795944.485379</v>
      </c>
      <c r="K41" s="0" t="n">
        <f aca="false">K40+G41</f>
        <v>83767789.8257215</v>
      </c>
      <c r="L41" s="0" t="n">
        <f aca="false">MAX(L40,J41)</f>
        <v>131335252.596733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123448392.330534</v>
      </c>
      <c r="P41" s="0" t="n">
        <f aca="false">(L_I3!V31-L_S1!V31)*D41</f>
        <v>-0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(L_I3!AO32-L_S1!AO32)*C42</f>
        <v>-0</v>
      </c>
      <c r="F42" s="0" t="n">
        <f aca="false">(L_I3!AP32-L_S1!AP32)*C42</f>
        <v>-0</v>
      </c>
      <c r="G42" s="0" t="n">
        <f aca="false">(L_I3!AQ32-L_S1!AQ32)*C42</f>
        <v>-0</v>
      </c>
      <c r="H42" s="0" t="n">
        <f aca="false">(L_I3!AS32-L_S1!AS32)*C42</f>
        <v>0</v>
      </c>
      <c r="I42" s="0" t="n">
        <f aca="false">I41+E42</f>
        <v>115948663.386122</v>
      </c>
      <c r="J42" s="0" t="n">
        <f aca="false">J41+F42</f>
        <v>105795944.485379</v>
      </c>
      <c r="K42" s="0" t="n">
        <f aca="false">K41+G42</f>
        <v>83767789.8257215</v>
      </c>
      <c r="L42" s="0" t="n">
        <f aca="false">MAX(L41,J42)</f>
        <v>131335252.596733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123448392.330534</v>
      </c>
      <c r="P42" s="0" t="n">
        <f aca="false">(L_I3!V32-L_S1!V32)*D42</f>
        <v>-0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(L_I3!AO33-L_S1!AO33)*C43</f>
        <v>-0</v>
      </c>
      <c r="F43" s="0" t="n">
        <f aca="false">(L_I3!AP33-L_S1!AP33)*C43</f>
        <v>-0</v>
      </c>
      <c r="G43" s="0" t="n">
        <f aca="false">(L_I3!AQ33-L_S1!AQ33)*C43</f>
        <v>-0</v>
      </c>
      <c r="H43" s="0" t="n">
        <f aca="false">(L_I3!AS33-L_S1!AS33)*C43</f>
        <v>0</v>
      </c>
      <c r="I43" s="0" t="n">
        <f aca="false">I42+E43</f>
        <v>115948663.386122</v>
      </c>
      <c r="J43" s="0" t="n">
        <f aca="false">J42+F43</f>
        <v>105795944.485379</v>
      </c>
      <c r="K43" s="0" t="n">
        <f aca="false">K42+G43</f>
        <v>83767789.8257215</v>
      </c>
      <c r="L43" s="0" t="n">
        <f aca="false">MAX(L42,J43)</f>
        <v>131335252.596733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123448392.330534</v>
      </c>
      <c r="P43" s="0" t="n">
        <f aca="false">(L_I3!V33-L_S1!V33)*D43</f>
        <v>-0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(L_I3!AO34-L_S1!AO34)*C44</f>
        <v>-0</v>
      </c>
      <c r="F44" s="0" t="n">
        <f aca="false">(L_I3!AP34-L_S1!AP34)*C44</f>
        <v>-0</v>
      </c>
      <c r="G44" s="0" t="n">
        <f aca="false">(L_I3!AQ34-L_S1!AQ34)*C44</f>
        <v>-0</v>
      </c>
      <c r="H44" s="0" t="n">
        <f aca="false">(L_I3!AS34-L_S1!AS34)*C44</f>
        <v>0</v>
      </c>
      <c r="I44" s="0" t="n">
        <f aca="false">I43+E44</f>
        <v>115948663.386122</v>
      </c>
      <c r="J44" s="0" t="n">
        <f aca="false">J43+F44</f>
        <v>105795944.485379</v>
      </c>
      <c r="K44" s="0" t="n">
        <f aca="false">K43+G44</f>
        <v>83767789.8257215</v>
      </c>
      <c r="L44" s="0" t="n">
        <f aca="false">MAX(L43,J44)</f>
        <v>131335252.596733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123448392.330534</v>
      </c>
      <c r="P44" s="0" t="n">
        <f aca="false">(L_I3!V34-L_S1!V34)*D44</f>
        <v>-0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(L_I3!AO35-L_S1!AO35)*C45</f>
        <v>-0</v>
      </c>
      <c r="F45" s="0" t="n">
        <f aca="false">(L_I3!AP35-L_S1!AP35)*C45</f>
        <v>-0</v>
      </c>
      <c r="G45" s="0" t="n">
        <f aca="false">(L_I3!AQ35-L_S1!AQ35)*C45</f>
        <v>-0</v>
      </c>
      <c r="H45" s="0" t="n">
        <f aca="false">(L_I3!AS35-L_S1!AS35)*C45</f>
        <v>0</v>
      </c>
      <c r="I45" s="0" t="n">
        <f aca="false">I44+E45</f>
        <v>115948663.386122</v>
      </c>
      <c r="J45" s="0" t="n">
        <f aca="false">J44+F45</f>
        <v>105795944.485379</v>
      </c>
      <c r="K45" s="0" t="n">
        <f aca="false">K44+G45</f>
        <v>83767789.8257215</v>
      </c>
      <c r="L45" s="0" t="n">
        <f aca="false">MAX(L44,J45)</f>
        <v>131335252.596733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123448392.330534</v>
      </c>
      <c r="P45" s="0" t="n">
        <f aca="false">(L_I3!V35-L_S1!V35)*D45</f>
        <v>-0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(L_I3!AO36-L_S1!AO36)*C46</f>
        <v>-0</v>
      </c>
      <c r="F46" s="0" t="n">
        <f aca="false">(L_I3!AP36-L_S1!AP36)*C46</f>
        <v>-0</v>
      </c>
      <c r="G46" s="0" t="n">
        <f aca="false">(L_I3!AQ36-L_S1!AQ36)*C46</f>
        <v>-0</v>
      </c>
      <c r="H46" s="0" t="n">
        <f aca="false">(L_I3!AS36-L_S1!AS36)*C46</f>
        <v>0</v>
      </c>
      <c r="I46" s="0" t="n">
        <f aca="false">I45+E46</f>
        <v>115948663.386122</v>
      </c>
      <c r="J46" s="0" t="n">
        <f aca="false">J45+F46</f>
        <v>105795944.485379</v>
      </c>
      <c r="K46" s="0" t="n">
        <f aca="false">K45+G46</f>
        <v>83767789.8257215</v>
      </c>
      <c r="L46" s="0" t="n">
        <f aca="false">MAX(L45,J46)</f>
        <v>131335252.596733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123448392.330534</v>
      </c>
      <c r="P46" s="0" t="n">
        <f aca="false">(L_I3!V36-L_S1!V36)*D46</f>
        <v>-0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(L_I3!AO37-L_S1!AO37)*C47</f>
        <v>-0</v>
      </c>
      <c r="F47" s="0" t="n">
        <f aca="false">(L_I3!AP37-L_S1!AP37)*C47</f>
        <v>-0</v>
      </c>
      <c r="G47" s="0" t="n">
        <f aca="false">(L_I3!AQ37-L_S1!AQ37)*C47</f>
        <v>-0</v>
      </c>
      <c r="H47" s="0" t="n">
        <f aca="false">(L_I3!AS37-L_S1!AS37)*C47</f>
        <v>0</v>
      </c>
      <c r="I47" s="0" t="n">
        <f aca="false">I46+E47</f>
        <v>115948663.386122</v>
      </c>
      <c r="J47" s="0" t="n">
        <f aca="false">J46+F47</f>
        <v>105795944.485379</v>
      </c>
      <c r="K47" s="0" t="n">
        <f aca="false">K46+G47</f>
        <v>83767789.8257215</v>
      </c>
      <c r="L47" s="0" t="n">
        <f aca="false">MAX(L46,J47)</f>
        <v>131335252.596733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123448392.330534</v>
      </c>
      <c r="P47" s="0" t="n">
        <f aca="false">(L_I3!V37-L_S1!V37)*D47</f>
        <v>-0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(L_I3!AO38-L_S1!AO38)*C48</f>
        <v>-0</v>
      </c>
      <c r="F48" s="0" t="n">
        <f aca="false">(L_I3!AP38-L_S1!AP38)*C48</f>
        <v>-0</v>
      </c>
      <c r="G48" s="0" t="n">
        <f aca="false">(L_I3!AQ38-L_S1!AQ38)*C48</f>
        <v>-0</v>
      </c>
      <c r="H48" s="0" t="n">
        <f aca="false">(L_I3!AS38-L_S1!AS38)*C48</f>
        <v>0</v>
      </c>
      <c r="I48" s="0" t="n">
        <f aca="false">I47+E48</f>
        <v>115948663.386122</v>
      </c>
      <c r="J48" s="0" t="n">
        <f aca="false">J47+F48</f>
        <v>105795944.485379</v>
      </c>
      <c r="K48" s="0" t="n">
        <f aca="false">K47+G48</f>
        <v>83767789.8257215</v>
      </c>
      <c r="L48" s="0" t="n">
        <f aca="false">MAX(L47,J48)</f>
        <v>131335252.596733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123448392.330534</v>
      </c>
      <c r="P48" s="0" t="n">
        <f aca="false">(L_I3!V38-L_S1!V38)*D48</f>
        <v>-0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(L_I3!AO39-L_S1!AO39)*C49</f>
        <v>-0</v>
      </c>
      <c r="F49" s="0" t="n">
        <f aca="false">(L_I3!AP39-L_S1!AP39)*C49</f>
        <v>-0</v>
      </c>
      <c r="G49" s="0" t="n">
        <f aca="false">(L_I3!AQ39-L_S1!AQ39)*C49</f>
        <v>-0</v>
      </c>
      <c r="H49" s="0" t="n">
        <f aca="false">(L_I3!AS39-L_S1!AS39)*C49</f>
        <v>0</v>
      </c>
      <c r="I49" s="0" t="n">
        <f aca="false">I48+E49</f>
        <v>115948663.386122</v>
      </c>
      <c r="J49" s="0" t="n">
        <f aca="false">J48+F49</f>
        <v>105795944.485379</v>
      </c>
      <c r="K49" s="0" t="n">
        <f aca="false">K48+G49</f>
        <v>83767789.8257215</v>
      </c>
      <c r="L49" s="0" t="n">
        <f aca="false">MAX(L48,J49)</f>
        <v>131335252.596733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123448392.330534</v>
      </c>
      <c r="P49" s="0" t="n">
        <f aca="false">(L_I3!V39-L_S1!V39)*D49</f>
        <v>-0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(L_I3!AO40-L_S1!AO40)*C50</f>
        <v>-0</v>
      </c>
      <c r="F50" s="0" t="n">
        <f aca="false">(L_I3!AP40-L_S1!AP40)*C50</f>
        <v>-0</v>
      </c>
      <c r="G50" s="0" t="n">
        <f aca="false">(L_I3!AQ40-L_S1!AQ40)*C50</f>
        <v>-0</v>
      </c>
      <c r="H50" s="0" t="n">
        <f aca="false">(L_I3!AS40-L_S1!AS40)*C50</f>
        <v>0</v>
      </c>
      <c r="I50" s="0" t="n">
        <f aca="false">I49+E50</f>
        <v>115948663.386122</v>
      </c>
      <c r="J50" s="0" t="n">
        <f aca="false">J49+F50</f>
        <v>105795944.485379</v>
      </c>
      <c r="K50" s="0" t="n">
        <f aca="false">K49+G50</f>
        <v>83767789.8257215</v>
      </c>
      <c r="L50" s="0" t="n">
        <f aca="false">MAX(L49,J50)</f>
        <v>131335252.596733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123448392.330534</v>
      </c>
      <c r="P50" s="0" t="n">
        <f aca="false">(L_I3!V40-L_S1!V40)*D50</f>
        <v>-0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(L_I3!AO41-L_S1!AO41)*C51</f>
        <v>-0</v>
      </c>
      <c r="F51" s="0" t="n">
        <f aca="false">(L_I3!AP41-L_S1!AP41)*C51</f>
        <v>-0</v>
      </c>
      <c r="G51" s="0" t="n">
        <f aca="false">(L_I3!AQ41-L_S1!AQ41)*C51</f>
        <v>-0</v>
      </c>
      <c r="H51" s="0" t="n">
        <f aca="false">(L_I3!AS41-L_S1!AS41)*C51</f>
        <v>0</v>
      </c>
      <c r="I51" s="0" t="n">
        <f aca="false">I50+E51</f>
        <v>115948663.386122</v>
      </c>
      <c r="J51" s="0" t="n">
        <f aca="false">J50+F51</f>
        <v>105795944.485379</v>
      </c>
      <c r="K51" s="0" t="n">
        <f aca="false">K50+G51</f>
        <v>83767789.8257215</v>
      </c>
      <c r="L51" s="0" t="n">
        <f aca="false">MAX(L50,J51)</f>
        <v>131335252.596733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123448392.330534</v>
      </c>
      <c r="P51" s="0" t="n">
        <f aca="false">(L_I3!V41-L_S1!V41)*D51</f>
        <v>-0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(L_I3!AO42-L_S1!AO42)*C52</f>
        <v>-0</v>
      </c>
      <c r="F52" s="0" t="n">
        <f aca="false">(L_I3!AP42-L_S1!AP42)*C52</f>
        <v>-0</v>
      </c>
      <c r="G52" s="0" t="n">
        <f aca="false">(L_I3!AQ42-L_S1!AQ42)*C52</f>
        <v>-0</v>
      </c>
      <c r="H52" s="0" t="n">
        <f aca="false">(L_I3!AS42-L_S1!AS42)*C52</f>
        <v>0</v>
      </c>
      <c r="I52" s="0" t="n">
        <f aca="false">I51+E52</f>
        <v>115948663.386122</v>
      </c>
      <c r="J52" s="0" t="n">
        <f aca="false">J51+F52</f>
        <v>105795944.485379</v>
      </c>
      <c r="K52" s="0" t="n">
        <f aca="false">K51+G52</f>
        <v>83767789.8257215</v>
      </c>
      <c r="L52" s="0" t="n">
        <f aca="false">MAX(L51,J52)</f>
        <v>131335252.596733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123448392.330534</v>
      </c>
      <c r="P52" s="0" t="n">
        <f aca="false">(L_I3!V42-L_S1!V42)*D52</f>
        <v>-0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(L_I3!AO43-L_S1!AO43)*C53</f>
        <v>-0</v>
      </c>
      <c r="F53" s="0" t="n">
        <f aca="false">(L_I3!AP43-L_S1!AP43)*C53</f>
        <v>-0</v>
      </c>
      <c r="G53" s="0" t="n">
        <f aca="false">(L_I3!AQ43-L_S1!AQ43)*C53</f>
        <v>-0</v>
      </c>
      <c r="H53" s="0" t="n">
        <f aca="false">(L_I3!AS43-L_S1!AS43)*C53</f>
        <v>0</v>
      </c>
      <c r="I53" s="0" t="n">
        <f aca="false">I52+E53</f>
        <v>115948663.386122</v>
      </c>
      <c r="J53" s="0" t="n">
        <f aca="false">J52+F53</f>
        <v>105795944.485379</v>
      </c>
      <c r="K53" s="0" t="n">
        <f aca="false">K52+G53</f>
        <v>83767789.8257215</v>
      </c>
      <c r="L53" s="0" t="n">
        <f aca="false">MAX(L52,J53)</f>
        <v>131335252.596733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123448392.330534</v>
      </c>
      <c r="P53" s="0" t="n">
        <f aca="false">(L_I3!V43-L_S1!V43)*D53</f>
        <v>-0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(L_I3!AO44-L_S1!AO44)*C54</f>
        <v>-0</v>
      </c>
      <c r="F54" s="0" t="n">
        <f aca="false">(L_I3!AP44-L_S1!AP44)*C54</f>
        <v>-0</v>
      </c>
      <c r="G54" s="0" t="n">
        <f aca="false">(L_I3!AQ44-L_S1!AQ44)*C54</f>
        <v>-0</v>
      </c>
      <c r="H54" s="0" t="n">
        <f aca="false">(L_I3!AS44-L_S1!AS44)*C54</f>
        <v>0</v>
      </c>
      <c r="I54" s="0" t="n">
        <f aca="false">I53+E54</f>
        <v>115948663.386122</v>
      </c>
      <c r="J54" s="0" t="n">
        <f aca="false">J53+F54</f>
        <v>105795944.485379</v>
      </c>
      <c r="K54" s="0" t="n">
        <f aca="false">K53+G54</f>
        <v>83767789.8257215</v>
      </c>
      <c r="L54" s="0" t="n">
        <f aca="false">MAX(L53,J54)</f>
        <v>131335252.596733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123448392.330534</v>
      </c>
      <c r="P54" s="0" t="n">
        <f aca="false">(L_I3!V44-L_S1!V44)*D54</f>
        <v>-0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(L_I3!AO45-L_S1!AO45)*C55</f>
        <v>-0</v>
      </c>
      <c r="F55" s="0" t="n">
        <f aca="false">(L_I3!AP45-L_S1!AP45)*C55</f>
        <v>-0</v>
      </c>
      <c r="G55" s="0" t="n">
        <f aca="false">(L_I3!AQ45-L_S1!AQ45)*C55</f>
        <v>-0</v>
      </c>
      <c r="H55" s="0" t="n">
        <f aca="false">(L_I3!AS45-L_S1!AS45)*C55</f>
        <v>0</v>
      </c>
      <c r="I55" s="0" t="n">
        <f aca="false">I54+E55</f>
        <v>115948663.386122</v>
      </c>
      <c r="J55" s="0" t="n">
        <f aca="false">J54+F55</f>
        <v>105795944.485379</v>
      </c>
      <c r="K55" s="0" t="n">
        <f aca="false">K54+G55</f>
        <v>83767789.8257215</v>
      </c>
      <c r="L55" s="0" t="n">
        <f aca="false">MAX(L54,J55)</f>
        <v>131335252.596733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123448392.330534</v>
      </c>
      <c r="P55" s="0" t="n">
        <f aca="false">(L_I3!V45-L_S1!V45)*D55</f>
        <v>-0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(L_I3!AO46-L_S1!AO46)*C56</f>
        <v>-0</v>
      </c>
      <c r="F56" s="0" t="n">
        <f aca="false">(L_I3!AP46-L_S1!AP46)*C56</f>
        <v>-0</v>
      </c>
      <c r="G56" s="0" t="n">
        <f aca="false">(L_I3!AQ46-L_S1!AQ46)*C56</f>
        <v>-0</v>
      </c>
      <c r="H56" s="0" t="n">
        <f aca="false">(L_I3!AS46-L_S1!AS46)*C56</f>
        <v>0</v>
      </c>
      <c r="I56" s="0" t="n">
        <f aca="false">I55+E56</f>
        <v>115948663.386122</v>
      </c>
      <c r="J56" s="0" t="n">
        <f aca="false">J55+F56</f>
        <v>105795944.485379</v>
      </c>
      <c r="K56" s="0" t="n">
        <f aca="false">K55+G56</f>
        <v>83767789.8257215</v>
      </c>
      <c r="L56" s="0" t="n">
        <f aca="false">MAX(L55,J56)</f>
        <v>131335252.596733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123448392.330534</v>
      </c>
      <c r="P56" s="0" t="n">
        <f aca="false">(L_I3!V46-L_S1!V46)*D56</f>
        <v>-0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(L_I3!AO47-L_S1!AO47)*C57</f>
        <v>-0</v>
      </c>
      <c r="F57" s="0" t="n">
        <f aca="false">(L_I3!AP47-L_S1!AP47)*C57</f>
        <v>-0</v>
      </c>
      <c r="G57" s="0" t="n">
        <f aca="false">(L_I3!AQ47-L_S1!AQ47)*C57</f>
        <v>-0</v>
      </c>
      <c r="H57" s="0" t="n">
        <f aca="false">(L_I3!AS47-L_S1!AS47)*C57</f>
        <v>0</v>
      </c>
      <c r="I57" s="0" t="n">
        <f aca="false">I56+E57</f>
        <v>115948663.386122</v>
      </c>
      <c r="J57" s="0" t="n">
        <f aca="false">J56+F57</f>
        <v>105795944.485379</v>
      </c>
      <c r="K57" s="0" t="n">
        <f aca="false">K56+G57</f>
        <v>83767789.8257215</v>
      </c>
      <c r="L57" s="0" t="n">
        <f aca="false">MAX(L56,J57)</f>
        <v>131335252.596733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123448392.330534</v>
      </c>
      <c r="P57" s="0" t="n">
        <f aca="false">(L_I3!V47-L_S1!V47)*D57</f>
        <v>-0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(L_I3!AO48-L_S1!AO48)*C58</f>
        <v>-0</v>
      </c>
      <c r="F58" s="0" t="n">
        <f aca="false">(L_I3!AP48-L_S1!AP48)*C58</f>
        <v>-0</v>
      </c>
      <c r="G58" s="0" t="n">
        <f aca="false">(L_I3!AQ48-L_S1!AQ48)*C58</f>
        <v>-0</v>
      </c>
      <c r="H58" s="0" t="n">
        <f aca="false">(L_I3!AS48-L_S1!AS48)*C58</f>
        <v>0</v>
      </c>
      <c r="I58" s="0" t="n">
        <f aca="false">I57+E58</f>
        <v>115948663.386122</v>
      </c>
      <c r="J58" s="0" t="n">
        <f aca="false">J57+F58</f>
        <v>105795944.485379</v>
      </c>
      <c r="K58" s="0" t="n">
        <f aca="false">K57+G58</f>
        <v>83767789.8257215</v>
      </c>
      <c r="L58" s="0" t="n">
        <f aca="false">MAX(L57,J58)</f>
        <v>131335252.596733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123448392.330534</v>
      </c>
      <c r="P58" s="0" t="n">
        <f aca="false">(L_I3!V48-L_S1!V48)*D58</f>
        <v>-0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(L_I3!AO49-L_S1!AO49)*C59</f>
        <v>-0</v>
      </c>
      <c r="F59" s="0" t="n">
        <f aca="false">(L_I3!AP49-L_S1!AP49)*C59</f>
        <v>-0</v>
      </c>
      <c r="G59" s="0" t="n">
        <f aca="false">(L_I3!AQ49-L_S1!AQ49)*C59</f>
        <v>-0</v>
      </c>
      <c r="H59" s="0" t="n">
        <f aca="false">(L_I3!AS49-L_S1!AS49)*C59</f>
        <v>0</v>
      </c>
      <c r="I59" s="0" t="n">
        <f aca="false">I58+E59</f>
        <v>115948663.386122</v>
      </c>
      <c r="J59" s="0" t="n">
        <f aca="false">J58+F59</f>
        <v>105795944.485379</v>
      </c>
      <c r="K59" s="0" t="n">
        <f aca="false">K58+G59</f>
        <v>83767789.8257215</v>
      </c>
      <c r="L59" s="0" t="n">
        <f aca="false">MAX(L58,J59)</f>
        <v>131335252.596733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123448392.330534</v>
      </c>
      <c r="P59" s="0" t="n">
        <f aca="false">(L_I3!V49-L_S1!V49)*D59</f>
        <v>-0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(L_I3!AO50-L_S1!AO50)*C60</f>
        <v>-0</v>
      </c>
      <c r="F60" s="0" t="n">
        <f aca="false">(L_I3!AP50-L_S1!AP50)*C60</f>
        <v>-0</v>
      </c>
      <c r="G60" s="0" t="n">
        <f aca="false">(L_I3!AQ50-L_S1!AQ50)*C60</f>
        <v>-0</v>
      </c>
      <c r="H60" s="0" t="n">
        <f aca="false">(L_I3!AS50-L_S1!AS50)*C60</f>
        <v>0</v>
      </c>
      <c r="I60" s="0" t="n">
        <f aca="false">I59+E60</f>
        <v>115948663.386122</v>
      </c>
      <c r="J60" s="0" t="n">
        <f aca="false">J59+F60</f>
        <v>105795944.485379</v>
      </c>
      <c r="K60" s="0" t="n">
        <f aca="false">K59+G60</f>
        <v>83767789.8257215</v>
      </c>
      <c r="L60" s="0" t="n">
        <f aca="false">MAX(L59,J60)</f>
        <v>131335252.596733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123448392.330534</v>
      </c>
      <c r="P60" s="0" t="n">
        <f aca="false">(L_I3!V50-L_S1!V50)*D60</f>
        <v>-0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(L_I3!AO51-L_S1!AO51)*C61</f>
        <v>-0</v>
      </c>
      <c r="F61" s="0" t="n">
        <f aca="false">(L_I3!AP51-L_S1!AP51)*C61</f>
        <v>-0</v>
      </c>
      <c r="G61" s="0" t="n">
        <f aca="false">(L_I3!AQ51-L_S1!AQ51)*C61</f>
        <v>-0</v>
      </c>
      <c r="H61" s="0" t="n">
        <f aca="false">(L_I3!AS51-L_S1!AS51)*C61</f>
        <v>0</v>
      </c>
      <c r="I61" s="0" t="n">
        <f aca="false">I60+E61</f>
        <v>115948663.386122</v>
      </c>
      <c r="J61" s="0" t="n">
        <f aca="false">J60+F61</f>
        <v>105795944.485379</v>
      </c>
      <c r="K61" s="0" t="n">
        <f aca="false">K60+G61</f>
        <v>83767789.8257215</v>
      </c>
      <c r="L61" s="0" t="n">
        <f aca="false">MAX(L60,J61)</f>
        <v>131335252.596733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123448392.330534</v>
      </c>
      <c r="P61" s="0" t="n">
        <f aca="false">(L_I3!V51-L_S1!V51)*D61</f>
        <v>-0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(L_I3!AO52-L_S1!AO52)*C62</f>
        <v>-0</v>
      </c>
      <c r="F62" s="0" t="n">
        <f aca="false">(L_I3!AP52-L_S1!AP52)*C62</f>
        <v>-0</v>
      </c>
      <c r="G62" s="0" t="n">
        <f aca="false">(L_I3!AQ52-L_S1!AQ52)*C62</f>
        <v>-0</v>
      </c>
      <c r="H62" s="0" t="n">
        <f aca="false">(L_I3!AS52-L_S1!AS52)*C62</f>
        <v>0</v>
      </c>
      <c r="I62" s="0" t="n">
        <f aca="false">I61+E62</f>
        <v>115948663.386122</v>
      </c>
      <c r="J62" s="0" t="n">
        <f aca="false">J61+F62</f>
        <v>105795944.485379</v>
      </c>
      <c r="K62" s="0" t="n">
        <f aca="false">K61+G62</f>
        <v>83767789.8257215</v>
      </c>
      <c r="L62" s="0" t="n">
        <f aca="false">MAX(L61,J62)</f>
        <v>131335252.596733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123448392.330534</v>
      </c>
      <c r="P62" s="0" t="n">
        <f aca="false">(L_I3!V52-L_S1!V52)*D62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641</v>
      </c>
    </row>
    <row r="2" customFormat="false" ht="15" hidden="false" customHeight="false" outlineLevel="0" collapsed="false">
      <c r="A2" s="1" t="s">
        <v>614</v>
      </c>
      <c r="B2" s="0" t="n">
        <f aca="false">x_H</f>
        <v>20</v>
      </c>
    </row>
    <row r="3" customFormat="false" ht="15" hidden="false" customHeight="false" outlineLevel="0" collapsed="false">
      <c r="A3" s="1" t="s">
        <v>615</v>
      </c>
      <c r="B3" s="0" t="n">
        <f aca="false">SUM(H13:H62)</f>
        <v>2835456255.78872</v>
      </c>
    </row>
    <row r="4" customFormat="false" ht="15" hidden="false" customHeight="false" outlineLevel="0" collapsed="false">
      <c r="A4" s="1" t="s">
        <v>616</v>
      </c>
      <c r="B4" s="0" t="n">
        <f aca="false">SUM(F13:F62)</f>
        <v>2548069216.41668</v>
      </c>
    </row>
    <row r="5" customFormat="false" ht="15" hidden="false" customHeight="false" outlineLevel="0" collapsed="false">
      <c r="A5" s="1" t="s">
        <v>617</v>
      </c>
      <c r="B5" s="0" t="n">
        <f aca="false">B3-B4</f>
        <v>287387039.372037</v>
      </c>
    </row>
    <row r="6" customFormat="false" ht="15" hidden="false" customHeight="false" outlineLevel="0" collapsed="false">
      <c r="A6" s="1" t="s">
        <v>618</v>
      </c>
      <c r="B6" s="0" t="n">
        <f aca="false">IF(B3=0,"—",(B5-B3)/ABS(B3))</f>
        <v>-0.898645221986648</v>
      </c>
    </row>
    <row r="7" customFormat="false" ht="15" hidden="false" customHeight="false" outlineLevel="0" collapsed="false">
      <c r="A7" s="1" t="s">
        <v>619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620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621</v>
      </c>
      <c r="B9" s="0" t="n">
        <f aca="false">SUM(E13:E62)</f>
        <v>2730888999.78947</v>
      </c>
    </row>
    <row r="10" customFormat="false" ht="15" hidden="false" customHeight="false" outlineLevel="0" collapsed="false">
      <c r="A10" s="1" t="s">
        <v>622</v>
      </c>
      <c r="B10" s="0" t="n">
        <f aca="false">IFERROR(B4/SUM(P13:P62),"—")</f>
        <v>70081.1474595353</v>
      </c>
    </row>
    <row r="11" customFormat="false" ht="15" hidden="false" customHeight="false" outlineLevel="0" collapsed="false">
      <c r="A11" s="1" t="s">
        <v>623</v>
      </c>
      <c r="B11" s="0" t="n">
        <f aca="false">IFERROR(B9/SUM(P13:P62),"—")</f>
        <v>75109.3547446914</v>
      </c>
    </row>
    <row r="12" customFormat="false" ht="55.2" hidden="false" customHeight="false" outlineLevel="0" collapsed="false">
      <c r="A12" s="3" t="s">
        <v>320</v>
      </c>
      <c r="B12" s="3" t="s">
        <v>565</v>
      </c>
      <c r="C12" s="3" t="s">
        <v>624</v>
      </c>
      <c r="D12" s="3" t="s">
        <v>625</v>
      </c>
      <c r="E12" s="3" t="s">
        <v>626</v>
      </c>
      <c r="F12" s="3" t="s">
        <v>627</v>
      </c>
      <c r="G12" s="3" t="s">
        <v>628</v>
      </c>
      <c r="H12" s="3" t="s">
        <v>629</v>
      </c>
      <c r="I12" s="3" t="s">
        <v>630</v>
      </c>
      <c r="J12" s="3" t="s">
        <v>631</v>
      </c>
      <c r="K12" s="3" t="s">
        <v>632</v>
      </c>
      <c r="L12" s="3" t="s">
        <v>633</v>
      </c>
      <c r="M12" s="3" t="s">
        <v>634</v>
      </c>
      <c r="N12" s="3" t="s">
        <v>635</v>
      </c>
      <c r="O12" s="3" t="s">
        <v>636</v>
      </c>
      <c r="P12" s="3" t="s">
        <v>637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(L_I4!AO3-L_S1!AO3)*C13</f>
        <v>158527482.41896</v>
      </c>
      <c r="F13" s="0" t="n">
        <f aca="false">(L_I4!AP3-L_S1!AP3)*C13</f>
        <v>163313848.864642</v>
      </c>
      <c r="G13" s="0" t="n">
        <f aca="false">(L_I4!AQ3-L_S1!AQ3)*C13</f>
        <v>162806059.535643</v>
      </c>
      <c r="H13" s="0" t="n">
        <f aca="false">(L_I4!AS3-L_S1!AS3)*C13</f>
        <v>152580053.702423</v>
      </c>
      <c r="I13" s="0" t="n">
        <f aca="false">E13</f>
        <v>158527482.41896</v>
      </c>
      <c r="J13" s="0" t="n">
        <f aca="false">F13</f>
        <v>163313848.864642</v>
      </c>
      <c r="K13" s="0" t="n">
        <f aca="false">G13</f>
        <v>162806059.535643</v>
      </c>
      <c r="L13" s="0" t="n">
        <f aca="false">J13</f>
        <v>163313848.864642</v>
      </c>
      <c r="M13" s="0" t="n">
        <v>0</v>
      </c>
      <c r="N13" s="0" t="n">
        <v>0</v>
      </c>
      <c r="O13" s="0" t="n">
        <f aca="false">I13</f>
        <v>158527482.41896</v>
      </c>
      <c r="P13" s="0" t="n">
        <f aca="false">(L_I4!V3-L_S1!V3)*D13</f>
        <v>227.119000000006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(L_I4!AO4-L_S1!AO4)*C14</f>
        <v>293709174.049165</v>
      </c>
      <c r="F14" s="0" t="n">
        <f aca="false">(L_I4!AP4-L_S1!AP4)*C14</f>
        <v>300190269.271616</v>
      </c>
      <c r="G14" s="0" t="n">
        <f aca="false">(L_I4!AQ4-L_S1!AQ4)*C14</f>
        <v>299272357.280103</v>
      </c>
      <c r="H14" s="0" t="n">
        <f aca="false">(L_I4!AS4-L_S1!AS4)*C14</f>
        <v>283478753.085927</v>
      </c>
      <c r="I14" s="0" t="n">
        <f aca="false">I13+E14</f>
        <v>452236656.468125</v>
      </c>
      <c r="J14" s="0" t="n">
        <f aca="false">J13+F14</f>
        <v>463504118.136258</v>
      </c>
      <c r="K14" s="0" t="n">
        <f aca="false">K13+G14</f>
        <v>462078416.815746</v>
      </c>
      <c r="L14" s="0" t="n">
        <f aca="false">MAX(L13,J14)</f>
        <v>463504118.136258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452236656.468125</v>
      </c>
      <c r="P14" s="0" t="n">
        <f aca="false">(L_I4!V4-L_S1!V4)*D14</f>
        <v>489.774879227054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(L_I4!AO5-L_S1!AO5)*C15</f>
        <v>402797704.952932</v>
      </c>
      <c r="F15" s="0" t="n">
        <f aca="false">(L_I4!AP5-L_S1!AP5)*C15</f>
        <v>409251829.375636</v>
      </c>
      <c r="G15" s="0" t="n">
        <f aca="false">(L_I4!AQ5-L_S1!AQ5)*C15</f>
        <v>407862949.838604</v>
      </c>
      <c r="H15" s="0" t="n">
        <f aca="false">(L_I4!AS5-L_S1!AS5)*C15</f>
        <v>391087796.74749</v>
      </c>
      <c r="I15" s="0" t="n">
        <f aca="false">I14+E15</f>
        <v>855034361.421057</v>
      </c>
      <c r="J15" s="0" t="n">
        <f aca="false">J14+F15</f>
        <v>872755947.511894</v>
      </c>
      <c r="K15" s="0" t="n">
        <f aca="false">K14+G15</f>
        <v>869941366.65435</v>
      </c>
      <c r="L15" s="0" t="n">
        <f aca="false">MAX(L14,J15)</f>
        <v>872755947.511894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855034361.421057</v>
      </c>
      <c r="P15" s="0" t="n">
        <f aca="false">(L_I4!V5-L_S1!V5)*D15</f>
        <v>788.262969964286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(L_I4!AO6-L_S1!AO6)*C16</f>
        <v>368022292.889781</v>
      </c>
      <c r="F16" s="0" t="n">
        <f aca="false">(L_I4!AP6-L_S1!AP6)*C16</f>
        <v>372417763.910221</v>
      </c>
      <c r="G16" s="0" t="n">
        <f aca="false">(L_I4!AQ6-L_S1!AQ6)*C16</f>
        <v>370355450.972031</v>
      </c>
      <c r="H16" s="0" t="n">
        <f aca="false">(L_I4!AS6-L_S1!AS6)*C16</f>
        <v>357063467.433104</v>
      </c>
      <c r="I16" s="0" t="n">
        <f aca="false">I15+E16</f>
        <v>1223056654.31084</v>
      </c>
      <c r="J16" s="0" t="n">
        <f aca="false">J15+F16</f>
        <v>1245173711.42211</v>
      </c>
      <c r="K16" s="0" t="n">
        <f aca="false">K15+G16</f>
        <v>1240296817.62638</v>
      </c>
      <c r="L16" s="0" t="n">
        <f aca="false">MAX(L15,J16)</f>
        <v>1245173711.42211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1223056654.31084</v>
      </c>
      <c r="P16" s="0" t="n">
        <f aca="false">(L_I4!V6-L_S1!V6)*D16</f>
        <v>1074.01262922725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(L_I4!AO7-L_S1!AO7)*C17</f>
        <v>337666725.038477</v>
      </c>
      <c r="F17" s="0" t="n">
        <f aca="false">(L_I4!AP7-L_S1!AP7)*C17</f>
        <v>339611100.830952</v>
      </c>
      <c r="G17" s="0" t="n">
        <f aca="false">(L_I4!AQ7-L_S1!AQ7)*C17</f>
        <v>336479826.596135</v>
      </c>
      <c r="H17" s="0" t="n">
        <f aca="false">(L_I4!AS7-L_S1!AS7)*C17</f>
        <v>328281901.453797</v>
      </c>
      <c r="I17" s="0" t="n">
        <f aca="false">I16+E17</f>
        <v>1560723379.34932</v>
      </c>
      <c r="J17" s="0" t="n">
        <f aca="false">J16+F17</f>
        <v>1584784812.25307</v>
      </c>
      <c r="K17" s="0" t="n">
        <f aca="false">K16+G17</f>
        <v>1576776644.22252</v>
      </c>
      <c r="L17" s="0" t="n">
        <f aca="false">MAX(L16,J17)</f>
        <v>1584784812.25307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1560723379.34932</v>
      </c>
      <c r="P17" s="0" t="n">
        <f aca="false">(L_I4!V7-L_S1!V7)*D17</f>
        <v>1347.05012375186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(L_I4!AO8-L_S1!AO8)*C18</f>
        <v>310762584.353208</v>
      </c>
      <c r="F18" s="0" t="n">
        <f aca="false">(L_I4!AP8-L_S1!AP8)*C18</f>
        <v>309874255.933805</v>
      </c>
      <c r="G18" s="0" t="n">
        <f aca="false">(L_I4!AQ8-L_S1!AQ8)*C18</f>
        <v>305268692.655922</v>
      </c>
      <c r="H18" s="0" t="n">
        <f aca="false">(L_I4!AS8-L_S1!AS8)*C18</f>
        <v>303497310.845434</v>
      </c>
      <c r="I18" s="0" t="n">
        <f aca="false">I17+E18</f>
        <v>1871485963.70252</v>
      </c>
      <c r="J18" s="0" t="n">
        <f aca="false">J17+F18</f>
        <v>1894659068.18687</v>
      </c>
      <c r="K18" s="0" t="n">
        <f aca="false">K17+G18</f>
        <v>1882045336.87844</v>
      </c>
      <c r="L18" s="0" t="n">
        <f aca="false">MAX(L17,J18)</f>
        <v>1894659068.18687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1871485963.70252</v>
      </c>
      <c r="P18" s="0" t="n">
        <f aca="false">(L_I4!V8-L_S1!V8)*D18</f>
        <v>1603.285304332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(L_I4!AO9-L_S1!AO9)*C19</f>
        <v>286614100.950347</v>
      </c>
      <c r="F19" s="0" t="n">
        <f aca="false">(L_I4!AP9-L_S1!AP9)*C19</f>
        <v>282538083.87017</v>
      </c>
      <c r="G19" s="0" t="n">
        <f aca="false">(L_I4!AQ9-L_S1!AQ9)*C19</f>
        <v>276062739.594976</v>
      </c>
      <c r="H19" s="0" t="n">
        <f aca="false">(L_I4!AS9-L_S1!AS9)*C19</f>
        <v>281815742.485796</v>
      </c>
      <c r="I19" s="0" t="n">
        <f aca="false">I18+E19</f>
        <v>2158100064.65287</v>
      </c>
      <c r="J19" s="0" t="n">
        <f aca="false">J18+F19</f>
        <v>2177197152.05704</v>
      </c>
      <c r="K19" s="0" t="n">
        <f aca="false">K18+G19</f>
        <v>2158108076.47341</v>
      </c>
      <c r="L19" s="0" t="n">
        <f aca="false">MAX(L18,J19)</f>
        <v>2177197152.05704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2158100064.65287</v>
      </c>
      <c r="P19" s="0" t="n">
        <f aca="false">(L_I4!V9-L_S1!V9)*D19</f>
        <v>1838.85231290548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(L_I4!AO10-L_S1!AO10)*C20</f>
        <v>264716943.222361</v>
      </c>
      <c r="F20" s="0" t="n">
        <f aca="false">(L_I4!AP10-L_S1!AP10)*C20</f>
        <v>257136939.188054</v>
      </c>
      <c r="G20" s="0" t="n">
        <f aca="false">(L_I4!AQ10-L_S1!AQ10)*C20</f>
        <v>248420716.013131</v>
      </c>
      <c r="H20" s="0" t="n">
        <f aca="false">(L_I4!AS10-L_S1!AS10)*C20</f>
        <v>262587262.425963</v>
      </c>
      <c r="I20" s="0" t="n">
        <f aca="false">I19+E20</f>
        <v>2422817007.87523</v>
      </c>
      <c r="J20" s="0" t="n">
        <f aca="false">J19+F20</f>
        <v>2434334091.2451</v>
      </c>
      <c r="K20" s="0" t="n">
        <f aca="false">K19+G20</f>
        <v>2406528792.48655</v>
      </c>
      <c r="L20" s="0" t="n">
        <f aca="false">MAX(L19,J20)</f>
        <v>2434334091.2451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2422817007.87523</v>
      </c>
      <c r="P20" s="0" t="n">
        <f aca="false">(L_I4!V10-L_S1!V10)*D20</f>
        <v>2050.69443191788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(L_I4!AO11-L_S1!AO11)*C21</f>
        <v>244713213.834587</v>
      </c>
      <c r="F21" s="0" t="n">
        <f aca="false">(L_I4!AP11-L_S1!AP11)*C21</f>
        <v>233360904.50776</v>
      </c>
      <c r="G21" s="0" t="n">
        <f aca="false">(L_I4!AQ11-L_S1!AQ11)*C21</f>
        <v>222068312.433556</v>
      </c>
      <c r="H21" s="0" t="n">
        <f aca="false">(L_I4!AS11-L_S1!AS11)*C21</f>
        <v>245340177.852391</v>
      </c>
      <c r="I21" s="0" t="n">
        <f aca="false">I20+E21</f>
        <v>2667530221.70982</v>
      </c>
      <c r="J21" s="0" t="n">
        <f aca="false">J20+F21</f>
        <v>2667694995.75286</v>
      </c>
      <c r="K21" s="0" t="n">
        <f aca="false">K20+G21</f>
        <v>2628597104.9201</v>
      </c>
      <c r="L21" s="0" t="n">
        <f aca="false">MAX(L20,J21)</f>
        <v>2667694995.75286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2667530221.70982</v>
      </c>
      <c r="P21" s="0" t="n">
        <f aca="false">(L_I4!V11-L_S1!V11)*D21</f>
        <v>2236.97583879952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(L_I4!AO12-L_S1!AO12)*C22</f>
        <v>223948630.641629</v>
      </c>
      <c r="F22" s="0" t="n">
        <f aca="false">(L_I4!AP12-L_S1!AP12)*C22</f>
        <v>207469307.885705</v>
      </c>
      <c r="G22" s="0" t="n">
        <f aca="false">(L_I4!AQ12-L_S1!AQ12)*C22</f>
        <v>193487783.462175</v>
      </c>
      <c r="H22" s="0" t="n">
        <f aca="false">(L_I4!AS12-L_S1!AS12)*C22</f>
        <v>229723789.756397</v>
      </c>
      <c r="I22" s="0" t="n">
        <f aca="false">I21+E22</f>
        <v>2891478852.35145</v>
      </c>
      <c r="J22" s="0" t="n">
        <f aca="false">J21+F22</f>
        <v>2875164303.63856</v>
      </c>
      <c r="K22" s="0" t="n">
        <f aca="false">K21+G22</f>
        <v>2822084888.38228</v>
      </c>
      <c r="L22" s="0" t="n">
        <f aca="false">MAX(L21,J22)</f>
        <v>2875164303.63856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2891478852.35145</v>
      </c>
      <c r="P22" s="0" t="n">
        <f aca="false">(L_I4!V12-L_S1!V12)*D22</f>
        <v>2336.41586608853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(L_I4!AO13-L_S1!AO13)*C23</f>
        <v>-9050790.00599478</v>
      </c>
      <c r="F23" s="0" t="n">
        <f aca="false">(L_I4!AP13-L_S1!AP13)*C23</f>
        <v>-32505586.0230149</v>
      </c>
      <c r="G23" s="0" t="n">
        <f aca="false">(L_I4!AQ13-L_S1!AQ13)*C23</f>
        <v>-49383123.8505731</v>
      </c>
      <c r="H23" s="0" t="n">
        <f aca="false">(L_I4!AS13-L_S1!AS13)*C23</f>
        <v>0</v>
      </c>
      <c r="I23" s="0" t="n">
        <f aca="false">I22+E23</f>
        <v>2882428062.34545</v>
      </c>
      <c r="J23" s="0" t="n">
        <f aca="false">J22+F23</f>
        <v>2842658717.61555</v>
      </c>
      <c r="K23" s="0" t="n">
        <f aca="false">K22+G23</f>
        <v>2772701764.5317</v>
      </c>
      <c r="L23" s="0" t="n">
        <f aca="false">MAX(L22,J23)</f>
        <v>2875164303.63856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2891478852.35145</v>
      </c>
      <c r="P23" s="0" t="n">
        <f aca="false">(L_I4!V13-L_S1!V13)*D23</f>
        <v>2355.9555649522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(L_I4!AO14-L_S1!AO14)*C24</f>
        <v>-11933195.0482295</v>
      </c>
      <c r="F24" s="0" t="n">
        <f aca="false">(L_I4!AP14-L_S1!AP14)*C24</f>
        <v>-38960317.6868978</v>
      </c>
      <c r="G24" s="0" t="n">
        <f aca="false">(L_I4!AQ14-L_S1!AQ14)*C24</f>
        <v>-58972559.2469918</v>
      </c>
      <c r="H24" s="0" t="n">
        <f aca="false">(L_I4!AS14-L_S1!AS14)*C24</f>
        <v>0</v>
      </c>
      <c r="I24" s="0" t="n">
        <f aca="false">I23+E24</f>
        <v>2870494867.29722</v>
      </c>
      <c r="J24" s="0" t="n">
        <f aca="false">J23+F24</f>
        <v>2803698399.92865</v>
      </c>
      <c r="K24" s="0" t="n">
        <f aca="false">K23+G24</f>
        <v>2713729205.28471</v>
      </c>
      <c r="L24" s="0" t="n">
        <f aca="false">MAX(L23,J24)</f>
        <v>2875164303.63856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2891478852.35145</v>
      </c>
      <c r="P24" s="0" t="n">
        <f aca="false">(L_I4!V14-L_S1!V14)*D24</f>
        <v>2358.56809859241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(L_I4!AO15-L_S1!AO15)*C25</f>
        <v>-14155010.2368334</v>
      </c>
      <c r="F25" s="0" t="n">
        <f aca="false">(L_I4!AP15-L_S1!AP15)*C25</f>
        <v>-33296379.9386229</v>
      </c>
      <c r="G25" s="0" t="n">
        <f aca="false">(L_I4!AQ15-L_S1!AQ15)*C25</f>
        <v>-47774290.7240878</v>
      </c>
      <c r="H25" s="0" t="n">
        <f aca="false">(L_I4!AS15-L_S1!AS15)*C25</f>
        <v>0</v>
      </c>
      <c r="I25" s="0" t="n">
        <f aca="false">I24+E25</f>
        <v>2856339857.06039</v>
      </c>
      <c r="J25" s="0" t="n">
        <f aca="false">J24+F25</f>
        <v>2770402019.99002</v>
      </c>
      <c r="K25" s="0" t="n">
        <f aca="false">K24+G25</f>
        <v>2665954914.56062</v>
      </c>
      <c r="L25" s="0" t="n">
        <f aca="false">MAX(L24,J25)</f>
        <v>2875164303.63856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2891478852.35145</v>
      </c>
      <c r="P25" s="0" t="n">
        <f aca="false">(L_I4!V15-L_S1!V15)*D25</f>
        <v>2345.26272699182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(L_I4!AO16-L_S1!AO16)*C26</f>
        <v>-15838089.4558585</v>
      </c>
      <c r="F26" s="0" t="n">
        <f aca="false">(L_I4!AP16-L_S1!AP16)*C26</f>
        <v>-26437902.4029224</v>
      </c>
      <c r="G26" s="0" t="n">
        <f aca="false">(L_I4!AQ16-L_S1!AQ16)*C26</f>
        <v>-34732577.5982132</v>
      </c>
      <c r="H26" s="0" t="n">
        <f aca="false">(L_I4!AS16-L_S1!AS16)*C26</f>
        <v>0</v>
      </c>
      <c r="I26" s="0" t="n">
        <f aca="false">I25+E26</f>
        <v>2840501767.60453</v>
      </c>
      <c r="J26" s="0" t="n">
        <f aca="false">J25+F26</f>
        <v>2743964117.5871</v>
      </c>
      <c r="K26" s="0" t="n">
        <f aca="false">K25+G26</f>
        <v>2631222336.96241</v>
      </c>
      <c r="L26" s="0" t="n">
        <f aca="false">MAX(L25,J26)</f>
        <v>2875164303.63856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2891478852.35145</v>
      </c>
      <c r="P26" s="0" t="n">
        <f aca="false">(L_I4!V16-L_S1!V16)*D26</f>
        <v>2319.09392593819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(L_I4!AO17-L_S1!AO17)*C27</f>
        <v>-17073344.715784</v>
      </c>
      <c r="F27" s="0" t="n">
        <f aca="false">(L_I4!AP17-L_S1!AP17)*C27</f>
        <v>-28814831.0152393</v>
      </c>
      <c r="G27" s="0" t="n">
        <f aca="false">(L_I4!AQ17-L_S1!AQ17)*C27</f>
        <v>-38170433.9921767</v>
      </c>
      <c r="H27" s="0" t="n">
        <f aca="false">(L_I4!AS17-L_S1!AS17)*C27</f>
        <v>0</v>
      </c>
      <c r="I27" s="0" t="n">
        <f aca="false">I26+E27</f>
        <v>2823428422.88875</v>
      </c>
      <c r="J27" s="0" t="n">
        <f aca="false">J26+F27</f>
        <v>2715149286.57186</v>
      </c>
      <c r="K27" s="0" t="n">
        <f aca="false">K26+G27</f>
        <v>2593051902.97023</v>
      </c>
      <c r="L27" s="0" t="n">
        <f aca="false">MAX(L26,J27)</f>
        <v>2875164303.63856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2891478852.35145</v>
      </c>
      <c r="P27" s="0" t="n">
        <f aca="false">(L_I4!V17-L_S1!V17)*D27</f>
        <v>2283.31902573541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(L_I4!AO18-L_S1!AO18)*C28</f>
        <v>-17930858.4481974</v>
      </c>
      <c r="F28" s="0" t="n">
        <f aca="false">(L_I4!AP18-L_S1!AP18)*C28</f>
        <v>-30782515.8226423</v>
      </c>
      <c r="G28" s="0" t="n">
        <f aca="false">(L_I4!AQ18-L_S1!AQ18)*C28</f>
        <v>-41185692.7021223</v>
      </c>
      <c r="H28" s="0" t="n">
        <f aca="false">(L_I4!AS18-L_S1!AS18)*C28</f>
        <v>0</v>
      </c>
      <c r="I28" s="0" t="n">
        <f aca="false">I27+E28</f>
        <v>2805497564.44055</v>
      </c>
      <c r="J28" s="0" t="n">
        <f aca="false">J27+F28</f>
        <v>2684366770.74922</v>
      </c>
      <c r="K28" s="0" t="n">
        <f aca="false">K27+G28</f>
        <v>2551866210.26811</v>
      </c>
      <c r="L28" s="0" t="n">
        <f aca="false">MAX(L27,J28)</f>
        <v>2875164303.63856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2891478852.35145</v>
      </c>
      <c r="P28" s="0" t="n">
        <f aca="false">(L_I4!V18-L_S1!V18)*D28</f>
        <v>2240.77990869195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(L_I4!AO19-L_S1!AO19)*C29</f>
        <v>-18470787.6134139</v>
      </c>
      <c r="F29" s="0" t="n">
        <f aca="false">(L_I4!AP19-L_S1!AP19)*C29</f>
        <v>-32395472.5648257</v>
      </c>
      <c r="G29" s="0" t="n">
        <f aca="false">(L_I4!AQ19-L_S1!AQ19)*C29</f>
        <v>-43824603.9148871</v>
      </c>
      <c r="H29" s="0" t="n">
        <f aca="false">(L_I4!AS19-L_S1!AS19)*C29</f>
        <v>0</v>
      </c>
      <c r="I29" s="0" t="n">
        <f aca="false">I28+E29</f>
        <v>2787026776.82714</v>
      </c>
      <c r="J29" s="0" t="n">
        <f aca="false">J28+F29</f>
        <v>2651971298.18439</v>
      </c>
      <c r="K29" s="0" t="n">
        <f aca="false">K28+G29</f>
        <v>2508041606.35323</v>
      </c>
      <c r="L29" s="0" t="n">
        <f aca="false">MAX(L28,J29)</f>
        <v>2875164303.63856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2891478852.35145</v>
      </c>
      <c r="P29" s="0" t="n">
        <f aca="false">(L_I4!V19-L_S1!V19)*D29</f>
        <v>2191.5314845187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(L_I4!AO20-L_S1!AO20)*C30</f>
        <v>-18738231.4790452</v>
      </c>
      <c r="F30" s="0" t="n">
        <f aca="false">(L_I4!AP20-L_S1!AP20)*C30</f>
        <v>-33693418.8460805</v>
      </c>
      <c r="G30" s="0" t="n">
        <f aca="false">(L_I4!AQ20-L_S1!AQ20)*C30</f>
        <v>-46119730.7306641</v>
      </c>
      <c r="H30" s="0" t="n">
        <f aca="false">(L_I4!AS20-L_S1!AS20)*C30</f>
        <v>0</v>
      </c>
      <c r="I30" s="0" t="n">
        <f aca="false">I29+E30</f>
        <v>2768288545.34809</v>
      </c>
      <c r="J30" s="0" t="n">
        <f aca="false">J29+F30</f>
        <v>2618277879.33831</v>
      </c>
      <c r="K30" s="0" t="n">
        <f aca="false">K29+G30</f>
        <v>2461921875.62256</v>
      </c>
      <c r="L30" s="0" t="n">
        <f aca="false">MAX(L29,J30)</f>
        <v>2875164303.63856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2891478852.35145</v>
      </c>
      <c r="P30" s="0" t="n">
        <f aca="false">(L_I4!V20-L_S1!V20)*D30</f>
        <v>2140.47770215808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(L_I4!AO21-L_S1!AO21)*C31</f>
        <v>-18775020.3388755</v>
      </c>
      <c r="F31" s="0" t="n">
        <f aca="false">(L_I4!AP21-L_S1!AP21)*C31</f>
        <v>-34713600.7775924</v>
      </c>
      <c r="G31" s="0" t="n">
        <f aca="false">(L_I4!AQ21-L_S1!AQ21)*C31</f>
        <v>-48102361.1044432</v>
      </c>
      <c r="H31" s="0" t="n">
        <f aca="false">(L_I4!AS21-L_S1!AS21)*C31</f>
        <v>0</v>
      </c>
      <c r="I31" s="0" t="n">
        <f aca="false">I30+E31</f>
        <v>2749513525.00921</v>
      </c>
      <c r="J31" s="0" t="n">
        <f aca="false">J30+F31</f>
        <v>2583564278.56072</v>
      </c>
      <c r="K31" s="0" t="n">
        <f aca="false">K30+G31</f>
        <v>2413819514.51812</v>
      </c>
      <c r="L31" s="0" t="n">
        <f aca="false">MAX(L30,J31)</f>
        <v>2875164303.63856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2891478852.35145</v>
      </c>
      <c r="P31" s="0" t="n">
        <f aca="false">(L_I4!V21-L_S1!V21)*D31</f>
        <v>2090.81646847623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(L_I4!AO22-L_S1!AO22)*C32</f>
        <v>-18624525.2197438</v>
      </c>
      <c r="F32" s="0" t="n">
        <f aca="false">(L_I4!AP22-L_S1!AP22)*C32</f>
        <v>-35495062.1440367</v>
      </c>
      <c r="G32" s="0" t="n">
        <f aca="false">(L_I4!AQ22-L_S1!AQ22)*C32</f>
        <v>-49806296.5150381</v>
      </c>
      <c r="H32" s="0" t="n">
        <f aca="false">(L_I4!AS22-L_S1!AS22)*C32</f>
        <v>0</v>
      </c>
      <c r="I32" s="0" t="n">
        <f aca="false">I31+E32</f>
        <v>2730888999.78947</v>
      </c>
      <c r="J32" s="0" t="n">
        <f aca="false">J31+F32</f>
        <v>2548069216.41669</v>
      </c>
      <c r="K32" s="0" t="n">
        <f aca="false">K31+G32</f>
        <v>2364013218.00308</v>
      </c>
      <c r="L32" s="0" t="n">
        <f aca="false">MAX(L31,J32)</f>
        <v>2875164303.63856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2891478852.35145</v>
      </c>
      <c r="P32" s="0" t="n">
        <f aca="false">(L_I4!V22-L_S1!V22)*D32</f>
        <v>2040.59157961494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(L_I4!AO23-L_S1!AO23)*C33</f>
        <v>-0</v>
      </c>
      <c r="F33" s="0" t="n">
        <f aca="false">(L_I4!AP23-L_S1!AP23)*C33</f>
        <v>-0</v>
      </c>
      <c r="G33" s="0" t="n">
        <f aca="false">(L_I4!AQ23-L_S1!AQ23)*C33</f>
        <v>-0</v>
      </c>
      <c r="H33" s="0" t="n">
        <f aca="false">(L_I4!AS23-L_S1!AS23)*C33</f>
        <v>0</v>
      </c>
      <c r="I33" s="0" t="n">
        <f aca="false">I32+E33</f>
        <v>2730888999.78947</v>
      </c>
      <c r="J33" s="0" t="n">
        <f aca="false">J32+F33</f>
        <v>2548069216.41669</v>
      </c>
      <c r="K33" s="0" t="n">
        <f aca="false">K32+G33</f>
        <v>2364013218.00308</v>
      </c>
      <c r="L33" s="0" t="n">
        <f aca="false">MAX(L32,J33)</f>
        <v>2875164303.63856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2891478852.35145</v>
      </c>
      <c r="P33" s="0" t="n">
        <f aca="false">(L_I4!V23-L_S1!V23)*D33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(L_I4!AO24-L_S1!AO24)*C34</f>
        <v>-0</v>
      </c>
      <c r="F34" s="0" t="n">
        <f aca="false">(L_I4!AP24-L_S1!AP24)*C34</f>
        <v>-0</v>
      </c>
      <c r="G34" s="0" t="n">
        <f aca="false">(L_I4!AQ24-L_S1!AQ24)*C34</f>
        <v>-0</v>
      </c>
      <c r="H34" s="0" t="n">
        <f aca="false">(L_I4!AS24-L_S1!AS24)*C34</f>
        <v>0</v>
      </c>
      <c r="I34" s="0" t="n">
        <f aca="false">I33+E34</f>
        <v>2730888999.78947</v>
      </c>
      <c r="J34" s="0" t="n">
        <f aca="false">J33+F34</f>
        <v>2548069216.41669</v>
      </c>
      <c r="K34" s="0" t="n">
        <f aca="false">K33+G34</f>
        <v>2364013218.00308</v>
      </c>
      <c r="L34" s="0" t="n">
        <f aca="false">MAX(L33,J34)</f>
        <v>2875164303.63856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2891478852.35145</v>
      </c>
      <c r="P34" s="0" t="n">
        <f aca="false">(L_I4!V24-L_S1!V24)*D34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(L_I4!AO25-L_S1!AO25)*C35</f>
        <v>-0</v>
      </c>
      <c r="F35" s="0" t="n">
        <f aca="false">(L_I4!AP25-L_S1!AP25)*C35</f>
        <v>-0</v>
      </c>
      <c r="G35" s="0" t="n">
        <f aca="false">(L_I4!AQ25-L_S1!AQ25)*C35</f>
        <v>-0</v>
      </c>
      <c r="H35" s="0" t="n">
        <f aca="false">(L_I4!AS25-L_S1!AS25)*C35</f>
        <v>0</v>
      </c>
      <c r="I35" s="0" t="n">
        <f aca="false">I34+E35</f>
        <v>2730888999.78947</v>
      </c>
      <c r="J35" s="0" t="n">
        <f aca="false">J34+F35</f>
        <v>2548069216.41669</v>
      </c>
      <c r="K35" s="0" t="n">
        <f aca="false">K34+G35</f>
        <v>2364013218.00308</v>
      </c>
      <c r="L35" s="0" t="n">
        <f aca="false">MAX(L34,J35)</f>
        <v>2875164303.63856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2891478852.35145</v>
      </c>
      <c r="P35" s="0" t="n">
        <f aca="false">(L_I4!V25-L_S1!V25)*D35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(L_I4!AO26-L_S1!AO26)*C36</f>
        <v>-0</v>
      </c>
      <c r="F36" s="0" t="n">
        <f aca="false">(L_I4!AP26-L_S1!AP26)*C36</f>
        <v>-0</v>
      </c>
      <c r="G36" s="0" t="n">
        <f aca="false">(L_I4!AQ26-L_S1!AQ26)*C36</f>
        <v>-0</v>
      </c>
      <c r="H36" s="0" t="n">
        <f aca="false">(L_I4!AS26-L_S1!AS26)*C36</f>
        <v>0</v>
      </c>
      <c r="I36" s="0" t="n">
        <f aca="false">I35+E36</f>
        <v>2730888999.78947</v>
      </c>
      <c r="J36" s="0" t="n">
        <f aca="false">J35+F36</f>
        <v>2548069216.41669</v>
      </c>
      <c r="K36" s="0" t="n">
        <f aca="false">K35+G36</f>
        <v>2364013218.00308</v>
      </c>
      <c r="L36" s="0" t="n">
        <f aca="false">MAX(L35,J36)</f>
        <v>2875164303.63856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2891478852.35145</v>
      </c>
      <c r="P36" s="0" t="n">
        <f aca="false">(L_I4!V26-L_S1!V26)*D36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(L_I4!AO27-L_S1!AO27)*C37</f>
        <v>-0</v>
      </c>
      <c r="F37" s="0" t="n">
        <f aca="false">(L_I4!AP27-L_S1!AP27)*C37</f>
        <v>-0</v>
      </c>
      <c r="G37" s="0" t="n">
        <f aca="false">(L_I4!AQ27-L_S1!AQ27)*C37</f>
        <v>-0</v>
      </c>
      <c r="H37" s="0" t="n">
        <f aca="false">(L_I4!AS27-L_S1!AS27)*C37</f>
        <v>0</v>
      </c>
      <c r="I37" s="0" t="n">
        <f aca="false">I36+E37</f>
        <v>2730888999.78947</v>
      </c>
      <c r="J37" s="0" t="n">
        <f aca="false">J36+F37</f>
        <v>2548069216.41669</v>
      </c>
      <c r="K37" s="0" t="n">
        <f aca="false">K36+G37</f>
        <v>2364013218.00308</v>
      </c>
      <c r="L37" s="0" t="n">
        <f aca="false">MAX(L36,J37)</f>
        <v>2875164303.63856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2891478852.35145</v>
      </c>
      <c r="P37" s="0" t="n">
        <f aca="false">(L_I4!V27-L_S1!V27)*D37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(L_I4!AO28-L_S1!AO28)*C38</f>
        <v>-0</v>
      </c>
      <c r="F38" s="0" t="n">
        <f aca="false">(L_I4!AP28-L_S1!AP28)*C38</f>
        <v>-0</v>
      </c>
      <c r="G38" s="0" t="n">
        <f aca="false">(L_I4!AQ28-L_S1!AQ28)*C38</f>
        <v>-0</v>
      </c>
      <c r="H38" s="0" t="n">
        <f aca="false">(L_I4!AS28-L_S1!AS28)*C38</f>
        <v>0</v>
      </c>
      <c r="I38" s="0" t="n">
        <f aca="false">I37+E38</f>
        <v>2730888999.78947</v>
      </c>
      <c r="J38" s="0" t="n">
        <f aca="false">J37+F38</f>
        <v>2548069216.41669</v>
      </c>
      <c r="K38" s="0" t="n">
        <f aca="false">K37+G38</f>
        <v>2364013218.00308</v>
      </c>
      <c r="L38" s="0" t="n">
        <f aca="false">MAX(L37,J38)</f>
        <v>2875164303.63856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2891478852.35145</v>
      </c>
      <c r="P38" s="0" t="n">
        <f aca="false">(L_I4!V28-L_S1!V28)*D38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(L_I4!AO29-L_S1!AO29)*C39</f>
        <v>-0</v>
      </c>
      <c r="F39" s="0" t="n">
        <f aca="false">(L_I4!AP29-L_S1!AP29)*C39</f>
        <v>-0</v>
      </c>
      <c r="G39" s="0" t="n">
        <f aca="false">(L_I4!AQ29-L_S1!AQ29)*C39</f>
        <v>-0</v>
      </c>
      <c r="H39" s="0" t="n">
        <f aca="false">(L_I4!AS29-L_S1!AS29)*C39</f>
        <v>0</v>
      </c>
      <c r="I39" s="0" t="n">
        <f aca="false">I38+E39</f>
        <v>2730888999.78947</v>
      </c>
      <c r="J39" s="0" t="n">
        <f aca="false">J38+F39</f>
        <v>2548069216.41669</v>
      </c>
      <c r="K39" s="0" t="n">
        <f aca="false">K38+G39</f>
        <v>2364013218.00308</v>
      </c>
      <c r="L39" s="0" t="n">
        <f aca="false">MAX(L38,J39)</f>
        <v>2875164303.63856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2891478852.35145</v>
      </c>
      <c r="P39" s="0" t="n">
        <f aca="false">(L_I4!V29-L_S1!V29)*D39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(L_I4!AO30-L_S1!AO30)*C40</f>
        <v>-0</v>
      </c>
      <c r="F40" s="0" t="n">
        <f aca="false">(L_I4!AP30-L_S1!AP30)*C40</f>
        <v>-0</v>
      </c>
      <c r="G40" s="0" t="n">
        <f aca="false">(L_I4!AQ30-L_S1!AQ30)*C40</f>
        <v>-0</v>
      </c>
      <c r="H40" s="0" t="n">
        <f aca="false">(L_I4!AS30-L_S1!AS30)*C40</f>
        <v>0</v>
      </c>
      <c r="I40" s="0" t="n">
        <f aca="false">I39+E40</f>
        <v>2730888999.78947</v>
      </c>
      <c r="J40" s="0" t="n">
        <f aca="false">J39+F40</f>
        <v>2548069216.41669</v>
      </c>
      <c r="K40" s="0" t="n">
        <f aca="false">K39+G40</f>
        <v>2364013218.00308</v>
      </c>
      <c r="L40" s="0" t="n">
        <f aca="false">MAX(L39,J40)</f>
        <v>2875164303.63856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2891478852.35145</v>
      </c>
      <c r="P40" s="0" t="n">
        <f aca="false">(L_I4!V30-L_S1!V30)*D40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(L_I4!AO31-L_S1!AO31)*C41</f>
        <v>-0</v>
      </c>
      <c r="F41" s="0" t="n">
        <f aca="false">(L_I4!AP31-L_S1!AP31)*C41</f>
        <v>-0</v>
      </c>
      <c r="G41" s="0" t="n">
        <f aca="false">(L_I4!AQ31-L_S1!AQ31)*C41</f>
        <v>-0</v>
      </c>
      <c r="H41" s="0" t="n">
        <f aca="false">(L_I4!AS31-L_S1!AS31)*C41</f>
        <v>0</v>
      </c>
      <c r="I41" s="0" t="n">
        <f aca="false">I40+E41</f>
        <v>2730888999.78947</v>
      </c>
      <c r="J41" s="0" t="n">
        <f aca="false">J40+F41</f>
        <v>2548069216.41669</v>
      </c>
      <c r="K41" s="0" t="n">
        <f aca="false">K40+G41</f>
        <v>2364013218.00308</v>
      </c>
      <c r="L41" s="0" t="n">
        <f aca="false">MAX(L40,J41)</f>
        <v>2875164303.63856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2891478852.35145</v>
      </c>
      <c r="P41" s="0" t="n">
        <f aca="false">(L_I4!V31-L_S1!V31)*D41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(L_I4!AO32-L_S1!AO32)*C42</f>
        <v>-0</v>
      </c>
      <c r="F42" s="0" t="n">
        <f aca="false">(L_I4!AP32-L_S1!AP32)*C42</f>
        <v>-0</v>
      </c>
      <c r="G42" s="0" t="n">
        <f aca="false">(L_I4!AQ32-L_S1!AQ32)*C42</f>
        <v>-0</v>
      </c>
      <c r="H42" s="0" t="n">
        <f aca="false">(L_I4!AS32-L_S1!AS32)*C42</f>
        <v>0</v>
      </c>
      <c r="I42" s="0" t="n">
        <f aca="false">I41+E42</f>
        <v>2730888999.78947</v>
      </c>
      <c r="J42" s="0" t="n">
        <f aca="false">J41+F42</f>
        <v>2548069216.41669</v>
      </c>
      <c r="K42" s="0" t="n">
        <f aca="false">K41+G42</f>
        <v>2364013218.00308</v>
      </c>
      <c r="L42" s="0" t="n">
        <f aca="false">MAX(L41,J42)</f>
        <v>2875164303.63856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2891478852.35145</v>
      </c>
      <c r="P42" s="0" t="n">
        <f aca="false">(L_I4!V32-L_S1!V32)*D42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(L_I4!AO33-L_S1!AO33)*C43</f>
        <v>-0</v>
      </c>
      <c r="F43" s="0" t="n">
        <f aca="false">(L_I4!AP33-L_S1!AP33)*C43</f>
        <v>-0</v>
      </c>
      <c r="G43" s="0" t="n">
        <f aca="false">(L_I4!AQ33-L_S1!AQ33)*C43</f>
        <v>-0</v>
      </c>
      <c r="H43" s="0" t="n">
        <f aca="false">(L_I4!AS33-L_S1!AS33)*C43</f>
        <v>0</v>
      </c>
      <c r="I43" s="0" t="n">
        <f aca="false">I42+E43</f>
        <v>2730888999.78947</v>
      </c>
      <c r="J43" s="0" t="n">
        <f aca="false">J42+F43</f>
        <v>2548069216.41669</v>
      </c>
      <c r="K43" s="0" t="n">
        <f aca="false">K42+G43</f>
        <v>2364013218.00308</v>
      </c>
      <c r="L43" s="0" t="n">
        <f aca="false">MAX(L42,J43)</f>
        <v>2875164303.63856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2891478852.35145</v>
      </c>
      <c r="P43" s="0" t="n">
        <f aca="false">(L_I4!V33-L_S1!V33)*D43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(L_I4!AO34-L_S1!AO34)*C44</f>
        <v>-0</v>
      </c>
      <c r="F44" s="0" t="n">
        <f aca="false">(L_I4!AP34-L_S1!AP34)*C44</f>
        <v>-0</v>
      </c>
      <c r="G44" s="0" t="n">
        <f aca="false">(L_I4!AQ34-L_S1!AQ34)*C44</f>
        <v>-0</v>
      </c>
      <c r="H44" s="0" t="n">
        <f aca="false">(L_I4!AS34-L_S1!AS34)*C44</f>
        <v>0</v>
      </c>
      <c r="I44" s="0" t="n">
        <f aca="false">I43+E44</f>
        <v>2730888999.78947</v>
      </c>
      <c r="J44" s="0" t="n">
        <f aca="false">J43+F44</f>
        <v>2548069216.41669</v>
      </c>
      <c r="K44" s="0" t="n">
        <f aca="false">K43+G44</f>
        <v>2364013218.00308</v>
      </c>
      <c r="L44" s="0" t="n">
        <f aca="false">MAX(L43,J44)</f>
        <v>2875164303.63856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2891478852.35145</v>
      </c>
      <c r="P44" s="0" t="n">
        <f aca="false">(L_I4!V34-L_S1!V34)*D44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(L_I4!AO35-L_S1!AO35)*C45</f>
        <v>-0</v>
      </c>
      <c r="F45" s="0" t="n">
        <f aca="false">(L_I4!AP35-L_S1!AP35)*C45</f>
        <v>-0</v>
      </c>
      <c r="G45" s="0" t="n">
        <f aca="false">(L_I4!AQ35-L_S1!AQ35)*C45</f>
        <v>-0</v>
      </c>
      <c r="H45" s="0" t="n">
        <f aca="false">(L_I4!AS35-L_S1!AS35)*C45</f>
        <v>0</v>
      </c>
      <c r="I45" s="0" t="n">
        <f aca="false">I44+E45</f>
        <v>2730888999.78947</v>
      </c>
      <c r="J45" s="0" t="n">
        <f aca="false">J44+F45</f>
        <v>2548069216.41669</v>
      </c>
      <c r="K45" s="0" t="n">
        <f aca="false">K44+G45</f>
        <v>2364013218.00308</v>
      </c>
      <c r="L45" s="0" t="n">
        <f aca="false">MAX(L44,J45)</f>
        <v>2875164303.63856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2891478852.35145</v>
      </c>
      <c r="P45" s="0" t="n">
        <f aca="false">(L_I4!V35-L_S1!V35)*D45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(L_I4!AO36-L_S1!AO36)*C46</f>
        <v>-0</v>
      </c>
      <c r="F46" s="0" t="n">
        <f aca="false">(L_I4!AP36-L_S1!AP36)*C46</f>
        <v>-0</v>
      </c>
      <c r="G46" s="0" t="n">
        <f aca="false">(L_I4!AQ36-L_S1!AQ36)*C46</f>
        <v>-0</v>
      </c>
      <c r="H46" s="0" t="n">
        <f aca="false">(L_I4!AS36-L_S1!AS36)*C46</f>
        <v>0</v>
      </c>
      <c r="I46" s="0" t="n">
        <f aca="false">I45+E46</f>
        <v>2730888999.78947</v>
      </c>
      <c r="J46" s="0" t="n">
        <f aca="false">J45+F46</f>
        <v>2548069216.41669</v>
      </c>
      <c r="K46" s="0" t="n">
        <f aca="false">K45+G46</f>
        <v>2364013218.00308</v>
      </c>
      <c r="L46" s="0" t="n">
        <f aca="false">MAX(L45,J46)</f>
        <v>2875164303.63856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2891478852.35145</v>
      </c>
      <c r="P46" s="0" t="n">
        <f aca="false">(L_I4!V36-L_S1!V36)*D46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(L_I4!AO37-L_S1!AO37)*C47</f>
        <v>-0</v>
      </c>
      <c r="F47" s="0" t="n">
        <f aca="false">(L_I4!AP37-L_S1!AP37)*C47</f>
        <v>-0</v>
      </c>
      <c r="G47" s="0" t="n">
        <f aca="false">(L_I4!AQ37-L_S1!AQ37)*C47</f>
        <v>-0</v>
      </c>
      <c r="H47" s="0" t="n">
        <f aca="false">(L_I4!AS37-L_S1!AS37)*C47</f>
        <v>0</v>
      </c>
      <c r="I47" s="0" t="n">
        <f aca="false">I46+E47</f>
        <v>2730888999.78947</v>
      </c>
      <c r="J47" s="0" t="n">
        <f aca="false">J46+F47</f>
        <v>2548069216.41669</v>
      </c>
      <c r="K47" s="0" t="n">
        <f aca="false">K46+G47</f>
        <v>2364013218.00308</v>
      </c>
      <c r="L47" s="0" t="n">
        <f aca="false">MAX(L46,J47)</f>
        <v>2875164303.63856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2891478852.35145</v>
      </c>
      <c r="P47" s="0" t="n">
        <f aca="false">(L_I4!V37-L_S1!V37)*D47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(L_I4!AO38-L_S1!AO38)*C48</f>
        <v>-0</v>
      </c>
      <c r="F48" s="0" t="n">
        <f aca="false">(L_I4!AP38-L_S1!AP38)*C48</f>
        <v>-0</v>
      </c>
      <c r="G48" s="0" t="n">
        <f aca="false">(L_I4!AQ38-L_S1!AQ38)*C48</f>
        <v>-0</v>
      </c>
      <c r="H48" s="0" t="n">
        <f aca="false">(L_I4!AS38-L_S1!AS38)*C48</f>
        <v>0</v>
      </c>
      <c r="I48" s="0" t="n">
        <f aca="false">I47+E48</f>
        <v>2730888999.78947</v>
      </c>
      <c r="J48" s="0" t="n">
        <f aca="false">J47+F48</f>
        <v>2548069216.41669</v>
      </c>
      <c r="K48" s="0" t="n">
        <f aca="false">K47+G48</f>
        <v>2364013218.00308</v>
      </c>
      <c r="L48" s="0" t="n">
        <f aca="false">MAX(L47,J48)</f>
        <v>2875164303.63856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2891478852.35145</v>
      </c>
      <c r="P48" s="0" t="n">
        <f aca="false">(L_I4!V38-L_S1!V38)*D48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(L_I4!AO39-L_S1!AO39)*C49</f>
        <v>-0</v>
      </c>
      <c r="F49" s="0" t="n">
        <f aca="false">(L_I4!AP39-L_S1!AP39)*C49</f>
        <v>-0</v>
      </c>
      <c r="G49" s="0" t="n">
        <f aca="false">(L_I4!AQ39-L_S1!AQ39)*C49</f>
        <v>-0</v>
      </c>
      <c r="H49" s="0" t="n">
        <f aca="false">(L_I4!AS39-L_S1!AS39)*C49</f>
        <v>0</v>
      </c>
      <c r="I49" s="0" t="n">
        <f aca="false">I48+E49</f>
        <v>2730888999.78947</v>
      </c>
      <c r="J49" s="0" t="n">
        <f aca="false">J48+F49</f>
        <v>2548069216.41669</v>
      </c>
      <c r="K49" s="0" t="n">
        <f aca="false">K48+G49</f>
        <v>2364013218.00308</v>
      </c>
      <c r="L49" s="0" t="n">
        <f aca="false">MAX(L48,J49)</f>
        <v>2875164303.63856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2891478852.35145</v>
      </c>
      <c r="P49" s="0" t="n">
        <f aca="false">(L_I4!V39-L_S1!V39)*D49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(L_I4!AO40-L_S1!AO40)*C50</f>
        <v>-0</v>
      </c>
      <c r="F50" s="0" t="n">
        <f aca="false">(L_I4!AP40-L_S1!AP40)*C50</f>
        <v>-0</v>
      </c>
      <c r="G50" s="0" t="n">
        <f aca="false">(L_I4!AQ40-L_S1!AQ40)*C50</f>
        <v>-0</v>
      </c>
      <c r="H50" s="0" t="n">
        <f aca="false">(L_I4!AS40-L_S1!AS40)*C50</f>
        <v>0</v>
      </c>
      <c r="I50" s="0" t="n">
        <f aca="false">I49+E50</f>
        <v>2730888999.78947</v>
      </c>
      <c r="J50" s="0" t="n">
        <f aca="false">J49+F50</f>
        <v>2548069216.41669</v>
      </c>
      <c r="K50" s="0" t="n">
        <f aca="false">K49+G50</f>
        <v>2364013218.00308</v>
      </c>
      <c r="L50" s="0" t="n">
        <f aca="false">MAX(L49,J50)</f>
        <v>2875164303.63856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2891478852.35145</v>
      </c>
      <c r="P50" s="0" t="n">
        <f aca="false">(L_I4!V40-L_S1!V40)*D50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(L_I4!AO41-L_S1!AO41)*C51</f>
        <v>-0</v>
      </c>
      <c r="F51" s="0" t="n">
        <f aca="false">(L_I4!AP41-L_S1!AP41)*C51</f>
        <v>-0</v>
      </c>
      <c r="G51" s="0" t="n">
        <f aca="false">(L_I4!AQ41-L_S1!AQ41)*C51</f>
        <v>-0</v>
      </c>
      <c r="H51" s="0" t="n">
        <f aca="false">(L_I4!AS41-L_S1!AS41)*C51</f>
        <v>0</v>
      </c>
      <c r="I51" s="0" t="n">
        <f aca="false">I50+E51</f>
        <v>2730888999.78947</v>
      </c>
      <c r="J51" s="0" t="n">
        <f aca="false">J50+F51</f>
        <v>2548069216.41669</v>
      </c>
      <c r="K51" s="0" t="n">
        <f aca="false">K50+G51</f>
        <v>2364013218.00308</v>
      </c>
      <c r="L51" s="0" t="n">
        <f aca="false">MAX(L50,J51)</f>
        <v>2875164303.63856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2891478852.35145</v>
      </c>
      <c r="P51" s="0" t="n">
        <f aca="false">(L_I4!V41-L_S1!V41)*D51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(L_I4!AO42-L_S1!AO42)*C52</f>
        <v>-0</v>
      </c>
      <c r="F52" s="0" t="n">
        <f aca="false">(L_I4!AP42-L_S1!AP42)*C52</f>
        <v>-0</v>
      </c>
      <c r="G52" s="0" t="n">
        <f aca="false">(L_I4!AQ42-L_S1!AQ42)*C52</f>
        <v>-0</v>
      </c>
      <c r="H52" s="0" t="n">
        <f aca="false">(L_I4!AS42-L_S1!AS42)*C52</f>
        <v>0</v>
      </c>
      <c r="I52" s="0" t="n">
        <f aca="false">I51+E52</f>
        <v>2730888999.78947</v>
      </c>
      <c r="J52" s="0" t="n">
        <f aca="false">J51+F52</f>
        <v>2548069216.41669</v>
      </c>
      <c r="K52" s="0" t="n">
        <f aca="false">K51+G52</f>
        <v>2364013218.00308</v>
      </c>
      <c r="L52" s="0" t="n">
        <f aca="false">MAX(L51,J52)</f>
        <v>2875164303.63856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2891478852.35145</v>
      </c>
      <c r="P52" s="0" t="n">
        <f aca="false">(L_I4!V42-L_S1!V42)*D52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(L_I4!AO43-L_S1!AO43)*C53</f>
        <v>-0</v>
      </c>
      <c r="F53" s="0" t="n">
        <f aca="false">(L_I4!AP43-L_S1!AP43)*C53</f>
        <v>-0</v>
      </c>
      <c r="G53" s="0" t="n">
        <f aca="false">(L_I4!AQ43-L_S1!AQ43)*C53</f>
        <v>-0</v>
      </c>
      <c r="H53" s="0" t="n">
        <f aca="false">(L_I4!AS43-L_S1!AS43)*C53</f>
        <v>0</v>
      </c>
      <c r="I53" s="0" t="n">
        <f aca="false">I52+E53</f>
        <v>2730888999.78947</v>
      </c>
      <c r="J53" s="0" t="n">
        <f aca="false">J52+F53</f>
        <v>2548069216.41669</v>
      </c>
      <c r="K53" s="0" t="n">
        <f aca="false">K52+G53</f>
        <v>2364013218.00308</v>
      </c>
      <c r="L53" s="0" t="n">
        <f aca="false">MAX(L52,J53)</f>
        <v>2875164303.63856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2891478852.35145</v>
      </c>
      <c r="P53" s="0" t="n">
        <f aca="false">(L_I4!V43-L_S1!V43)*D53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(L_I4!AO44-L_S1!AO44)*C54</f>
        <v>-0</v>
      </c>
      <c r="F54" s="0" t="n">
        <f aca="false">(L_I4!AP44-L_S1!AP44)*C54</f>
        <v>-0</v>
      </c>
      <c r="G54" s="0" t="n">
        <f aca="false">(L_I4!AQ44-L_S1!AQ44)*C54</f>
        <v>-0</v>
      </c>
      <c r="H54" s="0" t="n">
        <f aca="false">(L_I4!AS44-L_S1!AS44)*C54</f>
        <v>0</v>
      </c>
      <c r="I54" s="0" t="n">
        <f aca="false">I53+E54</f>
        <v>2730888999.78947</v>
      </c>
      <c r="J54" s="0" t="n">
        <f aca="false">J53+F54</f>
        <v>2548069216.41669</v>
      </c>
      <c r="K54" s="0" t="n">
        <f aca="false">K53+G54</f>
        <v>2364013218.00308</v>
      </c>
      <c r="L54" s="0" t="n">
        <f aca="false">MAX(L53,J54)</f>
        <v>2875164303.63856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2891478852.35145</v>
      </c>
      <c r="P54" s="0" t="n">
        <f aca="false">(L_I4!V44-L_S1!V44)*D54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(L_I4!AO45-L_S1!AO45)*C55</f>
        <v>-0</v>
      </c>
      <c r="F55" s="0" t="n">
        <f aca="false">(L_I4!AP45-L_S1!AP45)*C55</f>
        <v>-0</v>
      </c>
      <c r="G55" s="0" t="n">
        <f aca="false">(L_I4!AQ45-L_S1!AQ45)*C55</f>
        <v>-0</v>
      </c>
      <c r="H55" s="0" t="n">
        <f aca="false">(L_I4!AS45-L_S1!AS45)*C55</f>
        <v>0</v>
      </c>
      <c r="I55" s="0" t="n">
        <f aca="false">I54+E55</f>
        <v>2730888999.78947</v>
      </c>
      <c r="J55" s="0" t="n">
        <f aca="false">J54+F55</f>
        <v>2548069216.41669</v>
      </c>
      <c r="K55" s="0" t="n">
        <f aca="false">K54+G55</f>
        <v>2364013218.00308</v>
      </c>
      <c r="L55" s="0" t="n">
        <f aca="false">MAX(L54,J55)</f>
        <v>2875164303.63856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2891478852.35145</v>
      </c>
      <c r="P55" s="0" t="n">
        <f aca="false">(L_I4!V45-L_S1!V45)*D55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(L_I4!AO46-L_S1!AO46)*C56</f>
        <v>-0</v>
      </c>
      <c r="F56" s="0" t="n">
        <f aca="false">(L_I4!AP46-L_S1!AP46)*C56</f>
        <v>-0</v>
      </c>
      <c r="G56" s="0" t="n">
        <f aca="false">(L_I4!AQ46-L_S1!AQ46)*C56</f>
        <v>-0</v>
      </c>
      <c r="H56" s="0" t="n">
        <f aca="false">(L_I4!AS46-L_S1!AS46)*C56</f>
        <v>0</v>
      </c>
      <c r="I56" s="0" t="n">
        <f aca="false">I55+E56</f>
        <v>2730888999.78947</v>
      </c>
      <c r="J56" s="0" t="n">
        <f aca="false">J55+F56</f>
        <v>2548069216.41669</v>
      </c>
      <c r="K56" s="0" t="n">
        <f aca="false">K55+G56</f>
        <v>2364013218.00308</v>
      </c>
      <c r="L56" s="0" t="n">
        <f aca="false">MAX(L55,J56)</f>
        <v>2875164303.63856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2891478852.35145</v>
      </c>
      <c r="P56" s="0" t="n">
        <f aca="false">(L_I4!V46-L_S1!V46)*D56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(L_I4!AO47-L_S1!AO47)*C57</f>
        <v>-0</v>
      </c>
      <c r="F57" s="0" t="n">
        <f aca="false">(L_I4!AP47-L_S1!AP47)*C57</f>
        <v>-0</v>
      </c>
      <c r="G57" s="0" t="n">
        <f aca="false">(L_I4!AQ47-L_S1!AQ47)*C57</f>
        <v>-0</v>
      </c>
      <c r="H57" s="0" t="n">
        <f aca="false">(L_I4!AS47-L_S1!AS47)*C57</f>
        <v>0</v>
      </c>
      <c r="I57" s="0" t="n">
        <f aca="false">I56+E57</f>
        <v>2730888999.78947</v>
      </c>
      <c r="J57" s="0" t="n">
        <f aca="false">J56+F57</f>
        <v>2548069216.41669</v>
      </c>
      <c r="K57" s="0" t="n">
        <f aca="false">K56+G57</f>
        <v>2364013218.00308</v>
      </c>
      <c r="L57" s="0" t="n">
        <f aca="false">MAX(L56,J57)</f>
        <v>2875164303.63856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2891478852.35145</v>
      </c>
      <c r="P57" s="0" t="n">
        <f aca="false">(L_I4!V47-L_S1!V47)*D57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(L_I4!AO48-L_S1!AO48)*C58</f>
        <v>-0</v>
      </c>
      <c r="F58" s="0" t="n">
        <f aca="false">(L_I4!AP48-L_S1!AP48)*C58</f>
        <v>-0</v>
      </c>
      <c r="G58" s="0" t="n">
        <f aca="false">(L_I4!AQ48-L_S1!AQ48)*C58</f>
        <v>-0</v>
      </c>
      <c r="H58" s="0" t="n">
        <f aca="false">(L_I4!AS48-L_S1!AS48)*C58</f>
        <v>0</v>
      </c>
      <c r="I58" s="0" t="n">
        <f aca="false">I57+E58</f>
        <v>2730888999.78947</v>
      </c>
      <c r="J58" s="0" t="n">
        <f aca="false">J57+F58</f>
        <v>2548069216.41669</v>
      </c>
      <c r="K58" s="0" t="n">
        <f aca="false">K57+G58</f>
        <v>2364013218.00308</v>
      </c>
      <c r="L58" s="0" t="n">
        <f aca="false">MAX(L57,J58)</f>
        <v>2875164303.63856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2891478852.35145</v>
      </c>
      <c r="P58" s="0" t="n">
        <f aca="false">(L_I4!V48-L_S1!V48)*D58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(L_I4!AO49-L_S1!AO49)*C59</f>
        <v>-0</v>
      </c>
      <c r="F59" s="0" t="n">
        <f aca="false">(L_I4!AP49-L_S1!AP49)*C59</f>
        <v>-0</v>
      </c>
      <c r="G59" s="0" t="n">
        <f aca="false">(L_I4!AQ49-L_S1!AQ49)*C59</f>
        <v>-0</v>
      </c>
      <c r="H59" s="0" t="n">
        <f aca="false">(L_I4!AS49-L_S1!AS49)*C59</f>
        <v>0</v>
      </c>
      <c r="I59" s="0" t="n">
        <f aca="false">I58+E59</f>
        <v>2730888999.78947</v>
      </c>
      <c r="J59" s="0" t="n">
        <f aca="false">J58+F59</f>
        <v>2548069216.41669</v>
      </c>
      <c r="K59" s="0" t="n">
        <f aca="false">K58+G59</f>
        <v>2364013218.00308</v>
      </c>
      <c r="L59" s="0" t="n">
        <f aca="false">MAX(L58,J59)</f>
        <v>2875164303.63856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2891478852.35145</v>
      </c>
      <c r="P59" s="0" t="n">
        <f aca="false">(L_I4!V49-L_S1!V49)*D59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(L_I4!AO50-L_S1!AO50)*C60</f>
        <v>-0</v>
      </c>
      <c r="F60" s="0" t="n">
        <f aca="false">(L_I4!AP50-L_S1!AP50)*C60</f>
        <v>-0</v>
      </c>
      <c r="G60" s="0" t="n">
        <f aca="false">(L_I4!AQ50-L_S1!AQ50)*C60</f>
        <v>-0</v>
      </c>
      <c r="H60" s="0" t="n">
        <f aca="false">(L_I4!AS50-L_S1!AS50)*C60</f>
        <v>0</v>
      </c>
      <c r="I60" s="0" t="n">
        <f aca="false">I59+E60</f>
        <v>2730888999.78947</v>
      </c>
      <c r="J60" s="0" t="n">
        <f aca="false">J59+F60</f>
        <v>2548069216.41669</v>
      </c>
      <c r="K60" s="0" t="n">
        <f aca="false">K59+G60</f>
        <v>2364013218.00308</v>
      </c>
      <c r="L60" s="0" t="n">
        <f aca="false">MAX(L59,J60)</f>
        <v>2875164303.63856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2891478852.35145</v>
      </c>
      <c r="P60" s="0" t="n">
        <f aca="false">(L_I4!V50-L_S1!V50)*D60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(L_I4!AO51-L_S1!AO51)*C61</f>
        <v>-0</v>
      </c>
      <c r="F61" s="0" t="n">
        <f aca="false">(L_I4!AP51-L_S1!AP51)*C61</f>
        <v>-0</v>
      </c>
      <c r="G61" s="0" t="n">
        <f aca="false">(L_I4!AQ51-L_S1!AQ51)*C61</f>
        <v>-0</v>
      </c>
      <c r="H61" s="0" t="n">
        <f aca="false">(L_I4!AS51-L_S1!AS51)*C61</f>
        <v>0</v>
      </c>
      <c r="I61" s="0" t="n">
        <f aca="false">I60+E61</f>
        <v>2730888999.78947</v>
      </c>
      <c r="J61" s="0" t="n">
        <f aca="false">J60+F61</f>
        <v>2548069216.41669</v>
      </c>
      <c r="K61" s="0" t="n">
        <f aca="false">K60+G61</f>
        <v>2364013218.00308</v>
      </c>
      <c r="L61" s="0" t="n">
        <f aca="false">MAX(L60,J61)</f>
        <v>2875164303.63856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2891478852.35145</v>
      </c>
      <c r="P61" s="0" t="n">
        <f aca="false">(L_I4!V51-L_S1!V51)*D61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(L_I4!AO52-L_S1!AO52)*C62</f>
        <v>-0</v>
      </c>
      <c r="F62" s="0" t="n">
        <f aca="false">(L_I4!AP52-L_S1!AP52)*C62</f>
        <v>-0</v>
      </c>
      <c r="G62" s="0" t="n">
        <f aca="false">(L_I4!AQ52-L_S1!AQ52)*C62</f>
        <v>-0</v>
      </c>
      <c r="H62" s="0" t="n">
        <f aca="false">(L_I4!AS52-L_S1!AS52)*C62</f>
        <v>0</v>
      </c>
      <c r="I62" s="0" t="n">
        <f aca="false">I61+E62</f>
        <v>2730888999.78947</v>
      </c>
      <c r="J62" s="0" t="n">
        <f aca="false">J61+F62</f>
        <v>2548069216.41669</v>
      </c>
      <c r="K62" s="0" t="n">
        <f aca="false">K61+G62</f>
        <v>2364013218.00308</v>
      </c>
      <c r="L62" s="0" t="n">
        <f aca="false">MAX(L61,J62)</f>
        <v>2875164303.63856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2891478852.35145</v>
      </c>
      <c r="P62" s="0" t="n">
        <f aca="false">(L_I4!V52-L_S1!V52)*D62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642</v>
      </c>
    </row>
    <row r="2" customFormat="false" ht="15" hidden="false" customHeight="false" outlineLevel="0" collapsed="false">
      <c r="A2" s="1" t="s">
        <v>614</v>
      </c>
      <c r="B2" s="0" t="n">
        <f aca="false">x_H</f>
        <v>20</v>
      </c>
    </row>
    <row r="3" customFormat="false" ht="15" hidden="false" customHeight="false" outlineLevel="0" collapsed="false">
      <c r="A3" s="1" t="s">
        <v>615</v>
      </c>
      <c r="B3" s="0" t="n">
        <f aca="false">SUM(H13:H62)</f>
        <v>-541078387.639455</v>
      </c>
    </row>
    <row r="4" customFormat="false" ht="15" hidden="false" customHeight="false" outlineLevel="0" collapsed="false">
      <c r="A4" s="1" t="s">
        <v>616</v>
      </c>
      <c r="B4" s="0" t="n">
        <f aca="false">SUM(F13:F62)</f>
        <v>-195434022.863311</v>
      </c>
    </row>
    <row r="5" customFormat="false" ht="15" hidden="false" customHeight="false" outlineLevel="0" collapsed="false">
      <c r="A5" s="1" t="s">
        <v>617</v>
      </c>
      <c r="B5" s="0" t="n">
        <f aca="false">B3-B4</f>
        <v>-345644364.776144</v>
      </c>
    </row>
    <row r="6" customFormat="false" ht="15" hidden="false" customHeight="false" outlineLevel="0" collapsed="false">
      <c r="A6" s="1" t="s">
        <v>618</v>
      </c>
      <c r="B6" s="0" t="n">
        <f aca="false">IF(B3=0,"—",(B5-B3)/ABS(B3))</f>
        <v>0.361193548528014</v>
      </c>
    </row>
    <row r="7" customFormat="false" ht="15" hidden="false" customHeight="false" outlineLevel="0" collapsed="false">
      <c r="A7" s="1" t="s">
        <v>619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620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621</v>
      </c>
      <c r="B9" s="0" t="n">
        <f aca="false">SUM(E13:E62)</f>
        <v>-370435810.925107</v>
      </c>
    </row>
    <row r="10" customFormat="false" ht="15" hidden="false" customHeight="false" outlineLevel="0" collapsed="false">
      <c r="A10" s="1" t="s">
        <v>622</v>
      </c>
      <c r="B10" s="0" t="n">
        <f aca="false">IFERROR(B4/SUM(P13:P62),"—")</f>
        <v>12385.8298687817</v>
      </c>
    </row>
    <row r="11" customFormat="false" ht="15" hidden="false" customHeight="false" outlineLevel="0" collapsed="false">
      <c r="A11" s="1" t="s">
        <v>623</v>
      </c>
      <c r="B11" s="0" t="n">
        <f aca="false">IFERROR(B9/SUM(P13:P62),"—")</f>
        <v>23476.7460864865</v>
      </c>
    </row>
    <row r="12" customFormat="false" ht="55.2" hidden="false" customHeight="false" outlineLevel="0" collapsed="false">
      <c r="A12" s="3" t="s">
        <v>320</v>
      </c>
      <c r="B12" s="3" t="s">
        <v>565</v>
      </c>
      <c r="C12" s="3" t="s">
        <v>624</v>
      </c>
      <c r="D12" s="3" t="s">
        <v>625</v>
      </c>
      <c r="E12" s="3" t="s">
        <v>626</v>
      </c>
      <c r="F12" s="3" t="s">
        <v>627</v>
      </c>
      <c r="G12" s="3" t="s">
        <v>628</v>
      </c>
      <c r="H12" s="3" t="s">
        <v>629</v>
      </c>
      <c r="I12" s="3" t="s">
        <v>630</v>
      </c>
      <c r="J12" s="3" t="s">
        <v>631</v>
      </c>
      <c r="K12" s="3" t="s">
        <v>632</v>
      </c>
      <c r="L12" s="3" t="s">
        <v>633</v>
      </c>
      <c r="M12" s="3" t="s">
        <v>634</v>
      </c>
      <c r="N12" s="3" t="s">
        <v>635</v>
      </c>
      <c r="O12" s="3" t="s">
        <v>636</v>
      </c>
      <c r="P12" s="3" t="s">
        <v>637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(L_I5!AO3-L_S1!AO3)*C13</f>
        <v>-42300951.4603612</v>
      </c>
      <c r="F13" s="0" t="n">
        <f aca="false">(L_I5!AP3-L_S1!AP3)*C13</f>
        <v>-41888938.1767668</v>
      </c>
      <c r="G13" s="0" t="n">
        <f aca="false">(L_I5!AQ3-L_S1!AQ3)*C13</f>
        <v>-41917253.0681129</v>
      </c>
      <c r="H13" s="0" t="n">
        <f aca="false">(L_I5!AS3-L_S1!AS3)*C13</f>
        <v>-41350028.2830073</v>
      </c>
      <c r="I13" s="0" t="n">
        <f aca="false">E13</f>
        <v>-42300951.4603612</v>
      </c>
      <c r="J13" s="0" t="n">
        <f aca="false">F13</f>
        <v>-41888938.1767668</v>
      </c>
      <c r="K13" s="0" t="n">
        <f aca="false">G13</f>
        <v>-41917253.0681129</v>
      </c>
      <c r="L13" s="0" t="n">
        <f aca="false">J13</f>
        <v>-41888938.1767668</v>
      </c>
      <c r="M13" s="0" t="n">
        <v>0</v>
      </c>
      <c r="N13" s="0" t="n">
        <v>0</v>
      </c>
      <c r="O13" s="0" t="n">
        <f aca="false">I13</f>
        <v>-42300951.4603612</v>
      </c>
      <c r="P13" s="0" t="n">
        <f aca="false">(L_I5!V3-L_S1!V3)*D13</f>
        <v>-117.292000000001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(L_I5!AO4-L_S1!AO4)*C14</f>
        <v>-39255783.8818528</v>
      </c>
      <c r="F14" s="0" t="n">
        <f aca="false">(L_I5!AP4-L_S1!AP4)*C14</f>
        <v>-37628519.1350937</v>
      </c>
      <c r="G14" s="0" t="n">
        <f aca="false">(L_I5!AQ4-L_S1!AQ4)*C14</f>
        <v>-37725348.9983411</v>
      </c>
      <c r="H14" s="0" t="n">
        <f aca="false">(L_I5!AS4-L_S1!AS4)*C14</f>
        <v>-39380979.3171498</v>
      </c>
      <c r="I14" s="0" t="n">
        <f aca="false">I13+E14</f>
        <v>-81556735.3422141</v>
      </c>
      <c r="J14" s="0" t="n">
        <f aca="false">J13+F14</f>
        <v>-79517457.3118605</v>
      </c>
      <c r="K14" s="0" t="n">
        <f aca="false">K13+G14</f>
        <v>-79642602.066454</v>
      </c>
      <c r="L14" s="0" t="n">
        <f aca="false">MAX(L13,J14)</f>
        <v>-41888938.1767668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-42300951.4603612</v>
      </c>
      <c r="P14" s="0" t="n">
        <f aca="false">(L_I5!V4-L_S1!V4)*D14</f>
        <v>-192.494685990342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(L_I5!AO5-L_S1!AO5)*C15</f>
        <v>-36272110.5281585</v>
      </c>
      <c r="F15" s="0" t="n">
        <f aca="false">(L_I5!AP5-L_S1!AP5)*C15</f>
        <v>-33428541.2704528</v>
      </c>
      <c r="G15" s="0" t="n">
        <f aca="false">(L_I5!AQ5-L_S1!AQ5)*C15</f>
        <v>-33482069.2418755</v>
      </c>
      <c r="H15" s="0" t="n">
        <f aca="false">(L_I5!AS5-L_S1!AS5)*C15</f>
        <v>-37505694.5877617</v>
      </c>
      <c r="I15" s="0" t="n">
        <f aca="false">I14+E15</f>
        <v>-117828845.870373</v>
      </c>
      <c r="J15" s="0" t="n">
        <f aca="false">J14+F15</f>
        <v>-112945998.582313</v>
      </c>
      <c r="K15" s="0" t="n">
        <f aca="false">K14+G15</f>
        <v>-113124671.30833</v>
      </c>
      <c r="L15" s="0" t="n">
        <f aca="false">MAX(L14,J15)</f>
        <v>-41888938.1767668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-42300951.4603612</v>
      </c>
      <c r="P15" s="0" t="n">
        <f aca="false">(L_I5!V5-L_S1!V5)*D15</f>
        <v>-266.746015076194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(L_I5!AO6-L_S1!AO6)*C16</f>
        <v>-33352126.8375332</v>
      </c>
      <c r="F16" s="0" t="n">
        <f aca="false">(L_I5!AP6-L_S1!AP6)*C16</f>
        <v>-29269758.5486434</v>
      </c>
      <c r="G16" s="0" t="n">
        <f aca="false">(L_I5!AQ6-L_S1!AQ6)*C16</f>
        <v>-29150680.9465571</v>
      </c>
      <c r="H16" s="0" t="n">
        <f aca="false">(L_I5!AS6-L_S1!AS6)*C16</f>
        <v>-35719709.1312017</v>
      </c>
      <c r="I16" s="0" t="n">
        <f aca="false">I15+E16</f>
        <v>-151180972.707906</v>
      </c>
      <c r="J16" s="0" t="n">
        <f aca="false">J15+F16</f>
        <v>-142215757.130957</v>
      </c>
      <c r="K16" s="0" t="n">
        <f aca="false">K15+G16</f>
        <v>-142275352.254887</v>
      </c>
      <c r="L16" s="0" t="n">
        <f aca="false">MAX(L15,J16)</f>
        <v>-41888938.1767668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-42300951.4603612</v>
      </c>
      <c r="P16" s="0" t="n">
        <f aca="false">(L_I5!V6-L_S1!V6)*D16</f>
        <v>-340.650230790225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(L_I5!AO7-L_S1!AO7)*C17</f>
        <v>-30499164.9793629</v>
      </c>
      <c r="F17" s="0" t="n">
        <f aca="false">(L_I5!AP7-L_S1!AP7)*C17</f>
        <v>-25138279.4173849</v>
      </c>
      <c r="G17" s="0" t="n">
        <f aca="false">(L_I5!AQ7-L_S1!AQ7)*C17</f>
        <v>-24704410.1871761</v>
      </c>
      <c r="H17" s="0" t="n">
        <f aca="false">(L_I5!AS7-L_S1!AS7)*C17</f>
        <v>-34018770.6011444</v>
      </c>
      <c r="I17" s="0" t="n">
        <f aca="false">I16+E17</f>
        <v>-181680137.687269</v>
      </c>
      <c r="J17" s="0" t="n">
        <f aca="false">J16+F17</f>
        <v>-167354036.548342</v>
      </c>
      <c r="K17" s="0" t="n">
        <f aca="false">K16+G17</f>
        <v>-166979762.442063</v>
      </c>
      <c r="L17" s="0" t="n">
        <f aca="false">MAX(L16,J17)</f>
        <v>-41888938.1767668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-42300951.4603612</v>
      </c>
      <c r="P17" s="0" t="n">
        <f aca="false">(L_I5!V7-L_S1!V7)*D17</f>
        <v>-414.478838106902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(L_I5!AO8-L_S1!AO8)*C18</f>
        <v>-27719010.6414533</v>
      </c>
      <c r="F18" s="0" t="n">
        <f aca="false">(L_I5!AP8-L_S1!AP8)*C18</f>
        <v>-21027174.552407</v>
      </c>
      <c r="G18" s="0" t="n">
        <f aca="false">(L_I5!AQ8-L_S1!AQ8)*C18</f>
        <v>-20128011.7154171</v>
      </c>
      <c r="H18" s="0" t="n">
        <f aca="false">(L_I5!AS8-L_S1!AS8)*C18</f>
        <v>-32398829.1439471</v>
      </c>
      <c r="I18" s="0" t="n">
        <f aca="false">I17+E18</f>
        <v>-209399148.328722</v>
      </c>
      <c r="J18" s="0" t="n">
        <f aca="false">J17+F18</f>
        <v>-188381211.100749</v>
      </c>
      <c r="K18" s="0" t="n">
        <f aca="false">K17+G18</f>
        <v>-187107774.15748</v>
      </c>
      <c r="L18" s="0" t="n">
        <f aca="false">MAX(L17,J18)</f>
        <v>-41888938.1767668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-42300951.4603612</v>
      </c>
      <c r="P18" s="0" t="n">
        <f aca="false">(L_I5!V8-L_S1!V8)*D18</f>
        <v>-488.276236951424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(L_I5!AO9-L_S1!AO9)*C19</f>
        <v>-25019652.6843218</v>
      </c>
      <c r="F19" s="0" t="n">
        <f aca="false">(L_I5!AP9-L_S1!AP9)*C19</f>
        <v>-16936291.6829391</v>
      </c>
      <c r="G19" s="0" t="n">
        <f aca="false">(L_I5!AQ9-L_S1!AQ9)*C19</f>
        <v>-15417144.6286153</v>
      </c>
      <c r="H19" s="0" t="n">
        <f aca="false">(L_I5!AS9-L_S1!AS9)*C19</f>
        <v>-30856027.7561401</v>
      </c>
      <c r="I19" s="0" t="n">
        <f aca="false">I18+E19</f>
        <v>-234418801.013044</v>
      </c>
      <c r="J19" s="0" t="n">
        <f aca="false">J18+F19</f>
        <v>-205317502.783688</v>
      </c>
      <c r="K19" s="0" t="n">
        <f aca="false">K18+G19</f>
        <v>-202524918.786095</v>
      </c>
      <c r="L19" s="0" t="n">
        <f aca="false">MAX(L18,J19)</f>
        <v>-41888938.1767668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-42300951.4603612</v>
      </c>
      <c r="P19" s="0" t="n">
        <f aca="false">(L_I5!V9-L_S1!V9)*D19</f>
        <v>-561.932891561384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(L_I5!AO10-L_S1!AO10)*C20</f>
        <v>-22412914.8972448</v>
      </c>
      <c r="F20" s="0" t="n">
        <f aca="false">(L_I5!AP10-L_S1!AP10)*C20</f>
        <v>-12873907.1412237</v>
      </c>
      <c r="G20" s="0" t="n">
        <f aca="false">(L_I5!AQ10-L_S1!AQ10)*C20</f>
        <v>-10580133.1738411</v>
      </c>
      <c r="H20" s="0" t="n">
        <f aca="false">(L_I5!AS10-L_S1!AS10)*C20</f>
        <v>-29386693.1010858</v>
      </c>
      <c r="I20" s="0" t="n">
        <f aca="false">I19+E20</f>
        <v>-256831715.910288</v>
      </c>
      <c r="J20" s="0" t="n">
        <f aca="false">J19+F20</f>
        <v>-218191409.924911</v>
      </c>
      <c r="K20" s="0" t="n">
        <f aca="false">K19+G20</f>
        <v>-213105051.959936</v>
      </c>
      <c r="L20" s="0" t="n">
        <f aca="false">MAX(L19,J20)</f>
        <v>-41888938.1767668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-42300951.4603612</v>
      </c>
      <c r="P20" s="0" t="n">
        <f aca="false">(L_I5!V10-L_S1!V10)*D20</f>
        <v>-635.244182352347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(L_I5!AO11-L_S1!AO11)*C21</f>
        <v>-19909814.7527758</v>
      </c>
      <c r="F21" s="0" t="n">
        <f aca="false">(L_I5!AP11-L_S1!AP11)*C21</f>
        <v>-8851887.26498539</v>
      </c>
      <c r="G21" s="0" t="n">
        <f aca="false">(L_I5!AQ11-L_S1!AQ11)*C21</f>
        <v>-5632861.52566118</v>
      </c>
      <c r="H21" s="0" t="n">
        <f aca="false">(L_I5!AS11-L_S1!AS11)*C21</f>
        <v>-27987326.7629388</v>
      </c>
      <c r="I21" s="0" t="n">
        <f aca="false">I20+E21</f>
        <v>-276741530.663064</v>
      </c>
      <c r="J21" s="0" t="n">
        <f aca="false">J20+F21</f>
        <v>-227043297.189897</v>
      </c>
      <c r="K21" s="0" t="n">
        <f aca="false">K20+G21</f>
        <v>-218737913.485597</v>
      </c>
      <c r="L21" s="0" t="n">
        <f aca="false">MAX(L20,J21)</f>
        <v>-41888938.1767668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-42300951.4603612</v>
      </c>
      <c r="P21" s="0" t="n">
        <f aca="false">(L_I5!V11-L_S1!V11)*D21</f>
        <v>-707.93408446657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(L_I5!AO12-L_S1!AO12)*C22</f>
        <v>-17523746.4615176</v>
      </c>
      <c r="F22" s="0" t="n">
        <f aca="false">(L_I5!AP12-L_S1!AP12)*C22</f>
        <v>-4888114.72321175</v>
      </c>
      <c r="G22" s="0" t="n">
        <f aca="false">(L_I5!AQ12-L_S1!AQ12)*C22</f>
        <v>-600712.194767401</v>
      </c>
      <c r="H22" s="0" t="n">
        <f aca="false">(L_I5!AS12-L_S1!AS12)*C22</f>
        <v>-26654596.9170846</v>
      </c>
      <c r="I22" s="0" t="n">
        <f aca="false">I21+E22</f>
        <v>-294265277.124582</v>
      </c>
      <c r="J22" s="0" t="n">
        <f aca="false">J21+F22</f>
        <v>-231931411.913108</v>
      </c>
      <c r="K22" s="0" t="n">
        <f aca="false">K21+G22</f>
        <v>-219338625.680365</v>
      </c>
      <c r="L22" s="0" t="n">
        <f aca="false">MAX(L21,J22)</f>
        <v>-41888938.1767668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-42300951.4603612</v>
      </c>
      <c r="P22" s="0" t="n">
        <f aca="false">(L_I5!V12-L_S1!V12)*D22</f>
        <v>-779.687477901743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(L_I5!AO13-L_S1!AO13)*C23</f>
        <v>-15266994.4207243</v>
      </c>
      <c r="F23" s="0" t="n">
        <f aca="false">(L_I5!AP13-L_S1!AP13)*C23</f>
        <v>-1002734.3989508</v>
      </c>
      <c r="G23" s="0" t="n">
        <f aca="false">(L_I5!AQ13-L_S1!AQ13)*C23</f>
        <v>4485427.16689748</v>
      </c>
      <c r="H23" s="0" t="n">
        <f aca="false">(L_I5!AS13-L_S1!AS13)*C23</f>
        <v>-25385330.3972234</v>
      </c>
      <c r="I23" s="0" t="n">
        <f aca="false">I22+E23</f>
        <v>-309532271.545306</v>
      </c>
      <c r="J23" s="0" t="n">
        <f aca="false">J22+F23</f>
        <v>-232934146.312059</v>
      </c>
      <c r="K23" s="0" t="n">
        <f aca="false">K22+G23</f>
        <v>-214853198.513467</v>
      </c>
      <c r="L23" s="0" t="n">
        <f aca="false">MAX(L22,J23)</f>
        <v>-41888938.1767668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-42300951.4603612</v>
      </c>
      <c r="P23" s="0" t="n">
        <f aca="false">(L_I5!V13-L_S1!V13)*D23</f>
        <v>-850.148201939401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(L_I5!AO14-L_S1!AO14)*C24</f>
        <v>-13150244.8421576</v>
      </c>
      <c r="F24" s="0" t="n">
        <f aca="false">(L_I5!AP14-L_S1!AP14)*C24</f>
        <v>2782860.09986658</v>
      </c>
      <c r="G24" s="0" t="n">
        <f aca="false">(L_I5!AQ14-L_S1!AQ14)*C24</f>
        <v>9590647.41785682</v>
      </c>
      <c r="H24" s="0" t="n">
        <f aca="false">(L_I5!AS14-L_S1!AS14)*C24</f>
        <v>-24176505.1402128</v>
      </c>
      <c r="I24" s="0" t="n">
        <f aca="false">I23+E24</f>
        <v>-322682516.387464</v>
      </c>
      <c r="J24" s="0" t="n">
        <f aca="false">J23+F24</f>
        <v>-230151286.212193</v>
      </c>
      <c r="K24" s="0" t="n">
        <f aca="false">K23+G24</f>
        <v>-205262551.09561</v>
      </c>
      <c r="L24" s="0" t="n">
        <f aca="false">MAX(L23,J24)</f>
        <v>-41888938.1767668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-42300951.4603612</v>
      </c>
      <c r="P24" s="0" t="n">
        <f aca="false">(L_I5!V14-L_S1!V14)*D24</f>
        <v>-918.92385448487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(L_I5!AO15-L_S1!AO15)*C25</f>
        <v>-11184043.3113858</v>
      </c>
      <c r="F25" s="0" t="n">
        <f aca="false">(L_I5!AP15-L_S1!AP15)*C25</f>
        <v>872412.501186312</v>
      </c>
      <c r="G25" s="0" t="n">
        <f aca="false">(L_I5!AQ15-L_S1!AQ15)*C25</f>
        <v>5778300.53636729</v>
      </c>
      <c r="H25" s="0" t="n">
        <f aca="false">(L_I5!AS15-L_S1!AS15)*C25</f>
        <v>-23025242.9906789</v>
      </c>
      <c r="I25" s="0" t="n">
        <f aca="false">I24+E25</f>
        <v>-333866559.69885</v>
      </c>
      <c r="J25" s="0" t="n">
        <f aca="false">J24+F25</f>
        <v>-229278873.711006</v>
      </c>
      <c r="K25" s="0" t="n">
        <f aca="false">K24+G25</f>
        <v>-199484250.559243</v>
      </c>
      <c r="L25" s="0" t="n">
        <f aca="false">MAX(L24,J25)</f>
        <v>-41888938.1767668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-42300951.4603612</v>
      </c>
      <c r="P25" s="0" t="n">
        <f aca="false">(L_I5!V15-L_S1!V15)*D25</f>
        <v>-985.605778241369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(L_I5!AO16-L_S1!AO16)*C26</f>
        <v>-9375071.50903943</v>
      </c>
      <c r="F26" s="0" t="n">
        <f aca="false">(L_I5!AP16-L_S1!AP16)*C26</f>
        <v>-1442856.74378052</v>
      </c>
      <c r="G26" s="0" t="n">
        <f aca="false">(L_I5!AQ16-L_S1!AQ16)*C26</f>
        <v>1280935.86821163</v>
      </c>
      <c r="H26" s="0" t="n">
        <f aca="false">(L_I5!AS16-L_S1!AS16)*C26</f>
        <v>-21928802.8482656</v>
      </c>
      <c r="I26" s="0" t="n">
        <f aca="false">I25+E26</f>
        <v>-343241631.207889</v>
      </c>
      <c r="J26" s="0" t="n">
        <f aca="false">J25+F26</f>
        <v>-230721730.454787</v>
      </c>
      <c r="K26" s="0" t="n">
        <f aca="false">K25+G26</f>
        <v>-198203314.691032</v>
      </c>
      <c r="L26" s="0" t="n">
        <f aca="false">MAX(L25,J26)</f>
        <v>-41888938.1767668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-42300951.4603612</v>
      </c>
      <c r="P26" s="0" t="n">
        <f aca="false">(L_I5!V16-L_S1!V16)*D26</f>
        <v>-1049.76926246184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(L_I5!AO17-L_S1!AO17)*C27</f>
        <v>-7728298.66945412</v>
      </c>
      <c r="F27" s="0" t="n">
        <f aca="false">(L_I5!AP17-L_S1!AP17)*C27</f>
        <v>893845.55615056</v>
      </c>
      <c r="G27" s="0" t="n">
        <f aca="false">(L_I5!AQ17-L_S1!AQ17)*C27</f>
        <v>4164102.22945434</v>
      </c>
      <c r="H27" s="0" t="n">
        <f aca="false">(L_I5!AS17-L_S1!AS17)*C27</f>
        <v>-20884574.1412053</v>
      </c>
      <c r="I27" s="0" t="n">
        <f aca="false">I26+E27</f>
        <v>-350969929.877343</v>
      </c>
      <c r="J27" s="0" t="n">
        <f aca="false">J26+F27</f>
        <v>-229827884.898636</v>
      </c>
      <c r="K27" s="0" t="n">
        <f aca="false">K26+G27</f>
        <v>-194039212.461577</v>
      </c>
      <c r="L27" s="0" t="n">
        <f aca="false">MAX(L26,J27)</f>
        <v>-41888938.1767668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-42300951.4603612</v>
      </c>
      <c r="P27" s="0" t="n">
        <f aca="false">(L_I5!V17-L_S1!V17)*D27</f>
        <v>-1111.03483396012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(L_I5!AO18-L_S1!AO18)*C28</f>
        <v>-6245054.95040334</v>
      </c>
      <c r="F28" s="0" t="n">
        <f aca="false">(L_I5!AP18-L_S1!AP18)*C28</f>
        <v>3076972.68839433</v>
      </c>
      <c r="G28" s="0" t="n">
        <f aca="false">(L_I5!AQ18-L_S1!AQ18)*C28</f>
        <v>6939779.94798587</v>
      </c>
      <c r="H28" s="0" t="n">
        <f aca="false">(L_I5!AS18-L_S1!AS18)*C28</f>
        <v>-19890070.6106717</v>
      </c>
      <c r="I28" s="0" t="n">
        <f aca="false">I27+E28</f>
        <v>-357214984.827746</v>
      </c>
      <c r="J28" s="0" t="n">
        <f aca="false">J27+F28</f>
        <v>-226750912.210242</v>
      </c>
      <c r="K28" s="0" t="n">
        <f aca="false">K27+G28</f>
        <v>-187099432.513591</v>
      </c>
      <c r="L28" s="0" t="n">
        <f aca="false">MAX(L27,J28)</f>
        <v>-41888938.1767668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-42300951.4603612</v>
      </c>
      <c r="P28" s="0" t="n">
        <f aca="false">(L_I5!V18-L_S1!V18)*D28</f>
        <v>-1169.1290578098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(L_I5!AO19-L_S1!AO19)*C29</f>
        <v>-4923927.12910051</v>
      </c>
      <c r="F29" s="0" t="n">
        <f aca="false">(L_I5!AP19-L_S1!AP19)*C29</f>
        <v>5109107.85073817</v>
      </c>
      <c r="G29" s="0" t="n">
        <f aca="false">(L_I5!AQ19-L_S1!AQ19)*C29</f>
        <v>9608909.69363861</v>
      </c>
      <c r="H29" s="0" t="n">
        <f aca="false">(L_I5!AS19-L_S1!AS19)*C29</f>
        <v>-18942924.3911159</v>
      </c>
      <c r="I29" s="0" t="n">
        <f aca="false">I28+E29</f>
        <v>-362138911.956847</v>
      </c>
      <c r="J29" s="0" t="n">
        <f aca="false">J28+F29</f>
        <v>-221641804.359504</v>
      </c>
      <c r="K29" s="0" t="n">
        <f aca="false">K28+G29</f>
        <v>-177490522.819953</v>
      </c>
      <c r="L29" s="0" t="n">
        <f aca="false">MAX(L28,J29)</f>
        <v>-41888938.1767668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-42300951.4603612</v>
      </c>
      <c r="P29" s="0" t="n">
        <f aca="false">(L_I5!V19-L_S1!V19)*D29</f>
        <v>-1223.54560605912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(L_I5!AO20-L_S1!AO20)*C30</f>
        <v>-3753959.57843482</v>
      </c>
      <c r="F30" s="0" t="n">
        <f aca="false">(L_I5!AP20-L_S1!AP20)*C30</f>
        <v>7003039.3238132</v>
      </c>
      <c r="G30" s="0" t="n">
        <f aca="false">(L_I5!AQ20-L_S1!AQ20)*C30</f>
        <v>12182423.8115937</v>
      </c>
      <c r="H30" s="0" t="n">
        <f aca="false">(L_I5!AS20-L_S1!AS20)*C30</f>
        <v>-18040880.3724914</v>
      </c>
      <c r="I30" s="0" t="n">
        <f aca="false">I29+E30</f>
        <v>-365892871.535282</v>
      </c>
      <c r="J30" s="0" t="n">
        <f aca="false">J29+F30</f>
        <v>-214638765.035691</v>
      </c>
      <c r="K30" s="0" t="n">
        <f aca="false">K29+G30</f>
        <v>-165308099.008359</v>
      </c>
      <c r="L30" s="0" t="n">
        <f aca="false">MAX(L29,J30)</f>
        <v>-41888938.1767668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-42300951.4603612</v>
      </c>
      <c r="P30" s="0" t="n">
        <f aca="false">(L_I5!V20-L_S1!V20)*D30</f>
        <v>-1274.72901630697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(L_I5!AO21-L_S1!AO21)*C31</f>
        <v>-2723169.33966441</v>
      </c>
      <c r="F31" s="0" t="n">
        <f aca="false">(L_I5!AP21-L_S1!AP21)*C31</f>
        <v>8772776.18319212</v>
      </c>
      <c r="G31" s="0" t="n">
        <f aca="false">(L_I5!AQ21-L_S1!AQ21)*C31</f>
        <v>14672229.4195817</v>
      </c>
      <c r="H31" s="0" t="n">
        <f aca="false">(L_I5!AS21-L_S1!AS21)*C31</f>
        <v>-17181790.8309441</v>
      </c>
      <c r="I31" s="0" t="n">
        <f aca="false">I30+E31</f>
        <v>-368616040.874946</v>
      </c>
      <c r="J31" s="0" t="n">
        <f aca="false">J30+F31</f>
        <v>-205865988.852499</v>
      </c>
      <c r="K31" s="0" t="n">
        <f aca="false">K30+G31</f>
        <v>-150635869.588777</v>
      </c>
      <c r="L31" s="0" t="n">
        <f aca="false">MAX(L30,J31)</f>
        <v>-41888938.1767668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-42300951.4603612</v>
      </c>
      <c r="P31" s="0" t="n">
        <f aca="false">(L_I5!V21-L_S1!V21)*D31</f>
        <v>-1323.04403489049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(L_I5!AO22-L_S1!AO22)*C32</f>
        <v>-1819770.05016042</v>
      </c>
      <c r="F32" s="0" t="n">
        <f aca="false">(L_I5!AP22-L_S1!AP22)*C32</f>
        <v>10431965.9891875</v>
      </c>
      <c r="G32" s="0" t="n">
        <f aca="false">(L_I5!AQ22-L_S1!AQ22)*C32</f>
        <v>17089615.7085446</v>
      </c>
      <c r="H32" s="0" t="n">
        <f aca="false">(L_I5!AS22-L_S1!AS22)*C32</f>
        <v>-16363610.3151849</v>
      </c>
      <c r="I32" s="0" t="n">
        <f aca="false">I31+E32</f>
        <v>-370435810.925107</v>
      </c>
      <c r="J32" s="0" t="n">
        <f aca="false">J31+F32</f>
        <v>-195434022.863311</v>
      </c>
      <c r="K32" s="0" t="n">
        <f aca="false">K31+G32</f>
        <v>-133546253.880233</v>
      </c>
      <c r="L32" s="0" t="n">
        <f aca="false">MAX(L31,J32)</f>
        <v>-41888938.1767668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-42300951.4603612</v>
      </c>
      <c r="P32" s="0" t="n">
        <f aca="false">(L_I5!V22-L_S1!V22)*D32</f>
        <v>-1368.1733147597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(L_I5!AO23-L_S1!AO23)*C33</f>
        <v>-0</v>
      </c>
      <c r="F33" s="0" t="n">
        <f aca="false">(L_I5!AP23-L_S1!AP23)*C33</f>
        <v>0</v>
      </c>
      <c r="G33" s="0" t="n">
        <f aca="false">(L_I5!AQ23-L_S1!AQ23)*C33</f>
        <v>0</v>
      </c>
      <c r="H33" s="0" t="n">
        <f aca="false">(L_I5!AS23-L_S1!AS23)*C33</f>
        <v>-0</v>
      </c>
      <c r="I33" s="0" t="n">
        <f aca="false">I32+E33</f>
        <v>-370435810.925107</v>
      </c>
      <c r="J33" s="0" t="n">
        <f aca="false">J32+F33</f>
        <v>-195434022.863311</v>
      </c>
      <c r="K33" s="0" t="n">
        <f aca="false">K32+G33</f>
        <v>-133546253.880233</v>
      </c>
      <c r="L33" s="0" t="n">
        <f aca="false">MAX(L32,J33)</f>
        <v>-41888938.1767668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-42300951.4603612</v>
      </c>
      <c r="P33" s="0" t="n">
        <f aca="false">(L_I5!V23-L_S1!V23)*D33</f>
        <v>-0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(L_I5!AO24-L_S1!AO24)*C34</f>
        <v>-0</v>
      </c>
      <c r="F34" s="0" t="n">
        <f aca="false">(L_I5!AP24-L_S1!AP24)*C34</f>
        <v>0</v>
      </c>
      <c r="G34" s="0" t="n">
        <f aca="false">(L_I5!AQ24-L_S1!AQ24)*C34</f>
        <v>0</v>
      </c>
      <c r="H34" s="0" t="n">
        <f aca="false">(L_I5!AS24-L_S1!AS24)*C34</f>
        <v>-0</v>
      </c>
      <c r="I34" s="0" t="n">
        <f aca="false">I33+E34</f>
        <v>-370435810.925107</v>
      </c>
      <c r="J34" s="0" t="n">
        <f aca="false">J33+F34</f>
        <v>-195434022.863311</v>
      </c>
      <c r="K34" s="0" t="n">
        <f aca="false">K33+G34</f>
        <v>-133546253.880233</v>
      </c>
      <c r="L34" s="0" t="n">
        <f aca="false">MAX(L33,J34)</f>
        <v>-41888938.1767668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-42300951.4603612</v>
      </c>
      <c r="P34" s="0" t="n">
        <f aca="false">(L_I5!V24-L_S1!V24)*D34</f>
        <v>-0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(L_I5!AO25-L_S1!AO25)*C35</f>
        <v>0</v>
      </c>
      <c r="F35" s="0" t="n">
        <f aca="false">(L_I5!AP25-L_S1!AP25)*C35</f>
        <v>0</v>
      </c>
      <c r="G35" s="0" t="n">
        <f aca="false">(L_I5!AQ25-L_S1!AQ25)*C35</f>
        <v>0</v>
      </c>
      <c r="H35" s="0" t="n">
        <f aca="false">(L_I5!AS25-L_S1!AS25)*C35</f>
        <v>-0</v>
      </c>
      <c r="I35" s="0" t="n">
        <f aca="false">I34+E35</f>
        <v>-370435810.925107</v>
      </c>
      <c r="J35" s="0" t="n">
        <f aca="false">J34+F35</f>
        <v>-195434022.863311</v>
      </c>
      <c r="K35" s="0" t="n">
        <f aca="false">K34+G35</f>
        <v>-133546253.880233</v>
      </c>
      <c r="L35" s="0" t="n">
        <f aca="false">MAX(L34,J35)</f>
        <v>-41888938.1767668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-42300951.4603612</v>
      </c>
      <c r="P35" s="0" t="n">
        <f aca="false">(L_I5!V25-L_S1!V25)*D35</f>
        <v>-0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(L_I5!AO26-L_S1!AO26)*C36</f>
        <v>0</v>
      </c>
      <c r="F36" s="0" t="n">
        <f aca="false">(L_I5!AP26-L_S1!AP26)*C36</f>
        <v>0</v>
      </c>
      <c r="G36" s="0" t="n">
        <f aca="false">(L_I5!AQ26-L_S1!AQ26)*C36</f>
        <v>0</v>
      </c>
      <c r="H36" s="0" t="n">
        <f aca="false">(L_I5!AS26-L_S1!AS26)*C36</f>
        <v>-0</v>
      </c>
      <c r="I36" s="0" t="n">
        <f aca="false">I35+E36</f>
        <v>-370435810.925107</v>
      </c>
      <c r="J36" s="0" t="n">
        <f aca="false">J35+F36</f>
        <v>-195434022.863311</v>
      </c>
      <c r="K36" s="0" t="n">
        <f aca="false">K35+G36</f>
        <v>-133546253.880233</v>
      </c>
      <c r="L36" s="0" t="n">
        <f aca="false">MAX(L35,J36)</f>
        <v>-41888938.1767668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-42300951.4603612</v>
      </c>
      <c r="P36" s="0" t="n">
        <f aca="false">(L_I5!V26-L_S1!V26)*D36</f>
        <v>-0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(L_I5!AO27-L_S1!AO27)*C37</f>
        <v>0</v>
      </c>
      <c r="F37" s="0" t="n">
        <f aca="false">(L_I5!AP27-L_S1!AP27)*C37</f>
        <v>0</v>
      </c>
      <c r="G37" s="0" t="n">
        <f aca="false">(L_I5!AQ27-L_S1!AQ27)*C37</f>
        <v>0</v>
      </c>
      <c r="H37" s="0" t="n">
        <f aca="false">(L_I5!AS27-L_S1!AS27)*C37</f>
        <v>-0</v>
      </c>
      <c r="I37" s="0" t="n">
        <f aca="false">I36+E37</f>
        <v>-370435810.925107</v>
      </c>
      <c r="J37" s="0" t="n">
        <f aca="false">J36+F37</f>
        <v>-195434022.863311</v>
      </c>
      <c r="K37" s="0" t="n">
        <f aca="false">K36+G37</f>
        <v>-133546253.880233</v>
      </c>
      <c r="L37" s="0" t="n">
        <f aca="false">MAX(L36,J37)</f>
        <v>-41888938.1767668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-42300951.4603612</v>
      </c>
      <c r="P37" s="0" t="n">
        <f aca="false">(L_I5!V27-L_S1!V27)*D37</f>
        <v>-0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(L_I5!AO28-L_S1!AO28)*C38</f>
        <v>0</v>
      </c>
      <c r="F38" s="0" t="n">
        <f aca="false">(L_I5!AP28-L_S1!AP28)*C38</f>
        <v>0</v>
      </c>
      <c r="G38" s="0" t="n">
        <f aca="false">(L_I5!AQ28-L_S1!AQ28)*C38</f>
        <v>0</v>
      </c>
      <c r="H38" s="0" t="n">
        <f aca="false">(L_I5!AS28-L_S1!AS28)*C38</f>
        <v>-0</v>
      </c>
      <c r="I38" s="0" t="n">
        <f aca="false">I37+E38</f>
        <v>-370435810.925107</v>
      </c>
      <c r="J38" s="0" t="n">
        <f aca="false">J37+F38</f>
        <v>-195434022.863311</v>
      </c>
      <c r="K38" s="0" t="n">
        <f aca="false">K37+G38</f>
        <v>-133546253.880233</v>
      </c>
      <c r="L38" s="0" t="n">
        <f aca="false">MAX(L37,J38)</f>
        <v>-41888938.1767668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-42300951.4603612</v>
      </c>
      <c r="P38" s="0" t="n">
        <f aca="false">(L_I5!V28-L_S1!V28)*D38</f>
        <v>-0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(L_I5!AO29-L_S1!AO29)*C39</f>
        <v>0</v>
      </c>
      <c r="F39" s="0" t="n">
        <f aca="false">(L_I5!AP29-L_S1!AP29)*C39</f>
        <v>0</v>
      </c>
      <c r="G39" s="0" t="n">
        <f aca="false">(L_I5!AQ29-L_S1!AQ29)*C39</f>
        <v>0</v>
      </c>
      <c r="H39" s="0" t="n">
        <f aca="false">(L_I5!AS29-L_S1!AS29)*C39</f>
        <v>-0</v>
      </c>
      <c r="I39" s="0" t="n">
        <f aca="false">I38+E39</f>
        <v>-370435810.925107</v>
      </c>
      <c r="J39" s="0" t="n">
        <f aca="false">J38+F39</f>
        <v>-195434022.863311</v>
      </c>
      <c r="K39" s="0" t="n">
        <f aca="false">K38+G39</f>
        <v>-133546253.880233</v>
      </c>
      <c r="L39" s="0" t="n">
        <f aca="false">MAX(L38,J39)</f>
        <v>-41888938.1767668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-42300951.4603612</v>
      </c>
      <c r="P39" s="0" t="n">
        <f aca="false">(L_I5!V29-L_S1!V29)*D39</f>
        <v>-0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(L_I5!AO30-L_S1!AO30)*C40</f>
        <v>0</v>
      </c>
      <c r="F40" s="0" t="n">
        <f aca="false">(L_I5!AP30-L_S1!AP30)*C40</f>
        <v>0</v>
      </c>
      <c r="G40" s="0" t="n">
        <f aca="false">(L_I5!AQ30-L_S1!AQ30)*C40</f>
        <v>0</v>
      </c>
      <c r="H40" s="0" t="n">
        <f aca="false">(L_I5!AS30-L_S1!AS30)*C40</f>
        <v>-0</v>
      </c>
      <c r="I40" s="0" t="n">
        <f aca="false">I39+E40</f>
        <v>-370435810.925107</v>
      </c>
      <c r="J40" s="0" t="n">
        <f aca="false">J39+F40</f>
        <v>-195434022.863311</v>
      </c>
      <c r="K40" s="0" t="n">
        <f aca="false">K39+G40</f>
        <v>-133546253.880233</v>
      </c>
      <c r="L40" s="0" t="n">
        <f aca="false">MAX(L39,J40)</f>
        <v>-41888938.1767668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-42300951.4603612</v>
      </c>
      <c r="P40" s="0" t="n">
        <f aca="false">(L_I5!V30-L_S1!V30)*D40</f>
        <v>-0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(L_I5!AO31-L_S1!AO31)*C41</f>
        <v>0</v>
      </c>
      <c r="F41" s="0" t="n">
        <f aca="false">(L_I5!AP31-L_S1!AP31)*C41</f>
        <v>0</v>
      </c>
      <c r="G41" s="0" t="n">
        <f aca="false">(L_I5!AQ31-L_S1!AQ31)*C41</f>
        <v>0</v>
      </c>
      <c r="H41" s="0" t="n">
        <f aca="false">(L_I5!AS31-L_S1!AS31)*C41</f>
        <v>-0</v>
      </c>
      <c r="I41" s="0" t="n">
        <f aca="false">I40+E41</f>
        <v>-370435810.925107</v>
      </c>
      <c r="J41" s="0" t="n">
        <f aca="false">J40+F41</f>
        <v>-195434022.863311</v>
      </c>
      <c r="K41" s="0" t="n">
        <f aca="false">K40+G41</f>
        <v>-133546253.880233</v>
      </c>
      <c r="L41" s="0" t="n">
        <f aca="false">MAX(L40,J41)</f>
        <v>-41888938.1767668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-42300951.4603612</v>
      </c>
      <c r="P41" s="0" t="n">
        <f aca="false">(L_I5!V31-L_S1!V31)*D41</f>
        <v>-0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(L_I5!AO32-L_S1!AO32)*C42</f>
        <v>0</v>
      </c>
      <c r="F42" s="0" t="n">
        <f aca="false">(L_I5!AP32-L_S1!AP32)*C42</f>
        <v>0</v>
      </c>
      <c r="G42" s="0" t="n">
        <f aca="false">(L_I5!AQ32-L_S1!AQ32)*C42</f>
        <v>0</v>
      </c>
      <c r="H42" s="0" t="n">
        <f aca="false">(L_I5!AS32-L_S1!AS32)*C42</f>
        <v>-0</v>
      </c>
      <c r="I42" s="0" t="n">
        <f aca="false">I41+E42</f>
        <v>-370435810.925107</v>
      </c>
      <c r="J42" s="0" t="n">
        <f aca="false">J41+F42</f>
        <v>-195434022.863311</v>
      </c>
      <c r="K42" s="0" t="n">
        <f aca="false">K41+G42</f>
        <v>-133546253.880233</v>
      </c>
      <c r="L42" s="0" t="n">
        <f aca="false">MAX(L41,J42)</f>
        <v>-41888938.1767668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-42300951.4603612</v>
      </c>
      <c r="P42" s="0" t="n">
        <f aca="false">(L_I5!V32-L_S1!V32)*D42</f>
        <v>-0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(L_I5!AO33-L_S1!AO33)*C43</f>
        <v>0</v>
      </c>
      <c r="F43" s="0" t="n">
        <f aca="false">(L_I5!AP33-L_S1!AP33)*C43</f>
        <v>0</v>
      </c>
      <c r="G43" s="0" t="n">
        <f aca="false">(L_I5!AQ33-L_S1!AQ33)*C43</f>
        <v>0</v>
      </c>
      <c r="H43" s="0" t="n">
        <f aca="false">(L_I5!AS33-L_S1!AS33)*C43</f>
        <v>-0</v>
      </c>
      <c r="I43" s="0" t="n">
        <f aca="false">I42+E43</f>
        <v>-370435810.925107</v>
      </c>
      <c r="J43" s="0" t="n">
        <f aca="false">J42+F43</f>
        <v>-195434022.863311</v>
      </c>
      <c r="K43" s="0" t="n">
        <f aca="false">K42+G43</f>
        <v>-133546253.880233</v>
      </c>
      <c r="L43" s="0" t="n">
        <f aca="false">MAX(L42,J43)</f>
        <v>-41888938.1767668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-42300951.4603612</v>
      </c>
      <c r="P43" s="0" t="n">
        <f aca="false">(L_I5!V33-L_S1!V33)*D43</f>
        <v>-0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(L_I5!AO34-L_S1!AO34)*C44</f>
        <v>0</v>
      </c>
      <c r="F44" s="0" t="n">
        <f aca="false">(L_I5!AP34-L_S1!AP34)*C44</f>
        <v>0</v>
      </c>
      <c r="G44" s="0" t="n">
        <f aca="false">(L_I5!AQ34-L_S1!AQ34)*C44</f>
        <v>0</v>
      </c>
      <c r="H44" s="0" t="n">
        <f aca="false">(L_I5!AS34-L_S1!AS34)*C44</f>
        <v>-0</v>
      </c>
      <c r="I44" s="0" t="n">
        <f aca="false">I43+E44</f>
        <v>-370435810.925107</v>
      </c>
      <c r="J44" s="0" t="n">
        <f aca="false">J43+F44</f>
        <v>-195434022.863311</v>
      </c>
      <c r="K44" s="0" t="n">
        <f aca="false">K43+G44</f>
        <v>-133546253.880233</v>
      </c>
      <c r="L44" s="0" t="n">
        <f aca="false">MAX(L43,J44)</f>
        <v>-41888938.1767668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-42300951.4603612</v>
      </c>
      <c r="P44" s="0" t="n">
        <f aca="false">(L_I5!V34-L_S1!V34)*D44</f>
        <v>-0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(L_I5!AO35-L_S1!AO35)*C45</f>
        <v>0</v>
      </c>
      <c r="F45" s="0" t="n">
        <f aca="false">(L_I5!AP35-L_S1!AP35)*C45</f>
        <v>0</v>
      </c>
      <c r="G45" s="0" t="n">
        <f aca="false">(L_I5!AQ35-L_S1!AQ35)*C45</f>
        <v>0</v>
      </c>
      <c r="H45" s="0" t="n">
        <f aca="false">(L_I5!AS35-L_S1!AS35)*C45</f>
        <v>-0</v>
      </c>
      <c r="I45" s="0" t="n">
        <f aca="false">I44+E45</f>
        <v>-370435810.925107</v>
      </c>
      <c r="J45" s="0" t="n">
        <f aca="false">J44+F45</f>
        <v>-195434022.863311</v>
      </c>
      <c r="K45" s="0" t="n">
        <f aca="false">K44+G45</f>
        <v>-133546253.880233</v>
      </c>
      <c r="L45" s="0" t="n">
        <f aca="false">MAX(L44,J45)</f>
        <v>-41888938.1767668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-42300951.4603612</v>
      </c>
      <c r="P45" s="0" t="n">
        <f aca="false">(L_I5!V35-L_S1!V35)*D45</f>
        <v>-0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(L_I5!AO36-L_S1!AO36)*C46</f>
        <v>0</v>
      </c>
      <c r="F46" s="0" t="n">
        <f aca="false">(L_I5!AP36-L_S1!AP36)*C46</f>
        <v>0</v>
      </c>
      <c r="G46" s="0" t="n">
        <f aca="false">(L_I5!AQ36-L_S1!AQ36)*C46</f>
        <v>0</v>
      </c>
      <c r="H46" s="0" t="n">
        <f aca="false">(L_I5!AS36-L_S1!AS36)*C46</f>
        <v>-0</v>
      </c>
      <c r="I46" s="0" t="n">
        <f aca="false">I45+E46</f>
        <v>-370435810.925107</v>
      </c>
      <c r="J46" s="0" t="n">
        <f aca="false">J45+F46</f>
        <v>-195434022.863311</v>
      </c>
      <c r="K46" s="0" t="n">
        <f aca="false">K45+G46</f>
        <v>-133546253.880233</v>
      </c>
      <c r="L46" s="0" t="n">
        <f aca="false">MAX(L45,J46)</f>
        <v>-41888938.1767668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-42300951.4603612</v>
      </c>
      <c r="P46" s="0" t="n">
        <f aca="false">(L_I5!V36-L_S1!V36)*D46</f>
        <v>-0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(L_I5!AO37-L_S1!AO37)*C47</f>
        <v>0</v>
      </c>
      <c r="F47" s="0" t="n">
        <f aca="false">(L_I5!AP37-L_S1!AP37)*C47</f>
        <v>0</v>
      </c>
      <c r="G47" s="0" t="n">
        <f aca="false">(L_I5!AQ37-L_S1!AQ37)*C47</f>
        <v>0</v>
      </c>
      <c r="H47" s="0" t="n">
        <f aca="false">(L_I5!AS37-L_S1!AS37)*C47</f>
        <v>-0</v>
      </c>
      <c r="I47" s="0" t="n">
        <f aca="false">I46+E47</f>
        <v>-370435810.925107</v>
      </c>
      <c r="J47" s="0" t="n">
        <f aca="false">J46+F47</f>
        <v>-195434022.863311</v>
      </c>
      <c r="K47" s="0" t="n">
        <f aca="false">K46+G47</f>
        <v>-133546253.880233</v>
      </c>
      <c r="L47" s="0" t="n">
        <f aca="false">MAX(L46,J47)</f>
        <v>-41888938.1767668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-42300951.4603612</v>
      </c>
      <c r="P47" s="0" t="n">
        <f aca="false">(L_I5!V37-L_S1!V37)*D47</f>
        <v>-0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(L_I5!AO38-L_S1!AO38)*C48</f>
        <v>0</v>
      </c>
      <c r="F48" s="0" t="n">
        <f aca="false">(L_I5!AP38-L_S1!AP38)*C48</f>
        <v>0</v>
      </c>
      <c r="G48" s="0" t="n">
        <f aca="false">(L_I5!AQ38-L_S1!AQ38)*C48</f>
        <v>0</v>
      </c>
      <c r="H48" s="0" t="n">
        <f aca="false">(L_I5!AS38-L_S1!AS38)*C48</f>
        <v>-0</v>
      </c>
      <c r="I48" s="0" t="n">
        <f aca="false">I47+E48</f>
        <v>-370435810.925107</v>
      </c>
      <c r="J48" s="0" t="n">
        <f aca="false">J47+F48</f>
        <v>-195434022.863311</v>
      </c>
      <c r="K48" s="0" t="n">
        <f aca="false">K47+G48</f>
        <v>-133546253.880233</v>
      </c>
      <c r="L48" s="0" t="n">
        <f aca="false">MAX(L47,J48)</f>
        <v>-41888938.1767668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-42300951.4603612</v>
      </c>
      <c r="P48" s="0" t="n">
        <f aca="false">(L_I5!V38-L_S1!V38)*D48</f>
        <v>-0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(L_I5!AO39-L_S1!AO39)*C49</f>
        <v>0</v>
      </c>
      <c r="F49" s="0" t="n">
        <f aca="false">(L_I5!AP39-L_S1!AP39)*C49</f>
        <v>0</v>
      </c>
      <c r="G49" s="0" t="n">
        <f aca="false">(L_I5!AQ39-L_S1!AQ39)*C49</f>
        <v>0</v>
      </c>
      <c r="H49" s="0" t="n">
        <f aca="false">(L_I5!AS39-L_S1!AS39)*C49</f>
        <v>-0</v>
      </c>
      <c r="I49" s="0" t="n">
        <f aca="false">I48+E49</f>
        <v>-370435810.925107</v>
      </c>
      <c r="J49" s="0" t="n">
        <f aca="false">J48+F49</f>
        <v>-195434022.863311</v>
      </c>
      <c r="K49" s="0" t="n">
        <f aca="false">K48+G49</f>
        <v>-133546253.880233</v>
      </c>
      <c r="L49" s="0" t="n">
        <f aca="false">MAX(L48,J49)</f>
        <v>-41888938.1767668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-42300951.4603612</v>
      </c>
      <c r="P49" s="0" t="n">
        <f aca="false">(L_I5!V39-L_S1!V39)*D49</f>
        <v>-0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(L_I5!AO40-L_S1!AO40)*C50</f>
        <v>0</v>
      </c>
      <c r="F50" s="0" t="n">
        <f aca="false">(L_I5!AP40-L_S1!AP40)*C50</f>
        <v>0</v>
      </c>
      <c r="G50" s="0" t="n">
        <f aca="false">(L_I5!AQ40-L_S1!AQ40)*C50</f>
        <v>0</v>
      </c>
      <c r="H50" s="0" t="n">
        <f aca="false">(L_I5!AS40-L_S1!AS40)*C50</f>
        <v>-0</v>
      </c>
      <c r="I50" s="0" t="n">
        <f aca="false">I49+E50</f>
        <v>-370435810.925107</v>
      </c>
      <c r="J50" s="0" t="n">
        <f aca="false">J49+F50</f>
        <v>-195434022.863311</v>
      </c>
      <c r="K50" s="0" t="n">
        <f aca="false">K49+G50</f>
        <v>-133546253.880233</v>
      </c>
      <c r="L50" s="0" t="n">
        <f aca="false">MAX(L49,J50)</f>
        <v>-41888938.1767668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-42300951.4603612</v>
      </c>
      <c r="P50" s="0" t="n">
        <f aca="false">(L_I5!V40-L_S1!V40)*D50</f>
        <v>-0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(L_I5!AO41-L_S1!AO41)*C51</f>
        <v>0</v>
      </c>
      <c r="F51" s="0" t="n">
        <f aca="false">(L_I5!AP41-L_S1!AP41)*C51</f>
        <v>0</v>
      </c>
      <c r="G51" s="0" t="n">
        <f aca="false">(L_I5!AQ41-L_S1!AQ41)*C51</f>
        <v>0</v>
      </c>
      <c r="H51" s="0" t="n">
        <f aca="false">(L_I5!AS41-L_S1!AS41)*C51</f>
        <v>-0</v>
      </c>
      <c r="I51" s="0" t="n">
        <f aca="false">I50+E51</f>
        <v>-370435810.925107</v>
      </c>
      <c r="J51" s="0" t="n">
        <f aca="false">J50+F51</f>
        <v>-195434022.863311</v>
      </c>
      <c r="K51" s="0" t="n">
        <f aca="false">K50+G51</f>
        <v>-133546253.880233</v>
      </c>
      <c r="L51" s="0" t="n">
        <f aca="false">MAX(L50,J51)</f>
        <v>-41888938.1767668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-42300951.4603612</v>
      </c>
      <c r="P51" s="0" t="n">
        <f aca="false">(L_I5!V41-L_S1!V41)*D51</f>
        <v>-0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(L_I5!AO42-L_S1!AO42)*C52</f>
        <v>0</v>
      </c>
      <c r="F52" s="0" t="n">
        <f aca="false">(L_I5!AP42-L_S1!AP42)*C52</f>
        <v>0</v>
      </c>
      <c r="G52" s="0" t="n">
        <f aca="false">(L_I5!AQ42-L_S1!AQ42)*C52</f>
        <v>0</v>
      </c>
      <c r="H52" s="0" t="n">
        <f aca="false">(L_I5!AS42-L_S1!AS42)*C52</f>
        <v>-0</v>
      </c>
      <c r="I52" s="0" t="n">
        <f aca="false">I51+E52</f>
        <v>-370435810.925107</v>
      </c>
      <c r="J52" s="0" t="n">
        <f aca="false">J51+F52</f>
        <v>-195434022.863311</v>
      </c>
      <c r="K52" s="0" t="n">
        <f aca="false">K51+G52</f>
        <v>-133546253.880233</v>
      </c>
      <c r="L52" s="0" t="n">
        <f aca="false">MAX(L51,J52)</f>
        <v>-41888938.1767668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-42300951.4603612</v>
      </c>
      <c r="P52" s="0" t="n">
        <f aca="false">(L_I5!V42-L_S1!V42)*D52</f>
        <v>-0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(L_I5!AO43-L_S1!AO43)*C53</f>
        <v>0</v>
      </c>
      <c r="F53" s="0" t="n">
        <f aca="false">(L_I5!AP43-L_S1!AP43)*C53</f>
        <v>0</v>
      </c>
      <c r="G53" s="0" t="n">
        <f aca="false">(L_I5!AQ43-L_S1!AQ43)*C53</f>
        <v>0</v>
      </c>
      <c r="H53" s="0" t="n">
        <f aca="false">(L_I5!AS43-L_S1!AS43)*C53</f>
        <v>-0</v>
      </c>
      <c r="I53" s="0" t="n">
        <f aca="false">I52+E53</f>
        <v>-370435810.925107</v>
      </c>
      <c r="J53" s="0" t="n">
        <f aca="false">J52+F53</f>
        <v>-195434022.863311</v>
      </c>
      <c r="K53" s="0" t="n">
        <f aca="false">K52+G53</f>
        <v>-133546253.880233</v>
      </c>
      <c r="L53" s="0" t="n">
        <f aca="false">MAX(L52,J53)</f>
        <v>-41888938.1767668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-42300951.4603612</v>
      </c>
      <c r="P53" s="0" t="n">
        <f aca="false">(L_I5!V43-L_S1!V43)*D53</f>
        <v>-0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(L_I5!AO44-L_S1!AO44)*C54</f>
        <v>0</v>
      </c>
      <c r="F54" s="0" t="n">
        <f aca="false">(L_I5!AP44-L_S1!AP44)*C54</f>
        <v>0</v>
      </c>
      <c r="G54" s="0" t="n">
        <f aca="false">(L_I5!AQ44-L_S1!AQ44)*C54</f>
        <v>0</v>
      </c>
      <c r="H54" s="0" t="n">
        <f aca="false">(L_I5!AS44-L_S1!AS44)*C54</f>
        <v>-0</v>
      </c>
      <c r="I54" s="0" t="n">
        <f aca="false">I53+E54</f>
        <v>-370435810.925107</v>
      </c>
      <c r="J54" s="0" t="n">
        <f aca="false">J53+F54</f>
        <v>-195434022.863311</v>
      </c>
      <c r="K54" s="0" t="n">
        <f aca="false">K53+G54</f>
        <v>-133546253.880233</v>
      </c>
      <c r="L54" s="0" t="n">
        <f aca="false">MAX(L53,J54)</f>
        <v>-41888938.1767668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-42300951.4603612</v>
      </c>
      <c r="P54" s="0" t="n">
        <f aca="false">(L_I5!V44-L_S1!V44)*D54</f>
        <v>-0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(L_I5!AO45-L_S1!AO45)*C55</f>
        <v>0</v>
      </c>
      <c r="F55" s="0" t="n">
        <f aca="false">(L_I5!AP45-L_S1!AP45)*C55</f>
        <v>0</v>
      </c>
      <c r="G55" s="0" t="n">
        <f aca="false">(L_I5!AQ45-L_S1!AQ45)*C55</f>
        <v>0</v>
      </c>
      <c r="H55" s="0" t="n">
        <f aca="false">(L_I5!AS45-L_S1!AS45)*C55</f>
        <v>-0</v>
      </c>
      <c r="I55" s="0" t="n">
        <f aca="false">I54+E55</f>
        <v>-370435810.925107</v>
      </c>
      <c r="J55" s="0" t="n">
        <f aca="false">J54+F55</f>
        <v>-195434022.863311</v>
      </c>
      <c r="K55" s="0" t="n">
        <f aca="false">K54+G55</f>
        <v>-133546253.880233</v>
      </c>
      <c r="L55" s="0" t="n">
        <f aca="false">MAX(L54,J55)</f>
        <v>-41888938.1767668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-42300951.4603612</v>
      </c>
      <c r="P55" s="0" t="n">
        <f aca="false">(L_I5!V45-L_S1!V45)*D55</f>
        <v>-0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(L_I5!AO46-L_S1!AO46)*C56</f>
        <v>0</v>
      </c>
      <c r="F56" s="0" t="n">
        <f aca="false">(L_I5!AP46-L_S1!AP46)*C56</f>
        <v>0</v>
      </c>
      <c r="G56" s="0" t="n">
        <f aca="false">(L_I5!AQ46-L_S1!AQ46)*C56</f>
        <v>0</v>
      </c>
      <c r="H56" s="0" t="n">
        <f aca="false">(L_I5!AS46-L_S1!AS46)*C56</f>
        <v>-0</v>
      </c>
      <c r="I56" s="0" t="n">
        <f aca="false">I55+E56</f>
        <v>-370435810.925107</v>
      </c>
      <c r="J56" s="0" t="n">
        <f aca="false">J55+F56</f>
        <v>-195434022.863311</v>
      </c>
      <c r="K56" s="0" t="n">
        <f aca="false">K55+G56</f>
        <v>-133546253.880233</v>
      </c>
      <c r="L56" s="0" t="n">
        <f aca="false">MAX(L55,J56)</f>
        <v>-41888938.1767668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-42300951.4603612</v>
      </c>
      <c r="P56" s="0" t="n">
        <f aca="false">(L_I5!V46-L_S1!V46)*D56</f>
        <v>-0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(L_I5!AO47-L_S1!AO47)*C57</f>
        <v>0</v>
      </c>
      <c r="F57" s="0" t="n">
        <f aca="false">(L_I5!AP47-L_S1!AP47)*C57</f>
        <v>0</v>
      </c>
      <c r="G57" s="0" t="n">
        <f aca="false">(L_I5!AQ47-L_S1!AQ47)*C57</f>
        <v>0</v>
      </c>
      <c r="H57" s="0" t="n">
        <f aca="false">(L_I5!AS47-L_S1!AS47)*C57</f>
        <v>-0</v>
      </c>
      <c r="I57" s="0" t="n">
        <f aca="false">I56+E57</f>
        <v>-370435810.925107</v>
      </c>
      <c r="J57" s="0" t="n">
        <f aca="false">J56+F57</f>
        <v>-195434022.863311</v>
      </c>
      <c r="K57" s="0" t="n">
        <f aca="false">K56+G57</f>
        <v>-133546253.880233</v>
      </c>
      <c r="L57" s="0" t="n">
        <f aca="false">MAX(L56,J57)</f>
        <v>-41888938.1767668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-42300951.4603612</v>
      </c>
      <c r="P57" s="0" t="n">
        <f aca="false">(L_I5!V47-L_S1!V47)*D57</f>
        <v>-0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(L_I5!AO48-L_S1!AO48)*C58</f>
        <v>0</v>
      </c>
      <c r="F58" s="0" t="n">
        <f aca="false">(L_I5!AP48-L_S1!AP48)*C58</f>
        <v>0</v>
      </c>
      <c r="G58" s="0" t="n">
        <f aca="false">(L_I5!AQ48-L_S1!AQ48)*C58</f>
        <v>0</v>
      </c>
      <c r="H58" s="0" t="n">
        <f aca="false">(L_I5!AS48-L_S1!AS48)*C58</f>
        <v>-0</v>
      </c>
      <c r="I58" s="0" t="n">
        <f aca="false">I57+E58</f>
        <v>-370435810.925107</v>
      </c>
      <c r="J58" s="0" t="n">
        <f aca="false">J57+F58</f>
        <v>-195434022.863311</v>
      </c>
      <c r="K58" s="0" t="n">
        <f aca="false">K57+G58</f>
        <v>-133546253.880233</v>
      </c>
      <c r="L58" s="0" t="n">
        <f aca="false">MAX(L57,J58)</f>
        <v>-41888938.1767668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-42300951.4603612</v>
      </c>
      <c r="P58" s="0" t="n">
        <f aca="false">(L_I5!V48-L_S1!V48)*D58</f>
        <v>-0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(L_I5!AO49-L_S1!AO49)*C59</f>
        <v>0</v>
      </c>
      <c r="F59" s="0" t="n">
        <f aca="false">(L_I5!AP49-L_S1!AP49)*C59</f>
        <v>0</v>
      </c>
      <c r="G59" s="0" t="n">
        <f aca="false">(L_I5!AQ49-L_S1!AQ49)*C59</f>
        <v>0</v>
      </c>
      <c r="H59" s="0" t="n">
        <f aca="false">(L_I5!AS49-L_S1!AS49)*C59</f>
        <v>-0</v>
      </c>
      <c r="I59" s="0" t="n">
        <f aca="false">I58+E59</f>
        <v>-370435810.925107</v>
      </c>
      <c r="J59" s="0" t="n">
        <f aca="false">J58+F59</f>
        <v>-195434022.863311</v>
      </c>
      <c r="K59" s="0" t="n">
        <f aca="false">K58+G59</f>
        <v>-133546253.880233</v>
      </c>
      <c r="L59" s="0" t="n">
        <f aca="false">MAX(L58,J59)</f>
        <v>-41888938.1767668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-42300951.4603612</v>
      </c>
      <c r="P59" s="0" t="n">
        <f aca="false">(L_I5!V49-L_S1!V49)*D59</f>
        <v>-0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(L_I5!AO50-L_S1!AO50)*C60</f>
        <v>0</v>
      </c>
      <c r="F60" s="0" t="n">
        <f aca="false">(L_I5!AP50-L_S1!AP50)*C60</f>
        <v>0</v>
      </c>
      <c r="G60" s="0" t="n">
        <f aca="false">(L_I5!AQ50-L_S1!AQ50)*C60</f>
        <v>0</v>
      </c>
      <c r="H60" s="0" t="n">
        <f aca="false">(L_I5!AS50-L_S1!AS50)*C60</f>
        <v>-0</v>
      </c>
      <c r="I60" s="0" t="n">
        <f aca="false">I59+E60</f>
        <v>-370435810.925107</v>
      </c>
      <c r="J60" s="0" t="n">
        <f aca="false">J59+F60</f>
        <v>-195434022.863311</v>
      </c>
      <c r="K60" s="0" t="n">
        <f aca="false">K59+G60</f>
        <v>-133546253.880233</v>
      </c>
      <c r="L60" s="0" t="n">
        <f aca="false">MAX(L59,J60)</f>
        <v>-41888938.1767668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-42300951.4603612</v>
      </c>
      <c r="P60" s="0" t="n">
        <f aca="false">(L_I5!V50-L_S1!V50)*D60</f>
        <v>-0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(L_I5!AO51-L_S1!AO51)*C61</f>
        <v>0</v>
      </c>
      <c r="F61" s="0" t="n">
        <f aca="false">(L_I5!AP51-L_S1!AP51)*C61</f>
        <v>0</v>
      </c>
      <c r="G61" s="0" t="n">
        <f aca="false">(L_I5!AQ51-L_S1!AQ51)*C61</f>
        <v>0</v>
      </c>
      <c r="H61" s="0" t="n">
        <f aca="false">(L_I5!AS51-L_S1!AS51)*C61</f>
        <v>-0</v>
      </c>
      <c r="I61" s="0" t="n">
        <f aca="false">I60+E61</f>
        <v>-370435810.925107</v>
      </c>
      <c r="J61" s="0" t="n">
        <f aca="false">J60+F61</f>
        <v>-195434022.863311</v>
      </c>
      <c r="K61" s="0" t="n">
        <f aca="false">K60+G61</f>
        <v>-133546253.880233</v>
      </c>
      <c r="L61" s="0" t="n">
        <f aca="false">MAX(L60,J61)</f>
        <v>-41888938.1767668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-42300951.4603612</v>
      </c>
      <c r="P61" s="0" t="n">
        <f aca="false">(L_I5!V51-L_S1!V51)*D61</f>
        <v>-0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(L_I5!AO52-L_S1!AO52)*C62</f>
        <v>0</v>
      </c>
      <c r="F62" s="0" t="n">
        <f aca="false">(L_I5!AP52-L_S1!AP52)*C62</f>
        <v>0</v>
      </c>
      <c r="G62" s="0" t="n">
        <f aca="false">(L_I5!AQ52-L_S1!AQ52)*C62</f>
        <v>0</v>
      </c>
      <c r="H62" s="0" t="n">
        <f aca="false">(L_I5!AS52-L_S1!AS52)*C62</f>
        <v>-0</v>
      </c>
      <c r="I62" s="0" t="n">
        <f aca="false">I61+E62</f>
        <v>-370435810.925107</v>
      </c>
      <c r="J62" s="0" t="n">
        <f aca="false">J61+F62</f>
        <v>-195434022.863311</v>
      </c>
      <c r="K62" s="0" t="n">
        <f aca="false">K61+G62</f>
        <v>-133546253.880233</v>
      </c>
      <c r="L62" s="0" t="n">
        <f aca="false">MAX(L61,J62)</f>
        <v>-41888938.1767668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-42300951.4603612</v>
      </c>
      <c r="P62" s="0" t="n">
        <f aca="false">(L_I5!V52-L_S1!V52)*D62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643</v>
      </c>
    </row>
    <row r="2" customFormat="false" ht="15" hidden="false" customHeight="false" outlineLevel="0" collapsed="false">
      <c r="A2" s="1" t="s">
        <v>614</v>
      </c>
      <c r="B2" s="0" t="n">
        <f aca="false">x_H</f>
        <v>20</v>
      </c>
    </row>
    <row r="3" customFormat="false" ht="15" hidden="false" customHeight="false" outlineLevel="0" collapsed="false">
      <c r="A3" s="1" t="s">
        <v>615</v>
      </c>
      <c r="B3" s="0" t="n">
        <f aca="false">SUM(H13:H62)</f>
        <v>207975470.81029</v>
      </c>
    </row>
    <row r="4" customFormat="false" ht="15" hidden="false" customHeight="false" outlineLevel="0" collapsed="false">
      <c r="A4" s="1" t="s">
        <v>616</v>
      </c>
      <c r="B4" s="0" t="n">
        <f aca="false">SUM(F13:F62)</f>
        <v>139525005.122717</v>
      </c>
    </row>
    <row r="5" customFormat="false" ht="15" hidden="false" customHeight="false" outlineLevel="0" collapsed="false">
      <c r="A5" s="1" t="s">
        <v>617</v>
      </c>
      <c r="B5" s="0" t="n">
        <f aca="false">B3-B4</f>
        <v>68450465.687573</v>
      </c>
    </row>
    <row r="6" customFormat="false" ht="15" hidden="false" customHeight="false" outlineLevel="0" collapsed="false">
      <c r="A6" s="1" t="s">
        <v>618</v>
      </c>
      <c r="B6" s="0" t="n">
        <f aca="false">IF(B3=0,"—",(B5-B3)/ABS(B3))</f>
        <v>-0.670872409035141</v>
      </c>
    </row>
    <row r="7" customFormat="false" ht="15" hidden="false" customHeight="false" outlineLevel="0" collapsed="false">
      <c r="A7" s="1" t="s">
        <v>619</v>
      </c>
      <c r="B7" s="0" t="str">
        <f aca="false">IFERROR(INDEX(A13:A62,MATCH(1,M13:M62,0)),"brak w horyzoncie")</f>
        <v>brak w horyzoncie</v>
      </c>
    </row>
    <row r="8" customFormat="false" ht="15" hidden="false" customHeight="false" outlineLevel="0" collapsed="false">
      <c r="A8" s="1" t="s">
        <v>620</v>
      </c>
      <c r="B8" s="0" t="str">
        <f aca="false">IFERROR(INDEX(A13:A62,MATCH(1,N13:N62,0)),"brak w horyzoncie")</f>
        <v>brak w horyzoncie</v>
      </c>
    </row>
    <row r="9" customFormat="false" ht="15" hidden="false" customHeight="false" outlineLevel="0" collapsed="false">
      <c r="A9" s="1" t="s">
        <v>621</v>
      </c>
      <c r="B9" s="0" t="n">
        <f aca="false">SUM(E13:E62)</f>
        <v>185574175.873979</v>
      </c>
    </row>
    <row r="10" customFormat="false" ht="15" hidden="false" customHeight="false" outlineLevel="0" collapsed="false">
      <c r="A10" s="1" t="s">
        <v>622</v>
      </c>
      <c r="B10" s="0" t="n">
        <f aca="false">IFERROR(B4/SUM(P13:P62),"—")</f>
        <v>18161.8204252802</v>
      </c>
    </row>
    <row r="11" customFormat="false" ht="15" hidden="false" customHeight="false" outlineLevel="0" collapsed="false">
      <c r="A11" s="1" t="s">
        <v>623</v>
      </c>
      <c r="B11" s="0" t="n">
        <f aca="false">IFERROR(B9/SUM(P13:P62),"—")</f>
        <v>24155.9916434207</v>
      </c>
    </row>
    <row r="12" customFormat="false" ht="55.2" hidden="false" customHeight="false" outlineLevel="0" collapsed="false">
      <c r="A12" s="3" t="s">
        <v>320</v>
      </c>
      <c r="B12" s="3" t="s">
        <v>565</v>
      </c>
      <c r="C12" s="3" t="s">
        <v>624</v>
      </c>
      <c r="D12" s="3" t="s">
        <v>625</v>
      </c>
      <c r="E12" s="3" t="s">
        <v>626</v>
      </c>
      <c r="F12" s="3" t="s">
        <v>627</v>
      </c>
      <c r="G12" s="3" t="s">
        <v>628</v>
      </c>
      <c r="H12" s="3" t="s">
        <v>629</v>
      </c>
      <c r="I12" s="3" t="s">
        <v>630</v>
      </c>
      <c r="J12" s="3" t="s">
        <v>631</v>
      </c>
      <c r="K12" s="3" t="s">
        <v>632</v>
      </c>
      <c r="L12" s="3" t="s">
        <v>633</v>
      </c>
      <c r="M12" s="3" t="s">
        <v>634</v>
      </c>
      <c r="N12" s="3" t="s">
        <v>635</v>
      </c>
      <c r="O12" s="3" t="s">
        <v>636</v>
      </c>
      <c r="P12" s="3" t="s">
        <v>637</v>
      </c>
    </row>
    <row r="13" customFormat="false" ht="15" hidden="false" customHeight="false" outlineLevel="0" collapsed="false">
      <c r="A13" s="0" t="n">
        <v>2026</v>
      </c>
      <c r="B13" s="0" t="n">
        <v>0</v>
      </c>
      <c r="C13" s="0" t="n">
        <f aca="false">IF(B13&lt;x_H,(1+x_dk)^(-B13),0)</f>
        <v>1</v>
      </c>
      <c r="D13" s="0" t="n">
        <f aca="false">IF(B13&lt;x_H,(1+x_de)^(-B13),0)</f>
        <v>1</v>
      </c>
      <c r="E13" s="0" t="n">
        <f aca="false">(L_V1!AO3-L_S1!AO3)*C13</f>
        <v>12310706.1031228</v>
      </c>
      <c r="F13" s="0" t="n">
        <f aca="false">(L_V1!AP3-L_S1!AP3)*C13</f>
        <v>12845561.8234217</v>
      </c>
      <c r="G13" s="0" t="n">
        <f aca="false">(L_V1!AQ3-L_S1!AQ3)*C13</f>
        <v>12752163.9863745</v>
      </c>
      <c r="H13" s="0" t="n">
        <f aca="false">(L_V1!AS3-L_S1!AS3)*C13</f>
        <v>10872638.5074165</v>
      </c>
      <c r="I13" s="0" t="n">
        <f aca="false">E13</f>
        <v>12310706.1031228</v>
      </c>
      <c r="J13" s="0" t="n">
        <f aca="false">F13</f>
        <v>12845561.8234217</v>
      </c>
      <c r="K13" s="0" t="n">
        <f aca="false">G13</f>
        <v>12752163.9863745</v>
      </c>
      <c r="L13" s="0" t="n">
        <f aca="false">J13</f>
        <v>12845561.8234217</v>
      </c>
      <c r="M13" s="0" t="n">
        <v>0</v>
      </c>
      <c r="N13" s="0" t="n">
        <v>0</v>
      </c>
      <c r="O13" s="0" t="n">
        <f aca="false">I13</f>
        <v>12310706.1031228</v>
      </c>
      <c r="P13" s="0" t="n">
        <f aca="false">(L_V1!V3-L_S1!V3)*D13</f>
        <v>40.5550000000076</v>
      </c>
    </row>
    <row r="14" customFormat="false" ht="15" hidden="false" customHeight="false" outlineLevel="0" collapsed="false">
      <c r="A14" s="0" t="n">
        <v>2027</v>
      </c>
      <c r="B14" s="0" t="n">
        <v>1</v>
      </c>
      <c r="C14" s="0" t="n">
        <f aca="false">IF(B14&lt;x_H,(1+x_dk)^(-B14),0)</f>
        <v>0.952380952380952</v>
      </c>
      <c r="D14" s="0" t="n">
        <f aca="false">IF(B14&lt;x_H,(1+x_de)^(-B14),0)</f>
        <v>0.966183574879227</v>
      </c>
      <c r="E14" s="0" t="n">
        <f aca="false">(L_V1!AO4-L_S1!AO4)*C14</f>
        <v>22682730.4484879</v>
      </c>
      <c r="F14" s="0" t="n">
        <f aca="false">(L_V1!AP4-L_S1!AP4)*C14</f>
        <v>23476381.2146425</v>
      </c>
      <c r="G14" s="0" t="n">
        <f aca="false">(L_V1!AQ4-L_S1!AQ4)*C14</f>
        <v>23300887.2707009</v>
      </c>
      <c r="H14" s="0" t="n">
        <f aca="false">(L_V1!AS4-L_S1!AS4)*C14</f>
        <v>20248332.5319871</v>
      </c>
      <c r="I14" s="0" t="n">
        <f aca="false">I13+E14</f>
        <v>34993436.5516108</v>
      </c>
      <c r="J14" s="0" t="n">
        <f aca="false">J13+F14</f>
        <v>36321943.0380642</v>
      </c>
      <c r="K14" s="0" t="n">
        <f aca="false">K13+G14</f>
        <v>36053051.2570754</v>
      </c>
      <c r="L14" s="0" t="n">
        <f aca="false">MAX(L13,J14)</f>
        <v>36321943.0380642</v>
      </c>
      <c r="M14" s="0" t="n">
        <f aca="false">IF(AND(B14&lt;x_H,J14&lt;=0,L13&gt;0),1,0)</f>
        <v>0</v>
      </c>
      <c r="N14" s="0" t="n">
        <f aca="false">IF(AND(B14&lt;x_H,I14&lt;=0,O13&gt;0),1,0)</f>
        <v>0</v>
      </c>
      <c r="O14" s="0" t="n">
        <f aca="false">MAX(O13,I14)</f>
        <v>34993436.5516108</v>
      </c>
      <c r="P14" s="0" t="n">
        <f aca="false">(L_V1!V4-L_S1!V4)*D14</f>
        <v>88.0396135265693</v>
      </c>
    </row>
    <row r="15" customFormat="false" ht="15" hidden="false" customHeight="false" outlineLevel="0" collapsed="false">
      <c r="A15" s="0" t="n">
        <v>2028</v>
      </c>
      <c r="B15" s="0" t="n">
        <v>2</v>
      </c>
      <c r="C15" s="0" t="n">
        <f aca="false">IF(B15&lt;x_H,(1+x_dk)^(-B15),0)</f>
        <v>0.90702947845805</v>
      </c>
      <c r="D15" s="0" t="n">
        <f aca="false">IF(B15&lt;x_H,(1+x_de)^(-B15),0)</f>
        <v>0.933510700366403</v>
      </c>
      <c r="E15" s="0" t="n">
        <f aca="false">(L_V1!AO5-L_S1!AO5)*C15</f>
        <v>31218308.3970995</v>
      </c>
      <c r="F15" s="0" t="n">
        <f aca="false">(L_V1!AP5-L_S1!AP5)*C15</f>
        <v>31984089.7823582</v>
      </c>
      <c r="G15" s="0" t="n">
        <f aca="false">(L_V1!AQ5-L_S1!AQ5)*C15</f>
        <v>31710493.7015722</v>
      </c>
      <c r="H15" s="0" t="n">
        <f aca="false">(L_V1!AS5-L_S1!AS5)*C15</f>
        <v>28234445.2292452</v>
      </c>
      <c r="I15" s="0" t="n">
        <f aca="false">I14+E15</f>
        <v>66211744.9487103</v>
      </c>
      <c r="J15" s="0" t="n">
        <f aca="false">J14+F15</f>
        <v>68306032.8204224</v>
      </c>
      <c r="K15" s="0" t="n">
        <f aca="false">K14+G15</f>
        <v>67763544.9586476</v>
      </c>
      <c r="L15" s="0" t="n">
        <f aca="false">MAX(L14,J15)</f>
        <v>68306032.8204224</v>
      </c>
      <c r="M15" s="0" t="n">
        <f aca="false">IF(AND(B15&lt;x_H,J15&lt;=0,L14&gt;0),1,0)</f>
        <v>0</v>
      </c>
      <c r="N15" s="0" t="n">
        <f aca="false">IF(AND(B15&lt;x_H,I15&lt;=0,O14&gt;0),1,0)</f>
        <v>0</v>
      </c>
      <c r="O15" s="0" t="n">
        <f aca="false">MAX(O14,I15)</f>
        <v>66211744.9487103</v>
      </c>
      <c r="P15" s="0" t="n">
        <f aca="false">(L_V1!V5-L_S1!V5)*D15</f>
        <v>142.492940325322</v>
      </c>
    </row>
    <row r="16" customFormat="false" ht="15" hidden="false" customHeight="false" outlineLevel="0" collapsed="false">
      <c r="A16" s="0" t="n">
        <v>2029</v>
      </c>
      <c r="B16" s="0" t="n">
        <v>3</v>
      </c>
      <c r="C16" s="0" t="n">
        <f aca="false">IF(B16&lt;x_H,(1+x_dk)^(-B16),0)</f>
        <v>0.863837598531476</v>
      </c>
      <c r="D16" s="0" t="n">
        <f aca="false">IF(B16&lt;x_H,(1+x_de)^(-B16),0)</f>
        <v>0.901942705668022</v>
      </c>
      <c r="E16" s="0" t="n">
        <f aca="false">(L_V1!AO6-L_S1!AO6)*C16</f>
        <v>29197802.7229581</v>
      </c>
      <c r="F16" s="0" t="n">
        <f aca="false">(L_V1!AP6-L_S1!AP6)*C16</f>
        <v>29653921.6785479</v>
      </c>
      <c r="G16" s="0" t="n">
        <f aca="false">(L_V1!AQ6-L_S1!AQ6)*C16</f>
        <v>29241745.0436773</v>
      </c>
      <c r="H16" s="0" t="n">
        <f aca="false">(L_V1!AS6-L_S1!AS6)*C16</f>
        <v>26199751.1950164</v>
      </c>
      <c r="I16" s="0" t="n">
        <f aca="false">I15+E16</f>
        <v>95409547.6716684</v>
      </c>
      <c r="J16" s="0" t="n">
        <f aca="false">J15+F16</f>
        <v>97959954.4989704</v>
      </c>
      <c r="K16" s="0" t="n">
        <f aca="false">K15+G16</f>
        <v>97005290.0023249</v>
      </c>
      <c r="L16" s="0" t="n">
        <f aca="false">MAX(L15,J16)</f>
        <v>97959954.4989704</v>
      </c>
      <c r="M16" s="0" t="n">
        <f aca="false">IF(AND(B16&lt;x_H,J16&lt;=0,L15&gt;0),1,0)</f>
        <v>0</v>
      </c>
      <c r="N16" s="0" t="n">
        <f aca="false">IF(AND(B16&lt;x_H,I16&lt;=0,O15&gt;0),1,0)</f>
        <v>0</v>
      </c>
      <c r="O16" s="0" t="n">
        <f aca="false">MAX(O15,I16)</f>
        <v>95409547.6716684</v>
      </c>
      <c r="P16" s="0" t="n">
        <f aca="false">(L_V1!V6-L_S1!V6)*D16</f>
        <v>194.986483824852</v>
      </c>
    </row>
    <row r="17" customFormat="false" ht="15" hidden="false" customHeight="false" outlineLevel="0" collapsed="false">
      <c r="A17" s="0" t="n">
        <v>2030</v>
      </c>
      <c r="B17" s="0" t="n">
        <v>4</v>
      </c>
      <c r="C17" s="0" t="n">
        <f aca="false">IF(B17&lt;x_H,(1+x_dk)^(-B17),0)</f>
        <v>0.822702474791882</v>
      </c>
      <c r="D17" s="0" t="n">
        <f aca="false">IF(B17&lt;x_H,(1+x_de)^(-B17),0)</f>
        <v>0.871442227698572</v>
      </c>
      <c r="E17" s="0" t="n">
        <f aca="false">(L_V1!AO7-L_S1!AO7)*C17</f>
        <v>27131177.8341072</v>
      </c>
      <c r="F17" s="0" t="n">
        <f aca="false">(L_V1!AP7-L_S1!AP7)*C17</f>
        <v>27166875.8513193</v>
      </c>
      <c r="G17" s="0" t="n">
        <f aca="false">(L_V1!AQ7-L_S1!AQ7)*C17</f>
        <v>26535339.5708292</v>
      </c>
      <c r="H17" s="0" t="n">
        <f aca="false">(L_V1!AS7-L_S1!AS7)*C17</f>
        <v>24323280.1736486</v>
      </c>
      <c r="I17" s="0" t="n">
        <f aca="false">I16+E17</f>
        <v>122540725.505776</v>
      </c>
      <c r="J17" s="0" t="n">
        <f aca="false">J16+F17</f>
        <v>125126830.35029</v>
      </c>
      <c r="K17" s="0" t="n">
        <f aca="false">K16+G17</f>
        <v>123540629.573154</v>
      </c>
      <c r="L17" s="0" t="n">
        <f aca="false">MAX(L16,J17)</f>
        <v>125126830.35029</v>
      </c>
      <c r="M17" s="0" t="n">
        <f aca="false">IF(AND(B17&lt;x_H,J17&lt;=0,L16&gt;0),1,0)</f>
        <v>0</v>
      </c>
      <c r="N17" s="0" t="n">
        <f aca="false">IF(AND(B17&lt;x_H,I17&lt;=0,O16&gt;0),1,0)</f>
        <v>0</v>
      </c>
      <c r="O17" s="0" t="n">
        <f aca="false">MAX(O16,I17)</f>
        <v>122540725.505776</v>
      </c>
      <c r="P17" s="0" t="n">
        <f aca="false">(L_V1!V7-L_S1!V7)*D17</f>
        <v>246.036027030602</v>
      </c>
    </row>
    <row r="18" customFormat="false" ht="15" hidden="false" customHeight="false" outlineLevel="0" collapsed="false">
      <c r="A18" s="0" t="n">
        <v>2031</v>
      </c>
      <c r="B18" s="0" t="n">
        <v>5</v>
      </c>
      <c r="C18" s="0" t="n">
        <f aca="false">IF(B18&lt;x_H,(1+x_dk)^(-B18),0)</f>
        <v>0.783526166468459</v>
      </c>
      <c r="D18" s="0" t="n">
        <f aca="false">IF(B18&lt;x_H,(1+x_de)^(-B18),0)</f>
        <v>0.841973166858524</v>
      </c>
      <c r="E18" s="0" t="n">
        <f aca="false">(L_V1!AO8-L_S1!AO8)*C18</f>
        <v>25043750.6020324</v>
      </c>
      <c r="F18" s="0" t="n">
        <f aca="false">(L_V1!AP8-L_S1!AP8)*C18</f>
        <v>24547229.8490548</v>
      </c>
      <c r="G18" s="0" t="n">
        <f aca="false">(L_V1!AQ8-L_S1!AQ8)*C18</f>
        <v>23607201.3806884</v>
      </c>
      <c r="H18" s="0" t="n">
        <f aca="false">(L_V1!AS8-L_S1!AS8)*C18</f>
        <v>22590651.3153331</v>
      </c>
      <c r="I18" s="0" t="n">
        <f aca="false">I17+E18</f>
        <v>147584476.107808</v>
      </c>
      <c r="J18" s="0" t="n">
        <f aca="false">J17+F18</f>
        <v>149674060.199344</v>
      </c>
      <c r="K18" s="0" t="n">
        <f aca="false">K17+G18</f>
        <v>147147830.953843</v>
      </c>
      <c r="L18" s="0" t="n">
        <f aca="false">MAX(L17,J18)</f>
        <v>149674060.199344</v>
      </c>
      <c r="M18" s="0" t="n">
        <f aca="false">IF(AND(B18&lt;x_H,J18&lt;=0,L17&gt;0),1,0)</f>
        <v>0</v>
      </c>
      <c r="N18" s="0" t="n">
        <f aca="false">IF(AND(B18&lt;x_H,I18&lt;=0,O17&gt;0),1,0)</f>
        <v>0</v>
      </c>
      <c r="O18" s="0" t="n">
        <f aca="false">MAX(O17,I18)</f>
        <v>147584476.107808</v>
      </c>
      <c r="P18" s="0" t="n">
        <f aca="false">(L_V1!V8-L_S1!V8)*D18</f>
        <v>295.903891733932</v>
      </c>
    </row>
    <row r="19" customFormat="false" ht="15" hidden="false" customHeight="false" outlineLevel="0" collapsed="false">
      <c r="A19" s="0" t="n">
        <v>2032</v>
      </c>
      <c r="B19" s="0" t="n">
        <v>6</v>
      </c>
      <c r="C19" s="0" t="n">
        <f aca="false">IF(B19&lt;x_H,(1+x_dk)^(-B19),0)</f>
        <v>0.746215396636628</v>
      </c>
      <c r="D19" s="0" t="n">
        <f aca="false">IF(B19&lt;x_H,(1+x_de)^(-B19),0)</f>
        <v>0.813500644307753</v>
      </c>
      <c r="E19" s="0" t="n">
        <f aca="false">(L_V1!AO9-L_S1!AO9)*C19</f>
        <v>22959840.0494151</v>
      </c>
      <c r="F19" s="0" t="n">
        <f aca="false">(L_V1!AP9-L_S1!AP9)*C19</f>
        <v>21821947.2745804</v>
      </c>
      <c r="G19" s="0" t="n">
        <f aca="false">(L_V1!AQ9-L_S1!AQ9)*C19</f>
        <v>20480264.5167467</v>
      </c>
      <c r="H19" s="0" t="n">
        <f aca="false">(L_V1!AS9-L_S1!AS9)*C19</f>
        <v>20989697.9373023</v>
      </c>
      <c r="I19" s="0" t="n">
        <f aca="false">I18+E19</f>
        <v>170544316.157223</v>
      </c>
      <c r="J19" s="0" t="n">
        <f aca="false">J18+F19</f>
        <v>171496007.473925</v>
      </c>
      <c r="K19" s="0" t="n">
        <f aca="false">K18+G19</f>
        <v>167628095.470589</v>
      </c>
      <c r="L19" s="0" t="n">
        <f aca="false">MAX(L18,J19)</f>
        <v>171496007.473925</v>
      </c>
      <c r="M19" s="0" t="n">
        <f aca="false">IF(AND(B19&lt;x_H,J19&lt;=0,L18&gt;0),1,0)</f>
        <v>0</v>
      </c>
      <c r="N19" s="0" t="n">
        <f aca="false">IF(AND(B19&lt;x_H,I19&lt;=0,O18&gt;0),1,0)</f>
        <v>0</v>
      </c>
      <c r="O19" s="0" t="n">
        <f aca="false">MAX(O18,I19)</f>
        <v>170544316.157223</v>
      </c>
      <c r="P19" s="0" t="n">
        <f aca="false">(L_V1!V9-L_S1!V9)*D19</f>
        <v>344.677782491262</v>
      </c>
    </row>
    <row r="20" customFormat="false" ht="15" hidden="false" customHeight="false" outlineLevel="0" collapsed="false">
      <c r="A20" s="0" t="n">
        <v>2033</v>
      </c>
      <c r="B20" s="0" t="n">
        <v>7</v>
      </c>
      <c r="C20" s="0" t="n">
        <f aca="false">IF(B20&lt;x_H,(1+x_dk)^(-B20),0)</f>
        <v>0.710681330130121</v>
      </c>
      <c r="D20" s="0" t="n">
        <f aca="false">IF(B20&lt;x_H,(1+x_de)^(-B20),0)</f>
        <v>0.785990960683819</v>
      </c>
      <c r="E20" s="0" t="n">
        <f aca="false">(L_V1!AO10-L_S1!AO10)*C20</f>
        <v>20900273.190416</v>
      </c>
      <c r="F20" s="0" t="n">
        <f aca="false">(L_V1!AP10-L_S1!AP10)*C20</f>
        <v>19017464.7556182</v>
      </c>
      <c r="G20" s="0" t="n">
        <f aca="false">(L_V1!AQ10-L_S1!AQ10)*C20</f>
        <v>17180396.1388859</v>
      </c>
      <c r="H20" s="0" t="n">
        <f aca="false">(L_V1!AS10-L_S1!AS10)*C20</f>
        <v>19508742.1993146</v>
      </c>
      <c r="I20" s="0" t="n">
        <f aca="false">I19+E20</f>
        <v>191444589.347639</v>
      </c>
      <c r="J20" s="0" t="n">
        <f aca="false">J19+F20</f>
        <v>190513472.229543</v>
      </c>
      <c r="K20" s="0" t="n">
        <f aca="false">K19+G20</f>
        <v>184808491.609475</v>
      </c>
      <c r="L20" s="0" t="n">
        <f aca="false">MAX(L19,J20)</f>
        <v>190513472.229543</v>
      </c>
      <c r="M20" s="0" t="n">
        <f aca="false">IF(AND(B20&lt;x_H,J20&lt;=0,L19&gt;0),1,0)</f>
        <v>0</v>
      </c>
      <c r="N20" s="0" t="n">
        <f aca="false">IF(AND(B20&lt;x_H,I20&lt;=0,O19&gt;0),1,0)</f>
        <v>0</v>
      </c>
      <c r="O20" s="0" t="n">
        <f aca="false">MAX(O19,I20)</f>
        <v>191444589.347639</v>
      </c>
      <c r="P20" s="0" t="n">
        <f aca="false">(L_V1!V10-L_S1!V10)*D20</f>
        <v>392.330531989167</v>
      </c>
    </row>
    <row r="21" customFormat="false" ht="15" hidden="false" customHeight="false" outlineLevel="0" collapsed="false">
      <c r="A21" s="0" t="n">
        <v>2034</v>
      </c>
      <c r="B21" s="0" t="n">
        <v>8</v>
      </c>
      <c r="C21" s="0" t="n">
        <f aca="false">IF(B21&lt;x_H,(1+x_dk)^(-B21),0)</f>
        <v>0.676839362028687</v>
      </c>
      <c r="D21" s="0" t="n">
        <f aca="false">IF(B21&lt;x_H,(1+x_de)^(-B21),0)</f>
        <v>0.759411556216251</v>
      </c>
      <c r="E21" s="0" t="n">
        <f aca="false">(L_V1!AO11-L_S1!AO11)*C21</f>
        <v>18885546.9790661</v>
      </c>
      <c r="F21" s="0" t="n">
        <f aca="false">(L_V1!AP11-L_S1!AP11)*C21</f>
        <v>16162620.7171508</v>
      </c>
      <c r="G21" s="0" t="n">
        <f aca="false">(L_V1!AQ11-L_S1!AQ11)*C21</f>
        <v>13739077.5119913</v>
      </c>
      <c r="H21" s="0" t="n">
        <f aca="false">(L_V1!AS11-L_S1!AS11)*C21</f>
        <v>18138436.6532783</v>
      </c>
      <c r="I21" s="0" t="n">
        <f aca="false">I20+E21</f>
        <v>210330136.326705</v>
      </c>
      <c r="J21" s="0" t="n">
        <f aca="false">J20+F21</f>
        <v>206676092.946694</v>
      </c>
      <c r="K21" s="0" t="n">
        <f aca="false">K20+G21</f>
        <v>198547569.121466</v>
      </c>
      <c r="L21" s="0" t="n">
        <f aca="false">MAX(L20,J21)</f>
        <v>206676092.946694</v>
      </c>
      <c r="M21" s="0" t="n">
        <f aca="false">IF(AND(B21&lt;x_H,J21&lt;=0,L20&gt;0),1,0)</f>
        <v>0</v>
      </c>
      <c r="N21" s="0" t="n">
        <f aca="false">IF(AND(B21&lt;x_H,I21&lt;=0,O20&gt;0),1,0)</f>
        <v>0</v>
      </c>
      <c r="O21" s="0" t="n">
        <f aca="false">MAX(O20,I21)</f>
        <v>210330136.326705</v>
      </c>
      <c r="P21" s="0" t="n">
        <f aca="false">(L_V1!V11-L_S1!V11)*D21</f>
        <v>438.760658365734</v>
      </c>
    </row>
    <row r="22" customFormat="false" ht="15" hidden="false" customHeight="false" outlineLevel="0" collapsed="false">
      <c r="A22" s="0" t="n">
        <v>2035</v>
      </c>
      <c r="B22" s="0" t="n">
        <v>9</v>
      </c>
      <c r="C22" s="0" t="n">
        <f aca="false">IF(B22&lt;x_H,(1+x_dk)^(-B22),0)</f>
        <v>0.644608916217797</v>
      </c>
      <c r="D22" s="0" t="n">
        <f aca="false">IF(B22&lt;x_H,(1+x_de)^(-B22),0)</f>
        <v>0.733730972189614</v>
      </c>
      <c r="E22" s="0" t="n">
        <f aca="false">(L_V1!AO12-L_S1!AO12)*C22</f>
        <v>16216027.4319482</v>
      </c>
      <c r="F22" s="0" t="n">
        <f aca="false">(L_V1!AP12-L_S1!AP12)*C22</f>
        <v>12225177.2220084</v>
      </c>
      <c r="G22" s="0" t="n">
        <f aca="false">(L_V1!AQ12-L_S1!AQ12)*C22</f>
        <v>9183443.42197877</v>
      </c>
      <c r="H22" s="0" t="n">
        <f aca="false">(L_V1!AS12-L_S1!AS12)*C22</f>
        <v>16869495.0677477</v>
      </c>
      <c r="I22" s="0" t="n">
        <f aca="false">I21+E22</f>
        <v>226546163.758653</v>
      </c>
      <c r="J22" s="0" t="n">
        <f aca="false">J21+F22</f>
        <v>218901270.168702</v>
      </c>
      <c r="K22" s="0" t="n">
        <f aca="false">K21+G22</f>
        <v>207731012.543445</v>
      </c>
      <c r="L22" s="0" t="n">
        <f aca="false">MAX(L21,J22)</f>
        <v>218901270.168702</v>
      </c>
      <c r="M22" s="0" t="n">
        <f aca="false">IF(AND(B22&lt;x_H,J22&lt;=0,L21&gt;0),1,0)</f>
        <v>0</v>
      </c>
      <c r="N22" s="0" t="n">
        <f aca="false">IF(AND(B22&lt;x_H,I22&lt;=0,O21&gt;0),1,0)</f>
        <v>0</v>
      </c>
      <c r="O22" s="0" t="n">
        <f aca="false">MAX(O21,I22)</f>
        <v>226546163.758653</v>
      </c>
      <c r="P22" s="0" t="n">
        <f aca="false">(L_V1!V12-L_S1!V12)*D22</f>
        <v>466.28163044066</v>
      </c>
    </row>
    <row r="23" customFormat="false" ht="15" hidden="false" customHeight="false" outlineLevel="0" collapsed="false">
      <c r="A23" s="0" t="n">
        <v>2036</v>
      </c>
      <c r="B23" s="0" t="n">
        <v>10</v>
      </c>
      <c r="C23" s="0" t="n">
        <f aca="false">IF(B23&lt;x_H,(1+x_dk)^(-B23),0)</f>
        <v>0.613913253540759</v>
      </c>
      <c r="D23" s="0" t="n">
        <f aca="false">IF(B23&lt;x_H,(1+x_de)^(-B23),0)</f>
        <v>0.708918813709772</v>
      </c>
      <c r="E23" s="0" t="n">
        <f aca="false">(L_V1!AO13-L_S1!AO13)*C23</f>
        <v>-2138828.06953457</v>
      </c>
      <c r="F23" s="0" t="n">
        <f aca="false">(L_V1!AP13-L_S1!AP13)*C23</f>
        <v>-7391458.38315067</v>
      </c>
      <c r="G23" s="0" t="n">
        <f aca="false">(L_V1!AQ13-L_S1!AQ13)*C23</f>
        <v>-11116564.0900829</v>
      </c>
      <c r="H23" s="0" t="n">
        <f aca="false">(L_V1!AS13-L_S1!AS13)*C23</f>
        <v>0</v>
      </c>
      <c r="I23" s="0" t="n">
        <f aca="false">I22+E23</f>
        <v>224407335.689119</v>
      </c>
      <c r="J23" s="0" t="n">
        <f aca="false">J22+F23</f>
        <v>211509811.785551</v>
      </c>
      <c r="K23" s="0" t="n">
        <f aca="false">K22+G23</f>
        <v>196614448.453362</v>
      </c>
      <c r="L23" s="0" t="n">
        <f aca="false">MAX(L22,J23)</f>
        <v>218901270.168702</v>
      </c>
      <c r="M23" s="0" t="n">
        <f aca="false">IF(AND(B23&lt;x_H,J23&lt;=0,L22&gt;0),1,0)</f>
        <v>0</v>
      </c>
      <c r="N23" s="0" t="n">
        <f aca="false">IF(AND(B23&lt;x_H,I23&lt;=0,O22&gt;0),1,0)</f>
        <v>0</v>
      </c>
      <c r="O23" s="0" t="n">
        <f aca="false">MAX(O22,I23)</f>
        <v>226546163.758653</v>
      </c>
      <c r="P23" s="0" t="n">
        <f aca="false">(L_V1!V13-L_S1!V13)*D23</f>
        <v>476.090025560699</v>
      </c>
    </row>
    <row r="24" customFormat="false" ht="15" hidden="false" customHeight="false" outlineLevel="0" collapsed="false">
      <c r="A24" s="0" t="n">
        <v>2037</v>
      </c>
      <c r="B24" s="0" t="n">
        <v>11</v>
      </c>
      <c r="C24" s="0" t="n">
        <f aca="false">IF(B24&lt;x_H,(1+x_dk)^(-B24),0)</f>
        <v>0.584679289086437</v>
      </c>
      <c r="D24" s="0" t="n">
        <f aca="false">IF(B24&lt;x_H,(1+x_de)^(-B24),0)</f>
        <v>0.684945713729249</v>
      </c>
      <c r="E24" s="0" t="n">
        <f aca="false">(L_V1!AO14-L_S1!AO14)*C24</f>
        <v>-2931209.16196555</v>
      </c>
      <c r="F24" s="0" t="n">
        <f aca="false">(L_V1!AP14-L_S1!AP14)*C24</f>
        <v>-9077283.32073705</v>
      </c>
      <c r="G24" s="0" t="n">
        <f aca="false">(L_V1!AQ14-L_S1!AQ14)*C24</f>
        <v>-13565598.1085767</v>
      </c>
      <c r="H24" s="0" t="n">
        <f aca="false">(L_V1!AS14-L_S1!AS14)*C24</f>
        <v>0</v>
      </c>
      <c r="I24" s="0" t="n">
        <f aca="false">I23+E24</f>
        <v>221476126.527153</v>
      </c>
      <c r="J24" s="0" t="n">
        <f aca="false">J23+F24</f>
        <v>202432528.464814</v>
      </c>
      <c r="K24" s="0" t="n">
        <f aca="false">K23+G24</f>
        <v>183048850.344786</v>
      </c>
      <c r="L24" s="0" t="n">
        <f aca="false">MAX(L23,J24)</f>
        <v>218901270.168702</v>
      </c>
      <c r="M24" s="0" t="n">
        <f aca="false">IF(AND(B24&lt;x_H,J24&lt;=0,L23&gt;0),1,0)</f>
        <v>0</v>
      </c>
      <c r="N24" s="0" t="n">
        <f aca="false">IF(AND(B24&lt;x_H,I24&lt;=0,O23&gt;0),1,0)</f>
        <v>0</v>
      </c>
      <c r="O24" s="0" t="n">
        <f aca="false">MAX(O23,I24)</f>
        <v>226546163.758653</v>
      </c>
      <c r="P24" s="0" t="n">
        <f aca="false">(L_V1!V14-L_S1!V14)*D24</f>
        <v>485.510070262704</v>
      </c>
    </row>
    <row r="25" customFormat="false" ht="15" hidden="false" customHeight="false" outlineLevel="0" collapsed="false">
      <c r="A25" s="0" t="n">
        <v>2038</v>
      </c>
      <c r="B25" s="0" t="n">
        <v>12</v>
      </c>
      <c r="C25" s="0" t="n">
        <f aca="false">IF(B25&lt;x_H,(1+x_dk)^(-B25),0)</f>
        <v>0.556837418177559</v>
      </c>
      <c r="D25" s="0" t="n">
        <f aca="false">IF(B25&lt;x_H,(1+x_de)^(-B25),0)</f>
        <v>0.661783298289129</v>
      </c>
      <c r="E25" s="0" t="n">
        <f aca="false">(L_V1!AO15-L_S1!AO15)*C25</f>
        <v>-3549924.8286512</v>
      </c>
      <c r="F25" s="0" t="n">
        <f aca="false">(L_V1!AP15-L_S1!AP15)*C25</f>
        <v>-7917374.76017587</v>
      </c>
      <c r="G25" s="0" t="n">
        <f aca="false">(L_V1!AQ15-L_S1!AQ15)*C25</f>
        <v>-11179568.9997798</v>
      </c>
      <c r="H25" s="0" t="n">
        <f aca="false">(L_V1!AS15-L_S1!AS15)*C25</f>
        <v>0</v>
      </c>
      <c r="I25" s="0" t="n">
        <f aca="false">I24+E25</f>
        <v>217926201.698502</v>
      </c>
      <c r="J25" s="0" t="n">
        <f aca="false">J24+F25</f>
        <v>194515153.704639</v>
      </c>
      <c r="K25" s="0" t="n">
        <f aca="false">K24+G25</f>
        <v>171869281.345006</v>
      </c>
      <c r="L25" s="0" t="n">
        <f aca="false">MAX(L24,J25)</f>
        <v>218901270.168702</v>
      </c>
      <c r="M25" s="0" t="n">
        <f aca="false">IF(AND(B25&lt;x_H,J25&lt;=0,L24&gt;0),1,0)</f>
        <v>0</v>
      </c>
      <c r="N25" s="0" t="n">
        <f aca="false">IF(AND(B25&lt;x_H,I25&lt;=0,O24&gt;0),1,0)</f>
        <v>0</v>
      </c>
      <c r="O25" s="0" t="n">
        <f aca="false">MAX(O24,I25)</f>
        <v>226546163.758653</v>
      </c>
      <c r="P25" s="0" t="n">
        <f aca="false">(L_V1!V15-L_S1!V15)*D25</f>
        <v>494.058953820838</v>
      </c>
    </row>
    <row r="26" customFormat="false" ht="15" hidden="false" customHeight="false" outlineLevel="0" collapsed="false">
      <c r="A26" s="0" t="n">
        <v>2039</v>
      </c>
      <c r="B26" s="0" t="n">
        <v>13</v>
      </c>
      <c r="C26" s="0" t="n">
        <f aca="false">IF(B26&lt;x_H,(1+x_dk)^(-B26),0)</f>
        <v>0.530321350645295</v>
      </c>
      <c r="D26" s="0" t="n">
        <f aca="false">IF(B26&lt;x_H,(1+x_de)^(-B26),0)</f>
        <v>0.639404152936357</v>
      </c>
      <c r="E26" s="0" t="n">
        <f aca="false">(L_V1!AO16-L_S1!AO16)*C26</f>
        <v>-4023165.13164391</v>
      </c>
      <c r="F26" s="0" t="n">
        <f aca="false">(L_V1!AP16-L_S1!AP16)*C26</f>
        <v>-6434926.13072246</v>
      </c>
      <c r="G26" s="0" t="n">
        <f aca="false">(L_V1!AQ16-L_S1!AQ16)*C26</f>
        <v>-8304524.09150135</v>
      </c>
      <c r="H26" s="0" t="n">
        <f aca="false">(L_V1!AS16-L_S1!AS16)*C26</f>
        <v>0</v>
      </c>
      <c r="I26" s="0" t="n">
        <f aca="false">I25+E26</f>
        <v>213903036.566858</v>
      </c>
      <c r="J26" s="0" t="n">
        <f aca="false">J25+F26</f>
        <v>188080227.573916</v>
      </c>
      <c r="K26" s="0" t="n">
        <f aca="false">K25+G26</f>
        <v>163564757.253504</v>
      </c>
      <c r="L26" s="0" t="n">
        <f aca="false">MAX(L25,J26)</f>
        <v>218901270.168702</v>
      </c>
      <c r="M26" s="0" t="n">
        <f aca="false">IF(AND(B26&lt;x_H,J26&lt;=0,L25&gt;0),1,0)</f>
        <v>0</v>
      </c>
      <c r="N26" s="0" t="n">
        <f aca="false">IF(AND(B26&lt;x_H,I26&lt;=0,O25&gt;0),1,0)</f>
        <v>0</v>
      </c>
      <c r="O26" s="0" t="n">
        <f aca="false">MAX(O25,I26)</f>
        <v>226546163.758653</v>
      </c>
      <c r="P26" s="0" t="n">
        <f aca="false">(L_V1!V16-L_S1!V16)*D26</f>
        <v>501.382372483505</v>
      </c>
    </row>
    <row r="27" customFormat="false" ht="15" hidden="false" customHeight="false" outlineLevel="0" collapsed="false">
      <c r="A27" s="0" t="n">
        <v>2040</v>
      </c>
      <c r="B27" s="0" t="n">
        <v>14</v>
      </c>
      <c r="C27" s="0" t="n">
        <f aca="false">IF(B27&lt;x_H,(1+x_dk)^(-B27),0)</f>
        <v>0.505067952995519</v>
      </c>
      <c r="D27" s="0" t="n">
        <f aca="false">IF(B27&lt;x_H,(1+x_de)^(-B27),0)</f>
        <v>0.617781790276673</v>
      </c>
      <c r="E27" s="0" t="n">
        <f aca="false">(L_V1!AO17-L_S1!AO17)*C27</f>
        <v>-4373508.56869203</v>
      </c>
      <c r="F27" s="0" t="n">
        <f aca="false">(L_V1!AP17-L_S1!AP17)*C27</f>
        <v>-7069978.16276114</v>
      </c>
      <c r="G27" s="0" t="n">
        <f aca="false">(L_V1!AQ17-L_S1!AQ17)*C27</f>
        <v>-9199304.77525585</v>
      </c>
      <c r="H27" s="0" t="n">
        <f aca="false">(L_V1!AS17-L_S1!AS17)*C27</f>
        <v>0</v>
      </c>
      <c r="I27" s="0" t="n">
        <f aca="false">I26+E27</f>
        <v>209529527.998166</v>
      </c>
      <c r="J27" s="0" t="n">
        <f aca="false">J26+F27</f>
        <v>181010249.411155</v>
      </c>
      <c r="K27" s="0" t="n">
        <f aca="false">K26+G27</f>
        <v>154365452.478249</v>
      </c>
      <c r="L27" s="0" t="n">
        <f aca="false">MAX(L26,J27)</f>
        <v>218901270.168702</v>
      </c>
      <c r="M27" s="0" t="n">
        <f aca="false">IF(AND(B27&lt;x_H,J27&lt;=0,L26&gt;0),1,0)</f>
        <v>0</v>
      </c>
      <c r="N27" s="0" t="n">
        <f aca="false">IF(AND(B27&lt;x_H,I27&lt;=0,O26&gt;0),1,0)</f>
        <v>0</v>
      </c>
      <c r="O27" s="0" t="n">
        <f aca="false">MAX(O26,I27)</f>
        <v>226546163.758653</v>
      </c>
      <c r="P27" s="0" t="n">
        <f aca="false">(L_V1!V17-L_S1!V17)*D27</f>
        <v>507.241476760671</v>
      </c>
    </row>
    <row r="28" customFormat="false" ht="15" hidden="false" customHeight="false" outlineLevel="0" collapsed="false">
      <c r="A28" s="0" t="n">
        <v>2041</v>
      </c>
      <c r="B28" s="0" t="n">
        <v>15</v>
      </c>
      <c r="C28" s="0" t="n">
        <f aca="false">IF(B28&lt;x_H,(1+x_dk)^(-B28),0)</f>
        <v>0.48101709809097</v>
      </c>
      <c r="D28" s="0" t="n">
        <f aca="false">IF(B28&lt;x_H,(1+x_de)^(-B28),0)</f>
        <v>0.596890618624805</v>
      </c>
      <c r="E28" s="0" t="n">
        <f aca="false">(L_V1!AO18-L_S1!AO18)*C28</f>
        <v>-4619081.10848712</v>
      </c>
      <c r="F28" s="0" t="n">
        <f aca="false">(L_V1!AP18-L_S1!AP18)*C28</f>
        <v>-7595351.19861141</v>
      </c>
      <c r="G28" s="0" t="n">
        <f aca="false">(L_V1!AQ18-L_S1!AQ18)*C28</f>
        <v>-9983841.31604587</v>
      </c>
      <c r="H28" s="0" t="n">
        <f aca="false">(L_V1!AS18-L_S1!AS18)*C28</f>
        <v>0</v>
      </c>
      <c r="I28" s="0" t="n">
        <f aca="false">I27+E28</f>
        <v>204910446.889679</v>
      </c>
      <c r="J28" s="0" t="n">
        <f aca="false">J27+F28</f>
        <v>173414898.212544</v>
      </c>
      <c r="K28" s="0" t="n">
        <f aca="false">K27+G28</f>
        <v>144381611.162203</v>
      </c>
      <c r="L28" s="0" t="n">
        <f aca="false">MAX(L27,J28)</f>
        <v>218901270.168702</v>
      </c>
      <c r="M28" s="0" t="n">
        <f aca="false">IF(AND(B28&lt;x_H,J28&lt;=0,L27&gt;0),1,0)</f>
        <v>0</v>
      </c>
      <c r="N28" s="0" t="n">
        <f aca="false">IF(AND(B28&lt;x_H,I28&lt;=0,O27&gt;0),1,0)</f>
        <v>0</v>
      </c>
      <c r="O28" s="0" t="n">
        <f aca="false">MAX(O27,I28)</f>
        <v>226546163.758653</v>
      </c>
      <c r="P28" s="0" t="n">
        <f aca="false">(L_V1!V18-L_S1!V18)*D28</f>
        <v>511.514965880416</v>
      </c>
    </row>
    <row r="29" customFormat="false" ht="15" hidden="false" customHeight="false" outlineLevel="0" collapsed="false">
      <c r="A29" s="0" t="n">
        <v>2042</v>
      </c>
      <c r="B29" s="0" t="n">
        <v>16</v>
      </c>
      <c r="C29" s="0" t="n">
        <f aca="false">IF(B29&lt;x_H,(1+x_dk)^(-B29),0)</f>
        <v>0.4581115219914</v>
      </c>
      <c r="D29" s="0" t="n">
        <f aca="false">IF(B29&lt;x_H,(1+x_de)^(-B29),0)</f>
        <v>0.576705911714788</v>
      </c>
      <c r="E29" s="0" t="n">
        <f aca="false">(L_V1!AO19-L_S1!AO19)*C29</f>
        <v>-4773930.33226558</v>
      </c>
      <c r="F29" s="0" t="n">
        <f aca="false">(L_V1!AP19-L_S1!AP19)*C29</f>
        <v>-8023621.82985684</v>
      </c>
      <c r="G29" s="0" t="n">
        <f aca="false">(L_V1!AQ19-L_S1!AQ19)*C29</f>
        <v>-10668617.6264751</v>
      </c>
      <c r="H29" s="0" t="n">
        <f aca="false">(L_V1!AS19-L_S1!AS19)*C29</f>
        <v>0</v>
      </c>
      <c r="I29" s="0" t="n">
        <f aca="false">I28+E29</f>
        <v>200136516.557413</v>
      </c>
      <c r="J29" s="0" t="n">
        <f aca="false">J28+F29</f>
        <v>165391276.382687</v>
      </c>
      <c r="K29" s="0" t="n">
        <f aca="false">K28+G29</f>
        <v>133712993.535728</v>
      </c>
      <c r="L29" s="0" t="n">
        <f aca="false">MAX(L28,J29)</f>
        <v>218901270.168702</v>
      </c>
      <c r="M29" s="0" t="n">
        <f aca="false">IF(AND(B29&lt;x_H,J29&lt;=0,L28&gt;0),1,0)</f>
        <v>0</v>
      </c>
      <c r="N29" s="0" t="n">
        <f aca="false">IF(AND(B29&lt;x_H,I29&lt;=0,O28&gt;0),1,0)</f>
        <v>0</v>
      </c>
      <c r="O29" s="0" t="n">
        <f aca="false">MAX(O28,I29)</f>
        <v>226546163.758653</v>
      </c>
      <c r="P29" s="0" t="n">
        <f aca="false">(L_V1!V19-L_S1!V19)*D29</f>
        <v>513.972996050281</v>
      </c>
    </row>
    <row r="30" customFormat="false" ht="15" hidden="false" customHeight="false" outlineLevel="0" collapsed="false">
      <c r="A30" s="0" t="n">
        <v>2043</v>
      </c>
      <c r="B30" s="0" t="n">
        <v>17</v>
      </c>
      <c r="C30" s="0" t="n">
        <f aca="false">IF(B30&lt;x_H,(1+x_dk)^(-B30),0)</f>
        <v>0.436296687610857</v>
      </c>
      <c r="D30" s="0" t="n">
        <f aca="false">IF(B30&lt;x_H,(1+x_de)^(-B30),0)</f>
        <v>0.557203779434577</v>
      </c>
      <c r="E30" s="0" t="n">
        <f aca="false">(L_V1!AO20-L_S1!AO20)*C30</f>
        <v>-4854129.05818259</v>
      </c>
      <c r="F30" s="0" t="n">
        <f aca="false">(L_V1!AP20-L_S1!AP20)*C30</f>
        <v>-8369354.12133955</v>
      </c>
      <c r="G30" s="0" t="n">
        <f aca="false">(L_V1!AQ20-L_S1!AQ20)*C30</f>
        <v>-11266343.9665818</v>
      </c>
      <c r="H30" s="0" t="n">
        <f aca="false">(L_V1!AS20-L_S1!AS20)*C30</f>
        <v>0</v>
      </c>
      <c r="I30" s="0" t="n">
        <f aca="false">I29+E30</f>
        <v>195282387.499231</v>
      </c>
      <c r="J30" s="0" t="n">
        <f aca="false">J29+F30</f>
        <v>157021922.261347</v>
      </c>
      <c r="K30" s="0" t="n">
        <f aca="false">K29+G30</f>
        <v>122446649.569146</v>
      </c>
      <c r="L30" s="0" t="n">
        <f aca="false">MAX(L29,J30)</f>
        <v>218901270.168702</v>
      </c>
      <c r="M30" s="0" t="n">
        <f aca="false">IF(AND(B30&lt;x_H,J30&lt;=0,L29&gt;0),1,0)</f>
        <v>0</v>
      </c>
      <c r="N30" s="0" t="n">
        <f aca="false">IF(AND(B30&lt;x_H,I30&lt;=0,O29&gt;0),1,0)</f>
        <v>0</v>
      </c>
      <c r="O30" s="0" t="n">
        <f aca="false">MAX(O29,I30)</f>
        <v>226546163.758653</v>
      </c>
      <c r="P30" s="0" t="n">
        <f aca="false">(L_V1!V20-L_S1!V20)*D30</f>
        <v>514.926499873752</v>
      </c>
    </row>
    <row r="31" customFormat="false" ht="15" hidden="false" customHeight="false" outlineLevel="0" collapsed="false">
      <c r="A31" s="0" t="n">
        <v>2044</v>
      </c>
      <c r="B31" s="0" t="n">
        <v>18</v>
      </c>
      <c r="C31" s="0" t="n">
        <f aca="false">IF(B31&lt;x_H,(1+x_dk)^(-B31),0)</f>
        <v>0.415520654867483</v>
      </c>
      <c r="D31" s="0" t="n">
        <f aca="false">IF(B31&lt;x_H,(1+x_de)^(-B31),0)</f>
        <v>0.538361139550316</v>
      </c>
      <c r="E31" s="0" t="n">
        <f aca="false">(L_V1!AO21-L_S1!AO21)*C31</f>
        <v>-4871404.79584558</v>
      </c>
      <c r="F31" s="0" t="n">
        <f aca="false">(L_V1!AP21-L_S1!AP21)*C31</f>
        <v>-8642908.53676383</v>
      </c>
      <c r="G31" s="0" t="n">
        <f aca="false">(L_V1!AQ21-L_S1!AQ21)*C31</f>
        <v>-11785753.4968004</v>
      </c>
      <c r="H31" s="0" t="n">
        <f aca="false">(L_V1!AS21-L_S1!AS21)*C31</f>
        <v>0</v>
      </c>
      <c r="I31" s="0" t="n">
        <f aca="false">I30+E31</f>
        <v>190410982.703385</v>
      </c>
      <c r="J31" s="0" t="n">
        <f aca="false">J30+F31</f>
        <v>148379013.724583</v>
      </c>
      <c r="K31" s="0" t="n">
        <f aca="false">K30+G31</f>
        <v>110660896.072345</v>
      </c>
      <c r="L31" s="0" t="n">
        <f aca="false">MAX(L30,J31)</f>
        <v>218901270.168702</v>
      </c>
      <c r="M31" s="0" t="n">
        <f aca="false">IF(AND(B31&lt;x_H,J31&lt;=0,L30&gt;0),1,0)</f>
        <v>0</v>
      </c>
      <c r="N31" s="0" t="n">
        <f aca="false">IF(AND(B31&lt;x_H,I31&lt;=0,O30&gt;0),1,0)</f>
        <v>0</v>
      </c>
      <c r="O31" s="0" t="n">
        <f aca="false">MAX(O30,I31)</f>
        <v>226546163.758653</v>
      </c>
      <c r="P31" s="0" t="n">
        <f aca="false">(L_V1!V21-L_S1!V21)*D31</f>
        <v>514.629642157796</v>
      </c>
    </row>
    <row r="32" customFormat="false" ht="15" hidden="false" customHeight="false" outlineLevel="0" collapsed="false">
      <c r="A32" s="0" t="n">
        <v>2045</v>
      </c>
      <c r="B32" s="0" t="n">
        <v>19</v>
      </c>
      <c r="C32" s="0" t="n">
        <f aca="false">IF(B32&lt;x_H,(1+x_dk)^(-B32),0)</f>
        <v>0.39573395701665</v>
      </c>
      <c r="D32" s="0" t="n">
        <f aca="false">IF(B32&lt;x_H,(1+x_de)^(-B32),0)</f>
        <v>0.520155690386779</v>
      </c>
      <c r="E32" s="0" t="n">
        <f aca="false">(L_V1!AO22-L_S1!AO22)*C32</f>
        <v>-4836806.82940581</v>
      </c>
      <c r="F32" s="0" t="n">
        <f aca="false">(L_V1!AP22-L_S1!AP22)*C32</f>
        <v>-8854008.60186661</v>
      </c>
      <c r="G32" s="0" t="n">
        <f aca="false">(L_V1!AQ22-L_S1!AQ22)*C32</f>
        <v>-12235097.1460773</v>
      </c>
      <c r="H32" s="0" t="n">
        <f aca="false">(L_V1!AS22-L_S1!AS22)*C32</f>
        <v>0</v>
      </c>
      <c r="I32" s="0" t="n">
        <f aca="false">I31+E32</f>
        <v>185574175.873979</v>
      </c>
      <c r="J32" s="0" t="n">
        <f aca="false">J31+F32</f>
        <v>139525005.122717</v>
      </c>
      <c r="K32" s="0" t="n">
        <f aca="false">K31+G32</f>
        <v>98425798.9262681</v>
      </c>
      <c r="L32" s="0" t="n">
        <f aca="false">MAX(L31,J32)</f>
        <v>218901270.168702</v>
      </c>
      <c r="M32" s="0" t="n">
        <f aca="false">IF(AND(B32&lt;x_H,J32&lt;=0,L31&gt;0),1,0)</f>
        <v>0</v>
      </c>
      <c r="N32" s="0" t="n">
        <f aca="false">IF(AND(B32&lt;x_H,I32&lt;=0,O31&gt;0),1,0)</f>
        <v>0</v>
      </c>
      <c r="O32" s="0" t="n">
        <f aca="false">MAX(O31,I32)</f>
        <v>226546163.758653</v>
      </c>
      <c r="P32" s="0" t="n">
        <f aca="false">(L_V1!V22-L_S1!V22)*D32</f>
        <v>512.933328625754</v>
      </c>
    </row>
    <row r="33" customFormat="false" ht="15" hidden="false" customHeight="false" outlineLevel="0" collapsed="false">
      <c r="A33" s="0" t="n">
        <v>2046</v>
      </c>
      <c r="B33" s="0" t="n">
        <v>20</v>
      </c>
      <c r="C33" s="0" t="n">
        <f aca="false">IF(B33&lt;x_H,(1+x_dk)^(-B33),0)</f>
        <v>0</v>
      </c>
      <c r="D33" s="0" t="n">
        <f aca="false">IF(B33&lt;x_H,(1+x_de)^(-B33),0)</f>
        <v>0</v>
      </c>
      <c r="E33" s="0" t="n">
        <f aca="false">(L_V1!AO23-L_S1!AO23)*C33</f>
        <v>-0</v>
      </c>
      <c r="F33" s="0" t="n">
        <f aca="false">(L_V1!AP23-L_S1!AP23)*C33</f>
        <v>-0</v>
      </c>
      <c r="G33" s="0" t="n">
        <f aca="false">(L_V1!AQ23-L_S1!AQ23)*C33</f>
        <v>-0</v>
      </c>
      <c r="H33" s="0" t="n">
        <f aca="false">(L_V1!AS23-L_S1!AS23)*C33</f>
        <v>0</v>
      </c>
      <c r="I33" s="0" t="n">
        <f aca="false">I32+E33</f>
        <v>185574175.873979</v>
      </c>
      <c r="J33" s="0" t="n">
        <f aca="false">J32+F33</f>
        <v>139525005.122717</v>
      </c>
      <c r="K33" s="0" t="n">
        <f aca="false">K32+G33</f>
        <v>98425798.9262681</v>
      </c>
      <c r="L33" s="0" t="n">
        <f aca="false">MAX(L32,J33)</f>
        <v>218901270.168702</v>
      </c>
      <c r="M33" s="0" t="n">
        <f aca="false">IF(AND(B33&lt;x_H,J33&lt;=0,L32&gt;0),1,0)</f>
        <v>0</v>
      </c>
      <c r="N33" s="0" t="n">
        <f aca="false">IF(AND(B33&lt;x_H,I33&lt;=0,O32&gt;0),1,0)</f>
        <v>0</v>
      </c>
      <c r="O33" s="0" t="n">
        <f aca="false">MAX(O32,I33)</f>
        <v>226546163.758653</v>
      </c>
      <c r="P33" s="0" t="n">
        <f aca="false">(L_V1!V23-L_S1!V23)*D33</f>
        <v>0</v>
      </c>
    </row>
    <row r="34" customFormat="false" ht="15" hidden="false" customHeight="false" outlineLevel="0" collapsed="false">
      <c r="A34" s="0" t="n">
        <v>2047</v>
      </c>
      <c r="B34" s="0" t="n">
        <v>21</v>
      </c>
      <c r="C34" s="0" t="n">
        <f aca="false">IF(B34&lt;x_H,(1+x_dk)^(-B34),0)</f>
        <v>0</v>
      </c>
      <c r="D34" s="0" t="n">
        <f aca="false">IF(B34&lt;x_H,(1+x_de)^(-B34),0)</f>
        <v>0</v>
      </c>
      <c r="E34" s="0" t="n">
        <f aca="false">(L_V1!AO24-L_S1!AO24)*C34</f>
        <v>-0</v>
      </c>
      <c r="F34" s="0" t="n">
        <f aca="false">(L_V1!AP24-L_S1!AP24)*C34</f>
        <v>-0</v>
      </c>
      <c r="G34" s="0" t="n">
        <f aca="false">(L_V1!AQ24-L_S1!AQ24)*C34</f>
        <v>-0</v>
      </c>
      <c r="H34" s="0" t="n">
        <f aca="false">(L_V1!AS24-L_S1!AS24)*C34</f>
        <v>0</v>
      </c>
      <c r="I34" s="0" t="n">
        <f aca="false">I33+E34</f>
        <v>185574175.873979</v>
      </c>
      <c r="J34" s="0" t="n">
        <f aca="false">J33+F34</f>
        <v>139525005.122717</v>
      </c>
      <c r="K34" s="0" t="n">
        <f aca="false">K33+G34</f>
        <v>98425798.9262681</v>
      </c>
      <c r="L34" s="0" t="n">
        <f aca="false">MAX(L33,J34)</f>
        <v>218901270.168702</v>
      </c>
      <c r="M34" s="0" t="n">
        <f aca="false">IF(AND(B34&lt;x_H,J34&lt;=0,L33&gt;0),1,0)</f>
        <v>0</v>
      </c>
      <c r="N34" s="0" t="n">
        <f aca="false">IF(AND(B34&lt;x_H,I34&lt;=0,O33&gt;0),1,0)</f>
        <v>0</v>
      </c>
      <c r="O34" s="0" t="n">
        <f aca="false">MAX(O33,I34)</f>
        <v>226546163.758653</v>
      </c>
      <c r="P34" s="0" t="n">
        <f aca="false">(L_V1!V24-L_S1!V24)*D34</f>
        <v>0</v>
      </c>
    </row>
    <row r="35" customFormat="false" ht="15" hidden="false" customHeight="false" outlineLevel="0" collapsed="false">
      <c r="A35" s="0" t="n">
        <v>2048</v>
      </c>
      <c r="B35" s="0" t="n">
        <v>22</v>
      </c>
      <c r="C35" s="0" t="n">
        <f aca="false">IF(B35&lt;x_H,(1+x_dk)^(-B35),0)</f>
        <v>0</v>
      </c>
      <c r="D35" s="0" t="n">
        <f aca="false">IF(B35&lt;x_H,(1+x_de)^(-B35),0)</f>
        <v>0</v>
      </c>
      <c r="E35" s="0" t="n">
        <f aca="false">(L_V1!AO25-L_S1!AO25)*C35</f>
        <v>-0</v>
      </c>
      <c r="F35" s="0" t="n">
        <f aca="false">(L_V1!AP25-L_S1!AP25)*C35</f>
        <v>-0</v>
      </c>
      <c r="G35" s="0" t="n">
        <f aca="false">(L_V1!AQ25-L_S1!AQ25)*C35</f>
        <v>-0</v>
      </c>
      <c r="H35" s="0" t="n">
        <f aca="false">(L_V1!AS25-L_S1!AS25)*C35</f>
        <v>0</v>
      </c>
      <c r="I35" s="0" t="n">
        <f aca="false">I34+E35</f>
        <v>185574175.873979</v>
      </c>
      <c r="J35" s="0" t="n">
        <f aca="false">J34+F35</f>
        <v>139525005.122717</v>
      </c>
      <c r="K35" s="0" t="n">
        <f aca="false">K34+G35</f>
        <v>98425798.9262681</v>
      </c>
      <c r="L35" s="0" t="n">
        <f aca="false">MAX(L34,J35)</f>
        <v>218901270.168702</v>
      </c>
      <c r="M35" s="0" t="n">
        <f aca="false">IF(AND(B35&lt;x_H,J35&lt;=0,L34&gt;0),1,0)</f>
        <v>0</v>
      </c>
      <c r="N35" s="0" t="n">
        <f aca="false">IF(AND(B35&lt;x_H,I35&lt;=0,O34&gt;0),1,0)</f>
        <v>0</v>
      </c>
      <c r="O35" s="0" t="n">
        <f aca="false">MAX(O34,I35)</f>
        <v>226546163.758653</v>
      </c>
      <c r="P35" s="0" t="n">
        <f aca="false">(L_V1!V25-L_S1!V25)*D35</f>
        <v>0</v>
      </c>
    </row>
    <row r="36" customFormat="false" ht="15" hidden="false" customHeight="false" outlineLevel="0" collapsed="false">
      <c r="A36" s="0" t="n">
        <v>2049</v>
      </c>
      <c r="B36" s="0" t="n">
        <v>23</v>
      </c>
      <c r="C36" s="0" t="n">
        <f aca="false">IF(B36&lt;x_H,(1+x_dk)^(-B36),0)</f>
        <v>0</v>
      </c>
      <c r="D36" s="0" t="n">
        <f aca="false">IF(B36&lt;x_H,(1+x_de)^(-B36),0)</f>
        <v>0</v>
      </c>
      <c r="E36" s="0" t="n">
        <f aca="false">(L_V1!AO26-L_S1!AO26)*C36</f>
        <v>-0</v>
      </c>
      <c r="F36" s="0" t="n">
        <f aca="false">(L_V1!AP26-L_S1!AP26)*C36</f>
        <v>-0</v>
      </c>
      <c r="G36" s="0" t="n">
        <f aca="false">(L_V1!AQ26-L_S1!AQ26)*C36</f>
        <v>-0</v>
      </c>
      <c r="H36" s="0" t="n">
        <f aca="false">(L_V1!AS26-L_S1!AS26)*C36</f>
        <v>0</v>
      </c>
      <c r="I36" s="0" t="n">
        <f aca="false">I35+E36</f>
        <v>185574175.873979</v>
      </c>
      <c r="J36" s="0" t="n">
        <f aca="false">J35+F36</f>
        <v>139525005.122717</v>
      </c>
      <c r="K36" s="0" t="n">
        <f aca="false">K35+G36</f>
        <v>98425798.9262681</v>
      </c>
      <c r="L36" s="0" t="n">
        <f aca="false">MAX(L35,J36)</f>
        <v>218901270.168702</v>
      </c>
      <c r="M36" s="0" t="n">
        <f aca="false">IF(AND(B36&lt;x_H,J36&lt;=0,L35&gt;0),1,0)</f>
        <v>0</v>
      </c>
      <c r="N36" s="0" t="n">
        <f aca="false">IF(AND(B36&lt;x_H,I36&lt;=0,O35&gt;0),1,0)</f>
        <v>0</v>
      </c>
      <c r="O36" s="0" t="n">
        <f aca="false">MAX(O35,I36)</f>
        <v>226546163.758653</v>
      </c>
      <c r="P36" s="0" t="n">
        <f aca="false">(L_V1!V26-L_S1!V26)*D36</f>
        <v>0</v>
      </c>
    </row>
    <row r="37" customFormat="false" ht="15" hidden="false" customHeight="false" outlineLevel="0" collapsed="false">
      <c r="A37" s="0" t="n">
        <v>2050</v>
      </c>
      <c r="B37" s="0" t="n">
        <v>24</v>
      </c>
      <c r="C37" s="0" t="n">
        <f aca="false">IF(B37&lt;x_H,(1+x_dk)^(-B37),0)</f>
        <v>0</v>
      </c>
      <c r="D37" s="0" t="n">
        <f aca="false">IF(B37&lt;x_H,(1+x_de)^(-B37),0)</f>
        <v>0</v>
      </c>
      <c r="E37" s="0" t="n">
        <f aca="false">(L_V1!AO27-L_S1!AO27)*C37</f>
        <v>-0</v>
      </c>
      <c r="F37" s="0" t="n">
        <f aca="false">(L_V1!AP27-L_S1!AP27)*C37</f>
        <v>-0</v>
      </c>
      <c r="G37" s="0" t="n">
        <f aca="false">(L_V1!AQ27-L_S1!AQ27)*C37</f>
        <v>-0</v>
      </c>
      <c r="H37" s="0" t="n">
        <f aca="false">(L_V1!AS27-L_S1!AS27)*C37</f>
        <v>0</v>
      </c>
      <c r="I37" s="0" t="n">
        <f aca="false">I36+E37</f>
        <v>185574175.873979</v>
      </c>
      <c r="J37" s="0" t="n">
        <f aca="false">J36+F37</f>
        <v>139525005.122717</v>
      </c>
      <c r="K37" s="0" t="n">
        <f aca="false">K36+G37</f>
        <v>98425798.9262681</v>
      </c>
      <c r="L37" s="0" t="n">
        <f aca="false">MAX(L36,J37)</f>
        <v>218901270.168702</v>
      </c>
      <c r="M37" s="0" t="n">
        <f aca="false">IF(AND(B37&lt;x_H,J37&lt;=0,L36&gt;0),1,0)</f>
        <v>0</v>
      </c>
      <c r="N37" s="0" t="n">
        <f aca="false">IF(AND(B37&lt;x_H,I37&lt;=0,O36&gt;0),1,0)</f>
        <v>0</v>
      </c>
      <c r="O37" s="0" t="n">
        <f aca="false">MAX(O36,I37)</f>
        <v>226546163.758653</v>
      </c>
      <c r="P37" s="0" t="n">
        <f aca="false">(L_V1!V27-L_S1!V27)*D37</f>
        <v>0</v>
      </c>
    </row>
    <row r="38" customFormat="false" ht="15" hidden="false" customHeight="false" outlineLevel="0" collapsed="false">
      <c r="A38" s="0" t="n">
        <v>2051</v>
      </c>
      <c r="B38" s="0" t="n">
        <v>25</v>
      </c>
      <c r="C38" s="0" t="n">
        <f aca="false">IF(B38&lt;x_H,(1+x_dk)^(-B38),0)</f>
        <v>0</v>
      </c>
      <c r="D38" s="0" t="n">
        <f aca="false">IF(B38&lt;x_H,(1+x_de)^(-B38),0)</f>
        <v>0</v>
      </c>
      <c r="E38" s="0" t="n">
        <f aca="false">(L_V1!AO28-L_S1!AO28)*C38</f>
        <v>-0</v>
      </c>
      <c r="F38" s="0" t="n">
        <f aca="false">(L_V1!AP28-L_S1!AP28)*C38</f>
        <v>-0</v>
      </c>
      <c r="G38" s="0" t="n">
        <f aca="false">(L_V1!AQ28-L_S1!AQ28)*C38</f>
        <v>-0</v>
      </c>
      <c r="H38" s="0" t="n">
        <f aca="false">(L_V1!AS28-L_S1!AS28)*C38</f>
        <v>0</v>
      </c>
      <c r="I38" s="0" t="n">
        <f aca="false">I37+E38</f>
        <v>185574175.873979</v>
      </c>
      <c r="J38" s="0" t="n">
        <f aca="false">J37+F38</f>
        <v>139525005.122717</v>
      </c>
      <c r="K38" s="0" t="n">
        <f aca="false">K37+G38</f>
        <v>98425798.9262681</v>
      </c>
      <c r="L38" s="0" t="n">
        <f aca="false">MAX(L37,J38)</f>
        <v>218901270.168702</v>
      </c>
      <c r="M38" s="0" t="n">
        <f aca="false">IF(AND(B38&lt;x_H,J38&lt;=0,L37&gt;0),1,0)</f>
        <v>0</v>
      </c>
      <c r="N38" s="0" t="n">
        <f aca="false">IF(AND(B38&lt;x_H,I38&lt;=0,O37&gt;0),1,0)</f>
        <v>0</v>
      </c>
      <c r="O38" s="0" t="n">
        <f aca="false">MAX(O37,I38)</f>
        <v>226546163.758653</v>
      </c>
      <c r="P38" s="0" t="n">
        <f aca="false">(L_V1!V28-L_S1!V28)*D38</f>
        <v>0</v>
      </c>
    </row>
    <row r="39" customFormat="false" ht="15" hidden="false" customHeight="false" outlineLevel="0" collapsed="false">
      <c r="A39" s="0" t="n">
        <v>2052</v>
      </c>
      <c r="B39" s="0" t="n">
        <v>26</v>
      </c>
      <c r="C39" s="0" t="n">
        <f aca="false">IF(B39&lt;x_H,(1+x_dk)^(-B39),0)</f>
        <v>0</v>
      </c>
      <c r="D39" s="0" t="n">
        <f aca="false">IF(B39&lt;x_H,(1+x_de)^(-B39),0)</f>
        <v>0</v>
      </c>
      <c r="E39" s="0" t="n">
        <f aca="false">(L_V1!AO29-L_S1!AO29)*C39</f>
        <v>-0</v>
      </c>
      <c r="F39" s="0" t="n">
        <f aca="false">(L_V1!AP29-L_S1!AP29)*C39</f>
        <v>-0</v>
      </c>
      <c r="G39" s="0" t="n">
        <f aca="false">(L_V1!AQ29-L_S1!AQ29)*C39</f>
        <v>-0</v>
      </c>
      <c r="H39" s="0" t="n">
        <f aca="false">(L_V1!AS29-L_S1!AS29)*C39</f>
        <v>0</v>
      </c>
      <c r="I39" s="0" t="n">
        <f aca="false">I38+E39</f>
        <v>185574175.873979</v>
      </c>
      <c r="J39" s="0" t="n">
        <f aca="false">J38+F39</f>
        <v>139525005.122717</v>
      </c>
      <c r="K39" s="0" t="n">
        <f aca="false">K38+G39</f>
        <v>98425798.9262681</v>
      </c>
      <c r="L39" s="0" t="n">
        <f aca="false">MAX(L38,J39)</f>
        <v>218901270.168702</v>
      </c>
      <c r="M39" s="0" t="n">
        <f aca="false">IF(AND(B39&lt;x_H,J39&lt;=0,L38&gt;0),1,0)</f>
        <v>0</v>
      </c>
      <c r="N39" s="0" t="n">
        <f aca="false">IF(AND(B39&lt;x_H,I39&lt;=0,O38&gt;0),1,0)</f>
        <v>0</v>
      </c>
      <c r="O39" s="0" t="n">
        <f aca="false">MAX(O38,I39)</f>
        <v>226546163.758653</v>
      </c>
      <c r="P39" s="0" t="n">
        <f aca="false">(L_V1!V29-L_S1!V29)*D39</f>
        <v>0</v>
      </c>
    </row>
    <row r="40" customFormat="false" ht="15" hidden="false" customHeight="false" outlineLevel="0" collapsed="false">
      <c r="A40" s="0" t="n">
        <v>2053</v>
      </c>
      <c r="B40" s="0" t="n">
        <v>27</v>
      </c>
      <c r="C40" s="0" t="n">
        <f aca="false">IF(B40&lt;x_H,(1+x_dk)^(-B40),0)</f>
        <v>0</v>
      </c>
      <c r="D40" s="0" t="n">
        <f aca="false">IF(B40&lt;x_H,(1+x_de)^(-B40),0)</f>
        <v>0</v>
      </c>
      <c r="E40" s="0" t="n">
        <f aca="false">(L_V1!AO30-L_S1!AO30)*C40</f>
        <v>-0</v>
      </c>
      <c r="F40" s="0" t="n">
        <f aca="false">(L_V1!AP30-L_S1!AP30)*C40</f>
        <v>-0</v>
      </c>
      <c r="G40" s="0" t="n">
        <f aca="false">(L_V1!AQ30-L_S1!AQ30)*C40</f>
        <v>-0</v>
      </c>
      <c r="H40" s="0" t="n">
        <f aca="false">(L_V1!AS30-L_S1!AS30)*C40</f>
        <v>0</v>
      </c>
      <c r="I40" s="0" t="n">
        <f aca="false">I39+E40</f>
        <v>185574175.873979</v>
      </c>
      <c r="J40" s="0" t="n">
        <f aca="false">J39+F40</f>
        <v>139525005.122717</v>
      </c>
      <c r="K40" s="0" t="n">
        <f aca="false">K39+G40</f>
        <v>98425798.9262681</v>
      </c>
      <c r="L40" s="0" t="n">
        <f aca="false">MAX(L39,J40)</f>
        <v>218901270.168702</v>
      </c>
      <c r="M40" s="0" t="n">
        <f aca="false">IF(AND(B40&lt;x_H,J40&lt;=0,L39&gt;0),1,0)</f>
        <v>0</v>
      </c>
      <c r="N40" s="0" t="n">
        <f aca="false">IF(AND(B40&lt;x_H,I40&lt;=0,O39&gt;0),1,0)</f>
        <v>0</v>
      </c>
      <c r="O40" s="0" t="n">
        <f aca="false">MAX(O39,I40)</f>
        <v>226546163.758653</v>
      </c>
      <c r="P40" s="0" t="n">
        <f aca="false">(L_V1!V30-L_S1!V30)*D40</f>
        <v>0</v>
      </c>
    </row>
    <row r="41" customFormat="false" ht="15" hidden="false" customHeight="false" outlineLevel="0" collapsed="false">
      <c r="A41" s="0" t="n">
        <v>2054</v>
      </c>
      <c r="B41" s="0" t="n">
        <v>28</v>
      </c>
      <c r="C41" s="0" t="n">
        <f aca="false">IF(B41&lt;x_H,(1+x_dk)^(-B41),0)</f>
        <v>0</v>
      </c>
      <c r="D41" s="0" t="n">
        <f aca="false">IF(B41&lt;x_H,(1+x_de)^(-B41),0)</f>
        <v>0</v>
      </c>
      <c r="E41" s="0" t="n">
        <f aca="false">(L_V1!AO31-L_S1!AO31)*C41</f>
        <v>-0</v>
      </c>
      <c r="F41" s="0" t="n">
        <f aca="false">(L_V1!AP31-L_S1!AP31)*C41</f>
        <v>-0</v>
      </c>
      <c r="G41" s="0" t="n">
        <f aca="false">(L_V1!AQ31-L_S1!AQ31)*C41</f>
        <v>-0</v>
      </c>
      <c r="H41" s="0" t="n">
        <f aca="false">(L_V1!AS31-L_S1!AS31)*C41</f>
        <v>0</v>
      </c>
      <c r="I41" s="0" t="n">
        <f aca="false">I40+E41</f>
        <v>185574175.873979</v>
      </c>
      <c r="J41" s="0" t="n">
        <f aca="false">J40+F41</f>
        <v>139525005.122717</v>
      </c>
      <c r="K41" s="0" t="n">
        <f aca="false">K40+G41</f>
        <v>98425798.9262681</v>
      </c>
      <c r="L41" s="0" t="n">
        <f aca="false">MAX(L40,J41)</f>
        <v>218901270.168702</v>
      </c>
      <c r="M41" s="0" t="n">
        <f aca="false">IF(AND(B41&lt;x_H,J41&lt;=0,L40&gt;0),1,0)</f>
        <v>0</v>
      </c>
      <c r="N41" s="0" t="n">
        <f aca="false">IF(AND(B41&lt;x_H,I41&lt;=0,O40&gt;0),1,0)</f>
        <v>0</v>
      </c>
      <c r="O41" s="0" t="n">
        <f aca="false">MAX(O40,I41)</f>
        <v>226546163.758653</v>
      </c>
      <c r="P41" s="0" t="n">
        <f aca="false">(L_V1!V31-L_S1!V31)*D41</f>
        <v>0</v>
      </c>
    </row>
    <row r="42" customFormat="false" ht="15" hidden="false" customHeight="false" outlineLevel="0" collapsed="false">
      <c r="A42" s="0" t="n">
        <v>2055</v>
      </c>
      <c r="B42" s="0" t="n">
        <v>29</v>
      </c>
      <c r="C42" s="0" t="n">
        <f aca="false">IF(B42&lt;x_H,(1+x_dk)^(-B42),0)</f>
        <v>0</v>
      </c>
      <c r="D42" s="0" t="n">
        <f aca="false">IF(B42&lt;x_H,(1+x_de)^(-B42),0)</f>
        <v>0</v>
      </c>
      <c r="E42" s="0" t="n">
        <f aca="false">(L_V1!AO32-L_S1!AO32)*C42</f>
        <v>-0</v>
      </c>
      <c r="F42" s="0" t="n">
        <f aca="false">(L_V1!AP32-L_S1!AP32)*C42</f>
        <v>-0</v>
      </c>
      <c r="G42" s="0" t="n">
        <f aca="false">(L_V1!AQ32-L_S1!AQ32)*C42</f>
        <v>-0</v>
      </c>
      <c r="H42" s="0" t="n">
        <f aca="false">(L_V1!AS32-L_S1!AS32)*C42</f>
        <v>0</v>
      </c>
      <c r="I42" s="0" t="n">
        <f aca="false">I41+E42</f>
        <v>185574175.873979</v>
      </c>
      <c r="J42" s="0" t="n">
        <f aca="false">J41+F42</f>
        <v>139525005.122717</v>
      </c>
      <c r="K42" s="0" t="n">
        <f aca="false">K41+G42</f>
        <v>98425798.9262681</v>
      </c>
      <c r="L42" s="0" t="n">
        <f aca="false">MAX(L41,J42)</f>
        <v>218901270.168702</v>
      </c>
      <c r="M42" s="0" t="n">
        <f aca="false">IF(AND(B42&lt;x_H,J42&lt;=0,L41&gt;0),1,0)</f>
        <v>0</v>
      </c>
      <c r="N42" s="0" t="n">
        <f aca="false">IF(AND(B42&lt;x_H,I42&lt;=0,O41&gt;0),1,0)</f>
        <v>0</v>
      </c>
      <c r="O42" s="0" t="n">
        <f aca="false">MAX(O41,I42)</f>
        <v>226546163.758653</v>
      </c>
      <c r="P42" s="0" t="n">
        <f aca="false">(L_V1!V32-L_S1!V32)*D42</f>
        <v>0</v>
      </c>
    </row>
    <row r="43" customFormat="false" ht="15" hidden="false" customHeight="false" outlineLevel="0" collapsed="false">
      <c r="A43" s="0" t="n">
        <v>2056</v>
      </c>
      <c r="B43" s="0" t="n">
        <v>30</v>
      </c>
      <c r="C43" s="0" t="n">
        <f aca="false">IF(B43&lt;x_H,(1+x_dk)^(-B43),0)</f>
        <v>0</v>
      </c>
      <c r="D43" s="0" t="n">
        <f aca="false">IF(B43&lt;x_H,(1+x_de)^(-B43),0)</f>
        <v>0</v>
      </c>
      <c r="E43" s="0" t="n">
        <f aca="false">(L_V1!AO33-L_S1!AO33)*C43</f>
        <v>-0</v>
      </c>
      <c r="F43" s="0" t="n">
        <f aca="false">(L_V1!AP33-L_S1!AP33)*C43</f>
        <v>-0</v>
      </c>
      <c r="G43" s="0" t="n">
        <f aca="false">(L_V1!AQ33-L_S1!AQ33)*C43</f>
        <v>-0</v>
      </c>
      <c r="H43" s="0" t="n">
        <f aca="false">(L_V1!AS33-L_S1!AS33)*C43</f>
        <v>0</v>
      </c>
      <c r="I43" s="0" t="n">
        <f aca="false">I42+E43</f>
        <v>185574175.873979</v>
      </c>
      <c r="J43" s="0" t="n">
        <f aca="false">J42+F43</f>
        <v>139525005.122717</v>
      </c>
      <c r="K43" s="0" t="n">
        <f aca="false">K42+G43</f>
        <v>98425798.9262681</v>
      </c>
      <c r="L43" s="0" t="n">
        <f aca="false">MAX(L42,J43)</f>
        <v>218901270.168702</v>
      </c>
      <c r="M43" s="0" t="n">
        <f aca="false">IF(AND(B43&lt;x_H,J43&lt;=0,L42&gt;0),1,0)</f>
        <v>0</v>
      </c>
      <c r="N43" s="0" t="n">
        <f aca="false">IF(AND(B43&lt;x_H,I43&lt;=0,O42&gt;0),1,0)</f>
        <v>0</v>
      </c>
      <c r="O43" s="0" t="n">
        <f aca="false">MAX(O42,I43)</f>
        <v>226546163.758653</v>
      </c>
      <c r="P43" s="0" t="n">
        <f aca="false">(L_V1!V33-L_S1!V33)*D43</f>
        <v>0</v>
      </c>
    </row>
    <row r="44" customFormat="false" ht="15" hidden="false" customHeight="false" outlineLevel="0" collapsed="false">
      <c r="A44" s="0" t="n">
        <v>2057</v>
      </c>
      <c r="B44" s="0" t="n">
        <v>31</v>
      </c>
      <c r="C44" s="0" t="n">
        <f aca="false">IF(B44&lt;x_H,(1+x_dk)^(-B44),0)</f>
        <v>0</v>
      </c>
      <c r="D44" s="0" t="n">
        <f aca="false">IF(B44&lt;x_H,(1+x_de)^(-B44),0)</f>
        <v>0</v>
      </c>
      <c r="E44" s="0" t="n">
        <f aca="false">(L_V1!AO34-L_S1!AO34)*C44</f>
        <v>-0</v>
      </c>
      <c r="F44" s="0" t="n">
        <f aca="false">(L_V1!AP34-L_S1!AP34)*C44</f>
        <v>-0</v>
      </c>
      <c r="G44" s="0" t="n">
        <f aca="false">(L_V1!AQ34-L_S1!AQ34)*C44</f>
        <v>-0</v>
      </c>
      <c r="H44" s="0" t="n">
        <f aca="false">(L_V1!AS34-L_S1!AS34)*C44</f>
        <v>0</v>
      </c>
      <c r="I44" s="0" t="n">
        <f aca="false">I43+E44</f>
        <v>185574175.873979</v>
      </c>
      <c r="J44" s="0" t="n">
        <f aca="false">J43+F44</f>
        <v>139525005.122717</v>
      </c>
      <c r="K44" s="0" t="n">
        <f aca="false">K43+G44</f>
        <v>98425798.9262681</v>
      </c>
      <c r="L44" s="0" t="n">
        <f aca="false">MAX(L43,J44)</f>
        <v>218901270.168702</v>
      </c>
      <c r="M44" s="0" t="n">
        <f aca="false">IF(AND(B44&lt;x_H,J44&lt;=0,L43&gt;0),1,0)</f>
        <v>0</v>
      </c>
      <c r="N44" s="0" t="n">
        <f aca="false">IF(AND(B44&lt;x_H,I44&lt;=0,O43&gt;0),1,0)</f>
        <v>0</v>
      </c>
      <c r="O44" s="0" t="n">
        <f aca="false">MAX(O43,I44)</f>
        <v>226546163.758653</v>
      </c>
      <c r="P44" s="0" t="n">
        <f aca="false">(L_V1!V34-L_S1!V34)*D44</f>
        <v>0</v>
      </c>
    </row>
    <row r="45" customFormat="false" ht="15" hidden="false" customHeight="false" outlineLevel="0" collapsed="false">
      <c r="A45" s="0" t="n">
        <v>2058</v>
      </c>
      <c r="B45" s="0" t="n">
        <v>32</v>
      </c>
      <c r="C45" s="0" t="n">
        <f aca="false">IF(B45&lt;x_H,(1+x_dk)^(-B45),0)</f>
        <v>0</v>
      </c>
      <c r="D45" s="0" t="n">
        <f aca="false">IF(B45&lt;x_H,(1+x_de)^(-B45),0)</f>
        <v>0</v>
      </c>
      <c r="E45" s="0" t="n">
        <f aca="false">(L_V1!AO35-L_S1!AO35)*C45</f>
        <v>-0</v>
      </c>
      <c r="F45" s="0" t="n">
        <f aca="false">(L_V1!AP35-L_S1!AP35)*C45</f>
        <v>-0</v>
      </c>
      <c r="G45" s="0" t="n">
        <f aca="false">(L_V1!AQ35-L_S1!AQ35)*C45</f>
        <v>-0</v>
      </c>
      <c r="H45" s="0" t="n">
        <f aca="false">(L_V1!AS35-L_S1!AS35)*C45</f>
        <v>0</v>
      </c>
      <c r="I45" s="0" t="n">
        <f aca="false">I44+E45</f>
        <v>185574175.873979</v>
      </c>
      <c r="J45" s="0" t="n">
        <f aca="false">J44+F45</f>
        <v>139525005.122717</v>
      </c>
      <c r="K45" s="0" t="n">
        <f aca="false">K44+G45</f>
        <v>98425798.9262681</v>
      </c>
      <c r="L45" s="0" t="n">
        <f aca="false">MAX(L44,J45)</f>
        <v>218901270.168702</v>
      </c>
      <c r="M45" s="0" t="n">
        <f aca="false">IF(AND(B45&lt;x_H,J45&lt;=0,L44&gt;0),1,0)</f>
        <v>0</v>
      </c>
      <c r="N45" s="0" t="n">
        <f aca="false">IF(AND(B45&lt;x_H,I45&lt;=0,O44&gt;0),1,0)</f>
        <v>0</v>
      </c>
      <c r="O45" s="0" t="n">
        <f aca="false">MAX(O44,I45)</f>
        <v>226546163.758653</v>
      </c>
      <c r="P45" s="0" t="n">
        <f aca="false">(L_V1!V35-L_S1!V35)*D45</f>
        <v>0</v>
      </c>
    </row>
    <row r="46" customFormat="false" ht="15" hidden="false" customHeight="false" outlineLevel="0" collapsed="false">
      <c r="A46" s="0" t="n">
        <v>2059</v>
      </c>
      <c r="B46" s="0" t="n">
        <v>33</v>
      </c>
      <c r="C46" s="0" t="n">
        <f aca="false">IF(B46&lt;x_H,(1+x_dk)^(-B46),0)</f>
        <v>0</v>
      </c>
      <c r="D46" s="0" t="n">
        <f aca="false">IF(B46&lt;x_H,(1+x_de)^(-B46),0)</f>
        <v>0</v>
      </c>
      <c r="E46" s="0" t="n">
        <f aca="false">(L_V1!AO36-L_S1!AO36)*C46</f>
        <v>-0</v>
      </c>
      <c r="F46" s="0" t="n">
        <f aca="false">(L_V1!AP36-L_S1!AP36)*C46</f>
        <v>-0</v>
      </c>
      <c r="G46" s="0" t="n">
        <f aca="false">(L_V1!AQ36-L_S1!AQ36)*C46</f>
        <v>-0</v>
      </c>
      <c r="H46" s="0" t="n">
        <f aca="false">(L_V1!AS36-L_S1!AS36)*C46</f>
        <v>0</v>
      </c>
      <c r="I46" s="0" t="n">
        <f aca="false">I45+E46</f>
        <v>185574175.873979</v>
      </c>
      <c r="J46" s="0" t="n">
        <f aca="false">J45+F46</f>
        <v>139525005.122717</v>
      </c>
      <c r="K46" s="0" t="n">
        <f aca="false">K45+G46</f>
        <v>98425798.9262681</v>
      </c>
      <c r="L46" s="0" t="n">
        <f aca="false">MAX(L45,J46)</f>
        <v>218901270.168702</v>
      </c>
      <c r="M46" s="0" t="n">
        <f aca="false">IF(AND(B46&lt;x_H,J46&lt;=0,L45&gt;0),1,0)</f>
        <v>0</v>
      </c>
      <c r="N46" s="0" t="n">
        <f aca="false">IF(AND(B46&lt;x_H,I46&lt;=0,O45&gt;0),1,0)</f>
        <v>0</v>
      </c>
      <c r="O46" s="0" t="n">
        <f aca="false">MAX(O45,I46)</f>
        <v>226546163.758653</v>
      </c>
      <c r="P46" s="0" t="n">
        <f aca="false">(L_V1!V36-L_S1!V36)*D46</f>
        <v>0</v>
      </c>
    </row>
    <row r="47" customFormat="false" ht="15" hidden="false" customHeight="false" outlineLevel="0" collapsed="false">
      <c r="A47" s="0" t="n">
        <v>2060</v>
      </c>
      <c r="B47" s="0" t="n">
        <v>34</v>
      </c>
      <c r="C47" s="0" t="n">
        <f aca="false">IF(B47&lt;x_H,(1+x_dk)^(-B47),0)</f>
        <v>0</v>
      </c>
      <c r="D47" s="0" t="n">
        <f aca="false">IF(B47&lt;x_H,(1+x_de)^(-B47),0)</f>
        <v>0</v>
      </c>
      <c r="E47" s="0" t="n">
        <f aca="false">(L_V1!AO37-L_S1!AO37)*C47</f>
        <v>-0</v>
      </c>
      <c r="F47" s="0" t="n">
        <f aca="false">(L_V1!AP37-L_S1!AP37)*C47</f>
        <v>-0</v>
      </c>
      <c r="G47" s="0" t="n">
        <f aca="false">(L_V1!AQ37-L_S1!AQ37)*C47</f>
        <v>-0</v>
      </c>
      <c r="H47" s="0" t="n">
        <f aca="false">(L_V1!AS37-L_S1!AS37)*C47</f>
        <v>0</v>
      </c>
      <c r="I47" s="0" t="n">
        <f aca="false">I46+E47</f>
        <v>185574175.873979</v>
      </c>
      <c r="J47" s="0" t="n">
        <f aca="false">J46+F47</f>
        <v>139525005.122717</v>
      </c>
      <c r="K47" s="0" t="n">
        <f aca="false">K46+G47</f>
        <v>98425798.9262681</v>
      </c>
      <c r="L47" s="0" t="n">
        <f aca="false">MAX(L46,J47)</f>
        <v>218901270.168702</v>
      </c>
      <c r="M47" s="0" t="n">
        <f aca="false">IF(AND(B47&lt;x_H,J47&lt;=0,L46&gt;0),1,0)</f>
        <v>0</v>
      </c>
      <c r="N47" s="0" t="n">
        <f aca="false">IF(AND(B47&lt;x_H,I47&lt;=0,O46&gt;0),1,0)</f>
        <v>0</v>
      </c>
      <c r="O47" s="0" t="n">
        <f aca="false">MAX(O46,I47)</f>
        <v>226546163.758653</v>
      </c>
      <c r="P47" s="0" t="n">
        <f aca="false">(L_V1!V37-L_S1!V37)*D47</f>
        <v>0</v>
      </c>
    </row>
    <row r="48" customFormat="false" ht="15" hidden="false" customHeight="false" outlineLevel="0" collapsed="false">
      <c r="A48" s="0" t="n">
        <v>2061</v>
      </c>
      <c r="B48" s="0" t="n">
        <v>35</v>
      </c>
      <c r="C48" s="0" t="n">
        <f aca="false">IF(B48&lt;x_H,(1+x_dk)^(-B48),0)</f>
        <v>0</v>
      </c>
      <c r="D48" s="0" t="n">
        <f aca="false">IF(B48&lt;x_H,(1+x_de)^(-B48),0)</f>
        <v>0</v>
      </c>
      <c r="E48" s="0" t="n">
        <f aca="false">(L_V1!AO38-L_S1!AO38)*C48</f>
        <v>-0</v>
      </c>
      <c r="F48" s="0" t="n">
        <f aca="false">(L_V1!AP38-L_S1!AP38)*C48</f>
        <v>-0</v>
      </c>
      <c r="G48" s="0" t="n">
        <f aca="false">(L_V1!AQ38-L_S1!AQ38)*C48</f>
        <v>-0</v>
      </c>
      <c r="H48" s="0" t="n">
        <f aca="false">(L_V1!AS38-L_S1!AS38)*C48</f>
        <v>0</v>
      </c>
      <c r="I48" s="0" t="n">
        <f aca="false">I47+E48</f>
        <v>185574175.873979</v>
      </c>
      <c r="J48" s="0" t="n">
        <f aca="false">J47+F48</f>
        <v>139525005.122717</v>
      </c>
      <c r="K48" s="0" t="n">
        <f aca="false">K47+G48</f>
        <v>98425798.9262681</v>
      </c>
      <c r="L48" s="0" t="n">
        <f aca="false">MAX(L47,J48)</f>
        <v>218901270.168702</v>
      </c>
      <c r="M48" s="0" t="n">
        <f aca="false">IF(AND(B48&lt;x_H,J48&lt;=0,L47&gt;0),1,0)</f>
        <v>0</v>
      </c>
      <c r="N48" s="0" t="n">
        <f aca="false">IF(AND(B48&lt;x_H,I48&lt;=0,O47&gt;0),1,0)</f>
        <v>0</v>
      </c>
      <c r="O48" s="0" t="n">
        <f aca="false">MAX(O47,I48)</f>
        <v>226546163.758653</v>
      </c>
      <c r="P48" s="0" t="n">
        <f aca="false">(L_V1!V38-L_S1!V38)*D48</f>
        <v>0</v>
      </c>
    </row>
    <row r="49" customFormat="false" ht="15" hidden="false" customHeight="false" outlineLevel="0" collapsed="false">
      <c r="A49" s="0" t="n">
        <v>2062</v>
      </c>
      <c r="B49" s="0" t="n">
        <v>36</v>
      </c>
      <c r="C49" s="0" t="n">
        <f aca="false">IF(B49&lt;x_H,(1+x_dk)^(-B49),0)</f>
        <v>0</v>
      </c>
      <c r="D49" s="0" t="n">
        <f aca="false">IF(B49&lt;x_H,(1+x_de)^(-B49),0)</f>
        <v>0</v>
      </c>
      <c r="E49" s="0" t="n">
        <f aca="false">(L_V1!AO39-L_S1!AO39)*C49</f>
        <v>-0</v>
      </c>
      <c r="F49" s="0" t="n">
        <f aca="false">(L_V1!AP39-L_S1!AP39)*C49</f>
        <v>-0</v>
      </c>
      <c r="G49" s="0" t="n">
        <f aca="false">(L_V1!AQ39-L_S1!AQ39)*C49</f>
        <v>-0</v>
      </c>
      <c r="H49" s="0" t="n">
        <f aca="false">(L_V1!AS39-L_S1!AS39)*C49</f>
        <v>0</v>
      </c>
      <c r="I49" s="0" t="n">
        <f aca="false">I48+E49</f>
        <v>185574175.873979</v>
      </c>
      <c r="J49" s="0" t="n">
        <f aca="false">J48+F49</f>
        <v>139525005.122717</v>
      </c>
      <c r="K49" s="0" t="n">
        <f aca="false">K48+G49</f>
        <v>98425798.9262681</v>
      </c>
      <c r="L49" s="0" t="n">
        <f aca="false">MAX(L48,J49)</f>
        <v>218901270.168702</v>
      </c>
      <c r="M49" s="0" t="n">
        <f aca="false">IF(AND(B49&lt;x_H,J49&lt;=0,L48&gt;0),1,0)</f>
        <v>0</v>
      </c>
      <c r="N49" s="0" t="n">
        <f aca="false">IF(AND(B49&lt;x_H,I49&lt;=0,O48&gt;0),1,0)</f>
        <v>0</v>
      </c>
      <c r="O49" s="0" t="n">
        <f aca="false">MAX(O48,I49)</f>
        <v>226546163.758653</v>
      </c>
      <c r="P49" s="0" t="n">
        <f aca="false">(L_V1!V39-L_S1!V39)*D49</f>
        <v>0</v>
      </c>
    </row>
    <row r="50" customFormat="false" ht="15" hidden="false" customHeight="false" outlineLevel="0" collapsed="false">
      <c r="A50" s="0" t="n">
        <v>2063</v>
      </c>
      <c r="B50" s="0" t="n">
        <v>37</v>
      </c>
      <c r="C50" s="0" t="n">
        <f aca="false">IF(B50&lt;x_H,(1+x_dk)^(-B50),0)</f>
        <v>0</v>
      </c>
      <c r="D50" s="0" t="n">
        <f aca="false">IF(B50&lt;x_H,(1+x_de)^(-B50),0)</f>
        <v>0</v>
      </c>
      <c r="E50" s="0" t="n">
        <f aca="false">(L_V1!AO40-L_S1!AO40)*C50</f>
        <v>-0</v>
      </c>
      <c r="F50" s="0" t="n">
        <f aca="false">(L_V1!AP40-L_S1!AP40)*C50</f>
        <v>-0</v>
      </c>
      <c r="G50" s="0" t="n">
        <f aca="false">(L_V1!AQ40-L_S1!AQ40)*C50</f>
        <v>-0</v>
      </c>
      <c r="H50" s="0" t="n">
        <f aca="false">(L_V1!AS40-L_S1!AS40)*C50</f>
        <v>0</v>
      </c>
      <c r="I50" s="0" t="n">
        <f aca="false">I49+E50</f>
        <v>185574175.873979</v>
      </c>
      <c r="J50" s="0" t="n">
        <f aca="false">J49+F50</f>
        <v>139525005.122717</v>
      </c>
      <c r="K50" s="0" t="n">
        <f aca="false">K49+G50</f>
        <v>98425798.9262681</v>
      </c>
      <c r="L50" s="0" t="n">
        <f aca="false">MAX(L49,J50)</f>
        <v>218901270.168702</v>
      </c>
      <c r="M50" s="0" t="n">
        <f aca="false">IF(AND(B50&lt;x_H,J50&lt;=0,L49&gt;0),1,0)</f>
        <v>0</v>
      </c>
      <c r="N50" s="0" t="n">
        <f aca="false">IF(AND(B50&lt;x_H,I50&lt;=0,O49&gt;0),1,0)</f>
        <v>0</v>
      </c>
      <c r="O50" s="0" t="n">
        <f aca="false">MAX(O49,I50)</f>
        <v>226546163.758653</v>
      </c>
      <c r="P50" s="0" t="n">
        <f aca="false">(L_V1!V40-L_S1!V40)*D50</f>
        <v>0</v>
      </c>
    </row>
    <row r="51" customFormat="false" ht="15" hidden="false" customHeight="false" outlineLevel="0" collapsed="false">
      <c r="A51" s="0" t="n">
        <v>2064</v>
      </c>
      <c r="B51" s="0" t="n">
        <v>38</v>
      </c>
      <c r="C51" s="0" t="n">
        <f aca="false">IF(B51&lt;x_H,(1+x_dk)^(-B51),0)</f>
        <v>0</v>
      </c>
      <c r="D51" s="0" t="n">
        <f aca="false">IF(B51&lt;x_H,(1+x_de)^(-B51),0)</f>
        <v>0</v>
      </c>
      <c r="E51" s="0" t="n">
        <f aca="false">(L_V1!AO41-L_S1!AO41)*C51</f>
        <v>-0</v>
      </c>
      <c r="F51" s="0" t="n">
        <f aca="false">(L_V1!AP41-L_S1!AP41)*C51</f>
        <v>-0</v>
      </c>
      <c r="G51" s="0" t="n">
        <f aca="false">(L_V1!AQ41-L_S1!AQ41)*C51</f>
        <v>-0</v>
      </c>
      <c r="H51" s="0" t="n">
        <f aca="false">(L_V1!AS41-L_S1!AS41)*C51</f>
        <v>0</v>
      </c>
      <c r="I51" s="0" t="n">
        <f aca="false">I50+E51</f>
        <v>185574175.873979</v>
      </c>
      <c r="J51" s="0" t="n">
        <f aca="false">J50+F51</f>
        <v>139525005.122717</v>
      </c>
      <c r="K51" s="0" t="n">
        <f aca="false">K50+G51</f>
        <v>98425798.9262681</v>
      </c>
      <c r="L51" s="0" t="n">
        <f aca="false">MAX(L50,J51)</f>
        <v>218901270.168702</v>
      </c>
      <c r="M51" s="0" t="n">
        <f aca="false">IF(AND(B51&lt;x_H,J51&lt;=0,L50&gt;0),1,0)</f>
        <v>0</v>
      </c>
      <c r="N51" s="0" t="n">
        <f aca="false">IF(AND(B51&lt;x_H,I51&lt;=0,O50&gt;0),1,0)</f>
        <v>0</v>
      </c>
      <c r="O51" s="0" t="n">
        <f aca="false">MAX(O50,I51)</f>
        <v>226546163.758653</v>
      </c>
      <c r="P51" s="0" t="n">
        <f aca="false">(L_V1!V41-L_S1!V41)*D51</f>
        <v>0</v>
      </c>
    </row>
    <row r="52" customFormat="false" ht="15" hidden="false" customHeight="false" outlineLevel="0" collapsed="false">
      <c r="A52" s="0" t="n">
        <v>2065</v>
      </c>
      <c r="B52" s="0" t="n">
        <v>39</v>
      </c>
      <c r="C52" s="0" t="n">
        <f aca="false">IF(B52&lt;x_H,(1+x_dk)^(-B52),0)</f>
        <v>0</v>
      </c>
      <c r="D52" s="0" t="n">
        <f aca="false">IF(B52&lt;x_H,(1+x_de)^(-B52),0)</f>
        <v>0</v>
      </c>
      <c r="E52" s="0" t="n">
        <f aca="false">(L_V1!AO42-L_S1!AO42)*C52</f>
        <v>-0</v>
      </c>
      <c r="F52" s="0" t="n">
        <f aca="false">(L_V1!AP42-L_S1!AP42)*C52</f>
        <v>-0</v>
      </c>
      <c r="G52" s="0" t="n">
        <f aca="false">(L_V1!AQ42-L_S1!AQ42)*C52</f>
        <v>-0</v>
      </c>
      <c r="H52" s="0" t="n">
        <f aca="false">(L_V1!AS42-L_S1!AS42)*C52</f>
        <v>0</v>
      </c>
      <c r="I52" s="0" t="n">
        <f aca="false">I51+E52</f>
        <v>185574175.873979</v>
      </c>
      <c r="J52" s="0" t="n">
        <f aca="false">J51+F52</f>
        <v>139525005.122717</v>
      </c>
      <c r="K52" s="0" t="n">
        <f aca="false">K51+G52</f>
        <v>98425798.9262681</v>
      </c>
      <c r="L52" s="0" t="n">
        <f aca="false">MAX(L51,J52)</f>
        <v>218901270.168702</v>
      </c>
      <c r="M52" s="0" t="n">
        <f aca="false">IF(AND(B52&lt;x_H,J52&lt;=0,L51&gt;0),1,0)</f>
        <v>0</v>
      </c>
      <c r="N52" s="0" t="n">
        <f aca="false">IF(AND(B52&lt;x_H,I52&lt;=0,O51&gt;0),1,0)</f>
        <v>0</v>
      </c>
      <c r="O52" s="0" t="n">
        <f aca="false">MAX(O51,I52)</f>
        <v>226546163.758653</v>
      </c>
      <c r="P52" s="0" t="n">
        <f aca="false">(L_V1!V42-L_S1!V42)*D52</f>
        <v>0</v>
      </c>
    </row>
    <row r="53" customFormat="false" ht="15" hidden="false" customHeight="false" outlineLevel="0" collapsed="false">
      <c r="A53" s="0" t="n">
        <v>2066</v>
      </c>
      <c r="B53" s="0" t="n">
        <v>40</v>
      </c>
      <c r="C53" s="0" t="n">
        <f aca="false">IF(B53&lt;x_H,(1+x_dk)^(-B53),0)</f>
        <v>0</v>
      </c>
      <c r="D53" s="0" t="n">
        <f aca="false">IF(B53&lt;x_H,(1+x_de)^(-B53),0)</f>
        <v>0</v>
      </c>
      <c r="E53" s="0" t="n">
        <f aca="false">(L_V1!AO43-L_S1!AO43)*C53</f>
        <v>-0</v>
      </c>
      <c r="F53" s="0" t="n">
        <f aca="false">(L_V1!AP43-L_S1!AP43)*C53</f>
        <v>-0</v>
      </c>
      <c r="G53" s="0" t="n">
        <f aca="false">(L_V1!AQ43-L_S1!AQ43)*C53</f>
        <v>-0</v>
      </c>
      <c r="H53" s="0" t="n">
        <f aca="false">(L_V1!AS43-L_S1!AS43)*C53</f>
        <v>0</v>
      </c>
      <c r="I53" s="0" t="n">
        <f aca="false">I52+E53</f>
        <v>185574175.873979</v>
      </c>
      <c r="J53" s="0" t="n">
        <f aca="false">J52+F53</f>
        <v>139525005.122717</v>
      </c>
      <c r="K53" s="0" t="n">
        <f aca="false">K52+G53</f>
        <v>98425798.9262681</v>
      </c>
      <c r="L53" s="0" t="n">
        <f aca="false">MAX(L52,J53)</f>
        <v>218901270.168702</v>
      </c>
      <c r="M53" s="0" t="n">
        <f aca="false">IF(AND(B53&lt;x_H,J53&lt;=0,L52&gt;0),1,0)</f>
        <v>0</v>
      </c>
      <c r="N53" s="0" t="n">
        <f aca="false">IF(AND(B53&lt;x_H,I53&lt;=0,O52&gt;0),1,0)</f>
        <v>0</v>
      </c>
      <c r="O53" s="0" t="n">
        <f aca="false">MAX(O52,I53)</f>
        <v>226546163.758653</v>
      </c>
      <c r="P53" s="0" t="n">
        <f aca="false">(L_V1!V43-L_S1!V43)*D53</f>
        <v>0</v>
      </c>
    </row>
    <row r="54" customFormat="false" ht="15" hidden="false" customHeight="false" outlineLevel="0" collapsed="false">
      <c r="A54" s="0" t="n">
        <v>2067</v>
      </c>
      <c r="B54" s="0" t="n">
        <v>41</v>
      </c>
      <c r="C54" s="0" t="n">
        <f aca="false">IF(B54&lt;x_H,(1+x_dk)^(-B54),0)</f>
        <v>0</v>
      </c>
      <c r="D54" s="0" t="n">
        <f aca="false">IF(B54&lt;x_H,(1+x_de)^(-B54),0)</f>
        <v>0</v>
      </c>
      <c r="E54" s="0" t="n">
        <f aca="false">(L_V1!AO44-L_S1!AO44)*C54</f>
        <v>-0</v>
      </c>
      <c r="F54" s="0" t="n">
        <f aca="false">(L_V1!AP44-L_S1!AP44)*C54</f>
        <v>-0</v>
      </c>
      <c r="G54" s="0" t="n">
        <f aca="false">(L_V1!AQ44-L_S1!AQ44)*C54</f>
        <v>-0</v>
      </c>
      <c r="H54" s="0" t="n">
        <f aca="false">(L_V1!AS44-L_S1!AS44)*C54</f>
        <v>0</v>
      </c>
      <c r="I54" s="0" t="n">
        <f aca="false">I53+E54</f>
        <v>185574175.873979</v>
      </c>
      <c r="J54" s="0" t="n">
        <f aca="false">J53+F54</f>
        <v>139525005.122717</v>
      </c>
      <c r="K54" s="0" t="n">
        <f aca="false">K53+G54</f>
        <v>98425798.9262681</v>
      </c>
      <c r="L54" s="0" t="n">
        <f aca="false">MAX(L53,J54)</f>
        <v>218901270.168702</v>
      </c>
      <c r="M54" s="0" t="n">
        <f aca="false">IF(AND(B54&lt;x_H,J54&lt;=0,L53&gt;0),1,0)</f>
        <v>0</v>
      </c>
      <c r="N54" s="0" t="n">
        <f aca="false">IF(AND(B54&lt;x_H,I54&lt;=0,O53&gt;0),1,0)</f>
        <v>0</v>
      </c>
      <c r="O54" s="0" t="n">
        <f aca="false">MAX(O53,I54)</f>
        <v>226546163.758653</v>
      </c>
      <c r="P54" s="0" t="n">
        <f aca="false">(L_V1!V44-L_S1!V44)*D54</f>
        <v>0</v>
      </c>
    </row>
    <row r="55" customFormat="false" ht="15" hidden="false" customHeight="false" outlineLevel="0" collapsed="false">
      <c r="A55" s="0" t="n">
        <v>2068</v>
      </c>
      <c r="B55" s="0" t="n">
        <v>42</v>
      </c>
      <c r="C55" s="0" t="n">
        <f aca="false">IF(B55&lt;x_H,(1+x_dk)^(-B55),0)</f>
        <v>0</v>
      </c>
      <c r="D55" s="0" t="n">
        <f aca="false">IF(B55&lt;x_H,(1+x_de)^(-B55),0)</f>
        <v>0</v>
      </c>
      <c r="E55" s="0" t="n">
        <f aca="false">(L_V1!AO45-L_S1!AO45)*C55</f>
        <v>-0</v>
      </c>
      <c r="F55" s="0" t="n">
        <f aca="false">(L_V1!AP45-L_S1!AP45)*C55</f>
        <v>-0</v>
      </c>
      <c r="G55" s="0" t="n">
        <f aca="false">(L_V1!AQ45-L_S1!AQ45)*C55</f>
        <v>-0</v>
      </c>
      <c r="H55" s="0" t="n">
        <f aca="false">(L_V1!AS45-L_S1!AS45)*C55</f>
        <v>0</v>
      </c>
      <c r="I55" s="0" t="n">
        <f aca="false">I54+E55</f>
        <v>185574175.873979</v>
      </c>
      <c r="J55" s="0" t="n">
        <f aca="false">J54+F55</f>
        <v>139525005.122717</v>
      </c>
      <c r="K55" s="0" t="n">
        <f aca="false">K54+G55</f>
        <v>98425798.9262681</v>
      </c>
      <c r="L55" s="0" t="n">
        <f aca="false">MAX(L54,J55)</f>
        <v>218901270.168702</v>
      </c>
      <c r="M55" s="0" t="n">
        <f aca="false">IF(AND(B55&lt;x_H,J55&lt;=0,L54&gt;0),1,0)</f>
        <v>0</v>
      </c>
      <c r="N55" s="0" t="n">
        <f aca="false">IF(AND(B55&lt;x_H,I55&lt;=0,O54&gt;0),1,0)</f>
        <v>0</v>
      </c>
      <c r="O55" s="0" t="n">
        <f aca="false">MAX(O54,I55)</f>
        <v>226546163.758653</v>
      </c>
      <c r="P55" s="0" t="n">
        <f aca="false">(L_V1!V45-L_S1!V45)*D55</f>
        <v>0</v>
      </c>
    </row>
    <row r="56" customFormat="false" ht="15" hidden="false" customHeight="false" outlineLevel="0" collapsed="false">
      <c r="A56" s="0" t="n">
        <v>2069</v>
      </c>
      <c r="B56" s="0" t="n">
        <v>43</v>
      </c>
      <c r="C56" s="0" t="n">
        <f aca="false">IF(B56&lt;x_H,(1+x_dk)^(-B56),0)</f>
        <v>0</v>
      </c>
      <c r="D56" s="0" t="n">
        <f aca="false">IF(B56&lt;x_H,(1+x_de)^(-B56),0)</f>
        <v>0</v>
      </c>
      <c r="E56" s="0" t="n">
        <f aca="false">(L_V1!AO46-L_S1!AO46)*C56</f>
        <v>-0</v>
      </c>
      <c r="F56" s="0" t="n">
        <f aca="false">(L_V1!AP46-L_S1!AP46)*C56</f>
        <v>-0</v>
      </c>
      <c r="G56" s="0" t="n">
        <f aca="false">(L_V1!AQ46-L_S1!AQ46)*C56</f>
        <v>-0</v>
      </c>
      <c r="H56" s="0" t="n">
        <f aca="false">(L_V1!AS46-L_S1!AS46)*C56</f>
        <v>0</v>
      </c>
      <c r="I56" s="0" t="n">
        <f aca="false">I55+E56</f>
        <v>185574175.873979</v>
      </c>
      <c r="J56" s="0" t="n">
        <f aca="false">J55+F56</f>
        <v>139525005.122717</v>
      </c>
      <c r="K56" s="0" t="n">
        <f aca="false">K55+G56</f>
        <v>98425798.9262681</v>
      </c>
      <c r="L56" s="0" t="n">
        <f aca="false">MAX(L55,J56)</f>
        <v>218901270.168702</v>
      </c>
      <c r="M56" s="0" t="n">
        <f aca="false">IF(AND(B56&lt;x_H,J56&lt;=0,L55&gt;0),1,0)</f>
        <v>0</v>
      </c>
      <c r="N56" s="0" t="n">
        <f aca="false">IF(AND(B56&lt;x_H,I56&lt;=0,O55&gt;0),1,0)</f>
        <v>0</v>
      </c>
      <c r="O56" s="0" t="n">
        <f aca="false">MAX(O55,I56)</f>
        <v>226546163.758653</v>
      </c>
      <c r="P56" s="0" t="n">
        <f aca="false">(L_V1!V46-L_S1!V46)*D56</f>
        <v>0</v>
      </c>
    </row>
    <row r="57" customFormat="false" ht="15" hidden="false" customHeight="false" outlineLevel="0" collapsed="false">
      <c r="A57" s="0" t="n">
        <v>2070</v>
      </c>
      <c r="B57" s="0" t="n">
        <v>44</v>
      </c>
      <c r="C57" s="0" t="n">
        <f aca="false">IF(B57&lt;x_H,(1+x_dk)^(-B57),0)</f>
        <v>0</v>
      </c>
      <c r="D57" s="0" t="n">
        <f aca="false">IF(B57&lt;x_H,(1+x_de)^(-B57),0)</f>
        <v>0</v>
      </c>
      <c r="E57" s="0" t="n">
        <f aca="false">(L_V1!AO47-L_S1!AO47)*C57</f>
        <v>-0</v>
      </c>
      <c r="F57" s="0" t="n">
        <f aca="false">(L_V1!AP47-L_S1!AP47)*C57</f>
        <v>-0</v>
      </c>
      <c r="G57" s="0" t="n">
        <f aca="false">(L_V1!AQ47-L_S1!AQ47)*C57</f>
        <v>-0</v>
      </c>
      <c r="H57" s="0" t="n">
        <f aca="false">(L_V1!AS47-L_S1!AS47)*C57</f>
        <v>0</v>
      </c>
      <c r="I57" s="0" t="n">
        <f aca="false">I56+E57</f>
        <v>185574175.873979</v>
      </c>
      <c r="J57" s="0" t="n">
        <f aca="false">J56+F57</f>
        <v>139525005.122717</v>
      </c>
      <c r="K57" s="0" t="n">
        <f aca="false">K56+G57</f>
        <v>98425798.9262681</v>
      </c>
      <c r="L57" s="0" t="n">
        <f aca="false">MAX(L56,J57)</f>
        <v>218901270.168702</v>
      </c>
      <c r="M57" s="0" t="n">
        <f aca="false">IF(AND(B57&lt;x_H,J57&lt;=0,L56&gt;0),1,0)</f>
        <v>0</v>
      </c>
      <c r="N57" s="0" t="n">
        <f aca="false">IF(AND(B57&lt;x_H,I57&lt;=0,O56&gt;0),1,0)</f>
        <v>0</v>
      </c>
      <c r="O57" s="0" t="n">
        <f aca="false">MAX(O56,I57)</f>
        <v>226546163.758653</v>
      </c>
      <c r="P57" s="0" t="n">
        <f aca="false">(L_V1!V47-L_S1!V47)*D57</f>
        <v>0</v>
      </c>
    </row>
    <row r="58" customFormat="false" ht="15" hidden="false" customHeight="false" outlineLevel="0" collapsed="false">
      <c r="A58" s="0" t="n">
        <v>2071</v>
      </c>
      <c r="B58" s="0" t="n">
        <v>45</v>
      </c>
      <c r="C58" s="0" t="n">
        <f aca="false">IF(B58&lt;x_H,(1+x_dk)^(-B58),0)</f>
        <v>0</v>
      </c>
      <c r="D58" s="0" t="n">
        <f aca="false">IF(B58&lt;x_H,(1+x_de)^(-B58),0)</f>
        <v>0</v>
      </c>
      <c r="E58" s="0" t="n">
        <f aca="false">(L_V1!AO48-L_S1!AO48)*C58</f>
        <v>-0</v>
      </c>
      <c r="F58" s="0" t="n">
        <f aca="false">(L_V1!AP48-L_S1!AP48)*C58</f>
        <v>-0</v>
      </c>
      <c r="G58" s="0" t="n">
        <f aca="false">(L_V1!AQ48-L_S1!AQ48)*C58</f>
        <v>-0</v>
      </c>
      <c r="H58" s="0" t="n">
        <f aca="false">(L_V1!AS48-L_S1!AS48)*C58</f>
        <v>0</v>
      </c>
      <c r="I58" s="0" t="n">
        <f aca="false">I57+E58</f>
        <v>185574175.873979</v>
      </c>
      <c r="J58" s="0" t="n">
        <f aca="false">J57+F58</f>
        <v>139525005.122717</v>
      </c>
      <c r="K58" s="0" t="n">
        <f aca="false">K57+G58</f>
        <v>98425798.9262681</v>
      </c>
      <c r="L58" s="0" t="n">
        <f aca="false">MAX(L57,J58)</f>
        <v>218901270.168702</v>
      </c>
      <c r="M58" s="0" t="n">
        <f aca="false">IF(AND(B58&lt;x_H,J58&lt;=0,L57&gt;0),1,0)</f>
        <v>0</v>
      </c>
      <c r="N58" s="0" t="n">
        <f aca="false">IF(AND(B58&lt;x_H,I58&lt;=0,O57&gt;0),1,0)</f>
        <v>0</v>
      </c>
      <c r="O58" s="0" t="n">
        <f aca="false">MAX(O57,I58)</f>
        <v>226546163.758653</v>
      </c>
      <c r="P58" s="0" t="n">
        <f aca="false">(L_V1!V48-L_S1!V48)*D58</f>
        <v>0</v>
      </c>
    </row>
    <row r="59" customFormat="false" ht="15" hidden="false" customHeight="false" outlineLevel="0" collapsed="false">
      <c r="A59" s="0" t="n">
        <v>2072</v>
      </c>
      <c r="B59" s="0" t="n">
        <v>46</v>
      </c>
      <c r="C59" s="0" t="n">
        <f aca="false">IF(B59&lt;x_H,(1+x_dk)^(-B59),0)</f>
        <v>0</v>
      </c>
      <c r="D59" s="0" t="n">
        <f aca="false">IF(B59&lt;x_H,(1+x_de)^(-B59),0)</f>
        <v>0</v>
      </c>
      <c r="E59" s="0" t="n">
        <f aca="false">(L_V1!AO49-L_S1!AO49)*C59</f>
        <v>-0</v>
      </c>
      <c r="F59" s="0" t="n">
        <f aca="false">(L_V1!AP49-L_S1!AP49)*C59</f>
        <v>-0</v>
      </c>
      <c r="G59" s="0" t="n">
        <f aca="false">(L_V1!AQ49-L_S1!AQ49)*C59</f>
        <v>-0</v>
      </c>
      <c r="H59" s="0" t="n">
        <f aca="false">(L_V1!AS49-L_S1!AS49)*C59</f>
        <v>0</v>
      </c>
      <c r="I59" s="0" t="n">
        <f aca="false">I58+E59</f>
        <v>185574175.873979</v>
      </c>
      <c r="J59" s="0" t="n">
        <f aca="false">J58+F59</f>
        <v>139525005.122717</v>
      </c>
      <c r="K59" s="0" t="n">
        <f aca="false">K58+G59</f>
        <v>98425798.9262681</v>
      </c>
      <c r="L59" s="0" t="n">
        <f aca="false">MAX(L58,J59)</f>
        <v>218901270.168702</v>
      </c>
      <c r="M59" s="0" t="n">
        <f aca="false">IF(AND(B59&lt;x_H,J59&lt;=0,L58&gt;0),1,0)</f>
        <v>0</v>
      </c>
      <c r="N59" s="0" t="n">
        <f aca="false">IF(AND(B59&lt;x_H,I59&lt;=0,O58&gt;0),1,0)</f>
        <v>0</v>
      </c>
      <c r="O59" s="0" t="n">
        <f aca="false">MAX(O58,I59)</f>
        <v>226546163.758653</v>
      </c>
      <c r="P59" s="0" t="n">
        <f aca="false">(L_V1!V49-L_S1!V49)*D59</f>
        <v>0</v>
      </c>
    </row>
    <row r="60" customFormat="false" ht="15" hidden="false" customHeight="false" outlineLevel="0" collapsed="false">
      <c r="A60" s="0" t="n">
        <v>2073</v>
      </c>
      <c r="B60" s="0" t="n">
        <v>47</v>
      </c>
      <c r="C60" s="0" t="n">
        <f aca="false">IF(B60&lt;x_H,(1+x_dk)^(-B60),0)</f>
        <v>0</v>
      </c>
      <c r="D60" s="0" t="n">
        <f aca="false">IF(B60&lt;x_H,(1+x_de)^(-B60),0)</f>
        <v>0</v>
      </c>
      <c r="E60" s="0" t="n">
        <f aca="false">(L_V1!AO50-L_S1!AO50)*C60</f>
        <v>-0</v>
      </c>
      <c r="F60" s="0" t="n">
        <f aca="false">(L_V1!AP50-L_S1!AP50)*C60</f>
        <v>-0</v>
      </c>
      <c r="G60" s="0" t="n">
        <f aca="false">(L_V1!AQ50-L_S1!AQ50)*C60</f>
        <v>-0</v>
      </c>
      <c r="H60" s="0" t="n">
        <f aca="false">(L_V1!AS50-L_S1!AS50)*C60</f>
        <v>0</v>
      </c>
      <c r="I60" s="0" t="n">
        <f aca="false">I59+E60</f>
        <v>185574175.873979</v>
      </c>
      <c r="J60" s="0" t="n">
        <f aca="false">J59+F60</f>
        <v>139525005.122717</v>
      </c>
      <c r="K60" s="0" t="n">
        <f aca="false">K59+G60</f>
        <v>98425798.9262681</v>
      </c>
      <c r="L60" s="0" t="n">
        <f aca="false">MAX(L59,J60)</f>
        <v>218901270.168702</v>
      </c>
      <c r="M60" s="0" t="n">
        <f aca="false">IF(AND(B60&lt;x_H,J60&lt;=0,L59&gt;0),1,0)</f>
        <v>0</v>
      </c>
      <c r="N60" s="0" t="n">
        <f aca="false">IF(AND(B60&lt;x_H,I60&lt;=0,O59&gt;0),1,0)</f>
        <v>0</v>
      </c>
      <c r="O60" s="0" t="n">
        <f aca="false">MAX(O59,I60)</f>
        <v>226546163.758653</v>
      </c>
      <c r="P60" s="0" t="n">
        <f aca="false">(L_V1!V50-L_S1!V50)*D60</f>
        <v>0</v>
      </c>
    </row>
    <row r="61" customFormat="false" ht="15" hidden="false" customHeight="false" outlineLevel="0" collapsed="false">
      <c r="A61" s="0" t="n">
        <v>2074</v>
      </c>
      <c r="B61" s="0" t="n">
        <v>48</v>
      </c>
      <c r="C61" s="0" t="n">
        <f aca="false">IF(B61&lt;x_H,(1+x_dk)^(-B61),0)</f>
        <v>0</v>
      </c>
      <c r="D61" s="0" t="n">
        <f aca="false">IF(B61&lt;x_H,(1+x_de)^(-B61),0)</f>
        <v>0</v>
      </c>
      <c r="E61" s="0" t="n">
        <f aca="false">(L_V1!AO51-L_S1!AO51)*C61</f>
        <v>-0</v>
      </c>
      <c r="F61" s="0" t="n">
        <f aca="false">(L_V1!AP51-L_S1!AP51)*C61</f>
        <v>-0</v>
      </c>
      <c r="G61" s="0" t="n">
        <f aca="false">(L_V1!AQ51-L_S1!AQ51)*C61</f>
        <v>-0</v>
      </c>
      <c r="H61" s="0" t="n">
        <f aca="false">(L_V1!AS51-L_S1!AS51)*C61</f>
        <v>0</v>
      </c>
      <c r="I61" s="0" t="n">
        <f aca="false">I60+E61</f>
        <v>185574175.873979</v>
      </c>
      <c r="J61" s="0" t="n">
        <f aca="false">J60+F61</f>
        <v>139525005.122717</v>
      </c>
      <c r="K61" s="0" t="n">
        <f aca="false">K60+G61</f>
        <v>98425798.9262681</v>
      </c>
      <c r="L61" s="0" t="n">
        <f aca="false">MAX(L60,J61)</f>
        <v>218901270.168702</v>
      </c>
      <c r="M61" s="0" t="n">
        <f aca="false">IF(AND(B61&lt;x_H,J61&lt;=0,L60&gt;0),1,0)</f>
        <v>0</v>
      </c>
      <c r="N61" s="0" t="n">
        <f aca="false">IF(AND(B61&lt;x_H,I61&lt;=0,O60&gt;0),1,0)</f>
        <v>0</v>
      </c>
      <c r="O61" s="0" t="n">
        <f aca="false">MAX(O60,I61)</f>
        <v>226546163.758653</v>
      </c>
      <c r="P61" s="0" t="n">
        <f aca="false">(L_V1!V51-L_S1!V51)*D61</f>
        <v>0</v>
      </c>
    </row>
    <row r="62" customFormat="false" ht="15" hidden="false" customHeight="false" outlineLevel="0" collapsed="false">
      <c r="A62" s="0" t="n">
        <v>2075</v>
      </c>
      <c r="B62" s="0" t="n">
        <v>49</v>
      </c>
      <c r="C62" s="0" t="n">
        <f aca="false">IF(B62&lt;x_H,(1+x_dk)^(-B62),0)</f>
        <v>0</v>
      </c>
      <c r="D62" s="0" t="n">
        <f aca="false">IF(B62&lt;x_H,(1+x_de)^(-B62),0)</f>
        <v>0</v>
      </c>
      <c r="E62" s="0" t="n">
        <f aca="false">(L_V1!AO52-L_S1!AO52)*C62</f>
        <v>-0</v>
      </c>
      <c r="F62" s="0" t="n">
        <f aca="false">(L_V1!AP52-L_S1!AP52)*C62</f>
        <v>-0</v>
      </c>
      <c r="G62" s="0" t="n">
        <f aca="false">(L_V1!AQ52-L_S1!AQ52)*C62</f>
        <v>-0</v>
      </c>
      <c r="H62" s="0" t="n">
        <f aca="false">(L_V1!AS52-L_S1!AS52)*C62</f>
        <v>0</v>
      </c>
      <c r="I62" s="0" t="n">
        <f aca="false">I61+E62</f>
        <v>185574175.873979</v>
      </c>
      <c r="J62" s="0" t="n">
        <f aca="false">J61+F62</f>
        <v>139525005.122717</v>
      </c>
      <c r="K62" s="0" t="n">
        <f aca="false">K61+G62</f>
        <v>98425798.9262681</v>
      </c>
      <c r="L62" s="0" t="n">
        <f aca="false">MAX(L61,J62)</f>
        <v>218901270.168702</v>
      </c>
      <c r="M62" s="0" t="n">
        <f aca="false">IF(AND(B62&lt;x_H,J62&lt;=0,L61&gt;0),1,0)</f>
        <v>0</v>
      </c>
      <c r="N62" s="0" t="n">
        <f aca="false">IF(AND(B62&lt;x_H,I62&lt;=0,O61&gt;0),1,0)</f>
        <v>0</v>
      </c>
      <c r="O62" s="0" t="n">
        <f aca="false">MAX(O61,I62)</f>
        <v>226546163.758653</v>
      </c>
      <c r="P62" s="0" t="n">
        <f aca="false">(L_V1!V52-L_S1!V52)*D62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1" t="s">
        <v>644</v>
      </c>
    </row>
    <row r="2" customFormat="false" ht="55.2" hidden="false" customHeight="false" outlineLevel="0" collapsed="false">
      <c r="A2" s="3" t="s">
        <v>645</v>
      </c>
      <c r="B2" s="3" t="s">
        <v>646</v>
      </c>
      <c r="C2" s="3" t="s">
        <v>647</v>
      </c>
      <c r="D2" s="3" t="s">
        <v>648</v>
      </c>
      <c r="E2" s="3" t="s">
        <v>649</v>
      </c>
      <c r="F2" s="3" t="s">
        <v>650</v>
      </c>
      <c r="G2" s="3" t="s">
        <v>651</v>
      </c>
      <c r="H2" s="3" t="s">
        <v>649</v>
      </c>
      <c r="I2" s="3" t="s">
        <v>650</v>
      </c>
      <c r="J2" s="3" t="s">
        <v>652</v>
      </c>
      <c r="K2" s="3" t="s">
        <v>653</v>
      </c>
      <c r="L2" s="3" t="s">
        <v>654</v>
      </c>
      <c r="M2" s="3" t="s">
        <v>655</v>
      </c>
      <c r="N2" s="3" t="s">
        <v>649</v>
      </c>
      <c r="O2" s="3" t="s">
        <v>650</v>
      </c>
    </row>
    <row r="3" customFormat="false" ht="15" hidden="false" customHeight="false" outlineLevel="0" collapsed="false">
      <c r="A3" s="0" t="s">
        <v>656</v>
      </c>
      <c r="B3" s="0" t="n">
        <v>5</v>
      </c>
      <c r="C3" s="0" t="s">
        <v>129</v>
      </c>
      <c r="D3" s="0" t="n">
        <v>298.3</v>
      </c>
      <c r="E3" s="0" t="n">
        <v>260</v>
      </c>
      <c r="F3" s="0" t="n">
        <v>354.4</v>
      </c>
      <c r="G3" s="0" t="n">
        <v>-1.043</v>
      </c>
      <c r="H3" s="0" t="n">
        <v>-1.057</v>
      </c>
      <c r="I3" s="0" t="n">
        <v>-1.032</v>
      </c>
      <c r="J3" s="0" t="s">
        <v>657</v>
      </c>
      <c r="K3" s="0" t="n">
        <v>0</v>
      </c>
      <c r="L3" s="0" t="n">
        <v>0</v>
      </c>
      <c r="M3" s="0" t="n">
        <v>11</v>
      </c>
      <c r="N3" s="0" t="n">
        <v>7</v>
      </c>
      <c r="O3" s="0" t="n">
        <v>15</v>
      </c>
    </row>
    <row r="4" customFormat="false" ht="15" hidden="false" customHeight="false" outlineLevel="0" collapsed="false">
      <c r="A4" s="0" t="s">
        <v>656</v>
      </c>
      <c r="B4" s="0" t="n">
        <v>5</v>
      </c>
      <c r="C4" s="0" t="s">
        <v>602</v>
      </c>
      <c r="D4" s="0" t="n">
        <v>306.6</v>
      </c>
      <c r="E4" s="0" t="n">
        <v>267.6</v>
      </c>
      <c r="F4" s="0" t="n">
        <v>363.2</v>
      </c>
      <c r="G4" s="0" t="n">
        <v>-1.051</v>
      </c>
      <c r="H4" s="0" t="n">
        <v>-1.068</v>
      </c>
      <c r="I4" s="0" t="n">
        <v>-1.037</v>
      </c>
      <c r="J4" s="0" t="s">
        <v>657</v>
      </c>
      <c r="K4" s="0" t="n">
        <v>0</v>
      </c>
      <c r="L4" s="0" t="n">
        <v>0</v>
      </c>
      <c r="M4" s="0" t="n">
        <v>11</v>
      </c>
      <c r="N4" s="0" t="n">
        <v>7</v>
      </c>
      <c r="O4" s="0" t="n">
        <v>15</v>
      </c>
    </row>
    <row r="5" customFormat="false" ht="15" hidden="false" customHeight="false" outlineLevel="0" collapsed="false">
      <c r="A5" s="0" t="s">
        <v>656</v>
      </c>
      <c r="B5" s="0" t="n">
        <v>5</v>
      </c>
      <c r="C5" s="0" t="s">
        <v>603</v>
      </c>
      <c r="D5" s="0" t="n">
        <v>305.2</v>
      </c>
      <c r="E5" s="0" t="n">
        <v>266.4</v>
      </c>
      <c r="F5" s="0" t="n">
        <v>361.6</v>
      </c>
      <c r="G5" s="0" t="n">
        <v>-1.045</v>
      </c>
      <c r="H5" s="0" t="n">
        <v>-1.062</v>
      </c>
      <c r="I5" s="0" t="n">
        <v>-1.032</v>
      </c>
      <c r="J5" s="0" t="s">
        <v>657</v>
      </c>
      <c r="K5" s="0" t="n">
        <v>0</v>
      </c>
      <c r="L5" s="0" t="n">
        <v>0</v>
      </c>
      <c r="M5" s="0" t="n">
        <v>11</v>
      </c>
      <c r="N5" s="0" t="n">
        <v>7</v>
      </c>
      <c r="O5" s="0" t="n">
        <v>15</v>
      </c>
    </row>
    <row r="6" customFormat="false" ht="15" hidden="false" customHeight="false" outlineLevel="0" collapsed="false">
      <c r="A6" s="0" t="s">
        <v>656</v>
      </c>
      <c r="B6" s="0" t="n">
        <v>5</v>
      </c>
      <c r="C6" s="0" t="s">
        <v>658</v>
      </c>
      <c r="D6" s="0" t="n">
        <v>120.3</v>
      </c>
      <c r="E6" s="0" t="n">
        <v>81.9</v>
      </c>
      <c r="F6" s="0" t="n">
        <v>176.3</v>
      </c>
      <c r="G6" s="0" t="n">
        <v>-1.115</v>
      </c>
      <c r="H6" s="0" t="n">
        <v>-1.152</v>
      </c>
      <c r="I6" s="0" t="n">
        <v>-1.085</v>
      </c>
      <c r="J6" s="0" t="s">
        <v>657</v>
      </c>
      <c r="K6" s="0" t="n">
        <v>0</v>
      </c>
      <c r="L6" s="0" t="n">
        <v>0.995</v>
      </c>
      <c r="M6" s="0" t="n">
        <v>11</v>
      </c>
      <c r="N6" s="0" t="n">
        <v>7</v>
      </c>
      <c r="O6" s="0" t="n">
        <v>15</v>
      </c>
    </row>
    <row r="7" customFormat="false" ht="15" hidden="false" customHeight="false" outlineLevel="0" collapsed="false">
      <c r="A7" s="0" t="s">
        <v>656</v>
      </c>
      <c r="B7" s="0" t="n">
        <v>5</v>
      </c>
      <c r="C7" s="0" t="s">
        <v>659</v>
      </c>
      <c r="D7" s="0" t="n">
        <v>122.9</v>
      </c>
      <c r="E7" s="0" t="n">
        <v>84</v>
      </c>
      <c r="F7" s="0" t="n">
        <v>179.6</v>
      </c>
      <c r="G7" s="0" t="n">
        <v>-1.138</v>
      </c>
      <c r="H7" s="0" t="n">
        <v>-1.184</v>
      </c>
      <c r="I7" s="0" t="n">
        <v>-1.102</v>
      </c>
      <c r="J7" s="0" t="s">
        <v>657</v>
      </c>
      <c r="K7" s="0" t="n">
        <v>0</v>
      </c>
      <c r="L7" s="0" t="n">
        <v>0.991</v>
      </c>
      <c r="M7" s="0" t="n">
        <v>11</v>
      </c>
      <c r="N7" s="0" t="n">
        <v>7</v>
      </c>
      <c r="O7" s="0" t="n">
        <v>15</v>
      </c>
    </row>
    <row r="8" customFormat="false" ht="15" hidden="false" customHeight="false" outlineLevel="0" collapsed="false">
      <c r="A8" s="0" t="s">
        <v>656</v>
      </c>
      <c r="B8" s="0" t="n">
        <v>5</v>
      </c>
      <c r="C8" s="0" t="s">
        <v>660</v>
      </c>
      <c r="D8" s="0" t="n">
        <v>121.5</v>
      </c>
      <c r="E8" s="0" t="n">
        <v>82.8</v>
      </c>
      <c r="F8" s="0" t="n">
        <v>177.9</v>
      </c>
      <c r="G8" s="0" t="n">
        <v>-1.124</v>
      </c>
      <c r="H8" s="0" t="n">
        <v>-1.167</v>
      </c>
      <c r="I8" s="0" t="n">
        <v>-1.089</v>
      </c>
      <c r="J8" s="0" t="s">
        <v>657</v>
      </c>
      <c r="K8" s="0" t="n">
        <v>0</v>
      </c>
      <c r="L8" s="0" t="n">
        <v>0.992</v>
      </c>
      <c r="M8" s="0" t="n">
        <v>11</v>
      </c>
      <c r="N8" s="0" t="n">
        <v>7</v>
      </c>
      <c r="O8" s="0" t="n">
        <v>15</v>
      </c>
    </row>
    <row r="9" customFormat="false" ht="15" hidden="false" customHeight="false" outlineLevel="0" collapsed="false">
      <c r="A9" s="0" t="s">
        <v>656</v>
      </c>
      <c r="B9" s="0" t="n">
        <v>10</v>
      </c>
      <c r="C9" s="0" t="s">
        <v>129</v>
      </c>
      <c r="D9" s="0" t="n">
        <v>577.6</v>
      </c>
      <c r="E9" s="0" t="n">
        <v>506.5</v>
      </c>
      <c r="F9" s="0" t="n">
        <v>681.1</v>
      </c>
      <c r="G9" s="0" t="n">
        <v>-1.032</v>
      </c>
      <c r="H9" s="0" t="n">
        <v>-1.051</v>
      </c>
      <c r="I9" s="0" t="n">
        <v>-1.015</v>
      </c>
      <c r="J9" s="0" t="s">
        <v>657</v>
      </c>
      <c r="K9" s="0" t="n">
        <v>0</v>
      </c>
      <c r="L9" s="0" t="n">
        <v>0.721</v>
      </c>
      <c r="M9" s="0" t="n">
        <v>105</v>
      </c>
      <c r="N9" s="0" t="n">
        <v>70</v>
      </c>
      <c r="O9" s="0" t="n">
        <v>152</v>
      </c>
    </row>
    <row r="10" customFormat="false" ht="15" hidden="false" customHeight="false" outlineLevel="0" collapsed="false">
      <c r="A10" s="0" t="s">
        <v>656</v>
      </c>
      <c r="B10" s="0" t="n">
        <v>10</v>
      </c>
      <c r="C10" s="0" t="s">
        <v>602</v>
      </c>
      <c r="D10" s="0" t="n">
        <v>580.6</v>
      </c>
      <c r="E10" s="0" t="n">
        <v>511.1</v>
      </c>
      <c r="F10" s="0" t="n">
        <v>683.1</v>
      </c>
      <c r="G10" s="0" t="n">
        <v>-1.02</v>
      </c>
      <c r="H10" s="0" t="n">
        <v>-1.042</v>
      </c>
      <c r="I10" s="0" t="n">
        <v>-0.997</v>
      </c>
      <c r="J10" s="0" t="s">
        <v>657</v>
      </c>
      <c r="K10" s="0" t="n">
        <v>0</v>
      </c>
      <c r="L10" s="0" t="n">
        <v>0.708</v>
      </c>
      <c r="M10" s="0" t="n">
        <v>105</v>
      </c>
      <c r="N10" s="0" t="n">
        <v>70</v>
      </c>
      <c r="O10" s="0" t="n">
        <v>152</v>
      </c>
    </row>
    <row r="11" customFormat="false" ht="15" hidden="false" customHeight="false" outlineLevel="0" collapsed="false">
      <c r="A11" s="0" t="s">
        <v>656</v>
      </c>
      <c r="B11" s="0" t="n">
        <v>10</v>
      </c>
      <c r="C11" s="0" t="s">
        <v>603</v>
      </c>
      <c r="D11" s="0" t="n">
        <v>570.3</v>
      </c>
      <c r="E11" s="0" t="n">
        <v>502.8</v>
      </c>
      <c r="F11" s="0" t="n">
        <v>670</v>
      </c>
      <c r="G11" s="0" t="n">
        <v>-1.002</v>
      </c>
      <c r="H11" s="0" t="n">
        <v>-1.028</v>
      </c>
      <c r="I11" s="0" t="n">
        <v>-0.974</v>
      </c>
      <c r="J11" s="0" t="s">
        <v>657</v>
      </c>
      <c r="K11" s="0" t="n">
        <v>0</v>
      </c>
      <c r="L11" s="0" t="n">
        <v>0.745</v>
      </c>
      <c r="M11" s="0" t="n">
        <v>105</v>
      </c>
      <c r="N11" s="0" t="n">
        <v>70</v>
      </c>
      <c r="O11" s="0" t="n">
        <v>152</v>
      </c>
    </row>
    <row r="12" customFormat="false" ht="15" hidden="false" customHeight="false" outlineLevel="0" collapsed="false">
      <c r="A12" s="0" t="s">
        <v>656</v>
      </c>
      <c r="B12" s="0" t="n">
        <v>10</v>
      </c>
      <c r="C12" s="0" t="s">
        <v>658</v>
      </c>
      <c r="D12" s="0" t="n">
        <v>221.4</v>
      </c>
      <c r="E12" s="0" t="n">
        <v>150.3</v>
      </c>
      <c r="F12" s="0" t="n">
        <v>324.9</v>
      </c>
      <c r="G12" s="0" t="n">
        <v>-1.088</v>
      </c>
      <c r="H12" s="0" t="n">
        <v>-1.137</v>
      </c>
      <c r="I12" s="0" t="n">
        <v>-1.04</v>
      </c>
      <c r="J12" s="0" t="s">
        <v>657</v>
      </c>
      <c r="K12" s="0" t="n">
        <v>0</v>
      </c>
      <c r="L12" s="0" t="n">
        <v>1</v>
      </c>
      <c r="M12" s="0" t="n">
        <v>105</v>
      </c>
      <c r="N12" s="0" t="n">
        <v>70</v>
      </c>
      <c r="O12" s="0" t="n">
        <v>152</v>
      </c>
    </row>
    <row r="13" customFormat="false" ht="15" hidden="false" customHeight="false" outlineLevel="0" collapsed="false">
      <c r="A13" s="0" t="s">
        <v>656</v>
      </c>
      <c r="B13" s="0" t="n">
        <v>10</v>
      </c>
      <c r="C13" s="0" t="s">
        <v>659</v>
      </c>
      <c r="D13" s="0" t="n">
        <v>214.5</v>
      </c>
      <c r="E13" s="0" t="n">
        <v>145</v>
      </c>
      <c r="F13" s="0" t="n">
        <v>317</v>
      </c>
      <c r="G13" s="0" t="n">
        <v>-1.055</v>
      </c>
      <c r="H13" s="0" t="n">
        <v>-1.118</v>
      </c>
      <c r="I13" s="0" t="n">
        <v>-0.991</v>
      </c>
      <c r="J13" s="0" t="s">
        <v>657</v>
      </c>
      <c r="K13" s="0" t="n">
        <v>0</v>
      </c>
      <c r="L13" s="0" t="n">
        <v>1</v>
      </c>
      <c r="M13" s="0" t="n">
        <v>105</v>
      </c>
      <c r="N13" s="0" t="n">
        <v>70</v>
      </c>
      <c r="O13" s="0" t="n">
        <v>152</v>
      </c>
    </row>
    <row r="14" customFormat="false" ht="15" hidden="false" customHeight="false" outlineLevel="0" collapsed="false">
      <c r="A14" s="0" t="s">
        <v>656</v>
      </c>
      <c r="B14" s="0" t="n">
        <v>10</v>
      </c>
      <c r="C14" s="0" t="s">
        <v>660</v>
      </c>
      <c r="D14" s="0" t="n">
        <v>204.2</v>
      </c>
      <c r="E14" s="0" t="n">
        <v>136.7</v>
      </c>
      <c r="F14" s="0" t="n">
        <v>303.9</v>
      </c>
      <c r="G14" s="0" t="n">
        <v>-1.005</v>
      </c>
      <c r="H14" s="0" t="n">
        <v>-1.081</v>
      </c>
      <c r="I14" s="0" t="n">
        <v>-0.929</v>
      </c>
      <c r="J14" s="0" t="s">
        <v>657</v>
      </c>
      <c r="K14" s="0" t="n">
        <v>0</v>
      </c>
      <c r="L14" s="0" t="n">
        <v>1</v>
      </c>
      <c r="M14" s="0" t="n">
        <v>105</v>
      </c>
      <c r="N14" s="0" t="n">
        <v>70</v>
      </c>
      <c r="O14" s="0" t="n">
        <v>152</v>
      </c>
    </row>
    <row r="15" customFormat="false" ht="15" hidden="false" customHeight="false" outlineLevel="0" collapsed="false">
      <c r="A15" s="0" t="s">
        <v>656</v>
      </c>
      <c r="B15" s="0" t="n">
        <v>20</v>
      </c>
      <c r="C15" s="0" t="s">
        <v>129</v>
      </c>
      <c r="D15" s="0" t="n">
        <v>536.5</v>
      </c>
      <c r="E15" s="0" t="n">
        <v>469.5</v>
      </c>
      <c r="F15" s="0" t="n">
        <v>636.3</v>
      </c>
      <c r="G15" s="0" t="n">
        <v>-0.962</v>
      </c>
      <c r="H15" s="0" t="n">
        <v>-1.009</v>
      </c>
      <c r="I15" s="0" t="n">
        <v>-0.898</v>
      </c>
      <c r="J15" s="0" t="s">
        <v>657</v>
      </c>
      <c r="K15" s="0" t="n">
        <v>0</v>
      </c>
      <c r="L15" s="0" t="n">
        <v>1</v>
      </c>
      <c r="M15" s="0" t="n">
        <v>613</v>
      </c>
      <c r="N15" s="0" t="n">
        <v>408</v>
      </c>
      <c r="O15" s="0" t="n">
        <v>900</v>
      </c>
    </row>
    <row r="16" customFormat="false" ht="15" hidden="false" customHeight="false" outlineLevel="0" collapsed="false">
      <c r="A16" s="0" t="s">
        <v>656</v>
      </c>
      <c r="B16" s="0" t="n">
        <v>20</v>
      </c>
      <c r="C16" s="0" t="s">
        <v>602</v>
      </c>
      <c r="D16" s="0" t="n">
        <v>499.6</v>
      </c>
      <c r="E16" s="0" t="n">
        <v>428.7</v>
      </c>
      <c r="F16" s="0" t="n">
        <v>588.6</v>
      </c>
      <c r="G16" s="0" t="n">
        <v>-0.883</v>
      </c>
      <c r="H16" s="0" t="n">
        <v>-0.956</v>
      </c>
      <c r="I16" s="0" t="n">
        <v>-0.768</v>
      </c>
      <c r="J16" s="0" t="s">
        <v>657</v>
      </c>
      <c r="K16" s="0" t="n">
        <v>0</v>
      </c>
      <c r="L16" s="0" t="n">
        <v>1</v>
      </c>
      <c r="M16" s="0" t="n">
        <v>613</v>
      </c>
      <c r="N16" s="0" t="n">
        <v>408</v>
      </c>
      <c r="O16" s="0" t="n">
        <v>900</v>
      </c>
    </row>
    <row r="17" customFormat="false" ht="15" hidden="false" customHeight="false" outlineLevel="0" collapsed="false">
      <c r="A17" s="0" t="s">
        <v>656</v>
      </c>
      <c r="B17" s="0" t="n">
        <v>20</v>
      </c>
      <c r="C17" s="0" t="s">
        <v>603</v>
      </c>
      <c r="D17" s="0" t="n">
        <v>460.4</v>
      </c>
      <c r="E17" s="0" t="n">
        <v>371.4</v>
      </c>
      <c r="F17" s="0" t="n">
        <v>551.9</v>
      </c>
      <c r="G17" s="0" t="n">
        <v>-0.815</v>
      </c>
      <c r="H17" s="0" t="n">
        <v>-0.91</v>
      </c>
      <c r="I17" s="0" t="n">
        <v>-0.64</v>
      </c>
      <c r="J17" s="0" t="s">
        <v>657</v>
      </c>
      <c r="K17" s="0" t="n">
        <v>0</v>
      </c>
      <c r="L17" s="0" t="n">
        <v>1</v>
      </c>
      <c r="M17" s="0" t="n">
        <v>613</v>
      </c>
      <c r="N17" s="0" t="n">
        <v>408</v>
      </c>
      <c r="O17" s="0" t="n">
        <v>900</v>
      </c>
    </row>
    <row r="18" customFormat="false" ht="15" hidden="false" customHeight="false" outlineLevel="0" collapsed="false">
      <c r="A18" s="0" t="s">
        <v>656</v>
      </c>
      <c r="B18" s="0" t="n">
        <v>20</v>
      </c>
      <c r="C18" s="0" t="s">
        <v>658</v>
      </c>
      <c r="D18" s="0" t="n">
        <v>180.4</v>
      </c>
      <c r="E18" s="0" t="n">
        <v>113.3</v>
      </c>
      <c r="F18" s="0" t="n">
        <v>280.1</v>
      </c>
      <c r="G18" s="0" t="n">
        <v>-0.894</v>
      </c>
      <c r="H18" s="0" t="n">
        <v>-1.025</v>
      </c>
      <c r="I18" s="0" t="n">
        <v>-0.715</v>
      </c>
      <c r="J18" s="0" t="s">
        <v>657</v>
      </c>
      <c r="K18" s="0" t="n">
        <v>0</v>
      </c>
      <c r="L18" s="0" t="n">
        <v>1</v>
      </c>
      <c r="M18" s="0" t="n">
        <v>613</v>
      </c>
      <c r="N18" s="0" t="n">
        <v>408</v>
      </c>
      <c r="O18" s="0" t="n">
        <v>900</v>
      </c>
    </row>
    <row r="19" customFormat="false" ht="15" hidden="false" customHeight="false" outlineLevel="0" collapsed="false">
      <c r="A19" s="0" t="s">
        <v>656</v>
      </c>
      <c r="B19" s="0" t="n">
        <v>20</v>
      </c>
      <c r="C19" s="0" t="s">
        <v>659</v>
      </c>
      <c r="D19" s="0" t="n">
        <v>133.4</v>
      </c>
      <c r="E19" s="0" t="n">
        <v>62.6</v>
      </c>
      <c r="F19" s="0" t="n">
        <v>222.5</v>
      </c>
      <c r="G19" s="0" t="n">
        <v>-0.67</v>
      </c>
      <c r="H19" s="0" t="n">
        <v>-0.874</v>
      </c>
      <c r="I19" s="0" t="n">
        <v>-0.359</v>
      </c>
      <c r="J19" s="0" t="s">
        <v>657</v>
      </c>
      <c r="K19" s="0" t="n">
        <v>0</v>
      </c>
      <c r="L19" s="0" t="n">
        <v>1</v>
      </c>
      <c r="M19" s="0" t="n">
        <v>613</v>
      </c>
      <c r="N19" s="0" t="n">
        <v>408</v>
      </c>
      <c r="O19" s="0" t="n">
        <v>900</v>
      </c>
    </row>
    <row r="20" customFormat="false" ht="15" hidden="false" customHeight="false" outlineLevel="0" collapsed="false">
      <c r="A20" s="0" t="s">
        <v>656</v>
      </c>
      <c r="B20" s="0" t="n">
        <v>20</v>
      </c>
      <c r="C20" s="0" t="s">
        <v>660</v>
      </c>
      <c r="D20" s="0" t="n">
        <v>94.3</v>
      </c>
      <c r="E20" s="0" t="n">
        <v>5.3</v>
      </c>
      <c r="F20" s="0" t="n">
        <v>185.8</v>
      </c>
      <c r="G20" s="0" t="n">
        <v>-0.472</v>
      </c>
      <c r="H20" s="0" t="n">
        <v>-0.744</v>
      </c>
      <c r="I20" s="0" t="n">
        <v>-0.029</v>
      </c>
      <c r="J20" s="0" t="s">
        <v>657</v>
      </c>
      <c r="K20" s="0" t="n">
        <v>0.02</v>
      </c>
      <c r="L20" s="0" t="n">
        <v>1</v>
      </c>
      <c r="M20" s="0" t="n">
        <v>613</v>
      </c>
      <c r="N20" s="0" t="n">
        <v>408</v>
      </c>
      <c r="O20" s="0" t="n">
        <v>900</v>
      </c>
    </row>
    <row r="21" customFormat="false" ht="15" hidden="false" customHeight="false" outlineLevel="0" collapsed="false">
      <c r="A21" s="0" t="s">
        <v>656</v>
      </c>
      <c r="B21" s="0" t="n">
        <v>50</v>
      </c>
      <c r="C21" s="0" t="s">
        <v>129</v>
      </c>
      <c r="D21" s="0" t="n">
        <v>462.7</v>
      </c>
      <c r="E21" s="0" t="n">
        <v>386.2</v>
      </c>
      <c r="F21" s="0" t="n">
        <v>559</v>
      </c>
      <c r="G21" s="0" t="n">
        <v>-0.834</v>
      </c>
      <c r="H21" s="0" t="n">
        <v>-0.926</v>
      </c>
      <c r="I21" s="0" t="n">
        <v>-0.698</v>
      </c>
      <c r="J21" s="0" t="s">
        <v>657</v>
      </c>
      <c r="K21" s="0" t="n">
        <v>0</v>
      </c>
      <c r="L21" s="0" t="n">
        <v>1</v>
      </c>
      <c r="M21" s="0" t="n">
        <v>2114</v>
      </c>
      <c r="N21" s="0" t="n">
        <v>1395</v>
      </c>
      <c r="O21" s="0" t="n">
        <v>3143</v>
      </c>
    </row>
    <row r="22" customFormat="false" ht="15" hidden="false" customHeight="false" outlineLevel="0" collapsed="false">
      <c r="A22" s="0" t="s">
        <v>656</v>
      </c>
      <c r="B22" s="0" t="n">
        <v>50</v>
      </c>
      <c r="C22" s="0" t="s">
        <v>602</v>
      </c>
      <c r="D22" s="0" t="n">
        <v>344</v>
      </c>
      <c r="E22" s="0" t="n">
        <v>211.8</v>
      </c>
      <c r="F22" s="0" t="n">
        <v>444.4</v>
      </c>
      <c r="G22" s="0" t="n">
        <v>-0.61</v>
      </c>
      <c r="H22" s="0" t="n">
        <v>-0.774</v>
      </c>
      <c r="I22" s="0" t="n">
        <v>-0.371</v>
      </c>
      <c r="J22" s="0" t="s">
        <v>657</v>
      </c>
      <c r="K22" s="0" t="n">
        <v>0</v>
      </c>
      <c r="L22" s="0" t="n">
        <v>1</v>
      </c>
      <c r="M22" s="0" t="n">
        <v>2114</v>
      </c>
      <c r="N22" s="0" t="n">
        <v>1395</v>
      </c>
      <c r="O22" s="0" t="n">
        <v>3143</v>
      </c>
    </row>
    <row r="23" customFormat="false" ht="15" hidden="false" customHeight="false" outlineLevel="0" collapsed="false">
      <c r="A23" s="0" t="s">
        <v>656</v>
      </c>
      <c r="B23" s="0" t="n">
        <v>50</v>
      </c>
      <c r="C23" s="0" t="s">
        <v>603</v>
      </c>
      <c r="D23" s="0" t="n">
        <v>231.6</v>
      </c>
      <c r="E23" s="0" t="n">
        <v>30.4</v>
      </c>
      <c r="F23" s="0" t="n">
        <v>362.1</v>
      </c>
      <c r="G23" s="0" t="n">
        <v>-0.41</v>
      </c>
      <c r="H23" s="0" t="n">
        <v>-0.638</v>
      </c>
      <c r="I23" s="0" t="n">
        <v>-0.051</v>
      </c>
      <c r="J23" s="0" t="s">
        <v>657</v>
      </c>
      <c r="K23" s="0" t="n">
        <v>0.015</v>
      </c>
      <c r="L23" s="0" t="n">
        <v>1</v>
      </c>
      <c r="M23" s="0" t="n">
        <v>2114</v>
      </c>
      <c r="N23" s="0" t="n">
        <v>1395</v>
      </c>
      <c r="O23" s="0" t="n">
        <v>3143</v>
      </c>
    </row>
    <row r="24" customFormat="false" ht="15" hidden="false" customHeight="false" outlineLevel="0" collapsed="false">
      <c r="A24" s="0" t="s">
        <v>656</v>
      </c>
      <c r="B24" s="0" t="n">
        <v>50</v>
      </c>
      <c r="C24" s="0" t="s">
        <v>658</v>
      </c>
      <c r="D24" s="0" t="n">
        <v>106.5</v>
      </c>
      <c r="E24" s="0" t="n">
        <v>30</v>
      </c>
      <c r="F24" s="0" t="n">
        <v>202.8</v>
      </c>
      <c r="G24" s="0" t="n">
        <v>-0.541</v>
      </c>
      <c r="H24" s="0" t="n">
        <v>-0.788</v>
      </c>
      <c r="I24" s="0" t="n">
        <v>-0.173</v>
      </c>
      <c r="J24" s="0" t="s">
        <v>657</v>
      </c>
      <c r="K24" s="0" t="n">
        <v>0.004</v>
      </c>
      <c r="L24" s="0" t="n">
        <v>1</v>
      </c>
      <c r="M24" s="0" t="n">
        <v>2114</v>
      </c>
      <c r="N24" s="0" t="n">
        <v>1395</v>
      </c>
      <c r="O24" s="0" t="n">
        <v>3143</v>
      </c>
    </row>
    <row r="25" customFormat="false" ht="15" hidden="false" customHeight="false" outlineLevel="0" collapsed="false">
      <c r="A25" s="0" t="s">
        <v>656</v>
      </c>
      <c r="B25" s="0" t="n">
        <v>50</v>
      </c>
      <c r="C25" s="0" t="s">
        <v>659</v>
      </c>
      <c r="D25" s="0" t="n">
        <v>-22.1</v>
      </c>
      <c r="E25" s="0" t="n">
        <v>-154.3</v>
      </c>
      <c r="F25" s="0" t="n">
        <v>78.3</v>
      </c>
      <c r="G25" s="0" t="n">
        <v>0.105</v>
      </c>
      <c r="H25" s="0" t="n">
        <v>-0.344</v>
      </c>
      <c r="I25" s="0" t="n">
        <v>0.771</v>
      </c>
      <c r="J25" s="0" t="n">
        <v>2064</v>
      </c>
      <c r="K25" s="0" t="n">
        <v>0.659</v>
      </c>
      <c r="L25" s="0" t="n">
        <v>1</v>
      </c>
      <c r="M25" s="0" t="n">
        <v>2114</v>
      </c>
      <c r="N25" s="0" t="n">
        <v>1395</v>
      </c>
      <c r="O25" s="0" t="n">
        <v>3143</v>
      </c>
    </row>
    <row r="26" customFormat="false" ht="15" hidden="false" customHeight="false" outlineLevel="0" collapsed="false">
      <c r="A26" s="0" t="s">
        <v>656</v>
      </c>
      <c r="B26" s="0" t="n">
        <v>50</v>
      </c>
      <c r="C26" s="0" t="s">
        <v>660</v>
      </c>
      <c r="D26" s="0" t="n">
        <v>-134.5</v>
      </c>
      <c r="E26" s="0" t="n">
        <v>-335.7</v>
      </c>
      <c r="F26" s="0" t="n">
        <v>-4</v>
      </c>
      <c r="G26" s="0" t="n">
        <v>0.683</v>
      </c>
      <c r="H26" s="0" t="n">
        <v>0.021</v>
      </c>
      <c r="I26" s="0" t="n">
        <v>1.617</v>
      </c>
      <c r="J26" s="0" t="n">
        <v>2053</v>
      </c>
      <c r="K26" s="0" t="n">
        <v>0.981</v>
      </c>
      <c r="L26" s="0" t="n">
        <v>1</v>
      </c>
      <c r="M26" s="0" t="n">
        <v>2114</v>
      </c>
      <c r="N26" s="0" t="n">
        <v>1395</v>
      </c>
      <c r="O26" s="0" t="n">
        <v>3143</v>
      </c>
    </row>
    <row r="27" customFormat="false" ht="15" hidden="false" customHeight="false" outlineLevel="0" collapsed="false">
      <c r="A27" s="0" t="s">
        <v>661</v>
      </c>
      <c r="B27" s="0" t="n">
        <v>5</v>
      </c>
      <c r="C27" s="0" t="s">
        <v>129</v>
      </c>
      <c r="D27" s="0" t="n">
        <v>212.5</v>
      </c>
      <c r="E27" s="0" t="n">
        <v>188.2</v>
      </c>
      <c r="F27" s="0" t="n">
        <v>265.5</v>
      </c>
      <c r="G27" s="0" t="n">
        <v>-1.017</v>
      </c>
      <c r="H27" s="0" t="n">
        <v>-1.035</v>
      </c>
      <c r="I27" s="0" t="n">
        <v>-1.005</v>
      </c>
      <c r="J27" s="0" t="s">
        <v>657</v>
      </c>
      <c r="K27" s="0" t="n">
        <v>0</v>
      </c>
      <c r="L27" s="0" t="n">
        <v>0</v>
      </c>
      <c r="M27" s="0" t="n">
        <v>3</v>
      </c>
      <c r="N27" s="0" t="n">
        <v>1</v>
      </c>
      <c r="O27" s="0" t="n">
        <v>8</v>
      </c>
    </row>
    <row r="28" customFormat="false" ht="15" hidden="false" customHeight="false" outlineLevel="0" collapsed="false">
      <c r="A28" s="0" t="s">
        <v>661</v>
      </c>
      <c r="B28" s="0" t="n">
        <v>5</v>
      </c>
      <c r="C28" s="0" t="s">
        <v>602</v>
      </c>
      <c r="D28" s="0" t="n">
        <v>218.7</v>
      </c>
      <c r="E28" s="0" t="n">
        <v>194</v>
      </c>
      <c r="F28" s="0" t="n">
        <v>272.5</v>
      </c>
      <c r="G28" s="0" t="n">
        <v>-1.02</v>
      </c>
      <c r="H28" s="0" t="n">
        <v>-1.041</v>
      </c>
      <c r="I28" s="0" t="n">
        <v>-1.006</v>
      </c>
      <c r="J28" s="0" t="s">
        <v>657</v>
      </c>
      <c r="K28" s="0" t="n">
        <v>0</v>
      </c>
      <c r="L28" s="0" t="n">
        <v>0</v>
      </c>
      <c r="M28" s="0" t="n">
        <v>3</v>
      </c>
      <c r="N28" s="0" t="n">
        <v>1</v>
      </c>
      <c r="O28" s="0" t="n">
        <v>8</v>
      </c>
    </row>
    <row r="29" customFormat="false" ht="15" hidden="false" customHeight="false" outlineLevel="0" collapsed="false">
      <c r="A29" s="0" t="s">
        <v>661</v>
      </c>
      <c r="B29" s="0" t="n">
        <v>5</v>
      </c>
      <c r="C29" s="0" t="s">
        <v>603</v>
      </c>
      <c r="D29" s="0" t="n">
        <v>218.3</v>
      </c>
      <c r="E29" s="0" t="n">
        <v>193.8</v>
      </c>
      <c r="F29" s="0" t="n">
        <v>271.5</v>
      </c>
      <c r="G29" s="0" t="n">
        <v>-1.018</v>
      </c>
      <c r="H29" s="0" t="n">
        <v>-1.037</v>
      </c>
      <c r="I29" s="0" t="n">
        <v>-1.006</v>
      </c>
      <c r="J29" s="0" t="s">
        <v>657</v>
      </c>
      <c r="K29" s="0" t="n">
        <v>0</v>
      </c>
      <c r="L29" s="0" t="n">
        <v>0</v>
      </c>
      <c r="M29" s="0" t="n">
        <v>3</v>
      </c>
      <c r="N29" s="0" t="n">
        <v>1</v>
      </c>
      <c r="O29" s="0" t="n">
        <v>8</v>
      </c>
    </row>
    <row r="30" customFormat="false" ht="15" hidden="false" customHeight="false" outlineLevel="0" collapsed="false">
      <c r="A30" s="0" t="s">
        <v>661</v>
      </c>
      <c r="B30" s="0" t="n">
        <v>5</v>
      </c>
      <c r="C30" s="0" t="s">
        <v>658</v>
      </c>
      <c r="D30" s="0" t="n">
        <v>34.4</v>
      </c>
      <c r="E30" s="0" t="n">
        <v>10.1</v>
      </c>
      <c r="F30" s="0" t="n">
        <v>87.4</v>
      </c>
      <c r="G30" s="0" t="n">
        <v>-1.116</v>
      </c>
      <c r="H30" s="0" t="n">
        <v>-1.153</v>
      </c>
      <c r="I30" s="0" t="n">
        <v>-1.085</v>
      </c>
      <c r="J30" s="0" t="s">
        <v>657</v>
      </c>
      <c r="K30" s="0" t="n">
        <v>0</v>
      </c>
      <c r="L30" s="0" t="n">
        <v>0.995</v>
      </c>
      <c r="M30" s="0" t="n">
        <v>3</v>
      </c>
      <c r="N30" s="0" t="n">
        <v>1</v>
      </c>
      <c r="O30" s="0" t="n">
        <v>8</v>
      </c>
    </row>
    <row r="31" customFormat="false" ht="15" hidden="false" customHeight="false" outlineLevel="0" collapsed="false">
      <c r="A31" s="0" t="s">
        <v>661</v>
      </c>
      <c r="B31" s="0" t="n">
        <v>5</v>
      </c>
      <c r="C31" s="0" t="s">
        <v>659</v>
      </c>
      <c r="D31" s="0" t="n">
        <v>35.1</v>
      </c>
      <c r="E31" s="0" t="n">
        <v>10.3</v>
      </c>
      <c r="F31" s="0" t="n">
        <v>88.8</v>
      </c>
      <c r="G31" s="0" t="n">
        <v>-1.139</v>
      </c>
      <c r="H31" s="0" t="n">
        <v>-1.186</v>
      </c>
      <c r="I31" s="0" t="n">
        <v>-1.103</v>
      </c>
      <c r="J31" s="0" t="s">
        <v>657</v>
      </c>
      <c r="K31" s="0" t="n">
        <v>0</v>
      </c>
      <c r="L31" s="0" t="n">
        <v>0.99</v>
      </c>
      <c r="M31" s="0" t="n">
        <v>3</v>
      </c>
      <c r="N31" s="0" t="n">
        <v>1</v>
      </c>
      <c r="O31" s="0" t="n">
        <v>8</v>
      </c>
    </row>
    <row r="32" customFormat="false" ht="15" hidden="false" customHeight="false" outlineLevel="0" collapsed="false">
      <c r="A32" s="0" t="s">
        <v>661</v>
      </c>
      <c r="B32" s="0" t="n">
        <v>5</v>
      </c>
      <c r="C32" s="0" t="s">
        <v>660</v>
      </c>
      <c r="D32" s="0" t="n">
        <v>34.7</v>
      </c>
      <c r="E32" s="0" t="n">
        <v>10.2</v>
      </c>
      <c r="F32" s="0" t="n">
        <v>87.8</v>
      </c>
      <c r="G32" s="0" t="n">
        <v>-1.125</v>
      </c>
      <c r="H32" s="0" t="n">
        <v>-1.168</v>
      </c>
      <c r="I32" s="0" t="n">
        <v>-1.09</v>
      </c>
      <c r="J32" s="0" t="s">
        <v>657</v>
      </c>
      <c r="K32" s="0" t="n">
        <v>0</v>
      </c>
      <c r="L32" s="0" t="n">
        <v>0.992</v>
      </c>
      <c r="M32" s="0" t="n">
        <v>3</v>
      </c>
      <c r="N32" s="0" t="n">
        <v>1</v>
      </c>
      <c r="O32" s="0" t="n">
        <v>8</v>
      </c>
    </row>
    <row r="33" customFormat="false" ht="15" hidden="false" customHeight="false" outlineLevel="0" collapsed="false">
      <c r="A33" s="0" t="s">
        <v>661</v>
      </c>
      <c r="B33" s="0" t="n">
        <v>10</v>
      </c>
      <c r="C33" s="0" t="s">
        <v>129</v>
      </c>
      <c r="D33" s="0" t="n">
        <v>420</v>
      </c>
      <c r="E33" s="0" t="n">
        <v>375.1</v>
      </c>
      <c r="F33" s="0" t="n">
        <v>518</v>
      </c>
      <c r="G33" s="0" t="n">
        <v>-1.012</v>
      </c>
      <c r="H33" s="0" t="n">
        <v>-1.029</v>
      </c>
      <c r="I33" s="0" t="n">
        <v>-1.003</v>
      </c>
      <c r="J33" s="0" t="s">
        <v>657</v>
      </c>
      <c r="K33" s="0" t="n">
        <v>0</v>
      </c>
      <c r="L33" s="0" t="n">
        <v>0.01</v>
      </c>
      <c r="M33" s="0" t="n">
        <v>30</v>
      </c>
      <c r="N33" s="0" t="n">
        <v>8</v>
      </c>
      <c r="O33" s="0" t="n">
        <v>75</v>
      </c>
    </row>
    <row r="34" customFormat="false" ht="15" hidden="false" customHeight="false" outlineLevel="0" collapsed="false">
      <c r="A34" s="0" t="s">
        <v>661</v>
      </c>
      <c r="B34" s="0" t="n">
        <v>10</v>
      </c>
      <c r="C34" s="0" t="s">
        <v>602</v>
      </c>
      <c r="D34" s="0" t="n">
        <v>427.9</v>
      </c>
      <c r="E34" s="0" t="n">
        <v>384.3</v>
      </c>
      <c r="F34" s="0" t="n">
        <v>523.4</v>
      </c>
      <c r="G34" s="0" t="n">
        <v>-1.007</v>
      </c>
      <c r="H34" s="0" t="n">
        <v>-1.022</v>
      </c>
      <c r="I34" s="0" t="n">
        <v>-0.999</v>
      </c>
      <c r="J34" s="0" t="s">
        <v>657</v>
      </c>
      <c r="K34" s="0" t="n">
        <v>0</v>
      </c>
      <c r="L34" s="0" t="n">
        <v>0.009</v>
      </c>
      <c r="M34" s="0" t="n">
        <v>30</v>
      </c>
      <c r="N34" s="0" t="n">
        <v>8</v>
      </c>
      <c r="O34" s="0" t="n">
        <v>75</v>
      </c>
    </row>
    <row r="35" customFormat="false" ht="15" hidden="false" customHeight="false" outlineLevel="0" collapsed="false">
      <c r="A35" s="0" t="s">
        <v>661</v>
      </c>
      <c r="B35" s="0" t="n">
        <v>10</v>
      </c>
      <c r="C35" s="0" t="s">
        <v>603</v>
      </c>
      <c r="D35" s="0" t="n">
        <v>424.8</v>
      </c>
      <c r="E35" s="0" t="n">
        <v>383.3</v>
      </c>
      <c r="F35" s="0" t="n">
        <v>515.2</v>
      </c>
      <c r="G35" s="0" t="n">
        <v>-1.001</v>
      </c>
      <c r="H35" s="0" t="n">
        <v>-1.013</v>
      </c>
      <c r="I35" s="0" t="n">
        <v>-0.989</v>
      </c>
      <c r="J35" s="0" t="s">
        <v>657</v>
      </c>
      <c r="K35" s="0" t="n">
        <v>0</v>
      </c>
      <c r="L35" s="0" t="n">
        <v>0.011</v>
      </c>
      <c r="M35" s="0" t="n">
        <v>30</v>
      </c>
      <c r="N35" s="0" t="n">
        <v>8</v>
      </c>
      <c r="O35" s="0" t="n">
        <v>75</v>
      </c>
    </row>
    <row r="36" customFormat="false" ht="15" hidden="false" customHeight="false" outlineLevel="0" collapsed="false">
      <c r="A36" s="0" t="s">
        <v>661</v>
      </c>
      <c r="B36" s="0" t="n">
        <v>10</v>
      </c>
      <c r="C36" s="0" t="s">
        <v>658</v>
      </c>
      <c r="D36" s="0" t="n">
        <v>63.8</v>
      </c>
      <c r="E36" s="0" t="n">
        <v>18.9</v>
      </c>
      <c r="F36" s="0" t="n">
        <v>161.8</v>
      </c>
      <c r="G36" s="0" t="n">
        <v>-1.089</v>
      </c>
      <c r="H36" s="0" t="n">
        <v>-1.138</v>
      </c>
      <c r="I36" s="0" t="n">
        <v>-1.041</v>
      </c>
      <c r="J36" s="0" t="s">
        <v>657</v>
      </c>
      <c r="K36" s="0" t="n">
        <v>0</v>
      </c>
      <c r="L36" s="0" t="n">
        <v>1</v>
      </c>
      <c r="M36" s="0" t="n">
        <v>30</v>
      </c>
      <c r="N36" s="0" t="n">
        <v>8</v>
      </c>
      <c r="O36" s="0" t="n">
        <v>75</v>
      </c>
    </row>
    <row r="37" customFormat="false" ht="15" hidden="false" customHeight="false" outlineLevel="0" collapsed="false">
      <c r="A37" s="0" t="s">
        <v>661</v>
      </c>
      <c r="B37" s="0" t="n">
        <v>10</v>
      </c>
      <c r="C37" s="0" t="s">
        <v>659</v>
      </c>
      <c r="D37" s="0" t="n">
        <v>61.8</v>
      </c>
      <c r="E37" s="0" t="n">
        <v>18.2</v>
      </c>
      <c r="F37" s="0" t="n">
        <v>157.3</v>
      </c>
      <c r="G37" s="0" t="n">
        <v>-1.056</v>
      </c>
      <c r="H37" s="0" t="n">
        <v>-1.12</v>
      </c>
      <c r="I37" s="0" t="n">
        <v>-0.993</v>
      </c>
      <c r="J37" s="0" t="s">
        <v>657</v>
      </c>
      <c r="K37" s="0" t="n">
        <v>0</v>
      </c>
      <c r="L37" s="0" t="n">
        <v>1</v>
      </c>
      <c r="M37" s="0" t="n">
        <v>30</v>
      </c>
      <c r="N37" s="0" t="n">
        <v>8</v>
      </c>
      <c r="O37" s="0" t="n">
        <v>75</v>
      </c>
    </row>
    <row r="38" customFormat="false" ht="15" hidden="false" customHeight="false" outlineLevel="0" collapsed="false">
      <c r="A38" s="0" t="s">
        <v>661</v>
      </c>
      <c r="B38" s="0" t="n">
        <v>10</v>
      </c>
      <c r="C38" s="0" t="s">
        <v>660</v>
      </c>
      <c r="D38" s="0" t="n">
        <v>58.7</v>
      </c>
      <c r="E38" s="0" t="n">
        <v>17.2</v>
      </c>
      <c r="F38" s="0" t="n">
        <v>149.1</v>
      </c>
      <c r="G38" s="0" t="n">
        <v>-1.006</v>
      </c>
      <c r="H38" s="0" t="n">
        <v>-1.083</v>
      </c>
      <c r="I38" s="0" t="n">
        <v>-0.931</v>
      </c>
      <c r="J38" s="0" t="s">
        <v>657</v>
      </c>
      <c r="K38" s="0" t="n">
        <v>0</v>
      </c>
      <c r="L38" s="0" t="n">
        <v>1</v>
      </c>
      <c r="M38" s="0" t="n">
        <v>30</v>
      </c>
      <c r="N38" s="0" t="n">
        <v>8</v>
      </c>
      <c r="O38" s="0" t="n">
        <v>75</v>
      </c>
    </row>
    <row r="39" customFormat="false" ht="15" hidden="false" customHeight="false" outlineLevel="0" collapsed="false">
      <c r="A39" s="0" t="s">
        <v>661</v>
      </c>
      <c r="B39" s="0" t="n">
        <v>20</v>
      </c>
      <c r="C39" s="0" t="s">
        <v>129</v>
      </c>
      <c r="D39" s="0" t="n">
        <v>407.6</v>
      </c>
      <c r="E39" s="0" t="n">
        <v>371.3</v>
      </c>
      <c r="F39" s="0" t="n">
        <v>491</v>
      </c>
      <c r="G39" s="0" t="n">
        <v>-0.986</v>
      </c>
      <c r="H39" s="0" t="n">
        <v>-1.003</v>
      </c>
      <c r="I39" s="0" t="n">
        <v>-0.949</v>
      </c>
      <c r="J39" s="0" t="s">
        <v>657</v>
      </c>
      <c r="K39" s="0" t="n">
        <v>0</v>
      </c>
      <c r="L39" s="0" t="n">
        <v>0.696</v>
      </c>
      <c r="M39" s="0" t="n">
        <v>179</v>
      </c>
      <c r="N39" s="0" t="n">
        <v>51</v>
      </c>
      <c r="O39" s="0" t="n">
        <v>437</v>
      </c>
    </row>
    <row r="40" customFormat="false" ht="15" hidden="false" customHeight="false" outlineLevel="0" collapsed="false">
      <c r="A40" s="0" t="s">
        <v>661</v>
      </c>
      <c r="B40" s="0" t="n">
        <v>20</v>
      </c>
      <c r="C40" s="0" t="s">
        <v>602</v>
      </c>
      <c r="D40" s="0" t="n">
        <v>403.6</v>
      </c>
      <c r="E40" s="0" t="n">
        <v>375.3</v>
      </c>
      <c r="F40" s="0" t="n">
        <v>471</v>
      </c>
      <c r="G40" s="0" t="n">
        <v>-0.956</v>
      </c>
      <c r="H40" s="0" t="n">
        <v>-0.99</v>
      </c>
      <c r="I40" s="0" t="n">
        <v>-0.885</v>
      </c>
      <c r="J40" s="0" t="s">
        <v>657</v>
      </c>
      <c r="K40" s="0" t="n">
        <v>0</v>
      </c>
      <c r="L40" s="0" t="n">
        <v>0.696</v>
      </c>
      <c r="M40" s="0" t="n">
        <v>179</v>
      </c>
      <c r="N40" s="0" t="n">
        <v>51</v>
      </c>
      <c r="O40" s="0" t="n">
        <v>437</v>
      </c>
    </row>
    <row r="41" customFormat="false" ht="15" hidden="false" customHeight="false" outlineLevel="0" collapsed="false">
      <c r="A41" s="0" t="s">
        <v>661</v>
      </c>
      <c r="B41" s="0" t="n">
        <v>20</v>
      </c>
      <c r="C41" s="0" t="s">
        <v>603</v>
      </c>
      <c r="D41" s="0" t="n">
        <v>391.7</v>
      </c>
      <c r="E41" s="0" t="n">
        <v>367.2</v>
      </c>
      <c r="F41" s="0" t="n">
        <v>445.9</v>
      </c>
      <c r="G41" s="0" t="n">
        <v>-0.929</v>
      </c>
      <c r="H41" s="0" t="n">
        <v>-0.981</v>
      </c>
      <c r="I41" s="0" t="n">
        <v>-0.825</v>
      </c>
      <c r="J41" s="0" t="s">
        <v>657</v>
      </c>
      <c r="K41" s="0" t="n">
        <v>0</v>
      </c>
      <c r="L41" s="0" t="n">
        <v>0.708</v>
      </c>
      <c r="M41" s="0" t="n">
        <v>179</v>
      </c>
      <c r="N41" s="0" t="n">
        <v>51</v>
      </c>
      <c r="O41" s="0" t="n">
        <v>437</v>
      </c>
    </row>
    <row r="42" customFormat="false" ht="15" hidden="false" customHeight="false" outlineLevel="0" collapsed="false">
      <c r="A42" s="0" t="s">
        <v>661</v>
      </c>
      <c r="B42" s="0" t="n">
        <v>20</v>
      </c>
      <c r="C42" s="0" t="s">
        <v>658</v>
      </c>
      <c r="D42" s="0" t="n">
        <v>51.4</v>
      </c>
      <c r="E42" s="0" t="n">
        <v>15.1</v>
      </c>
      <c r="F42" s="0" t="n">
        <v>134.8</v>
      </c>
      <c r="G42" s="0" t="n">
        <v>-0.894</v>
      </c>
      <c r="H42" s="0" t="n">
        <v>-1.025</v>
      </c>
      <c r="I42" s="0" t="n">
        <v>-0.715</v>
      </c>
      <c r="J42" s="0" t="s">
        <v>657</v>
      </c>
      <c r="K42" s="0" t="n">
        <v>0</v>
      </c>
      <c r="L42" s="0" t="n">
        <v>1</v>
      </c>
      <c r="M42" s="0" t="n">
        <v>179</v>
      </c>
      <c r="N42" s="0" t="n">
        <v>51</v>
      </c>
      <c r="O42" s="0" t="n">
        <v>437</v>
      </c>
    </row>
    <row r="43" customFormat="false" ht="15" hidden="false" customHeight="false" outlineLevel="0" collapsed="false">
      <c r="A43" s="0" t="s">
        <v>661</v>
      </c>
      <c r="B43" s="0" t="n">
        <v>20</v>
      </c>
      <c r="C43" s="0" t="s">
        <v>659</v>
      </c>
      <c r="D43" s="0" t="n">
        <v>37.5</v>
      </c>
      <c r="E43" s="0" t="n">
        <v>9.2</v>
      </c>
      <c r="F43" s="0" t="n">
        <v>104.9</v>
      </c>
      <c r="G43" s="0" t="n">
        <v>-0.671</v>
      </c>
      <c r="H43" s="0" t="n">
        <v>-0.875</v>
      </c>
      <c r="I43" s="0" t="n">
        <v>-0.36</v>
      </c>
      <c r="J43" s="0" t="s">
        <v>657</v>
      </c>
      <c r="K43" s="0" t="n">
        <v>0</v>
      </c>
      <c r="L43" s="0" t="n">
        <v>1</v>
      </c>
      <c r="M43" s="0" t="n">
        <v>179</v>
      </c>
      <c r="N43" s="0" t="n">
        <v>51</v>
      </c>
      <c r="O43" s="0" t="n">
        <v>437</v>
      </c>
    </row>
    <row r="44" customFormat="false" ht="15" hidden="false" customHeight="false" outlineLevel="0" collapsed="false">
      <c r="A44" s="0" t="s">
        <v>661</v>
      </c>
      <c r="B44" s="0" t="n">
        <v>20</v>
      </c>
      <c r="C44" s="0" t="s">
        <v>660</v>
      </c>
      <c r="D44" s="0" t="n">
        <v>25.6</v>
      </c>
      <c r="E44" s="0" t="n">
        <v>1.1</v>
      </c>
      <c r="F44" s="0" t="n">
        <v>79.8</v>
      </c>
      <c r="G44" s="0" t="n">
        <v>-0.473</v>
      </c>
      <c r="H44" s="0" t="n">
        <v>-0.744</v>
      </c>
      <c r="I44" s="0" t="n">
        <v>-0.03</v>
      </c>
      <c r="J44" s="0" t="s">
        <v>657</v>
      </c>
      <c r="K44" s="0" t="n">
        <v>0.019</v>
      </c>
      <c r="L44" s="0" t="n">
        <v>1</v>
      </c>
      <c r="M44" s="0" t="n">
        <v>179</v>
      </c>
      <c r="N44" s="0" t="n">
        <v>51</v>
      </c>
      <c r="O44" s="0" t="n">
        <v>437</v>
      </c>
    </row>
    <row r="45" customFormat="false" ht="15" hidden="false" customHeight="false" outlineLevel="0" collapsed="false">
      <c r="A45" s="0" t="s">
        <v>661</v>
      </c>
      <c r="B45" s="0" t="n">
        <v>50</v>
      </c>
      <c r="C45" s="0" t="s">
        <v>129</v>
      </c>
      <c r="D45" s="0" t="n">
        <v>385.4</v>
      </c>
      <c r="E45" s="0" t="n">
        <v>361.2</v>
      </c>
      <c r="F45" s="0" t="n">
        <v>447</v>
      </c>
      <c r="G45" s="0" t="n">
        <v>-0.935</v>
      </c>
      <c r="H45" s="0" t="n">
        <v>-0.983</v>
      </c>
      <c r="I45" s="0" t="n">
        <v>-0.84</v>
      </c>
      <c r="J45" s="0" t="s">
        <v>657</v>
      </c>
      <c r="K45" s="0" t="n">
        <v>0</v>
      </c>
      <c r="L45" s="0" t="n">
        <v>0.971</v>
      </c>
      <c r="M45" s="0" t="n">
        <v>619</v>
      </c>
      <c r="N45" s="0" t="n">
        <v>172</v>
      </c>
      <c r="O45" s="0" t="n">
        <v>1527</v>
      </c>
    </row>
    <row r="46" customFormat="false" ht="15" hidden="false" customHeight="false" outlineLevel="0" collapsed="false">
      <c r="A46" s="0" t="s">
        <v>661</v>
      </c>
      <c r="B46" s="0" t="n">
        <v>50</v>
      </c>
      <c r="C46" s="0" t="s">
        <v>602</v>
      </c>
      <c r="D46" s="0" t="n">
        <v>360.4</v>
      </c>
      <c r="E46" s="0" t="n">
        <v>311.1</v>
      </c>
      <c r="F46" s="0" t="n">
        <v>393.8</v>
      </c>
      <c r="G46" s="0" t="n">
        <v>-0.847</v>
      </c>
      <c r="H46" s="0" t="n">
        <v>-0.955</v>
      </c>
      <c r="I46" s="0" t="n">
        <v>-0.654</v>
      </c>
      <c r="J46" s="0" t="s">
        <v>657</v>
      </c>
      <c r="K46" s="0" t="n">
        <v>0</v>
      </c>
      <c r="L46" s="0" t="n">
        <v>0.971</v>
      </c>
      <c r="M46" s="0" t="n">
        <v>619</v>
      </c>
      <c r="N46" s="0" t="n">
        <v>172</v>
      </c>
      <c r="O46" s="0" t="n">
        <v>1527</v>
      </c>
    </row>
    <row r="47" customFormat="false" ht="15" hidden="false" customHeight="false" outlineLevel="0" collapsed="false">
      <c r="A47" s="0" t="s">
        <v>661</v>
      </c>
      <c r="B47" s="0" t="n">
        <v>50</v>
      </c>
      <c r="C47" s="0" t="s">
        <v>603</v>
      </c>
      <c r="D47" s="0" t="n">
        <v>329.1</v>
      </c>
      <c r="E47" s="0" t="n">
        <v>237.2</v>
      </c>
      <c r="F47" s="0" t="n">
        <v>364.8</v>
      </c>
      <c r="G47" s="0" t="n">
        <v>-0.77</v>
      </c>
      <c r="H47" s="0" t="n">
        <v>-0.931</v>
      </c>
      <c r="I47" s="0" t="n">
        <v>-0.483</v>
      </c>
      <c r="J47" s="0" t="s">
        <v>657</v>
      </c>
      <c r="K47" s="0" t="n">
        <v>0</v>
      </c>
      <c r="L47" s="0" t="n">
        <v>0.974</v>
      </c>
      <c r="M47" s="0" t="n">
        <v>619</v>
      </c>
      <c r="N47" s="0" t="n">
        <v>172</v>
      </c>
      <c r="O47" s="0" t="n">
        <v>1527</v>
      </c>
    </row>
    <row r="48" customFormat="false" ht="15" hidden="false" customHeight="false" outlineLevel="0" collapsed="false">
      <c r="A48" s="0" t="s">
        <v>661</v>
      </c>
      <c r="B48" s="0" t="n">
        <v>50</v>
      </c>
      <c r="C48" s="0" t="s">
        <v>658</v>
      </c>
      <c r="D48" s="0" t="n">
        <v>29.2</v>
      </c>
      <c r="E48" s="0" t="n">
        <v>5</v>
      </c>
      <c r="F48" s="0" t="n">
        <v>90.8</v>
      </c>
      <c r="G48" s="0" t="n">
        <v>-0.538</v>
      </c>
      <c r="H48" s="0" t="n">
        <v>-0.787</v>
      </c>
      <c r="I48" s="0" t="n">
        <v>-0.169</v>
      </c>
      <c r="J48" s="0" t="s">
        <v>657</v>
      </c>
      <c r="K48" s="0" t="n">
        <v>0.004</v>
      </c>
      <c r="L48" s="0" t="n">
        <v>1</v>
      </c>
      <c r="M48" s="0" t="n">
        <v>619</v>
      </c>
      <c r="N48" s="0" t="n">
        <v>172</v>
      </c>
      <c r="O48" s="0" t="n">
        <v>1527</v>
      </c>
    </row>
    <row r="49" customFormat="false" ht="15" hidden="false" customHeight="false" outlineLevel="0" collapsed="false">
      <c r="A49" s="0" t="s">
        <v>661</v>
      </c>
      <c r="B49" s="0" t="n">
        <v>50</v>
      </c>
      <c r="C49" s="0" t="s">
        <v>659</v>
      </c>
      <c r="D49" s="0" t="n">
        <v>-5.7</v>
      </c>
      <c r="E49" s="0" t="n">
        <v>-55</v>
      </c>
      <c r="F49" s="0" t="n">
        <v>27.7</v>
      </c>
      <c r="G49" s="0" t="n">
        <v>0.107</v>
      </c>
      <c r="H49" s="0" t="n">
        <v>-0.344</v>
      </c>
      <c r="I49" s="0" t="n">
        <v>0.773</v>
      </c>
      <c r="J49" s="0" t="n">
        <v>2064</v>
      </c>
      <c r="K49" s="0" t="n">
        <v>0.66</v>
      </c>
      <c r="L49" s="0" t="n">
        <v>1</v>
      </c>
      <c r="M49" s="0" t="n">
        <v>619</v>
      </c>
      <c r="N49" s="0" t="n">
        <v>172</v>
      </c>
      <c r="O49" s="0" t="n">
        <v>1527</v>
      </c>
    </row>
    <row r="50" customFormat="false" ht="15" hidden="false" customHeight="false" outlineLevel="0" collapsed="false">
      <c r="A50" s="0" t="s">
        <v>661</v>
      </c>
      <c r="B50" s="0" t="n">
        <v>50</v>
      </c>
      <c r="C50" s="0" t="s">
        <v>660</v>
      </c>
      <c r="D50" s="0" t="n">
        <v>-37</v>
      </c>
      <c r="E50" s="0" t="n">
        <v>-128.9</v>
      </c>
      <c r="F50" s="0" t="n">
        <v>-1.3</v>
      </c>
      <c r="G50" s="0" t="n">
        <v>0.684</v>
      </c>
      <c r="H50" s="0" t="n">
        <v>0.022</v>
      </c>
      <c r="I50" s="0" t="n">
        <v>1.619</v>
      </c>
      <c r="J50" s="0" t="n">
        <v>2053</v>
      </c>
      <c r="K50" s="0" t="n">
        <v>0.981</v>
      </c>
      <c r="L50" s="0" t="n">
        <v>1</v>
      </c>
      <c r="M50" s="0" t="n">
        <v>619</v>
      </c>
      <c r="N50" s="0" t="n">
        <v>172</v>
      </c>
      <c r="O50" s="0" t="n">
        <v>1527</v>
      </c>
    </row>
    <row r="51" customFormat="false" ht="15" hidden="false" customHeight="false" outlineLevel="0" collapsed="false">
      <c r="A51" s="0" t="s">
        <v>662</v>
      </c>
      <c r="B51" s="0" t="n">
        <v>5</v>
      </c>
      <c r="C51" s="0" t="s">
        <v>129</v>
      </c>
      <c r="D51" s="0" t="n">
        <v>96.8</v>
      </c>
      <c r="E51" s="0" t="n">
        <v>75.9</v>
      </c>
      <c r="F51" s="0" t="n">
        <v>123.7</v>
      </c>
      <c r="G51" s="0" t="n">
        <v>-1.103</v>
      </c>
      <c r="H51" s="0" t="n">
        <v>-1.135</v>
      </c>
      <c r="I51" s="0" t="n">
        <v>-1.076</v>
      </c>
      <c r="J51" s="0" t="s">
        <v>657</v>
      </c>
      <c r="K51" s="0" t="n">
        <v>0</v>
      </c>
      <c r="L51" s="0" t="n">
        <v>1</v>
      </c>
      <c r="M51" s="0" t="n">
        <v>9</v>
      </c>
      <c r="N51" s="0" t="n">
        <v>7</v>
      </c>
      <c r="O51" s="0" t="n">
        <v>12</v>
      </c>
    </row>
    <row r="52" customFormat="false" ht="15" hidden="false" customHeight="false" outlineLevel="0" collapsed="false">
      <c r="A52" s="0" t="s">
        <v>662</v>
      </c>
      <c r="B52" s="0" t="n">
        <v>5</v>
      </c>
      <c r="C52" s="0" t="s">
        <v>602</v>
      </c>
      <c r="D52" s="0" t="n">
        <v>105.4</v>
      </c>
      <c r="E52" s="0" t="n">
        <v>84.5</v>
      </c>
      <c r="F52" s="0" t="n">
        <v>132.3</v>
      </c>
      <c r="G52" s="0" t="n">
        <v>-1.111</v>
      </c>
      <c r="H52" s="0" t="n">
        <v>-1.147</v>
      </c>
      <c r="I52" s="0" t="n">
        <v>-1.082</v>
      </c>
      <c r="J52" s="0" t="s">
        <v>657</v>
      </c>
      <c r="K52" s="0" t="n">
        <v>0</v>
      </c>
      <c r="L52" s="0" t="n">
        <v>1</v>
      </c>
      <c r="M52" s="0" t="n">
        <v>9</v>
      </c>
      <c r="N52" s="0" t="n">
        <v>7</v>
      </c>
      <c r="O52" s="0" t="n">
        <v>12</v>
      </c>
    </row>
    <row r="53" customFormat="false" ht="15" hidden="false" customHeight="false" outlineLevel="0" collapsed="false">
      <c r="A53" s="0" t="s">
        <v>662</v>
      </c>
      <c r="B53" s="0" t="n">
        <v>5</v>
      </c>
      <c r="C53" s="0" t="s">
        <v>603</v>
      </c>
      <c r="D53" s="0" t="n">
        <v>104.2</v>
      </c>
      <c r="E53" s="0" t="n">
        <v>83.2</v>
      </c>
      <c r="F53" s="0" t="n">
        <v>131</v>
      </c>
      <c r="G53" s="0" t="n">
        <v>-1.097</v>
      </c>
      <c r="H53" s="0" t="n">
        <v>-1.13</v>
      </c>
      <c r="I53" s="0" t="n">
        <v>-1.069</v>
      </c>
      <c r="J53" s="0" t="s">
        <v>657</v>
      </c>
      <c r="K53" s="0" t="n">
        <v>0</v>
      </c>
      <c r="L53" s="0" t="n">
        <v>1</v>
      </c>
      <c r="M53" s="0" t="n">
        <v>9</v>
      </c>
      <c r="N53" s="0" t="n">
        <v>7</v>
      </c>
      <c r="O53" s="0" t="n">
        <v>12</v>
      </c>
    </row>
    <row r="54" customFormat="false" ht="15" hidden="false" customHeight="false" outlineLevel="0" collapsed="false">
      <c r="A54" s="0" t="s">
        <v>662</v>
      </c>
      <c r="B54" s="0" t="n">
        <v>5</v>
      </c>
      <c r="C54" s="0" t="s">
        <v>658</v>
      </c>
      <c r="D54" s="0" t="n">
        <v>96.8</v>
      </c>
      <c r="E54" s="0" t="n">
        <v>75.9</v>
      </c>
      <c r="F54" s="0" t="n">
        <v>123.7</v>
      </c>
      <c r="G54" s="0" t="n">
        <v>-1.103</v>
      </c>
      <c r="H54" s="0" t="n">
        <v>-1.135</v>
      </c>
      <c r="I54" s="0" t="n">
        <v>-1.076</v>
      </c>
      <c r="J54" s="0" t="s">
        <v>657</v>
      </c>
      <c r="K54" s="0" t="n">
        <v>0</v>
      </c>
      <c r="L54" s="0" t="n">
        <v>1</v>
      </c>
      <c r="M54" s="0" t="n">
        <v>9</v>
      </c>
      <c r="N54" s="0" t="n">
        <v>7</v>
      </c>
      <c r="O54" s="0" t="n">
        <v>12</v>
      </c>
    </row>
    <row r="55" customFormat="false" ht="15" hidden="false" customHeight="false" outlineLevel="0" collapsed="false">
      <c r="A55" s="0" t="s">
        <v>662</v>
      </c>
      <c r="B55" s="0" t="n">
        <v>5</v>
      </c>
      <c r="C55" s="0" t="s">
        <v>659</v>
      </c>
      <c r="D55" s="0" t="n">
        <v>98.2</v>
      </c>
      <c r="E55" s="0" t="n">
        <v>77.4</v>
      </c>
      <c r="F55" s="0" t="n">
        <v>125.2</v>
      </c>
      <c r="G55" s="0" t="n">
        <v>-1.121</v>
      </c>
      <c r="H55" s="0" t="n">
        <v>-1.161</v>
      </c>
      <c r="I55" s="0" t="n">
        <v>-1.087</v>
      </c>
      <c r="J55" s="0" t="s">
        <v>657</v>
      </c>
      <c r="K55" s="0" t="n">
        <v>0</v>
      </c>
      <c r="L55" s="0" t="n">
        <v>1</v>
      </c>
      <c r="M55" s="0" t="n">
        <v>9</v>
      </c>
      <c r="N55" s="0" t="n">
        <v>7</v>
      </c>
      <c r="O55" s="0" t="n">
        <v>12</v>
      </c>
    </row>
    <row r="56" customFormat="false" ht="15" hidden="false" customHeight="false" outlineLevel="0" collapsed="false">
      <c r="A56" s="0" t="s">
        <v>662</v>
      </c>
      <c r="B56" s="0" t="n">
        <v>5</v>
      </c>
      <c r="C56" s="0" t="s">
        <v>660</v>
      </c>
      <c r="D56" s="0" t="n">
        <v>97</v>
      </c>
      <c r="E56" s="0" t="n">
        <v>76.1</v>
      </c>
      <c r="F56" s="0" t="n">
        <v>123.9</v>
      </c>
      <c r="G56" s="0" t="n">
        <v>-1.105</v>
      </c>
      <c r="H56" s="0" t="n">
        <v>-1.143</v>
      </c>
      <c r="I56" s="0" t="n">
        <v>-1.073</v>
      </c>
      <c r="J56" s="0" t="s">
        <v>657</v>
      </c>
      <c r="K56" s="0" t="n">
        <v>0</v>
      </c>
      <c r="L56" s="0" t="n">
        <v>1</v>
      </c>
      <c r="M56" s="0" t="n">
        <v>9</v>
      </c>
      <c r="N56" s="0" t="n">
        <v>7</v>
      </c>
      <c r="O56" s="0" t="n">
        <v>12</v>
      </c>
    </row>
    <row r="57" customFormat="false" ht="15" hidden="false" customHeight="false" outlineLevel="0" collapsed="false">
      <c r="A57" s="0" t="s">
        <v>662</v>
      </c>
      <c r="B57" s="0" t="n">
        <v>10</v>
      </c>
      <c r="C57" s="0" t="s">
        <v>129</v>
      </c>
      <c r="D57" s="0" t="n">
        <v>122.5</v>
      </c>
      <c r="E57" s="0" t="n">
        <v>95.4</v>
      </c>
      <c r="F57" s="0" t="n">
        <v>156.6</v>
      </c>
      <c r="G57" s="0" t="n">
        <v>-1.085</v>
      </c>
      <c r="H57" s="0" t="n">
        <v>-1.131</v>
      </c>
      <c r="I57" s="0" t="n">
        <v>-1.042</v>
      </c>
      <c r="J57" s="0" t="s">
        <v>657</v>
      </c>
      <c r="K57" s="0" t="n">
        <v>0</v>
      </c>
      <c r="L57" s="0" t="n">
        <v>1</v>
      </c>
      <c r="M57" s="0" t="n">
        <v>50</v>
      </c>
      <c r="N57" s="0" t="n">
        <v>35</v>
      </c>
      <c r="O57" s="0" t="n">
        <v>68</v>
      </c>
    </row>
    <row r="58" customFormat="false" ht="15" hidden="false" customHeight="false" outlineLevel="0" collapsed="false">
      <c r="A58" s="0" t="s">
        <v>662</v>
      </c>
      <c r="B58" s="0" t="n">
        <v>10</v>
      </c>
      <c r="C58" s="0" t="s">
        <v>602</v>
      </c>
      <c r="D58" s="0" t="n">
        <v>130.7</v>
      </c>
      <c r="E58" s="0" t="n">
        <v>103.7</v>
      </c>
      <c r="F58" s="0" t="n">
        <v>165.6</v>
      </c>
      <c r="G58" s="0" t="n">
        <v>-1.029</v>
      </c>
      <c r="H58" s="0" t="n">
        <v>-1.089</v>
      </c>
      <c r="I58" s="0" t="n">
        <v>-0.972</v>
      </c>
      <c r="J58" s="0" t="s">
        <v>657</v>
      </c>
      <c r="K58" s="0" t="n">
        <v>0</v>
      </c>
      <c r="L58" s="0" t="n">
        <v>1</v>
      </c>
      <c r="M58" s="0" t="n">
        <v>50</v>
      </c>
      <c r="N58" s="0" t="n">
        <v>35</v>
      </c>
      <c r="O58" s="0" t="n">
        <v>68</v>
      </c>
    </row>
    <row r="59" customFormat="false" ht="15" hidden="false" customHeight="false" outlineLevel="0" collapsed="false">
      <c r="A59" s="0" t="s">
        <v>662</v>
      </c>
      <c r="B59" s="0" t="n">
        <v>10</v>
      </c>
      <c r="C59" s="0" t="s">
        <v>603</v>
      </c>
      <c r="D59" s="0" t="n">
        <v>123.4</v>
      </c>
      <c r="E59" s="0" t="n">
        <v>96.4</v>
      </c>
      <c r="F59" s="0" t="n">
        <v>158.6</v>
      </c>
      <c r="G59" s="0" t="n">
        <v>-0.973</v>
      </c>
      <c r="H59" s="0" t="n">
        <v>-1.055</v>
      </c>
      <c r="I59" s="0" t="n">
        <v>-0.898</v>
      </c>
      <c r="J59" s="0" t="s">
        <v>657</v>
      </c>
      <c r="K59" s="0" t="n">
        <v>0</v>
      </c>
      <c r="L59" s="0" t="n">
        <v>1</v>
      </c>
      <c r="M59" s="0" t="n">
        <v>50</v>
      </c>
      <c r="N59" s="0" t="n">
        <v>35</v>
      </c>
      <c r="O59" s="0" t="n">
        <v>68</v>
      </c>
    </row>
    <row r="60" customFormat="false" ht="15" hidden="false" customHeight="false" outlineLevel="0" collapsed="false">
      <c r="A60" s="0" t="s">
        <v>662</v>
      </c>
      <c r="B60" s="0" t="n">
        <v>10</v>
      </c>
      <c r="C60" s="0" t="s">
        <v>658</v>
      </c>
      <c r="D60" s="0" t="n">
        <v>122.5</v>
      </c>
      <c r="E60" s="0" t="n">
        <v>95.4</v>
      </c>
      <c r="F60" s="0" t="n">
        <v>156.6</v>
      </c>
      <c r="G60" s="0" t="n">
        <v>-1.085</v>
      </c>
      <c r="H60" s="0" t="n">
        <v>-1.131</v>
      </c>
      <c r="I60" s="0" t="n">
        <v>-1.042</v>
      </c>
      <c r="J60" s="0" t="s">
        <v>657</v>
      </c>
      <c r="K60" s="0" t="n">
        <v>0</v>
      </c>
      <c r="L60" s="0" t="n">
        <v>1</v>
      </c>
      <c r="M60" s="0" t="n">
        <v>50</v>
      </c>
      <c r="N60" s="0" t="n">
        <v>35</v>
      </c>
      <c r="O60" s="0" t="n">
        <v>68</v>
      </c>
    </row>
    <row r="61" customFormat="false" ht="15" hidden="false" customHeight="false" outlineLevel="0" collapsed="false">
      <c r="A61" s="0" t="s">
        <v>662</v>
      </c>
      <c r="B61" s="0" t="n">
        <v>10</v>
      </c>
      <c r="C61" s="0" t="s">
        <v>659</v>
      </c>
      <c r="D61" s="0" t="n">
        <v>116.4</v>
      </c>
      <c r="E61" s="0" t="n">
        <v>89.4</v>
      </c>
      <c r="F61" s="0" t="n">
        <v>151.3</v>
      </c>
      <c r="G61" s="0" t="n">
        <v>-1.032</v>
      </c>
      <c r="H61" s="0" t="n">
        <v>-1.102</v>
      </c>
      <c r="I61" s="0" t="n">
        <v>-0.968</v>
      </c>
      <c r="J61" s="0" t="s">
        <v>657</v>
      </c>
      <c r="K61" s="0" t="n">
        <v>0</v>
      </c>
      <c r="L61" s="0" t="n">
        <v>1</v>
      </c>
      <c r="M61" s="0" t="n">
        <v>50</v>
      </c>
      <c r="N61" s="0" t="n">
        <v>35</v>
      </c>
      <c r="O61" s="0" t="n">
        <v>68</v>
      </c>
    </row>
    <row r="62" customFormat="false" ht="15" hidden="false" customHeight="false" outlineLevel="0" collapsed="false">
      <c r="A62" s="0" t="s">
        <v>662</v>
      </c>
      <c r="B62" s="0" t="n">
        <v>10</v>
      </c>
      <c r="C62" s="0" t="s">
        <v>660</v>
      </c>
      <c r="D62" s="0" t="n">
        <v>109.2</v>
      </c>
      <c r="E62" s="0" t="n">
        <v>82.1</v>
      </c>
      <c r="F62" s="0" t="n">
        <v>144.3</v>
      </c>
      <c r="G62" s="0" t="n">
        <v>-0.97</v>
      </c>
      <c r="H62" s="0" t="n">
        <v>-1.062</v>
      </c>
      <c r="I62" s="0" t="n">
        <v>-0.886</v>
      </c>
      <c r="J62" s="0" t="s">
        <v>657</v>
      </c>
      <c r="K62" s="0" t="n">
        <v>0</v>
      </c>
      <c r="L62" s="0" t="n">
        <v>1</v>
      </c>
      <c r="M62" s="0" t="n">
        <v>50</v>
      </c>
      <c r="N62" s="0" t="n">
        <v>35</v>
      </c>
      <c r="O62" s="0" t="n">
        <v>68</v>
      </c>
    </row>
    <row r="63" customFormat="false" ht="15" hidden="false" customHeight="false" outlineLevel="0" collapsed="false">
      <c r="A63" s="0" t="s">
        <v>662</v>
      </c>
      <c r="B63" s="0" t="n">
        <v>20</v>
      </c>
      <c r="C63" s="0" t="s">
        <v>129</v>
      </c>
      <c r="D63" s="0" t="n">
        <v>114.8</v>
      </c>
      <c r="E63" s="0" t="n">
        <v>87.6</v>
      </c>
      <c r="F63" s="0" t="n">
        <v>150.4</v>
      </c>
      <c r="G63" s="0" t="n">
        <v>-1.021</v>
      </c>
      <c r="H63" s="0" t="n">
        <v>-1.095</v>
      </c>
      <c r="I63" s="0" t="n">
        <v>-0.918</v>
      </c>
      <c r="J63" s="0" t="s">
        <v>657</v>
      </c>
      <c r="K63" s="0" t="n">
        <v>0</v>
      </c>
      <c r="L63" s="0" t="n">
        <v>1</v>
      </c>
      <c r="M63" s="0" t="n">
        <v>150</v>
      </c>
      <c r="N63" s="0" t="n">
        <v>105</v>
      </c>
      <c r="O63" s="0" t="n">
        <v>213</v>
      </c>
    </row>
    <row r="64" customFormat="false" ht="15" hidden="false" customHeight="false" outlineLevel="0" collapsed="false">
      <c r="A64" s="0" t="s">
        <v>662</v>
      </c>
      <c r="B64" s="0" t="n">
        <v>20</v>
      </c>
      <c r="C64" s="0" t="s">
        <v>602</v>
      </c>
      <c r="D64" s="0" t="n">
        <v>105.1</v>
      </c>
      <c r="E64" s="0" t="n">
        <v>71.5</v>
      </c>
      <c r="F64" s="0" t="n">
        <v>143.2</v>
      </c>
      <c r="G64" s="0" t="n">
        <v>-0.833</v>
      </c>
      <c r="H64" s="0" t="n">
        <v>-0.963</v>
      </c>
      <c r="I64" s="0" t="n">
        <v>-0.62</v>
      </c>
      <c r="J64" s="0" t="s">
        <v>657</v>
      </c>
      <c r="K64" s="0" t="n">
        <v>0</v>
      </c>
      <c r="L64" s="0" t="n">
        <v>1</v>
      </c>
      <c r="M64" s="0" t="n">
        <v>150</v>
      </c>
      <c r="N64" s="0" t="n">
        <v>105</v>
      </c>
      <c r="O64" s="0" t="n">
        <v>213</v>
      </c>
    </row>
    <row r="65" customFormat="false" ht="15" hidden="false" customHeight="false" outlineLevel="0" collapsed="false">
      <c r="A65" s="0" t="s">
        <v>662</v>
      </c>
      <c r="B65" s="0" t="n">
        <v>20</v>
      </c>
      <c r="C65" s="0" t="s">
        <v>603</v>
      </c>
      <c r="D65" s="0" t="n">
        <v>83.7</v>
      </c>
      <c r="E65" s="0" t="n">
        <v>39.5</v>
      </c>
      <c r="F65" s="0" t="n">
        <v>125.2</v>
      </c>
      <c r="G65" s="0" t="n">
        <v>-0.665</v>
      </c>
      <c r="H65" s="0" t="n">
        <v>-0.857</v>
      </c>
      <c r="I65" s="0" t="n">
        <v>-0.334</v>
      </c>
      <c r="J65" s="0" t="s">
        <v>657</v>
      </c>
      <c r="K65" s="0" t="n">
        <v>0.001</v>
      </c>
      <c r="L65" s="0" t="n">
        <v>1</v>
      </c>
      <c r="M65" s="0" t="n">
        <v>150</v>
      </c>
      <c r="N65" s="0" t="n">
        <v>105</v>
      </c>
      <c r="O65" s="0" t="n">
        <v>213</v>
      </c>
    </row>
    <row r="66" customFormat="false" ht="15" hidden="false" customHeight="false" outlineLevel="0" collapsed="false">
      <c r="A66" s="0" t="s">
        <v>662</v>
      </c>
      <c r="B66" s="0" t="n">
        <v>20</v>
      </c>
      <c r="C66" s="0" t="s">
        <v>658</v>
      </c>
      <c r="D66" s="0" t="n">
        <v>114.8</v>
      </c>
      <c r="E66" s="0" t="n">
        <v>87.6</v>
      </c>
      <c r="F66" s="0" t="n">
        <v>150.4</v>
      </c>
      <c r="G66" s="0" t="n">
        <v>-1.021</v>
      </c>
      <c r="H66" s="0" t="n">
        <v>-1.095</v>
      </c>
      <c r="I66" s="0" t="n">
        <v>-0.918</v>
      </c>
      <c r="J66" s="0" t="s">
        <v>657</v>
      </c>
      <c r="K66" s="0" t="n">
        <v>0</v>
      </c>
      <c r="L66" s="0" t="n">
        <v>1</v>
      </c>
      <c r="M66" s="0" t="n">
        <v>150</v>
      </c>
      <c r="N66" s="0" t="n">
        <v>105</v>
      </c>
      <c r="O66" s="0" t="n">
        <v>213</v>
      </c>
    </row>
    <row r="67" customFormat="false" ht="15" hidden="false" customHeight="false" outlineLevel="0" collapsed="false">
      <c r="A67" s="0" t="s">
        <v>662</v>
      </c>
      <c r="B67" s="0" t="n">
        <v>20</v>
      </c>
      <c r="C67" s="0" t="s">
        <v>659</v>
      </c>
      <c r="D67" s="0" t="n">
        <v>90.9</v>
      </c>
      <c r="E67" s="0" t="n">
        <v>57.2</v>
      </c>
      <c r="F67" s="0" t="n">
        <v>129</v>
      </c>
      <c r="G67" s="0" t="n">
        <v>-0.811</v>
      </c>
      <c r="H67" s="0" t="n">
        <v>-0.958</v>
      </c>
      <c r="I67" s="0" t="n">
        <v>-0.573</v>
      </c>
      <c r="J67" s="0" t="s">
        <v>657</v>
      </c>
      <c r="K67" s="0" t="n">
        <v>0</v>
      </c>
      <c r="L67" s="0" t="n">
        <v>1</v>
      </c>
      <c r="M67" s="0" t="n">
        <v>150</v>
      </c>
      <c r="N67" s="0" t="n">
        <v>105</v>
      </c>
      <c r="O67" s="0" t="n">
        <v>213</v>
      </c>
    </row>
    <row r="68" customFormat="false" ht="15" hidden="false" customHeight="false" outlineLevel="0" collapsed="false">
      <c r="A68" s="0" t="s">
        <v>662</v>
      </c>
      <c r="B68" s="0" t="n">
        <v>20</v>
      </c>
      <c r="C68" s="0" t="s">
        <v>660</v>
      </c>
      <c r="D68" s="0" t="n">
        <v>69.5</v>
      </c>
      <c r="E68" s="0" t="n">
        <v>25.3</v>
      </c>
      <c r="F68" s="0" t="n">
        <v>111</v>
      </c>
      <c r="G68" s="0" t="n">
        <v>-0.62</v>
      </c>
      <c r="H68" s="0" t="n">
        <v>-0.839</v>
      </c>
      <c r="I68" s="0" t="n">
        <v>-0.244</v>
      </c>
      <c r="J68" s="0" t="s">
        <v>657</v>
      </c>
      <c r="K68" s="0" t="n">
        <v>0.003</v>
      </c>
      <c r="L68" s="0" t="n">
        <v>1</v>
      </c>
      <c r="M68" s="0" t="n">
        <v>150</v>
      </c>
      <c r="N68" s="0" t="n">
        <v>105</v>
      </c>
      <c r="O68" s="0" t="n">
        <v>213</v>
      </c>
    </row>
    <row r="69" customFormat="false" ht="15" hidden="false" customHeight="false" outlineLevel="0" collapsed="false">
      <c r="A69" s="0" t="s">
        <v>662</v>
      </c>
      <c r="B69" s="0" t="n">
        <v>50</v>
      </c>
      <c r="C69" s="0" t="s">
        <v>129</v>
      </c>
      <c r="D69" s="0" t="n">
        <v>102.7</v>
      </c>
      <c r="E69" s="0" t="n">
        <v>73.3</v>
      </c>
      <c r="F69" s="0" t="n">
        <v>139.3</v>
      </c>
      <c r="G69" s="0" t="n">
        <v>-0.915</v>
      </c>
      <c r="H69" s="0" t="n">
        <v>-1.009</v>
      </c>
      <c r="I69" s="0" t="n">
        <v>-0.776</v>
      </c>
      <c r="J69" s="0" t="s">
        <v>657</v>
      </c>
      <c r="K69" s="0" t="n">
        <v>0</v>
      </c>
      <c r="L69" s="0" t="n">
        <v>1</v>
      </c>
      <c r="M69" s="0" t="n">
        <v>333</v>
      </c>
      <c r="N69" s="0" t="n">
        <v>259</v>
      </c>
      <c r="O69" s="0" t="n">
        <v>425</v>
      </c>
    </row>
    <row r="70" customFormat="false" ht="15" hidden="false" customHeight="false" outlineLevel="0" collapsed="false">
      <c r="A70" s="0" t="s">
        <v>662</v>
      </c>
      <c r="B70" s="0" t="n">
        <v>50</v>
      </c>
      <c r="C70" s="0" t="s">
        <v>602</v>
      </c>
      <c r="D70" s="0" t="n">
        <v>70.4</v>
      </c>
      <c r="E70" s="0" t="n">
        <v>29.5</v>
      </c>
      <c r="F70" s="0" t="n">
        <v>111.7</v>
      </c>
      <c r="G70" s="0" t="n">
        <v>-0.558</v>
      </c>
      <c r="H70" s="0" t="n">
        <v>-0.772</v>
      </c>
      <c r="I70" s="0" t="n">
        <v>-0.249</v>
      </c>
      <c r="J70" s="0" t="s">
        <v>657</v>
      </c>
      <c r="K70" s="0" t="n">
        <v>0.001</v>
      </c>
      <c r="L70" s="0" t="n">
        <v>1</v>
      </c>
      <c r="M70" s="0" t="n">
        <v>333</v>
      </c>
      <c r="N70" s="0" t="n">
        <v>259</v>
      </c>
      <c r="O70" s="0" t="n">
        <v>425</v>
      </c>
    </row>
    <row r="71" customFormat="false" ht="15" hidden="false" customHeight="false" outlineLevel="0" collapsed="false">
      <c r="A71" s="0" t="s">
        <v>662</v>
      </c>
      <c r="B71" s="0" t="n">
        <v>50</v>
      </c>
      <c r="C71" s="0" t="s">
        <v>603</v>
      </c>
      <c r="D71" s="0" t="n">
        <v>29</v>
      </c>
      <c r="E71" s="0" t="n">
        <v>-31.8</v>
      </c>
      <c r="F71" s="0" t="n">
        <v>79.2</v>
      </c>
      <c r="G71" s="0" t="n">
        <v>-0.226</v>
      </c>
      <c r="H71" s="0" t="n">
        <v>-0.56</v>
      </c>
      <c r="I71" s="0" t="n">
        <v>0.262</v>
      </c>
      <c r="J71" s="0" t="s">
        <v>657</v>
      </c>
      <c r="K71" s="0" t="n">
        <v>0.158</v>
      </c>
      <c r="L71" s="0" t="n">
        <v>1</v>
      </c>
      <c r="M71" s="0" t="n">
        <v>333</v>
      </c>
      <c r="N71" s="0" t="n">
        <v>259</v>
      </c>
      <c r="O71" s="0" t="n">
        <v>425</v>
      </c>
    </row>
    <row r="72" customFormat="false" ht="15" hidden="false" customHeight="false" outlineLevel="0" collapsed="false">
      <c r="A72" s="0" t="s">
        <v>662</v>
      </c>
      <c r="B72" s="0" t="n">
        <v>50</v>
      </c>
      <c r="C72" s="0" t="s">
        <v>658</v>
      </c>
      <c r="D72" s="0" t="n">
        <v>102.7</v>
      </c>
      <c r="E72" s="0" t="n">
        <v>73.3</v>
      </c>
      <c r="F72" s="0" t="n">
        <v>139.3</v>
      </c>
      <c r="G72" s="0" t="n">
        <v>-0.915</v>
      </c>
      <c r="H72" s="0" t="n">
        <v>-1.009</v>
      </c>
      <c r="I72" s="0" t="n">
        <v>-0.776</v>
      </c>
      <c r="J72" s="0" t="s">
        <v>657</v>
      </c>
      <c r="K72" s="0" t="n">
        <v>0</v>
      </c>
      <c r="L72" s="0" t="n">
        <v>1</v>
      </c>
      <c r="M72" s="0" t="n">
        <v>333</v>
      </c>
      <c r="N72" s="0" t="n">
        <v>259</v>
      </c>
      <c r="O72" s="0" t="n">
        <v>425</v>
      </c>
    </row>
    <row r="73" customFormat="false" ht="15" hidden="false" customHeight="false" outlineLevel="0" collapsed="false">
      <c r="A73" s="0" t="s">
        <v>662</v>
      </c>
      <c r="B73" s="0" t="n">
        <v>50</v>
      </c>
      <c r="C73" s="0" t="s">
        <v>659</v>
      </c>
      <c r="D73" s="0" t="n">
        <v>56.1</v>
      </c>
      <c r="E73" s="0" t="n">
        <v>15.2</v>
      </c>
      <c r="F73" s="0" t="n">
        <v>97.5</v>
      </c>
      <c r="G73" s="0" t="n">
        <v>-0.503</v>
      </c>
      <c r="H73" s="0" t="n">
        <v>-0.746</v>
      </c>
      <c r="I73" s="0" t="n">
        <v>-0.145</v>
      </c>
      <c r="J73" s="0" t="s">
        <v>657</v>
      </c>
      <c r="K73" s="0" t="n">
        <v>0.005</v>
      </c>
      <c r="L73" s="0" t="n">
        <v>1</v>
      </c>
      <c r="M73" s="0" t="n">
        <v>333</v>
      </c>
      <c r="N73" s="0" t="n">
        <v>259</v>
      </c>
      <c r="O73" s="0" t="n">
        <v>425</v>
      </c>
    </row>
    <row r="74" customFormat="false" ht="15" hidden="false" customHeight="false" outlineLevel="0" collapsed="false">
      <c r="A74" s="0" t="s">
        <v>662</v>
      </c>
      <c r="B74" s="0" t="n">
        <v>50</v>
      </c>
      <c r="C74" s="0" t="s">
        <v>660</v>
      </c>
      <c r="D74" s="0" t="n">
        <v>14.7</v>
      </c>
      <c r="E74" s="0" t="n">
        <v>-46</v>
      </c>
      <c r="F74" s="0" t="n">
        <v>65</v>
      </c>
      <c r="G74" s="0" t="n">
        <v>-0.126</v>
      </c>
      <c r="H74" s="0" t="n">
        <v>-0.507</v>
      </c>
      <c r="I74" s="0" t="n">
        <v>0.441</v>
      </c>
      <c r="J74" s="0" t="s">
        <v>657</v>
      </c>
      <c r="K74" s="0" t="n">
        <v>0.308</v>
      </c>
      <c r="L74" s="0" t="n">
        <v>1</v>
      </c>
      <c r="M74" s="0" t="n">
        <v>333</v>
      </c>
      <c r="N74" s="0" t="n">
        <v>259</v>
      </c>
      <c r="O74" s="0" t="n">
        <v>425</v>
      </c>
    </row>
    <row r="75" customFormat="false" ht="15" hidden="false" customHeight="false" outlineLevel="0" collapsed="false">
      <c r="A75" s="0" t="s">
        <v>663</v>
      </c>
      <c r="B75" s="0" t="n">
        <v>5</v>
      </c>
      <c r="C75" s="0" t="s">
        <v>129</v>
      </c>
      <c r="D75" s="0" t="n">
        <v>1542.5</v>
      </c>
      <c r="E75" s="0" t="n">
        <v>1350.9</v>
      </c>
      <c r="F75" s="0" t="n">
        <v>1845.2</v>
      </c>
      <c r="G75" s="0" t="n">
        <v>-1.04</v>
      </c>
      <c r="H75" s="0" t="n">
        <v>-1.053</v>
      </c>
      <c r="I75" s="0" t="n">
        <v>-1.029</v>
      </c>
      <c r="J75" s="0" t="s">
        <v>657</v>
      </c>
      <c r="K75" s="0" t="n">
        <v>0</v>
      </c>
      <c r="L75" s="0" t="n">
        <v>0</v>
      </c>
      <c r="M75" s="0" t="n">
        <v>54</v>
      </c>
      <c r="N75" s="0" t="n">
        <v>36</v>
      </c>
      <c r="O75" s="0" t="n">
        <v>79</v>
      </c>
    </row>
    <row r="76" customFormat="false" ht="15" hidden="false" customHeight="false" outlineLevel="0" collapsed="false">
      <c r="A76" s="0" t="s">
        <v>663</v>
      </c>
      <c r="B76" s="0" t="n">
        <v>5</v>
      </c>
      <c r="C76" s="0" t="s">
        <v>602</v>
      </c>
      <c r="D76" s="0" t="n">
        <v>1566.4</v>
      </c>
      <c r="E76" s="0" t="n">
        <v>1370.7</v>
      </c>
      <c r="F76" s="0" t="n">
        <v>1875.1</v>
      </c>
      <c r="G76" s="0" t="n">
        <v>-1.047</v>
      </c>
      <c r="H76" s="0" t="n">
        <v>-1.062</v>
      </c>
      <c r="I76" s="0" t="n">
        <v>-1.034</v>
      </c>
      <c r="J76" s="0" t="s">
        <v>657</v>
      </c>
      <c r="K76" s="0" t="n">
        <v>0</v>
      </c>
      <c r="L76" s="0" t="n">
        <v>0</v>
      </c>
      <c r="M76" s="0" t="n">
        <v>54</v>
      </c>
      <c r="N76" s="0" t="n">
        <v>36</v>
      </c>
      <c r="O76" s="0" t="n">
        <v>79</v>
      </c>
    </row>
    <row r="77" customFormat="false" ht="15" hidden="false" customHeight="false" outlineLevel="0" collapsed="false">
      <c r="A77" s="0" t="s">
        <v>663</v>
      </c>
      <c r="B77" s="0" t="n">
        <v>5</v>
      </c>
      <c r="C77" s="0" t="s">
        <v>603</v>
      </c>
      <c r="D77" s="0" t="n">
        <v>1558.7</v>
      </c>
      <c r="E77" s="0" t="n">
        <v>1364.9</v>
      </c>
      <c r="F77" s="0" t="n">
        <v>1864.2</v>
      </c>
      <c r="G77" s="0" t="n">
        <v>-1.041</v>
      </c>
      <c r="H77" s="0" t="n">
        <v>-1.056</v>
      </c>
      <c r="I77" s="0" t="n">
        <v>-1.03</v>
      </c>
      <c r="J77" s="0" t="s">
        <v>657</v>
      </c>
      <c r="K77" s="0" t="n">
        <v>0</v>
      </c>
      <c r="L77" s="0" t="n">
        <v>0</v>
      </c>
      <c r="M77" s="0" t="n">
        <v>54</v>
      </c>
      <c r="N77" s="0" t="n">
        <v>36</v>
      </c>
      <c r="O77" s="0" t="n">
        <v>79</v>
      </c>
    </row>
    <row r="78" customFormat="false" ht="15" hidden="false" customHeight="false" outlineLevel="0" collapsed="false">
      <c r="A78" s="0" t="s">
        <v>663</v>
      </c>
      <c r="B78" s="0" t="n">
        <v>5</v>
      </c>
      <c r="C78" s="0" t="s">
        <v>658</v>
      </c>
      <c r="D78" s="0" t="n">
        <v>652.1</v>
      </c>
      <c r="E78" s="0" t="n">
        <v>460.4</v>
      </c>
      <c r="F78" s="0" t="n">
        <v>954.8</v>
      </c>
      <c r="G78" s="0" t="n">
        <v>-1.1</v>
      </c>
      <c r="H78" s="0" t="n">
        <v>-1.13</v>
      </c>
      <c r="I78" s="0" t="n">
        <v>-1.074</v>
      </c>
      <c r="J78" s="0" t="s">
        <v>657</v>
      </c>
      <c r="K78" s="0" t="n">
        <v>0</v>
      </c>
      <c r="L78" s="0" t="n">
        <v>0.999</v>
      </c>
      <c r="M78" s="0" t="n">
        <v>54</v>
      </c>
      <c r="N78" s="0" t="n">
        <v>36</v>
      </c>
      <c r="O78" s="0" t="n">
        <v>79</v>
      </c>
    </row>
    <row r="79" customFormat="false" ht="15" hidden="false" customHeight="false" outlineLevel="0" collapsed="false">
      <c r="A79" s="0" t="s">
        <v>663</v>
      </c>
      <c r="B79" s="0" t="n">
        <v>5</v>
      </c>
      <c r="C79" s="0" t="s">
        <v>659</v>
      </c>
      <c r="D79" s="0" t="n">
        <v>663.3</v>
      </c>
      <c r="E79" s="0" t="n">
        <v>467.5</v>
      </c>
      <c r="F79" s="0" t="n">
        <v>971.9</v>
      </c>
      <c r="G79" s="0" t="n">
        <v>-1.118</v>
      </c>
      <c r="H79" s="0" t="n">
        <v>-1.155</v>
      </c>
      <c r="I79" s="0" t="n">
        <v>-1.087</v>
      </c>
      <c r="J79" s="0" t="s">
        <v>657</v>
      </c>
      <c r="K79" s="0" t="n">
        <v>0</v>
      </c>
      <c r="L79" s="0" t="n">
        <v>0.997</v>
      </c>
      <c r="M79" s="0" t="n">
        <v>54</v>
      </c>
      <c r="N79" s="0" t="n">
        <v>36</v>
      </c>
      <c r="O79" s="0" t="n">
        <v>79</v>
      </c>
    </row>
    <row r="80" customFormat="false" ht="15" hidden="false" customHeight="false" outlineLevel="0" collapsed="false">
      <c r="A80" s="0" t="s">
        <v>663</v>
      </c>
      <c r="B80" s="0" t="n">
        <v>5</v>
      </c>
      <c r="C80" s="0" t="s">
        <v>660</v>
      </c>
      <c r="D80" s="0" t="n">
        <v>655.6</v>
      </c>
      <c r="E80" s="0" t="n">
        <v>461.8</v>
      </c>
      <c r="F80" s="0" t="n">
        <v>961.1</v>
      </c>
      <c r="G80" s="0" t="n">
        <v>-1.105</v>
      </c>
      <c r="H80" s="0" t="n">
        <v>-1.139</v>
      </c>
      <c r="I80" s="0" t="n">
        <v>-1.075</v>
      </c>
      <c r="J80" s="0" t="s">
        <v>657</v>
      </c>
      <c r="K80" s="0" t="n">
        <v>0</v>
      </c>
      <c r="L80" s="0" t="n">
        <v>0.998</v>
      </c>
      <c r="M80" s="0" t="n">
        <v>54</v>
      </c>
      <c r="N80" s="0" t="n">
        <v>36</v>
      </c>
      <c r="O80" s="0" t="n">
        <v>79</v>
      </c>
    </row>
    <row r="81" customFormat="false" ht="15" hidden="false" customHeight="false" outlineLevel="0" collapsed="false">
      <c r="A81" s="0" t="s">
        <v>663</v>
      </c>
      <c r="B81" s="0" t="n">
        <v>10</v>
      </c>
      <c r="C81" s="0" t="s">
        <v>129</v>
      </c>
      <c r="D81" s="0" t="n">
        <v>2857.6</v>
      </c>
      <c r="E81" s="0" t="n">
        <v>2532.3</v>
      </c>
      <c r="F81" s="0" t="n">
        <v>3346.2</v>
      </c>
      <c r="G81" s="0" t="n">
        <v>-1.028</v>
      </c>
      <c r="H81" s="0" t="n">
        <v>-1.044</v>
      </c>
      <c r="I81" s="0" t="n">
        <v>-1.012</v>
      </c>
      <c r="J81" s="0" t="s">
        <v>657</v>
      </c>
      <c r="K81" s="0" t="n">
        <v>0</v>
      </c>
      <c r="L81" s="0" t="n">
        <v>0.886</v>
      </c>
      <c r="M81" s="0" t="n">
        <v>468</v>
      </c>
      <c r="N81" s="0" t="n">
        <v>302</v>
      </c>
      <c r="O81" s="0" t="n">
        <v>680</v>
      </c>
    </row>
    <row r="82" customFormat="false" ht="15" hidden="false" customHeight="false" outlineLevel="0" collapsed="false">
      <c r="A82" s="0" t="s">
        <v>663</v>
      </c>
      <c r="B82" s="0" t="n">
        <v>10</v>
      </c>
      <c r="C82" s="0" t="s">
        <v>602</v>
      </c>
      <c r="D82" s="0" t="n">
        <v>2848.5</v>
      </c>
      <c r="E82" s="0" t="n">
        <v>2520.7</v>
      </c>
      <c r="F82" s="0" t="n">
        <v>3330.2</v>
      </c>
      <c r="G82" s="0" t="n">
        <v>-1.015</v>
      </c>
      <c r="H82" s="0" t="n">
        <v>-1.034</v>
      </c>
      <c r="I82" s="0" t="n">
        <v>-0.994</v>
      </c>
      <c r="J82" s="0" t="s">
        <v>657</v>
      </c>
      <c r="K82" s="0" t="n">
        <v>0</v>
      </c>
      <c r="L82" s="0" t="n">
        <v>0.891</v>
      </c>
      <c r="M82" s="0" t="n">
        <v>468</v>
      </c>
      <c r="N82" s="0" t="n">
        <v>302</v>
      </c>
      <c r="O82" s="0" t="n">
        <v>680</v>
      </c>
    </row>
    <row r="83" customFormat="false" ht="15" hidden="false" customHeight="false" outlineLevel="0" collapsed="false">
      <c r="A83" s="0" t="s">
        <v>663</v>
      </c>
      <c r="B83" s="0" t="n">
        <v>10</v>
      </c>
      <c r="C83" s="0" t="s">
        <v>603</v>
      </c>
      <c r="D83" s="0" t="n">
        <v>2795.8</v>
      </c>
      <c r="E83" s="0" t="n">
        <v>2483.1</v>
      </c>
      <c r="F83" s="0" t="n">
        <v>3269.1</v>
      </c>
      <c r="G83" s="0" t="n">
        <v>-0.997</v>
      </c>
      <c r="H83" s="0" t="n">
        <v>-1.022</v>
      </c>
      <c r="I83" s="0" t="n">
        <v>-0.972</v>
      </c>
      <c r="J83" s="0" t="s">
        <v>657</v>
      </c>
      <c r="K83" s="0" t="n">
        <v>0</v>
      </c>
      <c r="L83" s="0" t="n">
        <v>0.915</v>
      </c>
      <c r="M83" s="0" t="n">
        <v>468</v>
      </c>
      <c r="N83" s="0" t="n">
        <v>302</v>
      </c>
      <c r="O83" s="0" t="n">
        <v>680</v>
      </c>
    </row>
    <row r="84" customFormat="false" ht="15" hidden="false" customHeight="false" outlineLevel="0" collapsed="false">
      <c r="A84" s="0" t="s">
        <v>663</v>
      </c>
      <c r="B84" s="0" t="n">
        <v>10</v>
      </c>
      <c r="C84" s="0" t="s">
        <v>658</v>
      </c>
      <c r="D84" s="0" t="n">
        <v>1076.7</v>
      </c>
      <c r="E84" s="0" t="n">
        <v>751.4</v>
      </c>
      <c r="F84" s="0" t="n">
        <v>1565.3</v>
      </c>
      <c r="G84" s="0" t="n">
        <v>-1.077</v>
      </c>
      <c r="H84" s="0" t="n">
        <v>-1.12</v>
      </c>
      <c r="I84" s="0" t="n">
        <v>-1.034</v>
      </c>
      <c r="J84" s="0" t="s">
        <v>657</v>
      </c>
      <c r="K84" s="0" t="n">
        <v>0</v>
      </c>
      <c r="L84" s="0" t="n">
        <v>1</v>
      </c>
      <c r="M84" s="0" t="n">
        <v>468</v>
      </c>
      <c r="N84" s="0" t="n">
        <v>302</v>
      </c>
      <c r="O84" s="0" t="n">
        <v>680</v>
      </c>
    </row>
    <row r="85" customFormat="false" ht="15" hidden="false" customHeight="false" outlineLevel="0" collapsed="false">
      <c r="A85" s="0" t="s">
        <v>663</v>
      </c>
      <c r="B85" s="0" t="n">
        <v>10</v>
      </c>
      <c r="C85" s="0" t="s">
        <v>659</v>
      </c>
      <c r="D85" s="0" t="n">
        <v>1043.4</v>
      </c>
      <c r="E85" s="0" t="n">
        <v>715.6</v>
      </c>
      <c r="F85" s="0" t="n">
        <v>1525.1</v>
      </c>
      <c r="G85" s="0" t="n">
        <v>-1.041</v>
      </c>
      <c r="H85" s="0" t="n">
        <v>-1.099</v>
      </c>
      <c r="I85" s="0" t="n">
        <v>-0.982</v>
      </c>
      <c r="J85" s="0" t="s">
        <v>657</v>
      </c>
      <c r="K85" s="0" t="n">
        <v>0</v>
      </c>
      <c r="L85" s="0" t="n">
        <v>1</v>
      </c>
      <c r="M85" s="0" t="n">
        <v>468</v>
      </c>
      <c r="N85" s="0" t="n">
        <v>302</v>
      </c>
      <c r="O85" s="0" t="n">
        <v>680</v>
      </c>
    </row>
    <row r="86" customFormat="false" ht="15" hidden="false" customHeight="false" outlineLevel="0" collapsed="false">
      <c r="A86" s="0" t="s">
        <v>663</v>
      </c>
      <c r="B86" s="0" t="n">
        <v>10</v>
      </c>
      <c r="C86" s="0" t="s">
        <v>660</v>
      </c>
      <c r="D86" s="0" t="n">
        <v>990.7</v>
      </c>
      <c r="E86" s="0" t="n">
        <v>678</v>
      </c>
      <c r="F86" s="0" t="n">
        <v>1464</v>
      </c>
      <c r="G86" s="0" t="n">
        <v>-0.992</v>
      </c>
      <c r="H86" s="0" t="n">
        <v>-1.066</v>
      </c>
      <c r="I86" s="0" t="n">
        <v>-0.921</v>
      </c>
      <c r="J86" s="0" t="s">
        <v>657</v>
      </c>
      <c r="K86" s="0" t="n">
        <v>0</v>
      </c>
      <c r="L86" s="0" t="n">
        <v>1</v>
      </c>
      <c r="M86" s="0" t="n">
        <v>468</v>
      </c>
      <c r="N86" s="0" t="n">
        <v>302</v>
      </c>
      <c r="O86" s="0" t="n">
        <v>680</v>
      </c>
    </row>
    <row r="87" customFormat="false" ht="15" hidden="false" customHeight="false" outlineLevel="0" collapsed="false">
      <c r="A87" s="0" t="s">
        <v>663</v>
      </c>
      <c r="B87" s="0" t="n">
        <v>20</v>
      </c>
      <c r="C87" s="0" t="s">
        <v>129</v>
      </c>
      <c r="D87" s="0" t="n">
        <v>2696.3</v>
      </c>
      <c r="E87" s="0" t="n">
        <v>2397.5</v>
      </c>
      <c r="F87" s="0" t="n">
        <v>3170.9</v>
      </c>
      <c r="G87" s="0" t="n">
        <v>-0.973</v>
      </c>
      <c r="H87" s="0" t="n">
        <v>-1.012</v>
      </c>
      <c r="I87" s="0" t="n">
        <v>-0.922</v>
      </c>
      <c r="J87" s="0" t="s">
        <v>657</v>
      </c>
      <c r="K87" s="0" t="n">
        <v>0</v>
      </c>
      <c r="L87" s="0" t="n">
        <v>1</v>
      </c>
      <c r="M87" s="0" t="n">
        <v>2456</v>
      </c>
      <c r="N87" s="0" t="n">
        <v>1582</v>
      </c>
      <c r="O87" s="0" t="n">
        <v>3594</v>
      </c>
    </row>
    <row r="88" customFormat="false" ht="15" hidden="false" customHeight="false" outlineLevel="0" collapsed="false">
      <c r="A88" s="0" t="s">
        <v>663</v>
      </c>
      <c r="B88" s="0" t="n">
        <v>20</v>
      </c>
      <c r="C88" s="0" t="s">
        <v>602</v>
      </c>
      <c r="D88" s="0" t="n">
        <v>2516.1</v>
      </c>
      <c r="E88" s="0" t="n">
        <v>2191.4</v>
      </c>
      <c r="F88" s="0" t="n">
        <v>2942.1</v>
      </c>
      <c r="G88" s="0" t="n">
        <v>-0.902</v>
      </c>
      <c r="H88" s="0" t="n">
        <v>-0.965</v>
      </c>
      <c r="I88" s="0" t="n">
        <v>-0.808</v>
      </c>
      <c r="J88" s="0" t="s">
        <v>657</v>
      </c>
      <c r="K88" s="0" t="n">
        <v>0</v>
      </c>
      <c r="L88" s="0" t="n">
        <v>1</v>
      </c>
      <c r="M88" s="0" t="n">
        <v>2456</v>
      </c>
      <c r="N88" s="0" t="n">
        <v>1582</v>
      </c>
      <c r="O88" s="0" t="n">
        <v>3594</v>
      </c>
    </row>
    <row r="89" customFormat="false" ht="15" hidden="false" customHeight="false" outlineLevel="0" collapsed="false">
      <c r="A89" s="0" t="s">
        <v>663</v>
      </c>
      <c r="B89" s="0" t="n">
        <v>20</v>
      </c>
      <c r="C89" s="0" t="s">
        <v>603</v>
      </c>
      <c r="D89" s="0" t="n">
        <v>2340.4</v>
      </c>
      <c r="E89" s="0" t="n">
        <v>1950.7</v>
      </c>
      <c r="F89" s="0" t="n">
        <v>2761.9</v>
      </c>
      <c r="G89" s="0" t="n">
        <v>-0.838</v>
      </c>
      <c r="H89" s="0" t="n">
        <v>-0.926</v>
      </c>
      <c r="I89" s="0" t="n">
        <v>-0.701</v>
      </c>
      <c r="J89" s="0" t="s">
        <v>657</v>
      </c>
      <c r="K89" s="0" t="n">
        <v>0</v>
      </c>
      <c r="L89" s="0" t="n">
        <v>1</v>
      </c>
      <c r="M89" s="0" t="n">
        <v>2456</v>
      </c>
      <c r="N89" s="0" t="n">
        <v>1582</v>
      </c>
      <c r="O89" s="0" t="n">
        <v>3594</v>
      </c>
    </row>
    <row r="90" customFormat="false" ht="15" hidden="false" customHeight="false" outlineLevel="0" collapsed="false">
      <c r="A90" s="0" t="s">
        <v>663</v>
      </c>
      <c r="B90" s="0" t="n">
        <v>20</v>
      </c>
      <c r="C90" s="0" t="s">
        <v>658</v>
      </c>
      <c r="D90" s="0" t="n">
        <v>915.4</v>
      </c>
      <c r="E90" s="0" t="n">
        <v>616.6</v>
      </c>
      <c r="F90" s="0" t="n">
        <v>1390</v>
      </c>
      <c r="G90" s="0" t="n">
        <v>-0.924</v>
      </c>
      <c r="H90" s="0" t="n">
        <v>-1.032</v>
      </c>
      <c r="I90" s="0" t="n">
        <v>-0.779</v>
      </c>
      <c r="J90" s="0" t="s">
        <v>657</v>
      </c>
      <c r="K90" s="0" t="n">
        <v>0</v>
      </c>
      <c r="L90" s="0" t="n">
        <v>1</v>
      </c>
      <c r="M90" s="0" t="n">
        <v>2456</v>
      </c>
      <c r="N90" s="0" t="n">
        <v>1582</v>
      </c>
      <c r="O90" s="0" t="n">
        <v>3594</v>
      </c>
    </row>
    <row r="91" customFormat="false" ht="15" hidden="false" customHeight="false" outlineLevel="0" collapsed="false">
      <c r="A91" s="0" t="s">
        <v>663</v>
      </c>
      <c r="B91" s="0" t="n">
        <v>20</v>
      </c>
      <c r="C91" s="0" t="s">
        <v>659</v>
      </c>
      <c r="D91" s="0" t="n">
        <v>711.1</v>
      </c>
      <c r="E91" s="0" t="n">
        <v>386.4</v>
      </c>
      <c r="F91" s="0" t="n">
        <v>1137</v>
      </c>
      <c r="G91" s="0" t="n">
        <v>-0.724</v>
      </c>
      <c r="H91" s="0" t="n">
        <v>-0.896</v>
      </c>
      <c r="I91" s="0" t="n">
        <v>-0.453</v>
      </c>
      <c r="J91" s="0" t="s">
        <v>657</v>
      </c>
      <c r="K91" s="0" t="n">
        <v>0</v>
      </c>
      <c r="L91" s="0" t="n">
        <v>1</v>
      </c>
      <c r="M91" s="0" t="n">
        <v>2456</v>
      </c>
      <c r="N91" s="0" t="n">
        <v>1582</v>
      </c>
      <c r="O91" s="0" t="n">
        <v>3594</v>
      </c>
    </row>
    <row r="92" customFormat="false" ht="15" hidden="false" customHeight="false" outlineLevel="0" collapsed="false">
      <c r="A92" s="0" t="s">
        <v>663</v>
      </c>
      <c r="B92" s="0" t="n">
        <v>20</v>
      </c>
      <c r="C92" s="0" t="s">
        <v>660</v>
      </c>
      <c r="D92" s="0" t="n">
        <v>535.3</v>
      </c>
      <c r="E92" s="0" t="n">
        <v>145.6</v>
      </c>
      <c r="F92" s="0" t="n">
        <v>956.9</v>
      </c>
      <c r="G92" s="0" t="n">
        <v>-0.547</v>
      </c>
      <c r="H92" s="0" t="n">
        <v>-0.78</v>
      </c>
      <c r="I92" s="0" t="n">
        <v>-0.159</v>
      </c>
      <c r="J92" s="0" t="s">
        <v>657</v>
      </c>
      <c r="K92" s="0" t="n">
        <v>0.006</v>
      </c>
      <c r="L92" s="0" t="n">
        <v>1</v>
      </c>
      <c r="M92" s="0" t="n">
        <v>2456</v>
      </c>
      <c r="N92" s="0" t="n">
        <v>1582</v>
      </c>
      <c r="O92" s="0" t="n">
        <v>3594</v>
      </c>
    </row>
    <row r="93" customFormat="false" ht="15" hidden="false" customHeight="false" outlineLevel="0" collapsed="false">
      <c r="A93" s="0" t="s">
        <v>663</v>
      </c>
      <c r="B93" s="0" t="n">
        <v>50</v>
      </c>
      <c r="C93" s="0" t="s">
        <v>129</v>
      </c>
      <c r="D93" s="0" t="n">
        <v>2420.6</v>
      </c>
      <c r="E93" s="0" t="n">
        <v>2099.4</v>
      </c>
      <c r="F93" s="0" t="n">
        <v>2844.1</v>
      </c>
      <c r="G93" s="0" t="n">
        <v>-0.875</v>
      </c>
      <c r="H93" s="0" t="n">
        <v>-0.95</v>
      </c>
      <c r="I93" s="0" t="n">
        <v>-0.772</v>
      </c>
      <c r="J93" s="0" t="s">
        <v>657</v>
      </c>
      <c r="K93" s="0" t="n">
        <v>0</v>
      </c>
      <c r="L93" s="0" t="n">
        <v>1</v>
      </c>
      <c r="M93" s="0" t="n">
        <v>8093</v>
      </c>
      <c r="N93" s="0" t="n">
        <v>5203</v>
      </c>
      <c r="O93" s="0" t="n">
        <v>11945</v>
      </c>
    </row>
    <row r="94" customFormat="false" ht="15" hidden="false" customHeight="false" outlineLevel="0" collapsed="false">
      <c r="A94" s="0" t="s">
        <v>663</v>
      </c>
      <c r="B94" s="0" t="n">
        <v>50</v>
      </c>
      <c r="C94" s="0" t="s">
        <v>602</v>
      </c>
      <c r="D94" s="0" t="n">
        <v>1911.5</v>
      </c>
      <c r="E94" s="0" t="n">
        <v>1398.3</v>
      </c>
      <c r="F94" s="0" t="n">
        <v>2344.5</v>
      </c>
      <c r="G94" s="0" t="n">
        <v>-0.684</v>
      </c>
      <c r="H94" s="0" t="n">
        <v>-0.825</v>
      </c>
      <c r="I94" s="0" t="n">
        <v>-0.495</v>
      </c>
      <c r="J94" s="0" t="s">
        <v>657</v>
      </c>
      <c r="K94" s="0" t="n">
        <v>0</v>
      </c>
      <c r="L94" s="0" t="n">
        <v>1</v>
      </c>
      <c r="M94" s="0" t="n">
        <v>8093</v>
      </c>
      <c r="N94" s="0" t="n">
        <v>5203</v>
      </c>
      <c r="O94" s="0" t="n">
        <v>11945</v>
      </c>
    </row>
    <row r="95" customFormat="false" ht="15" hidden="false" customHeight="false" outlineLevel="0" collapsed="false">
      <c r="A95" s="0" t="s">
        <v>663</v>
      </c>
      <c r="B95" s="0" t="n">
        <v>50</v>
      </c>
      <c r="C95" s="0" t="s">
        <v>603</v>
      </c>
      <c r="D95" s="0" t="n">
        <v>1431</v>
      </c>
      <c r="E95" s="0" t="n">
        <v>679.5</v>
      </c>
      <c r="F95" s="0" t="n">
        <v>1973.3</v>
      </c>
      <c r="G95" s="0" t="n">
        <v>-0.513</v>
      </c>
      <c r="H95" s="0" t="n">
        <v>-0.716</v>
      </c>
      <c r="I95" s="0" t="n">
        <v>-0.231</v>
      </c>
      <c r="J95" s="0" t="s">
        <v>657</v>
      </c>
      <c r="K95" s="0" t="n">
        <v>0</v>
      </c>
      <c r="L95" s="0" t="n">
        <v>1</v>
      </c>
      <c r="M95" s="0" t="n">
        <v>8093</v>
      </c>
      <c r="N95" s="0" t="n">
        <v>5203</v>
      </c>
      <c r="O95" s="0" t="n">
        <v>11945</v>
      </c>
    </row>
    <row r="96" customFormat="false" ht="15" hidden="false" customHeight="false" outlineLevel="0" collapsed="false">
      <c r="A96" s="0" t="s">
        <v>663</v>
      </c>
      <c r="B96" s="0" t="n">
        <v>50</v>
      </c>
      <c r="C96" s="0" t="s">
        <v>658</v>
      </c>
      <c r="D96" s="0" t="n">
        <v>639.7</v>
      </c>
      <c r="E96" s="0" t="n">
        <v>318.4</v>
      </c>
      <c r="F96" s="0" t="n">
        <v>1063.2</v>
      </c>
      <c r="G96" s="0" t="n">
        <v>-0.654</v>
      </c>
      <c r="H96" s="0" t="n">
        <v>-0.845</v>
      </c>
      <c r="I96" s="0" t="n">
        <v>-0.369</v>
      </c>
      <c r="J96" s="0" t="s">
        <v>657</v>
      </c>
      <c r="K96" s="0" t="n">
        <v>0</v>
      </c>
      <c r="L96" s="0" t="n">
        <v>1</v>
      </c>
      <c r="M96" s="0" t="n">
        <v>8093</v>
      </c>
      <c r="N96" s="0" t="n">
        <v>5203</v>
      </c>
      <c r="O96" s="0" t="n">
        <v>11945</v>
      </c>
    </row>
    <row r="97" customFormat="false" ht="15" hidden="false" customHeight="false" outlineLevel="0" collapsed="false">
      <c r="A97" s="0" t="s">
        <v>663</v>
      </c>
      <c r="B97" s="0" t="n">
        <v>50</v>
      </c>
      <c r="C97" s="0" t="s">
        <v>659</v>
      </c>
      <c r="D97" s="0" t="n">
        <v>106.4</v>
      </c>
      <c r="E97" s="0" t="n">
        <v>-406.8</v>
      </c>
      <c r="F97" s="0" t="n">
        <v>539.4</v>
      </c>
      <c r="G97" s="0" t="n">
        <v>-0.105</v>
      </c>
      <c r="H97" s="0" t="n">
        <v>-0.476</v>
      </c>
      <c r="I97" s="0" t="n">
        <v>0.445</v>
      </c>
      <c r="J97" s="0" t="s">
        <v>657</v>
      </c>
      <c r="K97" s="0" t="n">
        <v>0.322</v>
      </c>
      <c r="L97" s="0" t="n">
        <v>1</v>
      </c>
      <c r="M97" s="0" t="n">
        <v>8093</v>
      </c>
      <c r="N97" s="0" t="n">
        <v>5203</v>
      </c>
      <c r="O97" s="0" t="n">
        <v>11945</v>
      </c>
    </row>
    <row r="98" customFormat="false" ht="15" hidden="false" customHeight="false" outlineLevel="0" collapsed="false">
      <c r="A98" s="0" t="s">
        <v>663</v>
      </c>
      <c r="B98" s="0" t="n">
        <v>50</v>
      </c>
      <c r="C98" s="0" t="s">
        <v>660</v>
      </c>
      <c r="D98" s="0" t="n">
        <v>-374.1</v>
      </c>
      <c r="E98" s="0" t="n">
        <v>-1125.6</v>
      </c>
      <c r="F98" s="0" t="n">
        <v>168.2</v>
      </c>
      <c r="G98" s="0" t="n">
        <v>0.378</v>
      </c>
      <c r="H98" s="0" t="n">
        <v>-0.161</v>
      </c>
      <c r="I98" s="0" t="n">
        <v>1.148</v>
      </c>
      <c r="J98" s="0" t="n">
        <v>2056</v>
      </c>
      <c r="K98" s="0" t="n">
        <v>0.891</v>
      </c>
      <c r="L98" s="0" t="n">
        <v>1</v>
      </c>
      <c r="M98" s="0" t="n">
        <v>8093</v>
      </c>
      <c r="N98" s="0" t="n">
        <v>5203</v>
      </c>
      <c r="O98" s="0" t="n">
        <v>11945</v>
      </c>
    </row>
    <row r="99" customFormat="false" ht="15" hidden="false" customHeight="false" outlineLevel="0" collapsed="false">
      <c r="A99" s="0" t="s">
        <v>664</v>
      </c>
      <c r="B99" s="0" t="n">
        <v>5</v>
      </c>
      <c r="C99" s="0" t="s">
        <v>129</v>
      </c>
      <c r="D99" s="0" t="n">
        <v>-179.9</v>
      </c>
      <c r="E99" s="0" t="n">
        <v>-228.5</v>
      </c>
      <c r="F99" s="0" t="n">
        <v>-143.9</v>
      </c>
      <c r="G99" s="0" t="n">
        <v>0.968</v>
      </c>
      <c r="H99" s="0" t="n">
        <v>0.931</v>
      </c>
      <c r="I99" s="0" t="n">
        <v>1.001</v>
      </c>
      <c r="J99" s="0" t="s">
        <v>657</v>
      </c>
      <c r="K99" s="0" t="n">
        <v>0</v>
      </c>
      <c r="L99" s="0" t="n">
        <v>0</v>
      </c>
      <c r="M99" s="0" t="n">
        <v>-23</v>
      </c>
      <c r="N99" s="0" t="n">
        <v>-29</v>
      </c>
      <c r="O99" s="0" t="n">
        <v>-19</v>
      </c>
    </row>
    <row r="100" customFormat="false" ht="15" hidden="false" customHeight="false" outlineLevel="0" collapsed="false">
      <c r="A100" s="0" t="s">
        <v>664</v>
      </c>
      <c r="B100" s="0" t="n">
        <v>5</v>
      </c>
      <c r="C100" s="0" t="s">
        <v>602</v>
      </c>
      <c r="D100" s="0" t="n">
        <v>-166.1</v>
      </c>
      <c r="E100" s="0" t="n">
        <v>-215</v>
      </c>
      <c r="F100" s="0" t="n">
        <v>-129.9</v>
      </c>
      <c r="G100" s="0" t="n">
        <v>0.893</v>
      </c>
      <c r="H100" s="0" t="n">
        <v>0.834</v>
      </c>
      <c r="I100" s="0" t="n">
        <v>0.941</v>
      </c>
      <c r="J100" s="0" t="s">
        <v>657</v>
      </c>
      <c r="K100" s="0" t="n">
        <v>0</v>
      </c>
      <c r="L100" s="0" t="n">
        <v>0</v>
      </c>
      <c r="M100" s="0" t="n">
        <v>-23</v>
      </c>
      <c r="N100" s="0" t="n">
        <v>-29</v>
      </c>
      <c r="O100" s="0" t="n">
        <v>-19</v>
      </c>
    </row>
    <row r="101" customFormat="false" ht="15" hidden="false" customHeight="false" outlineLevel="0" collapsed="false">
      <c r="A101" s="0" t="s">
        <v>664</v>
      </c>
      <c r="B101" s="0" t="n">
        <v>5</v>
      </c>
      <c r="C101" s="0" t="s">
        <v>603</v>
      </c>
      <c r="D101" s="0" t="n">
        <v>-165.6</v>
      </c>
      <c r="E101" s="0" t="n">
        <v>-214.1</v>
      </c>
      <c r="F101" s="0" t="n">
        <v>-129.4</v>
      </c>
      <c r="G101" s="0" t="n">
        <v>0.89</v>
      </c>
      <c r="H101" s="0" t="n">
        <v>0.836</v>
      </c>
      <c r="I101" s="0" t="n">
        <v>0.938</v>
      </c>
      <c r="J101" s="0" t="s">
        <v>657</v>
      </c>
      <c r="K101" s="0" t="n">
        <v>0</v>
      </c>
      <c r="L101" s="0" t="n">
        <v>0</v>
      </c>
      <c r="M101" s="0" t="n">
        <v>-23</v>
      </c>
      <c r="N101" s="0" t="n">
        <v>-29</v>
      </c>
      <c r="O101" s="0" t="n">
        <v>-19</v>
      </c>
    </row>
    <row r="102" customFormat="false" ht="15" hidden="false" customHeight="false" outlineLevel="0" collapsed="false">
      <c r="A102" s="0" t="s">
        <v>664</v>
      </c>
      <c r="B102" s="0" t="n">
        <v>5</v>
      </c>
      <c r="C102" s="0" t="s">
        <v>658</v>
      </c>
      <c r="D102" s="0" t="n">
        <v>-179.9</v>
      </c>
      <c r="E102" s="0" t="n">
        <v>-228.5</v>
      </c>
      <c r="F102" s="0" t="n">
        <v>-143.9</v>
      </c>
      <c r="G102" s="0" t="n">
        <v>0.968</v>
      </c>
      <c r="H102" s="0" t="n">
        <v>0.931</v>
      </c>
      <c r="I102" s="0" t="n">
        <v>1.001</v>
      </c>
      <c r="J102" s="0" t="s">
        <v>657</v>
      </c>
      <c r="K102" s="0" t="n">
        <v>0</v>
      </c>
      <c r="L102" s="0" t="n">
        <v>0</v>
      </c>
      <c r="M102" s="0" t="n">
        <v>-23</v>
      </c>
      <c r="N102" s="0" t="n">
        <v>-29</v>
      </c>
      <c r="O102" s="0" t="n">
        <v>-19</v>
      </c>
    </row>
    <row r="103" customFormat="false" ht="15" hidden="false" customHeight="false" outlineLevel="0" collapsed="false">
      <c r="A103" s="0" t="s">
        <v>664</v>
      </c>
      <c r="B103" s="0" t="n">
        <v>5</v>
      </c>
      <c r="C103" s="0" t="s">
        <v>659</v>
      </c>
      <c r="D103" s="0" t="n">
        <v>-166.1</v>
      </c>
      <c r="E103" s="0" t="n">
        <v>-215</v>
      </c>
      <c r="F103" s="0" t="n">
        <v>-129.9</v>
      </c>
      <c r="G103" s="0" t="n">
        <v>0.893</v>
      </c>
      <c r="H103" s="0" t="n">
        <v>0.834</v>
      </c>
      <c r="I103" s="0" t="n">
        <v>0.941</v>
      </c>
      <c r="J103" s="0" t="s">
        <v>657</v>
      </c>
      <c r="K103" s="0" t="n">
        <v>0</v>
      </c>
      <c r="L103" s="0" t="n">
        <v>0</v>
      </c>
      <c r="M103" s="0" t="n">
        <v>-23</v>
      </c>
      <c r="N103" s="0" t="n">
        <v>-29</v>
      </c>
      <c r="O103" s="0" t="n">
        <v>-19</v>
      </c>
    </row>
    <row r="104" customFormat="false" ht="15" hidden="false" customHeight="false" outlineLevel="0" collapsed="false">
      <c r="A104" s="0" t="s">
        <v>664</v>
      </c>
      <c r="B104" s="0" t="n">
        <v>5</v>
      </c>
      <c r="C104" s="0" t="s">
        <v>660</v>
      </c>
      <c r="D104" s="0" t="n">
        <v>-165.6</v>
      </c>
      <c r="E104" s="0" t="n">
        <v>-214.1</v>
      </c>
      <c r="F104" s="0" t="n">
        <v>-129.4</v>
      </c>
      <c r="G104" s="0" t="n">
        <v>0.89</v>
      </c>
      <c r="H104" s="0" t="n">
        <v>0.836</v>
      </c>
      <c r="I104" s="0" t="n">
        <v>0.938</v>
      </c>
      <c r="J104" s="0" t="s">
        <v>657</v>
      </c>
      <c r="K104" s="0" t="n">
        <v>0</v>
      </c>
      <c r="L104" s="0" t="n">
        <v>0</v>
      </c>
      <c r="M104" s="0" t="n">
        <v>-23</v>
      </c>
      <c r="N104" s="0" t="n">
        <v>-29</v>
      </c>
      <c r="O104" s="0" t="n">
        <v>-19</v>
      </c>
    </row>
    <row r="105" customFormat="false" ht="15" hidden="false" customHeight="false" outlineLevel="0" collapsed="false">
      <c r="A105" s="0" t="s">
        <v>664</v>
      </c>
      <c r="B105" s="0" t="n">
        <v>10</v>
      </c>
      <c r="C105" s="0" t="s">
        <v>129</v>
      </c>
      <c r="D105" s="0" t="n">
        <v>-292.1</v>
      </c>
      <c r="E105" s="0" t="n">
        <v>-380.2</v>
      </c>
      <c r="F105" s="0" t="n">
        <v>-223.7</v>
      </c>
      <c r="G105" s="0" t="n">
        <v>0.881</v>
      </c>
      <c r="H105" s="0" t="n">
        <v>0.795</v>
      </c>
      <c r="I105" s="0" t="n">
        <v>0.959</v>
      </c>
      <c r="J105" s="0" t="s">
        <v>657</v>
      </c>
      <c r="K105" s="0" t="n">
        <v>0</v>
      </c>
      <c r="L105" s="0" t="n">
        <v>0</v>
      </c>
      <c r="M105" s="0" t="n">
        <v>-184</v>
      </c>
      <c r="N105" s="0" t="n">
        <v>-227</v>
      </c>
      <c r="O105" s="0" t="n">
        <v>-147</v>
      </c>
    </row>
    <row r="106" customFormat="false" ht="15" hidden="false" customHeight="false" outlineLevel="0" collapsed="false">
      <c r="A106" s="0" t="s">
        <v>664</v>
      </c>
      <c r="B106" s="0" t="n">
        <v>10</v>
      </c>
      <c r="C106" s="0" t="s">
        <v>602</v>
      </c>
      <c r="D106" s="0" t="n">
        <v>-233.7</v>
      </c>
      <c r="E106" s="0" t="n">
        <v>-326.2</v>
      </c>
      <c r="F106" s="0" t="n">
        <v>-157.6</v>
      </c>
      <c r="G106" s="0" t="n">
        <v>0.703</v>
      </c>
      <c r="H106" s="0" t="n">
        <v>0.556</v>
      </c>
      <c r="I106" s="0" t="n">
        <v>0.86</v>
      </c>
      <c r="J106" s="0" t="s">
        <v>657</v>
      </c>
      <c r="K106" s="0" t="n">
        <v>0</v>
      </c>
      <c r="L106" s="0" t="n">
        <v>0</v>
      </c>
      <c r="M106" s="0" t="n">
        <v>-184</v>
      </c>
      <c r="N106" s="0" t="n">
        <v>-227</v>
      </c>
      <c r="O106" s="0" t="n">
        <v>-147</v>
      </c>
    </row>
    <row r="107" customFormat="false" ht="15" hidden="false" customHeight="false" outlineLevel="0" collapsed="false">
      <c r="A107" s="0" t="s">
        <v>664</v>
      </c>
      <c r="B107" s="0" t="n">
        <v>10</v>
      </c>
      <c r="C107" s="0" t="s">
        <v>603</v>
      </c>
      <c r="D107" s="0" t="n">
        <v>-221.8</v>
      </c>
      <c r="E107" s="0" t="n">
        <v>-315.9</v>
      </c>
      <c r="F107" s="0" t="n">
        <v>-144.7</v>
      </c>
      <c r="G107" s="0" t="n">
        <v>0.666</v>
      </c>
      <c r="H107" s="0" t="n">
        <v>0.514</v>
      </c>
      <c r="I107" s="0" t="n">
        <v>0.844</v>
      </c>
      <c r="J107" s="0" t="s">
        <v>657</v>
      </c>
      <c r="K107" s="0" t="n">
        <v>0</v>
      </c>
      <c r="L107" s="0" t="n">
        <v>0</v>
      </c>
      <c r="M107" s="0" t="n">
        <v>-184</v>
      </c>
      <c r="N107" s="0" t="n">
        <v>-227</v>
      </c>
      <c r="O107" s="0" t="n">
        <v>-147</v>
      </c>
    </row>
    <row r="108" customFormat="false" ht="15" hidden="false" customHeight="false" outlineLevel="0" collapsed="false">
      <c r="A108" s="0" t="s">
        <v>664</v>
      </c>
      <c r="B108" s="0" t="n">
        <v>10</v>
      </c>
      <c r="C108" s="0" t="s">
        <v>658</v>
      </c>
      <c r="D108" s="0" t="n">
        <v>-292.1</v>
      </c>
      <c r="E108" s="0" t="n">
        <v>-380.2</v>
      </c>
      <c r="F108" s="0" t="n">
        <v>-223.7</v>
      </c>
      <c r="G108" s="0" t="n">
        <v>0.881</v>
      </c>
      <c r="H108" s="0" t="n">
        <v>0.795</v>
      </c>
      <c r="I108" s="0" t="n">
        <v>0.959</v>
      </c>
      <c r="J108" s="0" t="s">
        <v>657</v>
      </c>
      <c r="K108" s="0" t="n">
        <v>0</v>
      </c>
      <c r="L108" s="0" t="n">
        <v>0</v>
      </c>
      <c r="M108" s="0" t="n">
        <v>-184</v>
      </c>
      <c r="N108" s="0" t="n">
        <v>-227</v>
      </c>
      <c r="O108" s="0" t="n">
        <v>-147</v>
      </c>
    </row>
    <row r="109" customFormat="false" ht="15" hidden="false" customHeight="false" outlineLevel="0" collapsed="false">
      <c r="A109" s="0" t="s">
        <v>664</v>
      </c>
      <c r="B109" s="0" t="n">
        <v>10</v>
      </c>
      <c r="C109" s="0" t="s">
        <v>659</v>
      </c>
      <c r="D109" s="0" t="n">
        <v>-233.7</v>
      </c>
      <c r="E109" s="0" t="n">
        <v>-326.2</v>
      </c>
      <c r="F109" s="0" t="n">
        <v>-157.6</v>
      </c>
      <c r="G109" s="0" t="n">
        <v>0.703</v>
      </c>
      <c r="H109" s="0" t="n">
        <v>0.556</v>
      </c>
      <c r="I109" s="0" t="n">
        <v>0.86</v>
      </c>
      <c r="J109" s="0" t="s">
        <v>657</v>
      </c>
      <c r="K109" s="0" t="n">
        <v>0</v>
      </c>
      <c r="L109" s="0" t="n">
        <v>0</v>
      </c>
      <c r="M109" s="0" t="n">
        <v>-184</v>
      </c>
      <c r="N109" s="0" t="n">
        <v>-227</v>
      </c>
      <c r="O109" s="0" t="n">
        <v>-147</v>
      </c>
    </row>
    <row r="110" customFormat="false" ht="15" hidden="false" customHeight="false" outlineLevel="0" collapsed="false">
      <c r="A110" s="0" t="s">
        <v>664</v>
      </c>
      <c r="B110" s="0" t="n">
        <v>10</v>
      </c>
      <c r="C110" s="0" t="s">
        <v>660</v>
      </c>
      <c r="D110" s="0" t="n">
        <v>-221.8</v>
      </c>
      <c r="E110" s="0" t="n">
        <v>-315.9</v>
      </c>
      <c r="F110" s="0" t="n">
        <v>-144.7</v>
      </c>
      <c r="G110" s="0" t="n">
        <v>0.666</v>
      </c>
      <c r="H110" s="0" t="n">
        <v>0.514</v>
      </c>
      <c r="I110" s="0" t="n">
        <v>0.844</v>
      </c>
      <c r="J110" s="0" t="s">
        <v>657</v>
      </c>
      <c r="K110" s="0" t="n">
        <v>0</v>
      </c>
      <c r="L110" s="0" t="n">
        <v>0</v>
      </c>
      <c r="M110" s="0" t="n">
        <v>-184</v>
      </c>
      <c r="N110" s="0" t="n">
        <v>-227</v>
      </c>
      <c r="O110" s="0" t="n">
        <v>-147</v>
      </c>
    </row>
    <row r="111" customFormat="false" ht="15" hidden="false" customHeight="false" outlineLevel="0" collapsed="false">
      <c r="A111" s="0" t="s">
        <v>664</v>
      </c>
      <c r="B111" s="0" t="n">
        <v>20</v>
      </c>
      <c r="C111" s="0" t="s">
        <v>129</v>
      </c>
      <c r="D111" s="0" t="n">
        <v>-373.8</v>
      </c>
      <c r="E111" s="0" t="n">
        <v>-534.5</v>
      </c>
      <c r="F111" s="0" t="n">
        <v>-225.5</v>
      </c>
      <c r="G111" s="0" t="n">
        <v>0.694</v>
      </c>
      <c r="H111" s="0" t="n">
        <v>0.478</v>
      </c>
      <c r="I111" s="0" t="n">
        <v>0.877</v>
      </c>
      <c r="J111" s="0" t="s">
        <v>657</v>
      </c>
      <c r="K111" s="0" t="n">
        <v>0</v>
      </c>
      <c r="L111" s="0" t="n">
        <v>0</v>
      </c>
      <c r="M111" s="0" t="n">
        <v>-1249</v>
      </c>
      <c r="N111" s="0" t="n">
        <v>-1542</v>
      </c>
      <c r="O111" s="0" t="n">
        <v>-980</v>
      </c>
    </row>
    <row r="112" customFormat="false" ht="15" hidden="false" customHeight="false" outlineLevel="0" collapsed="false">
      <c r="A112" s="0" t="s">
        <v>664</v>
      </c>
      <c r="B112" s="0" t="n">
        <v>20</v>
      </c>
      <c r="C112" s="0" t="s">
        <v>602</v>
      </c>
      <c r="D112" s="0" t="n">
        <v>-204.9</v>
      </c>
      <c r="E112" s="0" t="n">
        <v>-414.4</v>
      </c>
      <c r="F112" s="0" t="n">
        <v>22.1</v>
      </c>
      <c r="G112" s="0" t="n">
        <v>0.38</v>
      </c>
      <c r="H112" s="0" t="n">
        <v>-0.044</v>
      </c>
      <c r="I112" s="0" t="n">
        <v>0.715</v>
      </c>
      <c r="J112" s="0" t="s">
        <v>657</v>
      </c>
      <c r="K112" s="0" t="n">
        <v>0</v>
      </c>
      <c r="L112" s="0" t="n">
        <v>0</v>
      </c>
      <c r="M112" s="0" t="n">
        <v>-1249</v>
      </c>
      <c r="N112" s="0" t="n">
        <v>-1542</v>
      </c>
      <c r="O112" s="0" t="n">
        <v>-980</v>
      </c>
    </row>
    <row r="113" customFormat="false" ht="15" hidden="false" customHeight="false" outlineLevel="0" collapsed="false">
      <c r="A113" s="0" t="s">
        <v>664</v>
      </c>
      <c r="B113" s="0" t="n">
        <v>20</v>
      </c>
      <c r="C113" s="0" t="s">
        <v>603</v>
      </c>
      <c r="D113" s="0" t="n">
        <v>-140.9</v>
      </c>
      <c r="E113" s="0" t="n">
        <v>-364.9</v>
      </c>
      <c r="F113" s="0" t="n">
        <v>114.4</v>
      </c>
      <c r="G113" s="0" t="n">
        <v>0.263</v>
      </c>
      <c r="H113" s="0" t="n">
        <v>-0.238</v>
      </c>
      <c r="I113" s="0" t="n">
        <v>0.625</v>
      </c>
      <c r="J113" s="0" t="s">
        <v>657</v>
      </c>
      <c r="K113" s="0" t="n">
        <v>0</v>
      </c>
      <c r="L113" s="0" t="n">
        <v>0</v>
      </c>
      <c r="M113" s="0" t="n">
        <v>-1249</v>
      </c>
      <c r="N113" s="0" t="n">
        <v>-1542</v>
      </c>
      <c r="O113" s="0" t="n">
        <v>-980</v>
      </c>
    </row>
    <row r="114" customFormat="false" ht="15" hidden="false" customHeight="false" outlineLevel="0" collapsed="false">
      <c r="A114" s="0" t="s">
        <v>664</v>
      </c>
      <c r="B114" s="0" t="n">
        <v>20</v>
      </c>
      <c r="C114" s="0" t="s">
        <v>658</v>
      </c>
      <c r="D114" s="0" t="n">
        <v>-373.8</v>
      </c>
      <c r="E114" s="0" t="n">
        <v>-534.5</v>
      </c>
      <c r="F114" s="0" t="n">
        <v>-225.5</v>
      </c>
      <c r="G114" s="0" t="n">
        <v>0.694</v>
      </c>
      <c r="H114" s="0" t="n">
        <v>0.478</v>
      </c>
      <c r="I114" s="0" t="n">
        <v>0.877</v>
      </c>
      <c r="J114" s="0" t="s">
        <v>657</v>
      </c>
      <c r="K114" s="0" t="n">
        <v>0</v>
      </c>
      <c r="L114" s="0" t="n">
        <v>0</v>
      </c>
      <c r="M114" s="0" t="n">
        <v>-1249</v>
      </c>
      <c r="N114" s="0" t="n">
        <v>-1542</v>
      </c>
      <c r="O114" s="0" t="n">
        <v>-980</v>
      </c>
    </row>
    <row r="115" customFormat="false" ht="15" hidden="false" customHeight="false" outlineLevel="0" collapsed="false">
      <c r="A115" s="0" t="s">
        <v>664</v>
      </c>
      <c r="B115" s="0" t="n">
        <v>20</v>
      </c>
      <c r="C115" s="0" t="s">
        <v>659</v>
      </c>
      <c r="D115" s="0" t="n">
        <v>-204.9</v>
      </c>
      <c r="E115" s="0" t="n">
        <v>-414.4</v>
      </c>
      <c r="F115" s="0" t="n">
        <v>22.1</v>
      </c>
      <c r="G115" s="0" t="n">
        <v>0.38</v>
      </c>
      <c r="H115" s="0" t="n">
        <v>-0.044</v>
      </c>
      <c r="I115" s="0" t="n">
        <v>0.715</v>
      </c>
      <c r="J115" s="0" t="s">
        <v>657</v>
      </c>
      <c r="K115" s="0" t="n">
        <v>0</v>
      </c>
      <c r="L115" s="0" t="n">
        <v>0</v>
      </c>
      <c r="M115" s="0" t="n">
        <v>-1249</v>
      </c>
      <c r="N115" s="0" t="n">
        <v>-1542</v>
      </c>
      <c r="O115" s="0" t="n">
        <v>-980</v>
      </c>
    </row>
    <row r="116" customFormat="false" ht="15" hidden="false" customHeight="false" outlineLevel="0" collapsed="false">
      <c r="A116" s="0" t="s">
        <v>664</v>
      </c>
      <c r="B116" s="0" t="n">
        <v>20</v>
      </c>
      <c r="C116" s="0" t="s">
        <v>660</v>
      </c>
      <c r="D116" s="0" t="n">
        <v>-140.9</v>
      </c>
      <c r="E116" s="0" t="n">
        <v>-364.9</v>
      </c>
      <c r="F116" s="0" t="n">
        <v>114.4</v>
      </c>
      <c r="G116" s="0" t="n">
        <v>0.263</v>
      </c>
      <c r="H116" s="0" t="n">
        <v>-0.238</v>
      </c>
      <c r="I116" s="0" t="n">
        <v>0.625</v>
      </c>
      <c r="J116" s="0" t="s">
        <v>657</v>
      </c>
      <c r="K116" s="0" t="n">
        <v>0</v>
      </c>
      <c r="L116" s="0" t="n">
        <v>0</v>
      </c>
      <c r="M116" s="0" t="n">
        <v>-1249</v>
      </c>
      <c r="N116" s="0" t="n">
        <v>-1542</v>
      </c>
      <c r="O116" s="0" t="n">
        <v>-980</v>
      </c>
    </row>
    <row r="117" customFormat="false" ht="15" hidden="false" customHeight="false" outlineLevel="0" collapsed="false">
      <c r="A117" s="0" t="s">
        <v>664</v>
      </c>
      <c r="B117" s="0" t="n">
        <v>50</v>
      </c>
      <c r="C117" s="0" t="s">
        <v>129</v>
      </c>
      <c r="D117" s="0" t="n">
        <v>-278</v>
      </c>
      <c r="E117" s="0" t="n">
        <v>-610.2</v>
      </c>
      <c r="F117" s="0" t="n">
        <v>154.7</v>
      </c>
      <c r="G117" s="0" t="n">
        <v>0.353</v>
      </c>
      <c r="H117" s="0" t="n">
        <v>-0.215</v>
      </c>
      <c r="I117" s="0" t="n">
        <v>0.705</v>
      </c>
      <c r="J117" s="0" t="s">
        <v>657</v>
      </c>
      <c r="K117" s="0" t="n">
        <v>0</v>
      </c>
      <c r="L117" s="0" t="n">
        <v>0</v>
      </c>
      <c r="M117" s="0" t="n">
        <v>-9697</v>
      </c>
      <c r="N117" s="0" t="n">
        <v>-11699</v>
      </c>
      <c r="O117" s="0" t="n">
        <v>-7728</v>
      </c>
    </row>
    <row r="118" customFormat="false" ht="15" hidden="false" customHeight="false" outlineLevel="0" collapsed="false">
      <c r="A118" s="0" t="s">
        <v>664</v>
      </c>
      <c r="B118" s="0" t="n">
        <v>50</v>
      </c>
      <c r="C118" s="0" t="s">
        <v>602</v>
      </c>
      <c r="D118" s="0" t="n">
        <v>296.6</v>
      </c>
      <c r="E118" s="0" t="n">
        <v>-208.1</v>
      </c>
      <c r="F118" s="0" t="n">
        <v>1029.6</v>
      </c>
      <c r="G118" s="0" t="n">
        <v>-0.381</v>
      </c>
      <c r="H118" s="0" t="n">
        <v>-1.368</v>
      </c>
      <c r="I118" s="0" t="n">
        <v>0.247</v>
      </c>
      <c r="J118" s="0" t="s">
        <v>657</v>
      </c>
      <c r="K118" s="0" t="n">
        <v>0</v>
      </c>
      <c r="L118" s="0" t="n">
        <v>0</v>
      </c>
      <c r="M118" s="0" t="n">
        <v>-9697</v>
      </c>
      <c r="N118" s="0" t="n">
        <v>-11699</v>
      </c>
      <c r="O118" s="0" t="n">
        <v>-7728</v>
      </c>
    </row>
    <row r="119" customFormat="false" ht="15" hidden="false" customHeight="false" outlineLevel="0" collapsed="false">
      <c r="A119" s="0" t="s">
        <v>664</v>
      </c>
      <c r="B119" s="0" t="n">
        <v>50</v>
      </c>
      <c r="C119" s="0" t="s">
        <v>603</v>
      </c>
      <c r="D119" s="0" t="n">
        <v>650.7</v>
      </c>
      <c r="E119" s="0" t="n">
        <v>62.7</v>
      </c>
      <c r="F119" s="0" t="n">
        <v>1439.8</v>
      </c>
      <c r="G119" s="0" t="n">
        <v>-0.835</v>
      </c>
      <c r="H119" s="0" t="n">
        <v>-1.889</v>
      </c>
      <c r="I119" s="0" t="n">
        <v>-0.08</v>
      </c>
      <c r="J119" s="0" t="s">
        <v>657</v>
      </c>
      <c r="K119" s="0" t="n">
        <v>0</v>
      </c>
      <c r="L119" s="0" t="n">
        <v>0</v>
      </c>
      <c r="M119" s="0" t="n">
        <v>-9697</v>
      </c>
      <c r="N119" s="0" t="n">
        <v>-11699</v>
      </c>
      <c r="O119" s="0" t="n">
        <v>-7728</v>
      </c>
    </row>
    <row r="120" customFormat="false" ht="15" hidden="false" customHeight="false" outlineLevel="0" collapsed="false">
      <c r="A120" s="0" t="s">
        <v>664</v>
      </c>
      <c r="B120" s="0" t="n">
        <v>50</v>
      </c>
      <c r="C120" s="0" t="s">
        <v>658</v>
      </c>
      <c r="D120" s="0" t="n">
        <v>-278</v>
      </c>
      <c r="E120" s="0" t="n">
        <v>-610.2</v>
      </c>
      <c r="F120" s="0" t="n">
        <v>154.7</v>
      </c>
      <c r="G120" s="0" t="n">
        <v>0.353</v>
      </c>
      <c r="H120" s="0" t="n">
        <v>-0.215</v>
      </c>
      <c r="I120" s="0" t="n">
        <v>0.705</v>
      </c>
      <c r="J120" s="0" t="s">
        <v>657</v>
      </c>
      <c r="K120" s="0" t="n">
        <v>0</v>
      </c>
      <c r="L120" s="0" t="n">
        <v>0</v>
      </c>
      <c r="M120" s="0" t="n">
        <v>-9697</v>
      </c>
      <c r="N120" s="0" t="n">
        <v>-11699</v>
      </c>
      <c r="O120" s="0" t="n">
        <v>-7728</v>
      </c>
    </row>
    <row r="121" customFormat="false" ht="15" hidden="false" customHeight="false" outlineLevel="0" collapsed="false">
      <c r="A121" s="0" t="s">
        <v>664</v>
      </c>
      <c r="B121" s="0" t="n">
        <v>50</v>
      </c>
      <c r="C121" s="0" t="s">
        <v>659</v>
      </c>
      <c r="D121" s="0" t="n">
        <v>296.6</v>
      </c>
      <c r="E121" s="0" t="n">
        <v>-208.1</v>
      </c>
      <c r="F121" s="0" t="n">
        <v>1029.6</v>
      </c>
      <c r="G121" s="0" t="n">
        <v>-0.381</v>
      </c>
      <c r="H121" s="0" t="n">
        <v>-1.368</v>
      </c>
      <c r="I121" s="0" t="n">
        <v>0.247</v>
      </c>
      <c r="J121" s="0" t="s">
        <v>657</v>
      </c>
      <c r="K121" s="0" t="n">
        <v>0</v>
      </c>
      <c r="L121" s="0" t="n">
        <v>0</v>
      </c>
      <c r="M121" s="0" t="n">
        <v>-9697</v>
      </c>
      <c r="N121" s="0" t="n">
        <v>-11699</v>
      </c>
      <c r="O121" s="0" t="n">
        <v>-7728</v>
      </c>
    </row>
    <row r="122" customFormat="false" ht="15" hidden="false" customHeight="false" outlineLevel="0" collapsed="false">
      <c r="A122" s="0" t="s">
        <v>664</v>
      </c>
      <c r="B122" s="0" t="n">
        <v>50</v>
      </c>
      <c r="C122" s="0" t="s">
        <v>660</v>
      </c>
      <c r="D122" s="0" t="n">
        <v>650.7</v>
      </c>
      <c r="E122" s="0" t="n">
        <v>62.7</v>
      </c>
      <c r="F122" s="0" t="n">
        <v>1439.8</v>
      </c>
      <c r="G122" s="0" t="n">
        <v>-0.835</v>
      </c>
      <c r="H122" s="0" t="n">
        <v>-1.889</v>
      </c>
      <c r="I122" s="0" t="n">
        <v>-0.08</v>
      </c>
      <c r="J122" s="0" t="s">
        <v>657</v>
      </c>
      <c r="K122" s="0" t="n">
        <v>0</v>
      </c>
      <c r="L122" s="0" t="n">
        <v>0</v>
      </c>
      <c r="M122" s="0" t="n">
        <v>-9697</v>
      </c>
      <c r="N122" s="0" t="n">
        <v>-11699</v>
      </c>
      <c r="O122" s="0" t="n">
        <v>-7728</v>
      </c>
    </row>
    <row r="123" customFormat="false" ht="15" hidden="false" customHeight="false" outlineLevel="0" collapsed="false">
      <c r="A123" s="0" t="s">
        <v>665</v>
      </c>
      <c r="B123" s="0" t="n">
        <v>5</v>
      </c>
      <c r="C123" s="0" t="s">
        <v>129</v>
      </c>
      <c r="D123" s="0" t="n">
        <v>-496.7</v>
      </c>
      <c r="E123" s="0" t="n">
        <v>-659.4</v>
      </c>
      <c r="F123" s="0" t="n">
        <v>-372.1</v>
      </c>
      <c r="G123" s="0" t="n">
        <v>0.799</v>
      </c>
      <c r="H123" s="0" t="n">
        <v>0.717</v>
      </c>
      <c r="I123" s="0" t="n">
        <v>0.864</v>
      </c>
      <c r="J123" s="0" t="s">
        <v>657</v>
      </c>
      <c r="K123" s="0" t="n">
        <v>0</v>
      </c>
      <c r="L123" s="0" t="n">
        <v>0</v>
      </c>
      <c r="M123" s="0" t="n">
        <v>-78</v>
      </c>
      <c r="N123" s="0" t="n">
        <v>-97</v>
      </c>
      <c r="O123" s="0" t="n">
        <v>-62</v>
      </c>
    </row>
    <row r="124" customFormat="false" ht="15" hidden="false" customHeight="false" outlineLevel="0" collapsed="false">
      <c r="A124" s="0" t="s">
        <v>665</v>
      </c>
      <c r="B124" s="0" t="n">
        <v>5</v>
      </c>
      <c r="C124" s="0" t="s">
        <v>602</v>
      </c>
      <c r="D124" s="0" t="n">
        <v>-381.6</v>
      </c>
      <c r="E124" s="0" t="n">
        <v>-546.8</v>
      </c>
      <c r="F124" s="0" t="n">
        <v>-251</v>
      </c>
      <c r="G124" s="0" t="n">
        <v>0.617</v>
      </c>
      <c r="H124" s="0" t="n">
        <v>0.48</v>
      </c>
      <c r="I124" s="0" t="n">
        <v>0.724</v>
      </c>
      <c r="J124" s="0" t="s">
        <v>657</v>
      </c>
      <c r="K124" s="0" t="n">
        <v>0</v>
      </c>
      <c r="L124" s="0" t="n">
        <v>0</v>
      </c>
      <c r="M124" s="0" t="n">
        <v>-78</v>
      </c>
      <c r="N124" s="0" t="n">
        <v>-97</v>
      </c>
      <c r="O124" s="0" t="n">
        <v>-62</v>
      </c>
    </row>
    <row r="125" customFormat="false" ht="15" hidden="false" customHeight="false" outlineLevel="0" collapsed="false">
      <c r="A125" s="0" t="s">
        <v>665</v>
      </c>
      <c r="B125" s="0" t="n">
        <v>5</v>
      </c>
      <c r="C125" s="0" t="s">
        <v>603</v>
      </c>
      <c r="D125" s="0" t="n">
        <v>-390.1</v>
      </c>
      <c r="E125" s="0" t="n">
        <v>-556.6</v>
      </c>
      <c r="F125" s="0" t="n">
        <v>-263.8</v>
      </c>
      <c r="G125" s="0" t="n">
        <v>0.631</v>
      </c>
      <c r="H125" s="0" t="n">
        <v>0.501</v>
      </c>
      <c r="I125" s="0" t="n">
        <v>0.731</v>
      </c>
      <c r="J125" s="0" t="s">
        <v>657</v>
      </c>
      <c r="K125" s="0" t="n">
        <v>0</v>
      </c>
      <c r="L125" s="0" t="n">
        <v>0</v>
      </c>
      <c r="M125" s="0" t="n">
        <v>-78</v>
      </c>
      <c r="N125" s="0" t="n">
        <v>-97</v>
      </c>
      <c r="O125" s="0" t="n">
        <v>-62</v>
      </c>
    </row>
    <row r="126" customFormat="false" ht="15" hidden="false" customHeight="false" outlineLevel="0" collapsed="false">
      <c r="A126" s="0" t="s">
        <v>665</v>
      </c>
      <c r="B126" s="0" t="n">
        <v>5</v>
      </c>
      <c r="C126" s="0" t="s">
        <v>658</v>
      </c>
      <c r="D126" s="0" t="n">
        <v>-496.7</v>
      </c>
      <c r="E126" s="0" t="n">
        <v>-659.4</v>
      </c>
      <c r="F126" s="0" t="n">
        <v>-372.1</v>
      </c>
      <c r="G126" s="0" t="n">
        <v>0.799</v>
      </c>
      <c r="H126" s="0" t="n">
        <v>0.717</v>
      </c>
      <c r="I126" s="0" t="n">
        <v>0.864</v>
      </c>
      <c r="J126" s="0" t="s">
        <v>657</v>
      </c>
      <c r="K126" s="0" t="n">
        <v>0</v>
      </c>
      <c r="L126" s="0" t="n">
        <v>0</v>
      </c>
      <c r="M126" s="0" t="n">
        <v>-78</v>
      </c>
      <c r="N126" s="0" t="n">
        <v>-97</v>
      </c>
      <c r="O126" s="0" t="n">
        <v>-62</v>
      </c>
    </row>
    <row r="127" customFormat="false" ht="15" hidden="false" customHeight="false" outlineLevel="0" collapsed="false">
      <c r="A127" s="0" t="s">
        <v>665</v>
      </c>
      <c r="B127" s="0" t="n">
        <v>5</v>
      </c>
      <c r="C127" s="0" t="s">
        <v>659</v>
      </c>
      <c r="D127" s="0" t="n">
        <v>-381.6</v>
      </c>
      <c r="E127" s="0" t="n">
        <v>-546.8</v>
      </c>
      <c r="F127" s="0" t="n">
        <v>-251</v>
      </c>
      <c r="G127" s="0" t="n">
        <v>0.617</v>
      </c>
      <c r="H127" s="0" t="n">
        <v>0.48</v>
      </c>
      <c r="I127" s="0" t="n">
        <v>0.724</v>
      </c>
      <c r="J127" s="0" t="s">
        <v>657</v>
      </c>
      <c r="K127" s="0" t="n">
        <v>0</v>
      </c>
      <c r="L127" s="0" t="n">
        <v>0</v>
      </c>
      <c r="M127" s="0" t="n">
        <v>-78</v>
      </c>
      <c r="N127" s="0" t="n">
        <v>-97</v>
      </c>
      <c r="O127" s="0" t="n">
        <v>-62</v>
      </c>
    </row>
    <row r="128" customFormat="false" ht="15" hidden="false" customHeight="false" outlineLevel="0" collapsed="false">
      <c r="A128" s="0" t="s">
        <v>665</v>
      </c>
      <c r="B128" s="0" t="n">
        <v>5</v>
      </c>
      <c r="C128" s="0" t="s">
        <v>660</v>
      </c>
      <c r="D128" s="0" t="n">
        <v>-390.1</v>
      </c>
      <c r="E128" s="0" t="n">
        <v>-556.6</v>
      </c>
      <c r="F128" s="0" t="n">
        <v>-263.8</v>
      </c>
      <c r="G128" s="0" t="n">
        <v>0.631</v>
      </c>
      <c r="H128" s="0" t="n">
        <v>0.501</v>
      </c>
      <c r="I128" s="0" t="n">
        <v>0.731</v>
      </c>
      <c r="J128" s="0" t="s">
        <v>657</v>
      </c>
      <c r="K128" s="0" t="n">
        <v>0</v>
      </c>
      <c r="L128" s="0" t="n">
        <v>0</v>
      </c>
      <c r="M128" s="0" t="n">
        <v>-78</v>
      </c>
      <c r="N128" s="0" t="n">
        <v>-97</v>
      </c>
      <c r="O128" s="0" t="n">
        <v>-62</v>
      </c>
    </row>
    <row r="129" customFormat="false" ht="15" hidden="false" customHeight="false" outlineLevel="0" collapsed="false">
      <c r="A129" s="0" t="s">
        <v>665</v>
      </c>
      <c r="B129" s="0" t="n">
        <v>10</v>
      </c>
      <c r="C129" s="0" t="s">
        <v>129</v>
      </c>
      <c r="D129" s="0" t="n">
        <v>-635.4</v>
      </c>
      <c r="E129" s="0" t="n">
        <v>-938.1</v>
      </c>
      <c r="F129" s="0" t="n">
        <v>-387.3</v>
      </c>
      <c r="G129" s="0" t="n">
        <v>0.577</v>
      </c>
      <c r="H129" s="0" t="n">
        <v>0.415</v>
      </c>
      <c r="I129" s="0" t="n">
        <v>0.7</v>
      </c>
      <c r="J129" s="0" t="s">
        <v>657</v>
      </c>
      <c r="K129" s="0" t="n">
        <v>0</v>
      </c>
      <c r="L129" s="0" t="n">
        <v>0</v>
      </c>
      <c r="M129" s="0" t="n">
        <v>-618</v>
      </c>
      <c r="N129" s="0" t="n">
        <v>-761</v>
      </c>
      <c r="O129" s="0" t="n">
        <v>-493</v>
      </c>
    </row>
    <row r="130" customFormat="false" ht="15" hidden="false" customHeight="false" outlineLevel="0" collapsed="false">
      <c r="A130" s="0" t="s">
        <v>665</v>
      </c>
      <c r="B130" s="0" t="n">
        <v>10</v>
      </c>
      <c r="C130" s="0" t="s">
        <v>602</v>
      </c>
      <c r="D130" s="0" t="n">
        <v>-223.1</v>
      </c>
      <c r="E130" s="0" t="n">
        <v>-563.5</v>
      </c>
      <c r="F130" s="0" t="n">
        <v>75.8</v>
      </c>
      <c r="G130" s="0" t="n">
        <v>0.201</v>
      </c>
      <c r="H130" s="0" t="n">
        <v>-0.077</v>
      </c>
      <c r="I130" s="0" t="n">
        <v>0.423</v>
      </c>
      <c r="J130" s="0" t="s">
        <v>657</v>
      </c>
      <c r="K130" s="0" t="n">
        <v>0</v>
      </c>
      <c r="L130" s="0" t="n">
        <v>0</v>
      </c>
      <c r="M130" s="0" t="n">
        <v>-618</v>
      </c>
      <c r="N130" s="0" t="n">
        <v>-761</v>
      </c>
      <c r="O130" s="0" t="n">
        <v>-493</v>
      </c>
    </row>
    <row r="131" customFormat="false" ht="15" hidden="false" customHeight="false" outlineLevel="0" collapsed="false">
      <c r="A131" s="0" t="s">
        <v>665</v>
      </c>
      <c r="B131" s="0" t="n">
        <v>10</v>
      </c>
      <c r="C131" s="0" t="s">
        <v>603</v>
      </c>
      <c r="D131" s="0" t="n">
        <v>-218</v>
      </c>
      <c r="E131" s="0" t="n">
        <v>-552.8</v>
      </c>
      <c r="F131" s="0" t="n">
        <v>73.3</v>
      </c>
      <c r="G131" s="0" t="n">
        <v>0.194</v>
      </c>
      <c r="H131" s="0" t="n">
        <v>-0.079</v>
      </c>
      <c r="I131" s="0" t="n">
        <v>0.42</v>
      </c>
      <c r="J131" s="0" t="s">
        <v>657</v>
      </c>
      <c r="K131" s="0" t="n">
        <v>0</v>
      </c>
      <c r="L131" s="0" t="n">
        <v>0</v>
      </c>
      <c r="M131" s="0" t="n">
        <v>-618</v>
      </c>
      <c r="N131" s="0" t="n">
        <v>-761</v>
      </c>
      <c r="O131" s="0" t="n">
        <v>-493</v>
      </c>
    </row>
    <row r="132" customFormat="false" ht="15" hidden="false" customHeight="false" outlineLevel="0" collapsed="false">
      <c r="A132" s="0" t="s">
        <v>665</v>
      </c>
      <c r="B132" s="0" t="n">
        <v>10</v>
      </c>
      <c r="C132" s="0" t="s">
        <v>658</v>
      </c>
      <c r="D132" s="0" t="n">
        <v>-635.4</v>
      </c>
      <c r="E132" s="0" t="n">
        <v>-938.1</v>
      </c>
      <c r="F132" s="0" t="n">
        <v>-387.3</v>
      </c>
      <c r="G132" s="0" t="n">
        <v>0.577</v>
      </c>
      <c r="H132" s="0" t="n">
        <v>0.415</v>
      </c>
      <c r="I132" s="0" t="n">
        <v>0.7</v>
      </c>
      <c r="J132" s="0" t="s">
        <v>657</v>
      </c>
      <c r="K132" s="0" t="n">
        <v>0</v>
      </c>
      <c r="L132" s="0" t="n">
        <v>0</v>
      </c>
      <c r="M132" s="0" t="n">
        <v>-618</v>
      </c>
      <c r="N132" s="0" t="n">
        <v>-761</v>
      </c>
      <c r="O132" s="0" t="n">
        <v>-493</v>
      </c>
    </row>
    <row r="133" customFormat="false" ht="15" hidden="false" customHeight="false" outlineLevel="0" collapsed="false">
      <c r="A133" s="0" t="s">
        <v>665</v>
      </c>
      <c r="B133" s="0" t="n">
        <v>10</v>
      </c>
      <c r="C133" s="0" t="s">
        <v>659</v>
      </c>
      <c r="D133" s="0" t="n">
        <v>-223.1</v>
      </c>
      <c r="E133" s="0" t="n">
        <v>-563.5</v>
      </c>
      <c r="F133" s="0" t="n">
        <v>75.8</v>
      </c>
      <c r="G133" s="0" t="n">
        <v>0.201</v>
      </c>
      <c r="H133" s="0" t="n">
        <v>-0.077</v>
      </c>
      <c r="I133" s="0" t="n">
        <v>0.423</v>
      </c>
      <c r="J133" s="0" t="s">
        <v>657</v>
      </c>
      <c r="K133" s="0" t="n">
        <v>0</v>
      </c>
      <c r="L133" s="0" t="n">
        <v>0</v>
      </c>
      <c r="M133" s="0" t="n">
        <v>-618</v>
      </c>
      <c r="N133" s="0" t="n">
        <v>-761</v>
      </c>
      <c r="O133" s="0" t="n">
        <v>-493</v>
      </c>
    </row>
    <row r="134" customFormat="false" ht="15" hidden="false" customHeight="false" outlineLevel="0" collapsed="false">
      <c r="A134" s="0" t="s">
        <v>665</v>
      </c>
      <c r="B134" s="0" t="n">
        <v>10</v>
      </c>
      <c r="C134" s="0" t="s">
        <v>660</v>
      </c>
      <c r="D134" s="0" t="n">
        <v>-218</v>
      </c>
      <c r="E134" s="0" t="n">
        <v>-552.8</v>
      </c>
      <c r="F134" s="0" t="n">
        <v>73.3</v>
      </c>
      <c r="G134" s="0" t="n">
        <v>0.194</v>
      </c>
      <c r="H134" s="0" t="n">
        <v>-0.079</v>
      </c>
      <c r="I134" s="0" t="n">
        <v>0.42</v>
      </c>
      <c r="J134" s="0" t="s">
        <v>657</v>
      </c>
      <c r="K134" s="0" t="n">
        <v>0</v>
      </c>
      <c r="L134" s="0" t="n">
        <v>0</v>
      </c>
      <c r="M134" s="0" t="n">
        <v>-618</v>
      </c>
      <c r="N134" s="0" t="n">
        <v>-761</v>
      </c>
      <c r="O134" s="0" t="n">
        <v>-493</v>
      </c>
    </row>
    <row r="135" customFormat="false" ht="15" hidden="false" customHeight="false" outlineLevel="0" collapsed="false">
      <c r="A135" s="0" t="s">
        <v>665</v>
      </c>
      <c r="B135" s="0" t="n">
        <v>20</v>
      </c>
      <c r="C135" s="0" t="s">
        <v>129</v>
      </c>
      <c r="D135" s="0" t="n">
        <v>-209</v>
      </c>
      <c r="E135" s="0" t="n">
        <v>-758.2</v>
      </c>
      <c r="F135" s="0" t="n">
        <v>313.7</v>
      </c>
      <c r="G135" s="0" t="n">
        <v>0.118</v>
      </c>
      <c r="H135" s="0" t="n">
        <v>-0.202</v>
      </c>
      <c r="I135" s="0" t="n">
        <v>0.359</v>
      </c>
      <c r="J135" s="0" t="s">
        <v>657</v>
      </c>
      <c r="K135" s="0" t="n">
        <v>0</v>
      </c>
      <c r="L135" s="0" t="n">
        <v>0</v>
      </c>
      <c r="M135" s="0" t="n">
        <v>-4255</v>
      </c>
      <c r="N135" s="0" t="n">
        <v>-5253</v>
      </c>
      <c r="O135" s="0" t="n">
        <v>-3342</v>
      </c>
    </row>
    <row r="136" customFormat="false" ht="15" hidden="false" customHeight="false" outlineLevel="0" collapsed="false">
      <c r="A136" s="0" t="s">
        <v>665</v>
      </c>
      <c r="B136" s="0" t="n">
        <v>20</v>
      </c>
      <c r="C136" s="0" t="s">
        <v>602</v>
      </c>
      <c r="D136" s="0" t="n">
        <v>965.1</v>
      </c>
      <c r="E136" s="0" t="n">
        <v>254</v>
      </c>
      <c r="F136" s="0" t="n">
        <v>1782</v>
      </c>
      <c r="G136" s="0" t="n">
        <v>-0.546</v>
      </c>
      <c r="H136" s="0" t="n">
        <v>-1.111</v>
      </c>
      <c r="I136" s="0" t="n">
        <v>-0.126</v>
      </c>
      <c r="J136" s="0" t="s">
        <v>657</v>
      </c>
      <c r="K136" s="0" t="n">
        <v>0</v>
      </c>
      <c r="L136" s="0" t="n">
        <v>0</v>
      </c>
      <c r="M136" s="0" t="n">
        <v>-4255</v>
      </c>
      <c r="N136" s="0" t="n">
        <v>-5253</v>
      </c>
      <c r="O136" s="0" t="n">
        <v>-3342</v>
      </c>
    </row>
    <row r="137" customFormat="false" ht="15" hidden="false" customHeight="false" outlineLevel="0" collapsed="false">
      <c r="A137" s="0" t="s">
        <v>665</v>
      </c>
      <c r="B137" s="0" t="n">
        <v>20</v>
      </c>
      <c r="C137" s="0" t="s">
        <v>603</v>
      </c>
      <c r="D137" s="0" t="n">
        <v>1093.7</v>
      </c>
      <c r="E137" s="0" t="n">
        <v>346</v>
      </c>
      <c r="F137" s="0" t="n">
        <v>1959.1</v>
      </c>
      <c r="G137" s="0" t="n">
        <v>-0.616</v>
      </c>
      <c r="H137" s="0" t="n">
        <v>-1.217</v>
      </c>
      <c r="I137" s="0" t="n">
        <v>-0.165</v>
      </c>
      <c r="J137" s="0" t="s">
        <v>657</v>
      </c>
      <c r="K137" s="0" t="n">
        <v>0</v>
      </c>
      <c r="L137" s="0" t="n">
        <v>0</v>
      </c>
      <c r="M137" s="0" t="n">
        <v>-4255</v>
      </c>
      <c r="N137" s="0" t="n">
        <v>-5253</v>
      </c>
      <c r="O137" s="0" t="n">
        <v>-3342</v>
      </c>
    </row>
    <row r="138" customFormat="false" ht="15" hidden="false" customHeight="false" outlineLevel="0" collapsed="false">
      <c r="A138" s="0" t="s">
        <v>665</v>
      </c>
      <c r="B138" s="0" t="n">
        <v>20</v>
      </c>
      <c r="C138" s="0" t="s">
        <v>658</v>
      </c>
      <c r="D138" s="0" t="n">
        <v>-209</v>
      </c>
      <c r="E138" s="0" t="n">
        <v>-758.2</v>
      </c>
      <c r="F138" s="0" t="n">
        <v>313.7</v>
      </c>
      <c r="G138" s="0" t="n">
        <v>0.118</v>
      </c>
      <c r="H138" s="0" t="n">
        <v>-0.202</v>
      </c>
      <c r="I138" s="0" t="n">
        <v>0.359</v>
      </c>
      <c r="J138" s="0" t="s">
        <v>657</v>
      </c>
      <c r="K138" s="0" t="n">
        <v>0</v>
      </c>
      <c r="L138" s="0" t="n">
        <v>0</v>
      </c>
      <c r="M138" s="0" t="n">
        <v>-4255</v>
      </c>
      <c r="N138" s="0" t="n">
        <v>-5253</v>
      </c>
      <c r="O138" s="0" t="n">
        <v>-3342</v>
      </c>
    </row>
    <row r="139" customFormat="false" ht="15" hidden="false" customHeight="false" outlineLevel="0" collapsed="false">
      <c r="A139" s="0" t="s">
        <v>665</v>
      </c>
      <c r="B139" s="0" t="n">
        <v>20</v>
      </c>
      <c r="C139" s="0" t="s">
        <v>659</v>
      </c>
      <c r="D139" s="0" t="n">
        <v>965.1</v>
      </c>
      <c r="E139" s="0" t="n">
        <v>254</v>
      </c>
      <c r="F139" s="0" t="n">
        <v>1782</v>
      </c>
      <c r="G139" s="0" t="n">
        <v>-0.546</v>
      </c>
      <c r="H139" s="0" t="n">
        <v>-1.111</v>
      </c>
      <c r="I139" s="0" t="n">
        <v>-0.126</v>
      </c>
      <c r="J139" s="0" t="s">
        <v>657</v>
      </c>
      <c r="K139" s="0" t="n">
        <v>0</v>
      </c>
      <c r="L139" s="0" t="n">
        <v>0</v>
      </c>
      <c r="M139" s="0" t="n">
        <v>-4255</v>
      </c>
      <c r="N139" s="0" t="n">
        <v>-5253</v>
      </c>
      <c r="O139" s="0" t="n">
        <v>-3342</v>
      </c>
    </row>
    <row r="140" customFormat="false" ht="15" hidden="false" customHeight="false" outlineLevel="0" collapsed="false">
      <c r="A140" s="0" t="s">
        <v>665</v>
      </c>
      <c r="B140" s="0" t="n">
        <v>20</v>
      </c>
      <c r="C140" s="0" t="s">
        <v>660</v>
      </c>
      <c r="D140" s="0" t="n">
        <v>1093.7</v>
      </c>
      <c r="E140" s="0" t="n">
        <v>346</v>
      </c>
      <c r="F140" s="0" t="n">
        <v>1959.1</v>
      </c>
      <c r="G140" s="0" t="n">
        <v>-0.616</v>
      </c>
      <c r="H140" s="0" t="n">
        <v>-1.217</v>
      </c>
      <c r="I140" s="0" t="n">
        <v>-0.165</v>
      </c>
      <c r="J140" s="0" t="s">
        <v>657</v>
      </c>
      <c r="K140" s="0" t="n">
        <v>0</v>
      </c>
      <c r="L140" s="0" t="n">
        <v>0</v>
      </c>
      <c r="M140" s="0" t="n">
        <v>-4255</v>
      </c>
      <c r="N140" s="0" t="n">
        <v>-5253</v>
      </c>
      <c r="O140" s="0" t="n">
        <v>-3342</v>
      </c>
    </row>
    <row r="141" customFormat="false" ht="15" hidden="false" customHeight="false" outlineLevel="0" collapsed="false">
      <c r="A141" s="0" t="s">
        <v>665</v>
      </c>
      <c r="B141" s="0" t="n">
        <v>50</v>
      </c>
      <c r="C141" s="0" t="s">
        <v>129</v>
      </c>
      <c r="D141" s="0" t="n">
        <v>2066.1</v>
      </c>
      <c r="E141" s="0" t="n">
        <v>922.5</v>
      </c>
      <c r="F141" s="0" t="n">
        <v>3307.9</v>
      </c>
      <c r="G141" s="0" t="n">
        <v>-0.79</v>
      </c>
      <c r="H141" s="0" t="n">
        <v>-1.429</v>
      </c>
      <c r="I141" s="0" t="n">
        <v>-0.306</v>
      </c>
      <c r="J141" s="0" t="s">
        <v>657</v>
      </c>
      <c r="K141" s="0" t="n">
        <v>0</v>
      </c>
      <c r="L141" s="0" t="n">
        <v>0</v>
      </c>
      <c r="M141" s="0" t="n">
        <v>-34451</v>
      </c>
      <c r="N141" s="0" t="n">
        <v>-41845</v>
      </c>
      <c r="O141" s="0" t="n">
        <v>-27394</v>
      </c>
    </row>
    <row r="142" customFormat="false" ht="15" hidden="false" customHeight="false" outlineLevel="0" collapsed="false">
      <c r="A142" s="0" t="s">
        <v>665</v>
      </c>
      <c r="B142" s="0" t="n">
        <v>50</v>
      </c>
      <c r="C142" s="0" t="s">
        <v>602</v>
      </c>
      <c r="D142" s="0" t="n">
        <v>5819.6</v>
      </c>
      <c r="E142" s="0" t="n">
        <v>4112.3</v>
      </c>
      <c r="F142" s="0" t="n">
        <v>7923.8</v>
      </c>
      <c r="G142" s="0" t="n">
        <v>-2.237</v>
      </c>
      <c r="H142" s="0" t="n">
        <v>-3.369</v>
      </c>
      <c r="I142" s="0" t="n">
        <v>-1.37</v>
      </c>
      <c r="J142" s="0" t="s">
        <v>657</v>
      </c>
      <c r="K142" s="0" t="n">
        <v>0</v>
      </c>
      <c r="L142" s="0" t="n">
        <v>0</v>
      </c>
      <c r="M142" s="0" t="n">
        <v>-34451</v>
      </c>
      <c r="N142" s="0" t="n">
        <v>-41845</v>
      </c>
      <c r="O142" s="0" t="n">
        <v>-27394</v>
      </c>
    </row>
    <row r="143" customFormat="false" ht="15" hidden="false" customHeight="false" outlineLevel="0" collapsed="false">
      <c r="A143" s="0" t="s">
        <v>665</v>
      </c>
      <c r="B143" s="0" t="n">
        <v>50</v>
      </c>
      <c r="C143" s="0" t="s">
        <v>603</v>
      </c>
      <c r="D143" s="0" t="n">
        <v>6704.4</v>
      </c>
      <c r="E143" s="0" t="n">
        <v>4834.8</v>
      </c>
      <c r="F143" s="0" t="n">
        <v>8978.8</v>
      </c>
      <c r="G143" s="0" t="n">
        <v>-2.582</v>
      </c>
      <c r="H143" s="0" t="n">
        <v>-3.788</v>
      </c>
      <c r="I143" s="0" t="n">
        <v>-1.61</v>
      </c>
      <c r="J143" s="0" t="s">
        <v>657</v>
      </c>
      <c r="K143" s="0" t="n">
        <v>0</v>
      </c>
      <c r="L143" s="0" t="n">
        <v>0</v>
      </c>
      <c r="M143" s="0" t="n">
        <v>-34451</v>
      </c>
      <c r="N143" s="0" t="n">
        <v>-41845</v>
      </c>
      <c r="O143" s="0" t="n">
        <v>-27394</v>
      </c>
    </row>
    <row r="144" customFormat="false" ht="15" hidden="false" customHeight="false" outlineLevel="0" collapsed="false">
      <c r="A144" s="0" t="s">
        <v>665</v>
      </c>
      <c r="B144" s="0" t="n">
        <v>50</v>
      </c>
      <c r="C144" s="0" t="s">
        <v>658</v>
      </c>
      <c r="D144" s="0" t="n">
        <v>2066.1</v>
      </c>
      <c r="E144" s="0" t="n">
        <v>922.5</v>
      </c>
      <c r="F144" s="0" t="n">
        <v>3307.9</v>
      </c>
      <c r="G144" s="0" t="n">
        <v>-0.79</v>
      </c>
      <c r="H144" s="0" t="n">
        <v>-1.429</v>
      </c>
      <c r="I144" s="0" t="n">
        <v>-0.306</v>
      </c>
      <c r="J144" s="0" t="s">
        <v>657</v>
      </c>
      <c r="K144" s="0" t="n">
        <v>0</v>
      </c>
      <c r="L144" s="0" t="n">
        <v>0</v>
      </c>
      <c r="M144" s="0" t="n">
        <v>-34451</v>
      </c>
      <c r="N144" s="0" t="n">
        <v>-41845</v>
      </c>
      <c r="O144" s="0" t="n">
        <v>-27394</v>
      </c>
    </row>
    <row r="145" customFormat="false" ht="15" hidden="false" customHeight="false" outlineLevel="0" collapsed="false">
      <c r="A145" s="0" t="s">
        <v>665</v>
      </c>
      <c r="B145" s="0" t="n">
        <v>50</v>
      </c>
      <c r="C145" s="0" t="s">
        <v>659</v>
      </c>
      <c r="D145" s="0" t="n">
        <v>5819.6</v>
      </c>
      <c r="E145" s="0" t="n">
        <v>4112.3</v>
      </c>
      <c r="F145" s="0" t="n">
        <v>7923.8</v>
      </c>
      <c r="G145" s="0" t="n">
        <v>-2.237</v>
      </c>
      <c r="H145" s="0" t="n">
        <v>-3.369</v>
      </c>
      <c r="I145" s="0" t="n">
        <v>-1.37</v>
      </c>
      <c r="J145" s="0" t="s">
        <v>657</v>
      </c>
      <c r="K145" s="0" t="n">
        <v>0</v>
      </c>
      <c r="L145" s="0" t="n">
        <v>0</v>
      </c>
      <c r="M145" s="0" t="n">
        <v>-34451</v>
      </c>
      <c r="N145" s="0" t="n">
        <v>-41845</v>
      </c>
      <c r="O145" s="0" t="n">
        <v>-27394</v>
      </c>
    </row>
    <row r="146" customFormat="false" ht="15" hidden="false" customHeight="false" outlineLevel="0" collapsed="false">
      <c r="A146" s="0" t="s">
        <v>665</v>
      </c>
      <c r="B146" s="0" t="n">
        <v>50</v>
      </c>
      <c r="C146" s="0" t="s">
        <v>660</v>
      </c>
      <c r="D146" s="0" t="n">
        <v>6704.4</v>
      </c>
      <c r="E146" s="0" t="n">
        <v>4834.8</v>
      </c>
      <c r="F146" s="0" t="n">
        <v>8978.8</v>
      </c>
      <c r="G146" s="0" t="n">
        <v>-2.582</v>
      </c>
      <c r="H146" s="0" t="n">
        <v>-3.788</v>
      </c>
      <c r="I146" s="0" t="n">
        <v>-1.61</v>
      </c>
      <c r="J146" s="0" t="s">
        <v>657</v>
      </c>
      <c r="K146" s="0" t="n">
        <v>0</v>
      </c>
      <c r="L146" s="0" t="n">
        <v>0</v>
      </c>
      <c r="M146" s="0" t="n">
        <v>-34451</v>
      </c>
      <c r="N146" s="0" t="n">
        <v>-41845</v>
      </c>
      <c r="O146" s="0" t="n">
        <v>-27394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0" t="s">
        <v>666</v>
      </c>
    </row>
    <row r="2" customFormat="false" ht="15" hidden="false" customHeight="false" outlineLevel="0" collapsed="false">
      <c r="A2" s="0" t="s">
        <v>667</v>
      </c>
    </row>
    <row r="3" customFormat="false" ht="15" hidden="false" customHeight="false" outlineLevel="0" collapsed="false">
      <c r="A3" s="0" t="s">
        <v>668</v>
      </c>
    </row>
    <row r="4" customFormat="false" ht="15" hidden="false" customHeight="false" outlineLevel="0" collapsed="false">
      <c r="A4" s="0" t="s">
        <v>669</v>
      </c>
    </row>
    <row r="5" customFormat="false" ht="15" hidden="false" customHeight="false" outlineLevel="0" collapsed="false">
      <c r="A5" s="0" t="s">
        <v>670</v>
      </c>
    </row>
    <row r="6" customFormat="false" ht="15" hidden="false" customHeight="false" outlineLevel="0" collapsed="false">
      <c r="A6" s="0" t="s">
        <v>671</v>
      </c>
    </row>
    <row r="7" customFormat="false" ht="15" hidden="false" customHeight="false" outlineLevel="0" collapsed="false">
      <c r="A7" s="0" t="s">
        <v>672</v>
      </c>
    </row>
    <row r="8" customFormat="false" ht="15" hidden="false" customHeight="false" outlineLevel="0" collapsed="false">
      <c r="A8" s="0" t="s">
        <v>673</v>
      </c>
    </row>
    <row r="9" customFormat="false" ht="15" hidden="false" customHeight="false" outlineLevel="0" collapsed="false">
      <c r="A9" s="0" t="s">
        <v>674</v>
      </c>
    </row>
    <row r="10" customFormat="false" ht="15" hidden="false" customHeight="false" outlineLevel="0" collapsed="false">
      <c r="A10" s="0" t="s">
        <v>675</v>
      </c>
    </row>
    <row r="11" customFormat="false" ht="15" hidden="false" customHeight="false" outlineLevel="0" collapsed="false">
      <c r="A11" s="0" t="s">
        <v>676</v>
      </c>
    </row>
    <row r="12" customFormat="false" ht="15" hidden="false" customHeight="false" outlineLevel="0" collapsed="false">
      <c r="A12" s="0" t="s">
        <v>677</v>
      </c>
    </row>
    <row r="13" customFormat="false" ht="15" hidden="false" customHeight="false" outlineLevel="0" collapsed="false">
      <c r="A13" s="0" t="s">
        <v>678</v>
      </c>
    </row>
    <row r="14" customFormat="false" ht="15" hidden="false" customHeight="false" outlineLevel="0" collapsed="false">
      <c r="A14" s="0" t="s">
        <v>679</v>
      </c>
    </row>
    <row r="15" customFormat="false" ht="15" hidden="false" customHeight="false" outlineLevel="0" collapsed="false">
      <c r="A15" s="0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0"/>
  </cols>
  <sheetData>
    <row r="1" customFormat="false" ht="15" hidden="false" customHeight="false" outlineLevel="0" collapsed="false">
      <c r="A1" s="1" t="s">
        <v>681</v>
      </c>
    </row>
    <row r="2" customFormat="false" ht="15" hidden="false" customHeight="false" outlineLevel="0" collapsed="false">
      <c r="A2" s="0" t="s">
        <v>682</v>
      </c>
    </row>
    <row r="4" customFormat="false" ht="15" hidden="false" customHeight="false" outlineLevel="0" collapsed="false">
      <c r="A4" s="0" t="s">
        <v>683</v>
      </c>
      <c r="B4" s="0" t="n">
        <f aca="false">x_c_DAA+x_c_MON</f>
        <v>28525.1298861805</v>
      </c>
    </row>
    <row r="5" customFormat="false" ht="15" hidden="false" customHeight="false" outlineLevel="0" collapsed="false">
      <c r="A5" s="0" t="s">
        <v>684</v>
      </c>
      <c r="B5" s="0" t="n">
        <f aca="false">B4+x_NAV</f>
        <v>30532.0638440483</v>
      </c>
    </row>
    <row r="7" customFormat="false" ht="68.65" hidden="false" customHeight="false" outlineLevel="0" collapsed="false">
      <c r="A7" s="3" t="s">
        <v>646</v>
      </c>
      <c r="B7" s="3" t="s">
        <v>647</v>
      </c>
      <c r="C7" s="3" t="s">
        <v>685</v>
      </c>
      <c r="D7" s="3" t="s">
        <v>686</v>
      </c>
      <c r="E7" s="3" t="s">
        <v>687</v>
      </c>
      <c r="F7" s="3" t="s">
        <v>688</v>
      </c>
      <c r="G7" s="3" t="s">
        <v>689</v>
      </c>
      <c r="H7" s="3" t="s">
        <v>690</v>
      </c>
      <c r="I7" s="3" t="s">
        <v>691</v>
      </c>
      <c r="J7" s="3" t="s">
        <v>637</v>
      </c>
    </row>
    <row r="8" customFormat="false" ht="15" hidden="false" customHeight="false" outlineLevel="0" collapsed="false">
      <c r="A8" s="0" t="n">
        <v>10</v>
      </c>
      <c r="B8" s="0" t="s">
        <v>129</v>
      </c>
      <c r="C8" s="0" t="s">
        <v>692</v>
      </c>
      <c r="D8" s="0" t="n">
        <v>28525</v>
      </c>
      <c r="E8" s="0" t="n">
        <v>23757</v>
      </c>
      <c r="F8" s="0" t="n">
        <v>4768</v>
      </c>
      <c r="G8" s="0" t="s">
        <v>657</v>
      </c>
      <c r="H8" s="0" t="n">
        <v>-0.17</v>
      </c>
      <c r="I8" s="0" t="n">
        <v>6919</v>
      </c>
      <c r="J8" s="0" t="n">
        <v>0.689</v>
      </c>
    </row>
    <row r="9" customFormat="false" ht="15" hidden="false" customHeight="false" outlineLevel="0" collapsed="false">
      <c r="A9" s="0" t="n">
        <v>10</v>
      </c>
      <c r="B9" s="0" t="s">
        <v>129</v>
      </c>
      <c r="C9" s="0" t="s">
        <v>693</v>
      </c>
      <c r="D9" s="0" t="n">
        <v>30532</v>
      </c>
      <c r="E9" s="0" t="n">
        <v>23757</v>
      </c>
      <c r="F9" s="0" t="n">
        <v>6775</v>
      </c>
      <c r="G9" s="0" t="s">
        <v>657</v>
      </c>
      <c r="H9" s="0" t="n">
        <v>-0.22</v>
      </c>
      <c r="I9" s="0" t="n">
        <v>9831</v>
      </c>
      <c r="J9" s="0" t="n">
        <v>0.689</v>
      </c>
    </row>
    <row r="10" customFormat="false" ht="15" hidden="false" customHeight="false" outlineLevel="0" collapsed="false">
      <c r="A10" s="0" t="n">
        <v>10</v>
      </c>
      <c r="B10" s="0" t="s">
        <v>602</v>
      </c>
      <c r="C10" s="0" t="s">
        <v>692</v>
      </c>
      <c r="D10" s="0" t="n">
        <v>28525</v>
      </c>
      <c r="E10" s="0" t="n">
        <v>42629</v>
      </c>
      <c r="F10" s="0" t="n">
        <v>-14104</v>
      </c>
      <c r="G10" s="0" t="n">
        <v>2032</v>
      </c>
      <c r="H10" s="0" t="n">
        <v>0.49</v>
      </c>
      <c r="I10" s="0" t="n">
        <v>-20465</v>
      </c>
      <c r="J10" s="0" t="n">
        <v>0.689</v>
      </c>
    </row>
    <row r="11" customFormat="false" ht="15" hidden="false" customHeight="false" outlineLevel="0" collapsed="false">
      <c r="A11" s="0" t="n">
        <v>10</v>
      </c>
      <c r="B11" s="0" t="s">
        <v>602</v>
      </c>
      <c r="C11" s="0" t="s">
        <v>693</v>
      </c>
      <c r="D11" s="0" t="n">
        <v>30532</v>
      </c>
      <c r="E11" s="0" t="n">
        <v>42629</v>
      </c>
      <c r="F11" s="0" t="n">
        <v>-12097</v>
      </c>
      <c r="G11" s="0" t="n">
        <v>2033</v>
      </c>
      <c r="H11" s="0" t="n">
        <v>0.4</v>
      </c>
      <c r="I11" s="0" t="n">
        <v>-17553</v>
      </c>
      <c r="J11" s="0" t="n">
        <v>0.689</v>
      </c>
    </row>
    <row r="12" customFormat="false" ht="15" hidden="false" customHeight="false" outlineLevel="0" collapsed="false">
      <c r="A12" s="0" t="n">
        <v>10</v>
      </c>
      <c r="B12" s="0" t="s">
        <v>603</v>
      </c>
      <c r="C12" s="0" t="s">
        <v>692</v>
      </c>
      <c r="D12" s="0" t="n">
        <v>28525</v>
      </c>
      <c r="E12" s="0" t="n">
        <v>43974</v>
      </c>
      <c r="F12" s="0" t="n">
        <v>-15449</v>
      </c>
      <c r="G12" s="0" t="n">
        <v>2032</v>
      </c>
      <c r="H12" s="0" t="n">
        <v>0.54</v>
      </c>
      <c r="I12" s="0" t="n">
        <v>-22417</v>
      </c>
      <c r="J12" s="0" t="n">
        <v>0.689</v>
      </c>
    </row>
    <row r="13" customFormat="false" ht="15" hidden="false" customHeight="false" outlineLevel="0" collapsed="false">
      <c r="A13" s="0" t="n">
        <v>10</v>
      </c>
      <c r="B13" s="0" t="s">
        <v>603</v>
      </c>
      <c r="C13" s="0" t="s">
        <v>693</v>
      </c>
      <c r="D13" s="0" t="n">
        <v>30532</v>
      </c>
      <c r="E13" s="0" t="n">
        <v>43974</v>
      </c>
      <c r="F13" s="0" t="n">
        <v>-13442</v>
      </c>
      <c r="G13" s="0" t="n">
        <v>2033</v>
      </c>
      <c r="H13" s="0" t="n">
        <v>0.44</v>
      </c>
      <c r="I13" s="0" t="n">
        <v>-19505</v>
      </c>
      <c r="J13" s="0" t="n">
        <v>0.689</v>
      </c>
    </row>
    <row r="14" customFormat="false" ht="15" hidden="false" customHeight="false" outlineLevel="0" collapsed="false">
      <c r="A14" s="0" t="n">
        <v>20</v>
      </c>
      <c r="B14" s="0" t="s">
        <v>129</v>
      </c>
      <c r="C14" s="0" t="s">
        <v>692</v>
      </c>
      <c r="D14" s="0" t="n">
        <v>28525</v>
      </c>
      <c r="E14" s="0" t="n">
        <v>42042</v>
      </c>
      <c r="F14" s="0" t="n">
        <v>-13517</v>
      </c>
      <c r="G14" s="0" t="n">
        <v>2038</v>
      </c>
      <c r="H14" s="0" t="n">
        <v>0.47</v>
      </c>
      <c r="I14" s="0" t="n">
        <v>-9477</v>
      </c>
      <c r="J14" s="0" t="n">
        <v>1.426</v>
      </c>
    </row>
    <row r="15" customFormat="false" ht="15" hidden="false" customHeight="false" outlineLevel="0" collapsed="false">
      <c r="A15" s="0" t="n">
        <v>20</v>
      </c>
      <c r="B15" s="0" t="s">
        <v>129</v>
      </c>
      <c r="C15" s="0" t="s">
        <v>693</v>
      </c>
      <c r="D15" s="0" t="n">
        <v>30532</v>
      </c>
      <c r="E15" s="0" t="n">
        <v>42042</v>
      </c>
      <c r="F15" s="0" t="n">
        <v>-11510</v>
      </c>
      <c r="G15" s="0" t="n">
        <v>2039</v>
      </c>
      <c r="H15" s="0" t="n">
        <v>0.38</v>
      </c>
      <c r="I15" s="0" t="n">
        <v>-8070</v>
      </c>
      <c r="J15" s="0" t="n">
        <v>1.426</v>
      </c>
    </row>
    <row r="16" customFormat="false" ht="15" hidden="false" customHeight="false" outlineLevel="0" collapsed="false">
      <c r="A16" s="0" t="n">
        <v>20</v>
      </c>
      <c r="B16" s="0" t="s">
        <v>602</v>
      </c>
      <c r="C16" s="0" t="s">
        <v>692</v>
      </c>
      <c r="D16" s="0" t="n">
        <v>28525</v>
      </c>
      <c r="E16" s="0" t="n">
        <v>71064</v>
      </c>
      <c r="F16" s="0" t="n">
        <v>-42539</v>
      </c>
      <c r="G16" s="0" t="n">
        <v>2032</v>
      </c>
      <c r="H16" s="0" t="n">
        <v>1.49</v>
      </c>
      <c r="I16" s="0" t="n">
        <v>-29827</v>
      </c>
      <c r="J16" s="0" t="n">
        <v>1.426</v>
      </c>
    </row>
    <row r="17" customFormat="false" ht="15" hidden="false" customHeight="false" outlineLevel="0" collapsed="false">
      <c r="A17" s="0" t="n">
        <v>20</v>
      </c>
      <c r="B17" s="0" t="s">
        <v>602</v>
      </c>
      <c r="C17" s="0" t="s">
        <v>693</v>
      </c>
      <c r="D17" s="0" t="n">
        <v>30532</v>
      </c>
      <c r="E17" s="0" t="n">
        <v>71064</v>
      </c>
      <c r="F17" s="0" t="n">
        <v>-40532</v>
      </c>
      <c r="G17" s="0" t="n">
        <v>2033</v>
      </c>
      <c r="H17" s="0" t="n">
        <v>1.33</v>
      </c>
      <c r="I17" s="0" t="n">
        <v>-28420</v>
      </c>
      <c r="J17" s="0" t="n">
        <v>1.426</v>
      </c>
    </row>
    <row r="18" customFormat="false" ht="15" hidden="false" customHeight="false" outlineLevel="0" collapsed="false">
      <c r="A18" s="0" t="n">
        <v>20</v>
      </c>
      <c r="B18" s="0" t="s">
        <v>603</v>
      </c>
      <c r="C18" s="0" t="s">
        <v>692</v>
      </c>
      <c r="D18" s="0" t="n">
        <v>28525</v>
      </c>
      <c r="E18" s="0" t="n">
        <v>77169</v>
      </c>
      <c r="F18" s="0" t="n">
        <v>-48644</v>
      </c>
      <c r="G18" s="0" t="n">
        <v>2032</v>
      </c>
      <c r="H18" s="0" t="n">
        <v>1.71</v>
      </c>
      <c r="I18" s="0" t="n">
        <v>-34107</v>
      </c>
      <c r="J18" s="0" t="n">
        <v>1.426</v>
      </c>
    </row>
    <row r="19" customFormat="false" ht="15" hidden="false" customHeight="false" outlineLevel="0" collapsed="false">
      <c r="A19" s="0" t="n">
        <v>20</v>
      </c>
      <c r="B19" s="0" t="s">
        <v>603</v>
      </c>
      <c r="C19" s="0" t="s">
        <v>693</v>
      </c>
      <c r="D19" s="0" t="n">
        <v>30532</v>
      </c>
      <c r="E19" s="0" t="n">
        <v>77169</v>
      </c>
      <c r="F19" s="0" t="n">
        <v>-46637</v>
      </c>
      <c r="G19" s="0" t="n">
        <v>2033</v>
      </c>
      <c r="H19" s="0" t="n">
        <v>1.53</v>
      </c>
      <c r="I19" s="0" t="n">
        <v>-32700</v>
      </c>
      <c r="J19" s="0" t="n">
        <v>1.426</v>
      </c>
    </row>
    <row r="20" customFormat="false" ht="15" hidden="false" customHeight="false" outlineLevel="0" collapsed="false">
      <c r="A20" s="0" t="n">
        <v>50</v>
      </c>
      <c r="B20" s="0" t="s">
        <v>129</v>
      </c>
      <c r="C20" s="0" t="s">
        <v>692</v>
      </c>
      <c r="D20" s="0" t="n">
        <v>28525</v>
      </c>
      <c r="E20" s="0" t="n">
        <v>57260</v>
      </c>
      <c r="F20" s="0" t="n">
        <v>-28734</v>
      </c>
      <c r="G20" s="0" t="n">
        <v>2038</v>
      </c>
      <c r="H20" s="0" t="n">
        <v>1.01</v>
      </c>
      <c r="I20" s="0" t="n">
        <v>-11313</v>
      </c>
      <c r="J20" s="0" t="n">
        <v>2.54</v>
      </c>
    </row>
    <row r="21" customFormat="false" ht="15" hidden="false" customHeight="false" outlineLevel="0" collapsed="false">
      <c r="A21" s="0" t="n">
        <v>50</v>
      </c>
      <c r="B21" s="0" t="s">
        <v>129</v>
      </c>
      <c r="C21" s="0" t="s">
        <v>693</v>
      </c>
      <c r="D21" s="0" t="n">
        <v>30532</v>
      </c>
      <c r="E21" s="0" t="n">
        <v>57260</v>
      </c>
      <c r="F21" s="0" t="n">
        <v>-26727</v>
      </c>
      <c r="G21" s="0" t="n">
        <v>2039</v>
      </c>
      <c r="H21" s="0" t="n">
        <v>0.88</v>
      </c>
      <c r="I21" s="0" t="n">
        <v>-10523</v>
      </c>
      <c r="J21" s="0" t="n">
        <v>2.54</v>
      </c>
    </row>
    <row r="22" customFormat="false" ht="15" hidden="false" customHeight="false" outlineLevel="0" collapsed="false">
      <c r="A22" s="0" t="n">
        <v>50</v>
      </c>
      <c r="B22" s="0" t="s">
        <v>602</v>
      </c>
      <c r="C22" s="0" t="s">
        <v>692</v>
      </c>
      <c r="D22" s="0" t="n">
        <v>28525</v>
      </c>
      <c r="E22" s="0" t="n">
        <v>95444</v>
      </c>
      <c r="F22" s="0" t="n">
        <v>-66919</v>
      </c>
      <c r="G22" s="0" t="n">
        <v>2032</v>
      </c>
      <c r="H22" s="0" t="n">
        <v>2.35</v>
      </c>
      <c r="I22" s="0" t="n">
        <v>-26347</v>
      </c>
      <c r="J22" s="0" t="n">
        <v>2.54</v>
      </c>
    </row>
    <row r="23" customFormat="false" ht="15" hidden="false" customHeight="false" outlineLevel="0" collapsed="false">
      <c r="A23" s="0" t="n">
        <v>50</v>
      </c>
      <c r="B23" s="0" t="s">
        <v>602</v>
      </c>
      <c r="C23" s="0" t="s">
        <v>693</v>
      </c>
      <c r="D23" s="0" t="n">
        <v>30532</v>
      </c>
      <c r="E23" s="0" t="n">
        <v>95444</v>
      </c>
      <c r="F23" s="0" t="n">
        <v>-64912</v>
      </c>
      <c r="G23" s="0" t="n">
        <v>2033</v>
      </c>
      <c r="H23" s="0" t="n">
        <v>2.13</v>
      </c>
      <c r="I23" s="0" t="n">
        <v>-25557</v>
      </c>
      <c r="J23" s="0" t="n">
        <v>2.54</v>
      </c>
    </row>
    <row r="24" customFormat="false" ht="15" hidden="false" customHeight="false" outlineLevel="0" collapsed="false">
      <c r="A24" s="0" t="n">
        <v>50</v>
      </c>
      <c r="B24" s="0" t="s">
        <v>603</v>
      </c>
      <c r="C24" s="0" t="s">
        <v>692</v>
      </c>
      <c r="D24" s="0" t="n">
        <v>28525</v>
      </c>
      <c r="E24" s="0" t="n">
        <v>108659</v>
      </c>
      <c r="F24" s="0" t="n">
        <v>-80134</v>
      </c>
      <c r="G24" s="0" t="n">
        <v>2032</v>
      </c>
      <c r="H24" s="0" t="n">
        <v>2.81</v>
      </c>
      <c r="I24" s="0" t="n">
        <v>-31550</v>
      </c>
      <c r="J24" s="0" t="n">
        <v>2.54</v>
      </c>
    </row>
    <row r="25" customFormat="false" ht="15" hidden="false" customHeight="false" outlineLevel="0" collapsed="false">
      <c r="A25" s="0" t="n">
        <v>50</v>
      </c>
      <c r="B25" s="0" t="s">
        <v>603</v>
      </c>
      <c r="C25" s="0" t="s">
        <v>693</v>
      </c>
      <c r="D25" s="0" t="n">
        <v>30532</v>
      </c>
      <c r="E25" s="0" t="n">
        <v>108659</v>
      </c>
      <c r="F25" s="0" t="n">
        <v>-78127</v>
      </c>
      <c r="G25" s="0" t="n">
        <v>2033</v>
      </c>
      <c r="H25" s="0" t="n">
        <v>2.56</v>
      </c>
      <c r="I25" s="0" t="n">
        <v>-30760</v>
      </c>
      <c r="J25" s="0" t="n">
        <v>2.54</v>
      </c>
    </row>
    <row r="27" customFormat="false" ht="15" hidden="false" customHeight="false" outlineLevel="0" collapsed="false">
      <c r="A27" s="0" t="s">
        <v>694</v>
      </c>
    </row>
    <row r="28" customFormat="false" ht="55.2" hidden="false" customHeight="false" outlineLevel="0" collapsed="false">
      <c r="A28" s="3" t="s">
        <v>646</v>
      </c>
      <c r="B28" s="3" t="s">
        <v>647</v>
      </c>
      <c r="C28" s="3" t="s">
        <v>695</v>
      </c>
      <c r="D28" s="3" t="s">
        <v>649</v>
      </c>
      <c r="E28" s="3" t="s">
        <v>650</v>
      </c>
      <c r="F28" s="3" t="s">
        <v>696</v>
      </c>
      <c r="G28" s="3" t="s">
        <v>697</v>
      </c>
      <c r="H28" s="3" t="s">
        <v>652</v>
      </c>
    </row>
    <row r="29" customFormat="false" ht="15" hidden="false" customHeight="false" outlineLevel="0" collapsed="false">
      <c r="A29" s="0" t="n">
        <v>20</v>
      </c>
      <c r="B29" s="0" t="s">
        <v>129</v>
      </c>
      <c r="C29" s="0" t="n">
        <v>-13351</v>
      </c>
      <c r="D29" s="0" t="n">
        <v>-23907</v>
      </c>
      <c r="E29" s="0" t="n">
        <v>-3201</v>
      </c>
      <c r="F29" s="0" t="n">
        <v>41862</v>
      </c>
      <c r="G29" s="0" t="n">
        <v>0.993</v>
      </c>
      <c r="H29" s="0" t="n">
        <v>2038</v>
      </c>
    </row>
    <row r="30" customFormat="false" ht="15" hidden="false" customHeight="false" outlineLevel="0" collapsed="false">
      <c r="A30" s="0" t="n">
        <v>20</v>
      </c>
      <c r="B30" s="0" t="s">
        <v>602</v>
      </c>
      <c r="C30" s="0" t="n">
        <v>-41419</v>
      </c>
      <c r="D30" s="0" t="n">
        <v>-59684</v>
      </c>
      <c r="E30" s="0" t="n">
        <v>-25604</v>
      </c>
      <c r="F30" s="0" t="n">
        <v>70203</v>
      </c>
      <c r="G30" s="0" t="n">
        <v>1</v>
      </c>
      <c r="H30" s="0" t="n">
        <v>2032</v>
      </c>
    </row>
    <row r="31" customFormat="false" ht="15" hidden="false" customHeight="false" outlineLevel="0" collapsed="false">
      <c r="A31" s="0" t="n">
        <v>20</v>
      </c>
      <c r="B31" s="0" t="s">
        <v>603</v>
      </c>
      <c r="C31" s="0" t="n">
        <v>-47556</v>
      </c>
      <c r="D31" s="0" t="n">
        <v>-68559</v>
      </c>
      <c r="E31" s="0" t="n">
        <v>-29595</v>
      </c>
      <c r="F31" s="0" t="n">
        <v>76164</v>
      </c>
      <c r="G31" s="0" t="n">
        <v>1</v>
      </c>
      <c r="H31" s="0" t="n">
        <v>2032</v>
      </c>
    </row>
    <row r="32" customFormat="false" ht="15" hidden="false" customHeight="false" outlineLevel="0" collapsed="false">
      <c r="A32" s="0" t="n">
        <v>50</v>
      </c>
      <c r="B32" s="0" t="s">
        <v>129</v>
      </c>
      <c r="C32" s="0" t="n">
        <v>-28323</v>
      </c>
      <c r="D32" s="0" t="n">
        <v>-41744</v>
      </c>
      <c r="E32" s="0" t="n">
        <v>-15518</v>
      </c>
      <c r="F32" s="0" t="n">
        <v>56897</v>
      </c>
      <c r="G32" s="0" t="n">
        <v>1</v>
      </c>
      <c r="H32" s="0" t="n">
        <v>2038</v>
      </c>
    </row>
    <row r="33" customFormat="false" ht="15" hidden="false" customHeight="false" outlineLevel="0" collapsed="false">
      <c r="A33" s="0" t="n">
        <v>50</v>
      </c>
      <c r="B33" s="0" t="s">
        <v>602</v>
      </c>
      <c r="C33" s="0" t="n">
        <v>-65614</v>
      </c>
      <c r="D33" s="0" t="n">
        <v>-90484</v>
      </c>
      <c r="E33" s="0" t="n">
        <v>-43777</v>
      </c>
      <c r="F33" s="0" t="n">
        <v>94315</v>
      </c>
      <c r="G33" s="0" t="n">
        <v>1</v>
      </c>
      <c r="H33" s="0" t="n">
        <v>2032</v>
      </c>
    </row>
    <row r="34" customFormat="false" ht="15" hidden="false" customHeight="false" outlineLevel="0" collapsed="false">
      <c r="A34" s="0" t="n">
        <v>50</v>
      </c>
      <c r="B34" s="0" t="s">
        <v>603</v>
      </c>
      <c r="C34" s="0" t="n">
        <v>-78960</v>
      </c>
      <c r="D34" s="0" t="n">
        <v>-111399</v>
      </c>
      <c r="E34" s="0" t="n">
        <v>-51613</v>
      </c>
      <c r="F34" s="0" t="n">
        <v>107242</v>
      </c>
      <c r="G34" s="0" t="n">
        <v>1</v>
      </c>
      <c r="H34" s="0" t="n">
        <v>2032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1" t="s">
        <v>698</v>
      </c>
    </row>
    <row r="2" customFormat="false" ht="55.2" hidden="false" customHeight="false" outlineLevel="0" collapsed="false">
      <c r="A2" s="3" t="s">
        <v>699</v>
      </c>
      <c r="B2" s="3" t="s">
        <v>700</v>
      </c>
      <c r="C2" s="3" t="s">
        <v>701</v>
      </c>
      <c r="D2" s="3" t="s">
        <v>702</v>
      </c>
      <c r="E2" s="3" t="s">
        <v>703</v>
      </c>
      <c r="F2" s="3" t="s">
        <v>704</v>
      </c>
      <c r="G2" s="3" t="s">
        <v>705</v>
      </c>
      <c r="H2" s="3" t="s">
        <v>706</v>
      </c>
      <c r="I2" s="3" t="s">
        <v>707</v>
      </c>
      <c r="J2" s="3" t="s">
        <v>708</v>
      </c>
      <c r="K2" s="3" t="s">
        <v>709</v>
      </c>
      <c r="L2" s="3" t="s">
        <v>710</v>
      </c>
      <c r="M2" s="3" t="s">
        <v>711</v>
      </c>
      <c r="N2" s="3" t="s">
        <v>712</v>
      </c>
      <c r="O2" s="3" t="s">
        <v>713</v>
      </c>
      <c r="P2" s="3" t="s">
        <v>714</v>
      </c>
      <c r="Q2" s="3" t="s">
        <v>715</v>
      </c>
      <c r="R2" s="3" t="s">
        <v>716</v>
      </c>
      <c r="S2" s="3" t="s">
        <v>717</v>
      </c>
    </row>
    <row r="3" customFormat="false" ht="15" hidden="false" customHeight="false" outlineLevel="0" collapsed="false">
      <c r="A3" s="0" t="s">
        <v>718</v>
      </c>
      <c r="B3" s="0" t="n">
        <v>993.3</v>
      </c>
      <c r="C3" s="0" t="n">
        <v>5917</v>
      </c>
      <c r="D3" s="0" t="n">
        <v>343.1</v>
      </c>
      <c r="E3" s="0" t="n">
        <v>-23</v>
      </c>
      <c r="F3" s="0" t="n">
        <v>105.8</v>
      </c>
      <c r="G3" s="0" t="n">
        <v>2548.1</v>
      </c>
      <c r="H3" s="0" t="n">
        <v>1908.1</v>
      </c>
      <c r="I3" s="0" t="n">
        <v>103.1</v>
      </c>
      <c r="J3" s="0" t="n">
        <v>70081</v>
      </c>
      <c r="K3" s="0" t="n">
        <v>75109</v>
      </c>
      <c r="L3" s="0" t="n">
        <v>70520</v>
      </c>
      <c r="M3" s="0" t="n">
        <v>170036</v>
      </c>
      <c r="N3" s="0" t="n">
        <v>21060</v>
      </c>
      <c r="O3" s="0" t="s">
        <v>657</v>
      </c>
      <c r="P3" s="0" t="n">
        <v>34.2</v>
      </c>
      <c r="Q3" s="0" t="n">
        <v>793</v>
      </c>
      <c r="R3" s="0" t="n">
        <v>576</v>
      </c>
      <c r="S3" s="0" t="n">
        <v>1590</v>
      </c>
    </row>
    <row r="4" customFormat="false" ht="15" hidden="false" customHeight="false" outlineLevel="0" collapsed="false">
      <c r="A4" s="0" t="s">
        <v>719</v>
      </c>
      <c r="B4" s="0" t="n">
        <v>1218.2</v>
      </c>
      <c r="C4" s="0" t="n">
        <v>6682.9</v>
      </c>
      <c r="D4" s="0" t="n">
        <v>243.9</v>
      </c>
      <c r="E4" s="0" t="n">
        <v>-122.2</v>
      </c>
      <c r="F4" s="0" t="n">
        <v>85.3</v>
      </c>
      <c r="G4" s="0" t="n">
        <v>2326</v>
      </c>
      <c r="H4" s="0" t="n">
        <v>1501.2</v>
      </c>
      <c r="I4" s="0" t="n">
        <v>-303.9</v>
      </c>
      <c r="J4" s="0" t="n">
        <v>62197</v>
      </c>
      <c r="K4" s="0" t="n">
        <v>69495</v>
      </c>
      <c r="L4" s="0" t="n">
        <v>64055</v>
      </c>
      <c r="M4" s="0" t="n">
        <v>160139</v>
      </c>
      <c r="N4" s="0" t="n">
        <v>19400</v>
      </c>
      <c r="O4" s="0" t="s">
        <v>657</v>
      </c>
      <c r="P4" s="0" t="n">
        <v>29.2</v>
      </c>
      <c r="Q4" s="0" t="n">
        <v>481</v>
      </c>
      <c r="R4" s="0" t="n">
        <v>613</v>
      </c>
      <c r="S4" s="0" t="n">
        <v>3092</v>
      </c>
    </row>
    <row r="5" customFormat="false" ht="15" hidden="false" customHeight="false" outlineLevel="0" collapsed="false">
      <c r="A5" s="0" t="s">
        <v>720</v>
      </c>
      <c r="B5" s="0" t="n">
        <v>290.7</v>
      </c>
      <c r="C5" s="0" t="n">
        <v>4887.8</v>
      </c>
      <c r="D5" s="0" t="n">
        <v>424.1</v>
      </c>
      <c r="E5" s="0" t="n">
        <v>58</v>
      </c>
      <c r="F5" s="0" t="n">
        <v>150.1</v>
      </c>
      <c r="G5" s="0" t="n">
        <v>2912.5</v>
      </c>
      <c r="H5" s="0" t="n">
        <v>2272.6</v>
      </c>
      <c r="I5" s="0" t="n">
        <v>467.5</v>
      </c>
      <c r="J5" s="0" t="n">
        <v>80105</v>
      </c>
      <c r="K5" s="0" t="n">
        <v>85133</v>
      </c>
      <c r="L5" s="0" t="n">
        <v>81066</v>
      </c>
      <c r="M5" s="0" t="n">
        <v>180600</v>
      </c>
      <c r="N5" s="0" t="n">
        <v>29114</v>
      </c>
      <c r="O5" s="0" t="s">
        <v>657</v>
      </c>
      <c r="P5" s="0" t="n">
        <v>34.2</v>
      </c>
      <c r="Q5" s="0" t="n">
        <v>793</v>
      </c>
      <c r="R5" s="0" t="n">
        <v>576</v>
      </c>
      <c r="S5" s="0" t="n">
        <v>1590</v>
      </c>
    </row>
    <row r="6" customFormat="false" ht="15" hidden="false" customHeight="false" outlineLevel="0" collapsed="false">
      <c r="A6" s="0" t="s">
        <v>721</v>
      </c>
      <c r="B6" s="0" t="n">
        <v>-3746.1</v>
      </c>
      <c r="C6" s="0" t="n">
        <v>-1025.6</v>
      </c>
      <c r="D6" s="0" t="n">
        <v>889.6</v>
      </c>
      <c r="E6" s="0" t="n">
        <v>523.5</v>
      </c>
      <c r="F6" s="0" t="n">
        <v>404.9</v>
      </c>
      <c r="G6" s="0" t="n">
        <v>5006.5</v>
      </c>
      <c r="H6" s="0" t="n">
        <v>4366.6</v>
      </c>
      <c r="I6" s="0" t="n">
        <v>2561.5</v>
      </c>
      <c r="J6" s="0" t="n">
        <v>137697</v>
      </c>
      <c r="K6" s="0" t="n">
        <v>142726</v>
      </c>
      <c r="L6" s="0" t="n">
        <v>141658</v>
      </c>
      <c r="M6" s="0" t="n">
        <v>241296</v>
      </c>
      <c r="N6" s="0" t="n">
        <v>75385</v>
      </c>
      <c r="O6" s="0" t="s">
        <v>657</v>
      </c>
      <c r="P6" s="0" t="n">
        <v>34.2</v>
      </c>
      <c r="Q6" s="0" t="n">
        <v>793</v>
      </c>
      <c r="R6" s="0" t="n">
        <v>576</v>
      </c>
      <c r="S6" s="0" t="n">
        <v>1590</v>
      </c>
    </row>
    <row r="7" customFormat="false" ht="15" hidden="false" customHeight="false" outlineLevel="0" collapsed="false">
      <c r="A7" s="0" t="s">
        <v>722</v>
      </c>
      <c r="B7" s="0" t="n">
        <v>864.6</v>
      </c>
      <c r="C7" s="0" t="n">
        <v>4798</v>
      </c>
      <c r="D7" s="0" t="n">
        <v>330.5</v>
      </c>
      <c r="E7" s="0" t="n">
        <v>-35.6</v>
      </c>
      <c r="F7" s="0" t="n">
        <v>105.7</v>
      </c>
      <c r="G7" s="0" t="n">
        <v>2514.5</v>
      </c>
      <c r="H7" s="0" t="n">
        <v>1863.1</v>
      </c>
      <c r="I7" s="0" t="n">
        <v>58</v>
      </c>
      <c r="J7" s="0" t="n">
        <v>70205</v>
      </c>
      <c r="K7" s="0" t="n">
        <v>75345</v>
      </c>
      <c r="L7" s="0" t="n">
        <v>71259</v>
      </c>
      <c r="M7" s="0" t="n">
        <v>173229</v>
      </c>
      <c r="N7" s="0" t="n">
        <v>20606</v>
      </c>
      <c r="O7" s="0" t="s">
        <v>657</v>
      </c>
      <c r="P7" s="0" t="n">
        <v>34.2</v>
      </c>
      <c r="Q7" s="0" t="n">
        <v>793</v>
      </c>
      <c r="R7" s="0" t="n">
        <v>576</v>
      </c>
      <c r="S7" s="0" t="n">
        <v>1590</v>
      </c>
    </row>
    <row r="8" customFormat="false" ht="15" hidden="false" customHeight="false" outlineLevel="0" collapsed="false">
      <c r="A8" s="0" t="s">
        <v>723</v>
      </c>
      <c r="B8" s="0" t="n">
        <v>1353.6</v>
      </c>
      <c r="C8" s="0" t="n">
        <v>6042.1</v>
      </c>
      <c r="D8" s="0" t="n">
        <v>-186.8</v>
      </c>
      <c r="E8" s="0" t="n">
        <v>-553</v>
      </c>
      <c r="F8" s="0" t="n">
        <v>-0.8</v>
      </c>
      <c r="G8" s="0" t="n">
        <v>932.1</v>
      </c>
      <c r="H8" s="0" t="n">
        <v>-239.6</v>
      </c>
      <c r="I8" s="0" t="n">
        <v>-2044.7</v>
      </c>
      <c r="J8" s="0" t="n">
        <v>25636</v>
      </c>
      <c r="K8" s="0" t="n">
        <v>47442</v>
      </c>
      <c r="L8" s="0" t="n">
        <v>38324</v>
      </c>
      <c r="M8" s="0" t="n">
        <v>137799</v>
      </c>
      <c r="N8" s="0" t="n">
        <v>10537</v>
      </c>
      <c r="O8" s="0" t="n">
        <v>2061</v>
      </c>
      <c r="P8" s="0" t="n">
        <v>202.6</v>
      </c>
      <c r="Q8" s="0" t="n">
        <v>793</v>
      </c>
      <c r="R8" s="0" t="n">
        <v>576</v>
      </c>
      <c r="S8" s="0" t="n">
        <v>1590</v>
      </c>
    </row>
    <row r="9" customFormat="false" ht="15" hidden="false" customHeight="false" outlineLevel="0" collapsed="false">
      <c r="A9" s="0" t="s">
        <v>724</v>
      </c>
      <c r="B9" s="0" t="n">
        <v>826.8</v>
      </c>
      <c r="C9" s="0" t="n">
        <v>5659.6</v>
      </c>
      <c r="D9" s="0" t="n">
        <v>349.4</v>
      </c>
      <c r="E9" s="0" t="n">
        <v>-16.8</v>
      </c>
      <c r="F9" s="0" t="n">
        <v>108.1</v>
      </c>
      <c r="G9" s="0" t="n">
        <v>2573.7</v>
      </c>
      <c r="H9" s="0" t="n">
        <v>1934.2</v>
      </c>
      <c r="I9" s="0" t="n">
        <v>129.1</v>
      </c>
      <c r="J9" s="0" t="n">
        <v>73990</v>
      </c>
      <c r="K9" s="0" t="n">
        <v>78822</v>
      </c>
      <c r="L9" s="0" t="n">
        <v>74531</v>
      </c>
      <c r="M9" s="0" t="n">
        <v>179211</v>
      </c>
      <c r="N9" s="0" t="n">
        <v>21692</v>
      </c>
      <c r="O9" s="0" t="s">
        <v>657</v>
      </c>
      <c r="P9" s="0" t="n">
        <v>34.2</v>
      </c>
      <c r="Q9" s="0" t="n">
        <v>793</v>
      </c>
      <c r="R9" s="0" t="n">
        <v>576</v>
      </c>
      <c r="S9" s="0" t="n">
        <v>1576</v>
      </c>
    </row>
    <row r="10" customFormat="false" ht="15" hidden="false" customHeight="false" outlineLevel="0" collapsed="false">
      <c r="A10" s="0" t="s">
        <v>725</v>
      </c>
      <c r="B10" s="0" t="n">
        <v>1144.3</v>
      </c>
      <c r="C10" s="0" t="n">
        <v>6437.7</v>
      </c>
      <c r="D10" s="0" t="n">
        <v>297.8</v>
      </c>
      <c r="E10" s="0" t="n">
        <v>-68.3</v>
      </c>
      <c r="F10" s="0" t="n">
        <v>94.4</v>
      </c>
      <c r="G10" s="0" t="n">
        <v>2444.3</v>
      </c>
      <c r="H10" s="0" t="n">
        <v>1719.5</v>
      </c>
      <c r="I10" s="0" t="n">
        <v>-85.6</v>
      </c>
      <c r="J10" s="0" t="n">
        <v>67227</v>
      </c>
      <c r="K10" s="0" t="n">
        <v>75109</v>
      </c>
      <c r="L10" s="0" t="n">
        <v>70520</v>
      </c>
      <c r="M10" s="0" t="n">
        <v>170036</v>
      </c>
      <c r="N10" s="0" t="n">
        <v>21060</v>
      </c>
      <c r="O10" s="0" t="s">
        <v>657</v>
      </c>
      <c r="P10" s="0" t="n">
        <v>60.8</v>
      </c>
      <c r="Q10" s="0" t="n">
        <v>793</v>
      </c>
      <c r="R10" s="0" t="n">
        <v>576</v>
      </c>
      <c r="S10" s="0" t="n">
        <v>1590</v>
      </c>
    </row>
    <row r="11" customFormat="false" ht="15" hidden="false" customHeight="false" outlineLevel="0" collapsed="false">
      <c r="A11" s="0" t="s">
        <v>726</v>
      </c>
      <c r="B11" s="0" t="n">
        <v>993.3</v>
      </c>
      <c r="C11" s="0" t="n">
        <v>5917</v>
      </c>
      <c r="D11" s="0" t="n">
        <v>343.1</v>
      </c>
      <c r="E11" s="0" t="n">
        <v>-23</v>
      </c>
      <c r="F11" s="0" t="n">
        <v>107.8</v>
      </c>
      <c r="G11" s="0" t="n">
        <v>2549.7</v>
      </c>
      <c r="H11" s="0" t="n">
        <v>1906.3</v>
      </c>
      <c r="I11" s="0" t="n">
        <v>101.2</v>
      </c>
      <c r="J11" s="0" t="n">
        <v>69589</v>
      </c>
      <c r="K11" s="0" t="n">
        <v>74591</v>
      </c>
      <c r="L11" s="0" t="n">
        <v>70520</v>
      </c>
      <c r="M11" s="0" t="n">
        <v>170036</v>
      </c>
      <c r="N11" s="0" t="n">
        <v>20578</v>
      </c>
      <c r="O11" s="0" t="s">
        <v>657</v>
      </c>
      <c r="P11" s="0" t="n">
        <v>34.2</v>
      </c>
      <c r="Q11" s="0" t="n">
        <v>793</v>
      </c>
      <c r="R11" s="0" t="n">
        <v>576</v>
      </c>
      <c r="S11" s="0" t="n">
        <v>1590</v>
      </c>
    </row>
    <row r="12" customFormat="false" ht="15" hidden="false" customHeight="false" outlineLevel="0" collapsed="false">
      <c r="A12" s="0" t="s">
        <v>727</v>
      </c>
      <c r="B12" s="0" t="n">
        <v>1003.9</v>
      </c>
      <c r="C12" s="0" t="n">
        <v>5970</v>
      </c>
      <c r="D12" s="0" t="n">
        <v>338.6</v>
      </c>
      <c r="E12" s="0" t="n">
        <v>-27.5</v>
      </c>
      <c r="F12" s="0" t="n">
        <v>105.2</v>
      </c>
      <c r="G12" s="0" t="n">
        <v>2537.6</v>
      </c>
      <c r="H12" s="0" t="n">
        <v>1890.7</v>
      </c>
      <c r="I12" s="0" t="n">
        <v>85.6</v>
      </c>
      <c r="J12" s="0" t="n">
        <v>68672</v>
      </c>
      <c r="K12" s="0" t="n">
        <v>73727</v>
      </c>
      <c r="L12" s="0" t="n">
        <v>69150</v>
      </c>
      <c r="M12" s="0" t="n">
        <v>166918</v>
      </c>
      <c r="N12" s="0" t="n">
        <v>20643</v>
      </c>
      <c r="O12" s="0" t="s">
        <v>657</v>
      </c>
      <c r="P12" s="0" t="n">
        <v>34.2</v>
      </c>
      <c r="Q12" s="0" t="n">
        <v>793</v>
      </c>
      <c r="R12" s="0" t="n">
        <v>576</v>
      </c>
      <c r="S12" s="0" t="n">
        <v>1588</v>
      </c>
    </row>
    <row r="13" customFormat="false" ht="15" hidden="false" customHeight="false" outlineLevel="0" collapsed="false">
      <c r="A13" s="0" t="s">
        <v>728</v>
      </c>
      <c r="B13" s="0" t="n">
        <v>1514.3</v>
      </c>
      <c r="C13" s="0" t="n">
        <v>6983.8</v>
      </c>
      <c r="D13" s="0" t="n">
        <v>264.1</v>
      </c>
      <c r="E13" s="0" t="n">
        <v>-102</v>
      </c>
      <c r="F13" s="0" t="n">
        <v>82.9</v>
      </c>
      <c r="G13" s="0" t="n">
        <v>2369.5</v>
      </c>
      <c r="H13" s="0" t="n">
        <v>1578.2</v>
      </c>
      <c r="I13" s="0" t="n">
        <v>-226.9</v>
      </c>
      <c r="J13" s="0" t="n">
        <v>61448</v>
      </c>
      <c r="K13" s="0" t="n">
        <v>70713</v>
      </c>
      <c r="L13" s="0" t="n">
        <v>65192</v>
      </c>
      <c r="M13" s="0" t="n">
        <v>157035</v>
      </c>
      <c r="N13" s="0" t="n">
        <v>20370</v>
      </c>
      <c r="O13" s="0" t="s">
        <v>657</v>
      </c>
      <c r="P13" s="0" t="n">
        <v>34.2</v>
      </c>
      <c r="Q13" s="0" t="n">
        <v>796</v>
      </c>
      <c r="R13" s="0" t="n">
        <v>579</v>
      </c>
      <c r="S13" s="0" t="n">
        <v>1632</v>
      </c>
    </row>
    <row r="14" customFormat="false" ht="15" hidden="false" customHeight="false" outlineLevel="0" collapsed="false">
      <c r="A14" s="0" t="s">
        <v>729</v>
      </c>
      <c r="B14" s="0" t="n">
        <v>590.1</v>
      </c>
      <c r="C14" s="0" t="n">
        <v>4979.9</v>
      </c>
      <c r="D14" s="0" t="n">
        <v>398.9</v>
      </c>
      <c r="E14" s="0" t="n">
        <v>32.8</v>
      </c>
      <c r="F14" s="0" t="n">
        <v>118.8</v>
      </c>
      <c r="G14" s="0" t="n">
        <v>2627.5</v>
      </c>
      <c r="H14" s="0" t="n">
        <v>2142.6</v>
      </c>
      <c r="I14" s="0" t="n">
        <v>337.5</v>
      </c>
      <c r="J14" s="0" t="n">
        <v>80202</v>
      </c>
      <c r="K14" s="0" t="n">
        <v>83263</v>
      </c>
      <c r="L14" s="0" t="n">
        <v>78533</v>
      </c>
      <c r="M14" s="0" t="n">
        <v>189786</v>
      </c>
      <c r="N14" s="0" t="n">
        <v>23746</v>
      </c>
      <c r="O14" s="0" t="s">
        <v>657</v>
      </c>
      <c r="P14" s="0" t="n">
        <v>34.2</v>
      </c>
      <c r="Q14" s="0" t="n">
        <v>787</v>
      </c>
      <c r="R14" s="0" t="n">
        <v>572</v>
      </c>
      <c r="S14" s="0" t="n">
        <v>1525</v>
      </c>
    </row>
    <row r="15" customFormat="false" ht="15" hidden="false" customHeight="false" outlineLevel="0" collapsed="false">
      <c r="A15" s="0" t="s">
        <v>730</v>
      </c>
      <c r="B15" s="0" t="n">
        <v>131.9</v>
      </c>
      <c r="C15" s="0" t="n">
        <v>3620.6</v>
      </c>
      <c r="D15" s="0" t="n">
        <v>334.8</v>
      </c>
      <c r="E15" s="0" t="n">
        <v>-31.3</v>
      </c>
      <c r="F15" s="0" t="n">
        <v>102</v>
      </c>
      <c r="G15" s="0" t="n">
        <v>2514.1</v>
      </c>
      <c r="H15" s="0" t="n">
        <v>1873.4</v>
      </c>
      <c r="I15" s="0" t="n">
        <v>68.3</v>
      </c>
      <c r="J15" s="0" t="n">
        <v>69148</v>
      </c>
      <c r="K15" s="0" t="n">
        <v>75109</v>
      </c>
      <c r="L15" s="0" t="n">
        <v>70520</v>
      </c>
      <c r="M15" s="0" t="n">
        <v>170036</v>
      </c>
      <c r="N15" s="0" t="n">
        <v>21060</v>
      </c>
      <c r="O15" s="0" t="s">
        <v>657</v>
      </c>
      <c r="P15" s="0" t="n">
        <v>31.3</v>
      </c>
      <c r="Q15" s="0" t="n">
        <v>793</v>
      </c>
      <c r="R15" s="0" t="n">
        <v>576</v>
      </c>
      <c r="S15" s="0" t="n">
        <v>1590</v>
      </c>
    </row>
    <row r="16" customFormat="false" ht="15" hidden="false" customHeight="false" outlineLevel="0" collapsed="false">
      <c r="A16" s="0" t="s">
        <v>731</v>
      </c>
      <c r="B16" s="0" t="n">
        <v>949.8</v>
      </c>
      <c r="C16" s="0" t="n">
        <v>5767.2</v>
      </c>
      <c r="D16" s="0" t="n">
        <v>356.2</v>
      </c>
      <c r="E16" s="0" t="n">
        <v>-10</v>
      </c>
      <c r="F16" s="0" t="n">
        <v>109.1</v>
      </c>
      <c r="G16" s="0" t="n">
        <v>2577.9</v>
      </c>
      <c r="H16" s="0" t="n">
        <v>1962.4</v>
      </c>
      <c r="I16" s="0" t="n">
        <v>157.3</v>
      </c>
      <c r="J16" s="0" t="n">
        <v>70902</v>
      </c>
      <c r="K16" s="0" t="n">
        <v>75109</v>
      </c>
      <c r="L16" s="0" t="n">
        <v>70519</v>
      </c>
      <c r="M16" s="0" t="n">
        <v>170035</v>
      </c>
      <c r="N16" s="0" t="n">
        <v>21060</v>
      </c>
      <c r="O16" s="0" t="s">
        <v>657</v>
      </c>
      <c r="P16" s="0" t="n">
        <v>26.5</v>
      </c>
      <c r="Q16" s="0" t="n">
        <v>793</v>
      </c>
      <c r="R16" s="0" t="n">
        <v>576</v>
      </c>
      <c r="S16" s="0" t="n">
        <v>1590</v>
      </c>
    </row>
    <row r="17" customFormat="false" ht="15" hidden="false" customHeight="false" outlineLevel="0" collapsed="false">
      <c r="A17" s="0" t="s">
        <v>732</v>
      </c>
      <c r="B17" s="0" t="n">
        <v>1042.9</v>
      </c>
      <c r="C17" s="0" t="n">
        <v>6088.1</v>
      </c>
      <c r="D17" s="0" t="n">
        <v>328.2</v>
      </c>
      <c r="E17" s="0" t="n">
        <v>-37.9</v>
      </c>
      <c r="F17" s="0" t="n">
        <v>102.1</v>
      </c>
      <c r="G17" s="0" t="n">
        <v>2514</v>
      </c>
      <c r="H17" s="0" t="n">
        <v>1846.2</v>
      </c>
      <c r="I17" s="0" t="n">
        <v>41.1</v>
      </c>
      <c r="J17" s="0" t="n">
        <v>69143</v>
      </c>
      <c r="K17" s="0" t="n">
        <v>75109</v>
      </c>
      <c r="L17" s="0" t="n">
        <v>70519</v>
      </c>
      <c r="M17" s="0" t="n">
        <v>170035</v>
      </c>
      <c r="N17" s="0" t="n">
        <v>21060</v>
      </c>
      <c r="O17" s="0" t="s">
        <v>657</v>
      </c>
      <c r="P17" s="0" t="n">
        <v>42.9</v>
      </c>
      <c r="Q17" s="0" t="n">
        <v>793</v>
      </c>
      <c r="R17" s="0" t="n">
        <v>576</v>
      </c>
      <c r="S17" s="0" t="n">
        <v>1590</v>
      </c>
    </row>
    <row r="18" customFormat="false" ht="15" hidden="false" customHeight="false" outlineLevel="0" collapsed="false">
      <c r="A18" s="0" t="s">
        <v>733</v>
      </c>
      <c r="B18" s="0" t="n">
        <v>893.9</v>
      </c>
      <c r="C18" s="0" t="n">
        <v>5601.3</v>
      </c>
      <c r="D18" s="0" t="n">
        <v>382.1</v>
      </c>
      <c r="E18" s="0" t="n">
        <v>16</v>
      </c>
      <c r="F18" s="0" t="n">
        <v>112.3</v>
      </c>
      <c r="G18" s="0" t="n">
        <v>2634.2</v>
      </c>
      <c r="H18" s="0" t="n">
        <v>2064.8</v>
      </c>
      <c r="I18" s="0" t="n">
        <v>259.7</v>
      </c>
      <c r="J18" s="0" t="n">
        <v>73773</v>
      </c>
      <c r="K18" s="0" t="n">
        <v>78212</v>
      </c>
      <c r="L18" s="0" t="n">
        <v>74174</v>
      </c>
      <c r="M18" s="0" t="n">
        <v>175983</v>
      </c>
      <c r="N18" s="0" t="n">
        <v>21746</v>
      </c>
      <c r="O18" s="0" t="s">
        <v>657</v>
      </c>
      <c r="P18" s="0" t="n">
        <v>33.3</v>
      </c>
      <c r="Q18" s="0" t="n">
        <v>663</v>
      </c>
      <c r="R18" s="0" t="n">
        <v>441</v>
      </c>
      <c r="S18" s="0" t="n">
        <v>1590</v>
      </c>
    </row>
    <row r="19" customFormat="false" ht="15" hidden="false" customHeight="false" outlineLevel="0" collapsed="false">
      <c r="A19" s="0" t="s">
        <v>734</v>
      </c>
      <c r="B19" s="0" t="n">
        <v>1079.2</v>
      </c>
      <c r="C19" s="0" t="n">
        <v>6183.1</v>
      </c>
      <c r="D19" s="0" t="n">
        <v>310.5</v>
      </c>
      <c r="E19" s="0" t="n">
        <v>-55.6</v>
      </c>
      <c r="F19" s="0" t="n">
        <v>100</v>
      </c>
      <c r="G19" s="0" t="n">
        <v>2472.9</v>
      </c>
      <c r="H19" s="0" t="n">
        <v>1777</v>
      </c>
      <c r="I19" s="0" t="n">
        <v>-28.1</v>
      </c>
      <c r="J19" s="0" t="n">
        <v>66971</v>
      </c>
      <c r="K19" s="0" t="n">
        <v>72483</v>
      </c>
      <c r="L19" s="0" t="n">
        <v>67446</v>
      </c>
      <c r="M19" s="0" t="n">
        <v>165038</v>
      </c>
      <c r="N19" s="0" t="n">
        <v>20463</v>
      </c>
      <c r="O19" s="0" t="s">
        <v>657</v>
      </c>
      <c r="P19" s="0" t="n">
        <v>35</v>
      </c>
      <c r="Q19" s="0" t="n">
        <v>922</v>
      </c>
      <c r="R19" s="0" t="n">
        <v>712</v>
      </c>
      <c r="S19" s="0" t="n">
        <v>1590</v>
      </c>
    </row>
    <row r="20" customFormat="false" ht="15" hidden="false" customHeight="false" outlineLevel="0" collapsed="false">
      <c r="A20" s="0" t="s">
        <v>735</v>
      </c>
      <c r="B20" s="0" t="n">
        <v>993.3</v>
      </c>
      <c r="C20" s="0" t="n">
        <v>5917</v>
      </c>
      <c r="D20" s="0" t="n">
        <v>343.1</v>
      </c>
      <c r="E20" s="0" t="n">
        <v>-23</v>
      </c>
      <c r="F20" s="0" t="n">
        <v>105.8</v>
      </c>
      <c r="G20" s="0" t="n">
        <v>3228.4</v>
      </c>
      <c r="H20" s="0" t="n">
        <v>1952.4</v>
      </c>
      <c r="I20" s="0" t="n">
        <v>147.3</v>
      </c>
      <c r="J20" s="0" t="n">
        <v>45920</v>
      </c>
      <c r="K20" s="0" t="n">
        <v>51506</v>
      </c>
      <c r="L20" s="0" t="n">
        <v>70520</v>
      </c>
      <c r="M20" s="0" t="n">
        <v>50722</v>
      </c>
      <c r="N20" s="0" t="n">
        <v>21060</v>
      </c>
      <c r="O20" s="0" t="s">
        <v>657</v>
      </c>
      <c r="P20" s="0" t="n">
        <v>34.2</v>
      </c>
      <c r="Q20" s="0" t="n">
        <v>793</v>
      </c>
      <c r="R20" s="0" t="n">
        <v>576</v>
      </c>
      <c r="S20" s="0" t="n">
        <v>1590</v>
      </c>
    </row>
    <row r="21" customFormat="false" ht="15" hidden="false" customHeight="false" outlineLevel="0" collapsed="false">
      <c r="A21" s="0" t="s">
        <v>736</v>
      </c>
      <c r="B21" s="0" t="n">
        <v>993.3</v>
      </c>
      <c r="C21" s="0" t="n">
        <v>5917</v>
      </c>
      <c r="D21" s="0" t="n">
        <v>326.1</v>
      </c>
      <c r="E21" s="0" t="n">
        <v>-40</v>
      </c>
      <c r="F21" s="0" t="n">
        <v>105.8</v>
      </c>
      <c r="G21" s="0" t="n">
        <v>2825.8</v>
      </c>
      <c r="H21" s="0" t="n">
        <v>1920</v>
      </c>
      <c r="I21" s="0" t="n">
        <v>114.9</v>
      </c>
      <c r="J21" s="0" t="n">
        <v>56519</v>
      </c>
      <c r="K21" s="0" t="n">
        <v>61848</v>
      </c>
      <c r="L21" s="0" t="n">
        <v>50210</v>
      </c>
      <c r="M21" s="0" t="n">
        <v>170036</v>
      </c>
      <c r="N21" s="0" t="n">
        <v>21060</v>
      </c>
      <c r="O21" s="0" t="s">
        <v>657</v>
      </c>
      <c r="P21" s="0" t="n">
        <v>34.2</v>
      </c>
      <c r="Q21" s="0" t="n">
        <v>793</v>
      </c>
      <c r="R21" s="0" t="n">
        <v>576</v>
      </c>
      <c r="S21" s="0" t="n">
        <v>1590</v>
      </c>
    </row>
    <row r="22" customFormat="false" ht="15" hidden="false" customHeight="false" outlineLevel="0" collapsed="false">
      <c r="A22" s="0" t="s">
        <v>737</v>
      </c>
      <c r="B22" s="0" t="n">
        <v>993.3</v>
      </c>
      <c r="C22" s="0" t="n">
        <v>5917</v>
      </c>
      <c r="D22" s="0" t="n">
        <v>343.1</v>
      </c>
      <c r="E22" s="0" t="n">
        <v>-23</v>
      </c>
      <c r="F22" s="0" t="n">
        <v>110</v>
      </c>
      <c r="G22" s="0" t="n">
        <v>2554.7</v>
      </c>
      <c r="H22" s="0" t="n">
        <v>1914</v>
      </c>
      <c r="I22" s="0" t="n">
        <v>108.9</v>
      </c>
      <c r="J22" s="0" t="n">
        <v>69458</v>
      </c>
      <c r="K22" s="0" t="n">
        <v>74517</v>
      </c>
      <c r="L22" s="0" t="n">
        <v>70520</v>
      </c>
      <c r="M22" s="0" t="n">
        <v>170036</v>
      </c>
      <c r="N22" s="0" t="n">
        <v>21029</v>
      </c>
      <c r="O22" s="0" t="s">
        <v>657</v>
      </c>
      <c r="P22" s="0" t="n">
        <v>34.2</v>
      </c>
      <c r="Q22" s="0" t="n">
        <v>793</v>
      </c>
      <c r="R22" s="0" t="n">
        <v>576</v>
      </c>
      <c r="S22" s="0" t="n">
        <v>1590</v>
      </c>
    </row>
    <row r="23" customFormat="false" ht="15" hidden="false" customHeight="false" outlineLevel="0" collapsed="false">
      <c r="A23" s="0" t="s">
        <v>738</v>
      </c>
      <c r="B23" s="0" t="n">
        <v>993.3</v>
      </c>
      <c r="C23" s="0" t="n">
        <v>5917</v>
      </c>
      <c r="D23" s="0" t="n">
        <v>343.1</v>
      </c>
      <c r="E23" s="0" t="n">
        <v>-23</v>
      </c>
      <c r="F23" s="0" t="n">
        <v>105.8</v>
      </c>
      <c r="G23" s="0" t="n">
        <v>2647.1</v>
      </c>
      <c r="H23" s="0" t="n">
        <v>1913.5</v>
      </c>
      <c r="I23" s="0" t="n">
        <v>108.4</v>
      </c>
      <c r="J23" s="0" t="n">
        <v>62962</v>
      </c>
      <c r="K23" s="0" t="n">
        <v>68079</v>
      </c>
      <c r="L23" s="0" t="n">
        <v>70520</v>
      </c>
      <c r="M23" s="0" t="n">
        <v>170036</v>
      </c>
      <c r="N23" s="0" t="n">
        <v>21060</v>
      </c>
      <c r="O23" s="0" t="s">
        <v>657</v>
      </c>
      <c r="P23" s="0" t="n">
        <v>34.2</v>
      </c>
      <c r="Q23" s="0" t="n">
        <v>793</v>
      </c>
      <c r="R23" s="0" t="n">
        <v>576</v>
      </c>
      <c r="S23" s="0" t="n">
        <v>1590</v>
      </c>
    </row>
    <row r="24" customFormat="false" ht="15" hidden="false" customHeight="false" outlineLevel="0" collapsed="false">
      <c r="A24" s="0" t="s">
        <v>739</v>
      </c>
      <c r="B24" s="0" t="n">
        <v>993.3</v>
      </c>
      <c r="C24" s="0" t="n">
        <v>5917</v>
      </c>
      <c r="D24" s="0" t="n">
        <v>343.1</v>
      </c>
      <c r="E24" s="0" t="n">
        <v>-23</v>
      </c>
      <c r="F24" s="0" t="n">
        <v>105.8</v>
      </c>
      <c r="G24" s="0" t="n">
        <v>2445.8</v>
      </c>
      <c r="H24" s="0" t="n">
        <v>1904.4</v>
      </c>
      <c r="I24" s="0" t="n">
        <v>99.3</v>
      </c>
      <c r="J24" s="0" t="n">
        <v>80189</v>
      </c>
      <c r="K24" s="0" t="n">
        <v>85090</v>
      </c>
      <c r="L24" s="0" t="n">
        <v>70520</v>
      </c>
      <c r="M24" s="0" t="n">
        <v>170036</v>
      </c>
      <c r="N24" s="0" t="n">
        <v>21060</v>
      </c>
      <c r="O24" s="0" t="s">
        <v>657</v>
      </c>
      <c r="P24" s="0" t="n">
        <v>34.2</v>
      </c>
      <c r="Q24" s="0" t="n">
        <v>793</v>
      </c>
      <c r="R24" s="0" t="n">
        <v>576</v>
      </c>
      <c r="S24" s="0" t="n">
        <v>1590</v>
      </c>
    </row>
    <row r="25" customFormat="false" ht="15" hidden="false" customHeight="false" outlineLevel="0" collapsed="false">
      <c r="A25" s="0" t="s">
        <v>740</v>
      </c>
      <c r="B25" s="0" t="n">
        <v>993.3</v>
      </c>
      <c r="C25" s="0" t="n">
        <v>5917</v>
      </c>
      <c r="D25" s="0" t="n">
        <v>352.1</v>
      </c>
      <c r="E25" s="0" t="n">
        <v>-14</v>
      </c>
      <c r="F25" s="0" t="n">
        <v>69.1</v>
      </c>
      <c r="G25" s="0" t="n">
        <v>2548.1</v>
      </c>
      <c r="H25" s="0" t="n">
        <v>1908.1</v>
      </c>
      <c r="I25" s="0" t="n">
        <v>103.1</v>
      </c>
      <c r="J25" s="0" t="n">
        <v>70081</v>
      </c>
      <c r="K25" s="0" t="n">
        <v>75109</v>
      </c>
      <c r="L25" s="0" t="n">
        <v>100764</v>
      </c>
      <c r="M25" s="0" t="n">
        <v>266583</v>
      </c>
      <c r="N25" s="0" t="n">
        <v>21123</v>
      </c>
      <c r="O25" s="0" t="s">
        <v>657</v>
      </c>
      <c r="P25" s="0" t="n">
        <v>34.2</v>
      </c>
      <c r="Q25" s="0" t="n">
        <v>793</v>
      </c>
      <c r="R25" s="0" t="n">
        <v>576</v>
      </c>
      <c r="S25" s="0" t="n">
        <v>1590</v>
      </c>
    </row>
    <row r="26" customFormat="false" ht="15" hidden="false" customHeight="false" outlineLevel="0" collapsed="false">
      <c r="A26" s="0" t="s">
        <v>741</v>
      </c>
      <c r="B26" s="0" t="n">
        <v>993.3</v>
      </c>
      <c r="C26" s="0" t="n">
        <v>5917</v>
      </c>
      <c r="D26" s="0" t="n">
        <v>343.1</v>
      </c>
      <c r="E26" s="0" t="n">
        <v>-23</v>
      </c>
      <c r="F26" s="0" t="n">
        <v>105.8</v>
      </c>
      <c r="G26" s="0" t="n">
        <v>2896.4</v>
      </c>
      <c r="H26" s="0" t="n">
        <v>1924.1</v>
      </c>
      <c r="I26" s="0" t="n">
        <v>119.1</v>
      </c>
      <c r="J26" s="0" t="n">
        <v>54131</v>
      </c>
      <c r="K26" s="0" t="n">
        <v>59516</v>
      </c>
      <c r="L26" s="0" t="n">
        <v>70520</v>
      </c>
      <c r="M26" s="0" t="n">
        <v>70520</v>
      </c>
      <c r="N26" s="0" t="n">
        <v>21060</v>
      </c>
      <c r="O26" s="0" t="s">
        <v>657</v>
      </c>
      <c r="P26" s="0" t="n">
        <v>34.2</v>
      </c>
      <c r="Q26" s="0" t="n">
        <v>793</v>
      </c>
      <c r="R26" s="0" t="n">
        <v>576</v>
      </c>
      <c r="S26" s="0" t="n">
        <v>1590</v>
      </c>
    </row>
    <row r="27" customFormat="false" ht="15" hidden="false" customHeight="false" outlineLevel="0" collapsed="false">
      <c r="A27" s="0" t="s">
        <v>742</v>
      </c>
      <c r="B27" s="0" t="n">
        <v>774.7</v>
      </c>
      <c r="C27" s="0" t="n">
        <v>4806.9</v>
      </c>
      <c r="D27" s="0" t="n">
        <v>439.1</v>
      </c>
      <c r="E27" s="0" t="n">
        <v>73</v>
      </c>
      <c r="F27" s="0" t="n">
        <v>115.4</v>
      </c>
      <c r="G27" s="0" t="n">
        <v>2683.2</v>
      </c>
      <c r="H27" s="0" t="n">
        <v>2291.5</v>
      </c>
      <c r="I27" s="0" t="n">
        <v>486.4</v>
      </c>
      <c r="J27" s="0" t="n">
        <v>81948</v>
      </c>
      <c r="K27" s="0" t="n">
        <v>85927</v>
      </c>
      <c r="L27" s="0" t="n">
        <v>82315</v>
      </c>
      <c r="M27" s="0" t="n">
        <v>194248</v>
      </c>
      <c r="N27" s="0" t="n">
        <v>23172</v>
      </c>
      <c r="O27" s="0" t="s">
        <v>657</v>
      </c>
      <c r="P27" s="0" t="n">
        <v>34.2</v>
      </c>
      <c r="Q27" s="0" t="n">
        <v>793</v>
      </c>
      <c r="R27" s="0" t="n">
        <v>576</v>
      </c>
      <c r="S27" s="0" t="n">
        <v>1513</v>
      </c>
    </row>
    <row r="28" customFormat="false" ht="15" hidden="false" customHeight="false" outlineLevel="0" collapsed="false">
      <c r="A28" s="0" t="s">
        <v>743</v>
      </c>
      <c r="B28" s="0" t="n">
        <v>783.8</v>
      </c>
      <c r="C28" s="0" t="n">
        <v>4833.7</v>
      </c>
      <c r="D28" s="0" t="n">
        <v>435</v>
      </c>
      <c r="E28" s="0" t="n">
        <v>68.9</v>
      </c>
      <c r="F28" s="0" t="n">
        <v>114.5</v>
      </c>
      <c r="G28" s="0" t="n">
        <v>2673.6</v>
      </c>
      <c r="H28" s="0" t="n">
        <v>2274.3</v>
      </c>
      <c r="I28" s="0" t="n">
        <v>469.2</v>
      </c>
      <c r="J28" s="0" t="n">
        <v>81553</v>
      </c>
      <c r="K28" s="0" t="n">
        <v>85640</v>
      </c>
      <c r="L28" s="0" t="n">
        <v>81971</v>
      </c>
      <c r="M28" s="0" t="n">
        <v>193718</v>
      </c>
      <c r="N28" s="0" t="n">
        <v>23095</v>
      </c>
      <c r="O28" s="0" t="s">
        <v>657</v>
      </c>
      <c r="P28" s="0" t="n">
        <v>34.2</v>
      </c>
      <c r="Q28" s="0" t="n">
        <v>793</v>
      </c>
      <c r="R28" s="0" t="n">
        <v>576</v>
      </c>
      <c r="S28" s="0" t="n">
        <v>1590</v>
      </c>
    </row>
    <row r="29" customFormat="false" ht="15" hidden="false" customHeight="false" outlineLevel="0" collapsed="false">
      <c r="A29" s="0" t="s">
        <v>744</v>
      </c>
      <c r="B29" s="0" t="n">
        <v>960.6</v>
      </c>
      <c r="C29" s="0" t="n">
        <v>5858.7</v>
      </c>
      <c r="D29" s="0" t="n">
        <v>347.4</v>
      </c>
      <c r="E29" s="0" t="n">
        <v>-18.7</v>
      </c>
      <c r="F29" s="0" t="n">
        <v>108.2</v>
      </c>
      <c r="G29" s="0" t="n">
        <v>2569</v>
      </c>
      <c r="H29" s="0" t="n">
        <v>1928.1</v>
      </c>
      <c r="I29" s="0" t="n">
        <v>123</v>
      </c>
      <c r="J29" s="0" t="n">
        <v>71698</v>
      </c>
      <c r="K29" s="0" t="n">
        <v>76469</v>
      </c>
      <c r="L29" s="0" t="n">
        <v>71836</v>
      </c>
      <c r="M29" s="0" t="n">
        <v>172842</v>
      </c>
      <c r="N29" s="0" t="n">
        <v>21542</v>
      </c>
      <c r="O29" s="0" t="s">
        <v>657</v>
      </c>
      <c r="P29" s="0" t="n">
        <v>34.2</v>
      </c>
      <c r="Q29" s="0" t="n">
        <v>793</v>
      </c>
      <c r="R29" s="0" t="n">
        <v>576</v>
      </c>
      <c r="S29" s="0" t="n">
        <v>1590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745</v>
      </c>
    </row>
    <row r="3" customFormat="false" ht="15" hidden="false" customHeight="false" outlineLevel="0" collapsed="false">
      <c r="A3" s="0" t="s">
        <v>746</v>
      </c>
      <c r="B3" s="0" t="s">
        <v>747</v>
      </c>
      <c r="C3" s="0" t="s">
        <v>748</v>
      </c>
      <c r="D3" s="0" t="s">
        <v>749</v>
      </c>
    </row>
    <row r="4" customFormat="false" ht="15" hidden="false" customHeight="false" outlineLevel="0" collapsed="false">
      <c r="A4" s="0" t="s">
        <v>750</v>
      </c>
      <c r="B4" s="0" t="n">
        <v>2398</v>
      </c>
      <c r="C4" s="0" t="n">
        <v>55.46</v>
      </c>
      <c r="D4" s="0" t="s">
        <v>751</v>
      </c>
    </row>
    <row r="5" customFormat="false" ht="15" hidden="false" customHeight="false" outlineLevel="0" collapsed="false">
      <c r="A5" s="0" t="s">
        <v>752</v>
      </c>
      <c r="B5" s="0" t="n">
        <v>2396</v>
      </c>
      <c r="C5" s="0" t="n">
        <v>52.53</v>
      </c>
      <c r="D5" s="0" t="s">
        <v>753</v>
      </c>
    </row>
    <row r="6" customFormat="false" ht="15" hidden="false" customHeight="false" outlineLevel="0" collapsed="false">
      <c r="A6" s="0" t="s">
        <v>754</v>
      </c>
      <c r="B6" s="0" t="n">
        <v>61</v>
      </c>
      <c r="C6" s="0" t="n">
        <v>1.95</v>
      </c>
      <c r="D6" s="0" t="s">
        <v>755</v>
      </c>
    </row>
    <row r="7" customFormat="false" ht="15" hidden="false" customHeight="false" outlineLevel="0" collapsed="false">
      <c r="A7" s="0" t="s">
        <v>756</v>
      </c>
      <c r="B7" s="0" t="n">
        <v>4832</v>
      </c>
      <c r="C7" s="0" t="n">
        <v>109.98</v>
      </c>
      <c r="D7" s="0" t="s">
        <v>751</v>
      </c>
    </row>
    <row r="9" customFormat="false" ht="15" hidden="false" customHeight="false" outlineLevel="0" collapsed="false">
      <c r="A9" s="0" t="s">
        <v>757</v>
      </c>
      <c r="B9" s="0" t="s">
        <v>758</v>
      </c>
      <c r="C9" s="0" t="s">
        <v>759</v>
      </c>
      <c r="D9" s="0" t="s">
        <v>760</v>
      </c>
      <c r="E9" s="0" t="s">
        <v>273</v>
      </c>
      <c r="F9" s="0" t="s">
        <v>40</v>
      </c>
      <c r="G9" s="0" t="s">
        <v>157</v>
      </c>
    </row>
    <row r="10" customFormat="false" ht="15" hidden="false" customHeight="false" outlineLevel="0" collapsed="false">
      <c r="A10" s="0" t="s">
        <v>761</v>
      </c>
      <c r="B10" s="0" t="n">
        <v>229</v>
      </c>
      <c r="C10" s="0" t="n">
        <v>61</v>
      </c>
      <c r="D10" s="0" t="n">
        <v>88.53</v>
      </c>
      <c r="E10" s="0" t="n">
        <v>28.8</v>
      </c>
      <c r="F10" s="0" t="n">
        <v>37.6</v>
      </c>
      <c r="G10" s="0" t="n">
        <v>22.1</v>
      </c>
    </row>
    <row r="11" customFormat="false" ht="15" hidden="false" customHeight="false" outlineLevel="0" collapsed="false">
      <c r="A11" s="0" t="s">
        <v>762</v>
      </c>
      <c r="B11" s="0" t="n">
        <v>289</v>
      </c>
      <c r="C11" s="0" t="n">
        <v>66</v>
      </c>
      <c r="D11" s="0" t="n">
        <v>81.36</v>
      </c>
      <c r="E11" s="0" t="n">
        <v>29</v>
      </c>
      <c r="F11" s="0" t="n">
        <v>28.8</v>
      </c>
      <c r="G11" s="0" t="n">
        <v>23.5</v>
      </c>
    </row>
    <row r="12" customFormat="false" ht="15" hidden="false" customHeight="false" outlineLevel="0" collapsed="false">
      <c r="A12" s="0" t="s">
        <v>763</v>
      </c>
      <c r="B12" s="0" t="n">
        <v>177</v>
      </c>
      <c r="C12" s="0" t="n">
        <v>43</v>
      </c>
      <c r="D12" s="0" t="n">
        <v>13.83</v>
      </c>
      <c r="E12" s="0" t="n">
        <v>2.1</v>
      </c>
      <c r="F12" s="0" t="n">
        <v>8.2</v>
      </c>
      <c r="G12" s="0" t="n">
        <v>3.5</v>
      </c>
    </row>
    <row r="13" customFormat="false" ht="15" hidden="false" customHeight="false" outlineLevel="0" collapsed="false">
      <c r="A13" s="0" t="s">
        <v>764</v>
      </c>
      <c r="D13" s="0" t="n">
        <v>177</v>
      </c>
    </row>
    <row r="15" customFormat="false" ht="15" hidden="false" customHeight="false" outlineLevel="0" collapsed="false">
      <c r="A15" s="0" t="s">
        <v>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766</v>
      </c>
    </row>
    <row r="2" customFormat="false" ht="15" hidden="false" customHeight="false" outlineLevel="0" collapsed="false">
      <c r="A2" s="0" t="s">
        <v>767</v>
      </c>
    </row>
    <row r="3" customFormat="false" ht="15" hidden="false" customHeight="false" outlineLevel="0" collapsed="false">
      <c r="A3" s="0" t="s">
        <v>768</v>
      </c>
    </row>
    <row r="4" customFormat="false" ht="15" hidden="false" customHeight="false" outlineLevel="0" collapsed="false">
      <c r="A4" s="0" t="s">
        <v>769</v>
      </c>
    </row>
    <row r="5" customFormat="false" ht="15" hidden="false" customHeight="false" outlineLevel="0" collapsed="false">
      <c r="A5" s="0" t="s">
        <v>770</v>
      </c>
    </row>
    <row r="6" customFormat="false" ht="15" hidden="false" customHeight="false" outlineLevel="0" collapsed="false">
      <c r="A6" s="0" t="s">
        <v>771</v>
      </c>
    </row>
    <row r="7" customFormat="false" ht="15" hidden="false" customHeight="false" outlineLevel="0" collapsed="false">
      <c r="A7" s="0" t="s">
        <v>772</v>
      </c>
    </row>
    <row r="8" customFormat="false" ht="15" hidden="false" customHeight="false" outlineLevel="0" collapsed="false">
      <c r="A8" s="0" t="s">
        <v>773</v>
      </c>
    </row>
    <row r="9" customFormat="false" ht="15" hidden="false" customHeight="false" outlineLevel="0" collapsed="false">
      <c r="A9" s="0" t="s">
        <v>774</v>
      </c>
    </row>
    <row r="10" customFormat="false" ht="15" hidden="false" customHeight="false" outlineLevel="0" collapsed="false">
      <c r="A10" s="0" t="s">
        <v>775</v>
      </c>
    </row>
    <row r="11" customFormat="false" ht="15" hidden="false" customHeight="false" outlineLevel="0" collapsed="false">
      <c r="A11" s="0" t="s">
        <v>776</v>
      </c>
    </row>
    <row r="12" customFormat="false" ht="15" hidden="false" customHeight="false" outlineLevel="0" collapsed="false">
      <c r="A12" s="0" t="s">
        <v>777</v>
      </c>
    </row>
    <row r="13" customFormat="false" ht="15" hidden="false" customHeight="false" outlineLevel="0" collapsed="false">
      <c r="A13" s="0" t="s">
        <v>778</v>
      </c>
    </row>
    <row r="14" customFormat="false" ht="15" hidden="false" customHeight="false" outlineLevel="0" collapsed="false">
      <c r="A14" s="0" t="s">
        <v>779</v>
      </c>
    </row>
    <row r="15" customFormat="false" ht="15" hidden="false" customHeight="false" outlineLevel="0" collapsed="false">
      <c r="A15" s="0" t="s">
        <v>780</v>
      </c>
    </row>
    <row r="16" customFormat="false" ht="15" hidden="false" customHeight="false" outlineLevel="0" collapsed="false">
      <c r="A16" s="0" t="s">
        <v>781</v>
      </c>
    </row>
    <row r="17" customFormat="false" ht="15" hidden="false" customHeight="false" outlineLevel="0" collapsed="false">
      <c r="A17" s="0" t="s">
        <v>782</v>
      </c>
    </row>
    <row r="18" customFormat="false" ht="15" hidden="false" customHeight="false" outlineLevel="0" collapsed="false">
      <c r="A18" s="0" t="s">
        <v>783</v>
      </c>
    </row>
    <row r="19" customFormat="false" ht="15" hidden="false" customHeight="false" outlineLevel="0" collapsed="false">
      <c r="A19" s="0" t="s">
        <v>784</v>
      </c>
    </row>
    <row r="20" customFormat="false" ht="15" hidden="false" customHeight="false" outlineLevel="0" collapsed="false">
      <c r="A20" s="0" t="s">
        <v>785</v>
      </c>
    </row>
    <row r="21" customFormat="false" ht="15" hidden="false" customHeight="false" outlineLevel="0" collapsed="false">
      <c r="A21" s="0" t="s">
        <v>786</v>
      </c>
    </row>
    <row r="22" customFormat="false" ht="15" hidden="false" customHeight="false" outlineLevel="0" collapsed="false">
      <c r="A22" s="0" t="s">
        <v>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2026-10-28T00:00:00Z</dcterms:created>
  <dc:creator/>
  <dc:description/>
  <dc:language>en-US</dc:language>
  <dcterms:modified xsi:type="dcterms:W3CDTF">2026-10-28T00:00:00Z</dcterms:modified>
  <cp:revision>0</cp:revision>
  <dc:subject/>
  <dc:title>HCV – model inwestycji (szacunek)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