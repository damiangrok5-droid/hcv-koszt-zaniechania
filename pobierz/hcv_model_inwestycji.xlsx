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zytaj_mnie" sheetId="1" state="visible" r:id="rId3"/>
    <sheet name="Parametry" sheetId="2" state="visible" r:id="rId4"/>
    <sheet name="Ustawienia" sheetId="3" state="visible" r:id="rId5"/>
    <sheet name="L_S1" sheetId="4" state="visible" r:id="rId6"/>
    <sheet name="L_I1" sheetId="5" state="visible" r:id="rId7"/>
    <sheet name="L_I3" sheetId="6" state="visible" r:id="rId8"/>
    <sheet name="L_I4" sheetId="7" state="visible" r:id="rId9"/>
    <sheet name="Inw_I1" sheetId="8" state="visible" r:id="rId10"/>
    <sheet name="Inw_I3" sheetId="9" state="visible" r:id="rId11"/>
    <sheet name="Inw_I4" sheetId="10" state="visible" r:id="rId12"/>
    <sheet name="PSA_wyniki" sheetId="11" state="visible" r:id="rId13"/>
    <sheet name="Metodologia" sheetId="12" state="visible" r:id="rId14"/>
  </sheets>
  <definedNames>
    <definedName function="false" hidden="false" name="x_absd" vbProcedure="false">Ustawienia!$B$6</definedName>
    <definedName function="false" hidden="false" name="x_AF_B18" vbProcedure="false">Parametry!$C$57</definedName>
    <definedName function="false" hidden="false" name="x_AF_LIVER" vbProcedure="false">Parametry!$C$58</definedName>
    <definedName function="false" hidden="false" name="x_AGE0" vbProcedure="false">Parametry!$C$3</definedName>
    <definedName function="false" hidden="false" name="x_AGE_INC" vbProcedure="false">Parametry!$C$75</definedName>
    <definedName function="false" hidden="false" name="x_AGRI" vbProcedure="false">Parametry!$C$63</definedName>
    <definedName function="false" hidden="false" name="x_CAP_OBS" vbProcedure="false">Parametry!$C$94</definedName>
    <definedName function="false" hidden="false" name="x_CPI" vbProcedure="false">Parametry!$C$33</definedName>
    <definedName function="false" hidden="false" name="x_c_AHCV" vbProcedure="false">Parametry!$C$44</definedName>
    <definedName function="false" hidden="false" name="x_c_CC" vbProcedure="false">Parametry!$C$36</definedName>
    <definedName function="false" hidden="false" name="x_c_DAA" vbProcedure="false">Parametry!$C$42</definedName>
    <definedName function="false" hidden="false" name="x_c_DC" vbProcedure="false">Parametry!$C$38</definedName>
    <definedName function="false" hidden="false" name="x_c_F" vbProcedure="false">Parametry!$C$34</definedName>
    <definedName function="false" hidden="false" name="x_c_HCC" vbProcedure="false">Parametry!$C$39</definedName>
    <definedName function="false" hidden="false" name="x_c_LT" vbProcedure="false">Parametry!$C$40</definedName>
    <definedName function="false" hidden="false" name="x_c_MON" vbProcedure="false">Parametry!$C$43</definedName>
    <definedName function="false" hidden="false" name="x_c_PLT" vbProcedure="false">Parametry!$C$41</definedName>
    <definedName function="false" hidden="false" name="x_c_RNA" vbProcedure="false">Parametry!$C$45</definedName>
    <definedName function="false" hidden="false" name="x_c_SVRcc" vbProcedure="false">Parametry!$C$37</definedName>
    <definedName function="false" hidden="false" name="x_c_SVRn" vbProcedure="false">Parametry!$C$35</definedName>
    <definedName function="false" hidden="false" name="x_DAYS_RATIO_B18" vbProcedure="false">Parametry!$C$55</definedName>
    <definedName function="false" hidden="false" name="x_DC0" vbProcedure="false">Parametry!$C$78</definedName>
    <definedName function="false" hidden="false" name="x_D_C" vbProcedure="false">Parametry!$C$71</definedName>
    <definedName function="false" hidden="false" name="x_D_E" vbProcedure="false">Parametry!$C$72</definedName>
    <definedName function="false" hidden="false" name="x_D_F0" vbProcedure="false">Parametry!$C$5</definedName>
    <definedName function="false" hidden="false" name="x_D_F1" vbProcedure="false">Parametry!$C$6</definedName>
    <definedName function="false" hidden="false" name="x_D_F2" vbProcedure="false">Parametry!$C$7</definedName>
    <definedName function="false" hidden="false" name="x_D_F3" vbProcedure="false">Parametry!$C$8</definedName>
    <definedName function="false" hidden="false" name="x_D_F4" vbProcedure="false">Parametry!$C$9</definedName>
    <definedName function="false" hidden="false" name="x_EMP" vbProcedure="false">Parametry!$C$62</definedName>
    <definedName function="false" hidden="false" name="x_FRIC" vbProcedure="false">Parametry!$C$66</definedName>
    <definedName function="false" hidden="false" name="x_H" vbProcedure="false">Ustawienia!$B$4</definedName>
    <definedName function="false" hidden="false" name="x_HCC0" vbProcedure="false">Parametry!$C$79</definedName>
    <definedName function="false" hidden="false" name="x_INC" vbProcedure="false">Parametry!$C$74</definedName>
    <definedName function="false" hidden="false" name="x_KEY_POOL" vbProcedure="false">Parametry!$C$87</definedName>
    <definedName function="false" hidden="false" name="x_K_DC" vbProcedure="false">Parametry!$C$91</definedName>
    <definedName function="false" hidden="false" name="x_K_HCC" vbProcedure="false">Parametry!$C$92</definedName>
    <definedName function="false" hidden="false" name="x_LINK" vbProcedure="false">Parametry!$C$81</definedName>
    <definedName function="false" hidden="false" name="x_LINK_UP" vbProcedure="false">Parametry!$C$82</definedName>
    <definedName function="false" hidden="false" name="x_N0" vbProcedure="false">Parametry!$C$2</definedName>
    <definedName function="false" hidden="false" name="x_OH" vbProcedure="false">Parametry!$C$88</definedName>
    <definedName function="false" hidden="false" name="x_PEN_C22" vbProcedure="false">Parametry!$C$61</definedName>
    <definedName function="false" hidden="false" name="x_PEN_K74" vbProcedure="false">Parametry!$C$60</definedName>
    <definedName function="false" hidden="false" name="x_PLT0" vbProcedure="false">Parametry!$C$80</definedName>
    <definedName function="false" hidden="false" name="x_PREV_G" vbProcedure="false">Parametry!$C$46</definedName>
    <definedName function="false" hidden="false" name="x_PREV_K" vbProcedure="false">Parametry!$C$48</definedName>
    <definedName function="false" hidden="false" name="x_PROG_Y" vbProcedure="false">Parametry!$C$89</definedName>
    <definedName function="false" hidden="false" name="x_PWID_SH" vbProcedure="false">Parametry!$C$77</definedName>
    <definedName function="false" hidden="false" name="x_p_CCDC" vbProcedure="false">Parametry!$C$14</definedName>
    <definedName function="false" hidden="false" name="x_p_CCHCC" vbProcedure="false">Parametry!$C$15</definedName>
    <definedName function="false" hidden="false" name="x_p_DCD" vbProcedure="false">Parametry!$C$18</definedName>
    <definedName function="false" hidden="false" name="x_p_DCHCC" vbProcedure="false">Parametry!$C$16</definedName>
    <definedName function="false" hidden="false" name="x_p_DCLT" vbProcedure="false">Parametry!$C$17</definedName>
    <definedName function="false" hidden="false" name="x_p_F0F1" vbProcedure="false">Parametry!$C$10</definedName>
    <definedName function="false" hidden="false" name="x_p_F1F2" vbProcedure="false">Parametry!$C$11</definedName>
    <definedName function="false" hidden="false" name="x_p_F2F3" vbProcedure="false">Parametry!$C$12</definedName>
    <definedName function="false" hidden="false" name="x_p_F3F4" vbProcedure="false">Parametry!$C$13</definedName>
    <definedName function="false" hidden="false" name="x_p_HCCD" vbProcedure="false">Parametry!$C$19</definedName>
    <definedName function="false" hidden="false" name="x_p_HCCLT" vbProcedure="false">Parametry!$C$20</definedName>
    <definedName function="false" hidden="false" name="x_p_LTD" vbProcedure="false">Parametry!$C$21</definedName>
    <definedName function="false" hidden="false" name="x_p_PLTD" vbProcedure="false">Parametry!$C$22</definedName>
    <definedName function="false" hidden="false" name="x_p_SCCDC" vbProcedure="false">Parametry!$C$23</definedName>
    <definedName function="false" hidden="false" name="x_p_SCCHCC" vbProcedure="false">Parametry!$C$24</definedName>
    <definedName function="false" hidden="false" name="x_RAMP" vbProcedure="false">Parametry!$C$93</definedName>
    <definedName function="false" hidden="false" name="x_rc" vbProcedure="false">Ustawienia!$B$2</definedName>
    <definedName function="false" hidden="false" name="x_RE" vbProcedure="false">Parametry!$C$76</definedName>
    <definedName function="false" hidden="false" name="x_RET" vbProcedure="false">Parametry!$C$4</definedName>
    <definedName function="false" hidden="false" name="x_re_0" vbProcedure="false">Ustawienia!$B$3</definedName>
    <definedName function="false" hidden="false" name="x_R_FP" vbProcedure="false">Parametry!$C$68</definedName>
    <definedName function="false" hidden="false" name="x_R_FUS" vbProcedure="false">Parametry!$C$67</definedName>
    <definedName function="false" hidden="false" name="x_R_NFZ" vbProcedure="false">Parametry!$C$69</definedName>
    <definedName function="false" hidden="false" name="x_R_PIT" vbProcedure="false">Parametry!$C$70</definedName>
    <definedName function="false" hidden="false" name="x_SVR" vbProcedure="false">Parametry!$C$25</definedName>
    <definedName function="false" hidden="false" name="x_THR" vbProcedure="false">Parametry!$C$73</definedName>
    <definedName function="false" hidden="false" name="x_THR_INFO" vbProcedure="false">Parametry!$C$90</definedName>
    <definedName function="false" hidden="false" name="x_T_SQ" vbProcedure="false">Parametry!$C$50</definedName>
    <definedName function="false" hidden="false" name="x_T_WHO" vbProcedure="false">Parametry!$C$51</definedName>
    <definedName function="false" hidden="false" name="x_u_CC" vbProcedure="false">Parametry!$C$27</definedName>
    <definedName function="false" hidden="false" name="x_u_DC" vbProcedure="false">Parametry!$C$28</definedName>
    <definedName function="false" hidden="false" name="x_u_F" vbProcedure="false">Parametry!$C$26</definedName>
    <definedName function="false" hidden="false" name="x_u_HCC" vbProcedure="false">Parametry!$C$29</definedName>
    <definedName function="false" hidden="false" name="x_u_LT" vbProcedure="false">Parametry!$C$30</definedName>
    <definedName function="false" hidden="false" name="x_u_PLT" vbProcedure="false">Parametry!$C$31</definedName>
    <definedName function="false" hidden="false" name="x_u_SVR" vbProcedure="false">Parametry!$C$32</definedName>
    <definedName function="false" hidden="false" name="x_VIR" vbProcedure="false">Parametry!$C$47</definedName>
    <definedName function="false" hidden="false" name="x_VIR_K" vbProcedure="false">Parametry!$C$49</definedName>
    <definedName function="false" hidden="false" name="x_WAGE" vbProcedure="false">Parametry!$C$64</definedName>
    <definedName function="false" hidden="false" name="x_WLOSS" vbProcedure="false">Parametry!$C$65</definedName>
    <definedName function="false" hidden="false" name="x_W_RATIO" vbProcedure="false">Parametry!$C$56</definedName>
    <definedName function="false" hidden="false" name="x_Y_KEY" vbProcedure="false">Parametry!$C$86</definedName>
    <definedName function="false" hidden="false" name="x_Y_LAB" vbProcedure="false">Parametry!$C$85</definedName>
    <definedName function="false" hidden="false" name="x_Y_MZ" vbProcedure="false">Parametry!$C$83</definedName>
    <definedName function="false" hidden="false" name="x_Y_POZ" vbProcedure="false">Parametry!$C$84</definedName>
    <definedName function="false" hidden="false" name="x_ZUS12_B18" vbProcedure="false">Parametry!$C$52</definedName>
    <definedName function="false" hidden="false" name="x_ZUS12_C22" vbProcedure="false">Parametry!$C$54</definedName>
    <definedName function="false" hidden="false" name="x_ZUS12_K74" vbProcedure="false">Parametry!$C$53</definedName>
    <definedName function="false" hidden="false" name="x_z_F" vbProcedure="false">Parametry!$C$59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<sst xmlns="http://schemas.openxmlformats.org/spreadsheetml/2006/main" count="1429" uniqueCount="534">
  <si>
    <t xml:space="preserve">HCV w Polsce – model inwestycji w testowanie i leczenie (arkusz z formułami)</t>
  </si>
  <si>
    <t xml:space="preserve">Wszystkie wyniki są SZACUNKAMI MODELU, nie danymi. Stan danych: 27.10.2026.</t>
  </si>
  <si>
    <t xml:space="preserve">Żółte komórki = dane wejściowe (nazwy x_…). Zmiana parametru kosztowego przelicza koszty, salda, ROI i rok zwrotu.</t>
  </si>
  <si>
    <t xml:space="preserve">Liczebności stanów (arkusze L_*) pochodzą z silnika Markowa (JavaScript, ten sam co w aplikacji) i są wklejone jako wartości;</t>
  </si>
  <si>
    <t xml:space="preserve">zmiana parametrów przejść/epidemiologii wymaga ponownego uruchomienia silnika (kalkulator w aplikacji robi to na żywo).</t>
  </si>
  <si>
    <t xml:space="preserve">Perspektywy (AOTMiT): NFZ; sektor publiczny = NFZ + budżet (MZ/SW) + ZUS + KRUS + utracone składki i PIT; społeczna = NFZ + budżet + produktywność (ZUS to transfery).</t>
  </si>
  <si>
    <t xml:space="preserve">Dyskonto: koszty 5%, efekty 3,5% (AOTMiT). Saldo &gt; 0 = koszt netto dla państwa; saldo &lt; 0 = oszczędność netto.</t>
  </si>
  <si>
    <t xml:space="preserve">Liczby leczonych są roczne – nie sumuj osób między latami (suma kursów leczenia ≠ liczba unikalnych osób).</t>
  </si>
  <si>
    <t xml:space="preserve">Materiał edukacyjny, neutralny; bez nazw leków i firm. Recenzja panelu ról w aplikacji jest symulowana.</t>
  </si>
  <si>
    <t xml:space="preserve">id</t>
  </si>
  <si>
    <t xml:space="preserve">nazwa</t>
  </si>
  <si>
    <t xml:space="preserve">wartosc</t>
  </si>
  <si>
    <t xml:space="preserve">min</t>
  </si>
  <si>
    <t xml:space="preserve">max</t>
  </si>
  <si>
    <t xml:space="preserve">rozklad</t>
  </si>
  <si>
    <t xml:space="preserve">param_rozkladu</t>
  </si>
  <si>
    <t xml:space="preserve">zrodlo</t>
  </si>
  <si>
    <t xml:space="preserve">data_zrodla</t>
  </si>
  <si>
    <t xml:space="preserve">typ</t>
  </si>
  <si>
    <t xml:space="preserve">metoda</t>
  </si>
  <si>
    <t xml:space="preserve">platnik</t>
  </si>
  <si>
    <t xml:space="preserve">jednostka</t>
  </si>
  <si>
    <t xml:space="preserve">N0</t>
  </si>
  <si>
    <t xml:space="preserve">Osoby z wiremią HCV w PL na start (2026)</t>
  </si>
  <si>
    <t xml:space="preserve">trójkątny</t>
  </si>
  <si>
    <t xml:space="preserve">min=145000; moda=155000; max=165000</t>
  </si>
  <si>
    <t xml:space="preserve">Szacunki ekspertów i Polaris Observatory (przegląd w raporcie HCV); Flisiak i in. Eur J Gastroenterol Hepatol 2015;27:70–76</t>
  </si>
  <si>
    <t xml:space="preserve">2020–2024</t>
  </si>
  <si>
    <t xml:space="preserve">dane źródłowe</t>
  </si>
  <si>
    <t xml:space="preserve">punkt środkowy przedziału publikowanych szacunków</t>
  </si>
  <si>
    <t xml:space="preserve">—</t>
  </si>
  <si>
    <t xml:space="preserve">osoby</t>
  </si>
  <si>
    <t xml:space="preserve">AGE0</t>
  </si>
  <si>
    <t xml:space="preserve">Wiek startowy kohorty</t>
  </si>
  <si>
    <t xml:space="preserve">stały (tornado)</t>
  </si>
  <si>
    <t xml:space="preserve">NFZ app-stat B.71 2025 wg grup wieku (n=4 839)</t>
  </si>
  <si>
    <t xml:space="preserve">2025</t>
  </si>
  <si>
    <t xml:space="preserve">prognoza/szacunek</t>
  </si>
  <si>
    <t xml:space="preserve">średnia ważona środków przedziałów wieku (18–40:29; 41–60:50,5; 61–80:70,5; 81+:85) = 53,4</t>
  </si>
  <si>
    <t xml:space="preserve">lata</t>
  </si>
  <si>
    <t xml:space="preserve">RET</t>
  </si>
  <si>
    <t xml:space="preserve">Wiek emerytalny ważony płcią</t>
  </si>
  <si>
    <t xml:space="preserve">NFZ B.71 2025 wg płci (M 55,5%); ustawa o emeryturach (60/65)</t>
  </si>
  <si>
    <t xml:space="preserve">średnia ważona udziałem płci</t>
  </si>
  <si>
    <t xml:space="preserve">D_F0</t>
  </si>
  <si>
    <t xml:space="preserve">Rozkład włóknienia na starcie F0</t>
  </si>
  <si>
    <t xml:space="preserve">Dirichlet</t>
  </si>
  <si>
    <t xml:space="preserve">alfa=180 (n=845)</t>
  </si>
  <si>
    <t xml:space="preserve">Pierucka 2016 (nowo rozpoznani, n=845)</t>
  </si>
  <si>
    <t xml:space="preserve">2016</t>
  </si>
  <si>
    <t xml:space="preserve">udział obserwowany</t>
  </si>
  <si>
    <t xml:space="preserve">odsetek</t>
  </si>
  <si>
    <t xml:space="preserve">D_F1</t>
  </si>
  <si>
    <t xml:space="preserve">Rozkład włóknienia na starcie F1</t>
  </si>
  <si>
    <t xml:space="preserve">alfa=305 (n=845)</t>
  </si>
  <si>
    <t xml:space="preserve">D_F2</t>
  </si>
  <si>
    <t xml:space="preserve">Rozkład włóknienia na starcie F2</t>
  </si>
  <si>
    <t xml:space="preserve">alfa=197 (n=845)</t>
  </si>
  <si>
    <t xml:space="preserve">D_F3</t>
  </si>
  <si>
    <t xml:space="preserve">Rozkład włóknienia na starcie F3</t>
  </si>
  <si>
    <t xml:space="preserve">alfa=93 (n=845)</t>
  </si>
  <si>
    <t xml:space="preserve">D_F4</t>
  </si>
  <si>
    <t xml:space="preserve">Rozkład włóknienia na starcie F4</t>
  </si>
  <si>
    <t xml:space="preserve">alfa=70 (n=845)</t>
  </si>
  <si>
    <t xml:space="preserve">p_F0F1</t>
  </si>
  <si>
    <t xml:space="preserve">Prawdopodobieństwo roczne F0→F1</t>
  </si>
  <si>
    <t xml:space="preserve">beta</t>
  </si>
  <si>
    <t xml:space="preserve">alfa=274.65; beta=2072.75</t>
  </si>
  <si>
    <t xml:space="preserve">Thein 2008 Hepatology 48:418 (metaanaliza), doi 10.1002/hep.22375</t>
  </si>
  <si>
    <t xml:space="preserve">2008</t>
  </si>
  <si>
    <t xml:space="preserve">dane zagraniczne/literatura międzynarodowa</t>
  </si>
  <si>
    <t xml:space="preserve">metaanaliza; SE=(górny−dolny 95% CI)/3,92</t>
  </si>
  <si>
    <t xml:space="preserve">/rok</t>
  </si>
  <si>
    <t xml:space="preserve">p_F1F2</t>
  </si>
  <si>
    <t xml:space="preserve">Prawdopodobieństwo roczne F1→F2</t>
  </si>
  <si>
    <t xml:space="preserve">alfa=230.27; beta=2478.76</t>
  </si>
  <si>
    <t xml:space="preserve">p_F2F3</t>
  </si>
  <si>
    <t xml:space="preserve">Prawdopodobieństwo roczne F2→F3</t>
  </si>
  <si>
    <t xml:space="preserve">alfa=337.94; beta=2478.23</t>
  </si>
  <si>
    <t xml:space="preserve">p_F3F4</t>
  </si>
  <si>
    <t xml:space="preserve">Prawdopodobieństwo roczne F3→F4</t>
  </si>
  <si>
    <t xml:space="preserve">alfa=292.34; beta=2227.83</t>
  </si>
  <si>
    <t xml:space="preserve">p_CCDC</t>
  </si>
  <si>
    <t xml:space="preserve">Prawdopodobieństwo roczne CC→DC</t>
  </si>
  <si>
    <t xml:space="preserve">alfa=186.85; beta=2969.48</t>
  </si>
  <si>
    <t xml:space="preserve">Analiza ekonomiczna w raporcie AOTMiT (zlecenie 153/2017), Tab. 28 – parametry z literatury międzynarodowej</t>
  </si>
  <si>
    <t xml:space="preserve">2017</t>
  </si>
  <si>
    <t xml:space="preserve">dane źródłowe (PL HTA; pierwotnie lit. międzynar.)</t>
  </si>
  <si>
    <t xml:space="preserve">p_CCHCC</t>
  </si>
  <si>
    <t xml:space="preserve">Prawdopodobieństwo roczne CC→HCC</t>
  </si>
  <si>
    <t xml:space="preserve">alfa=112.20; beta=2945.03</t>
  </si>
  <si>
    <t xml:space="preserve">p_DCHCC</t>
  </si>
  <si>
    <t xml:space="preserve">Prawdopodobieństwo roczne DC→HCC</t>
  </si>
  <si>
    <t xml:space="preserve">alfa=28.25; beta=1285.61</t>
  </si>
  <si>
    <t xml:space="preserve">p_DCLT</t>
  </si>
  <si>
    <t xml:space="preserve">Prawdopodobieństwo roczne DC→LT</t>
  </si>
  <si>
    <t xml:space="preserve">alfa=3.02; beta=69.13</t>
  </si>
  <si>
    <t xml:space="preserve">p_DCD</t>
  </si>
  <si>
    <t xml:space="preserve">Prawdopodobieństwo roczne DC→zgon wątrobowy</t>
  </si>
  <si>
    <t xml:space="preserve">alfa=185.18; beta=1527.85</t>
  </si>
  <si>
    <t xml:space="preserve">p_HCCD</t>
  </si>
  <si>
    <t xml:space="preserve">Prawdopodobieństwo roczne HCC→zgon wątrobowy</t>
  </si>
  <si>
    <t xml:space="preserve">alfa=980.36; beta=2630.54</t>
  </si>
  <si>
    <t xml:space="preserve">p_HCCLT</t>
  </si>
  <si>
    <t xml:space="preserve">Prawdopodobieństwo roczne HCC→LT</t>
  </si>
  <si>
    <t xml:space="preserve">alfa=342.73; beta=36510.31</t>
  </si>
  <si>
    <t xml:space="preserve">p_LTD</t>
  </si>
  <si>
    <t xml:space="preserve">Prawdopodobieństwo roczne LT (rok 1)→zgon</t>
  </si>
  <si>
    <t xml:space="preserve">alfa=4250.70; beta=19364.30</t>
  </si>
  <si>
    <t xml:space="preserve">p_PLTD</t>
  </si>
  <si>
    <t xml:space="preserve">Prawdopodobieństwo roczne po LT→zgon</t>
  </si>
  <si>
    <t xml:space="preserve">alfa=1180.28; beta=24635.10</t>
  </si>
  <si>
    <t xml:space="preserve">p_SCCDC</t>
  </si>
  <si>
    <t xml:space="preserve">Prawdopodobieństwo roczne CC po SVR→DC</t>
  </si>
  <si>
    <t xml:space="preserve">alfa=38.56; beta=3046.38</t>
  </si>
  <si>
    <t xml:space="preserve">p_SCCHCC</t>
  </si>
  <si>
    <t xml:space="preserve">Prawdopodobieństwo roczne CC po SVR→HCC</t>
  </si>
  <si>
    <t xml:space="preserve">alfa=90.77; beta=7802.50</t>
  </si>
  <si>
    <t xml:space="preserve">SVR</t>
  </si>
  <si>
    <t xml:space="preserve">Odsetek SVR po DAA (F0–F4)</t>
  </si>
  <si>
    <t xml:space="preserve">alfa=391.05; beta=3.95</t>
  </si>
  <si>
    <t xml:space="preserve">Badania rejestracyjne pangenotypowych schematów DAA (śr. ok. 99%); rejestr EpiTer-2 (PL, praktyka kliniczna 97–99%)</t>
  </si>
  <si>
    <t xml:space="preserve">średnia z badań; zakres = real-world</t>
  </si>
  <si>
    <t xml:space="preserve">NFZ</t>
  </si>
  <si>
    <t xml:space="preserve">u_F</t>
  </si>
  <si>
    <t xml:space="preserve">Użyteczność F0–F3</t>
  </si>
  <si>
    <t xml:space="preserve">alfa=277.12; beta=110.46</t>
  </si>
  <si>
    <t xml:space="preserve">Analiza ekonomiczna w raporcie AOTMiT (zlecenie 153/2017), Tab. 28 – parametry z literatury międzynarodowej (Wright 2006 i in.)</t>
  </si>
  <si>
    <t xml:space="preserve">QALY/rok</t>
  </si>
  <si>
    <t xml:space="preserve">u_CC</t>
  </si>
  <si>
    <t xml:space="preserve">Użyteczność CC (F4)</t>
  </si>
  <si>
    <t xml:space="preserve">alfa=46.48; beta=38.03</t>
  </si>
  <si>
    <t xml:space="preserve">u_DC</t>
  </si>
  <si>
    <t xml:space="preserve">Użyteczność DC</t>
  </si>
  <si>
    <t xml:space="preserve">alfa=124.13; beta=151.71</t>
  </si>
  <si>
    <t xml:space="preserve">u_HCC</t>
  </si>
  <si>
    <t xml:space="preserve">Użyteczność HCC</t>
  </si>
  <si>
    <t xml:space="preserve">u_LT</t>
  </si>
  <si>
    <t xml:space="preserve">Użyteczność LT</t>
  </si>
  <si>
    <t xml:space="preserve">u_PLT</t>
  </si>
  <si>
    <t xml:space="preserve">Użyteczność po LT</t>
  </si>
  <si>
    <t xml:space="preserve">alfa=33.34; beta=16.42</t>
  </si>
  <si>
    <t xml:space="preserve">u_SVR</t>
  </si>
  <si>
    <t xml:space="preserve">Przyrost użyteczności po SVR</t>
  </si>
  <si>
    <t xml:space="preserve">gamma</t>
  </si>
  <si>
    <t xml:space="preserve">k=100.00; theta=0.0005</t>
  </si>
  <si>
    <t xml:space="preserve">CPI</t>
  </si>
  <si>
    <t xml:space="preserve">Indeks CPI GUS 2016→2025</t>
  </si>
  <si>
    <t xml:space="preserve">stały</t>
  </si>
  <si>
    <t xml:space="preserve">GUS: wskaźniki cen towarów i usług konsumpcyjnych 1950–2025 (rok poprzedni=100)</t>
  </si>
  <si>
    <t xml:space="preserve">2026</t>
  </si>
  <si>
    <t xml:space="preserve">inflacja kosztu: iloczyn rocznych CPI 2017–2025 (102,0;101,6;102,3;103,4;105,1;114,4;111,4;103,6;103,6)</t>
  </si>
  <si>
    <t xml:space="preserve">indeks</t>
  </si>
  <si>
    <t xml:space="preserve">c_F</t>
  </si>
  <si>
    <t xml:space="preserve">Koszt NFZ/rok: F0–F3 bez leczenia (ceny 2025)</t>
  </si>
  <si>
    <t xml:space="preserve">k=61.47; theta=48.1607</t>
  </si>
  <si>
    <t xml:space="preserve">Kaczor 2012 (koszty stanów, ceny 2016) via analiza ekonomiczna AOTMiT, zlecenie 153/2017, Tab. 198 × CPI GUS</t>
  </si>
  <si>
    <t xml:space="preserve">2016→2025</t>
  </si>
  <si>
    <t xml:space="preserve">wartość źródłowa 1878.47 zł (2016) × CPI 1.5759; SE źródłowe przeskalowane</t>
  </si>
  <si>
    <t xml:space="preserve">zł/os./rok</t>
  </si>
  <si>
    <t xml:space="preserve">c_SVRn</t>
  </si>
  <si>
    <t xml:space="preserve">Koszt NFZ/rok: F0–F3 po SVR (ceny 2025)</t>
  </si>
  <si>
    <t xml:space="preserve">k=61.47; theta=9.9653</t>
  </si>
  <si>
    <t xml:space="preserve">wartość źródłowa 388.73 zł (2016) × CPI 1.5759; SE źródłowe przeskalowane</t>
  </si>
  <si>
    <t xml:space="preserve">c_CC</t>
  </si>
  <si>
    <t xml:space="preserve">Koszt NFZ/rok: CC (ceny 2025)</t>
  </si>
  <si>
    <t xml:space="preserve">k=100.00; theta=54.1556</t>
  </si>
  <si>
    <t xml:space="preserve">wartość źródłowa 3436.47 zł (2016) × CPI 1.5759; SE źródłowe przeskalowane</t>
  </si>
  <si>
    <t xml:space="preserve">c_SVRcc</t>
  </si>
  <si>
    <t xml:space="preserve">Koszt NFZ/rok: CC po SVR (ceny 2025)</t>
  </si>
  <si>
    <t xml:space="preserve">k=100.00; theta=27.3813</t>
  </si>
  <si>
    <t xml:space="preserve">wartość źródłowa 1737.48 zł (2016) × CPI 1.5759; SE źródłowe przeskalowane</t>
  </si>
  <si>
    <t xml:space="preserve">c_DC</t>
  </si>
  <si>
    <t xml:space="preserve">Koszt NFZ/rok: DC (ceny 2025)</t>
  </si>
  <si>
    <t xml:space="preserve">k=100.00; theta=180.6477</t>
  </si>
  <si>
    <t xml:space="preserve">wartość źródłowa 11463.32 zł (2016) × CPI 1.5759; SE źródłowe przeskalowane</t>
  </si>
  <si>
    <t xml:space="preserve">c_HCC</t>
  </si>
  <si>
    <t xml:space="preserve">Koszt NFZ/rok: HCC (ceny 2025)</t>
  </si>
  <si>
    <t xml:space="preserve">k=100.00; theta=628.7985</t>
  </si>
  <si>
    <t xml:space="preserve">wartość źródłowa 39901.41 zł (2016) × CPI 1.5759; SE źródłowe przeskalowane</t>
  </si>
  <si>
    <t xml:space="preserve">c_LT</t>
  </si>
  <si>
    <t xml:space="preserve">Koszt NFZ/rok: LT (rok przeszczepienia) (ceny 2025)</t>
  </si>
  <si>
    <t xml:space="preserve">k=100.00; theta=3428.1828</t>
  </si>
  <si>
    <t xml:space="preserve">wartość źródłowa 217540.72 zł (2016) × CPI 1.5759; SE źródłowe przeskalowane</t>
  </si>
  <si>
    <t xml:space="preserve">c_PLT</t>
  </si>
  <si>
    <t xml:space="preserve">Koszt NFZ/rok: po LT (rok 2+) (ceny 2025)</t>
  </si>
  <si>
    <t xml:space="preserve">k=100.00; theta=317.8797</t>
  </si>
  <si>
    <t xml:space="preserve">wartość źródłowa 20171.45 zł (2016) × CPI 1.5759; SE źródłowe przeskalowane</t>
  </si>
  <si>
    <t xml:space="preserve">c_DAA</t>
  </si>
  <si>
    <t xml:space="preserve">Koszt DAA na pacjenta (refundacja B.71)</t>
  </si>
  <si>
    <t xml:space="preserve">lognormalny</t>
  </si>
  <si>
    <t xml:space="preserve">mu=ln(22760); sigma=0.021 (SD 473 zł z 6 lat)</t>
  </si>
  <si>
    <t xml:space="preserve">NFZ app-stat B.71: 109,98 mln zł / 4 832 pacjentów (2025); szereg 2020–2025</t>
  </si>
  <si>
    <t xml:space="preserve">iloraz wartość/pacjenci; zmienność = SD ilorazu 2020–2025 (n=6); max = najwyższa cena urzędowa terapii DAA 8 tyg. w wykazie MZ 2025 (97 716 zł; tornado)</t>
  </si>
  <si>
    <t xml:space="preserve">zł/pacjent</t>
  </si>
  <si>
    <t xml:space="preserve">c_MON</t>
  </si>
  <si>
    <t xml:space="preserve">Ryczałt diagnostyczny/monitorowanie B.71 (ceny 2025)</t>
  </si>
  <si>
    <t xml:space="preserve">SE 10%</t>
  </si>
  <si>
    <t xml:space="preserve">Zarządzenie 53/2017/DGL (5.08.08.0000002) 3 731,52 zł × CPI 2017→2025</t>
  </si>
  <si>
    <t xml:space="preserve">2017→2025</t>
  </si>
  <si>
    <t xml:space="preserve">inflacja kosztu CPI GUS 2018–2025</t>
  </si>
  <si>
    <t xml:space="preserve">c_AHCV</t>
  </si>
  <si>
    <t xml:space="preserve">Badanie anty-HCV (POZ)</t>
  </si>
  <si>
    <t xml:space="preserve">Zarządzenie Prezesa NFZ 22/2025/DSOZ (tekst ujedn. 23.09.2026) via psoz.pl</t>
  </si>
  <si>
    <t xml:space="preserve">zł/test</t>
  </si>
  <si>
    <t xml:space="preserve">c_RNA</t>
  </si>
  <si>
    <t xml:space="preserve">Badanie HCV RNA jakościowe</t>
  </si>
  <si>
    <t xml:space="preserve">Cennik laboratorium komercyjnego od 01.02.2025 (brak taryfy NFZ dla POZ – proxy rynkowe)</t>
  </si>
  <si>
    <t xml:space="preserve">dane źródłowe (proxy)</t>
  </si>
  <si>
    <t xml:space="preserve">cena rynkowa jako proxy</t>
  </si>
  <si>
    <t xml:space="preserve">PREV_G</t>
  </si>
  <si>
    <t xml:space="preserve">Odsetek anty-HCV+ w populacji ogólnej</t>
  </si>
  <si>
    <t xml:space="preserve">alfa=50; beta=9950</t>
  </si>
  <si>
    <t xml:space="preserve">Flisiak i in. (badanie 723 654 testów 2018–19, Clin Exp Hepatol 2020)</t>
  </si>
  <si>
    <t xml:space="preserve">2020</t>
  </si>
  <si>
    <t xml:space="preserve">VIR</t>
  </si>
  <si>
    <t xml:space="preserve">Odsetek wiremicznych wśród anty-HCV+</t>
  </si>
  <si>
    <t xml:space="preserve">alfa=40; beta=60</t>
  </si>
  <si>
    <t xml:space="preserve">Flisiak i in. (Clin Exp Hepatol 2020)</t>
  </si>
  <si>
    <t xml:space="preserve">PREV_K</t>
  </si>
  <si>
    <t xml:space="preserve">Odsetek anty-HCV+ wśród PWID</t>
  </si>
  <si>
    <t xml:space="preserve">alfa=59; beta=41</t>
  </si>
  <si>
    <t xml:space="preserve">Rosińska i in. 2016 BMC Infect Dis, doi 10.1186/s12879-015-0828-9</t>
  </si>
  <si>
    <t xml:space="preserve">badanie bio-behawioralne 6 regionów</t>
  </si>
  <si>
    <t xml:space="preserve">MZ/SW</t>
  </si>
  <si>
    <t xml:space="preserve">VIR_K</t>
  </si>
  <si>
    <t xml:space="preserve">Odsetek wiremicznych wśród anty-HCV+ PWID</t>
  </si>
  <si>
    <t xml:space="preserve">alfa=50; beta=50</t>
  </si>
  <si>
    <t xml:space="preserve">KBPN 'Serwis Informacyjny Uzależnienia' 79 (≥ połowa wiremiczna)</t>
  </si>
  <si>
    <t xml:space="preserve">dolna granica 'co najmniej połowa'</t>
  </si>
  <si>
    <t xml:space="preserve">T_SQ</t>
  </si>
  <si>
    <t xml:space="preserve">Leczeni/rok – status quo</t>
  </si>
  <si>
    <t xml:space="preserve">NFZ app-stat B.71 2025</t>
  </si>
  <si>
    <t xml:space="preserve">ostatnia obserwacja; wariant: trend liniowy 2020–2025 (n=6; +138/rok; R²=0,57) i log-liniowy (R²=0,55)</t>
  </si>
  <si>
    <t xml:space="preserve">osoby/rok</t>
  </si>
  <si>
    <t xml:space="preserve">T_WHO</t>
  </si>
  <si>
    <t xml:space="preserve">Leczeni/rok – eliminacja WHO 2030</t>
  </si>
  <si>
    <t xml:space="preserve">Flisiak i in. 2015 (scenariusz eliminacji: 15 000/rok); eksperci 2026 (ok. 20 000/rok)</t>
  </si>
  <si>
    <t xml:space="preserve">2023</t>
  </si>
  <si>
    <t xml:space="preserve">środek przedziału</t>
  </si>
  <si>
    <t xml:space="preserve">ZUS12_B18</t>
  </si>
  <si>
    <t xml:space="preserve">Wydatki ZUS 2012 B18 (renty+socjalne+rehab.+absencja)</t>
  </si>
  <si>
    <t xml:space="preserve">Łazarski/IZwOZ 2015, Tab. 57 (dane ZUS)</t>
  </si>
  <si>
    <t xml:space="preserve">2012</t>
  </si>
  <si>
    <t xml:space="preserve">ZUS</t>
  </si>
  <si>
    <t xml:space="preserve">zł</t>
  </si>
  <si>
    <t xml:space="preserve">ZUS12_K74</t>
  </si>
  <si>
    <t xml:space="preserve">Wydatki ZUS 2012 K74</t>
  </si>
  <si>
    <t xml:space="preserve">Łazarski/IZwOZ 2015, Tab. 57</t>
  </si>
  <si>
    <t xml:space="preserve">ZUS12_C22</t>
  </si>
  <si>
    <t xml:space="preserve">Wydatki ZUS 2012 C22</t>
  </si>
  <si>
    <t xml:space="preserve">DAYS_RATIO_B18</t>
  </si>
  <si>
    <t xml:space="preserve">Wolumen absencji B18 2025/2013</t>
  </si>
  <si>
    <t xml:space="preserve">ZUS PSZ 2025 (28 057 dni) / Łazarski 2013 (202,4 tys.)</t>
  </si>
  <si>
    <t xml:space="preserve">2013/2025</t>
  </si>
  <si>
    <t xml:space="preserve">iloraz wolumenów</t>
  </si>
  <si>
    <t xml:space="preserve">×</t>
  </si>
  <si>
    <t xml:space="preserve">W_RATIO</t>
  </si>
  <si>
    <t xml:space="preserve">Wzrost przeciętnego wynagrodzenia 2012→2025</t>
  </si>
  <si>
    <t xml:space="preserve">GUS: 3 521,67 zł (2012), 8 903,56 zł (2025, MP 2026 poz. 192)</t>
  </si>
  <si>
    <t xml:space="preserve">iloraz</t>
  </si>
  <si>
    <t xml:space="preserve">AF_B18</t>
  </si>
  <si>
    <t xml:space="preserve">Udział HCV w B18</t>
  </si>
  <si>
    <t xml:space="preserve">alfa=3525; beta=3513</t>
  </si>
  <si>
    <t xml:space="preserve">PZH: Choroby zakaźne i zatrucia w Polsce 2024 (B18.2 vs B18.0–1)</t>
  </si>
  <si>
    <t xml:space="preserve">2024</t>
  </si>
  <si>
    <t xml:space="preserve">udział rejestracji jako proxy frakcji atrybutywnej</t>
  </si>
  <si>
    <t xml:space="preserve">AF_LIVER</t>
  </si>
  <si>
    <t xml:space="preserve">Udział HCV w C22/K74 (frakcja atrybutywna)</t>
  </si>
  <si>
    <t xml:space="preserve">alfa=201; beta=277 (n=478)</t>
  </si>
  <si>
    <t xml:space="preserve">Rejestr LIVER (JCO 2012, n=478); CEH 2021 (33–35%) – K74: proxy z HCC</t>
  </si>
  <si>
    <t xml:space="preserve">2012/2021</t>
  </si>
  <si>
    <t xml:space="preserve">proxy: udział HCV w HCC przeniesiony na K74</t>
  </si>
  <si>
    <t xml:space="preserve">z_F</t>
  </si>
  <si>
    <t xml:space="preserve">Koszt ZUS/os./rok F0–F4 (absencja+renty B18, atrybutywny)</t>
  </si>
  <si>
    <t xml:space="preserve">SE 20% (założenie)</t>
  </si>
  <si>
    <t xml:space="preserve">pochodna: ZUS12_B18 × DAYS_RATIO_B18 × W_RATIO × AF_B18 / N0</t>
  </si>
  <si>
    <t xml:space="preserve">kalibracja top-down: wydatki 2012 × zmiana wolumenu (dni absencji 2013→2025) × zmiana płac; podział przez liczbę osób z wiremią</t>
  </si>
  <si>
    <t xml:space="preserve">PEN_K74</t>
  </si>
  <si>
    <t xml:space="preserve">Średnia renta ZUS/świadczeniobiorcę K74 (2025)</t>
  </si>
  <si>
    <t xml:space="preserve">Łazarski 2015 (11 762,77 zł w 2012) × wzrost płac GUS</t>
  </si>
  <si>
    <t xml:space="preserve">2012→2025</t>
  </si>
  <si>
    <t xml:space="preserve">indeksacja wskaźnikiem wzrostu płac</t>
  </si>
  <si>
    <t xml:space="preserve">zł/rok</t>
  </si>
  <si>
    <t xml:space="preserve">PEN_C22</t>
  </si>
  <si>
    <t xml:space="preserve">Średnia renta ZUS/świadczeniobiorcę C22 (2025)</t>
  </si>
  <si>
    <t xml:space="preserve">Łazarski 2015 (13 367,99 zł w 2012) × wzrost płac GUS</t>
  </si>
  <si>
    <t xml:space="preserve">EMP</t>
  </si>
  <si>
    <t xml:space="preserve">Wskaźnik zatrudnienia w wieku produkcyjnym</t>
  </si>
  <si>
    <t xml:space="preserve">alfa=798; beta=202</t>
  </si>
  <si>
    <t xml:space="preserve">GUS BAEL IV kw. 2025 (18–59/64 lata)</t>
  </si>
  <si>
    <t xml:space="preserve">AGRI</t>
  </si>
  <si>
    <t xml:space="preserve">Udział pracujących w rolnictwie (KRUS)</t>
  </si>
  <si>
    <t xml:space="preserve">GUS BAEL IV kw. 2025</t>
  </si>
  <si>
    <t xml:space="preserve">podział świadczeń ZUS/KRUS proporcjonalnie do struktury zatrudnienia (założenie: ta sama kwota świadczenia)</t>
  </si>
  <si>
    <t xml:space="preserve">KRUS</t>
  </si>
  <si>
    <t xml:space="preserve">WAGE</t>
  </si>
  <si>
    <t xml:space="preserve">Przeciętne roczne wynagrodzenie brutto</t>
  </si>
  <si>
    <t xml:space="preserve">GUS 2025: 8 903,56 zł/mies. (MP 2026 poz. 192)</t>
  </si>
  <si>
    <t xml:space="preserve">×12</t>
  </si>
  <si>
    <t xml:space="preserve">WLOSS</t>
  </si>
  <si>
    <t xml:space="preserve">Utrata zdolności do pracy w DC/HCC/LT/po LT</t>
  </si>
  <si>
    <t xml:space="preserve">założenie (kapitał ludzki)</t>
  </si>
  <si>
    <t xml:space="preserve">założenie scenariuszowe</t>
  </si>
  <si>
    <t xml:space="preserve">FRIC</t>
  </si>
  <si>
    <t xml:space="preserve">Okres frykcyjny</t>
  </si>
  <si>
    <t xml:space="preserve">Koopmanschap 1995 (metoda frykcyjna; NL) – transfer</t>
  </si>
  <si>
    <t xml:space="preserve">1995</t>
  </si>
  <si>
    <t xml:space="preserve">metoda frykcyjna: strata tylko w okresie zastąpienia pracownika</t>
  </si>
  <si>
    <t xml:space="preserve">rok</t>
  </si>
  <si>
    <t xml:space="preserve">R_FUS</t>
  </si>
  <si>
    <t xml:space="preserve">Składki FUS (emer.19,52+rent.8,0+chor.2,45+wyp.1,67)</t>
  </si>
  <si>
    <t xml:space="preserve">ustawa o systemie ubezpieczeń społecznych (stawki 2025)</t>
  </si>
  <si>
    <t xml:space="preserve">suma stawek ustawowych</t>
  </si>
  <si>
    <t xml:space="preserve">% brutto</t>
  </si>
  <si>
    <t xml:space="preserve">R_FP</t>
  </si>
  <si>
    <t xml:space="preserve">Fundusz Pracy + FGŚP</t>
  </si>
  <si>
    <t xml:space="preserve">ustawa o promocji zatrudnienia; ustawa o FGŚP</t>
  </si>
  <si>
    <t xml:space="preserve">Budżet/fundusze celowe</t>
  </si>
  <si>
    <t xml:space="preserve">R_NFZ</t>
  </si>
  <si>
    <t xml:space="preserve">Składka zdrowotna 9% (od podstawy po składkach)</t>
  </si>
  <si>
    <t xml:space="preserve">ustawa o świadczeniach opieki zdrowotnej</t>
  </si>
  <si>
    <t xml:space="preserve">9% × (1−13,71%)</t>
  </si>
  <si>
    <t xml:space="preserve">R_PIT</t>
  </si>
  <si>
    <t xml:space="preserve">Efektywny PIT przy przeciętnym wynagrodzeniu</t>
  </si>
  <si>
    <t xml:space="preserve">ustawa o PIT (12%, KUP 250 zł, kwota zmniejszająca 300 zł/mies.)</t>
  </si>
  <si>
    <t xml:space="preserve">obliczenie dla przeciętnego wynagrodzenia</t>
  </si>
  <si>
    <t xml:space="preserve">Budżet/JST</t>
  </si>
  <si>
    <t xml:space="preserve">D_C</t>
  </si>
  <si>
    <t xml:space="preserve">Stopa dyskontowa – koszty</t>
  </si>
  <si>
    <t xml:space="preserve">Wytyczne HTA AOTMiT 2016</t>
  </si>
  <si>
    <t xml:space="preserve">D_E</t>
  </si>
  <si>
    <t xml:space="preserve">Stopa dyskontowa – efekty</t>
  </si>
  <si>
    <t xml:space="preserve">THR</t>
  </si>
  <si>
    <t xml:space="preserve">Próg opłacalności</t>
  </si>
  <si>
    <t xml:space="preserve">Obwieszczenie Prezesa GUS / MP 2025 poz. 1133 (3×PKB per capita)</t>
  </si>
  <si>
    <t xml:space="preserve">zł/QALY</t>
  </si>
  <si>
    <t xml:space="preserve">INC</t>
  </si>
  <si>
    <t xml:space="preserve">Nowe przewlekłe zakażenia HCV/rok (kohorta otwarta)</t>
  </si>
  <si>
    <t xml:space="preserve">min=3800; moda=5420; max=7000</t>
  </si>
  <si>
    <t xml:space="preserve">Flisiak i in. Eur J Gastroenterol Hepatol 2015;27:70–76 (model choroby HCV dla Polski) – 5 420 nowych zakażeń w 2013 r. (rekonstrukcja wsteczna), założone stałe w czasie</t>
  </si>
  <si>
    <t xml:space="preserve">2013</t>
  </si>
  <si>
    <t xml:space="preserve">stała roczna liczba jak w źródle; zakres ±30% (założenie – brak pomiaru zapadalności w PL; zgłoszenia EPIMELD 3 525–4 029/rok mierzą rozpoznania, nie zakażenia)</t>
  </si>
  <si>
    <t xml:space="preserve">AGE_INC</t>
  </si>
  <si>
    <t xml:space="preserve">Wiek w chwili zakażenia (nowe kohorty)</t>
  </si>
  <si>
    <t xml:space="preserve">NFZ B.71 2025: środek grupy 18–40 lat (proxy – najmłodsza grupa leczonych)</t>
  </si>
  <si>
    <t xml:space="preserve">proxy; brak danych o wieku zakażenia</t>
  </si>
  <si>
    <t xml:space="preserve">RE</t>
  </si>
  <si>
    <t xml:space="preserve">Reinfekcja po SVR – osoby przyjmujące narkotyki w terapii substytucyjnej</t>
  </si>
  <si>
    <t xml:space="preserve">mu=ln(0.038); sigma=0.21</t>
  </si>
  <si>
    <t xml:space="preserve">Hajarizadeh i in. J Hepatol 2020;72:643–657 (metaanaliza, 36 badań)</t>
  </si>
  <si>
    <t xml:space="preserve">3,8/100 osobolat (95% CI 2,5–5,8); sigma=(ln 5,8−ln 2,5)/3,92</t>
  </si>
  <si>
    <t xml:space="preserve">PWID_SH</t>
  </si>
  <si>
    <t xml:space="preserve">Udział osób przyjmujących narkotyki wśród leczonych (status quo)</t>
  </si>
  <si>
    <t xml:space="preserve">PZH: PWID = 3,2% rozpoznań HCV w 2023 r. (Przegl Epidemiol 2025;79(4))</t>
  </si>
  <si>
    <t xml:space="preserve">udział w rozpoznaniach jako proxy udziału w leczonych; max = założenie</t>
  </si>
  <si>
    <t xml:space="preserve">DC0</t>
  </si>
  <si>
    <t xml:space="preserve">Osoby z marskością zdekompensowaną (DC) na starcie</t>
  </si>
  <si>
    <t xml:space="preserve">min=1590; moda=1590; max=2460</t>
  </si>
  <si>
    <t xml:space="preserve">Flisiak i in. Eur J Gastroenterol Hepatol 2015;27:70–76 (model choroby HCV dla Polski): 1 590 (2013); przy ~5 000 leczonych/rok liczba stała do 2030; bez leczenia 2 460 w 2030</t>
  </si>
  <si>
    <t xml:space="preserve">2013/2030</t>
  </si>
  <si>
    <t xml:space="preserve">kalibracja do modelu źródłowego: status quo (4 832/rok) ≈ scenariusz 'kontroli' źródła (5 000/rok)</t>
  </si>
  <si>
    <t xml:space="preserve">HCC0</t>
  </si>
  <si>
    <t xml:space="preserve">Osoby z rakiem wątrobowokomórkowym (HCC) związanym z HCV na starcie</t>
  </si>
  <si>
    <t xml:space="preserve">min=780; moda=890; max=1250</t>
  </si>
  <si>
    <t xml:space="preserve">Flisiak i in. Eur J Gastroenterol Hepatol 2015;27:70–76 (model choroby HCV dla Polski): ok. 780 (2013; 1 250 w 2030 = +60%); 890 w 2030 w scenariuszu ~5 000 leczonych/rok</t>
  </si>
  <si>
    <t xml:space="preserve">moda = projekcja scenariusza zbliżonego do status quo; min = 2013; max = projekcja bez zwiększenia leczenia</t>
  </si>
  <si>
    <t xml:space="preserve">PLT0</t>
  </si>
  <si>
    <t xml:space="preserve">Osoby po przeszczepieniu wątroby z powodu HCV (rok 2+)</t>
  </si>
  <si>
    <t xml:space="preserve">min=792; moda=1585; max=1585</t>
  </si>
  <si>
    <t xml:space="preserve">Poltransplant 2013: 318 przeszczepień wątroby, 27,8% z powodu HCV (via Flisiak i in. Eur J Gastroenterol Hepatol 2015;27:70–76 (model choroby HCV dla Polski))</t>
  </si>
  <si>
    <t xml:space="preserve">stan ustalony: 318×0,278×(1−p_LTD)/p_PLTD; min = 50% (spadek wskazań HCV w erze DAA – założenie)</t>
  </si>
  <si>
    <t xml:space="preserve">LINK</t>
  </si>
  <si>
    <t xml:space="preserve">Odsetek wykrytych (RNA+), którzy rozpoczynają leczenie</t>
  </si>
  <si>
    <t xml:space="preserve">min=0.3; moda=0.5; max=0.815</t>
  </si>
  <si>
    <t xml:space="preserve">Brak danych PL (luka). Moda: założenie modelu kaskady; max: Anglia 81,5% rozpoznanych 2015–24 rozpoczęło leczenie (UKHSA 2025)</t>
  </si>
  <si>
    <t xml:space="preserve">założenie scenariuszowe / dane zagraniczne/literatura międzynarodowa</t>
  </si>
  <si>
    <t xml:space="preserve">bez testu refleksyjnego i nawigacji</t>
  </si>
  <si>
    <t xml:space="preserve">LINK_UP</t>
  </si>
  <si>
    <t xml:space="preserve">Odsetek rozpoczynających leczenie przy teście refleksyjnym + nawigacji</t>
  </si>
  <si>
    <t xml:space="preserve">min=0.6; moda=0.815; max=0.918</t>
  </si>
  <si>
    <t xml:space="preserve">UKHSA 2025 (Anglia 81,5%); Egipt 91,8% (PMC11332630)</t>
  </si>
  <si>
    <t xml:space="preserve">2024–2025</t>
  </si>
  <si>
    <t xml:space="preserve">wariant pakietu eliminacyjnego; min = założenie</t>
  </si>
  <si>
    <t xml:space="preserve">Y_MZ</t>
  </si>
  <si>
    <t xml:space="preserve">Wykryci RNA+ na 1 test anty-HCV – program populacyjny w POZ (kalibracja)</t>
  </si>
  <si>
    <t xml:space="preserve">~700 dodatkowych rozpoznań (EPIMELD V 2025–III 2026) / 1,12 mln testów (MZ, I 2026)</t>
  </si>
  <si>
    <t xml:space="preserve">iloraz; okresy nie pokrywają się – szacunek zgrubny</t>
  </si>
  <si>
    <t xml:space="preserve">/test</t>
  </si>
  <si>
    <t xml:space="preserve">Y_POZ</t>
  </si>
  <si>
    <t xml:space="preserve">Wykryci RNA+ na 1 test – POZ (0,2% × 40%)</t>
  </si>
  <si>
    <t xml:space="preserve">Clin Exp Hepatol 2020 (723 654 testów 2018–19)</t>
  </si>
  <si>
    <t xml:space="preserve">iloczyn odsetków</t>
  </si>
  <si>
    <t xml:space="preserve">Y_LAB</t>
  </si>
  <si>
    <t xml:space="preserve">Wykryci RNA+ na 1 test – laboratoria/szpitale (1,2% × 40%)</t>
  </si>
  <si>
    <t xml:space="preserve">Clin Exp Hepatol 2020 (laboratoria w czasie kampanii; szpitale 0,6–0,7%)</t>
  </si>
  <si>
    <t xml:space="preserve">Y_KEY</t>
  </si>
  <si>
    <t xml:space="preserve">Wykryci RNA+ na 1 test – osoby przyjmujące narkotyki (59% × 50%)</t>
  </si>
  <si>
    <t xml:space="preserve">Rosińska i in. BMC Infect Dis 2016; KBPN Serwis Informacyjny 79</t>
  </si>
  <si>
    <t xml:space="preserve">2016–2017</t>
  </si>
  <si>
    <t xml:space="preserve">KEY_POOL</t>
  </si>
  <si>
    <t xml:space="preserve">Osoby z HCV wśród aktywnie wstrzykujących narkotyki (górny limit wykryć)</t>
  </si>
  <si>
    <t xml:space="preserve">Flisiak i in. Eur J Gastroenterol Hepatol 2015;27:70–76 (model choroby HCV dla Polski), Tab. 2 (10 000; 5% zakażonych)</t>
  </si>
  <si>
    <t xml:space="preserve">limit skumulowanych wykryć w kanale populacji kluczowych; zakres ±30% (założenie)</t>
  </si>
  <si>
    <t xml:space="preserve">OH</t>
  </si>
  <si>
    <t xml:space="preserve">Narzut kosztów organizacyjnych programu (outreach, nawigacja, kampania) na koszt testów</t>
  </si>
  <si>
    <t xml:space="preserve">brak danych PL – założenie scenariuszowe (do weryfikacji w pilotażu)</t>
  </si>
  <si>
    <t xml:space="preserve">mnożnik (1+OH) na koszt testów</t>
  </si>
  <si>
    <t xml:space="preserve">NFZ / MZ</t>
  </si>
  <si>
    <t xml:space="preserve">PROG_Y</t>
  </si>
  <si>
    <t xml:space="preserve">Długość programu inwestycyjnego</t>
  </si>
  <si>
    <t xml:space="preserve">założenie scenariuszowe (horyzont do 2035 – zbieżny z celem WHO 2030 + 5 lat)</t>
  </si>
  <si>
    <t xml:space="preserve">THR_INFO</t>
  </si>
  <si>
    <t xml:space="preserve">Liczba lat horyzontu domyślnego</t>
  </si>
  <si>
    <t xml:space="preserve">Wytyczne AOTMiT 2016: horyzont adekwatny do przebiegu choroby; 20 lat dla decyzji budżetowych</t>
  </si>
  <si>
    <t xml:space="preserve">K_DC</t>
  </si>
  <si>
    <t xml:space="preserve">Mnożnik kalibracyjny przejść do DC (CC→DC, CC po SVR→DC)</t>
  </si>
  <si>
    <t xml:space="preserve">min=0.3327; moda=0.3327; max=1</t>
  </si>
  <si>
    <t xml:space="preserve">Kalibracja do Flisiak i in. Eur J Gastroenterol Hepatol 2015;27:70–76 (model choroby HCV dla Polski): DC ≈ 1 590 w 2030 przy ~5 000 leczonych/rok</t>
  </si>
  <si>
    <t xml:space="preserve">dopasowanie iteracyjne: scenariusz status quo odtwarza liczbę DC w 2030 z modelu źródłowego; max = brak kalibracji (prawdopodobieństwa z analizy AOTMiT)</t>
  </si>
  <si>
    <t xml:space="preserve">K_HCC</t>
  </si>
  <si>
    <t xml:space="preserve">Mnożnik kalibracyjny przejść do HCC (CC→HCC, CC po SVR→HCC)</t>
  </si>
  <si>
    <t xml:space="preserve">min=0.413; moda=0.413; max=1</t>
  </si>
  <si>
    <t xml:space="preserve">Kalibracja do Flisiak i in. Eur J Gastroenterol Hepatol 2015;27:70–76 (model choroby HCV dla Polski): HCC ≈ 890 w 2030 przy ~5 000 leczonych/rok</t>
  </si>
  <si>
    <t xml:space="preserve">jak wyżej</t>
  </si>
  <si>
    <t xml:space="preserve">RAMP</t>
  </si>
  <si>
    <t xml:space="preserve">Okres dochodzenia programu do pełnej skali (kadry, ośrodki)</t>
  </si>
  <si>
    <t xml:space="preserve">założenie scenariuszowe (panel: wykonalność kadrowa; maks. obserwowane B.71 = 8 521 leczonych w 2019 r., NFZ)</t>
  </si>
  <si>
    <t xml:space="preserve">budżet roku t × min(1, t/RAMP)</t>
  </si>
  <si>
    <t xml:space="preserve">CAP_OBS</t>
  </si>
  <si>
    <t xml:space="preserve">Największa obserwowana liczba leczonych w B.71 w roku (punkt odniesienia wykonalności)</t>
  </si>
  <si>
    <t xml:space="preserve">NFZ app-stat B.71 2019</t>
  </si>
  <si>
    <t xml:space="preserve">2019</t>
  </si>
  <si>
    <t xml:space="preserve">wartość</t>
  </si>
  <si>
    <t xml:space="preserve">opis</t>
  </si>
  <si>
    <t xml:space="preserve">x_rc</t>
  </si>
  <si>
    <t xml:space="preserve">stopa dyskontowa kosztów (AOTMiT 5%)</t>
  </si>
  <si>
    <t xml:space="preserve">x_re</t>
  </si>
  <si>
    <t xml:space="preserve">stopa dyskontowa efektów (AOTMiT 3,5%)</t>
  </si>
  <si>
    <t xml:space="preserve">x_H</t>
  </si>
  <si>
    <t xml:space="preserve">horyzont analizy w latach (1–50)</t>
  </si>
  <si>
    <t xml:space="preserve">abs_days</t>
  </si>
  <si>
    <t xml:space="preserve">dni absencji na osobę z wiremią/rok (ZUS 2012, B18: 28 057 dni × frakcja przypisana / N0)</t>
  </si>
  <si>
    <t xml:space="preserve">S1: Status quo (4 832 leczonych/rok) – liczebności (silnik, wartości) i koszty (formuły), zł/rok, niezdyskontowane. Szacunek modelu.</t>
  </si>
  <si>
    <t xml:space="preserve">t</t>
  </si>
  <si>
    <t xml:space="preserve">treated</t>
  </si>
  <si>
    <t xml:space="preserve">NFZ_diag</t>
  </si>
  <si>
    <t xml:space="preserve">MZ_SW</t>
  </si>
  <si>
    <t xml:space="preserve">cF03</t>
  </si>
  <si>
    <t xml:space="preserve">cF4</t>
  </si>
  <si>
    <t xml:space="preserve">cDC</t>
  </si>
  <si>
    <t xml:space="preserve">cHCC</t>
  </si>
  <si>
    <t xml:space="preserve">cPLT</t>
  </si>
  <si>
    <t xml:space="preserve">cSVn</t>
  </si>
  <si>
    <t xml:space="preserve">cSVc</t>
  </si>
  <si>
    <t xml:space="preserve">cLTn</t>
  </si>
  <si>
    <t xml:space="preserve">wAdv</t>
  </si>
  <si>
    <t xml:space="preserve">wHCC</t>
  </si>
  <si>
    <t xml:space="preserve">wGH</t>
  </si>
  <si>
    <t xml:space="preserve">cAbs</t>
  </si>
  <si>
    <t xml:space="preserve">QALY</t>
  </si>
  <si>
    <t xml:space="preserve">newDC</t>
  </si>
  <si>
    <t xml:space="preserve">newHCC</t>
  </si>
  <si>
    <t xml:space="preserve">LT</t>
  </si>
  <si>
    <t xml:space="preserve">liverD</t>
  </si>
  <si>
    <t xml:space="preserve">NFZ_med</t>
  </si>
  <si>
    <t xml:space="preserve">NFZ_DAA</t>
  </si>
  <si>
    <t xml:space="preserve">NFZ_mon</t>
  </si>
  <si>
    <t xml:space="preserve">NFZ_diag_k</t>
  </si>
  <si>
    <t xml:space="preserve">MZ_SW_k</t>
  </si>
  <si>
    <t xml:space="preserve">lostw</t>
  </si>
  <si>
    <t xml:space="preserve">lost_FUS</t>
  </si>
  <si>
    <t xml:space="preserve">lost_NFZ</t>
  </si>
  <si>
    <t xml:space="preserve">lost_PIT</t>
  </si>
  <si>
    <t xml:space="preserve">lost_FP</t>
  </si>
  <si>
    <t xml:space="preserve">PUBLIC</t>
  </si>
  <si>
    <t xml:space="preserve">SOCIETAL</t>
  </si>
  <si>
    <t xml:space="preserve">INV_NFZ</t>
  </si>
  <si>
    <t xml:space="preserve">INV_PUB</t>
  </si>
  <si>
    <t xml:space="preserve">I1: Celowane testowanie w szpitalach i laboratoriach (+50 mln zł/rok) – liczebności (silnik, wartości) i koszty (formuły), zł/rok, niezdyskontowane. Szacunek modelu.</t>
  </si>
  <si>
    <t xml:space="preserve">I3: Populacje kluczowe: OST, redukcja szkód, więzienia (+2 mln zł/rok) – liczebności (silnik, wartości) i koszty (formuły), zł/rok, niezdyskontowane. Szacunek modelu.</t>
  </si>
  <si>
    <t xml:space="preserve">I4: Pakiet eliminacyjny WHO (test refleksyjny + 3 kanały) – liczebności (silnik, wartości) i koszty (formuły), zł/rok, niezdyskontowane. Szacunek modelu.</t>
  </si>
  <si>
    <t xml:space="preserve">I1 vs status quo (S1): Celowane testowanie w szpitalach i laboratoriach (+50 mln zł/rok) – SZACUNEK MODELU</t>
  </si>
  <si>
    <t xml:space="preserve">Horyzont (lata) – zmień w Ustawienia!B4</t>
  </si>
  <si>
    <t xml:space="preserve">Inwestycja (sektor publiczny, zdysk., zł)</t>
  </si>
  <si>
    <t xml:space="preserve">Saldo netto sektor publiczny (zdysk., zł; &lt;0 = oszczędność)</t>
  </si>
  <si>
    <t xml:space="preserve">Zwroty = inwestycja − saldo (zł)</t>
  </si>
  <si>
    <t xml:space="preserve">ROI = (zwroty − inwestycja)/|inwestycja|</t>
  </si>
  <si>
    <t xml:space="preserve">Rok zwrotu – sektor publiczny</t>
  </si>
  <si>
    <t xml:space="preserve">Rok zwrotu – NFZ</t>
  </si>
  <si>
    <t xml:space="preserve">Saldo netto NFZ (zdysk., zł)</t>
  </si>
  <si>
    <t xml:space="preserve">ICER sektor publiczny (zł/QALY; &lt;0 = dominuje)</t>
  </si>
  <si>
    <t xml:space="preserve">DF koszty</t>
  </si>
  <si>
    <t xml:space="preserve">DF efekty</t>
  </si>
  <si>
    <t xml:space="preserve">Δ NFZ</t>
  </si>
  <si>
    <t xml:space="preserve">Δ publiczny</t>
  </si>
  <si>
    <t xml:space="preserve">Δ społeczny</t>
  </si>
  <si>
    <t xml:space="preserve">Δ inwestycja (publ.)</t>
  </si>
  <si>
    <t xml:space="preserve">skum. NFZ</t>
  </si>
  <si>
    <t xml:space="preserve">skum. publiczny</t>
  </si>
  <si>
    <t xml:space="preserve">skum. społeczny</t>
  </si>
  <si>
    <t xml:space="preserve">maks. dotąd (publ.)</t>
  </si>
  <si>
    <t xml:space="preserve">zwrot? (publ.)</t>
  </si>
  <si>
    <t xml:space="preserve">zwrot? (NFZ)</t>
  </si>
  <si>
    <t xml:space="preserve">maks. dotąd (NFZ)</t>
  </si>
  <si>
    <t xml:space="preserve">Δ QALY</t>
  </si>
  <si>
    <t xml:space="preserve">I3 vs status quo (S1): Populacje kluczowe: OST, redukcja szkód, więzienia (+2 mln zł/rok) – SZACUNEK MODELU</t>
  </si>
  <si>
    <t xml:space="preserve">I4 vs status quo (S1): Pakiet eliminacyjny WHO (test refleksyjny + 3 kanały) – SZACUNEK MODELU</t>
  </si>
  <si>
    <t xml:space="preserve">Monte Carlo: 2 000 losowań, ziarno 20261027; mediana [95% przedział]; wartości (nie formuły). SZACUNEK MODELU.</t>
  </si>
  <si>
    <t xml:space="preserve">scenariusz</t>
  </si>
  <si>
    <t xml:space="preserve">horyzont</t>
  </si>
  <si>
    <t xml:space="preserve">perspektywa</t>
  </si>
  <si>
    <t xml:space="preserve">saldo mln zł mediana</t>
  </si>
  <si>
    <t xml:space="preserve">2,5%</t>
  </si>
  <si>
    <t xml:space="preserve">97,5%</t>
  </si>
  <si>
    <t xml:space="preserve">ROI mediana</t>
  </si>
  <si>
    <t xml:space="preserve">rok zwrotu mediana</t>
  </si>
  <si>
    <t xml:space="preserve">P(zwrot w horyzoncie)</t>
  </si>
  <si>
    <t xml:space="preserve">P(koszt-efektywne przy progu)</t>
  </si>
  <si>
    <t xml:space="preserve">uniknięte zgony mediana</t>
  </si>
  <si>
    <t xml:space="preserve">I1</t>
  </si>
  <si>
    <t xml:space="preserve">brak</t>
  </si>
  <si>
    <t xml:space="preserve">I2</t>
  </si>
  <si>
    <t xml:space="preserve">I3</t>
  </si>
  <si>
    <t xml:space="preserve">I4</t>
  </si>
  <si>
    <t xml:space="preserve">I5</t>
  </si>
  <si>
    <t xml:space="preserve">S0</t>
  </si>
  <si>
    <t xml:space="preserve">Model Markowa, cykl roczny, 2026–2075, otwarta kohorta (nowe zakażenia INC/rok + reinfekcje po SVR).</t>
  </si>
  <si>
    <t xml:space="preserve">Stany: F0–F3, F4 (marskość wyrównana), DC, HCC, przeszczep (rok 1 i kolejne), SVR (bez marskości / po marskości), zgon.</t>
  </si>
  <si>
    <t xml:space="preserve">Kalibracja: mnożniki K_DC i K_HCC dopasowane tak, by status quo odtwarzało DC≈1 590 i HCC≈890 w 2030 (Flisiak i in. 2015).</t>
  </si>
  <si>
    <t xml:space="preserve">Wykrywanie: koszt wykrycia przypadku = (test anty-HCV + RNA×odsetek dodatnich)/wydajność kanału; malejąca wydajność wraz z wyczerpywaniem puli.</t>
  </si>
  <si>
    <t xml:space="preserve">Okres dochodzenia do skali: RAMP lat; program trwa PROG_Y lat.</t>
  </si>
  <si>
    <t xml:space="preserve">PSA: rozkłady beta/gamma/lognormalny/trójkątny/Dirichlet; 2 000 losowań; percentyle 2,5 i 97,5.</t>
  </si>
  <si>
    <t xml:space="preserve">Zgodność: AOTMiT (perspektywy, dyskonto, próg 244 821 zł/QALY), CHEERS 2022 – lista kontrolna w aplikacji.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</si>
</sst>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7F3"/>
        <bgColor rgb="FFCCFFFF"/>
      </patternFill>
    </fill>
    <fill>
      <patternFill patternType="solid">
        <fgColor rgb="FFFFF4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C"/>
      <rgbColor rgb="FFDDE7F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4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 t="s">
        <v>4</v>
      </c>
    </row>
    <row r="6" customFormat="false" ht="15" hidden="false" customHeight="false" outlineLevel="0" collapsed="false">
      <c r="A6" s="2" t="s">
        <v>5</v>
      </c>
    </row>
    <row r="7" customFormat="false" ht="15" hidden="false" customHeight="false" outlineLevel="0" collapsed="false">
      <c r="A7" s="2" t="s">
        <v>6</v>
      </c>
    </row>
    <row r="8" customFormat="false" ht="15" hidden="false" customHeight="false" outlineLevel="0" collapsed="false">
      <c r="A8" s="2" t="s">
        <v>7</v>
      </c>
    </row>
    <row r="9" customFormat="false" ht="15" hidden="false" customHeight="false" outlineLevel="0" collapsed="false">
      <c r="A9" s="2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8"/>
    <col collapsed="false" customWidth="true" hidden="false" outlineLevel="0" max="3" min="3" style="0" width="12"/>
    <col collapsed="false" customWidth="true" hidden="false" outlineLevel="0" max="5" min="4" style="0" width="10"/>
    <col collapsed="false" customWidth="true" hidden="false" outlineLevel="0" max="6" min="6" style="0" width="14"/>
    <col collapsed="false" customWidth="true" hidden="false" outlineLevel="0" max="7" min="7" style="0" width="22"/>
    <col collapsed="false" customWidth="true" hidden="false" outlineLevel="0" max="8" min="8" style="0" width="60"/>
    <col collapsed="false" customWidth="true" hidden="false" outlineLevel="0" max="9" min="9" style="0" width="12"/>
    <col collapsed="false" customWidth="true" hidden="false" outlineLevel="0" max="10" min="10" style="0" width="18"/>
    <col collapsed="false" customWidth="true" hidden="false" outlineLevel="0" max="11" min="11" style="0" width="40"/>
    <col collapsed="false" customWidth="true" hidden="false" outlineLevel="0" max="13" min="12" style="0" width="10"/>
  </cols>
  <sheetData>
    <row r="1" customFormat="false" ht="15" hidden="false" customHeight="false" outlineLevel="0" collapsed="false">
      <c r="A1" s="3" t="s">
        <v>9</v>
      </c>
      <c r="B1" s="3" t="s">
        <v>10</v>
      </c>
      <c r="C1" s="3" t="s">
        <v>11</v>
      </c>
      <c r="D1" s="3" t="s">
        <v>12</v>
      </c>
      <c r="E1" s="3" t="s">
        <v>13</v>
      </c>
      <c r="F1" s="3" t="s">
        <v>14</v>
      </c>
      <c r="G1" s="3" t="s">
        <v>15</v>
      </c>
      <c r="H1" s="3" t="s">
        <v>16</v>
      </c>
      <c r="I1" s="3" t="s">
        <v>17</v>
      </c>
      <c r="J1" s="3" t="s">
        <v>18</v>
      </c>
      <c r="K1" s="3" t="s">
        <v>19</v>
      </c>
      <c r="L1" s="3" t="s">
        <v>20</v>
      </c>
      <c r="M1" s="3" t="s">
        <v>21</v>
      </c>
    </row>
    <row r="2" customFormat="false" ht="15" hidden="false" customHeight="false" outlineLevel="0" collapsed="false">
      <c r="A2" s="0" t="s">
        <v>22</v>
      </c>
      <c r="B2" s="0" t="s">
        <v>23</v>
      </c>
      <c r="C2" s="4" t="n">
        <v>155000</v>
      </c>
      <c r="D2" s="0" t="n">
        <v>145000</v>
      </c>
      <c r="E2" s="0" t="n">
        <v>165000</v>
      </c>
      <c r="F2" s="0" t="s">
        <v>24</v>
      </c>
      <c r="G2" s="0" t="s">
        <v>25</v>
      </c>
      <c r="H2" s="0" t="s">
        <v>26</v>
      </c>
      <c r="I2" s="0" t="s">
        <v>27</v>
      </c>
      <c r="J2" s="0" t="s">
        <v>28</v>
      </c>
      <c r="K2" s="0" t="s">
        <v>29</v>
      </c>
      <c r="L2" s="0" t="s">
        <v>30</v>
      </c>
      <c r="M2" s="0" t="s">
        <v>31</v>
      </c>
    </row>
    <row r="3" customFormat="false" ht="15" hidden="false" customHeight="false" outlineLevel="0" collapsed="false">
      <c r="A3" s="0" t="s">
        <v>32</v>
      </c>
      <c r="B3" s="0" t="s">
        <v>33</v>
      </c>
      <c r="C3" s="4" t="n">
        <v>53</v>
      </c>
      <c r="D3" s="0" t="n">
        <v>40</v>
      </c>
      <c r="E3" s="0" t="n">
        <v>65</v>
      </c>
      <c r="F3" s="0" t="s">
        <v>34</v>
      </c>
      <c r="G3" s="0" t="s">
        <v>30</v>
      </c>
      <c r="H3" s="0" t="s">
        <v>35</v>
      </c>
      <c r="I3" s="0" t="s">
        <v>36</v>
      </c>
      <c r="J3" s="0" t="s">
        <v>37</v>
      </c>
      <c r="K3" s="0" t="s">
        <v>38</v>
      </c>
      <c r="L3" s="0" t="s">
        <v>30</v>
      </c>
      <c r="M3" s="0" t="s">
        <v>39</v>
      </c>
    </row>
    <row r="4" customFormat="false" ht="15" hidden="false" customHeight="false" outlineLevel="0" collapsed="false">
      <c r="A4" s="0" t="s">
        <v>40</v>
      </c>
      <c r="B4" s="0" t="s">
        <v>41</v>
      </c>
      <c r="C4" s="4" t="n">
        <v>63</v>
      </c>
      <c r="D4" s="0" t="n">
        <v>60</v>
      </c>
      <c r="E4" s="0" t="n">
        <v>65</v>
      </c>
      <c r="F4" s="0" t="s">
        <v>34</v>
      </c>
      <c r="G4" s="0" t="s">
        <v>30</v>
      </c>
      <c r="H4" s="0" t="s">
        <v>42</v>
      </c>
      <c r="I4" s="0" t="s">
        <v>36</v>
      </c>
      <c r="J4" s="0" t="s">
        <v>37</v>
      </c>
      <c r="K4" s="0" t="s">
        <v>43</v>
      </c>
      <c r="L4" s="0" t="s">
        <v>30</v>
      </c>
      <c r="M4" s="0" t="s">
        <v>39</v>
      </c>
    </row>
    <row r="5" customFormat="false" ht="15" hidden="false" customHeight="false" outlineLevel="0" collapsed="false">
      <c r="A5" s="0" t="s">
        <v>44</v>
      </c>
      <c r="B5" s="0" t="s">
        <v>45</v>
      </c>
      <c r="C5" s="4" t="n">
        <v>0.213</v>
      </c>
      <c r="F5" s="0" t="s">
        <v>46</v>
      </c>
      <c r="G5" s="0" t="s">
        <v>47</v>
      </c>
      <c r="H5" s="0" t="s">
        <v>48</v>
      </c>
      <c r="I5" s="0" t="s">
        <v>49</v>
      </c>
      <c r="J5" s="0" t="s">
        <v>28</v>
      </c>
      <c r="K5" s="0" t="s">
        <v>50</v>
      </c>
      <c r="L5" s="0" t="s">
        <v>30</v>
      </c>
      <c r="M5" s="0" t="s">
        <v>51</v>
      </c>
    </row>
    <row r="6" customFormat="false" ht="15" hidden="false" customHeight="false" outlineLevel="0" collapsed="false">
      <c r="A6" s="0" t="s">
        <v>52</v>
      </c>
      <c r="B6" s="0" t="s">
        <v>53</v>
      </c>
      <c r="C6" s="4" t="n">
        <v>0.361</v>
      </c>
      <c r="F6" s="0" t="s">
        <v>46</v>
      </c>
      <c r="G6" s="0" t="s">
        <v>54</v>
      </c>
      <c r="H6" s="0" t="s">
        <v>48</v>
      </c>
      <c r="I6" s="0" t="s">
        <v>49</v>
      </c>
      <c r="J6" s="0" t="s">
        <v>28</v>
      </c>
      <c r="K6" s="0" t="s">
        <v>50</v>
      </c>
      <c r="L6" s="0" t="s">
        <v>30</v>
      </c>
      <c r="M6" s="0" t="s">
        <v>51</v>
      </c>
    </row>
    <row r="7" customFormat="false" ht="15" hidden="false" customHeight="false" outlineLevel="0" collapsed="false">
      <c r="A7" s="0" t="s">
        <v>55</v>
      </c>
      <c r="B7" s="0" t="s">
        <v>56</v>
      </c>
      <c r="C7" s="4" t="n">
        <v>0.233</v>
      </c>
      <c r="F7" s="0" t="s">
        <v>46</v>
      </c>
      <c r="G7" s="0" t="s">
        <v>57</v>
      </c>
      <c r="H7" s="0" t="s">
        <v>48</v>
      </c>
      <c r="I7" s="0" t="s">
        <v>49</v>
      </c>
      <c r="J7" s="0" t="s">
        <v>28</v>
      </c>
      <c r="K7" s="0" t="s">
        <v>50</v>
      </c>
      <c r="L7" s="0" t="s">
        <v>30</v>
      </c>
      <c r="M7" s="0" t="s">
        <v>51</v>
      </c>
    </row>
    <row r="8" customFormat="false" ht="15" hidden="false" customHeight="false" outlineLevel="0" collapsed="false">
      <c r="A8" s="0" t="s">
        <v>58</v>
      </c>
      <c r="B8" s="0" t="s">
        <v>59</v>
      </c>
      <c r="C8" s="4" t="n">
        <v>0.11</v>
      </c>
      <c r="F8" s="0" t="s">
        <v>46</v>
      </c>
      <c r="G8" s="0" t="s">
        <v>60</v>
      </c>
      <c r="H8" s="0" t="s">
        <v>48</v>
      </c>
      <c r="I8" s="0" t="s">
        <v>49</v>
      </c>
      <c r="J8" s="0" t="s">
        <v>28</v>
      </c>
      <c r="K8" s="0" t="s">
        <v>50</v>
      </c>
      <c r="L8" s="0" t="s">
        <v>30</v>
      </c>
      <c r="M8" s="0" t="s">
        <v>51</v>
      </c>
    </row>
    <row r="9" customFormat="false" ht="15" hidden="false" customHeight="false" outlineLevel="0" collapsed="false">
      <c r="A9" s="0" t="s">
        <v>61</v>
      </c>
      <c r="B9" s="0" t="s">
        <v>62</v>
      </c>
      <c r="C9" s="4" t="n">
        <v>0.083</v>
      </c>
      <c r="F9" s="0" t="s">
        <v>46</v>
      </c>
      <c r="G9" s="0" t="s">
        <v>63</v>
      </c>
      <c r="H9" s="0" t="s">
        <v>48</v>
      </c>
      <c r="I9" s="0" t="s">
        <v>49</v>
      </c>
      <c r="J9" s="0" t="s">
        <v>28</v>
      </c>
      <c r="K9" s="0" t="s">
        <v>50</v>
      </c>
      <c r="L9" s="0" t="s">
        <v>30</v>
      </c>
      <c r="M9" s="0" t="s">
        <v>51</v>
      </c>
    </row>
    <row r="10" customFormat="false" ht="15" hidden="false" customHeight="false" outlineLevel="0" collapsed="false">
      <c r="A10" s="0" t="s">
        <v>64</v>
      </c>
      <c r="B10" s="0" t="s">
        <v>65</v>
      </c>
      <c r="C10" s="4" t="n">
        <v>0.117</v>
      </c>
      <c r="D10" s="0" t="n">
        <v>0.104</v>
      </c>
      <c r="E10" s="0" t="n">
        <v>0.13</v>
      </c>
      <c r="F10" s="0" t="s">
        <v>66</v>
      </c>
      <c r="G10" s="0" t="s">
        <v>67</v>
      </c>
      <c r="H10" s="0" t="s">
        <v>68</v>
      </c>
      <c r="I10" s="0" t="s">
        <v>69</v>
      </c>
      <c r="J10" s="0" t="s">
        <v>70</v>
      </c>
      <c r="K10" s="0" t="s">
        <v>71</v>
      </c>
      <c r="L10" s="0" t="s">
        <v>30</v>
      </c>
      <c r="M10" s="0" t="s">
        <v>72</v>
      </c>
    </row>
    <row r="11" customFormat="false" ht="15" hidden="false" customHeight="false" outlineLevel="0" collapsed="false">
      <c r="A11" s="0" t="s">
        <v>73</v>
      </c>
      <c r="B11" s="0" t="s">
        <v>74</v>
      </c>
      <c r="C11" s="4" t="n">
        <v>0.085</v>
      </c>
      <c r="D11" s="0" t="n">
        <v>0.075</v>
      </c>
      <c r="E11" s="0" t="n">
        <v>0.096</v>
      </c>
      <c r="F11" s="0" t="s">
        <v>66</v>
      </c>
      <c r="G11" s="0" t="s">
        <v>75</v>
      </c>
      <c r="H11" s="0" t="s">
        <v>68</v>
      </c>
      <c r="I11" s="0" t="s">
        <v>69</v>
      </c>
      <c r="J11" s="0" t="s">
        <v>70</v>
      </c>
      <c r="K11" s="0" t="s">
        <v>71</v>
      </c>
      <c r="L11" s="0" t="s">
        <v>30</v>
      </c>
      <c r="M11" s="0" t="s">
        <v>72</v>
      </c>
    </row>
    <row r="12" customFormat="false" ht="15" hidden="false" customHeight="false" outlineLevel="0" collapsed="false">
      <c r="A12" s="0" t="s">
        <v>76</v>
      </c>
      <c r="B12" s="0" t="s">
        <v>77</v>
      </c>
      <c r="C12" s="4" t="n">
        <v>0.12</v>
      </c>
      <c r="D12" s="0" t="n">
        <v>0.109</v>
      </c>
      <c r="E12" s="0" t="n">
        <v>0.133</v>
      </c>
      <c r="F12" s="0" t="s">
        <v>66</v>
      </c>
      <c r="G12" s="0" t="s">
        <v>78</v>
      </c>
      <c r="H12" s="0" t="s">
        <v>68</v>
      </c>
      <c r="I12" s="0" t="s">
        <v>69</v>
      </c>
      <c r="J12" s="0" t="s">
        <v>70</v>
      </c>
      <c r="K12" s="0" t="s">
        <v>71</v>
      </c>
      <c r="L12" s="0" t="s">
        <v>30</v>
      </c>
      <c r="M12" s="0" t="s">
        <v>72</v>
      </c>
    </row>
    <row r="13" customFormat="false" ht="15" hidden="false" customHeight="false" outlineLevel="0" collapsed="false">
      <c r="A13" s="0" t="s">
        <v>79</v>
      </c>
      <c r="B13" s="0" t="s">
        <v>80</v>
      </c>
      <c r="C13" s="4" t="n">
        <v>0.116</v>
      </c>
      <c r="D13" s="0" t="n">
        <v>0.104</v>
      </c>
      <c r="E13" s="0" t="n">
        <v>0.129</v>
      </c>
      <c r="F13" s="0" t="s">
        <v>66</v>
      </c>
      <c r="G13" s="0" t="s">
        <v>81</v>
      </c>
      <c r="H13" s="0" t="s">
        <v>68</v>
      </c>
      <c r="I13" s="0" t="s">
        <v>69</v>
      </c>
      <c r="J13" s="0" t="s">
        <v>70</v>
      </c>
      <c r="K13" s="0" t="s">
        <v>71</v>
      </c>
      <c r="L13" s="0" t="s">
        <v>30</v>
      </c>
      <c r="M13" s="0" t="s">
        <v>72</v>
      </c>
    </row>
    <row r="14" customFormat="false" ht="15" hidden="false" customHeight="false" outlineLevel="0" collapsed="false">
      <c r="A14" s="0" t="s">
        <v>82</v>
      </c>
      <c r="B14" s="0" t="s">
        <v>83</v>
      </c>
      <c r="C14" s="4" t="n">
        <v>0.0592</v>
      </c>
      <c r="D14" s="0" t="n">
        <v>0.0272</v>
      </c>
      <c r="E14" s="0" t="n">
        <v>0.08</v>
      </c>
      <c r="F14" s="0" t="s">
        <v>66</v>
      </c>
      <c r="G14" s="0" t="s">
        <v>84</v>
      </c>
      <c r="H14" s="0" t="s">
        <v>85</v>
      </c>
      <c r="I14" s="0" t="s">
        <v>86</v>
      </c>
      <c r="J14" s="0" t="s">
        <v>87</v>
      </c>
      <c r="K14" s="0" t="s">
        <v>30</v>
      </c>
      <c r="L14" s="0" t="s">
        <v>30</v>
      </c>
      <c r="M14" s="0" t="s">
        <v>72</v>
      </c>
    </row>
    <row r="15" customFormat="false" ht="15" hidden="false" customHeight="false" outlineLevel="0" collapsed="false">
      <c r="A15" s="0" t="s">
        <v>88</v>
      </c>
      <c r="B15" s="0" t="s">
        <v>89</v>
      </c>
      <c r="C15" s="4" t="n">
        <v>0.0367</v>
      </c>
      <c r="D15" s="0" t="n">
        <v>0.02</v>
      </c>
      <c r="E15" s="0" t="n">
        <v>0.048</v>
      </c>
      <c r="F15" s="0" t="s">
        <v>66</v>
      </c>
      <c r="G15" s="0" t="s">
        <v>90</v>
      </c>
      <c r="H15" s="0" t="s">
        <v>85</v>
      </c>
      <c r="I15" s="0" t="s">
        <v>86</v>
      </c>
      <c r="J15" s="0" t="s">
        <v>87</v>
      </c>
      <c r="K15" s="0" t="s">
        <v>30</v>
      </c>
      <c r="L15" s="0" t="s">
        <v>30</v>
      </c>
      <c r="M15" s="0" t="s">
        <v>72</v>
      </c>
    </row>
    <row r="16" customFormat="false" ht="15" hidden="false" customHeight="false" outlineLevel="0" collapsed="false">
      <c r="A16" s="0" t="s">
        <v>91</v>
      </c>
      <c r="B16" s="0" t="s">
        <v>92</v>
      </c>
      <c r="C16" s="4" t="n">
        <v>0.0215</v>
      </c>
      <c r="D16" s="0" t="n">
        <v>0.0131</v>
      </c>
      <c r="E16" s="0" t="n">
        <v>0.0681</v>
      </c>
      <c r="F16" s="0" t="s">
        <v>66</v>
      </c>
      <c r="G16" s="0" t="s">
        <v>93</v>
      </c>
      <c r="H16" s="0" t="s">
        <v>85</v>
      </c>
      <c r="I16" s="0" t="s">
        <v>86</v>
      </c>
      <c r="J16" s="0" t="s">
        <v>87</v>
      </c>
      <c r="K16" s="0" t="s">
        <v>30</v>
      </c>
      <c r="L16" s="0" t="s">
        <v>30</v>
      </c>
      <c r="M16" s="0" t="s">
        <v>72</v>
      </c>
    </row>
    <row r="17" customFormat="false" ht="15" hidden="false" customHeight="false" outlineLevel="0" collapsed="false">
      <c r="A17" s="0" t="s">
        <v>94</v>
      </c>
      <c r="B17" s="0" t="s">
        <v>95</v>
      </c>
      <c r="C17" s="4" t="n">
        <v>0.0418</v>
      </c>
      <c r="D17" s="0" t="n">
        <v>0.0376</v>
      </c>
      <c r="E17" s="0" t="n">
        <v>0.046</v>
      </c>
      <c r="F17" s="0" t="s">
        <v>66</v>
      </c>
      <c r="G17" s="0" t="s">
        <v>96</v>
      </c>
      <c r="H17" s="0" t="s">
        <v>85</v>
      </c>
      <c r="I17" s="0" t="s">
        <v>86</v>
      </c>
      <c r="J17" s="0" t="s">
        <v>87</v>
      </c>
      <c r="K17" s="0" t="s">
        <v>30</v>
      </c>
      <c r="L17" s="0" t="s">
        <v>30</v>
      </c>
      <c r="M17" s="0" t="s">
        <v>72</v>
      </c>
    </row>
    <row r="18" customFormat="false" ht="15" hidden="false" customHeight="false" outlineLevel="0" collapsed="false">
      <c r="A18" s="0" t="s">
        <v>97</v>
      </c>
      <c r="B18" s="0" t="s">
        <v>98</v>
      </c>
      <c r="C18" s="4" t="n">
        <v>0.1081</v>
      </c>
      <c r="D18" s="0" t="n">
        <v>0.0934</v>
      </c>
      <c r="E18" s="0" t="n">
        <v>0.1228</v>
      </c>
      <c r="F18" s="0" t="s">
        <v>66</v>
      </c>
      <c r="G18" s="0" t="s">
        <v>99</v>
      </c>
      <c r="H18" s="0" t="s">
        <v>85</v>
      </c>
      <c r="I18" s="0" t="s">
        <v>86</v>
      </c>
      <c r="J18" s="0" t="s">
        <v>87</v>
      </c>
      <c r="K18" s="0" t="s">
        <v>30</v>
      </c>
      <c r="L18" s="0" t="s">
        <v>30</v>
      </c>
      <c r="M18" s="0" t="s">
        <v>72</v>
      </c>
    </row>
    <row r="19" customFormat="false" ht="15" hidden="false" customHeight="false" outlineLevel="0" collapsed="false">
      <c r="A19" s="0" t="s">
        <v>100</v>
      </c>
      <c r="B19" s="0" t="s">
        <v>101</v>
      </c>
      <c r="C19" s="4" t="n">
        <v>0.2715</v>
      </c>
      <c r="D19" s="0" t="n">
        <v>0.257</v>
      </c>
      <c r="E19" s="0" t="n">
        <v>0.286</v>
      </c>
      <c r="F19" s="0" t="s">
        <v>66</v>
      </c>
      <c r="G19" s="0" t="s">
        <v>102</v>
      </c>
      <c r="H19" s="0" t="s">
        <v>85</v>
      </c>
      <c r="I19" s="0" t="s">
        <v>86</v>
      </c>
      <c r="J19" s="0" t="s">
        <v>87</v>
      </c>
      <c r="K19" s="0" t="s">
        <v>30</v>
      </c>
      <c r="L19" s="0" t="s">
        <v>30</v>
      </c>
      <c r="M19" s="0" t="s">
        <v>72</v>
      </c>
    </row>
    <row r="20" customFormat="false" ht="15" hidden="false" customHeight="false" outlineLevel="0" collapsed="false">
      <c r="A20" s="0" t="s">
        <v>103</v>
      </c>
      <c r="B20" s="0" t="s">
        <v>104</v>
      </c>
      <c r="C20" s="4" t="n">
        <v>0.0093</v>
      </c>
      <c r="D20" s="0" t="n">
        <v>0.0084</v>
      </c>
      <c r="E20" s="0" t="n">
        <v>0.0103</v>
      </c>
      <c r="F20" s="0" t="s">
        <v>66</v>
      </c>
      <c r="G20" s="0" t="s">
        <v>105</v>
      </c>
      <c r="H20" s="0" t="s">
        <v>85</v>
      </c>
      <c r="I20" s="0" t="s">
        <v>86</v>
      </c>
      <c r="J20" s="0" t="s">
        <v>87</v>
      </c>
      <c r="K20" s="0" t="s">
        <v>30</v>
      </c>
      <c r="L20" s="0" t="s">
        <v>30</v>
      </c>
      <c r="M20" s="0" t="s">
        <v>72</v>
      </c>
    </row>
    <row r="21" customFormat="false" ht="15" hidden="false" customHeight="false" outlineLevel="0" collapsed="false">
      <c r="A21" s="0" t="s">
        <v>106</v>
      </c>
      <c r="B21" s="0" t="s">
        <v>107</v>
      </c>
      <c r="C21" s="4" t="n">
        <v>0.18</v>
      </c>
      <c r="D21" s="0" t="n">
        <v>0.175</v>
      </c>
      <c r="E21" s="0" t="n">
        <v>0.185</v>
      </c>
      <c r="F21" s="0" t="s">
        <v>66</v>
      </c>
      <c r="G21" s="0" t="s">
        <v>108</v>
      </c>
      <c r="H21" s="0" t="s">
        <v>85</v>
      </c>
      <c r="I21" s="0" t="s">
        <v>86</v>
      </c>
      <c r="J21" s="0" t="s">
        <v>87</v>
      </c>
      <c r="K21" s="0" t="s">
        <v>30</v>
      </c>
      <c r="L21" s="0" t="s">
        <v>30</v>
      </c>
      <c r="M21" s="0" t="s">
        <v>72</v>
      </c>
    </row>
    <row r="22" customFormat="false" ht="15" hidden="false" customHeight="false" outlineLevel="0" collapsed="false">
      <c r="A22" s="0" t="s">
        <v>109</v>
      </c>
      <c r="B22" s="0" t="s">
        <v>110</v>
      </c>
      <c r="C22" s="4" t="n">
        <v>0.04572</v>
      </c>
      <c r="D22" s="0" t="n">
        <v>0.0432</v>
      </c>
      <c r="E22" s="0" t="n">
        <v>0.0483</v>
      </c>
      <c r="F22" s="0" t="s">
        <v>66</v>
      </c>
      <c r="G22" s="0" t="s">
        <v>111</v>
      </c>
      <c r="H22" s="0" t="s">
        <v>85</v>
      </c>
      <c r="I22" s="0" t="s">
        <v>86</v>
      </c>
      <c r="J22" s="0" t="s">
        <v>87</v>
      </c>
      <c r="K22" s="0" t="s">
        <v>30</v>
      </c>
      <c r="L22" s="0" t="s">
        <v>30</v>
      </c>
      <c r="M22" s="0" t="s">
        <v>72</v>
      </c>
    </row>
    <row r="23" customFormat="false" ht="15" hidden="false" customHeight="false" outlineLevel="0" collapsed="false">
      <c r="A23" s="0" t="s">
        <v>112</v>
      </c>
      <c r="B23" s="0" t="s">
        <v>113</v>
      </c>
      <c r="C23" s="4" t="n">
        <v>0.0125</v>
      </c>
      <c r="D23" s="0" t="n">
        <v>0.003</v>
      </c>
      <c r="E23" s="0" t="n">
        <v>0.026</v>
      </c>
      <c r="F23" s="0" t="s">
        <v>66</v>
      </c>
      <c r="G23" s="0" t="s">
        <v>114</v>
      </c>
      <c r="H23" s="0" t="s">
        <v>85</v>
      </c>
      <c r="I23" s="0" t="s">
        <v>86</v>
      </c>
      <c r="J23" s="0" t="s">
        <v>87</v>
      </c>
      <c r="K23" s="0" t="s">
        <v>30</v>
      </c>
      <c r="L23" s="0" t="s">
        <v>30</v>
      </c>
      <c r="M23" s="0" t="s">
        <v>72</v>
      </c>
    </row>
    <row r="24" customFormat="false" ht="15" hidden="false" customHeight="false" outlineLevel="0" collapsed="false">
      <c r="A24" s="0" t="s">
        <v>115</v>
      </c>
      <c r="B24" s="0" t="s">
        <v>116</v>
      </c>
      <c r="C24" s="4" t="n">
        <v>0.0115</v>
      </c>
      <c r="D24" s="0" t="n">
        <v>0.0048</v>
      </c>
      <c r="E24" s="0" t="n">
        <v>0.0201</v>
      </c>
      <c r="F24" s="0" t="s">
        <v>66</v>
      </c>
      <c r="G24" s="0" t="s">
        <v>117</v>
      </c>
      <c r="H24" s="0" t="s">
        <v>85</v>
      </c>
      <c r="I24" s="0" t="s">
        <v>86</v>
      </c>
      <c r="J24" s="0" t="s">
        <v>87</v>
      </c>
      <c r="K24" s="0" t="s">
        <v>30</v>
      </c>
      <c r="L24" s="0" t="s">
        <v>30</v>
      </c>
      <c r="M24" s="0" t="s">
        <v>72</v>
      </c>
    </row>
    <row r="25" customFormat="false" ht="15" hidden="false" customHeight="false" outlineLevel="0" collapsed="false">
      <c r="A25" s="0" t="s">
        <v>118</v>
      </c>
      <c r="B25" s="0" t="s">
        <v>119</v>
      </c>
      <c r="C25" s="4" t="n">
        <v>0.99</v>
      </c>
      <c r="D25" s="0" t="n">
        <v>0.95</v>
      </c>
      <c r="E25" s="0" t="n">
        <v>0.995</v>
      </c>
      <c r="F25" s="0" t="s">
        <v>66</v>
      </c>
      <c r="G25" s="0" t="s">
        <v>120</v>
      </c>
      <c r="H25" s="0" t="s">
        <v>121</v>
      </c>
      <c r="I25" s="0" t="s">
        <v>86</v>
      </c>
      <c r="J25" s="0" t="s">
        <v>28</v>
      </c>
      <c r="K25" s="0" t="s">
        <v>122</v>
      </c>
      <c r="L25" s="0" t="s">
        <v>123</v>
      </c>
      <c r="M25" s="0" t="s">
        <v>51</v>
      </c>
    </row>
    <row r="26" customFormat="false" ht="15" hidden="false" customHeight="false" outlineLevel="0" collapsed="false">
      <c r="A26" s="0" t="s">
        <v>124</v>
      </c>
      <c r="B26" s="0" t="s">
        <v>125</v>
      </c>
      <c r="C26" s="4" t="n">
        <v>0.715</v>
      </c>
      <c r="D26" s="0" t="n">
        <v>0.67</v>
      </c>
      <c r="E26" s="0" t="n">
        <v>0.76</v>
      </c>
      <c r="F26" s="0" t="s">
        <v>66</v>
      </c>
      <c r="G26" s="0" t="s">
        <v>126</v>
      </c>
      <c r="H26" s="0" t="s">
        <v>127</v>
      </c>
      <c r="I26" s="0" t="s">
        <v>86</v>
      </c>
      <c r="J26" s="0" t="s">
        <v>28</v>
      </c>
      <c r="K26" s="0" t="s">
        <v>30</v>
      </c>
      <c r="L26" s="0" t="s">
        <v>30</v>
      </c>
      <c r="M26" s="0" t="s">
        <v>128</v>
      </c>
    </row>
    <row r="27" customFormat="false" ht="15" hidden="false" customHeight="false" outlineLevel="0" collapsed="false">
      <c r="A27" s="0" t="s">
        <v>129</v>
      </c>
      <c r="B27" s="0" t="s">
        <v>130</v>
      </c>
      <c r="C27" s="4" t="n">
        <v>0.55</v>
      </c>
      <c r="D27" s="0" t="n">
        <v>0.445</v>
      </c>
      <c r="E27" s="0" t="n">
        <v>0.655</v>
      </c>
      <c r="F27" s="0" t="s">
        <v>66</v>
      </c>
      <c r="G27" s="0" t="s">
        <v>131</v>
      </c>
      <c r="H27" s="0" t="s">
        <v>127</v>
      </c>
      <c r="I27" s="0" t="s">
        <v>86</v>
      </c>
      <c r="J27" s="0" t="s">
        <v>28</v>
      </c>
      <c r="K27" s="0" t="s">
        <v>30</v>
      </c>
      <c r="L27" s="0" t="s">
        <v>30</v>
      </c>
      <c r="M27" s="0" t="s">
        <v>128</v>
      </c>
    </row>
    <row r="28" customFormat="false" ht="15" hidden="false" customHeight="false" outlineLevel="0" collapsed="false">
      <c r="A28" s="0" t="s">
        <v>132</v>
      </c>
      <c r="B28" s="0" t="s">
        <v>133</v>
      </c>
      <c r="C28" s="4" t="n">
        <v>0.45</v>
      </c>
      <c r="D28" s="0" t="n">
        <v>0.391</v>
      </c>
      <c r="E28" s="0" t="n">
        <v>0.509</v>
      </c>
      <c r="F28" s="0" t="s">
        <v>66</v>
      </c>
      <c r="G28" s="0" t="s">
        <v>134</v>
      </c>
      <c r="H28" s="0" t="s">
        <v>127</v>
      </c>
      <c r="I28" s="0" t="s">
        <v>86</v>
      </c>
      <c r="J28" s="0" t="s">
        <v>28</v>
      </c>
      <c r="K28" s="0" t="s">
        <v>30</v>
      </c>
      <c r="L28" s="0" t="s">
        <v>30</v>
      </c>
      <c r="M28" s="0" t="s">
        <v>128</v>
      </c>
    </row>
    <row r="29" customFormat="false" ht="15" hidden="false" customHeight="false" outlineLevel="0" collapsed="false">
      <c r="A29" s="0" t="s">
        <v>135</v>
      </c>
      <c r="B29" s="0" t="s">
        <v>136</v>
      </c>
      <c r="C29" s="4" t="n">
        <v>0.45</v>
      </c>
      <c r="D29" s="0" t="n">
        <v>0.391</v>
      </c>
      <c r="E29" s="0" t="n">
        <v>0.509</v>
      </c>
      <c r="F29" s="0" t="s">
        <v>66</v>
      </c>
      <c r="G29" s="0" t="s">
        <v>134</v>
      </c>
      <c r="H29" s="0" t="s">
        <v>127</v>
      </c>
      <c r="I29" s="0" t="s">
        <v>86</v>
      </c>
      <c r="J29" s="0" t="s">
        <v>28</v>
      </c>
      <c r="K29" s="0" t="s">
        <v>30</v>
      </c>
      <c r="L29" s="0" t="s">
        <v>30</v>
      </c>
      <c r="M29" s="0" t="s">
        <v>128</v>
      </c>
    </row>
    <row r="30" customFormat="false" ht="15" hidden="false" customHeight="false" outlineLevel="0" collapsed="false">
      <c r="A30" s="0" t="s">
        <v>137</v>
      </c>
      <c r="B30" s="0" t="s">
        <v>138</v>
      </c>
      <c r="C30" s="4" t="n">
        <v>0.45</v>
      </c>
      <c r="D30" s="0" t="n">
        <v>0.391</v>
      </c>
      <c r="E30" s="0" t="n">
        <v>0.509</v>
      </c>
      <c r="F30" s="0" t="s">
        <v>66</v>
      </c>
      <c r="G30" s="0" t="s">
        <v>134</v>
      </c>
      <c r="H30" s="0" t="s">
        <v>127</v>
      </c>
      <c r="I30" s="0" t="s">
        <v>86</v>
      </c>
      <c r="J30" s="0" t="s">
        <v>28</v>
      </c>
      <c r="K30" s="0" t="s">
        <v>30</v>
      </c>
      <c r="L30" s="0" t="s">
        <v>30</v>
      </c>
      <c r="M30" s="0" t="s">
        <v>128</v>
      </c>
    </row>
    <row r="31" customFormat="false" ht="15" hidden="false" customHeight="false" outlineLevel="0" collapsed="false">
      <c r="A31" s="0" t="s">
        <v>139</v>
      </c>
      <c r="B31" s="0" t="s">
        <v>140</v>
      </c>
      <c r="C31" s="4" t="n">
        <v>0.67</v>
      </c>
      <c r="D31" s="0" t="n">
        <v>0.541</v>
      </c>
      <c r="E31" s="0" t="n">
        <v>0.799</v>
      </c>
      <c r="F31" s="0" t="s">
        <v>66</v>
      </c>
      <c r="G31" s="0" t="s">
        <v>141</v>
      </c>
      <c r="H31" s="0" t="s">
        <v>127</v>
      </c>
      <c r="I31" s="0" t="s">
        <v>86</v>
      </c>
      <c r="J31" s="0" t="s">
        <v>28</v>
      </c>
      <c r="K31" s="0" t="s">
        <v>30</v>
      </c>
      <c r="L31" s="0" t="s">
        <v>30</v>
      </c>
      <c r="M31" s="0" t="s">
        <v>128</v>
      </c>
    </row>
    <row r="32" customFormat="false" ht="15" hidden="false" customHeight="false" outlineLevel="0" collapsed="false">
      <c r="A32" s="0" t="s">
        <v>142</v>
      </c>
      <c r="B32" s="0" t="s">
        <v>143</v>
      </c>
      <c r="C32" s="4" t="n">
        <v>0.055</v>
      </c>
      <c r="D32" s="0" t="n">
        <v>0.044</v>
      </c>
      <c r="E32" s="0" t="n">
        <v>0.066</v>
      </c>
      <c r="F32" s="0" t="s">
        <v>144</v>
      </c>
      <c r="G32" s="0" t="s">
        <v>145</v>
      </c>
      <c r="H32" s="0" t="s">
        <v>85</v>
      </c>
      <c r="I32" s="0" t="s">
        <v>86</v>
      </c>
      <c r="J32" s="0" t="s">
        <v>28</v>
      </c>
      <c r="K32" s="0" t="s">
        <v>30</v>
      </c>
      <c r="L32" s="0" t="s">
        <v>30</v>
      </c>
      <c r="M32" s="0" t="s">
        <v>128</v>
      </c>
    </row>
    <row r="33" customFormat="false" ht="15" hidden="false" customHeight="false" outlineLevel="0" collapsed="false">
      <c r="A33" s="0" t="s">
        <v>146</v>
      </c>
      <c r="B33" s="0" t="s">
        <v>147</v>
      </c>
      <c r="C33" s="4" t="n">
        <v>1.57588127194927</v>
      </c>
      <c r="F33" s="0" t="s">
        <v>148</v>
      </c>
      <c r="G33" s="0" t="s">
        <v>30</v>
      </c>
      <c r="H33" s="0" t="s">
        <v>149</v>
      </c>
      <c r="I33" s="0" t="s">
        <v>150</v>
      </c>
      <c r="J33" s="0" t="s">
        <v>37</v>
      </c>
      <c r="K33" s="0" t="s">
        <v>151</v>
      </c>
      <c r="L33" s="0" t="s">
        <v>30</v>
      </c>
      <c r="M33" s="0" t="s">
        <v>152</v>
      </c>
    </row>
    <row r="34" customFormat="false" ht="15" hidden="false" customHeight="false" outlineLevel="0" collapsed="false">
      <c r="A34" s="0" t="s">
        <v>153</v>
      </c>
      <c r="B34" s="0" t="s">
        <v>154</v>
      </c>
      <c r="C34" s="4" t="n">
        <v>2960.24569291855</v>
      </c>
      <c r="D34" s="0" t="n">
        <v>2368.2</v>
      </c>
      <c r="E34" s="0" t="n">
        <v>3552.29</v>
      </c>
      <c r="F34" s="0" t="s">
        <v>144</v>
      </c>
      <c r="G34" s="0" t="s">
        <v>155</v>
      </c>
      <c r="H34" s="0" t="s">
        <v>156</v>
      </c>
      <c r="I34" s="0" t="s">
        <v>157</v>
      </c>
      <c r="J34" s="0" t="s">
        <v>37</v>
      </c>
      <c r="K34" s="0" t="s">
        <v>158</v>
      </c>
      <c r="L34" s="0" t="s">
        <v>123</v>
      </c>
      <c r="M34" s="0" t="s">
        <v>159</v>
      </c>
    </row>
    <row r="35" customFormat="false" ht="15" hidden="false" customHeight="false" outlineLevel="0" collapsed="false">
      <c r="A35" s="0" t="s">
        <v>160</v>
      </c>
      <c r="B35" s="0" t="s">
        <v>161</v>
      </c>
      <c r="C35" s="4" t="n">
        <v>612.592326844841</v>
      </c>
      <c r="D35" s="0" t="n">
        <v>490.07</v>
      </c>
      <c r="E35" s="0" t="n">
        <v>735.11</v>
      </c>
      <c r="F35" s="0" t="s">
        <v>144</v>
      </c>
      <c r="G35" s="0" t="s">
        <v>162</v>
      </c>
      <c r="H35" s="0" t="s">
        <v>156</v>
      </c>
      <c r="I35" s="0" t="s">
        <v>157</v>
      </c>
      <c r="J35" s="0" t="s">
        <v>37</v>
      </c>
      <c r="K35" s="0" t="s">
        <v>163</v>
      </c>
      <c r="L35" s="0" t="s">
        <v>123</v>
      </c>
      <c r="M35" s="0" t="s">
        <v>159</v>
      </c>
    </row>
    <row r="36" customFormat="false" ht="15" hidden="false" customHeight="false" outlineLevel="0" collapsed="false">
      <c r="A36" s="0" t="s">
        <v>164</v>
      </c>
      <c r="B36" s="0" t="s">
        <v>165</v>
      </c>
      <c r="C36" s="4" t="n">
        <v>5415.46871461552</v>
      </c>
      <c r="D36" s="0" t="n">
        <v>4332.37</v>
      </c>
      <c r="E36" s="0" t="n">
        <v>6498.56</v>
      </c>
      <c r="F36" s="0" t="s">
        <v>144</v>
      </c>
      <c r="G36" s="0" t="s">
        <v>166</v>
      </c>
      <c r="H36" s="0" t="s">
        <v>156</v>
      </c>
      <c r="I36" s="0" t="s">
        <v>157</v>
      </c>
      <c r="J36" s="0" t="s">
        <v>37</v>
      </c>
      <c r="K36" s="0" t="s">
        <v>167</v>
      </c>
      <c r="L36" s="0" t="s">
        <v>123</v>
      </c>
      <c r="M36" s="0" t="s">
        <v>159</v>
      </c>
    </row>
    <row r="37" customFormat="false" ht="15" hidden="false" customHeight="false" outlineLevel="0" collapsed="false">
      <c r="A37" s="0" t="s">
        <v>168</v>
      </c>
      <c r="B37" s="0" t="s">
        <v>169</v>
      </c>
      <c r="C37" s="4" t="n">
        <v>2738.06219238642</v>
      </c>
      <c r="D37" s="0" t="n">
        <v>2190.45</v>
      </c>
      <c r="E37" s="0" t="n">
        <v>3285.67</v>
      </c>
      <c r="F37" s="0" t="s">
        <v>144</v>
      </c>
      <c r="G37" s="0" t="s">
        <v>170</v>
      </c>
      <c r="H37" s="0" t="s">
        <v>156</v>
      </c>
      <c r="I37" s="0" t="s">
        <v>157</v>
      </c>
      <c r="J37" s="0" t="s">
        <v>37</v>
      </c>
      <c r="K37" s="0" t="s">
        <v>171</v>
      </c>
      <c r="L37" s="0" t="s">
        <v>123</v>
      </c>
      <c r="M37" s="0" t="s">
        <v>159</v>
      </c>
    </row>
    <row r="38" customFormat="false" ht="15" hidden="false" customHeight="false" outlineLevel="0" collapsed="false">
      <c r="A38" s="0" t="s">
        <v>172</v>
      </c>
      <c r="B38" s="0" t="s">
        <v>173</v>
      </c>
      <c r="C38" s="4" t="n">
        <v>18064.8313023615</v>
      </c>
      <c r="D38" s="0" t="n">
        <v>14451.87</v>
      </c>
      <c r="E38" s="0" t="n">
        <v>21677.8</v>
      </c>
      <c r="F38" s="0" t="s">
        <v>144</v>
      </c>
      <c r="G38" s="0" t="s">
        <v>174</v>
      </c>
      <c r="H38" s="0" t="s">
        <v>156</v>
      </c>
      <c r="I38" s="0" t="s">
        <v>157</v>
      </c>
      <c r="J38" s="0" t="s">
        <v>37</v>
      </c>
      <c r="K38" s="0" t="s">
        <v>175</v>
      </c>
      <c r="L38" s="0" t="s">
        <v>123</v>
      </c>
      <c r="M38" s="0" t="s">
        <v>159</v>
      </c>
    </row>
    <row r="39" customFormat="false" ht="15" hidden="false" customHeight="false" outlineLevel="0" collapsed="false">
      <c r="A39" s="0" t="s">
        <v>176</v>
      </c>
      <c r="B39" s="0" t="s">
        <v>177</v>
      </c>
      <c r="C39" s="4" t="n">
        <v>62879.8847433695</v>
      </c>
      <c r="D39" s="0" t="n">
        <v>50303.91</v>
      </c>
      <c r="E39" s="0" t="n">
        <v>75455.86</v>
      </c>
      <c r="F39" s="0" t="s">
        <v>144</v>
      </c>
      <c r="G39" s="0" t="s">
        <v>178</v>
      </c>
      <c r="H39" s="0" t="s">
        <v>156</v>
      </c>
      <c r="I39" s="0" t="s">
        <v>157</v>
      </c>
      <c r="J39" s="0" t="s">
        <v>37</v>
      </c>
      <c r="K39" s="0" t="s">
        <v>179</v>
      </c>
      <c r="L39" s="0" t="s">
        <v>123</v>
      </c>
      <c r="M39" s="0" t="s">
        <v>159</v>
      </c>
    </row>
    <row r="40" customFormat="false" ht="15" hidden="false" customHeight="false" outlineLevel="0" collapsed="false">
      <c r="A40" s="0" t="s">
        <v>180</v>
      </c>
      <c r="B40" s="0" t="s">
        <v>181</v>
      </c>
      <c r="C40" s="4" t="n">
        <v>342818.346534361</v>
      </c>
      <c r="D40" s="0" t="n">
        <v>274254.68</v>
      </c>
      <c r="E40" s="0" t="n">
        <v>411382.02</v>
      </c>
      <c r="F40" s="0" t="s">
        <v>144</v>
      </c>
      <c r="G40" s="0" t="s">
        <v>182</v>
      </c>
      <c r="H40" s="0" t="s">
        <v>156</v>
      </c>
      <c r="I40" s="0" t="s">
        <v>157</v>
      </c>
      <c r="J40" s="0" t="s">
        <v>37</v>
      </c>
      <c r="K40" s="0" t="s">
        <v>183</v>
      </c>
      <c r="L40" s="0" t="s">
        <v>123</v>
      </c>
      <c r="M40" s="0" t="s">
        <v>159</v>
      </c>
    </row>
    <row r="41" customFormat="false" ht="15" hidden="false" customHeight="false" outlineLevel="0" collapsed="false">
      <c r="A41" s="0" t="s">
        <v>184</v>
      </c>
      <c r="B41" s="0" t="s">
        <v>185</v>
      </c>
      <c r="C41" s="4" t="n">
        <v>31787.8102830612</v>
      </c>
      <c r="D41" s="0" t="n">
        <v>25430.25</v>
      </c>
      <c r="E41" s="0" t="n">
        <v>38145.37</v>
      </c>
      <c r="F41" s="0" t="s">
        <v>144</v>
      </c>
      <c r="G41" s="0" t="s">
        <v>186</v>
      </c>
      <c r="H41" s="0" t="s">
        <v>156</v>
      </c>
      <c r="I41" s="0" t="s">
        <v>157</v>
      </c>
      <c r="J41" s="0" t="s">
        <v>37</v>
      </c>
      <c r="K41" s="0" t="s">
        <v>187</v>
      </c>
      <c r="L41" s="0" t="s">
        <v>123</v>
      </c>
      <c r="M41" s="0" t="s">
        <v>159</v>
      </c>
    </row>
    <row r="42" customFormat="false" ht="15" hidden="false" customHeight="false" outlineLevel="0" collapsed="false">
      <c r="A42" s="0" t="s">
        <v>188</v>
      </c>
      <c r="B42" s="0" t="s">
        <v>189</v>
      </c>
      <c r="C42" s="4" t="n">
        <v>22760</v>
      </c>
      <c r="D42" s="0" t="n">
        <v>21425</v>
      </c>
      <c r="E42" s="0" t="n">
        <v>97716</v>
      </c>
      <c r="F42" s="0" t="s">
        <v>190</v>
      </c>
      <c r="G42" s="0" t="s">
        <v>191</v>
      </c>
      <c r="H42" s="0" t="s">
        <v>192</v>
      </c>
      <c r="I42" s="0" t="s">
        <v>36</v>
      </c>
      <c r="J42" s="0" t="s">
        <v>28</v>
      </c>
      <c r="K42" s="0" t="s">
        <v>193</v>
      </c>
      <c r="L42" s="0" t="s">
        <v>123</v>
      </c>
      <c r="M42" s="0" t="s">
        <v>194</v>
      </c>
    </row>
    <row r="43" customFormat="false" ht="15" hidden="false" customHeight="false" outlineLevel="0" collapsed="false">
      <c r="A43" s="0" t="s">
        <v>195</v>
      </c>
      <c r="B43" s="0" t="s">
        <v>196</v>
      </c>
      <c r="C43" s="4" t="n">
        <v>5765.12988618054</v>
      </c>
      <c r="D43" s="0" t="n">
        <v>3731.52</v>
      </c>
      <c r="E43" s="0" t="n">
        <v>6918.16</v>
      </c>
      <c r="F43" s="0" t="s">
        <v>144</v>
      </c>
      <c r="G43" s="0" t="s">
        <v>197</v>
      </c>
      <c r="H43" s="0" t="s">
        <v>198</v>
      </c>
      <c r="I43" s="0" t="s">
        <v>199</v>
      </c>
      <c r="J43" s="0" t="s">
        <v>37</v>
      </c>
      <c r="K43" s="0" t="s">
        <v>200</v>
      </c>
      <c r="L43" s="0" t="s">
        <v>123</v>
      </c>
      <c r="M43" s="0" t="s">
        <v>194</v>
      </c>
    </row>
    <row r="44" customFormat="false" ht="15" hidden="false" customHeight="false" outlineLevel="0" collapsed="false">
      <c r="A44" s="0" t="s">
        <v>201</v>
      </c>
      <c r="B44" s="0" t="s">
        <v>202</v>
      </c>
      <c r="C44" s="4" t="n">
        <v>46.2</v>
      </c>
      <c r="D44" s="0" t="n">
        <v>40</v>
      </c>
      <c r="E44" s="0" t="n">
        <v>57</v>
      </c>
      <c r="F44" s="0" t="s">
        <v>148</v>
      </c>
      <c r="G44" s="0" t="s">
        <v>30</v>
      </c>
      <c r="H44" s="0" t="s">
        <v>203</v>
      </c>
      <c r="I44" s="0" t="s">
        <v>150</v>
      </c>
      <c r="J44" s="0" t="s">
        <v>28</v>
      </c>
      <c r="K44" s="0" t="s">
        <v>30</v>
      </c>
      <c r="L44" s="0" t="s">
        <v>123</v>
      </c>
      <c r="M44" s="0" t="s">
        <v>204</v>
      </c>
    </row>
    <row r="45" customFormat="false" ht="15" hidden="false" customHeight="false" outlineLevel="0" collapsed="false">
      <c r="A45" s="0" t="s">
        <v>205</v>
      </c>
      <c r="B45" s="0" t="s">
        <v>206</v>
      </c>
      <c r="C45" s="4" t="n">
        <v>180</v>
      </c>
      <c r="D45" s="0" t="n">
        <v>150</v>
      </c>
      <c r="E45" s="0" t="n">
        <v>235</v>
      </c>
      <c r="F45" s="0" t="s">
        <v>148</v>
      </c>
      <c r="G45" s="0" t="s">
        <v>30</v>
      </c>
      <c r="H45" s="0" t="s">
        <v>207</v>
      </c>
      <c r="I45" s="0" t="s">
        <v>36</v>
      </c>
      <c r="J45" s="0" t="s">
        <v>208</v>
      </c>
      <c r="K45" s="0" t="s">
        <v>209</v>
      </c>
      <c r="L45" s="0" t="s">
        <v>123</v>
      </c>
      <c r="M45" s="0" t="s">
        <v>204</v>
      </c>
    </row>
    <row r="46" customFormat="false" ht="15" hidden="false" customHeight="false" outlineLevel="0" collapsed="false">
      <c r="A46" s="0" t="s">
        <v>210</v>
      </c>
      <c r="B46" s="0" t="s">
        <v>211</v>
      </c>
      <c r="C46" s="4" t="n">
        <v>0.005</v>
      </c>
      <c r="D46" s="0" t="n">
        <v>0.004</v>
      </c>
      <c r="E46" s="0" t="n">
        <v>0.007</v>
      </c>
      <c r="F46" s="0" t="s">
        <v>66</v>
      </c>
      <c r="G46" s="0" t="s">
        <v>212</v>
      </c>
      <c r="H46" s="0" t="s">
        <v>213</v>
      </c>
      <c r="I46" s="0" t="s">
        <v>214</v>
      </c>
      <c r="J46" s="0" t="s">
        <v>28</v>
      </c>
      <c r="K46" s="0" t="s">
        <v>30</v>
      </c>
      <c r="L46" s="0" t="s">
        <v>30</v>
      </c>
      <c r="M46" s="0" t="s">
        <v>51</v>
      </c>
    </row>
    <row r="47" customFormat="false" ht="15" hidden="false" customHeight="false" outlineLevel="0" collapsed="false">
      <c r="A47" s="0" t="s">
        <v>215</v>
      </c>
      <c r="B47" s="0" t="s">
        <v>216</v>
      </c>
      <c r="C47" s="4" t="n">
        <v>0.4</v>
      </c>
      <c r="D47" s="0" t="n">
        <v>0.35</v>
      </c>
      <c r="E47" s="0" t="n">
        <v>0.5</v>
      </c>
      <c r="F47" s="0" t="s">
        <v>66</v>
      </c>
      <c r="G47" s="0" t="s">
        <v>217</v>
      </c>
      <c r="H47" s="0" t="s">
        <v>218</v>
      </c>
      <c r="I47" s="0" t="s">
        <v>214</v>
      </c>
      <c r="J47" s="0" t="s">
        <v>28</v>
      </c>
      <c r="K47" s="0" t="s">
        <v>30</v>
      </c>
      <c r="L47" s="0" t="s">
        <v>30</v>
      </c>
      <c r="M47" s="0" t="s">
        <v>51</v>
      </c>
    </row>
    <row r="48" customFormat="false" ht="15" hidden="false" customHeight="false" outlineLevel="0" collapsed="false">
      <c r="A48" s="0" t="s">
        <v>219</v>
      </c>
      <c r="B48" s="0" t="s">
        <v>220</v>
      </c>
      <c r="C48" s="4" t="n">
        <v>0.59</v>
      </c>
      <c r="D48" s="0" t="n">
        <v>0.49</v>
      </c>
      <c r="E48" s="0" t="n">
        <v>0.69</v>
      </c>
      <c r="F48" s="0" t="s">
        <v>66</v>
      </c>
      <c r="G48" s="0" t="s">
        <v>221</v>
      </c>
      <c r="H48" s="0" t="s">
        <v>222</v>
      </c>
      <c r="I48" s="0" t="s">
        <v>49</v>
      </c>
      <c r="J48" s="0" t="s">
        <v>28</v>
      </c>
      <c r="K48" s="0" t="s">
        <v>223</v>
      </c>
      <c r="L48" s="0" t="s">
        <v>224</v>
      </c>
      <c r="M48" s="0" t="s">
        <v>51</v>
      </c>
    </row>
    <row r="49" customFormat="false" ht="15" hidden="false" customHeight="false" outlineLevel="0" collapsed="false">
      <c r="A49" s="0" t="s">
        <v>225</v>
      </c>
      <c r="B49" s="0" t="s">
        <v>226</v>
      </c>
      <c r="C49" s="4" t="n">
        <v>0.5</v>
      </c>
      <c r="D49" s="0" t="n">
        <v>0.4</v>
      </c>
      <c r="E49" s="0" t="n">
        <v>0.7</v>
      </c>
      <c r="F49" s="0" t="s">
        <v>66</v>
      </c>
      <c r="G49" s="0" t="s">
        <v>227</v>
      </c>
      <c r="H49" s="0" t="s">
        <v>228</v>
      </c>
      <c r="I49" s="0" t="s">
        <v>86</v>
      </c>
      <c r="J49" s="0" t="s">
        <v>28</v>
      </c>
      <c r="K49" s="0" t="s">
        <v>229</v>
      </c>
      <c r="L49" s="0" t="s">
        <v>224</v>
      </c>
      <c r="M49" s="0" t="s">
        <v>51</v>
      </c>
    </row>
    <row r="50" customFormat="false" ht="15" hidden="false" customHeight="false" outlineLevel="0" collapsed="false">
      <c r="A50" s="0" t="s">
        <v>230</v>
      </c>
      <c r="B50" s="0" t="s">
        <v>231</v>
      </c>
      <c r="C50" s="4" t="n">
        <v>4832</v>
      </c>
      <c r="D50" s="0" t="n">
        <v>4407</v>
      </c>
      <c r="E50" s="0" t="n">
        <v>5200</v>
      </c>
      <c r="F50" s="0" t="s">
        <v>148</v>
      </c>
      <c r="G50" s="0" t="s">
        <v>30</v>
      </c>
      <c r="H50" s="0" t="s">
        <v>232</v>
      </c>
      <c r="I50" s="0" t="s">
        <v>36</v>
      </c>
      <c r="J50" s="0" t="s">
        <v>28</v>
      </c>
      <c r="K50" s="0" t="s">
        <v>233</v>
      </c>
      <c r="L50" s="0" t="s">
        <v>123</v>
      </c>
      <c r="M50" s="0" t="s">
        <v>234</v>
      </c>
    </row>
    <row r="51" customFormat="false" ht="15" hidden="false" customHeight="false" outlineLevel="0" collapsed="false">
      <c r="A51" s="0" t="s">
        <v>235</v>
      </c>
      <c r="B51" s="0" t="s">
        <v>236</v>
      </c>
      <c r="C51" s="4" t="n">
        <v>17500</v>
      </c>
      <c r="D51" s="0" t="n">
        <v>15000</v>
      </c>
      <c r="E51" s="0" t="n">
        <v>20000</v>
      </c>
      <c r="F51" s="0" t="s">
        <v>148</v>
      </c>
      <c r="G51" s="0" t="s">
        <v>30</v>
      </c>
      <c r="H51" s="0" t="s">
        <v>237</v>
      </c>
      <c r="I51" s="0" t="s">
        <v>238</v>
      </c>
      <c r="J51" s="0" t="s">
        <v>28</v>
      </c>
      <c r="K51" s="0" t="s">
        <v>239</v>
      </c>
      <c r="L51" s="0" t="s">
        <v>123</v>
      </c>
      <c r="M51" s="0" t="s">
        <v>234</v>
      </c>
    </row>
    <row r="52" customFormat="false" ht="15" hidden="false" customHeight="false" outlineLevel="0" collapsed="false">
      <c r="A52" s="0" t="s">
        <v>240</v>
      </c>
      <c r="B52" s="0" t="s">
        <v>241</v>
      </c>
      <c r="C52" s="4" t="n">
        <v>49555600</v>
      </c>
      <c r="F52" s="0" t="s">
        <v>148</v>
      </c>
      <c r="G52" s="0" t="s">
        <v>30</v>
      </c>
      <c r="H52" s="0" t="s">
        <v>242</v>
      </c>
      <c r="I52" s="0" t="s">
        <v>243</v>
      </c>
      <c r="J52" s="0" t="s">
        <v>28</v>
      </c>
      <c r="K52" s="0" t="s">
        <v>30</v>
      </c>
      <c r="L52" s="0" t="s">
        <v>244</v>
      </c>
      <c r="M52" s="0" t="s">
        <v>245</v>
      </c>
    </row>
    <row r="53" customFormat="false" ht="15" hidden="false" customHeight="false" outlineLevel="0" collapsed="false">
      <c r="A53" s="0" t="s">
        <v>246</v>
      </c>
      <c r="B53" s="0" t="s">
        <v>247</v>
      </c>
      <c r="C53" s="4" t="n">
        <v>55049600</v>
      </c>
      <c r="F53" s="0" t="s">
        <v>148</v>
      </c>
      <c r="G53" s="0" t="s">
        <v>30</v>
      </c>
      <c r="H53" s="0" t="s">
        <v>248</v>
      </c>
      <c r="I53" s="0" t="s">
        <v>243</v>
      </c>
      <c r="J53" s="0" t="s">
        <v>28</v>
      </c>
      <c r="K53" s="0" t="s">
        <v>30</v>
      </c>
      <c r="L53" s="0" t="s">
        <v>244</v>
      </c>
      <c r="M53" s="0" t="s">
        <v>245</v>
      </c>
    </row>
    <row r="54" customFormat="false" ht="15" hidden="false" customHeight="false" outlineLevel="0" collapsed="false">
      <c r="A54" s="0" t="s">
        <v>249</v>
      </c>
      <c r="B54" s="0" t="s">
        <v>250</v>
      </c>
      <c r="C54" s="4" t="n">
        <v>6026300</v>
      </c>
      <c r="F54" s="0" t="s">
        <v>148</v>
      </c>
      <c r="G54" s="0" t="s">
        <v>30</v>
      </c>
      <c r="H54" s="0" t="s">
        <v>248</v>
      </c>
      <c r="I54" s="0" t="s">
        <v>243</v>
      </c>
      <c r="J54" s="0" t="s">
        <v>28</v>
      </c>
      <c r="K54" s="0" t="s">
        <v>30</v>
      </c>
      <c r="L54" s="0" t="s">
        <v>244</v>
      </c>
      <c r="M54" s="0" t="s">
        <v>245</v>
      </c>
    </row>
    <row r="55" customFormat="false" ht="15" hidden="false" customHeight="false" outlineLevel="0" collapsed="false">
      <c r="A55" s="0" t="s">
        <v>251</v>
      </c>
      <c r="B55" s="0" t="s">
        <v>252</v>
      </c>
      <c r="C55" s="4" t="n">
        <v>0.138621541501976</v>
      </c>
      <c r="F55" s="0" t="s">
        <v>148</v>
      </c>
      <c r="G55" s="0" t="s">
        <v>30</v>
      </c>
      <c r="H55" s="0" t="s">
        <v>253</v>
      </c>
      <c r="I55" s="0" t="s">
        <v>254</v>
      </c>
      <c r="J55" s="0" t="s">
        <v>28</v>
      </c>
      <c r="K55" s="0" t="s">
        <v>255</v>
      </c>
      <c r="L55" s="0" t="s">
        <v>244</v>
      </c>
      <c r="M55" s="0" t="s">
        <v>256</v>
      </c>
    </row>
    <row r="56" customFormat="false" ht="15" hidden="false" customHeight="false" outlineLevel="0" collapsed="false">
      <c r="A56" s="0" t="s">
        <v>257</v>
      </c>
      <c r="B56" s="0" t="s">
        <v>258</v>
      </c>
      <c r="C56" s="4" t="n">
        <v>2.52822098606627</v>
      </c>
      <c r="F56" s="0" t="s">
        <v>148</v>
      </c>
      <c r="G56" s="0" t="s">
        <v>30</v>
      </c>
      <c r="H56" s="0" t="s">
        <v>259</v>
      </c>
      <c r="I56" s="0" t="s">
        <v>150</v>
      </c>
      <c r="J56" s="0" t="s">
        <v>28</v>
      </c>
      <c r="K56" s="0" t="s">
        <v>260</v>
      </c>
      <c r="L56" s="0" t="s">
        <v>30</v>
      </c>
      <c r="M56" s="0" t="s">
        <v>256</v>
      </c>
    </row>
    <row r="57" customFormat="false" ht="15" hidden="false" customHeight="false" outlineLevel="0" collapsed="false">
      <c r="A57" s="0" t="s">
        <v>261</v>
      </c>
      <c r="B57" s="0" t="s">
        <v>262</v>
      </c>
      <c r="C57" s="4" t="n">
        <v>0.500852514919011</v>
      </c>
      <c r="D57" s="0" t="n">
        <v>0.45</v>
      </c>
      <c r="E57" s="0" t="n">
        <v>0.55</v>
      </c>
      <c r="F57" s="0" t="s">
        <v>66</v>
      </c>
      <c r="G57" s="0" t="s">
        <v>263</v>
      </c>
      <c r="H57" s="0" t="s">
        <v>264</v>
      </c>
      <c r="I57" s="0" t="s">
        <v>265</v>
      </c>
      <c r="J57" s="0" t="s">
        <v>37</v>
      </c>
      <c r="K57" s="0" t="s">
        <v>266</v>
      </c>
      <c r="L57" s="0" t="s">
        <v>244</v>
      </c>
      <c r="M57" s="0" t="s">
        <v>51</v>
      </c>
    </row>
    <row r="58" customFormat="false" ht="15" hidden="false" customHeight="false" outlineLevel="0" collapsed="false">
      <c r="A58" s="0" t="s">
        <v>267</v>
      </c>
      <c r="B58" s="0" t="s">
        <v>268</v>
      </c>
      <c r="C58" s="4" t="n">
        <v>0.42</v>
      </c>
      <c r="D58" s="0" t="n">
        <v>0.33</v>
      </c>
      <c r="E58" s="0" t="n">
        <v>0.42</v>
      </c>
      <c r="F58" s="0" t="s">
        <v>66</v>
      </c>
      <c r="G58" s="0" t="s">
        <v>269</v>
      </c>
      <c r="H58" s="0" t="s">
        <v>270</v>
      </c>
      <c r="I58" s="0" t="s">
        <v>271</v>
      </c>
      <c r="J58" s="0" t="s">
        <v>37</v>
      </c>
      <c r="K58" s="0" t="s">
        <v>272</v>
      </c>
      <c r="L58" s="0" t="s">
        <v>244</v>
      </c>
      <c r="M58" s="0" t="s">
        <v>51</v>
      </c>
    </row>
    <row r="59" customFormat="false" ht="15" hidden="false" customHeight="false" outlineLevel="0" collapsed="false">
      <c r="A59" s="0" t="s">
        <v>273</v>
      </c>
      <c r="B59" s="0" t="s">
        <v>274</v>
      </c>
      <c r="C59" s="4" t="n">
        <v>56.1198698783775</v>
      </c>
      <c r="D59" s="0" t="n">
        <v>33.67</v>
      </c>
      <c r="E59" s="0" t="n">
        <v>78.57</v>
      </c>
      <c r="F59" s="0" t="s">
        <v>144</v>
      </c>
      <c r="G59" s="0" t="s">
        <v>275</v>
      </c>
      <c r="H59" s="0" t="s">
        <v>276</v>
      </c>
      <c r="I59" s="0" t="s">
        <v>36</v>
      </c>
      <c r="J59" s="0" t="s">
        <v>37</v>
      </c>
      <c r="K59" s="0" t="s">
        <v>277</v>
      </c>
      <c r="L59" s="0" t="s">
        <v>244</v>
      </c>
      <c r="M59" s="0" t="s">
        <v>159</v>
      </c>
    </row>
    <row r="60" customFormat="false" ht="15" hidden="false" customHeight="false" outlineLevel="0" collapsed="false">
      <c r="A60" s="0" t="s">
        <v>278</v>
      </c>
      <c r="B60" s="0" t="s">
        <v>279</v>
      </c>
      <c r="C60" s="4" t="n">
        <v>29738.8819682707</v>
      </c>
      <c r="D60" s="0" t="n">
        <v>23791.11</v>
      </c>
      <c r="E60" s="0" t="n">
        <v>35686.66</v>
      </c>
      <c r="F60" s="0" t="s">
        <v>144</v>
      </c>
      <c r="G60" s="0" t="s">
        <v>197</v>
      </c>
      <c r="H60" s="0" t="s">
        <v>280</v>
      </c>
      <c r="I60" s="0" t="s">
        <v>281</v>
      </c>
      <c r="J60" s="0" t="s">
        <v>37</v>
      </c>
      <c r="K60" s="0" t="s">
        <v>282</v>
      </c>
      <c r="L60" s="0" t="s">
        <v>244</v>
      </c>
      <c r="M60" s="0" t="s">
        <v>283</v>
      </c>
    </row>
    <row r="61" customFormat="false" ht="15" hidden="false" customHeight="false" outlineLevel="0" collapsed="false">
      <c r="A61" s="0" t="s">
        <v>284</v>
      </c>
      <c r="B61" s="0" t="s">
        <v>285</v>
      </c>
      <c r="C61" s="4" t="n">
        <v>33797.232859524</v>
      </c>
      <c r="D61" s="0" t="n">
        <v>27037.79</v>
      </c>
      <c r="E61" s="0" t="n">
        <v>40556.68</v>
      </c>
      <c r="F61" s="0" t="s">
        <v>144</v>
      </c>
      <c r="G61" s="0" t="s">
        <v>197</v>
      </c>
      <c r="H61" s="0" t="s">
        <v>286</v>
      </c>
      <c r="I61" s="0" t="s">
        <v>281</v>
      </c>
      <c r="J61" s="0" t="s">
        <v>37</v>
      </c>
      <c r="K61" s="0" t="s">
        <v>282</v>
      </c>
      <c r="L61" s="0" t="s">
        <v>244</v>
      </c>
      <c r="M61" s="0" t="s">
        <v>283</v>
      </c>
    </row>
    <row r="62" customFormat="false" ht="15" hidden="false" customHeight="false" outlineLevel="0" collapsed="false">
      <c r="A62" s="0" t="s">
        <v>287</v>
      </c>
      <c r="B62" s="0" t="s">
        <v>288</v>
      </c>
      <c r="C62" s="4" t="n">
        <v>0.798</v>
      </c>
      <c r="D62" s="0" t="n">
        <v>0.75</v>
      </c>
      <c r="E62" s="0" t="n">
        <v>0.85</v>
      </c>
      <c r="F62" s="0" t="s">
        <v>66</v>
      </c>
      <c r="G62" s="0" t="s">
        <v>289</v>
      </c>
      <c r="H62" s="0" t="s">
        <v>290</v>
      </c>
      <c r="I62" s="0" t="s">
        <v>150</v>
      </c>
      <c r="J62" s="0" t="s">
        <v>28</v>
      </c>
      <c r="K62" s="0" t="s">
        <v>30</v>
      </c>
      <c r="L62" s="0" t="s">
        <v>30</v>
      </c>
      <c r="M62" s="0" t="s">
        <v>51</v>
      </c>
    </row>
    <row r="63" customFormat="false" ht="15" hidden="false" customHeight="false" outlineLevel="0" collapsed="false">
      <c r="A63" s="0" t="s">
        <v>291</v>
      </c>
      <c r="B63" s="0" t="s">
        <v>292</v>
      </c>
      <c r="C63" s="4" t="n">
        <v>0.062</v>
      </c>
      <c r="D63" s="0" t="n">
        <v>0.05</v>
      </c>
      <c r="E63" s="0" t="n">
        <v>0.08</v>
      </c>
      <c r="F63" s="0" t="s">
        <v>148</v>
      </c>
      <c r="G63" s="0" t="s">
        <v>30</v>
      </c>
      <c r="H63" s="0" t="s">
        <v>293</v>
      </c>
      <c r="I63" s="0" t="s">
        <v>150</v>
      </c>
      <c r="J63" s="0" t="s">
        <v>28</v>
      </c>
      <c r="K63" s="0" t="s">
        <v>294</v>
      </c>
      <c r="L63" s="0" t="s">
        <v>295</v>
      </c>
      <c r="M63" s="0" t="s">
        <v>51</v>
      </c>
    </row>
    <row r="64" customFormat="false" ht="15" hidden="false" customHeight="false" outlineLevel="0" collapsed="false">
      <c r="A64" s="0" t="s">
        <v>296</v>
      </c>
      <c r="B64" s="0" t="s">
        <v>297</v>
      </c>
      <c r="C64" s="4" t="n">
        <v>106842.72</v>
      </c>
      <c r="F64" s="0" t="s">
        <v>148</v>
      </c>
      <c r="G64" s="0" t="s">
        <v>30</v>
      </c>
      <c r="H64" s="0" t="s">
        <v>298</v>
      </c>
      <c r="I64" s="0" t="s">
        <v>150</v>
      </c>
      <c r="J64" s="0" t="s">
        <v>28</v>
      </c>
      <c r="K64" s="0" t="s">
        <v>299</v>
      </c>
      <c r="L64" s="0" t="s">
        <v>30</v>
      </c>
      <c r="M64" s="0" t="s">
        <v>283</v>
      </c>
    </row>
    <row r="65" customFormat="false" ht="15" hidden="false" customHeight="false" outlineLevel="0" collapsed="false">
      <c r="A65" s="0" t="s">
        <v>300</v>
      </c>
      <c r="B65" s="0" t="s">
        <v>301</v>
      </c>
      <c r="C65" s="4" t="n">
        <v>1</v>
      </c>
      <c r="D65" s="0" t="n">
        <v>0.5</v>
      </c>
      <c r="E65" s="0" t="n">
        <v>1</v>
      </c>
      <c r="F65" s="0" t="s">
        <v>148</v>
      </c>
      <c r="G65" s="0" t="s">
        <v>30</v>
      </c>
      <c r="H65" s="0" t="s">
        <v>302</v>
      </c>
      <c r="I65" s="0" t="s">
        <v>150</v>
      </c>
      <c r="J65" s="0" t="s">
        <v>303</v>
      </c>
      <c r="K65" s="0" t="s">
        <v>30</v>
      </c>
      <c r="L65" s="0" t="s">
        <v>30</v>
      </c>
      <c r="M65" s="0" t="s">
        <v>51</v>
      </c>
    </row>
    <row r="66" customFormat="false" ht="15" hidden="false" customHeight="false" outlineLevel="0" collapsed="false">
      <c r="A66" s="0" t="s">
        <v>304</v>
      </c>
      <c r="B66" s="0" t="s">
        <v>305</v>
      </c>
      <c r="C66" s="4" t="n">
        <v>0.25</v>
      </c>
      <c r="D66" s="0" t="n">
        <v>0.17</v>
      </c>
      <c r="E66" s="0" t="n">
        <v>0.5</v>
      </c>
      <c r="F66" s="0" t="s">
        <v>148</v>
      </c>
      <c r="G66" s="0" t="s">
        <v>30</v>
      </c>
      <c r="H66" s="0" t="s">
        <v>306</v>
      </c>
      <c r="I66" s="0" t="s">
        <v>307</v>
      </c>
      <c r="J66" s="0" t="s">
        <v>70</v>
      </c>
      <c r="K66" s="0" t="s">
        <v>308</v>
      </c>
      <c r="L66" s="0" t="s">
        <v>30</v>
      </c>
      <c r="M66" s="0" t="s">
        <v>309</v>
      </c>
    </row>
    <row r="67" customFormat="false" ht="15" hidden="false" customHeight="false" outlineLevel="0" collapsed="false">
      <c r="A67" s="0" t="s">
        <v>310</v>
      </c>
      <c r="B67" s="0" t="s">
        <v>311</v>
      </c>
      <c r="C67" s="4" t="n">
        <v>0.3164</v>
      </c>
      <c r="F67" s="0" t="s">
        <v>148</v>
      </c>
      <c r="G67" s="0" t="s">
        <v>30</v>
      </c>
      <c r="H67" s="0" t="s">
        <v>312</v>
      </c>
      <c r="I67" s="0" t="s">
        <v>36</v>
      </c>
      <c r="J67" s="0" t="s">
        <v>28</v>
      </c>
      <c r="K67" s="0" t="s">
        <v>313</v>
      </c>
      <c r="L67" s="0" t="s">
        <v>244</v>
      </c>
      <c r="M67" s="0" t="s">
        <v>314</v>
      </c>
    </row>
    <row r="68" customFormat="false" ht="15" hidden="false" customHeight="false" outlineLevel="0" collapsed="false">
      <c r="A68" s="0" t="s">
        <v>315</v>
      </c>
      <c r="B68" s="0" t="s">
        <v>316</v>
      </c>
      <c r="C68" s="4" t="n">
        <v>0.0255</v>
      </c>
      <c r="F68" s="0" t="s">
        <v>148</v>
      </c>
      <c r="G68" s="0" t="s">
        <v>30</v>
      </c>
      <c r="H68" s="0" t="s">
        <v>317</v>
      </c>
      <c r="I68" s="0" t="s">
        <v>36</v>
      </c>
      <c r="J68" s="0" t="s">
        <v>28</v>
      </c>
      <c r="K68" s="0" t="s">
        <v>30</v>
      </c>
      <c r="L68" s="0" t="s">
        <v>318</v>
      </c>
      <c r="M68" s="0" t="s">
        <v>314</v>
      </c>
    </row>
    <row r="69" customFormat="false" ht="15" hidden="false" customHeight="false" outlineLevel="0" collapsed="false">
      <c r="A69" s="0" t="s">
        <v>319</v>
      </c>
      <c r="B69" s="0" t="s">
        <v>320</v>
      </c>
      <c r="C69" s="4" t="n">
        <v>0.077661</v>
      </c>
      <c r="F69" s="0" t="s">
        <v>148</v>
      </c>
      <c r="G69" s="0" t="s">
        <v>30</v>
      </c>
      <c r="H69" s="0" t="s">
        <v>321</v>
      </c>
      <c r="I69" s="0" t="s">
        <v>36</v>
      </c>
      <c r="J69" s="0" t="s">
        <v>28</v>
      </c>
      <c r="K69" s="0" t="s">
        <v>322</v>
      </c>
      <c r="L69" s="0" t="s">
        <v>123</v>
      </c>
      <c r="M69" s="0" t="s">
        <v>314</v>
      </c>
    </row>
    <row r="70" customFormat="false" ht="15" hidden="false" customHeight="false" outlineLevel="0" collapsed="false">
      <c r="A70" s="0" t="s">
        <v>323</v>
      </c>
      <c r="B70" s="0" t="s">
        <v>324</v>
      </c>
      <c r="C70" s="4" t="n">
        <v>0.0664841738450687</v>
      </c>
      <c r="F70" s="0" t="s">
        <v>148</v>
      </c>
      <c r="G70" s="0" t="s">
        <v>30</v>
      </c>
      <c r="H70" s="0" t="s">
        <v>325</v>
      </c>
      <c r="I70" s="0" t="s">
        <v>36</v>
      </c>
      <c r="J70" s="0" t="s">
        <v>37</v>
      </c>
      <c r="K70" s="0" t="s">
        <v>326</v>
      </c>
      <c r="L70" s="0" t="s">
        <v>327</v>
      </c>
      <c r="M70" s="0" t="s">
        <v>314</v>
      </c>
    </row>
    <row r="71" customFormat="false" ht="15" hidden="false" customHeight="false" outlineLevel="0" collapsed="false">
      <c r="A71" s="0" t="s">
        <v>328</v>
      </c>
      <c r="B71" s="0" t="s">
        <v>329</v>
      </c>
      <c r="C71" s="4" t="n">
        <v>0.05</v>
      </c>
      <c r="D71" s="0" t="n">
        <v>0</v>
      </c>
      <c r="E71" s="0" t="n">
        <v>0.05</v>
      </c>
      <c r="F71" s="0" t="s">
        <v>148</v>
      </c>
      <c r="G71" s="0" t="s">
        <v>30</v>
      </c>
      <c r="H71" s="0" t="s">
        <v>330</v>
      </c>
      <c r="I71" s="0" t="s">
        <v>49</v>
      </c>
      <c r="J71" s="0" t="s">
        <v>28</v>
      </c>
      <c r="K71" s="0" t="s">
        <v>30</v>
      </c>
      <c r="L71" s="0" t="s">
        <v>30</v>
      </c>
      <c r="M71" s="0" t="s">
        <v>72</v>
      </c>
    </row>
    <row r="72" customFormat="false" ht="15" hidden="false" customHeight="false" outlineLevel="0" collapsed="false">
      <c r="A72" s="0" t="s">
        <v>331</v>
      </c>
      <c r="B72" s="0" t="s">
        <v>332</v>
      </c>
      <c r="C72" s="4" t="n">
        <v>0.035</v>
      </c>
      <c r="D72" s="0" t="n">
        <v>0</v>
      </c>
      <c r="E72" s="0" t="n">
        <v>0.035</v>
      </c>
      <c r="F72" s="0" t="s">
        <v>148</v>
      </c>
      <c r="G72" s="0" t="s">
        <v>30</v>
      </c>
      <c r="H72" s="0" t="s">
        <v>330</v>
      </c>
      <c r="I72" s="0" t="s">
        <v>49</v>
      </c>
      <c r="J72" s="0" t="s">
        <v>28</v>
      </c>
      <c r="K72" s="0" t="s">
        <v>30</v>
      </c>
      <c r="L72" s="0" t="s">
        <v>30</v>
      </c>
      <c r="M72" s="0" t="s">
        <v>72</v>
      </c>
    </row>
    <row r="73" customFormat="false" ht="15" hidden="false" customHeight="false" outlineLevel="0" collapsed="false">
      <c r="A73" s="0" t="s">
        <v>333</v>
      </c>
      <c r="B73" s="0" t="s">
        <v>334</v>
      </c>
      <c r="C73" s="4" t="n">
        <v>244821</v>
      </c>
      <c r="F73" s="0" t="s">
        <v>148</v>
      </c>
      <c r="G73" s="0" t="s">
        <v>30</v>
      </c>
      <c r="H73" s="0" t="s">
        <v>335</v>
      </c>
      <c r="I73" s="0" t="s">
        <v>36</v>
      </c>
      <c r="J73" s="0" t="s">
        <v>28</v>
      </c>
      <c r="K73" s="0" t="s">
        <v>30</v>
      </c>
      <c r="L73" s="0" t="s">
        <v>30</v>
      </c>
      <c r="M73" s="0" t="s">
        <v>336</v>
      </c>
    </row>
    <row r="74" customFormat="false" ht="15" hidden="false" customHeight="false" outlineLevel="0" collapsed="false">
      <c r="A74" s="0" t="s">
        <v>337</v>
      </c>
      <c r="B74" s="0" t="s">
        <v>338</v>
      </c>
      <c r="C74" s="4" t="n">
        <v>5420</v>
      </c>
      <c r="D74" s="0" t="n">
        <v>3800</v>
      </c>
      <c r="E74" s="0" t="n">
        <v>7000</v>
      </c>
      <c r="F74" s="0" t="s">
        <v>24</v>
      </c>
      <c r="G74" s="0" t="s">
        <v>339</v>
      </c>
      <c r="H74" s="0" t="s">
        <v>340</v>
      </c>
      <c r="I74" s="0" t="s">
        <v>341</v>
      </c>
      <c r="J74" s="0" t="s">
        <v>37</v>
      </c>
      <c r="K74" s="0" t="s">
        <v>342</v>
      </c>
      <c r="L74" s="0" t="s">
        <v>30</v>
      </c>
      <c r="M74" s="0" t="s">
        <v>234</v>
      </c>
    </row>
    <row r="75" customFormat="false" ht="15" hidden="false" customHeight="false" outlineLevel="0" collapsed="false">
      <c r="A75" s="0" t="s">
        <v>343</v>
      </c>
      <c r="B75" s="0" t="s">
        <v>344</v>
      </c>
      <c r="C75" s="4" t="n">
        <v>29</v>
      </c>
      <c r="D75" s="0" t="n">
        <v>25</v>
      </c>
      <c r="E75" s="0" t="n">
        <v>40</v>
      </c>
      <c r="F75" s="0" t="s">
        <v>34</v>
      </c>
      <c r="G75" s="0" t="s">
        <v>30</v>
      </c>
      <c r="H75" s="0" t="s">
        <v>345</v>
      </c>
      <c r="I75" s="0" t="s">
        <v>36</v>
      </c>
      <c r="J75" s="0" t="s">
        <v>37</v>
      </c>
      <c r="K75" s="0" t="s">
        <v>346</v>
      </c>
      <c r="L75" s="0" t="s">
        <v>30</v>
      </c>
      <c r="M75" s="0" t="s">
        <v>39</v>
      </c>
    </row>
    <row r="76" customFormat="false" ht="15" hidden="false" customHeight="false" outlineLevel="0" collapsed="false">
      <c r="A76" s="0" t="s">
        <v>347</v>
      </c>
      <c r="B76" s="0" t="s">
        <v>348</v>
      </c>
      <c r="C76" s="4" t="n">
        <v>0.038</v>
      </c>
      <c r="D76" s="0" t="n">
        <v>0.025</v>
      </c>
      <c r="E76" s="0" t="n">
        <v>0.058</v>
      </c>
      <c r="F76" s="0" t="s">
        <v>190</v>
      </c>
      <c r="G76" s="0" t="s">
        <v>349</v>
      </c>
      <c r="H76" s="0" t="s">
        <v>350</v>
      </c>
      <c r="I76" s="0" t="s">
        <v>214</v>
      </c>
      <c r="J76" s="0" t="s">
        <v>70</v>
      </c>
      <c r="K76" s="0" t="s">
        <v>351</v>
      </c>
      <c r="L76" s="0" t="s">
        <v>30</v>
      </c>
      <c r="M76" s="0" t="s">
        <v>72</v>
      </c>
    </row>
    <row r="77" customFormat="false" ht="15" hidden="false" customHeight="false" outlineLevel="0" collapsed="false">
      <c r="A77" s="0" t="s">
        <v>352</v>
      </c>
      <c r="B77" s="0" t="s">
        <v>353</v>
      </c>
      <c r="C77" s="4" t="n">
        <v>0.032</v>
      </c>
      <c r="D77" s="0" t="n">
        <v>0.02</v>
      </c>
      <c r="E77" s="0" t="n">
        <v>0.1</v>
      </c>
      <c r="F77" s="0" t="s">
        <v>34</v>
      </c>
      <c r="G77" s="0" t="s">
        <v>30</v>
      </c>
      <c r="H77" s="0" t="s">
        <v>354</v>
      </c>
      <c r="I77" s="0" t="s">
        <v>238</v>
      </c>
      <c r="J77" s="0" t="s">
        <v>28</v>
      </c>
      <c r="K77" s="0" t="s">
        <v>355</v>
      </c>
      <c r="L77" s="0" t="s">
        <v>30</v>
      </c>
      <c r="M77" s="0" t="s">
        <v>51</v>
      </c>
    </row>
    <row r="78" customFormat="false" ht="15" hidden="false" customHeight="false" outlineLevel="0" collapsed="false">
      <c r="A78" s="0" t="s">
        <v>356</v>
      </c>
      <c r="B78" s="0" t="s">
        <v>357</v>
      </c>
      <c r="C78" s="4" t="n">
        <v>1590</v>
      </c>
      <c r="D78" s="0" t="n">
        <v>1590</v>
      </c>
      <c r="E78" s="0" t="n">
        <v>2460</v>
      </c>
      <c r="F78" s="0" t="s">
        <v>24</v>
      </c>
      <c r="G78" s="0" t="s">
        <v>358</v>
      </c>
      <c r="H78" s="0" t="s">
        <v>359</v>
      </c>
      <c r="I78" s="0" t="s">
        <v>360</v>
      </c>
      <c r="J78" s="0" t="s">
        <v>37</v>
      </c>
      <c r="K78" s="0" t="s">
        <v>361</v>
      </c>
      <c r="L78" s="0" t="s">
        <v>123</v>
      </c>
      <c r="M78" s="0" t="s">
        <v>31</v>
      </c>
    </row>
    <row r="79" customFormat="false" ht="15" hidden="false" customHeight="false" outlineLevel="0" collapsed="false">
      <c r="A79" s="0" t="s">
        <v>362</v>
      </c>
      <c r="B79" s="0" t="s">
        <v>363</v>
      </c>
      <c r="C79" s="4" t="n">
        <v>890</v>
      </c>
      <c r="D79" s="0" t="n">
        <v>780</v>
      </c>
      <c r="E79" s="0" t="n">
        <v>1250</v>
      </c>
      <c r="F79" s="0" t="s">
        <v>24</v>
      </c>
      <c r="G79" s="0" t="s">
        <v>364</v>
      </c>
      <c r="H79" s="0" t="s">
        <v>365</v>
      </c>
      <c r="I79" s="0" t="s">
        <v>360</v>
      </c>
      <c r="J79" s="0" t="s">
        <v>37</v>
      </c>
      <c r="K79" s="0" t="s">
        <v>366</v>
      </c>
      <c r="L79" s="0" t="s">
        <v>123</v>
      </c>
      <c r="M79" s="0" t="s">
        <v>31</v>
      </c>
    </row>
    <row r="80" customFormat="false" ht="15" hidden="false" customHeight="false" outlineLevel="0" collapsed="false">
      <c r="A80" s="0" t="s">
        <v>367</v>
      </c>
      <c r="B80" s="0" t="s">
        <v>368</v>
      </c>
      <c r="C80" s="4" t="n">
        <v>1585</v>
      </c>
      <c r="D80" s="0" t="n">
        <v>792</v>
      </c>
      <c r="E80" s="0" t="n">
        <v>1585</v>
      </c>
      <c r="F80" s="0" t="s">
        <v>24</v>
      </c>
      <c r="G80" s="0" t="s">
        <v>369</v>
      </c>
      <c r="H80" s="0" t="s">
        <v>370</v>
      </c>
      <c r="I80" s="0" t="s">
        <v>341</v>
      </c>
      <c r="J80" s="0" t="s">
        <v>37</v>
      </c>
      <c r="K80" s="0" t="s">
        <v>371</v>
      </c>
      <c r="L80" s="0" t="s">
        <v>123</v>
      </c>
      <c r="M80" s="0" t="s">
        <v>31</v>
      </c>
    </row>
    <row r="81" customFormat="false" ht="15" hidden="false" customHeight="false" outlineLevel="0" collapsed="false">
      <c r="A81" s="0" t="s">
        <v>372</v>
      </c>
      <c r="B81" s="0" t="s">
        <v>373</v>
      </c>
      <c r="C81" s="4" t="n">
        <v>0.5</v>
      </c>
      <c r="D81" s="0" t="n">
        <v>0.3</v>
      </c>
      <c r="E81" s="0" t="n">
        <v>0.815</v>
      </c>
      <c r="F81" s="0" t="s">
        <v>24</v>
      </c>
      <c r="G81" s="0" t="s">
        <v>374</v>
      </c>
      <c r="H81" s="0" t="s">
        <v>375</v>
      </c>
      <c r="I81" s="0" t="s">
        <v>36</v>
      </c>
      <c r="J81" s="0" t="s">
        <v>376</v>
      </c>
      <c r="K81" s="0" t="s">
        <v>377</v>
      </c>
      <c r="L81" s="0" t="s">
        <v>123</v>
      </c>
      <c r="M81" s="0" t="s">
        <v>51</v>
      </c>
    </row>
    <row r="82" customFormat="false" ht="15" hidden="false" customHeight="false" outlineLevel="0" collapsed="false">
      <c r="A82" s="0" t="s">
        <v>378</v>
      </c>
      <c r="B82" s="0" t="s">
        <v>379</v>
      </c>
      <c r="C82" s="4" t="n">
        <v>0.815</v>
      </c>
      <c r="D82" s="0" t="n">
        <v>0.6</v>
      </c>
      <c r="E82" s="0" t="n">
        <v>0.918</v>
      </c>
      <c r="F82" s="0" t="s">
        <v>24</v>
      </c>
      <c r="G82" s="0" t="s">
        <v>380</v>
      </c>
      <c r="H82" s="0" t="s">
        <v>381</v>
      </c>
      <c r="I82" s="0" t="s">
        <v>382</v>
      </c>
      <c r="J82" s="0" t="s">
        <v>70</v>
      </c>
      <c r="K82" s="0" t="s">
        <v>383</v>
      </c>
      <c r="L82" s="0" t="s">
        <v>123</v>
      </c>
      <c r="M82" s="0" t="s">
        <v>51</v>
      </c>
    </row>
    <row r="83" customFormat="false" ht="15" hidden="false" customHeight="false" outlineLevel="0" collapsed="false">
      <c r="A83" s="0" t="s">
        <v>384</v>
      </c>
      <c r="B83" s="0" t="s">
        <v>385</v>
      </c>
      <c r="C83" s="4" t="n">
        <v>0.000625</v>
      </c>
      <c r="F83" s="0" t="s">
        <v>148</v>
      </c>
      <c r="G83" s="0" t="s">
        <v>30</v>
      </c>
      <c r="H83" s="0" t="s">
        <v>386</v>
      </c>
      <c r="I83" s="0" t="s">
        <v>150</v>
      </c>
      <c r="J83" s="0" t="s">
        <v>37</v>
      </c>
      <c r="K83" s="0" t="s">
        <v>387</v>
      </c>
      <c r="L83" s="0" t="s">
        <v>123</v>
      </c>
      <c r="M83" s="0" t="s">
        <v>388</v>
      </c>
    </row>
    <row r="84" customFormat="false" ht="15" hidden="false" customHeight="false" outlineLevel="0" collapsed="false">
      <c r="A84" s="0" t="s">
        <v>389</v>
      </c>
      <c r="B84" s="0" t="s">
        <v>390</v>
      </c>
      <c r="C84" s="4" t="n">
        <v>0.0008</v>
      </c>
      <c r="F84" s="0" t="s">
        <v>148</v>
      </c>
      <c r="G84" s="0" t="s">
        <v>30</v>
      </c>
      <c r="H84" s="0" t="s">
        <v>391</v>
      </c>
      <c r="I84" s="0" t="s">
        <v>214</v>
      </c>
      <c r="J84" s="0" t="s">
        <v>28</v>
      </c>
      <c r="K84" s="0" t="s">
        <v>392</v>
      </c>
      <c r="L84" s="0" t="s">
        <v>123</v>
      </c>
      <c r="M84" s="0" t="s">
        <v>388</v>
      </c>
    </row>
    <row r="85" customFormat="false" ht="15" hidden="false" customHeight="false" outlineLevel="0" collapsed="false">
      <c r="A85" s="0" t="s">
        <v>393</v>
      </c>
      <c r="B85" s="0" t="s">
        <v>394</v>
      </c>
      <c r="C85" s="4" t="n">
        <v>0.0048</v>
      </c>
      <c r="F85" s="0" t="s">
        <v>148</v>
      </c>
      <c r="G85" s="0" t="s">
        <v>30</v>
      </c>
      <c r="H85" s="0" t="s">
        <v>395</v>
      </c>
      <c r="I85" s="0" t="s">
        <v>214</v>
      </c>
      <c r="J85" s="0" t="s">
        <v>28</v>
      </c>
      <c r="K85" s="0" t="s">
        <v>392</v>
      </c>
      <c r="L85" s="0" t="s">
        <v>123</v>
      </c>
      <c r="M85" s="0" t="s">
        <v>388</v>
      </c>
    </row>
    <row r="86" customFormat="false" ht="15" hidden="false" customHeight="false" outlineLevel="0" collapsed="false">
      <c r="A86" s="0" t="s">
        <v>396</v>
      </c>
      <c r="B86" s="0" t="s">
        <v>397</v>
      </c>
      <c r="C86" s="4" t="n">
        <v>0.295</v>
      </c>
      <c r="F86" s="0" t="s">
        <v>148</v>
      </c>
      <c r="G86" s="0" t="s">
        <v>30</v>
      </c>
      <c r="H86" s="0" t="s">
        <v>398</v>
      </c>
      <c r="I86" s="0" t="s">
        <v>399</v>
      </c>
      <c r="J86" s="0" t="s">
        <v>28</v>
      </c>
      <c r="K86" s="0" t="s">
        <v>392</v>
      </c>
      <c r="L86" s="0" t="s">
        <v>224</v>
      </c>
      <c r="M86" s="0" t="s">
        <v>388</v>
      </c>
    </row>
    <row r="87" customFormat="false" ht="15" hidden="false" customHeight="false" outlineLevel="0" collapsed="false">
      <c r="A87" s="0" t="s">
        <v>400</v>
      </c>
      <c r="B87" s="0" t="s">
        <v>401</v>
      </c>
      <c r="C87" s="4" t="n">
        <v>10000</v>
      </c>
      <c r="D87" s="0" t="n">
        <v>7000</v>
      </c>
      <c r="E87" s="0" t="n">
        <v>13000</v>
      </c>
      <c r="F87" s="0" t="s">
        <v>34</v>
      </c>
      <c r="G87" s="0" t="s">
        <v>30</v>
      </c>
      <c r="H87" s="0" t="s">
        <v>402</v>
      </c>
      <c r="I87" s="0" t="s">
        <v>341</v>
      </c>
      <c r="J87" s="0" t="s">
        <v>37</v>
      </c>
      <c r="K87" s="0" t="s">
        <v>403</v>
      </c>
      <c r="L87" s="0" t="s">
        <v>224</v>
      </c>
      <c r="M87" s="0" t="s">
        <v>31</v>
      </c>
    </row>
    <row r="88" customFormat="false" ht="15" hidden="false" customHeight="false" outlineLevel="0" collapsed="false">
      <c r="A88" s="0" t="s">
        <v>404</v>
      </c>
      <c r="B88" s="0" t="s">
        <v>405</v>
      </c>
      <c r="C88" s="4" t="n">
        <v>0.2</v>
      </c>
      <c r="D88" s="0" t="n">
        <v>0</v>
      </c>
      <c r="E88" s="0" t="n">
        <v>0.5</v>
      </c>
      <c r="F88" s="0" t="s">
        <v>34</v>
      </c>
      <c r="G88" s="0" t="s">
        <v>30</v>
      </c>
      <c r="H88" s="0" t="s">
        <v>406</v>
      </c>
      <c r="I88" s="0" t="s">
        <v>150</v>
      </c>
      <c r="J88" s="0" t="s">
        <v>303</v>
      </c>
      <c r="K88" s="0" t="s">
        <v>407</v>
      </c>
      <c r="L88" s="0" t="s">
        <v>408</v>
      </c>
      <c r="M88" s="0" t="s">
        <v>51</v>
      </c>
    </row>
    <row r="89" customFormat="false" ht="15" hidden="false" customHeight="false" outlineLevel="0" collapsed="false">
      <c r="A89" s="0" t="s">
        <v>409</v>
      </c>
      <c r="B89" s="0" t="s">
        <v>410</v>
      </c>
      <c r="C89" s="4" t="n">
        <v>10</v>
      </c>
      <c r="D89" s="0" t="n">
        <v>5</v>
      </c>
      <c r="E89" s="0" t="n">
        <v>15</v>
      </c>
      <c r="F89" s="0" t="s">
        <v>148</v>
      </c>
      <c r="G89" s="0" t="s">
        <v>30</v>
      </c>
      <c r="H89" s="0" t="s">
        <v>411</v>
      </c>
      <c r="I89" s="0" t="s">
        <v>150</v>
      </c>
      <c r="J89" s="0" t="s">
        <v>303</v>
      </c>
      <c r="K89" s="0" t="s">
        <v>30</v>
      </c>
      <c r="L89" s="0" t="s">
        <v>30</v>
      </c>
      <c r="M89" s="0" t="s">
        <v>39</v>
      </c>
    </row>
    <row r="90" customFormat="false" ht="15" hidden="false" customHeight="false" outlineLevel="0" collapsed="false">
      <c r="A90" s="0" t="s">
        <v>412</v>
      </c>
      <c r="B90" s="0" t="s">
        <v>413</v>
      </c>
      <c r="C90" s="4" t="n">
        <v>20</v>
      </c>
      <c r="F90" s="0" t="s">
        <v>148</v>
      </c>
      <c r="G90" s="0" t="s">
        <v>30</v>
      </c>
      <c r="H90" s="0" t="s">
        <v>414</v>
      </c>
      <c r="I90" s="0" t="s">
        <v>49</v>
      </c>
      <c r="J90" s="0" t="s">
        <v>303</v>
      </c>
      <c r="K90" s="0" t="s">
        <v>30</v>
      </c>
      <c r="L90" s="0" t="s">
        <v>30</v>
      </c>
      <c r="M90" s="0" t="s">
        <v>39</v>
      </c>
    </row>
    <row r="91" customFormat="false" ht="15" hidden="false" customHeight="false" outlineLevel="0" collapsed="false">
      <c r="A91" s="0" t="s">
        <v>415</v>
      </c>
      <c r="B91" s="0" t="s">
        <v>416</v>
      </c>
      <c r="C91" s="4" t="n">
        <v>0.3327</v>
      </c>
      <c r="D91" s="0" t="n">
        <v>0.3327</v>
      </c>
      <c r="E91" s="0" t="n">
        <v>1</v>
      </c>
      <c r="F91" s="0" t="s">
        <v>24</v>
      </c>
      <c r="G91" s="0" t="s">
        <v>417</v>
      </c>
      <c r="H91" s="0" t="s">
        <v>418</v>
      </c>
      <c r="I91" s="0" t="s">
        <v>150</v>
      </c>
      <c r="J91" s="0" t="s">
        <v>37</v>
      </c>
      <c r="K91" s="0" t="s">
        <v>419</v>
      </c>
      <c r="L91" s="0" t="s">
        <v>30</v>
      </c>
      <c r="M91" s="0" t="s">
        <v>256</v>
      </c>
    </row>
    <row r="92" customFormat="false" ht="15" hidden="false" customHeight="false" outlineLevel="0" collapsed="false">
      <c r="A92" s="0" t="s">
        <v>420</v>
      </c>
      <c r="B92" s="0" t="s">
        <v>421</v>
      </c>
      <c r="C92" s="4" t="n">
        <v>0.413</v>
      </c>
      <c r="D92" s="0" t="n">
        <v>0.413</v>
      </c>
      <c r="E92" s="0" t="n">
        <v>1</v>
      </c>
      <c r="F92" s="0" t="s">
        <v>24</v>
      </c>
      <c r="G92" s="0" t="s">
        <v>422</v>
      </c>
      <c r="H92" s="0" t="s">
        <v>423</v>
      </c>
      <c r="I92" s="0" t="s">
        <v>150</v>
      </c>
      <c r="J92" s="0" t="s">
        <v>37</v>
      </c>
      <c r="K92" s="0" t="s">
        <v>424</v>
      </c>
      <c r="L92" s="0" t="s">
        <v>30</v>
      </c>
      <c r="M92" s="0" t="s">
        <v>256</v>
      </c>
    </row>
    <row r="93" customFormat="false" ht="15" hidden="false" customHeight="false" outlineLevel="0" collapsed="false">
      <c r="A93" s="0" t="s">
        <v>425</v>
      </c>
      <c r="B93" s="0" t="s">
        <v>426</v>
      </c>
      <c r="C93" s="4" t="n">
        <v>3</v>
      </c>
      <c r="D93" s="0" t="n">
        <v>1</v>
      </c>
      <c r="E93" s="0" t="n">
        <v>5</v>
      </c>
      <c r="F93" s="0" t="s">
        <v>34</v>
      </c>
      <c r="G93" s="0" t="s">
        <v>30</v>
      </c>
      <c r="H93" s="0" t="s">
        <v>427</v>
      </c>
      <c r="I93" s="0" t="s">
        <v>150</v>
      </c>
      <c r="J93" s="0" t="s">
        <v>303</v>
      </c>
      <c r="K93" s="0" t="s">
        <v>428</v>
      </c>
      <c r="L93" s="0" t="s">
        <v>30</v>
      </c>
      <c r="M93" s="0" t="s">
        <v>39</v>
      </c>
    </row>
    <row r="94" customFormat="false" ht="15" hidden="false" customHeight="false" outlineLevel="0" collapsed="false">
      <c r="A94" s="0" t="s">
        <v>429</v>
      </c>
      <c r="B94" s="0" t="s">
        <v>430</v>
      </c>
      <c r="C94" s="4" t="n">
        <v>8521</v>
      </c>
      <c r="F94" s="0" t="s">
        <v>148</v>
      </c>
      <c r="G94" s="0" t="s">
        <v>30</v>
      </c>
      <c r="H94" s="0" t="s">
        <v>431</v>
      </c>
      <c r="I94" s="0" t="s">
        <v>432</v>
      </c>
      <c r="J94" s="0" t="s">
        <v>28</v>
      </c>
      <c r="K94" s="0" t="s">
        <v>30</v>
      </c>
      <c r="L94" s="0" t="s">
        <v>123</v>
      </c>
      <c r="M94" s="0" t="s">
        <v>234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3" min="3" style="0" width="50"/>
  </cols>
  <sheetData>
    <row r="1" customFormat="false" ht="15" hidden="false" customHeight="false" outlineLevel="0" collapsed="false">
      <c r="A1" s="3" t="s">
        <v>10</v>
      </c>
      <c r="B1" s="3" t="s">
        <v>433</v>
      </c>
      <c r="C1" s="3" t="s">
        <v>434</v>
      </c>
    </row>
    <row r="2" customFormat="false" ht="15" hidden="false" customHeight="false" outlineLevel="0" collapsed="false">
      <c r="A2" s="0" t="s">
        <v>435</v>
      </c>
      <c r="B2" s="4" t="n">
        <v>0.05</v>
      </c>
      <c r="C2" s="0" t="s">
        <v>436</v>
      </c>
    </row>
    <row r="3" customFormat="false" ht="15" hidden="false" customHeight="false" outlineLevel="0" collapsed="false">
      <c r="A3" s="0" t="s">
        <v>437</v>
      </c>
      <c r="B3" s="4" t="n">
        <v>0.035</v>
      </c>
      <c r="C3" s="0" t="s">
        <v>438</v>
      </c>
    </row>
    <row r="4" customFormat="false" ht="15" hidden="false" customHeight="false" outlineLevel="0" collapsed="false">
      <c r="A4" s="0" t="s">
        <v>439</v>
      </c>
      <c r="B4" s="4" t="n">
        <v>20</v>
      </c>
      <c r="C4" s="0" t="s">
        <v>440</v>
      </c>
    </row>
    <row r="6" customFormat="false" ht="15" hidden="false" customHeight="false" outlineLevel="0" collapsed="false">
      <c r="A6" s="0" t="s">
        <v>441</v>
      </c>
      <c r="B6" s="0" t="n">
        <f aca="false">28057*x_AF_B18/x_N0</f>
        <v>0.0906607678134367</v>
      </c>
      <c r="C6" s="0" t="s">
        <v>442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1" t="s">
        <v>443</v>
      </c>
    </row>
    <row r="2" customFormat="false" ht="28.35" hidden="false" customHeight="false" outlineLevel="0" collapsed="false">
      <c r="A2" s="3" t="s">
        <v>309</v>
      </c>
      <c r="B2" s="3" t="s">
        <v>444</v>
      </c>
      <c r="C2" s="3" t="s">
        <v>445</v>
      </c>
      <c r="D2" s="3" t="s">
        <v>446</v>
      </c>
      <c r="E2" s="3" t="s">
        <v>447</v>
      </c>
      <c r="F2" s="3" t="s">
        <v>448</v>
      </c>
      <c r="G2" s="3" t="s">
        <v>449</v>
      </c>
      <c r="H2" s="3" t="s">
        <v>450</v>
      </c>
      <c r="I2" s="3" t="s">
        <v>451</v>
      </c>
      <c r="J2" s="3" t="s">
        <v>452</v>
      </c>
      <c r="K2" s="3" t="s">
        <v>453</v>
      </c>
      <c r="L2" s="3" t="s">
        <v>454</v>
      </c>
      <c r="M2" s="3" t="s">
        <v>455</v>
      </c>
      <c r="N2" s="3" t="s">
        <v>456</v>
      </c>
      <c r="O2" s="3" t="s">
        <v>457</v>
      </c>
      <c r="P2" s="3" t="s">
        <v>458</v>
      </c>
      <c r="Q2" s="3" t="s">
        <v>459</v>
      </c>
      <c r="R2" s="3" t="s">
        <v>460</v>
      </c>
      <c r="S2" s="3" t="s">
        <v>461</v>
      </c>
      <c r="T2" s="3" t="s">
        <v>462</v>
      </c>
      <c r="U2" s="3" t="s">
        <v>463</v>
      </c>
      <c r="V2" s="3" t="s">
        <v>464</v>
      </c>
      <c r="W2" s="3" t="s">
        <v>465</v>
      </c>
      <c r="X2" s="3" t="s">
        <v>466</v>
      </c>
      <c r="Y2" s="3" t="s">
        <v>467</v>
      </c>
      <c r="Z2" s="3" t="s">
        <v>468</v>
      </c>
      <c r="AA2" s="3" t="s">
        <v>469</v>
      </c>
      <c r="AB2" s="3" t="s">
        <v>244</v>
      </c>
      <c r="AC2" s="3" t="s">
        <v>295</v>
      </c>
      <c r="AD2" s="3" t="s">
        <v>470</v>
      </c>
      <c r="AE2" s="3" t="s">
        <v>471</v>
      </c>
      <c r="AF2" s="3" t="s">
        <v>472</v>
      </c>
      <c r="AG2" s="3" t="s">
        <v>473</v>
      </c>
      <c r="AH2" s="3" t="s">
        <v>474</v>
      </c>
      <c r="AI2" s="3" t="s">
        <v>123</v>
      </c>
      <c r="AJ2" s="3" t="s">
        <v>475</v>
      </c>
      <c r="AK2" s="3" t="s">
        <v>476</v>
      </c>
      <c r="AL2" s="3" t="s">
        <v>477</v>
      </c>
      <c r="AM2" s="3" t="s">
        <v>478</v>
      </c>
    </row>
    <row r="3" customFormat="false" ht="15" hidden="false" customHeight="false" outlineLevel="0" collapsed="false">
      <c r="A3" s="0" t="n">
        <v>2026</v>
      </c>
      <c r="B3" s="0" t="n">
        <v>0</v>
      </c>
      <c r="C3" s="0" t="n">
        <v>4832</v>
      </c>
      <c r="D3" s="0" t="n">
        <v>0</v>
      </c>
      <c r="E3" s="0" t="n">
        <v>0</v>
      </c>
      <c r="F3" s="0" t="n">
        <v>140880.58</v>
      </c>
      <c r="G3" s="0" t="n">
        <v>12275.74</v>
      </c>
      <c r="H3" s="0" t="n">
        <v>1590</v>
      </c>
      <c r="I3" s="0" t="n">
        <v>890</v>
      </c>
      <c r="J3" s="0" t="n">
        <v>1585</v>
      </c>
      <c r="K3" s="0" t="n">
        <v>4400.26</v>
      </c>
      <c r="L3" s="0" t="n">
        <v>383.42</v>
      </c>
      <c r="M3" s="0" t="n">
        <v>74.361</v>
      </c>
      <c r="N3" s="0" t="n">
        <v>3175</v>
      </c>
      <c r="O3" s="0" t="n">
        <v>890</v>
      </c>
      <c r="P3" s="0" t="n">
        <v>0</v>
      </c>
      <c r="Q3" s="0" t="n">
        <v>153156.32</v>
      </c>
      <c r="R3" s="0" t="n">
        <v>113279.391</v>
      </c>
      <c r="S3" s="0" t="n">
        <v>242.144</v>
      </c>
      <c r="T3" s="0" t="n">
        <v>220.947</v>
      </c>
      <c r="U3" s="0" t="n">
        <v>74.361</v>
      </c>
      <c r="V3" s="0" t="n">
        <v>483.521</v>
      </c>
      <c r="W3" s="0" t="n">
        <f aca="false">F3*x_c_F+G3*x_c_CC+H3*x_c_DC+I3*x_c_HCC+J3*x_c_PLT+K3*x_c_SVRn+L3*x_c_SVRcc+M3*x_c_LT</f>
        <v>647827582.955196</v>
      </c>
      <c r="X3" s="0" t="n">
        <f aca="false">C3*x_c_DAA</f>
        <v>109976320</v>
      </c>
      <c r="Y3" s="0" t="n">
        <f aca="false">C3*x_c_MON</f>
        <v>27857107.6100244</v>
      </c>
      <c r="Z3" s="0" t="n">
        <f aca="false">D3</f>
        <v>0</v>
      </c>
      <c r="AA3" s="0" t="n">
        <f aca="false">E3</f>
        <v>0</v>
      </c>
      <c r="AB3" s="0" t="n">
        <f aca="false">x_z_F*Q3+(1-x_AGRI)*x_EMP*x_WLOSS*(x_PEN_K74*N3+x_PEN_C22*O3)</f>
        <v>101786715.650587</v>
      </c>
      <c r="AC3" s="0" t="n">
        <f aca="false">x_AGRI*x_EMP*x_WLOSS*(x_PEN_K74*N3+x_PEN_C22*O3)</f>
        <v>6159786.11926482</v>
      </c>
      <c r="AD3" s="0" t="n">
        <f aca="false">x_EMP*x_WAGE*(x_WLOSS*(N3+O3)+P3)+Q3*x_absd*x_WAGE/365</f>
        <v>350648387.190612</v>
      </c>
      <c r="AE3" s="0" t="n">
        <f aca="false">AD3*x_R_FUS</f>
        <v>110945149.70711</v>
      </c>
      <c r="AF3" s="0" t="n">
        <f aca="false">AD3*x_R_NFZ</f>
        <v>27231704.3976101</v>
      </c>
      <c r="AG3" s="0" t="n">
        <f aca="false">AD3*x_R_PIT</f>
        <v>23312568.3324736</v>
      </c>
      <c r="AH3" s="0" t="n">
        <f aca="false">AD3*x_R_FP</f>
        <v>8941533.8733606</v>
      </c>
      <c r="AI3" s="0" t="n">
        <f aca="false">W3+X3+Y3+Z3</f>
        <v>785661010.565221</v>
      </c>
      <c r="AJ3" s="0" t="n">
        <f aca="false">AI3+AA3+AB3+AC3+AE3+AF3+AG3+AH3</f>
        <v>1064038468.64563</v>
      </c>
      <c r="AK3" s="0" t="n">
        <f aca="false">AI3+AA3+AD3</f>
        <v>1136309397.75583</v>
      </c>
      <c r="AL3" s="0" t="n">
        <f aca="false">X3+Y3+Z3</f>
        <v>137833427.610024</v>
      </c>
      <c r="AM3" s="0" t="n">
        <f aca="false">AL3+AA3</f>
        <v>137833427.610024</v>
      </c>
    </row>
    <row r="4" customFormat="false" ht="15" hidden="false" customHeight="false" outlineLevel="0" collapsed="false">
      <c r="A4" s="0" t="n">
        <v>2027</v>
      </c>
      <c r="B4" s="0" t="n">
        <v>1</v>
      </c>
      <c r="C4" s="0" t="n">
        <v>4832</v>
      </c>
      <c r="D4" s="0" t="n">
        <v>0</v>
      </c>
      <c r="E4" s="0" t="n">
        <v>0</v>
      </c>
      <c r="F4" s="0" t="n">
        <v>139369.727</v>
      </c>
      <c r="G4" s="0" t="n">
        <v>13250.291</v>
      </c>
      <c r="H4" s="0" t="n">
        <v>1552.952</v>
      </c>
      <c r="I4" s="0" t="n">
        <v>857.796</v>
      </c>
      <c r="J4" s="0" t="n">
        <v>1504.88</v>
      </c>
      <c r="K4" s="0" t="n">
        <v>8741.746</v>
      </c>
      <c r="L4" s="0" t="n">
        <v>793.395</v>
      </c>
      <c r="M4" s="0" t="n">
        <v>72.484</v>
      </c>
      <c r="N4" s="0" t="n">
        <v>3132.193</v>
      </c>
      <c r="O4" s="0" t="n">
        <v>857.796</v>
      </c>
      <c r="P4" s="0" t="n">
        <v>483.521</v>
      </c>
      <c r="Q4" s="0" t="n">
        <v>152620.018</v>
      </c>
      <c r="R4" s="0" t="n">
        <v>116274.732</v>
      </c>
      <c r="S4" s="0" t="n">
        <v>262.8</v>
      </c>
      <c r="T4" s="0" t="n">
        <v>236.665</v>
      </c>
      <c r="U4" s="0" t="n">
        <v>72.484</v>
      </c>
      <c r="V4" s="0" t="n">
        <v>480.259</v>
      </c>
      <c r="W4" s="0" t="n">
        <f aca="false">F4*x_c_F+G4*x_c_CC+H4*x_c_DC+I4*x_c_HCC+J4*x_c_PLT+K4*x_c_SVRn+L4*x_c_SVRcc+M4*x_c_LT</f>
        <v>646530276.303949</v>
      </c>
      <c r="X4" s="0" t="n">
        <f aca="false">C4*x_c_DAA</f>
        <v>109976320</v>
      </c>
      <c r="Y4" s="0" t="n">
        <f aca="false">C4*x_c_MON</f>
        <v>27857107.6100244</v>
      </c>
      <c r="Z4" s="0" t="n">
        <f aca="false">D4</f>
        <v>0</v>
      </c>
      <c r="AA4" s="0" t="n">
        <f aca="false">E4</f>
        <v>0</v>
      </c>
      <c r="AB4" s="0" t="n">
        <f aca="false">x_z_F*Q4+(1-x_AGRI)*x_EMP*x_WLOSS*(x_PEN_K74*N4+x_PEN_C22*O4)</f>
        <v>99989025.1296526</v>
      </c>
      <c r="AC4" s="0" t="n">
        <f aca="false">x_AGRI*x_EMP*x_WLOSS*(x_PEN_K74*N4+x_PEN_C22*O4)</f>
        <v>6042951.59261912</v>
      </c>
      <c r="AD4" s="0" t="n">
        <f aca="false">x_EMP*x_WAGE*(x_WLOSS*(N4+O4)+P4)+Q4*x_absd*x_WAGE/365</f>
        <v>385463917.699496</v>
      </c>
      <c r="AE4" s="0" t="n">
        <f aca="false">AD4*x_R_FUS</f>
        <v>121960783.560121</v>
      </c>
      <c r="AF4" s="0" t="n">
        <f aca="false">AD4*x_R_NFZ</f>
        <v>29935513.3124606</v>
      </c>
      <c r="AG4" s="0" t="n">
        <f aca="false">AD4*x_R_PIT</f>
        <v>25627250.1153346</v>
      </c>
      <c r="AH4" s="0" t="n">
        <f aca="false">AD4*x_R_FP</f>
        <v>9829329.90133716</v>
      </c>
      <c r="AI4" s="0" t="n">
        <f aca="false">W4+X4+Y4+Z4</f>
        <v>784363703.913973</v>
      </c>
      <c r="AJ4" s="0" t="n">
        <f aca="false">AI4+AA4+AB4+AC4+AE4+AF4+AG4+AH4</f>
        <v>1077748557.5255</v>
      </c>
      <c r="AK4" s="0" t="n">
        <f aca="false">AI4+AA4+AD4</f>
        <v>1169827621.61347</v>
      </c>
      <c r="AL4" s="0" t="n">
        <f aca="false">X4+Y4+Z4</f>
        <v>137833427.610024</v>
      </c>
      <c r="AM4" s="0" t="n">
        <f aca="false">AL4+AA4</f>
        <v>137833427.610024</v>
      </c>
    </row>
    <row r="5" customFormat="false" ht="15" hidden="false" customHeight="false" outlineLevel="0" collapsed="false">
      <c r="A5" s="0" t="n">
        <v>2028</v>
      </c>
      <c r="B5" s="0" t="n">
        <v>2</v>
      </c>
      <c r="C5" s="0" t="n">
        <v>4832</v>
      </c>
      <c r="D5" s="0" t="n">
        <v>0</v>
      </c>
      <c r="E5" s="0" t="n">
        <v>0</v>
      </c>
      <c r="F5" s="0" t="n">
        <v>137678.979</v>
      </c>
      <c r="G5" s="0" t="n">
        <v>14326.856</v>
      </c>
      <c r="H5" s="0" t="n">
        <v>1542.396</v>
      </c>
      <c r="I5" s="0" t="n">
        <v>850.149</v>
      </c>
      <c r="J5" s="0" t="n">
        <v>1488.7</v>
      </c>
      <c r="K5" s="0" t="n">
        <v>13017.545</v>
      </c>
      <c r="L5" s="0" t="n">
        <v>1232.811</v>
      </c>
      <c r="M5" s="0" t="n">
        <v>71.936</v>
      </c>
      <c r="N5" s="0" t="n">
        <v>3103.58</v>
      </c>
      <c r="O5" s="0" t="n">
        <v>850.149</v>
      </c>
      <c r="P5" s="0" t="n">
        <v>961.082</v>
      </c>
      <c r="Q5" s="0" t="n">
        <v>152005.835</v>
      </c>
      <c r="R5" s="0" t="n">
        <v>119196.293</v>
      </c>
      <c r="S5" s="0" t="n">
        <v>285.551</v>
      </c>
      <c r="T5" s="0" t="n">
        <v>254.605</v>
      </c>
      <c r="U5" s="0" t="n">
        <v>71.936</v>
      </c>
      <c r="V5" s="0" t="n">
        <v>475.734</v>
      </c>
      <c r="W5" s="0" t="n">
        <f aca="false">F5*x_c_F+G5*x_c_CC+H5*x_c_DC+I5*x_c_HCC+J5*x_c_PLT+K5*x_c_SVRn+L5*x_c_SVRcc+M5*x_c_LT</f>
        <v>649804094.828608</v>
      </c>
      <c r="X5" s="0" t="n">
        <f aca="false">C5*x_c_DAA</f>
        <v>109976320</v>
      </c>
      <c r="Y5" s="0" t="n">
        <f aca="false">C5*x_c_MON</f>
        <v>27857107.6100244</v>
      </c>
      <c r="Z5" s="0" t="n">
        <f aca="false">D5</f>
        <v>0</v>
      </c>
      <c r="AA5" s="0" t="n">
        <f aca="false">E5</f>
        <v>0</v>
      </c>
      <c r="AB5" s="0" t="n">
        <f aca="false">x_z_F*Q5+(1-x_AGRI)*x_EMP*x_WLOSS*(x_PEN_K74*N5+x_PEN_C22*O5)</f>
        <v>99124170.1318533</v>
      </c>
      <c r="AC5" s="0" t="n">
        <f aca="false">x_AGRI*x_EMP*x_WLOSS*(x_PEN_K74*N5+x_PEN_C22*O5)</f>
        <v>5988064.59696775</v>
      </c>
      <c r="AD5" s="0" t="n">
        <f aca="false">x_EMP*x_WAGE*(x_WLOSS*(N5+O5)+P5)+Q5*x_absd*x_WAGE/365</f>
        <v>423073158.132773</v>
      </c>
      <c r="AE5" s="0" t="n">
        <f aca="false">AD5*x_R_FUS</f>
        <v>133860347.233209</v>
      </c>
      <c r="AF5" s="0" t="n">
        <f aca="false">AD5*x_R_NFZ</f>
        <v>32856284.5337493</v>
      </c>
      <c r="AG5" s="0" t="n">
        <f aca="false">AD5*x_R_PIT</f>
        <v>28127669.3944815</v>
      </c>
      <c r="AH5" s="0" t="n">
        <f aca="false">AD5*x_R_FP</f>
        <v>10788365.5323857</v>
      </c>
      <c r="AI5" s="0" t="n">
        <f aca="false">W5+X5+Y5+Z5</f>
        <v>787637522.438632</v>
      </c>
      <c r="AJ5" s="0" t="n">
        <f aca="false">AI5+AA5+AB5+AC5+AE5+AF5+AG5+AH5</f>
        <v>1098382423.86128</v>
      </c>
      <c r="AK5" s="0" t="n">
        <f aca="false">AI5+AA5+AD5</f>
        <v>1210710680.57141</v>
      </c>
      <c r="AL5" s="0" t="n">
        <f aca="false">X5+Y5+Z5</f>
        <v>137833427.610024</v>
      </c>
      <c r="AM5" s="0" t="n">
        <f aca="false">AL5+AA5</f>
        <v>137833427.610024</v>
      </c>
    </row>
    <row r="6" customFormat="false" ht="15" hidden="false" customHeight="false" outlineLevel="0" collapsed="false">
      <c r="A6" s="0" t="n">
        <v>2029</v>
      </c>
      <c r="B6" s="0" t="n">
        <v>3</v>
      </c>
      <c r="C6" s="0" t="n">
        <v>4832</v>
      </c>
      <c r="D6" s="0" t="n">
        <v>0</v>
      </c>
      <c r="E6" s="0" t="n">
        <v>0</v>
      </c>
      <c r="F6" s="0" t="n">
        <v>135855.812</v>
      </c>
      <c r="G6" s="0" t="n">
        <v>15458.148</v>
      </c>
      <c r="H6" s="0" t="n">
        <v>1555.772</v>
      </c>
      <c r="I6" s="0" t="n">
        <v>862.297</v>
      </c>
      <c r="J6" s="0" t="n">
        <v>1471.03</v>
      </c>
      <c r="K6" s="0" t="n">
        <v>17222.368</v>
      </c>
      <c r="L6" s="0" t="n">
        <v>1703.062</v>
      </c>
      <c r="M6" s="0" t="n">
        <v>72.559</v>
      </c>
      <c r="N6" s="0" t="n">
        <v>3098.738</v>
      </c>
      <c r="O6" s="0" t="n">
        <v>862.297</v>
      </c>
      <c r="P6" s="0" t="n">
        <v>1430.944</v>
      </c>
      <c r="Q6" s="0" t="n">
        <v>151313.961</v>
      </c>
      <c r="R6" s="0" t="n">
        <v>122036.555</v>
      </c>
      <c r="S6" s="0" t="n">
        <v>309.447</v>
      </c>
      <c r="T6" s="0" t="n">
        <v>273.982</v>
      </c>
      <c r="U6" s="0" t="n">
        <v>72.559</v>
      </c>
      <c r="V6" s="0" t="n">
        <v>479.249</v>
      </c>
      <c r="W6" s="0" t="n">
        <f aca="false">F6*x_c_F+G6*x_c_CC+H6*x_c_DC+I6*x_c_HCC+J6*x_c_PLT+K6*x_c_SVRn+L6*x_c_SVRcc+M6*x_c_LT</f>
        <v>655054353.037606</v>
      </c>
      <c r="X6" s="0" t="n">
        <f aca="false">C6*x_c_DAA</f>
        <v>109976320</v>
      </c>
      <c r="Y6" s="0" t="n">
        <f aca="false">C6*x_c_MON</f>
        <v>27857107.6100244</v>
      </c>
      <c r="Z6" s="0" t="n">
        <f aca="false">D6</f>
        <v>0</v>
      </c>
      <c r="AA6" s="0" t="n">
        <f aca="false">E6</f>
        <v>0</v>
      </c>
      <c r="AB6" s="0" t="n">
        <f aca="false">x_z_F*Q6+(1-x_AGRI)*x_EMP*x_WLOSS*(x_PEN_K74*N6+x_PEN_C22*O6)</f>
        <v>99284878.6297939</v>
      </c>
      <c r="AC6" s="0" t="n">
        <f aca="false">x_AGRI*x_EMP*x_WLOSS*(x_PEN_K74*N6+x_PEN_C22*O6)</f>
        <v>6001253.56856813</v>
      </c>
      <c r="AD6" s="0" t="n">
        <f aca="false">x_EMP*x_WAGE*(x_WLOSS*(N6+O6)+P6)+Q6*x_absd*x_WAGE/365</f>
        <v>463738374.801663</v>
      </c>
      <c r="AE6" s="0" t="n">
        <f aca="false">AD6*x_R_FUS</f>
        <v>146726821.787246</v>
      </c>
      <c r="AF6" s="0" t="n">
        <f aca="false">AD6*x_R_NFZ</f>
        <v>36014385.9254719</v>
      </c>
      <c r="AG6" s="0" t="n">
        <f aca="false">AD6*x_R_PIT</f>
        <v>30831262.7289434</v>
      </c>
      <c r="AH6" s="0" t="n">
        <f aca="false">AD6*x_R_FP</f>
        <v>11825328.5574424</v>
      </c>
      <c r="AI6" s="0" t="n">
        <f aca="false">W6+X6+Y6+Z6</f>
        <v>792887780.647631</v>
      </c>
      <c r="AJ6" s="0" t="n">
        <f aca="false">AI6+AA6+AB6+AC6+AE6+AF6+AG6+AH6</f>
        <v>1123571711.8451</v>
      </c>
      <c r="AK6" s="0" t="n">
        <f aca="false">AI6+AA6+AD6</f>
        <v>1256626155.44929</v>
      </c>
      <c r="AL6" s="0" t="n">
        <f aca="false">X6+Y6+Z6</f>
        <v>137833427.610024</v>
      </c>
      <c r="AM6" s="0" t="n">
        <f aca="false">AL6+AA6</f>
        <v>137833427.610024</v>
      </c>
    </row>
    <row r="7" customFormat="false" ht="15" hidden="false" customHeight="false" outlineLevel="0" collapsed="false">
      <c r="A7" s="0" t="n">
        <v>2030</v>
      </c>
      <c r="B7" s="0" t="n">
        <v>4</v>
      </c>
      <c r="C7" s="0" t="n">
        <v>4832</v>
      </c>
      <c r="D7" s="0" t="n">
        <v>0</v>
      </c>
      <c r="E7" s="0" t="n">
        <v>0</v>
      </c>
      <c r="F7" s="0" t="n">
        <v>133932.626</v>
      </c>
      <c r="G7" s="0" t="n">
        <v>16603.212</v>
      </c>
      <c r="H7" s="0" t="n">
        <v>1589.884</v>
      </c>
      <c r="I7" s="0" t="n">
        <v>889.972</v>
      </c>
      <c r="J7" s="0" t="n">
        <v>1452.918</v>
      </c>
      <c r="K7" s="0" t="n">
        <v>21351.094</v>
      </c>
      <c r="L7" s="0" t="n">
        <v>2204.142</v>
      </c>
      <c r="M7" s="0" t="n">
        <v>74.184</v>
      </c>
      <c r="N7" s="0" t="n">
        <v>3115.361</v>
      </c>
      <c r="O7" s="0" t="n">
        <v>889.972</v>
      </c>
      <c r="P7" s="0" t="n">
        <v>1900.563</v>
      </c>
      <c r="Q7" s="0" t="n">
        <v>150535.839</v>
      </c>
      <c r="R7" s="0" t="n">
        <v>124789.485</v>
      </c>
      <c r="S7" s="0" t="n">
        <v>333.706</v>
      </c>
      <c r="T7" s="0" t="n">
        <v>294.127</v>
      </c>
      <c r="U7" s="0" t="n">
        <v>74.184</v>
      </c>
      <c r="V7" s="0" t="n">
        <v>489.354</v>
      </c>
      <c r="W7" s="0" t="n">
        <f aca="false">F7*x_c_F+G7*x_c_CC+H7*x_c_DC+I7*x_c_HCC+J7*x_c_PLT+K7*x_c_SVRn+L7*x_c_SVRcc+M7*x_c_LT</f>
        <v>661801289.632194</v>
      </c>
      <c r="X7" s="0" t="n">
        <f aca="false">C7*x_c_DAA</f>
        <v>109976320</v>
      </c>
      <c r="Y7" s="0" t="n">
        <f aca="false">C7*x_c_MON</f>
        <v>27857107.6100244</v>
      </c>
      <c r="Z7" s="0" t="n">
        <f aca="false">D7</f>
        <v>0</v>
      </c>
      <c r="AA7" s="0" t="n">
        <f aca="false">E7</f>
        <v>0</v>
      </c>
      <c r="AB7" s="0" t="n">
        <f aca="false">x_z_F*Q7+(1-x_AGRI)*x_EMP*x_WLOSS*(x_PEN_K74*N7+x_PEN_C22*O7)</f>
        <v>100311366.195891</v>
      </c>
      <c r="AC7" s="0" t="n">
        <f aca="false">x_AGRI*x_EMP*x_WLOSS*(x_PEN_K74*N7+x_PEN_C22*O7)</f>
        <v>6071988.80484974</v>
      </c>
      <c r="AD7" s="0" t="n">
        <f aca="false">x_EMP*x_WAGE*(x_WLOSS*(N7+O7)+P7)+Q7*x_absd*x_WAGE/365</f>
        <v>507534540.371461</v>
      </c>
      <c r="AE7" s="0" t="n">
        <f aca="false">AD7*x_R_FUS</f>
        <v>160583928.57353</v>
      </c>
      <c r="AF7" s="0" t="n">
        <f aca="false">AD7*x_R_NFZ</f>
        <v>39415639.939788</v>
      </c>
      <c r="AG7" s="0" t="n">
        <f aca="false">AD7*x_R_PIT</f>
        <v>33743014.6144332</v>
      </c>
      <c r="AH7" s="0" t="n">
        <f aca="false">AD7*x_R_FP</f>
        <v>12942130.7794722</v>
      </c>
      <c r="AI7" s="0" t="n">
        <f aca="false">W7+X7+Y7+Z7</f>
        <v>799634717.242218</v>
      </c>
      <c r="AJ7" s="0" t="n">
        <f aca="false">AI7+AA7+AB7+AC7+AE7+AF7+AG7+AH7</f>
        <v>1152702786.15018</v>
      </c>
      <c r="AK7" s="0" t="n">
        <f aca="false">AI7+AA7+AD7</f>
        <v>1307169257.61368</v>
      </c>
      <c r="AL7" s="0" t="n">
        <f aca="false">X7+Y7+Z7</f>
        <v>137833427.610024</v>
      </c>
      <c r="AM7" s="0" t="n">
        <f aca="false">AL7+AA7</f>
        <v>137833427.610024</v>
      </c>
    </row>
    <row r="8" customFormat="false" ht="15" hidden="false" customHeight="false" outlineLevel="0" collapsed="false">
      <c r="A8" s="0" t="n">
        <v>2031</v>
      </c>
      <c r="B8" s="0" t="n">
        <v>5</v>
      </c>
      <c r="C8" s="0" t="n">
        <v>4832</v>
      </c>
      <c r="D8" s="0" t="n">
        <v>0</v>
      </c>
      <c r="E8" s="0" t="n">
        <v>0</v>
      </c>
      <c r="F8" s="0" t="n">
        <v>131946.587</v>
      </c>
      <c r="G8" s="0" t="n">
        <v>17729.162</v>
      </c>
      <c r="H8" s="0" t="n">
        <v>1641.388</v>
      </c>
      <c r="I8" s="0" t="n">
        <v>929.484</v>
      </c>
      <c r="J8" s="0" t="n">
        <v>1435.346</v>
      </c>
      <c r="K8" s="0" t="n">
        <v>25400.547</v>
      </c>
      <c r="L8" s="0" t="n">
        <v>2735.059</v>
      </c>
      <c r="M8" s="0" t="n">
        <v>76.631</v>
      </c>
      <c r="N8" s="0" t="n">
        <v>3150.918</v>
      </c>
      <c r="O8" s="0" t="n">
        <v>929.484</v>
      </c>
      <c r="P8" s="0" t="n">
        <v>2375.929</v>
      </c>
      <c r="Q8" s="0" t="n">
        <v>149675.748</v>
      </c>
      <c r="R8" s="0" t="n">
        <v>127457.937</v>
      </c>
      <c r="S8" s="0" t="n">
        <v>357.656</v>
      </c>
      <c r="T8" s="0" t="n">
        <v>314.445</v>
      </c>
      <c r="U8" s="0" t="n">
        <v>76.631</v>
      </c>
      <c r="V8" s="0" t="n">
        <v>504.66</v>
      </c>
      <c r="W8" s="0" t="n">
        <f aca="false">F8*x_c_F+G8*x_c_CC+H8*x_c_DC+I8*x_c_HCC+J8*x_c_PLT+K8*x_c_SVRn+L8*x_c_SVRcc+M8*x_c_LT</f>
        <v>669649243.005463</v>
      </c>
      <c r="X8" s="0" t="n">
        <f aca="false">C8*x_c_DAA</f>
        <v>109976320</v>
      </c>
      <c r="Y8" s="0" t="n">
        <f aca="false">C8*x_c_MON</f>
        <v>27857107.6100244</v>
      </c>
      <c r="Z8" s="0" t="n">
        <f aca="false">D8</f>
        <v>0</v>
      </c>
      <c r="AA8" s="0" t="n">
        <f aca="false">E8</f>
        <v>0</v>
      </c>
      <c r="AB8" s="0" t="n">
        <f aca="false">x_z_F*Q8+(1-x_AGRI)*x_EMP*x_WLOSS*(x_PEN_K74*N8+x_PEN_C22*O8)</f>
        <v>102054182.46424</v>
      </c>
      <c r="AC8" s="0" t="n">
        <f aca="false">x_AGRI*x_EMP*x_WLOSS*(x_PEN_K74*N8+x_PEN_C22*O8)</f>
        <v>6190376.05082828</v>
      </c>
      <c r="AD8" s="0" t="n">
        <f aca="false">x_EMP*x_WAGE*(x_WLOSS*(N8+O8)+P8)+Q8*x_absd*x_WAGE/365</f>
        <v>554442073.225806</v>
      </c>
      <c r="AE8" s="0" t="n">
        <f aca="false">AD8*x_R_FUS</f>
        <v>175425471.968645</v>
      </c>
      <c r="AF8" s="0" t="n">
        <f aca="false">AD8*x_R_NFZ</f>
        <v>43058525.8487893</v>
      </c>
      <c r="AG8" s="0" t="n">
        <f aca="false">AD8*x_R_PIT</f>
        <v>36861623.1833648</v>
      </c>
      <c r="AH8" s="0" t="n">
        <f aca="false">AD8*x_R_FP</f>
        <v>14138272.8672581</v>
      </c>
      <c r="AI8" s="0" t="n">
        <f aca="false">W8+X8+Y8+Z8</f>
        <v>807482670.615488</v>
      </c>
      <c r="AJ8" s="0" t="n">
        <f aca="false">AI8+AA8+AB8+AC8+AE8+AF8+AG8+AH8</f>
        <v>1185211122.99861</v>
      </c>
      <c r="AK8" s="0" t="n">
        <f aca="false">AI8+AA8+AD8</f>
        <v>1361924743.84129</v>
      </c>
      <c r="AL8" s="0" t="n">
        <f aca="false">X8+Y8+Z8</f>
        <v>137833427.610024</v>
      </c>
      <c r="AM8" s="0" t="n">
        <f aca="false">AL8+AA8</f>
        <v>137833427.610024</v>
      </c>
    </row>
    <row r="9" customFormat="false" ht="15" hidden="false" customHeight="false" outlineLevel="0" collapsed="false">
      <c r="A9" s="0" t="n">
        <v>2032</v>
      </c>
      <c r="B9" s="0" t="n">
        <v>6</v>
      </c>
      <c r="C9" s="0" t="n">
        <v>4832</v>
      </c>
      <c r="D9" s="0" t="n">
        <v>0</v>
      </c>
      <c r="E9" s="0" t="n">
        <v>0</v>
      </c>
      <c r="F9" s="0" t="n">
        <v>129922.605</v>
      </c>
      <c r="G9" s="0" t="n">
        <v>18808.102</v>
      </c>
      <c r="H9" s="0" t="n">
        <v>1706.735</v>
      </c>
      <c r="I9" s="0" t="n">
        <v>977.535</v>
      </c>
      <c r="J9" s="0" t="n">
        <v>1419.009</v>
      </c>
      <c r="K9" s="0" t="n">
        <v>29367.122</v>
      </c>
      <c r="L9" s="0" t="n">
        <v>3293.752</v>
      </c>
      <c r="M9" s="0" t="n">
        <v>79.722</v>
      </c>
      <c r="N9" s="0" t="n">
        <v>3202.374</v>
      </c>
      <c r="O9" s="0" t="n">
        <v>977.535</v>
      </c>
      <c r="P9" s="0" t="n">
        <v>2861.415</v>
      </c>
      <c r="Q9" s="0" t="n">
        <v>148730.707</v>
      </c>
      <c r="R9" s="0" t="n">
        <v>130037.663</v>
      </c>
      <c r="S9" s="0" t="n">
        <v>380.749</v>
      </c>
      <c r="T9" s="0" t="n">
        <v>334.437</v>
      </c>
      <c r="U9" s="0" t="n">
        <v>79.722</v>
      </c>
      <c r="V9" s="0" t="n">
        <v>523.902</v>
      </c>
      <c r="W9" s="0" t="n">
        <f aca="false">F9*x_c_F+G9*x_c_CC+H9*x_c_DC+I9*x_c_HCC+J9*x_c_PLT+K9*x_c_SVRn+L9*x_c_SVRcc+M9*x_c_LT</f>
        <v>678202612.337134</v>
      </c>
      <c r="X9" s="0" t="n">
        <f aca="false">C9*x_c_DAA</f>
        <v>109976320</v>
      </c>
      <c r="Y9" s="0" t="n">
        <f aca="false">C9*x_c_MON</f>
        <v>27857107.6100244</v>
      </c>
      <c r="Z9" s="0" t="n">
        <f aca="false">D9</f>
        <v>0</v>
      </c>
      <c r="AA9" s="0" t="n">
        <f aca="false">E9</f>
        <v>0</v>
      </c>
      <c r="AB9" s="0" t="n">
        <f aca="false">x_z_F*Q9+(1-x_AGRI)*x_EMP*x_WLOSS*(x_PEN_K74*N9+x_PEN_C22*O9)</f>
        <v>104362167.295823</v>
      </c>
      <c r="AC9" s="0" t="n">
        <f aca="false">x_AGRI*x_EMP*x_WLOSS*(x_PEN_K74*N9+x_PEN_C22*O9)</f>
        <v>6346434.96915563</v>
      </c>
      <c r="AD9" s="0" t="n">
        <f aca="false">x_EMP*x_WAGE*(x_WLOSS*(N9+O9)+P9)+Q9*x_absd*x_WAGE/365</f>
        <v>604293783.692827</v>
      </c>
      <c r="AE9" s="0" t="n">
        <f aca="false">AD9*x_R_FUS</f>
        <v>191198553.160411</v>
      </c>
      <c r="AF9" s="0" t="n">
        <f aca="false">AD9*x_R_NFZ</f>
        <v>46930059.5353687</v>
      </c>
      <c r="AG9" s="0" t="n">
        <f aca="false">AD9*x_R_PIT</f>
        <v>40175972.9685283</v>
      </c>
      <c r="AH9" s="0" t="n">
        <f aca="false">AD9*x_R_FP</f>
        <v>15409491.4841671</v>
      </c>
      <c r="AI9" s="0" t="n">
        <f aca="false">W9+X9+Y9+Z9</f>
        <v>816036039.947158</v>
      </c>
      <c r="AJ9" s="0" t="n">
        <f aca="false">AI9+AA9+AB9+AC9+AE9+AF9+AG9+AH9</f>
        <v>1220458719.36061</v>
      </c>
      <c r="AK9" s="0" t="n">
        <f aca="false">AI9+AA9+AD9</f>
        <v>1420329823.63999</v>
      </c>
      <c r="AL9" s="0" t="n">
        <f aca="false">X9+Y9+Z9</f>
        <v>137833427.610024</v>
      </c>
      <c r="AM9" s="0" t="n">
        <f aca="false">AL9+AA9</f>
        <v>137833427.610024</v>
      </c>
    </row>
    <row r="10" customFormat="false" ht="15" hidden="false" customHeight="false" outlineLevel="0" collapsed="false">
      <c r="A10" s="0" t="n">
        <v>2033</v>
      </c>
      <c r="B10" s="0" t="n">
        <v>7</v>
      </c>
      <c r="C10" s="0" t="n">
        <v>4832</v>
      </c>
      <c r="D10" s="0" t="n">
        <v>0</v>
      </c>
      <c r="E10" s="0" t="n">
        <v>0</v>
      </c>
      <c r="F10" s="0" t="n">
        <v>127885.338</v>
      </c>
      <c r="G10" s="0" t="n">
        <v>19818.131</v>
      </c>
      <c r="H10" s="0" t="n">
        <v>1782.462</v>
      </c>
      <c r="I10" s="0" t="n">
        <v>1031.272</v>
      </c>
      <c r="J10" s="0" t="n">
        <v>1404.457</v>
      </c>
      <c r="K10" s="0" t="n">
        <v>33248.383</v>
      </c>
      <c r="L10" s="0" t="n">
        <v>3877.44</v>
      </c>
      <c r="M10" s="0" t="n">
        <v>83.283</v>
      </c>
      <c r="N10" s="0" t="n">
        <v>3266.642</v>
      </c>
      <c r="O10" s="0" t="n">
        <v>1031.272</v>
      </c>
      <c r="P10" s="0" t="n">
        <v>3360.051</v>
      </c>
      <c r="Q10" s="0" t="n">
        <v>147703.469</v>
      </c>
      <c r="R10" s="0" t="n">
        <v>132528.136</v>
      </c>
      <c r="S10" s="0" t="n">
        <v>402.526</v>
      </c>
      <c r="T10" s="0" t="n">
        <v>353.667</v>
      </c>
      <c r="U10" s="0" t="n">
        <v>83.283</v>
      </c>
      <c r="V10" s="0" t="n">
        <v>545.896</v>
      </c>
      <c r="W10" s="0" t="n">
        <f aca="false">F10*x_c_F+G10*x_c_CC+H10*x_c_DC+I10*x_c_HCC+J10*x_c_PLT+K10*x_c_SVRn+L10*x_c_SVRcc+M10*x_c_LT</f>
        <v>687122558.440703</v>
      </c>
      <c r="X10" s="0" t="n">
        <f aca="false">C10*x_c_DAA</f>
        <v>109976320</v>
      </c>
      <c r="Y10" s="0" t="n">
        <f aca="false">C10*x_c_MON</f>
        <v>27857107.6100244</v>
      </c>
      <c r="Z10" s="0" t="n">
        <f aca="false">D10</f>
        <v>0</v>
      </c>
      <c r="AA10" s="0" t="n">
        <f aca="false">E10</f>
        <v>0</v>
      </c>
      <c r="AB10" s="0" t="n">
        <f aca="false">x_z_F*Q10+(1-x_AGRI)*x_EMP*x_WLOSS*(x_PEN_K74*N10+x_PEN_C22*O10)</f>
        <v>107094582.436847</v>
      </c>
      <c r="AC10" s="0" t="n">
        <f aca="false">x_AGRI*x_EMP*x_WLOSS*(x_PEN_K74*N10+x_PEN_C22*O10)</f>
        <v>6530852.81930799</v>
      </c>
      <c r="AD10" s="0" t="n">
        <f aca="false">x_EMP*x_WAGE*(x_WLOSS*(N10+O10)+P10)+Q10*x_absd*x_WAGE/365</f>
        <v>656841636.804659</v>
      </c>
      <c r="AE10" s="0" t="n">
        <f aca="false">AD10*x_R_FUS</f>
        <v>207824693.884994</v>
      </c>
      <c r="AF10" s="0" t="n">
        <f aca="false">AD10*x_R_NFZ</f>
        <v>51010978.3558866</v>
      </c>
      <c r="AG10" s="0" t="n">
        <f aca="false">AD10*x_R_PIT</f>
        <v>43669573.5700004</v>
      </c>
      <c r="AH10" s="0" t="n">
        <f aca="false">AD10*x_R_FP</f>
        <v>16749461.7385188</v>
      </c>
      <c r="AI10" s="0" t="n">
        <f aca="false">W10+X10+Y10+Z10</f>
        <v>824955986.050727</v>
      </c>
      <c r="AJ10" s="0" t="n">
        <f aca="false">AI10+AA10+AB10+AC10+AE10+AF10+AG10+AH10</f>
        <v>1257836128.85628</v>
      </c>
      <c r="AK10" s="0" t="n">
        <f aca="false">AI10+AA10+AD10</f>
        <v>1481797622.85539</v>
      </c>
      <c r="AL10" s="0" t="n">
        <f aca="false">X10+Y10+Z10</f>
        <v>137833427.610024</v>
      </c>
      <c r="AM10" s="0" t="n">
        <f aca="false">AL10+AA10</f>
        <v>137833427.610024</v>
      </c>
    </row>
    <row r="11" customFormat="false" ht="15" hidden="false" customHeight="false" outlineLevel="0" collapsed="false">
      <c r="A11" s="0" t="n">
        <v>2034</v>
      </c>
      <c r="B11" s="0" t="n">
        <v>8</v>
      </c>
      <c r="C11" s="0" t="n">
        <v>4832</v>
      </c>
      <c r="D11" s="0" t="n">
        <v>0</v>
      </c>
      <c r="E11" s="0" t="n">
        <v>0</v>
      </c>
      <c r="F11" s="0" t="n">
        <v>125851.379</v>
      </c>
      <c r="G11" s="0" t="n">
        <v>20741.22</v>
      </c>
      <c r="H11" s="0" t="n">
        <v>1865.164</v>
      </c>
      <c r="I11" s="0" t="n">
        <v>1088.172</v>
      </c>
      <c r="J11" s="0" t="n">
        <v>1391.997</v>
      </c>
      <c r="K11" s="0" t="n">
        <v>37041.088</v>
      </c>
      <c r="L11" s="0" t="n">
        <v>4482.509</v>
      </c>
      <c r="M11" s="0" t="n">
        <v>87.149</v>
      </c>
      <c r="N11" s="0" t="n">
        <v>3340.444</v>
      </c>
      <c r="O11" s="0" t="n">
        <v>1088.172</v>
      </c>
      <c r="P11" s="0" t="n">
        <v>3873.388</v>
      </c>
      <c r="Q11" s="0" t="n">
        <v>146592.599</v>
      </c>
      <c r="R11" s="0" t="n">
        <v>134924.08</v>
      </c>
      <c r="S11" s="0" t="n">
        <v>422.631</v>
      </c>
      <c r="T11" s="0" t="n">
        <v>371.784</v>
      </c>
      <c r="U11" s="0" t="n">
        <v>87.149</v>
      </c>
      <c r="V11" s="0" t="n">
        <v>569.584</v>
      </c>
      <c r="W11" s="0" t="n">
        <f aca="false">F11*x_c_F+G11*x_c_CC+H11*x_c_DC+I11*x_c_HCC+J11*x_c_PLT+K11*x_c_SVRn+L11*x_c_SVRcc+M11*x_c_LT</f>
        <v>696081720.937197</v>
      </c>
      <c r="X11" s="0" t="n">
        <f aca="false">C11*x_c_DAA</f>
        <v>109976320</v>
      </c>
      <c r="Y11" s="0" t="n">
        <f aca="false">C11*x_c_MON</f>
        <v>27857107.6100244</v>
      </c>
      <c r="Z11" s="0" t="n">
        <f aca="false">D11</f>
        <v>0</v>
      </c>
      <c r="AA11" s="0" t="n">
        <f aca="false">E11</f>
        <v>0</v>
      </c>
      <c r="AB11" s="0" t="n">
        <f aca="false">x_z_F*Q11+(1-x_AGRI)*x_EMP*x_WLOSS*(x_PEN_K74*N11+x_PEN_C22*O11)</f>
        <v>110114551.245704</v>
      </c>
      <c r="AC11" s="0" t="n">
        <f aca="false">x_AGRI*x_EMP*x_WLOSS*(x_PEN_K74*N11+x_PEN_C22*O11)</f>
        <v>6734587.64094968</v>
      </c>
      <c r="AD11" s="0" t="n">
        <f aca="false">x_EMP*x_WAGE*(x_WLOSS*(N11+O11)+P11)+Q11*x_absd*x_WAGE/365</f>
        <v>711723237.394104</v>
      </c>
      <c r="AE11" s="0" t="n">
        <f aca="false">AD11*x_R_FUS</f>
        <v>225189232.311495</v>
      </c>
      <c r="AF11" s="0" t="n">
        <f aca="false">AD11*x_R_NFZ</f>
        <v>55273138.3392635</v>
      </c>
      <c r="AG11" s="0" t="n">
        <f aca="false">AD11*x_R_PIT</f>
        <v>47318331.4444847</v>
      </c>
      <c r="AH11" s="0" t="n">
        <f aca="false">AD11*x_R_FP</f>
        <v>18148942.5535497</v>
      </c>
      <c r="AI11" s="0" t="n">
        <f aca="false">W11+X11+Y11+Z11</f>
        <v>833915148.547222</v>
      </c>
      <c r="AJ11" s="0" t="n">
        <f aca="false">AI11+AA11+AB11+AC11+AE11+AF11+AG11+AH11</f>
        <v>1296693932.08267</v>
      </c>
      <c r="AK11" s="0" t="n">
        <f aca="false">AI11+AA11+AD11</f>
        <v>1545638385.94133</v>
      </c>
      <c r="AL11" s="0" t="n">
        <f aca="false">X11+Y11+Z11</f>
        <v>137833427.610024</v>
      </c>
      <c r="AM11" s="0" t="n">
        <f aca="false">AL11+AA11</f>
        <v>137833427.610024</v>
      </c>
    </row>
    <row r="12" customFormat="false" ht="15" hidden="false" customHeight="false" outlineLevel="0" collapsed="false">
      <c r="A12" s="0" t="n">
        <v>2035</v>
      </c>
      <c r="B12" s="0" t="n">
        <v>9</v>
      </c>
      <c r="C12" s="0" t="n">
        <v>4832</v>
      </c>
      <c r="D12" s="0" t="n">
        <v>0</v>
      </c>
      <c r="E12" s="0" t="n">
        <v>0</v>
      </c>
      <c r="F12" s="0" t="n">
        <v>123837.559</v>
      </c>
      <c r="G12" s="0" t="n">
        <v>21564.22</v>
      </c>
      <c r="H12" s="0" t="n">
        <v>1951.699</v>
      </c>
      <c r="I12" s="0" t="n">
        <v>1146.091</v>
      </c>
      <c r="J12" s="0" t="n">
        <v>1381.815</v>
      </c>
      <c r="K12" s="0" t="n">
        <v>40743.076</v>
      </c>
      <c r="L12" s="0" t="n">
        <v>5104.883</v>
      </c>
      <c r="M12" s="0" t="n">
        <v>91.164</v>
      </c>
      <c r="N12" s="0" t="n">
        <v>3420.662</v>
      </c>
      <c r="O12" s="0" t="n">
        <v>1146.091</v>
      </c>
      <c r="P12" s="0" t="n">
        <v>4401.838</v>
      </c>
      <c r="Q12" s="0" t="n">
        <v>145401.779</v>
      </c>
      <c r="R12" s="0" t="n">
        <v>137223.836</v>
      </c>
      <c r="S12" s="0" t="n">
        <v>440.77</v>
      </c>
      <c r="T12" s="0" t="n">
        <v>388.487</v>
      </c>
      <c r="U12" s="0" t="n">
        <v>91.164</v>
      </c>
      <c r="V12" s="0" t="n">
        <v>593.997</v>
      </c>
      <c r="W12" s="0" t="n">
        <f aca="false">F12*x_c_F+G12*x_c_CC+H12*x_c_DC+I12*x_c_HCC+J12*x_c_PLT+K12*x_c_SVRn+L12*x_c_SVRcc+M12*x_c_LT</f>
        <v>704807090.268043</v>
      </c>
      <c r="X12" s="0" t="n">
        <f aca="false">C12*x_c_DAA</f>
        <v>109976320</v>
      </c>
      <c r="Y12" s="0" t="n">
        <f aca="false">C12*x_c_MON</f>
        <v>27857107.6100244</v>
      </c>
      <c r="Z12" s="0" t="n">
        <f aca="false">D12</f>
        <v>0</v>
      </c>
      <c r="AA12" s="0" t="n">
        <f aca="false">E12</f>
        <v>0</v>
      </c>
      <c r="AB12" s="0" t="n">
        <f aca="false">x_z_F*Q12+(1-x_AGRI)*x_EMP*x_WLOSS*(x_PEN_K74*N12+x_PEN_C22*O12)</f>
        <v>113298633.845994</v>
      </c>
      <c r="AC12" s="0" t="n">
        <f aca="false">x_AGRI*x_EMP*x_WLOSS*(x_PEN_K74*N12+x_PEN_C22*O12)</f>
        <v>6949466.63706037</v>
      </c>
      <c r="AD12" s="0" t="n">
        <f aca="false">x_EMP*x_WAGE*(x_WLOSS*(N12+O12)+P12)+Q12*x_absd*x_WAGE/365</f>
        <v>768525169.795599</v>
      </c>
      <c r="AE12" s="0" t="n">
        <f aca="false">AD12*x_R_FUS</f>
        <v>243161363.723328</v>
      </c>
      <c r="AF12" s="0" t="n">
        <f aca="false">AD12*x_R_NFZ</f>
        <v>59684433.211496</v>
      </c>
      <c r="AG12" s="0" t="n">
        <f aca="false">AD12*x_R_PIT</f>
        <v>51094760.9930016</v>
      </c>
      <c r="AH12" s="0" t="n">
        <f aca="false">AD12*x_R_FP</f>
        <v>19597391.8297878</v>
      </c>
      <c r="AI12" s="0" t="n">
        <f aca="false">W12+X12+Y12+Z12</f>
        <v>842640517.878068</v>
      </c>
      <c r="AJ12" s="0" t="n">
        <f aca="false">AI12+AA12+AB12+AC12+AE12+AF12+AG12+AH12</f>
        <v>1336426568.11873</v>
      </c>
      <c r="AK12" s="0" t="n">
        <f aca="false">AI12+AA12+AD12</f>
        <v>1611165687.67367</v>
      </c>
      <c r="AL12" s="0" t="n">
        <f aca="false">X12+Y12+Z12</f>
        <v>137833427.610024</v>
      </c>
      <c r="AM12" s="0" t="n">
        <f aca="false">AL12+AA12</f>
        <v>137833427.610024</v>
      </c>
    </row>
    <row r="13" customFormat="false" ht="15" hidden="false" customHeight="false" outlineLevel="0" collapsed="false">
      <c r="A13" s="0" t="n">
        <v>2036</v>
      </c>
      <c r="B13" s="0" t="n">
        <v>10</v>
      </c>
      <c r="C13" s="0" t="n">
        <v>4832</v>
      </c>
      <c r="D13" s="0" t="n">
        <v>0</v>
      </c>
      <c r="E13" s="0" t="n">
        <v>0</v>
      </c>
      <c r="F13" s="0" t="n">
        <v>121854.461</v>
      </c>
      <c r="G13" s="0" t="n">
        <v>22276.706</v>
      </c>
      <c r="H13" s="0" t="n">
        <v>2039.09</v>
      </c>
      <c r="I13" s="0" t="n">
        <v>1203.145</v>
      </c>
      <c r="J13" s="0" t="n">
        <v>1373.878</v>
      </c>
      <c r="K13" s="0" t="n">
        <v>44351.034</v>
      </c>
      <c r="L13" s="0" t="n">
        <v>5739.784</v>
      </c>
      <c r="M13" s="0" t="n">
        <v>95.188</v>
      </c>
      <c r="N13" s="0" t="n">
        <v>3.373</v>
      </c>
      <c r="O13" s="0" t="n">
        <v>2.365</v>
      </c>
      <c r="P13" s="0" t="n">
        <v>0.868</v>
      </c>
      <c r="Q13" s="0" t="n">
        <v>144131.167</v>
      </c>
      <c r="R13" s="0" t="n">
        <v>139421.521</v>
      </c>
      <c r="S13" s="0" t="n">
        <v>456.728</v>
      </c>
      <c r="T13" s="0" t="n">
        <v>403.536</v>
      </c>
      <c r="U13" s="0" t="n">
        <v>95.188</v>
      </c>
      <c r="V13" s="0" t="n">
        <v>618.279</v>
      </c>
      <c r="W13" s="0" t="n">
        <f aca="false">F13*x_c_F+G13*x_c_CC+H13*x_c_DC+I13*x_c_HCC+J13*x_c_PLT+K13*x_c_SVRn+L13*x_c_SVRcc+M13*x_c_LT</f>
        <v>713037138.200627</v>
      </c>
      <c r="X13" s="0" t="n">
        <f aca="false">C13*x_c_DAA</f>
        <v>109976320</v>
      </c>
      <c r="Y13" s="0" t="n">
        <f aca="false">C13*x_c_MON</f>
        <v>27857107.6100244</v>
      </c>
      <c r="Z13" s="0" t="n">
        <f aca="false">D13</f>
        <v>0</v>
      </c>
      <c r="AA13" s="0" t="n">
        <f aca="false">E13</f>
        <v>0</v>
      </c>
      <c r="AB13" s="0" t="n">
        <f aca="false">x_z_F*Q13+(1-x_AGRI)*x_EMP*x_WLOSS*(x_PEN_K74*N13+x_PEN_C22*O13)</f>
        <v>8223536.08209854</v>
      </c>
      <c r="AC13" s="0" t="n">
        <f aca="false">x_AGRI*x_EMP*x_WLOSS*(x_PEN_K74*N13+x_PEN_C22*O13)</f>
        <v>8917.5396243815</v>
      </c>
      <c r="AD13" s="0" t="n">
        <f aca="false">x_EMP*x_WAGE*(x_WLOSS*(N13+O13)+P13)+Q13*x_absd*x_WAGE/365</f>
        <v>4388212.54875313</v>
      </c>
      <c r="AE13" s="0" t="n">
        <f aca="false">AD13*x_R_FUS</f>
        <v>1388430.45042549</v>
      </c>
      <c r="AF13" s="0" t="n">
        <f aca="false">AD13*x_R_NFZ</f>
        <v>340792.974748717</v>
      </c>
      <c r="AG13" s="0" t="n">
        <f aca="false">AD13*x_R_PIT</f>
        <v>291746.685960415</v>
      </c>
      <c r="AH13" s="0" t="n">
        <f aca="false">AD13*x_R_FP</f>
        <v>111899.419993205</v>
      </c>
      <c r="AI13" s="0" t="n">
        <f aca="false">W13+X13+Y13+Z13</f>
        <v>850870565.810651</v>
      </c>
      <c r="AJ13" s="0" t="n">
        <f aca="false">AI13+AA13+AB13+AC13+AE13+AF13+AG13+AH13</f>
        <v>861235888.963502</v>
      </c>
      <c r="AK13" s="0" t="n">
        <f aca="false">AI13+AA13+AD13</f>
        <v>855258778.359404</v>
      </c>
      <c r="AL13" s="0" t="n">
        <f aca="false">X13+Y13+Z13</f>
        <v>137833427.610024</v>
      </c>
      <c r="AM13" s="0" t="n">
        <f aca="false">AL13+AA13</f>
        <v>137833427.610024</v>
      </c>
    </row>
    <row r="14" customFormat="false" ht="15" hidden="false" customHeight="false" outlineLevel="0" collapsed="false">
      <c r="A14" s="0" t="n">
        <v>2037</v>
      </c>
      <c r="B14" s="0" t="n">
        <v>11</v>
      </c>
      <c r="C14" s="0" t="n">
        <v>4832</v>
      </c>
      <c r="D14" s="0" t="n">
        <v>0</v>
      </c>
      <c r="E14" s="0" t="n">
        <v>0</v>
      </c>
      <c r="F14" s="0" t="n">
        <v>119912.083</v>
      </c>
      <c r="G14" s="0" t="n">
        <v>22871.788</v>
      </c>
      <c r="H14" s="0" t="n">
        <v>2124.671</v>
      </c>
      <c r="I14" s="0" t="n">
        <v>1257.755</v>
      </c>
      <c r="J14" s="0" t="n">
        <v>1368.04</v>
      </c>
      <c r="K14" s="0" t="n">
        <v>47862.165</v>
      </c>
      <c r="L14" s="0" t="n">
        <v>6382.065</v>
      </c>
      <c r="M14" s="0" t="n">
        <v>99.097</v>
      </c>
      <c r="N14" s="0" t="n">
        <v>6.043</v>
      </c>
      <c r="O14" s="0" t="n">
        <v>4.164</v>
      </c>
      <c r="P14" s="0" t="n">
        <v>1.875</v>
      </c>
      <c r="Q14" s="0" t="n">
        <v>142783.871</v>
      </c>
      <c r="R14" s="0" t="n">
        <v>141513.152</v>
      </c>
      <c r="S14" s="0" t="n">
        <v>470.364</v>
      </c>
      <c r="T14" s="0" t="n">
        <v>416.759</v>
      </c>
      <c r="U14" s="0" t="n">
        <v>99.097</v>
      </c>
      <c r="V14" s="0" t="n">
        <v>641.697</v>
      </c>
      <c r="W14" s="0" t="n">
        <f aca="false">F14*x_c_F+G14*x_c_CC+H14*x_c_DC+I14*x_c_HCC+J14*x_c_PLT+K14*x_c_SVRn+L14*x_c_SVRcc+M14*x_c_LT</f>
        <v>720553743.791566</v>
      </c>
      <c r="X14" s="0" t="n">
        <f aca="false">C14*x_c_DAA</f>
        <v>109976320</v>
      </c>
      <c r="Y14" s="0" t="n">
        <f aca="false">C14*x_c_MON</f>
        <v>27857107.6100244</v>
      </c>
      <c r="Z14" s="0" t="n">
        <f aca="false">D14</f>
        <v>0</v>
      </c>
      <c r="AA14" s="0" t="n">
        <f aca="false">E14</f>
        <v>0</v>
      </c>
      <c r="AB14" s="0" t="n">
        <f aca="false">x_z_F*Q14+(1-x_AGRI)*x_EMP*x_WLOSS*(x_PEN_K74*N14+x_PEN_C22*O14)</f>
        <v>8252872.09230978</v>
      </c>
      <c r="AC14" s="0" t="n">
        <f aca="false">x_AGRI*x_EMP*x_WLOSS*(x_PEN_K74*N14+x_PEN_C22*O14)</f>
        <v>15854.2745475926</v>
      </c>
      <c r="AD14" s="0" t="n">
        <f aca="false">x_EMP*x_WAGE*(x_WLOSS*(N14+O14)+P14)+Q14*x_absd*x_WAGE/365</f>
        <v>4819344.18424</v>
      </c>
      <c r="AE14" s="0" t="n">
        <f aca="false">AD14*x_R_FUS</f>
        <v>1524840.49989354</v>
      </c>
      <c r="AF14" s="0" t="n">
        <f aca="false">AD14*x_R_NFZ</f>
        <v>374275.088692263</v>
      </c>
      <c r="AG14" s="0" t="n">
        <f aca="false">AD14*x_R_PIT</f>
        <v>320410.116564233</v>
      </c>
      <c r="AH14" s="0" t="n">
        <f aca="false">AD14*x_R_FP</f>
        <v>122893.27669812</v>
      </c>
      <c r="AI14" s="0" t="n">
        <f aca="false">W14+X14+Y14+Z14</f>
        <v>858387171.401591</v>
      </c>
      <c r="AJ14" s="0" t="n">
        <f aca="false">AI14+AA14+AB14+AC14+AE14+AF14+AG14+AH14</f>
        <v>868998316.750296</v>
      </c>
      <c r="AK14" s="0" t="n">
        <f aca="false">AI14+AA14+AD14</f>
        <v>863206515.585831</v>
      </c>
      <c r="AL14" s="0" t="n">
        <f aca="false">X14+Y14+Z14</f>
        <v>137833427.610024</v>
      </c>
      <c r="AM14" s="0" t="n">
        <f aca="false">AL14+AA14</f>
        <v>137833427.610024</v>
      </c>
    </row>
    <row r="15" customFormat="false" ht="15" hidden="false" customHeight="false" outlineLevel="0" collapsed="false">
      <c r="A15" s="0" t="n">
        <v>2038</v>
      </c>
      <c r="B15" s="0" t="n">
        <v>12</v>
      </c>
      <c r="C15" s="0" t="n">
        <v>4832</v>
      </c>
      <c r="D15" s="0" t="n">
        <v>0</v>
      </c>
      <c r="E15" s="0" t="n">
        <v>0</v>
      </c>
      <c r="F15" s="0" t="n">
        <v>118020.275</v>
      </c>
      <c r="G15" s="0" t="n">
        <v>23346.046</v>
      </c>
      <c r="H15" s="0" t="n">
        <v>2206.139</v>
      </c>
      <c r="I15" s="0" t="n">
        <v>1308.637</v>
      </c>
      <c r="J15" s="0" t="n">
        <v>1364.07</v>
      </c>
      <c r="K15" s="0" t="n">
        <v>51274.65</v>
      </c>
      <c r="L15" s="0" t="n">
        <v>7026.394</v>
      </c>
      <c r="M15" s="0" t="n">
        <v>102.785</v>
      </c>
      <c r="N15" s="0" t="n">
        <v>10.059</v>
      </c>
      <c r="O15" s="0" t="n">
        <v>6.812</v>
      </c>
      <c r="P15" s="0" t="n">
        <v>3.658</v>
      </c>
      <c r="Q15" s="0" t="n">
        <v>141366.321</v>
      </c>
      <c r="R15" s="0" t="n">
        <v>143497.44</v>
      </c>
      <c r="S15" s="0" t="n">
        <v>481.601</v>
      </c>
      <c r="T15" s="0" t="n">
        <v>428.042</v>
      </c>
      <c r="U15" s="0" t="n">
        <v>102.785</v>
      </c>
      <c r="V15" s="0" t="n">
        <v>663.636</v>
      </c>
      <c r="W15" s="0" t="n">
        <f aca="false">F15*x_c_F+G15*x_c_CC+H15*x_c_DC+I15*x_c_HCC+J15*x_c_PLT+K15*x_c_SVRn+L15*x_c_SVRcc+M15*x_c_LT</f>
        <v>727185808.097472</v>
      </c>
      <c r="X15" s="0" t="n">
        <f aca="false">C15*x_c_DAA</f>
        <v>109976320</v>
      </c>
      <c r="Y15" s="0" t="n">
        <f aca="false">C15*x_c_MON</f>
        <v>27857107.6100244</v>
      </c>
      <c r="Z15" s="0" t="n">
        <f aca="false">D15</f>
        <v>0</v>
      </c>
      <c r="AA15" s="0" t="n">
        <f aca="false">E15</f>
        <v>0</v>
      </c>
      <c r="AB15" s="0" t="n">
        <f aca="false">x_z_F*Q15+(1-x_AGRI)*x_EMP*x_WLOSS*(x_PEN_K74*N15+x_PEN_C22*O15)</f>
        <v>8329705.81231138</v>
      </c>
      <c r="AC15" s="0" t="n">
        <f aca="false">x_AGRI*x_EMP*x_WLOSS*(x_PEN_K74*N15+x_PEN_C22*O15)</f>
        <v>26191.1182319817</v>
      </c>
      <c r="AD15" s="0" t="n">
        <f aca="false">x_EMP*x_WAGE*(x_WLOSS*(N15+O15)+P15)+Q15*x_absd*x_WAGE/365</f>
        <v>5501920.32247196</v>
      </c>
      <c r="AE15" s="0" t="n">
        <f aca="false">AD15*x_R_FUS</f>
        <v>1740807.59003013</v>
      </c>
      <c r="AF15" s="0" t="n">
        <f aca="false">AD15*x_R_NFZ</f>
        <v>427284.634163495</v>
      </c>
      <c r="AG15" s="0" t="n">
        <f aca="false">AD15*x_R_PIT</f>
        <v>365790.627200942</v>
      </c>
      <c r="AH15" s="0" t="n">
        <f aca="false">AD15*x_R_FP</f>
        <v>140298.968223035</v>
      </c>
      <c r="AI15" s="0" t="n">
        <f aca="false">W15+X15+Y15+Z15</f>
        <v>865019235.707497</v>
      </c>
      <c r="AJ15" s="0" t="n">
        <f aca="false">AI15+AA15+AB15+AC15+AE15+AF15+AG15+AH15</f>
        <v>876049314.457658</v>
      </c>
      <c r="AK15" s="0" t="n">
        <f aca="false">AI15+AA15+AD15</f>
        <v>870521156.029969</v>
      </c>
      <c r="AL15" s="0" t="n">
        <f aca="false">X15+Y15+Z15</f>
        <v>137833427.610024</v>
      </c>
      <c r="AM15" s="0" t="n">
        <f aca="false">AL15+AA15</f>
        <v>137833427.610024</v>
      </c>
    </row>
    <row r="16" customFormat="false" ht="15" hidden="false" customHeight="false" outlineLevel="0" collapsed="false">
      <c r="A16" s="0" t="n">
        <v>2039</v>
      </c>
      <c r="B16" s="0" t="n">
        <v>13</v>
      </c>
      <c r="C16" s="0" t="n">
        <v>4832</v>
      </c>
      <c r="D16" s="0" t="n">
        <v>0</v>
      </c>
      <c r="E16" s="0" t="n">
        <v>0</v>
      </c>
      <c r="F16" s="0" t="n">
        <v>116187.866</v>
      </c>
      <c r="G16" s="0" t="n">
        <v>23699.018</v>
      </c>
      <c r="H16" s="0" t="n">
        <v>2281.547</v>
      </c>
      <c r="I16" s="0" t="n">
        <v>1354.778</v>
      </c>
      <c r="J16" s="0" t="n">
        <v>1361.659</v>
      </c>
      <c r="K16" s="0" t="n">
        <v>54587.485</v>
      </c>
      <c r="L16" s="0" t="n">
        <v>7667.336</v>
      </c>
      <c r="M16" s="0" t="n">
        <v>106.168</v>
      </c>
      <c r="N16" s="0" t="n">
        <v>15.78</v>
      </c>
      <c r="O16" s="0" t="n">
        <v>10.508</v>
      </c>
      <c r="P16" s="0" t="n">
        <v>6.589</v>
      </c>
      <c r="Q16" s="0" t="n">
        <v>139886.884</v>
      </c>
      <c r="R16" s="0" t="n">
        <v>145374.796</v>
      </c>
      <c r="S16" s="0" t="n">
        <v>490.443</v>
      </c>
      <c r="T16" s="0" t="n">
        <v>437.34</v>
      </c>
      <c r="U16" s="0" t="n">
        <v>106.168</v>
      </c>
      <c r="V16" s="0" t="n">
        <v>683.623</v>
      </c>
      <c r="W16" s="0" t="n">
        <f aca="false">F16*x_c_F+G16*x_c_CC+H16*x_c_DC+I16*x_c_HCC+J16*x_c_PLT+K16*x_c_SVRn+L16*x_c_SVRcc+M16*x_c_LT</f>
        <v>732803980.046034</v>
      </c>
      <c r="X16" s="0" t="n">
        <f aca="false">C16*x_c_DAA</f>
        <v>109976320</v>
      </c>
      <c r="Y16" s="0" t="n">
        <f aca="false">C16*x_c_MON</f>
        <v>27857107.6100244</v>
      </c>
      <c r="Z16" s="0" t="n">
        <f aca="false">D16</f>
        <v>0</v>
      </c>
      <c r="AA16" s="0" t="n">
        <f aca="false">E16</f>
        <v>0</v>
      </c>
      <c r="AB16" s="0" t="n">
        <f aca="false">x_z_F*Q16+(1-x_AGRI)*x_EMP*x_WLOSS*(x_PEN_K74*N16+x_PEN_C22*O16)</f>
        <v>8467532.54281269</v>
      </c>
      <c r="AC16" s="0" t="n">
        <f aca="false">x_AGRI*x_EMP*x_WLOSS*(x_PEN_K74*N16+x_PEN_C22*O16)</f>
        <v>40789.0474760576</v>
      </c>
      <c r="AD16" s="0" t="n">
        <f aca="false">x_EMP*x_WAGE*(x_WLOSS*(N16+O16)+P16)+Q16*x_absd*x_WAGE/365</f>
        <v>6515455.26478991</v>
      </c>
      <c r="AE16" s="0" t="n">
        <f aca="false">AD16*x_R_FUS</f>
        <v>2061490.04577953</v>
      </c>
      <c r="AF16" s="0" t="n">
        <f aca="false">AD16*x_R_NFZ</f>
        <v>505996.771318849</v>
      </c>
      <c r="AG16" s="0" t="n">
        <f aca="false">AD16*x_R_PIT</f>
        <v>433174.660504061</v>
      </c>
      <c r="AH16" s="0" t="n">
        <f aca="false">AD16*x_R_FP</f>
        <v>166144.109252143</v>
      </c>
      <c r="AI16" s="0" t="n">
        <f aca="false">W16+X16+Y16+Z16</f>
        <v>870637407.656058</v>
      </c>
      <c r="AJ16" s="0" t="n">
        <f aca="false">AI16+AA16+AB16+AC16+AE16+AF16+AG16+AH16</f>
        <v>882312534.833201</v>
      </c>
      <c r="AK16" s="0" t="n">
        <f aca="false">AI16+AA16+AD16</f>
        <v>877152862.920848</v>
      </c>
      <c r="AL16" s="0" t="n">
        <f aca="false">X16+Y16+Z16</f>
        <v>137833427.610024</v>
      </c>
      <c r="AM16" s="0" t="n">
        <f aca="false">AL16+AA16</f>
        <v>137833427.610024</v>
      </c>
    </row>
    <row r="17" customFormat="false" ht="15" hidden="false" customHeight="false" outlineLevel="0" collapsed="false">
      <c r="A17" s="0" t="n">
        <v>2040</v>
      </c>
      <c r="B17" s="0" t="n">
        <v>14</v>
      </c>
      <c r="C17" s="0" t="n">
        <v>4832</v>
      </c>
      <c r="D17" s="0" t="n">
        <v>0</v>
      </c>
      <c r="E17" s="0" t="n">
        <v>0</v>
      </c>
      <c r="F17" s="0" t="n">
        <v>114424.786</v>
      </c>
      <c r="G17" s="0" t="n">
        <v>23933.858</v>
      </c>
      <c r="H17" s="0" t="n">
        <v>2349.415</v>
      </c>
      <c r="I17" s="0" t="n">
        <v>1395.469</v>
      </c>
      <c r="J17" s="0" t="n">
        <v>1360.495</v>
      </c>
      <c r="K17" s="0" t="n">
        <v>57802.112</v>
      </c>
      <c r="L17" s="0" t="n">
        <v>8299.798</v>
      </c>
      <c r="M17" s="0" t="n">
        <v>109.181</v>
      </c>
      <c r="N17" s="0" t="n">
        <v>23.584</v>
      </c>
      <c r="O17" s="0" t="n">
        <v>15.447</v>
      </c>
      <c r="P17" s="0" t="n">
        <v>11.133</v>
      </c>
      <c r="Q17" s="0" t="n">
        <v>138358.643</v>
      </c>
      <c r="R17" s="0" t="n">
        <v>147150.852</v>
      </c>
      <c r="S17" s="0" t="n">
        <v>496.938</v>
      </c>
      <c r="T17" s="0" t="n">
        <v>444.65</v>
      </c>
      <c r="U17" s="0" t="n">
        <v>109.181</v>
      </c>
      <c r="V17" s="0" t="n">
        <v>701.288</v>
      </c>
      <c r="W17" s="0" t="n">
        <f aca="false">F17*x_c_F+G17*x_c_CC+H17*x_c_DC+I17*x_c_HCC+J17*x_c_PLT+K17*x_c_SVRn+L17*x_c_SVRcc+M17*x_c_LT</f>
        <v>737338154.894752</v>
      </c>
      <c r="X17" s="0" t="n">
        <f aca="false">C17*x_c_DAA</f>
        <v>109976320</v>
      </c>
      <c r="Y17" s="0" t="n">
        <f aca="false">C17*x_c_MON</f>
        <v>27857107.6100244</v>
      </c>
      <c r="Z17" s="0" t="n">
        <f aca="false">D17</f>
        <v>0</v>
      </c>
      <c r="AA17" s="0" t="n">
        <f aca="false">E17</f>
        <v>0</v>
      </c>
      <c r="AB17" s="0" t="n">
        <f aca="false">x_z_F*Q17+(1-x_AGRI)*x_EMP*x_WLOSS*(x_PEN_K74*N17+x_PEN_C22*O17)</f>
        <v>8680433.99874055</v>
      </c>
      <c r="AC17" s="0" t="n">
        <f aca="false">x_AGRI*x_EMP*x_WLOSS*(x_PEN_K74*N17+x_PEN_C22*O17)</f>
        <v>60530.3063283182</v>
      </c>
      <c r="AD17" s="0" t="n">
        <f aca="false">x_EMP*x_WAGE*(x_WLOSS*(N17+O17)+P17)+Q17*x_absd*x_WAGE/365</f>
        <v>7948796.59966683</v>
      </c>
      <c r="AE17" s="0" t="n">
        <f aca="false">AD17*x_R_FUS</f>
        <v>2514999.24413459</v>
      </c>
      <c r="AF17" s="0" t="n">
        <f aca="false">AD17*x_R_NFZ</f>
        <v>617311.492726726</v>
      </c>
      <c r="AG17" s="0" t="n">
        <f aca="false">AD17*x_R_PIT</f>
        <v>528469.174991341</v>
      </c>
      <c r="AH17" s="0" t="n">
        <f aca="false">AD17*x_R_FP</f>
        <v>202694.313291504</v>
      </c>
      <c r="AI17" s="0" t="n">
        <f aca="false">W17+X17+Y17+Z17</f>
        <v>875171582.504776</v>
      </c>
      <c r="AJ17" s="0" t="n">
        <f aca="false">AI17+AA17+AB17+AC17+AE17+AF17+AG17+AH17</f>
        <v>887776021.034989</v>
      </c>
      <c r="AK17" s="0" t="n">
        <f aca="false">AI17+AA17+AD17</f>
        <v>883120379.104443</v>
      </c>
      <c r="AL17" s="0" t="n">
        <f aca="false">X17+Y17+Z17</f>
        <v>137833427.610024</v>
      </c>
      <c r="AM17" s="0" t="n">
        <f aca="false">AL17+AA17</f>
        <v>137833427.610024</v>
      </c>
    </row>
    <row r="18" customFormat="false" ht="15" hidden="false" customHeight="false" outlineLevel="0" collapsed="false">
      <c r="A18" s="0" t="n">
        <v>2041</v>
      </c>
      <c r="B18" s="0" t="n">
        <v>15</v>
      </c>
      <c r="C18" s="0" t="n">
        <v>4832</v>
      </c>
      <c r="D18" s="0" t="n">
        <v>0</v>
      </c>
      <c r="E18" s="0" t="n">
        <v>0</v>
      </c>
      <c r="F18" s="0" t="n">
        <v>112738.13</v>
      </c>
      <c r="G18" s="0" t="n">
        <v>24055.587</v>
      </c>
      <c r="H18" s="0" t="n">
        <v>2408.589</v>
      </c>
      <c r="I18" s="0" t="n">
        <v>1430.217</v>
      </c>
      <c r="J18" s="0" t="n">
        <v>1360.201</v>
      </c>
      <c r="K18" s="0" t="n">
        <v>60920.245</v>
      </c>
      <c r="L18" s="0" t="n">
        <v>8918.739</v>
      </c>
      <c r="M18" s="0" t="n">
        <v>111.768</v>
      </c>
      <c r="N18" s="0" t="n">
        <v>33.847</v>
      </c>
      <c r="O18" s="0" t="n">
        <v>21.814</v>
      </c>
      <c r="P18" s="0" t="n">
        <v>17.844</v>
      </c>
      <c r="Q18" s="0" t="n">
        <v>136793.717</v>
      </c>
      <c r="R18" s="0" t="n">
        <v>148830.69</v>
      </c>
      <c r="S18" s="0" t="n">
        <v>501.159</v>
      </c>
      <c r="T18" s="0" t="n">
        <v>449.998</v>
      </c>
      <c r="U18" s="0" t="n">
        <v>111.768</v>
      </c>
      <c r="V18" s="0" t="n">
        <v>716.335</v>
      </c>
      <c r="W18" s="0" t="n">
        <f aca="false">F18*x_c_F+G18*x_c_CC+H18*x_c_DC+I18*x_c_HCC+J18*x_c_PLT+K18*x_c_SVRn+L18*x_c_SVRcc+M18*x_c_LT</f>
        <v>740740745.636588</v>
      </c>
      <c r="X18" s="0" t="n">
        <f aca="false">C18*x_c_DAA</f>
        <v>109976320</v>
      </c>
      <c r="Y18" s="0" t="n">
        <f aca="false">C18*x_c_MON</f>
        <v>27857107.6100244</v>
      </c>
      <c r="Z18" s="0" t="n">
        <f aca="false">D18</f>
        <v>0</v>
      </c>
      <c r="AA18" s="0" t="n">
        <f aca="false">E18</f>
        <v>0</v>
      </c>
      <c r="AB18" s="0" t="n">
        <f aca="false">x_z_F*Q18+(1-x_AGRI)*x_EMP*x_WLOSS*(x_PEN_K74*N18+x_PEN_C22*O18)</f>
        <v>8982140.29453414</v>
      </c>
      <c r="AC18" s="0" t="n">
        <f aca="false">x_AGRI*x_EMP*x_WLOSS*(x_PEN_K74*N18+x_PEN_C22*O18)</f>
        <v>86277.4745964831</v>
      </c>
      <c r="AD18" s="0" t="n">
        <f aca="false">x_EMP*x_WAGE*(x_WLOSS*(N18+O18)+P18)+Q18*x_absd*x_WAGE/365</f>
        <v>9897331.39052393</v>
      </c>
      <c r="AE18" s="0" t="n">
        <f aca="false">AD18*x_R_FUS</f>
        <v>3131515.65196177</v>
      </c>
      <c r="AF18" s="0" t="n">
        <f aca="false">AD18*x_R_NFZ</f>
        <v>768636.653119479</v>
      </c>
      <c r="AG18" s="0" t="n">
        <f aca="false">AD18*x_R_PIT</f>
        <v>658015.900769848</v>
      </c>
      <c r="AH18" s="0" t="n">
        <f aca="false">AD18*x_R_FP</f>
        <v>252381.95045836</v>
      </c>
      <c r="AI18" s="0" t="n">
        <f aca="false">W18+X18+Y18+Z18</f>
        <v>878574173.246612</v>
      </c>
      <c r="AJ18" s="0" t="n">
        <f aca="false">AI18+AA18+AB18+AC18+AE18+AF18+AG18+AH18</f>
        <v>892453141.172052</v>
      </c>
      <c r="AK18" s="0" t="n">
        <f aca="false">AI18+AA18+AD18</f>
        <v>888471504.637136</v>
      </c>
      <c r="AL18" s="0" t="n">
        <f aca="false">X18+Y18+Z18</f>
        <v>137833427.610024</v>
      </c>
      <c r="AM18" s="0" t="n">
        <f aca="false">AL18+AA18</f>
        <v>137833427.610024</v>
      </c>
    </row>
    <row r="19" customFormat="false" ht="15" hidden="false" customHeight="false" outlineLevel="0" collapsed="false">
      <c r="A19" s="0" t="n">
        <v>2042</v>
      </c>
      <c r="B19" s="0" t="n">
        <v>16</v>
      </c>
      <c r="C19" s="0" t="n">
        <v>4832</v>
      </c>
      <c r="D19" s="0" t="n">
        <v>0</v>
      </c>
      <c r="E19" s="0" t="n">
        <v>0</v>
      </c>
      <c r="F19" s="0" t="n">
        <v>111131.539</v>
      </c>
      <c r="G19" s="0" t="n">
        <v>24070.239</v>
      </c>
      <c r="H19" s="0" t="n">
        <v>2458.179</v>
      </c>
      <c r="I19" s="0" t="n">
        <v>1458.685</v>
      </c>
      <c r="J19" s="0" t="n">
        <v>1360.328</v>
      </c>
      <c r="K19" s="0" t="n">
        <v>63942.902</v>
      </c>
      <c r="L19" s="0" t="n">
        <v>9519.055</v>
      </c>
      <c r="M19" s="0" t="n">
        <v>113.9</v>
      </c>
      <c r="N19" s="0" t="n">
        <v>46.932</v>
      </c>
      <c r="O19" s="0" t="n">
        <v>29.773</v>
      </c>
      <c r="P19" s="0" t="n">
        <v>27.362</v>
      </c>
      <c r="Q19" s="0" t="n">
        <v>135201.778</v>
      </c>
      <c r="R19" s="0" t="n">
        <v>150417.049</v>
      </c>
      <c r="S19" s="0" t="n">
        <v>503.239</v>
      </c>
      <c r="T19" s="0" t="n">
        <v>453.462</v>
      </c>
      <c r="U19" s="0" t="n">
        <v>113.9</v>
      </c>
      <c r="V19" s="0" t="n">
        <v>728.602</v>
      </c>
      <c r="W19" s="0" t="n">
        <f aca="false">F19*x_c_F+G19*x_c_CC+H19*x_c_DC+I19*x_c_HCC+J19*x_c_PLT+K19*x_c_SVRn+L19*x_c_SVRcc+M19*x_c_LT</f>
        <v>742980373.334006</v>
      </c>
      <c r="X19" s="0" t="n">
        <f aca="false">C19*x_c_DAA</f>
        <v>109976320</v>
      </c>
      <c r="Y19" s="0" t="n">
        <f aca="false">C19*x_c_MON</f>
        <v>27857107.6100244</v>
      </c>
      <c r="Z19" s="0" t="n">
        <f aca="false">D19</f>
        <v>0</v>
      </c>
      <c r="AA19" s="0" t="n">
        <f aca="false">E19</f>
        <v>0</v>
      </c>
      <c r="AB19" s="0" t="n">
        <f aca="false">x_z_F*Q19+(1-x_AGRI)*x_EMP*x_WLOSS*(x_PEN_K74*N19+x_PEN_C22*O19)</f>
        <v>9385423.57700305</v>
      </c>
      <c r="AC19" s="0" t="n">
        <f aca="false">x_AGRI*x_EMP*x_WLOSS*(x_PEN_K74*N19+x_PEN_C22*O19)</f>
        <v>118838.889206505</v>
      </c>
      <c r="AD19" s="0" t="n">
        <f aca="false">x_EMP*x_WAGE*(x_WLOSS*(N19+O19)+P19)+Q19*x_absd*x_WAGE/365</f>
        <v>12460815.3073159</v>
      </c>
      <c r="AE19" s="0" t="n">
        <f aca="false">AD19*x_R_FUS</f>
        <v>3942601.96323476</v>
      </c>
      <c r="AF19" s="0" t="n">
        <f aca="false">AD19*x_R_NFZ</f>
        <v>967719.377581462</v>
      </c>
      <c r="AG19" s="0" t="n">
        <f aca="false">AD19*x_R_PIT</f>
        <v>828447.011142885</v>
      </c>
      <c r="AH19" s="0" t="n">
        <f aca="false">AD19*x_R_FP</f>
        <v>317750.790336556</v>
      </c>
      <c r="AI19" s="0" t="n">
        <f aca="false">W19+X19+Y19+Z19</f>
        <v>880813800.944031</v>
      </c>
      <c r="AJ19" s="0" t="n">
        <f aca="false">AI19+AA19+AB19+AC19+AE19+AF19+AG19+AH19</f>
        <v>896374582.552536</v>
      </c>
      <c r="AK19" s="0" t="n">
        <f aca="false">AI19+AA19+AD19</f>
        <v>893274616.251347</v>
      </c>
      <c r="AL19" s="0" t="n">
        <f aca="false">X19+Y19+Z19</f>
        <v>137833427.610024</v>
      </c>
      <c r="AM19" s="0" t="n">
        <f aca="false">AL19+AA19</f>
        <v>137833427.610024</v>
      </c>
    </row>
    <row r="20" customFormat="false" ht="15" hidden="false" customHeight="false" outlineLevel="0" collapsed="false">
      <c r="A20" s="0" t="n">
        <v>2043</v>
      </c>
      <c r="B20" s="0" t="n">
        <v>17</v>
      </c>
      <c r="C20" s="0" t="n">
        <v>4832</v>
      </c>
      <c r="D20" s="0" t="n">
        <v>0</v>
      </c>
      <c r="E20" s="0" t="n">
        <v>0</v>
      </c>
      <c r="F20" s="0" t="n">
        <v>109609.439</v>
      </c>
      <c r="G20" s="0" t="n">
        <v>23986.44</v>
      </c>
      <c r="H20" s="0" t="n">
        <v>2497.729</v>
      </c>
      <c r="I20" s="0" t="n">
        <v>1480.789</v>
      </c>
      <c r="J20" s="0" t="n">
        <v>1360.48</v>
      </c>
      <c r="K20" s="0" t="n">
        <v>66873.672</v>
      </c>
      <c r="L20" s="0" t="n">
        <v>10096.36</v>
      </c>
      <c r="M20" s="0" t="n">
        <v>115.539</v>
      </c>
      <c r="N20" s="0" t="n">
        <v>63.178</v>
      </c>
      <c r="O20" s="0" t="n">
        <v>39.462</v>
      </c>
      <c r="P20" s="0" t="n">
        <v>40.405</v>
      </c>
      <c r="Q20" s="0" t="n">
        <v>133595.879</v>
      </c>
      <c r="R20" s="0" t="n">
        <v>151917.424</v>
      </c>
      <c r="S20" s="0" t="n">
        <v>503.261</v>
      </c>
      <c r="T20" s="0" t="n">
        <v>455.081</v>
      </c>
      <c r="U20" s="0" t="n">
        <v>115.539</v>
      </c>
      <c r="V20" s="0" t="n">
        <v>737.893</v>
      </c>
      <c r="W20" s="0" t="n">
        <f aca="false">F20*x_c_F+G20*x_c_CC+H20*x_c_DC+I20*x_c_HCC+J20*x_c_PLT+K20*x_c_SVRn+L20*x_c_SVRcc+M20*x_c_LT</f>
        <v>744067908.77723</v>
      </c>
      <c r="X20" s="0" t="n">
        <f aca="false">C20*x_c_DAA</f>
        <v>109976320</v>
      </c>
      <c r="Y20" s="0" t="n">
        <f aca="false">C20*x_c_MON</f>
        <v>27857107.6100244</v>
      </c>
      <c r="Z20" s="0" t="n">
        <f aca="false">D20</f>
        <v>0</v>
      </c>
      <c r="AA20" s="0" t="n">
        <f aca="false">E20</f>
        <v>0</v>
      </c>
      <c r="AB20" s="0" t="n">
        <f aca="false">x_z_F*Q20+(1-x_AGRI)*x_EMP*x_WLOSS*(x_PEN_K74*N20+x_PEN_C22*O20)</f>
        <v>9902053.7387935</v>
      </c>
      <c r="AC20" s="0" t="n">
        <f aca="false">x_AGRI*x_EMP*x_WLOSS*(x_PEN_K74*N20+x_PEN_C22*O20)</f>
        <v>158944.098472936</v>
      </c>
      <c r="AD20" s="0" t="n">
        <f aca="false">x_EMP*x_WAGE*(x_WLOSS*(N20+O20)+P20)+Q20*x_absd*x_WAGE/365</f>
        <v>15741481.0393877</v>
      </c>
      <c r="AE20" s="0" t="n">
        <f aca="false">AD20*x_R_FUS</f>
        <v>4980604.60086228</v>
      </c>
      <c r="AF20" s="0" t="n">
        <f aca="false">AD20*x_R_NFZ</f>
        <v>1222499.15899989</v>
      </c>
      <c r="AG20" s="0" t="n">
        <f aca="false">AD20*x_R_PIT</f>
        <v>1046559.36200151</v>
      </c>
      <c r="AH20" s="0" t="n">
        <f aca="false">AD20*x_R_FP</f>
        <v>401407.766504387</v>
      </c>
      <c r="AI20" s="0" t="n">
        <f aca="false">W20+X20+Y20+Z20</f>
        <v>881901336.387255</v>
      </c>
      <c r="AJ20" s="0" t="n">
        <f aca="false">AI20+AA20+AB20+AC20+AE20+AF20+AG20+AH20</f>
        <v>899613405.112889</v>
      </c>
      <c r="AK20" s="0" t="n">
        <f aca="false">AI20+AA20+AD20</f>
        <v>897642817.426642</v>
      </c>
      <c r="AL20" s="0" t="n">
        <f aca="false">X20+Y20+Z20</f>
        <v>137833427.610024</v>
      </c>
      <c r="AM20" s="0" t="n">
        <f aca="false">AL20+AA20</f>
        <v>137833427.610024</v>
      </c>
    </row>
    <row r="21" customFormat="false" ht="15" hidden="false" customHeight="false" outlineLevel="0" collapsed="false">
      <c r="A21" s="0" t="n">
        <v>2044</v>
      </c>
      <c r="B21" s="0" t="n">
        <v>18</v>
      </c>
      <c r="C21" s="0" t="n">
        <v>4832</v>
      </c>
      <c r="D21" s="0" t="n">
        <v>0</v>
      </c>
      <c r="E21" s="0" t="n">
        <v>0</v>
      </c>
      <c r="F21" s="0" t="n">
        <v>108168.155</v>
      </c>
      <c r="G21" s="0" t="n">
        <v>23810.167</v>
      </c>
      <c r="H21" s="0" t="n">
        <v>2526.676</v>
      </c>
      <c r="I21" s="0" t="n">
        <v>1496.365</v>
      </c>
      <c r="J21" s="0" t="n">
        <v>1360.045</v>
      </c>
      <c r="K21" s="0" t="n">
        <v>69709.898</v>
      </c>
      <c r="L21" s="0" t="n">
        <v>10645.024</v>
      </c>
      <c r="M21" s="0" t="n">
        <v>116.672</v>
      </c>
      <c r="N21" s="0" t="n">
        <v>82.889</v>
      </c>
      <c r="O21" s="0" t="n">
        <v>50.992</v>
      </c>
      <c r="P21" s="0" t="n">
        <v>57.758</v>
      </c>
      <c r="Q21" s="0" t="n">
        <v>131978.322</v>
      </c>
      <c r="R21" s="0" t="n">
        <v>153326.275</v>
      </c>
      <c r="S21" s="0" t="n">
        <v>501.362</v>
      </c>
      <c r="T21" s="0" t="n">
        <v>454.944</v>
      </c>
      <c r="U21" s="0" t="n">
        <v>116.672</v>
      </c>
      <c r="V21" s="0" t="n">
        <v>744.132</v>
      </c>
      <c r="W21" s="0" t="n">
        <f aca="false">F21*x_c_F+G21*x_c_CC+H21*x_c_DC+I21*x_c_HCC+J21*x_c_PLT+K21*x_c_SVRn+L21*x_c_SVRcc+M21*x_c_LT</f>
        <v>743963404.79237</v>
      </c>
      <c r="X21" s="0" t="n">
        <f aca="false">C21*x_c_DAA</f>
        <v>109976320</v>
      </c>
      <c r="Y21" s="0" t="n">
        <f aca="false">C21*x_c_MON</f>
        <v>27857107.6100244</v>
      </c>
      <c r="Z21" s="0" t="n">
        <f aca="false">D21</f>
        <v>0</v>
      </c>
      <c r="AA21" s="0" t="n">
        <f aca="false">E21</f>
        <v>0</v>
      </c>
      <c r="AB21" s="0" t="n">
        <f aca="false">x_z_F*Q21+(1-x_AGRI)*x_EMP*x_WLOSS*(x_PEN_K74*N21+x_PEN_C22*O21)</f>
        <v>10541735.1714115</v>
      </c>
      <c r="AC21" s="0" t="n">
        <f aca="false">x_AGRI*x_EMP*x_WLOSS*(x_PEN_K74*N21+x_PEN_C22*O21)</f>
        <v>207226.004976871</v>
      </c>
      <c r="AD21" s="0" t="n">
        <f aca="false">x_EMP*x_WAGE*(x_WLOSS*(N21+O21)+P21)+Q21*x_absd*x_WAGE/365</f>
        <v>19841702.2663479</v>
      </c>
      <c r="AE21" s="0" t="n">
        <f aca="false">AD21*x_R_FUS</f>
        <v>6277914.59707248</v>
      </c>
      <c r="AF21" s="0" t="n">
        <f aca="false">AD21*x_R_NFZ</f>
        <v>1540926.43970684</v>
      </c>
      <c r="AG21" s="0" t="n">
        <f aca="false">AD21*x_R_PIT</f>
        <v>1319159.18285797</v>
      </c>
      <c r="AH21" s="0" t="n">
        <f aca="false">AD21*x_R_FP</f>
        <v>505963.407791871</v>
      </c>
      <c r="AI21" s="0" t="n">
        <f aca="false">W21+X21+Y21+Z21</f>
        <v>881796832.402395</v>
      </c>
      <c r="AJ21" s="0" t="n">
        <f aca="false">AI21+AA21+AB21+AC21+AE21+AF21+AG21+AH21</f>
        <v>902189757.206212</v>
      </c>
      <c r="AK21" s="0" t="n">
        <f aca="false">AI21+AA21+AD21</f>
        <v>901638534.668743</v>
      </c>
      <c r="AL21" s="0" t="n">
        <f aca="false">X21+Y21+Z21</f>
        <v>137833427.610024</v>
      </c>
      <c r="AM21" s="0" t="n">
        <f aca="false">AL21+AA21</f>
        <v>137833427.610024</v>
      </c>
    </row>
    <row r="22" customFormat="false" ht="15" hidden="false" customHeight="false" outlineLevel="0" collapsed="false">
      <c r="A22" s="0" t="n">
        <v>2045</v>
      </c>
      <c r="B22" s="0" t="n">
        <v>19</v>
      </c>
      <c r="C22" s="0" t="n">
        <v>4832</v>
      </c>
      <c r="D22" s="0" t="n">
        <v>0</v>
      </c>
      <c r="E22" s="0" t="n">
        <v>0</v>
      </c>
      <c r="F22" s="0" t="n">
        <v>106806.606</v>
      </c>
      <c r="G22" s="0" t="n">
        <v>23549.786</v>
      </c>
      <c r="H22" s="0" t="n">
        <v>2544.867</v>
      </c>
      <c r="I22" s="0" t="n">
        <v>1505.48</v>
      </c>
      <c r="J22" s="0" t="n">
        <v>1358.514</v>
      </c>
      <c r="K22" s="0" t="n">
        <v>72452.052</v>
      </c>
      <c r="L22" s="0" t="n">
        <v>11160.276</v>
      </c>
      <c r="M22" s="0" t="n">
        <v>117.29</v>
      </c>
      <c r="N22" s="0" t="n">
        <v>106.323</v>
      </c>
      <c r="O22" s="0" t="n">
        <v>64.44</v>
      </c>
      <c r="P22" s="0" t="n">
        <v>80.261</v>
      </c>
      <c r="Q22" s="0" t="n">
        <v>130356.392</v>
      </c>
      <c r="R22" s="0" t="n">
        <v>154644.516</v>
      </c>
      <c r="S22" s="0" t="n">
        <v>497.67</v>
      </c>
      <c r="T22" s="0" t="n">
        <v>453.137</v>
      </c>
      <c r="U22" s="0" t="n">
        <v>117.29</v>
      </c>
      <c r="V22" s="0" t="n">
        <v>747.271</v>
      </c>
      <c r="W22" s="0" t="n">
        <f aca="false">F22*x_c_F+G22*x_c_CC+H22*x_c_DC+I22*x_c_HCC+J22*x_c_PLT+K22*x_c_SVRn+L22*x_c_SVRcc+M22*x_c_LT</f>
        <v>742678376.686493</v>
      </c>
      <c r="X22" s="0" t="n">
        <f aca="false">C22*x_c_DAA</f>
        <v>109976320</v>
      </c>
      <c r="Y22" s="0" t="n">
        <f aca="false">C22*x_c_MON</f>
        <v>27857107.6100244</v>
      </c>
      <c r="Z22" s="0" t="n">
        <f aca="false">D22</f>
        <v>0</v>
      </c>
      <c r="AA22" s="0" t="n">
        <f aca="false">E22</f>
        <v>0</v>
      </c>
      <c r="AB22" s="0" t="n">
        <f aca="false">x_z_F*Q22+(1-x_AGRI)*x_EMP*x_WLOSS*(x_PEN_K74*N22+x_PEN_C22*O22)</f>
        <v>11312567.8060404</v>
      </c>
      <c r="AC22" s="0" t="n">
        <f aca="false">x_AGRI*x_EMP*x_WLOSS*(x_PEN_K74*N22+x_PEN_C22*O22)</f>
        <v>264192.975532527</v>
      </c>
      <c r="AD22" s="0" t="n">
        <f aca="false">x_EMP*x_WAGE*(x_WLOSS*(N22+O22)+P22)+Q22*x_absd*x_WAGE/365</f>
        <v>24861853.3953921</v>
      </c>
      <c r="AE22" s="0" t="n">
        <f aca="false">AD22*x_R_FUS</f>
        <v>7866290.41430205</v>
      </c>
      <c r="AF22" s="0" t="n">
        <f aca="false">AD22*x_R_NFZ</f>
        <v>1930796.39653954</v>
      </c>
      <c r="AG22" s="0" t="n">
        <f aca="false">AD22*x_R_PIT</f>
        <v>1652919.78324986</v>
      </c>
      <c r="AH22" s="0" t="n">
        <f aca="false">AD22*x_R_FP</f>
        <v>633977.261582498</v>
      </c>
      <c r="AI22" s="0" t="n">
        <f aca="false">W22+X22+Y22+Z22</f>
        <v>880511804.296517</v>
      </c>
      <c r="AJ22" s="0" t="n">
        <f aca="false">AI22+AA22+AB22+AC22+AE22+AF22+AG22+AH22</f>
        <v>904172548.933764</v>
      </c>
      <c r="AK22" s="0" t="n">
        <f aca="false">AI22+AA22+AD22</f>
        <v>905373657.691909</v>
      </c>
      <c r="AL22" s="0" t="n">
        <f aca="false">X22+Y22+Z22</f>
        <v>137833427.610024</v>
      </c>
      <c r="AM22" s="0" t="n">
        <f aca="false">AL22+AA22</f>
        <v>137833427.610024</v>
      </c>
    </row>
    <row r="23" customFormat="false" ht="15" hidden="false" customHeight="false" outlineLevel="0" collapsed="false">
      <c r="A23" s="0" t="n">
        <v>2046</v>
      </c>
      <c r="B23" s="0" t="n">
        <v>20</v>
      </c>
      <c r="C23" s="0" t="n">
        <v>4832</v>
      </c>
      <c r="D23" s="0" t="n">
        <v>0</v>
      </c>
      <c r="E23" s="0" t="n">
        <v>0</v>
      </c>
      <c r="F23" s="0" t="n">
        <v>105521.331</v>
      </c>
      <c r="G23" s="0" t="n">
        <v>23213.099</v>
      </c>
      <c r="H23" s="0" t="n">
        <v>2552.244</v>
      </c>
      <c r="I23" s="0" t="n">
        <v>1508.233</v>
      </c>
      <c r="J23" s="0" t="n">
        <v>1355.328</v>
      </c>
      <c r="K23" s="0" t="n">
        <v>75098.582</v>
      </c>
      <c r="L23" s="0" t="n">
        <v>11637.069</v>
      </c>
      <c r="M23" s="0" t="n">
        <v>117.387</v>
      </c>
      <c r="N23" s="0" t="n">
        <v>133.686</v>
      </c>
      <c r="O23" s="0" t="n">
        <v>79.845</v>
      </c>
      <c r="P23" s="0" t="n">
        <v>108.788</v>
      </c>
      <c r="Q23" s="0" t="n">
        <v>128734.43</v>
      </c>
      <c r="R23" s="0" t="n">
        <v>155869.356</v>
      </c>
      <c r="S23" s="0" t="n">
        <v>492.304</v>
      </c>
      <c r="T23" s="0" t="n">
        <v>449.742</v>
      </c>
      <c r="U23" s="0" t="n">
        <v>117.387</v>
      </c>
      <c r="V23" s="0" t="n">
        <v>747.285</v>
      </c>
      <c r="W23" s="0" t="n">
        <f aca="false">F23*x_c_F+G23*x_c_CC+H23*x_c_DC+I23*x_c_HCC+J23*x_c_PLT+K23*x_c_SVRn+L23*x_c_SVRcc+M23*x_c_LT</f>
        <v>740215411.845336</v>
      </c>
      <c r="X23" s="0" t="n">
        <f aca="false">C23*x_c_DAA</f>
        <v>109976320</v>
      </c>
      <c r="Y23" s="0" t="n">
        <f aca="false">C23*x_c_MON</f>
        <v>27857107.6100244</v>
      </c>
      <c r="Z23" s="0" t="n">
        <f aca="false">D23</f>
        <v>0</v>
      </c>
      <c r="AA23" s="0" t="n">
        <f aca="false">E23</f>
        <v>0</v>
      </c>
      <c r="AB23" s="0" t="n">
        <f aca="false">x_z_F*Q23+(1-x_AGRI)*x_EMP*x_WLOSS*(x_PEN_K74*N23+x_PEN_C22*O23)</f>
        <v>12220367.4975712</v>
      </c>
      <c r="AC23" s="0" t="n">
        <f aca="false">x_AGRI*x_EMP*x_WLOSS*(x_PEN_K74*N23+x_PEN_C22*O23)</f>
        <v>330213.324414128</v>
      </c>
      <c r="AD23" s="0" t="n">
        <f aca="false">x_EMP*x_WAGE*(x_WLOSS*(N23+O23)+P23)+Q23*x_absd*x_WAGE/365</f>
        <v>30897456.1177835</v>
      </c>
      <c r="AE23" s="0" t="n">
        <f aca="false">AD23*x_R_FUS</f>
        <v>9775955.11566668</v>
      </c>
      <c r="AF23" s="0" t="n">
        <f aca="false">AD23*x_R_NFZ</f>
        <v>2399527.33956318</v>
      </c>
      <c r="AG23" s="0" t="n">
        <f aca="false">AD23*x_R_PIT</f>
        <v>2054191.8439051</v>
      </c>
      <c r="AH23" s="0" t="n">
        <f aca="false">AD23*x_R_FP</f>
        <v>787885.131003478</v>
      </c>
      <c r="AI23" s="0" t="n">
        <f aca="false">W23+X23+Y23+Z23</f>
        <v>878048839.455361</v>
      </c>
      <c r="AJ23" s="0" t="n">
        <f aca="false">AI23+AA23+AB23+AC23+AE23+AF23+AG23+AH23</f>
        <v>905616979.707484</v>
      </c>
      <c r="AK23" s="0" t="n">
        <f aca="false">AI23+AA23+AD23</f>
        <v>908946295.573144</v>
      </c>
      <c r="AL23" s="0" t="n">
        <f aca="false">X23+Y23+Z23</f>
        <v>137833427.610024</v>
      </c>
      <c r="AM23" s="0" t="n">
        <f aca="false">AL23+AA23</f>
        <v>137833427.610024</v>
      </c>
    </row>
    <row r="24" customFormat="false" ht="15" hidden="false" customHeight="false" outlineLevel="0" collapsed="false">
      <c r="A24" s="0" t="n">
        <v>2047</v>
      </c>
      <c r="B24" s="0" t="n">
        <v>21</v>
      </c>
      <c r="C24" s="0" t="n">
        <v>4832</v>
      </c>
      <c r="D24" s="0" t="n">
        <v>0</v>
      </c>
      <c r="E24" s="0" t="n">
        <v>0</v>
      </c>
      <c r="F24" s="0" t="n">
        <v>104307.513</v>
      </c>
      <c r="G24" s="0" t="n">
        <v>22807.371</v>
      </c>
      <c r="H24" s="0" t="n">
        <v>2548.828</v>
      </c>
      <c r="I24" s="0" t="n">
        <v>1504.751</v>
      </c>
      <c r="J24" s="0" t="n">
        <v>1349.895</v>
      </c>
      <c r="K24" s="0" t="n">
        <v>77646.212</v>
      </c>
      <c r="L24" s="0" t="n">
        <v>12070.079</v>
      </c>
      <c r="M24" s="0" t="n">
        <v>116.974</v>
      </c>
      <c r="N24" s="0" t="n">
        <v>165.127</v>
      </c>
      <c r="O24" s="0" t="n">
        <v>97.216</v>
      </c>
      <c r="P24" s="0" t="n">
        <v>144.24</v>
      </c>
      <c r="Q24" s="0" t="n">
        <v>127114.885</v>
      </c>
      <c r="R24" s="0" t="n">
        <v>156995.272</v>
      </c>
      <c r="S24" s="0" t="n">
        <v>485.418</v>
      </c>
      <c r="T24" s="0" t="n">
        <v>444.873</v>
      </c>
      <c r="U24" s="0" t="n">
        <v>116.974</v>
      </c>
      <c r="V24" s="0" t="n">
        <v>744.233</v>
      </c>
      <c r="W24" s="0" t="n">
        <f aca="false">F24*x_c_F+G24*x_c_CC+H24*x_c_DC+I24*x_c_HCC+J24*x_c_PLT+K24*x_c_SVRn+L24*x_c_SVRcc+M24*x_c_LT</f>
        <v>736576327.574979</v>
      </c>
      <c r="X24" s="0" t="n">
        <f aca="false">C24*x_c_DAA</f>
        <v>109976320</v>
      </c>
      <c r="Y24" s="0" t="n">
        <f aca="false">C24*x_c_MON</f>
        <v>27857107.6100244</v>
      </c>
      <c r="Z24" s="0" t="n">
        <f aca="false">D24</f>
        <v>0</v>
      </c>
      <c r="AA24" s="0" t="n">
        <f aca="false">E24</f>
        <v>0</v>
      </c>
      <c r="AB24" s="0" t="n">
        <f aca="false">x_z_F*Q24+(1-x_AGRI)*x_EMP*x_WLOSS*(x_PEN_K74*N24+x_PEN_C22*O24)</f>
        <v>13268816.1456905</v>
      </c>
      <c r="AC24" s="0" t="n">
        <f aca="false">x_AGRI*x_EMP*x_WLOSS*(x_PEN_K74*N24+x_PEN_C22*O24)</f>
        <v>405521.333766425</v>
      </c>
      <c r="AD24" s="0" t="n">
        <f aca="false">x_EMP*x_WAGE*(x_WLOSS*(N24+O24)+P24)+Q24*x_absd*x_WAGE/365</f>
        <v>38038866.2850771</v>
      </c>
      <c r="AE24" s="0" t="n">
        <f aca="false">AD24*x_R_FUS</f>
        <v>12035497.2925984</v>
      </c>
      <c r="AF24" s="0" t="n">
        <f aca="false">AD24*x_R_NFZ</f>
        <v>2954136.39456537</v>
      </c>
      <c r="AG24" s="0" t="n">
        <f aca="false">AD24*x_R_PIT</f>
        <v>2528982.59896639</v>
      </c>
      <c r="AH24" s="0" t="n">
        <f aca="false">AD24*x_R_FP</f>
        <v>969991.090269465</v>
      </c>
      <c r="AI24" s="0" t="n">
        <f aca="false">W24+X24+Y24+Z24</f>
        <v>874409755.185003</v>
      </c>
      <c r="AJ24" s="0" t="n">
        <f aca="false">AI24+AA24+AB24+AC24+AE24+AF24+AG24+AH24</f>
        <v>906572700.04086</v>
      </c>
      <c r="AK24" s="0" t="n">
        <f aca="false">AI24+AA24+AD24</f>
        <v>912448621.470081</v>
      </c>
      <c r="AL24" s="0" t="n">
        <f aca="false">X24+Y24+Z24</f>
        <v>137833427.610024</v>
      </c>
      <c r="AM24" s="0" t="n">
        <f aca="false">AL24+AA24</f>
        <v>137833427.610024</v>
      </c>
    </row>
    <row r="25" customFormat="false" ht="15" hidden="false" customHeight="false" outlineLevel="0" collapsed="false">
      <c r="A25" s="0" t="n">
        <v>2048</v>
      </c>
      <c r="B25" s="0" t="n">
        <v>22</v>
      </c>
      <c r="C25" s="0" t="n">
        <v>4832</v>
      </c>
      <c r="D25" s="0" t="n">
        <v>0</v>
      </c>
      <c r="E25" s="0" t="n">
        <v>0</v>
      </c>
      <c r="F25" s="0" t="n">
        <v>103161.852</v>
      </c>
      <c r="G25" s="0" t="n">
        <v>22341.229</v>
      </c>
      <c r="H25" s="0" t="n">
        <v>2534.934</v>
      </c>
      <c r="I25" s="0" t="n">
        <v>1495.31</v>
      </c>
      <c r="J25" s="0" t="n">
        <v>1341.729</v>
      </c>
      <c r="K25" s="0" t="n">
        <v>80093.864</v>
      </c>
      <c r="L25" s="0" t="n">
        <v>12454.807</v>
      </c>
      <c r="M25" s="0" t="n">
        <v>116.067</v>
      </c>
      <c r="N25" s="0" t="n">
        <v>200.735</v>
      </c>
      <c r="O25" s="0" t="n">
        <v>116.522</v>
      </c>
      <c r="P25" s="0" t="n">
        <v>187.515</v>
      </c>
      <c r="Q25" s="0" t="n">
        <v>125503.081</v>
      </c>
      <c r="R25" s="0" t="n">
        <v>158021.04</v>
      </c>
      <c r="S25" s="0" t="n">
        <v>477.157</v>
      </c>
      <c r="T25" s="0" t="n">
        <v>438.641</v>
      </c>
      <c r="U25" s="0" t="n">
        <v>116.067</v>
      </c>
      <c r="V25" s="0" t="n">
        <v>738.2</v>
      </c>
      <c r="W25" s="0" t="n">
        <f aca="false">F25*x_c_F+G25*x_c_CC+H25*x_c_DC+I25*x_c_HCC+J25*x_c_PLT+K25*x_c_SVRn+L25*x_c_SVRcc+M25*x_c_LT</f>
        <v>731798176.8847</v>
      </c>
      <c r="X25" s="0" t="n">
        <f aca="false">C25*x_c_DAA</f>
        <v>109976320</v>
      </c>
      <c r="Y25" s="0" t="n">
        <f aca="false">C25*x_c_MON</f>
        <v>27857107.6100244</v>
      </c>
      <c r="Z25" s="0" t="n">
        <f aca="false">D25</f>
        <v>0</v>
      </c>
      <c r="AA25" s="0" t="n">
        <f aca="false">E25</f>
        <v>0</v>
      </c>
      <c r="AB25" s="0" t="n">
        <f aca="false">x_z_F*Q25+(1-x_AGRI)*x_EMP*x_WLOSS*(x_PEN_K74*N25+x_PEN_C22*O25)</f>
        <v>14459409.4571008</v>
      </c>
      <c r="AC25" s="0" t="n">
        <f aca="false">x_AGRI*x_EMP*x_WLOSS*(x_PEN_K74*N25+x_PEN_C22*O25)</f>
        <v>490196.118002995</v>
      </c>
      <c r="AD25" s="0" t="n">
        <f aca="false">x_EMP*x_WAGE*(x_WLOSS*(N25+O25)+P25)+Q25*x_absd*x_WAGE/365</f>
        <v>46367734.2156255</v>
      </c>
      <c r="AE25" s="0" t="n">
        <f aca="false">AD25*x_R_FUS</f>
        <v>14670751.1058239</v>
      </c>
      <c r="AF25" s="0" t="n">
        <f aca="false">AD25*x_R_NFZ</f>
        <v>3600964.60691969</v>
      </c>
      <c r="AG25" s="0" t="n">
        <f aca="false">AD25*x_R_PIT</f>
        <v>3082720.50239359</v>
      </c>
      <c r="AH25" s="0" t="n">
        <f aca="false">AD25*x_R_FP</f>
        <v>1182377.22249845</v>
      </c>
      <c r="AI25" s="0" t="n">
        <f aca="false">W25+X25+Y25+Z25</f>
        <v>869631604.494724</v>
      </c>
      <c r="AJ25" s="0" t="n">
        <f aca="false">AI25+AA25+AB25+AC25+AE25+AF25+AG25+AH25</f>
        <v>907118023.507463</v>
      </c>
      <c r="AK25" s="0" t="n">
        <f aca="false">AI25+AA25+AD25</f>
        <v>915999338.710349</v>
      </c>
      <c r="AL25" s="0" t="n">
        <f aca="false">X25+Y25+Z25</f>
        <v>137833427.610024</v>
      </c>
      <c r="AM25" s="0" t="n">
        <f aca="false">AL25+AA25</f>
        <v>137833427.610024</v>
      </c>
    </row>
    <row r="26" customFormat="false" ht="15" hidden="false" customHeight="false" outlineLevel="0" collapsed="false">
      <c r="A26" s="0" t="n">
        <v>2049</v>
      </c>
      <c r="B26" s="0" t="n">
        <v>23</v>
      </c>
      <c r="C26" s="0" t="n">
        <v>4832</v>
      </c>
      <c r="D26" s="0" t="n">
        <v>0</v>
      </c>
      <c r="E26" s="0" t="n">
        <v>0</v>
      </c>
      <c r="F26" s="0" t="n">
        <v>102080.326</v>
      </c>
      <c r="G26" s="0" t="n">
        <v>21822.907</v>
      </c>
      <c r="H26" s="0" t="n">
        <v>2510.96</v>
      </c>
      <c r="I26" s="0" t="n">
        <v>1480.218</v>
      </c>
      <c r="J26" s="0" t="n">
        <v>1330.354</v>
      </c>
      <c r="K26" s="0" t="n">
        <v>82439.571</v>
      </c>
      <c r="L26" s="0" t="n">
        <v>12786.786</v>
      </c>
      <c r="M26" s="0" t="n">
        <v>114.684</v>
      </c>
      <c r="N26" s="0" t="n">
        <v>240.535</v>
      </c>
      <c r="O26" s="0" t="n">
        <v>137.702</v>
      </c>
      <c r="P26" s="0" t="n">
        <v>239.501</v>
      </c>
      <c r="Q26" s="0" t="n">
        <v>123903.233</v>
      </c>
      <c r="R26" s="0" t="n">
        <v>158944.104</v>
      </c>
      <c r="S26" s="0" t="n">
        <v>467.662</v>
      </c>
      <c r="T26" s="0" t="n">
        <v>431.156</v>
      </c>
      <c r="U26" s="0" t="n">
        <v>114.684</v>
      </c>
      <c r="V26" s="0" t="n">
        <v>729.288</v>
      </c>
      <c r="W26" s="0" t="n">
        <f aca="false">F26*x_c_F+G26*x_c_CC+H26*x_c_DC+I26*x_c_HCC+J26*x_c_PLT+K26*x_c_SVRn+L26*x_c_SVRcc+M26*x_c_LT</f>
        <v>725917805.282699</v>
      </c>
      <c r="X26" s="0" t="n">
        <f aca="false">C26*x_c_DAA</f>
        <v>109976320</v>
      </c>
      <c r="Y26" s="0" t="n">
        <f aca="false">C26*x_c_MON</f>
        <v>27857107.6100244</v>
      </c>
      <c r="Z26" s="0" t="n">
        <f aca="false">D26</f>
        <v>0</v>
      </c>
      <c r="AA26" s="0" t="n">
        <f aca="false">E26</f>
        <v>0</v>
      </c>
      <c r="AB26" s="0" t="n">
        <f aca="false">x_z_F*Q26+(1-x_AGRI)*x_EMP*x_WLOSS*(x_PEN_K74*N26+x_PEN_C22*O26)</f>
        <v>15791397.30329</v>
      </c>
      <c r="AC26" s="0" t="n">
        <f aca="false">x_AGRI*x_EMP*x_WLOSS*(x_PEN_K74*N26+x_PEN_C22*O26)</f>
        <v>584172.459881476</v>
      </c>
      <c r="AD26" s="0" t="n">
        <f aca="false">x_EMP*x_WAGE*(x_WLOSS*(N26+O26)+P26)+Q26*x_absd*x_WAGE/365</f>
        <v>55956813.7058993</v>
      </c>
      <c r="AE26" s="0" t="n">
        <f aca="false">AD26*x_R_FUS</f>
        <v>17704735.8565465</v>
      </c>
      <c r="AF26" s="0" t="n">
        <f aca="false">AD26*x_R_NFZ</f>
        <v>4345662.10921385</v>
      </c>
      <c r="AG26" s="0" t="n">
        <f aca="false">AD26*x_R_PIT</f>
        <v>3720242.53023913</v>
      </c>
      <c r="AH26" s="0" t="n">
        <f aca="false">AD26*x_R_FP</f>
        <v>1426898.74950043</v>
      </c>
      <c r="AI26" s="0" t="n">
        <f aca="false">W26+X26+Y26+Z26</f>
        <v>863751232.892723</v>
      </c>
      <c r="AJ26" s="0" t="n">
        <f aca="false">AI26+AA26+AB26+AC26+AE26+AF26+AG26+AH26</f>
        <v>907324341.901395</v>
      </c>
      <c r="AK26" s="0" t="n">
        <f aca="false">AI26+AA26+AD26</f>
        <v>919708046.598623</v>
      </c>
      <c r="AL26" s="0" t="n">
        <f aca="false">X26+Y26+Z26</f>
        <v>137833427.610024</v>
      </c>
      <c r="AM26" s="0" t="n">
        <f aca="false">AL26+AA26</f>
        <v>137833427.610024</v>
      </c>
    </row>
    <row r="27" customFormat="false" ht="15" hidden="false" customHeight="false" outlineLevel="0" collapsed="false">
      <c r="A27" s="0" t="n">
        <v>2050</v>
      </c>
      <c r="B27" s="0" t="n">
        <v>24</v>
      </c>
      <c r="C27" s="0" t="n">
        <v>4832</v>
      </c>
      <c r="D27" s="0" t="n">
        <v>0</v>
      </c>
      <c r="E27" s="0" t="n">
        <v>0</v>
      </c>
      <c r="F27" s="0" t="n">
        <v>101058.373</v>
      </c>
      <c r="G27" s="0" t="n">
        <v>21260.141</v>
      </c>
      <c r="H27" s="0" t="n">
        <v>2477.364</v>
      </c>
      <c r="I27" s="0" t="n">
        <v>1459.794</v>
      </c>
      <c r="J27" s="0" t="n">
        <v>1315.309</v>
      </c>
      <c r="K27" s="0" t="n">
        <v>84680.324</v>
      </c>
      <c r="L27" s="0" t="n">
        <v>13061.539</v>
      </c>
      <c r="M27" s="0" t="n">
        <v>112.854</v>
      </c>
      <c r="N27" s="0" t="n">
        <v>284.491</v>
      </c>
      <c r="O27" s="0" t="n">
        <v>160.661</v>
      </c>
      <c r="P27" s="0" t="n">
        <v>301.052</v>
      </c>
      <c r="Q27" s="0" t="n">
        <v>122318.514</v>
      </c>
      <c r="R27" s="0" t="n">
        <v>159760.481</v>
      </c>
      <c r="S27" s="0" t="n">
        <v>457.089</v>
      </c>
      <c r="T27" s="0" t="n">
        <v>422.544</v>
      </c>
      <c r="U27" s="0" t="n">
        <v>112.854</v>
      </c>
      <c r="V27" s="0" t="n">
        <v>717.659</v>
      </c>
      <c r="W27" s="0" t="n">
        <f aca="false">F27*x_c_F+G27*x_c_CC+H27*x_c_DC+I27*x_c_HCC+J27*x_c_PLT+K27*x_c_SVRn+L27*x_c_SVRcc+M27*x_c_LT</f>
        <v>718973120.526835</v>
      </c>
      <c r="X27" s="0" t="n">
        <f aca="false">C27*x_c_DAA</f>
        <v>109976320</v>
      </c>
      <c r="Y27" s="0" t="n">
        <f aca="false">C27*x_c_MON</f>
        <v>27857107.6100244</v>
      </c>
      <c r="Z27" s="0" t="n">
        <f aca="false">D27</f>
        <v>0</v>
      </c>
      <c r="AA27" s="0" t="n">
        <f aca="false">E27</f>
        <v>0</v>
      </c>
      <c r="AB27" s="0" t="n">
        <f aca="false">x_z_F*Q27+(1-x_AGRI)*x_EMP*x_WLOSS*(x_PEN_K74*N27+x_PEN_C22*O27)</f>
        <v>17261753.0692042</v>
      </c>
      <c r="AC27" s="0" t="n">
        <f aca="false">x_AGRI*x_EMP*x_WLOSS*(x_PEN_K74*N27+x_PEN_C22*O27)</f>
        <v>687238.535978762</v>
      </c>
      <c r="AD27" s="0" t="n">
        <f aca="false">x_EMP*x_WAGE*(x_WLOSS*(N27+O27)+P27)+Q27*x_absd*x_WAGE/365</f>
        <v>66867832.2962821</v>
      </c>
      <c r="AE27" s="0" t="n">
        <f aca="false">AD27*x_R_FUS</f>
        <v>21156982.1385437</v>
      </c>
      <c r="AF27" s="0" t="n">
        <f aca="false">AD27*x_R_NFZ</f>
        <v>5193022.72396157</v>
      </c>
      <c r="AG27" s="0" t="n">
        <f aca="false">AD27*x_R_PIT</f>
        <v>4445652.58702892</v>
      </c>
      <c r="AH27" s="0" t="n">
        <f aca="false">AD27*x_R_FP</f>
        <v>1705129.72355519</v>
      </c>
      <c r="AI27" s="0" t="n">
        <f aca="false">W27+X27+Y27+Z27</f>
        <v>856806548.136859</v>
      </c>
      <c r="AJ27" s="0" t="n">
        <f aca="false">AI27+AA27+AB27+AC27+AE27+AF27+AG27+AH27</f>
        <v>907256326.915131</v>
      </c>
      <c r="AK27" s="0" t="n">
        <f aca="false">AI27+AA27+AD27</f>
        <v>923674380.433141</v>
      </c>
      <c r="AL27" s="0" t="n">
        <f aca="false">X27+Y27+Z27</f>
        <v>137833427.610024</v>
      </c>
      <c r="AM27" s="0" t="n">
        <f aca="false">AL27+AA27</f>
        <v>137833427.610024</v>
      </c>
    </row>
    <row r="28" customFormat="false" ht="15" hidden="false" customHeight="false" outlineLevel="0" collapsed="false">
      <c r="A28" s="0" t="n">
        <v>2051</v>
      </c>
      <c r="B28" s="0" t="n">
        <v>25</v>
      </c>
      <c r="C28" s="0" t="n">
        <v>4832</v>
      </c>
      <c r="D28" s="0" t="n">
        <v>0</v>
      </c>
      <c r="E28" s="0" t="n">
        <v>0</v>
      </c>
      <c r="F28" s="0" t="n">
        <v>100092.412</v>
      </c>
      <c r="G28" s="0" t="n">
        <v>20661.361</v>
      </c>
      <c r="H28" s="0" t="n">
        <v>2434.805</v>
      </c>
      <c r="I28" s="0" t="n">
        <v>1434.457</v>
      </c>
      <c r="J28" s="0" t="n">
        <v>1296.242</v>
      </c>
      <c r="K28" s="0" t="n">
        <v>86814.933</v>
      </c>
      <c r="L28" s="0" t="n">
        <v>13275.47</v>
      </c>
      <c r="M28" s="0" t="n">
        <v>110.606</v>
      </c>
      <c r="N28" s="0" t="n">
        <v>332.504</v>
      </c>
      <c r="O28" s="0" t="n">
        <v>185.279</v>
      </c>
      <c r="P28" s="0" t="n">
        <v>372.97</v>
      </c>
      <c r="Q28" s="0" t="n">
        <v>120753.773</v>
      </c>
      <c r="R28" s="0" t="n">
        <v>160469.415</v>
      </c>
      <c r="S28" s="0" t="n">
        <v>445.575</v>
      </c>
      <c r="T28" s="0" t="n">
        <v>412.918</v>
      </c>
      <c r="U28" s="0" t="n">
        <v>110.606</v>
      </c>
      <c r="V28" s="0" t="n">
        <v>703.467</v>
      </c>
      <c r="W28" s="0" t="n">
        <f aca="false">F28*x_c_F+G28*x_c_CC+H28*x_c_DC+I28*x_c_HCC+J28*x_c_PLT+K28*x_c_SVRn+L28*x_c_SVRcc+M28*x_c_LT</f>
        <v>711025603.140397</v>
      </c>
      <c r="X28" s="0" t="n">
        <f aca="false">C28*x_c_DAA</f>
        <v>109976320</v>
      </c>
      <c r="Y28" s="0" t="n">
        <f aca="false">C28*x_c_MON</f>
        <v>27857107.6100244</v>
      </c>
      <c r="Z28" s="0" t="n">
        <f aca="false">D28</f>
        <v>0</v>
      </c>
      <c r="AA28" s="0" t="n">
        <f aca="false">E28</f>
        <v>0</v>
      </c>
      <c r="AB28" s="0" t="n">
        <f aca="false">x_z_F*Q28+(1-x_AGRI)*x_EMP*x_WLOSS*(x_PEN_K74*N28+x_PEN_C22*O28)</f>
        <v>18865509.3488791</v>
      </c>
      <c r="AC28" s="0" t="n">
        <f aca="false">x_AGRI*x_EMP*x_WLOSS*(x_PEN_K74*N28+x_PEN_C22*O28)</f>
        <v>799048.023336196</v>
      </c>
      <c r="AD28" s="0" t="n">
        <f aca="false">x_EMP*x_WAGE*(x_WLOSS*(N28+O28)+P28)+Q28*x_absd*x_WAGE/365</f>
        <v>79150625.5365028</v>
      </c>
      <c r="AE28" s="0" t="n">
        <f aca="false">AD28*x_R_FUS</f>
        <v>25043257.9197495</v>
      </c>
      <c r="AF28" s="0" t="n">
        <f aca="false">AD28*x_R_NFZ</f>
        <v>6146916.72979034</v>
      </c>
      <c r="AG28" s="0" t="n">
        <f aca="false">AD28*x_R_PIT</f>
        <v>5262263.94811478</v>
      </c>
      <c r="AH28" s="0" t="n">
        <f aca="false">AD28*x_R_FP</f>
        <v>2018340.95118082</v>
      </c>
      <c r="AI28" s="0" t="n">
        <f aca="false">W28+X28+Y28+Z28</f>
        <v>848859030.750421</v>
      </c>
      <c r="AJ28" s="0" t="n">
        <f aca="false">AI28+AA28+AB28+AC28+AE28+AF28+AG28+AH28</f>
        <v>906994367.671472</v>
      </c>
      <c r="AK28" s="0" t="n">
        <f aca="false">AI28+AA28+AD28</f>
        <v>928009656.286924</v>
      </c>
      <c r="AL28" s="0" t="n">
        <f aca="false">X28+Y28+Z28</f>
        <v>137833427.610024</v>
      </c>
      <c r="AM28" s="0" t="n">
        <f aca="false">AL28+AA28</f>
        <v>137833427.610024</v>
      </c>
    </row>
    <row r="29" customFormat="false" ht="15" hidden="false" customHeight="false" outlineLevel="0" collapsed="false">
      <c r="A29" s="0" t="n">
        <v>2052</v>
      </c>
      <c r="B29" s="0" t="n">
        <v>26</v>
      </c>
      <c r="C29" s="0" t="n">
        <v>4832</v>
      </c>
      <c r="D29" s="0" t="n">
        <v>0</v>
      </c>
      <c r="E29" s="0" t="n">
        <v>0</v>
      </c>
      <c r="F29" s="0" t="n">
        <v>99178.024</v>
      </c>
      <c r="G29" s="0" t="n">
        <v>20033.949</v>
      </c>
      <c r="H29" s="0" t="n">
        <v>2383.915</v>
      </c>
      <c r="I29" s="0" t="n">
        <v>1404.593</v>
      </c>
      <c r="J29" s="0" t="n">
        <v>1272.8</v>
      </c>
      <c r="K29" s="0" t="n">
        <v>88840.338</v>
      </c>
      <c r="L29" s="0" t="n">
        <v>13424.785</v>
      </c>
      <c r="M29" s="0" t="n">
        <v>107.982</v>
      </c>
      <c r="N29" s="0" t="n">
        <v>384.417</v>
      </c>
      <c r="O29" s="0" t="n">
        <v>211.407</v>
      </c>
      <c r="P29" s="0" t="n">
        <v>455.992</v>
      </c>
      <c r="Q29" s="0" t="n">
        <v>119211.973</v>
      </c>
      <c r="R29" s="0" t="n">
        <v>161067.391</v>
      </c>
      <c r="S29" s="0" t="n">
        <v>433.292</v>
      </c>
      <c r="T29" s="0" t="n">
        <v>402.425</v>
      </c>
      <c r="U29" s="0" t="n">
        <v>107.982</v>
      </c>
      <c r="V29" s="0" t="n">
        <v>686.95</v>
      </c>
      <c r="W29" s="0" t="n">
        <f aca="false">F29*x_c_F+G29*x_c_CC+H29*x_c_DC+I29*x_c_HCC+J29*x_c_PLT+K29*x_c_SVRn+L29*x_c_SVRcc+M29*x_c_LT</f>
        <v>702128751.929661</v>
      </c>
      <c r="X29" s="0" t="n">
        <f aca="false">C29*x_c_DAA</f>
        <v>109976320</v>
      </c>
      <c r="Y29" s="0" t="n">
        <f aca="false">C29*x_c_MON</f>
        <v>27857107.6100244</v>
      </c>
      <c r="Z29" s="0" t="n">
        <f aca="false">D29</f>
        <v>0</v>
      </c>
      <c r="AA29" s="0" t="n">
        <f aca="false">E29</f>
        <v>0</v>
      </c>
      <c r="AB29" s="0" t="n">
        <f aca="false">x_z_F*Q29+(1-x_AGRI)*x_EMP*x_WLOSS*(x_PEN_K74*N29+x_PEN_C22*O29)</f>
        <v>20595568.1556387</v>
      </c>
      <c r="AC29" s="0" t="n">
        <f aca="false">x_AGRI*x_EMP*x_WLOSS*(x_PEN_K74*N29+x_PEN_C22*O29)</f>
        <v>919120.76765662</v>
      </c>
      <c r="AD29" s="0" t="n">
        <f aca="false">x_EMP*x_WAGE*(x_WLOSS*(N29+O29)+P29)+Q29*x_absd*x_WAGE/365</f>
        <v>92842019.3306793</v>
      </c>
      <c r="AE29" s="0" t="n">
        <f aca="false">AD29*x_R_FUS</f>
        <v>29375214.9162269</v>
      </c>
      <c r="AF29" s="0" t="n">
        <f aca="false">AD29*x_R_NFZ</f>
        <v>7210204.06323988</v>
      </c>
      <c r="AG29" s="0" t="n">
        <f aca="false">AD29*x_R_PIT</f>
        <v>6172524.95330811</v>
      </c>
      <c r="AH29" s="0" t="n">
        <f aca="false">AD29*x_R_FP</f>
        <v>2367471.49293232</v>
      </c>
      <c r="AI29" s="0" t="n">
        <f aca="false">W29+X29+Y29+Z29</f>
        <v>839962179.539685</v>
      </c>
      <c r="AJ29" s="0" t="n">
        <f aca="false">AI29+AA29+AB29+AC29+AE29+AF29+AG29+AH29</f>
        <v>906602283.888688</v>
      </c>
      <c r="AK29" s="0" t="n">
        <f aca="false">AI29+AA29+AD29</f>
        <v>932804198.870364</v>
      </c>
      <c r="AL29" s="0" t="n">
        <f aca="false">X29+Y29+Z29</f>
        <v>137833427.610024</v>
      </c>
      <c r="AM29" s="0" t="n">
        <f aca="false">AL29+AA29</f>
        <v>137833427.610024</v>
      </c>
    </row>
    <row r="30" customFormat="false" ht="15" hidden="false" customHeight="false" outlineLevel="0" collapsed="false">
      <c r="A30" s="0" t="n">
        <v>2053</v>
      </c>
      <c r="B30" s="0" t="n">
        <v>27</v>
      </c>
      <c r="C30" s="0" t="n">
        <v>4832</v>
      </c>
      <c r="D30" s="0" t="n">
        <v>0</v>
      </c>
      <c r="E30" s="0" t="n">
        <v>0</v>
      </c>
      <c r="F30" s="0" t="n">
        <v>98312.477</v>
      </c>
      <c r="G30" s="0" t="n">
        <v>19386.575</v>
      </c>
      <c r="H30" s="0" t="n">
        <v>2325.602</v>
      </c>
      <c r="I30" s="0" t="n">
        <v>1370.73</v>
      </c>
      <c r="J30" s="0" t="n">
        <v>1244.814</v>
      </c>
      <c r="K30" s="0" t="n">
        <v>90757.461</v>
      </c>
      <c r="L30" s="0" t="n">
        <v>13507.342</v>
      </c>
      <c r="M30" s="0" t="n">
        <v>105.008</v>
      </c>
      <c r="N30" s="0" t="n">
        <v>440.02</v>
      </c>
      <c r="O30" s="0" t="n">
        <v>238.878</v>
      </c>
      <c r="P30" s="0" t="n">
        <v>550.774</v>
      </c>
      <c r="Q30" s="0" t="n">
        <v>117699.052</v>
      </c>
      <c r="R30" s="0" t="n">
        <v>161557.19</v>
      </c>
      <c r="S30" s="0" t="n">
        <v>420.342</v>
      </c>
      <c r="T30" s="0" t="n">
        <v>391.15</v>
      </c>
      <c r="U30" s="0" t="n">
        <v>105.008</v>
      </c>
      <c r="V30" s="0" t="n">
        <v>668.249</v>
      </c>
      <c r="W30" s="0" t="n">
        <f aca="false">F30*x_c_F+G30*x_c_CC+H30*x_c_DC+I30*x_c_HCC+J30*x_c_PLT+K30*x_c_SVRn+L30*x_c_SVRcc+M30*x_c_LT</f>
        <v>692369276.081097</v>
      </c>
      <c r="X30" s="0" t="n">
        <f aca="false">C30*x_c_DAA</f>
        <v>109976320</v>
      </c>
      <c r="Y30" s="0" t="n">
        <f aca="false">C30*x_c_MON</f>
        <v>27857107.6100244</v>
      </c>
      <c r="Z30" s="0" t="n">
        <f aca="false">D30</f>
        <v>0</v>
      </c>
      <c r="AA30" s="0" t="n">
        <f aca="false">E30</f>
        <v>0</v>
      </c>
      <c r="AB30" s="0" t="n">
        <f aca="false">x_z_F*Q30+(1-x_AGRI)*x_EMP*x_WLOSS*(x_PEN_K74*N30+x_PEN_C22*O30)</f>
        <v>22443363.3005559</v>
      </c>
      <c r="AC30" s="0" t="n">
        <f aca="false">x_AGRI*x_EMP*x_WLOSS*(x_PEN_K74*N30+x_PEN_C22*O30)</f>
        <v>1046868.53377981</v>
      </c>
      <c r="AD30" s="0" t="n">
        <f aca="false">x_EMP*x_WAGE*(x_WLOSS*(N30+O30)+P30)+Q30*x_absd*x_WAGE/365</f>
        <v>107965958.93951</v>
      </c>
      <c r="AE30" s="0" t="n">
        <f aca="false">AD30*x_R_FUS</f>
        <v>34160429.408461</v>
      </c>
      <c r="AF30" s="0" t="n">
        <f aca="false">AD30*x_R_NFZ</f>
        <v>8384744.3372013</v>
      </c>
      <c r="AG30" s="0" t="n">
        <f aca="false">AD30*x_R_PIT</f>
        <v>7178027.58348394</v>
      </c>
      <c r="AH30" s="0" t="n">
        <f aca="false">AD30*x_R_FP</f>
        <v>2753131.95295751</v>
      </c>
      <c r="AI30" s="0" t="n">
        <f aca="false">W30+X30+Y30+Z30</f>
        <v>830202703.691121</v>
      </c>
      <c r="AJ30" s="0" t="n">
        <f aca="false">AI30+AA30+AB30+AC30+AE30+AF30+AG30+AH30</f>
        <v>906169268.807561</v>
      </c>
      <c r="AK30" s="0" t="n">
        <f aca="false">AI30+AA30+AD30</f>
        <v>938168662.630631</v>
      </c>
      <c r="AL30" s="0" t="n">
        <f aca="false">X30+Y30+Z30</f>
        <v>137833427.610024</v>
      </c>
      <c r="AM30" s="0" t="n">
        <f aca="false">AL30+AA30</f>
        <v>137833427.610024</v>
      </c>
    </row>
    <row r="31" customFormat="false" ht="15" hidden="false" customHeight="false" outlineLevel="0" collapsed="false">
      <c r="A31" s="0" t="n">
        <v>2054</v>
      </c>
      <c r="B31" s="0" t="n">
        <v>28</v>
      </c>
      <c r="C31" s="0" t="n">
        <v>4832</v>
      </c>
      <c r="D31" s="0" t="n">
        <v>0</v>
      </c>
      <c r="E31" s="0" t="n">
        <v>0</v>
      </c>
      <c r="F31" s="0" t="n">
        <v>97490.579</v>
      </c>
      <c r="G31" s="0" t="n">
        <v>18724.821</v>
      </c>
      <c r="H31" s="0" t="n">
        <v>2260.445</v>
      </c>
      <c r="I31" s="0" t="n">
        <v>1333.195</v>
      </c>
      <c r="J31" s="0" t="n">
        <v>1211.959</v>
      </c>
      <c r="K31" s="0" t="n">
        <v>92560.498</v>
      </c>
      <c r="L31" s="0" t="n">
        <v>13519.247</v>
      </c>
      <c r="M31" s="0" t="n">
        <v>101.725</v>
      </c>
      <c r="N31" s="0" t="n">
        <v>499.05</v>
      </c>
      <c r="O31" s="0" t="n">
        <v>267.507</v>
      </c>
      <c r="P31" s="0" t="n">
        <v>657.875</v>
      </c>
      <c r="Q31" s="0" t="n">
        <v>116215.401</v>
      </c>
      <c r="R31" s="0" t="n">
        <v>161931.548</v>
      </c>
      <c r="S31" s="0" t="n">
        <v>406.857</v>
      </c>
      <c r="T31" s="0" t="n">
        <v>379.208</v>
      </c>
      <c r="U31" s="0" t="n">
        <v>101.725</v>
      </c>
      <c r="V31" s="0" t="n">
        <v>647.577</v>
      </c>
      <c r="W31" s="0" t="n">
        <f aca="false">F31*x_c_F+G31*x_c_CC+H31*x_c_DC+I31*x_c_HCC+J31*x_c_PLT+K31*x_c_SVRn+L31*x_c_SVRcc+M31*x_c_LT</f>
        <v>681782563.418892</v>
      </c>
      <c r="X31" s="0" t="n">
        <f aca="false">C31*x_c_DAA</f>
        <v>109976320</v>
      </c>
      <c r="Y31" s="0" t="n">
        <f aca="false">C31*x_c_MON</f>
        <v>27857107.6100244</v>
      </c>
      <c r="Z31" s="0" t="n">
        <f aca="false">D31</f>
        <v>0</v>
      </c>
      <c r="AA31" s="0" t="n">
        <f aca="false">E31</f>
        <v>0</v>
      </c>
      <c r="AB31" s="0" t="n">
        <f aca="false">x_z_F*Q31+(1-x_AGRI)*x_EMP*x_WLOSS*(x_PEN_K74*N31+x_PEN_C22*O31)</f>
        <v>24398382.1389219</v>
      </c>
      <c r="AC31" s="0" t="n">
        <f aca="false">x_AGRI*x_EMP*x_WLOSS*(x_PEN_K74*N31+x_PEN_C22*O31)</f>
        <v>1181595.0056825</v>
      </c>
      <c r="AD31" s="0" t="n">
        <f aca="false">x_EMP*x_WAGE*(x_WLOSS*(N31+O31)+P31)+Q31*x_absd*x_WAGE/365</f>
        <v>124531918.653884</v>
      </c>
      <c r="AE31" s="0" t="n">
        <f aca="false">AD31*x_R_FUS</f>
        <v>39401899.0620888</v>
      </c>
      <c r="AF31" s="0" t="n">
        <f aca="false">AD31*x_R_NFZ</f>
        <v>9671273.33457926</v>
      </c>
      <c r="AG31" s="0" t="n">
        <f aca="false">AD31*x_R_PIT</f>
        <v>8279401.72904476</v>
      </c>
      <c r="AH31" s="0" t="n">
        <f aca="false">AD31*x_R_FP</f>
        <v>3175563.92567403</v>
      </c>
      <c r="AI31" s="0" t="n">
        <f aca="false">W31+X31+Y31+Z31</f>
        <v>819615991.028916</v>
      </c>
      <c r="AJ31" s="0" t="n">
        <f aca="false">AI31+AA31+AB31+AC31+AE31+AF31+AG31+AH31</f>
        <v>905724106.224907</v>
      </c>
      <c r="AK31" s="0" t="n">
        <f aca="false">AI31+AA31+AD31</f>
        <v>944147909.6828</v>
      </c>
      <c r="AL31" s="0" t="n">
        <f aca="false">X31+Y31+Z31</f>
        <v>137833427.610024</v>
      </c>
      <c r="AM31" s="0" t="n">
        <f aca="false">AL31+AA31</f>
        <v>137833427.610024</v>
      </c>
    </row>
    <row r="32" customFormat="false" ht="15" hidden="false" customHeight="false" outlineLevel="0" collapsed="false">
      <c r="A32" s="0" t="n">
        <v>2055</v>
      </c>
      <c r="B32" s="0" t="n">
        <v>29</v>
      </c>
      <c r="C32" s="0" t="n">
        <v>4832</v>
      </c>
      <c r="D32" s="0" t="n">
        <v>0</v>
      </c>
      <c r="E32" s="0" t="n">
        <v>0</v>
      </c>
      <c r="F32" s="0" t="n">
        <v>96708.81</v>
      </c>
      <c r="G32" s="0" t="n">
        <v>18055.353</v>
      </c>
      <c r="H32" s="0" t="n">
        <v>2189.253</v>
      </c>
      <c r="I32" s="0" t="n">
        <v>1292.433</v>
      </c>
      <c r="J32" s="0" t="n">
        <v>1174.087</v>
      </c>
      <c r="K32" s="0" t="n">
        <v>94247.393</v>
      </c>
      <c r="L32" s="0" t="n">
        <v>13458.173</v>
      </c>
      <c r="M32" s="0" t="n">
        <v>98.169</v>
      </c>
      <c r="N32" s="0" t="n">
        <v>561.204</v>
      </c>
      <c r="O32" s="0" t="n">
        <v>297.096</v>
      </c>
      <c r="P32" s="0" t="n">
        <v>777.751</v>
      </c>
      <c r="Q32" s="0" t="n">
        <v>114764.163</v>
      </c>
      <c r="R32" s="0" t="n">
        <v>162189.104</v>
      </c>
      <c r="S32" s="0" t="n">
        <v>392.955</v>
      </c>
      <c r="T32" s="0" t="n">
        <v>366.704</v>
      </c>
      <c r="U32" s="0" t="n">
        <v>98.169</v>
      </c>
      <c r="V32" s="0" t="n">
        <v>625.142</v>
      </c>
      <c r="W32" s="0" t="n">
        <f aca="false">F32*x_c_F+G32*x_c_CC+H32*x_c_DC+I32*x_c_HCC+J32*x_c_PLT+K32*x_c_SVRn+L32*x_c_SVRcc+M32*x_c_LT</f>
        <v>670436895.2939</v>
      </c>
      <c r="X32" s="0" t="n">
        <f aca="false">C32*x_c_DAA</f>
        <v>109976320</v>
      </c>
      <c r="Y32" s="0" t="n">
        <f aca="false">C32*x_c_MON</f>
        <v>27857107.6100244</v>
      </c>
      <c r="Z32" s="0" t="n">
        <f aca="false">D32</f>
        <v>0</v>
      </c>
      <c r="AA32" s="0" t="n">
        <f aca="false">E32</f>
        <v>0</v>
      </c>
      <c r="AB32" s="0" t="n">
        <f aca="false">x_z_F*Q32+(1-x_AGRI)*x_EMP*x_WLOSS*(x_PEN_K74*N32+x_PEN_C22*O32)</f>
        <v>26449047.1827152</v>
      </c>
      <c r="AC32" s="0" t="n">
        <f aca="false">x_AGRI*x_EMP*x_WLOSS*(x_PEN_K74*N32+x_PEN_C22*O32)</f>
        <v>1322523.27492982</v>
      </c>
      <c r="AD32" s="0" t="n">
        <f aca="false">x_EMP*x_WAGE*(x_WLOSS*(N32+O32)+P32)+Q32*x_absd*x_WAGE/365</f>
        <v>142536145.161288</v>
      </c>
      <c r="AE32" s="0" t="n">
        <f aca="false">AD32*x_R_FUS</f>
        <v>45098436.3290314</v>
      </c>
      <c r="AF32" s="0" t="n">
        <f aca="false">AD32*x_R_NFZ</f>
        <v>11069499.5693707</v>
      </c>
      <c r="AG32" s="0" t="n">
        <f aca="false">AD32*x_R_PIT</f>
        <v>9476397.85410899</v>
      </c>
      <c r="AH32" s="0" t="n">
        <f aca="false">AD32*x_R_FP</f>
        <v>3634671.70161283</v>
      </c>
      <c r="AI32" s="0" t="n">
        <f aca="false">W32+X32+Y32+Z32</f>
        <v>808270322.903925</v>
      </c>
      <c r="AJ32" s="0" t="n">
        <f aca="false">AI32+AA32+AB32+AC32+AE32+AF32+AG32+AH32</f>
        <v>905320898.815693</v>
      </c>
      <c r="AK32" s="0" t="n">
        <f aca="false">AI32+AA32+AD32</f>
        <v>950806468.065212</v>
      </c>
      <c r="AL32" s="0" t="n">
        <f aca="false">X32+Y32+Z32</f>
        <v>137833427.610024</v>
      </c>
      <c r="AM32" s="0" t="n">
        <f aca="false">AL32+AA32</f>
        <v>137833427.610024</v>
      </c>
    </row>
    <row r="33" customFormat="false" ht="15" hidden="false" customHeight="false" outlineLevel="0" collapsed="false">
      <c r="A33" s="0" t="n">
        <v>2056</v>
      </c>
      <c r="B33" s="0" t="n">
        <v>30</v>
      </c>
      <c r="C33" s="0" t="n">
        <v>4832</v>
      </c>
      <c r="D33" s="0" t="n">
        <v>0</v>
      </c>
      <c r="E33" s="0" t="n">
        <v>0</v>
      </c>
      <c r="F33" s="0" t="n">
        <v>95963.66</v>
      </c>
      <c r="G33" s="0" t="n">
        <v>17384.181</v>
      </c>
      <c r="H33" s="0" t="n">
        <v>2112.82</v>
      </c>
      <c r="I33" s="0" t="n">
        <v>1248.869</v>
      </c>
      <c r="J33" s="0" t="n">
        <v>1131.097</v>
      </c>
      <c r="K33" s="0" t="n">
        <v>95815.607</v>
      </c>
      <c r="L33" s="0" t="n">
        <v>13322.069</v>
      </c>
      <c r="M33" s="0" t="n">
        <v>94.38</v>
      </c>
      <c r="N33" s="0" t="n">
        <v>626.137</v>
      </c>
      <c r="O33" s="0" t="n">
        <v>327.439</v>
      </c>
      <c r="P33" s="0" t="n">
        <v>910.735</v>
      </c>
      <c r="Q33" s="0" t="n">
        <v>113347.841</v>
      </c>
      <c r="R33" s="0" t="n">
        <v>162327.957</v>
      </c>
      <c r="S33" s="0" t="n">
        <v>378.753</v>
      </c>
      <c r="T33" s="0" t="n">
        <v>353.743</v>
      </c>
      <c r="U33" s="0" t="n">
        <v>94.38</v>
      </c>
      <c r="V33" s="0" t="n">
        <v>601.164</v>
      </c>
      <c r="W33" s="0" t="n">
        <f aca="false">F33*x_c_F+G33*x_c_CC+H33*x_c_DC+I33*x_c_HCC+J33*x_c_PLT+K33*x_c_SVRn+L33*x_c_SVRcc+M33*x_c_LT</f>
        <v>658398826.665333</v>
      </c>
      <c r="X33" s="0" t="n">
        <f aca="false">C33*x_c_DAA</f>
        <v>109976320</v>
      </c>
      <c r="Y33" s="0" t="n">
        <f aca="false">C33*x_c_MON</f>
        <v>27857107.6100244</v>
      </c>
      <c r="Z33" s="0" t="n">
        <f aca="false">D33</f>
        <v>0</v>
      </c>
      <c r="AA33" s="0" t="n">
        <f aca="false">E33</f>
        <v>0</v>
      </c>
      <c r="AB33" s="0" t="n">
        <f aca="false">x_z_F*Q33+(1-x_AGRI)*x_EMP*x_WLOSS*(x_PEN_K74*N33+x_PEN_C22*O33)</f>
        <v>28582607.711669</v>
      </c>
      <c r="AC33" s="0" t="n">
        <f aca="false">x_AGRI*x_EMP*x_WLOSS*(x_PEN_K74*N33+x_PEN_C22*O33)</f>
        <v>1468801.25871295</v>
      </c>
      <c r="AD33" s="0" t="n">
        <f aca="false">x_EMP*x_WAGE*(x_WLOSS*(N33+O33)+P33)+Q33*x_absd*x_WAGE/365</f>
        <v>161960118.099894</v>
      </c>
      <c r="AE33" s="0" t="n">
        <f aca="false">AD33*x_R_FUS</f>
        <v>51244181.3668066</v>
      </c>
      <c r="AF33" s="0" t="n">
        <f aca="false">AD33*x_R_NFZ</f>
        <v>12577984.7317559</v>
      </c>
      <c r="AG33" s="0" t="n">
        <f aca="false">AD33*x_R_PIT</f>
        <v>10767784.6477212</v>
      </c>
      <c r="AH33" s="0" t="n">
        <f aca="false">AD33*x_R_FP</f>
        <v>4129983.01154731</v>
      </c>
      <c r="AI33" s="0" t="n">
        <f aca="false">W33+X33+Y33+Z33</f>
        <v>796232254.275357</v>
      </c>
      <c r="AJ33" s="0" t="n">
        <f aca="false">AI33+AA33+AB33+AC33+AE33+AF33+AG33+AH33</f>
        <v>905003597.00357</v>
      </c>
      <c r="AK33" s="0" t="n">
        <f aca="false">AI33+AA33+AD33</f>
        <v>958192372.375252</v>
      </c>
      <c r="AL33" s="0" t="n">
        <f aca="false">X33+Y33+Z33</f>
        <v>137833427.610024</v>
      </c>
      <c r="AM33" s="0" t="n">
        <f aca="false">AL33+AA33</f>
        <v>137833427.610024</v>
      </c>
    </row>
    <row r="34" customFormat="false" ht="15" hidden="false" customHeight="false" outlineLevel="0" collapsed="false">
      <c r="A34" s="0" t="n">
        <v>2057</v>
      </c>
      <c r="B34" s="0" t="n">
        <v>31</v>
      </c>
      <c r="C34" s="0" t="n">
        <v>4832</v>
      </c>
      <c r="D34" s="0" t="n">
        <v>0</v>
      </c>
      <c r="E34" s="0" t="n">
        <v>0</v>
      </c>
      <c r="F34" s="0" t="n">
        <v>95251.963</v>
      </c>
      <c r="G34" s="0" t="n">
        <v>16716.978</v>
      </c>
      <c r="H34" s="0" t="n">
        <v>2031.961</v>
      </c>
      <c r="I34" s="0" t="n">
        <v>1202.937</v>
      </c>
      <c r="J34" s="0" t="n">
        <v>1082.963</v>
      </c>
      <c r="K34" s="0" t="n">
        <v>97263.123</v>
      </c>
      <c r="L34" s="0" t="n">
        <v>13109.49</v>
      </c>
      <c r="M34" s="0" t="n">
        <v>90.409</v>
      </c>
      <c r="N34" s="0" t="n">
        <v>693.476</v>
      </c>
      <c r="O34" s="0" t="n">
        <v>358.322</v>
      </c>
      <c r="P34" s="0" t="n">
        <v>1057.042</v>
      </c>
      <c r="Q34" s="0" t="n">
        <v>111968.941</v>
      </c>
      <c r="R34" s="0" t="n">
        <v>162347.097</v>
      </c>
      <c r="S34" s="0" t="n">
        <v>364.396</v>
      </c>
      <c r="T34" s="0" t="n">
        <v>340.462</v>
      </c>
      <c r="U34" s="0" t="n">
        <v>90.409</v>
      </c>
      <c r="V34" s="0" t="n">
        <v>575.937</v>
      </c>
      <c r="W34" s="0" t="n">
        <f aca="false">F34*x_c_F+G34*x_c_CC+H34*x_c_DC+I34*x_c_HCC+J34*x_c_PLT+K34*x_c_SVRn+L34*x_c_SVRcc+M34*x_c_LT</f>
        <v>645743185.210849</v>
      </c>
      <c r="X34" s="0" t="n">
        <f aca="false">C34*x_c_DAA</f>
        <v>109976320</v>
      </c>
      <c r="Y34" s="0" t="n">
        <f aca="false">C34*x_c_MON</f>
        <v>27857107.6100244</v>
      </c>
      <c r="Z34" s="0" t="n">
        <f aca="false">D34</f>
        <v>0</v>
      </c>
      <c r="AA34" s="0" t="n">
        <f aca="false">E34</f>
        <v>0</v>
      </c>
      <c r="AB34" s="0" t="n">
        <f aca="false">x_z_F*Q34+(1-x_AGRI)*x_EMP*x_WLOSS*(x_PEN_K74*N34+x_PEN_C22*O34)</f>
        <v>30785487.5020837</v>
      </c>
      <c r="AC34" s="0" t="n">
        <f aca="false">x_AGRI*x_EMP*x_WLOSS*(x_PEN_K74*N34+x_PEN_C22*O34)</f>
        <v>1619522.29890206</v>
      </c>
      <c r="AD34" s="0" t="n">
        <f aca="false">x_EMP*x_WAGE*(x_WLOSS*(N34+O34)+P34)+Q34*x_absd*x_WAGE/365</f>
        <v>182772187.071946</v>
      </c>
      <c r="AE34" s="0" t="n">
        <f aca="false">AD34*x_R_FUS</f>
        <v>57829119.9895636</v>
      </c>
      <c r="AF34" s="0" t="n">
        <f aca="false">AD34*x_R_NFZ</f>
        <v>14194270.8201944</v>
      </c>
      <c r="AG34" s="0" t="n">
        <f aca="false">AD34*x_R_PIT</f>
        <v>12151457.8593346</v>
      </c>
      <c r="AH34" s="0" t="n">
        <f aca="false">AD34*x_R_FP</f>
        <v>4660690.77033461</v>
      </c>
      <c r="AI34" s="0" t="n">
        <f aca="false">W34+X34+Y34+Z34</f>
        <v>783576612.820874</v>
      </c>
      <c r="AJ34" s="0" t="n">
        <f aca="false">AI34+AA34+AB34+AC34+AE34+AF34+AG34+AH34</f>
        <v>904817162.061287</v>
      </c>
      <c r="AK34" s="0" t="n">
        <f aca="false">AI34+AA34+AD34</f>
        <v>966348799.892819</v>
      </c>
      <c r="AL34" s="0" t="n">
        <f aca="false">X34+Y34+Z34</f>
        <v>137833427.610024</v>
      </c>
      <c r="AM34" s="0" t="n">
        <f aca="false">AL34+AA34</f>
        <v>137833427.610024</v>
      </c>
    </row>
    <row r="35" customFormat="false" ht="15" hidden="false" customHeight="false" outlineLevel="0" collapsed="false">
      <c r="A35" s="0" t="n">
        <v>2058</v>
      </c>
      <c r="B35" s="0" t="n">
        <v>32</v>
      </c>
      <c r="C35" s="0" t="n">
        <v>4832</v>
      </c>
      <c r="D35" s="0" t="n">
        <v>0</v>
      </c>
      <c r="E35" s="0" t="n">
        <v>0</v>
      </c>
      <c r="F35" s="0" t="n">
        <v>94571.845</v>
      </c>
      <c r="G35" s="0" t="n">
        <v>16060.435</v>
      </c>
      <c r="H35" s="0" t="n">
        <v>1947.726</v>
      </c>
      <c r="I35" s="0" t="n">
        <v>1155.194</v>
      </c>
      <c r="J35" s="0" t="n">
        <v>1029.888</v>
      </c>
      <c r="K35" s="0" t="n">
        <v>98592.885</v>
      </c>
      <c r="L35" s="0" t="n">
        <v>12821.317</v>
      </c>
      <c r="M35" s="0" t="n">
        <v>86.335</v>
      </c>
      <c r="N35" s="0" t="n">
        <v>762.815</v>
      </c>
      <c r="O35" s="0" t="n">
        <v>389.531</v>
      </c>
      <c r="P35" s="0" t="n">
        <v>1216.741</v>
      </c>
      <c r="Q35" s="0" t="n">
        <v>110632.28</v>
      </c>
      <c r="R35" s="0" t="n">
        <v>162252.549</v>
      </c>
      <c r="S35" s="0" t="n">
        <v>350.113</v>
      </c>
      <c r="T35" s="0" t="n">
        <v>327.082</v>
      </c>
      <c r="U35" s="0" t="n">
        <v>86.335</v>
      </c>
      <c r="V35" s="0" t="n">
        <v>549.936</v>
      </c>
      <c r="W35" s="0" t="n">
        <f aca="false">F35*x_c_F+G35*x_c_CC+H35*x_c_DC+I35*x_c_HCC+J35*x_c_PLT+K35*x_c_SVRn+L35*x_c_SVRcc+M35*x_c_LT</f>
        <v>632592401.779325</v>
      </c>
      <c r="X35" s="0" t="n">
        <f aca="false">C35*x_c_DAA</f>
        <v>109976320</v>
      </c>
      <c r="Y35" s="0" t="n">
        <f aca="false">C35*x_c_MON</f>
        <v>27857107.6100244</v>
      </c>
      <c r="Z35" s="0" t="n">
        <f aca="false">D35</f>
        <v>0</v>
      </c>
      <c r="AA35" s="0" t="n">
        <f aca="false">E35</f>
        <v>0</v>
      </c>
      <c r="AB35" s="0" t="n">
        <f aca="false">x_z_F*Q35+(1-x_AGRI)*x_EMP*x_WLOSS*(x_PEN_K74*N35+x_PEN_C22*O35)</f>
        <v>33043505.4344719</v>
      </c>
      <c r="AC35" s="0" t="n">
        <f aca="false">x_AGRI*x_EMP*x_WLOSS*(x_PEN_K74*N35+x_PEN_C22*O35)</f>
        <v>1773731.18245679</v>
      </c>
      <c r="AD35" s="0" t="n">
        <f aca="false">x_EMP*x_WAGE*(x_WLOSS*(N35+O35)+P35)+Q35*x_absd*x_WAGE/365</f>
        <v>204925501.381652</v>
      </c>
      <c r="AE35" s="0" t="n">
        <f aca="false">AD35*x_R_FUS</f>
        <v>64838428.6371547</v>
      </c>
      <c r="AF35" s="0" t="n">
        <f aca="false">AD35*x_R_NFZ</f>
        <v>15914719.3628005</v>
      </c>
      <c r="AG35" s="0" t="n">
        <f aca="false">AD35*x_R_PIT</f>
        <v>13624302.6591456</v>
      </c>
      <c r="AH35" s="0" t="n">
        <f aca="false">AD35*x_R_FP</f>
        <v>5225600.28523213</v>
      </c>
      <c r="AI35" s="0" t="n">
        <f aca="false">W35+X35+Y35+Z35</f>
        <v>770425829.389349</v>
      </c>
      <c r="AJ35" s="0" t="n">
        <f aca="false">AI35+AA35+AB35+AC35+AE35+AF35+AG35+AH35</f>
        <v>904846116.950611</v>
      </c>
      <c r="AK35" s="0" t="n">
        <f aca="false">AI35+AA35+AD35</f>
        <v>975351330.771001</v>
      </c>
      <c r="AL35" s="0" t="n">
        <f aca="false">X35+Y35+Z35</f>
        <v>137833427.610024</v>
      </c>
      <c r="AM35" s="0" t="n">
        <f aca="false">AL35+AA35</f>
        <v>137833427.610024</v>
      </c>
    </row>
    <row r="36" customFormat="false" ht="15" hidden="false" customHeight="false" outlineLevel="0" collapsed="false">
      <c r="A36" s="0" t="n">
        <v>2059</v>
      </c>
      <c r="B36" s="0" t="n">
        <v>33</v>
      </c>
      <c r="C36" s="0" t="n">
        <v>4832</v>
      </c>
      <c r="D36" s="0" t="n">
        <v>0</v>
      </c>
      <c r="E36" s="0" t="n">
        <v>0</v>
      </c>
      <c r="F36" s="0" t="n">
        <v>93923.914</v>
      </c>
      <c r="G36" s="0" t="n">
        <v>15424.185</v>
      </c>
      <c r="H36" s="0" t="n">
        <v>1861.728</v>
      </c>
      <c r="I36" s="0" t="n">
        <v>1106.519</v>
      </c>
      <c r="J36" s="0" t="n">
        <v>972.567</v>
      </c>
      <c r="K36" s="0" t="n">
        <v>99820.437</v>
      </c>
      <c r="L36" s="0" t="n">
        <v>12463.827</v>
      </c>
      <c r="M36" s="0" t="n">
        <v>82.249</v>
      </c>
      <c r="N36" s="0" t="n">
        <v>833.733</v>
      </c>
      <c r="O36" s="0" t="n">
        <v>420.853</v>
      </c>
      <c r="P36" s="0" t="n">
        <v>1389.769</v>
      </c>
      <c r="Q36" s="0" t="n">
        <v>109348.099</v>
      </c>
      <c r="R36" s="0" t="n">
        <v>162067.434</v>
      </c>
      <c r="S36" s="0" t="n">
        <v>336.166</v>
      </c>
      <c r="T36" s="0" t="n">
        <v>313.861</v>
      </c>
      <c r="U36" s="0" t="n">
        <v>82.249</v>
      </c>
      <c r="V36" s="0" t="n">
        <v>523.728</v>
      </c>
      <c r="W36" s="0" t="n">
        <f aca="false">F36*x_c_F+G36*x_c_CC+H36*x_c_DC+I36*x_c_HCC+J36*x_c_PLT+K36*x_c_SVRn+L36*x_c_SVRcc+M36*x_c_LT</f>
        <v>619164851.351041</v>
      </c>
      <c r="X36" s="0" t="n">
        <f aca="false">C36*x_c_DAA</f>
        <v>109976320</v>
      </c>
      <c r="Y36" s="0" t="n">
        <f aca="false">C36*x_c_MON</f>
        <v>27857107.6100244</v>
      </c>
      <c r="Z36" s="0" t="n">
        <f aca="false">D36</f>
        <v>0</v>
      </c>
      <c r="AA36" s="0" t="n">
        <f aca="false">E36</f>
        <v>0</v>
      </c>
      <c r="AB36" s="0" t="n">
        <f aca="false">x_z_F*Q36+(1-x_AGRI)*x_EMP*x_WLOSS*(x_PEN_K74*N36+x_PEN_C22*O36)</f>
        <v>35342476.177557</v>
      </c>
      <c r="AC36" s="0" t="n">
        <f aca="false">x_AGRI*x_EMP*x_WLOSS*(x_PEN_K74*N36+x_PEN_C22*O36)</f>
        <v>1930452.29807484</v>
      </c>
      <c r="AD36" s="0" t="n">
        <f aca="false">x_EMP*x_WAGE*(x_WLOSS*(N36+O36)+P36)+Q36*x_absd*x_WAGE/365</f>
        <v>228360906.244801</v>
      </c>
      <c r="AE36" s="0" t="n">
        <f aca="false">AD36*x_R_FUS</f>
        <v>72253390.735855</v>
      </c>
      <c r="AF36" s="0" t="n">
        <f aca="false">AD36*x_R_NFZ</f>
        <v>17734736.3398775</v>
      </c>
      <c r="AG36" s="0" t="n">
        <f aca="false">AD36*x_R_PIT</f>
        <v>15182386.1901968</v>
      </c>
      <c r="AH36" s="0" t="n">
        <f aca="false">AD36*x_R_FP</f>
        <v>5823203.10924242</v>
      </c>
      <c r="AI36" s="0" t="n">
        <f aca="false">W36+X36+Y36+Z36</f>
        <v>756998278.961065</v>
      </c>
      <c r="AJ36" s="0" t="n">
        <f aca="false">AI36+AA36+AB36+AC36+AE36+AF36+AG36+AH36</f>
        <v>905264923.811868</v>
      </c>
      <c r="AK36" s="0" t="n">
        <f aca="false">AI36+AA36+AD36</f>
        <v>985359185.205866</v>
      </c>
      <c r="AL36" s="0" t="n">
        <f aca="false">X36+Y36+Z36</f>
        <v>137833427.610024</v>
      </c>
      <c r="AM36" s="0" t="n">
        <f aca="false">AL36+AA36</f>
        <v>137833427.610024</v>
      </c>
    </row>
    <row r="37" customFormat="false" ht="15" hidden="false" customHeight="false" outlineLevel="0" collapsed="false">
      <c r="A37" s="0" t="n">
        <v>2060</v>
      </c>
      <c r="B37" s="0" t="n">
        <v>34</v>
      </c>
      <c r="C37" s="0" t="n">
        <v>4832</v>
      </c>
      <c r="D37" s="0" t="n">
        <v>0</v>
      </c>
      <c r="E37" s="0" t="n">
        <v>0</v>
      </c>
      <c r="F37" s="0" t="n">
        <v>93309.566</v>
      </c>
      <c r="G37" s="0" t="n">
        <v>14818.656</v>
      </c>
      <c r="H37" s="0" t="n">
        <v>1775.855</v>
      </c>
      <c r="I37" s="0" t="n">
        <v>1057.949</v>
      </c>
      <c r="J37" s="0" t="n">
        <v>912.044</v>
      </c>
      <c r="K37" s="0" t="n">
        <v>100969.324</v>
      </c>
      <c r="L37" s="0" t="n">
        <v>12047.394</v>
      </c>
      <c r="M37" s="0" t="n">
        <v>78.263</v>
      </c>
      <c r="N37" s="0" t="n">
        <v>827.098</v>
      </c>
      <c r="O37" s="0" t="n">
        <v>417.43</v>
      </c>
      <c r="P37" s="0" t="n">
        <v>1381.039</v>
      </c>
      <c r="Q37" s="0" t="n">
        <v>108128.222</v>
      </c>
      <c r="R37" s="0" t="n">
        <v>161824.947</v>
      </c>
      <c r="S37" s="0" t="n">
        <v>322.868</v>
      </c>
      <c r="T37" s="0" t="n">
        <v>301.117</v>
      </c>
      <c r="U37" s="0" t="n">
        <v>78.263</v>
      </c>
      <c r="V37" s="0" t="n">
        <v>498.013</v>
      </c>
      <c r="W37" s="0" t="n">
        <f aca="false">F37*x_c_F+G37*x_c_CC+H37*x_c_DC+I37*x_c_HCC+J37*x_c_PLT+K37*x_c_SVRn+L37*x_c_SVRcc+M37*x_c_LT</f>
        <v>605734862.050984</v>
      </c>
      <c r="X37" s="0" t="n">
        <f aca="false">C37*x_c_DAA</f>
        <v>109976320</v>
      </c>
      <c r="Y37" s="0" t="n">
        <f aca="false">C37*x_c_MON</f>
        <v>27857107.6100244</v>
      </c>
      <c r="Z37" s="0" t="n">
        <f aca="false">D37</f>
        <v>0</v>
      </c>
      <c r="AA37" s="0" t="n">
        <f aca="false">E37</f>
        <v>0</v>
      </c>
      <c r="AB37" s="0" t="n">
        <f aca="false">x_z_F*Q37+(1-x_AGRI)*x_EMP*x_WLOSS*(x_PEN_K74*N37+x_PEN_C22*O37)</f>
        <v>35039724.7775812</v>
      </c>
      <c r="AC37" s="0" t="n">
        <f aca="false">x_AGRI*x_EMP*x_WLOSS*(x_PEN_K74*N37+x_PEN_C22*O37)</f>
        <v>1914966.04241277</v>
      </c>
      <c r="AD37" s="0" t="n">
        <f aca="false">x_EMP*x_WAGE*(x_WLOSS*(N37+O37)+P37)+Q37*x_absd*x_WAGE/365</f>
        <v>226726658.808256</v>
      </c>
      <c r="AE37" s="0" t="n">
        <f aca="false">AD37*x_R_FUS</f>
        <v>71736314.8469323</v>
      </c>
      <c r="AF37" s="0" t="n">
        <f aca="false">AD37*x_R_NFZ</f>
        <v>17607819.049708</v>
      </c>
      <c r="AG37" s="0" t="n">
        <f aca="false">AD37*x_R_PIT</f>
        <v>15073734.5995197</v>
      </c>
      <c r="AH37" s="0" t="n">
        <f aca="false">AD37*x_R_FP</f>
        <v>5781529.79961053</v>
      </c>
      <c r="AI37" s="0" t="n">
        <f aca="false">W37+X37+Y37+Z37</f>
        <v>743568289.661008</v>
      </c>
      <c r="AJ37" s="0" t="n">
        <f aca="false">AI37+AA37+AB37+AC37+AE37+AF37+AG37+AH37</f>
        <v>890722378.776773</v>
      </c>
      <c r="AK37" s="0" t="n">
        <f aca="false">AI37+AA37+AD37</f>
        <v>970294948.469264</v>
      </c>
      <c r="AL37" s="0" t="n">
        <f aca="false">X37+Y37+Z37</f>
        <v>137833427.610024</v>
      </c>
      <c r="AM37" s="0" t="n">
        <f aca="false">AL37+AA37</f>
        <v>137833427.610024</v>
      </c>
    </row>
    <row r="38" customFormat="false" ht="15" hidden="false" customHeight="false" outlineLevel="0" collapsed="false">
      <c r="A38" s="0" t="n">
        <v>2061</v>
      </c>
      <c r="B38" s="0" t="n">
        <v>35</v>
      </c>
      <c r="C38" s="0" t="n">
        <v>4832</v>
      </c>
      <c r="D38" s="0" t="n">
        <v>0</v>
      </c>
      <c r="E38" s="0" t="n">
        <v>0</v>
      </c>
      <c r="F38" s="0" t="n">
        <v>92731.296</v>
      </c>
      <c r="G38" s="0" t="n">
        <v>14255.539</v>
      </c>
      <c r="H38" s="0" t="n">
        <v>1692.377</v>
      </c>
      <c r="I38" s="0" t="n">
        <v>1010.741</v>
      </c>
      <c r="J38" s="0" t="n">
        <v>849.825</v>
      </c>
      <c r="K38" s="0" t="n">
        <v>102074.693</v>
      </c>
      <c r="L38" s="0" t="n">
        <v>11588.097</v>
      </c>
      <c r="M38" s="0" t="n">
        <v>74.492</v>
      </c>
      <c r="N38" s="0" t="n">
        <v>820.319</v>
      </c>
      <c r="O38" s="0" t="n">
        <v>413.94</v>
      </c>
      <c r="P38" s="0" t="n">
        <v>1372.012</v>
      </c>
      <c r="Q38" s="0" t="n">
        <v>106986.836</v>
      </c>
      <c r="R38" s="0" t="n">
        <v>161572.741</v>
      </c>
      <c r="S38" s="0" t="n">
        <v>310.532</v>
      </c>
      <c r="T38" s="0" t="n">
        <v>289.173</v>
      </c>
      <c r="U38" s="0" t="n">
        <v>74.492</v>
      </c>
      <c r="V38" s="0" t="n">
        <v>473.527</v>
      </c>
      <c r="W38" s="0" t="n">
        <f aca="false">F38*x_c_F+G38*x_c_CC+H38*x_c_DC+I38*x_c_HCC+J38*x_c_PLT+K38*x_c_SVRn+L38*x_c_SVRcc+M38*x_c_LT</f>
        <v>592646031.755721</v>
      </c>
      <c r="X38" s="0" t="n">
        <f aca="false">C38*x_c_DAA</f>
        <v>109976320</v>
      </c>
      <c r="Y38" s="0" t="n">
        <f aca="false">C38*x_c_MON</f>
        <v>27857107.6100244</v>
      </c>
      <c r="Z38" s="0" t="n">
        <f aca="false">D38</f>
        <v>0</v>
      </c>
      <c r="AA38" s="0" t="n">
        <f aca="false">E38</f>
        <v>0</v>
      </c>
      <c r="AB38" s="0" t="n">
        <f aca="false">x_z_F*Q38+(1-x_AGRI)*x_EMP*x_WLOSS*(x_PEN_K74*N38+x_PEN_C22*O38)</f>
        <v>34736477.8352051</v>
      </c>
      <c r="AC38" s="0" t="n">
        <f aca="false">x_AGRI*x_EMP*x_WLOSS*(x_PEN_K74*N38+x_PEN_C22*O38)</f>
        <v>1899155.87660077</v>
      </c>
      <c r="AD38" s="0" t="n">
        <f aca="false">x_EMP*x_WAGE*(x_WLOSS*(N38+O38)+P38)+Q38*x_absd*x_WAGE/365</f>
        <v>225051182.05237</v>
      </c>
      <c r="AE38" s="0" t="n">
        <f aca="false">AD38*x_R_FUS</f>
        <v>71206194.0013699</v>
      </c>
      <c r="AF38" s="0" t="n">
        <f aca="false">AD38*x_R_NFZ</f>
        <v>17477699.8493691</v>
      </c>
      <c r="AG38" s="0" t="n">
        <f aca="false">AD38*x_R_PIT</f>
        <v>14962341.911608</v>
      </c>
      <c r="AH38" s="0" t="n">
        <f aca="false">AD38*x_R_FP</f>
        <v>5738805.14233543</v>
      </c>
      <c r="AI38" s="0" t="n">
        <f aca="false">W38+X38+Y38+Z38</f>
        <v>730479459.365745</v>
      </c>
      <c r="AJ38" s="0" t="n">
        <f aca="false">AI38+AA38+AB38+AC38+AE38+AF38+AG38+AH38</f>
        <v>876500133.982233</v>
      </c>
      <c r="AK38" s="0" t="n">
        <f aca="false">AI38+AA38+AD38</f>
        <v>955530641.418115</v>
      </c>
      <c r="AL38" s="0" t="n">
        <f aca="false">X38+Y38+Z38</f>
        <v>137833427.610024</v>
      </c>
      <c r="AM38" s="0" t="n">
        <f aca="false">AL38+AA38</f>
        <v>137833427.610024</v>
      </c>
    </row>
    <row r="39" customFormat="false" ht="15" hidden="false" customHeight="false" outlineLevel="0" collapsed="false">
      <c r="A39" s="0" t="n">
        <v>2062</v>
      </c>
      <c r="B39" s="0" t="n">
        <v>36</v>
      </c>
      <c r="C39" s="0" t="n">
        <v>4832</v>
      </c>
      <c r="D39" s="0" t="n">
        <v>0</v>
      </c>
      <c r="E39" s="0" t="n">
        <v>0</v>
      </c>
      <c r="F39" s="0" t="n">
        <v>92191.503</v>
      </c>
      <c r="G39" s="0" t="n">
        <v>13745.782</v>
      </c>
      <c r="H39" s="0" t="n">
        <v>1613.635</v>
      </c>
      <c r="I39" s="0" t="n">
        <v>966.198</v>
      </c>
      <c r="J39" s="0" t="n">
        <v>787.696</v>
      </c>
      <c r="K39" s="0" t="n">
        <v>103178.168</v>
      </c>
      <c r="L39" s="0" t="n">
        <v>11105.923</v>
      </c>
      <c r="M39" s="0" t="n">
        <v>71.04</v>
      </c>
      <c r="N39" s="0" t="n">
        <v>813.418</v>
      </c>
      <c r="O39" s="0" t="n">
        <v>410.395</v>
      </c>
      <c r="P39" s="0" t="n">
        <v>1362.716</v>
      </c>
      <c r="Q39" s="0" t="n">
        <v>105937.285</v>
      </c>
      <c r="R39" s="0" t="n">
        <v>161365.58</v>
      </c>
      <c r="S39" s="0" t="n">
        <v>299.434</v>
      </c>
      <c r="T39" s="0" t="n">
        <v>278.323</v>
      </c>
      <c r="U39" s="0" t="n">
        <v>71.04</v>
      </c>
      <c r="V39" s="0" t="n">
        <v>450.955</v>
      </c>
      <c r="W39" s="0" t="n">
        <f aca="false">F39*x_c_F+G39*x_c_CC+H39*x_c_DC+I39*x_c_HCC+J39*x_c_PLT+K39*x_c_SVRn+L39*x_c_SVRcc+M39*x_c_LT</f>
        <v>580261623.235313</v>
      </c>
      <c r="X39" s="0" t="n">
        <f aca="false">C39*x_c_DAA</f>
        <v>109976320</v>
      </c>
      <c r="Y39" s="0" t="n">
        <f aca="false">C39*x_c_MON</f>
        <v>27857107.6100244</v>
      </c>
      <c r="Z39" s="0" t="n">
        <f aca="false">D39</f>
        <v>0</v>
      </c>
      <c r="AA39" s="0" t="n">
        <f aca="false">E39</f>
        <v>0</v>
      </c>
      <c r="AB39" s="0" t="n">
        <f aca="false">x_z_F*Q39+(1-x_AGRI)*x_EMP*x_WLOSS*(x_PEN_K74*N39+x_PEN_C22*O39)</f>
        <v>34434277.5163232</v>
      </c>
      <c r="AC39" s="0" t="n">
        <f aca="false">x_AGRI*x_EMP*x_WLOSS*(x_PEN_K74*N39+x_PEN_C22*O39)</f>
        <v>1883074.2364019</v>
      </c>
      <c r="AD39" s="0" t="n">
        <f aca="false">x_EMP*x_WAGE*(x_WLOSS*(N39+O39)+P39)+Q39*x_absd*x_WAGE/365</f>
        <v>223340116.253299</v>
      </c>
      <c r="AE39" s="0" t="n">
        <f aca="false">AD39*x_R_FUS</f>
        <v>70664812.7825437</v>
      </c>
      <c r="AF39" s="0" t="n">
        <f aca="false">AD39*x_R_NFZ</f>
        <v>17344816.7683474</v>
      </c>
      <c r="AG39" s="0" t="n">
        <f aca="false">AD39*x_R_PIT</f>
        <v>14848583.1155622</v>
      </c>
      <c r="AH39" s="0" t="n">
        <f aca="false">AD39*x_R_FP</f>
        <v>5695172.96445911</v>
      </c>
      <c r="AI39" s="0" t="n">
        <f aca="false">W39+X39+Y39+Z39</f>
        <v>718095050.845337</v>
      </c>
      <c r="AJ39" s="0" t="n">
        <f aca="false">AI39+AA39+AB39+AC39+AE39+AF39+AG39+AH39</f>
        <v>862965788.228975</v>
      </c>
      <c r="AK39" s="0" t="n">
        <f aca="false">AI39+AA39+AD39</f>
        <v>941435167.098636</v>
      </c>
      <c r="AL39" s="0" t="n">
        <f aca="false">X39+Y39+Z39</f>
        <v>137833427.610024</v>
      </c>
      <c r="AM39" s="0" t="n">
        <f aca="false">AL39+AA39</f>
        <v>137833427.610024</v>
      </c>
    </row>
    <row r="40" customFormat="false" ht="15" hidden="false" customHeight="false" outlineLevel="0" collapsed="false">
      <c r="A40" s="0" t="n">
        <v>2063</v>
      </c>
      <c r="B40" s="0" t="n">
        <v>37</v>
      </c>
      <c r="C40" s="0" t="n">
        <v>4832</v>
      </c>
      <c r="D40" s="0" t="n">
        <v>0</v>
      </c>
      <c r="E40" s="0" t="n">
        <v>0</v>
      </c>
      <c r="F40" s="0" t="n">
        <v>91691.718</v>
      </c>
      <c r="G40" s="0" t="n">
        <v>13297.988</v>
      </c>
      <c r="H40" s="0" t="n">
        <v>1541.76</v>
      </c>
      <c r="I40" s="0" t="n">
        <v>925.511</v>
      </c>
      <c r="J40" s="0" t="n">
        <v>727.517</v>
      </c>
      <c r="K40" s="0" t="n">
        <v>104322.446</v>
      </c>
      <c r="L40" s="0" t="n">
        <v>10622.582</v>
      </c>
      <c r="M40" s="0" t="n">
        <v>67.989</v>
      </c>
      <c r="N40" s="0" t="n">
        <v>806.42</v>
      </c>
      <c r="O40" s="0" t="n">
        <v>406.807</v>
      </c>
      <c r="P40" s="0" t="n">
        <v>1353.177</v>
      </c>
      <c r="Q40" s="0" t="n">
        <v>104989.706</v>
      </c>
      <c r="R40" s="0" t="n">
        <v>161258.093</v>
      </c>
      <c r="S40" s="0" t="n">
        <v>289.769</v>
      </c>
      <c r="T40" s="0" t="n">
        <v>268.787</v>
      </c>
      <c r="U40" s="0" t="n">
        <v>67.989</v>
      </c>
      <c r="V40" s="0" t="n">
        <v>430.844</v>
      </c>
      <c r="W40" s="0" t="n">
        <f aca="false">F40*x_c_F+G40*x_c_CC+H40*x_c_DC+I40*x_c_HCC+J40*x_c_PLT+K40*x_c_SVRn+L40*x_c_SVRcc+M40*x_c_LT</f>
        <v>568918979.617821</v>
      </c>
      <c r="X40" s="0" t="n">
        <f aca="false">C40*x_c_DAA</f>
        <v>109976320</v>
      </c>
      <c r="Y40" s="0" t="n">
        <f aca="false">C40*x_c_MON</f>
        <v>27857107.6100244</v>
      </c>
      <c r="Z40" s="0" t="n">
        <f aca="false">D40</f>
        <v>0</v>
      </c>
      <c r="AA40" s="0" t="n">
        <f aca="false">E40</f>
        <v>0</v>
      </c>
      <c r="AB40" s="0" t="n">
        <f aca="false">x_z_F*Q40+(1-x_AGRI)*x_EMP*x_WLOSS*(x_PEN_K74*N40+x_PEN_C22*O40)</f>
        <v>34134552.7912075</v>
      </c>
      <c r="AC40" s="0" t="n">
        <f aca="false">x_AGRI*x_EMP*x_WLOSS*(x_PEN_K74*N40+x_PEN_C22*O40)</f>
        <v>1866777.97166198</v>
      </c>
      <c r="AD40" s="0" t="n">
        <f aca="false">x_EMP*x_WAGE*(x_WLOSS*(N40+O40)+P40)+Q40*x_absd*x_WAGE/365</f>
        <v>221599101.839682</v>
      </c>
      <c r="AE40" s="0" t="n">
        <f aca="false">AD40*x_R_FUS</f>
        <v>70113955.8220753</v>
      </c>
      <c r="AF40" s="0" t="n">
        <f aca="false">AD40*x_R_NFZ</f>
        <v>17209607.8479715</v>
      </c>
      <c r="AG40" s="0" t="n">
        <f aca="false">AD40*x_R_PIT</f>
        <v>14732833.2106205</v>
      </c>
      <c r="AH40" s="0" t="n">
        <f aca="false">AD40*x_R_FP</f>
        <v>5650777.09691188</v>
      </c>
      <c r="AI40" s="0" t="n">
        <f aca="false">W40+X40+Y40+Z40</f>
        <v>706752407.227845</v>
      </c>
      <c r="AJ40" s="0" t="n">
        <f aca="false">AI40+AA40+AB40+AC40+AE40+AF40+AG40+AH40</f>
        <v>850460911.968294</v>
      </c>
      <c r="AK40" s="0" t="n">
        <f aca="false">AI40+AA40+AD40</f>
        <v>928351509.067527</v>
      </c>
      <c r="AL40" s="0" t="n">
        <f aca="false">X40+Y40+Z40</f>
        <v>137833427.610024</v>
      </c>
      <c r="AM40" s="0" t="n">
        <f aca="false">AL40+AA40</f>
        <v>137833427.610024</v>
      </c>
    </row>
    <row r="41" customFormat="false" ht="15" hidden="false" customHeight="false" outlineLevel="0" collapsed="false">
      <c r="A41" s="0" t="n">
        <v>2064</v>
      </c>
      <c r="B41" s="0" t="n">
        <v>38</v>
      </c>
      <c r="C41" s="0" t="n">
        <v>4832</v>
      </c>
      <c r="D41" s="0" t="n">
        <v>0</v>
      </c>
      <c r="E41" s="0" t="n">
        <v>0</v>
      </c>
      <c r="F41" s="0" t="n">
        <v>91232.082</v>
      </c>
      <c r="G41" s="0" t="n">
        <v>12917.117</v>
      </c>
      <c r="H41" s="0" t="n">
        <v>1478.389</v>
      </c>
      <c r="I41" s="0" t="n">
        <v>889.597</v>
      </c>
      <c r="J41" s="0" t="n">
        <v>670.984</v>
      </c>
      <c r="K41" s="0" t="n">
        <v>105545.181</v>
      </c>
      <c r="L41" s="0" t="n">
        <v>10158.766</v>
      </c>
      <c r="M41" s="0" t="n">
        <v>65.396</v>
      </c>
      <c r="N41" s="0" t="n">
        <v>799.353</v>
      </c>
      <c r="O41" s="0" t="n">
        <v>403.191</v>
      </c>
      <c r="P41" s="0" t="n">
        <v>1343.426</v>
      </c>
      <c r="Q41" s="0" t="n">
        <v>104149.199</v>
      </c>
      <c r="R41" s="0" t="n">
        <v>161296.944</v>
      </c>
      <c r="S41" s="0" t="n">
        <v>281.651</v>
      </c>
      <c r="T41" s="0" t="n">
        <v>260.706</v>
      </c>
      <c r="U41" s="0" t="n">
        <v>65.396</v>
      </c>
      <c r="V41" s="0" t="n">
        <v>413.577</v>
      </c>
      <c r="W41" s="0" t="n">
        <f aca="false">F41*x_c_F+G41*x_c_CC+H41*x_c_DC+I41*x_c_HCC+J41*x_c_PLT+K41*x_c_SVRn+L41*x_c_SVRcc+M41*x_c_LT</f>
        <v>558885787.312216</v>
      </c>
      <c r="X41" s="0" t="n">
        <f aca="false">C41*x_c_DAA</f>
        <v>109976320</v>
      </c>
      <c r="Y41" s="0" t="n">
        <f aca="false">C41*x_c_MON</f>
        <v>27857107.6100244</v>
      </c>
      <c r="Z41" s="0" t="n">
        <f aca="false">D41</f>
        <v>0</v>
      </c>
      <c r="AA41" s="0" t="n">
        <f aca="false">E41</f>
        <v>0</v>
      </c>
      <c r="AB41" s="0" t="n">
        <f aca="false">x_z_F*Q41+(1-x_AGRI)*x_EMP*x_WLOSS*(x_PEN_K74*N41+x_PEN_C22*O41)</f>
        <v>33838592.6292662</v>
      </c>
      <c r="AC41" s="0" t="n">
        <f aca="false">x_AGRI*x_EMP*x_WLOSS*(x_PEN_K74*N41+x_PEN_C22*O41)</f>
        <v>1850333.36276529</v>
      </c>
      <c r="AD41" s="0" t="n">
        <f aca="false">x_EMP*x_WAGE*(x_WLOSS*(N41+O41)+P41)+Q41*x_absd*x_WAGE/365</f>
        <v>219834583.432641</v>
      </c>
      <c r="AE41" s="0" t="n">
        <f aca="false">AD41*x_R_FUS</f>
        <v>69555662.1980876</v>
      </c>
      <c r="AF41" s="0" t="n">
        <f aca="false">AD41*x_R_NFZ</f>
        <v>17072573.5839623</v>
      </c>
      <c r="AG41" s="0" t="n">
        <f aca="false">AD41*x_R_PIT</f>
        <v>14615520.662094</v>
      </c>
      <c r="AH41" s="0" t="n">
        <f aca="false">AD41*x_R_FP</f>
        <v>5605781.87753235</v>
      </c>
      <c r="AI41" s="0" t="n">
        <f aca="false">W41+X41+Y41+Z41</f>
        <v>696719214.92224</v>
      </c>
      <c r="AJ41" s="0" t="n">
        <f aca="false">AI41+AA41+AB41+AC41+AE41+AF41+AG41+AH41</f>
        <v>839257679.235948</v>
      </c>
      <c r="AK41" s="0" t="n">
        <f aca="false">AI41+AA41+AD41</f>
        <v>916553798.354881</v>
      </c>
      <c r="AL41" s="0" t="n">
        <f aca="false">X41+Y41+Z41</f>
        <v>137833427.610024</v>
      </c>
      <c r="AM41" s="0" t="n">
        <f aca="false">AL41+AA41</f>
        <v>137833427.610024</v>
      </c>
    </row>
    <row r="42" customFormat="false" ht="15" hidden="false" customHeight="false" outlineLevel="0" collapsed="false">
      <c r="A42" s="0" t="n">
        <v>2065</v>
      </c>
      <c r="B42" s="0" t="n">
        <v>39</v>
      </c>
      <c r="C42" s="0" t="n">
        <v>4832</v>
      </c>
      <c r="D42" s="0" t="n">
        <v>0</v>
      </c>
      <c r="E42" s="0" t="n">
        <v>0</v>
      </c>
      <c r="F42" s="0" t="n">
        <v>90811.551</v>
      </c>
      <c r="G42" s="0" t="n">
        <v>12604.553</v>
      </c>
      <c r="H42" s="0" t="n">
        <v>1424.615</v>
      </c>
      <c r="I42" s="0" t="n">
        <v>859.073</v>
      </c>
      <c r="J42" s="0" t="n">
        <v>619.534</v>
      </c>
      <c r="K42" s="0" t="n">
        <v>106876.935</v>
      </c>
      <c r="L42" s="0" t="n">
        <v>9732.919</v>
      </c>
      <c r="M42" s="0" t="n">
        <v>63.294</v>
      </c>
      <c r="N42" s="0" t="n">
        <v>792.244</v>
      </c>
      <c r="O42" s="0" t="n">
        <v>399.563</v>
      </c>
      <c r="P42" s="0" t="n">
        <v>1333.494</v>
      </c>
      <c r="Q42" s="0" t="n">
        <v>103416.103</v>
      </c>
      <c r="R42" s="0" t="n">
        <v>161518.595</v>
      </c>
      <c r="S42" s="0" t="n">
        <v>275.128</v>
      </c>
      <c r="T42" s="0" t="n">
        <v>254.157</v>
      </c>
      <c r="U42" s="0" t="n">
        <v>63.294</v>
      </c>
      <c r="V42" s="0" t="n">
        <v>399.405</v>
      </c>
      <c r="W42" s="0" t="n">
        <f aca="false">F42*x_c_F+G42*x_c_CC+H42*x_c_DC+I42*x_c_HCC+J42*x_c_PLT+K42*x_c_SVRn+L42*x_c_SVRcc+M42*x_c_LT</f>
        <v>550351207.534777</v>
      </c>
      <c r="X42" s="0" t="n">
        <f aca="false">C42*x_c_DAA</f>
        <v>109976320</v>
      </c>
      <c r="Y42" s="0" t="n">
        <f aca="false">C42*x_c_MON</f>
        <v>27857107.6100244</v>
      </c>
      <c r="Z42" s="0" t="n">
        <f aca="false">D42</f>
        <v>0</v>
      </c>
      <c r="AA42" s="0" t="n">
        <f aca="false">E42</f>
        <v>0</v>
      </c>
      <c r="AB42" s="0" t="n">
        <f aca="false">x_z_F*Q42+(1-x_AGRI)*x_EMP*x_WLOSS*(x_PEN_K74*N42+x_PEN_C22*O42)</f>
        <v>33547421.8509801</v>
      </c>
      <c r="AC42" s="0" t="n">
        <f aca="false">x_AGRI*x_EMP*x_WLOSS*(x_PEN_K74*N42+x_PEN_C22*O42)</f>
        <v>1833806.89088705</v>
      </c>
      <c r="AD42" s="0" t="n">
        <f aca="false">x_EMP*x_WAGE*(x_WLOSS*(N42+O42)+P42)+Q42*x_absd*x_WAGE/365</f>
        <v>218052879.304928</v>
      </c>
      <c r="AE42" s="0" t="n">
        <f aca="false">AD42*x_R_FUS</f>
        <v>68991931.0120792</v>
      </c>
      <c r="AF42" s="0" t="n">
        <f aca="false">AD42*x_R_NFZ</f>
        <v>16934204.6597</v>
      </c>
      <c r="AG42" s="0" t="n">
        <f aca="false">AD42*x_R_PIT</f>
        <v>14497065.5351266</v>
      </c>
      <c r="AH42" s="0" t="n">
        <f aca="false">AD42*x_R_FP</f>
        <v>5560348.42227566</v>
      </c>
      <c r="AI42" s="0" t="n">
        <f aca="false">W42+X42+Y42+Z42</f>
        <v>688184635.144802</v>
      </c>
      <c r="AJ42" s="0" t="n">
        <f aca="false">AI42+AA42+AB42+AC42+AE42+AF42+AG42+AH42</f>
        <v>829549413.51585</v>
      </c>
      <c r="AK42" s="0" t="n">
        <f aca="false">AI42+AA42+AD42</f>
        <v>906237514.449729</v>
      </c>
      <c r="AL42" s="0" t="n">
        <f aca="false">X42+Y42+Z42</f>
        <v>137833427.610024</v>
      </c>
      <c r="AM42" s="0" t="n">
        <f aca="false">AL42+AA42</f>
        <v>137833427.610024</v>
      </c>
    </row>
    <row r="43" customFormat="false" ht="15" hidden="false" customHeight="false" outlineLevel="0" collapsed="false">
      <c r="A43" s="0" t="n">
        <v>2066</v>
      </c>
      <c r="B43" s="0" t="n">
        <v>40</v>
      </c>
      <c r="C43" s="0" t="n">
        <v>4832</v>
      </c>
      <c r="D43" s="0" t="n">
        <v>0</v>
      </c>
      <c r="E43" s="0" t="n">
        <v>0</v>
      </c>
      <c r="F43" s="0" t="n">
        <v>90428.434</v>
      </c>
      <c r="G43" s="0" t="n">
        <v>12359.006</v>
      </c>
      <c r="H43" s="0" t="n">
        <v>1381.085</v>
      </c>
      <c r="I43" s="0" t="n">
        <v>834.31</v>
      </c>
      <c r="J43" s="0" t="n">
        <v>574.37</v>
      </c>
      <c r="K43" s="0" t="n">
        <v>108342.482</v>
      </c>
      <c r="L43" s="0" t="n">
        <v>9361.417</v>
      </c>
      <c r="M43" s="0" t="n">
        <v>61.689</v>
      </c>
      <c r="N43" s="0" t="n">
        <v>785.125</v>
      </c>
      <c r="O43" s="0" t="n">
        <v>395.939</v>
      </c>
      <c r="P43" s="0" t="n">
        <v>1323.418</v>
      </c>
      <c r="Q43" s="0" t="n">
        <v>102787.44</v>
      </c>
      <c r="R43" s="0" t="n">
        <v>161951.39</v>
      </c>
      <c r="S43" s="0" t="n">
        <v>270.17</v>
      </c>
      <c r="T43" s="0" t="n">
        <v>249.141</v>
      </c>
      <c r="U43" s="0" t="n">
        <v>61.689</v>
      </c>
      <c r="V43" s="0" t="n">
        <v>388.407</v>
      </c>
      <c r="W43" s="0" t="n">
        <f aca="false">F43*x_c_F+G43*x_c_CC+H43*x_c_DC+I43*x_c_HCC+J43*x_c_PLT+K43*x_c_SVRn+L43*x_c_SVRcc+M43*x_c_LT</f>
        <v>543438577.453106</v>
      </c>
      <c r="X43" s="0" t="n">
        <f aca="false">C43*x_c_DAA</f>
        <v>109976320</v>
      </c>
      <c r="Y43" s="0" t="n">
        <f aca="false">C43*x_c_MON</f>
        <v>27857107.6100244</v>
      </c>
      <c r="Z43" s="0" t="n">
        <f aca="false">D43</f>
        <v>0</v>
      </c>
      <c r="AA43" s="0" t="n">
        <f aca="false">E43</f>
        <v>0</v>
      </c>
      <c r="AB43" s="0" t="n">
        <f aca="false">x_z_F*Q43+(1-x_AGRI)*x_EMP*x_WLOSS*(x_PEN_K74*N43+x_PEN_C22*O43)</f>
        <v>33261990.4285559</v>
      </c>
      <c r="AC43" s="0" t="n">
        <f aca="false">x_AGRI*x_EMP*x_WLOSS*(x_PEN_K74*N43+x_PEN_C22*O43)</f>
        <v>1817272.39400715</v>
      </c>
      <c r="AD43" s="0" t="n">
        <f aca="false">x_EMP*x_WAGE*(x_WLOSS*(N43+O43)+P43)+Q43*x_absd*x_WAGE/365</f>
        <v>216261157.56748</v>
      </c>
      <c r="AE43" s="0" t="n">
        <f aca="false">AD43*x_R_FUS</f>
        <v>68425030.2543508</v>
      </c>
      <c r="AF43" s="0" t="n">
        <f aca="false">AD43*x_R_NFZ</f>
        <v>16795057.7578481</v>
      </c>
      <c r="AG43" s="0" t="n">
        <f aca="false">AD43*x_R_PIT</f>
        <v>14377944.3956522</v>
      </c>
      <c r="AH43" s="0" t="n">
        <f aca="false">AD43*x_R_FP</f>
        <v>5514659.51797075</v>
      </c>
      <c r="AI43" s="0" t="n">
        <f aca="false">W43+X43+Y43+Z43</f>
        <v>681272005.063131</v>
      </c>
      <c r="AJ43" s="0" t="n">
        <f aca="false">AI43+AA43+AB43+AC43+AE43+AF43+AG43+AH43</f>
        <v>821463959.811516</v>
      </c>
      <c r="AK43" s="0" t="n">
        <f aca="false">AI43+AA43+AD43</f>
        <v>897533162.630611</v>
      </c>
      <c r="AL43" s="0" t="n">
        <f aca="false">X43+Y43+Z43</f>
        <v>137833427.610024</v>
      </c>
      <c r="AM43" s="0" t="n">
        <f aca="false">AL43+AA43</f>
        <v>137833427.610024</v>
      </c>
    </row>
    <row r="44" customFormat="false" ht="15" hidden="false" customHeight="false" outlineLevel="0" collapsed="false">
      <c r="A44" s="0" t="n">
        <v>2067</v>
      </c>
      <c r="B44" s="0" t="n">
        <v>41</v>
      </c>
      <c r="C44" s="0" t="n">
        <v>4832</v>
      </c>
      <c r="D44" s="0" t="n">
        <v>0</v>
      </c>
      <c r="E44" s="0" t="n">
        <v>0</v>
      </c>
      <c r="F44" s="0" t="n">
        <v>90080.256</v>
      </c>
      <c r="G44" s="0" t="n">
        <v>12176.249</v>
      </c>
      <c r="H44" s="0" t="n">
        <v>1347.879</v>
      </c>
      <c r="I44" s="0" t="n">
        <v>815.367</v>
      </c>
      <c r="J44" s="0" t="n">
        <v>536.304</v>
      </c>
      <c r="K44" s="0" t="n">
        <v>109956.741</v>
      </c>
      <c r="L44" s="0" t="n">
        <v>9056.475</v>
      </c>
      <c r="M44" s="0" t="n">
        <v>60.569</v>
      </c>
      <c r="N44" s="0" t="n">
        <v>778.028</v>
      </c>
      <c r="O44" s="0" t="n">
        <v>392.335</v>
      </c>
      <c r="P44" s="0" t="n">
        <v>1313.235</v>
      </c>
      <c r="Q44" s="0" t="n">
        <v>102256.505</v>
      </c>
      <c r="R44" s="0" t="n">
        <v>162610.721</v>
      </c>
      <c r="S44" s="0" t="n">
        <v>266.699</v>
      </c>
      <c r="T44" s="0" t="n">
        <v>245.605</v>
      </c>
      <c r="U44" s="0" t="n">
        <v>60.569</v>
      </c>
      <c r="V44" s="0" t="n">
        <v>380.542</v>
      </c>
      <c r="W44" s="0" t="n">
        <f aca="false">F44*x_c_F+G44*x_c_CC+H44*x_c_DC+I44*x_c_HCC+J44*x_c_PLT+K44*x_c_SVRn+L44*x_c_SVRcc+M44*x_c_LT</f>
        <v>538187116.948957</v>
      </c>
      <c r="X44" s="0" t="n">
        <f aca="false">C44*x_c_DAA</f>
        <v>109976320</v>
      </c>
      <c r="Y44" s="0" t="n">
        <f aca="false">C44*x_c_MON</f>
        <v>27857107.6100244</v>
      </c>
      <c r="Z44" s="0" t="n">
        <f aca="false">D44</f>
        <v>0</v>
      </c>
      <c r="AA44" s="0" t="n">
        <f aca="false">E44</f>
        <v>0</v>
      </c>
      <c r="AB44" s="0" t="n">
        <f aca="false">x_z_F*Q44+(1-x_AGRI)*x_EMP*x_WLOSS*(x_PEN_K74*N44+x_PEN_C22*O44)</f>
        <v>32983039.1754452</v>
      </c>
      <c r="AC44" s="0" t="n">
        <f aca="false">x_AGRI*x_EMP*x_WLOSS*(x_PEN_K74*N44+x_PEN_C22*O44)</f>
        <v>1800803.71010544</v>
      </c>
      <c r="AD44" s="0" t="n">
        <f aca="false">x_EMP*x_WAGE*(x_WLOSS*(N44+O44)+P44)+Q44*x_absd*x_WAGE/365</f>
        <v>214466487.423364</v>
      </c>
      <c r="AE44" s="0" t="n">
        <f aca="false">AD44*x_R_FUS</f>
        <v>67857196.6207523</v>
      </c>
      <c r="AF44" s="0" t="n">
        <f aca="false">AD44*x_R_NFZ</f>
        <v>16655681.8797859</v>
      </c>
      <c r="AG44" s="0" t="n">
        <f aca="false">AD44*x_R_PIT</f>
        <v>14258627.2337962</v>
      </c>
      <c r="AH44" s="0" t="n">
        <f aca="false">AD44*x_R_FP</f>
        <v>5468895.42929578</v>
      </c>
      <c r="AI44" s="0" t="n">
        <f aca="false">W44+X44+Y44+Z44</f>
        <v>676020544.558981</v>
      </c>
      <c r="AJ44" s="0" t="n">
        <f aca="false">AI44+AA44+AB44+AC44+AE44+AF44+AG44+AH44</f>
        <v>815044788.608162</v>
      </c>
      <c r="AK44" s="0" t="n">
        <f aca="false">AI44+AA44+AD44</f>
        <v>890487031.982345</v>
      </c>
      <c r="AL44" s="0" t="n">
        <f aca="false">X44+Y44+Z44</f>
        <v>137833427.610024</v>
      </c>
      <c r="AM44" s="0" t="n">
        <f aca="false">AL44+AA44</f>
        <v>137833427.610024</v>
      </c>
    </row>
    <row r="45" customFormat="false" ht="15" hidden="false" customHeight="false" outlineLevel="0" collapsed="false">
      <c r="A45" s="0" t="n">
        <v>2068</v>
      </c>
      <c r="B45" s="0" t="n">
        <v>42</v>
      </c>
      <c r="C45" s="0" t="n">
        <v>4832</v>
      </c>
      <c r="D45" s="0" t="n">
        <v>0</v>
      </c>
      <c r="E45" s="0" t="n">
        <v>0</v>
      </c>
      <c r="F45" s="0" t="n">
        <v>89764.302</v>
      </c>
      <c r="G45" s="0" t="n">
        <v>12050.407</v>
      </c>
      <c r="H45" s="0" t="n">
        <v>1324.71</v>
      </c>
      <c r="I45" s="0" t="n">
        <v>802.098</v>
      </c>
      <c r="J45" s="0" t="n">
        <v>505.861</v>
      </c>
      <c r="K45" s="0" t="n">
        <v>111727.872</v>
      </c>
      <c r="L45" s="0" t="n">
        <v>8827.241</v>
      </c>
      <c r="M45" s="0" t="n">
        <v>59.897</v>
      </c>
      <c r="N45" s="0" t="n">
        <v>770.983</v>
      </c>
      <c r="O45" s="0" t="n">
        <v>388.767</v>
      </c>
      <c r="P45" s="0" t="n">
        <v>1302.984</v>
      </c>
      <c r="Q45" s="0" t="n">
        <v>101814.709</v>
      </c>
      <c r="R45" s="0" t="n">
        <v>163503.388</v>
      </c>
      <c r="S45" s="0" t="n">
        <v>264.567</v>
      </c>
      <c r="T45" s="0" t="n">
        <v>243.426</v>
      </c>
      <c r="U45" s="0" t="n">
        <v>59.897</v>
      </c>
      <c r="V45" s="0" t="n">
        <v>375.6</v>
      </c>
      <c r="W45" s="0" t="n">
        <f aca="false">F45*x_c_F+G45*x_c_CC+H45*x_c_DC+I45*x_c_HCC+J45*x_c_PLT+K45*x_c_SVRn+L45*x_c_SVRcc+M45*x_c_LT</f>
        <v>534576658.874717</v>
      </c>
      <c r="X45" s="0" t="n">
        <f aca="false">C45*x_c_DAA</f>
        <v>109976320</v>
      </c>
      <c r="Y45" s="0" t="n">
        <f aca="false">C45*x_c_MON</f>
        <v>27857107.6100244</v>
      </c>
      <c r="Z45" s="0" t="n">
        <f aca="false">D45</f>
        <v>0</v>
      </c>
      <c r="AA45" s="0" t="n">
        <f aca="false">E45</f>
        <v>0</v>
      </c>
      <c r="AB45" s="0" t="n">
        <f aca="false">x_z_F*Q45+(1-x_AGRI)*x_EMP*x_WLOSS*(x_PEN_K74*N45+x_PEN_C22*O45)</f>
        <v>32711158.6547311</v>
      </c>
      <c r="AC45" s="0" t="n">
        <f aca="false">x_AGRI*x_EMP*x_WLOSS*(x_PEN_K74*N45+x_PEN_C22*O45)</f>
        <v>1784471.73443994</v>
      </c>
      <c r="AD45" s="0" t="n">
        <f aca="false">x_EMP*x_WAGE*(x_WLOSS*(N45+O45)+P45)+Q45*x_absd*x_WAGE/365</f>
        <v>212675888.077676</v>
      </c>
      <c r="AE45" s="0" t="n">
        <f aca="false">AD45*x_R_FUS</f>
        <v>67290650.9877767</v>
      </c>
      <c r="AF45" s="0" t="n">
        <f aca="false">AD45*x_R_NFZ</f>
        <v>16516622.1440004</v>
      </c>
      <c r="AG45" s="0" t="n">
        <f aca="false">AD45*x_R_PIT</f>
        <v>14139580.7156106</v>
      </c>
      <c r="AH45" s="0" t="n">
        <f aca="false">AD45*x_R_FP</f>
        <v>5423235.14598074</v>
      </c>
      <c r="AI45" s="0" t="n">
        <f aca="false">W45+X45+Y45+Z45</f>
        <v>672410086.484741</v>
      </c>
      <c r="AJ45" s="0" t="n">
        <f aca="false">AI45+AA45+AB45+AC45+AE45+AF45+AG45+AH45</f>
        <v>810275805.867281</v>
      </c>
      <c r="AK45" s="0" t="n">
        <f aca="false">AI45+AA45+AD45</f>
        <v>885085974.562417</v>
      </c>
      <c r="AL45" s="0" t="n">
        <f aca="false">X45+Y45+Z45</f>
        <v>137833427.610024</v>
      </c>
      <c r="AM45" s="0" t="n">
        <f aca="false">AL45+AA45</f>
        <v>137833427.610024</v>
      </c>
    </row>
    <row r="46" customFormat="false" ht="15" hidden="false" customHeight="false" outlineLevel="0" collapsed="false">
      <c r="A46" s="0" t="n">
        <v>2069</v>
      </c>
      <c r="B46" s="0" t="n">
        <v>43</v>
      </c>
      <c r="C46" s="0" t="n">
        <v>4832</v>
      </c>
      <c r="D46" s="0" t="n">
        <v>0</v>
      </c>
      <c r="E46" s="0" t="n">
        <v>0</v>
      </c>
      <c r="F46" s="0" t="n">
        <v>89477.286</v>
      </c>
      <c r="G46" s="0" t="n">
        <v>11973.449</v>
      </c>
      <c r="H46" s="0" t="n">
        <v>1310.763</v>
      </c>
      <c r="I46" s="0" t="n">
        <v>794.059</v>
      </c>
      <c r="J46" s="0" t="n">
        <v>483.079</v>
      </c>
      <c r="K46" s="0" t="n">
        <v>113651.571</v>
      </c>
      <c r="L46" s="0" t="n">
        <v>8677.069</v>
      </c>
      <c r="M46" s="0" t="n">
        <v>59.63</v>
      </c>
      <c r="N46" s="0" t="n">
        <v>764.024</v>
      </c>
      <c r="O46" s="0" t="n">
        <v>385.253</v>
      </c>
      <c r="P46" s="0" t="n">
        <v>1292.708</v>
      </c>
      <c r="Q46" s="0" t="n">
        <v>101450.735</v>
      </c>
      <c r="R46" s="0" t="n">
        <v>164620.78</v>
      </c>
      <c r="S46" s="0" t="n">
        <v>263.619</v>
      </c>
      <c r="T46" s="0" t="n">
        <v>242.465</v>
      </c>
      <c r="U46" s="0" t="n">
        <v>59.63</v>
      </c>
      <c r="V46" s="0" t="n">
        <v>373.333</v>
      </c>
      <c r="W46" s="0" t="n">
        <f aca="false">F46*x_c_F+G46*x_c_CC+H46*x_c_DC+I46*x_c_HCC+J46*x_c_PLT+K46*x_c_SVRn+L46*x_c_SVRcc+M46*x_c_LT</f>
        <v>532504356.338563</v>
      </c>
      <c r="X46" s="0" t="n">
        <f aca="false">C46*x_c_DAA</f>
        <v>109976320</v>
      </c>
      <c r="Y46" s="0" t="n">
        <f aca="false">C46*x_c_MON</f>
        <v>27857107.6100244</v>
      </c>
      <c r="Z46" s="0" t="n">
        <f aca="false">D46</f>
        <v>0</v>
      </c>
      <c r="AA46" s="0" t="n">
        <f aca="false">E46</f>
        <v>0</v>
      </c>
      <c r="AB46" s="0" t="n">
        <f aca="false">x_z_F*Q46+(1-x_AGRI)*x_EMP*x_WLOSS*(x_PEN_K74*N46+x_PEN_C22*O46)</f>
        <v>32446925.9716391</v>
      </c>
      <c r="AC46" s="0" t="n">
        <f aca="false">x_AGRI*x_EMP*x_WLOSS*(x_PEN_K74*N46+x_PEN_C22*O46)</f>
        <v>1768356.59201615</v>
      </c>
      <c r="AD46" s="0" t="n">
        <f aca="false">x_EMP*x_WAGE*(x_WLOSS*(N46+O46)+P46)+Q46*x_absd*x_WAGE/365</f>
        <v>210897158.944209</v>
      </c>
      <c r="AE46" s="0" t="n">
        <f aca="false">AD46*x_R_FUS</f>
        <v>66727861.0899479</v>
      </c>
      <c r="AF46" s="0" t="n">
        <f aca="false">AD46*x_R_NFZ</f>
        <v>16378484.2607662</v>
      </c>
      <c r="AG46" s="0" t="n">
        <f aca="false">AD46*x_R_PIT</f>
        <v>14021323.3786779</v>
      </c>
      <c r="AH46" s="0" t="n">
        <f aca="false">AD46*x_R_FP</f>
        <v>5377877.55307734</v>
      </c>
      <c r="AI46" s="0" t="n">
        <f aca="false">W46+X46+Y46+Z46</f>
        <v>670337783.948588</v>
      </c>
      <c r="AJ46" s="0" t="n">
        <f aca="false">AI46+AA46+AB46+AC46+AE46+AF46+AG46+AH46</f>
        <v>807058612.794712</v>
      </c>
      <c r="AK46" s="0" t="n">
        <f aca="false">AI46+AA46+AD46</f>
        <v>881234942.892797</v>
      </c>
      <c r="AL46" s="0" t="n">
        <f aca="false">X46+Y46+Z46</f>
        <v>137833427.610024</v>
      </c>
      <c r="AM46" s="0" t="n">
        <f aca="false">AL46+AA46</f>
        <v>137833427.610024</v>
      </c>
    </row>
    <row r="47" customFormat="false" ht="15" hidden="false" customHeight="false" outlineLevel="0" collapsed="false">
      <c r="A47" s="0" t="n">
        <v>2070</v>
      </c>
      <c r="B47" s="0" t="n">
        <v>44</v>
      </c>
      <c r="C47" s="0" t="n">
        <v>4832</v>
      </c>
      <c r="D47" s="0" t="n">
        <v>0</v>
      </c>
      <c r="E47" s="0" t="n">
        <v>0</v>
      </c>
      <c r="F47" s="0" t="n">
        <v>89216.271</v>
      </c>
      <c r="G47" s="0" t="n">
        <v>11937.422</v>
      </c>
      <c r="H47" s="0" t="n">
        <v>1305.116</v>
      </c>
      <c r="I47" s="0" t="n">
        <v>790.752</v>
      </c>
      <c r="J47" s="0" t="n">
        <v>467.838</v>
      </c>
      <c r="K47" s="0" t="n">
        <v>115720.597</v>
      </c>
      <c r="L47" s="0" t="n">
        <v>8607.421</v>
      </c>
      <c r="M47" s="0" t="n">
        <v>59.702</v>
      </c>
      <c r="N47" s="0" t="n">
        <v>757.18</v>
      </c>
      <c r="O47" s="0" t="n">
        <v>381.806</v>
      </c>
      <c r="P47" s="0" t="n">
        <v>1282.449</v>
      </c>
      <c r="Q47" s="0" t="n">
        <v>101153.693</v>
      </c>
      <c r="R47" s="0" t="n">
        <v>165950.991</v>
      </c>
      <c r="S47" s="0" t="n">
        <v>263.643</v>
      </c>
      <c r="T47" s="0" t="n">
        <v>242.525</v>
      </c>
      <c r="U47" s="0" t="n">
        <v>59.702</v>
      </c>
      <c r="V47" s="0" t="n">
        <v>373.344</v>
      </c>
      <c r="W47" s="0" t="n">
        <f aca="false">F47*x_c_F+G47*x_c_CC+H47*x_c_DC+I47*x_c_HCC+J47*x_c_PLT+K47*x_c_SVRn+L47*x_c_SVRcc+M47*x_c_LT</f>
        <v>531843602.636927</v>
      </c>
      <c r="X47" s="0" t="n">
        <f aca="false">C47*x_c_DAA</f>
        <v>109976320</v>
      </c>
      <c r="Y47" s="0" t="n">
        <f aca="false">C47*x_c_MON</f>
        <v>27857107.6100244</v>
      </c>
      <c r="Z47" s="0" t="n">
        <f aca="false">D47</f>
        <v>0</v>
      </c>
      <c r="AA47" s="0" t="n">
        <f aca="false">E47</f>
        <v>0</v>
      </c>
      <c r="AB47" s="0" t="n">
        <f aca="false">x_z_F*Q47+(1-x_AGRI)*x_EMP*x_WLOSS*(x_PEN_K74*N47+x_PEN_C22*O47)</f>
        <v>32190704.403045</v>
      </c>
      <c r="AC47" s="0" t="n">
        <f aca="false">x_AGRI*x_EMP*x_WLOSS*(x_PEN_K74*N47+x_PEN_C22*O47)</f>
        <v>1752522.69027547</v>
      </c>
      <c r="AD47" s="0" t="n">
        <f aca="false">x_EMP*x_WAGE*(x_WLOSS*(N47+O47)+P47)+Q47*x_absd*x_WAGE/365</f>
        <v>209137172.903172</v>
      </c>
      <c r="AE47" s="0" t="n">
        <f aca="false">AD47*x_R_FUS</f>
        <v>66171001.5065637</v>
      </c>
      <c r="AF47" s="0" t="n">
        <f aca="false">AD47*x_R_NFZ</f>
        <v>16241801.9848333</v>
      </c>
      <c r="AG47" s="0" t="n">
        <f aca="false">AD47*x_R_PIT</f>
        <v>13904312.1607607</v>
      </c>
      <c r="AH47" s="0" t="n">
        <f aca="false">AD47*x_R_FP</f>
        <v>5332997.90903089</v>
      </c>
      <c r="AI47" s="0" t="n">
        <f aca="false">W47+X47+Y47+Z47</f>
        <v>669677030.246952</v>
      </c>
      <c r="AJ47" s="0" t="n">
        <f aca="false">AI47+AA47+AB47+AC47+AE47+AF47+AG47+AH47</f>
        <v>805270370.901461</v>
      </c>
      <c r="AK47" s="0" t="n">
        <f aca="false">AI47+AA47+AD47</f>
        <v>878814203.150124</v>
      </c>
      <c r="AL47" s="0" t="n">
        <f aca="false">X47+Y47+Z47</f>
        <v>137833427.610024</v>
      </c>
      <c r="AM47" s="0" t="n">
        <f aca="false">AL47+AA47</f>
        <v>137833427.610024</v>
      </c>
    </row>
    <row r="48" customFormat="false" ht="15" hidden="false" customHeight="false" outlineLevel="0" collapsed="false">
      <c r="A48" s="0" t="n">
        <v>2071</v>
      </c>
      <c r="B48" s="0" t="n">
        <v>45</v>
      </c>
      <c r="C48" s="0" t="n">
        <v>4832</v>
      </c>
      <c r="D48" s="0" t="n">
        <v>0</v>
      </c>
      <c r="E48" s="0" t="n">
        <v>0</v>
      </c>
      <c r="F48" s="0" t="n">
        <v>88977.894</v>
      </c>
      <c r="G48" s="0" t="n">
        <v>11933.046</v>
      </c>
      <c r="H48" s="0" t="n">
        <v>1306.418</v>
      </c>
      <c r="I48" s="0" t="n">
        <v>791.425</v>
      </c>
      <c r="J48" s="0" t="n">
        <v>459.518</v>
      </c>
      <c r="K48" s="0" t="n">
        <v>117914.399</v>
      </c>
      <c r="L48" s="0" t="n">
        <v>8613.355</v>
      </c>
      <c r="M48" s="0" t="n">
        <v>60.05</v>
      </c>
      <c r="N48" s="0" t="n">
        <v>750.481</v>
      </c>
      <c r="O48" s="0" t="n">
        <v>378.443</v>
      </c>
      <c r="P48" s="0" t="n">
        <v>1272.25</v>
      </c>
      <c r="Q48" s="0" t="n">
        <v>100910.939</v>
      </c>
      <c r="R48" s="0" t="n">
        <v>167466.308</v>
      </c>
      <c r="S48" s="0" t="n">
        <v>264.439</v>
      </c>
      <c r="T48" s="0" t="n">
        <v>243.41</v>
      </c>
      <c r="U48" s="0" t="n">
        <v>60.05</v>
      </c>
      <c r="V48" s="0" t="n">
        <v>375.233</v>
      </c>
      <c r="W48" s="0" t="n">
        <f aca="false">F48*x_c_F+G48*x_c_CC+H48*x_c_DC+I48*x_c_HCC+J48*x_c_PLT+K48*x_c_SVRn+L48*x_c_SVRcc+M48*x_c_LT</f>
        <v>532395068.766985</v>
      </c>
      <c r="X48" s="0" t="n">
        <f aca="false">C48*x_c_DAA</f>
        <v>109976320</v>
      </c>
      <c r="Y48" s="0" t="n">
        <f aca="false">C48*x_c_MON</f>
        <v>27857107.6100244</v>
      </c>
      <c r="Z48" s="0" t="n">
        <f aca="false">D48</f>
        <v>0</v>
      </c>
      <c r="AA48" s="0" t="n">
        <f aca="false">E48</f>
        <v>0</v>
      </c>
      <c r="AB48" s="0" t="n">
        <f aca="false">x_z_F*Q48+(1-x_AGRI)*x_EMP*x_WLOSS*(x_PEN_K74*N48+x_PEN_C22*O48)</f>
        <v>31942882.2439994</v>
      </c>
      <c r="AC48" s="0" t="n">
        <f aca="false">x_AGRI*x_EMP*x_WLOSS*(x_PEN_K74*N48+x_PEN_C22*O48)</f>
        <v>1737042.59662783</v>
      </c>
      <c r="AD48" s="0" t="n">
        <f aca="false">x_EMP*x_WAGE*(x_WLOSS*(N48+O48)+P48)+Q48*x_absd*x_WAGE/365</f>
        <v>207403267.849713</v>
      </c>
      <c r="AE48" s="0" t="n">
        <f aca="false">AD48*x_R_FUS</f>
        <v>65622393.9476492</v>
      </c>
      <c r="AF48" s="0" t="n">
        <f aca="false">AD48*x_R_NFZ</f>
        <v>16107145.1844766</v>
      </c>
      <c r="AG48" s="0" t="n">
        <f aca="false">AD48*x_R_PIT</f>
        <v>13789034.9157557</v>
      </c>
      <c r="AH48" s="0" t="n">
        <f aca="false">AD48*x_R_FP</f>
        <v>5288783.33016768</v>
      </c>
      <c r="AI48" s="0" t="n">
        <f aca="false">W48+X48+Y48+Z48</f>
        <v>670228496.377009</v>
      </c>
      <c r="AJ48" s="0" t="n">
        <f aca="false">AI48+AA48+AB48+AC48+AE48+AF48+AG48+AH48</f>
        <v>804715778.595685</v>
      </c>
      <c r="AK48" s="0" t="n">
        <f aca="false">AI48+AA48+AD48</f>
        <v>877631764.226722</v>
      </c>
      <c r="AL48" s="0" t="n">
        <f aca="false">X48+Y48+Z48</f>
        <v>137833427.610024</v>
      </c>
      <c r="AM48" s="0" t="n">
        <f aca="false">AL48+AA48</f>
        <v>137833427.610024</v>
      </c>
    </row>
    <row r="49" customFormat="false" ht="15" hidden="false" customHeight="false" outlineLevel="0" collapsed="false">
      <c r="A49" s="0" t="n">
        <v>2072</v>
      </c>
      <c r="B49" s="0" t="n">
        <v>46</v>
      </c>
      <c r="C49" s="0" t="n">
        <v>4832</v>
      </c>
      <c r="D49" s="0" t="n">
        <v>0</v>
      </c>
      <c r="E49" s="0" t="n">
        <v>0</v>
      </c>
      <c r="F49" s="0" t="n">
        <v>88759.204</v>
      </c>
      <c r="G49" s="0" t="n">
        <v>11951.858</v>
      </c>
      <c r="H49" s="0" t="n">
        <v>1313.328</v>
      </c>
      <c r="I49" s="0" t="n">
        <v>795.335</v>
      </c>
      <c r="J49" s="0" t="n">
        <v>457.379</v>
      </c>
      <c r="K49" s="0" t="n">
        <v>120210.107</v>
      </c>
      <c r="L49" s="0" t="n">
        <v>8688.166</v>
      </c>
      <c r="M49" s="0" t="n">
        <v>60.599</v>
      </c>
      <c r="N49" s="0" t="n">
        <v>743.953</v>
      </c>
      <c r="O49" s="0" t="n">
        <v>375.175</v>
      </c>
      <c r="P49" s="0" t="n">
        <v>1262.155</v>
      </c>
      <c r="Q49" s="0" t="n">
        <v>100711.063</v>
      </c>
      <c r="R49" s="0" t="n">
        <v>169136.84</v>
      </c>
      <c r="S49" s="0" t="n">
        <v>265.784</v>
      </c>
      <c r="T49" s="0" t="n">
        <v>244.898</v>
      </c>
      <c r="U49" s="0" t="n">
        <v>60.599</v>
      </c>
      <c r="V49" s="0" t="n">
        <v>378.531</v>
      </c>
      <c r="W49" s="0" t="n">
        <f aca="false">F49*x_c_F+G49*x_c_CC+H49*x_c_DC+I49*x_c_HCC+J49*x_c_PLT+K49*x_c_SVRn+L49*x_c_SVRcc+M49*x_c_LT</f>
        <v>533951640.189708</v>
      </c>
      <c r="X49" s="0" t="n">
        <f aca="false">C49*x_c_DAA</f>
        <v>109976320</v>
      </c>
      <c r="Y49" s="0" t="n">
        <f aca="false">C49*x_c_MON</f>
        <v>27857107.6100244</v>
      </c>
      <c r="Z49" s="0" t="n">
        <f aca="false">D49</f>
        <v>0</v>
      </c>
      <c r="AA49" s="0" t="n">
        <f aca="false">E49</f>
        <v>0</v>
      </c>
      <c r="AB49" s="0" t="n">
        <f aca="false">x_z_F*Q49+(1-x_AGRI)*x_EMP*x_WLOSS*(x_PEN_K74*N49+x_PEN_C22*O49)</f>
        <v>31703676.2121653</v>
      </c>
      <c r="AC49" s="0" t="n">
        <f aca="false">x_AGRI*x_EMP*x_WLOSS*(x_PEN_K74*N49+x_PEN_C22*O49)</f>
        <v>1721972.96012806</v>
      </c>
      <c r="AD49" s="0" t="n">
        <f aca="false">x_EMP*x_WAGE*(x_WLOSS*(N49+O49)+P49)+Q49*x_absd*x_WAGE/365</f>
        <v>205702047.082704</v>
      </c>
      <c r="AE49" s="0" t="n">
        <f aca="false">AD49*x_R_FUS</f>
        <v>65084127.6969676</v>
      </c>
      <c r="AF49" s="0" t="n">
        <f aca="false">AD49*x_R_NFZ</f>
        <v>15975026.6784899</v>
      </c>
      <c r="AG49" s="0" t="n">
        <f aca="false">AD49*x_R_PIT</f>
        <v>13675930.658533</v>
      </c>
      <c r="AH49" s="0" t="n">
        <f aca="false">AD49*x_R_FP</f>
        <v>5245402.20060895</v>
      </c>
      <c r="AI49" s="0" t="n">
        <f aca="false">W49+X49+Y49+Z49</f>
        <v>671785067.799733</v>
      </c>
      <c r="AJ49" s="0" t="n">
        <f aca="false">AI49+AA49+AB49+AC49+AE49+AF49+AG49+AH49</f>
        <v>805191204.206626</v>
      </c>
      <c r="AK49" s="0" t="n">
        <f aca="false">AI49+AA49+AD49</f>
        <v>877487114.882437</v>
      </c>
      <c r="AL49" s="0" t="n">
        <f aca="false">X49+Y49+Z49</f>
        <v>137833427.610024</v>
      </c>
      <c r="AM49" s="0" t="n">
        <f aca="false">AL49+AA49</f>
        <v>137833427.610024</v>
      </c>
    </row>
    <row r="50" customFormat="false" ht="15" hidden="false" customHeight="false" outlineLevel="0" collapsed="false">
      <c r="A50" s="0" t="n">
        <v>2073</v>
      </c>
      <c r="B50" s="0" t="n">
        <v>47</v>
      </c>
      <c r="C50" s="0" t="n">
        <v>4832</v>
      </c>
      <c r="D50" s="0" t="n">
        <v>0</v>
      </c>
      <c r="E50" s="0" t="n">
        <v>0</v>
      </c>
      <c r="F50" s="0" t="n">
        <v>88557.201</v>
      </c>
      <c r="G50" s="0" t="n">
        <v>11985.386</v>
      </c>
      <c r="H50" s="0" t="n">
        <v>1324.329</v>
      </c>
      <c r="I50" s="0" t="n">
        <v>801.627</v>
      </c>
      <c r="J50" s="0" t="n">
        <v>460.366</v>
      </c>
      <c r="K50" s="0" t="n">
        <v>122576.097</v>
      </c>
      <c r="L50" s="0" t="n">
        <v>8820.636</v>
      </c>
      <c r="M50" s="0" t="n">
        <v>61.286</v>
      </c>
      <c r="N50" s="0" t="n">
        <v>737.619</v>
      </c>
      <c r="O50" s="0" t="n">
        <v>372.014</v>
      </c>
      <c r="P50" s="0" t="n">
        <v>1252.207</v>
      </c>
      <c r="Q50" s="0" t="n">
        <v>100542.587</v>
      </c>
      <c r="R50" s="0" t="n">
        <v>170922.836</v>
      </c>
      <c r="S50" s="0" t="n">
        <v>267.49</v>
      </c>
      <c r="T50" s="0" t="n">
        <v>246.8</v>
      </c>
      <c r="U50" s="0" t="n">
        <v>61.286</v>
      </c>
      <c r="V50" s="0" t="n">
        <v>382.827</v>
      </c>
      <c r="W50" s="0" t="n">
        <f aca="false">F50*x_c_F+G50*x_c_CC+H50*x_c_DC+I50*x_c_HCC+J50*x_c_PLT+K50*x_c_SVRn+L50*x_c_SVRcc+M50*x_c_LT</f>
        <v>536272167.76943</v>
      </c>
      <c r="X50" s="0" t="n">
        <f aca="false">C50*x_c_DAA</f>
        <v>109976320</v>
      </c>
      <c r="Y50" s="0" t="n">
        <f aca="false">C50*x_c_MON</f>
        <v>27857107.6100244</v>
      </c>
      <c r="Z50" s="0" t="n">
        <f aca="false">D50</f>
        <v>0</v>
      </c>
      <c r="AA50" s="0" t="n">
        <f aca="false">E50</f>
        <v>0</v>
      </c>
      <c r="AB50" s="0" t="n">
        <f aca="false">x_z_F*Q50+(1-x_AGRI)*x_EMP*x_WLOSS*(x_PEN_K74*N50+x_PEN_C22*O50)</f>
        <v>31473257.7262937</v>
      </c>
      <c r="AC50" s="0" t="n">
        <f aca="false">x_AGRI*x_EMP*x_WLOSS*(x_PEN_K74*N50+x_PEN_C22*O50)</f>
        <v>1707367.68790014</v>
      </c>
      <c r="AD50" s="0" t="n">
        <f aca="false">x_EMP*x_WAGE*(x_WLOSS*(N50+O50)+P50)+Q50*x_absd*x_WAGE/365</f>
        <v>204039856.314949</v>
      </c>
      <c r="AE50" s="0" t="n">
        <f aca="false">AD50*x_R_FUS</f>
        <v>64558210.5380498</v>
      </c>
      <c r="AF50" s="0" t="n">
        <f aca="false">AD50*x_R_NFZ</f>
        <v>15845939.2812752</v>
      </c>
      <c r="AG50" s="0" t="n">
        <f aca="false">AD50*x_R_PIT</f>
        <v>13565421.2785659</v>
      </c>
      <c r="AH50" s="0" t="n">
        <f aca="false">AD50*x_R_FP</f>
        <v>5203016.33603119</v>
      </c>
      <c r="AI50" s="0" t="n">
        <f aca="false">W50+X50+Y50+Z50</f>
        <v>674105595.379454</v>
      </c>
      <c r="AJ50" s="0" t="n">
        <f aca="false">AI50+AA50+AB50+AC50+AE50+AF50+AG50+AH50</f>
        <v>806458808.22757</v>
      </c>
      <c r="AK50" s="0" t="n">
        <f aca="false">AI50+AA50+AD50</f>
        <v>878145451.694403</v>
      </c>
      <c r="AL50" s="0" t="n">
        <f aca="false">X50+Y50+Z50</f>
        <v>137833427.610024</v>
      </c>
      <c r="AM50" s="0" t="n">
        <f aca="false">AL50+AA50</f>
        <v>137833427.610024</v>
      </c>
    </row>
    <row r="51" customFormat="false" ht="15" hidden="false" customHeight="false" outlineLevel="0" collapsed="false">
      <c r="A51" s="0" t="n">
        <v>2074</v>
      </c>
      <c r="B51" s="0" t="n">
        <v>48</v>
      </c>
      <c r="C51" s="0" t="n">
        <v>4832</v>
      </c>
      <c r="D51" s="0" t="n">
        <v>0</v>
      </c>
      <c r="E51" s="0" t="n">
        <v>0</v>
      </c>
      <c r="F51" s="0" t="n">
        <v>88369.438</v>
      </c>
      <c r="G51" s="0" t="n">
        <v>12026.772</v>
      </c>
      <c r="H51" s="0" t="n">
        <v>1338.113</v>
      </c>
      <c r="I51" s="0" t="n">
        <v>809.564</v>
      </c>
      <c r="J51" s="0" t="n">
        <v>467.479</v>
      </c>
      <c r="K51" s="0" t="n">
        <v>124982.83</v>
      </c>
      <c r="L51" s="0" t="n">
        <v>8999.853</v>
      </c>
      <c r="M51" s="0" t="n">
        <v>61.231</v>
      </c>
      <c r="N51" s="0" t="n">
        <v>731.502</v>
      </c>
      <c r="O51" s="0" t="n">
        <v>368.969</v>
      </c>
      <c r="P51" s="0" t="n">
        <v>1242.447</v>
      </c>
      <c r="Q51" s="0" t="n">
        <v>100396.21</v>
      </c>
      <c r="R51" s="0" t="n">
        <v>172787.807</v>
      </c>
      <c r="S51" s="0" t="n">
        <v>266.963</v>
      </c>
      <c r="T51" s="0" t="n">
        <v>246.316</v>
      </c>
      <c r="U51" s="0" t="n">
        <v>61.231</v>
      </c>
      <c r="V51" s="0" t="n">
        <v>382.048</v>
      </c>
      <c r="W51" s="0" t="n">
        <f aca="false">F51*x_c_F+G51*x_c_CC+H51*x_c_DC+I51*x_c_HCC+J51*x_c_PLT+K51*x_c_SVRn+L51*x_c_SVRcc+M51*x_c_LT</f>
        <v>538860856.171474</v>
      </c>
      <c r="X51" s="0" t="n">
        <f aca="false">C51*x_c_DAA</f>
        <v>109976320</v>
      </c>
      <c r="Y51" s="0" t="n">
        <f aca="false">C51*x_c_MON</f>
        <v>27857107.6100244</v>
      </c>
      <c r="Z51" s="0" t="n">
        <f aca="false">D51</f>
        <v>0</v>
      </c>
      <c r="AA51" s="0" t="n">
        <f aca="false">E51</f>
        <v>0</v>
      </c>
      <c r="AB51" s="0" t="n">
        <f aca="false">x_z_F*Q51+(1-x_AGRI)*x_EMP*x_WLOSS*(x_PEN_K74*N51+x_PEN_C22*O51)</f>
        <v>31251844.4839727</v>
      </c>
      <c r="AC51" s="0" t="n">
        <f aca="false">x_AGRI*x_EMP*x_WLOSS*(x_PEN_K74*N51+x_PEN_C22*O51)</f>
        <v>1693275.67061237</v>
      </c>
      <c r="AD51" s="0" t="n">
        <f aca="false">x_EMP*x_WAGE*(x_WLOSS*(N51+O51)+P51)+Q51*x_absd*x_WAGE/365</f>
        <v>202422672.730459</v>
      </c>
      <c r="AE51" s="0" t="n">
        <f aca="false">AD51*x_R_FUS</f>
        <v>64046533.6519172</v>
      </c>
      <c r="AF51" s="0" t="n">
        <f aca="false">AD51*x_R_NFZ</f>
        <v>15720347.1869202</v>
      </c>
      <c r="AG51" s="0" t="n">
        <f aca="false">AD51*x_R_PIT</f>
        <v>13457904.1639953</v>
      </c>
      <c r="AH51" s="0" t="n">
        <f aca="false">AD51*x_R_FP</f>
        <v>5161778.1546267</v>
      </c>
      <c r="AI51" s="0" t="n">
        <f aca="false">W51+X51+Y51+Z51</f>
        <v>676694283.781499</v>
      </c>
      <c r="AJ51" s="0" t="n">
        <f aca="false">AI51+AA51+AB51+AC51+AE51+AF51+AG51+AH51</f>
        <v>808025967.093543</v>
      </c>
      <c r="AK51" s="0" t="n">
        <f aca="false">AI51+AA51+AD51</f>
        <v>879116956.511957</v>
      </c>
      <c r="AL51" s="0" t="n">
        <f aca="false">X51+Y51+Z51</f>
        <v>137833427.610024</v>
      </c>
      <c r="AM51" s="0" t="n">
        <f aca="false">AL51+AA51</f>
        <v>137833427.610024</v>
      </c>
    </row>
    <row r="52" customFormat="false" ht="15" hidden="false" customHeight="false" outlineLevel="0" collapsed="false">
      <c r="A52" s="0" t="n">
        <v>2075</v>
      </c>
      <c r="B52" s="0" t="n">
        <v>49</v>
      </c>
      <c r="C52" s="0" t="n">
        <v>4832</v>
      </c>
      <c r="D52" s="0" t="n">
        <v>0</v>
      </c>
      <c r="E52" s="0" t="n">
        <v>0</v>
      </c>
      <c r="F52" s="0" t="n">
        <v>88164.839</v>
      </c>
      <c r="G52" s="0" t="n">
        <v>12003.419</v>
      </c>
      <c r="H52" s="0" t="n">
        <v>1336.666</v>
      </c>
      <c r="I52" s="0" t="n">
        <v>808.383</v>
      </c>
      <c r="J52" s="0" t="n">
        <v>459.326</v>
      </c>
      <c r="K52" s="0" t="n">
        <v>126834.603</v>
      </c>
      <c r="L52" s="0" t="n">
        <v>8964.626</v>
      </c>
      <c r="M52" s="0" t="n">
        <v>62.327</v>
      </c>
      <c r="N52" s="0" t="n">
        <v>725.619</v>
      </c>
      <c r="O52" s="0" t="n">
        <v>366.049</v>
      </c>
      <c r="P52" s="0" t="n">
        <v>1232.915</v>
      </c>
      <c r="Q52" s="0" t="n">
        <v>100168.258</v>
      </c>
      <c r="R52" s="0" t="n">
        <v>174026.558</v>
      </c>
      <c r="S52" s="0" t="n">
        <v>269.792</v>
      </c>
      <c r="T52" s="0" t="n">
        <v>249.492</v>
      </c>
      <c r="U52" s="0" t="n">
        <v>62.327</v>
      </c>
      <c r="V52" s="0" t="n">
        <v>389.296</v>
      </c>
      <c r="W52" s="0" t="n">
        <f aca="false">F52*x_c_F+G52*x_c_CC+H52*x_c_DC+I52*x_c_HCC+J52*x_c_PLT+K52*x_c_SVRn+L52*x_c_SVRcc+M52*x_c_LT</f>
        <v>539182815.571851</v>
      </c>
      <c r="X52" s="0" t="n">
        <f aca="false">C52*x_c_DAA</f>
        <v>109976320</v>
      </c>
      <c r="Y52" s="0" t="n">
        <f aca="false">C52*x_c_MON</f>
        <v>27857107.6100244</v>
      </c>
      <c r="Z52" s="0" t="n">
        <f aca="false">D52</f>
        <v>0</v>
      </c>
      <c r="AA52" s="0" t="n">
        <f aca="false">E52</f>
        <v>0</v>
      </c>
      <c r="AB52" s="0" t="n">
        <f aca="false">x_z_F*Q52+(1-x_AGRI)*x_EMP*x_WLOSS*(x_PEN_K74*N52+x_PEN_C22*O52)</f>
        <v>31034224.4207088</v>
      </c>
      <c r="AC52" s="0" t="n">
        <f aca="false">x_AGRI*x_EMP*x_WLOSS*(x_PEN_K74*N52+x_PEN_C22*O52)</f>
        <v>1679736.9707675</v>
      </c>
      <c r="AD52" s="0" t="n">
        <f aca="false">x_EMP*x_WAGE*(x_WLOSS*(N52+O52)+P52)+Q52*x_absd*x_WAGE/365</f>
        <v>200853372.200256</v>
      </c>
      <c r="AE52" s="0" t="n">
        <f aca="false">AD52*x_R_FUS</f>
        <v>63550006.9641609</v>
      </c>
      <c r="AF52" s="0" t="n">
        <f aca="false">AD52*x_R_NFZ</f>
        <v>15598473.7384441</v>
      </c>
      <c r="AG52" s="0" t="n">
        <f aca="false">AD52*x_R_PIT</f>
        <v>13353570.5147301</v>
      </c>
      <c r="AH52" s="0" t="n">
        <f aca="false">AD52*x_R_FP</f>
        <v>5121760.99110652</v>
      </c>
      <c r="AI52" s="0" t="n">
        <f aca="false">W52+X52+Y52+Z52</f>
        <v>677016243.181876</v>
      </c>
      <c r="AJ52" s="0" t="n">
        <f aca="false">AI52+AA52+AB52+AC52+AE52+AF52+AG52+AH52</f>
        <v>807354016.781793</v>
      </c>
      <c r="AK52" s="0" t="n">
        <f aca="false">AI52+AA52+AD52</f>
        <v>877869615.382131</v>
      </c>
      <c r="AL52" s="0" t="n">
        <f aca="false">X52+Y52+Z52</f>
        <v>137833427.610024</v>
      </c>
      <c r="AM52" s="0" t="n">
        <f aca="false">AL52+AA52</f>
        <v>137833427.610024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1" t="s">
        <v>479</v>
      </c>
    </row>
    <row r="2" customFormat="false" ht="28.35" hidden="false" customHeight="false" outlineLevel="0" collapsed="false">
      <c r="A2" s="3" t="s">
        <v>309</v>
      </c>
      <c r="B2" s="3" t="s">
        <v>444</v>
      </c>
      <c r="C2" s="3" t="s">
        <v>445</v>
      </c>
      <c r="D2" s="3" t="s">
        <v>446</v>
      </c>
      <c r="E2" s="3" t="s">
        <v>447</v>
      </c>
      <c r="F2" s="3" t="s">
        <v>448</v>
      </c>
      <c r="G2" s="3" t="s">
        <v>449</v>
      </c>
      <c r="H2" s="3" t="s">
        <v>450</v>
      </c>
      <c r="I2" s="3" t="s">
        <v>451</v>
      </c>
      <c r="J2" s="3" t="s">
        <v>452</v>
      </c>
      <c r="K2" s="3" t="s">
        <v>453</v>
      </c>
      <c r="L2" s="3" t="s">
        <v>454</v>
      </c>
      <c r="M2" s="3" t="s">
        <v>455</v>
      </c>
      <c r="N2" s="3" t="s">
        <v>456</v>
      </c>
      <c r="O2" s="3" t="s">
        <v>457</v>
      </c>
      <c r="P2" s="3" t="s">
        <v>458</v>
      </c>
      <c r="Q2" s="3" t="s">
        <v>459</v>
      </c>
      <c r="R2" s="3" t="s">
        <v>460</v>
      </c>
      <c r="S2" s="3" t="s">
        <v>461</v>
      </c>
      <c r="T2" s="3" t="s">
        <v>462</v>
      </c>
      <c r="U2" s="3" t="s">
        <v>463</v>
      </c>
      <c r="V2" s="3" t="s">
        <v>464</v>
      </c>
      <c r="W2" s="3" t="s">
        <v>465</v>
      </c>
      <c r="X2" s="3" t="s">
        <v>466</v>
      </c>
      <c r="Y2" s="3" t="s">
        <v>467</v>
      </c>
      <c r="Z2" s="3" t="s">
        <v>468</v>
      </c>
      <c r="AA2" s="3" t="s">
        <v>469</v>
      </c>
      <c r="AB2" s="3" t="s">
        <v>244</v>
      </c>
      <c r="AC2" s="3" t="s">
        <v>295</v>
      </c>
      <c r="AD2" s="3" t="s">
        <v>470</v>
      </c>
      <c r="AE2" s="3" t="s">
        <v>471</v>
      </c>
      <c r="AF2" s="3" t="s">
        <v>472</v>
      </c>
      <c r="AG2" s="3" t="s">
        <v>473</v>
      </c>
      <c r="AH2" s="3" t="s">
        <v>474</v>
      </c>
      <c r="AI2" s="3" t="s">
        <v>123</v>
      </c>
      <c r="AJ2" s="3" t="s">
        <v>475</v>
      </c>
      <c r="AK2" s="3" t="s">
        <v>476</v>
      </c>
      <c r="AL2" s="3" t="s">
        <v>477</v>
      </c>
      <c r="AM2" s="3" t="s">
        <v>478</v>
      </c>
    </row>
    <row r="3" customFormat="false" ht="15" hidden="false" customHeight="false" outlineLevel="0" collapsed="false">
      <c r="A3" s="0" t="n">
        <v>2026</v>
      </c>
      <c r="B3" s="0" t="n">
        <v>0</v>
      </c>
      <c r="C3" s="0" t="n">
        <v>5521.275</v>
      </c>
      <c r="D3" s="0" t="n">
        <v>16666666.667</v>
      </c>
      <c r="E3" s="0" t="n">
        <v>0</v>
      </c>
      <c r="F3" s="0" t="n">
        <v>140252.892</v>
      </c>
      <c r="G3" s="0" t="n">
        <v>12221.046</v>
      </c>
      <c r="H3" s="0" t="n">
        <v>1590</v>
      </c>
      <c r="I3" s="0" t="n">
        <v>890</v>
      </c>
      <c r="J3" s="0" t="n">
        <v>1585</v>
      </c>
      <c r="K3" s="0" t="n">
        <v>5027.948</v>
      </c>
      <c r="L3" s="0" t="n">
        <v>438.114</v>
      </c>
      <c r="M3" s="0" t="n">
        <v>74.361</v>
      </c>
      <c r="N3" s="0" t="n">
        <v>3175</v>
      </c>
      <c r="O3" s="0" t="n">
        <v>890</v>
      </c>
      <c r="P3" s="0" t="n">
        <v>0</v>
      </c>
      <c r="Q3" s="0" t="n">
        <v>152473.938</v>
      </c>
      <c r="R3" s="0" t="n">
        <v>113316.922</v>
      </c>
      <c r="S3" s="0" t="n">
        <v>241.299</v>
      </c>
      <c r="T3" s="0" t="n">
        <v>220.381</v>
      </c>
      <c r="U3" s="0" t="n">
        <v>74.361</v>
      </c>
      <c r="V3" s="0" t="n">
        <v>483.521</v>
      </c>
      <c r="W3" s="0" t="n">
        <f aca="false">F3*x_c_F+G3*x_c_CC+H3*x_c_DC+I3*x_c_HCC+J3*x_c_PLT+K3*x_c_SVRn+L3*x_c_SVRcc+M3*x_c_LT</f>
        <v>646207551.036825</v>
      </c>
      <c r="X3" s="0" t="n">
        <f aca="false">C3*x_c_DAA</f>
        <v>125664219</v>
      </c>
      <c r="Y3" s="0" t="n">
        <f aca="false">C3*x_c_MON</f>
        <v>31830867.5123215</v>
      </c>
      <c r="Z3" s="0" t="n">
        <f aca="false">D3</f>
        <v>16666666.667</v>
      </c>
      <c r="AA3" s="0" t="n">
        <f aca="false">E3</f>
        <v>0</v>
      </c>
      <c r="AB3" s="0" t="n">
        <f aca="false">x_z_F*Q3+(1-x_AGRI)*x_EMP*x_WLOSS*(x_PEN_K74*N3+x_PEN_C22*O3)</f>
        <v>101748420.461539</v>
      </c>
      <c r="AC3" s="0" t="n">
        <f aca="false">x_AGRI*x_EMP*x_WLOSS*(x_PEN_K74*N3+x_PEN_C22*O3)</f>
        <v>6159786.11926482</v>
      </c>
      <c r="AD3" s="0" t="n">
        <f aca="false">x_EMP*x_WAGE*(x_WLOSS*(N3+O3)+P3)+Q3*x_absd*x_WAGE/365</f>
        <v>350630278.000563</v>
      </c>
      <c r="AE3" s="0" t="n">
        <f aca="false">AD3*x_R_FUS</f>
        <v>110939419.959378</v>
      </c>
      <c r="AF3" s="0" t="n">
        <f aca="false">AD3*x_R_NFZ</f>
        <v>27230298.0198017</v>
      </c>
      <c r="AG3" s="0" t="n">
        <f aca="false">AD3*x_R_PIT</f>
        <v>23311364.3579342</v>
      </c>
      <c r="AH3" s="0" t="n">
        <f aca="false">AD3*x_R_FP</f>
        <v>8941072.08901434</v>
      </c>
      <c r="AI3" s="0" t="n">
        <f aca="false">W3+X3+Y3+Z3</f>
        <v>820369304.216147</v>
      </c>
      <c r="AJ3" s="0" t="n">
        <f aca="false">AI3+AA3+AB3+AC3+AE3+AF3+AG3+AH3</f>
        <v>1098699665.22308</v>
      </c>
      <c r="AK3" s="0" t="n">
        <f aca="false">AI3+AA3+AD3</f>
        <v>1170999582.21671</v>
      </c>
      <c r="AL3" s="0" t="n">
        <f aca="false">X3+Y3+Z3</f>
        <v>174161753.179321</v>
      </c>
      <c r="AM3" s="0" t="n">
        <f aca="false">AL3+AA3</f>
        <v>174161753.179321</v>
      </c>
    </row>
    <row r="4" customFormat="false" ht="15" hidden="false" customHeight="false" outlineLevel="0" collapsed="false">
      <c r="A4" s="0" t="n">
        <v>2027</v>
      </c>
      <c r="B4" s="0" t="n">
        <v>1</v>
      </c>
      <c r="C4" s="0" t="n">
        <v>6199.965</v>
      </c>
      <c r="D4" s="0" t="n">
        <v>33333333.333</v>
      </c>
      <c r="E4" s="0" t="n">
        <v>0</v>
      </c>
      <c r="F4" s="0" t="n">
        <v>137517.446</v>
      </c>
      <c r="G4" s="0" t="n">
        <v>13071.912</v>
      </c>
      <c r="H4" s="0" t="n">
        <v>1552.106</v>
      </c>
      <c r="I4" s="0" t="n">
        <v>857.23</v>
      </c>
      <c r="J4" s="0" t="n">
        <v>1504.88</v>
      </c>
      <c r="K4" s="0" t="n">
        <v>10602.392</v>
      </c>
      <c r="L4" s="0" t="n">
        <v>964.82</v>
      </c>
      <c r="M4" s="0" t="n">
        <v>72.444</v>
      </c>
      <c r="N4" s="0" t="n">
        <v>3131.347</v>
      </c>
      <c r="O4" s="0" t="n">
        <v>857.23</v>
      </c>
      <c r="P4" s="0" t="n">
        <v>483.521</v>
      </c>
      <c r="Q4" s="0" t="n">
        <v>150589.358</v>
      </c>
      <c r="R4" s="0" t="n">
        <v>116388.017</v>
      </c>
      <c r="S4" s="0" t="n">
        <v>260.016</v>
      </c>
      <c r="T4" s="0" t="n">
        <v>234.768</v>
      </c>
      <c r="U4" s="0" t="n">
        <v>72.444</v>
      </c>
      <c r="V4" s="0" t="n">
        <v>480.015</v>
      </c>
      <c r="W4" s="0" t="n">
        <f aca="false">F4*x_c_F+G4*x_c_CC+H4*x_c_DC+I4*x_c_HCC+J4*x_c_PLT+K4*x_c_SVRn+L4*x_c_SVRcc+M4*x_c_LT</f>
        <v>641625667.735776</v>
      </c>
      <c r="X4" s="0" t="n">
        <f aca="false">C4*x_c_DAA</f>
        <v>141111203.4</v>
      </c>
      <c r="Y4" s="0" t="n">
        <f aca="false">C4*x_c_MON</f>
        <v>35743603.5147734</v>
      </c>
      <c r="Z4" s="0" t="n">
        <f aca="false">D4</f>
        <v>33333333.333</v>
      </c>
      <c r="AA4" s="0" t="n">
        <f aca="false">E4</f>
        <v>0</v>
      </c>
      <c r="AB4" s="0" t="n">
        <f aca="false">x_z_F*Q4+(1-x_AGRI)*x_EMP*x_WLOSS*(x_PEN_K74*N4+x_PEN_C22*O4)</f>
        <v>99841913.8782996</v>
      </c>
      <c r="AC4" s="0" t="n">
        <f aca="false">x_AGRI*x_EMP*x_WLOSS*(x_PEN_K74*N4+x_PEN_C22*O4)</f>
        <v>6040760.38330577</v>
      </c>
      <c r="AD4" s="0" t="n">
        <f aca="false">x_EMP*x_WAGE*(x_WLOSS*(N4+O4)+P4)+Q4*x_absd*x_WAGE/365</f>
        <v>385289639.825444</v>
      </c>
      <c r="AE4" s="0" t="n">
        <f aca="false">AD4*x_R_FUS</f>
        <v>121905642.040771</v>
      </c>
      <c r="AF4" s="0" t="n">
        <f aca="false">AD4*x_R_NFZ</f>
        <v>29921978.7184838</v>
      </c>
      <c r="AG4" s="0" t="n">
        <f aca="false">AD4*x_R_PIT</f>
        <v>25615663.3948587</v>
      </c>
      <c r="AH4" s="0" t="n">
        <f aca="false">AD4*x_R_FP</f>
        <v>9824885.81554882</v>
      </c>
      <c r="AI4" s="0" t="n">
        <f aca="false">W4+X4+Y4+Z4</f>
        <v>851813807.98355</v>
      </c>
      <c r="AJ4" s="0" t="n">
        <f aca="false">AI4+AA4+AB4+AC4+AE4+AF4+AG4+AH4</f>
        <v>1144964652.21482</v>
      </c>
      <c r="AK4" s="0" t="n">
        <f aca="false">AI4+AA4+AD4</f>
        <v>1237103447.80899</v>
      </c>
      <c r="AL4" s="0" t="n">
        <f aca="false">X4+Y4+Z4</f>
        <v>210188140.247773</v>
      </c>
      <c r="AM4" s="0" t="n">
        <f aca="false">AL4+AA4</f>
        <v>210188140.247773</v>
      </c>
    </row>
    <row r="5" customFormat="false" ht="15" hidden="false" customHeight="false" outlineLevel="0" collapsed="false">
      <c r="A5" s="0" t="n">
        <v>2028</v>
      </c>
      <c r="B5" s="0" t="n">
        <v>2</v>
      </c>
      <c r="C5" s="0" t="n">
        <v>6858.427</v>
      </c>
      <c r="D5" s="0" t="n">
        <v>50000000</v>
      </c>
      <c r="E5" s="0" t="n">
        <v>0</v>
      </c>
      <c r="F5" s="0" t="n">
        <v>134048.979</v>
      </c>
      <c r="G5" s="0" t="n">
        <v>13939.239</v>
      </c>
      <c r="H5" s="0" t="n">
        <v>1538.915</v>
      </c>
      <c r="I5" s="0" t="n">
        <v>847.847</v>
      </c>
      <c r="J5" s="0" t="n">
        <v>1488.7</v>
      </c>
      <c r="K5" s="0" t="n">
        <v>16683.605</v>
      </c>
      <c r="L5" s="0" t="n">
        <v>1590.436</v>
      </c>
      <c r="M5" s="0" t="n">
        <v>71.77</v>
      </c>
      <c r="N5" s="0" t="n">
        <v>3100.058</v>
      </c>
      <c r="O5" s="0" t="n">
        <v>847.847</v>
      </c>
      <c r="P5" s="0" t="n">
        <v>960.838</v>
      </c>
      <c r="Q5" s="0" t="n">
        <v>147988.219</v>
      </c>
      <c r="R5" s="0" t="n">
        <v>119424.262</v>
      </c>
      <c r="S5" s="0" t="n">
        <v>279.441</v>
      </c>
      <c r="T5" s="0" t="n">
        <v>250.38</v>
      </c>
      <c r="U5" s="0" t="n">
        <v>71.77</v>
      </c>
      <c r="V5" s="0" t="n">
        <v>474.732</v>
      </c>
      <c r="W5" s="0" t="n">
        <f aca="false">F5*x_c_F+G5*x_c_CC+H5*x_c_DC+I5*x_c_HCC+J5*x_c_PLT+K5*x_c_SVRn+L5*x_c_SVRcc+M5*x_c_LT</f>
        <v>639919733.925898</v>
      </c>
      <c r="X5" s="0" t="n">
        <f aca="false">C5*x_c_DAA</f>
        <v>156097798.52</v>
      </c>
      <c r="Y5" s="0" t="n">
        <f aca="false">C5*x_c_MON</f>
        <v>39539722.4698876</v>
      </c>
      <c r="Z5" s="0" t="n">
        <f aca="false">D5</f>
        <v>50000000</v>
      </c>
      <c r="AA5" s="0" t="n">
        <f aca="false">E5</f>
        <v>0</v>
      </c>
      <c r="AB5" s="0" t="n">
        <f aca="false">x_z_F*Q5+(1-x_AGRI)*x_EMP*x_WLOSS*(x_PEN_K74*N5+x_PEN_C22*O5)</f>
        <v>98762065.2968217</v>
      </c>
      <c r="AC5" s="0" t="n">
        <f aca="false">x_AGRI*x_EMP*x_WLOSS*(x_PEN_K74*N5+x_PEN_C22*O5)</f>
        <v>5979033.17013491</v>
      </c>
      <c r="AD5" s="0" t="n">
        <f aca="false">x_EMP*x_WAGE*(x_WLOSS*(N5+O5)+P5)+Q5*x_absd*x_WAGE/365</f>
        <v>422449177.178788</v>
      </c>
      <c r="AE5" s="0" t="n">
        <f aca="false">AD5*x_R_FUS</f>
        <v>133662919.659369</v>
      </c>
      <c r="AF5" s="0" t="n">
        <f aca="false">AD5*x_R_NFZ</f>
        <v>32807825.5488819</v>
      </c>
      <c r="AG5" s="0" t="n">
        <f aca="false">AD5*x_R_PIT</f>
        <v>28086184.5362608</v>
      </c>
      <c r="AH5" s="0" t="n">
        <f aca="false">AD5*x_R_FP</f>
        <v>10772454.0180591</v>
      </c>
      <c r="AI5" s="0" t="n">
        <f aca="false">W5+X5+Y5+Z5</f>
        <v>885557254.915785</v>
      </c>
      <c r="AJ5" s="0" t="n">
        <f aca="false">AI5+AA5+AB5+AC5+AE5+AF5+AG5+AH5</f>
        <v>1195627737.14531</v>
      </c>
      <c r="AK5" s="0" t="n">
        <f aca="false">AI5+AA5+AD5</f>
        <v>1308006432.09457</v>
      </c>
      <c r="AL5" s="0" t="n">
        <f aca="false">X5+Y5+Z5</f>
        <v>245637520.989888</v>
      </c>
      <c r="AM5" s="0" t="n">
        <f aca="false">AL5+AA5</f>
        <v>245637520.989888</v>
      </c>
    </row>
    <row r="6" customFormat="false" ht="15" hidden="false" customHeight="false" outlineLevel="0" collapsed="false">
      <c r="A6" s="0" t="n">
        <v>2029</v>
      </c>
      <c r="B6" s="0" t="n">
        <v>3</v>
      </c>
      <c r="C6" s="0" t="n">
        <v>6823.636</v>
      </c>
      <c r="D6" s="0" t="n">
        <v>50000000</v>
      </c>
      <c r="E6" s="0" t="n">
        <v>0</v>
      </c>
      <c r="F6" s="0" t="n">
        <v>130538.94</v>
      </c>
      <c r="G6" s="0" t="n">
        <v>14826.391</v>
      </c>
      <c r="H6" s="0" t="n">
        <v>1546.795</v>
      </c>
      <c r="I6" s="0" t="n">
        <v>856.426</v>
      </c>
      <c r="J6" s="0" t="n">
        <v>1470.997</v>
      </c>
      <c r="K6" s="0" t="n">
        <v>22634.704</v>
      </c>
      <c r="L6" s="0" t="n">
        <v>2255.647</v>
      </c>
      <c r="M6" s="0" t="n">
        <v>72.132</v>
      </c>
      <c r="N6" s="0" t="n">
        <v>3089.562</v>
      </c>
      <c r="O6" s="0" t="n">
        <v>856.426</v>
      </c>
      <c r="P6" s="0" t="n">
        <v>1429.699</v>
      </c>
      <c r="Q6" s="0" t="n">
        <v>145365.331</v>
      </c>
      <c r="R6" s="0" t="n">
        <v>122382.559</v>
      </c>
      <c r="S6" s="0" t="n">
        <v>299.37</v>
      </c>
      <c r="T6" s="0" t="n">
        <v>266.886</v>
      </c>
      <c r="U6" s="0" t="n">
        <v>72.132</v>
      </c>
      <c r="V6" s="0" t="n">
        <v>476.671</v>
      </c>
      <c r="W6" s="0" t="n">
        <f aca="false">F6*x_c_F+G6*x_c_CC+H6*x_c_DC+I6*x_c_HCC+J6*x_c_PLT+K6*x_c_SVRn+L6*x_c_SVRcc+M6*x_c_LT</f>
        <v>640043644.705914</v>
      </c>
      <c r="X6" s="0" t="n">
        <f aca="false">C6*x_c_DAA</f>
        <v>155305955.36</v>
      </c>
      <c r="Y6" s="0" t="n">
        <f aca="false">C6*x_c_MON</f>
        <v>39339147.8360175</v>
      </c>
      <c r="Z6" s="0" t="n">
        <f aca="false">D6</f>
        <v>50000000</v>
      </c>
      <c r="AA6" s="0" t="n">
        <f aca="false">E6</f>
        <v>0</v>
      </c>
      <c r="AB6" s="0" t="n">
        <f aca="false">x_z_F*Q6+(1-x_AGRI)*x_EMP*x_WLOSS*(x_PEN_K74*N6+x_PEN_C22*O6)</f>
        <v>98598257.2868667</v>
      </c>
      <c r="AC6" s="0" t="n">
        <f aca="false">x_AGRI*x_EMP*x_WLOSS*(x_PEN_K74*N6+x_PEN_C22*O6)</f>
        <v>5977935.15696354</v>
      </c>
      <c r="AD6" s="0" t="n">
        <f aca="false">x_EMP*x_WAGE*(x_WLOSS*(N6+O6)+P6)+Q6*x_absd*x_WAGE/365</f>
        <v>462191444.956296</v>
      </c>
      <c r="AE6" s="0" t="n">
        <f aca="false">AD6*x_R_FUS</f>
        <v>146237373.184172</v>
      </c>
      <c r="AF6" s="0" t="n">
        <f aca="false">AD6*x_R_NFZ</f>
        <v>35894249.8067509</v>
      </c>
      <c r="AG6" s="0" t="n">
        <f aca="false">AD6*x_R_PIT</f>
        <v>30728416.3761779</v>
      </c>
      <c r="AH6" s="0" t="n">
        <f aca="false">AD6*x_R_FP</f>
        <v>11785881.8463856</v>
      </c>
      <c r="AI6" s="0" t="n">
        <f aca="false">W6+X6+Y6+Z6</f>
        <v>884688747.901932</v>
      </c>
      <c r="AJ6" s="0" t="n">
        <f aca="false">AI6+AA6+AB6+AC6+AE6+AF6+AG6+AH6</f>
        <v>1213910861.55925</v>
      </c>
      <c r="AK6" s="0" t="n">
        <f aca="false">AI6+AA6+AD6</f>
        <v>1346880192.85823</v>
      </c>
      <c r="AL6" s="0" t="n">
        <f aca="false">X6+Y6+Z6</f>
        <v>244645103.196017</v>
      </c>
      <c r="AM6" s="0" t="n">
        <f aca="false">AL6+AA6</f>
        <v>244645103.196017</v>
      </c>
    </row>
    <row r="7" customFormat="false" ht="15" hidden="false" customHeight="false" outlineLevel="0" collapsed="false">
      <c r="A7" s="0" t="n">
        <v>2030</v>
      </c>
      <c r="B7" s="0" t="n">
        <v>4</v>
      </c>
      <c r="C7" s="0" t="n">
        <v>6788.485</v>
      </c>
      <c r="D7" s="0" t="n">
        <v>50000000</v>
      </c>
      <c r="E7" s="0" t="n">
        <v>0</v>
      </c>
      <c r="F7" s="0" t="n">
        <v>127023.5</v>
      </c>
      <c r="G7" s="0" t="n">
        <v>15691.766</v>
      </c>
      <c r="H7" s="0" t="n">
        <v>1572.419</v>
      </c>
      <c r="I7" s="0" t="n">
        <v>878.682</v>
      </c>
      <c r="J7" s="0" t="n">
        <v>1452.752</v>
      </c>
      <c r="K7" s="0" t="n">
        <v>28449.524</v>
      </c>
      <c r="L7" s="0" t="n">
        <v>2959.448</v>
      </c>
      <c r="M7" s="0" t="n">
        <v>73.355</v>
      </c>
      <c r="N7" s="0" t="n">
        <v>3097.303</v>
      </c>
      <c r="O7" s="0" t="n">
        <v>878.682</v>
      </c>
      <c r="P7" s="0" t="n">
        <v>1896.749</v>
      </c>
      <c r="Q7" s="0" t="n">
        <v>142715.265</v>
      </c>
      <c r="R7" s="0" t="n">
        <v>125257.672</v>
      </c>
      <c r="S7" s="0" t="n">
        <v>319.005</v>
      </c>
      <c r="T7" s="0" t="n">
        <v>283.602</v>
      </c>
      <c r="U7" s="0" t="n">
        <v>73.355</v>
      </c>
      <c r="V7" s="0" t="n">
        <v>484.353</v>
      </c>
      <c r="W7" s="0" t="n">
        <f aca="false">F7*x_c_F+G7*x_c_CC+H7*x_c_DC+I7*x_c_HCC+J7*x_c_PLT+K7*x_c_SVRn+L7*x_c_SVRcc+M7*x_c_LT</f>
        <v>641514301.040496</v>
      </c>
      <c r="X7" s="0" t="n">
        <f aca="false">C7*x_c_DAA</f>
        <v>154505918.6</v>
      </c>
      <c r="Y7" s="0" t="n">
        <f aca="false">C7*x_c_MON</f>
        <v>39136497.7553883</v>
      </c>
      <c r="Z7" s="0" t="n">
        <f aca="false">D7</f>
        <v>50000000</v>
      </c>
      <c r="AA7" s="0" t="n">
        <f aca="false">E7</f>
        <v>0</v>
      </c>
      <c r="AB7" s="0" t="n">
        <f aca="false">x_z_F*Q7+(1-x_AGRI)*x_EMP*x_WLOSS*(x_PEN_K74*N7+x_PEN_C22*O7)</f>
        <v>99184885.8304039</v>
      </c>
      <c r="AC7" s="0" t="n">
        <f aca="false">x_AGRI*x_EMP*x_WLOSS*(x_PEN_K74*N7+x_PEN_C22*O7)</f>
        <v>6026540.37440792</v>
      </c>
      <c r="AD7" s="0" t="n">
        <f aca="false">x_EMP*x_WAGE*(x_WLOSS*(N7+O7)+P7)+Q7*x_absd*x_WAGE/365</f>
        <v>504499588.02593</v>
      </c>
      <c r="AE7" s="0" t="n">
        <f aca="false">AD7*x_R_FUS</f>
        <v>159623669.651404</v>
      </c>
      <c r="AF7" s="0" t="n">
        <f aca="false">AD7*x_R_NFZ</f>
        <v>39179942.5056818</v>
      </c>
      <c r="AG7" s="0" t="n">
        <f aca="false">AD7*x_R_PIT</f>
        <v>33541238.3150815</v>
      </c>
      <c r="AH7" s="0" t="n">
        <f aca="false">AD7*x_R_FP</f>
        <v>12864739.4946612</v>
      </c>
      <c r="AI7" s="0" t="n">
        <f aca="false">W7+X7+Y7+Z7</f>
        <v>885156717.395885</v>
      </c>
      <c r="AJ7" s="0" t="n">
        <f aca="false">AI7+AA7+AB7+AC7+AE7+AF7+AG7+AH7</f>
        <v>1235577733.56753</v>
      </c>
      <c r="AK7" s="0" t="n">
        <f aca="false">AI7+AA7+AD7</f>
        <v>1389656305.42181</v>
      </c>
      <c r="AL7" s="0" t="n">
        <f aca="false">X7+Y7+Z7</f>
        <v>243642416.355388</v>
      </c>
      <c r="AM7" s="0" t="n">
        <f aca="false">AL7+AA7</f>
        <v>243642416.355388</v>
      </c>
    </row>
    <row r="8" customFormat="false" ht="15" hidden="false" customHeight="false" outlineLevel="0" collapsed="false">
      <c r="A8" s="0" t="n">
        <v>2031</v>
      </c>
      <c r="B8" s="0" t="n">
        <v>5</v>
      </c>
      <c r="C8" s="0" t="n">
        <v>6753.065</v>
      </c>
      <c r="D8" s="0" t="n">
        <v>50000000</v>
      </c>
      <c r="E8" s="0" t="n">
        <v>0</v>
      </c>
      <c r="F8" s="0" t="n">
        <v>123541.444</v>
      </c>
      <c r="G8" s="0" t="n">
        <v>16503.581</v>
      </c>
      <c r="H8" s="0" t="n">
        <v>1612.322</v>
      </c>
      <c r="I8" s="0" t="n">
        <v>910.899</v>
      </c>
      <c r="J8" s="0" t="n">
        <v>1434.841</v>
      </c>
      <c r="K8" s="0" t="n">
        <v>34124.749</v>
      </c>
      <c r="L8" s="0" t="n">
        <v>3699.353</v>
      </c>
      <c r="M8" s="0" t="n">
        <v>75.254</v>
      </c>
      <c r="N8" s="0" t="n">
        <v>3120.518</v>
      </c>
      <c r="O8" s="0" t="n">
        <v>910.899</v>
      </c>
      <c r="P8" s="0" t="n">
        <v>2367.141</v>
      </c>
      <c r="Q8" s="0" t="n">
        <v>140045.025</v>
      </c>
      <c r="R8" s="0" t="n">
        <v>128053.069</v>
      </c>
      <c r="S8" s="0" t="n">
        <v>337.69</v>
      </c>
      <c r="T8" s="0" t="n">
        <v>299.942</v>
      </c>
      <c r="U8" s="0" t="n">
        <v>75.254</v>
      </c>
      <c r="V8" s="0" t="n">
        <v>496.368</v>
      </c>
      <c r="W8" s="0" t="n">
        <f aca="false">F8*x_c_F+G8*x_c_CC+H8*x_c_DC+I8*x_c_HCC+J8*x_c_PLT+K8*x_c_SVRn+L8*x_c_SVRcc+M8*x_c_LT</f>
        <v>643933726.47345</v>
      </c>
      <c r="X8" s="0" t="n">
        <f aca="false">C8*x_c_DAA</f>
        <v>153699759.4</v>
      </c>
      <c r="Y8" s="0" t="n">
        <f aca="false">C8*x_c_MON</f>
        <v>38932296.8548198</v>
      </c>
      <c r="Z8" s="0" t="n">
        <f aca="false">D8</f>
        <v>50000000</v>
      </c>
      <c r="AA8" s="0" t="n">
        <f aca="false">E8</f>
        <v>0</v>
      </c>
      <c r="AB8" s="0" t="n">
        <f aca="false">x_z_F*Q8+(1-x_AGRI)*x_EMP*x_WLOSS*(x_PEN_K74*N8+x_PEN_C22*O8)</f>
        <v>100366831.357219</v>
      </c>
      <c r="AC8" s="0" t="n">
        <f aca="false">x_AGRI*x_EMP*x_WLOSS*(x_PEN_K74*N8+x_PEN_C22*O8)</f>
        <v>6114569.73580009</v>
      </c>
      <c r="AD8" s="0" t="n">
        <f aca="false">x_EMP*x_WAGE*(x_WLOSS*(N8+O8)+P8)+Q8*x_absd*x_WAGE/365</f>
        <v>549260736.850761</v>
      </c>
      <c r="AE8" s="0" t="n">
        <f aca="false">AD8*x_R_FUS</f>
        <v>173786097.139581</v>
      </c>
      <c r="AF8" s="0" t="n">
        <f aca="false">AD8*x_R_NFZ</f>
        <v>42656138.0845669</v>
      </c>
      <c r="AG8" s="0" t="n">
        <f aca="false">AD8*x_R_PIT</f>
        <v>36517146.3150565</v>
      </c>
      <c r="AH8" s="0" t="n">
        <f aca="false">AD8*x_R_FP</f>
        <v>14006148.7896944</v>
      </c>
      <c r="AI8" s="0" t="n">
        <f aca="false">W8+X8+Y8+Z8</f>
        <v>886565782.72827</v>
      </c>
      <c r="AJ8" s="0" t="n">
        <f aca="false">AI8+AA8+AB8+AC8+AE8+AF8+AG8+AH8</f>
        <v>1260012714.15019</v>
      </c>
      <c r="AK8" s="0" t="n">
        <f aca="false">AI8+AA8+AD8</f>
        <v>1435826519.57903</v>
      </c>
      <c r="AL8" s="0" t="n">
        <f aca="false">X8+Y8+Z8</f>
        <v>242632056.25482</v>
      </c>
      <c r="AM8" s="0" t="n">
        <f aca="false">AL8+AA8</f>
        <v>242632056.25482</v>
      </c>
    </row>
    <row r="9" customFormat="false" ht="15" hidden="false" customHeight="false" outlineLevel="0" collapsed="false">
      <c r="A9" s="0" t="n">
        <v>2032</v>
      </c>
      <c r="B9" s="0" t="n">
        <v>6</v>
      </c>
      <c r="C9" s="0" t="n">
        <v>6717.38</v>
      </c>
      <c r="D9" s="0" t="n">
        <v>50000000</v>
      </c>
      <c r="E9" s="0" t="n">
        <v>0</v>
      </c>
      <c r="F9" s="0" t="n">
        <v>120118.15</v>
      </c>
      <c r="G9" s="0" t="n">
        <v>17236.551</v>
      </c>
      <c r="H9" s="0" t="n">
        <v>1662.878</v>
      </c>
      <c r="I9" s="0" t="n">
        <v>949.773</v>
      </c>
      <c r="J9" s="0" t="n">
        <v>1417.856</v>
      </c>
      <c r="K9" s="0" t="n">
        <v>39656.694</v>
      </c>
      <c r="L9" s="0" t="n">
        <v>4471.342</v>
      </c>
      <c r="M9" s="0" t="n">
        <v>77.649</v>
      </c>
      <c r="N9" s="0" t="n">
        <v>3155.989</v>
      </c>
      <c r="O9" s="0" t="n">
        <v>949.773</v>
      </c>
      <c r="P9" s="0" t="n">
        <v>2844.406</v>
      </c>
      <c r="Q9" s="0" t="n">
        <v>137354.701</v>
      </c>
      <c r="R9" s="0" t="n">
        <v>130764.917</v>
      </c>
      <c r="S9" s="0" t="n">
        <v>354.923</v>
      </c>
      <c r="T9" s="0" t="n">
        <v>315.436</v>
      </c>
      <c r="U9" s="0" t="n">
        <v>77.649</v>
      </c>
      <c r="V9" s="0" t="n">
        <v>511.435</v>
      </c>
      <c r="W9" s="0" t="n">
        <f aca="false">F9*x_c_F+G9*x_c_CC+H9*x_c_DC+I9*x_c_HCC+J9*x_c_PLT+K9*x_c_SVRn+L9*x_c_SVRcc+M9*x_c_LT</f>
        <v>646910704.444602</v>
      </c>
      <c r="X9" s="0" t="n">
        <f aca="false">C9*x_c_DAA</f>
        <v>152887568.8</v>
      </c>
      <c r="Y9" s="0" t="n">
        <f aca="false">C9*x_c_MON</f>
        <v>38726568.1948314</v>
      </c>
      <c r="Z9" s="0" t="n">
        <f aca="false">D9</f>
        <v>50000000</v>
      </c>
      <c r="AA9" s="0" t="n">
        <f aca="false">E9</f>
        <v>0</v>
      </c>
      <c r="AB9" s="0" t="n">
        <f aca="false">x_z_F*Q9+(1-x_AGRI)*x_EMP*x_WLOSS*(x_PEN_K74*N9+x_PEN_C22*O9)</f>
        <v>101988880.655334</v>
      </c>
      <c r="AC9" s="0" t="n">
        <f aca="false">x_AGRI*x_EMP*x_WLOSS*(x_PEN_K74*N9+x_PEN_C22*O9)</f>
        <v>6231763.61183144</v>
      </c>
      <c r="AD9" s="0" t="n">
        <f aca="false">x_EMP*x_WAGE*(x_WLOSS*(N9+O9)+P9)+Q9*x_absd*x_WAGE/365</f>
        <v>596219879.691961</v>
      </c>
      <c r="AE9" s="0" t="n">
        <f aca="false">AD9*x_R_FUS</f>
        <v>188643969.934536</v>
      </c>
      <c r="AF9" s="0" t="n">
        <f aca="false">AD9*x_R_NFZ</f>
        <v>46303032.0767574</v>
      </c>
      <c r="AG9" s="0" t="n">
        <f aca="false">AD9*x_R_PIT</f>
        <v>39639186.1313263</v>
      </c>
      <c r="AH9" s="0" t="n">
        <f aca="false">AD9*x_R_FP</f>
        <v>15203606.932145</v>
      </c>
      <c r="AI9" s="0" t="n">
        <f aca="false">W9+X9+Y9+Z9</f>
        <v>888524841.439433</v>
      </c>
      <c r="AJ9" s="0" t="n">
        <f aca="false">AI9+AA9+AB9+AC9+AE9+AF9+AG9+AH9</f>
        <v>1286535280.78136</v>
      </c>
      <c r="AK9" s="0" t="n">
        <f aca="false">AI9+AA9+AD9</f>
        <v>1484744721.13139</v>
      </c>
      <c r="AL9" s="0" t="n">
        <f aca="false">X9+Y9+Z9</f>
        <v>241614136.994831</v>
      </c>
      <c r="AM9" s="0" t="n">
        <f aca="false">AL9+AA9</f>
        <v>241614136.994831</v>
      </c>
    </row>
    <row r="10" customFormat="false" ht="15" hidden="false" customHeight="false" outlineLevel="0" collapsed="false">
      <c r="A10" s="0" t="n">
        <v>2033</v>
      </c>
      <c r="B10" s="0" t="n">
        <v>7</v>
      </c>
      <c r="C10" s="0" t="n">
        <v>6681.5</v>
      </c>
      <c r="D10" s="0" t="n">
        <v>50000000</v>
      </c>
      <c r="E10" s="0" t="n">
        <v>0</v>
      </c>
      <c r="F10" s="0" t="n">
        <v>116777.222</v>
      </c>
      <c r="G10" s="0" t="n">
        <v>17872.511</v>
      </c>
      <c r="H10" s="0" t="n">
        <v>1720.618</v>
      </c>
      <c r="I10" s="0" t="n">
        <v>992.481</v>
      </c>
      <c r="J10" s="0" t="n">
        <v>1402.248</v>
      </c>
      <c r="K10" s="0" t="n">
        <v>45043.427</v>
      </c>
      <c r="L10" s="0" t="n">
        <v>5270.374</v>
      </c>
      <c r="M10" s="0" t="n">
        <v>80.366</v>
      </c>
      <c r="N10" s="0" t="n">
        <v>3200.516</v>
      </c>
      <c r="O10" s="0" t="n">
        <v>992.481</v>
      </c>
      <c r="P10" s="0" t="n">
        <v>3330.725</v>
      </c>
      <c r="Q10" s="0" t="n">
        <v>134649.733</v>
      </c>
      <c r="R10" s="0" t="n">
        <v>133392.953</v>
      </c>
      <c r="S10" s="0" t="n">
        <v>370.313</v>
      </c>
      <c r="T10" s="0" t="n">
        <v>329.698</v>
      </c>
      <c r="U10" s="0" t="n">
        <v>80.366</v>
      </c>
      <c r="V10" s="0" t="n">
        <v>528.376</v>
      </c>
      <c r="W10" s="0" t="n">
        <f aca="false">F10*x_c_F+G10*x_c_CC+H10*x_c_DC+I10*x_c_HCC+J10*x_c_PLT+K10*x_c_SVRn+L10*x_c_SVRcc+M10*x_c_LT</f>
        <v>650116259.599921</v>
      </c>
      <c r="X10" s="0" t="n">
        <f aca="false">C10*x_c_DAA</f>
        <v>152070940</v>
      </c>
      <c r="Y10" s="0" t="n">
        <f aca="false">C10*x_c_MON</f>
        <v>38519715.3345153</v>
      </c>
      <c r="Z10" s="0" t="n">
        <f aca="false">D10</f>
        <v>50000000</v>
      </c>
      <c r="AA10" s="0" t="n">
        <f aca="false">E10</f>
        <v>0</v>
      </c>
      <c r="AB10" s="0" t="n">
        <f aca="false">x_z_F*Q10+(1-x_AGRI)*x_EMP*x_WLOSS*(x_PEN_K74*N10+x_PEN_C22*O10)</f>
        <v>103908689.796086</v>
      </c>
      <c r="AC10" s="0" t="n">
        <f aca="false">x_AGRI*x_EMP*x_WLOSS*(x_PEN_K74*N10+x_PEN_C22*O10)</f>
        <v>6368693.1627505</v>
      </c>
      <c r="AD10" s="0" t="n">
        <f aca="false">x_EMP*x_WAGE*(x_WLOSS*(N10+O10)+P10)+Q10*x_absd*x_WAGE/365</f>
        <v>645049590.112608</v>
      </c>
      <c r="AE10" s="0" t="n">
        <f aca="false">AD10*x_R_FUS</f>
        <v>204093690.311629</v>
      </c>
      <c r="AF10" s="0" t="n">
        <f aca="false">AD10*x_R_NFZ</f>
        <v>50095196.2177352</v>
      </c>
      <c r="AG10" s="0" t="n">
        <f aca="false">AD10*x_R_PIT</f>
        <v>42885589.0877369</v>
      </c>
      <c r="AH10" s="0" t="n">
        <f aca="false">AD10*x_R_FP</f>
        <v>16448764.5478715</v>
      </c>
      <c r="AI10" s="0" t="n">
        <f aca="false">W10+X10+Y10+Z10</f>
        <v>890706914.934436</v>
      </c>
      <c r="AJ10" s="0" t="n">
        <f aca="false">AI10+AA10+AB10+AC10+AE10+AF10+AG10+AH10</f>
        <v>1314507538.05824</v>
      </c>
      <c r="AK10" s="0" t="n">
        <f aca="false">AI10+AA10+AD10</f>
        <v>1535756505.04704</v>
      </c>
      <c r="AL10" s="0" t="n">
        <f aca="false">X10+Y10+Z10</f>
        <v>240590655.334515</v>
      </c>
      <c r="AM10" s="0" t="n">
        <f aca="false">AL10+AA10</f>
        <v>240590655.334515</v>
      </c>
    </row>
    <row r="11" customFormat="false" ht="15" hidden="false" customHeight="false" outlineLevel="0" collapsed="false">
      <c r="A11" s="0" t="n">
        <v>2034</v>
      </c>
      <c r="B11" s="0" t="n">
        <v>8</v>
      </c>
      <c r="C11" s="0" t="n">
        <v>6645.447</v>
      </c>
      <c r="D11" s="0" t="n">
        <v>50000000</v>
      </c>
      <c r="E11" s="0" t="n">
        <v>0</v>
      </c>
      <c r="F11" s="0" t="n">
        <v>113533.522</v>
      </c>
      <c r="G11" s="0" t="n">
        <v>18398.145</v>
      </c>
      <c r="H11" s="0" t="n">
        <v>1782.204</v>
      </c>
      <c r="I11" s="0" t="n">
        <v>1036.575</v>
      </c>
      <c r="J11" s="0" t="n">
        <v>1388.226</v>
      </c>
      <c r="K11" s="0" t="n">
        <v>50282.06</v>
      </c>
      <c r="L11" s="0" t="n">
        <v>6090.278</v>
      </c>
      <c r="M11" s="0" t="n">
        <v>83.243</v>
      </c>
      <c r="N11" s="0" t="n">
        <v>3250.796</v>
      </c>
      <c r="O11" s="0" t="n">
        <v>1036.575</v>
      </c>
      <c r="P11" s="0" t="n">
        <v>3826.826</v>
      </c>
      <c r="Q11" s="0" t="n">
        <v>131931.666</v>
      </c>
      <c r="R11" s="0" t="n">
        <v>135931.979</v>
      </c>
      <c r="S11" s="0" t="n">
        <v>383.586</v>
      </c>
      <c r="T11" s="0" t="n">
        <v>342.437</v>
      </c>
      <c r="U11" s="0" t="n">
        <v>83.243</v>
      </c>
      <c r="V11" s="0" t="n">
        <v>546.161</v>
      </c>
      <c r="W11" s="0" t="n">
        <f aca="false">F11*x_c_F+G11*x_c_CC+H11*x_c_DC+I11*x_c_HCC+J11*x_c_PLT+K11*x_c_SVRn+L11*x_c_SVRcc+M11*x_c_LT</f>
        <v>653240485.696533</v>
      </c>
      <c r="X11" s="0" t="n">
        <f aca="false">C11*x_c_DAA</f>
        <v>151250373.72</v>
      </c>
      <c r="Y11" s="0" t="n">
        <f aca="false">C11*x_c_MON</f>
        <v>38311865.1067288</v>
      </c>
      <c r="Z11" s="0" t="n">
        <f aca="false">D11</f>
        <v>50000000</v>
      </c>
      <c r="AA11" s="0" t="n">
        <f aca="false">E11</f>
        <v>0</v>
      </c>
      <c r="AB11" s="0" t="n">
        <f aca="false">x_z_F*Q11+(1-x_AGRI)*x_EMP*x_WLOSS*(x_PEN_K74*N11+x_PEN_C22*O11)</f>
        <v>105990890.221401</v>
      </c>
      <c r="AC11" s="0" t="n">
        <f aca="false">x_AGRI*x_EMP*x_WLOSS*(x_PEN_K74*N11+x_PEN_C22*O11)</f>
        <v>6516405.05559048</v>
      </c>
      <c r="AD11" s="0" t="n">
        <f aca="false">x_EMP*x_WAGE*(x_WLOSS*(N11+O11)+P11)+Q11*x_absd*x_WAGE/365</f>
        <v>695321645.670137</v>
      </c>
      <c r="AE11" s="0" t="n">
        <f aca="false">AD11*x_R_FUS</f>
        <v>219999768.690031</v>
      </c>
      <c r="AF11" s="0" t="n">
        <f aca="false">AD11*x_R_NFZ</f>
        <v>53999374.3243885</v>
      </c>
      <c r="AG11" s="0" t="n">
        <f aca="false">AD11*x_R_PIT</f>
        <v>46227885.1689727</v>
      </c>
      <c r="AH11" s="0" t="n">
        <f aca="false">AD11*x_R_FP</f>
        <v>17730701.9645885</v>
      </c>
      <c r="AI11" s="0" t="n">
        <f aca="false">W11+X11+Y11+Z11</f>
        <v>892802724.523262</v>
      </c>
      <c r="AJ11" s="0" t="n">
        <f aca="false">AI11+AA11+AB11+AC11+AE11+AF11+AG11+AH11</f>
        <v>1343267749.94823</v>
      </c>
      <c r="AK11" s="0" t="n">
        <f aca="false">AI11+AA11+AD11</f>
        <v>1588124370.1934</v>
      </c>
      <c r="AL11" s="0" t="n">
        <f aca="false">X11+Y11+Z11</f>
        <v>239562238.826729</v>
      </c>
      <c r="AM11" s="0" t="n">
        <f aca="false">AL11+AA11</f>
        <v>239562238.826729</v>
      </c>
    </row>
    <row r="12" customFormat="false" ht="15" hidden="false" customHeight="false" outlineLevel="0" collapsed="false">
      <c r="A12" s="0" t="n">
        <v>2035</v>
      </c>
      <c r="B12" s="0" t="n">
        <v>9</v>
      </c>
      <c r="C12" s="0" t="n">
        <v>6609.3</v>
      </c>
      <c r="D12" s="0" t="n">
        <v>50000000</v>
      </c>
      <c r="E12" s="0" t="n">
        <v>0</v>
      </c>
      <c r="F12" s="0" t="n">
        <v>110400.971</v>
      </c>
      <c r="G12" s="0" t="n">
        <v>18805.62</v>
      </c>
      <c r="H12" s="0" t="n">
        <v>1844.643</v>
      </c>
      <c r="I12" s="0" t="n">
        <v>1080.028</v>
      </c>
      <c r="J12" s="0" t="n">
        <v>1375.888</v>
      </c>
      <c r="K12" s="0" t="n">
        <v>55371.286</v>
      </c>
      <c r="L12" s="0" t="n">
        <v>6924.304</v>
      </c>
      <c r="M12" s="0" t="n">
        <v>86.134</v>
      </c>
      <c r="N12" s="0" t="n">
        <v>3303.774</v>
      </c>
      <c r="O12" s="0" t="n">
        <v>1080.028</v>
      </c>
      <c r="P12" s="0" t="n">
        <v>4332.348</v>
      </c>
      <c r="Q12" s="0" t="n">
        <v>129206.591</v>
      </c>
      <c r="R12" s="0" t="n">
        <v>138380.285</v>
      </c>
      <c r="S12" s="0" t="n">
        <v>394.548</v>
      </c>
      <c r="T12" s="0" t="n">
        <v>353.426</v>
      </c>
      <c r="U12" s="0" t="n">
        <v>86.134</v>
      </c>
      <c r="V12" s="0" t="n">
        <v>563.87</v>
      </c>
      <c r="W12" s="0" t="n">
        <f aca="false">F12*x_c_F+G12*x_c_CC+H12*x_c_DC+I12*x_c_HCC+J12*x_c_PLT+K12*x_c_SVRn+L12*x_c_SVRcc+M12*x_c_LT</f>
        <v>656034428.53067</v>
      </c>
      <c r="X12" s="0" t="n">
        <f aca="false">C12*x_c_DAA</f>
        <v>150427668</v>
      </c>
      <c r="Y12" s="0" t="n">
        <f aca="false">C12*x_c_MON</f>
        <v>38103472.9567331</v>
      </c>
      <c r="Z12" s="0" t="n">
        <f aca="false">D12</f>
        <v>50000000</v>
      </c>
      <c r="AA12" s="0" t="n">
        <f aca="false">E12</f>
        <v>0</v>
      </c>
      <c r="AB12" s="0" t="n">
        <f aca="false">x_z_F*Q12+(1-x_AGRI)*x_EMP*x_WLOSS*(x_PEN_K74*N12+x_PEN_C22*O12)</f>
        <v>108116539.515133</v>
      </c>
      <c r="AC12" s="0" t="n">
        <f aca="false">x_AGRI*x_EMP*x_WLOSS*(x_PEN_K74*N12+x_PEN_C22*O12)</f>
        <v>6667014.83084074</v>
      </c>
      <c r="AD12" s="0" t="n">
        <f aca="false">x_EMP*x_WAGE*(x_WLOSS*(N12+O12)+P12)+Q12*x_absd*x_WAGE/365</f>
        <v>746572135.158608</v>
      </c>
      <c r="AE12" s="0" t="n">
        <f aca="false">AD12*x_R_FUS</f>
        <v>236215423.564184</v>
      </c>
      <c r="AF12" s="0" t="n">
        <f aca="false">AD12*x_R_NFZ</f>
        <v>57979538.5885527</v>
      </c>
      <c r="AG12" s="0" t="n">
        <f aca="false">AD12*x_R_PIT</f>
        <v>49635231.6217691</v>
      </c>
      <c r="AH12" s="0" t="n">
        <f aca="false">AD12*x_R_FP</f>
        <v>19037589.4465445</v>
      </c>
      <c r="AI12" s="0" t="n">
        <f aca="false">W12+X12+Y12+Z12</f>
        <v>894565569.487403</v>
      </c>
      <c r="AJ12" s="0" t="n">
        <f aca="false">AI12+AA12+AB12+AC12+AE12+AF12+AG12+AH12</f>
        <v>1372216907.05443</v>
      </c>
      <c r="AK12" s="0" t="n">
        <f aca="false">AI12+AA12+AD12</f>
        <v>1641137704.64601</v>
      </c>
      <c r="AL12" s="0" t="n">
        <f aca="false">X12+Y12+Z12</f>
        <v>238531140.956733</v>
      </c>
      <c r="AM12" s="0" t="n">
        <f aca="false">AL12+AA12</f>
        <v>238531140.956733</v>
      </c>
    </row>
    <row r="13" customFormat="false" ht="15" hidden="false" customHeight="false" outlineLevel="0" collapsed="false">
      <c r="A13" s="0" t="n">
        <v>2036</v>
      </c>
      <c r="B13" s="0" t="n">
        <v>10</v>
      </c>
      <c r="C13" s="0" t="n">
        <v>4832</v>
      </c>
      <c r="D13" s="0" t="n">
        <v>0</v>
      </c>
      <c r="E13" s="0" t="n">
        <v>0</v>
      </c>
      <c r="F13" s="0" t="n">
        <v>108850.454</v>
      </c>
      <c r="G13" s="0" t="n">
        <v>19350.57</v>
      </c>
      <c r="H13" s="0" t="n">
        <v>1905.194</v>
      </c>
      <c r="I13" s="0" t="n">
        <v>1121.125</v>
      </c>
      <c r="J13" s="0" t="n">
        <v>1365.123</v>
      </c>
      <c r="K13" s="0" t="n">
        <v>58844.806</v>
      </c>
      <c r="L13" s="0" t="n">
        <v>7504.663</v>
      </c>
      <c r="M13" s="0" t="n">
        <v>88.91</v>
      </c>
      <c r="N13" s="0" t="n">
        <v>3.014</v>
      </c>
      <c r="O13" s="0" t="n">
        <v>2.117</v>
      </c>
      <c r="P13" s="0" t="n">
        <v>0.792</v>
      </c>
      <c r="Q13" s="0" t="n">
        <v>128201.024</v>
      </c>
      <c r="R13" s="0" t="n">
        <v>140636.946</v>
      </c>
      <c r="S13" s="0" t="n">
        <v>407.077</v>
      </c>
      <c r="T13" s="0" t="n">
        <v>365.183</v>
      </c>
      <c r="U13" s="0" t="n">
        <v>88.91</v>
      </c>
      <c r="V13" s="0" t="n">
        <v>580.718</v>
      </c>
      <c r="W13" s="0" t="n">
        <f aca="false">F13*x_c_F+G13*x_c_CC+H13*x_c_DC+I13*x_c_HCC+J13*x_c_PLT+K13*x_c_SVRn+L13*x_c_SVRcc+M13*x_c_LT</f>
        <v>662400073.846476</v>
      </c>
      <c r="X13" s="0" t="n">
        <f aca="false">C13*x_c_DAA</f>
        <v>109976320</v>
      </c>
      <c r="Y13" s="0" t="n">
        <f aca="false">C13*x_c_MON</f>
        <v>27857107.6100244</v>
      </c>
      <c r="Z13" s="0" t="n">
        <f aca="false">D13</f>
        <v>0</v>
      </c>
      <c r="AA13" s="0" t="n">
        <f aca="false">E13</f>
        <v>0</v>
      </c>
      <c r="AB13" s="0" t="n">
        <f aca="false">x_z_F*Q13+(1-x_AGRI)*x_EMP*x_WLOSS*(x_PEN_K74*N13+x_PEN_C22*O13)</f>
        <v>7315273.18007999</v>
      </c>
      <c r="AC13" s="0" t="n">
        <f aca="false">x_AGRI*x_EMP*x_WLOSS*(x_PEN_K74*N13+x_PEN_C22*O13)</f>
        <v>7974.62738311784</v>
      </c>
      <c r="AD13" s="0" t="n">
        <f aca="false">x_EMP*x_WAGE*(x_WLOSS*(N13+O13)+P13)+Q13*x_absd*x_WAGE/365</f>
        <v>3907222.31140795</v>
      </c>
      <c r="AE13" s="0" t="n">
        <f aca="false">AD13*x_R_FUS</f>
        <v>1236245.13932948</v>
      </c>
      <c r="AF13" s="0" t="n">
        <f aca="false">AD13*x_R_NFZ</f>
        <v>303438.791926253</v>
      </c>
      <c r="AG13" s="0" t="n">
        <f aca="false">AD13*x_R_PIT</f>
        <v>259768.447402977</v>
      </c>
      <c r="AH13" s="0" t="n">
        <f aca="false">AD13*x_R_FP</f>
        <v>99634.1689409027</v>
      </c>
      <c r="AI13" s="0" t="n">
        <f aca="false">W13+X13+Y13+Z13</f>
        <v>800233501.4565</v>
      </c>
      <c r="AJ13" s="0" t="n">
        <f aca="false">AI13+AA13+AB13+AC13+AE13+AF13+AG13+AH13</f>
        <v>809455835.811563</v>
      </c>
      <c r="AK13" s="0" t="n">
        <f aca="false">AI13+AA13+AD13</f>
        <v>804140723.767908</v>
      </c>
      <c r="AL13" s="0" t="n">
        <f aca="false">X13+Y13+Z13</f>
        <v>137833427.610024</v>
      </c>
      <c r="AM13" s="0" t="n">
        <f aca="false">AL13+AA13</f>
        <v>137833427.610024</v>
      </c>
    </row>
    <row r="14" customFormat="false" ht="15" hidden="false" customHeight="false" outlineLevel="0" collapsed="false">
      <c r="A14" s="0" t="n">
        <v>2037</v>
      </c>
      <c r="B14" s="0" t="n">
        <v>11</v>
      </c>
      <c r="C14" s="0" t="n">
        <v>4832</v>
      </c>
      <c r="D14" s="0" t="n">
        <v>0</v>
      </c>
      <c r="E14" s="0" t="n">
        <v>0</v>
      </c>
      <c r="F14" s="0" t="n">
        <v>107345.172</v>
      </c>
      <c r="G14" s="0" t="n">
        <v>19789.97</v>
      </c>
      <c r="H14" s="0" t="n">
        <v>1965.494</v>
      </c>
      <c r="I14" s="0" t="n">
        <v>1161.168</v>
      </c>
      <c r="J14" s="0" t="n">
        <v>1355.721</v>
      </c>
      <c r="K14" s="0" t="n">
        <v>62215.259</v>
      </c>
      <c r="L14" s="0" t="n">
        <v>8087.163</v>
      </c>
      <c r="M14" s="0" t="n">
        <v>91.651</v>
      </c>
      <c r="N14" s="0" t="n">
        <v>5.364</v>
      </c>
      <c r="O14" s="0" t="n">
        <v>3.7</v>
      </c>
      <c r="P14" s="0" t="n">
        <v>1.692</v>
      </c>
      <c r="Q14" s="0" t="n">
        <v>127135.142</v>
      </c>
      <c r="R14" s="0" t="n">
        <v>142790.105</v>
      </c>
      <c r="S14" s="0" t="n">
        <v>417.504</v>
      </c>
      <c r="T14" s="0" t="n">
        <v>375.31</v>
      </c>
      <c r="U14" s="0" t="n">
        <v>91.651</v>
      </c>
      <c r="V14" s="0" t="n">
        <v>597.206</v>
      </c>
      <c r="W14" s="0" t="n">
        <f aca="false">F14*x_c_F+G14*x_c_CC+H14*x_c_DC+I14*x_c_HCC+J14*x_c_PLT+K14*x_c_SVRn+L14*x_c_SVRcc+M14*x_c_LT</f>
        <v>668231265.763287</v>
      </c>
      <c r="X14" s="0" t="n">
        <f aca="false">C14*x_c_DAA</f>
        <v>109976320</v>
      </c>
      <c r="Y14" s="0" t="n">
        <f aca="false">C14*x_c_MON</f>
        <v>27857107.6100244</v>
      </c>
      <c r="Z14" s="0" t="n">
        <f aca="false">D14</f>
        <v>0</v>
      </c>
      <c r="AA14" s="0" t="n">
        <f aca="false">E14</f>
        <v>0</v>
      </c>
      <c r="AB14" s="0" t="n">
        <f aca="false">x_z_F*Q14+(1-x_AGRI)*x_EMP*x_WLOSS*(x_PEN_K74*N14+x_PEN_C22*O14)</f>
        <v>7347814.44532488</v>
      </c>
      <c r="AC14" s="0" t="n">
        <f aca="false">x_AGRI*x_EMP*x_WLOSS*(x_PEN_K74*N14+x_PEN_C22*O14)</f>
        <v>14079.3420016861</v>
      </c>
      <c r="AD14" s="0" t="n">
        <f aca="false">x_EMP*x_WAGE*(x_WLOSS*(N14+O14)+P14)+Q14*x_absd*x_WAGE/365</f>
        <v>4290999.67250303</v>
      </c>
      <c r="AE14" s="0" t="n">
        <f aca="false">AD14*x_R_FUS</f>
        <v>1357672.29637996</v>
      </c>
      <c r="AF14" s="0" t="n">
        <f aca="false">AD14*x_R_NFZ</f>
        <v>333243.325566258</v>
      </c>
      <c r="AG14" s="0" t="n">
        <f aca="false">AD14*x_R_PIT</f>
        <v>285283.568195825</v>
      </c>
      <c r="AH14" s="0" t="n">
        <f aca="false">AD14*x_R_FP</f>
        <v>109420.491648827</v>
      </c>
      <c r="AI14" s="0" t="n">
        <f aca="false">W14+X14+Y14+Z14</f>
        <v>806064693.373311</v>
      </c>
      <c r="AJ14" s="0" t="n">
        <f aca="false">AI14+AA14+AB14+AC14+AE14+AF14+AG14+AH14</f>
        <v>815512206.842429</v>
      </c>
      <c r="AK14" s="0" t="n">
        <f aca="false">AI14+AA14+AD14</f>
        <v>810355693.045814</v>
      </c>
      <c r="AL14" s="0" t="n">
        <f aca="false">X14+Y14+Z14</f>
        <v>137833427.610024</v>
      </c>
      <c r="AM14" s="0" t="n">
        <f aca="false">AL14+AA14</f>
        <v>137833427.610024</v>
      </c>
    </row>
    <row r="15" customFormat="false" ht="15" hidden="false" customHeight="false" outlineLevel="0" collapsed="false">
      <c r="A15" s="0" t="n">
        <v>2038</v>
      </c>
      <c r="B15" s="0" t="n">
        <v>12</v>
      </c>
      <c r="C15" s="0" t="n">
        <v>4832</v>
      </c>
      <c r="D15" s="0" t="n">
        <v>0</v>
      </c>
      <c r="E15" s="0" t="n">
        <v>0</v>
      </c>
      <c r="F15" s="0" t="n">
        <v>105892.527</v>
      </c>
      <c r="G15" s="0" t="n">
        <v>20122.396</v>
      </c>
      <c r="H15" s="0" t="n">
        <v>2023.234</v>
      </c>
      <c r="I15" s="0" t="n">
        <v>1198.697</v>
      </c>
      <c r="J15" s="0" t="n">
        <v>1347.403</v>
      </c>
      <c r="K15" s="0" t="n">
        <v>65480.692</v>
      </c>
      <c r="L15" s="0" t="n">
        <v>8666.399</v>
      </c>
      <c r="M15" s="0" t="n">
        <v>94.25</v>
      </c>
      <c r="N15" s="0" t="n">
        <v>8.891</v>
      </c>
      <c r="O15" s="0" t="n">
        <v>6.027</v>
      </c>
      <c r="P15" s="0" t="n">
        <v>3.276</v>
      </c>
      <c r="Q15" s="0" t="n">
        <v>126014.924</v>
      </c>
      <c r="R15" s="0" t="n">
        <v>144837.652</v>
      </c>
      <c r="S15" s="0" t="n">
        <v>425.791</v>
      </c>
      <c r="T15" s="0" t="n">
        <v>383.721</v>
      </c>
      <c r="U15" s="0" t="n">
        <v>94.25</v>
      </c>
      <c r="V15" s="0" t="n">
        <v>612.705</v>
      </c>
      <c r="W15" s="0" t="n">
        <f aca="false">F15*x_c_F+G15*x_c_CC+H15*x_c_DC+I15*x_c_HCC+J15*x_c_PLT+K15*x_c_SVRn+L15*x_c_SVRcc+M15*x_c_LT</f>
        <v>673347142.083958</v>
      </c>
      <c r="X15" s="0" t="n">
        <f aca="false">C15*x_c_DAA</f>
        <v>109976320</v>
      </c>
      <c r="Y15" s="0" t="n">
        <f aca="false">C15*x_c_MON</f>
        <v>27857107.6100244</v>
      </c>
      <c r="Z15" s="0" t="n">
        <f aca="false">D15</f>
        <v>0</v>
      </c>
      <c r="AA15" s="0" t="n">
        <f aca="false">E15</f>
        <v>0</v>
      </c>
      <c r="AB15" s="0" t="n">
        <f aca="false">x_z_F*Q15+(1-x_AGRI)*x_EMP*x_WLOSS*(x_PEN_K74*N15+x_PEN_C22*O15)</f>
        <v>7422328.45715251</v>
      </c>
      <c r="AC15" s="0" t="n">
        <f aca="false">x_AGRI*x_EMP*x_WLOSS*(x_PEN_K74*N15+x_PEN_C22*O15)</f>
        <v>23159.9294364716</v>
      </c>
      <c r="AD15" s="0" t="n">
        <f aca="false">x_EMP*x_WAGE*(x_WLOSS*(N15+O15)+P15)+Q15*x_absd*x_WAGE/365</f>
        <v>4895438.63186718</v>
      </c>
      <c r="AE15" s="0" t="n">
        <f aca="false">AD15*x_R_FUS</f>
        <v>1548916.78312278</v>
      </c>
      <c r="AF15" s="0" t="n">
        <f aca="false">AD15*x_R_NFZ</f>
        <v>380184.659589437</v>
      </c>
      <c r="AG15" s="0" t="n">
        <f aca="false">AD15*x_R_PIT</f>
        <v>325469.193048923</v>
      </c>
      <c r="AH15" s="0" t="n">
        <f aca="false">AD15*x_R_FP</f>
        <v>124833.685112613</v>
      </c>
      <c r="AI15" s="0" t="n">
        <f aca="false">W15+X15+Y15+Z15</f>
        <v>811180569.693982</v>
      </c>
      <c r="AJ15" s="0" t="n">
        <f aca="false">AI15+AA15+AB15+AC15+AE15+AF15+AG15+AH15</f>
        <v>821005462.401445</v>
      </c>
      <c r="AK15" s="0" t="n">
        <f aca="false">AI15+AA15+AD15</f>
        <v>816076008.325849</v>
      </c>
      <c r="AL15" s="0" t="n">
        <f aca="false">X15+Y15+Z15</f>
        <v>137833427.610024</v>
      </c>
      <c r="AM15" s="0" t="n">
        <f aca="false">AL15+AA15</f>
        <v>137833427.610024</v>
      </c>
    </row>
    <row r="16" customFormat="false" ht="15" hidden="false" customHeight="false" outlineLevel="0" collapsed="false">
      <c r="A16" s="0" t="n">
        <v>2039</v>
      </c>
      <c r="B16" s="0" t="n">
        <v>13</v>
      </c>
      <c r="C16" s="0" t="n">
        <v>4832</v>
      </c>
      <c r="D16" s="0" t="n">
        <v>0</v>
      </c>
      <c r="E16" s="0" t="n">
        <v>0</v>
      </c>
      <c r="F16" s="0" t="n">
        <v>104498.875</v>
      </c>
      <c r="G16" s="0" t="n">
        <v>20349.056</v>
      </c>
      <c r="H16" s="0" t="n">
        <v>2076.505</v>
      </c>
      <c r="I16" s="0" t="n">
        <v>1232.599</v>
      </c>
      <c r="J16" s="0" t="n">
        <v>1339.987</v>
      </c>
      <c r="K16" s="0" t="n">
        <v>68640.119</v>
      </c>
      <c r="L16" s="0" t="n">
        <v>9236.973</v>
      </c>
      <c r="M16" s="0" t="n">
        <v>96.623</v>
      </c>
      <c r="N16" s="0" t="n">
        <v>13.909</v>
      </c>
      <c r="O16" s="0" t="n">
        <v>9.27</v>
      </c>
      <c r="P16" s="0" t="n">
        <v>5.868</v>
      </c>
      <c r="Q16" s="0" t="n">
        <v>124847.931</v>
      </c>
      <c r="R16" s="0" t="n">
        <v>146779.237</v>
      </c>
      <c r="S16" s="0" t="n">
        <v>431.97</v>
      </c>
      <c r="T16" s="0" t="n">
        <v>390.397</v>
      </c>
      <c r="U16" s="0" t="n">
        <v>96.623</v>
      </c>
      <c r="V16" s="0" t="n">
        <v>626.722</v>
      </c>
      <c r="W16" s="0" t="n">
        <f aca="false">F16*x_c_F+G16*x_c_CC+H16*x_c_DC+I16*x_c_HCC+J16*x_c_PLT+K16*x_c_SVRn+L16*x_c_SVRcc+M16*x_c_LT</f>
        <v>677618622.743315</v>
      </c>
      <c r="X16" s="0" t="n">
        <f aca="false">C16*x_c_DAA</f>
        <v>109976320</v>
      </c>
      <c r="Y16" s="0" t="n">
        <f aca="false">C16*x_c_MON</f>
        <v>27857107.6100244</v>
      </c>
      <c r="Z16" s="0" t="n">
        <f aca="false">D16</f>
        <v>0</v>
      </c>
      <c r="AA16" s="0" t="n">
        <f aca="false">E16</f>
        <v>0</v>
      </c>
      <c r="AB16" s="0" t="n">
        <f aca="false">x_z_F*Q16+(1-x_AGRI)*x_EMP*x_WLOSS*(x_PEN_K74*N16+x_PEN_C22*O16)</f>
        <v>7550580.52456914</v>
      </c>
      <c r="AC16" s="0" t="n">
        <f aca="false">x_AGRI*x_EMP*x_WLOSS*(x_PEN_K74*N16+x_PEN_C22*O16)</f>
        <v>35966.0071432813</v>
      </c>
      <c r="AD16" s="0" t="n">
        <f aca="false">x_EMP*x_WAGE*(x_WLOSS*(N16+O16)+P16)+Q16*x_absd*x_WAGE/365</f>
        <v>5789800.84218482</v>
      </c>
      <c r="AE16" s="0" t="n">
        <f aca="false">AD16*x_R_FUS</f>
        <v>1831892.98646728</v>
      </c>
      <c r="AF16" s="0" t="n">
        <f aca="false">AD16*x_R_NFZ</f>
        <v>449641.723204915</v>
      </c>
      <c r="AG16" s="0" t="n">
        <f aca="false">AD16*x_R_PIT</f>
        <v>384930.125720141</v>
      </c>
      <c r="AH16" s="0" t="n">
        <f aca="false">AD16*x_R_FP</f>
        <v>147639.921475713</v>
      </c>
      <c r="AI16" s="0" t="n">
        <f aca="false">W16+X16+Y16+Z16</f>
        <v>815452050.353339</v>
      </c>
      <c r="AJ16" s="0" t="n">
        <f aca="false">AI16+AA16+AB16+AC16+AE16+AF16+AG16+AH16</f>
        <v>825852701.64192</v>
      </c>
      <c r="AK16" s="0" t="n">
        <f aca="false">AI16+AA16+AD16</f>
        <v>821241851.195524</v>
      </c>
      <c r="AL16" s="0" t="n">
        <f aca="false">X16+Y16+Z16</f>
        <v>137833427.610024</v>
      </c>
      <c r="AM16" s="0" t="n">
        <f aca="false">AL16+AA16</f>
        <v>137833427.610024</v>
      </c>
    </row>
    <row r="17" customFormat="false" ht="15" hidden="false" customHeight="false" outlineLevel="0" collapsed="false">
      <c r="A17" s="0" t="n">
        <v>2040</v>
      </c>
      <c r="B17" s="0" t="n">
        <v>14</v>
      </c>
      <c r="C17" s="0" t="n">
        <v>4832</v>
      </c>
      <c r="D17" s="0" t="n">
        <v>0</v>
      </c>
      <c r="E17" s="0" t="n">
        <v>0</v>
      </c>
      <c r="F17" s="0" t="n">
        <v>103171.387</v>
      </c>
      <c r="G17" s="0" t="n">
        <v>20474.295</v>
      </c>
      <c r="H17" s="0" t="n">
        <v>2123.87</v>
      </c>
      <c r="I17" s="0" t="n">
        <v>1262.115</v>
      </c>
      <c r="J17" s="0" t="n">
        <v>1333.278</v>
      </c>
      <c r="K17" s="0" t="n">
        <v>71695.542</v>
      </c>
      <c r="L17" s="0" t="n">
        <v>9794.005</v>
      </c>
      <c r="M17" s="0" t="n">
        <v>98.704</v>
      </c>
      <c r="N17" s="0" t="n">
        <v>20.747</v>
      </c>
      <c r="O17" s="0" t="n">
        <v>13.6</v>
      </c>
      <c r="P17" s="0" t="n">
        <v>9.875</v>
      </c>
      <c r="Q17" s="0" t="n">
        <v>123645.681</v>
      </c>
      <c r="R17" s="0" t="n">
        <v>148619.814</v>
      </c>
      <c r="S17" s="0" t="n">
        <v>436.111</v>
      </c>
      <c r="T17" s="0" t="n">
        <v>395.352</v>
      </c>
      <c r="U17" s="0" t="n">
        <v>98.704</v>
      </c>
      <c r="V17" s="0" t="n">
        <v>638.88</v>
      </c>
      <c r="W17" s="0" t="n">
        <f aca="false">F17*x_c_F+G17*x_c_CC+H17*x_c_DC+I17*x_c_HCC+J17*x_c_PLT+K17*x_c_SVRn+L17*x_c_SVRcc+M17*x_c_LT</f>
        <v>680975820.912149</v>
      </c>
      <c r="X17" s="0" t="n">
        <f aca="false">C17*x_c_DAA</f>
        <v>109976320</v>
      </c>
      <c r="Y17" s="0" t="n">
        <f aca="false">C17*x_c_MON</f>
        <v>27857107.6100244</v>
      </c>
      <c r="Z17" s="0" t="n">
        <f aca="false">D17</f>
        <v>0</v>
      </c>
      <c r="AA17" s="0" t="n">
        <f aca="false">E17</f>
        <v>0</v>
      </c>
      <c r="AB17" s="0" t="n">
        <f aca="false">x_z_F*Q17+(1-x_AGRI)*x_EMP*x_WLOSS*(x_PEN_K74*N17+x_PEN_C22*O17)</f>
        <v>7744866.62886951</v>
      </c>
      <c r="AC17" s="0" t="n">
        <f aca="false">x_AGRI*x_EMP*x_WLOSS*(x_PEN_K74*N17+x_PEN_C22*O17)</f>
        <v>53267.5908398933</v>
      </c>
      <c r="AD17" s="0" t="n">
        <f aca="false">x_EMP*x_WAGE*(x_WLOSS*(N17+O17)+P17)+Q17*x_absd*x_WAGE/365</f>
        <v>7051723.23538244</v>
      </c>
      <c r="AE17" s="0" t="n">
        <f aca="false">AD17*x_R_FUS</f>
        <v>2231165.231675</v>
      </c>
      <c r="AF17" s="0" t="n">
        <f aca="false">AD17*x_R_NFZ</f>
        <v>547643.878183035</v>
      </c>
      <c r="AG17" s="0" t="n">
        <f aca="false">AD17*x_R_PIT</f>
        <v>468827.993488476</v>
      </c>
      <c r="AH17" s="0" t="n">
        <f aca="false">AD17*x_R_FP</f>
        <v>179818.942502252</v>
      </c>
      <c r="AI17" s="0" t="n">
        <f aca="false">W17+X17+Y17+Z17</f>
        <v>818809248.522173</v>
      </c>
      <c r="AJ17" s="0" t="n">
        <f aca="false">AI17+AA17+AB17+AC17+AE17+AF17+AG17+AH17</f>
        <v>830034838.787731</v>
      </c>
      <c r="AK17" s="0" t="n">
        <f aca="false">AI17+AA17+AD17</f>
        <v>825860971.757556</v>
      </c>
      <c r="AL17" s="0" t="n">
        <f aca="false">X17+Y17+Z17</f>
        <v>137833427.610024</v>
      </c>
      <c r="AM17" s="0" t="n">
        <f aca="false">AL17+AA17</f>
        <v>137833427.610024</v>
      </c>
    </row>
    <row r="18" customFormat="false" ht="15" hidden="false" customHeight="false" outlineLevel="0" collapsed="false">
      <c r="A18" s="0" t="n">
        <v>2041</v>
      </c>
      <c r="B18" s="0" t="n">
        <v>15</v>
      </c>
      <c r="C18" s="0" t="n">
        <v>4832</v>
      </c>
      <c r="D18" s="0" t="n">
        <v>0</v>
      </c>
      <c r="E18" s="0" t="n">
        <v>0</v>
      </c>
      <c r="F18" s="0" t="n">
        <v>101914.684</v>
      </c>
      <c r="G18" s="0" t="n">
        <v>20504.027</v>
      </c>
      <c r="H18" s="0" t="n">
        <v>2164.236</v>
      </c>
      <c r="I18" s="0" t="n">
        <v>1286.731</v>
      </c>
      <c r="J18" s="0" t="n">
        <v>1327.013</v>
      </c>
      <c r="K18" s="0" t="n">
        <v>74649.126</v>
      </c>
      <c r="L18" s="0" t="n">
        <v>10332.739</v>
      </c>
      <c r="M18" s="0" t="n">
        <v>100.443</v>
      </c>
      <c r="N18" s="0" t="n">
        <v>29.734</v>
      </c>
      <c r="O18" s="0" t="n">
        <v>19.18</v>
      </c>
      <c r="P18" s="0" t="n">
        <v>15.781</v>
      </c>
      <c r="Q18" s="0" t="n">
        <v>122418.711</v>
      </c>
      <c r="R18" s="0" t="n">
        <v>150363.8</v>
      </c>
      <c r="S18" s="0" t="n">
        <v>438.309</v>
      </c>
      <c r="T18" s="0" t="n">
        <v>398.627</v>
      </c>
      <c r="U18" s="0" t="n">
        <v>100.443</v>
      </c>
      <c r="V18" s="0" t="n">
        <v>648.891</v>
      </c>
      <c r="W18" s="0" t="n">
        <f aca="false">F18*x_c_F+G18*x_c_CC+H18*x_c_DC+I18*x_c_HCC+J18*x_c_PLT+K18*x_c_SVRn+L18*x_c_SVRcc+M18*x_c_LT</f>
        <v>683375180.773582</v>
      </c>
      <c r="X18" s="0" t="n">
        <f aca="false">C18*x_c_DAA</f>
        <v>109976320</v>
      </c>
      <c r="Y18" s="0" t="n">
        <f aca="false">C18*x_c_MON</f>
        <v>27857107.6100244</v>
      </c>
      <c r="Z18" s="0" t="n">
        <f aca="false">D18</f>
        <v>0</v>
      </c>
      <c r="AA18" s="0" t="n">
        <f aca="false">E18</f>
        <v>0</v>
      </c>
      <c r="AB18" s="0" t="n">
        <f aca="false">x_z_F*Q18+(1-x_AGRI)*x_EMP*x_WLOSS*(x_PEN_K74*N18+x_PEN_C22*O18)</f>
        <v>8017225.31343657</v>
      </c>
      <c r="AC18" s="0" t="n">
        <f aca="false">x_AGRI*x_EMP*x_WLOSS*(x_PEN_K74*N18+x_PEN_C22*O18)</f>
        <v>75821.3190289419</v>
      </c>
      <c r="AD18" s="0" t="n">
        <f aca="false">x_EMP*x_WAGE*(x_WLOSS*(N18+O18)+P18)+Q18*x_absd*x_WAGE/365</f>
        <v>8764699.68326087</v>
      </c>
      <c r="AE18" s="0" t="n">
        <f aca="false">AD18*x_R_FUS</f>
        <v>2773150.97978374</v>
      </c>
      <c r="AF18" s="0" t="n">
        <f aca="false">AD18*x_R_NFZ</f>
        <v>680675.342101723</v>
      </c>
      <c r="AG18" s="0" t="n">
        <f aca="false">AD18*x_R_PIT</f>
        <v>582713.817441734</v>
      </c>
      <c r="AH18" s="0" t="n">
        <f aca="false">AD18*x_R_FP</f>
        <v>223499.841923152</v>
      </c>
      <c r="AI18" s="0" t="n">
        <f aca="false">W18+X18+Y18+Z18</f>
        <v>821208608.383607</v>
      </c>
      <c r="AJ18" s="0" t="n">
        <f aca="false">AI18+AA18+AB18+AC18+AE18+AF18+AG18+AH18</f>
        <v>833561694.997323</v>
      </c>
      <c r="AK18" s="0" t="n">
        <f aca="false">AI18+AA18+AD18</f>
        <v>829973308.066868</v>
      </c>
      <c r="AL18" s="0" t="n">
        <f aca="false">X18+Y18+Z18</f>
        <v>137833427.610024</v>
      </c>
      <c r="AM18" s="0" t="n">
        <f aca="false">AL18+AA18</f>
        <v>137833427.610024</v>
      </c>
    </row>
    <row r="19" customFormat="false" ht="15" hidden="false" customHeight="false" outlineLevel="0" collapsed="false">
      <c r="A19" s="0" t="n">
        <v>2042</v>
      </c>
      <c r="B19" s="0" t="n">
        <v>16</v>
      </c>
      <c r="C19" s="0" t="n">
        <v>4832</v>
      </c>
      <c r="D19" s="0" t="n">
        <v>0</v>
      </c>
      <c r="E19" s="0" t="n">
        <v>0</v>
      </c>
      <c r="F19" s="0" t="n">
        <v>100730.375</v>
      </c>
      <c r="G19" s="0" t="n">
        <v>20444.958</v>
      </c>
      <c r="H19" s="0" t="n">
        <v>2196.779</v>
      </c>
      <c r="I19" s="0" t="n">
        <v>1306.112</v>
      </c>
      <c r="J19" s="0" t="n">
        <v>1320.853</v>
      </c>
      <c r="K19" s="0" t="n">
        <v>77502.02</v>
      </c>
      <c r="L19" s="0" t="n">
        <v>10848.402</v>
      </c>
      <c r="M19" s="0" t="n">
        <v>101.81</v>
      </c>
      <c r="N19" s="0" t="n">
        <v>41.189</v>
      </c>
      <c r="O19" s="0" t="n">
        <v>26.153</v>
      </c>
      <c r="P19" s="0" t="n">
        <v>24.146</v>
      </c>
      <c r="Q19" s="0" t="n">
        <v>121175.333</v>
      </c>
      <c r="R19" s="0" t="n">
        <v>152013.256</v>
      </c>
      <c r="S19" s="0" t="n">
        <v>438.704</v>
      </c>
      <c r="T19" s="0" t="n">
        <v>400.311</v>
      </c>
      <c r="U19" s="0" t="n">
        <v>101.81</v>
      </c>
      <c r="V19" s="0" t="n">
        <v>656.601</v>
      </c>
      <c r="W19" s="0" t="n">
        <f aca="false">F19*x_c_F+G19*x_c_CC+H19*x_c_DC+I19*x_c_HCC+J19*x_c_PLT+K19*x_c_SVRn+L19*x_c_SVRcc+M19*x_c_LT</f>
        <v>684788405.793411</v>
      </c>
      <c r="X19" s="0" t="n">
        <f aca="false">C19*x_c_DAA</f>
        <v>109976320</v>
      </c>
      <c r="Y19" s="0" t="n">
        <f aca="false">C19*x_c_MON</f>
        <v>27857107.6100244</v>
      </c>
      <c r="Z19" s="0" t="n">
        <f aca="false">D19</f>
        <v>0</v>
      </c>
      <c r="AA19" s="0" t="n">
        <f aca="false">E19</f>
        <v>0</v>
      </c>
      <c r="AB19" s="0" t="n">
        <f aca="false">x_z_F*Q19+(1-x_AGRI)*x_EMP*x_WLOSS*(x_PEN_K74*N19+x_PEN_C22*O19)</f>
        <v>8378841.69147536</v>
      </c>
      <c r="AC19" s="0" t="n">
        <f aca="false">x_AGRI*x_EMP*x_WLOSS*(x_PEN_K74*N19+x_PEN_C22*O19)</f>
        <v>104335.67356596</v>
      </c>
      <c r="AD19" s="0" t="n">
        <f aca="false">x_EMP*x_WAGE*(x_WLOSS*(N19+O19)+P19)+Q19*x_absd*x_WAGE/365</f>
        <v>11016086.9926915</v>
      </c>
      <c r="AE19" s="0" t="n">
        <f aca="false">AD19*x_R_FUS</f>
        <v>3485489.9244876</v>
      </c>
      <c r="AF19" s="0" t="n">
        <f aca="false">AD19*x_R_NFZ</f>
        <v>855520.331939417</v>
      </c>
      <c r="AG19" s="0" t="n">
        <f aca="false">AD19*x_R_PIT</f>
        <v>732395.442714504</v>
      </c>
      <c r="AH19" s="0" t="n">
        <f aca="false">AD19*x_R_FP</f>
        <v>280910.218313634</v>
      </c>
      <c r="AI19" s="0" t="n">
        <f aca="false">W19+X19+Y19+Z19</f>
        <v>822621833.403436</v>
      </c>
      <c r="AJ19" s="0" t="n">
        <f aca="false">AI19+AA19+AB19+AC19+AE19+AF19+AG19+AH19</f>
        <v>836459326.685932</v>
      </c>
      <c r="AK19" s="0" t="n">
        <f aca="false">AI19+AA19+AD19</f>
        <v>833637920.396127</v>
      </c>
      <c r="AL19" s="0" t="n">
        <f aca="false">X19+Y19+Z19</f>
        <v>137833427.610024</v>
      </c>
      <c r="AM19" s="0" t="n">
        <f aca="false">AL19+AA19</f>
        <v>137833427.610024</v>
      </c>
    </row>
    <row r="20" customFormat="false" ht="15" hidden="false" customHeight="false" outlineLevel="0" collapsed="false">
      <c r="A20" s="0" t="n">
        <v>2043</v>
      </c>
      <c r="B20" s="0" t="n">
        <v>17</v>
      </c>
      <c r="C20" s="0" t="n">
        <v>4832</v>
      </c>
      <c r="D20" s="0" t="n">
        <v>0</v>
      </c>
      <c r="E20" s="0" t="n">
        <v>0</v>
      </c>
      <c r="F20" s="0" t="n">
        <v>99620.736</v>
      </c>
      <c r="G20" s="0" t="n">
        <v>20305.878</v>
      </c>
      <c r="H20" s="0" t="n">
        <v>2221.091</v>
      </c>
      <c r="I20" s="0" t="n">
        <v>1320.176</v>
      </c>
      <c r="J20" s="0" t="n">
        <v>1314.508</v>
      </c>
      <c r="K20" s="0" t="n">
        <v>80258.429</v>
      </c>
      <c r="L20" s="0" t="n">
        <v>11337.092</v>
      </c>
      <c r="M20" s="0" t="n">
        <v>102.773</v>
      </c>
      <c r="N20" s="0" t="n">
        <v>55.411</v>
      </c>
      <c r="O20" s="0" t="n">
        <v>34.645</v>
      </c>
      <c r="P20" s="0" t="n">
        <v>35.599</v>
      </c>
      <c r="Q20" s="0" t="n">
        <v>119926.615</v>
      </c>
      <c r="R20" s="0" t="n">
        <v>153575.096</v>
      </c>
      <c r="S20" s="0" t="n">
        <v>437.394</v>
      </c>
      <c r="T20" s="0" t="n">
        <v>400.455</v>
      </c>
      <c r="U20" s="0" t="n">
        <v>102.773</v>
      </c>
      <c r="V20" s="0" t="n">
        <v>661.834</v>
      </c>
      <c r="W20" s="0" t="n">
        <f aca="false">F20*x_c_F+G20*x_c_CC+H20*x_c_DC+I20*x_c_HCC+J20*x_c_PLT+K20*x_c_SVRn+L20*x_c_SVRcc+M20*x_c_LT</f>
        <v>685229012.239102</v>
      </c>
      <c r="X20" s="0" t="n">
        <f aca="false">C20*x_c_DAA</f>
        <v>109976320</v>
      </c>
      <c r="Y20" s="0" t="n">
        <f aca="false">C20*x_c_MON</f>
        <v>27857107.6100244</v>
      </c>
      <c r="Z20" s="0" t="n">
        <f aca="false">D20</f>
        <v>0</v>
      </c>
      <c r="AA20" s="0" t="n">
        <f aca="false">E20</f>
        <v>0</v>
      </c>
      <c r="AB20" s="0" t="n">
        <f aca="false">x_z_F*Q20+(1-x_AGRI)*x_EMP*x_WLOSS*(x_PEN_K74*N20+x_PEN_C22*O20)</f>
        <v>8840180.27053579</v>
      </c>
      <c r="AC20" s="0" t="n">
        <f aca="false">x_AGRI*x_EMP*x_WLOSS*(x_PEN_K74*N20+x_PEN_C22*O20)</f>
        <v>139461.282505814</v>
      </c>
      <c r="AD20" s="0" t="n">
        <f aca="false">x_EMP*x_WAGE*(x_WLOSS*(N20+O20)+P20)+Q20*x_absd*x_WAGE/365</f>
        <v>13896043.4455232</v>
      </c>
      <c r="AE20" s="0" t="n">
        <f aca="false">AD20*x_R_FUS</f>
        <v>4396708.14616354</v>
      </c>
      <c r="AF20" s="0" t="n">
        <f aca="false">AD20*x_R_NFZ</f>
        <v>1079180.63002278</v>
      </c>
      <c r="AG20" s="0" t="n">
        <f aca="false">AD20*x_R_PIT</f>
        <v>923866.968190791</v>
      </c>
      <c r="AH20" s="0" t="n">
        <f aca="false">AD20*x_R_FP</f>
        <v>354349.107860841</v>
      </c>
      <c r="AI20" s="0" t="n">
        <f aca="false">W20+X20+Y20+Z20</f>
        <v>823062439.849126</v>
      </c>
      <c r="AJ20" s="0" t="n">
        <f aca="false">AI20+AA20+AB20+AC20+AE20+AF20+AG20+AH20</f>
        <v>838796186.254406</v>
      </c>
      <c r="AK20" s="0" t="n">
        <f aca="false">AI20+AA20+AD20</f>
        <v>836958483.294649</v>
      </c>
      <c r="AL20" s="0" t="n">
        <f aca="false">X20+Y20+Z20</f>
        <v>137833427.610024</v>
      </c>
      <c r="AM20" s="0" t="n">
        <f aca="false">AL20+AA20</f>
        <v>137833427.610024</v>
      </c>
    </row>
    <row r="21" customFormat="false" ht="15" hidden="false" customHeight="false" outlineLevel="0" collapsed="false">
      <c r="A21" s="0" t="n">
        <v>2044</v>
      </c>
      <c r="B21" s="0" t="n">
        <v>18</v>
      </c>
      <c r="C21" s="0" t="n">
        <v>4832</v>
      </c>
      <c r="D21" s="0" t="n">
        <v>0</v>
      </c>
      <c r="E21" s="0" t="n">
        <v>0</v>
      </c>
      <c r="F21" s="0" t="n">
        <v>98581.175</v>
      </c>
      <c r="G21" s="0" t="n">
        <v>20093.192</v>
      </c>
      <c r="H21" s="0" t="n">
        <v>2236.692</v>
      </c>
      <c r="I21" s="0" t="n">
        <v>1328.79</v>
      </c>
      <c r="J21" s="0" t="n">
        <v>1307.476</v>
      </c>
      <c r="K21" s="0" t="n">
        <v>82914.792</v>
      </c>
      <c r="L21" s="0" t="n">
        <v>11793.543</v>
      </c>
      <c r="M21" s="0" t="n">
        <v>103.319</v>
      </c>
      <c r="N21" s="0" t="n">
        <v>72.667</v>
      </c>
      <c r="O21" s="0" t="n">
        <v>44.754</v>
      </c>
      <c r="P21" s="0" t="n">
        <v>50.827</v>
      </c>
      <c r="Q21" s="0" t="n">
        <v>118674.366</v>
      </c>
      <c r="R21" s="0" t="n">
        <v>155043.003</v>
      </c>
      <c r="S21" s="0" t="n">
        <v>434.519</v>
      </c>
      <c r="T21" s="0" t="n">
        <v>399.154</v>
      </c>
      <c r="U21" s="0" t="n">
        <v>103.319</v>
      </c>
      <c r="V21" s="0" t="n">
        <v>664.53</v>
      </c>
      <c r="W21" s="0" t="n">
        <f aca="false">F21*x_c_F+G21*x_c_CC+H21*x_c_DC+I21*x_c_HCC+J21*x_c_PLT+K21*x_c_SVRn+L21*x_c_SVRcc+M21*x_c_LT</f>
        <v>684664044.399805</v>
      </c>
      <c r="X21" s="0" t="n">
        <f aca="false">C21*x_c_DAA</f>
        <v>109976320</v>
      </c>
      <c r="Y21" s="0" t="n">
        <f aca="false">C21*x_c_MON</f>
        <v>27857107.6100244</v>
      </c>
      <c r="Z21" s="0" t="n">
        <f aca="false">D21</f>
        <v>0</v>
      </c>
      <c r="AA21" s="0" t="n">
        <f aca="false">E21</f>
        <v>0</v>
      </c>
      <c r="AB21" s="0" t="n">
        <f aca="false">x_z_F*Q21+(1-x_AGRI)*x_EMP*x_WLOSS*(x_PEN_K74*N21+x_PEN_C22*O21)</f>
        <v>9409765.27063417</v>
      </c>
      <c r="AC21" s="0" t="n">
        <f aca="false">x_AGRI*x_EMP*x_WLOSS*(x_PEN_K74*N21+x_PEN_C22*O21)</f>
        <v>181754.870100792</v>
      </c>
      <c r="AD21" s="0" t="n">
        <f aca="false">x_EMP*x_WAGE*(x_WLOSS*(N21+O21)+P21)+Q21*x_absd*x_WAGE/365</f>
        <v>17494311.0854289</v>
      </c>
      <c r="AE21" s="0" t="n">
        <f aca="false">AD21*x_R_FUS</f>
        <v>5535200.02742971</v>
      </c>
      <c r="AF21" s="0" t="n">
        <f aca="false">AD21*x_R_NFZ</f>
        <v>1358625.69320549</v>
      </c>
      <c r="AG21" s="0" t="n">
        <f aca="false">AD21*x_R_PIT</f>
        <v>1163094.81950337</v>
      </c>
      <c r="AH21" s="0" t="n">
        <f aca="false">AD21*x_R_FP</f>
        <v>446104.932678437</v>
      </c>
      <c r="AI21" s="0" t="n">
        <f aca="false">W21+X21+Y21+Z21</f>
        <v>822497472.00983</v>
      </c>
      <c r="AJ21" s="0" t="n">
        <f aca="false">AI21+AA21+AB21+AC21+AE21+AF21+AG21+AH21</f>
        <v>840592017.623382</v>
      </c>
      <c r="AK21" s="0" t="n">
        <f aca="false">AI21+AA21+AD21</f>
        <v>839991783.095259</v>
      </c>
      <c r="AL21" s="0" t="n">
        <f aca="false">X21+Y21+Z21</f>
        <v>137833427.610024</v>
      </c>
      <c r="AM21" s="0" t="n">
        <f aca="false">AL21+AA21</f>
        <v>137833427.610024</v>
      </c>
    </row>
    <row r="22" customFormat="false" ht="15" hidden="false" customHeight="false" outlineLevel="0" collapsed="false">
      <c r="A22" s="0" t="n">
        <v>2045</v>
      </c>
      <c r="B22" s="0" t="n">
        <v>19</v>
      </c>
      <c r="C22" s="0" t="n">
        <v>4832</v>
      </c>
      <c r="D22" s="0" t="n">
        <v>0</v>
      </c>
      <c r="E22" s="0" t="n">
        <v>0</v>
      </c>
      <c r="F22" s="0" t="n">
        <v>97609.392</v>
      </c>
      <c r="G22" s="0" t="n">
        <v>19815.163</v>
      </c>
      <c r="H22" s="0" t="n">
        <v>2243.482</v>
      </c>
      <c r="I22" s="0" t="n">
        <v>1332.035</v>
      </c>
      <c r="J22" s="0" t="n">
        <v>1299.353</v>
      </c>
      <c r="K22" s="0" t="n">
        <v>85471.36</v>
      </c>
      <c r="L22" s="0" t="n">
        <v>12213.518</v>
      </c>
      <c r="M22" s="0" t="n">
        <v>103.443</v>
      </c>
      <c r="N22" s="0" t="n">
        <v>93.189</v>
      </c>
      <c r="O22" s="0" t="n">
        <v>56.55</v>
      </c>
      <c r="P22" s="0" t="n">
        <v>70.567</v>
      </c>
      <c r="Q22" s="0" t="n">
        <v>117424.556</v>
      </c>
      <c r="R22" s="0" t="n">
        <v>156417.224</v>
      </c>
      <c r="S22" s="0" t="n">
        <v>430.21</v>
      </c>
      <c r="T22" s="0" t="n">
        <v>396.498</v>
      </c>
      <c r="U22" s="0" t="n">
        <v>103.443</v>
      </c>
      <c r="V22" s="0" t="n">
        <v>664.66</v>
      </c>
      <c r="W22" s="0" t="n">
        <f aca="false">F22*x_c_F+G22*x_c_CC+H22*x_c_DC+I22*x_c_HCC+J22*x_c_PLT+K22*x_c_SVRn+L22*x_c_SVRcc+M22*x_c_LT</f>
        <v>683108724.740029</v>
      </c>
      <c r="X22" s="0" t="n">
        <f aca="false">C22*x_c_DAA</f>
        <v>109976320</v>
      </c>
      <c r="Y22" s="0" t="n">
        <f aca="false">C22*x_c_MON</f>
        <v>27857107.6100244</v>
      </c>
      <c r="Z22" s="0" t="n">
        <f aca="false">D22</f>
        <v>0</v>
      </c>
      <c r="AA22" s="0" t="n">
        <f aca="false">E22</f>
        <v>0</v>
      </c>
      <c r="AB22" s="0" t="n">
        <f aca="false">x_z_F*Q22+(1-x_AGRI)*x_EMP*x_WLOSS*(x_PEN_K74*N22+x_PEN_C22*O22)</f>
        <v>10094866.9721063</v>
      </c>
      <c r="AC22" s="0" t="n">
        <f aca="false">x_AGRI*x_EMP*x_WLOSS*(x_PEN_K74*N22+x_PEN_C22*O22)</f>
        <v>231674.842717831</v>
      </c>
      <c r="AD22" s="0" t="n">
        <f aca="false">x_EMP*x_WAGE*(x_WLOSS*(N22+O22)+P22)+Q22*x_absd*x_WAGE/365</f>
        <v>21899633.995155</v>
      </c>
      <c r="AE22" s="0" t="n">
        <f aca="false">AD22*x_R_FUS</f>
        <v>6929044.19606706</v>
      </c>
      <c r="AF22" s="0" t="n">
        <f aca="false">AD22*x_R_NFZ</f>
        <v>1700747.47569774</v>
      </c>
      <c r="AG22" s="0" t="n">
        <f aca="false">AD22*x_R_PIT</f>
        <v>1455979.07367726</v>
      </c>
      <c r="AH22" s="0" t="n">
        <f aca="false">AD22*x_R_FP</f>
        <v>558440.666876453</v>
      </c>
      <c r="AI22" s="0" t="n">
        <f aca="false">W22+X22+Y22+Z22</f>
        <v>820942152.350053</v>
      </c>
      <c r="AJ22" s="0" t="n">
        <f aca="false">AI22+AA22+AB22+AC22+AE22+AF22+AG22+AH22</f>
        <v>841912905.577196</v>
      </c>
      <c r="AK22" s="0" t="n">
        <f aca="false">AI22+AA22+AD22</f>
        <v>842841786.345208</v>
      </c>
      <c r="AL22" s="0" t="n">
        <f aca="false">X22+Y22+Z22</f>
        <v>137833427.610024</v>
      </c>
      <c r="AM22" s="0" t="n">
        <f aca="false">AL22+AA22</f>
        <v>137833427.610024</v>
      </c>
    </row>
    <row r="23" customFormat="false" ht="15" hidden="false" customHeight="false" outlineLevel="0" collapsed="false">
      <c r="A23" s="0" t="n">
        <v>2046</v>
      </c>
      <c r="B23" s="0" t="n">
        <v>20</v>
      </c>
      <c r="C23" s="0" t="n">
        <v>4832</v>
      </c>
      <c r="D23" s="0" t="n">
        <v>0</v>
      </c>
      <c r="E23" s="0" t="n">
        <v>0</v>
      </c>
      <c r="F23" s="0" t="n">
        <v>96701.183</v>
      </c>
      <c r="G23" s="0" t="n">
        <v>19479.402</v>
      </c>
      <c r="H23" s="0" t="n">
        <v>2241.456</v>
      </c>
      <c r="I23" s="0" t="n">
        <v>1330.029</v>
      </c>
      <c r="J23" s="0" t="n">
        <v>1289.685</v>
      </c>
      <c r="K23" s="0" t="n">
        <v>87925.899</v>
      </c>
      <c r="L23" s="0" t="n">
        <v>12592.531</v>
      </c>
      <c r="M23" s="0" t="n">
        <v>103.142</v>
      </c>
      <c r="N23" s="0" t="n">
        <v>117.163</v>
      </c>
      <c r="O23" s="0" t="n">
        <v>70.073</v>
      </c>
      <c r="P23" s="0" t="n">
        <v>95.589</v>
      </c>
      <c r="Q23" s="0" t="n">
        <v>116180.585</v>
      </c>
      <c r="R23" s="0" t="n">
        <v>157694.246</v>
      </c>
      <c r="S23" s="0" t="n">
        <v>424.587</v>
      </c>
      <c r="T23" s="0" t="n">
        <v>392.569</v>
      </c>
      <c r="U23" s="0" t="n">
        <v>103.142</v>
      </c>
      <c r="V23" s="0" t="n">
        <v>662.215</v>
      </c>
      <c r="W23" s="0" t="n">
        <f aca="false">F23*x_c_F+G23*x_c_CC+H23*x_c_DC+I23*x_c_HCC+J23*x_c_PLT+K23*x_c_SVRn+L23*x_c_SVRcc+M23*x_c_LT</f>
        <v>680570043.422348</v>
      </c>
      <c r="X23" s="0" t="n">
        <f aca="false">C23*x_c_DAA</f>
        <v>109976320</v>
      </c>
      <c r="Y23" s="0" t="n">
        <f aca="false">C23*x_c_MON</f>
        <v>27857107.6100244</v>
      </c>
      <c r="Z23" s="0" t="n">
        <f aca="false">D23</f>
        <v>0</v>
      </c>
      <c r="AA23" s="0" t="n">
        <f aca="false">E23</f>
        <v>0</v>
      </c>
      <c r="AB23" s="0" t="n">
        <f aca="false">x_z_F*Q23+(1-x_AGRI)*x_EMP*x_WLOSS*(x_PEN_K74*N23+x_PEN_C22*O23)</f>
        <v>10900828.5137479</v>
      </c>
      <c r="AC23" s="0" t="n">
        <f aca="false">x_AGRI*x_EMP*x_WLOSS*(x_PEN_K74*N23+x_PEN_C22*O23)</f>
        <v>289561.75956456</v>
      </c>
      <c r="AD23" s="0" t="n">
        <f aca="false">x_EMP*x_WAGE*(x_WLOSS*(N23+O23)+P23)+Q23*x_absd*x_WAGE/365</f>
        <v>27197021.8531796</v>
      </c>
      <c r="AE23" s="0" t="n">
        <f aca="false">AD23*x_R_FUS</f>
        <v>8605137.71434603</v>
      </c>
      <c r="AF23" s="0" t="n">
        <f aca="false">AD23*x_R_NFZ</f>
        <v>2112147.91413978</v>
      </c>
      <c r="AG23" s="0" t="n">
        <f aca="false">AD23*x_R_PIT</f>
        <v>1808171.52895493</v>
      </c>
      <c r="AH23" s="0" t="n">
        <f aca="false">AD23*x_R_FP</f>
        <v>693524.05725608</v>
      </c>
      <c r="AI23" s="0" t="n">
        <f aca="false">W23+X23+Y23+Z23</f>
        <v>818403471.032372</v>
      </c>
      <c r="AJ23" s="0" t="n">
        <f aca="false">AI23+AA23+AB23+AC23+AE23+AF23+AG23+AH23</f>
        <v>842812842.520382</v>
      </c>
      <c r="AK23" s="0" t="n">
        <f aca="false">AI23+AA23+AD23</f>
        <v>845600492.885552</v>
      </c>
      <c r="AL23" s="0" t="n">
        <f aca="false">X23+Y23+Z23</f>
        <v>137833427.610024</v>
      </c>
      <c r="AM23" s="0" t="n">
        <f aca="false">AL23+AA23</f>
        <v>137833427.610024</v>
      </c>
    </row>
    <row r="24" customFormat="false" ht="15" hidden="false" customHeight="false" outlineLevel="0" collapsed="false">
      <c r="A24" s="0" t="n">
        <v>2047</v>
      </c>
      <c r="B24" s="0" t="n">
        <v>21</v>
      </c>
      <c r="C24" s="0" t="n">
        <v>4832</v>
      </c>
      <c r="D24" s="0" t="n">
        <v>0</v>
      </c>
      <c r="E24" s="0" t="n">
        <v>0</v>
      </c>
      <c r="F24" s="0" t="n">
        <v>95851.319</v>
      </c>
      <c r="G24" s="0" t="n">
        <v>19092.887</v>
      </c>
      <c r="H24" s="0" t="n">
        <v>2230.683</v>
      </c>
      <c r="I24" s="0" t="n">
        <v>1322.919</v>
      </c>
      <c r="J24" s="0" t="n">
        <v>1277.986</v>
      </c>
      <c r="K24" s="0" t="n">
        <v>90274.109</v>
      </c>
      <c r="L24" s="0" t="n">
        <v>12925.851</v>
      </c>
      <c r="M24" s="0" t="n">
        <v>102.428</v>
      </c>
      <c r="N24" s="0" t="n">
        <v>144.726</v>
      </c>
      <c r="O24" s="0" t="n">
        <v>85.335</v>
      </c>
      <c r="P24" s="0" t="n">
        <v>126.685</v>
      </c>
      <c r="Q24" s="0" t="n">
        <v>114944.206</v>
      </c>
      <c r="R24" s="0" t="n">
        <v>158867.77</v>
      </c>
      <c r="S24" s="0" t="n">
        <v>417.794</v>
      </c>
      <c r="T24" s="0" t="n">
        <v>387.478</v>
      </c>
      <c r="U24" s="0" t="n">
        <v>102.428</v>
      </c>
      <c r="V24" s="0" t="n">
        <v>657.266</v>
      </c>
      <c r="W24" s="0" t="n">
        <f aca="false">F24*x_c_F+G24*x_c_CC+H24*x_c_DC+I24*x_c_HCC+J24*x_c_PLT+K24*x_c_SVRn+L24*x_c_SVRcc+M24*x_c_LT</f>
        <v>677053877.304266</v>
      </c>
      <c r="X24" s="0" t="n">
        <f aca="false">C24*x_c_DAA</f>
        <v>109976320</v>
      </c>
      <c r="Y24" s="0" t="n">
        <f aca="false">C24*x_c_MON</f>
        <v>27857107.6100244</v>
      </c>
      <c r="Z24" s="0" t="n">
        <f aca="false">D24</f>
        <v>0</v>
      </c>
      <c r="AA24" s="0" t="n">
        <f aca="false">E24</f>
        <v>0</v>
      </c>
      <c r="AB24" s="0" t="n">
        <f aca="false">x_z_F*Q24+(1-x_AGRI)*x_EMP*x_WLOSS*(x_PEN_K74*N24+x_PEN_C22*O24)</f>
        <v>11831101.5067334</v>
      </c>
      <c r="AC24" s="0" t="n">
        <f aca="false">x_AGRI*x_EMP*x_WLOSS*(x_PEN_K74*N24+x_PEN_C22*O24)</f>
        <v>355637.262910321</v>
      </c>
      <c r="AD24" s="0" t="n">
        <f aca="false">x_EMP*x_WAGE*(x_WLOSS*(N24+O24)+P24)+Q24*x_absd*x_WAGE/365</f>
        <v>33466751.3025843</v>
      </c>
      <c r="AE24" s="0" t="n">
        <f aca="false">AD24*x_R_FUS</f>
        <v>10588880.1121377</v>
      </c>
      <c r="AF24" s="0" t="n">
        <f aca="false">AD24*x_R_NFZ</f>
        <v>2599061.37291</v>
      </c>
      <c r="AG24" s="0" t="n">
        <f aca="false">AD24*x_R_PIT</f>
        <v>2225009.3116307</v>
      </c>
      <c r="AH24" s="0" t="n">
        <f aca="false">AD24*x_R_FP</f>
        <v>853402.158215901</v>
      </c>
      <c r="AI24" s="0" t="n">
        <f aca="false">W24+X24+Y24+Z24</f>
        <v>814887304.91429</v>
      </c>
      <c r="AJ24" s="0" t="n">
        <f aca="false">AI24+AA24+AB24+AC24+AE24+AF24+AG24+AH24</f>
        <v>843340396.638828</v>
      </c>
      <c r="AK24" s="0" t="n">
        <f aca="false">AI24+AA24+AD24</f>
        <v>848354056.216874</v>
      </c>
      <c r="AL24" s="0" t="n">
        <f aca="false">X24+Y24+Z24</f>
        <v>137833427.610024</v>
      </c>
      <c r="AM24" s="0" t="n">
        <f aca="false">AL24+AA24</f>
        <v>137833427.610024</v>
      </c>
    </row>
    <row r="25" customFormat="false" ht="15" hidden="false" customHeight="false" outlineLevel="0" collapsed="false">
      <c r="A25" s="0" t="n">
        <v>2048</v>
      </c>
      <c r="B25" s="0" t="n">
        <v>22</v>
      </c>
      <c r="C25" s="0" t="n">
        <v>4832</v>
      </c>
      <c r="D25" s="0" t="n">
        <v>0</v>
      </c>
      <c r="E25" s="0" t="n">
        <v>0</v>
      </c>
      <c r="F25" s="0" t="n">
        <v>95055.988</v>
      </c>
      <c r="G25" s="0" t="n">
        <v>18663.543</v>
      </c>
      <c r="H25" s="0" t="n">
        <v>2211.496</v>
      </c>
      <c r="I25" s="0" t="n">
        <v>1310.981</v>
      </c>
      <c r="J25" s="0" t="n">
        <v>1263.874</v>
      </c>
      <c r="K25" s="0" t="n">
        <v>92514.34</v>
      </c>
      <c r="L25" s="0" t="n">
        <v>13209.697</v>
      </c>
      <c r="M25" s="0" t="n">
        <v>101.317</v>
      </c>
      <c r="N25" s="0" t="n">
        <v>175.963</v>
      </c>
      <c r="O25" s="0" t="n">
        <v>102.312</v>
      </c>
      <c r="P25" s="0" t="n">
        <v>164.65</v>
      </c>
      <c r="Q25" s="0" t="n">
        <v>113719.53</v>
      </c>
      <c r="R25" s="0" t="n">
        <v>159935.891</v>
      </c>
      <c r="S25" s="0" t="n">
        <v>409.967</v>
      </c>
      <c r="T25" s="0" t="n">
        <v>381.331</v>
      </c>
      <c r="U25" s="0" t="n">
        <v>101.317</v>
      </c>
      <c r="V25" s="0" t="n">
        <v>649.905</v>
      </c>
      <c r="W25" s="0" t="n">
        <f aca="false">F25*x_c_F+G25*x_c_CC+H25*x_c_DC+I25*x_c_HCC+J25*x_c_PLT+K25*x_c_SVRn+L25*x_c_SVRcc+M25*x_c_LT</f>
        <v>672597208.715304</v>
      </c>
      <c r="X25" s="0" t="n">
        <f aca="false">C25*x_c_DAA</f>
        <v>109976320</v>
      </c>
      <c r="Y25" s="0" t="n">
        <f aca="false">C25*x_c_MON</f>
        <v>27857107.6100244</v>
      </c>
      <c r="Z25" s="0" t="n">
        <f aca="false">D25</f>
        <v>0</v>
      </c>
      <c r="AA25" s="0" t="n">
        <f aca="false">E25</f>
        <v>0</v>
      </c>
      <c r="AB25" s="0" t="n">
        <f aca="false">x_z_F*Q25+(1-x_AGRI)*x_EMP*x_WLOSS*(x_PEN_K74*N25+x_PEN_C22*O25)</f>
        <v>12887201.629575</v>
      </c>
      <c r="AC25" s="0" t="n">
        <f aca="false">x_AGRI*x_EMP*x_WLOSS*(x_PEN_K74*N25+x_PEN_C22*O25)</f>
        <v>429986.286788242</v>
      </c>
      <c r="AD25" s="0" t="n">
        <f aca="false">x_EMP*x_WAGE*(x_WLOSS*(N25+O25)+P25)+Q25*x_absd*x_WAGE/365</f>
        <v>40781914.4218291</v>
      </c>
      <c r="AE25" s="0" t="n">
        <f aca="false">AD25*x_R_FUS</f>
        <v>12903397.7230667</v>
      </c>
      <c r="AF25" s="0" t="n">
        <f aca="false">AD25*x_R_NFZ</f>
        <v>3167164.25591367</v>
      </c>
      <c r="AG25" s="0" t="n">
        <f aca="false">AD25*x_R_PIT</f>
        <v>2711351.8881556</v>
      </c>
      <c r="AH25" s="0" t="n">
        <f aca="false">AD25*x_R_FP</f>
        <v>1039938.81775664</v>
      </c>
      <c r="AI25" s="0" t="n">
        <f aca="false">W25+X25+Y25+Z25</f>
        <v>810430636.325329</v>
      </c>
      <c r="AJ25" s="0" t="n">
        <f aca="false">AI25+AA25+AB25+AC25+AE25+AF25+AG25+AH25</f>
        <v>843569676.926584</v>
      </c>
      <c r="AK25" s="0" t="n">
        <f aca="false">AI25+AA25+AD25</f>
        <v>851212550.747158</v>
      </c>
      <c r="AL25" s="0" t="n">
        <f aca="false">X25+Y25+Z25</f>
        <v>137833427.610024</v>
      </c>
      <c r="AM25" s="0" t="n">
        <f aca="false">AL25+AA25</f>
        <v>137833427.610024</v>
      </c>
    </row>
    <row r="26" customFormat="false" ht="15" hidden="false" customHeight="false" outlineLevel="0" collapsed="false">
      <c r="A26" s="0" t="n">
        <v>2049</v>
      </c>
      <c r="B26" s="0" t="n">
        <v>23</v>
      </c>
      <c r="C26" s="0" t="n">
        <v>4832</v>
      </c>
      <c r="D26" s="0" t="n">
        <v>0</v>
      </c>
      <c r="E26" s="0" t="n">
        <v>0</v>
      </c>
      <c r="F26" s="0" t="n">
        <v>94310.912</v>
      </c>
      <c r="G26" s="0" t="n">
        <v>18198.769</v>
      </c>
      <c r="H26" s="0" t="n">
        <v>2184.293</v>
      </c>
      <c r="I26" s="0" t="n">
        <v>1294.516</v>
      </c>
      <c r="J26" s="0" t="n">
        <v>1246.969</v>
      </c>
      <c r="K26" s="0" t="n">
        <v>94643.884</v>
      </c>
      <c r="L26" s="0" t="n">
        <v>13440.35</v>
      </c>
      <c r="M26" s="0" t="n">
        <v>99.828</v>
      </c>
      <c r="N26" s="0" t="n">
        <v>210.903</v>
      </c>
      <c r="O26" s="0" t="n">
        <v>120.956</v>
      </c>
      <c r="P26" s="0" t="n">
        <v>210.269</v>
      </c>
      <c r="Q26" s="0" t="n">
        <v>112509.681</v>
      </c>
      <c r="R26" s="0" t="n">
        <v>160895.355</v>
      </c>
      <c r="S26" s="0" t="n">
        <v>401.231</v>
      </c>
      <c r="T26" s="0" t="n">
        <v>374.225</v>
      </c>
      <c r="U26" s="0" t="n">
        <v>99.828</v>
      </c>
      <c r="V26" s="0" t="n">
        <v>640.235</v>
      </c>
      <c r="W26" s="0" t="n">
        <f aca="false">F26*x_c_F+G26*x_c_CC+H26*x_c_DC+I26*x_c_HCC+J26*x_c_PLT+K26*x_c_SVRn+L26*x_c_SVRcc+M26*x_c_LT</f>
        <v>667236151.852937</v>
      </c>
      <c r="X26" s="0" t="n">
        <f aca="false">C26*x_c_DAA</f>
        <v>109976320</v>
      </c>
      <c r="Y26" s="0" t="n">
        <f aca="false">C26*x_c_MON</f>
        <v>27857107.6100244</v>
      </c>
      <c r="Z26" s="0" t="n">
        <f aca="false">D26</f>
        <v>0</v>
      </c>
      <c r="AA26" s="0" t="n">
        <f aca="false">E26</f>
        <v>0</v>
      </c>
      <c r="AB26" s="0" t="n">
        <f aca="false">x_z_F*Q26+(1-x_AGRI)*x_EMP*x_WLOSS*(x_PEN_K74*N26+x_PEN_C22*O26)</f>
        <v>14068735.4425691</v>
      </c>
      <c r="AC26" s="0" t="n">
        <f aca="false">x_AGRI*x_EMP*x_WLOSS*(x_PEN_K74*N26+x_PEN_C22*O26)</f>
        <v>512571.237374268</v>
      </c>
      <c r="AD26" s="0" t="n">
        <f aca="false">x_EMP*x_WAGE*(x_WLOSS*(N26+O26)+P26)+Q26*x_absd*x_WAGE/365</f>
        <v>49207903.65202</v>
      </c>
      <c r="AE26" s="0" t="n">
        <f aca="false">AD26*x_R_FUS</f>
        <v>15569380.7154991</v>
      </c>
      <c r="AF26" s="0" t="n">
        <f aca="false">AD26*x_R_NFZ</f>
        <v>3821535.00551952</v>
      </c>
      <c r="AG26" s="0" t="n">
        <f aca="false">AD26*x_R_PIT</f>
        <v>3271546.82095229</v>
      </c>
      <c r="AH26" s="0" t="n">
        <f aca="false">AD26*x_R_FP</f>
        <v>1254801.54312651</v>
      </c>
      <c r="AI26" s="0" t="n">
        <f aca="false">W26+X26+Y26+Z26</f>
        <v>805069579.462961</v>
      </c>
      <c r="AJ26" s="0" t="n">
        <f aca="false">AI26+AA26+AB26+AC26+AE26+AF26+AG26+AH26</f>
        <v>843568150.228002</v>
      </c>
      <c r="AK26" s="0" t="n">
        <f aca="false">AI26+AA26+AD26</f>
        <v>854277483.114981</v>
      </c>
      <c r="AL26" s="0" t="n">
        <f aca="false">X26+Y26+Z26</f>
        <v>137833427.610024</v>
      </c>
      <c r="AM26" s="0" t="n">
        <f aca="false">AL26+AA26</f>
        <v>137833427.610024</v>
      </c>
    </row>
    <row r="27" customFormat="false" ht="15" hidden="false" customHeight="false" outlineLevel="0" collapsed="false">
      <c r="A27" s="0" t="n">
        <v>2050</v>
      </c>
      <c r="B27" s="0" t="n">
        <v>24</v>
      </c>
      <c r="C27" s="0" t="n">
        <v>4832</v>
      </c>
      <c r="D27" s="0" t="n">
        <v>0</v>
      </c>
      <c r="E27" s="0" t="n">
        <v>0</v>
      </c>
      <c r="F27" s="0" t="n">
        <v>93611.504</v>
      </c>
      <c r="G27" s="0" t="n">
        <v>17705.366</v>
      </c>
      <c r="H27" s="0" t="n">
        <v>2149.524</v>
      </c>
      <c r="I27" s="0" t="n">
        <v>1273.83</v>
      </c>
      <c r="J27" s="0" t="n">
        <v>1226.909</v>
      </c>
      <c r="K27" s="0" t="n">
        <v>96658.814</v>
      </c>
      <c r="L27" s="0" t="n">
        <v>13614.116</v>
      </c>
      <c r="M27" s="0" t="n">
        <v>97.989</v>
      </c>
      <c r="N27" s="0" t="n">
        <v>249.523</v>
      </c>
      <c r="O27" s="0" t="n">
        <v>141.189</v>
      </c>
      <c r="P27" s="0" t="n">
        <v>264.301</v>
      </c>
      <c r="Q27" s="0" t="n">
        <v>111316.869</v>
      </c>
      <c r="R27" s="0" t="n">
        <v>161741.464</v>
      </c>
      <c r="S27" s="0" t="n">
        <v>391.727</v>
      </c>
      <c r="T27" s="0" t="n">
        <v>366.275</v>
      </c>
      <c r="U27" s="0" t="n">
        <v>97.989</v>
      </c>
      <c r="V27" s="0" t="n">
        <v>628.414</v>
      </c>
      <c r="W27" s="0" t="n">
        <f aca="false">F27*x_c_F+G27*x_c_CC+H27*x_c_DC+I27*x_c_HCC+J27*x_c_PLT+K27*x_c_SVRn+L27*x_c_SVRcc+M27*x_c_LT</f>
        <v>661006900.76629</v>
      </c>
      <c r="X27" s="0" t="n">
        <f aca="false">C27*x_c_DAA</f>
        <v>109976320</v>
      </c>
      <c r="Y27" s="0" t="n">
        <f aca="false">C27*x_c_MON</f>
        <v>27857107.6100244</v>
      </c>
      <c r="Z27" s="0" t="n">
        <f aca="false">D27</f>
        <v>0</v>
      </c>
      <c r="AA27" s="0" t="n">
        <f aca="false">E27</f>
        <v>0</v>
      </c>
      <c r="AB27" s="0" t="n">
        <f aca="false">x_z_F*Q27+(1-x_AGRI)*x_EMP*x_WLOSS*(x_PEN_K74*N27+x_PEN_C22*O27)</f>
        <v>15373341.7373755</v>
      </c>
      <c r="AC27" s="0" t="n">
        <f aca="false">x_AGRI*x_EMP*x_WLOSS*(x_PEN_K74*N27+x_PEN_C22*O27)</f>
        <v>603227.845519488</v>
      </c>
      <c r="AD27" s="0" t="n">
        <f aca="false">x_EMP*x_WAGE*(x_WLOSS*(N27+O27)+P27)+Q27*x_absd*x_WAGE/365</f>
        <v>58800879.0453676</v>
      </c>
      <c r="AE27" s="0" t="n">
        <f aca="false">AD27*x_R_FUS</f>
        <v>18604598.1299543</v>
      </c>
      <c r="AF27" s="0" t="n">
        <f aca="false">AD27*x_R_NFZ</f>
        <v>4566535.06754229</v>
      </c>
      <c r="AG27" s="0" t="n">
        <f aca="false">AD27*x_R_PIT</f>
        <v>3909327.86469508</v>
      </c>
      <c r="AH27" s="0" t="n">
        <f aca="false">AD27*x_R_FP</f>
        <v>1499422.41565687</v>
      </c>
      <c r="AI27" s="0" t="n">
        <f aca="false">W27+X27+Y27+Z27</f>
        <v>798840328.376315</v>
      </c>
      <c r="AJ27" s="0" t="n">
        <f aca="false">AI27+AA27+AB27+AC27+AE27+AF27+AG27+AH27</f>
        <v>843396781.437058</v>
      </c>
      <c r="AK27" s="0" t="n">
        <f aca="false">AI27+AA27+AD27</f>
        <v>857641207.421682</v>
      </c>
      <c r="AL27" s="0" t="n">
        <f aca="false">X27+Y27+Z27</f>
        <v>137833427.610024</v>
      </c>
      <c r="AM27" s="0" t="n">
        <f aca="false">AL27+AA27</f>
        <v>137833427.610024</v>
      </c>
    </row>
    <row r="28" customFormat="false" ht="15" hidden="false" customHeight="false" outlineLevel="0" collapsed="false">
      <c r="A28" s="0" t="n">
        <v>2051</v>
      </c>
      <c r="B28" s="0" t="n">
        <v>25</v>
      </c>
      <c r="C28" s="0" t="n">
        <v>4832</v>
      </c>
      <c r="D28" s="0" t="n">
        <v>0</v>
      </c>
      <c r="E28" s="0" t="n">
        <v>0</v>
      </c>
      <c r="F28" s="0" t="n">
        <v>92954.134</v>
      </c>
      <c r="G28" s="0" t="n">
        <v>17190.518</v>
      </c>
      <c r="H28" s="0" t="n">
        <v>2107.801</v>
      </c>
      <c r="I28" s="0" t="n">
        <v>1249.311</v>
      </c>
      <c r="J28" s="0" t="n">
        <v>1203.429</v>
      </c>
      <c r="K28" s="0" t="n">
        <v>98557.373</v>
      </c>
      <c r="L28" s="0" t="n">
        <v>13728.244</v>
      </c>
      <c r="M28" s="0" t="n">
        <v>95.825</v>
      </c>
      <c r="N28" s="0" t="n">
        <v>291.744</v>
      </c>
      <c r="O28" s="0" t="n">
        <v>162.909</v>
      </c>
      <c r="P28" s="0" t="n">
        <v>327.464</v>
      </c>
      <c r="Q28" s="0" t="n">
        <v>110144.652</v>
      </c>
      <c r="R28" s="0" t="n">
        <v>162472.848</v>
      </c>
      <c r="S28" s="0" t="n">
        <v>381.571</v>
      </c>
      <c r="T28" s="0" t="n">
        <v>357.579</v>
      </c>
      <c r="U28" s="0" t="n">
        <v>95.825</v>
      </c>
      <c r="V28" s="0" t="n">
        <v>614.587</v>
      </c>
      <c r="W28" s="0" t="n">
        <f aca="false">F28*x_c_F+G28*x_c_CC+H28*x_c_DC+I28*x_c_HCC+J28*x_c_PLT+K28*x_c_SVRn+L28*x_c_SVRcc+M28*x_c_LT</f>
        <v>653964605.517911</v>
      </c>
      <c r="X28" s="0" t="n">
        <f aca="false">C28*x_c_DAA</f>
        <v>109976320</v>
      </c>
      <c r="Y28" s="0" t="n">
        <f aca="false">C28*x_c_MON</f>
        <v>27857107.6100244</v>
      </c>
      <c r="Z28" s="0" t="n">
        <f aca="false">D28</f>
        <v>0</v>
      </c>
      <c r="AA28" s="0" t="n">
        <f aca="false">E28</f>
        <v>0</v>
      </c>
      <c r="AB28" s="0" t="n">
        <f aca="false">x_z_F*Q28+(1-x_AGRI)*x_EMP*x_WLOSS*(x_PEN_K74*N28+x_PEN_C22*O28)</f>
        <v>16796881.2273343</v>
      </c>
      <c r="AC28" s="0" t="n">
        <f aca="false">x_AGRI*x_EMP*x_WLOSS*(x_PEN_K74*N28+x_PEN_C22*O28)</f>
        <v>701669.314217804</v>
      </c>
      <c r="AD28" s="0" t="n">
        <f aca="false">x_EMP*x_WAGE*(x_WLOSS*(N28+O28)+P28)+Q28*x_absd*x_WAGE/365</f>
        <v>69606719.9082186</v>
      </c>
      <c r="AE28" s="0" t="n">
        <f aca="false">AD28*x_R_FUS</f>
        <v>22023566.1789604</v>
      </c>
      <c r="AF28" s="0" t="n">
        <f aca="false">AD28*x_R_NFZ</f>
        <v>5405727.47479216</v>
      </c>
      <c r="AG28" s="0" t="n">
        <f aca="false">AD28*x_R_PIT</f>
        <v>4627745.26716301</v>
      </c>
      <c r="AH28" s="0" t="n">
        <f aca="false">AD28*x_R_FP</f>
        <v>1774971.35765957</v>
      </c>
      <c r="AI28" s="0" t="n">
        <f aca="false">W28+X28+Y28+Z28</f>
        <v>791798033.127936</v>
      </c>
      <c r="AJ28" s="0" t="n">
        <f aca="false">AI28+AA28+AB28+AC28+AE28+AF28+AG28+AH28</f>
        <v>843128593.948063</v>
      </c>
      <c r="AK28" s="0" t="n">
        <f aca="false">AI28+AA28+AD28</f>
        <v>861404753.036154</v>
      </c>
      <c r="AL28" s="0" t="n">
        <f aca="false">X28+Y28+Z28</f>
        <v>137833427.610024</v>
      </c>
      <c r="AM28" s="0" t="n">
        <f aca="false">AL28+AA28</f>
        <v>137833427.610024</v>
      </c>
    </row>
    <row r="29" customFormat="false" ht="15" hidden="false" customHeight="false" outlineLevel="0" collapsed="false">
      <c r="A29" s="0" t="n">
        <v>2052</v>
      </c>
      <c r="B29" s="0" t="n">
        <v>26</v>
      </c>
      <c r="C29" s="0" t="n">
        <v>4832</v>
      </c>
      <c r="D29" s="0" t="n">
        <v>0</v>
      </c>
      <c r="E29" s="0" t="n">
        <v>0</v>
      </c>
      <c r="F29" s="0" t="n">
        <v>92334.611</v>
      </c>
      <c r="G29" s="0" t="n">
        <v>16660.375</v>
      </c>
      <c r="H29" s="0" t="n">
        <v>2059.706</v>
      </c>
      <c r="I29" s="0" t="n">
        <v>1221.309</v>
      </c>
      <c r="J29" s="0" t="n">
        <v>1176.261</v>
      </c>
      <c r="K29" s="0" t="n">
        <v>100335.629</v>
      </c>
      <c r="L29" s="0" t="n">
        <v>13779.783</v>
      </c>
      <c r="M29" s="0" t="n">
        <v>93.375</v>
      </c>
      <c r="N29" s="0" t="n">
        <v>337.438</v>
      </c>
      <c r="O29" s="0" t="n">
        <v>185.989</v>
      </c>
      <c r="P29" s="0" t="n">
        <v>400.415</v>
      </c>
      <c r="Q29" s="0" t="n">
        <v>108994.986</v>
      </c>
      <c r="R29" s="0" t="n">
        <v>163085.329</v>
      </c>
      <c r="S29" s="0" t="n">
        <v>370.906</v>
      </c>
      <c r="T29" s="0" t="n">
        <v>348.263</v>
      </c>
      <c r="U29" s="0" t="n">
        <v>93.375</v>
      </c>
      <c r="V29" s="0" t="n">
        <v>598.971</v>
      </c>
      <c r="W29" s="0" t="n">
        <f aca="false">F29*x_c_F+G29*x_c_CC+H29*x_c_DC+I29*x_c_HCC+J29*x_c_PLT+K29*x_c_SVRn+L29*x_c_SVRcc+M29*x_c_LT</f>
        <v>646157048.589974</v>
      </c>
      <c r="X29" s="0" t="n">
        <f aca="false">C29*x_c_DAA</f>
        <v>109976320</v>
      </c>
      <c r="Y29" s="0" t="n">
        <f aca="false">C29*x_c_MON</f>
        <v>27857107.6100244</v>
      </c>
      <c r="Z29" s="0" t="n">
        <f aca="false">D29</f>
        <v>0</v>
      </c>
      <c r="AA29" s="0" t="n">
        <f aca="false">E29</f>
        <v>0</v>
      </c>
      <c r="AB29" s="0" t="n">
        <f aca="false">x_z_F*Q29+(1-x_AGRI)*x_EMP*x_WLOSS*(x_PEN_K74*N29+x_PEN_C22*O29)</f>
        <v>18333401.5176787</v>
      </c>
      <c r="AC29" s="0" t="n">
        <f aca="false">x_AGRI*x_EMP*x_WLOSS*(x_PEN_K74*N29+x_PEN_C22*O29)</f>
        <v>807494.945980506</v>
      </c>
      <c r="AD29" s="0" t="n">
        <f aca="false">x_EMP*x_WAGE*(x_WLOSS*(N29+O29)+P29)+Q29*x_absd*x_WAGE/365</f>
        <v>81659752.8664974</v>
      </c>
      <c r="AE29" s="0" t="n">
        <f aca="false">AD29*x_R_FUS</f>
        <v>25837145.8069598</v>
      </c>
      <c r="AF29" s="0" t="n">
        <f aca="false">AD29*x_R_NFZ</f>
        <v>6341778.06736505</v>
      </c>
      <c r="AG29" s="0" t="n">
        <f aca="false">AD29*x_R_PIT</f>
        <v>5429081.20572156</v>
      </c>
      <c r="AH29" s="0" t="n">
        <f aca="false">AD29*x_R_FP</f>
        <v>2082323.69809568</v>
      </c>
      <c r="AI29" s="0" t="n">
        <f aca="false">W29+X29+Y29+Z29</f>
        <v>783990476.199998</v>
      </c>
      <c r="AJ29" s="0" t="n">
        <f aca="false">AI29+AA29+AB29+AC29+AE29+AF29+AG29+AH29</f>
        <v>842821701.4418</v>
      </c>
      <c r="AK29" s="0" t="n">
        <f aca="false">AI29+AA29+AD29</f>
        <v>865650229.066496</v>
      </c>
      <c r="AL29" s="0" t="n">
        <f aca="false">X29+Y29+Z29</f>
        <v>137833427.610024</v>
      </c>
      <c r="AM29" s="0" t="n">
        <f aca="false">AL29+AA29</f>
        <v>137833427.610024</v>
      </c>
    </row>
    <row r="30" customFormat="false" ht="15" hidden="false" customHeight="false" outlineLevel="0" collapsed="false">
      <c r="A30" s="0" t="n">
        <v>2053</v>
      </c>
      <c r="B30" s="0" t="n">
        <v>27</v>
      </c>
      <c r="C30" s="0" t="n">
        <v>4832</v>
      </c>
      <c r="D30" s="0" t="n">
        <v>0</v>
      </c>
      <c r="E30" s="0" t="n">
        <v>0</v>
      </c>
      <c r="F30" s="0" t="n">
        <v>91750.274</v>
      </c>
      <c r="G30" s="0" t="n">
        <v>16121.977</v>
      </c>
      <c r="H30" s="0" t="n">
        <v>2006.043</v>
      </c>
      <c r="I30" s="0" t="n">
        <v>1190.291</v>
      </c>
      <c r="J30" s="0" t="n">
        <v>1145.305</v>
      </c>
      <c r="K30" s="0" t="n">
        <v>101994.34</v>
      </c>
      <c r="L30" s="0" t="n">
        <v>13767.487</v>
      </c>
      <c r="M30" s="0" t="n">
        <v>90.664</v>
      </c>
      <c r="N30" s="0" t="n">
        <v>386.428</v>
      </c>
      <c r="O30" s="0" t="n">
        <v>210.287</v>
      </c>
      <c r="P30" s="0" t="n">
        <v>483.75</v>
      </c>
      <c r="Q30" s="0" t="n">
        <v>107872.25</v>
      </c>
      <c r="R30" s="0" t="n">
        <v>163581.228</v>
      </c>
      <c r="S30" s="0" t="n">
        <v>359.816</v>
      </c>
      <c r="T30" s="0" t="n">
        <v>338.395</v>
      </c>
      <c r="U30" s="0" t="n">
        <v>90.664</v>
      </c>
      <c r="V30" s="0" t="n">
        <v>581.694</v>
      </c>
      <c r="W30" s="0" t="n">
        <f aca="false">F30*x_c_F+G30*x_c_CC+H30*x_c_DC+I30*x_c_HCC+J30*x_c_PLT+K30*x_c_SVRn+L30*x_c_SVRcc+M30*x_c_LT</f>
        <v>637660811.096109</v>
      </c>
      <c r="X30" s="0" t="n">
        <f aca="false">C30*x_c_DAA</f>
        <v>109976320</v>
      </c>
      <c r="Y30" s="0" t="n">
        <f aca="false">C30*x_c_MON</f>
        <v>27857107.6100244</v>
      </c>
      <c r="Z30" s="0" t="n">
        <f aca="false">D30</f>
        <v>0</v>
      </c>
      <c r="AA30" s="0" t="n">
        <f aca="false">E30</f>
        <v>0</v>
      </c>
      <c r="AB30" s="0" t="n">
        <f aca="false">x_z_F*Q30+(1-x_AGRI)*x_EMP*x_WLOSS*(x_PEN_K74*N30+x_PEN_C22*O30)</f>
        <v>19975615.96841</v>
      </c>
      <c r="AC30" s="0" t="n">
        <f aca="false">x_AGRI*x_EMP*x_WLOSS*(x_PEN_K74*N30+x_PEN_C22*O30)</f>
        <v>920206.864355198</v>
      </c>
      <c r="AD30" s="0" t="n">
        <f aca="false">x_EMP*x_WAGE*(x_WLOSS*(N30+O30)+P30)+Q30*x_absd*x_WAGE/365</f>
        <v>94983711.2868673</v>
      </c>
      <c r="AE30" s="0" t="n">
        <f aca="false">AD30*x_R_FUS</f>
        <v>30052846.2511648</v>
      </c>
      <c r="AF30" s="0" t="n">
        <f aca="false">AD30*x_R_NFZ</f>
        <v>7376530.0022494</v>
      </c>
      <c r="AG30" s="0" t="n">
        <f aca="false">AD30*x_R_PIT</f>
        <v>6314913.5736459</v>
      </c>
      <c r="AH30" s="0" t="n">
        <f aca="false">AD30*x_R_FP</f>
        <v>2422084.63781512</v>
      </c>
      <c r="AI30" s="0" t="n">
        <f aca="false">W30+X30+Y30+Z30</f>
        <v>775494238.706134</v>
      </c>
      <c r="AJ30" s="0" t="n">
        <f aca="false">AI30+AA30+AB30+AC30+AE30+AF30+AG30+AH30</f>
        <v>842556436.003774</v>
      </c>
      <c r="AK30" s="0" t="n">
        <f aca="false">AI30+AA30+AD30</f>
        <v>870477949.993001</v>
      </c>
      <c r="AL30" s="0" t="n">
        <f aca="false">X30+Y30+Z30</f>
        <v>137833427.610024</v>
      </c>
      <c r="AM30" s="0" t="n">
        <f aca="false">AL30+AA30</f>
        <v>137833427.610024</v>
      </c>
    </row>
    <row r="31" customFormat="false" ht="15" hidden="false" customHeight="false" outlineLevel="0" collapsed="false">
      <c r="A31" s="0" t="n">
        <v>2054</v>
      </c>
      <c r="B31" s="0" t="n">
        <v>28</v>
      </c>
      <c r="C31" s="0" t="n">
        <v>4832</v>
      </c>
      <c r="D31" s="0" t="n">
        <v>0</v>
      </c>
      <c r="E31" s="0" t="n">
        <v>0</v>
      </c>
      <c r="F31" s="0" t="n">
        <v>91196.533</v>
      </c>
      <c r="G31" s="0" t="n">
        <v>15579.693</v>
      </c>
      <c r="H31" s="0" t="n">
        <v>1947.326</v>
      </c>
      <c r="I31" s="0" t="n">
        <v>1156.542</v>
      </c>
      <c r="J31" s="0" t="n">
        <v>1110.313</v>
      </c>
      <c r="K31" s="0" t="n">
        <v>103526.442</v>
      </c>
      <c r="L31" s="0" t="n">
        <v>13688.285</v>
      </c>
      <c r="M31" s="0" t="n">
        <v>87.724</v>
      </c>
      <c r="N31" s="0" t="n">
        <v>438.495</v>
      </c>
      <c r="O31" s="0" t="n">
        <v>235.645</v>
      </c>
      <c r="P31" s="0" t="n">
        <v>577.975</v>
      </c>
      <c r="Q31" s="0" t="n">
        <v>106776.226</v>
      </c>
      <c r="R31" s="0" t="n">
        <v>163952.574</v>
      </c>
      <c r="S31" s="0" t="n">
        <v>348.405</v>
      </c>
      <c r="T31" s="0" t="n">
        <v>328.069</v>
      </c>
      <c r="U31" s="0" t="n">
        <v>87.724</v>
      </c>
      <c r="V31" s="0" t="n">
        <v>562.942</v>
      </c>
      <c r="W31" s="0" t="n">
        <f aca="false">F31*x_c_F+G31*x_c_CC+H31*x_c_DC+I31*x_c_HCC+J31*x_c_PLT+K31*x_c_SVRn+L31*x_c_SVRcc+M31*x_c_LT</f>
        <v>628503522.650792</v>
      </c>
      <c r="X31" s="0" t="n">
        <f aca="false">C31*x_c_DAA</f>
        <v>109976320</v>
      </c>
      <c r="Y31" s="0" t="n">
        <f aca="false">C31*x_c_MON</f>
        <v>27857107.6100244</v>
      </c>
      <c r="Z31" s="0" t="n">
        <f aca="false">D31</f>
        <v>0</v>
      </c>
      <c r="AA31" s="0" t="n">
        <f aca="false">E31</f>
        <v>0</v>
      </c>
      <c r="AB31" s="0" t="n">
        <f aca="false">x_z_F*Q31+(1-x_AGRI)*x_EMP*x_WLOSS*(x_PEN_K74*N31+x_PEN_C22*O31)</f>
        <v>21714640.2566397</v>
      </c>
      <c r="AC31" s="0" t="n">
        <f aca="false">x_AGRI*x_EMP*x_WLOSS*(x_PEN_K74*N31+x_PEN_C22*O31)</f>
        <v>1039218.64130038</v>
      </c>
      <c r="AD31" s="0" t="n">
        <f aca="false">x_EMP*x_WAGE*(x_WLOSS*(N31+O31)+P31)+Q31*x_absd*x_WAGE/365</f>
        <v>109589587.987283</v>
      </c>
      <c r="AE31" s="0" t="n">
        <f aca="false">AD31*x_R_FUS</f>
        <v>34674145.6391763</v>
      </c>
      <c r="AF31" s="0" t="n">
        <f aca="false">AD31*x_R_NFZ</f>
        <v>8510836.99268038</v>
      </c>
      <c r="AG31" s="0" t="n">
        <f aca="false">AD31*x_R_PIT</f>
        <v>7285973.21935598</v>
      </c>
      <c r="AH31" s="0" t="n">
        <f aca="false">AD31*x_R_FP</f>
        <v>2794534.49367572</v>
      </c>
      <c r="AI31" s="0" t="n">
        <f aca="false">W31+X31+Y31+Z31</f>
        <v>766336950.260816</v>
      </c>
      <c r="AJ31" s="0" t="n">
        <f aca="false">AI31+AA31+AB31+AC31+AE31+AF31+AG31+AH31</f>
        <v>842356299.503645</v>
      </c>
      <c r="AK31" s="0" t="n">
        <f aca="false">AI31+AA31+AD31</f>
        <v>875926538.248099</v>
      </c>
      <c r="AL31" s="0" t="n">
        <f aca="false">X31+Y31+Z31</f>
        <v>137833427.610024</v>
      </c>
      <c r="AM31" s="0" t="n">
        <f aca="false">AL31+AA31</f>
        <v>137833427.610024</v>
      </c>
    </row>
    <row r="32" customFormat="false" ht="15" hidden="false" customHeight="false" outlineLevel="0" collapsed="false">
      <c r="A32" s="0" t="n">
        <v>2055</v>
      </c>
      <c r="B32" s="0" t="n">
        <v>29</v>
      </c>
      <c r="C32" s="0" t="n">
        <v>4832</v>
      </c>
      <c r="D32" s="0" t="n">
        <v>0</v>
      </c>
      <c r="E32" s="0" t="n">
        <v>0</v>
      </c>
      <c r="F32" s="0" t="n">
        <v>90670.296</v>
      </c>
      <c r="G32" s="0" t="n">
        <v>15038.653</v>
      </c>
      <c r="H32" s="0" t="n">
        <v>1884.248</v>
      </c>
      <c r="I32" s="0" t="n">
        <v>1120.44</v>
      </c>
      <c r="J32" s="0" t="n">
        <v>1071.197</v>
      </c>
      <c r="K32" s="0" t="n">
        <v>104929.294</v>
      </c>
      <c r="L32" s="0" t="n">
        <v>13540.699</v>
      </c>
      <c r="M32" s="0" t="n">
        <v>84.589</v>
      </c>
      <c r="N32" s="0" t="n">
        <v>493.379</v>
      </c>
      <c r="O32" s="0" t="n">
        <v>261.892</v>
      </c>
      <c r="P32" s="0" t="n">
        <v>683.512</v>
      </c>
      <c r="Q32" s="0" t="n">
        <v>105708.949</v>
      </c>
      <c r="R32" s="0" t="n">
        <v>164197.487</v>
      </c>
      <c r="S32" s="0" t="n">
        <v>336.765</v>
      </c>
      <c r="T32" s="0" t="n">
        <v>317.37</v>
      </c>
      <c r="U32" s="0" t="n">
        <v>84.589</v>
      </c>
      <c r="V32" s="0" t="n">
        <v>542.895</v>
      </c>
      <c r="W32" s="0" t="n">
        <f aca="false">F32*x_c_F+G32*x_c_CC+H32*x_c_DC+I32*x_c_HCC+J32*x_c_PLT+K32*x_c_SVRn+L32*x_c_SVRcc+M32*x_c_LT</f>
        <v>618743292.837593</v>
      </c>
      <c r="X32" s="0" t="n">
        <f aca="false">C32*x_c_DAA</f>
        <v>109976320</v>
      </c>
      <c r="Y32" s="0" t="n">
        <f aca="false">C32*x_c_MON</f>
        <v>27857107.6100244</v>
      </c>
      <c r="Z32" s="0" t="n">
        <f aca="false">D32</f>
        <v>0</v>
      </c>
      <c r="AA32" s="0" t="n">
        <f aca="false">E32</f>
        <v>0</v>
      </c>
      <c r="AB32" s="0" t="n">
        <f aca="false">x_z_F*Q32+(1-x_AGRI)*x_EMP*x_WLOSS*(x_PEN_K74*N32+x_PEN_C22*O32)</f>
        <v>23540474.9520846</v>
      </c>
      <c r="AC32" s="0" t="n">
        <f aca="false">x_AGRI*x_EMP*x_WLOSS*(x_PEN_K74*N32+x_PEN_C22*O32)</f>
        <v>1163861.78500205</v>
      </c>
      <c r="AD32" s="0" t="n">
        <f aca="false">x_EMP*x_WAGE*(x_WLOSS*(N32+O32)+P32)+Q32*x_absd*x_WAGE/365</f>
        <v>125476669.628567</v>
      </c>
      <c r="AE32" s="0" t="n">
        <f aca="false">AD32*x_R_FUS</f>
        <v>39700818.2704785</v>
      </c>
      <c r="AF32" s="0" t="n">
        <f aca="false">AD32*x_R_NFZ</f>
        <v>9744643.64002411</v>
      </c>
      <c r="AG32" s="0" t="n">
        <f aca="false">AD32*x_R_PIT</f>
        <v>8342212.71708587</v>
      </c>
      <c r="AH32" s="0" t="n">
        <f aca="false">AD32*x_R_FP</f>
        <v>3199655.07552845</v>
      </c>
      <c r="AI32" s="0" t="n">
        <f aca="false">W32+X32+Y32+Z32</f>
        <v>756576720.447617</v>
      </c>
      <c r="AJ32" s="0" t="n">
        <f aca="false">AI32+AA32+AB32+AC32+AE32+AF32+AG32+AH32</f>
        <v>842268386.88782</v>
      </c>
      <c r="AK32" s="0" t="n">
        <f aca="false">AI32+AA32+AD32</f>
        <v>882053390.076183</v>
      </c>
      <c r="AL32" s="0" t="n">
        <f aca="false">X32+Y32+Z32</f>
        <v>137833427.610024</v>
      </c>
      <c r="AM32" s="0" t="n">
        <f aca="false">AL32+AA32</f>
        <v>137833427.610024</v>
      </c>
    </row>
    <row r="33" customFormat="false" ht="15" hidden="false" customHeight="false" outlineLevel="0" collapsed="false">
      <c r="A33" s="0" t="n">
        <v>2056</v>
      </c>
      <c r="B33" s="0" t="n">
        <v>30</v>
      </c>
      <c r="C33" s="0" t="n">
        <v>4832</v>
      </c>
      <c r="D33" s="0" t="n">
        <v>0</v>
      </c>
      <c r="E33" s="0" t="n">
        <v>0</v>
      </c>
      <c r="F33" s="0" t="n">
        <v>90168.571</v>
      </c>
      <c r="G33" s="0" t="n">
        <v>14503.345</v>
      </c>
      <c r="H33" s="0" t="n">
        <v>1817.48</v>
      </c>
      <c r="I33" s="0" t="n">
        <v>1082.342</v>
      </c>
      <c r="J33" s="0" t="n">
        <v>1027.905</v>
      </c>
      <c r="K33" s="0" t="n">
        <v>106199.742</v>
      </c>
      <c r="L33" s="0" t="n">
        <v>13323.503</v>
      </c>
      <c r="M33" s="0" t="n">
        <v>81.291</v>
      </c>
      <c r="N33" s="0" t="n">
        <v>550.79</v>
      </c>
      <c r="O33" s="0" t="n">
        <v>288.85</v>
      </c>
      <c r="P33" s="0" t="n">
        <v>800.679</v>
      </c>
      <c r="Q33" s="0" t="n">
        <v>104671.916</v>
      </c>
      <c r="R33" s="0" t="n">
        <v>164313.57</v>
      </c>
      <c r="S33" s="0" t="n">
        <v>324.985</v>
      </c>
      <c r="T33" s="0" t="n">
        <v>306.378</v>
      </c>
      <c r="U33" s="0" t="n">
        <v>81.291</v>
      </c>
      <c r="V33" s="0" t="n">
        <v>521.738</v>
      </c>
      <c r="W33" s="0" t="n">
        <f aca="false">F33*x_c_F+G33*x_c_CC+H33*x_c_DC+I33*x_c_HCC+J33*x_c_PLT+K33*x_c_SVRn+L33*x_c_SVRcc+M33*x_c_LT</f>
        <v>608434167.086154</v>
      </c>
      <c r="X33" s="0" t="n">
        <f aca="false">C33*x_c_DAA</f>
        <v>109976320</v>
      </c>
      <c r="Y33" s="0" t="n">
        <f aca="false">C33*x_c_MON</f>
        <v>27857107.6100244</v>
      </c>
      <c r="Z33" s="0" t="n">
        <f aca="false">D33</f>
        <v>0</v>
      </c>
      <c r="AA33" s="0" t="n">
        <f aca="false">E33</f>
        <v>0</v>
      </c>
      <c r="AB33" s="0" t="n">
        <f aca="false">x_z_F*Q33+(1-x_AGRI)*x_EMP*x_WLOSS*(x_PEN_K74*N33+x_PEN_C22*O33)</f>
        <v>25442245.5376856</v>
      </c>
      <c r="AC33" s="0" t="n">
        <f aca="false">x_AGRI*x_EMP*x_WLOSS*(x_PEN_K74*N33+x_PEN_C22*O33)</f>
        <v>1293411.95775522</v>
      </c>
      <c r="AD33" s="0" t="n">
        <f aca="false">x_EMP*x_WAGE*(x_WLOSS*(N33+O33)+P33)+Q33*x_absd*x_WAGE/365</f>
        <v>142632206.86482</v>
      </c>
      <c r="AE33" s="0" t="n">
        <f aca="false">AD33*x_R_FUS</f>
        <v>45128830.2520289</v>
      </c>
      <c r="AF33" s="0" t="n">
        <f aca="false">AD33*x_R_NFZ</f>
        <v>11076959.8173288</v>
      </c>
      <c r="AG33" s="0" t="n">
        <f aca="false">AD33*x_R_PIT</f>
        <v>9482784.43710646</v>
      </c>
      <c r="AH33" s="0" t="n">
        <f aca="false">AD33*x_R_FP</f>
        <v>3637121.2750529</v>
      </c>
      <c r="AI33" s="0" t="n">
        <f aca="false">W33+X33+Y33+Z33</f>
        <v>746267594.696178</v>
      </c>
      <c r="AJ33" s="0" t="n">
        <f aca="false">AI33+AA33+AB33+AC33+AE33+AF33+AG33+AH33</f>
        <v>842328947.973136</v>
      </c>
      <c r="AK33" s="0" t="n">
        <f aca="false">AI33+AA33+AD33</f>
        <v>888899801.560998</v>
      </c>
      <c r="AL33" s="0" t="n">
        <f aca="false">X33+Y33+Z33</f>
        <v>137833427.610024</v>
      </c>
      <c r="AM33" s="0" t="n">
        <f aca="false">AL33+AA33</f>
        <v>137833427.610024</v>
      </c>
    </row>
    <row r="34" customFormat="false" ht="15" hidden="false" customHeight="false" outlineLevel="0" collapsed="false">
      <c r="A34" s="0" t="n">
        <v>2057</v>
      </c>
      <c r="B34" s="0" t="n">
        <v>31</v>
      </c>
      <c r="C34" s="0" t="n">
        <v>4832</v>
      </c>
      <c r="D34" s="0" t="n">
        <v>0</v>
      </c>
      <c r="E34" s="0" t="n">
        <v>0</v>
      </c>
      <c r="F34" s="0" t="n">
        <v>89688.734</v>
      </c>
      <c r="G34" s="0" t="n">
        <v>13977.886</v>
      </c>
      <c r="H34" s="0" t="n">
        <v>1747.701</v>
      </c>
      <c r="I34" s="0" t="n">
        <v>1042.603</v>
      </c>
      <c r="J34" s="0" t="n">
        <v>980.452</v>
      </c>
      <c r="K34" s="0" t="n">
        <v>107335.289</v>
      </c>
      <c r="L34" s="0" t="n">
        <v>13036.041</v>
      </c>
      <c r="M34" s="0" t="n">
        <v>77.874</v>
      </c>
      <c r="N34" s="0" t="n">
        <v>610.408</v>
      </c>
      <c r="O34" s="0" t="n">
        <v>316.337</v>
      </c>
      <c r="P34" s="0" t="n">
        <v>929.686</v>
      </c>
      <c r="Q34" s="0" t="n">
        <v>103666.62</v>
      </c>
      <c r="R34" s="0" t="n">
        <v>164299.38</v>
      </c>
      <c r="S34" s="0" t="n">
        <v>313.176</v>
      </c>
      <c r="T34" s="0" t="n">
        <v>295.202</v>
      </c>
      <c r="U34" s="0" t="n">
        <v>77.874</v>
      </c>
      <c r="V34" s="0" t="n">
        <v>499.719</v>
      </c>
      <c r="W34" s="0" t="n">
        <f aca="false">F34*x_c_F+G34*x_c_CC+H34*x_c_DC+I34*x_c_HCC+J34*x_c_PLT+K34*x_c_SVRn+L34*x_c_SVRcc+M34*x_c_LT</f>
        <v>597637496.588577</v>
      </c>
      <c r="X34" s="0" t="n">
        <f aca="false">C34*x_c_DAA</f>
        <v>109976320</v>
      </c>
      <c r="Y34" s="0" t="n">
        <f aca="false">C34*x_c_MON</f>
        <v>27857107.6100244</v>
      </c>
      <c r="Z34" s="0" t="n">
        <f aca="false">D34</f>
        <v>0</v>
      </c>
      <c r="AA34" s="0" t="n">
        <f aca="false">E34</f>
        <v>0</v>
      </c>
      <c r="AB34" s="0" t="n">
        <f aca="false">x_z_F*Q34+(1-x_AGRI)*x_EMP*x_WLOSS*(x_PEN_K74*N34+x_PEN_C22*O34)</f>
        <v>27408308.2717376</v>
      </c>
      <c r="AC34" s="0" t="n">
        <f aca="false">x_AGRI*x_EMP*x_WLOSS*(x_PEN_K74*N34+x_PEN_C22*O34)</f>
        <v>1427093.99241961</v>
      </c>
      <c r="AD34" s="0" t="n">
        <f aca="false">x_EMP*x_WAGE*(x_WLOSS*(N34+O34)+P34)+Q34*x_absd*x_WAGE/365</f>
        <v>161031343.254331</v>
      </c>
      <c r="AE34" s="0" t="n">
        <f aca="false">AD34*x_R_FUS</f>
        <v>50950317.0056704</v>
      </c>
      <c r="AF34" s="0" t="n">
        <f aca="false">AD34*x_R_NFZ</f>
        <v>12505855.1484746</v>
      </c>
      <c r="AG34" s="0" t="n">
        <f aca="false">AD34*x_R_PIT</f>
        <v>10706035.8194259</v>
      </c>
      <c r="AH34" s="0" t="n">
        <f aca="false">AD34*x_R_FP</f>
        <v>4106299.25298544</v>
      </c>
      <c r="AI34" s="0" t="n">
        <f aca="false">W34+X34+Y34+Z34</f>
        <v>735470924.198602</v>
      </c>
      <c r="AJ34" s="0" t="n">
        <f aca="false">AI34+AA34+AB34+AC34+AE34+AF34+AG34+AH34</f>
        <v>842574833.689315</v>
      </c>
      <c r="AK34" s="0" t="n">
        <f aca="false">AI34+AA34+AD34</f>
        <v>896502267.452933</v>
      </c>
      <c r="AL34" s="0" t="n">
        <f aca="false">X34+Y34+Z34</f>
        <v>137833427.610024</v>
      </c>
      <c r="AM34" s="0" t="n">
        <f aca="false">AL34+AA34</f>
        <v>137833427.610024</v>
      </c>
    </row>
    <row r="35" customFormat="false" ht="15" hidden="false" customHeight="false" outlineLevel="0" collapsed="false">
      <c r="A35" s="0" t="n">
        <v>2058</v>
      </c>
      <c r="B35" s="0" t="n">
        <v>32</v>
      </c>
      <c r="C35" s="0" t="n">
        <v>4832</v>
      </c>
      <c r="D35" s="0" t="n">
        <v>0</v>
      </c>
      <c r="E35" s="0" t="n">
        <v>0</v>
      </c>
      <c r="F35" s="0" t="n">
        <v>89229.306</v>
      </c>
      <c r="G35" s="0" t="n">
        <v>13467.13</v>
      </c>
      <c r="H35" s="0" t="n">
        <v>1675.773</v>
      </c>
      <c r="I35" s="0" t="n">
        <v>1001.678</v>
      </c>
      <c r="J35" s="0" t="n">
        <v>929.053</v>
      </c>
      <c r="K35" s="0" t="n">
        <v>108339.218</v>
      </c>
      <c r="L35" s="0" t="n">
        <v>12679.933</v>
      </c>
      <c r="M35" s="0" t="n">
        <v>74.402</v>
      </c>
      <c r="N35" s="0" t="n">
        <v>671.888</v>
      </c>
      <c r="O35" s="0" t="n">
        <v>344.166</v>
      </c>
      <c r="P35" s="0" t="n">
        <v>1070.626</v>
      </c>
      <c r="Q35" s="0" t="n">
        <v>102696.436</v>
      </c>
      <c r="R35" s="0" t="n">
        <v>164160.794</v>
      </c>
      <c r="S35" s="0" t="n">
        <v>301.518</v>
      </c>
      <c r="T35" s="0" t="n">
        <v>284.019</v>
      </c>
      <c r="U35" s="0" t="n">
        <v>74.402</v>
      </c>
      <c r="V35" s="0" t="n">
        <v>477.234</v>
      </c>
      <c r="W35" s="0" t="n">
        <f aca="false">F35*x_c_F+G35*x_c_CC+H35*x_c_DC+I35*x_c_HCC+J35*x_c_PLT+K35*x_c_SVRn+L35*x_c_SVRcc+M35*x_c_LT</f>
        <v>586454593.613515</v>
      </c>
      <c r="X35" s="0" t="n">
        <f aca="false">C35*x_c_DAA</f>
        <v>109976320</v>
      </c>
      <c r="Y35" s="0" t="n">
        <f aca="false">C35*x_c_MON</f>
        <v>27857107.6100244</v>
      </c>
      <c r="Z35" s="0" t="n">
        <f aca="false">D35</f>
        <v>0</v>
      </c>
      <c r="AA35" s="0" t="n">
        <f aca="false">E35</f>
        <v>0</v>
      </c>
      <c r="AB35" s="0" t="n">
        <f aca="false">x_z_F*Q35+(1-x_AGRI)*x_EMP*x_WLOSS*(x_PEN_K74*N35+x_PEN_C22*O35)</f>
        <v>29426442.033259</v>
      </c>
      <c r="AC35" s="0" t="n">
        <f aca="false">x_AGRI*x_EMP*x_WLOSS*(x_PEN_K74*N35+x_PEN_C22*O35)</f>
        <v>1564087.57707237</v>
      </c>
      <c r="AD35" s="0" t="n">
        <f aca="false">x_EMP*x_WAGE*(x_WLOSS*(N35+O35)+P35)+Q35*x_absd*x_WAGE/365</f>
        <v>180636739.008171</v>
      </c>
      <c r="AE35" s="0" t="n">
        <f aca="false">AD35*x_R_FUS</f>
        <v>57153464.2221852</v>
      </c>
      <c r="AF35" s="0" t="n">
        <f aca="false">AD35*x_R_NFZ</f>
        <v>14028429.7881136</v>
      </c>
      <c r="AG35" s="0" t="n">
        <f aca="false">AD35*x_R_PIT</f>
        <v>12009484.3590255</v>
      </c>
      <c r="AH35" s="0" t="n">
        <f aca="false">AD35*x_R_FP</f>
        <v>4606236.84470836</v>
      </c>
      <c r="AI35" s="0" t="n">
        <f aca="false">W35+X35+Y35+Z35</f>
        <v>724288021.223539</v>
      </c>
      <c r="AJ35" s="0" t="n">
        <f aca="false">AI35+AA35+AB35+AC35+AE35+AF35+AG35+AH35</f>
        <v>843076166.047903</v>
      </c>
      <c r="AK35" s="0" t="n">
        <f aca="false">AI35+AA35+AD35</f>
        <v>904924760.23171</v>
      </c>
      <c r="AL35" s="0" t="n">
        <f aca="false">X35+Y35+Z35</f>
        <v>137833427.610024</v>
      </c>
      <c r="AM35" s="0" t="n">
        <f aca="false">AL35+AA35</f>
        <v>137833427.610024</v>
      </c>
    </row>
    <row r="36" customFormat="false" ht="15" hidden="false" customHeight="false" outlineLevel="0" collapsed="false">
      <c r="A36" s="0" t="n">
        <v>2059</v>
      </c>
      <c r="B36" s="0" t="n">
        <v>33</v>
      </c>
      <c r="C36" s="0" t="n">
        <v>4832</v>
      </c>
      <c r="D36" s="0" t="n">
        <v>0</v>
      </c>
      <c r="E36" s="0" t="n">
        <v>0</v>
      </c>
      <c r="F36" s="0" t="n">
        <v>88790.933</v>
      </c>
      <c r="G36" s="0" t="n">
        <v>12978.206</v>
      </c>
      <c r="H36" s="0" t="n">
        <v>1603.029</v>
      </c>
      <c r="I36" s="0" t="n">
        <v>960.295</v>
      </c>
      <c r="J36" s="0" t="n">
        <v>874.361</v>
      </c>
      <c r="K36" s="0" t="n">
        <v>109229.342</v>
      </c>
      <c r="L36" s="0" t="n">
        <v>12262.077</v>
      </c>
      <c r="M36" s="0" t="n">
        <v>70.951</v>
      </c>
      <c r="N36" s="0" t="n">
        <v>734.869</v>
      </c>
      <c r="O36" s="0" t="n">
        <v>372.155</v>
      </c>
      <c r="P36" s="0" t="n">
        <v>1223.47</v>
      </c>
      <c r="Q36" s="0" t="n">
        <v>101769.139</v>
      </c>
      <c r="R36" s="0" t="n">
        <v>163921.478</v>
      </c>
      <c r="S36" s="0" t="n">
        <v>290.22</v>
      </c>
      <c r="T36" s="0" t="n">
        <v>273.042</v>
      </c>
      <c r="U36" s="0" t="n">
        <v>70.951</v>
      </c>
      <c r="V36" s="0" t="n">
        <v>454.759</v>
      </c>
      <c r="W36" s="0" t="n">
        <f aca="false">F36*x_c_F+G36*x_c_CC+H36*x_c_DC+I36*x_c_HCC+J36*x_c_PLT+K36*x_c_SVRn+L36*x_c_SVRcc+M36*x_c_LT</f>
        <v>575072445.226942</v>
      </c>
      <c r="X36" s="0" t="n">
        <f aca="false">C36*x_c_DAA</f>
        <v>109976320</v>
      </c>
      <c r="Y36" s="0" t="n">
        <f aca="false">C36*x_c_MON</f>
        <v>27857107.6100244</v>
      </c>
      <c r="Z36" s="0" t="n">
        <f aca="false">D36</f>
        <v>0</v>
      </c>
      <c r="AA36" s="0" t="n">
        <f aca="false">E36</f>
        <v>0</v>
      </c>
      <c r="AB36" s="0" t="n">
        <f aca="false">x_z_F*Q36+(1-x_AGRI)*x_EMP*x_WLOSS*(x_PEN_K74*N36+x_PEN_C22*O36)</f>
        <v>31484442.9546251</v>
      </c>
      <c r="AC36" s="0" t="n">
        <f aca="false">x_AGRI*x_EMP*x_WLOSS*(x_PEN_K74*N36+x_PEN_C22*O36)</f>
        <v>1703557.21877533</v>
      </c>
      <c r="AD36" s="0" t="n">
        <f aca="false">x_EMP*x_WAGE*(x_WLOSS*(N36+O36)+P36)+Q36*x_absd*x_WAGE/365</f>
        <v>201399831.460244</v>
      </c>
      <c r="AE36" s="0" t="n">
        <f aca="false">AD36*x_R_FUS</f>
        <v>63722906.6740211</v>
      </c>
      <c r="AF36" s="0" t="n">
        <f aca="false">AD36*x_R_NFZ</f>
        <v>15640912.311034</v>
      </c>
      <c r="AG36" s="0" t="n">
        <f aca="false">AD36*x_R_PIT</f>
        <v>13389901.4071704</v>
      </c>
      <c r="AH36" s="0" t="n">
        <f aca="false">AD36*x_R_FP</f>
        <v>5135695.70223622</v>
      </c>
      <c r="AI36" s="0" t="n">
        <f aca="false">W36+X36+Y36+Z36</f>
        <v>712905872.836966</v>
      </c>
      <c r="AJ36" s="0" t="n">
        <f aca="false">AI36+AA36+AB36+AC36+AE36+AF36+AG36+AH36</f>
        <v>843983289.104828</v>
      </c>
      <c r="AK36" s="0" t="n">
        <f aca="false">AI36+AA36+AD36</f>
        <v>914305704.29721</v>
      </c>
      <c r="AL36" s="0" t="n">
        <f aca="false">X36+Y36+Z36</f>
        <v>137833427.610024</v>
      </c>
      <c r="AM36" s="0" t="n">
        <f aca="false">AL36+AA36</f>
        <v>137833427.610024</v>
      </c>
    </row>
    <row r="37" customFormat="false" ht="15" hidden="false" customHeight="false" outlineLevel="0" collapsed="false">
      <c r="A37" s="0" t="n">
        <v>2060</v>
      </c>
      <c r="B37" s="0" t="n">
        <v>34</v>
      </c>
      <c r="C37" s="0" t="n">
        <v>4832</v>
      </c>
      <c r="D37" s="0" t="n">
        <v>0</v>
      </c>
      <c r="E37" s="0" t="n">
        <v>0</v>
      </c>
      <c r="F37" s="0" t="n">
        <v>88374.983</v>
      </c>
      <c r="G37" s="0" t="n">
        <v>12518.791</v>
      </c>
      <c r="H37" s="0" t="n">
        <v>1531.018</v>
      </c>
      <c r="I37" s="0" t="n">
        <v>919.308</v>
      </c>
      <c r="J37" s="0" t="n">
        <v>817.328</v>
      </c>
      <c r="K37" s="0" t="n">
        <v>110032.672</v>
      </c>
      <c r="L37" s="0" t="n">
        <v>11793.254</v>
      </c>
      <c r="M37" s="0" t="n">
        <v>67.613</v>
      </c>
      <c r="N37" s="0" t="n">
        <v>734.175</v>
      </c>
      <c r="O37" s="0" t="n">
        <v>371.663</v>
      </c>
      <c r="P37" s="0" t="n">
        <v>1224.748</v>
      </c>
      <c r="Q37" s="0" t="n">
        <v>100893.775</v>
      </c>
      <c r="R37" s="0" t="n">
        <v>163615.709</v>
      </c>
      <c r="S37" s="0" t="n">
        <v>279.53</v>
      </c>
      <c r="T37" s="0" t="n">
        <v>262.528</v>
      </c>
      <c r="U37" s="0" t="n">
        <v>67.613</v>
      </c>
      <c r="V37" s="0" t="n">
        <v>432.877</v>
      </c>
      <c r="W37" s="0" t="n">
        <f aca="false">F37*x_c_F+G37*x_c_CC+H37*x_c_DC+I37*x_c_HCC+J37*x_c_PLT+K37*x_c_SVRn+L37*x_c_SVRcc+M37*x_c_LT</f>
        <v>563726224.506654</v>
      </c>
      <c r="X37" s="0" t="n">
        <f aca="false">C37*x_c_DAA</f>
        <v>109976320</v>
      </c>
      <c r="Y37" s="0" t="n">
        <f aca="false">C37*x_c_MON</f>
        <v>27857107.6100244</v>
      </c>
      <c r="Z37" s="0" t="n">
        <f aca="false">D37</f>
        <v>0</v>
      </c>
      <c r="AA37" s="0" t="n">
        <f aca="false">E37</f>
        <v>0</v>
      </c>
      <c r="AB37" s="0" t="n">
        <f aca="false">x_z_F*Q37+(1-x_AGRI)*x_EMP*x_WLOSS*(x_PEN_K74*N37+x_PEN_C22*O37)</f>
        <v>31407422.3799847</v>
      </c>
      <c r="AC37" s="0" t="n">
        <f aca="false">x_AGRI*x_EMP*x_WLOSS*(x_PEN_K74*N37+x_PEN_C22*O37)</f>
        <v>1701713.39556255</v>
      </c>
      <c r="AD37" s="0" t="n">
        <f aca="false">x_EMP*x_WAGE*(x_WLOSS*(N37+O37)+P37)+Q37*x_absd*x_WAGE/365</f>
        <v>201384444.840397</v>
      </c>
      <c r="AE37" s="0" t="n">
        <f aca="false">AD37*x_R_FUS</f>
        <v>63718038.3475018</v>
      </c>
      <c r="AF37" s="0" t="n">
        <f aca="false">AD37*x_R_NFZ</f>
        <v>15639717.3707501</v>
      </c>
      <c r="AG37" s="0" t="n">
        <f aca="false">AD37*x_R_PIT</f>
        <v>13388878.4404616</v>
      </c>
      <c r="AH37" s="0" t="n">
        <f aca="false">AD37*x_R_FP</f>
        <v>5135303.34343013</v>
      </c>
      <c r="AI37" s="0" t="n">
        <f aca="false">W37+X37+Y37+Z37</f>
        <v>701559652.116678</v>
      </c>
      <c r="AJ37" s="0" t="n">
        <f aca="false">AI37+AA37+AB37+AC37+AE37+AF37+AG37+AH37</f>
        <v>832550725.394369</v>
      </c>
      <c r="AK37" s="0" t="n">
        <f aca="false">AI37+AA37+AD37</f>
        <v>902944096.957076</v>
      </c>
      <c r="AL37" s="0" t="n">
        <f aca="false">X37+Y37+Z37</f>
        <v>137833427.610024</v>
      </c>
      <c r="AM37" s="0" t="n">
        <f aca="false">AL37+AA37</f>
        <v>137833427.610024</v>
      </c>
    </row>
    <row r="38" customFormat="false" ht="15" hidden="false" customHeight="false" outlineLevel="0" collapsed="false">
      <c r="A38" s="0" t="n">
        <v>2061</v>
      </c>
      <c r="B38" s="0" t="n">
        <v>35</v>
      </c>
      <c r="C38" s="0" t="n">
        <v>4832</v>
      </c>
      <c r="D38" s="0" t="n">
        <v>0</v>
      </c>
      <c r="E38" s="0" t="n">
        <v>0</v>
      </c>
      <c r="F38" s="0" t="n">
        <v>87983.81</v>
      </c>
      <c r="G38" s="0" t="n">
        <v>12097.484</v>
      </c>
      <c r="H38" s="0" t="n">
        <v>1461.604</v>
      </c>
      <c r="I38" s="0" t="n">
        <v>879.757</v>
      </c>
      <c r="J38" s="0" t="n">
        <v>759.308</v>
      </c>
      <c r="K38" s="0" t="n">
        <v>110789.514</v>
      </c>
      <c r="L38" s="0" t="n">
        <v>11289.645</v>
      </c>
      <c r="M38" s="0" t="n">
        <v>64.482</v>
      </c>
      <c r="N38" s="0" t="n">
        <v>733.597</v>
      </c>
      <c r="O38" s="0" t="n">
        <v>371.191</v>
      </c>
      <c r="P38" s="0" t="n">
        <v>1226.768</v>
      </c>
      <c r="Q38" s="0" t="n">
        <v>100081.294</v>
      </c>
      <c r="R38" s="0" t="n">
        <v>163292.975</v>
      </c>
      <c r="S38" s="0" t="n">
        <v>269.699</v>
      </c>
      <c r="T38" s="0" t="n">
        <v>252.745</v>
      </c>
      <c r="U38" s="0" t="n">
        <v>64.482</v>
      </c>
      <c r="V38" s="0" t="n">
        <v>412.202</v>
      </c>
      <c r="W38" s="0" t="n">
        <f aca="false">F38*x_c_F+G38*x_c_CC+H38*x_c_DC+I38*x_c_HCC+J38*x_c_PLT+K38*x_c_SVRn+L38*x_c_SVRcc+M38*x_c_LT</f>
        <v>552712796.762528</v>
      </c>
      <c r="X38" s="0" t="n">
        <f aca="false">C38*x_c_DAA</f>
        <v>109976320</v>
      </c>
      <c r="Y38" s="0" t="n">
        <f aca="false">C38*x_c_MON</f>
        <v>27857107.6100244</v>
      </c>
      <c r="Z38" s="0" t="n">
        <f aca="false">D38</f>
        <v>0</v>
      </c>
      <c r="AA38" s="0" t="n">
        <f aca="false">E38</f>
        <v>0</v>
      </c>
      <c r="AB38" s="0" t="n">
        <f aca="false">x_z_F*Q38+(1-x_AGRI)*x_EMP*x_WLOSS*(x_PEN_K74*N38+x_PEN_C22*O38)</f>
        <v>31337018.9428792</v>
      </c>
      <c r="AC38" s="0" t="n">
        <f aca="false">x_AGRI*x_EMP*x_WLOSS*(x_PEN_K74*N38+x_PEN_C22*O38)</f>
        <v>1700073.69325485</v>
      </c>
      <c r="AD38" s="0" t="n">
        <f aca="false">x_EMP*x_WAGE*(x_WLOSS*(N38+O38)+P38)+Q38*x_absd*x_WAGE/365</f>
        <v>201445585.732899</v>
      </c>
      <c r="AE38" s="0" t="n">
        <f aca="false">AD38*x_R_FUS</f>
        <v>63737383.3258891</v>
      </c>
      <c r="AF38" s="0" t="n">
        <f aca="false">AD38*x_R_NFZ</f>
        <v>15644465.6336026</v>
      </c>
      <c r="AG38" s="0" t="n">
        <f aca="false">AD38*x_R_PIT</f>
        <v>13392943.3421877</v>
      </c>
      <c r="AH38" s="0" t="n">
        <f aca="false">AD38*x_R_FP</f>
        <v>5136862.43618891</v>
      </c>
      <c r="AI38" s="0" t="n">
        <f aca="false">W38+X38+Y38+Z38</f>
        <v>690546224.372553</v>
      </c>
      <c r="AJ38" s="0" t="n">
        <f aca="false">AI38+AA38+AB38+AC38+AE38+AF38+AG38+AH38</f>
        <v>821494971.746555</v>
      </c>
      <c r="AK38" s="0" t="n">
        <f aca="false">AI38+AA38+AD38</f>
        <v>891991810.105451</v>
      </c>
      <c r="AL38" s="0" t="n">
        <f aca="false">X38+Y38+Z38</f>
        <v>137833427.610024</v>
      </c>
      <c r="AM38" s="0" t="n">
        <f aca="false">AL38+AA38</f>
        <v>137833427.610024</v>
      </c>
    </row>
    <row r="39" customFormat="false" ht="15" hidden="false" customHeight="false" outlineLevel="0" collapsed="false">
      <c r="A39" s="0" t="n">
        <v>2062</v>
      </c>
      <c r="B39" s="0" t="n">
        <v>36</v>
      </c>
      <c r="C39" s="0" t="n">
        <v>4832</v>
      </c>
      <c r="D39" s="0" t="n">
        <v>0</v>
      </c>
      <c r="E39" s="0" t="n">
        <v>0</v>
      </c>
      <c r="F39" s="0" t="n">
        <v>87619.755</v>
      </c>
      <c r="G39" s="0" t="n">
        <v>11722.221</v>
      </c>
      <c r="H39" s="0" t="n">
        <v>1396.697</v>
      </c>
      <c r="I39" s="0" t="n">
        <v>842.719</v>
      </c>
      <c r="J39" s="0" t="n">
        <v>701.887</v>
      </c>
      <c r="K39" s="0" t="n">
        <v>111547.565</v>
      </c>
      <c r="L39" s="0" t="n">
        <v>10770.969</v>
      </c>
      <c r="M39" s="0" t="n">
        <v>61.644</v>
      </c>
      <c r="N39" s="0" t="n">
        <v>732.835</v>
      </c>
      <c r="O39" s="0" t="n">
        <v>370.605</v>
      </c>
      <c r="P39" s="0" t="n">
        <v>1228.811</v>
      </c>
      <c r="Q39" s="0" t="n">
        <v>99341.976</v>
      </c>
      <c r="R39" s="0" t="n">
        <v>163010.427</v>
      </c>
      <c r="S39" s="0" t="n">
        <v>260.946</v>
      </c>
      <c r="T39" s="0" t="n">
        <v>243.931</v>
      </c>
      <c r="U39" s="0" t="n">
        <v>61.644</v>
      </c>
      <c r="V39" s="0" t="n">
        <v>393.298</v>
      </c>
      <c r="W39" s="0" t="n">
        <f aca="false">F39*x_c_F+G39*x_c_CC+H39*x_c_DC+I39*x_c_HCC+J39*x_c_PLT+K39*x_c_SVRn+L39*x_c_SVRcc+M39*x_c_LT</f>
        <v>542347403.062603</v>
      </c>
      <c r="X39" s="0" t="n">
        <f aca="false">C39*x_c_DAA</f>
        <v>109976320</v>
      </c>
      <c r="Y39" s="0" t="n">
        <f aca="false">C39*x_c_MON</f>
        <v>27857107.6100244</v>
      </c>
      <c r="Z39" s="0" t="n">
        <f aca="false">D39</f>
        <v>0</v>
      </c>
      <c r="AA39" s="0" t="n">
        <f aca="false">E39</f>
        <v>0</v>
      </c>
      <c r="AB39" s="0" t="n">
        <f aca="false">x_z_F*Q39+(1-x_AGRI)*x_EMP*x_WLOSS*(x_PEN_K74*N39+x_PEN_C22*O39)</f>
        <v>31263741.5381546</v>
      </c>
      <c r="AC39" s="0" t="n">
        <f aca="false">x_AGRI*x_EMP*x_WLOSS*(x_PEN_K74*N39+x_PEN_C22*O39)</f>
        <v>1697972.63522129</v>
      </c>
      <c r="AD39" s="0" t="n">
        <f aca="false">x_EMP*x_WAGE*(x_WLOSS*(N39+O39)+P39)+Q39*x_absd*x_WAGE/365</f>
        <v>201485221.604828</v>
      </c>
      <c r="AE39" s="0" t="n">
        <f aca="false">AD39*x_R_FUS</f>
        <v>63749924.1157677</v>
      </c>
      <c r="AF39" s="0" t="n">
        <f aca="false">AD39*x_R_NFZ</f>
        <v>15647543.7950526</v>
      </c>
      <c r="AG39" s="0" t="n">
        <f aca="false">AD39*x_R_PIT</f>
        <v>13395578.5003876</v>
      </c>
      <c r="AH39" s="0" t="n">
        <f aca="false">AD39*x_R_FP</f>
        <v>5137873.15092313</v>
      </c>
      <c r="AI39" s="0" t="n">
        <f aca="false">W39+X39+Y39+Z39</f>
        <v>680180830.672628</v>
      </c>
      <c r="AJ39" s="0" t="n">
        <f aca="false">AI39+AA39+AB39+AC39+AE39+AF39+AG39+AH39</f>
        <v>811073464.408135</v>
      </c>
      <c r="AK39" s="0" t="n">
        <f aca="false">AI39+AA39+AD39</f>
        <v>881666052.277456</v>
      </c>
      <c r="AL39" s="0" t="n">
        <f aca="false">X39+Y39+Z39</f>
        <v>137833427.610024</v>
      </c>
      <c r="AM39" s="0" t="n">
        <f aca="false">AL39+AA39</f>
        <v>137833427.610024</v>
      </c>
    </row>
    <row r="40" customFormat="false" ht="15" hidden="false" customHeight="false" outlineLevel="0" collapsed="false">
      <c r="A40" s="0" t="n">
        <v>2063</v>
      </c>
      <c r="B40" s="0" t="n">
        <v>37</v>
      </c>
      <c r="C40" s="0" t="n">
        <v>4832</v>
      </c>
      <c r="D40" s="0" t="n">
        <v>0</v>
      </c>
      <c r="E40" s="0" t="n">
        <v>0</v>
      </c>
      <c r="F40" s="0" t="n">
        <v>87284.507</v>
      </c>
      <c r="G40" s="0" t="n">
        <v>11399.036</v>
      </c>
      <c r="H40" s="0" t="n">
        <v>1338.024</v>
      </c>
      <c r="I40" s="0" t="n">
        <v>809.17</v>
      </c>
      <c r="J40" s="0" t="n">
        <v>646.699</v>
      </c>
      <c r="K40" s="0" t="n">
        <v>112355.737</v>
      </c>
      <c r="L40" s="0" t="n">
        <v>10258.318</v>
      </c>
      <c r="M40" s="0" t="n">
        <v>59.164</v>
      </c>
      <c r="N40" s="0" t="n">
        <v>731.581</v>
      </c>
      <c r="O40" s="0" t="n">
        <v>369.771</v>
      </c>
      <c r="P40" s="0" t="n">
        <v>1230.084</v>
      </c>
      <c r="Q40" s="0" t="n">
        <v>98683.543</v>
      </c>
      <c r="R40" s="0" t="n">
        <v>162825.357</v>
      </c>
      <c r="S40" s="0" t="n">
        <v>253.424</v>
      </c>
      <c r="T40" s="0" t="n">
        <v>236.265</v>
      </c>
      <c r="U40" s="0" t="n">
        <v>59.164</v>
      </c>
      <c r="V40" s="0" t="n">
        <v>376.611</v>
      </c>
      <c r="W40" s="0" t="n">
        <f aca="false">F40*x_c_F+G40*x_c_CC+H40*x_c_DC+I40*x_c_HCC+J40*x_c_PLT+K40*x_c_SVRn+L40*x_c_SVRcc+M40*x_c_LT</f>
        <v>532922227.729427</v>
      </c>
      <c r="X40" s="0" t="n">
        <f aca="false">C40*x_c_DAA</f>
        <v>109976320</v>
      </c>
      <c r="Y40" s="0" t="n">
        <f aca="false">C40*x_c_MON</f>
        <v>27857107.6100244</v>
      </c>
      <c r="Z40" s="0" t="n">
        <f aca="false">D40</f>
        <v>0</v>
      </c>
      <c r="AA40" s="0" t="n">
        <f aca="false">E40</f>
        <v>0</v>
      </c>
      <c r="AB40" s="0" t="n">
        <f aca="false">x_z_F*Q40+(1-x_AGRI)*x_EMP*x_WLOSS*(x_PEN_K74*N40+x_PEN_C22*O40)</f>
        <v>31177777.4238947</v>
      </c>
      <c r="AC40" s="0" t="n">
        <f aca="false">x_AGRI*x_EMP*x_WLOSS*(x_PEN_K74*N40+x_PEN_C22*O40)</f>
        <v>1694732.97394354</v>
      </c>
      <c r="AD40" s="0" t="n">
        <f aca="false">x_EMP*x_WAGE*(x_WLOSS*(N40+O40)+P40)+Q40*x_absd*x_WAGE/365</f>
        <v>201398260.678326</v>
      </c>
      <c r="AE40" s="0" t="n">
        <f aca="false">AD40*x_R_FUS</f>
        <v>63722409.6786225</v>
      </c>
      <c r="AF40" s="0" t="n">
        <f aca="false">AD40*x_R_NFZ</f>
        <v>15640790.3225395</v>
      </c>
      <c r="AG40" s="0" t="n">
        <f aca="false">AD40*x_R_PIT</f>
        <v>13389796.9750323</v>
      </c>
      <c r="AH40" s="0" t="n">
        <f aca="false">AD40*x_R_FP</f>
        <v>5135655.64729733</v>
      </c>
      <c r="AI40" s="0" t="n">
        <f aca="false">W40+X40+Y40+Z40</f>
        <v>670755655.339451</v>
      </c>
      <c r="AJ40" s="0" t="n">
        <f aca="false">AI40+AA40+AB40+AC40+AE40+AF40+AG40+AH40</f>
        <v>801516818.360781</v>
      </c>
      <c r="AK40" s="0" t="n">
        <f aca="false">AI40+AA40+AD40</f>
        <v>872153916.017778</v>
      </c>
      <c r="AL40" s="0" t="n">
        <f aca="false">X40+Y40+Z40</f>
        <v>137833427.610024</v>
      </c>
      <c r="AM40" s="0" t="n">
        <f aca="false">AL40+AA40</f>
        <v>137833427.610024</v>
      </c>
    </row>
    <row r="41" customFormat="false" ht="15" hidden="false" customHeight="false" outlineLevel="0" collapsed="false">
      <c r="A41" s="0" t="n">
        <v>2064</v>
      </c>
      <c r="B41" s="0" t="n">
        <v>38</v>
      </c>
      <c r="C41" s="0" t="n">
        <v>4832</v>
      </c>
      <c r="D41" s="0" t="n">
        <v>0</v>
      </c>
      <c r="E41" s="0" t="n">
        <v>0</v>
      </c>
      <c r="F41" s="0" t="n">
        <v>86978.636</v>
      </c>
      <c r="G41" s="0" t="n">
        <v>11131.07</v>
      </c>
      <c r="H41" s="0" t="n">
        <v>1286.89</v>
      </c>
      <c r="I41" s="0" t="n">
        <v>779.858</v>
      </c>
      <c r="J41" s="0" t="n">
        <v>595.216</v>
      </c>
      <c r="K41" s="0" t="n">
        <v>113257.173</v>
      </c>
      <c r="L41" s="0" t="n">
        <v>9771.479</v>
      </c>
      <c r="M41" s="0" t="n">
        <v>57.086</v>
      </c>
      <c r="N41" s="0" t="n">
        <v>729.796</v>
      </c>
      <c r="O41" s="0" t="n">
        <v>368.677</v>
      </c>
      <c r="P41" s="0" t="n">
        <v>1230.436</v>
      </c>
      <c r="Q41" s="0" t="n">
        <v>98109.707</v>
      </c>
      <c r="R41" s="0" t="n">
        <v>162787.037</v>
      </c>
      <c r="S41" s="0" t="n">
        <v>247.218</v>
      </c>
      <c r="T41" s="0" t="n">
        <v>229.86</v>
      </c>
      <c r="U41" s="0" t="n">
        <v>57.086</v>
      </c>
      <c r="V41" s="0" t="n">
        <v>362.45</v>
      </c>
      <c r="W41" s="0" t="n">
        <f aca="false">F41*x_c_F+G41*x_c_CC+H41*x_c_DC+I41*x_c_HCC+J41*x_c_PLT+K41*x_c_SVRn+L41*x_c_SVRcc+M41*x_c_LT</f>
        <v>524669059.620256</v>
      </c>
      <c r="X41" s="0" t="n">
        <f aca="false">C41*x_c_DAA</f>
        <v>109976320</v>
      </c>
      <c r="Y41" s="0" t="n">
        <f aca="false">C41*x_c_MON</f>
        <v>27857107.6100244</v>
      </c>
      <c r="Z41" s="0" t="n">
        <f aca="false">D41</f>
        <v>0</v>
      </c>
      <c r="AA41" s="0" t="n">
        <f aca="false">E41</f>
        <v>0</v>
      </c>
      <c r="AB41" s="0" t="n">
        <f aca="false">x_z_F*Q41+(1-x_AGRI)*x_EMP*x_WLOSS*(x_PEN_K74*N41+x_PEN_C22*O41)</f>
        <v>31078163.1901687</v>
      </c>
      <c r="AC41" s="0" t="n">
        <f aca="false">x_AGRI*x_EMP*x_WLOSS*(x_PEN_K74*N41+x_PEN_C22*O41)</f>
        <v>1690277.26052284</v>
      </c>
      <c r="AD41" s="0" t="n">
        <f aca="false">x_EMP*x_WAGE*(x_WLOSS*(N41+O41)+P41)+Q41*x_absd*x_WAGE/365</f>
        <v>201167578.844098</v>
      </c>
      <c r="AE41" s="0" t="n">
        <f aca="false">AD41*x_R_FUS</f>
        <v>63649421.9462727</v>
      </c>
      <c r="AF41" s="0" t="n">
        <f aca="false">AD41*x_R_NFZ</f>
        <v>15622875.3406115</v>
      </c>
      <c r="AG41" s="0" t="n">
        <f aca="false">AD41*x_R_PIT</f>
        <v>13374460.2838626</v>
      </c>
      <c r="AH41" s="0" t="n">
        <f aca="false">AD41*x_R_FP</f>
        <v>5129773.2605245</v>
      </c>
      <c r="AI41" s="0" t="n">
        <f aca="false">W41+X41+Y41+Z41</f>
        <v>662502487.230281</v>
      </c>
      <c r="AJ41" s="0" t="n">
        <f aca="false">AI41+AA41+AB41+AC41+AE41+AF41+AG41+AH41</f>
        <v>793047458.512243</v>
      </c>
      <c r="AK41" s="0" t="n">
        <f aca="false">AI41+AA41+AD41</f>
        <v>863670066.074379</v>
      </c>
      <c r="AL41" s="0" t="n">
        <f aca="false">X41+Y41+Z41</f>
        <v>137833427.610024</v>
      </c>
      <c r="AM41" s="0" t="n">
        <f aca="false">AL41+AA41</f>
        <v>137833427.610024</v>
      </c>
    </row>
    <row r="42" customFormat="false" ht="15" hidden="false" customHeight="false" outlineLevel="0" collapsed="false">
      <c r="A42" s="0" t="n">
        <v>2065</v>
      </c>
      <c r="B42" s="0" t="n">
        <v>39</v>
      </c>
      <c r="C42" s="0" t="n">
        <v>4832</v>
      </c>
      <c r="D42" s="0" t="n">
        <v>0</v>
      </c>
      <c r="E42" s="0" t="n">
        <v>0</v>
      </c>
      <c r="F42" s="0" t="n">
        <v>86701.751</v>
      </c>
      <c r="G42" s="0" t="n">
        <v>10918.668</v>
      </c>
      <c r="H42" s="0" t="n">
        <v>1244.146</v>
      </c>
      <c r="I42" s="0" t="n">
        <v>755.274</v>
      </c>
      <c r="J42" s="0" t="n">
        <v>548.665</v>
      </c>
      <c r="K42" s="0" t="n">
        <v>114286.939</v>
      </c>
      <c r="L42" s="0" t="n">
        <v>9327.807</v>
      </c>
      <c r="M42" s="0" t="n">
        <v>55.434</v>
      </c>
      <c r="N42" s="0" t="n">
        <v>727.447</v>
      </c>
      <c r="O42" s="0" t="n">
        <v>367.312</v>
      </c>
      <c r="P42" s="0" t="n">
        <v>1229.711</v>
      </c>
      <c r="Q42" s="0" t="n">
        <v>97620.419</v>
      </c>
      <c r="R42" s="0" t="n">
        <v>162934.319</v>
      </c>
      <c r="S42" s="0" t="n">
        <v>242.362</v>
      </c>
      <c r="T42" s="0" t="n">
        <v>224.776</v>
      </c>
      <c r="U42" s="0" t="n">
        <v>55.434</v>
      </c>
      <c r="V42" s="0" t="n">
        <v>351.009</v>
      </c>
      <c r="W42" s="0" t="n">
        <f aca="false">F42*x_c_F+G42*x_c_CC+H42*x_c_DC+I42*x_c_HCC+J42*x_c_PLT+K42*x_c_SVRn+L42*x_c_SVRcc+M42*x_c_LT</f>
        <v>517751088.325995</v>
      </c>
      <c r="X42" s="0" t="n">
        <f aca="false">C42*x_c_DAA</f>
        <v>109976320</v>
      </c>
      <c r="Y42" s="0" t="n">
        <f aca="false">C42*x_c_MON</f>
        <v>27857107.6100244</v>
      </c>
      <c r="Z42" s="0" t="n">
        <f aca="false">D42</f>
        <v>0</v>
      </c>
      <c r="AA42" s="0" t="n">
        <f aca="false">E42</f>
        <v>0</v>
      </c>
      <c r="AB42" s="0" t="n">
        <f aca="false">x_z_F*Q42+(1-x_AGRI)*x_EMP*x_WLOSS*(x_PEN_K74*N42+x_PEN_C22*O42)</f>
        <v>30963883.2198564</v>
      </c>
      <c r="AC42" s="0" t="n">
        <f aca="false">x_AGRI*x_EMP*x_WLOSS*(x_PEN_K74*N42+x_PEN_C22*O42)</f>
        <v>1684538.54637786</v>
      </c>
      <c r="AD42" s="0" t="n">
        <f aca="false">x_EMP*x_WAGE*(x_WLOSS*(N42+O42)+P42)+Q42*x_absd*x_WAGE/365</f>
        <v>200776122.70366</v>
      </c>
      <c r="AE42" s="0" t="n">
        <f aca="false">AD42*x_R_FUS</f>
        <v>63525565.223438</v>
      </c>
      <c r="AF42" s="0" t="n">
        <f aca="false">AD42*x_R_NFZ</f>
        <v>15592474.4652889</v>
      </c>
      <c r="AG42" s="0" t="n">
        <f aca="false">AD42*x_R_PIT</f>
        <v>13348434.645769</v>
      </c>
      <c r="AH42" s="0" t="n">
        <f aca="false">AD42*x_R_FP</f>
        <v>5119791.12894333</v>
      </c>
      <c r="AI42" s="0" t="n">
        <f aca="false">W42+X42+Y42+Z42</f>
        <v>655584515.93602</v>
      </c>
      <c r="AJ42" s="0" t="n">
        <f aca="false">AI42+AA42+AB42+AC42+AE42+AF42+AG42+AH42</f>
        <v>785819203.165693</v>
      </c>
      <c r="AK42" s="0" t="n">
        <f aca="false">AI42+AA42+AD42</f>
        <v>856360638.639679</v>
      </c>
      <c r="AL42" s="0" t="n">
        <f aca="false">X42+Y42+Z42</f>
        <v>137833427.610024</v>
      </c>
      <c r="AM42" s="0" t="n">
        <f aca="false">AL42+AA42</f>
        <v>137833427.610024</v>
      </c>
    </row>
    <row r="43" customFormat="false" ht="15" hidden="false" customHeight="false" outlineLevel="0" collapsed="false">
      <c r="A43" s="0" t="n">
        <v>2066</v>
      </c>
      <c r="B43" s="0" t="n">
        <v>40</v>
      </c>
      <c r="C43" s="0" t="n">
        <v>4832</v>
      </c>
      <c r="D43" s="0" t="n">
        <v>0</v>
      </c>
      <c r="E43" s="0" t="n">
        <v>0</v>
      </c>
      <c r="F43" s="0" t="n">
        <v>86452.92</v>
      </c>
      <c r="G43" s="0" t="n">
        <v>10760.124</v>
      </c>
      <c r="H43" s="0" t="n">
        <v>1210.266</v>
      </c>
      <c r="I43" s="0" t="n">
        <v>735.705</v>
      </c>
      <c r="J43" s="0" t="n">
        <v>508.061</v>
      </c>
      <c r="K43" s="0" t="n">
        <v>115473.537</v>
      </c>
      <c r="L43" s="0" t="n">
        <v>8942.456</v>
      </c>
      <c r="M43" s="0" t="n">
        <v>54.212</v>
      </c>
      <c r="N43" s="0" t="n">
        <v>724.504</v>
      </c>
      <c r="O43" s="0" t="n">
        <v>365.67</v>
      </c>
      <c r="P43" s="0" t="n">
        <v>1227.751</v>
      </c>
      <c r="Q43" s="0" t="n">
        <v>97213.044</v>
      </c>
      <c r="R43" s="0" t="n">
        <v>163297.748</v>
      </c>
      <c r="S43" s="0" t="n">
        <v>238.824</v>
      </c>
      <c r="T43" s="0" t="n">
        <v>221.008</v>
      </c>
      <c r="U43" s="0" t="n">
        <v>54.212</v>
      </c>
      <c r="V43" s="0" t="n">
        <v>342.339</v>
      </c>
      <c r="W43" s="0" t="n">
        <f aca="false">F43*x_c_F+G43*x_c_CC+H43*x_c_DC+I43*x_c_HCC+J43*x_c_PLT+K43*x_c_SVRn+L43*x_c_SVRcc+M43*x_c_LT</f>
        <v>512275513.966776</v>
      </c>
      <c r="X43" s="0" t="n">
        <f aca="false">C43*x_c_DAA</f>
        <v>109976320</v>
      </c>
      <c r="Y43" s="0" t="n">
        <f aca="false">C43*x_c_MON</f>
        <v>27857107.6100244</v>
      </c>
      <c r="Z43" s="0" t="n">
        <f aca="false">D43</f>
        <v>0</v>
      </c>
      <c r="AA43" s="0" t="n">
        <f aca="false">E43</f>
        <v>0</v>
      </c>
      <c r="AB43" s="0" t="n">
        <f aca="false">x_z_F*Q43+(1-x_AGRI)*x_EMP*x_WLOSS*(x_PEN_K74*N43+x_PEN_C22*O43)</f>
        <v>30833970.0408546</v>
      </c>
      <c r="AC43" s="0" t="n">
        <f aca="false">x_AGRI*x_EMP*x_WLOSS*(x_PEN_K74*N43+x_PEN_C22*O43)</f>
        <v>1677462.65776952</v>
      </c>
      <c r="AD43" s="0" t="n">
        <f aca="false">x_EMP*x_WAGE*(x_WLOSS*(N43+O43)+P43)+Q43*x_absd*x_WAGE/365</f>
        <v>200207281.793686</v>
      </c>
      <c r="AE43" s="0" t="n">
        <f aca="false">AD43*x_R_FUS</f>
        <v>63345583.9595222</v>
      </c>
      <c r="AF43" s="0" t="n">
        <f aca="false">AD43*x_R_NFZ</f>
        <v>15548297.7113794</v>
      </c>
      <c r="AG43" s="0" t="n">
        <f aca="false">AD43*x_R_PIT</f>
        <v>13310615.7278201</v>
      </c>
      <c r="AH43" s="0" t="n">
        <f aca="false">AD43*x_R_FP</f>
        <v>5105285.68573899</v>
      </c>
      <c r="AI43" s="0" t="n">
        <f aca="false">W43+X43+Y43+Z43</f>
        <v>650108941.576801</v>
      </c>
      <c r="AJ43" s="0" t="n">
        <f aca="false">AI43+AA43+AB43+AC43+AE43+AF43+AG43+AH43</f>
        <v>779930157.359886</v>
      </c>
      <c r="AK43" s="0" t="n">
        <f aca="false">AI43+AA43+AD43</f>
        <v>850316223.370487</v>
      </c>
      <c r="AL43" s="0" t="n">
        <f aca="false">X43+Y43+Z43</f>
        <v>137833427.610024</v>
      </c>
      <c r="AM43" s="0" t="n">
        <f aca="false">AL43+AA43</f>
        <v>137833427.610024</v>
      </c>
    </row>
    <row r="44" customFormat="false" ht="15" hidden="false" customHeight="false" outlineLevel="0" collapsed="false">
      <c r="A44" s="0" t="n">
        <v>2067</v>
      </c>
      <c r="B44" s="0" t="n">
        <v>41</v>
      </c>
      <c r="C44" s="0" t="n">
        <v>4832</v>
      </c>
      <c r="D44" s="0" t="n">
        <v>0</v>
      </c>
      <c r="E44" s="0" t="n">
        <v>0</v>
      </c>
      <c r="F44" s="0" t="n">
        <v>86230.533</v>
      </c>
      <c r="G44" s="0" t="n">
        <v>10651.502</v>
      </c>
      <c r="H44" s="0" t="n">
        <v>1185.261</v>
      </c>
      <c r="I44" s="0" t="n">
        <v>721.175</v>
      </c>
      <c r="J44" s="0" t="n">
        <v>474.063</v>
      </c>
      <c r="K44" s="0" t="n">
        <v>116834.27</v>
      </c>
      <c r="L44" s="0" t="n">
        <v>8626.429</v>
      </c>
      <c r="M44" s="0" t="n">
        <v>53.407</v>
      </c>
      <c r="N44" s="0" t="n">
        <v>720.94</v>
      </c>
      <c r="O44" s="0" t="n">
        <v>363.746</v>
      </c>
      <c r="P44" s="0" t="n">
        <v>1224.393</v>
      </c>
      <c r="Q44" s="0" t="n">
        <v>96882.035</v>
      </c>
      <c r="R44" s="0" t="n">
        <v>163894.449</v>
      </c>
      <c r="S44" s="0" t="n">
        <v>236.535</v>
      </c>
      <c r="T44" s="0" t="n">
        <v>218.509</v>
      </c>
      <c r="U44" s="0" t="n">
        <v>53.407</v>
      </c>
      <c r="V44" s="0" t="n">
        <v>336.39</v>
      </c>
      <c r="W44" s="0" t="n">
        <f aca="false">F44*x_c_F+G44*x_c_CC+H44*x_c_DC+I44*x_c_HCC+J44*x_c_PLT+K44*x_c_SVRn+L44*x_c_SVRcc+M44*x_c_LT</f>
        <v>508275181.204357</v>
      </c>
      <c r="X44" s="0" t="n">
        <f aca="false">C44*x_c_DAA</f>
        <v>109976320</v>
      </c>
      <c r="Y44" s="0" t="n">
        <f aca="false">C44*x_c_MON</f>
        <v>27857107.6100244</v>
      </c>
      <c r="Z44" s="0" t="n">
        <f aca="false">D44</f>
        <v>0</v>
      </c>
      <c r="AA44" s="0" t="n">
        <f aca="false">E44</f>
        <v>0</v>
      </c>
      <c r="AB44" s="0" t="n">
        <f aca="false">x_z_F*Q44+(1-x_AGRI)*x_EMP*x_WLOSS*(x_PEN_K74*N44+x_PEN_C22*O44)</f>
        <v>30687384.8388396</v>
      </c>
      <c r="AC44" s="0" t="n">
        <f aca="false">x_AGRI*x_EMP*x_WLOSS*(x_PEN_K74*N44+x_PEN_C22*O44)</f>
        <v>1669001.5071934</v>
      </c>
      <c r="AD44" s="0" t="n">
        <f aca="false">x_EMP*x_WAGE*(x_WLOSS*(N44+O44)+P44)+Q44*x_absd*x_WAGE/365</f>
        <v>199444283.111121</v>
      </c>
      <c r="AE44" s="0" t="n">
        <f aca="false">AD44*x_R_FUS</f>
        <v>63104171.1763585</v>
      </c>
      <c r="AF44" s="0" t="n">
        <f aca="false">AD44*x_R_NFZ</f>
        <v>15489042.4706927</v>
      </c>
      <c r="AG44" s="0" t="n">
        <f aca="false">AD44*x_R_PIT</f>
        <v>13259888.3907648</v>
      </c>
      <c r="AH44" s="0" t="n">
        <f aca="false">AD44*x_R_FP</f>
        <v>5085829.21933357</v>
      </c>
      <c r="AI44" s="0" t="n">
        <f aca="false">W44+X44+Y44+Z44</f>
        <v>646108608.814382</v>
      </c>
      <c r="AJ44" s="0" t="n">
        <f aca="false">AI44+AA44+AB44+AC44+AE44+AF44+AG44+AH44</f>
        <v>775403926.417564</v>
      </c>
      <c r="AK44" s="0" t="n">
        <f aca="false">AI44+AA44+AD44</f>
        <v>845552891.925502</v>
      </c>
      <c r="AL44" s="0" t="n">
        <f aca="false">X44+Y44+Z44</f>
        <v>137833427.610024</v>
      </c>
      <c r="AM44" s="0" t="n">
        <f aca="false">AL44+AA44</f>
        <v>137833427.610024</v>
      </c>
    </row>
    <row r="45" customFormat="false" ht="15" hidden="false" customHeight="false" outlineLevel="0" collapsed="false">
      <c r="A45" s="0" t="n">
        <v>2068</v>
      </c>
      <c r="B45" s="0" t="n">
        <v>42</v>
      </c>
      <c r="C45" s="0" t="n">
        <v>4832</v>
      </c>
      <c r="D45" s="0" t="n">
        <v>0</v>
      </c>
      <c r="E45" s="0" t="n">
        <v>0</v>
      </c>
      <c r="F45" s="0" t="n">
        <v>86032.748</v>
      </c>
      <c r="G45" s="0" t="n">
        <v>10587.662</v>
      </c>
      <c r="H45" s="0" t="n">
        <v>1168.838</v>
      </c>
      <c r="I45" s="0" t="n">
        <v>711.54</v>
      </c>
      <c r="J45" s="0" t="n">
        <v>447.08</v>
      </c>
      <c r="K45" s="0" t="n">
        <v>118378.799</v>
      </c>
      <c r="L45" s="0" t="n">
        <v>8387.71</v>
      </c>
      <c r="M45" s="0" t="n">
        <v>52.984</v>
      </c>
      <c r="N45" s="0" t="n">
        <v>716.734</v>
      </c>
      <c r="O45" s="0" t="n">
        <v>361.538</v>
      </c>
      <c r="P45" s="0" t="n">
        <v>1219.47</v>
      </c>
      <c r="Q45" s="0" t="n">
        <v>96620.41</v>
      </c>
      <c r="R45" s="0" t="n">
        <v>164732.616</v>
      </c>
      <c r="S45" s="0" t="n">
        <v>235.369</v>
      </c>
      <c r="T45" s="0" t="n">
        <v>217.171</v>
      </c>
      <c r="U45" s="0" t="n">
        <v>52.984</v>
      </c>
      <c r="V45" s="0" t="n">
        <v>332.973</v>
      </c>
      <c r="W45" s="0" t="n">
        <f aca="false">F45*x_c_F+G45*x_c_CC+H45*x_c_DC+I45*x_c_HCC+J45*x_c_PLT+K45*x_c_SVRn+L45*x_c_SVRcc+M45*x_c_LT</f>
        <v>505731235.573294</v>
      </c>
      <c r="X45" s="0" t="n">
        <f aca="false">C45*x_c_DAA</f>
        <v>109976320</v>
      </c>
      <c r="Y45" s="0" t="n">
        <f aca="false">C45*x_c_MON</f>
        <v>27857107.6100244</v>
      </c>
      <c r="Z45" s="0" t="n">
        <f aca="false">D45</f>
        <v>0</v>
      </c>
      <c r="AA45" s="0" t="n">
        <f aca="false">E45</f>
        <v>0</v>
      </c>
      <c r="AB45" s="0" t="n">
        <f aca="false">x_z_F*Q45+(1-x_AGRI)*x_EMP*x_WLOSS*(x_PEN_K74*N45+x_PEN_C22*O45)</f>
        <v>30523217.7231953</v>
      </c>
      <c r="AC45" s="0" t="n">
        <f aca="false">x_AGRI*x_EMP*x_WLOSS*(x_PEN_K74*N45+x_PEN_C22*O45)</f>
        <v>1659120.8517663</v>
      </c>
      <c r="AD45" s="0" t="n">
        <f aca="false">x_EMP*x_WAGE*(x_WLOSS*(N45+O45)+P45)+Q45*x_absd*x_WAGE/365</f>
        <v>198470741.873045</v>
      </c>
      <c r="AE45" s="0" t="n">
        <f aca="false">AD45*x_R_FUS</f>
        <v>62796142.7286314</v>
      </c>
      <c r="AF45" s="0" t="n">
        <f aca="false">AD45*x_R_NFZ</f>
        <v>15413436.2846025</v>
      </c>
      <c r="AG45" s="0" t="n">
        <f aca="false">AD45*x_R_PIT</f>
        <v>13195163.3058473</v>
      </c>
      <c r="AH45" s="0" t="n">
        <f aca="false">AD45*x_R_FP</f>
        <v>5061003.91776265</v>
      </c>
      <c r="AI45" s="0" t="n">
        <f aca="false">W45+X45+Y45+Z45</f>
        <v>643564663.183319</v>
      </c>
      <c r="AJ45" s="0" t="n">
        <f aca="false">AI45+AA45+AB45+AC45+AE45+AF45+AG45+AH45</f>
        <v>772212747.995124</v>
      </c>
      <c r="AK45" s="0" t="n">
        <f aca="false">AI45+AA45+AD45</f>
        <v>842035405.056364</v>
      </c>
      <c r="AL45" s="0" t="n">
        <f aca="false">X45+Y45+Z45</f>
        <v>137833427.610024</v>
      </c>
      <c r="AM45" s="0" t="n">
        <f aca="false">AL45+AA45</f>
        <v>137833427.610024</v>
      </c>
    </row>
    <row r="46" customFormat="false" ht="15" hidden="false" customHeight="false" outlineLevel="0" collapsed="false">
      <c r="A46" s="0" t="n">
        <v>2069</v>
      </c>
      <c r="B46" s="0" t="n">
        <v>43</v>
      </c>
      <c r="C46" s="0" t="n">
        <v>4832</v>
      </c>
      <c r="D46" s="0" t="n">
        <v>0</v>
      </c>
      <c r="E46" s="0" t="n">
        <v>0</v>
      </c>
      <c r="F46" s="0" t="n">
        <v>85857.192</v>
      </c>
      <c r="G46" s="0" t="n">
        <v>10561.868</v>
      </c>
      <c r="H46" s="0" t="n">
        <v>1160.269</v>
      </c>
      <c r="I46" s="0" t="n">
        <v>706.409</v>
      </c>
      <c r="J46" s="0" t="n">
        <v>427.09</v>
      </c>
      <c r="K46" s="0" t="n">
        <v>120102.646</v>
      </c>
      <c r="L46" s="0" t="n">
        <v>8228.705</v>
      </c>
      <c r="M46" s="0" t="n">
        <v>52.906</v>
      </c>
      <c r="N46" s="0" t="n">
        <v>711.866</v>
      </c>
      <c r="O46" s="0" t="n">
        <v>359.043</v>
      </c>
      <c r="P46" s="0" t="n">
        <v>1212.809</v>
      </c>
      <c r="Q46" s="0" t="n">
        <v>96419.059</v>
      </c>
      <c r="R46" s="0" t="n">
        <v>165804.322</v>
      </c>
      <c r="S46" s="0" t="n">
        <v>235.193</v>
      </c>
      <c r="T46" s="0" t="n">
        <v>216.877</v>
      </c>
      <c r="U46" s="0" t="n">
        <v>52.906</v>
      </c>
      <c r="V46" s="0" t="n">
        <v>331.864</v>
      </c>
      <c r="W46" s="0" t="n">
        <f aca="false">F46*x_c_F+G46*x_c_CC+H46*x_c_DC+I46*x_c_HCC+J46*x_c_PLT+K46*x_c_SVRn+L46*x_c_SVRcc+M46*x_c_LT</f>
        <v>504552897.559721</v>
      </c>
      <c r="X46" s="0" t="n">
        <f aca="false">C46*x_c_DAA</f>
        <v>109976320</v>
      </c>
      <c r="Y46" s="0" t="n">
        <f aca="false">C46*x_c_MON</f>
        <v>27857107.6100244</v>
      </c>
      <c r="Z46" s="0" t="n">
        <f aca="false">D46</f>
        <v>0</v>
      </c>
      <c r="AA46" s="0" t="n">
        <f aca="false">E46</f>
        <v>0</v>
      </c>
      <c r="AB46" s="0" t="n">
        <f aca="false">x_z_F*Q46+(1-x_AGRI)*x_EMP*x_WLOSS*(x_PEN_K74*N46+x_PEN_C22*O46)</f>
        <v>30340436.3424496</v>
      </c>
      <c r="AC46" s="0" t="n">
        <f aca="false">x_AGRI*x_EMP*x_WLOSS*(x_PEN_K74*N46+x_PEN_C22*O46)</f>
        <v>1647786.24781406</v>
      </c>
      <c r="AD46" s="0" t="n">
        <f aca="false">x_EMP*x_WAGE*(x_WLOSS*(N46+O46)+P46)+Q46*x_absd*x_WAGE/365</f>
        <v>197269705.260306</v>
      </c>
      <c r="AE46" s="0" t="n">
        <f aca="false">AD46*x_R_FUS</f>
        <v>62416134.744361</v>
      </c>
      <c r="AF46" s="0" t="n">
        <f aca="false">AD46*x_R_NFZ</f>
        <v>15320162.5802207</v>
      </c>
      <c r="AG46" s="0" t="n">
        <f aca="false">AD46*x_R_PIT</f>
        <v>13115313.3788917</v>
      </c>
      <c r="AH46" s="0" t="n">
        <f aca="false">AD46*x_R_FP</f>
        <v>5030377.48413781</v>
      </c>
      <c r="AI46" s="0" t="n">
        <f aca="false">W46+X46+Y46+Z46</f>
        <v>642386325.169746</v>
      </c>
      <c r="AJ46" s="0" t="n">
        <f aca="false">AI46+AA46+AB46+AC46+AE46+AF46+AG46+AH46</f>
        <v>770256535.947621</v>
      </c>
      <c r="AK46" s="0" t="n">
        <f aca="false">AI46+AA46+AD46</f>
        <v>839656030.430052</v>
      </c>
      <c r="AL46" s="0" t="n">
        <f aca="false">X46+Y46+Z46</f>
        <v>137833427.610024</v>
      </c>
      <c r="AM46" s="0" t="n">
        <f aca="false">AL46+AA46</f>
        <v>137833427.610024</v>
      </c>
    </row>
    <row r="47" customFormat="false" ht="15" hidden="false" customHeight="false" outlineLevel="0" collapsed="false">
      <c r="A47" s="0" t="n">
        <v>2070</v>
      </c>
      <c r="B47" s="0" t="n">
        <v>44</v>
      </c>
      <c r="C47" s="0" t="n">
        <v>4832</v>
      </c>
      <c r="D47" s="0" t="n">
        <v>0</v>
      </c>
      <c r="E47" s="0" t="n">
        <v>0</v>
      </c>
      <c r="F47" s="0" t="n">
        <v>85701.726</v>
      </c>
      <c r="G47" s="0" t="n">
        <v>10567.542</v>
      </c>
      <c r="H47" s="0" t="n">
        <v>1158.747</v>
      </c>
      <c r="I47" s="0" t="n">
        <v>705.345</v>
      </c>
      <c r="J47" s="0" t="n">
        <v>413.938</v>
      </c>
      <c r="K47" s="0" t="n">
        <v>121998.028</v>
      </c>
      <c r="L47" s="0" t="n">
        <v>8150.048</v>
      </c>
      <c r="M47" s="0" t="n">
        <v>53.117</v>
      </c>
      <c r="N47" s="0" t="n">
        <v>706.315</v>
      </c>
      <c r="O47" s="0" t="n">
        <v>356.262</v>
      </c>
      <c r="P47" s="0" t="n">
        <v>1204.233</v>
      </c>
      <c r="Q47" s="0" t="n">
        <v>96269.268</v>
      </c>
      <c r="R47" s="0" t="n">
        <v>167098.131</v>
      </c>
      <c r="S47" s="0" t="n">
        <v>235.831</v>
      </c>
      <c r="T47" s="0" t="n">
        <v>217.455</v>
      </c>
      <c r="U47" s="0" t="n">
        <v>53.117</v>
      </c>
      <c r="V47" s="0" t="n">
        <v>332.721</v>
      </c>
      <c r="W47" s="0" t="n">
        <f aca="false">F47*x_c_F+G47*x_c_CC+H47*x_c_DC+I47*x_c_HCC+J47*x_c_PLT+K47*x_c_SVRn+L47*x_c_SVRcc+M47*x_c_LT</f>
        <v>504628998.603753</v>
      </c>
      <c r="X47" s="0" t="n">
        <f aca="false">C47*x_c_DAA</f>
        <v>109976320</v>
      </c>
      <c r="Y47" s="0" t="n">
        <f aca="false">C47*x_c_MON</f>
        <v>27857107.6100244</v>
      </c>
      <c r="Z47" s="0" t="n">
        <f aca="false">D47</f>
        <v>0</v>
      </c>
      <c r="AA47" s="0" t="n">
        <f aca="false">E47</f>
        <v>0</v>
      </c>
      <c r="AB47" s="0" t="n">
        <f aca="false">x_z_F*Q47+(1-x_AGRI)*x_EMP*x_WLOSS*(x_PEN_K74*N47+x_PEN_C22*O47)</f>
        <v>30138109.5004918</v>
      </c>
      <c r="AC47" s="0" t="n">
        <f aca="false">x_AGRI*x_EMP*x_WLOSS*(x_PEN_K74*N47+x_PEN_C22*O47)</f>
        <v>1634968.46890917</v>
      </c>
      <c r="AD47" s="0" t="n">
        <f aca="false">x_EMP*x_WAGE*(x_WLOSS*(N47+O47)+P47)+Q47*x_absd*x_WAGE/365</f>
        <v>195824145.702389</v>
      </c>
      <c r="AE47" s="0" t="n">
        <f aca="false">AD47*x_R_FUS</f>
        <v>61958759.700236</v>
      </c>
      <c r="AF47" s="0" t="n">
        <f aca="false">AD47*x_R_NFZ</f>
        <v>15207898.9793933</v>
      </c>
      <c r="AG47" s="0" t="n">
        <f aca="false">AD47*x_R_PIT</f>
        <v>13019206.5459397</v>
      </c>
      <c r="AH47" s="0" t="n">
        <f aca="false">AD47*x_R_FP</f>
        <v>4993515.71541093</v>
      </c>
      <c r="AI47" s="0" t="n">
        <f aca="false">W47+X47+Y47+Z47</f>
        <v>642462426.213777</v>
      </c>
      <c r="AJ47" s="0" t="n">
        <f aca="false">AI47+AA47+AB47+AC47+AE47+AF47+AG47+AH47</f>
        <v>769414885.124158</v>
      </c>
      <c r="AK47" s="0" t="n">
        <f aca="false">AI47+AA47+AD47</f>
        <v>838286571.916167</v>
      </c>
      <c r="AL47" s="0" t="n">
        <f aca="false">X47+Y47+Z47</f>
        <v>137833427.610024</v>
      </c>
      <c r="AM47" s="0" t="n">
        <f aca="false">AL47+AA47</f>
        <v>137833427.610024</v>
      </c>
    </row>
    <row r="48" customFormat="false" ht="15" hidden="false" customHeight="false" outlineLevel="0" collapsed="false">
      <c r="A48" s="0" t="n">
        <v>2071</v>
      </c>
      <c r="B48" s="0" t="n">
        <v>45</v>
      </c>
      <c r="C48" s="0" t="n">
        <v>4832</v>
      </c>
      <c r="D48" s="0" t="n">
        <v>0</v>
      </c>
      <c r="E48" s="0" t="n">
        <v>0</v>
      </c>
      <c r="F48" s="0" t="n">
        <v>85563.786</v>
      </c>
      <c r="G48" s="0" t="n">
        <v>10597.164</v>
      </c>
      <c r="H48" s="0" t="n">
        <v>1163.111</v>
      </c>
      <c r="I48" s="0" t="n">
        <v>707.702</v>
      </c>
      <c r="J48" s="0" t="n">
        <v>407.034</v>
      </c>
      <c r="K48" s="0" t="n">
        <v>124042.084</v>
      </c>
      <c r="L48" s="0" t="n">
        <v>8146.329</v>
      </c>
      <c r="M48" s="0" t="n">
        <v>53.562</v>
      </c>
      <c r="N48" s="0" t="n">
        <v>700.918</v>
      </c>
      <c r="O48" s="0" t="n">
        <v>353.566</v>
      </c>
      <c r="P48" s="0" t="n">
        <v>1195.764</v>
      </c>
      <c r="Q48" s="0" t="n">
        <v>96160.95</v>
      </c>
      <c r="R48" s="0" t="n">
        <v>168585.962</v>
      </c>
      <c r="S48" s="0" t="n">
        <v>237.113</v>
      </c>
      <c r="T48" s="0" t="n">
        <v>218.741</v>
      </c>
      <c r="U48" s="0" t="n">
        <v>53.562</v>
      </c>
      <c r="V48" s="0" t="n">
        <v>335.196</v>
      </c>
      <c r="W48" s="0" t="n">
        <f aca="false">F48*x_c_F+G48*x_c_CC+H48*x_c_DC+I48*x_c_HCC+J48*x_c_PLT+K48*x_c_SVRn+L48*x_c_SVRcc+M48*x_c_LT</f>
        <v>505783203.429241</v>
      </c>
      <c r="X48" s="0" t="n">
        <f aca="false">C48*x_c_DAA</f>
        <v>109976320</v>
      </c>
      <c r="Y48" s="0" t="n">
        <f aca="false">C48*x_c_MON</f>
        <v>27857107.6100244</v>
      </c>
      <c r="Z48" s="0" t="n">
        <f aca="false">D48</f>
        <v>0</v>
      </c>
      <c r="AA48" s="0" t="n">
        <f aca="false">E48</f>
        <v>0</v>
      </c>
      <c r="AB48" s="0" t="n">
        <f aca="false">x_z_F*Q48+(1-x_AGRI)*x_EMP*x_WLOSS*(x_PEN_K74*N48+x_PEN_C22*O48)</f>
        <v>29943688.5323919</v>
      </c>
      <c r="AC48" s="0" t="n">
        <f aca="false">x_AGRI*x_EMP*x_WLOSS*(x_PEN_K74*N48+x_PEN_C22*O48)</f>
        <v>1622519.41249751</v>
      </c>
      <c r="AD48" s="0" t="n">
        <f aca="false">x_EMP*x_WAGE*(x_WLOSS*(N48+O48)+P48)+Q48*x_absd*x_WAGE/365</f>
        <v>194409186.892978</v>
      </c>
      <c r="AE48" s="0" t="n">
        <f aca="false">AD48*x_R_FUS</f>
        <v>61511066.7329382</v>
      </c>
      <c r="AF48" s="0" t="n">
        <f aca="false">AD48*x_R_NFZ</f>
        <v>15098011.8632956</v>
      </c>
      <c r="AG48" s="0" t="n">
        <f aca="false">AD48*x_R_PIT</f>
        <v>12925134.1784712</v>
      </c>
      <c r="AH48" s="0" t="n">
        <f aca="false">AD48*x_R_FP</f>
        <v>4957434.26577094</v>
      </c>
      <c r="AI48" s="0" t="n">
        <f aca="false">W48+X48+Y48+Z48</f>
        <v>643616631.039265</v>
      </c>
      <c r="AJ48" s="0" t="n">
        <f aca="false">AI48+AA48+AB48+AC48+AE48+AF48+AG48+AH48</f>
        <v>769674486.024631</v>
      </c>
      <c r="AK48" s="0" t="n">
        <f aca="false">AI48+AA48+AD48</f>
        <v>838025817.932243</v>
      </c>
      <c r="AL48" s="0" t="n">
        <f aca="false">X48+Y48+Z48</f>
        <v>137833427.610024</v>
      </c>
      <c r="AM48" s="0" t="n">
        <f aca="false">AL48+AA48</f>
        <v>137833427.610024</v>
      </c>
    </row>
    <row r="49" customFormat="false" ht="15" hidden="false" customHeight="false" outlineLevel="0" collapsed="false">
      <c r="A49" s="0" t="n">
        <v>2072</v>
      </c>
      <c r="B49" s="0" t="n">
        <v>46</v>
      </c>
      <c r="C49" s="0" t="n">
        <v>4832</v>
      </c>
      <c r="D49" s="0" t="n">
        <v>0</v>
      </c>
      <c r="E49" s="0" t="n">
        <v>0</v>
      </c>
      <c r="F49" s="0" t="n">
        <v>85441.092</v>
      </c>
      <c r="G49" s="0" t="n">
        <v>10643.93</v>
      </c>
      <c r="H49" s="0" t="n">
        <v>1172.217</v>
      </c>
      <c r="I49" s="0" t="n">
        <v>712.839</v>
      </c>
      <c r="J49" s="0" t="n">
        <v>405.692</v>
      </c>
      <c r="K49" s="0" t="n">
        <v>126209.343</v>
      </c>
      <c r="L49" s="0" t="n">
        <v>8210.56</v>
      </c>
      <c r="M49" s="0" t="n">
        <v>54.177</v>
      </c>
      <c r="N49" s="0" t="n">
        <v>695.696</v>
      </c>
      <c r="O49" s="0" t="n">
        <v>350.965</v>
      </c>
      <c r="P49" s="0" t="n">
        <v>1187.438</v>
      </c>
      <c r="Q49" s="0" t="n">
        <v>96085.022</v>
      </c>
      <c r="R49" s="0" t="n">
        <v>170237.317</v>
      </c>
      <c r="S49" s="0" t="n">
        <v>238.852</v>
      </c>
      <c r="T49" s="0" t="n">
        <v>220.544</v>
      </c>
      <c r="U49" s="0" t="n">
        <v>54.177</v>
      </c>
      <c r="V49" s="0" t="n">
        <v>338.887</v>
      </c>
      <c r="W49" s="0" t="n">
        <f aca="false">F49*x_c_F+G49*x_c_CC+H49*x_c_DC+I49*x_c_HCC+J49*x_c_PLT+K49*x_c_SVRn+L49*x_c_SVRcc+M49*x_c_LT</f>
        <v>507832459.923951</v>
      </c>
      <c r="X49" s="0" t="n">
        <f aca="false">C49*x_c_DAA</f>
        <v>109976320</v>
      </c>
      <c r="Y49" s="0" t="n">
        <f aca="false">C49*x_c_MON</f>
        <v>27857107.6100244</v>
      </c>
      <c r="Z49" s="0" t="n">
        <f aca="false">D49</f>
        <v>0</v>
      </c>
      <c r="AA49" s="0" t="n">
        <f aca="false">E49</f>
        <v>0</v>
      </c>
      <c r="AB49" s="0" t="n">
        <f aca="false">x_z_F*Q49+(1-x_AGRI)*x_EMP*x_WLOSS*(x_PEN_K74*N49+x_PEN_C22*O49)</f>
        <v>29757384.1473757</v>
      </c>
      <c r="AC49" s="0" t="n">
        <f aca="false">x_AGRI*x_EMP*x_WLOSS*(x_PEN_K74*N49+x_PEN_C22*O49)</f>
        <v>1610486.69867743</v>
      </c>
      <c r="AD49" s="0" t="n">
        <f aca="false">x_EMP*x_WAGE*(x_WLOSS*(N49+O49)+P49)+Q49*x_absd*x_WAGE/365</f>
        <v>193030300.238469</v>
      </c>
      <c r="AE49" s="0" t="n">
        <f aca="false">AD49*x_R_FUS</f>
        <v>61074786.9954515</v>
      </c>
      <c r="AF49" s="0" t="n">
        <f aca="false">AD49*x_R_NFZ</f>
        <v>14990926.1468197</v>
      </c>
      <c r="AG49" s="0" t="n">
        <f aca="false">AD49*x_R_PIT</f>
        <v>12833460.0384202</v>
      </c>
      <c r="AH49" s="0" t="n">
        <f aca="false">AD49*x_R_FP</f>
        <v>4922272.65608095</v>
      </c>
      <c r="AI49" s="0" t="n">
        <f aca="false">W49+X49+Y49+Z49</f>
        <v>645665887.533975</v>
      </c>
      <c r="AJ49" s="0" t="n">
        <f aca="false">AI49+AA49+AB49+AC49+AE49+AF49+AG49+AH49</f>
        <v>770855204.216801</v>
      </c>
      <c r="AK49" s="0" t="n">
        <f aca="false">AI49+AA49+AD49</f>
        <v>838696187.772444</v>
      </c>
      <c r="AL49" s="0" t="n">
        <f aca="false">X49+Y49+Z49</f>
        <v>137833427.610024</v>
      </c>
      <c r="AM49" s="0" t="n">
        <f aca="false">AL49+AA49</f>
        <v>137833427.610024</v>
      </c>
    </row>
    <row r="50" customFormat="false" ht="15" hidden="false" customHeight="false" outlineLevel="0" collapsed="false">
      <c r="A50" s="0" t="n">
        <v>2073</v>
      </c>
      <c r="B50" s="0" t="n">
        <v>47</v>
      </c>
      <c r="C50" s="0" t="n">
        <v>4832</v>
      </c>
      <c r="D50" s="0" t="n">
        <v>0</v>
      </c>
      <c r="E50" s="0" t="n">
        <v>0</v>
      </c>
      <c r="F50" s="0" t="n">
        <v>85331.25</v>
      </c>
      <c r="G50" s="0" t="n">
        <v>10701.103</v>
      </c>
      <c r="H50" s="0" t="n">
        <v>1184.776</v>
      </c>
      <c r="I50" s="0" t="n">
        <v>720.027</v>
      </c>
      <c r="J50" s="0" t="n">
        <v>408.957</v>
      </c>
      <c r="K50" s="0" t="n">
        <v>128464.421</v>
      </c>
      <c r="L50" s="0" t="n">
        <v>8331.582</v>
      </c>
      <c r="M50" s="0" t="n">
        <v>54.91</v>
      </c>
      <c r="N50" s="0" t="n">
        <v>690.668</v>
      </c>
      <c r="O50" s="0" t="n">
        <v>348.468</v>
      </c>
      <c r="P50" s="0" t="n">
        <v>1179.291</v>
      </c>
      <c r="Q50" s="0" t="n">
        <v>96032.353</v>
      </c>
      <c r="R50" s="0" t="n">
        <v>172011.204</v>
      </c>
      <c r="S50" s="0" t="n">
        <v>240.891</v>
      </c>
      <c r="T50" s="0" t="n">
        <v>222.703</v>
      </c>
      <c r="U50" s="0" t="n">
        <v>54.91</v>
      </c>
      <c r="V50" s="0" t="n">
        <v>343.439</v>
      </c>
      <c r="W50" s="0" t="n">
        <f aca="false">F50*x_c_F+G50*x_c_CC+H50*x_c_DC+I50*x_c_HCC+J50*x_c_PLT+K50*x_c_SVRn+L50*x_c_SVRcc+M50*x_c_LT</f>
        <v>510563658.327699</v>
      </c>
      <c r="X50" s="0" t="n">
        <f aca="false">C50*x_c_DAA</f>
        <v>109976320</v>
      </c>
      <c r="Y50" s="0" t="n">
        <f aca="false">C50*x_c_MON</f>
        <v>27857107.6100244</v>
      </c>
      <c r="Z50" s="0" t="n">
        <f aca="false">D50</f>
        <v>0</v>
      </c>
      <c r="AA50" s="0" t="n">
        <f aca="false">E50</f>
        <v>0</v>
      </c>
      <c r="AB50" s="0" t="n">
        <f aca="false">x_z_F*Q50+(1-x_AGRI)*x_EMP*x_WLOSS*(x_PEN_K74*N50+x_PEN_C22*O50)</f>
        <v>29579334.5423416</v>
      </c>
      <c r="AC50" s="0" t="n">
        <f aca="false">x_AGRI*x_EMP*x_WLOSS*(x_PEN_K74*N50+x_PEN_C22*O50)</f>
        <v>1598913.33267352</v>
      </c>
      <c r="AD50" s="0" t="n">
        <f aca="false">x_EMP*x_WAGE*(x_WLOSS*(N50+O50)+P50)+Q50*x_absd*x_WAGE/365</f>
        <v>191692700.089952</v>
      </c>
      <c r="AE50" s="0" t="n">
        <f aca="false">AD50*x_R_FUS</f>
        <v>60651570.3084608</v>
      </c>
      <c r="AF50" s="0" t="n">
        <f aca="false">AD50*x_R_NFZ</f>
        <v>14887046.7816858</v>
      </c>
      <c r="AG50" s="0" t="n">
        <f aca="false">AD50*x_R_PIT</f>
        <v>12744530.797611</v>
      </c>
      <c r="AH50" s="0" t="n">
        <f aca="false">AD50*x_R_FP</f>
        <v>4888163.85229378</v>
      </c>
      <c r="AI50" s="0" t="n">
        <f aca="false">W50+X50+Y50+Z50</f>
        <v>648397085.937724</v>
      </c>
      <c r="AJ50" s="0" t="n">
        <f aca="false">AI50+AA50+AB50+AC50+AE50+AF50+AG50+AH50</f>
        <v>772746645.55279</v>
      </c>
      <c r="AK50" s="0" t="n">
        <f aca="false">AI50+AA50+AD50</f>
        <v>840089786.027676</v>
      </c>
      <c r="AL50" s="0" t="n">
        <f aca="false">X50+Y50+Z50</f>
        <v>137833427.610024</v>
      </c>
      <c r="AM50" s="0" t="n">
        <f aca="false">AL50+AA50</f>
        <v>137833427.610024</v>
      </c>
    </row>
    <row r="51" customFormat="false" ht="15" hidden="false" customHeight="false" outlineLevel="0" collapsed="false">
      <c r="A51" s="0" t="n">
        <v>2074</v>
      </c>
      <c r="B51" s="0" t="n">
        <v>48</v>
      </c>
      <c r="C51" s="0" t="n">
        <v>4832</v>
      </c>
      <c r="D51" s="0" t="n">
        <v>0</v>
      </c>
      <c r="E51" s="0" t="n">
        <v>0</v>
      </c>
      <c r="F51" s="0" t="n">
        <v>85232.284</v>
      </c>
      <c r="G51" s="0" t="n">
        <v>10763.262</v>
      </c>
      <c r="H51" s="0" t="n">
        <v>1199.678</v>
      </c>
      <c r="I51" s="0" t="n">
        <v>728.631</v>
      </c>
      <c r="J51" s="0" t="n">
        <v>415.93</v>
      </c>
      <c r="K51" s="0" t="n">
        <v>130774.307</v>
      </c>
      <c r="L51" s="0" t="n">
        <v>8498.654</v>
      </c>
      <c r="M51" s="0" t="n">
        <v>55.013</v>
      </c>
      <c r="N51" s="0" t="n">
        <v>685.849</v>
      </c>
      <c r="O51" s="0" t="n">
        <v>346.083</v>
      </c>
      <c r="P51" s="0" t="n">
        <v>1171.355</v>
      </c>
      <c r="Q51" s="0" t="n">
        <v>95995.546</v>
      </c>
      <c r="R51" s="0" t="n">
        <v>173869.902</v>
      </c>
      <c r="S51" s="0" t="n">
        <v>241.026</v>
      </c>
      <c r="T51" s="0" t="n">
        <v>222.8</v>
      </c>
      <c r="U51" s="0" t="n">
        <v>55.013</v>
      </c>
      <c r="V51" s="0" t="n">
        <v>343.651</v>
      </c>
      <c r="W51" s="0" t="n">
        <f aca="false">F51*x_c_F+G51*x_c_CC+H51*x_c_DC+I51*x_c_HCC+J51*x_c_PLT+K51*x_c_SVRn+L51*x_c_SVRcc+M51*x_c_LT</f>
        <v>513546974.073575</v>
      </c>
      <c r="X51" s="0" t="n">
        <f aca="false">C51*x_c_DAA</f>
        <v>109976320</v>
      </c>
      <c r="Y51" s="0" t="n">
        <f aca="false">C51*x_c_MON</f>
        <v>27857107.6100244</v>
      </c>
      <c r="Z51" s="0" t="n">
        <f aca="false">D51</f>
        <v>0</v>
      </c>
      <c r="AA51" s="0" t="n">
        <f aca="false">E51</f>
        <v>0</v>
      </c>
      <c r="AB51" s="0" t="n">
        <f aca="false">x_z_F*Q51+(1-x_AGRI)*x_EMP*x_WLOSS*(x_PEN_K74*N51+x_PEN_C22*O51)</f>
        <v>29409660.8869348</v>
      </c>
      <c r="AC51" s="0" t="n">
        <f aca="false">x_AGRI*x_EMP*x_WLOSS*(x_PEN_K74*N51+x_PEN_C22*O51)</f>
        <v>1587834.7621148</v>
      </c>
      <c r="AD51" s="0" t="n">
        <f aca="false">x_EMP*x_WAGE*(x_WLOSS*(N51+O51)+P51)+Q51*x_absd*x_WAGE/365</f>
        <v>190400879.471343</v>
      </c>
      <c r="AE51" s="0" t="n">
        <f aca="false">AD51*x_R_FUS</f>
        <v>60242838.264733</v>
      </c>
      <c r="AF51" s="0" t="n">
        <f aca="false">AD51*x_R_NFZ</f>
        <v>14786722.700624</v>
      </c>
      <c r="AG51" s="0" t="n">
        <f aca="false">AD51*x_R_PIT</f>
        <v>12658645.1710268</v>
      </c>
      <c r="AH51" s="0" t="n">
        <f aca="false">AD51*x_R_FP</f>
        <v>4855222.42651925</v>
      </c>
      <c r="AI51" s="0" t="n">
        <f aca="false">W51+X51+Y51+Z51</f>
        <v>651380401.683599</v>
      </c>
      <c r="AJ51" s="0" t="n">
        <f aca="false">AI51+AA51+AB51+AC51+AE51+AF51+AG51+AH51</f>
        <v>774921325.895552</v>
      </c>
      <c r="AK51" s="0" t="n">
        <f aca="false">AI51+AA51+AD51</f>
        <v>841781281.154943</v>
      </c>
      <c r="AL51" s="0" t="n">
        <f aca="false">X51+Y51+Z51</f>
        <v>137833427.610024</v>
      </c>
      <c r="AM51" s="0" t="n">
        <f aca="false">AL51+AA51</f>
        <v>137833427.610024</v>
      </c>
    </row>
    <row r="52" customFormat="false" ht="15" hidden="false" customHeight="false" outlineLevel="0" collapsed="false">
      <c r="A52" s="0" t="n">
        <v>2075</v>
      </c>
      <c r="B52" s="0" t="n">
        <v>49</v>
      </c>
      <c r="C52" s="0" t="n">
        <v>4832</v>
      </c>
      <c r="D52" s="0" t="n">
        <v>0</v>
      </c>
      <c r="E52" s="0" t="n">
        <v>0</v>
      </c>
      <c r="F52" s="0" t="n">
        <v>85116.667</v>
      </c>
      <c r="G52" s="0" t="n">
        <v>10773.991</v>
      </c>
      <c r="H52" s="0" t="n">
        <v>1201.69</v>
      </c>
      <c r="I52" s="0" t="n">
        <v>729.392</v>
      </c>
      <c r="J52" s="0" t="n">
        <v>409.671</v>
      </c>
      <c r="K52" s="0" t="n">
        <v>132465.47</v>
      </c>
      <c r="L52" s="0" t="n">
        <v>8464.223</v>
      </c>
      <c r="M52" s="0" t="n">
        <v>56.09</v>
      </c>
      <c r="N52" s="0" t="n">
        <v>681.252</v>
      </c>
      <c r="O52" s="0" t="n">
        <v>343.815</v>
      </c>
      <c r="P52" s="0" t="n">
        <v>1163.662</v>
      </c>
      <c r="Q52" s="0" t="n">
        <v>95890.658</v>
      </c>
      <c r="R52" s="0" t="n">
        <v>175071.601</v>
      </c>
      <c r="S52" s="0" t="n">
        <v>244.007</v>
      </c>
      <c r="T52" s="0" t="n">
        <v>226.058</v>
      </c>
      <c r="U52" s="0" t="n">
        <v>56.09</v>
      </c>
      <c r="V52" s="0" t="n">
        <v>350.74</v>
      </c>
      <c r="W52" s="0" t="n">
        <f aca="false">F52*x_c_F+G52*x_c_CC+H52*x_c_DC+I52*x_c_HCC+J52*x_c_PLT+K52*x_c_SVRn+L52*x_c_SVRcc+M52*x_c_LT</f>
        <v>514458994.65656</v>
      </c>
      <c r="X52" s="0" t="n">
        <f aca="false">C52*x_c_DAA</f>
        <v>109976320</v>
      </c>
      <c r="Y52" s="0" t="n">
        <f aca="false">C52*x_c_MON</f>
        <v>27857107.6100244</v>
      </c>
      <c r="Z52" s="0" t="n">
        <f aca="false">D52</f>
        <v>0</v>
      </c>
      <c r="AA52" s="0" t="n">
        <f aca="false">E52</f>
        <v>0</v>
      </c>
      <c r="AB52" s="0" t="n">
        <f aca="false">x_z_F*Q52+(1-x_AGRI)*x_EMP*x_WLOSS*(x_PEN_K74*N52+x_PEN_C22*O52)</f>
        <v>29244068.1845873</v>
      </c>
      <c r="AC52" s="0" t="n">
        <f aca="false">x_AGRI*x_EMP*x_WLOSS*(x_PEN_K74*N52+x_PEN_C22*O52)</f>
        <v>1577278.47545274</v>
      </c>
      <c r="AD52" s="0" t="n">
        <f aca="false">x_EMP*x_WAGE*(x_WLOSS*(N52+O52)+P52)+Q52*x_absd*x_WAGE/365</f>
        <v>189156873.71104</v>
      </c>
      <c r="AE52" s="0" t="n">
        <f aca="false">AD52*x_R_FUS</f>
        <v>59849234.8421732</v>
      </c>
      <c r="AF52" s="0" t="n">
        <f aca="false">AD52*x_R_NFZ</f>
        <v>14690111.9692731</v>
      </c>
      <c r="AG52" s="0" t="n">
        <f aca="false">AD52*x_R_PIT</f>
        <v>12575938.4757945</v>
      </c>
      <c r="AH52" s="0" t="n">
        <f aca="false">AD52*x_R_FP</f>
        <v>4823500.27963153</v>
      </c>
      <c r="AI52" s="0" t="n">
        <f aca="false">W52+X52+Y52+Z52</f>
        <v>652292422.266584</v>
      </c>
      <c r="AJ52" s="0" t="n">
        <f aca="false">AI52+AA52+AB52+AC52+AE52+AF52+AG52+AH52</f>
        <v>775052554.493496</v>
      </c>
      <c r="AK52" s="0" t="n">
        <f aca="false">AI52+AA52+AD52</f>
        <v>841449295.977624</v>
      </c>
      <c r="AL52" s="0" t="n">
        <f aca="false">X52+Y52+Z52</f>
        <v>137833427.610024</v>
      </c>
      <c r="AM52" s="0" t="n">
        <f aca="false">AL52+AA52</f>
        <v>137833427.610024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1" t="s">
        <v>480</v>
      </c>
    </row>
    <row r="2" customFormat="false" ht="28.35" hidden="false" customHeight="false" outlineLevel="0" collapsed="false">
      <c r="A2" s="3" t="s">
        <v>309</v>
      </c>
      <c r="B2" s="3" t="s">
        <v>444</v>
      </c>
      <c r="C2" s="3" t="s">
        <v>445</v>
      </c>
      <c r="D2" s="3" t="s">
        <v>446</v>
      </c>
      <c r="E2" s="3" t="s">
        <v>447</v>
      </c>
      <c r="F2" s="3" t="s">
        <v>448</v>
      </c>
      <c r="G2" s="3" t="s">
        <v>449</v>
      </c>
      <c r="H2" s="3" t="s">
        <v>450</v>
      </c>
      <c r="I2" s="3" t="s">
        <v>451</v>
      </c>
      <c r="J2" s="3" t="s">
        <v>452</v>
      </c>
      <c r="K2" s="3" t="s">
        <v>453</v>
      </c>
      <c r="L2" s="3" t="s">
        <v>454</v>
      </c>
      <c r="M2" s="3" t="s">
        <v>455</v>
      </c>
      <c r="N2" s="3" t="s">
        <v>456</v>
      </c>
      <c r="O2" s="3" t="s">
        <v>457</v>
      </c>
      <c r="P2" s="3" t="s">
        <v>458</v>
      </c>
      <c r="Q2" s="3" t="s">
        <v>459</v>
      </c>
      <c r="R2" s="3" t="s">
        <v>460</v>
      </c>
      <c r="S2" s="3" t="s">
        <v>461</v>
      </c>
      <c r="T2" s="3" t="s">
        <v>462</v>
      </c>
      <c r="U2" s="3" t="s">
        <v>463</v>
      </c>
      <c r="V2" s="3" t="s">
        <v>464</v>
      </c>
      <c r="W2" s="3" t="s">
        <v>465</v>
      </c>
      <c r="X2" s="3" t="s">
        <v>466</v>
      </c>
      <c r="Y2" s="3" t="s">
        <v>467</v>
      </c>
      <c r="Z2" s="3" t="s">
        <v>468</v>
      </c>
      <c r="AA2" s="3" t="s">
        <v>469</v>
      </c>
      <c r="AB2" s="3" t="s">
        <v>244</v>
      </c>
      <c r="AC2" s="3" t="s">
        <v>295</v>
      </c>
      <c r="AD2" s="3" t="s">
        <v>470</v>
      </c>
      <c r="AE2" s="3" t="s">
        <v>471</v>
      </c>
      <c r="AF2" s="3" t="s">
        <v>472</v>
      </c>
      <c r="AG2" s="3" t="s">
        <v>473</v>
      </c>
      <c r="AH2" s="3" t="s">
        <v>474</v>
      </c>
      <c r="AI2" s="3" t="s">
        <v>123</v>
      </c>
      <c r="AJ2" s="3" t="s">
        <v>475</v>
      </c>
      <c r="AK2" s="3" t="s">
        <v>476</v>
      </c>
      <c r="AL2" s="3" t="s">
        <v>477</v>
      </c>
      <c r="AM2" s="3" t="s">
        <v>478</v>
      </c>
    </row>
    <row r="3" customFormat="false" ht="15" hidden="false" customHeight="false" outlineLevel="0" collapsed="false">
      <c r="A3" s="0" t="n">
        <v>2026</v>
      </c>
      <c r="B3" s="0" t="n">
        <v>0</v>
      </c>
      <c r="C3" s="0" t="n">
        <v>5369.693</v>
      </c>
      <c r="D3" s="0" t="n">
        <v>0</v>
      </c>
      <c r="E3" s="0" t="n">
        <v>666666.667</v>
      </c>
      <c r="F3" s="0" t="n">
        <v>140390.93</v>
      </c>
      <c r="G3" s="0" t="n">
        <v>12233.074</v>
      </c>
      <c r="H3" s="0" t="n">
        <v>1590</v>
      </c>
      <c r="I3" s="0" t="n">
        <v>890</v>
      </c>
      <c r="J3" s="0" t="n">
        <v>1585</v>
      </c>
      <c r="K3" s="0" t="n">
        <v>4889.91</v>
      </c>
      <c r="L3" s="0" t="n">
        <v>426.086</v>
      </c>
      <c r="M3" s="0" t="n">
        <v>74.361</v>
      </c>
      <c r="N3" s="0" t="n">
        <v>3175</v>
      </c>
      <c r="O3" s="0" t="n">
        <v>890</v>
      </c>
      <c r="P3" s="0" t="n">
        <v>0</v>
      </c>
      <c r="Q3" s="0" t="n">
        <v>152624.004</v>
      </c>
      <c r="R3" s="0" t="n">
        <v>113308.668</v>
      </c>
      <c r="S3" s="0" t="n">
        <v>241.485</v>
      </c>
      <c r="T3" s="0" t="n">
        <v>220.505</v>
      </c>
      <c r="U3" s="0" t="n">
        <v>74.361</v>
      </c>
      <c r="V3" s="0" t="n">
        <v>483.521</v>
      </c>
      <c r="W3" s="0" t="n">
        <f aca="false">F3*x_c_F+G3*x_c_CC+H3*x_c_DC+I3*x_c_HCC+J3*x_c_PLT+K3*x_c_SVRn+L3*x_c_SVRcc+M3*x_c_LT</f>
        <v>646563820.257821</v>
      </c>
      <c r="X3" s="0" t="n">
        <f aca="false">C3*x_c_DAA</f>
        <v>122214212.68</v>
      </c>
      <c r="Y3" s="0" t="n">
        <f aca="false">C3*x_c_MON</f>
        <v>30956977.5939145</v>
      </c>
      <c r="Z3" s="0" t="n">
        <f aca="false">D3</f>
        <v>0</v>
      </c>
      <c r="AA3" s="0" t="n">
        <f aca="false">E3</f>
        <v>666666.667</v>
      </c>
      <c r="AB3" s="0" t="n">
        <f aca="false">x_z_F*Q3+(1-x_AGRI)*x_EMP*x_WLOSS*(x_PEN_K74*N3+x_PEN_C22*O3)</f>
        <v>101756842.145932</v>
      </c>
      <c r="AC3" s="0" t="n">
        <f aca="false">x_AGRI*x_EMP*x_WLOSS*(x_PEN_K74*N3+x_PEN_C22*O3)</f>
        <v>6159786.11926482</v>
      </c>
      <c r="AD3" s="0" t="n">
        <f aca="false">x_EMP*x_WAGE*(x_WLOSS*(N3+O3)+P3)+Q3*x_absd*x_WAGE/365</f>
        <v>350634260.482096</v>
      </c>
      <c r="AE3" s="0" t="n">
        <f aca="false">AD3*x_R_FUS</f>
        <v>110940680.016535</v>
      </c>
      <c r="AF3" s="0" t="n">
        <f aca="false">AD3*x_R_NFZ</f>
        <v>27230607.3033001</v>
      </c>
      <c r="AG3" s="0" t="n">
        <f aca="false">AD3*x_R_PIT</f>
        <v>23311629.1299288</v>
      </c>
      <c r="AH3" s="0" t="n">
        <f aca="false">AD3*x_R_FP</f>
        <v>8941173.64229345</v>
      </c>
      <c r="AI3" s="0" t="n">
        <f aca="false">W3+X3+Y3+Z3</f>
        <v>799735010.531735</v>
      </c>
      <c r="AJ3" s="0" t="n">
        <f aca="false">AI3+AA3+AB3+AC3+AE3+AF3+AG3+AH3</f>
        <v>1078742395.55599</v>
      </c>
      <c r="AK3" s="0" t="n">
        <f aca="false">AI3+AA3+AD3</f>
        <v>1151035937.68083</v>
      </c>
      <c r="AL3" s="0" t="n">
        <f aca="false">X3+Y3+Z3</f>
        <v>153171190.273914</v>
      </c>
      <c r="AM3" s="0" t="n">
        <f aca="false">AL3+AA3</f>
        <v>153837856.940914</v>
      </c>
    </row>
    <row r="4" customFormat="false" ht="15" hidden="false" customHeight="false" outlineLevel="0" collapsed="false">
      <c r="A4" s="0" t="n">
        <v>2027</v>
      </c>
      <c r="B4" s="0" t="n">
        <v>1</v>
      </c>
      <c r="C4" s="0" t="n">
        <v>5791.741</v>
      </c>
      <c r="D4" s="0" t="n">
        <v>0</v>
      </c>
      <c r="E4" s="0" t="n">
        <v>1333333.333</v>
      </c>
      <c r="F4" s="0" t="n">
        <v>138039.745</v>
      </c>
      <c r="G4" s="0" t="n">
        <v>13120.423</v>
      </c>
      <c r="H4" s="0" t="n">
        <v>1552.292</v>
      </c>
      <c r="I4" s="0" t="n">
        <v>857.354</v>
      </c>
      <c r="J4" s="0" t="n">
        <v>1504.88</v>
      </c>
      <c r="K4" s="0" t="n">
        <v>10078.253</v>
      </c>
      <c r="L4" s="0" t="n">
        <v>917.839</v>
      </c>
      <c r="M4" s="0" t="n">
        <v>72.453</v>
      </c>
      <c r="N4" s="0" t="n">
        <v>3131.533</v>
      </c>
      <c r="O4" s="0" t="n">
        <v>857.354</v>
      </c>
      <c r="P4" s="0" t="n">
        <v>483.521</v>
      </c>
      <c r="Q4" s="0" t="n">
        <v>151160.168</v>
      </c>
      <c r="R4" s="0" t="n">
        <v>116356.271</v>
      </c>
      <c r="S4" s="0" t="n">
        <v>260.772</v>
      </c>
      <c r="T4" s="0" t="n">
        <v>235.281</v>
      </c>
      <c r="U4" s="0" t="n">
        <v>72.453</v>
      </c>
      <c r="V4" s="0" t="n">
        <v>480.069</v>
      </c>
      <c r="W4" s="0" t="n">
        <f aca="false">F4*x_c_F+G4*x_c_CC+H4*x_c_DC+I4*x_c_HCC+J4*x_c_PLT+K4*x_c_SVRn+L4*x_c_SVRcc+M4*x_c_LT</f>
        <v>642999033.003745</v>
      </c>
      <c r="X4" s="0" t="n">
        <f aca="false">C4*x_c_DAA</f>
        <v>131820025.16</v>
      </c>
      <c r="Y4" s="0" t="n">
        <f aca="false">C4*x_c_MON</f>
        <v>33390139.1321172</v>
      </c>
      <c r="Z4" s="0" t="n">
        <f aca="false">D4</f>
        <v>0</v>
      </c>
      <c r="AA4" s="0" t="n">
        <f aca="false">E4</f>
        <v>1333333.333</v>
      </c>
      <c r="AB4" s="0" t="n">
        <f aca="false">x_z_F*Q4+(1-x_AGRI)*x_EMP*x_WLOSS*(x_PEN_K74*N4+x_PEN_C22*O4)</f>
        <v>99881225.027817</v>
      </c>
      <c r="AC4" s="0" t="n">
        <f aca="false">x_AGRI*x_EMP*x_WLOSS*(x_PEN_K74*N4+x_PEN_C22*O4)</f>
        <v>6041241.40327241</v>
      </c>
      <c r="AD4" s="0" t="n">
        <f aca="false">x_EMP*x_WAGE*(x_WLOSS*(N4+O4)+P4)+Q4*x_absd*x_WAGE/365</f>
        <v>385331218.847507</v>
      </c>
      <c r="AE4" s="0" t="n">
        <f aca="false">AD4*x_R_FUS</f>
        <v>121918797.643351</v>
      </c>
      <c r="AF4" s="0" t="n">
        <f aca="false">AD4*x_R_NFZ</f>
        <v>29925207.7869163</v>
      </c>
      <c r="AG4" s="0" t="n">
        <f aca="false">AD4*x_R_PIT</f>
        <v>25618427.7417899</v>
      </c>
      <c r="AH4" s="0" t="n">
        <f aca="false">AD4*x_R_FP</f>
        <v>9825946.08061144</v>
      </c>
      <c r="AI4" s="0" t="n">
        <f aca="false">W4+X4+Y4+Z4</f>
        <v>808209197.295862</v>
      </c>
      <c r="AJ4" s="0" t="n">
        <f aca="false">AI4+AA4+AB4+AC4+AE4+AF4+AG4+AH4</f>
        <v>1102753376.31262</v>
      </c>
      <c r="AK4" s="0" t="n">
        <f aca="false">AI4+AA4+AD4</f>
        <v>1194873749.47637</v>
      </c>
      <c r="AL4" s="0" t="n">
        <f aca="false">X4+Y4+Z4</f>
        <v>165210164.292117</v>
      </c>
      <c r="AM4" s="0" t="n">
        <f aca="false">AL4+AA4</f>
        <v>166543497.625117</v>
      </c>
    </row>
    <row r="5" customFormat="false" ht="15" hidden="false" customHeight="false" outlineLevel="0" collapsed="false">
      <c r="A5" s="0" t="n">
        <v>2028</v>
      </c>
      <c r="B5" s="0" t="n">
        <v>2</v>
      </c>
      <c r="C5" s="0" t="n">
        <v>5961.984</v>
      </c>
      <c r="D5" s="0" t="n">
        <v>0</v>
      </c>
      <c r="E5" s="0" t="n">
        <v>2000000</v>
      </c>
      <c r="F5" s="0" t="n">
        <v>135412.988</v>
      </c>
      <c r="G5" s="0" t="n">
        <v>14077.078</v>
      </c>
      <c r="H5" s="0" t="n">
        <v>1539.824</v>
      </c>
      <c r="I5" s="0" t="n">
        <v>848.449</v>
      </c>
      <c r="J5" s="0" t="n">
        <v>1488.7</v>
      </c>
      <c r="K5" s="0" t="n">
        <v>15310.222</v>
      </c>
      <c r="L5" s="0" t="n">
        <v>1460.396</v>
      </c>
      <c r="M5" s="0" t="n">
        <v>71.814</v>
      </c>
      <c r="N5" s="0" t="n">
        <v>3100.976</v>
      </c>
      <c r="O5" s="0" t="n">
        <v>848.449</v>
      </c>
      <c r="P5" s="0" t="n">
        <v>960.892</v>
      </c>
      <c r="Q5" s="0" t="n">
        <v>149490.067</v>
      </c>
      <c r="R5" s="0" t="n">
        <v>119339.846</v>
      </c>
      <c r="S5" s="0" t="n">
        <v>281.602</v>
      </c>
      <c r="T5" s="0" t="n">
        <v>251.862</v>
      </c>
      <c r="U5" s="0" t="n">
        <v>71.814</v>
      </c>
      <c r="V5" s="0" t="n">
        <v>474.994</v>
      </c>
      <c r="W5" s="0" t="n">
        <f aca="false">F5*x_c_F+G5*x_c_CC+H5*x_c_DC+I5*x_c_HCC+J5*x_c_PLT+K5*x_c_SVRn+L5*x_c_SVRcc+M5*x_c_LT</f>
        <v>643575975.619804</v>
      </c>
      <c r="X5" s="0" t="n">
        <f aca="false">C5*x_c_DAA</f>
        <v>135694755.84</v>
      </c>
      <c r="Y5" s="0" t="n">
        <f aca="false">C5*x_c_MON</f>
        <v>34371612.1393302</v>
      </c>
      <c r="Z5" s="0" t="n">
        <f aca="false">D5</f>
        <v>0</v>
      </c>
      <c r="AA5" s="0" t="n">
        <f aca="false">E5</f>
        <v>2000000</v>
      </c>
      <c r="AB5" s="0" t="n">
        <f aca="false">x_z_F*Q5+(1-x_AGRI)*x_EMP*x_WLOSS*(x_PEN_K74*N5+x_PEN_C22*O5)</f>
        <v>98882013.1561977</v>
      </c>
      <c r="AC5" s="0" t="n">
        <f aca="false">x_AGRI*x_EMP*x_WLOSS*(x_PEN_K74*N5+x_PEN_C22*O5)</f>
        <v>5981390.51490295</v>
      </c>
      <c r="AD5" s="0" t="n">
        <f aca="false">x_EMP*x_WAGE*(x_WLOSS*(N5+O5)+P5)+Q5*x_absd*x_WAGE/365</f>
        <v>422623233.533649</v>
      </c>
      <c r="AE5" s="0" t="n">
        <f aca="false">AD5*x_R_FUS</f>
        <v>133717991.090046</v>
      </c>
      <c r="AF5" s="0" t="n">
        <f aca="false">AD5*x_R_NFZ</f>
        <v>32821342.9394567</v>
      </c>
      <c r="AG5" s="0" t="n">
        <f aca="false">AD5*x_R_PIT</f>
        <v>28097756.5292162</v>
      </c>
      <c r="AH5" s="0" t="n">
        <f aca="false">AD5*x_R_FP</f>
        <v>10776892.455108</v>
      </c>
      <c r="AI5" s="0" t="n">
        <f aca="false">W5+X5+Y5+Z5</f>
        <v>813642343.599134</v>
      </c>
      <c r="AJ5" s="0" t="n">
        <f aca="false">AI5+AA5+AB5+AC5+AE5+AF5+AG5+AH5</f>
        <v>1125919730.28406</v>
      </c>
      <c r="AK5" s="0" t="n">
        <f aca="false">AI5+AA5+AD5</f>
        <v>1238265577.13278</v>
      </c>
      <c r="AL5" s="0" t="n">
        <f aca="false">X5+Y5+Z5</f>
        <v>170066367.97933</v>
      </c>
      <c r="AM5" s="0" t="n">
        <f aca="false">AL5+AA5</f>
        <v>172066367.97933</v>
      </c>
    </row>
    <row r="6" customFormat="false" ht="15" hidden="false" customHeight="false" outlineLevel="0" collapsed="false">
      <c r="A6" s="0" t="n">
        <v>2029</v>
      </c>
      <c r="B6" s="0" t="n">
        <v>3</v>
      </c>
      <c r="C6" s="0" t="n">
        <v>5597.433</v>
      </c>
      <c r="D6" s="0" t="n">
        <v>0</v>
      </c>
      <c r="E6" s="0" t="n">
        <v>2000000</v>
      </c>
      <c r="F6" s="0" t="n">
        <v>133046.144</v>
      </c>
      <c r="G6" s="0" t="n">
        <v>15103.875</v>
      </c>
      <c r="H6" s="0" t="n">
        <v>1549.704</v>
      </c>
      <c r="I6" s="0" t="n">
        <v>858.338</v>
      </c>
      <c r="J6" s="0" t="n">
        <v>1471.004</v>
      </c>
      <c r="K6" s="0" t="n">
        <v>20096.98</v>
      </c>
      <c r="L6" s="0" t="n">
        <v>2003.494</v>
      </c>
      <c r="M6" s="0" t="n">
        <v>72.271</v>
      </c>
      <c r="N6" s="0" t="n">
        <v>3092.522</v>
      </c>
      <c r="O6" s="0" t="n">
        <v>858.338</v>
      </c>
      <c r="P6" s="0" t="n">
        <v>1430.015</v>
      </c>
      <c r="Q6" s="0" t="n">
        <v>148150.019</v>
      </c>
      <c r="R6" s="0" t="n">
        <v>122223.422</v>
      </c>
      <c r="S6" s="0" t="n">
        <v>303.757</v>
      </c>
      <c r="T6" s="0" t="n">
        <v>269.936</v>
      </c>
      <c r="U6" s="0" t="n">
        <v>72.271</v>
      </c>
      <c r="V6" s="0" t="n">
        <v>477.507</v>
      </c>
      <c r="W6" s="0" t="n">
        <f aca="false">F6*x_c_F+G6*x_c_CC+H6*x_c_DC+I6*x_c_HCC+J6*x_c_PLT+K6*x_c_SVRn+L6*x_c_SVRcc+M6*x_c_LT</f>
        <v>646943940.82167</v>
      </c>
      <c r="X6" s="0" t="n">
        <f aca="false">C6*x_c_DAA</f>
        <v>127397575.08</v>
      </c>
      <c r="Y6" s="0" t="n">
        <f aca="false">C6*x_c_MON</f>
        <v>32269928.2741932</v>
      </c>
      <c r="Z6" s="0" t="n">
        <f aca="false">D6</f>
        <v>0</v>
      </c>
      <c r="AA6" s="0" t="n">
        <f aca="false">E6</f>
        <v>2000000</v>
      </c>
      <c r="AB6" s="0" t="n">
        <f aca="false">x_z_F*Q6+(1-x_AGRI)*x_EMP*x_WLOSS*(x_PEN_K74*N6+x_PEN_C22*O6)</f>
        <v>98868793.8574065</v>
      </c>
      <c r="AC6" s="0" t="n">
        <f aca="false">x_AGRI*x_EMP*x_WLOSS*(x_PEN_K74*N6+x_PEN_C22*O6)</f>
        <v>5985487.53971869</v>
      </c>
      <c r="AD6" s="0" t="n">
        <f aca="false">x_EMP*x_WAGE*(x_WLOSS*(N6+O6)+P6)+Q6*x_absd*x_WAGE/365</f>
        <v>462707676.988636</v>
      </c>
      <c r="AE6" s="0" t="n">
        <f aca="false">AD6*x_R_FUS</f>
        <v>146400708.999204</v>
      </c>
      <c r="AF6" s="0" t="n">
        <f aca="false">AD6*x_R_NFZ</f>
        <v>35934340.9026144</v>
      </c>
      <c r="AG6" s="0" t="n">
        <f aca="false">AD6*x_R_PIT</f>
        <v>30762737.6363604</v>
      </c>
      <c r="AH6" s="0" t="n">
        <f aca="false">AD6*x_R_FP</f>
        <v>11799045.7632102</v>
      </c>
      <c r="AI6" s="0" t="n">
        <f aca="false">W6+X6+Y6+Z6</f>
        <v>806611444.175864</v>
      </c>
      <c r="AJ6" s="0" t="n">
        <f aca="false">AI6+AA6+AB6+AC6+AE6+AF6+AG6+AH6</f>
        <v>1138362558.87438</v>
      </c>
      <c r="AK6" s="0" t="n">
        <f aca="false">AI6+AA6+AD6</f>
        <v>1271319121.1645</v>
      </c>
      <c r="AL6" s="0" t="n">
        <f aca="false">X6+Y6+Z6</f>
        <v>159667503.354193</v>
      </c>
      <c r="AM6" s="0" t="n">
        <f aca="false">AL6+AA6</f>
        <v>161667503.354193</v>
      </c>
    </row>
    <row r="7" customFormat="false" ht="15" hidden="false" customHeight="false" outlineLevel="0" collapsed="false">
      <c r="A7" s="0" t="n">
        <v>2030</v>
      </c>
      <c r="B7" s="0" t="n">
        <v>4</v>
      </c>
      <c r="C7" s="0" t="n">
        <v>5350.492</v>
      </c>
      <c r="D7" s="0" t="n">
        <v>0</v>
      </c>
      <c r="E7" s="0" t="n">
        <v>2000000</v>
      </c>
      <c r="F7" s="0" t="n">
        <v>130842.88</v>
      </c>
      <c r="G7" s="0" t="n">
        <v>16156.064</v>
      </c>
      <c r="H7" s="0" t="n">
        <v>1579.2</v>
      </c>
      <c r="I7" s="0" t="n">
        <v>883.098</v>
      </c>
      <c r="J7" s="0" t="n">
        <v>1452.794</v>
      </c>
      <c r="K7" s="0" t="n">
        <v>24558.312</v>
      </c>
      <c r="L7" s="0" t="n">
        <v>2554.454</v>
      </c>
      <c r="M7" s="0" t="n">
        <v>73.677</v>
      </c>
      <c r="N7" s="0" t="n">
        <v>3104.265</v>
      </c>
      <c r="O7" s="0" t="n">
        <v>883.098</v>
      </c>
      <c r="P7" s="0" t="n">
        <v>1897.898</v>
      </c>
      <c r="Q7" s="0" t="n">
        <v>146998.944</v>
      </c>
      <c r="R7" s="0" t="n">
        <v>125007.767</v>
      </c>
      <c r="S7" s="0" t="n">
        <v>326.41</v>
      </c>
      <c r="T7" s="0" t="n">
        <v>288.823</v>
      </c>
      <c r="U7" s="0" t="n">
        <v>73.677</v>
      </c>
      <c r="V7" s="0" t="n">
        <v>486.298</v>
      </c>
      <c r="W7" s="0" t="n">
        <f aca="false">F7*x_c_F+G7*x_c_CC+H7*x_c_DC+I7*x_c_HCC+J7*x_c_PLT+K7*x_c_SVRn+L7*x_c_SVRcc+M7*x_c_LT</f>
        <v>652354267.943208</v>
      </c>
      <c r="X7" s="0" t="n">
        <f aca="false">C7*x_c_DAA</f>
        <v>121777197.92</v>
      </c>
      <c r="Y7" s="0" t="n">
        <f aca="false">C7*x_c_MON</f>
        <v>30846281.3349699</v>
      </c>
      <c r="Z7" s="0" t="n">
        <f aca="false">D7</f>
        <v>0</v>
      </c>
      <c r="AA7" s="0" t="n">
        <f aca="false">E7</f>
        <v>2000000</v>
      </c>
      <c r="AB7" s="0" t="n">
        <f aca="false">x_z_F*Q7+(1-x_AGRI)*x_EMP*x_WLOSS*(x_PEN_K74*N7+x_PEN_C22*O7)</f>
        <v>99691977.4608741</v>
      </c>
      <c r="AC7" s="0" t="n">
        <f aca="false">x_AGRI*x_EMP*x_WLOSS*(x_PEN_K74*N7+x_PEN_C22*O7)</f>
        <v>6044168.21192194</v>
      </c>
      <c r="AD7" s="0" t="n">
        <f aca="false">x_EMP*x_WAGE*(x_WLOSS*(N7+O7)+P7)+Q7*x_absd*x_WAGE/365</f>
        <v>505681327.321571</v>
      </c>
      <c r="AE7" s="0" t="n">
        <f aca="false">AD7*x_R_FUS</f>
        <v>159997571.964545</v>
      </c>
      <c r="AF7" s="0" t="n">
        <f aca="false">AD7*x_R_NFZ</f>
        <v>39271717.5611205</v>
      </c>
      <c r="AG7" s="0" t="n">
        <f aca="false">AD7*x_R_PIT</f>
        <v>33619805.2758524</v>
      </c>
      <c r="AH7" s="0" t="n">
        <f aca="false">AD7*x_R_FP</f>
        <v>12894873.8467001</v>
      </c>
      <c r="AI7" s="0" t="n">
        <f aca="false">W7+X7+Y7+Z7</f>
        <v>804977747.198178</v>
      </c>
      <c r="AJ7" s="0" t="n">
        <f aca="false">AI7+AA7+AB7+AC7+AE7+AF7+AG7+AH7</f>
        <v>1158497861.51919</v>
      </c>
      <c r="AK7" s="0" t="n">
        <f aca="false">AI7+AA7+AD7</f>
        <v>1312659074.51975</v>
      </c>
      <c r="AL7" s="0" t="n">
        <f aca="false">X7+Y7+Z7</f>
        <v>152623479.25497</v>
      </c>
      <c r="AM7" s="0" t="n">
        <f aca="false">AL7+AA7</f>
        <v>154623479.25497</v>
      </c>
    </row>
    <row r="8" customFormat="false" ht="15" hidden="false" customHeight="false" outlineLevel="0" collapsed="false">
      <c r="A8" s="0" t="n">
        <v>2031</v>
      </c>
      <c r="B8" s="0" t="n">
        <v>5</v>
      </c>
      <c r="C8" s="0" t="n">
        <v>5183.218</v>
      </c>
      <c r="D8" s="0" t="n">
        <v>0</v>
      </c>
      <c r="E8" s="0" t="n">
        <v>2000000</v>
      </c>
      <c r="F8" s="0" t="n">
        <v>128752.699</v>
      </c>
      <c r="G8" s="0" t="n">
        <v>17198.492</v>
      </c>
      <c r="H8" s="0" t="n">
        <v>1625.305</v>
      </c>
      <c r="I8" s="0" t="n">
        <v>919.273</v>
      </c>
      <c r="J8" s="0" t="n">
        <v>1434.994</v>
      </c>
      <c r="K8" s="0" t="n">
        <v>28775.284</v>
      </c>
      <c r="L8" s="0" t="n">
        <v>3117.734</v>
      </c>
      <c r="M8" s="0" t="n">
        <v>75.87</v>
      </c>
      <c r="N8" s="0" t="n">
        <v>3133.976</v>
      </c>
      <c r="O8" s="0" t="n">
        <v>919.273</v>
      </c>
      <c r="P8" s="0" t="n">
        <v>2370.227</v>
      </c>
      <c r="Q8" s="0" t="n">
        <v>145951.192</v>
      </c>
      <c r="R8" s="0" t="n">
        <v>127700.209</v>
      </c>
      <c r="S8" s="0" t="n">
        <v>348.867</v>
      </c>
      <c r="T8" s="0" t="n">
        <v>307.926</v>
      </c>
      <c r="U8" s="0" t="n">
        <v>75.87</v>
      </c>
      <c r="V8" s="0" t="n">
        <v>500.079</v>
      </c>
      <c r="W8" s="0" t="n">
        <f aca="false">F8*x_c_F+G8*x_c_CC+H8*x_c_DC+I8*x_c_HCC+J8*x_c_PLT+K8*x_c_SVRn+L8*x_c_SVRcc+M8*x_c_LT</f>
        <v>659231171.711922</v>
      </c>
      <c r="X8" s="0" t="n">
        <f aca="false">C8*x_c_DAA</f>
        <v>117970041.68</v>
      </c>
      <c r="Y8" s="0" t="n">
        <f aca="false">C8*x_c_MON</f>
        <v>29881924.9983889</v>
      </c>
      <c r="Z8" s="0" t="n">
        <f aca="false">D8</f>
        <v>0</v>
      </c>
      <c r="AA8" s="0" t="n">
        <f aca="false">E8</f>
        <v>2000000</v>
      </c>
      <c r="AB8" s="0" t="n">
        <f aca="false">x_z_F*Q8+(1-x_AGRI)*x_EMP*x_WLOSS*(x_PEN_K74*N8+x_PEN_C22*O8)</f>
        <v>101209709.138861</v>
      </c>
      <c r="AC8" s="0" t="n">
        <f aca="false">x_AGRI*x_EMP*x_WLOSS*(x_PEN_K74*N8+x_PEN_C22*O8)</f>
        <v>6148373.91107044</v>
      </c>
      <c r="AD8" s="0" t="n">
        <f aca="false">x_EMP*x_WAGE*(x_WLOSS*(N8+O8)+P8)+Q8*x_absd*x_WAGE/365</f>
        <v>551541996.796107</v>
      </c>
      <c r="AE8" s="0" t="n">
        <f aca="false">AD8*x_R_FUS</f>
        <v>174507887.786288</v>
      </c>
      <c r="AF8" s="0" t="n">
        <f aca="false">AD8*x_R_NFZ</f>
        <v>42833303.0131825</v>
      </c>
      <c r="AG8" s="0" t="n">
        <f aca="false">AD8*x_R_PIT</f>
        <v>36668813.9978487</v>
      </c>
      <c r="AH8" s="0" t="n">
        <f aca="false">AD8*x_R_FP</f>
        <v>14064320.9183007</v>
      </c>
      <c r="AI8" s="0" t="n">
        <f aca="false">W8+X8+Y8+Z8</f>
        <v>807083138.390311</v>
      </c>
      <c r="AJ8" s="0" t="n">
        <f aca="false">AI8+AA8+AB8+AC8+AE8+AF8+AG8+AH8</f>
        <v>1184515547.15586</v>
      </c>
      <c r="AK8" s="0" t="n">
        <f aca="false">AI8+AA8+AD8</f>
        <v>1360625135.18642</v>
      </c>
      <c r="AL8" s="0" t="n">
        <f aca="false">X8+Y8+Z8</f>
        <v>147851966.678389</v>
      </c>
      <c r="AM8" s="0" t="n">
        <f aca="false">AL8+AA8</f>
        <v>149851966.678389</v>
      </c>
    </row>
    <row r="9" customFormat="false" ht="15" hidden="false" customHeight="false" outlineLevel="0" collapsed="false">
      <c r="A9" s="0" t="n">
        <v>2032</v>
      </c>
      <c r="B9" s="0" t="n">
        <v>6</v>
      </c>
      <c r="C9" s="0" t="n">
        <v>5069.91</v>
      </c>
      <c r="D9" s="0" t="n">
        <v>0</v>
      </c>
      <c r="E9" s="0" t="n">
        <v>2000000</v>
      </c>
      <c r="F9" s="0" t="n">
        <v>126741.055</v>
      </c>
      <c r="G9" s="0" t="n">
        <v>18201.957</v>
      </c>
      <c r="H9" s="0" t="n">
        <v>1684.727</v>
      </c>
      <c r="I9" s="0" t="n">
        <v>963.732</v>
      </c>
      <c r="J9" s="0" t="n">
        <v>1418.263</v>
      </c>
      <c r="K9" s="0" t="n">
        <v>32800.785</v>
      </c>
      <c r="L9" s="0" t="n">
        <v>3695.338</v>
      </c>
      <c r="M9" s="0" t="n">
        <v>78.683</v>
      </c>
      <c r="N9" s="0" t="n">
        <v>3178.859</v>
      </c>
      <c r="O9" s="0" t="n">
        <v>963.732</v>
      </c>
      <c r="P9" s="0" t="n">
        <v>2851.178</v>
      </c>
      <c r="Q9" s="0" t="n">
        <v>144943.012</v>
      </c>
      <c r="R9" s="0" t="n">
        <v>130299.398</v>
      </c>
      <c r="S9" s="0" t="n">
        <v>370.571</v>
      </c>
      <c r="T9" s="0" t="n">
        <v>326.752</v>
      </c>
      <c r="U9" s="0" t="n">
        <v>78.683</v>
      </c>
      <c r="V9" s="0" t="n">
        <v>517.66</v>
      </c>
      <c r="W9" s="0" t="n">
        <f aca="false">F9*x_c_F+G9*x_c_CC+H9*x_c_DC+I9*x_c_HCC+J9*x_c_PLT+K9*x_c_SVRn+L9*x_c_SVRcc+M9*x_c_LT</f>
        <v>667059482.594235</v>
      </c>
      <c r="X9" s="0" t="n">
        <f aca="false">C9*x_c_DAA</f>
        <v>115391151.6</v>
      </c>
      <c r="Y9" s="0" t="n">
        <f aca="false">C9*x_c_MON</f>
        <v>29228689.6612456</v>
      </c>
      <c r="Z9" s="0" t="n">
        <f aca="false">D9</f>
        <v>0</v>
      </c>
      <c r="AA9" s="0" t="n">
        <f aca="false">E9</f>
        <v>2000000</v>
      </c>
      <c r="AB9" s="0" t="n">
        <f aca="false">x_z_F*Q9+(1-x_AGRI)*x_EMP*x_WLOSS*(x_PEN_K74*N9+x_PEN_C22*O9)</f>
        <v>103276963.324311</v>
      </c>
      <c r="AC9" s="0" t="n">
        <f aca="false">x_AGRI*x_EMP*x_WLOSS*(x_PEN_K74*N9+x_PEN_C22*O9)</f>
        <v>6288755.20444311</v>
      </c>
      <c r="AD9" s="0" t="n">
        <f aca="false">x_EMP*x_WAGE*(x_WLOSS*(N9+O9)+P9)+Q9*x_absd*x_WAGE/365</f>
        <v>600138702.456481</v>
      </c>
      <c r="AE9" s="0" t="n">
        <f aca="false">AD9*x_R_FUS</f>
        <v>189883885.457231</v>
      </c>
      <c r="AF9" s="0" t="n">
        <f aca="false">AD9*x_R_NFZ</f>
        <v>46607371.7714728</v>
      </c>
      <c r="AG9" s="0" t="n">
        <f aca="false">AD9*x_R_PIT</f>
        <v>39899725.8252707</v>
      </c>
      <c r="AH9" s="0" t="n">
        <f aca="false">AD9*x_R_FP</f>
        <v>15303536.9126403</v>
      </c>
      <c r="AI9" s="0" t="n">
        <f aca="false">W9+X9+Y9+Z9</f>
        <v>811679323.855481</v>
      </c>
      <c r="AJ9" s="0" t="n">
        <f aca="false">AI9+AA9+AB9+AC9+AE9+AF9+AG9+AH9</f>
        <v>1214939562.35085</v>
      </c>
      <c r="AK9" s="0" t="n">
        <f aca="false">AI9+AA9+AD9</f>
        <v>1413818026.31196</v>
      </c>
      <c r="AL9" s="0" t="n">
        <f aca="false">X9+Y9+Z9</f>
        <v>144619841.261246</v>
      </c>
      <c r="AM9" s="0" t="n">
        <f aca="false">AL9+AA9</f>
        <v>146619841.261246</v>
      </c>
    </row>
    <row r="10" customFormat="false" ht="15" hidden="false" customHeight="false" outlineLevel="0" collapsed="false">
      <c r="A10" s="0" t="n">
        <v>2033</v>
      </c>
      <c r="B10" s="0" t="n">
        <v>7</v>
      </c>
      <c r="C10" s="0" t="n">
        <v>4993.156</v>
      </c>
      <c r="D10" s="0" t="n">
        <v>0</v>
      </c>
      <c r="E10" s="0" t="n">
        <v>2000000</v>
      </c>
      <c r="F10" s="0" t="n">
        <v>124792.066</v>
      </c>
      <c r="G10" s="0" t="n">
        <v>19143.832</v>
      </c>
      <c r="H10" s="0" t="n">
        <v>1754.21</v>
      </c>
      <c r="I10" s="0" t="n">
        <v>1013.748</v>
      </c>
      <c r="J10" s="0" t="n">
        <v>1403.133</v>
      </c>
      <c r="K10" s="0" t="n">
        <v>36670.377</v>
      </c>
      <c r="L10" s="0" t="n">
        <v>4287.545</v>
      </c>
      <c r="M10" s="0" t="n">
        <v>81.952</v>
      </c>
      <c r="N10" s="0" t="n">
        <v>3236.026</v>
      </c>
      <c r="O10" s="0" t="n">
        <v>1013.748</v>
      </c>
      <c r="P10" s="0" t="n">
        <v>3343.663</v>
      </c>
      <c r="Q10" s="0" t="n">
        <v>143935.898</v>
      </c>
      <c r="R10" s="0" t="n">
        <v>132806.677</v>
      </c>
      <c r="S10" s="0" t="n">
        <v>391.062</v>
      </c>
      <c r="T10" s="0" t="n">
        <v>344.873</v>
      </c>
      <c r="U10" s="0" t="n">
        <v>81.952</v>
      </c>
      <c r="V10" s="0" t="n">
        <v>537.914</v>
      </c>
      <c r="W10" s="0" t="n">
        <f aca="false">F10*x_c_F+G10*x_c_CC+H10*x_c_DC+I10*x_c_HCC+J10*x_c_PLT+K10*x_c_SVRn+L10*x_c_SVRcc+M10*x_c_LT</f>
        <v>675422595.454949</v>
      </c>
      <c r="X10" s="0" t="n">
        <f aca="false">C10*x_c_DAA</f>
        <v>113644230.56</v>
      </c>
      <c r="Y10" s="0" t="n">
        <f aca="false">C10*x_c_MON</f>
        <v>28786192.8819617</v>
      </c>
      <c r="Z10" s="0" t="n">
        <f aca="false">D10</f>
        <v>0</v>
      </c>
      <c r="AA10" s="0" t="n">
        <f aca="false">E10</f>
        <v>2000000</v>
      </c>
      <c r="AB10" s="0" t="n">
        <f aca="false">x_z_F*Q10+(1-x_AGRI)*x_EMP*x_WLOSS*(x_PEN_K74*N10+x_PEN_C22*O10)</f>
        <v>105758303.65986</v>
      </c>
      <c r="AC10" s="0" t="n">
        <f aca="false">x_AGRI*x_EMP*x_WLOSS*(x_PEN_K74*N10+x_PEN_C22*O10)</f>
        <v>6456502.84347858</v>
      </c>
      <c r="AD10" s="0" t="n">
        <f aca="false">x_EMP*x_WAGE*(x_WLOSS*(N10+O10)+P10)+Q10*x_absd*x_WAGE/365</f>
        <v>651239963.316777</v>
      </c>
      <c r="AE10" s="0" t="n">
        <f aca="false">AD10*x_R_FUS</f>
        <v>206052324.393428</v>
      </c>
      <c r="AF10" s="0" t="n">
        <f aca="false">AD10*x_R_NFZ</f>
        <v>50575946.7911442</v>
      </c>
      <c r="AG10" s="0" t="n">
        <f aca="false">AD10*x_R_PIT</f>
        <v>43297150.9360087</v>
      </c>
      <c r="AH10" s="0" t="n">
        <f aca="false">AD10*x_R_FP</f>
        <v>16606619.0645778</v>
      </c>
      <c r="AI10" s="0" t="n">
        <f aca="false">W10+X10+Y10+Z10</f>
        <v>817853018.896911</v>
      </c>
      <c r="AJ10" s="0" t="n">
        <f aca="false">AI10+AA10+AB10+AC10+AE10+AF10+AG10+AH10</f>
        <v>1248599866.58541</v>
      </c>
      <c r="AK10" s="0" t="n">
        <f aca="false">AI10+AA10+AD10</f>
        <v>1471092982.21369</v>
      </c>
      <c r="AL10" s="0" t="n">
        <f aca="false">X10+Y10+Z10</f>
        <v>142430423.441962</v>
      </c>
      <c r="AM10" s="0" t="n">
        <f aca="false">AL10+AA10</f>
        <v>144430423.441962</v>
      </c>
    </row>
    <row r="11" customFormat="false" ht="15" hidden="false" customHeight="false" outlineLevel="0" collapsed="false">
      <c r="A11" s="0" t="n">
        <v>2034</v>
      </c>
      <c r="B11" s="0" t="n">
        <v>8</v>
      </c>
      <c r="C11" s="0" t="n">
        <v>4941.165</v>
      </c>
      <c r="D11" s="0" t="n">
        <v>0</v>
      </c>
      <c r="E11" s="0" t="n">
        <v>2000000</v>
      </c>
      <c r="F11" s="0" t="n">
        <v>122894.785</v>
      </c>
      <c r="G11" s="0" t="n">
        <v>20005.78</v>
      </c>
      <c r="H11" s="0" t="n">
        <v>1830.518</v>
      </c>
      <c r="I11" s="0" t="n">
        <v>1066.897</v>
      </c>
      <c r="J11" s="0" t="n">
        <v>1389.902</v>
      </c>
      <c r="K11" s="0" t="n">
        <v>40406.17</v>
      </c>
      <c r="L11" s="0" t="n">
        <v>4893.021</v>
      </c>
      <c r="M11" s="0" t="n">
        <v>85.52</v>
      </c>
      <c r="N11" s="0" t="n">
        <v>3302.372</v>
      </c>
      <c r="O11" s="0" t="n">
        <v>1066.897</v>
      </c>
      <c r="P11" s="0" t="n">
        <v>3849.177</v>
      </c>
      <c r="Q11" s="0" t="n">
        <v>142900.565</v>
      </c>
      <c r="R11" s="0" t="n">
        <v>135217.929</v>
      </c>
      <c r="S11" s="0" t="n">
        <v>409.988</v>
      </c>
      <c r="T11" s="0" t="n">
        <v>361.948</v>
      </c>
      <c r="U11" s="0" t="n">
        <v>85.52</v>
      </c>
      <c r="V11" s="0" t="n">
        <v>559.832</v>
      </c>
      <c r="W11" s="0" t="n">
        <f aca="false">F11*x_c_F+G11*x_c_CC+H11*x_c_DC+I11*x_c_HCC+J11*x_c_PLT+K11*x_c_SVRn+L11*x_c_SVRcc+M11*x_c_LT</f>
        <v>683943464.528372</v>
      </c>
      <c r="X11" s="0" t="n">
        <f aca="false">C11*x_c_DAA</f>
        <v>112460915.4</v>
      </c>
      <c r="Y11" s="0" t="n">
        <f aca="false">C11*x_c_MON</f>
        <v>28486458.0140493</v>
      </c>
      <c r="Z11" s="0" t="n">
        <f aca="false">D11</f>
        <v>0</v>
      </c>
      <c r="AA11" s="0" t="n">
        <f aca="false">E11</f>
        <v>2000000</v>
      </c>
      <c r="AB11" s="0" t="n">
        <f aca="false">x_z_F*Q11+(1-x_AGRI)*x_EMP*x_WLOSS*(x_PEN_K74*N11+x_PEN_C22*O11)</f>
        <v>108521646.097649</v>
      </c>
      <c r="AC11" s="0" t="n">
        <f aca="false">x_AGRI*x_EMP*x_WLOSS*(x_PEN_K74*N11+x_PEN_C22*O11)</f>
        <v>6642994.9563185</v>
      </c>
      <c r="AD11" s="0" t="n">
        <f aca="false">x_EMP*x_WAGE*(x_WLOSS*(N11+O11)+P11)+Q11*x_absd*x_WAGE/365</f>
        <v>704501061.386885</v>
      </c>
      <c r="AE11" s="0" t="n">
        <f aca="false">AD11*x_R_FUS</f>
        <v>222904135.82281</v>
      </c>
      <c r="AF11" s="0" t="n">
        <f aca="false">AD11*x_R_NFZ</f>
        <v>54712256.9283668</v>
      </c>
      <c r="AG11" s="0" t="n">
        <f aca="false">AD11*x_R_PIT</f>
        <v>46838171.039281</v>
      </c>
      <c r="AH11" s="0" t="n">
        <f aca="false">AD11*x_R_FP</f>
        <v>17964777.0653656</v>
      </c>
      <c r="AI11" s="0" t="n">
        <f aca="false">W11+X11+Y11+Z11</f>
        <v>824890837.942421</v>
      </c>
      <c r="AJ11" s="0" t="n">
        <f aca="false">AI11+AA11+AB11+AC11+AE11+AF11+AG11+AH11</f>
        <v>1284474819.85221</v>
      </c>
      <c r="AK11" s="0" t="n">
        <f aca="false">AI11+AA11+AD11</f>
        <v>1531391899.32931</v>
      </c>
      <c r="AL11" s="0" t="n">
        <f aca="false">X11+Y11+Z11</f>
        <v>140947373.414049</v>
      </c>
      <c r="AM11" s="0" t="n">
        <f aca="false">AL11+AA11</f>
        <v>142947373.414049</v>
      </c>
    </row>
    <row r="12" customFormat="false" ht="15" hidden="false" customHeight="false" outlineLevel="0" collapsed="false">
      <c r="A12" s="0" t="n">
        <v>2035</v>
      </c>
      <c r="B12" s="0" t="n">
        <v>9</v>
      </c>
      <c r="C12" s="0" t="n">
        <v>4905.946</v>
      </c>
      <c r="D12" s="0" t="n">
        <v>0</v>
      </c>
      <c r="E12" s="0" t="n">
        <v>2000000</v>
      </c>
      <c r="F12" s="0" t="n">
        <v>121047.13</v>
      </c>
      <c r="G12" s="0" t="n">
        <v>20774.569</v>
      </c>
      <c r="H12" s="0" t="n">
        <v>1910.653</v>
      </c>
      <c r="I12" s="0" t="n">
        <v>1121.115</v>
      </c>
      <c r="J12" s="0" t="n">
        <v>1378.757</v>
      </c>
      <c r="K12" s="0" t="n">
        <v>44023.038</v>
      </c>
      <c r="L12" s="0" t="n">
        <v>5509.415</v>
      </c>
      <c r="M12" s="0" t="n">
        <v>89.239</v>
      </c>
      <c r="N12" s="0" t="n">
        <v>3374.93</v>
      </c>
      <c r="O12" s="0" t="n">
        <v>1121.115</v>
      </c>
      <c r="P12" s="0" t="n">
        <v>4368.132</v>
      </c>
      <c r="Q12" s="0" t="n">
        <v>141821.7</v>
      </c>
      <c r="R12" s="0" t="n">
        <v>137532.193</v>
      </c>
      <c r="S12" s="0" t="n">
        <v>427.061</v>
      </c>
      <c r="T12" s="0" t="n">
        <v>377.684</v>
      </c>
      <c r="U12" s="0" t="n">
        <v>89.239</v>
      </c>
      <c r="V12" s="0" t="n">
        <v>582.482</v>
      </c>
      <c r="W12" s="0" t="n">
        <f aca="false">F12*x_c_F+G12*x_c_CC+H12*x_c_DC+I12*x_c_HCC+J12*x_c_PLT+K12*x_c_SVRn+L12*x_c_SVRcc+M12*x_c_LT</f>
        <v>692318208.373875</v>
      </c>
      <c r="X12" s="0" t="n">
        <f aca="false">C12*x_c_DAA</f>
        <v>111659330.96</v>
      </c>
      <c r="Y12" s="0" t="n">
        <f aca="false">C12*x_c_MON</f>
        <v>28283415.9045879</v>
      </c>
      <c r="Z12" s="0" t="n">
        <f aca="false">D12</f>
        <v>0</v>
      </c>
      <c r="AA12" s="0" t="n">
        <f aca="false">E12</f>
        <v>2000000</v>
      </c>
      <c r="AB12" s="0" t="n">
        <f aca="false">x_z_F*Q12+(1-x_AGRI)*x_EMP*x_WLOSS*(x_PEN_K74*N12+x_PEN_C22*O12)</f>
        <v>111447869.907845</v>
      </c>
      <c r="AC12" s="0" t="n">
        <f aca="false">x_AGRI*x_EMP*x_WLOSS*(x_PEN_K74*N12+x_PEN_C22*O12)</f>
        <v>6840414.6935935</v>
      </c>
      <c r="AD12" s="0" t="n">
        <f aca="false">x_EMP*x_WAGE*(x_WLOSS*(N12+O12)+P12)+Q12*x_absd*x_WAGE/365</f>
        <v>759527772.081451</v>
      </c>
      <c r="AE12" s="0" t="n">
        <f aca="false">AD12*x_R_FUS</f>
        <v>240314587.086571</v>
      </c>
      <c r="AF12" s="0" t="n">
        <f aca="false">AD12*x_R_NFZ</f>
        <v>58985686.3076175</v>
      </c>
      <c r="AG12" s="0" t="n">
        <f aca="false">AD12*x_R_PIT</f>
        <v>50496576.4392209</v>
      </c>
      <c r="AH12" s="0" t="n">
        <f aca="false">AD12*x_R_FP</f>
        <v>19367958.188077</v>
      </c>
      <c r="AI12" s="0" t="n">
        <f aca="false">W12+X12+Y12+Z12</f>
        <v>832260955.238463</v>
      </c>
      <c r="AJ12" s="0" t="n">
        <f aca="false">AI12+AA12+AB12+AC12+AE12+AF12+AG12+AH12</f>
        <v>1321714047.86139</v>
      </c>
      <c r="AK12" s="0" t="n">
        <f aca="false">AI12+AA12+AD12</f>
        <v>1593788727.31991</v>
      </c>
      <c r="AL12" s="0" t="n">
        <f aca="false">X12+Y12+Z12</f>
        <v>139942746.864588</v>
      </c>
      <c r="AM12" s="0" t="n">
        <f aca="false">AL12+AA12</f>
        <v>141942746.864588</v>
      </c>
    </row>
    <row r="13" customFormat="false" ht="15" hidden="false" customHeight="false" outlineLevel="0" collapsed="false">
      <c r="A13" s="0" t="n">
        <v>2036</v>
      </c>
      <c r="B13" s="0" t="n">
        <v>10</v>
      </c>
      <c r="C13" s="0" t="n">
        <v>4832</v>
      </c>
      <c r="D13" s="0" t="n">
        <v>0</v>
      </c>
      <c r="E13" s="0" t="n">
        <v>0</v>
      </c>
      <c r="F13" s="0" t="n">
        <v>119288.807</v>
      </c>
      <c r="G13" s="0" t="n">
        <v>21447.435</v>
      </c>
      <c r="H13" s="0" t="n">
        <v>1991.766</v>
      </c>
      <c r="I13" s="0" t="n">
        <v>1174.588</v>
      </c>
      <c r="J13" s="0" t="n">
        <v>1369.674</v>
      </c>
      <c r="K13" s="0" t="n">
        <v>47486.896</v>
      </c>
      <c r="L13" s="0" t="n">
        <v>6125.683</v>
      </c>
      <c r="M13" s="0" t="n">
        <v>92.973</v>
      </c>
      <c r="N13" s="0" t="n">
        <v>3.278</v>
      </c>
      <c r="O13" s="0" t="n">
        <v>2.3</v>
      </c>
      <c r="P13" s="0" t="n">
        <v>0.844</v>
      </c>
      <c r="Q13" s="0" t="n">
        <v>140736.242</v>
      </c>
      <c r="R13" s="0" t="n">
        <v>139741.234</v>
      </c>
      <c r="S13" s="0" t="n">
        <v>442.188</v>
      </c>
      <c r="T13" s="0" t="n">
        <v>391.932</v>
      </c>
      <c r="U13" s="0" t="n">
        <v>92.973</v>
      </c>
      <c r="V13" s="0" t="n">
        <v>605.043</v>
      </c>
      <c r="W13" s="0" t="n">
        <f aca="false">F13*x_c_F+G13*x_c_CC+H13*x_c_DC+I13*x_c_HCC+J13*x_c_PLT+K13*x_c_SVRn+L13*x_c_SVRcc+M13*x_c_LT</f>
        <v>700385361.76522</v>
      </c>
      <c r="X13" s="0" t="n">
        <f aca="false">C13*x_c_DAA</f>
        <v>109976320</v>
      </c>
      <c r="Y13" s="0" t="n">
        <f aca="false">C13*x_c_MON</f>
        <v>27857107.6100244</v>
      </c>
      <c r="Z13" s="0" t="n">
        <f aca="false">D13</f>
        <v>0</v>
      </c>
      <c r="AA13" s="0" t="n">
        <f aca="false">E13</f>
        <v>0</v>
      </c>
      <c r="AB13" s="0" t="n">
        <f aca="false">x_z_F*Q13+(1-x_AGRI)*x_EMP*x_WLOSS*(x_PEN_K74*N13+x_PEN_C22*O13)</f>
        <v>8029254.2349021</v>
      </c>
      <c r="AC13" s="0" t="n">
        <f aca="false">x_AGRI*x_EMP*x_WLOSS*(x_PEN_K74*N13+x_PEN_C22*O13)</f>
        <v>8669.07046353433</v>
      </c>
      <c r="AD13" s="0" t="n">
        <f aca="false">x_EMP*x_WAGE*(x_WLOSS*(N13+O13)+P13)+Q13*x_absd*x_WAGE/365</f>
        <v>4282429.41957163</v>
      </c>
      <c r="AE13" s="0" t="n">
        <f aca="false">AD13*x_R_FUS</f>
        <v>1354960.66835246</v>
      </c>
      <c r="AF13" s="0" t="n">
        <f aca="false">AD13*x_R_NFZ</f>
        <v>332577.751153352</v>
      </c>
      <c r="AG13" s="0" t="n">
        <f aca="false">AD13*x_R_PIT</f>
        <v>284713.782010037</v>
      </c>
      <c r="AH13" s="0" t="n">
        <f aca="false">AD13*x_R_FP</f>
        <v>109201.950199077</v>
      </c>
      <c r="AI13" s="0" t="n">
        <f aca="false">W13+X13+Y13+Z13</f>
        <v>838218789.375245</v>
      </c>
      <c r="AJ13" s="0" t="n">
        <f aca="false">AI13+AA13+AB13+AC13+AE13+AF13+AG13+AH13</f>
        <v>848338166.832326</v>
      </c>
      <c r="AK13" s="0" t="n">
        <f aca="false">AI13+AA13+AD13</f>
        <v>842501218.794816</v>
      </c>
      <c r="AL13" s="0" t="n">
        <f aca="false">X13+Y13+Z13</f>
        <v>137833427.610024</v>
      </c>
      <c r="AM13" s="0" t="n">
        <f aca="false">AL13+AA13</f>
        <v>137833427.610024</v>
      </c>
    </row>
    <row r="14" customFormat="false" ht="15" hidden="false" customHeight="false" outlineLevel="0" collapsed="false">
      <c r="A14" s="0" t="n">
        <v>2037</v>
      </c>
      <c r="B14" s="0" t="n">
        <v>11</v>
      </c>
      <c r="C14" s="0" t="n">
        <v>4832</v>
      </c>
      <c r="D14" s="0" t="n">
        <v>0</v>
      </c>
      <c r="E14" s="0" t="n">
        <v>0</v>
      </c>
      <c r="F14" s="0" t="n">
        <v>117562.374</v>
      </c>
      <c r="G14" s="0" t="n">
        <v>22008.277</v>
      </c>
      <c r="H14" s="0" t="n">
        <v>2071.421</v>
      </c>
      <c r="I14" s="0" t="n">
        <v>1225.876</v>
      </c>
      <c r="J14" s="0" t="n">
        <v>1362.522</v>
      </c>
      <c r="K14" s="0" t="n">
        <v>50860.136</v>
      </c>
      <c r="L14" s="0" t="n">
        <v>6747.666</v>
      </c>
      <c r="M14" s="0" t="n">
        <v>96.61</v>
      </c>
      <c r="N14" s="0" t="n">
        <v>5.877</v>
      </c>
      <c r="O14" s="0" t="n">
        <v>4.05</v>
      </c>
      <c r="P14" s="0" t="n">
        <v>1.823</v>
      </c>
      <c r="Q14" s="0" t="n">
        <v>139570.651</v>
      </c>
      <c r="R14" s="0" t="n">
        <v>141844.803</v>
      </c>
      <c r="S14" s="0" t="n">
        <v>455.093</v>
      </c>
      <c r="T14" s="0" t="n">
        <v>404.437</v>
      </c>
      <c r="U14" s="0" t="n">
        <v>96.61</v>
      </c>
      <c r="V14" s="0" t="n">
        <v>626.846</v>
      </c>
      <c r="W14" s="0" t="n">
        <f aca="false">F14*x_c_F+G14*x_c_CC+H14*x_c_DC+I14*x_c_HCC+J14*x_c_PLT+K14*x_c_SVRn+L14*x_c_SVRcc+M14*x_c_LT</f>
        <v>707764788.868222</v>
      </c>
      <c r="X14" s="0" t="n">
        <f aca="false">C14*x_c_DAA</f>
        <v>109976320</v>
      </c>
      <c r="Y14" s="0" t="n">
        <f aca="false">C14*x_c_MON</f>
        <v>27857107.6100244</v>
      </c>
      <c r="Z14" s="0" t="n">
        <f aca="false">D14</f>
        <v>0</v>
      </c>
      <c r="AA14" s="0" t="n">
        <f aca="false">E14</f>
        <v>0</v>
      </c>
      <c r="AB14" s="0" t="n">
        <f aca="false">x_z_F*Q14+(1-x_AGRI)*x_EMP*x_WLOSS*(x_PEN_K74*N14+x_PEN_C22*O14)</f>
        <v>8065967.42316414</v>
      </c>
      <c r="AC14" s="0" t="n">
        <f aca="false">x_AGRI*x_EMP*x_WLOSS*(x_PEN_K74*N14+x_PEN_C22*O14)</f>
        <v>15419.4033183679</v>
      </c>
      <c r="AD14" s="0" t="n">
        <f aca="false">x_EMP*x_WAGE*(x_WLOSS*(N14+O14)+P14)+Q14*x_absd*x_WAGE/365</f>
        <v>4705764.62610179</v>
      </c>
      <c r="AE14" s="0" t="n">
        <f aca="false">AD14*x_R_FUS</f>
        <v>1488903.92769861</v>
      </c>
      <c r="AF14" s="0" t="n">
        <f aca="false">AD14*x_R_NFZ</f>
        <v>365454.386627691</v>
      </c>
      <c r="AG14" s="0" t="n">
        <f aca="false">AD14*x_R_PIT</f>
        <v>312858.873475726</v>
      </c>
      <c r="AH14" s="0" t="n">
        <f aca="false">AD14*x_R_FP</f>
        <v>119996.997965596</v>
      </c>
      <c r="AI14" s="0" t="n">
        <f aca="false">W14+X14+Y14+Z14</f>
        <v>845598216.478247</v>
      </c>
      <c r="AJ14" s="0" t="n">
        <f aca="false">AI14+AA14+AB14+AC14+AE14+AF14+AG14+AH14</f>
        <v>855966817.490497</v>
      </c>
      <c r="AK14" s="0" t="n">
        <f aca="false">AI14+AA14+AD14</f>
        <v>850303981.104348</v>
      </c>
      <c r="AL14" s="0" t="n">
        <f aca="false">X14+Y14+Z14</f>
        <v>137833427.610024</v>
      </c>
      <c r="AM14" s="0" t="n">
        <f aca="false">AL14+AA14</f>
        <v>137833427.610024</v>
      </c>
    </row>
    <row r="15" customFormat="false" ht="15" hidden="false" customHeight="false" outlineLevel="0" collapsed="false">
      <c r="A15" s="0" t="n">
        <v>2038</v>
      </c>
      <c r="B15" s="0" t="n">
        <v>12</v>
      </c>
      <c r="C15" s="0" t="n">
        <v>4832</v>
      </c>
      <c r="D15" s="0" t="n">
        <v>0</v>
      </c>
      <c r="E15" s="0" t="n">
        <v>0</v>
      </c>
      <c r="F15" s="0" t="n">
        <v>115876.894</v>
      </c>
      <c r="G15" s="0" t="n">
        <v>22454.279</v>
      </c>
      <c r="H15" s="0" t="n">
        <v>2147.365</v>
      </c>
      <c r="I15" s="0" t="n">
        <v>1273.71</v>
      </c>
      <c r="J15" s="0" t="n">
        <v>1357.087</v>
      </c>
      <c r="K15" s="0" t="n">
        <v>54140.763</v>
      </c>
      <c r="L15" s="0" t="n">
        <v>7370.131</v>
      </c>
      <c r="M15" s="0" t="n">
        <v>100.046</v>
      </c>
      <c r="N15" s="0" t="n">
        <v>9.787</v>
      </c>
      <c r="O15" s="0" t="n">
        <v>6.63</v>
      </c>
      <c r="P15" s="0" t="n">
        <v>3.557</v>
      </c>
      <c r="Q15" s="0" t="n">
        <v>138331.173</v>
      </c>
      <c r="R15" s="0" t="n">
        <v>143841.356</v>
      </c>
      <c r="S15" s="0" t="n">
        <v>465.713</v>
      </c>
      <c r="T15" s="0" t="n">
        <v>415.095</v>
      </c>
      <c r="U15" s="0" t="n">
        <v>100.046</v>
      </c>
      <c r="V15" s="0" t="n">
        <v>647.287</v>
      </c>
      <c r="W15" s="0" t="n">
        <f aca="false">F15*x_c_F+G15*x_c_CC+H15*x_c_DC+I15*x_c_HCC+J15*x_c_PLT+K15*x_c_SVRn+L15*x_c_SVRcc+M15*x_c_LT</f>
        <v>714289567.690446</v>
      </c>
      <c r="X15" s="0" t="n">
        <f aca="false">C15*x_c_DAA</f>
        <v>109976320</v>
      </c>
      <c r="Y15" s="0" t="n">
        <f aca="false">C15*x_c_MON</f>
        <v>27857107.6100244</v>
      </c>
      <c r="Z15" s="0" t="n">
        <f aca="false">D15</f>
        <v>0</v>
      </c>
      <c r="AA15" s="0" t="n">
        <f aca="false">E15</f>
        <v>0</v>
      </c>
      <c r="AB15" s="0" t="n">
        <f aca="false">x_z_F*Q15+(1-x_AGRI)*x_EMP*x_WLOSS*(x_PEN_K74*N15+x_PEN_C22*O15)</f>
        <v>8148714.66562959</v>
      </c>
      <c r="AC15" s="0" t="n">
        <f aca="false">x_AGRI*x_EMP*x_WLOSS*(x_PEN_K74*N15+x_PEN_C22*O15)</f>
        <v>25486.5764160641</v>
      </c>
      <c r="AD15" s="0" t="n">
        <f aca="false">x_EMP*x_WAGE*(x_WLOSS*(N15+O15)+P15)+Q15*x_absd*x_WAGE/365</f>
        <v>5374053.38530414</v>
      </c>
      <c r="AE15" s="0" t="n">
        <f aca="false">AD15*x_R_FUS</f>
        <v>1700350.49111023</v>
      </c>
      <c r="AF15" s="0" t="n">
        <f aca="false">AD15*x_R_NFZ</f>
        <v>417354.359956105</v>
      </c>
      <c r="AG15" s="0" t="n">
        <f aca="false">AD15*x_R_PIT</f>
        <v>357289.49952124</v>
      </c>
      <c r="AH15" s="0" t="n">
        <f aca="false">AD15*x_R_FP</f>
        <v>137038.361325255</v>
      </c>
      <c r="AI15" s="0" t="n">
        <f aca="false">W15+X15+Y15+Z15</f>
        <v>852122995.300471</v>
      </c>
      <c r="AJ15" s="0" t="n">
        <f aca="false">AI15+AA15+AB15+AC15+AE15+AF15+AG15+AH15</f>
        <v>862909229.254429</v>
      </c>
      <c r="AK15" s="0" t="n">
        <f aca="false">AI15+AA15+AD15</f>
        <v>857497048.685775</v>
      </c>
      <c r="AL15" s="0" t="n">
        <f aca="false">X15+Y15+Z15</f>
        <v>137833427.610024</v>
      </c>
      <c r="AM15" s="0" t="n">
        <f aca="false">AL15+AA15</f>
        <v>137833427.610024</v>
      </c>
    </row>
    <row r="16" customFormat="false" ht="15" hidden="false" customHeight="false" outlineLevel="0" collapsed="false">
      <c r="A16" s="0" t="n">
        <v>2039</v>
      </c>
      <c r="B16" s="0" t="n">
        <v>13</v>
      </c>
      <c r="C16" s="0" t="n">
        <v>4832</v>
      </c>
      <c r="D16" s="0" t="n">
        <v>0</v>
      </c>
      <c r="E16" s="0" t="n">
        <v>0</v>
      </c>
      <c r="F16" s="0" t="n">
        <v>114240.501</v>
      </c>
      <c r="G16" s="0" t="n">
        <v>22785.411</v>
      </c>
      <c r="H16" s="0" t="n">
        <v>2217.706</v>
      </c>
      <c r="I16" s="0" t="n">
        <v>1317.096</v>
      </c>
      <c r="J16" s="0" t="n">
        <v>1353.09</v>
      </c>
      <c r="K16" s="0" t="n">
        <v>57327.614</v>
      </c>
      <c r="L16" s="0" t="n">
        <v>7987.788</v>
      </c>
      <c r="M16" s="0" t="n">
        <v>103.2</v>
      </c>
      <c r="N16" s="0" t="n">
        <v>15.363</v>
      </c>
      <c r="O16" s="0" t="n">
        <v>10.234</v>
      </c>
      <c r="P16" s="0" t="n">
        <v>6.41</v>
      </c>
      <c r="Q16" s="0" t="n">
        <v>137025.912</v>
      </c>
      <c r="R16" s="0" t="n">
        <v>145731.061</v>
      </c>
      <c r="S16" s="0" t="n">
        <v>474.058</v>
      </c>
      <c r="T16" s="0" t="n">
        <v>423.868</v>
      </c>
      <c r="U16" s="0" t="n">
        <v>103.2</v>
      </c>
      <c r="V16" s="0" t="n">
        <v>665.907</v>
      </c>
      <c r="W16" s="0" t="n">
        <f aca="false">F16*x_c_F+G16*x_c_CC+H16*x_c_DC+I16*x_c_HCC+J16*x_c_PLT+K16*x_c_SVRn+L16*x_c_SVRcc+M16*x_c_LT</f>
        <v>719835099.261026</v>
      </c>
      <c r="X16" s="0" t="n">
        <f aca="false">C16*x_c_DAA</f>
        <v>109976320</v>
      </c>
      <c r="Y16" s="0" t="n">
        <f aca="false">C16*x_c_MON</f>
        <v>27857107.6100244</v>
      </c>
      <c r="Z16" s="0" t="n">
        <f aca="false">D16</f>
        <v>0</v>
      </c>
      <c r="AA16" s="0" t="n">
        <f aca="false">E16</f>
        <v>0</v>
      </c>
      <c r="AB16" s="0" t="n">
        <f aca="false">x_z_F*Q16+(1-x_AGRI)*x_EMP*x_WLOSS*(x_PEN_K74*N16+x_PEN_C22*O16)</f>
        <v>8290760.97221485</v>
      </c>
      <c r="AC16" s="0" t="n">
        <f aca="false">x_AGRI*x_EMP*x_WLOSS*(x_PEN_K74*N16+x_PEN_C22*O16)</f>
        <v>39717.3203519698</v>
      </c>
      <c r="AD16" s="0" t="n">
        <f aca="false">x_EMP*x_WAGE*(x_WLOSS*(N16+O16)+P16)+Q16*x_absd*x_WAGE/365</f>
        <v>6365353.59063343</v>
      </c>
      <c r="AE16" s="0" t="n">
        <f aca="false">AD16*x_R_FUS</f>
        <v>2013997.87607642</v>
      </c>
      <c r="AF16" s="0" t="n">
        <f aca="false">AD16*x_R_NFZ</f>
        <v>494339.725202183</v>
      </c>
      <c r="AG16" s="0" t="n">
        <f aca="false">AD16*x_R_PIT</f>
        <v>423195.274705005</v>
      </c>
      <c r="AH16" s="0" t="n">
        <f aca="false">AD16*x_R_FP</f>
        <v>162316.516561153</v>
      </c>
      <c r="AI16" s="0" t="n">
        <f aca="false">W16+X16+Y16+Z16</f>
        <v>857668526.87105</v>
      </c>
      <c r="AJ16" s="0" t="n">
        <f aca="false">AI16+AA16+AB16+AC16+AE16+AF16+AG16+AH16</f>
        <v>869092854.556162</v>
      </c>
      <c r="AK16" s="0" t="n">
        <f aca="false">AI16+AA16+AD16</f>
        <v>864033880.461684</v>
      </c>
      <c r="AL16" s="0" t="n">
        <f aca="false">X16+Y16+Z16</f>
        <v>137833427.610024</v>
      </c>
      <c r="AM16" s="0" t="n">
        <f aca="false">AL16+AA16</f>
        <v>137833427.610024</v>
      </c>
    </row>
    <row r="17" customFormat="false" ht="15" hidden="false" customHeight="false" outlineLevel="0" collapsed="false">
      <c r="A17" s="0" t="n">
        <v>2040</v>
      </c>
      <c r="B17" s="0" t="n">
        <v>14</v>
      </c>
      <c r="C17" s="0" t="n">
        <v>4832</v>
      </c>
      <c r="D17" s="0" t="n">
        <v>0</v>
      </c>
      <c r="E17" s="0" t="n">
        <v>0</v>
      </c>
      <c r="F17" s="0" t="n">
        <v>112662.496</v>
      </c>
      <c r="G17" s="0" t="n">
        <v>23005.043</v>
      </c>
      <c r="H17" s="0" t="n">
        <v>2281.012</v>
      </c>
      <c r="I17" s="0" t="n">
        <v>1355.349</v>
      </c>
      <c r="J17" s="0" t="n">
        <v>1350.246</v>
      </c>
      <c r="K17" s="0" t="n">
        <v>60422.064</v>
      </c>
      <c r="L17" s="0" t="n">
        <v>8595.732</v>
      </c>
      <c r="M17" s="0" t="n">
        <v>106.007</v>
      </c>
      <c r="N17" s="0" t="n">
        <v>22.974</v>
      </c>
      <c r="O17" s="0" t="n">
        <v>15.054</v>
      </c>
      <c r="P17" s="0" t="n">
        <v>10.835</v>
      </c>
      <c r="Q17" s="0" t="n">
        <v>135667.539</v>
      </c>
      <c r="R17" s="0" t="n">
        <v>147519.333</v>
      </c>
      <c r="S17" s="0" t="n">
        <v>480.18</v>
      </c>
      <c r="T17" s="0" t="n">
        <v>430.76</v>
      </c>
      <c r="U17" s="0" t="n">
        <v>106.007</v>
      </c>
      <c r="V17" s="0" t="n">
        <v>682.345</v>
      </c>
      <c r="W17" s="0" t="n">
        <f aca="false">F17*x_c_F+G17*x_c_CC+H17*x_c_DC+I17*x_c_HCC+J17*x_c_PLT+K17*x_c_SVRn+L17*x_c_SVRcc+M17*x_c_LT</f>
        <v>724334294.796186</v>
      </c>
      <c r="X17" s="0" t="n">
        <f aca="false">C17*x_c_DAA</f>
        <v>109976320</v>
      </c>
      <c r="Y17" s="0" t="n">
        <f aca="false">C17*x_c_MON</f>
        <v>27857107.6100244</v>
      </c>
      <c r="Z17" s="0" t="n">
        <f aca="false">D17</f>
        <v>0</v>
      </c>
      <c r="AA17" s="0" t="n">
        <f aca="false">E17</f>
        <v>0</v>
      </c>
      <c r="AB17" s="0" t="n">
        <f aca="false">x_z_F*Q17+(1-x_AGRI)*x_EMP*x_WLOSS*(x_PEN_K74*N17+x_PEN_C22*O17)</f>
        <v>8505888.69993857</v>
      </c>
      <c r="AC17" s="0" t="n">
        <f aca="false">x_AGRI*x_EMP*x_WLOSS*(x_PEN_K74*N17+x_PEN_C22*O17)</f>
        <v>58975.6204705858</v>
      </c>
      <c r="AD17" s="0" t="n">
        <f aca="false">x_EMP*x_WAGE*(x_WLOSS*(N17+O17)+P17)+Q17*x_absd*x_WAGE/365</f>
        <v>7766455.64505077</v>
      </c>
      <c r="AE17" s="0" t="n">
        <f aca="false">AD17*x_R_FUS</f>
        <v>2457306.56609406</v>
      </c>
      <c r="AF17" s="0" t="n">
        <f aca="false">AD17*x_R_NFZ</f>
        <v>603150.711850288</v>
      </c>
      <c r="AG17" s="0" t="n">
        <f aca="false">AD17*x_R_PIT</f>
        <v>516346.387265571</v>
      </c>
      <c r="AH17" s="0" t="n">
        <f aca="false">AD17*x_R_FP</f>
        <v>198044.618948795</v>
      </c>
      <c r="AI17" s="0" t="n">
        <f aca="false">W17+X17+Y17+Z17</f>
        <v>862167722.40621</v>
      </c>
      <c r="AJ17" s="0" t="n">
        <f aca="false">AI17+AA17+AB17+AC17+AE17+AF17+AG17+AH17</f>
        <v>874507435.010778</v>
      </c>
      <c r="AK17" s="0" t="n">
        <f aca="false">AI17+AA17+AD17</f>
        <v>869934178.051261</v>
      </c>
      <c r="AL17" s="0" t="n">
        <f aca="false">X17+Y17+Z17</f>
        <v>137833427.610024</v>
      </c>
      <c r="AM17" s="0" t="n">
        <f aca="false">AL17+AA17</f>
        <v>137833427.610024</v>
      </c>
    </row>
    <row r="18" customFormat="false" ht="15" hidden="false" customHeight="false" outlineLevel="0" collapsed="false">
      <c r="A18" s="0" t="n">
        <v>2041</v>
      </c>
      <c r="B18" s="0" t="n">
        <v>15</v>
      </c>
      <c r="C18" s="0" t="n">
        <v>4832</v>
      </c>
      <c r="D18" s="0" t="n">
        <v>0</v>
      </c>
      <c r="E18" s="0" t="n">
        <v>0</v>
      </c>
      <c r="F18" s="0" t="n">
        <v>111149.527</v>
      </c>
      <c r="G18" s="0" t="n">
        <v>23118.256</v>
      </c>
      <c r="H18" s="0" t="n">
        <v>2336.175</v>
      </c>
      <c r="I18" s="0" t="n">
        <v>1387.992</v>
      </c>
      <c r="J18" s="0" t="n">
        <v>1348.208</v>
      </c>
      <c r="K18" s="0" t="n">
        <v>63425.707</v>
      </c>
      <c r="L18" s="0" t="n">
        <v>9189.135</v>
      </c>
      <c r="M18" s="0" t="n">
        <v>108.415</v>
      </c>
      <c r="N18" s="0" t="n">
        <v>32.992</v>
      </c>
      <c r="O18" s="0" t="n">
        <v>21.273</v>
      </c>
      <c r="P18" s="0" t="n">
        <v>17.374</v>
      </c>
      <c r="Q18" s="0" t="n">
        <v>134267.783</v>
      </c>
      <c r="R18" s="0" t="n">
        <v>149211.051</v>
      </c>
      <c r="S18" s="0" t="n">
        <v>484.155</v>
      </c>
      <c r="T18" s="0" t="n">
        <v>435.796</v>
      </c>
      <c r="U18" s="0" t="n">
        <v>108.415</v>
      </c>
      <c r="V18" s="0" t="n">
        <v>696.32</v>
      </c>
      <c r="W18" s="0" t="n">
        <f aca="false">F18*x_c_F+G18*x_c_CC+H18*x_c_DC+I18*x_c_HCC+J18*x_c_PLT+K18*x_c_SVRn+L18*x_c_SVRcc+M18*x_c_LT</f>
        <v>727743240.651442</v>
      </c>
      <c r="X18" s="0" t="n">
        <f aca="false">C18*x_c_DAA</f>
        <v>109976320</v>
      </c>
      <c r="Y18" s="0" t="n">
        <f aca="false">C18*x_c_MON</f>
        <v>27857107.6100244</v>
      </c>
      <c r="Z18" s="0" t="n">
        <f aca="false">D18</f>
        <v>0</v>
      </c>
      <c r="AA18" s="0" t="n">
        <f aca="false">E18</f>
        <v>0</v>
      </c>
      <c r="AB18" s="0" t="n">
        <f aca="false">x_z_F*Q18+(1-x_AGRI)*x_EMP*x_WLOSS*(x_PEN_K74*N18+x_PEN_C22*O18)</f>
        <v>8807666.43934332</v>
      </c>
      <c r="AC18" s="0" t="n">
        <f aca="false">x_AGRI*x_EMP*x_WLOSS*(x_PEN_K74*N18+x_PEN_C22*O18)</f>
        <v>84114.8268321488</v>
      </c>
      <c r="AD18" s="0" t="n">
        <f aca="false">x_EMP*x_WAGE*(x_WLOSS*(N18+O18)+P18)+Q18*x_absd*x_WAGE/365</f>
        <v>9671201.57324926</v>
      </c>
      <c r="AE18" s="0" t="n">
        <f aca="false">AD18*x_R_FUS</f>
        <v>3059968.17777607</v>
      </c>
      <c r="AF18" s="0" t="n">
        <f aca="false">AD18*x_R_NFZ</f>
        <v>751075.185380111</v>
      </c>
      <c r="AG18" s="0" t="n">
        <f aca="false">AD18*x_R_PIT</f>
        <v>642981.846686606</v>
      </c>
      <c r="AH18" s="0" t="n">
        <f aca="false">AD18*x_R_FP</f>
        <v>246615.640117856</v>
      </c>
      <c r="AI18" s="0" t="n">
        <f aca="false">W18+X18+Y18+Z18</f>
        <v>865576668.261467</v>
      </c>
      <c r="AJ18" s="0" t="n">
        <f aca="false">AI18+AA18+AB18+AC18+AE18+AF18+AG18+AH18</f>
        <v>879169090.377603</v>
      </c>
      <c r="AK18" s="0" t="n">
        <f aca="false">AI18+AA18+AD18</f>
        <v>875247869.834716</v>
      </c>
      <c r="AL18" s="0" t="n">
        <f aca="false">X18+Y18+Z18</f>
        <v>137833427.610024</v>
      </c>
      <c r="AM18" s="0" t="n">
        <f aca="false">AL18+AA18</f>
        <v>137833427.610024</v>
      </c>
    </row>
    <row r="19" customFormat="false" ht="15" hidden="false" customHeight="false" outlineLevel="0" collapsed="false">
      <c r="A19" s="0" t="n">
        <v>2042</v>
      </c>
      <c r="B19" s="0" t="n">
        <v>16</v>
      </c>
      <c r="C19" s="0" t="n">
        <v>4832</v>
      </c>
      <c r="D19" s="0" t="n">
        <v>0</v>
      </c>
      <c r="E19" s="0" t="n">
        <v>0</v>
      </c>
      <c r="F19" s="0" t="n">
        <v>109704.979</v>
      </c>
      <c r="G19" s="0" t="n">
        <v>23131.014</v>
      </c>
      <c r="H19" s="0" t="n">
        <v>2382.34</v>
      </c>
      <c r="I19" s="0" t="n">
        <v>1414.705</v>
      </c>
      <c r="J19" s="0" t="n">
        <v>1346.555</v>
      </c>
      <c r="K19" s="0" t="n">
        <v>66339.352</v>
      </c>
      <c r="L19" s="0" t="n">
        <v>9763.117</v>
      </c>
      <c r="M19" s="0" t="n">
        <v>110.395</v>
      </c>
      <c r="N19" s="0" t="n">
        <v>45.774</v>
      </c>
      <c r="O19" s="0" t="n">
        <v>29.052</v>
      </c>
      <c r="P19" s="0" t="n">
        <v>26.654</v>
      </c>
      <c r="Q19" s="0" t="n">
        <v>132835.993</v>
      </c>
      <c r="R19" s="0" t="n">
        <v>150808.753</v>
      </c>
      <c r="S19" s="0" t="n">
        <v>486.115</v>
      </c>
      <c r="T19" s="0" t="n">
        <v>439.057</v>
      </c>
      <c r="U19" s="0" t="n">
        <v>110.395</v>
      </c>
      <c r="V19" s="0" t="n">
        <v>707.676</v>
      </c>
      <c r="W19" s="0" t="n">
        <f aca="false">F19*x_c_F+G19*x_c_CC+H19*x_c_DC+I19*x_c_HCC+J19*x_c_PLT+K19*x_c_SVRn+L19*x_c_SVRcc+M19*x_c_LT</f>
        <v>730032497.563513</v>
      </c>
      <c r="X19" s="0" t="n">
        <f aca="false">C19*x_c_DAA</f>
        <v>109976320</v>
      </c>
      <c r="Y19" s="0" t="n">
        <f aca="false">C19*x_c_MON</f>
        <v>27857107.6100244</v>
      </c>
      <c r="Z19" s="0" t="n">
        <f aca="false">D19</f>
        <v>0</v>
      </c>
      <c r="AA19" s="0" t="n">
        <f aca="false">E19</f>
        <v>0</v>
      </c>
      <c r="AB19" s="0" t="n">
        <f aca="false">x_z_F*Q19+(1-x_AGRI)*x_EMP*x_WLOSS*(x_PEN_K74*N19+x_PEN_C22*O19)</f>
        <v>9208638.7547996</v>
      </c>
      <c r="AC19" s="0" t="n">
        <f aca="false">x_AGRI*x_EMP*x_WLOSS*(x_PEN_K74*N19+x_PEN_C22*O19)</f>
        <v>115929.431741387</v>
      </c>
      <c r="AD19" s="0" t="n">
        <f aca="false">x_EMP*x_WAGE*(x_WLOSS*(N19+O19)+P19)+Q19*x_absd*x_WAGE/365</f>
        <v>12177462.7425527</v>
      </c>
      <c r="AE19" s="0" t="n">
        <f aca="false">AD19*x_R_FUS</f>
        <v>3852949.21174367</v>
      </c>
      <c r="AF19" s="0" t="n">
        <f aca="false">AD19*x_R_NFZ</f>
        <v>945713.934049383</v>
      </c>
      <c r="AG19" s="0" t="n">
        <f aca="false">AD19*x_R_PIT</f>
        <v>809608.549967719</v>
      </c>
      <c r="AH19" s="0" t="n">
        <f aca="false">AD19*x_R_FP</f>
        <v>310525.299935093</v>
      </c>
      <c r="AI19" s="0" t="n">
        <f aca="false">W19+X19+Y19+Z19</f>
        <v>867865925.173537</v>
      </c>
      <c r="AJ19" s="0" t="n">
        <f aca="false">AI19+AA19+AB19+AC19+AE19+AF19+AG19+AH19</f>
        <v>883109290.355774</v>
      </c>
      <c r="AK19" s="0" t="n">
        <f aca="false">AI19+AA19+AD19</f>
        <v>880043387.91609</v>
      </c>
      <c r="AL19" s="0" t="n">
        <f aca="false">X19+Y19+Z19</f>
        <v>137833427.610024</v>
      </c>
      <c r="AM19" s="0" t="n">
        <f aca="false">AL19+AA19</f>
        <v>137833427.610024</v>
      </c>
    </row>
    <row r="20" customFormat="false" ht="15" hidden="false" customHeight="false" outlineLevel="0" collapsed="false">
      <c r="A20" s="0" t="n">
        <v>2043</v>
      </c>
      <c r="B20" s="0" t="n">
        <v>17</v>
      </c>
      <c r="C20" s="0" t="n">
        <v>4832</v>
      </c>
      <c r="D20" s="0" t="n">
        <v>0</v>
      </c>
      <c r="E20" s="0" t="n">
        <v>0</v>
      </c>
      <c r="F20" s="0" t="n">
        <v>108333.123</v>
      </c>
      <c r="G20" s="0" t="n">
        <v>23051.69</v>
      </c>
      <c r="H20" s="0" t="n">
        <v>2419.076</v>
      </c>
      <c r="I20" s="0" t="n">
        <v>1435.412</v>
      </c>
      <c r="J20" s="0" t="n">
        <v>1344.922</v>
      </c>
      <c r="K20" s="0" t="n">
        <v>69166.455</v>
      </c>
      <c r="L20" s="0" t="n">
        <v>10313.545</v>
      </c>
      <c r="M20" s="0" t="n">
        <v>111.913</v>
      </c>
      <c r="N20" s="0" t="n">
        <v>61.657</v>
      </c>
      <c r="O20" s="0" t="n">
        <v>38.532</v>
      </c>
      <c r="P20" s="0" t="n">
        <v>39.38</v>
      </c>
      <c r="Q20" s="0" t="n">
        <v>131384.812</v>
      </c>
      <c r="R20" s="0" t="n">
        <v>152319.772</v>
      </c>
      <c r="S20" s="0" t="n">
        <v>486.14</v>
      </c>
      <c r="T20" s="0" t="n">
        <v>440.581</v>
      </c>
      <c r="U20" s="0" t="n">
        <v>111.913</v>
      </c>
      <c r="V20" s="0" t="n">
        <v>716.225</v>
      </c>
      <c r="W20" s="0" t="n">
        <f aca="false">F20*x_c_F+G20*x_c_CC+H20*x_c_DC+I20*x_c_HCC+J20*x_c_PLT+K20*x_c_SVRn+L20*x_c_SVRcc+M20*x_c_LT</f>
        <v>731215029.981272</v>
      </c>
      <c r="X20" s="0" t="n">
        <f aca="false">C20*x_c_DAA</f>
        <v>109976320</v>
      </c>
      <c r="Y20" s="0" t="n">
        <f aca="false">C20*x_c_MON</f>
        <v>27857107.6100244</v>
      </c>
      <c r="Z20" s="0" t="n">
        <f aca="false">D20</f>
        <v>0</v>
      </c>
      <c r="AA20" s="0" t="n">
        <f aca="false">E20</f>
        <v>0</v>
      </c>
      <c r="AB20" s="0" t="n">
        <f aca="false">x_z_F*Q20+(1-x_AGRI)*x_EMP*x_WLOSS*(x_PEN_K74*N20+x_PEN_C22*O20)</f>
        <v>9720583.90339297</v>
      </c>
      <c r="AC20" s="0" t="n">
        <f aca="false">x_AGRI*x_EMP*x_WLOSS*(x_PEN_K74*N20+x_PEN_C22*O20)</f>
        <v>155151.057246683</v>
      </c>
      <c r="AD20" s="0" t="n">
        <f aca="false">x_EMP*x_WAGE*(x_WLOSS*(N20+O20)+P20)+Q20*x_absd*x_WAGE/365</f>
        <v>15386437.8357571</v>
      </c>
      <c r="AE20" s="0" t="n">
        <f aca="false">AD20*x_R_FUS</f>
        <v>4868268.93123356</v>
      </c>
      <c r="AF20" s="0" t="n">
        <f aca="false">AD20*x_R_NFZ</f>
        <v>1194926.14876274</v>
      </c>
      <c r="AG20" s="0" t="n">
        <f aca="false">AD20*x_R_PIT</f>
        <v>1022954.60792882</v>
      </c>
      <c r="AH20" s="0" t="n">
        <f aca="false">AD20*x_R_FP</f>
        <v>392354.164811807</v>
      </c>
      <c r="AI20" s="0" t="n">
        <f aca="false">W20+X20+Y20+Z20</f>
        <v>869048457.591297</v>
      </c>
      <c r="AJ20" s="0" t="n">
        <f aca="false">AI20+AA20+AB20+AC20+AE20+AF20+AG20+AH20</f>
        <v>886402696.404673</v>
      </c>
      <c r="AK20" s="0" t="n">
        <f aca="false">AI20+AA20+AD20</f>
        <v>884434895.427054</v>
      </c>
      <c r="AL20" s="0" t="n">
        <f aca="false">X20+Y20+Z20</f>
        <v>137833427.610024</v>
      </c>
      <c r="AM20" s="0" t="n">
        <f aca="false">AL20+AA20</f>
        <v>137833427.610024</v>
      </c>
    </row>
    <row r="21" customFormat="false" ht="15" hidden="false" customHeight="false" outlineLevel="0" collapsed="false">
      <c r="A21" s="0" t="n">
        <v>2044</v>
      </c>
      <c r="B21" s="0" t="n">
        <v>18</v>
      </c>
      <c r="C21" s="0" t="n">
        <v>4832</v>
      </c>
      <c r="D21" s="0" t="n">
        <v>0</v>
      </c>
      <c r="E21" s="0" t="n">
        <v>0</v>
      </c>
      <c r="F21" s="0" t="n">
        <v>107030.386</v>
      </c>
      <c r="G21" s="0" t="n">
        <v>22886.032</v>
      </c>
      <c r="H21" s="0" t="n">
        <v>2445.845</v>
      </c>
      <c r="I21" s="0" t="n">
        <v>1449.961</v>
      </c>
      <c r="J21" s="0" t="n">
        <v>1342.726</v>
      </c>
      <c r="K21" s="0" t="n">
        <v>71903.935</v>
      </c>
      <c r="L21" s="0" t="n">
        <v>10835.018</v>
      </c>
      <c r="M21" s="0" t="n">
        <v>112.954</v>
      </c>
      <c r="N21" s="0" t="n">
        <v>80.94</v>
      </c>
      <c r="O21" s="0" t="n">
        <v>49.82</v>
      </c>
      <c r="P21" s="0" t="n">
        <v>56.321</v>
      </c>
      <c r="Q21" s="0" t="n">
        <v>129916.417</v>
      </c>
      <c r="R21" s="0" t="n">
        <v>153738.359</v>
      </c>
      <c r="S21" s="0" t="n">
        <v>484.362</v>
      </c>
      <c r="T21" s="0" t="n">
        <v>440.453</v>
      </c>
      <c r="U21" s="0" t="n">
        <v>112.954</v>
      </c>
      <c r="V21" s="0" t="n">
        <v>721.899</v>
      </c>
      <c r="W21" s="0" t="n">
        <f aca="false">F21*x_c_F+G21*x_c_CC+H21*x_c_DC+I21*x_c_HCC+J21*x_c_PLT+K21*x_c_SVRn+L21*x_c_SVRcc+M21*x_c_LT</f>
        <v>731251762.199857</v>
      </c>
      <c r="X21" s="0" t="n">
        <f aca="false">C21*x_c_DAA</f>
        <v>109976320</v>
      </c>
      <c r="Y21" s="0" t="n">
        <f aca="false">C21*x_c_MON</f>
        <v>27857107.6100244</v>
      </c>
      <c r="Z21" s="0" t="n">
        <f aca="false">D21</f>
        <v>0</v>
      </c>
      <c r="AA21" s="0" t="n">
        <f aca="false">E21</f>
        <v>0</v>
      </c>
      <c r="AB21" s="0" t="n">
        <f aca="false">x_z_F*Q21+(1-x_AGRI)*x_EMP*x_WLOSS*(x_PEN_K74*N21+x_PEN_C22*O21)</f>
        <v>10352986.7681516</v>
      </c>
      <c r="AC21" s="0" t="n">
        <f aca="false">x_AGRI*x_EMP*x_WLOSS*(x_PEN_K74*N21+x_PEN_C22*O21)</f>
        <v>202398.560516938</v>
      </c>
      <c r="AD21" s="0" t="n">
        <f aca="false">x_EMP*x_WAGE*(x_WLOSS*(N21+O21)+P21)+Q21*x_absd*x_WAGE/365</f>
        <v>19398365.7029323</v>
      </c>
      <c r="AE21" s="0" t="n">
        <f aca="false">AD21*x_R_FUS</f>
        <v>6137642.90840777</v>
      </c>
      <c r="AF21" s="0" t="n">
        <f aca="false">AD21*x_R_NFZ</f>
        <v>1506496.47885542</v>
      </c>
      <c r="AG21" s="0" t="n">
        <f aca="false">AD21*x_R_PIT</f>
        <v>1289684.31770397</v>
      </c>
      <c r="AH21" s="0" t="n">
        <f aca="false">AD21*x_R_FP</f>
        <v>494658.325424773</v>
      </c>
      <c r="AI21" s="0" t="n">
        <f aca="false">W21+X21+Y21+Z21</f>
        <v>869085189.809882</v>
      </c>
      <c r="AJ21" s="0" t="n">
        <f aca="false">AI21+AA21+AB21+AC21+AE21+AF21+AG21+AH21</f>
        <v>889069057.168942</v>
      </c>
      <c r="AK21" s="0" t="n">
        <f aca="false">AI21+AA21+AD21</f>
        <v>888483555.512814</v>
      </c>
      <c r="AL21" s="0" t="n">
        <f aca="false">X21+Y21+Z21</f>
        <v>137833427.610024</v>
      </c>
      <c r="AM21" s="0" t="n">
        <f aca="false">AL21+AA21</f>
        <v>137833427.610024</v>
      </c>
    </row>
    <row r="22" customFormat="false" ht="15" hidden="false" customHeight="false" outlineLevel="0" collapsed="false">
      <c r="A22" s="0" t="n">
        <v>2045</v>
      </c>
      <c r="B22" s="0" t="n">
        <v>19</v>
      </c>
      <c r="C22" s="0" t="n">
        <v>4832</v>
      </c>
      <c r="D22" s="0" t="n">
        <v>0</v>
      </c>
      <c r="E22" s="0" t="n">
        <v>0</v>
      </c>
      <c r="F22" s="0" t="n">
        <v>105795.822</v>
      </c>
      <c r="G22" s="0" t="n">
        <v>22642.013</v>
      </c>
      <c r="H22" s="0" t="n">
        <v>2462.506</v>
      </c>
      <c r="I22" s="0" t="n">
        <v>1458.417</v>
      </c>
      <c r="J22" s="0" t="n">
        <v>1339.489</v>
      </c>
      <c r="K22" s="0" t="n">
        <v>74551.967</v>
      </c>
      <c r="L22" s="0" t="n">
        <v>11323.018</v>
      </c>
      <c r="M22" s="0" t="n">
        <v>113.51</v>
      </c>
      <c r="N22" s="0" t="n">
        <v>103.88</v>
      </c>
      <c r="O22" s="0" t="n">
        <v>62.995</v>
      </c>
      <c r="P22" s="0" t="n">
        <v>78.302</v>
      </c>
      <c r="Q22" s="0" t="n">
        <v>128437.835</v>
      </c>
      <c r="R22" s="0" t="n">
        <v>155065.263</v>
      </c>
      <c r="S22" s="0" t="n">
        <v>480.903</v>
      </c>
      <c r="T22" s="0" t="n">
        <v>438.755</v>
      </c>
      <c r="U22" s="0" t="n">
        <v>113.51</v>
      </c>
      <c r="V22" s="0" t="n">
        <v>724.653</v>
      </c>
      <c r="W22" s="0" t="n">
        <f aca="false">F22*x_c_F+G22*x_c_CC+H22*x_c_DC+I22*x_c_HCC+J22*x_c_PLT+K22*x_c_SVRn+L22*x_c_SVRcc+M22*x_c_LT</f>
        <v>730154410.928783</v>
      </c>
      <c r="X22" s="0" t="n">
        <f aca="false">C22*x_c_DAA</f>
        <v>109976320</v>
      </c>
      <c r="Y22" s="0" t="n">
        <f aca="false">C22*x_c_MON</f>
        <v>27857107.6100244</v>
      </c>
      <c r="Z22" s="0" t="n">
        <f aca="false">D22</f>
        <v>0</v>
      </c>
      <c r="AA22" s="0" t="n">
        <f aca="false">E22</f>
        <v>0</v>
      </c>
      <c r="AB22" s="0" t="n">
        <f aca="false">x_z_F*Q22+(1-x_AGRI)*x_EMP*x_WLOSS*(x_PEN_K74*N22+x_PEN_C22*O22)</f>
        <v>11113961.1371453</v>
      </c>
      <c r="AC22" s="0" t="n">
        <f aca="false">x_AGRI*x_EMP*x_WLOSS*(x_PEN_K74*N22+x_PEN_C22*O22)</f>
        <v>258182.181309231</v>
      </c>
      <c r="AD22" s="0" t="n">
        <f aca="false">x_EMP*x_WAGE*(x_WLOSS*(N22+O22)+P22)+Q22*x_absd*x_WAGE/365</f>
        <v>24312420.2575502</v>
      </c>
      <c r="AE22" s="0" t="n">
        <f aca="false">AD22*x_R_FUS</f>
        <v>7692449.76948887</v>
      </c>
      <c r="AF22" s="0" t="n">
        <f aca="false">AD22*x_R_NFZ</f>
        <v>1888126.8696216</v>
      </c>
      <c r="AG22" s="0" t="n">
        <f aca="false">AD22*x_R_PIT</f>
        <v>1616391.17499734</v>
      </c>
      <c r="AH22" s="0" t="n">
        <f aca="false">AD22*x_R_FP</f>
        <v>619966.716567529</v>
      </c>
      <c r="AI22" s="0" t="n">
        <f aca="false">W22+X22+Y22+Z22</f>
        <v>867987838.538807</v>
      </c>
      <c r="AJ22" s="0" t="n">
        <f aca="false">AI22+AA22+AB22+AC22+AE22+AF22+AG22+AH22</f>
        <v>891176916.387937</v>
      </c>
      <c r="AK22" s="0" t="n">
        <f aca="false">AI22+AA22+AD22</f>
        <v>892300258.796357</v>
      </c>
      <c r="AL22" s="0" t="n">
        <f aca="false">X22+Y22+Z22</f>
        <v>137833427.610024</v>
      </c>
      <c r="AM22" s="0" t="n">
        <f aca="false">AL22+AA22</f>
        <v>137833427.610024</v>
      </c>
    </row>
    <row r="23" customFormat="false" ht="15" hidden="false" customHeight="false" outlineLevel="0" collapsed="false">
      <c r="A23" s="0" t="n">
        <v>2046</v>
      </c>
      <c r="B23" s="0" t="n">
        <v>20</v>
      </c>
      <c r="C23" s="0" t="n">
        <v>4832</v>
      </c>
      <c r="D23" s="0" t="n">
        <v>0</v>
      </c>
      <c r="E23" s="0" t="n">
        <v>0</v>
      </c>
      <c r="F23" s="0" t="n">
        <v>104626.227</v>
      </c>
      <c r="G23" s="0" t="n">
        <v>22326.998</v>
      </c>
      <c r="H23" s="0" t="n">
        <v>2469.003</v>
      </c>
      <c r="I23" s="0" t="n">
        <v>1460.878</v>
      </c>
      <c r="J23" s="0" t="n">
        <v>1334.681</v>
      </c>
      <c r="K23" s="0" t="n">
        <v>77108.631</v>
      </c>
      <c r="L23" s="0" t="n">
        <v>11772.748</v>
      </c>
      <c r="M23" s="0" t="n">
        <v>113.576</v>
      </c>
      <c r="N23" s="0" t="n">
        <v>130.685</v>
      </c>
      <c r="O23" s="0" t="n">
        <v>78.1</v>
      </c>
      <c r="P23" s="0" t="n">
        <v>106.186</v>
      </c>
      <c r="Q23" s="0" t="n">
        <v>126953.225</v>
      </c>
      <c r="R23" s="0" t="n">
        <v>156297.522</v>
      </c>
      <c r="S23" s="0" t="n">
        <v>475.876</v>
      </c>
      <c r="T23" s="0" t="n">
        <v>435.565</v>
      </c>
      <c r="U23" s="0" t="n">
        <v>113.576</v>
      </c>
      <c r="V23" s="0" t="n">
        <v>724.46</v>
      </c>
      <c r="W23" s="0" t="n">
        <f aca="false">F23*x_c_F+G23*x_c_CC+H23*x_c_DC+I23*x_c_HCC+J23*x_c_PLT+K23*x_c_SVRn+L23*x_c_SVRcc+M23*x_c_LT</f>
        <v>727925654.773297</v>
      </c>
      <c r="X23" s="0" t="n">
        <f aca="false">C23*x_c_DAA</f>
        <v>109976320</v>
      </c>
      <c r="Y23" s="0" t="n">
        <f aca="false">C23*x_c_MON</f>
        <v>27857107.6100244</v>
      </c>
      <c r="Z23" s="0" t="n">
        <f aca="false">D23</f>
        <v>0</v>
      </c>
      <c r="AA23" s="0" t="n">
        <f aca="false">E23</f>
        <v>0</v>
      </c>
      <c r="AB23" s="0" t="n">
        <f aca="false">x_z_F*Q23+(1-x_AGRI)*x_EMP*x_WLOSS*(x_PEN_K74*N23+x_PEN_C22*O23)</f>
        <v>12009458.3641423</v>
      </c>
      <c r="AC23" s="0" t="n">
        <f aca="false">x_AGRI*x_EMP*x_WLOSS*(x_PEN_K74*N23+x_PEN_C22*O23)</f>
        <v>322879.865227206</v>
      </c>
      <c r="AD23" s="0" t="n">
        <f aca="false">x_EMP*x_WAGE*(x_WLOSS*(N23+O23)+P23)+Q23*x_absd*x_WAGE/365</f>
        <v>30223692.0584688</v>
      </c>
      <c r="AE23" s="0" t="n">
        <f aca="false">AD23*x_R_FUS</f>
        <v>9562776.16729954</v>
      </c>
      <c r="AF23" s="0" t="n">
        <f aca="false">AD23*x_R_NFZ</f>
        <v>2347202.14895275</v>
      </c>
      <c r="AG23" s="0" t="n">
        <f aca="false">AD23*x_R_PIT</f>
        <v>2009397.19705507</v>
      </c>
      <c r="AH23" s="0" t="n">
        <f aca="false">AD23*x_R_FP</f>
        <v>770704.147490956</v>
      </c>
      <c r="AI23" s="0" t="n">
        <f aca="false">W23+X23+Y23+Z23</f>
        <v>865759082.383321</v>
      </c>
      <c r="AJ23" s="0" t="n">
        <f aca="false">AI23+AA23+AB23+AC23+AE23+AF23+AG23+AH23</f>
        <v>892781500.273489</v>
      </c>
      <c r="AK23" s="0" t="n">
        <f aca="false">AI23+AA23+AD23</f>
        <v>895982774.44179</v>
      </c>
      <c r="AL23" s="0" t="n">
        <f aca="false">X23+Y23+Z23</f>
        <v>137833427.610024</v>
      </c>
      <c r="AM23" s="0" t="n">
        <f aca="false">AL23+AA23</f>
        <v>137833427.610024</v>
      </c>
    </row>
    <row r="24" customFormat="false" ht="15" hidden="false" customHeight="false" outlineLevel="0" collapsed="false">
      <c r="A24" s="0" t="n">
        <v>2047</v>
      </c>
      <c r="B24" s="0" t="n">
        <v>21</v>
      </c>
      <c r="C24" s="0" t="n">
        <v>4832</v>
      </c>
      <c r="D24" s="0" t="n">
        <v>0</v>
      </c>
      <c r="E24" s="0" t="n">
        <v>0</v>
      </c>
      <c r="F24" s="0" t="n">
        <v>103517.115</v>
      </c>
      <c r="G24" s="0" t="n">
        <v>21947.787</v>
      </c>
      <c r="H24" s="0" t="n">
        <v>2465.354</v>
      </c>
      <c r="I24" s="0" t="n">
        <v>1457.462</v>
      </c>
      <c r="J24" s="0" t="n">
        <v>1327.741</v>
      </c>
      <c r="K24" s="0" t="n">
        <v>79570.232</v>
      </c>
      <c r="L24" s="0" t="n">
        <v>12179.133</v>
      </c>
      <c r="M24" s="0" t="n">
        <v>113.164</v>
      </c>
      <c r="N24" s="0" t="n">
        <v>161.504</v>
      </c>
      <c r="O24" s="0" t="n">
        <v>95.143</v>
      </c>
      <c r="P24" s="0" t="n">
        <v>140.856</v>
      </c>
      <c r="Q24" s="0" t="n">
        <v>125464.902</v>
      </c>
      <c r="R24" s="0" t="n">
        <v>157429.437</v>
      </c>
      <c r="S24" s="0" t="n">
        <v>469.423</v>
      </c>
      <c r="T24" s="0" t="n">
        <v>430.987</v>
      </c>
      <c r="U24" s="0" t="n">
        <v>113.164</v>
      </c>
      <c r="V24" s="0" t="n">
        <v>721.381</v>
      </c>
      <c r="W24" s="0" t="n">
        <f aca="false">F24*x_c_F+G24*x_c_CC+H24*x_c_DC+I24*x_c_HCC+J24*x_c_PLT+K24*x_c_SVRn+L24*x_c_SVRcc+M24*x_c_LT</f>
        <v>724566905.916159</v>
      </c>
      <c r="X24" s="0" t="n">
        <f aca="false">C24*x_c_DAA</f>
        <v>109976320</v>
      </c>
      <c r="Y24" s="0" t="n">
        <f aca="false">C24*x_c_MON</f>
        <v>27857107.6100244</v>
      </c>
      <c r="Z24" s="0" t="n">
        <f aca="false">D24</f>
        <v>0</v>
      </c>
      <c r="AA24" s="0" t="n">
        <f aca="false">E24</f>
        <v>0</v>
      </c>
      <c r="AB24" s="0" t="n">
        <f aca="false">x_z_F*Q24+(1-x_AGRI)*x_EMP*x_WLOSS*(x_PEN_K74*N24+x_PEN_C22*O24)</f>
        <v>13043127.5307268</v>
      </c>
      <c r="AC24" s="0" t="n">
        <f aca="false">x_AGRI*x_EMP*x_WLOSS*(x_PEN_K74*N24+x_PEN_C22*O24)</f>
        <v>396724.222263721</v>
      </c>
      <c r="AD24" s="0" t="n">
        <f aca="false">x_EMP*x_WAGE*(x_WLOSS*(N24+O24)+P24)+Q24*x_absd*x_WAGE/365</f>
        <v>37220913.4518039</v>
      </c>
      <c r="AE24" s="0" t="n">
        <f aca="false">AD24*x_R_FUS</f>
        <v>11776697.0161508</v>
      </c>
      <c r="AF24" s="0" t="n">
        <f aca="false">AD24*x_R_NFZ</f>
        <v>2890613.35958054</v>
      </c>
      <c r="AG24" s="0" t="n">
        <f aca="false">AD24*x_R_PIT</f>
        <v>2474601.68060199</v>
      </c>
      <c r="AH24" s="0" t="n">
        <f aca="false">AD24*x_R_FP</f>
        <v>949133.293020999</v>
      </c>
      <c r="AI24" s="0" t="n">
        <f aca="false">W24+X24+Y24+Z24</f>
        <v>862400333.526183</v>
      </c>
      <c r="AJ24" s="0" t="n">
        <f aca="false">AI24+AA24+AB24+AC24+AE24+AF24+AG24+AH24</f>
        <v>893931230.628528</v>
      </c>
      <c r="AK24" s="0" t="n">
        <f aca="false">AI24+AA24+AD24</f>
        <v>899621246.977987</v>
      </c>
      <c r="AL24" s="0" t="n">
        <f aca="false">X24+Y24+Z24</f>
        <v>137833427.610024</v>
      </c>
      <c r="AM24" s="0" t="n">
        <f aca="false">AL24+AA24</f>
        <v>137833427.610024</v>
      </c>
    </row>
    <row r="25" customFormat="false" ht="15" hidden="false" customHeight="false" outlineLevel="0" collapsed="false">
      <c r="A25" s="0" t="n">
        <v>2048</v>
      </c>
      <c r="B25" s="0" t="n">
        <v>22</v>
      </c>
      <c r="C25" s="0" t="n">
        <v>4832</v>
      </c>
      <c r="D25" s="0" t="n">
        <v>0</v>
      </c>
      <c r="E25" s="0" t="n">
        <v>0</v>
      </c>
      <c r="F25" s="0" t="n">
        <v>102465.557</v>
      </c>
      <c r="G25" s="0" t="n">
        <v>21512.439</v>
      </c>
      <c r="H25" s="0" t="n">
        <v>2451.856</v>
      </c>
      <c r="I25" s="0" t="n">
        <v>1448.434</v>
      </c>
      <c r="J25" s="0" t="n">
        <v>1318.209</v>
      </c>
      <c r="K25" s="0" t="n">
        <v>81935.364</v>
      </c>
      <c r="L25" s="0" t="n">
        <v>12537.928</v>
      </c>
      <c r="M25" s="0" t="n">
        <v>112.285</v>
      </c>
      <c r="N25" s="0" t="n">
        <v>196.428</v>
      </c>
      <c r="O25" s="0" t="n">
        <v>114.097</v>
      </c>
      <c r="P25" s="0" t="n">
        <v>183.201</v>
      </c>
      <c r="Q25" s="0" t="n">
        <v>123977.996</v>
      </c>
      <c r="R25" s="0" t="n">
        <v>158459.645</v>
      </c>
      <c r="S25" s="0" t="n">
        <v>461.682</v>
      </c>
      <c r="T25" s="0" t="n">
        <v>425.128</v>
      </c>
      <c r="U25" s="0" t="n">
        <v>112.285</v>
      </c>
      <c r="V25" s="0" t="n">
        <v>715.493</v>
      </c>
      <c r="W25" s="0" t="n">
        <f aca="false">F25*x_c_F+G25*x_c_CC+H25*x_c_DC+I25*x_c_HCC+J25*x_c_PLT+K25*x_c_SVRn+L25*x_c_SVRcc+M25*x_c_LT</f>
        <v>720111829.714722</v>
      </c>
      <c r="X25" s="0" t="n">
        <f aca="false">C25*x_c_DAA</f>
        <v>109976320</v>
      </c>
      <c r="Y25" s="0" t="n">
        <f aca="false">C25*x_c_MON</f>
        <v>27857107.6100244</v>
      </c>
      <c r="Z25" s="0" t="n">
        <f aca="false">D25</f>
        <v>0</v>
      </c>
      <c r="AA25" s="0" t="n">
        <f aca="false">E25</f>
        <v>0</v>
      </c>
      <c r="AB25" s="0" t="n">
        <f aca="false">x_z_F*Q25+(1-x_AGRI)*x_EMP*x_WLOSS*(x_PEN_K74*N25+x_PEN_C22*O25)</f>
        <v>14216599.1690398</v>
      </c>
      <c r="AC25" s="0" t="n">
        <f aca="false">x_AGRI*x_EMP*x_WLOSS*(x_PEN_K74*N25+x_PEN_C22*O25)</f>
        <v>479803.998161775</v>
      </c>
      <c r="AD25" s="0" t="n">
        <f aca="false">x_EMP*x_WAGE*(x_WLOSS*(N25+O25)+P25)+Q25*x_absd*x_WAGE/365</f>
        <v>45385473.8260254</v>
      </c>
      <c r="AE25" s="0" t="n">
        <f aca="false">AD25*x_R_FUS</f>
        <v>14359963.9185544</v>
      </c>
      <c r="AF25" s="0" t="n">
        <f aca="false">AD25*x_R_NFZ</f>
        <v>3524681.28280296</v>
      </c>
      <c r="AG25" s="0" t="n">
        <f aca="false">AD25*x_R_PIT</f>
        <v>3017415.73189029</v>
      </c>
      <c r="AH25" s="0" t="n">
        <f aca="false">AD25*x_R_FP</f>
        <v>1157329.58256365</v>
      </c>
      <c r="AI25" s="0" t="n">
        <f aca="false">W25+X25+Y25+Z25</f>
        <v>857945257.324747</v>
      </c>
      <c r="AJ25" s="0" t="n">
        <f aca="false">AI25+AA25+AB25+AC25+AE25+AF25+AG25+AH25</f>
        <v>894701051.00776</v>
      </c>
      <c r="AK25" s="0" t="n">
        <f aca="false">AI25+AA25+AD25</f>
        <v>903330731.150772</v>
      </c>
      <c r="AL25" s="0" t="n">
        <f aca="false">X25+Y25+Z25</f>
        <v>137833427.610024</v>
      </c>
      <c r="AM25" s="0" t="n">
        <f aca="false">AL25+AA25</f>
        <v>137833427.610024</v>
      </c>
    </row>
    <row r="26" customFormat="false" ht="15" hidden="false" customHeight="false" outlineLevel="0" collapsed="false">
      <c r="A26" s="0" t="n">
        <v>2049</v>
      </c>
      <c r="B26" s="0" t="n">
        <v>23</v>
      </c>
      <c r="C26" s="0" t="n">
        <v>4832</v>
      </c>
      <c r="D26" s="0" t="n">
        <v>0</v>
      </c>
      <c r="E26" s="0" t="n">
        <v>0</v>
      </c>
      <c r="F26" s="0" t="n">
        <v>101467.959</v>
      </c>
      <c r="G26" s="0" t="n">
        <v>21028.605</v>
      </c>
      <c r="H26" s="0" t="n">
        <v>2428.883</v>
      </c>
      <c r="I26" s="0" t="n">
        <v>1434.08</v>
      </c>
      <c r="J26" s="0" t="n">
        <v>1305.636</v>
      </c>
      <c r="K26" s="0" t="n">
        <v>84201.715</v>
      </c>
      <c r="L26" s="0" t="n">
        <v>12844.91</v>
      </c>
      <c r="M26" s="0" t="n">
        <v>110.959</v>
      </c>
      <c r="N26" s="0" t="n">
        <v>235.489</v>
      </c>
      <c r="O26" s="0" t="n">
        <v>134.904</v>
      </c>
      <c r="P26" s="0" t="n">
        <v>234.097</v>
      </c>
      <c r="Q26" s="0" t="n">
        <v>122496.564</v>
      </c>
      <c r="R26" s="0" t="n">
        <v>159385.452</v>
      </c>
      <c r="S26" s="0" t="n">
        <v>452.78</v>
      </c>
      <c r="T26" s="0" t="n">
        <v>418.087</v>
      </c>
      <c r="U26" s="0" t="n">
        <v>110.959</v>
      </c>
      <c r="V26" s="0" t="n">
        <v>706.892</v>
      </c>
      <c r="W26" s="0" t="n">
        <f aca="false">F26*x_c_F+G26*x_c_CC+H26*x_c_DC+I26*x_c_HCC+J26*x_c_PLT+K26*x_c_SVRn+L26*x_c_SVRcc+M26*x_c_LT</f>
        <v>714595565.181062</v>
      </c>
      <c r="X26" s="0" t="n">
        <f aca="false">C26*x_c_DAA</f>
        <v>109976320</v>
      </c>
      <c r="Y26" s="0" t="n">
        <f aca="false">C26*x_c_MON</f>
        <v>27857107.6100244</v>
      </c>
      <c r="Z26" s="0" t="n">
        <f aca="false">D26</f>
        <v>0</v>
      </c>
      <c r="AA26" s="0" t="n">
        <f aca="false">E26</f>
        <v>0</v>
      </c>
      <c r="AB26" s="0" t="n">
        <f aca="false">x_z_F*Q26+(1-x_AGRI)*x_EMP*x_WLOSS*(x_PEN_K74*N26+x_PEN_C22*O26)</f>
        <v>15529345.9996181</v>
      </c>
      <c r="AC26" s="0" t="n">
        <f aca="false">x_AGRI*x_EMP*x_WLOSS*(x_PEN_K74*N26+x_PEN_C22*O26)</f>
        <v>572069.291661153</v>
      </c>
      <c r="AD26" s="0" t="n">
        <f aca="false">x_EMP*x_WAGE*(x_WLOSS*(N26+O26)+P26)+Q26*x_absd*x_WAGE/365</f>
        <v>54789952.2635872</v>
      </c>
      <c r="AE26" s="0" t="n">
        <f aca="false">AD26*x_R_FUS</f>
        <v>17335540.896199</v>
      </c>
      <c r="AF26" s="0" t="n">
        <f aca="false">AD26*x_R_NFZ</f>
        <v>4255042.48274244</v>
      </c>
      <c r="AG26" s="0" t="n">
        <f aca="false">AD26*x_R_PIT</f>
        <v>3642664.71125535</v>
      </c>
      <c r="AH26" s="0" t="n">
        <f aca="false">AD26*x_R_FP</f>
        <v>1397143.78272147</v>
      </c>
      <c r="AI26" s="0" t="n">
        <f aca="false">W26+X26+Y26+Z26</f>
        <v>852428992.791086</v>
      </c>
      <c r="AJ26" s="0" t="n">
        <f aca="false">AI26+AA26+AB26+AC26+AE26+AF26+AG26+AH26</f>
        <v>895160799.955284</v>
      </c>
      <c r="AK26" s="0" t="n">
        <f aca="false">AI26+AA26+AD26</f>
        <v>907218945.054674</v>
      </c>
      <c r="AL26" s="0" t="n">
        <f aca="false">X26+Y26+Z26</f>
        <v>137833427.610024</v>
      </c>
      <c r="AM26" s="0" t="n">
        <f aca="false">AL26+AA26</f>
        <v>137833427.610024</v>
      </c>
    </row>
    <row r="27" customFormat="false" ht="15" hidden="false" customHeight="false" outlineLevel="0" collapsed="false">
      <c r="A27" s="0" t="n">
        <v>2050</v>
      </c>
      <c r="B27" s="0" t="n">
        <v>24</v>
      </c>
      <c r="C27" s="0" t="n">
        <v>4832</v>
      </c>
      <c r="D27" s="0" t="n">
        <v>0</v>
      </c>
      <c r="E27" s="0" t="n">
        <v>0</v>
      </c>
      <c r="F27" s="0" t="n">
        <v>100520.23</v>
      </c>
      <c r="G27" s="0" t="n">
        <v>20503.43</v>
      </c>
      <c r="H27" s="0" t="n">
        <v>2396.861</v>
      </c>
      <c r="I27" s="0" t="n">
        <v>1414.7</v>
      </c>
      <c r="J27" s="0" t="n">
        <v>1289.583</v>
      </c>
      <c r="K27" s="0" t="n">
        <v>86365.914</v>
      </c>
      <c r="L27" s="0" t="n">
        <v>13095.838</v>
      </c>
      <c r="M27" s="0" t="n">
        <v>109.213</v>
      </c>
      <c r="N27" s="0" t="n">
        <v>278.653</v>
      </c>
      <c r="O27" s="0" t="n">
        <v>157.475</v>
      </c>
      <c r="P27" s="0" t="n">
        <v>294.387</v>
      </c>
      <c r="Q27" s="0" t="n">
        <v>121023.66</v>
      </c>
      <c r="R27" s="0" t="n">
        <v>160202.742</v>
      </c>
      <c r="S27" s="0" t="n">
        <v>442.864</v>
      </c>
      <c r="T27" s="0" t="n">
        <v>409.983</v>
      </c>
      <c r="U27" s="0" t="n">
        <v>109.213</v>
      </c>
      <c r="V27" s="0" t="n">
        <v>695.73</v>
      </c>
      <c r="W27" s="0" t="n">
        <f aca="false">F27*x_c_F+G27*x_c_CC+H27*x_c_DC+I27*x_c_HCC+J27*x_c_PLT+K27*x_c_SVRn+L27*x_c_SVRcc+M27*x_c_LT</f>
        <v>708052879.133723</v>
      </c>
      <c r="X27" s="0" t="n">
        <f aca="false">C27*x_c_DAA</f>
        <v>109976320</v>
      </c>
      <c r="Y27" s="0" t="n">
        <f aca="false">C27*x_c_MON</f>
        <v>27857107.6100244</v>
      </c>
      <c r="Z27" s="0" t="n">
        <f aca="false">D27</f>
        <v>0</v>
      </c>
      <c r="AA27" s="0" t="n">
        <f aca="false">E27</f>
        <v>0</v>
      </c>
      <c r="AB27" s="0" t="n">
        <f aca="false">x_z_F*Q27+(1-x_AGRI)*x_EMP*x_WLOSS*(x_PEN_K74*N27+x_PEN_C22*O27)</f>
        <v>16978531.0379162</v>
      </c>
      <c r="AC27" s="0" t="n">
        <f aca="false">x_AGRI*x_EMP*x_WLOSS*(x_PEN_K74*N27+x_PEN_C22*O27)</f>
        <v>673321.254971956</v>
      </c>
      <c r="AD27" s="0" t="n">
        <f aca="false">x_EMP*x_WAGE*(x_WLOSS*(N27+O27)+P27)+Q27*x_absd*x_WAGE/365</f>
        <v>65495817.3653554</v>
      </c>
      <c r="AE27" s="0" t="n">
        <f aca="false">AD27*x_R_FUS</f>
        <v>20722876.6143985</v>
      </c>
      <c r="AF27" s="0" t="n">
        <f aca="false">AD27*x_R_NFZ</f>
        <v>5086470.67241087</v>
      </c>
      <c r="AG27" s="0" t="n">
        <f aca="false">AD27*x_R_PIT</f>
        <v>4354435.30784316</v>
      </c>
      <c r="AH27" s="0" t="n">
        <f aca="false">AD27*x_R_FP</f>
        <v>1670143.34281656</v>
      </c>
      <c r="AI27" s="0" t="n">
        <f aca="false">W27+X27+Y27+Z27</f>
        <v>845886306.743747</v>
      </c>
      <c r="AJ27" s="0" t="n">
        <f aca="false">AI27+AA27+AB27+AC27+AE27+AF27+AG27+AH27</f>
        <v>895372084.974104</v>
      </c>
      <c r="AK27" s="0" t="n">
        <f aca="false">AI27+AA27+AD27</f>
        <v>911382124.109102</v>
      </c>
      <c r="AL27" s="0" t="n">
        <f aca="false">X27+Y27+Z27</f>
        <v>137833427.610024</v>
      </c>
      <c r="AM27" s="0" t="n">
        <f aca="false">AL27+AA27</f>
        <v>137833427.610024</v>
      </c>
    </row>
    <row r="28" customFormat="false" ht="15" hidden="false" customHeight="false" outlineLevel="0" collapsed="false">
      <c r="A28" s="0" t="n">
        <v>2051</v>
      </c>
      <c r="B28" s="0" t="n">
        <v>25</v>
      </c>
      <c r="C28" s="0" t="n">
        <v>4832</v>
      </c>
      <c r="D28" s="0" t="n">
        <v>0</v>
      </c>
      <c r="E28" s="0" t="n">
        <v>0</v>
      </c>
      <c r="F28" s="0" t="n">
        <v>99619.286</v>
      </c>
      <c r="G28" s="0" t="n">
        <v>19944.71</v>
      </c>
      <c r="H28" s="0" t="n">
        <v>2356.407</v>
      </c>
      <c r="I28" s="0" t="n">
        <v>1390.685</v>
      </c>
      <c r="J28" s="0" t="n">
        <v>1269.72</v>
      </c>
      <c r="K28" s="0" t="n">
        <v>88426.48</v>
      </c>
      <c r="L28" s="0" t="n">
        <v>13287.338</v>
      </c>
      <c r="M28" s="0" t="n">
        <v>107.073</v>
      </c>
      <c r="N28" s="0" t="n">
        <v>325.829</v>
      </c>
      <c r="O28" s="0" t="n">
        <v>181.691</v>
      </c>
      <c r="P28" s="0" t="n">
        <v>364.868</v>
      </c>
      <c r="Q28" s="0" t="n">
        <v>119563.995</v>
      </c>
      <c r="R28" s="0" t="n">
        <v>160910.659</v>
      </c>
      <c r="S28" s="0" t="n">
        <v>432.06</v>
      </c>
      <c r="T28" s="0" t="n">
        <v>400.918</v>
      </c>
      <c r="U28" s="0" t="n">
        <v>107.073</v>
      </c>
      <c r="V28" s="0" t="n">
        <v>682.151</v>
      </c>
      <c r="W28" s="0" t="n">
        <f aca="false">F28*x_c_F+G28*x_c_CC+H28*x_c_DC+I28*x_c_HCC+J28*x_c_PLT+K28*x_c_SVRn+L28*x_c_SVRcc+M28*x_c_LT</f>
        <v>700540871.033478</v>
      </c>
      <c r="X28" s="0" t="n">
        <f aca="false">C28*x_c_DAA</f>
        <v>109976320</v>
      </c>
      <c r="Y28" s="0" t="n">
        <f aca="false">C28*x_c_MON</f>
        <v>27857107.6100244</v>
      </c>
      <c r="Z28" s="0" t="n">
        <f aca="false">D28</f>
        <v>0</v>
      </c>
      <c r="AA28" s="0" t="n">
        <f aca="false">E28</f>
        <v>0</v>
      </c>
      <c r="AB28" s="0" t="n">
        <f aca="false">x_z_F*Q28+(1-x_AGRI)*x_EMP*x_WLOSS*(x_PEN_K74*N28+x_PEN_C22*O28)</f>
        <v>18559382.5136031</v>
      </c>
      <c r="AC28" s="0" t="n">
        <f aca="false">x_AGRI*x_EMP*x_WLOSS*(x_PEN_K74*N28+x_PEN_C22*O28)</f>
        <v>783227.008174814</v>
      </c>
      <c r="AD28" s="0" t="n">
        <f aca="false">x_EMP*x_WAGE*(x_WLOSS*(N28+O28)+P28)+Q28*x_absd*x_WAGE/365</f>
        <v>77553242.0607494</v>
      </c>
      <c r="AE28" s="0" t="n">
        <f aca="false">AD28*x_R_FUS</f>
        <v>24537845.7880211</v>
      </c>
      <c r="AF28" s="0" t="n">
        <f aca="false">AD28*x_R_NFZ</f>
        <v>6022862.33167986</v>
      </c>
      <c r="AG28" s="0" t="n">
        <f aca="false">AD28*x_R_PIT</f>
        <v>5156063.22741556</v>
      </c>
      <c r="AH28" s="0" t="n">
        <f aca="false">AD28*x_R_FP</f>
        <v>1977607.67254911</v>
      </c>
      <c r="AI28" s="0" t="n">
        <f aca="false">W28+X28+Y28+Z28</f>
        <v>838374298.643502</v>
      </c>
      <c r="AJ28" s="0" t="n">
        <f aca="false">AI28+AA28+AB28+AC28+AE28+AF28+AG28+AH28</f>
        <v>895411287.184945</v>
      </c>
      <c r="AK28" s="0" t="n">
        <f aca="false">AI28+AA28+AD28</f>
        <v>915927540.704251</v>
      </c>
      <c r="AL28" s="0" t="n">
        <f aca="false">X28+Y28+Z28</f>
        <v>137833427.610024</v>
      </c>
      <c r="AM28" s="0" t="n">
        <f aca="false">AL28+AA28</f>
        <v>137833427.610024</v>
      </c>
    </row>
    <row r="29" customFormat="false" ht="15" hidden="false" customHeight="false" outlineLevel="0" collapsed="false">
      <c r="A29" s="0" t="n">
        <v>2052</v>
      </c>
      <c r="B29" s="0" t="n">
        <v>26</v>
      </c>
      <c r="C29" s="0" t="n">
        <v>4832</v>
      </c>
      <c r="D29" s="0" t="n">
        <v>0</v>
      </c>
      <c r="E29" s="0" t="n">
        <v>0</v>
      </c>
      <c r="F29" s="0" t="n">
        <v>98761.229</v>
      </c>
      <c r="G29" s="0" t="n">
        <v>19359.228</v>
      </c>
      <c r="H29" s="0" t="n">
        <v>2308.108</v>
      </c>
      <c r="I29" s="0" t="n">
        <v>1362.393</v>
      </c>
      <c r="J29" s="0" t="n">
        <v>1245.712</v>
      </c>
      <c r="K29" s="0" t="n">
        <v>90380.024</v>
      </c>
      <c r="L29" s="0" t="n">
        <v>13415.824</v>
      </c>
      <c r="M29" s="0" t="n">
        <v>104.578</v>
      </c>
      <c r="N29" s="0" t="n">
        <v>376.866</v>
      </c>
      <c r="O29" s="0" t="n">
        <v>207.41</v>
      </c>
      <c r="P29" s="0" t="n">
        <v>446.269</v>
      </c>
      <c r="Q29" s="0" t="n">
        <v>118120.457</v>
      </c>
      <c r="R29" s="0" t="n">
        <v>161505.581</v>
      </c>
      <c r="S29" s="0" t="n">
        <v>420.527</v>
      </c>
      <c r="T29" s="0" t="n">
        <v>391.03</v>
      </c>
      <c r="U29" s="0" t="n">
        <v>104.578</v>
      </c>
      <c r="V29" s="0" t="n">
        <v>666.377</v>
      </c>
      <c r="W29" s="0" t="n">
        <f aca="false">F29*x_c_F+G29*x_c_CC+H29*x_c_DC+I29*x_c_HCC+J29*x_c_PLT+K29*x_c_SVRn+L29*x_c_SVRcc+M29*x_c_LT</f>
        <v>692108676.254272</v>
      </c>
      <c r="X29" s="0" t="n">
        <f aca="false">C29*x_c_DAA</f>
        <v>109976320</v>
      </c>
      <c r="Y29" s="0" t="n">
        <f aca="false">C29*x_c_MON</f>
        <v>27857107.6100244</v>
      </c>
      <c r="Z29" s="0" t="n">
        <f aca="false">D29</f>
        <v>0</v>
      </c>
      <c r="AA29" s="0" t="n">
        <f aca="false">E29</f>
        <v>0</v>
      </c>
      <c r="AB29" s="0" t="n">
        <f aca="false">x_z_F*Q29+(1-x_AGRI)*x_EMP*x_WLOSS*(x_PEN_K74*N29+x_PEN_C22*O29)</f>
        <v>20265108.8788932</v>
      </c>
      <c r="AC29" s="0" t="n">
        <f aca="false">x_AGRI*x_EMP*x_WLOSS*(x_PEN_K74*N29+x_PEN_C22*O29)</f>
        <v>901326.930201364</v>
      </c>
      <c r="AD29" s="0" t="n">
        <f aca="false">x_EMP*x_WAGE*(x_WLOSS*(N29+O29)+P29)+Q29*x_absd*x_WAGE/365</f>
        <v>90999476.5659752</v>
      </c>
      <c r="AE29" s="0" t="n">
        <f aca="false">AD29*x_R_FUS</f>
        <v>28792234.3854746</v>
      </c>
      <c r="AF29" s="0" t="n">
        <f aca="false">AD29*x_R_NFZ</f>
        <v>7067110.3495902</v>
      </c>
      <c r="AG29" s="0" t="n">
        <f aca="false">AD29*x_R_PIT</f>
        <v>6050025.01982255</v>
      </c>
      <c r="AH29" s="0" t="n">
        <f aca="false">AD29*x_R_FP</f>
        <v>2320486.65243237</v>
      </c>
      <c r="AI29" s="0" t="n">
        <f aca="false">W29+X29+Y29+Z29</f>
        <v>829942103.864296</v>
      </c>
      <c r="AJ29" s="0" t="n">
        <f aca="false">AI29+AA29+AB29+AC29+AE29+AF29+AG29+AH29</f>
        <v>895338396.08071</v>
      </c>
      <c r="AK29" s="0" t="n">
        <f aca="false">AI29+AA29+AD29</f>
        <v>920941580.430271</v>
      </c>
      <c r="AL29" s="0" t="n">
        <f aca="false">X29+Y29+Z29</f>
        <v>137833427.610024</v>
      </c>
      <c r="AM29" s="0" t="n">
        <f aca="false">AL29+AA29</f>
        <v>137833427.610024</v>
      </c>
    </row>
    <row r="30" customFormat="false" ht="15" hidden="false" customHeight="false" outlineLevel="0" collapsed="false">
      <c r="A30" s="0" t="n">
        <v>2053</v>
      </c>
      <c r="B30" s="0" t="n">
        <v>27</v>
      </c>
      <c r="C30" s="0" t="n">
        <v>4832</v>
      </c>
      <c r="D30" s="0" t="n">
        <v>0</v>
      </c>
      <c r="E30" s="0" t="n">
        <v>0</v>
      </c>
      <c r="F30" s="0" t="n">
        <v>97943.874</v>
      </c>
      <c r="G30" s="0" t="n">
        <v>18755.004</v>
      </c>
      <c r="H30" s="0" t="n">
        <v>2252.813</v>
      </c>
      <c r="I30" s="0" t="n">
        <v>1330.32</v>
      </c>
      <c r="J30" s="0" t="n">
        <v>1217.402</v>
      </c>
      <c r="K30" s="0" t="n">
        <v>92227.259</v>
      </c>
      <c r="L30" s="0" t="n">
        <v>13479.338</v>
      </c>
      <c r="M30" s="0" t="n">
        <v>101.755</v>
      </c>
      <c r="N30" s="0" t="n">
        <v>431.563</v>
      </c>
      <c r="O30" s="0" t="n">
        <v>234.468</v>
      </c>
      <c r="P30" s="0" t="n">
        <v>539.246</v>
      </c>
      <c r="Q30" s="0" t="n">
        <v>116698.878</v>
      </c>
      <c r="R30" s="0" t="n">
        <v>161990.24</v>
      </c>
      <c r="S30" s="0" t="n">
        <v>408.356</v>
      </c>
      <c r="T30" s="0" t="n">
        <v>380.395</v>
      </c>
      <c r="U30" s="0" t="n">
        <v>101.755</v>
      </c>
      <c r="V30" s="0" t="n">
        <v>648.539</v>
      </c>
      <c r="W30" s="0" t="n">
        <f aca="false">F30*x_c_F+G30*x_c_CC+H30*x_c_DC+I30*x_c_HCC+J30*x_c_PLT+K30*x_c_SVRn+L30*x_c_SVRcc+M30*x_c_LT</f>
        <v>682839125.244665</v>
      </c>
      <c r="X30" s="0" t="n">
        <f aca="false">C30*x_c_DAA</f>
        <v>109976320</v>
      </c>
      <c r="Y30" s="0" t="n">
        <f aca="false">C30*x_c_MON</f>
        <v>27857107.6100244</v>
      </c>
      <c r="Z30" s="0" t="n">
        <f aca="false">D30</f>
        <v>0</v>
      </c>
      <c r="AA30" s="0" t="n">
        <f aca="false">E30</f>
        <v>0</v>
      </c>
      <c r="AB30" s="0" t="n">
        <f aca="false">x_z_F*Q30+(1-x_AGRI)*x_EMP*x_WLOSS*(x_PEN_K74*N30+x_PEN_C22*O30)</f>
        <v>22087414.2326751</v>
      </c>
      <c r="AC30" s="0" t="n">
        <f aca="false">x_AGRI*x_EMP*x_WLOSS*(x_PEN_K74*N30+x_PEN_C22*O30)</f>
        <v>1027051.04459538</v>
      </c>
      <c r="AD30" s="0" t="n">
        <f aca="false">x_EMP*x_WAGE*(x_WLOSS*(N30+O30)+P30)+Q30*x_absd*x_WAGE/365</f>
        <v>105859486.454569</v>
      </c>
      <c r="AE30" s="0" t="n">
        <f aca="false">AD30*x_R_FUS</f>
        <v>33493941.5142255</v>
      </c>
      <c r="AF30" s="0" t="n">
        <f aca="false">AD30*x_R_NFZ</f>
        <v>8221153.57754825</v>
      </c>
      <c r="AG30" s="0" t="n">
        <f aca="false">AD30*x_R_PIT</f>
        <v>7037980.50059524</v>
      </c>
      <c r="AH30" s="0" t="n">
        <f aca="false">AD30*x_R_FP</f>
        <v>2699416.9045915</v>
      </c>
      <c r="AI30" s="0" t="n">
        <f aca="false">W30+X30+Y30+Z30</f>
        <v>820672552.854689</v>
      </c>
      <c r="AJ30" s="0" t="n">
        <f aca="false">AI30+AA30+AB30+AC30+AE30+AF30+AG30+AH30</f>
        <v>895239510.62892</v>
      </c>
      <c r="AK30" s="0" t="n">
        <f aca="false">AI30+AA30+AD30</f>
        <v>926532039.309258</v>
      </c>
      <c r="AL30" s="0" t="n">
        <f aca="false">X30+Y30+Z30</f>
        <v>137833427.610024</v>
      </c>
      <c r="AM30" s="0" t="n">
        <f aca="false">AL30+AA30</f>
        <v>137833427.610024</v>
      </c>
    </row>
    <row r="31" customFormat="false" ht="15" hidden="false" customHeight="false" outlineLevel="0" collapsed="false">
      <c r="A31" s="0" t="n">
        <v>2054</v>
      </c>
      <c r="B31" s="0" t="n">
        <v>28</v>
      </c>
      <c r="C31" s="0" t="n">
        <v>4832</v>
      </c>
      <c r="D31" s="0" t="n">
        <v>0</v>
      </c>
      <c r="E31" s="0" t="n">
        <v>0</v>
      </c>
      <c r="F31" s="0" t="n">
        <v>97162.563</v>
      </c>
      <c r="G31" s="0" t="n">
        <v>18137.102</v>
      </c>
      <c r="H31" s="0" t="n">
        <v>2191.055</v>
      </c>
      <c r="I31" s="0" t="n">
        <v>1294.761</v>
      </c>
      <c r="J31" s="0" t="n">
        <v>1184.478</v>
      </c>
      <c r="K31" s="0" t="n">
        <v>93962.023</v>
      </c>
      <c r="L31" s="0" t="n">
        <v>13474.152</v>
      </c>
      <c r="M31" s="0" t="n">
        <v>98.637</v>
      </c>
      <c r="N31" s="0" t="n">
        <v>489.666</v>
      </c>
      <c r="O31" s="0" t="n">
        <v>262.685</v>
      </c>
      <c r="P31" s="0" t="n">
        <v>644.357</v>
      </c>
      <c r="Q31" s="0" t="n">
        <v>115299.665</v>
      </c>
      <c r="R31" s="0" t="n">
        <v>162357.266</v>
      </c>
      <c r="S31" s="0" t="n">
        <v>395.669</v>
      </c>
      <c r="T31" s="0" t="n">
        <v>369.118</v>
      </c>
      <c r="U31" s="0" t="n">
        <v>98.637</v>
      </c>
      <c r="V31" s="0" t="n">
        <v>628.832</v>
      </c>
      <c r="W31" s="0" t="n">
        <f aca="false">F31*x_c_F+G31*x_c_CC+H31*x_c_DC+I31*x_c_HCC+J31*x_c_PLT+K31*x_c_SVRn+L31*x_c_SVRcc+M31*x_c_LT</f>
        <v>672761444.153729</v>
      </c>
      <c r="X31" s="0" t="n">
        <f aca="false">C31*x_c_DAA</f>
        <v>109976320</v>
      </c>
      <c r="Y31" s="0" t="n">
        <f aca="false">C31*x_c_MON</f>
        <v>27857107.6100244</v>
      </c>
      <c r="Z31" s="0" t="n">
        <f aca="false">D31</f>
        <v>0</v>
      </c>
      <c r="AA31" s="0" t="n">
        <f aca="false">E31</f>
        <v>0</v>
      </c>
      <c r="AB31" s="0" t="n">
        <f aca="false">x_z_F*Q31+(1-x_AGRI)*x_EMP*x_WLOSS*(x_PEN_K74*N31+x_PEN_C22*O31)</f>
        <v>24016113.6607594</v>
      </c>
      <c r="AC31" s="0" t="n">
        <f aca="false">x_AGRI*x_EMP*x_WLOSS*(x_PEN_K74*N31+x_PEN_C22*O31)</f>
        <v>1159724.63834138</v>
      </c>
      <c r="AD31" s="0" t="n">
        <f aca="false">x_EMP*x_WAGE*(x_WLOSS*(N31+O31)+P31)+Q31*x_absd*x_WAGE/365</f>
        <v>122143854.828407</v>
      </c>
      <c r="AE31" s="0" t="n">
        <f aca="false">AD31*x_R_FUS</f>
        <v>38646315.6677078</v>
      </c>
      <c r="AF31" s="0" t="n">
        <f aca="false">AD31*x_R_NFZ</f>
        <v>9485813.90982888</v>
      </c>
      <c r="AG31" s="0" t="n">
        <f aca="false">AD31*x_R_PIT</f>
        <v>8120633.27851862</v>
      </c>
      <c r="AH31" s="0" t="n">
        <f aca="false">AD31*x_R_FP</f>
        <v>3114668.29812437</v>
      </c>
      <c r="AI31" s="0" t="n">
        <f aca="false">W31+X31+Y31+Z31</f>
        <v>810594871.763754</v>
      </c>
      <c r="AJ31" s="0" t="n">
        <f aca="false">AI31+AA31+AB31+AC31+AE31+AF31+AG31+AH31</f>
        <v>895138141.217034</v>
      </c>
      <c r="AK31" s="0" t="n">
        <f aca="false">AI31+AA31+AD31</f>
        <v>932738726.59216</v>
      </c>
      <c r="AL31" s="0" t="n">
        <f aca="false">X31+Y31+Z31</f>
        <v>137833427.610024</v>
      </c>
      <c r="AM31" s="0" t="n">
        <f aca="false">AL31+AA31</f>
        <v>137833427.610024</v>
      </c>
    </row>
    <row r="32" customFormat="false" ht="15" hidden="false" customHeight="false" outlineLevel="0" collapsed="false">
      <c r="A32" s="0" t="n">
        <v>2055</v>
      </c>
      <c r="B32" s="0" t="n">
        <v>29</v>
      </c>
      <c r="C32" s="0" t="n">
        <v>4832</v>
      </c>
      <c r="D32" s="0" t="n">
        <v>0</v>
      </c>
      <c r="E32" s="0" t="n">
        <v>0</v>
      </c>
      <c r="F32" s="0" t="n">
        <v>96414.318</v>
      </c>
      <c r="G32" s="0" t="n">
        <v>17511.636</v>
      </c>
      <c r="H32" s="0" t="n">
        <v>2123.582</v>
      </c>
      <c r="I32" s="0" t="n">
        <v>1256.129</v>
      </c>
      <c r="J32" s="0" t="n">
        <v>1146.801</v>
      </c>
      <c r="K32" s="0" t="n">
        <v>95582.017</v>
      </c>
      <c r="L32" s="0" t="n">
        <v>13398.079</v>
      </c>
      <c r="M32" s="0" t="n">
        <v>95.261</v>
      </c>
      <c r="N32" s="0" t="n">
        <v>550.879</v>
      </c>
      <c r="O32" s="0" t="n">
        <v>291.869</v>
      </c>
      <c r="P32" s="0" t="n">
        <v>762.059</v>
      </c>
      <c r="Q32" s="0" t="n">
        <v>113925.954</v>
      </c>
      <c r="R32" s="0" t="n">
        <v>162605.241</v>
      </c>
      <c r="S32" s="0" t="n">
        <v>382.575</v>
      </c>
      <c r="T32" s="0" t="n">
        <v>357.296</v>
      </c>
      <c r="U32" s="0" t="n">
        <v>95.261</v>
      </c>
      <c r="V32" s="0" t="n">
        <v>607.451</v>
      </c>
      <c r="W32" s="0" t="n">
        <f aca="false">F32*x_c_F+G32*x_c_CC+H32*x_c_DC+I32*x_c_HCC+J32*x_c_PLT+K32*x_c_SVRn+L32*x_c_SVRcc+M32*x_c_LT</f>
        <v>661940278.713144</v>
      </c>
      <c r="X32" s="0" t="n">
        <f aca="false">C32*x_c_DAA</f>
        <v>109976320</v>
      </c>
      <c r="Y32" s="0" t="n">
        <f aca="false">C32*x_c_MON</f>
        <v>27857107.6100244</v>
      </c>
      <c r="Z32" s="0" t="n">
        <f aca="false">D32</f>
        <v>0</v>
      </c>
      <c r="AA32" s="0" t="n">
        <f aca="false">E32</f>
        <v>0</v>
      </c>
      <c r="AB32" s="0" t="n">
        <f aca="false">x_z_F*Q32+(1-x_AGRI)*x_EMP*x_WLOSS*(x_PEN_K74*N32+x_PEN_C22*O32)</f>
        <v>26039936.8923935</v>
      </c>
      <c r="AC32" s="0" t="n">
        <f aca="false">x_AGRI*x_EMP*x_WLOSS*(x_PEN_K74*N32+x_PEN_C22*O32)</f>
        <v>1298591.13544232</v>
      </c>
      <c r="AD32" s="0" t="n">
        <f aca="false">x_EMP*x_WAGE*(x_WLOSS*(N32+O32)+P32)+Q32*x_absd*x_WAGE/365</f>
        <v>139850021.836077</v>
      </c>
      <c r="AE32" s="0" t="n">
        <f aca="false">AD32*x_R_FUS</f>
        <v>44248546.9089348</v>
      </c>
      <c r="AF32" s="0" t="n">
        <f aca="false">AD32*x_R_NFZ</f>
        <v>10860892.5458116</v>
      </c>
      <c r="AG32" s="0" t="n">
        <f aca="false">AD32*x_R_PIT</f>
        <v>9297813.1639864</v>
      </c>
      <c r="AH32" s="0" t="n">
        <f aca="false">AD32*x_R_FP</f>
        <v>3566175.55681997</v>
      </c>
      <c r="AI32" s="0" t="n">
        <f aca="false">W32+X32+Y32+Z32</f>
        <v>799773706.323168</v>
      </c>
      <c r="AJ32" s="0" t="n">
        <f aca="false">AI32+AA32+AB32+AC32+AE32+AF32+AG32+AH32</f>
        <v>895085662.526557</v>
      </c>
      <c r="AK32" s="0" t="n">
        <f aca="false">AI32+AA32+AD32</f>
        <v>939623728.159246</v>
      </c>
      <c r="AL32" s="0" t="n">
        <f aca="false">X32+Y32+Z32</f>
        <v>137833427.610024</v>
      </c>
      <c r="AM32" s="0" t="n">
        <f aca="false">AL32+AA32</f>
        <v>137833427.610024</v>
      </c>
    </row>
    <row r="33" customFormat="false" ht="15" hidden="false" customHeight="false" outlineLevel="0" collapsed="false">
      <c r="A33" s="0" t="n">
        <v>2056</v>
      </c>
      <c r="B33" s="0" t="n">
        <v>30</v>
      </c>
      <c r="C33" s="0" t="n">
        <v>4832</v>
      </c>
      <c r="D33" s="0" t="n">
        <v>0</v>
      </c>
      <c r="E33" s="0" t="n">
        <v>0</v>
      </c>
      <c r="F33" s="0" t="n">
        <v>95696.164</v>
      </c>
      <c r="G33" s="0" t="n">
        <v>16884.112</v>
      </c>
      <c r="H33" s="0" t="n">
        <v>2051.129</v>
      </c>
      <c r="I33" s="0" t="n">
        <v>1214.819</v>
      </c>
      <c r="J33" s="0" t="n">
        <v>1104.273</v>
      </c>
      <c r="K33" s="0" t="n">
        <v>97084.467</v>
      </c>
      <c r="L33" s="0" t="n">
        <v>13249.182</v>
      </c>
      <c r="M33" s="0" t="n">
        <v>91.664</v>
      </c>
      <c r="N33" s="0" t="n">
        <v>614.868</v>
      </c>
      <c r="O33" s="0" t="n">
        <v>321.815</v>
      </c>
      <c r="P33" s="0" t="n">
        <v>892.692</v>
      </c>
      <c r="Q33" s="0" t="n">
        <v>112580.275</v>
      </c>
      <c r="R33" s="0" t="n">
        <v>162732.22</v>
      </c>
      <c r="S33" s="0" t="n">
        <v>369.18</v>
      </c>
      <c r="T33" s="0" t="n">
        <v>345.025</v>
      </c>
      <c r="U33" s="0" t="n">
        <v>91.664</v>
      </c>
      <c r="V33" s="0" t="n">
        <v>584.598</v>
      </c>
      <c r="W33" s="0" t="n">
        <f aca="false">F33*x_c_F+G33*x_c_CC+H33*x_c_DC+I33*x_c_HCC+J33*x_c_PLT+K33*x_c_SVRn+L33*x_c_SVRcc+M33*x_c_LT</f>
        <v>650437321.084029</v>
      </c>
      <c r="X33" s="0" t="n">
        <f aca="false">C33*x_c_DAA</f>
        <v>109976320</v>
      </c>
      <c r="Y33" s="0" t="n">
        <f aca="false">C33*x_c_MON</f>
        <v>27857107.6100244</v>
      </c>
      <c r="Z33" s="0" t="n">
        <f aca="false">D33</f>
        <v>0</v>
      </c>
      <c r="AA33" s="0" t="n">
        <f aca="false">E33</f>
        <v>0</v>
      </c>
      <c r="AB33" s="0" t="n">
        <f aca="false">x_z_F*Q33+(1-x_AGRI)*x_EMP*x_WLOSS*(x_PEN_K74*N33+x_PEN_C22*O33)</f>
        <v>28146404.8835225</v>
      </c>
      <c r="AC33" s="0" t="n">
        <f aca="false">x_AGRI*x_EMP*x_WLOSS*(x_PEN_K74*N33+x_PEN_C22*O33)</f>
        <v>1442816.31021145</v>
      </c>
      <c r="AD33" s="0" t="n">
        <f aca="false">x_EMP*x_WAGE*(x_WLOSS*(N33+O33)+P33)+Q33*x_absd*x_WAGE/365</f>
        <v>158961087.781605</v>
      </c>
      <c r="AE33" s="0" t="n">
        <f aca="false">AD33*x_R_FUS</f>
        <v>50295288.1740998</v>
      </c>
      <c r="AF33" s="0" t="n">
        <f aca="false">AD33*x_R_NFZ</f>
        <v>12345077.0382072</v>
      </c>
      <c r="AG33" s="0" t="n">
        <f aca="false">AD33*x_R_PIT</f>
        <v>10568396.5946735</v>
      </c>
      <c r="AH33" s="0" t="n">
        <f aca="false">AD33*x_R_FP</f>
        <v>4053507.73843093</v>
      </c>
      <c r="AI33" s="0" t="n">
        <f aca="false">W33+X33+Y33+Z33</f>
        <v>788270748.694054</v>
      </c>
      <c r="AJ33" s="0" t="n">
        <f aca="false">AI33+AA33+AB33+AC33+AE33+AF33+AG33+AH33</f>
        <v>895122239.433199</v>
      </c>
      <c r="AK33" s="0" t="n">
        <f aca="false">AI33+AA33+AD33</f>
        <v>947231836.475659</v>
      </c>
      <c r="AL33" s="0" t="n">
        <f aca="false">X33+Y33+Z33</f>
        <v>137833427.610024</v>
      </c>
      <c r="AM33" s="0" t="n">
        <f aca="false">AL33+AA33</f>
        <v>137833427.610024</v>
      </c>
    </row>
    <row r="34" customFormat="false" ht="15" hidden="false" customHeight="false" outlineLevel="0" collapsed="false">
      <c r="A34" s="0" t="n">
        <v>2057</v>
      </c>
      <c r="B34" s="0" t="n">
        <v>31</v>
      </c>
      <c r="C34" s="0" t="n">
        <v>4832</v>
      </c>
      <c r="D34" s="0" t="n">
        <v>0</v>
      </c>
      <c r="E34" s="0" t="n">
        <v>0</v>
      </c>
      <c r="F34" s="0" t="n">
        <v>95005.457</v>
      </c>
      <c r="G34" s="0" t="n">
        <v>16259.735</v>
      </c>
      <c r="H34" s="0" t="n">
        <v>1974.453</v>
      </c>
      <c r="I34" s="0" t="n">
        <v>1171.228</v>
      </c>
      <c r="J34" s="0" t="n">
        <v>1056.868</v>
      </c>
      <c r="K34" s="0" t="n">
        <v>98467.151</v>
      </c>
      <c r="L34" s="0" t="n">
        <v>13026.107</v>
      </c>
      <c r="M34" s="0" t="n">
        <v>87.893</v>
      </c>
      <c r="N34" s="0" t="n">
        <v>681.267</v>
      </c>
      <c r="O34" s="0" t="n">
        <v>352.317</v>
      </c>
      <c r="P34" s="0" t="n">
        <v>1036.477</v>
      </c>
      <c r="Q34" s="0" t="n">
        <v>111265.193</v>
      </c>
      <c r="R34" s="0" t="n">
        <v>162737.164</v>
      </c>
      <c r="S34" s="0" t="n">
        <v>355.619</v>
      </c>
      <c r="T34" s="0" t="n">
        <v>332.434</v>
      </c>
      <c r="U34" s="0" t="n">
        <v>87.893</v>
      </c>
      <c r="V34" s="0" t="n">
        <v>560.549</v>
      </c>
      <c r="W34" s="0" t="n">
        <f aca="false">F34*x_c_F+G34*x_c_CC+H34*x_c_DC+I34*x_c_HCC+J34*x_c_PLT+K34*x_c_SVRn+L34*x_c_SVRcc+M34*x_c_LT</f>
        <v>638321787.745832</v>
      </c>
      <c r="X34" s="0" t="n">
        <f aca="false">C34*x_c_DAA</f>
        <v>109976320</v>
      </c>
      <c r="Y34" s="0" t="n">
        <f aca="false">C34*x_c_MON</f>
        <v>27857107.6100244</v>
      </c>
      <c r="Z34" s="0" t="n">
        <f aca="false">D34</f>
        <v>0</v>
      </c>
      <c r="AA34" s="0" t="n">
        <f aca="false">E34</f>
        <v>0</v>
      </c>
      <c r="AB34" s="0" t="n">
        <f aca="false">x_z_F*Q34+(1-x_AGRI)*x_EMP*x_WLOSS*(x_PEN_K74*N34+x_PEN_C22*O34)</f>
        <v>30322302.927707</v>
      </c>
      <c r="AC34" s="0" t="n">
        <f aca="false">x_AGRI*x_EMP*x_WLOSS*(x_PEN_K74*N34+x_PEN_C22*O34)</f>
        <v>1591517.18126053</v>
      </c>
      <c r="AD34" s="0" t="n">
        <f aca="false">x_EMP*x_WAGE*(x_WLOSS*(N34+O34)+P34)+Q34*x_absd*x_WAGE/365</f>
        <v>179447194.303287</v>
      </c>
      <c r="AE34" s="0" t="n">
        <f aca="false">AD34*x_R_FUS</f>
        <v>56777092.27756</v>
      </c>
      <c r="AF34" s="0" t="n">
        <f aca="false">AD34*x_R_NFZ</f>
        <v>13936048.5567876</v>
      </c>
      <c r="AG34" s="0" t="n">
        <f aca="false">AD34*x_R_PIT</f>
        <v>11930398.4620696</v>
      </c>
      <c r="AH34" s="0" t="n">
        <f aca="false">AD34*x_R_FP</f>
        <v>4575903.45473382</v>
      </c>
      <c r="AI34" s="0" t="n">
        <f aca="false">W34+X34+Y34+Z34</f>
        <v>776155215.355856</v>
      </c>
      <c r="AJ34" s="0" t="n">
        <f aca="false">AI34+AA34+AB34+AC34+AE34+AF34+AG34+AH34</f>
        <v>895288478.215975</v>
      </c>
      <c r="AK34" s="0" t="n">
        <f aca="false">AI34+AA34+AD34</f>
        <v>955602409.659143</v>
      </c>
      <c r="AL34" s="0" t="n">
        <f aca="false">X34+Y34+Z34</f>
        <v>137833427.610024</v>
      </c>
      <c r="AM34" s="0" t="n">
        <f aca="false">AL34+AA34</f>
        <v>137833427.610024</v>
      </c>
    </row>
    <row r="35" customFormat="false" ht="15" hidden="false" customHeight="false" outlineLevel="0" collapsed="false">
      <c r="A35" s="0" t="n">
        <v>2058</v>
      </c>
      <c r="B35" s="0" t="n">
        <v>32</v>
      </c>
      <c r="C35" s="0" t="n">
        <v>4832</v>
      </c>
      <c r="D35" s="0" t="n">
        <v>0</v>
      </c>
      <c r="E35" s="0" t="n">
        <v>0</v>
      </c>
      <c r="F35" s="0" t="n">
        <v>94340.872</v>
      </c>
      <c r="G35" s="0" t="n">
        <v>15644.723</v>
      </c>
      <c r="H35" s="0" t="n">
        <v>1894.536</v>
      </c>
      <c r="I35" s="0" t="n">
        <v>1125.879</v>
      </c>
      <c r="J35" s="0" t="n">
        <v>1004.782</v>
      </c>
      <c r="K35" s="0" t="n">
        <v>99732.931</v>
      </c>
      <c r="L35" s="0" t="n">
        <v>12729.78</v>
      </c>
      <c r="M35" s="0" t="n">
        <v>84.023</v>
      </c>
      <c r="N35" s="0" t="n">
        <v>749.682</v>
      </c>
      <c r="O35" s="0" t="n">
        <v>383.162</v>
      </c>
      <c r="P35" s="0" t="n">
        <v>1193.495</v>
      </c>
      <c r="Q35" s="0" t="n">
        <v>109985.595</v>
      </c>
      <c r="R35" s="0" t="n">
        <v>162626.137</v>
      </c>
      <c r="S35" s="0" t="n">
        <v>342.11</v>
      </c>
      <c r="T35" s="0" t="n">
        <v>319.731</v>
      </c>
      <c r="U35" s="0" t="n">
        <v>84.023</v>
      </c>
      <c r="V35" s="0" t="n">
        <v>535.754</v>
      </c>
      <c r="W35" s="0" t="n">
        <f aca="false">F35*x_c_F+G35*x_c_CC+H35*x_c_DC+I35*x_c_HCC+J35*x_c_PLT+K35*x_c_SVRn+L35*x_c_SVRcc+M35*x_c_LT</f>
        <v>625710286.073171</v>
      </c>
      <c r="X35" s="0" t="n">
        <f aca="false">C35*x_c_DAA</f>
        <v>109976320</v>
      </c>
      <c r="Y35" s="0" t="n">
        <f aca="false">C35*x_c_MON</f>
        <v>27857107.6100244</v>
      </c>
      <c r="Z35" s="0" t="n">
        <f aca="false">D35</f>
        <v>0</v>
      </c>
      <c r="AA35" s="0" t="n">
        <f aca="false">E35</f>
        <v>0</v>
      </c>
      <c r="AB35" s="0" t="n">
        <f aca="false">x_z_F*Q35+(1-x_AGRI)*x_EMP*x_WLOSS*(x_PEN_K74*N35+x_PEN_C22*O35)</f>
        <v>32553746.2550929</v>
      </c>
      <c r="AC35" s="0" t="n">
        <f aca="false">x_AGRI*x_EMP*x_WLOSS*(x_PEN_K74*N35+x_PEN_C22*O35)</f>
        <v>1743757.86403221</v>
      </c>
      <c r="AD35" s="0" t="n">
        <f aca="false">x_EMP*x_WAGE*(x_WLOSS*(N35+O35)+P35)+Q35*x_absd*x_WAGE/365</f>
        <v>201263624.075272</v>
      </c>
      <c r="AE35" s="0" t="n">
        <f aca="false">AD35*x_R_FUS</f>
        <v>63679810.6574161</v>
      </c>
      <c r="AF35" s="0" t="n">
        <f aca="false">AD35*x_R_NFZ</f>
        <v>15630334.3093097</v>
      </c>
      <c r="AG35" s="0" t="n">
        <f aca="false">AD35*x_R_PIT</f>
        <v>13380845.771709</v>
      </c>
      <c r="AH35" s="0" t="n">
        <f aca="false">AD35*x_R_FP</f>
        <v>5132222.41391944</v>
      </c>
      <c r="AI35" s="0" t="n">
        <f aca="false">W35+X35+Y35+Z35</f>
        <v>763543713.683196</v>
      </c>
      <c r="AJ35" s="0" t="n">
        <f aca="false">AI35+AA35+AB35+AC35+AE35+AF35+AG35+AH35</f>
        <v>895664430.954675</v>
      </c>
      <c r="AK35" s="0" t="n">
        <f aca="false">AI35+AA35+AD35</f>
        <v>964807337.758468</v>
      </c>
      <c r="AL35" s="0" t="n">
        <f aca="false">X35+Y35+Z35</f>
        <v>137833427.610024</v>
      </c>
      <c r="AM35" s="0" t="n">
        <f aca="false">AL35+AA35</f>
        <v>137833427.610024</v>
      </c>
    </row>
    <row r="36" customFormat="false" ht="15" hidden="false" customHeight="false" outlineLevel="0" collapsed="false">
      <c r="A36" s="0" t="n">
        <v>2059</v>
      </c>
      <c r="B36" s="0" t="n">
        <v>33</v>
      </c>
      <c r="C36" s="0" t="n">
        <v>4832</v>
      </c>
      <c r="D36" s="0" t="n">
        <v>0</v>
      </c>
      <c r="E36" s="0" t="n">
        <v>0</v>
      </c>
      <c r="F36" s="0" t="n">
        <v>93703.646</v>
      </c>
      <c r="G36" s="0" t="n">
        <v>15048.167</v>
      </c>
      <c r="H36" s="0" t="n">
        <v>1812.906</v>
      </c>
      <c r="I36" s="0" t="n">
        <v>1079.607</v>
      </c>
      <c r="J36" s="0" t="n">
        <v>948.688</v>
      </c>
      <c r="K36" s="0" t="n">
        <v>100897.517</v>
      </c>
      <c r="L36" s="0" t="n">
        <v>12366.457</v>
      </c>
      <c r="M36" s="0" t="n">
        <v>80.14</v>
      </c>
      <c r="N36" s="0" t="n">
        <v>819.698</v>
      </c>
      <c r="O36" s="0" t="n">
        <v>414.141</v>
      </c>
      <c r="P36" s="0" t="n">
        <v>1363.695</v>
      </c>
      <c r="Q36" s="0" t="n">
        <v>108751.813</v>
      </c>
      <c r="R36" s="0" t="n">
        <v>162422.455</v>
      </c>
      <c r="S36" s="0" t="n">
        <v>328.903</v>
      </c>
      <c r="T36" s="0" t="n">
        <v>307.166</v>
      </c>
      <c r="U36" s="0" t="n">
        <v>80.14</v>
      </c>
      <c r="V36" s="0" t="n">
        <v>510.757</v>
      </c>
      <c r="W36" s="0" t="n">
        <f aca="false">F36*x_c_F+G36*x_c_CC+H36*x_c_DC+I36*x_c_HCC+J36*x_c_PLT+K36*x_c_SVRn+L36*x_c_SVRcc+M36*x_c_LT</f>
        <v>612813446.398698</v>
      </c>
      <c r="X36" s="0" t="n">
        <f aca="false">C36*x_c_DAA</f>
        <v>109976320</v>
      </c>
      <c r="Y36" s="0" t="n">
        <f aca="false">C36*x_c_MON</f>
        <v>27857107.6100244</v>
      </c>
      <c r="Z36" s="0" t="n">
        <f aca="false">D36</f>
        <v>0</v>
      </c>
      <c r="AA36" s="0" t="n">
        <f aca="false">E36</f>
        <v>0</v>
      </c>
      <c r="AB36" s="0" t="n">
        <f aca="false">x_z_F*Q36+(1-x_AGRI)*x_EMP*x_WLOSS*(x_PEN_K74*N36+x_PEN_C22*O36)</f>
        <v>34826789.3950727</v>
      </c>
      <c r="AC36" s="0" t="n">
        <f aca="false">x_AGRI*x_EMP*x_WLOSS*(x_PEN_K74*N36+x_PEN_C22*O36)</f>
        <v>1898578.26399729</v>
      </c>
      <c r="AD36" s="0" t="n">
        <f aca="false">x_EMP*x_WAGE*(x_WLOSS*(N36+O36)+P36)+Q36*x_absd*x_WAGE/365</f>
        <v>224353100.459116</v>
      </c>
      <c r="AE36" s="0" t="n">
        <f aca="false">AD36*x_R_FUS</f>
        <v>70985320.9852643</v>
      </c>
      <c r="AF36" s="0" t="n">
        <f aca="false">AD36*x_R_NFZ</f>
        <v>17423486.1347554</v>
      </c>
      <c r="AG36" s="0" t="n">
        <f aca="false">AD36*x_R_PIT</f>
        <v>14915930.533604</v>
      </c>
      <c r="AH36" s="0" t="n">
        <f aca="false">AD36*x_R_FP</f>
        <v>5721004.06170746</v>
      </c>
      <c r="AI36" s="0" t="n">
        <f aca="false">W36+X36+Y36+Z36</f>
        <v>750646874.008722</v>
      </c>
      <c r="AJ36" s="0" t="n">
        <f aca="false">AI36+AA36+AB36+AC36+AE36+AF36+AG36+AH36</f>
        <v>896417983.383124</v>
      </c>
      <c r="AK36" s="0" t="n">
        <f aca="false">AI36+AA36+AD36</f>
        <v>974999974.467838</v>
      </c>
      <c r="AL36" s="0" t="n">
        <f aca="false">X36+Y36+Z36</f>
        <v>137833427.610024</v>
      </c>
      <c r="AM36" s="0" t="n">
        <f aca="false">AL36+AA36</f>
        <v>137833427.610024</v>
      </c>
    </row>
    <row r="37" customFormat="false" ht="15" hidden="false" customHeight="false" outlineLevel="0" collapsed="false">
      <c r="A37" s="0" t="n">
        <v>2060</v>
      </c>
      <c r="B37" s="0" t="n">
        <v>34</v>
      </c>
      <c r="C37" s="0" t="n">
        <v>4832</v>
      </c>
      <c r="D37" s="0" t="n">
        <v>0</v>
      </c>
      <c r="E37" s="0" t="n">
        <v>0</v>
      </c>
      <c r="F37" s="0" t="n">
        <v>93095.866</v>
      </c>
      <c r="G37" s="0" t="n">
        <v>14479.983</v>
      </c>
      <c r="H37" s="0" t="n">
        <v>1731.363</v>
      </c>
      <c r="I37" s="0" t="n">
        <v>1033.402</v>
      </c>
      <c r="J37" s="0" t="n">
        <v>889.595</v>
      </c>
      <c r="K37" s="0" t="n">
        <v>101984.774</v>
      </c>
      <c r="L37" s="0" t="n">
        <v>11946.415</v>
      </c>
      <c r="M37" s="0" t="n">
        <v>76.352</v>
      </c>
      <c r="N37" s="0" t="n">
        <v>814.598</v>
      </c>
      <c r="O37" s="0" t="n">
        <v>411.422</v>
      </c>
      <c r="P37" s="0" t="n">
        <v>1358.189</v>
      </c>
      <c r="Q37" s="0" t="n">
        <v>107575.849</v>
      </c>
      <c r="R37" s="0" t="n">
        <v>162159.628</v>
      </c>
      <c r="S37" s="0" t="n">
        <v>316.299</v>
      </c>
      <c r="T37" s="0" t="n">
        <v>295.043</v>
      </c>
      <c r="U37" s="0" t="n">
        <v>76.352</v>
      </c>
      <c r="V37" s="0" t="n">
        <v>486.228</v>
      </c>
      <c r="W37" s="0" t="n">
        <f aca="false">F37*x_c_F+G37*x_c_CC+H37*x_c_DC+I37*x_c_HCC+J37*x_c_PLT+K37*x_c_SVRn+L37*x_c_SVRcc+M37*x_c_LT</f>
        <v>599897771.18822</v>
      </c>
      <c r="X37" s="0" t="n">
        <f aca="false">C37*x_c_DAA</f>
        <v>109976320</v>
      </c>
      <c r="Y37" s="0" t="n">
        <f aca="false">C37*x_c_MON</f>
        <v>27857107.6100244</v>
      </c>
      <c r="Z37" s="0" t="n">
        <f aca="false">D37</f>
        <v>0</v>
      </c>
      <c r="AA37" s="0" t="n">
        <f aca="false">E37</f>
        <v>0</v>
      </c>
      <c r="AB37" s="0" t="n">
        <f aca="false">x_z_F*Q37+(1-x_AGRI)*x_EMP*x_WLOSS*(x_PEN_K74*N37+x_PEN_C22*O37)</f>
        <v>34578481.7167236</v>
      </c>
      <c r="AC37" s="0" t="n">
        <f aca="false">x_AGRI*x_EMP*x_WLOSS*(x_PEN_K74*N37+x_PEN_C22*O37)</f>
        <v>1886527.7422866</v>
      </c>
      <c r="AD37" s="0" t="n">
        <f aca="false">x_EMP*x_WAGE*(x_WLOSS*(N37+O37)+P37)+Q37*x_absd*x_WAGE/365</f>
        <v>223185796.454481</v>
      </c>
      <c r="AE37" s="0" t="n">
        <f aca="false">AD37*x_R_FUS</f>
        <v>70615985.9981978</v>
      </c>
      <c r="AF37" s="0" t="n">
        <f aca="false">AD37*x_R_NFZ</f>
        <v>17332832.1384515</v>
      </c>
      <c r="AG37" s="0" t="n">
        <f aca="false">AD37*x_R_PIT</f>
        <v>14838323.2912298</v>
      </c>
      <c r="AH37" s="0" t="n">
        <f aca="false">AD37*x_R_FP</f>
        <v>5691237.80958927</v>
      </c>
      <c r="AI37" s="0" t="n">
        <f aca="false">W37+X37+Y37+Z37</f>
        <v>737731198.798244</v>
      </c>
      <c r="AJ37" s="0" t="n">
        <f aca="false">AI37+AA37+AB37+AC37+AE37+AF37+AG37+AH37</f>
        <v>882674587.494723</v>
      </c>
      <c r="AK37" s="0" t="n">
        <f aca="false">AI37+AA37+AD37</f>
        <v>960916995.252725</v>
      </c>
      <c r="AL37" s="0" t="n">
        <f aca="false">X37+Y37+Z37</f>
        <v>137833427.610024</v>
      </c>
      <c r="AM37" s="0" t="n">
        <f aca="false">AL37+AA37</f>
        <v>137833427.610024</v>
      </c>
    </row>
    <row r="38" customFormat="false" ht="15" hidden="false" customHeight="false" outlineLevel="0" collapsed="false">
      <c r="A38" s="0" t="n">
        <v>2061</v>
      </c>
      <c r="B38" s="0" t="n">
        <v>35</v>
      </c>
      <c r="C38" s="0" t="n">
        <v>4832</v>
      </c>
      <c r="D38" s="0" t="n">
        <v>0</v>
      </c>
      <c r="E38" s="0" t="n">
        <v>0</v>
      </c>
      <c r="F38" s="0" t="n">
        <v>92520.811</v>
      </c>
      <c r="G38" s="0" t="n">
        <v>13951.367</v>
      </c>
      <c r="H38" s="0" t="n">
        <v>1652.081</v>
      </c>
      <c r="I38" s="0" t="n">
        <v>988.471</v>
      </c>
      <c r="J38" s="0" t="n">
        <v>828.962</v>
      </c>
      <c r="K38" s="0" t="n">
        <v>103030.368</v>
      </c>
      <c r="L38" s="0" t="n">
        <v>11485.541</v>
      </c>
      <c r="M38" s="0" t="n">
        <v>72.769</v>
      </c>
      <c r="N38" s="0" t="n">
        <v>809.211</v>
      </c>
      <c r="O38" s="0" t="n">
        <v>408.568</v>
      </c>
      <c r="P38" s="0" t="n">
        <v>1352.144</v>
      </c>
      <c r="Q38" s="0" t="n">
        <v>106472.178</v>
      </c>
      <c r="R38" s="0" t="n">
        <v>161885.78</v>
      </c>
      <c r="S38" s="0" t="n">
        <v>304.602</v>
      </c>
      <c r="T38" s="0" t="n">
        <v>283.676</v>
      </c>
      <c r="U38" s="0" t="n">
        <v>72.769</v>
      </c>
      <c r="V38" s="0" t="n">
        <v>462.876</v>
      </c>
      <c r="W38" s="0" t="n">
        <f aca="false">F38*x_c_F+G38*x_c_CC+H38*x_c_DC+I38*x_c_HCC+J38*x_c_PLT+K38*x_c_SVRn+L38*x_c_SVRcc+M38*x_c_LT</f>
        <v>587298204.384531</v>
      </c>
      <c r="X38" s="0" t="n">
        <f aca="false">C38*x_c_DAA</f>
        <v>109976320</v>
      </c>
      <c r="Y38" s="0" t="n">
        <f aca="false">C38*x_c_MON</f>
        <v>27857107.6100244</v>
      </c>
      <c r="Z38" s="0" t="n">
        <f aca="false">D38</f>
        <v>0</v>
      </c>
      <c r="AA38" s="0" t="n">
        <f aca="false">E38</f>
        <v>0</v>
      </c>
      <c r="AB38" s="0" t="n">
        <f aca="false">x_z_F*Q38+(1-x_AGRI)*x_EMP*x_WLOSS*(x_PEN_K74*N38+x_PEN_C22*O38)</f>
        <v>34324427.1801407</v>
      </c>
      <c r="AC38" s="0" t="n">
        <f aca="false">x_AGRI*x_EMP*x_WLOSS*(x_PEN_K74*N38+x_PEN_C22*O38)</f>
        <v>1873829.1994851</v>
      </c>
      <c r="AD38" s="0" t="n">
        <f aca="false">x_EMP*x_WAGE*(x_WLOSS*(N38+O38)+P38)+Q38*x_absd*x_WAGE/365</f>
        <v>221938475.644516</v>
      </c>
      <c r="AE38" s="0" t="n">
        <f aca="false">AD38*x_R_FUS</f>
        <v>70221333.693925</v>
      </c>
      <c r="AF38" s="0" t="n">
        <f aca="false">AD38*x_R_NFZ</f>
        <v>17235963.9570288</v>
      </c>
      <c r="AG38" s="0" t="n">
        <f aca="false">AD38*x_R_PIT</f>
        <v>14755396.1976596</v>
      </c>
      <c r="AH38" s="0" t="n">
        <f aca="false">AD38*x_R_FP</f>
        <v>5659431.12893517</v>
      </c>
      <c r="AI38" s="0" t="n">
        <f aca="false">W38+X38+Y38+Z38</f>
        <v>725131631.994555</v>
      </c>
      <c r="AJ38" s="0" t="n">
        <f aca="false">AI38+AA38+AB38+AC38+AE38+AF38+AG38+AH38</f>
        <v>869202013.35173</v>
      </c>
      <c r="AK38" s="0" t="n">
        <f aca="false">AI38+AA38+AD38</f>
        <v>947070107.639072</v>
      </c>
      <c r="AL38" s="0" t="n">
        <f aca="false">X38+Y38+Z38</f>
        <v>137833427.610024</v>
      </c>
      <c r="AM38" s="0" t="n">
        <f aca="false">AL38+AA38</f>
        <v>137833427.610024</v>
      </c>
    </row>
    <row r="39" customFormat="false" ht="15" hidden="false" customHeight="false" outlineLevel="0" collapsed="false">
      <c r="A39" s="0" t="n">
        <v>2062</v>
      </c>
      <c r="B39" s="0" t="n">
        <v>36</v>
      </c>
      <c r="C39" s="0" t="n">
        <v>4832</v>
      </c>
      <c r="D39" s="0" t="n">
        <v>0</v>
      </c>
      <c r="E39" s="0" t="n">
        <v>0</v>
      </c>
      <c r="F39" s="0" t="n">
        <v>91981.708</v>
      </c>
      <c r="G39" s="0" t="n">
        <v>13472.865</v>
      </c>
      <c r="H39" s="0" t="n">
        <v>1577.31</v>
      </c>
      <c r="I39" s="0" t="n">
        <v>946.072</v>
      </c>
      <c r="J39" s="0" t="n">
        <v>768.515</v>
      </c>
      <c r="K39" s="0" t="n">
        <v>104076.543</v>
      </c>
      <c r="L39" s="0" t="n">
        <v>11003.544</v>
      </c>
      <c r="M39" s="0" t="n">
        <v>69.492</v>
      </c>
      <c r="N39" s="0" t="n">
        <v>803.484</v>
      </c>
      <c r="O39" s="0" t="n">
        <v>405.56</v>
      </c>
      <c r="P39" s="0" t="n">
        <v>1345.338</v>
      </c>
      <c r="Q39" s="0" t="n">
        <v>105454.573</v>
      </c>
      <c r="R39" s="0" t="n">
        <v>161656.253</v>
      </c>
      <c r="S39" s="0" t="n">
        <v>294.079</v>
      </c>
      <c r="T39" s="0" t="n">
        <v>273.35</v>
      </c>
      <c r="U39" s="0" t="n">
        <v>69.492</v>
      </c>
      <c r="V39" s="0" t="n">
        <v>441.361</v>
      </c>
      <c r="W39" s="0" t="n">
        <f aca="false">F39*x_c_F+G39*x_c_CC+H39*x_c_DC+I39*x_c_HCC+J39*x_c_PLT+K39*x_c_SVRn+L39*x_c_SVRcc+M39*x_c_LT</f>
        <v>575370492.230537</v>
      </c>
      <c r="X39" s="0" t="n">
        <f aca="false">C39*x_c_DAA</f>
        <v>109976320</v>
      </c>
      <c r="Y39" s="0" t="n">
        <f aca="false">C39*x_c_MON</f>
        <v>27857107.6100244</v>
      </c>
      <c r="Z39" s="0" t="n">
        <f aca="false">D39</f>
        <v>0</v>
      </c>
      <c r="AA39" s="0" t="n">
        <f aca="false">E39</f>
        <v>0</v>
      </c>
      <c r="AB39" s="0" t="n">
        <f aca="false">x_z_F*Q39+(1-x_AGRI)*x_EMP*x_WLOSS*(x_PEN_K74*N39+x_PEN_C22*O39)</f>
        <v>34063738.2673883</v>
      </c>
      <c r="AC39" s="0" t="n">
        <f aca="false">x_AGRI*x_EMP*x_WLOSS*(x_PEN_K74*N39+x_PEN_C22*O39)</f>
        <v>1860372.88257783</v>
      </c>
      <c r="AD39" s="0" t="n">
        <f aca="false">x_EMP*x_WAGE*(x_WLOSS*(N39+O39)+P39)+Q39*x_absd*x_WAGE/365</f>
        <v>220586436.955628</v>
      </c>
      <c r="AE39" s="0" t="n">
        <f aca="false">AD39*x_R_FUS</f>
        <v>69793548.6527606</v>
      </c>
      <c r="AF39" s="0" t="n">
        <f aca="false">AD39*x_R_NFZ</f>
        <v>17130963.280411</v>
      </c>
      <c r="AG39" s="0" t="n">
        <f aca="false">AD39*x_R_PIT</f>
        <v>14665507.0224222</v>
      </c>
      <c r="AH39" s="0" t="n">
        <f aca="false">AD39*x_R_FP</f>
        <v>5624954.1423685</v>
      </c>
      <c r="AI39" s="0" t="n">
        <f aca="false">W39+X39+Y39+Z39</f>
        <v>713203919.840562</v>
      </c>
      <c r="AJ39" s="0" t="n">
        <f aca="false">AI39+AA39+AB39+AC39+AE39+AF39+AG39+AH39</f>
        <v>856343004.08849</v>
      </c>
      <c r="AK39" s="0" t="n">
        <f aca="false">AI39+AA39+AD39</f>
        <v>933790356.796189</v>
      </c>
      <c r="AL39" s="0" t="n">
        <f aca="false">X39+Y39+Z39</f>
        <v>137833427.610024</v>
      </c>
      <c r="AM39" s="0" t="n">
        <f aca="false">AL39+AA39</f>
        <v>137833427.610024</v>
      </c>
    </row>
    <row r="40" customFormat="false" ht="15" hidden="false" customHeight="false" outlineLevel="0" collapsed="false">
      <c r="A40" s="0" t="n">
        <v>2063</v>
      </c>
      <c r="B40" s="0" t="n">
        <v>37</v>
      </c>
      <c r="C40" s="0" t="n">
        <v>4832</v>
      </c>
      <c r="D40" s="0" t="n">
        <v>0</v>
      </c>
      <c r="E40" s="0" t="n">
        <v>0</v>
      </c>
      <c r="F40" s="0" t="n">
        <v>91480.908</v>
      </c>
      <c r="G40" s="0" t="n">
        <v>13052.829</v>
      </c>
      <c r="H40" s="0" t="n">
        <v>1509.102</v>
      </c>
      <c r="I40" s="0" t="n">
        <v>907.355</v>
      </c>
      <c r="J40" s="0" t="n">
        <v>710.053</v>
      </c>
      <c r="K40" s="0" t="n">
        <v>105166.617</v>
      </c>
      <c r="L40" s="0" t="n">
        <v>10521.796</v>
      </c>
      <c r="M40" s="0" t="n">
        <v>66.6</v>
      </c>
      <c r="N40" s="0" t="n">
        <v>797.415</v>
      </c>
      <c r="O40" s="0" t="n">
        <v>402.403</v>
      </c>
      <c r="P40" s="0" t="n">
        <v>1337.694</v>
      </c>
      <c r="Q40" s="0" t="n">
        <v>104533.737</v>
      </c>
      <c r="R40" s="0" t="n">
        <v>161526.299</v>
      </c>
      <c r="S40" s="0" t="n">
        <v>284.922</v>
      </c>
      <c r="T40" s="0" t="n">
        <v>264.28</v>
      </c>
      <c r="U40" s="0" t="n">
        <v>66.6</v>
      </c>
      <c r="V40" s="0" t="n">
        <v>422.212</v>
      </c>
      <c r="W40" s="0" t="n">
        <f aca="false">F40*x_c_F+G40*x_c_CC+H40*x_c_DC+I40*x_c_HCC+J40*x_c_PLT+K40*x_c_SVRn+L40*x_c_SVRcc+M40*x_c_LT</f>
        <v>564445528.219521</v>
      </c>
      <c r="X40" s="0" t="n">
        <f aca="false">C40*x_c_DAA</f>
        <v>109976320</v>
      </c>
      <c r="Y40" s="0" t="n">
        <f aca="false">C40*x_c_MON</f>
        <v>27857107.6100244</v>
      </c>
      <c r="Z40" s="0" t="n">
        <f aca="false">D40</f>
        <v>0</v>
      </c>
      <c r="AA40" s="0" t="n">
        <f aca="false">E40</f>
        <v>0</v>
      </c>
      <c r="AB40" s="0" t="n">
        <f aca="false">x_z_F*Q40+(1-x_AGRI)*x_EMP*x_WLOSS*(x_PEN_K74*N40+x_PEN_C22*O40)</f>
        <v>33797097.5990996</v>
      </c>
      <c r="AC40" s="0" t="n">
        <f aca="false">x_AGRI*x_EMP*x_WLOSS*(x_PEN_K74*N40+x_PEN_C22*O40)</f>
        <v>1846164.20960241</v>
      </c>
      <c r="AD40" s="0" t="n">
        <f aca="false">x_EMP*x_WAGE*(x_WLOSS*(N40+O40)+P40)+Q40*x_absd*x_WAGE/365</f>
        <v>219123655.149868</v>
      </c>
      <c r="AE40" s="0" t="n">
        <f aca="false">AD40*x_R_FUS</f>
        <v>69330724.4894183</v>
      </c>
      <c r="AF40" s="0" t="n">
        <f aca="false">AD40*x_R_NFZ</f>
        <v>17017362.1825939</v>
      </c>
      <c r="AG40" s="0" t="n">
        <f aca="false">AD40*x_R_PIT</f>
        <v>14568255.1825507</v>
      </c>
      <c r="AH40" s="0" t="n">
        <f aca="false">AD40*x_R_FP</f>
        <v>5587653.20632164</v>
      </c>
      <c r="AI40" s="0" t="n">
        <f aca="false">W40+X40+Y40+Z40</f>
        <v>702278955.829545</v>
      </c>
      <c r="AJ40" s="0" t="n">
        <f aca="false">AI40+AA40+AB40+AC40+AE40+AF40+AG40+AH40</f>
        <v>844426212.699131</v>
      </c>
      <c r="AK40" s="0" t="n">
        <f aca="false">AI40+AA40+AD40</f>
        <v>921402610.979413</v>
      </c>
      <c r="AL40" s="0" t="n">
        <f aca="false">X40+Y40+Z40</f>
        <v>137833427.610024</v>
      </c>
      <c r="AM40" s="0" t="n">
        <f aca="false">AL40+AA40</f>
        <v>137833427.610024</v>
      </c>
    </row>
    <row r="41" customFormat="false" ht="15" hidden="false" customHeight="false" outlineLevel="0" collapsed="false">
      <c r="A41" s="0" t="n">
        <v>2064</v>
      </c>
      <c r="B41" s="0" t="n">
        <v>38</v>
      </c>
      <c r="C41" s="0" t="n">
        <v>4832</v>
      </c>
      <c r="D41" s="0" t="n">
        <v>0</v>
      </c>
      <c r="E41" s="0" t="n">
        <v>0</v>
      </c>
      <c r="F41" s="0" t="n">
        <v>91019.294</v>
      </c>
      <c r="G41" s="0" t="n">
        <v>12696.14</v>
      </c>
      <c r="H41" s="0" t="n">
        <v>1449.04</v>
      </c>
      <c r="I41" s="0" t="n">
        <v>873.213</v>
      </c>
      <c r="J41" s="0" t="n">
        <v>655.214</v>
      </c>
      <c r="K41" s="0" t="n">
        <v>106338.761</v>
      </c>
      <c r="L41" s="0" t="n">
        <v>10060.62</v>
      </c>
      <c r="M41" s="0" t="n">
        <v>64.147</v>
      </c>
      <c r="N41" s="0" t="n">
        <v>791.102</v>
      </c>
      <c r="O41" s="0" t="n">
        <v>399.142</v>
      </c>
      <c r="P41" s="0" t="n">
        <v>1329.422</v>
      </c>
      <c r="Q41" s="0" t="n">
        <v>103715.434</v>
      </c>
      <c r="R41" s="0" t="n">
        <v>161543.17</v>
      </c>
      <c r="S41" s="0" t="n">
        <v>277.244</v>
      </c>
      <c r="T41" s="0" t="n">
        <v>256.605</v>
      </c>
      <c r="U41" s="0" t="n">
        <v>64.147</v>
      </c>
      <c r="V41" s="0" t="n">
        <v>405.801</v>
      </c>
      <c r="W41" s="0" t="n">
        <f aca="false">F41*x_c_F+G41*x_c_CC+H41*x_c_DC+I41*x_c_HCC+J41*x_c_PLT+K41*x_c_SVRn+L41*x_c_SVRcc+M41*x_c_LT</f>
        <v>554786717.039851</v>
      </c>
      <c r="X41" s="0" t="n">
        <f aca="false">C41*x_c_DAA</f>
        <v>109976320</v>
      </c>
      <c r="Y41" s="0" t="n">
        <f aca="false">C41*x_c_MON</f>
        <v>27857107.6100244</v>
      </c>
      <c r="Z41" s="0" t="n">
        <f aca="false">D41</f>
        <v>0</v>
      </c>
      <c r="AA41" s="0" t="n">
        <f aca="false">E41</f>
        <v>0</v>
      </c>
      <c r="AB41" s="0" t="n">
        <f aca="false">x_z_F*Q41+(1-x_AGRI)*x_EMP*x_WLOSS*(x_PEN_K74*N41+x_PEN_C22*O41)</f>
        <v>33528148.5681563</v>
      </c>
      <c r="AC41" s="0" t="n">
        <f aca="false">x_AGRI*x_EMP*x_WLOSS*(x_PEN_K74*N41+x_PEN_C22*O41)</f>
        <v>1831422.62076461</v>
      </c>
      <c r="AD41" s="0" t="n">
        <f aca="false">x_EMP*x_WAGE*(x_WLOSS*(N41+O41)+P41)+Q41*x_absd*x_WAGE/365</f>
        <v>217580380.146592</v>
      </c>
      <c r="AE41" s="0" t="n">
        <f aca="false">AD41*x_R_FUS</f>
        <v>68842432.2783816</v>
      </c>
      <c r="AF41" s="0" t="n">
        <f aca="false">AD41*x_R_NFZ</f>
        <v>16897509.9025644</v>
      </c>
      <c r="AG41" s="0" t="n">
        <f aca="false">AD41*x_R_PIT</f>
        <v>14465651.8189421</v>
      </c>
      <c r="AH41" s="0" t="n">
        <f aca="false">AD41*x_R_FP</f>
        <v>5548299.69373809</v>
      </c>
      <c r="AI41" s="0" t="n">
        <f aca="false">W41+X41+Y41+Z41</f>
        <v>692620144.649876</v>
      </c>
      <c r="AJ41" s="0" t="n">
        <f aca="false">AI41+AA41+AB41+AC41+AE41+AF41+AG41+AH41</f>
        <v>833733609.532423</v>
      </c>
      <c r="AK41" s="0" t="n">
        <f aca="false">AI41+AA41+AD41</f>
        <v>910200524.796467</v>
      </c>
      <c r="AL41" s="0" t="n">
        <f aca="false">X41+Y41+Z41</f>
        <v>137833427.610024</v>
      </c>
      <c r="AM41" s="0" t="n">
        <f aca="false">AL41+AA41</f>
        <v>137833427.610024</v>
      </c>
    </row>
    <row r="42" customFormat="false" ht="15" hidden="false" customHeight="false" outlineLevel="0" collapsed="false">
      <c r="A42" s="0" t="n">
        <v>2065</v>
      </c>
      <c r="B42" s="0" t="n">
        <v>39</v>
      </c>
      <c r="C42" s="0" t="n">
        <v>4832</v>
      </c>
      <c r="D42" s="0" t="n">
        <v>0</v>
      </c>
      <c r="E42" s="0" t="n">
        <v>0</v>
      </c>
      <c r="F42" s="0" t="n">
        <v>90596.458</v>
      </c>
      <c r="G42" s="0" t="n">
        <v>12404.267</v>
      </c>
      <c r="H42" s="0" t="n">
        <v>1398.187</v>
      </c>
      <c r="I42" s="0" t="n">
        <v>844.249</v>
      </c>
      <c r="J42" s="0" t="n">
        <v>605.382</v>
      </c>
      <c r="K42" s="0" t="n">
        <v>107623.922</v>
      </c>
      <c r="L42" s="0" t="n">
        <v>9638.1</v>
      </c>
      <c r="M42" s="0" t="n">
        <v>62.165</v>
      </c>
      <c r="N42" s="0" t="n">
        <v>784.625</v>
      </c>
      <c r="O42" s="0" t="n">
        <v>395.815</v>
      </c>
      <c r="P42" s="0" t="n">
        <v>1320.676</v>
      </c>
      <c r="Q42" s="0" t="n">
        <v>103000.724</v>
      </c>
      <c r="R42" s="0" t="n">
        <v>161743.852</v>
      </c>
      <c r="S42" s="0" t="n">
        <v>271.095</v>
      </c>
      <c r="T42" s="0" t="n">
        <v>250.405</v>
      </c>
      <c r="U42" s="0" t="n">
        <v>62.165</v>
      </c>
      <c r="V42" s="0" t="n">
        <v>392.374</v>
      </c>
      <c r="W42" s="0" t="n">
        <f aca="false">F42*x_c_F+G42*x_c_CC+H42*x_c_DC+I42*x_c_HCC+J42*x_c_PLT+K42*x_c_SVRn+L42*x_c_SVRcc+M42*x_c_LT</f>
        <v>546581363.24895</v>
      </c>
      <c r="X42" s="0" t="n">
        <f aca="false">C42*x_c_DAA</f>
        <v>109976320</v>
      </c>
      <c r="Y42" s="0" t="n">
        <f aca="false">C42*x_c_MON</f>
        <v>27857107.6100244</v>
      </c>
      <c r="Z42" s="0" t="n">
        <f aca="false">D42</f>
        <v>0</v>
      </c>
      <c r="AA42" s="0" t="n">
        <f aca="false">E42</f>
        <v>0</v>
      </c>
      <c r="AB42" s="0" t="n">
        <f aca="false">x_z_F*Q42+(1-x_AGRI)*x_EMP*x_WLOSS*(x_PEN_K74*N42+x_PEN_C22*O42)</f>
        <v>33259692.8084886</v>
      </c>
      <c r="AC42" s="0" t="n">
        <f aca="false">x_AGRI*x_EMP*x_WLOSS*(x_PEN_K74*N42+x_PEN_C22*O42)</f>
        <v>1816329.3667103</v>
      </c>
      <c r="AD42" s="0" t="n">
        <f aca="false">x_EMP*x_WAGE*(x_WLOSS*(N42+O42)+P42)+Q42*x_absd*x_WAGE/365</f>
        <v>215979830.929722</v>
      </c>
      <c r="AE42" s="0" t="n">
        <f aca="false">AD42*x_R_FUS</f>
        <v>68336018.506164</v>
      </c>
      <c r="AF42" s="0" t="n">
        <f aca="false">AD42*x_R_NFZ</f>
        <v>16773209.6498331</v>
      </c>
      <c r="AG42" s="0" t="n">
        <f aca="false">AD42*x_R_PIT</f>
        <v>14359240.6265602</v>
      </c>
      <c r="AH42" s="0" t="n">
        <f aca="false">AD42*x_R_FP</f>
        <v>5507485.68870791</v>
      </c>
      <c r="AI42" s="0" t="n">
        <f aca="false">W42+X42+Y42+Z42</f>
        <v>684414790.858974</v>
      </c>
      <c r="AJ42" s="0" t="n">
        <f aca="false">AI42+AA42+AB42+AC42+AE42+AF42+AG42+AH42</f>
        <v>824466767.505439</v>
      </c>
      <c r="AK42" s="0" t="n">
        <f aca="false">AI42+AA42+AD42</f>
        <v>900394621.788696</v>
      </c>
      <c r="AL42" s="0" t="n">
        <f aca="false">X42+Y42+Z42</f>
        <v>137833427.610024</v>
      </c>
      <c r="AM42" s="0" t="n">
        <f aca="false">AL42+AA42</f>
        <v>137833427.610024</v>
      </c>
    </row>
    <row r="43" customFormat="false" ht="15" hidden="false" customHeight="false" outlineLevel="0" collapsed="false">
      <c r="A43" s="0" t="n">
        <v>2066</v>
      </c>
      <c r="B43" s="0" t="n">
        <v>40</v>
      </c>
      <c r="C43" s="0" t="n">
        <v>4832</v>
      </c>
      <c r="D43" s="0" t="n">
        <v>0</v>
      </c>
      <c r="E43" s="0" t="n">
        <v>0</v>
      </c>
      <c r="F43" s="0" t="n">
        <v>90211.242</v>
      </c>
      <c r="G43" s="0" t="n">
        <v>12176.119</v>
      </c>
      <c r="H43" s="0" t="n">
        <v>1357.175</v>
      </c>
      <c r="I43" s="0" t="n">
        <v>820.828</v>
      </c>
      <c r="J43" s="0" t="n">
        <v>561.716</v>
      </c>
      <c r="K43" s="0" t="n">
        <v>109047.169</v>
      </c>
      <c r="L43" s="0" t="n">
        <v>9270.258</v>
      </c>
      <c r="M43" s="0" t="n">
        <v>60.662</v>
      </c>
      <c r="N43" s="0" t="n">
        <v>778.047</v>
      </c>
      <c r="O43" s="0" t="n">
        <v>392.45</v>
      </c>
      <c r="P43" s="0" t="n">
        <v>1311.577</v>
      </c>
      <c r="Q43" s="0" t="n">
        <v>102387.361</v>
      </c>
      <c r="R43" s="0" t="n">
        <v>162157.155</v>
      </c>
      <c r="S43" s="0" t="n">
        <v>266.45</v>
      </c>
      <c r="T43" s="0" t="n">
        <v>245.682</v>
      </c>
      <c r="U43" s="0" t="n">
        <v>60.662</v>
      </c>
      <c r="V43" s="0" t="n">
        <v>382.008</v>
      </c>
      <c r="W43" s="0" t="n">
        <f aca="false">F43*x_c_F+G43*x_c_CC+H43*x_c_DC+I43*x_c_HCC+J43*x_c_PLT+K43*x_c_SVRn+L43*x_c_SVRcc+M43*x_c_LT</f>
        <v>539953309.66563</v>
      </c>
      <c r="X43" s="0" t="n">
        <f aca="false">C43*x_c_DAA</f>
        <v>109976320</v>
      </c>
      <c r="Y43" s="0" t="n">
        <f aca="false">C43*x_c_MON</f>
        <v>27857107.6100244</v>
      </c>
      <c r="Z43" s="0" t="n">
        <f aca="false">D43</f>
        <v>0</v>
      </c>
      <c r="AA43" s="0" t="n">
        <f aca="false">E43</f>
        <v>0</v>
      </c>
      <c r="AB43" s="0" t="n">
        <f aca="false">x_z_F*Q43+(1-x_AGRI)*x_EMP*x_WLOSS*(x_PEN_K74*N43+x_PEN_C22*O43)</f>
        <v>32993715.0168007</v>
      </c>
      <c r="AC43" s="0" t="n">
        <f aca="false">x_AGRI*x_EMP*x_WLOSS*(x_PEN_K74*N43+x_PEN_C22*O43)</f>
        <v>1801023.9634307</v>
      </c>
      <c r="AD43" s="0" t="n">
        <f aca="false">x_EMP*x_WAGE*(x_WLOSS*(N43+O43)+P43)+Q43*x_absd*x_WAGE/365</f>
        <v>214340023.118461</v>
      </c>
      <c r="AE43" s="0" t="n">
        <f aca="false">AD43*x_R_FUS</f>
        <v>67817183.3146809</v>
      </c>
      <c r="AF43" s="0" t="n">
        <f aca="false">AD43*x_R_NFZ</f>
        <v>16645860.5354028</v>
      </c>
      <c r="AG43" s="0" t="n">
        <f aca="false">AD43*x_R_PIT</f>
        <v>14250219.3589638</v>
      </c>
      <c r="AH43" s="0" t="n">
        <f aca="false">AD43*x_R_FP</f>
        <v>5465670.58952074</v>
      </c>
      <c r="AI43" s="0" t="n">
        <f aca="false">W43+X43+Y43+Z43</f>
        <v>677786737.275654</v>
      </c>
      <c r="AJ43" s="0" t="n">
        <f aca="false">AI43+AA43+AB43+AC43+AE43+AF43+AG43+AH43</f>
        <v>816760410.054453</v>
      </c>
      <c r="AK43" s="0" t="n">
        <f aca="false">AI43+AA43+AD43</f>
        <v>892126760.394114</v>
      </c>
      <c r="AL43" s="0" t="n">
        <f aca="false">X43+Y43+Z43</f>
        <v>137833427.610024</v>
      </c>
      <c r="AM43" s="0" t="n">
        <f aca="false">AL43+AA43</f>
        <v>137833427.610024</v>
      </c>
    </row>
    <row r="44" customFormat="false" ht="15" hidden="false" customHeight="false" outlineLevel="0" collapsed="false">
      <c r="A44" s="0" t="n">
        <v>2067</v>
      </c>
      <c r="B44" s="0" t="n">
        <v>41</v>
      </c>
      <c r="C44" s="0" t="n">
        <v>4832</v>
      </c>
      <c r="D44" s="0" t="n">
        <v>0</v>
      </c>
      <c r="E44" s="0" t="n">
        <v>0</v>
      </c>
      <c r="F44" s="0" t="n">
        <v>89861.564</v>
      </c>
      <c r="G44" s="0" t="n">
        <v>12007.774</v>
      </c>
      <c r="H44" s="0" t="n">
        <v>1326.094</v>
      </c>
      <c r="I44" s="0" t="n">
        <v>803.016</v>
      </c>
      <c r="J44" s="0" t="n">
        <v>524.994</v>
      </c>
      <c r="K44" s="0" t="n">
        <v>110623.547</v>
      </c>
      <c r="L44" s="0" t="n">
        <v>8969.007</v>
      </c>
      <c r="M44" s="0" t="n">
        <v>59.627</v>
      </c>
      <c r="N44" s="0" t="n">
        <v>771.423</v>
      </c>
      <c r="O44" s="0" t="n">
        <v>389.076</v>
      </c>
      <c r="P44" s="0" t="n">
        <v>1302.22</v>
      </c>
      <c r="Q44" s="0" t="n">
        <v>101869.338</v>
      </c>
      <c r="R44" s="0" t="n">
        <v>162798.818</v>
      </c>
      <c r="S44" s="0" t="n">
        <v>263.237</v>
      </c>
      <c r="T44" s="0" t="n">
        <v>242.388</v>
      </c>
      <c r="U44" s="0" t="n">
        <v>59.627</v>
      </c>
      <c r="V44" s="0" t="n">
        <v>374.668</v>
      </c>
      <c r="W44" s="0" t="n">
        <f aca="false">F44*x_c_F+G44*x_c_CC+H44*x_c_DC+I44*x_c_HCC+J44*x_c_PLT+K44*x_c_SVRn+L44*x_c_SVRcc+M44*x_c_LT</f>
        <v>534943724.398312</v>
      </c>
      <c r="X44" s="0" t="n">
        <f aca="false">C44*x_c_DAA</f>
        <v>109976320</v>
      </c>
      <c r="Y44" s="0" t="n">
        <f aca="false">C44*x_c_MON</f>
        <v>27857107.6100244</v>
      </c>
      <c r="Z44" s="0" t="n">
        <f aca="false">D44</f>
        <v>0</v>
      </c>
      <c r="AA44" s="0" t="n">
        <f aca="false">E44</f>
        <v>0</v>
      </c>
      <c r="AB44" s="0" t="n">
        <f aca="false">x_z_F*Q44+(1-x_AGRI)*x_EMP*x_WLOSS*(x_PEN_K74*N44+x_PEN_C22*O44)</f>
        <v>32731836.0388708</v>
      </c>
      <c r="AC44" s="0" t="n">
        <f aca="false">x_AGRI*x_EMP*x_WLOSS*(x_PEN_K74*N44+x_PEN_C22*O44)</f>
        <v>1785635.82818154</v>
      </c>
      <c r="AD44" s="0" t="n">
        <f aca="false">x_EMP*x_WAGE*(x_WLOSS*(N44+O44)+P44)+Q44*x_absd*x_WAGE/365</f>
        <v>212676058.92565</v>
      </c>
      <c r="AE44" s="0" t="n">
        <f aca="false">AD44*x_R_FUS</f>
        <v>67290705.0440756</v>
      </c>
      <c r="AF44" s="0" t="n">
        <f aca="false">AD44*x_R_NFZ</f>
        <v>16516635.4122249</v>
      </c>
      <c r="AG44" s="0" t="n">
        <f aca="false">AD44*x_R_PIT</f>
        <v>14139592.074297</v>
      </c>
      <c r="AH44" s="0" t="n">
        <f aca="false">AD44*x_R_FP</f>
        <v>5423239.50260407</v>
      </c>
      <c r="AI44" s="0" t="n">
        <f aca="false">W44+X44+Y44+Z44</f>
        <v>672777152.008337</v>
      </c>
      <c r="AJ44" s="0" t="n">
        <f aca="false">AI44+AA44+AB44+AC44+AE44+AF44+AG44+AH44</f>
        <v>810664795.908591</v>
      </c>
      <c r="AK44" s="0" t="n">
        <f aca="false">AI44+AA44+AD44</f>
        <v>885453210.933987</v>
      </c>
      <c r="AL44" s="0" t="n">
        <f aca="false">X44+Y44+Z44</f>
        <v>137833427.610024</v>
      </c>
      <c r="AM44" s="0" t="n">
        <f aca="false">AL44+AA44</f>
        <v>137833427.610024</v>
      </c>
    </row>
    <row r="45" customFormat="false" ht="15" hidden="false" customHeight="false" outlineLevel="0" collapsed="false">
      <c r="A45" s="0" t="n">
        <v>2068</v>
      </c>
      <c r="B45" s="0" t="n">
        <v>42</v>
      </c>
      <c r="C45" s="0" t="n">
        <v>4832</v>
      </c>
      <c r="D45" s="0" t="n">
        <v>0</v>
      </c>
      <c r="E45" s="0" t="n">
        <v>0</v>
      </c>
      <c r="F45" s="0" t="n">
        <v>89544.995</v>
      </c>
      <c r="G45" s="0" t="n">
        <v>11893.716</v>
      </c>
      <c r="H45" s="0" t="n">
        <v>1304.68</v>
      </c>
      <c r="I45" s="0" t="n">
        <v>790.682</v>
      </c>
      <c r="J45" s="0" t="n">
        <v>495.72</v>
      </c>
      <c r="K45" s="0" t="n">
        <v>112361.245</v>
      </c>
      <c r="L45" s="0" t="n">
        <v>8743.237</v>
      </c>
      <c r="M45" s="0" t="n">
        <v>59.024</v>
      </c>
      <c r="N45" s="0" t="n">
        <v>764.8</v>
      </c>
      <c r="O45" s="0" t="n">
        <v>385.714</v>
      </c>
      <c r="P45" s="0" t="n">
        <v>1292.685</v>
      </c>
      <c r="Q45" s="0" t="n">
        <v>101438.712</v>
      </c>
      <c r="R45" s="0" t="n">
        <v>163675.91</v>
      </c>
      <c r="S45" s="0" t="n">
        <v>261.314</v>
      </c>
      <c r="T45" s="0" t="n">
        <v>240.405</v>
      </c>
      <c r="U45" s="0" t="n">
        <v>59.024</v>
      </c>
      <c r="V45" s="0" t="n">
        <v>370.153</v>
      </c>
      <c r="W45" s="0" t="n">
        <f aca="false">F45*x_c_F+G45*x_c_CC+H45*x_c_DC+I45*x_c_HCC+J45*x_c_PLT+K45*x_c_SVRn+L45*x_c_SVRcc+M45*x_c_LT</f>
        <v>531535576.391778</v>
      </c>
      <c r="X45" s="0" t="n">
        <f aca="false">C45*x_c_DAA</f>
        <v>109976320</v>
      </c>
      <c r="Y45" s="0" t="n">
        <f aca="false">C45*x_c_MON</f>
        <v>27857107.6100244</v>
      </c>
      <c r="Z45" s="0" t="n">
        <f aca="false">D45</f>
        <v>0</v>
      </c>
      <c r="AA45" s="0" t="n">
        <f aca="false">E45</f>
        <v>0</v>
      </c>
      <c r="AB45" s="0" t="n">
        <f aca="false">x_z_F*Q45+(1-x_AGRI)*x_EMP*x_WLOSS*(x_PEN_K74*N45+x_PEN_C22*O45)</f>
        <v>32475187.6059547</v>
      </c>
      <c r="AC45" s="0" t="n">
        <f aca="false">x_AGRI*x_EMP*x_WLOSS*(x_PEN_K74*N45+x_PEN_C22*O45)</f>
        <v>1770269.23011603</v>
      </c>
      <c r="AD45" s="0" t="n">
        <f aca="false">x_EMP*x_WAGE*(x_WLOSS*(N45+O45)+P45)+Q45*x_absd*x_WAGE/365</f>
        <v>211000346.11097</v>
      </c>
      <c r="AE45" s="0" t="n">
        <f aca="false">AD45*x_R_FUS</f>
        <v>66760509.5095108</v>
      </c>
      <c r="AF45" s="0" t="n">
        <f aca="false">AD45*x_R_NFZ</f>
        <v>16386497.879324</v>
      </c>
      <c r="AG45" s="0" t="n">
        <f aca="false">AD45*x_R_PIT</f>
        <v>14028183.6922114</v>
      </c>
      <c r="AH45" s="0" t="n">
        <f aca="false">AD45*x_R_FP</f>
        <v>5380508.82582972</v>
      </c>
      <c r="AI45" s="0" t="n">
        <f aca="false">W45+X45+Y45+Z45</f>
        <v>669369004.001802</v>
      </c>
      <c r="AJ45" s="0" t="n">
        <f aca="false">AI45+AA45+AB45+AC45+AE45+AF45+AG45+AH45</f>
        <v>806170160.744749</v>
      </c>
      <c r="AK45" s="0" t="n">
        <f aca="false">AI45+AA45+AD45</f>
        <v>880369350.112772</v>
      </c>
      <c r="AL45" s="0" t="n">
        <f aca="false">X45+Y45+Z45</f>
        <v>137833427.610024</v>
      </c>
      <c r="AM45" s="0" t="n">
        <f aca="false">AL45+AA45</f>
        <v>137833427.610024</v>
      </c>
    </row>
    <row r="46" customFormat="false" ht="15" hidden="false" customHeight="false" outlineLevel="0" collapsed="false">
      <c r="A46" s="0" t="n">
        <v>2069</v>
      </c>
      <c r="B46" s="0" t="n">
        <v>43</v>
      </c>
      <c r="C46" s="0" t="n">
        <v>4832</v>
      </c>
      <c r="D46" s="0" t="n">
        <v>0</v>
      </c>
      <c r="E46" s="0" t="n">
        <v>0</v>
      </c>
      <c r="F46" s="0" t="n">
        <v>89258.385</v>
      </c>
      <c r="G46" s="0" t="n">
        <v>11826.324</v>
      </c>
      <c r="H46" s="0" t="n">
        <v>1292.153</v>
      </c>
      <c r="I46" s="0" t="n">
        <v>783.401</v>
      </c>
      <c r="J46" s="0" t="n">
        <v>473.921</v>
      </c>
      <c r="K46" s="0" t="n">
        <v>114255.793</v>
      </c>
      <c r="L46" s="0" t="n">
        <v>8596.126</v>
      </c>
      <c r="M46" s="0" t="n">
        <v>58.81</v>
      </c>
      <c r="N46" s="0" t="n">
        <v>758.22</v>
      </c>
      <c r="O46" s="0" t="n">
        <v>382.387</v>
      </c>
      <c r="P46" s="0" t="n">
        <v>1283.04</v>
      </c>
      <c r="Q46" s="0" t="n">
        <v>101084.709</v>
      </c>
      <c r="R46" s="0" t="n">
        <v>164779.928</v>
      </c>
      <c r="S46" s="0" t="n">
        <v>260.535</v>
      </c>
      <c r="T46" s="0" t="n">
        <v>239.603</v>
      </c>
      <c r="U46" s="0" t="n">
        <v>58.81</v>
      </c>
      <c r="V46" s="0" t="n">
        <v>368.225</v>
      </c>
      <c r="W46" s="0" t="n">
        <f aca="false">F46*x_c_F+G46*x_c_CC+H46*x_c_DC+I46*x_c_HCC+J46*x_c_PLT+K46*x_c_SVRn+L46*x_c_SVRcc+M46*x_c_LT</f>
        <v>529629535.42151</v>
      </c>
      <c r="X46" s="0" t="n">
        <f aca="false">C46*x_c_DAA</f>
        <v>109976320</v>
      </c>
      <c r="Y46" s="0" t="n">
        <f aca="false">C46*x_c_MON</f>
        <v>27857107.6100244</v>
      </c>
      <c r="Z46" s="0" t="n">
        <f aca="false">D46</f>
        <v>0</v>
      </c>
      <c r="AA46" s="0" t="n">
        <f aca="false">E46</f>
        <v>0</v>
      </c>
      <c r="AB46" s="0" t="n">
        <f aca="false">x_z_F*Q46+(1-x_AGRI)*x_EMP*x_WLOSS*(x_PEN_K74*N46+x_PEN_C22*O46)</f>
        <v>32224681.8687019</v>
      </c>
      <c r="AC46" s="0" t="n">
        <f aca="false">x_AGRI*x_EMP*x_WLOSS*(x_PEN_K74*N46+x_PEN_C22*O46)</f>
        <v>1755024.42588652</v>
      </c>
      <c r="AD46" s="0" t="n">
        <f aca="false">x_EMP*x_WAGE*(x_WLOSS*(N46+O46)+P46)+Q46*x_absd*x_WAGE/365</f>
        <v>209323938.397096</v>
      </c>
      <c r="AE46" s="0" t="n">
        <f aca="false">AD46*x_R_FUS</f>
        <v>66230094.1088413</v>
      </c>
      <c r="AF46" s="0" t="n">
        <f aca="false">AD46*x_R_NFZ</f>
        <v>16256306.3798569</v>
      </c>
      <c r="AG46" s="0" t="n">
        <f aca="false">AD46*x_R_PIT</f>
        <v>13916729.110327</v>
      </c>
      <c r="AH46" s="0" t="n">
        <f aca="false">AD46*x_R_FP</f>
        <v>5337760.42912596</v>
      </c>
      <c r="AI46" s="0" t="n">
        <f aca="false">W46+X46+Y46+Z46</f>
        <v>667462963.031534</v>
      </c>
      <c r="AJ46" s="0" t="n">
        <f aca="false">AI46+AA46+AB46+AC46+AE46+AF46+AG46+AH46</f>
        <v>803183559.354274</v>
      </c>
      <c r="AK46" s="0" t="n">
        <f aca="false">AI46+AA46+AD46</f>
        <v>876786901.428631</v>
      </c>
      <c r="AL46" s="0" t="n">
        <f aca="false">X46+Y46+Z46</f>
        <v>137833427.610024</v>
      </c>
      <c r="AM46" s="0" t="n">
        <f aca="false">AL46+AA46</f>
        <v>137833427.610024</v>
      </c>
    </row>
    <row r="47" customFormat="false" ht="15" hidden="false" customHeight="false" outlineLevel="0" collapsed="false">
      <c r="A47" s="0" t="n">
        <v>2070</v>
      </c>
      <c r="B47" s="0" t="n">
        <v>44</v>
      </c>
      <c r="C47" s="0" t="n">
        <v>4832</v>
      </c>
      <c r="D47" s="0" t="n">
        <v>0</v>
      </c>
      <c r="E47" s="0" t="n">
        <v>0</v>
      </c>
      <c r="F47" s="0" t="n">
        <v>88998.867</v>
      </c>
      <c r="G47" s="0" t="n">
        <v>11798.034</v>
      </c>
      <c r="H47" s="0" t="n">
        <v>1287.634</v>
      </c>
      <c r="I47" s="0" t="n">
        <v>780.698</v>
      </c>
      <c r="J47" s="0" t="n">
        <v>459.475</v>
      </c>
      <c r="K47" s="0" t="n">
        <v>116299.753</v>
      </c>
      <c r="L47" s="0" t="n">
        <v>8529.003</v>
      </c>
      <c r="M47" s="0" t="n">
        <v>58.925</v>
      </c>
      <c r="N47" s="0" t="n">
        <v>751.723</v>
      </c>
      <c r="O47" s="0" t="n">
        <v>379.112</v>
      </c>
      <c r="P47" s="0" t="n">
        <v>1273.347</v>
      </c>
      <c r="Q47" s="0" t="n">
        <v>100796.901</v>
      </c>
      <c r="R47" s="0" t="n">
        <v>166099.027</v>
      </c>
      <c r="S47" s="0" t="n">
        <v>260.696</v>
      </c>
      <c r="T47" s="0" t="n">
        <v>239.79</v>
      </c>
      <c r="U47" s="0" t="n">
        <v>58.925</v>
      </c>
      <c r="V47" s="0" t="n">
        <v>368.502</v>
      </c>
      <c r="W47" s="0" t="n">
        <f aca="false">F47*x_c_F+G47*x_c_CC+H47*x_c_DC+I47*x_c_HCC+J47*x_c_PLT+K47*x_c_SVRn+L47*x_c_SVRcc+M47*x_c_LT</f>
        <v>529105040.135063</v>
      </c>
      <c r="X47" s="0" t="n">
        <f aca="false">C47*x_c_DAA</f>
        <v>109976320</v>
      </c>
      <c r="Y47" s="0" t="n">
        <f aca="false">C47*x_c_MON</f>
        <v>27857107.6100244</v>
      </c>
      <c r="Z47" s="0" t="n">
        <f aca="false">D47</f>
        <v>0</v>
      </c>
      <c r="AA47" s="0" t="n">
        <f aca="false">E47</f>
        <v>0</v>
      </c>
      <c r="AB47" s="0" t="n">
        <f aca="false">x_z_F*Q47+(1-x_AGRI)*x_EMP*x_WLOSS*(x_PEN_K74*N47+x_PEN_C22*O47)</f>
        <v>31981054.0864636</v>
      </c>
      <c r="AC47" s="0" t="n">
        <f aca="false">x_AGRI*x_EMP*x_WLOSS*(x_PEN_K74*N47+x_PEN_C22*O47)</f>
        <v>1739988.69651215</v>
      </c>
      <c r="AD47" s="0" t="n">
        <f aca="false">x_EMP*x_WAGE*(x_WLOSS*(N47+O47)+P47)+Q47*x_absd*x_WAGE/365</f>
        <v>207656705.042056</v>
      </c>
      <c r="AE47" s="0" t="n">
        <f aca="false">AD47*x_R_FUS</f>
        <v>65702581.4753066</v>
      </c>
      <c r="AF47" s="0" t="n">
        <f aca="false">AD47*x_R_NFZ</f>
        <v>16126827.3702711</v>
      </c>
      <c r="AG47" s="0" t="n">
        <f aca="false">AD47*x_R_PIT</f>
        <v>13805884.4781102</v>
      </c>
      <c r="AH47" s="0" t="n">
        <f aca="false">AD47*x_R_FP</f>
        <v>5295245.97857243</v>
      </c>
      <c r="AI47" s="0" t="n">
        <f aca="false">W47+X47+Y47+Z47</f>
        <v>666938467.745087</v>
      </c>
      <c r="AJ47" s="0" t="n">
        <f aca="false">AI47+AA47+AB47+AC47+AE47+AF47+AG47+AH47</f>
        <v>801590049.830323</v>
      </c>
      <c r="AK47" s="0" t="n">
        <f aca="false">AI47+AA47+AD47</f>
        <v>874595172.787143</v>
      </c>
      <c r="AL47" s="0" t="n">
        <f aca="false">X47+Y47+Z47</f>
        <v>137833427.610024</v>
      </c>
      <c r="AM47" s="0" t="n">
        <f aca="false">AL47+AA47</f>
        <v>137833427.610024</v>
      </c>
    </row>
    <row r="48" customFormat="false" ht="15" hidden="false" customHeight="false" outlineLevel="0" collapsed="false">
      <c r="A48" s="0" t="n">
        <v>2071</v>
      </c>
      <c r="B48" s="0" t="n">
        <v>45</v>
      </c>
      <c r="C48" s="0" t="n">
        <v>4832</v>
      </c>
      <c r="D48" s="0" t="n">
        <v>0</v>
      </c>
      <c r="E48" s="0" t="n">
        <v>0</v>
      </c>
      <c r="F48" s="0" t="n">
        <v>88763.01</v>
      </c>
      <c r="G48" s="0" t="n">
        <v>11799.966</v>
      </c>
      <c r="H48" s="0" t="n">
        <v>1289.821</v>
      </c>
      <c r="I48" s="0" t="n">
        <v>781.849</v>
      </c>
      <c r="J48" s="0" t="n">
        <v>451.774</v>
      </c>
      <c r="K48" s="0" t="n">
        <v>118472.17</v>
      </c>
      <c r="L48" s="0" t="n">
        <v>8536.891</v>
      </c>
      <c r="M48" s="0" t="n">
        <v>59.306</v>
      </c>
      <c r="N48" s="0" t="n">
        <v>745.349</v>
      </c>
      <c r="O48" s="0" t="n">
        <v>375.909</v>
      </c>
      <c r="P48" s="0" t="n">
        <v>1263.688</v>
      </c>
      <c r="Q48" s="0" t="n">
        <v>100562.976</v>
      </c>
      <c r="R48" s="0" t="n">
        <v>167605.38</v>
      </c>
      <c r="S48" s="0" t="n">
        <v>261.603</v>
      </c>
      <c r="T48" s="0" t="n">
        <v>240.777</v>
      </c>
      <c r="U48" s="0" t="n">
        <v>59.306</v>
      </c>
      <c r="V48" s="0" t="n">
        <v>370.596</v>
      </c>
      <c r="W48" s="0" t="n">
        <f aca="false">F48*x_c_F+G48*x_c_CC+H48*x_c_DC+I48*x_c_HCC+J48*x_c_PLT+K48*x_c_SVRn+L48*x_c_SVRcc+M48*x_c_LT</f>
        <v>529767410.368143</v>
      </c>
      <c r="X48" s="0" t="n">
        <f aca="false">C48*x_c_DAA</f>
        <v>109976320</v>
      </c>
      <c r="Y48" s="0" t="n">
        <f aca="false">C48*x_c_MON</f>
        <v>27857107.6100244</v>
      </c>
      <c r="Z48" s="0" t="n">
        <f aca="false">D48</f>
        <v>0</v>
      </c>
      <c r="AA48" s="0" t="n">
        <f aca="false">E48</f>
        <v>0</v>
      </c>
      <c r="AB48" s="0" t="n">
        <f aca="false">x_z_F*Q48+(1-x_AGRI)*x_EMP*x_WLOSS*(x_PEN_K74*N48+x_PEN_C22*O48)</f>
        <v>31745009.6828759</v>
      </c>
      <c r="AC48" s="0" t="n">
        <f aca="false">x_AGRI*x_EMP*x_WLOSS*(x_PEN_K74*N48+x_PEN_C22*O48)</f>
        <v>1725254.33946776</v>
      </c>
      <c r="AD48" s="0" t="n">
        <f aca="false">x_EMP*x_WAGE*(x_WLOSS*(N48+O48)+P48)+Q48*x_absd*x_WAGE/365</f>
        <v>206010426.29719</v>
      </c>
      <c r="AE48" s="0" t="n">
        <f aca="false">AD48*x_R_FUS</f>
        <v>65181698.8804308</v>
      </c>
      <c r="AF48" s="0" t="n">
        <f aca="false">AD48*x_R_NFZ</f>
        <v>15998975.716666</v>
      </c>
      <c r="AG48" s="0" t="n">
        <f aca="false">AD48*x_R_PIT</f>
        <v>13696432.9958391</v>
      </c>
      <c r="AH48" s="0" t="n">
        <f aca="false">AD48*x_R_FP</f>
        <v>5253265.87057833</v>
      </c>
      <c r="AI48" s="0" t="n">
        <f aca="false">W48+X48+Y48+Z48</f>
        <v>667600837.978167</v>
      </c>
      <c r="AJ48" s="0" t="n">
        <f aca="false">AI48+AA48+AB48+AC48+AE48+AF48+AG48+AH48</f>
        <v>801201475.464025</v>
      </c>
      <c r="AK48" s="0" t="n">
        <f aca="false">AI48+AA48+AD48</f>
        <v>873611264.275357</v>
      </c>
      <c r="AL48" s="0" t="n">
        <f aca="false">X48+Y48+Z48</f>
        <v>137833427.610024</v>
      </c>
      <c r="AM48" s="0" t="n">
        <f aca="false">AL48+AA48</f>
        <v>137833427.610024</v>
      </c>
    </row>
    <row r="49" customFormat="false" ht="15" hidden="false" customHeight="false" outlineLevel="0" collapsed="false">
      <c r="A49" s="0" t="n">
        <v>2072</v>
      </c>
      <c r="B49" s="0" t="n">
        <v>46</v>
      </c>
      <c r="C49" s="0" t="n">
        <v>4832</v>
      </c>
      <c r="D49" s="0" t="n">
        <v>0</v>
      </c>
      <c r="E49" s="0" t="n">
        <v>0</v>
      </c>
      <c r="F49" s="0" t="n">
        <v>88547.757</v>
      </c>
      <c r="G49" s="0" t="n">
        <v>11824.005</v>
      </c>
      <c r="H49" s="0" t="n">
        <v>1297.422</v>
      </c>
      <c r="I49" s="0" t="n">
        <v>786.135</v>
      </c>
      <c r="J49" s="0" t="n">
        <v>450.097</v>
      </c>
      <c r="K49" s="0" t="n">
        <v>120749.759</v>
      </c>
      <c r="L49" s="0" t="n">
        <v>8613.086</v>
      </c>
      <c r="M49" s="0" t="n">
        <v>59.88</v>
      </c>
      <c r="N49" s="0" t="n">
        <v>739.127</v>
      </c>
      <c r="O49" s="0" t="n">
        <v>372.791</v>
      </c>
      <c r="P49" s="0" t="n">
        <v>1254.106</v>
      </c>
      <c r="Q49" s="0" t="n">
        <v>100371.762</v>
      </c>
      <c r="R49" s="0" t="n">
        <v>169268.933</v>
      </c>
      <c r="S49" s="0" t="n">
        <v>263.04</v>
      </c>
      <c r="T49" s="0" t="n">
        <v>242.35</v>
      </c>
      <c r="U49" s="0" t="n">
        <v>59.88</v>
      </c>
      <c r="V49" s="0" t="n">
        <v>374.055</v>
      </c>
      <c r="W49" s="0" t="n">
        <f aca="false">F49*x_c_F+G49*x_c_CC+H49*x_c_DC+I49*x_c_HCC+J49*x_c_PLT+K49*x_c_SVRn+L49*x_c_SVRcc+M49*x_c_LT</f>
        <v>531414534.790096</v>
      </c>
      <c r="X49" s="0" t="n">
        <f aca="false">C49*x_c_DAA</f>
        <v>109976320</v>
      </c>
      <c r="Y49" s="0" t="n">
        <f aca="false">C49*x_c_MON</f>
        <v>27857107.6100244</v>
      </c>
      <c r="Z49" s="0" t="n">
        <f aca="false">D49</f>
        <v>0</v>
      </c>
      <c r="AA49" s="0" t="n">
        <f aca="false">E49</f>
        <v>0</v>
      </c>
      <c r="AB49" s="0" t="n">
        <f aca="false">x_z_F*Q49+(1-x_AGRI)*x_EMP*x_WLOSS*(x_PEN_K74*N49+x_PEN_C22*O49)</f>
        <v>31516896.1090112</v>
      </c>
      <c r="AC49" s="0" t="n">
        <f aca="false">x_AGRI*x_EMP*x_WLOSS*(x_PEN_K74*N49+x_PEN_C22*O49)</f>
        <v>1710885.76219475</v>
      </c>
      <c r="AD49" s="0" t="n">
        <f aca="false">x_EMP*x_WAGE*(x_WLOSS*(N49+O49)+P49)+Q49*x_absd*x_WAGE/365</f>
        <v>204392052.819422</v>
      </c>
      <c r="AE49" s="0" t="n">
        <f aca="false">AD49*x_R_FUS</f>
        <v>64669645.5120653</v>
      </c>
      <c r="AF49" s="0" t="n">
        <f aca="false">AD49*x_R_NFZ</f>
        <v>15873291.2140092</v>
      </c>
      <c r="AG49" s="0" t="n">
        <f aca="false">AD49*x_R_PIT</f>
        <v>13588836.7721969</v>
      </c>
      <c r="AH49" s="0" t="n">
        <f aca="false">AD49*x_R_FP</f>
        <v>5211997.34689527</v>
      </c>
      <c r="AI49" s="0" t="n">
        <f aca="false">W49+X49+Y49+Z49</f>
        <v>669247962.400121</v>
      </c>
      <c r="AJ49" s="0" t="n">
        <f aca="false">AI49+AA49+AB49+AC49+AE49+AF49+AG49+AH49</f>
        <v>801819515.116493</v>
      </c>
      <c r="AK49" s="0" t="n">
        <f aca="false">AI49+AA49+AD49</f>
        <v>873640015.219543</v>
      </c>
      <c r="AL49" s="0" t="n">
        <f aca="false">X49+Y49+Z49</f>
        <v>137833427.610024</v>
      </c>
      <c r="AM49" s="0" t="n">
        <f aca="false">AL49+AA49</f>
        <v>137833427.610024</v>
      </c>
    </row>
    <row r="50" customFormat="false" ht="15" hidden="false" customHeight="false" outlineLevel="0" collapsed="false">
      <c r="A50" s="0" t="n">
        <v>2073</v>
      </c>
      <c r="B50" s="0" t="n">
        <v>47</v>
      </c>
      <c r="C50" s="0" t="n">
        <v>4832</v>
      </c>
      <c r="D50" s="0" t="n">
        <v>0</v>
      </c>
      <c r="E50" s="0" t="n">
        <v>0</v>
      </c>
      <c r="F50" s="0" t="n">
        <v>88349.917</v>
      </c>
      <c r="G50" s="0" t="n">
        <v>11861.989</v>
      </c>
      <c r="H50" s="0" t="n">
        <v>1308.97</v>
      </c>
      <c r="I50" s="0" t="n">
        <v>792.729</v>
      </c>
      <c r="J50" s="0" t="n">
        <v>453.412</v>
      </c>
      <c r="K50" s="0" t="n">
        <v>123100.347</v>
      </c>
      <c r="L50" s="0" t="n">
        <v>8746.451</v>
      </c>
      <c r="M50" s="0" t="n">
        <v>60.588</v>
      </c>
      <c r="N50" s="0" t="n">
        <v>733.08</v>
      </c>
      <c r="O50" s="0" t="n">
        <v>369.77</v>
      </c>
      <c r="P50" s="0" t="n">
        <v>1244.643</v>
      </c>
      <c r="Q50" s="0" t="n">
        <v>100211.907</v>
      </c>
      <c r="R50" s="0" t="n">
        <v>171049.651</v>
      </c>
      <c r="S50" s="0" t="n">
        <v>264.826</v>
      </c>
      <c r="T50" s="0" t="n">
        <v>244.323</v>
      </c>
      <c r="U50" s="0" t="n">
        <v>60.588</v>
      </c>
      <c r="V50" s="0" t="n">
        <v>378.478</v>
      </c>
      <c r="W50" s="0" t="n">
        <f aca="false">F50*x_c_F+G50*x_c_CC+H50*x_c_DC+I50*x_c_HCC+J50*x_c_PLT+K50*x_c_SVRn+L50*x_c_SVRcc+M50*x_c_LT</f>
        <v>533811029.394839</v>
      </c>
      <c r="X50" s="0" t="n">
        <f aca="false">C50*x_c_DAA</f>
        <v>109976320</v>
      </c>
      <c r="Y50" s="0" t="n">
        <f aca="false">C50*x_c_MON</f>
        <v>27857107.6100244</v>
      </c>
      <c r="Z50" s="0" t="n">
        <f aca="false">D50</f>
        <v>0</v>
      </c>
      <c r="AA50" s="0" t="n">
        <f aca="false">E50</f>
        <v>0</v>
      </c>
      <c r="AB50" s="0" t="n">
        <f aca="false">x_z_F*Q50+(1-x_AGRI)*x_EMP*x_WLOSS*(x_PEN_K74*N50+x_PEN_C22*O50)</f>
        <v>31296891.8547243</v>
      </c>
      <c r="AC50" s="0" t="n">
        <f aca="false">x_AGRI*x_EMP*x_WLOSS*(x_PEN_K74*N50+x_PEN_C22*O50)</f>
        <v>1696936.87181712</v>
      </c>
      <c r="AD50" s="0" t="n">
        <f aca="false">x_EMP*x_WAGE*(x_WLOSS*(N50+O50)+P50)+Q50*x_absd*x_WAGE/365</f>
        <v>202807848.404881</v>
      </c>
      <c r="AE50" s="0" t="n">
        <f aca="false">AD50*x_R_FUS</f>
        <v>64168403.2353043</v>
      </c>
      <c r="AF50" s="0" t="n">
        <f aca="false">AD50*x_R_NFZ</f>
        <v>15750260.3149714</v>
      </c>
      <c r="AG50" s="0" t="n">
        <f aca="false">AD50*x_R_PIT</f>
        <v>13483512.2504944</v>
      </c>
      <c r="AH50" s="0" t="n">
        <f aca="false">AD50*x_R_FP</f>
        <v>5171600.13432446</v>
      </c>
      <c r="AI50" s="0" t="n">
        <f aca="false">W50+X50+Y50+Z50</f>
        <v>671644457.004863</v>
      </c>
      <c r="AJ50" s="0" t="n">
        <f aca="false">AI50+AA50+AB50+AC50+AE50+AF50+AG50+AH50</f>
        <v>803212061.666499</v>
      </c>
      <c r="AK50" s="0" t="n">
        <f aca="false">AI50+AA50+AD50</f>
        <v>874452305.409744</v>
      </c>
      <c r="AL50" s="0" t="n">
        <f aca="false">X50+Y50+Z50</f>
        <v>137833427.610024</v>
      </c>
      <c r="AM50" s="0" t="n">
        <f aca="false">AL50+AA50</f>
        <v>137833427.610024</v>
      </c>
    </row>
    <row r="51" customFormat="false" ht="15" hidden="false" customHeight="false" outlineLevel="0" collapsed="false">
      <c r="A51" s="0" t="n">
        <v>2074</v>
      </c>
      <c r="B51" s="0" t="n">
        <v>48</v>
      </c>
      <c r="C51" s="0" t="n">
        <v>4832</v>
      </c>
      <c r="D51" s="0" t="n">
        <v>0</v>
      </c>
      <c r="E51" s="0" t="n">
        <v>0</v>
      </c>
      <c r="F51" s="0" t="n">
        <v>88166.866</v>
      </c>
      <c r="G51" s="0" t="n">
        <v>11907.305</v>
      </c>
      <c r="H51" s="0" t="n">
        <v>1323.195</v>
      </c>
      <c r="I51" s="0" t="n">
        <v>800.913</v>
      </c>
      <c r="J51" s="0" t="n">
        <v>460.745</v>
      </c>
      <c r="K51" s="0" t="n">
        <v>125493.9</v>
      </c>
      <c r="L51" s="0" t="n">
        <v>8926.159</v>
      </c>
      <c r="M51" s="0" t="n">
        <v>60.567</v>
      </c>
      <c r="N51" s="0" t="n">
        <v>727.229</v>
      </c>
      <c r="O51" s="0" t="n">
        <v>366.856</v>
      </c>
      <c r="P51" s="0" t="n">
        <v>1235.34</v>
      </c>
      <c r="Q51" s="0" t="n">
        <v>100074.171</v>
      </c>
      <c r="R51" s="0" t="n">
        <v>172910.769</v>
      </c>
      <c r="S51" s="0" t="n">
        <v>264.407</v>
      </c>
      <c r="T51" s="0" t="n">
        <v>243.942</v>
      </c>
      <c r="U51" s="0" t="n">
        <v>60.567</v>
      </c>
      <c r="V51" s="0" t="n">
        <v>377.921</v>
      </c>
      <c r="W51" s="0" t="n">
        <f aca="false">F51*x_c_F+G51*x_c_CC+H51*x_c_DC+I51*x_c_HCC+J51*x_c_PLT+K51*x_c_SVRn+L51*x_c_SVRcc+M51*x_c_LT</f>
        <v>536470366.752486</v>
      </c>
      <c r="X51" s="0" t="n">
        <f aca="false">C51*x_c_DAA</f>
        <v>109976320</v>
      </c>
      <c r="Y51" s="0" t="n">
        <f aca="false">C51*x_c_MON</f>
        <v>27857107.6100244</v>
      </c>
      <c r="Z51" s="0" t="n">
        <f aca="false">D51</f>
        <v>0</v>
      </c>
      <c r="AA51" s="0" t="n">
        <f aca="false">E51</f>
        <v>0</v>
      </c>
      <c r="AB51" s="0" t="n">
        <f aca="false">x_z_F*Q51+(1-x_AGRI)*x_EMP*x_WLOSS*(x_PEN_K74*N51+x_PEN_C22*O51)</f>
        <v>31085198.8184214</v>
      </c>
      <c r="AC51" s="0" t="n">
        <f aca="false">x_AGRI*x_EMP*x_WLOSS*(x_PEN_K74*N51+x_PEN_C22*O51)</f>
        <v>1683455.28843318</v>
      </c>
      <c r="AD51" s="0" t="n">
        <f aca="false">x_EMP*x_WAGE*(x_WLOSS*(N51+O51)+P51)+Q51*x_absd*x_WAGE/365</f>
        <v>201263706.595916</v>
      </c>
      <c r="AE51" s="0" t="n">
        <f aca="false">AD51*x_R_FUS</f>
        <v>63679836.7669478</v>
      </c>
      <c r="AF51" s="0" t="n">
        <f aca="false">AD51*x_R_NFZ</f>
        <v>15630340.7179454</v>
      </c>
      <c r="AG51" s="0" t="n">
        <f aca="false">AD51*x_R_PIT</f>
        <v>13380851.2580258</v>
      </c>
      <c r="AH51" s="0" t="n">
        <f aca="false">AD51*x_R_FP</f>
        <v>5132224.51819586</v>
      </c>
      <c r="AI51" s="0" t="n">
        <f aca="false">W51+X51+Y51+Z51</f>
        <v>674303794.36251</v>
      </c>
      <c r="AJ51" s="0" t="n">
        <f aca="false">AI51+AA51+AB51+AC51+AE51+AF51+AG51+AH51</f>
        <v>804895701.73048</v>
      </c>
      <c r="AK51" s="0" t="n">
        <f aca="false">AI51+AA51+AD51</f>
        <v>875567500.958426</v>
      </c>
      <c r="AL51" s="0" t="n">
        <f aca="false">X51+Y51+Z51</f>
        <v>137833427.610024</v>
      </c>
      <c r="AM51" s="0" t="n">
        <f aca="false">AL51+AA51</f>
        <v>137833427.610024</v>
      </c>
    </row>
    <row r="52" customFormat="false" ht="15" hidden="false" customHeight="false" outlineLevel="0" collapsed="false">
      <c r="A52" s="0" t="n">
        <v>2075</v>
      </c>
      <c r="B52" s="0" t="n">
        <v>49</v>
      </c>
      <c r="C52" s="0" t="n">
        <v>4832</v>
      </c>
      <c r="D52" s="0" t="n">
        <v>0</v>
      </c>
      <c r="E52" s="0" t="n">
        <v>0</v>
      </c>
      <c r="F52" s="0" t="n">
        <v>87963.142</v>
      </c>
      <c r="G52" s="0" t="n">
        <v>11888.551</v>
      </c>
      <c r="H52" s="0" t="n">
        <v>1322.461</v>
      </c>
      <c r="I52" s="0" t="n">
        <v>800.121</v>
      </c>
      <c r="J52" s="0" t="n">
        <v>453.213</v>
      </c>
      <c r="K52" s="0" t="n">
        <v>127325.033</v>
      </c>
      <c r="L52" s="0" t="n">
        <v>8894.102</v>
      </c>
      <c r="M52" s="0" t="n">
        <v>61.671</v>
      </c>
      <c r="N52" s="0" t="n">
        <v>721.593</v>
      </c>
      <c r="O52" s="0" t="n">
        <v>364.058</v>
      </c>
      <c r="P52" s="0" t="n">
        <v>1226.235</v>
      </c>
      <c r="Q52" s="0" t="n">
        <v>99851.694</v>
      </c>
      <c r="R52" s="0" t="n">
        <v>174139.627</v>
      </c>
      <c r="S52" s="0" t="n">
        <v>267.287</v>
      </c>
      <c r="T52" s="0" t="n">
        <v>247.16</v>
      </c>
      <c r="U52" s="0" t="n">
        <v>61.671</v>
      </c>
      <c r="V52" s="0" t="n">
        <v>385.214</v>
      </c>
      <c r="W52" s="0" t="n">
        <f aca="false">F52*x_c_F+G52*x_c_CC+H52*x_c_DC+I52*x_c_HCC+J52*x_c_PLT+K52*x_c_SVRn+L52*x_c_SVRcc+M52*x_c_LT</f>
        <v>536875681.136828</v>
      </c>
      <c r="X52" s="0" t="n">
        <f aca="false">C52*x_c_DAA</f>
        <v>109976320</v>
      </c>
      <c r="Y52" s="0" t="n">
        <f aca="false">C52*x_c_MON</f>
        <v>27857107.6100244</v>
      </c>
      <c r="Z52" s="0" t="n">
        <f aca="false">D52</f>
        <v>0</v>
      </c>
      <c r="AA52" s="0" t="n">
        <f aca="false">E52</f>
        <v>0</v>
      </c>
      <c r="AB52" s="0" t="n">
        <f aca="false">x_z_F*Q52+(1-x_AGRI)*x_EMP*x_WLOSS*(x_PEN_K74*N52+x_PEN_C22*O52)</f>
        <v>30876470.6582374</v>
      </c>
      <c r="AC52" s="0" t="n">
        <f aca="false">x_AGRI*x_EMP*x_WLOSS*(x_PEN_K74*N52+x_PEN_C22*O52)</f>
        <v>1670484.01726754</v>
      </c>
      <c r="AD52" s="0" t="n">
        <f aca="false">x_EMP*x_WAGE*(x_WLOSS*(N52+O52)+P52)+Q52*x_absd*x_WAGE/365</f>
        <v>199762418.712844</v>
      </c>
      <c r="AE52" s="0" t="n">
        <f aca="false">AD52*x_R_FUS</f>
        <v>63204829.2807439</v>
      </c>
      <c r="AF52" s="0" t="n">
        <f aca="false">AD52*x_R_NFZ</f>
        <v>15513749.1996582</v>
      </c>
      <c r="AG52" s="0" t="n">
        <f aca="false">AD52*x_R_PIT</f>
        <v>13281039.3734161</v>
      </c>
      <c r="AH52" s="0" t="n">
        <f aca="false">AD52*x_R_FP</f>
        <v>5093941.67717753</v>
      </c>
      <c r="AI52" s="0" t="n">
        <f aca="false">W52+X52+Y52+Z52</f>
        <v>674709108.746853</v>
      </c>
      <c r="AJ52" s="0" t="n">
        <f aca="false">AI52+AA52+AB52+AC52+AE52+AF52+AG52+AH52</f>
        <v>804349622.953353</v>
      </c>
      <c r="AK52" s="0" t="n">
        <f aca="false">AI52+AA52+AD52</f>
        <v>874471527.459697</v>
      </c>
      <c r="AL52" s="0" t="n">
        <f aca="false">X52+Y52+Z52</f>
        <v>137833427.610024</v>
      </c>
      <c r="AM52" s="0" t="n">
        <f aca="false">AL52+AA52</f>
        <v>137833427.610024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1" t="s">
        <v>481</v>
      </c>
    </row>
    <row r="2" customFormat="false" ht="28.35" hidden="false" customHeight="false" outlineLevel="0" collapsed="false">
      <c r="A2" s="3" t="s">
        <v>309</v>
      </c>
      <c r="B2" s="3" t="s">
        <v>444</v>
      </c>
      <c r="C2" s="3" t="s">
        <v>445</v>
      </c>
      <c r="D2" s="3" t="s">
        <v>446</v>
      </c>
      <c r="E2" s="3" t="s">
        <v>447</v>
      </c>
      <c r="F2" s="3" t="s">
        <v>448</v>
      </c>
      <c r="G2" s="3" t="s">
        <v>449</v>
      </c>
      <c r="H2" s="3" t="s">
        <v>450</v>
      </c>
      <c r="I2" s="3" t="s">
        <v>451</v>
      </c>
      <c r="J2" s="3" t="s">
        <v>452</v>
      </c>
      <c r="K2" s="3" t="s">
        <v>453</v>
      </c>
      <c r="L2" s="3" t="s">
        <v>454</v>
      </c>
      <c r="M2" s="3" t="s">
        <v>455</v>
      </c>
      <c r="N2" s="3" t="s">
        <v>456</v>
      </c>
      <c r="O2" s="3" t="s">
        <v>457</v>
      </c>
      <c r="P2" s="3" t="s">
        <v>458</v>
      </c>
      <c r="Q2" s="3" t="s">
        <v>459</v>
      </c>
      <c r="R2" s="3" t="s">
        <v>460</v>
      </c>
      <c r="S2" s="3" t="s">
        <v>461</v>
      </c>
      <c r="T2" s="3" t="s">
        <v>462</v>
      </c>
      <c r="U2" s="3" t="s">
        <v>463</v>
      </c>
      <c r="V2" s="3" t="s">
        <v>464</v>
      </c>
      <c r="W2" s="3" t="s">
        <v>465</v>
      </c>
      <c r="X2" s="3" t="s">
        <v>466</v>
      </c>
      <c r="Y2" s="3" t="s">
        <v>467</v>
      </c>
      <c r="Z2" s="3" t="s">
        <v>468</v>
      </c>
      <c r="AA2" s="3" t="s">
        <v>469</v>
      </c>
      <c r="AB2" s="3" t="s">
        <v>244</v>
      </c>
      <c r="AC2" s="3" t="s">
        <v>295</v>
      </c>
      <c r="AD2" s="3" t="s">
        <v>470</v>
      </c>
      <c r="AE2" s="3" t="s">
        <v>471</v>
      </c>
      <c r="AF2" s="3" t="s">
        <v>472</v>
      </c>
      <c r="AG2" s="3" t="s">
        <v>473</v>
      </c>
      <c r="AH2" s="3" t="s">
        <v>474</v>
      </c>
      <c r="AI2" s="3" t="s">
        <v>123</v>
      </c>
      <c r="AJ2" s="3" t="s">
        <v>475</v>
      </c>
      <c r="AK2" s="3" t="s">
        <v>476</v>
      </c>
      <c r="AL2" s="3" t="s">
        <v>477</v>
      </c>
      <c r="AM2" s="3" t="s">
        <v>478</v>
      </c>
    </row>
    <row r="3" customFormat="false" ht="15" hidden="false" customHeight="false" outlineLevel="0" collapsed="false">
      <c r="A3" s="0" t="n">
        <v>2026</v>
      </c>
      <c r="B3" s="0" t="n">
        <v>0</v>
      </c>
      <c r="C3" s="0" t="n">
        <v>8538.953</v>
      </c>
      <c r="D3" s="0" t="n">
        <v>83333333.333</v>
      </c>
      <c r="E3" s="0" t="n">
        <v>666666.667</v>
      </c>
      <c r="F3" s="0" t="n">
        <v>137504.844</v>
      </c>
      <c r="G3" s="0" t="n">
        <v>11981.593</v>
      </c>
      <c r="H3" s="0" t="n">
        <v>1590</v>
      </c>
      <c r="I3" s="0" t="n">
        <v>890</v>
      </c>
      <c r="J3" s="0" t="n">
        <v>1585</v>
      </c>
      <c r="K3" s="0" t="n">
        <v>7775.996</v>
      </c>
      <c r="L3" s="0" t="n">
        <v>677.567</v>
      </c>
      <c r="M3" s="0" t="n">
        <v>74.361</v>
      </c>
      <c r="N3" s="0" t="n">
        <v>3175</v>
      </c>
      <c r="O3" s="0" t="n">
        <v>890</v>
      </c>
      <c r="P3" s="0" t="n">
        <v>0</v>
      </c>
      <c r="Q3" s="0" t="n">
        <v>149486.437</v>
      </c>
      <c r="R3" s="0" t="n">
        <v>113481.235</v>
      </c>
      <c r="S3" s="0" t="n">
        <v>237.597</v>
      </c>
      <c r="T3" s="0" t="n">
        <v>217.901</v>
      </c>
      <c r="U3" s="0" t="n">
        <v>74.361</v>
      </c>
      <c r="V3" s="0" t="n">
        <v>483.521</v>
      </c>
      <c r="W3" s="0" t="n">
        <f aca="false">F3*x_c_F+G3*x_c_CC+H3*x_c_DC+I3*x_c_HCC+J3*x_c_PLT+K3*x_c_SVRn+L3*x_c_SVRcc+M3*x_c_LT</f>
        <v>639114973.875526</v>
      </c>
      <c r="X3" s="0" t="n">
        <f aca="false">C3*x_c_DAA</f>
        <v>194346570.28</v>
      </c>
      <c r="Y3" s="0" t="n">
        <f aca="false">C3*x_c_MON</f>
        <v>49228173.136991</v>
      </c>
      <c r="Z3" s="0" t="n">
        <f aca="false">D3</f>
        <v>83333333.333</v>
      </c>
      <c r="AA3" s="0" t="n">
        <f aca="false">E3</f>
        <v>666666.667</v>
      </c>
      <c r="AB3" s="0" t="n">
        <f aca="false">x_z_F*Q3+(1-x_AGRI)*x_EMP*x_WLOSS*(x_PEN_K74*N3+x_PEN_C22*O3)</f>
        <v>101580762.294158</v>
      </c>
      <c r="AC3" s="0" t="n">
        <f aca="false">x_AGRI*x_EMP*x_WLOSS*(x_PEN_K74*N3+x_PEN_C22*O3)</f>
        <v>6159786.11926482</v>
      </c>
      <c r="AD3" s="0" t="n">
        <f aca="false">x_EMP*x_WAGE*(x_WLOSS*(N3+O3)+P3)+Q3*x_absd*x_WAGE/365</f>
        <v>350550995.101275</v>
      </c>
      <c r="AE3" s="0" t="n">
        <f aca="false">AD3*x_R_FUS</f>
        <v>110914334.850043</v>
      </c>
      <c r="AF3" s="0" t="n">
        <f aca="false">AD3*x_R_NFZ</f>
        <v>27224140.8305601</v>
      </c>
      <c r="AG3" s="0" t="n">
        <f aca="false">AD3*x_R_PIT</f>
        <v>23306093.299875</v>
      </c>
      <c r="AH3" s="0" t="n">
        <f aca="false">AD3*x_R_FP</f>
        <v>8939050.37508251</v>
      </c>
      <c r="AI3" s="0" t="n">
        <f aca="false">W3+X3+Y3+Z3</f>
        <v>966023050.625517</v>
      </c>
      <c r="AJ3" s="0" t="n">
        <f aca="false">AI3+AA3+AB3+AC3+AE3+AF3+AG3+AH3</f>
        <v>1244813885.0615</v>
      </c>
      <c r="AK3" s="0" t="n">
        <f aca="false">AI3+AA3+AD3</f>
        <v>1317240712.39379</v>
      </c>
      <c r="AL3" s="0" t="n">
        <f aca="false">X3+Y3+Z3</f>
        <v>326908076.749991</v>
      </c>
      <c r="AM3" s="0" t="n">
        <f aca="false">AL3+AA3</f>
        <v>327574743.416991</v>
      </c>
    </row>
    <row r="4" customFormat="false" ht="15" hidden="false" customHeight="false" outlineLevel="0" collapsed="false">
      <c r="A4" s="0" t="n">
        <v>2027</v>
      </c>
      <c r="B4" s="0" t="n">
        <v>1</v>
      </c>
      <c r="C4" s="0" t="n">
        <v>11908.846</v>
      </c>
      <c r="D4" s="0" t="n">
        <v>166666666.667</v>
      </c>
      <c r="E4" s="0" t="n">
        <v>1333333.333</v>
      </c>
      <c r="F4" s="0" t="n">
        <v>129689.914</v>
      </c>
      <c r="G4" s="0" t="n">
        <v>12315.668</v>
      </c>
      <c r="H4" s="0" t="n">
        <v>1548.405</v>
      </c>
      <c r="I4" s="0" t="n">
        <v>854.75</v>
      </c>
      <c r="J4" s="0" t="n">
        <v>1504.88</v>
      </c>
      <c r="K4" s="0" t="n">
        <v>18466.55</v>
      </c>
      <c r="L4" s="0" t="n">
        <v>1690.62</v>
      </c>
      <c r="M4" s="0" t="n">
        <v>72.267</v>
      </c>
      <c r="N4" s="0" t="n">
        <v>3127.646</v>
      </c>
      <c r="O4" s="0" t="n">
        <v>854.75</v>
      </c>
      <c r="P4" s="0" t="n">
        <v>483.521</v>
      </c>
      <c r="Q4" s="0" t="n">
        <v>142005.582</v>
      </c>
      <c r="R4" s="0" t="n">
        <v>116867.126</v>
      </c>
      <c r="S4" s="0" t="n">
        <v>248.206</v>
      </c>
      <c r="T4" s="0" t="n">
        <v>226.718</v>
      </c>
      <c r="U4" s="0" t="n">
        <v>72.267</v>
      </c>
      <c r="V4" s="0" t="n">
        <v>478.948</v>
      </c>
      <c r="W4" s="0" t="n">
        <f aca="false">F4*x_c_F+G4*x_c_CC+H4*x_c_DC+I4*x_c_HCC+J4*x_c_PLT+K4*x_c_SVRn+L4*x_c_SVRcc+M4*x_c_LT</f>
        <v>620880163.608958</v>
      </c>
      <c r="X4" s="0" t="n">
        <f aca="false">C4*x_c_DAA</f>
        <v>271045334.96</v>
      </c>
      <c r="Y4" s="0" t="n">
        <f aca="false">C4*x_c_MON</f>
        <v>68656043.9845216</v>
      </c>
      <c r="Z4" s="0" t="n">
        <f aca="false">D4</f>
        <v>166666666.667</v>
      </c>
      <c r="AA4" s="0" t="n">
        <f aca="false">E4</f>
        <v>1333333.333</v>
      </c>
      <c r="AB4" s="0" t="n">
        <f aca="false">x_z_F*Q4+(1-x_AGRI)*x_EMP*x_WLOSS*(x_PEN_K74*N4+x_PEN_C22*O4)</f>
        <v>99215069.0993441</v>
      </c>
      <c r="AC4" s="0" t="n">
        <f aca="false">x_AGRI*x_EMP*x_WLOSS*(x_PEN_K74*N4+x_PEN_C22*O4)</f>
        <v>6031167.93983055</v>
      </c>
      <c r="AD4" s="0" t="n">
        <f aca="false">x_EMP*x_WAGE*(x_WLOSS*(N4+O4)+P4)+Q4*x_absd*x_WAGE/365</f>
        <v>384534846.768333</v>
      </c>
      <c r="AE4" s="0" t="n">
        <f aca="false">AD4*x_R_FUS</f>
        <v>121666825.517501</v>
      </c>
      <c r="AF4" s="0" t="n">
        <f aca="false">AD4*x_R_NFZ</f>
        <v>29863360.7348755</v>
      </c>
      <c r="AG4" s="0" t="n">
        <f aca="false">AD4*x_R_PIT</f>
        <v>25565481.6020327</v>
      </c>
      <c r="AH4" s="0" t="n">
        <f aca="false">AD4*x_R_FP</f>
        <v>9805638.59259249</v>
      </c>
      <c r="AI4" s="0" t="n">
        <f aca="false">W4+X4+Y4+Z4</f>
        <v>1127248209.22048</v>
      </c>
      <c r="AJ4" s="0" t="n">
        <f aca="false">AI4+AA4+AB4+AC4+AE4+AF4+AG4+AH4</f>
        <v>1420729086.03966</v>
      </c>
      <c r="AK4" s="0" t="n">
        <f aca="false">AI4+AA4+AD4</f>
        <v>1513116389.32181</v>
      </c>
      <c r="AL4" s="0" t="n">
        <f aca="false">X4+Y4+Z4</f>
        <v>506368045.611522</v>
      </c>
      <c r="AM4" s="0" t="n">
        <f aca="false">AL4+AA4</f>
        <v>507701378.944522</v>
      </c>
    </row>
    <row r="5" customFormat="false" ht="15" hidden="false" customHeight="false" outlineLevel="0" collapsed="false">
      <c r="A5" s="0" t="n">
        <v>2028</v>
      </c>
      <c r="B5" s="0" t="n">
        <v>2</v>
      </c>
      <c r="C5" s="0" t="n">
        <v>14542.565</v>
      </c>
      <c r="D5" s="0" t="n">
        <v>250000000</v>
      </c>
      <c r="E5" s="0" t="n">
        <v>2000000</v>
      </c>
      <c r="F5" s="0" t="n">
        <v>119573.908</v>
      </c>
      <c r="G5" s="0" t="n">
        <v>12384.2</v>
      </c>
      <c r="H5" s="0" t="n">
        <v>1524.054</v>
      </c>
      <c r="I5" s="0" t="n">
        <v>838.024</v>
      </c>
      <c r="J5" s="0" t="n">
        <v>1488.7</v>
      </c>
      <c r="K5" s="0" t="n">
        <v>31312.705</v>
      </c>
      <c r="L5" s="0" t="n">
        <v>3017.374</v>
      </c>
      <c r="M5" s="0" t="n">
        <v>71.062</v>
      </c>
      <c r="N5" s="0" t="n">
        <v>3085.021</v>
      </c>
      <c r="O5" s="0" t="n">
        <v>838.024</v>
      </c>
      <c r="P5" s="0" t="n">
        <v>959.771</v>
      </c>
      <c r="Q5" s="0" t="n">
        <v>131958.108</v>
      </c>
      <c r="R5" s="0" t="n">
        <v>120335.832</v>
      </c>
      <c r="S5" s="0" t="n">
        <v>254.899</v>
      </c>
      <c r="T5" s="0" t="n">
        <v>233.372</v>
      </c>
      <c r="U5" s="0" t="n">
        <v>71.062</v>
      </c>
      <c r="V5" s="0" t="n">
        <v>470.453</v>
      </c>
      <c r="W5" s="0" t="n">
        <f aca="false">F5*x_c_F+G5*x_c_CC+H5*x_c_DC+I5*x_c_HCC+J5*x_c_PLT+K5*x_c_SVRn+L5*x_c_SVRcc+M5*x_c_LT</f>
        <v>600388575.731111</v>
      </c>
      <c r="X5" s="0" t="n">
        <f aca="false">C5*x_c_DAA</f>
        <v>330988779.4</v>
      </c>
      <c r="Y5" s="0" t="n">
        <f aca="false">C5*x_c_MON</f>
        <v>83839776.1032231</v>
      </c>
      <c r="Z5" s="0" t="n">
        <f aca="false">D5</f>
        <v>250000000</v>
      </c>
      <c r="AA5" s="0" t="n">
        <f aca="false">E5</f>
        <v>2000000</v>
      </c>
      <c r="AB5" s="0" t="n">
        <f aca="false">x_z_F*Q5+(1-x_AGRI)*x_EMP*x_WLOSS*(x_PEN_K74*N5+x_PEN_C22*O5)</f>
        <v>97279227.2739727</v>
      </c>
      <c r="AC5" s="0" t="n">
        <f aca="false">x_AGRI*x_EMP*x_WLOSS*(x_PEN_K74*N5+x_PEN_C22*O5)</f>
        <v>5940482.76787226</v>
      </c>
      <c r="AD5" s="0" t="n">
        <f aca="false">x_EMP*x_WAGE*(x_WLOSS*(N5+O5)+P5)+Q5*x_absd*x_WAGE/365</f>
        <v>419813218.146961</v>
      </c>
      <c r="AE5" s="0" t="n">
        <f aca="false">AD5*x_R_FUS</f>
        <v>132828902.221698</v>
      </c>
      <c r="AF5" s="0" t="n">
        <f aca="false">AD5*x_R_NFZ</f>
        <v>32603114.3345111</v>
      </c>
      <c r="AG5" s="0" t="n">
        <f aca="false">AD5*x_R_PIT</f>
        <v>27910934.9777403</v>
      </c>
      <c r="AH5" s="0" t="n">
        <f aca="false">AD5*x_R_FP</f>
        <v>10705237.0627475</v>
      </c>
      <c r="AI5" s="0" t="n">
        <f aca="false">W5+X5+Y5+Z5</f>
        <v>1265217131.23433</v>
      </c>
      <c r="AJ5" s="0" t="n">
        <f aca="false">AI5+AA5+AB5+AC5+AE5+AF5+AG5+AH5</f>
        <v>1574485029.87288</v>
      </c>
      <c r="AK5" s="0" t="n">
        <f aca="false">AI5+AA5+AD5</f>
        <v>1687030349.38129</v>
      </c>
      <c r="AL5" s="0" t="n">
        <f aca="false">X5+Y5+Z5</f>
        <v>664828555.503223</v>
      </c>
      <c r="AM5" s="0" t="n">
        <f aca="false">AL5+AA5</f>
        <v>666828555.503223</v>
      </c>
    </row>
    <row r="6" customFormat="false" ht="15" hidden="false" customHeight="false" outlineLevel="0" collapsed="false">
      <c r="A6" s="0" t="n">
        <v>2029</v>
      </c>
      <c r="B6" s="0" t="n">
        <v>3</v>
      </c>
      <c r="C6" s="0" t="n">
        <v>13412.57</v>
      </c>
      <c r="D6" s="0" t="n">
        <v>250000000</v>
      </c>
      <c r="E6" s="0" t="n">
        <v>2000000</v>
      </c>
      <c r="F6" s="0" t="n">
        <v>110669.002</v>
      </c>
      <c r="G6" s="0" t="n">
        <v>12442.515</v>
      </c>
      <c r="H6" s="0" t="n">
        <v>1510.014</v>
      </c>
      <c r="I6" s="0" t="n">
        <v>832.396</v>
      </c>
      <c r="J6" s="0" t="n">
        <v>1470.853</v>
      </c>
      <c r="K6" s="0" t="n">
        <v>42896.931</v>
      </c>
      <c r="L6" s="0" t="n">
        <v>4314.235</v>
      </c>
      <c r="M6" s="0" t="n">
        <v>70.383</v>
      </c>
      <c r="N6" s="0" t="n">
        <v>3051.93</v>
      </c>
      <c r="O6" s="0" t="n">
        <v>832.396</v>
      </c>
      <c r="P6" s="0" t="n">
        <v>1424.36</v>
      </c>
      <c r="Q6" s="0" t="n">
        <v>123111.517</v>
      </c>
      <c r="R6" s="0" t="n">
        <v>123684.003</v>
      </c>
      <c r="S6" s="0" t="n">
        <v>261.238</v>
      </c>
      <c r="T6" s="0" t="n">
        <v>239.923</v>
      </c>
      <c r="U6" s="0" t="n">
        <v>70.383</v>
      </c>
      <c r="V6" s="0" t="n">
        <v>466.109</v>
      </c>
      <c r="W6" s="0" t="n">
        <f aca="false">F6*x_c_F+G6*x_c_CC+H6*x_c_DC+I6*x_c_HCC+J6*x_c_PLT+K6*x_c_SVRn+L6*x_c_SVRcc+M6*x_c_LT</f>
        <v>583583354.259537</v>
      </c>
      <c r="X6" s="0" t="n">
        <f aca="false">C6*x_c_DAA</f>
        <v>305270093.2</v>
      </c>
      <c r="Y6" s="0" t="n">
        <f aca="false">C6*x_c_MON</f>
        <v>77325208.1574885</v>
      </c>
      <c r="Z6" s="0" t="n">
        <f aca="false">D6</f>
        <v>250000000</v>
      </c>
      <c r="AA6" s="0" t="n">
        <f aca="false">E6</f>
        <v>2000000</v>
      </c>
      <c r="AB6" s="0" t="n">
        <f aca="false">x_z_F*Q6+(1-x_AGRI)*x_EMP*x_WLOSS*(x_PEN_K74*N6+x_PEN_C22*O6)</f>
        <v>95903765.8779269</v>
      </c>
      <c r="AC6" s="0" t="n">
        <f aca="false">x_AGRI*x_EMP*x_WLOSS*(x_PEN_K74*N6+x_PEN_C22*O6)</f>
        <v>5882383.09267393</v>
      </c>
      <c r="AD6" s="0" t="n">
        <f aca="false">x_EMP*x_WAGE*(x_WLOSS*(N6+O6)+P6)+Q6*x_absd*x_WAGE/365</f>
        <v>455888330.659733</v>
      </c>
      <c r="AE6" s="0" t="n">
        <f aca="false">AD6*x_R_FUS</f>
        <v>144243067.820739</v>
      </c>
      <c r="AF6" s="0" t="n">
        <f aca="false">AD6*x_R_NFZ</f>
        <v>35404743.6473655</v>
      </c>
      <c r="AG6" s="0" t="n">
        <f aca="false">AD6*x_R_PIT</f>
        <v>30309359.0295198</v>
      </c>
      <c r="AH6" s="0" t="n">
        <f aca="false">AD6*x_R_FP</f>
        <v>11625152.4318232</v>
      </c>
      <c r="AI6" s="0" t="n">
        <f aca="false">W6+X6+Y6+Z6</f>
        <v>1216178655.61703</v>
      </c>
      <c r="AJ6" s="0" t="n">
        <f aca="false">AI6+AA6+AB6+AC6+AE6+AF6+AG6+AH6</f>
        <v>1541547127.51707</v>
      </c>
      <c r="AK6" s="0" t="n">
        <f aca="false">AI6+AA6+AD6</f>
        <v>1674066986.27676</v>
      </c>
      <c r="AL6" s="0" t="n">
        <f aca="false">X6+Y6+Z6</f>
        <v>632595301.357489</v>
      </c>
      <c r="AM6" s="0" t="n">
        <f aca="false">AL6+AA6</f>
        <v>634595301.357489</v>
      </c>
    </row>
    <row r="7" customFormat="false" ht="15" hidden="false" customHeight="false" outlineLevel="0" collapsed="false">
      <c r="A7" s="0" t="n">
        <v>2030</v>
      </c>
      <c r="B7" s="0" t="n">
        <v>4</v>
      </c>
      <c r="C7" s="0" t="n">
        <v>12537.309</v>
      </c>
      <c r="D7" s="0" t="n">
        <v>250000000</v>
      </c>
      <c r="E7" s="0" t="n">
        <v>2000000</v>
      </c>
      <c r="F7" s="0" t="n">
        <v>102737.474</v>
      </c>
      <c r="G7" s="0" t="n">
        <v>12447.598</v>
      </c>
      <c r="H7" s="0" t="n">
        <v>1504.015</v>
      </c>
      <c r="I7" s="0" t="n">
        <v>834.553</v>
      </c>
      <c r="J7" s="0" t="n">
        <v>1452.038</v>
      </c>
      <c r="K7" s="0" t="n">
        <v>53481.691</v>
      </c>
      <c r="L7" s="0" t="n">
        <v>5588.336</v>
      </c>
      <c r="M7" s="0" t="n">
        <v>70.109</v>
      </c>
      <c r="N7" s="0" t="n">
        <v>3026.436</v>
      </c>
      <c r="O7" s="0" t="n">
        <v>834.553</v>
      </c>
      <c r="P7" s="0" t="n">
        <v>1880.882</v>
      </c>
      <c r="Q7" s="0" t="n">
        <v>115185.072</v>
      </c>
      <c r="R7" s="0" t="n">
        <v>126922.212</v>
      </c>
      <c r="S7" s="0" t="n">
        <v>266.431</v>
      </c>
      <c r="T7" s="0" t="n">
        <v>245.726</v>
      </c>
      <c r="U7" s="0" t="n">
        <v>70.109</v>
      </c>
      <c r="V7" s="0" t="n">
        <v>464.775</v>
      </c>
      <c r="W7" s="0" t="n">
        <f aca="false">F7*x_c_F+G7*x_c_CC+H7*x_c_DC+I7*x_c_HCC+J7*x_c_PLT+K7*x_c_SVRn+L7*x_c_SVRcc+M7*x_c_LT</f>
        <v>569439561.132609</v>
      </c>
      <c r="X7" s="0" t="n">
        <f aca="false">C7*x_c_DAA</f>
        <v>285349152.84</v>
      </c>
      <c r="Y7" s="0" t="n">
        <f aca="false">C7*x_c_MON</f>
        <v>72279214.8081803</v>
      </c>
      <c r="Z7" s="0" t="n">
        <f aca="false">D7</f>
        <v>250000000</v>
      </c>
      <c r="AA7" s="0" t="n">
        <f aca="false">E7</f>
        <v>2000000</v>
      </c>
      <c r="AB7" s="0" t="n">
        <f aca="false">x_z_F*Q7+(1-x_AGRI)*x_EMP*x_WLOSS*(x_PEN_K74*N7+x_PEN_C22*O7)</f>
        <v>94945999.4440532</v>
      </c>
      <c r="AC7" s="0" t="n">
        <f aca="false">x_AGRI*x_EMP*x_WLOSS*(x_PEN_K74*N7+x_PEN_C22*O7)</f>
        <v>5848479.0489039</v>
      </c>
      <c r="AD7" s="0" t="n">
        <f aca="false">x_EMP*x_WAGE*(x_WLOSS*(N7+O7)+P7)+Q7*x_absd*x_WAGE/365</f>
        <v>492611542.679606</v>
      </c>
      <c r="AE7" s="0" t="n">
        <f aca="false">AD7*x_R_FUS</f>
        <v>155862292.103827</v>
      </c>
      <c r="AF7" s="0" t="n">
        <f aca="false">AD7*x_R_NFZ</f>
        <v>38256705.0160409</v>
      </c>
      <c r="AG7" s="0" t="n">
        <f aca="false">AD7*x_R_PIT</f>
        <v>32750871.4415984</v>
      </c>
      <c r="AH7" s="0" t="n">
        <f aca="false">AD7*x_R_FP</f>
        <v>12561594.3383299</v>
      </c>
      <c r="AI7" s="0" t="n">
        <f aca="false">W7+X7+Y7+Z7</f>
        <v>1177067928.78079</v>
      </c>
      <c r="AJ7" s="0" t="n">
        <f aca="false">AI7+AA7+AB7+AC7+AE7+AF7+AG7+AH7</f>
        <v>1519293870.17354</v>
      </c>
      <c r="AK7" s="0" t="n">
        <f aca="false">AI7+AA7+AD7</f>
        <v>1671679471.46039</v>
      </c>
      <c r="AL7" s="0" t="n">
        <f aca="false">X7+Y7+Z7</f>
        <v>607628367.64818</v>
      </c>
      <c r="AM7" s="0" t="n">
        <f aca="false">AL7+AA7</f>
        <v>609628367.64818</v>
      </c>
    </row>
    <row r="8" customFormat="false" ht="15" hidden="false" customHeight="false" outlineLevel="0" collapsed="false">
      <c r="A8" s="0" t="n">
        <v>2031</v>
      </c>
      <c r="B8" s="0" t="n">
        <v>5</v>
      </c>
      <c r="C8" s="0" t="n">
        <v>11840.89</v>
      </c>
      <c r="D8" s="0" t="n">
        <v>250000000</v>
      </c>
      <c r="E8" s="0" t="n">
        <v>2000000</v>
      </c>
      <c r="F8" s="0" t="n">
        <v>95619.103</v>
      </c>
      <c r="G8" s="0" t="n">
        <v>12373.563</v>
      </c>
      <c r="H8" s="0" t="n">
        <v>1503.485</v>
      </c>
      <c r="I8" s="0" t="n">
        <v>841.519</v>
      </c>
      <c r="J8" s="0" t="n">
        <v>1432.742</v>
      </c>
      <c r="K8" s="0" t="n">
        <v>63254.423</v>
      </c>
      <c r="L8" s="0" t="n">
        <v>6840.926</v>
      </c>
      <c r="M8" s="0" t="n">
        <v>70.101</v>
      </c>
      <c r="N8" s="0" t="n">
        <v>3006.337</v>
      </c>
      <c r="O8" s="0" t="n">
        <v>841.519</v>
      </c>
      <c r="P8" s="0" t="n">
        <v>2331.814</v>
      </c>
      <c r="Q8" s="0" t="n">
        <v>107992.666</v>
      </c>
      <c r="R8" s="0" t="n">
        <v>130064.522</v>
      </c>
      <c r="S8" s="0" t="n">
        <v>269.961</v>
      </c>
      <c r="T8" s="0" t="n">
        <v>250.327</v>
      </c>
      <c r="U8" s="0" t="n">
        <v>70.101</v>
      </c>
      <c r="V8" s="0" t="n">
        <v>465.338</v>
      </c>
      <c r="W8" s="0" t="n">
        <f aca="false">F8*x_c_F+G8*x_c_CC+H8*x_c_DC+I8*x_c_HCC+J8*x_c_PLT+K8*x_c_SVRn+L8*x_c_SVRcc+M8*x_c_LT</f>
        <v>557195196.552586</v>
      </c>
      <c r="X8" s="0" t="n">
        <f aca="false">C8*x_c_DAA</f>
        <v>269498656.4</v>
      </c>
      <c r="Y8" s="0" t="n">
        <f aca="false">C8*x_c_MON</f>
        <v>68264268.8179763</v>
      </c>
      <c r="Z8" s="0" t="n">
        <f aca="false">D8</f>
        <v>250000000</v>
      </c>
      <c r="AA8" s="0" t="n">
        <f aca="false">E8</f>
        <v>2000000</v>
      </c>
      <c r="AB8" s="0" t="n">
        <f aca="false">x_z_F*Q8+(1-x_AGRI)*x_EMP*x_WLOSS*(x_PEN_K74*N8+x_PEN_C22*O8)</f>
        <v>94271179.5972156</v>
      </c>
      <c r="AC8" s="0" t="n">
        <f aca="false">x_AGRI*x_EMP*x_WLOSS*(x_PEN_K74*N8+x_PEN_C22*O8)</f>
        <v>5830554.3757735</v>
      </c>
      <c r="AD8" s="0" t="n">
        <f aca="false">x_EMP*x_WAGE*(x_WLOSS*(N8+O8)+P8)+Q8*x_absd*x_WAGE/365</f>
        <v>529747626.676773</v>
      </c>
      <c r="AE8" s="0" t="n">
        <f aca="false">AD8*x_R_FUS</f>
        <v>167612149.080531</v>
      </c>
      <c r="AF8" s="0" t="n">
        <f aca="false">AD8*x_R_NFZ</f>
        <v>41140730.4353449</v>
      </c>
      <c r="AG8" s="0" t="n">
        <f aca="false">AD8*x_R_PIT</f>
        <v>35219833.3059912</v>
      </c>
      <c r="AH8" s="0" t="n">
        <f aca="false">AD8*x_R_FP</f>
        <v>13508564.4802577</v>
      </c>
      <c r="AI8" s="0" t="n">
        <f aca="false">W8+X8+Y8+Z8</f>
        <v>1144958121.77056</v>
      </c>
      <c r="AJ8" s="0" t="n">
        <f aca="false">AI8+AA8+AB8+AC8+AE8+AF8+AG8+AH8</f>
        <v>1504541133.04568</v>
      </c>
      <c r="AK8" s="0" t="n">
        <f aca="false">AI8+AA8+AD8</f>
        <v>1676705748.44734</v>
      </c>
      <c r="AL8" s="0" t="n">
        <f aca="false">X8+Y8+Z8</f>
        <v>587762925.217976</v>
      </c>
      <c r="AM8" s="0" t="n">
        <f aca="false">AL8+AA8</f>
        <v>589762925.217976</v>
      </c>
    </row>
    <row r="9" customFormat="false" ht="15" hidden="false" customHeight="false" outlineLevel="0" collapsed="false">
      <c r="A9" s="0" t="n">
        <v>2032</v>
      </c>
      <c r="B9" s="0" t="n">
        <v>6</v>
      </c>
      <c r="C9" s="0" t="n">
        <v>11271.401</v>
      </c>
      <c r="D9" s="0" t="n">
        <v>250000000</v>
      </c>
      <c r="E9" s="0" t="n">
        <v>2000000</v>
      </c>
      <c r="F9" s="0" t="n">
        <v>89193.341</v>
      </c>
      <c r="G9" s="0" t="n">
        <v>12206.027</v>
      </c>
      <c r="H9" s="0" t="n">
        <v>1505.696</v>
      </c>
      <c r="I9" s="0" t="n">
        <v>850.663</v>
      </c>
      <c r="J9" s="0" t="n">
        <v>1413.229</v>
      </c>
      <c r="K9" s="0" t="n">
        <v>72347.004</v>
      </c>
      <c r="L9" s="0" t="n">
        <v>8068.509</v>
      </c>
      <c r="M9" s="0" t="n">
        <v>70.224</v>
      </c>
      <c r="N9" s="0" t="n">
        <v>2989.027</v>
      </c>
      <c r="O9" s="0" t="n">
        <v>850.663</v>
      </c>
      <c r="P9" s="0" t="n">
        <v>2778.335</v>
      </c>
      <c r="Q9" s="0" t="n">
        <v>101399.368</v>
      </c>
      <c r="R9" s="0" t="n">
        <v>133113.965</v>
      </c>
      <c r="S9" s="0" t="n">
        <v>271.545</v>
      </c>
      <c r="T9" s="0" t="n">
        <v>253.445</v>
      </c>
      <c r="U9" s="0" t="n">
        <v>70.224</v>
      </c>
      <c r="V9" s="0" t="n">
        <v>466.794</v>
      </c>
      <c r="W9" s="0" t="n">
        <f aca="false">F9*x_c_F+G9*x_c_CC+H9*x_c_DC+I9*x_c_HCC+J9*x_c_PLT+K9*x_c_SVRn+L9*x_c_SVRcc+M9*x_c_LT</f>
        <v>546234126.376599</v>
      </c>
      <c r="X9" s="0" t="n">
        <f aca="false">C9*x_c_DAA</f>
        <v>256537086.76</v>
      </c>
      <c r="Y9" s="0" t="n">
        <f aca="false">C9*x_c_MON</f>
        <v>64981090.7642252</v>
      </c>
      <c r="Z9" s="0" t="n">
        <f aca="false">D9</f>
        <v>250000000</v>
      </c>
      <c r="AA9" s="0" t="n">
        <f aca="false">E9</f>
        <v>2000000</v>
      </c>
      <c r="AB9" s="0" t="n">
        <f aca="false">x_z_F*Q9+(1-x_AGRI)*x_EMP*x_WLOSS*(x_PEN_K74*N9+x_PEN_C22*O9)</f>
        <v>93747164.6286926</v>
      </c>
      <c r="AC9" s="0" t="n">
        <f aca="false">x_AGRI*x_EMP*x_WLOSS*(x_PEN_K74*N9+x_PEN_C22*O9)</f>
        <v>5820375.27508373</v>
      </c>
      <c r="AD9" s="0" t="n">
        <f aca="false">x_EMP*x_WAGE*(x_WLOSS*(N9+O9)+P9)+Q9*x_absd*x_WAGE/365</f>
        <v>566947014.754668</v>
      </c>
      <c r="AE9" s="0" t="n">
        <f aca="false">AD9*x_R_FUS</f>
        <v>179382035.468377</v>
      </c>
      <c r="AF9" s="0" t="n">
        <f aca="false">AD9*x_R_NFZ</f>
        <v>44029672.1128623</v>
      </c>
      <c r="AG9" s="0" t="n">
        <f aca="false">AD9*x_R_PIT</f>
        <v>37693003.8898921</v>
      </c>
      <c r="AH9" s="0" t="n">
        <f aca="false">AD9*x_R_FP</f>
        <v>14457148.876244</v>
      </c>
      <c r="AI9" s="0" t="n">
        <f aca="false">W9+X9+Y9+Z9</f>
        <v>1117752303.90082</v>
      </c>
      <c r="AJ9" s="0" t="n">
        <f aca="false">AI9+AA9+AB9+AC9+AE9+AF9+AG9+AH9</f>
        <v>1494881704.15198</v>
      </c>
      <c r="AK9" s="0" t="n">
        <f aca="false">AI9+AA9+AD9</f>
        <v>1686699318.65549</v>
      </c>
      <c r="AL9" s="0" t="n">
        <f aca="false">X9+Y9+Z9</f>
        <v>571518177.524225</v>
      </c>
      <c r="AM9" s="0" t="n">
        <f aca="false">AL9+AA9</f>
        <v>573518177.524225</v>
      </c>
    </row>
    <row r="10" customFormat="false" ht="15" hidden="false" customHeight="false" outlineLevel="0" collapsed="false">
      <c r="A10" s="0" t="n">
        <v>2033</v>
      </c>
      <c r="B10" s="0" t="n">
        <v>7</v>
      </c>
      <c r="C10" s="0" t="n">
        <v>10793.631</v>
      </c>
      <c r="D10" s="0" t="n">
        <v>250000000</v>
      </c>
      <c r="E10" s="0" t="n">
        <v>2000000</v>
      </c>
      <c r="F10" s="0" t="n">
        <v>83372.436</v>
      </c>
      <c r="G10" s="0" t="n">
        <v>11940.519</v>
      </c>
      <c r="H10" s="0" t="n">
        <v>1508.149</v>
      </c>
      <c r="I10" s="0" t="n">
        <v>859.84</v>
      </c>
      <c r="J10" s="0" t="n">
        <v>1393.684</v>
      </c>
      <c r="K10" s="0" t="n">
        <v>80857.108</v>
      </c>
      <c r="L10" s="0" t="n">
        <v>9264.702</v>
      </c>
      <c r="M10" s="0" t="n">
        <v>70.349</v>
      </c>
      <c r="N10" s="0" t="n">
        <v>2972.056</v>
      </c>
      <c r="O10" s="0" t="n">
        <v>859.84</v>
      </c>
      <c r="P10" s="0" t="n">
        <v>3220.595</v>
      </c>
      <c r="Q10" s="0" t="n">
        <v>95312.955</v>
      </c>
      <c r="R10" s="0" t="n">
        <v>136074.659</v>
      </c>
      <c r="S10" s="0" t="n">
        <v>271.059</v>
      </c>
      <c r="T10" s="0" t="n">
        <v>254.919</v>
      </c>
      <c r="U10" s="0" t="n">
        <v>70.349</v>
      </c>
      <c r="V10" s="0" t="n">
        <v>468.256</v>
      </c>
      <c r="W10" s="0" t="n">
        <f aca="false">F10*x_c_F+G10*x_c_CC+H10*x_c_DC+I10*x_c_HCC+J10*x_c_PLT+K10*x_c_SVRn+L10*x_c_SVRcc+M10*x_c_LT</f>
        <v>536096363.667939</v>
      </c>
      <c r="X10" s="0" t="n">
        <f aca="false">C10*x_c_DAA</f>
        <v>245663041.56</v>
      </c>
      <c r="Y10" s="0" t="n">
        <f aca="false">C10*x_c_MON</f>
        <v>62226684.6585048</v>
      </c>
      <c r="Z10" s="0" t="n">
        <f aca="false">D10</f>
        <v>250000000</v>
      </c>
      <c r="AA10" s="0" t="n">
        <f aca="false">E10</f>
        <v>2000000</v>
      </c>
      <c r="AB10" s="0" t="n">
        <f aca="false">x_z_F*Q10+(1-x_AGRI)*x_EMP*x_WLOSS*(x_PEN_K74*N10+x_PEN_C22*O10)</f>
        <v>93259977.046205</v>
      </c>
      <c r="AC10" s="0" t="n">
        <f aca="false">x_AGRI*x_EMP*x_WLOSS*(x_PEN_K74*N10+x_PEN_C22*O10)</f>
        <v>5810750.14675975</v>
      </c>
      <c r="AD10" s="0" t="n">
        <f aca="false">x_EMP*x_WAGE*(x_WLOSS*(N10+O10)+P10)+Q10*x_absd*x_WAGE/365</f>
        <v>603828276.600324</v>
      </c>
      <c r="AE10" s="0" t="n">
        <f aca="false">AD10*x_R_FUS</f>
        <v>191051266.716343</v>
      </c>
      <c r="AF10" s="0" t="n">
        <f aca="false">AD10*x_R_NFZ</f>
        <v>46893907.7890578</v>
      </c>
      <c r="AG10" s="0" t="n">
        <f aca="false">AD10*x_R_PIT</f>
        <v>40145024.1140642</v>
      </c>
      <c r="AH10" s="0" t="n">
        <f aca="false">AD10*x_R_FP</f>
        <v>15397621.0533083</v>
      </c>
      <c r="AI10" s="0" t="n">
        <f aca="false">W10+X10+Y10+Z10</f>
        <v>1093986089.88644</v>
      </c>
      <c r="AJ10" s="0" t="n">
        <f aca="false">AI10+AA10+AB10+AC10+AE10+AF10+AG10+AH10</f>
        <v>1488544636.75218</v>
      </c>
      <c r="AK10" s="0" t="n">
        <f aca="false">AI10+AA10+AD10</f>
        <v>1699814366.48677</v>
      </c>
      <c r="AL10" s="0" t="n">
        <f aca="false">X10+Y10+Z10</f>
        <v>557889726.218505</v>
      </c>
      <c r="AM10" s="0" t="n">
        <f aca="false">AL10+AA10</f>
        <v>559889726.218505</v>
      </c>
    </row>
    <row r="11" customFormat="false" ht="15" hidden="false" customHeight="false" outlineLevel="0" collapsed="false">
      <c r="A11" s="0" t="n">
        <v>2034</v>
      </c>
      <c r="B11" s="0" t="n">
        <v>8</v>
      </c>
      <c r="C11" s="0" t="n">
        <v>10383.365</v>
      </c>
      <c r="D11" s="0" t="n">
        <v>250000000</v>
      </c>
      <c r="E11" s="0" t="n">
        <v>2000000</v>
      </c>
      <c r="F11" s="0" t="n">
        <v>78085.386</v>
      </c>
      <c r="G11" s="0" t="n">
        <v>11579.176</v>
      </c>
      <c r="H11" s="0" t="n">
        <v>1508.603</v>
      </c>
      <c r="I11" s="0" t="n">
        <v>867.325</v>
      </c>
      <c r="J11" s="0" t="n">
        <v>1374.102</v>
      </c>
      <c r="K11" s="0" t="n">
        <v>88854.912</v>
      </c>
      <c r="L11" s="0" t="n">
        <v>10420.705</v>
      </c>
      <c r="M11" s="0" t="n">
        <v>70.371</v>
      </c>
      <c r="N11" s="0" t="n">
        <v>2953.054</v>
      </c>
      <c r="O11" s="0" t="n">
        <v>867.325</v>
      </c>
      <c r="P11" s="0" t="n">
        <v>3657.644</v>
      </c>
      <c r="Q11" s="0" t="n">
        <v>89664.562</v>
      </c>
      <c r="R11" s="0" t="n">
        <v>138943.88</v>
      </c>
      <c r="S11" s="0" t="n">
        <v>268.522</v>
      </c>
      <c r="T11" s="0" t="n">
        <v>254.706</v>
      </c>
      <c r="U11" s="0" t="n">
        <v>70.371</v>
      </c>
      <c r="V11" s="0" t="n">
        <v>469.012</v>
      </c>
      <c r="W11" s="0" t="n">
        <f aca="false">F11*x_c_F+G11*x_c_CC+H11*x_c_DC+I11*x_c_HCC+J11*x_c_PLT+K11*x_c_SVRn+L11*x_c_SVRcc+M11*x_c_LT</f>
        <v>526417086.909419</v>
      </c>
      <c r="X11" s="0" t="n">
        <f aca="false">C11*x_c_DAA</f>
        <v>236325387.4</v>
      </c>
      <c r="Y11" s="0" t="n">
        <f aca="false">C11*x_c_MON</f>
        <v>59861447.880621</v>
      </c>
      <c r="Z11" s="0" t="n">
        <f aca="false">D11</f>
        <v>250000000</v>
      </c>
      <c r="AA11" s="0" t="n">
        <f aca="false">E11</f>
        <v>2000000</v>
      </c>
      <c r="AB11" s="0" t="n">
        <f aca="false">x_z_F*Q11+(1-x_AGRI)*x_EMP*x_WLOSS*(x_PEN_K74*N11+x_PEN_C22*O11)</f>
        <v>92709356.2035155</v>
      </c>
      <c r="AC11" s="0" t="n">
        <f aca="false">x_AGRI*x_EMP*x_WLOSS*(x_PEN_K74*N11+x_PEN_C22*O11)</f>
        <v>5795307.40339571</v>
      </c>
      <c r="AD11" s="0" t="n">
        <f aca="false">x_EMP*x_WAGE*(x_WLOSS*(N11+O11)+P11)+Q11*x_absd*x_WAGE/365</f>
        <v>639959445.485718</v>
      </c>
      <c r="AE11" s="0" t="n">
        <f aca="false">AD11*x_R_FUS</f>
        <v>202483168.551681</v>
      </c>
      <c r="AF11" s="0" t="n">
        <f aca="false">AD11*x_R_NFZ</f>
        <v>49699890.4958663</v>
      </c>
      <c r="AG11" s="0" t="n">
        <f aca="false">AD11*x_R_PIT</f>
        <v>42547175.0274662</v>
      </c>
      <c r="AH11" s="0" t="n">
        <f aca="false">AD11*x_R_FP</f>
        <v>16318965.8598858</v>
      </c>
      <c r="AI11" s="0" t="n">
        <f aca="false">W11+X11+Y11+Z11</f>
        <v>1072603922.19004</v>
      </c>
      <c r="AJ11" s="0" t="n">
        <f aca="false">AI11+AA11+AB11+AC11+AE11+AF11+AG11+AH11</f>
        <v>1484157785.73185</v>
      </c>
      <c r="AK11" s="0" t="n">
        <f aca="false">AI11+AA11+AD11</f>
        <v>1714563367.67576</v>
      </c>
      <c r="AL11" s="0" t="n">
        <f aca="false">X11+Y11+Z11</f>
        <v>546186835.280621</v>
      </c>
      <c r="AM11" s="0" t="n">
        <f aca="false">AL11+AA11</f>
        <v>548186835.280621</v>
      </c>
    </row>
    <row r="12" customFormat="false" ht="15" hidden="false" customHeight="false" outlineLevel="0" collapsed="false">
      <c r="A12" s="0" t="n">
        <v>2035</v>
      </c>
      <c r="B12" s="0" t="n">
        <v>9</v>
      </c>
      <c r="C12" s="0" t="n">
        <v>10024.124</v>
      </c>
      <c r="D12" s="0" t="n">
        <v>250000000</v>
      </c>
      <c r="E12" s="0" t="n">
        <v>2000000</v>
      </c>
      <c r="F12" s="0" t="n">
        <v>73276.331</v>
      </c>
      <c r="G12" s="0" t="n">
        <v>11129.83</v>
      </c>
      <c r="H12" s="0" t="n">
        <v>1505.279</v>
      </c>
      <c r="I12" s="0" t="n">
        <v>871.863</v>
      </c>
      <c r="J12" s="0" t="n">
        <v>1354.426</v>
      </c>
      <c r="K12" s="0" t="n">
        <v>96395.598</v>
      </c>
      <c r="L12" s="0" t="n">
        <v>11526.819</v>
      </c>
      <c r="M12" s="0" t="n">
        <v>70.201</v>
      </c>
      <c r="N12" s="0" t="n">
        <v>2930.076</v>
      </c>
      <c r="O12" s="0" t="n">
        <v>871.863</v>
      </c>
      <c r="P12" s="0" t="n">
        <v>4087.813</v>
      </c>
      <c r="Q12" s="0" t="n">
        <v>84406.161</v>
      </c>
      <c r="R12" s="0" t="n">
        <v>141721.165</v>
      </c>
      <c r="S12" s="0" t="n">
        <v>264.042</v>
      </c>
      <c r="T12" s="0" t="n">
        <v>252.83</v>
      </c>
      <c r="U12" s="0" t="n">
        <v>70.201</v>
      </c>
      <c r="V12" s="0" t="n">
        <v>468.494</v>
      </c>
      <c r="W12" s="0" t="n">
        <f aca="false">F12*x_c_F+G12*x_c_CC+H12*x_c_DC+I12*x_c_HCC+J12*x_c_PLT+K12*x_c_SVRn+L12*x_c_SVRcc+M12*x_c_LT</f>
        <v>516937224.003915</v>
      </c>
      <c r="X12" s="0" t="n">
        <f aca="false">C12*x_c_DAA</f>
        <v>228149062.24</v>
      </c>
      <c r="Y12" s="0" t="n">
        <f aca="false">C12*x_c_MON</f>
        <v>57790376.8551796</v>
      </c>
      <c r="Z12" s="0" t="n">
        <f aca="false">D12</f>
        <v>250000000</v>
      </c>
      <c r="AA12" s="0" t="n">
        <f aca="false">E12</f>
        <v>2000000</v>
      </c>
      <c r="AB12" s="0" t="n">
        <f aca="false">x_z_F*Q12+(1-x_AGRI)*x_EMP*x_WLOSS*(x_PEN_K74*N12+x_PEN_C22*O12)</f>
        <v>92017561.5163086</v>
      </c>
      <c r="AC12" s="0" t="n">
        <f aca="false">x_AGRI*x_EMP*x_WLOSS*(x_PEN_K74*N12+x_PEN_C22*O12)</f>
        <v>5769086.69736826</v>
      </c>
      <c r="AD12" s="0" t="n">
        <f aca="false">x_EMP*x_WAGE*(x_WLOSS*(N12+O12)+P12)+Q12*x_absd*x_WAGE/365</f>
        <v>674924113.505639</v>
      </c>
      <c r="AE12" s="0" t="n">
        <f aca="false">AD12*x_R_FUS</f>
        <v>213545989.513184</v>
      </c>
      <c r="AF12" s="0" t="n">
        <f aca="false">AD12*x_R_NFZ</f>
        <v>52415281.5789614</v>
      </c>
      <c r="AG12" s="0" t="n">
        <f aca="false">AD12*x_R_PIT</f>
        <v>44871772.0945378</v>
      </c>
      <c r="AH12" s="0" t="n">
        <f aca="false">AD12*x_R_FP</f>
        <v>17210564.8943938</v>
      </c>
      <c r="AI12" s="0" t="n">
        <f aca="false">W12+X12+Y12+Z12</f>
        <v>1052876663.09909</v>
      </c>
      <c r="AJ12" s="0" t="n">
        <f aca="false">AI12+AA12+AB12+AC12+AE12+AF12+AG12+AH12</f>
        <v>1480706919.39385</v>
      </c>
      <c r="AK12" s="0" t="n">
        <f aca="false">AI12+AA12+AD12</f>
        <v>1729800776.60473</v>
      </c>
      <c r="AL12" s="0" t="n">
        <f aca="false">X12+Y12+Z12</f>
        <v>535939439.09518</v>
      </c>
      <c r="AM12" s="0" t="n">
        <f aca="false">AL12+AA12</f>
        <v>537939439.09518</v>
      </c>
    </row>
    <row r="13" customFormat="false" ht="15" hidden="false" customHeight="false" outlineLevel="0" collapsed="false">
      <c r="A13" s="0" t="n">
        <v>2036</v>
      </c>
      <c r="B13" s="0" t="n">
        <v>10</v>
      </c>
      <c r="C13" s="0" t="n">
        <v>4832</v>
      </c>
      <c r="D13" s="0" t="n">
        <v>0</v>
      </c>
      <c r="E13" s="0" t="n">
        <v>0</v>
      </c>
      <c r="F13" s="0" t="n">
        <v>73076.43</v>
      </c>
      <c r="G13" s="0" t="n">
        <v>11246.853</v>
      </c>
      <c r="H13" s="0" t="n">
        <v>1496.769</v>
      </c>
      <c r="I13" s="0" t="n">
        <v>872.562</v>
      </c>
      <c r="J13" s="0" t="n">
        <v>1334.449</v>
      </c>
      <c r="K13" s="0" t="n">
        <v>99338.886</v>
      </c>
      <c r="L13" s="0" t="n">
        <v>11928.977</v>
      </c>
      <c r="M13" s="0" t="n">
        <v>69.774</v>
      </c>
      <c r="N13" s="0" t="n">
        <v>1.978</v>
      </c>
      <c r="O13" s="0" t="n">
        <v>1.397</v>
      </c>
      <c r="P13" s="0" t="n">
        <v>0.556</v>
      </c>
      <c r="Q13" s="0" t="n">
        <v>84323.283</v>
      </c>
      <c r="R13" s="0" t="n">
        <v>144135.26</v>
      </c>
      <c r="S13" s="0" t="n">
        <v>267.667</v>
      </c>
      <c r="T13" s="0" t="n">
        <v>255.996</v>
      </c>
      <c r="U13" s="0" t="n">
        <v>69.774</v>
      </c>
      <c r="V13" s="0" t="n">
        <v>466.295</v>
      </c>
      <c r="W13" s="0" t="n">
        <f aca="false">F13*x_c_F+G13*x_c_CC+H13*x_c_DC+I13*x_c_HCC+J13*x_c_PLT+K13*x_c_SVRn+L13*x_c_SVRcc+M13*x_c_LT</f>
        <v>518992184.389763</v>
      </c>
      <c r="X13" s="0" t="n">
        <f aca="false">C13*x_c_DAA</f>
        <v>109976320</v>
      </c>
      <c r="Y13" s="0" t="n">
        <f aca="false">C13*x_c_MON</f>
        <v>27857107.6100244</v>
      </c>
      <c r="Z13" s="0" t="n">
        <f aca="false">D13</f>
        <v>0</v>
      </c>
      <c r="AA13" s="0" t="n">
        <f aca="false">E13</f>
        <v>0</v>
      </c>
      <c r="AB13" s="0" t="n">
        <f aca="false">x_z_F*Q13+(1-x_AGRI)*x_EMP*x_WLOSS*(x_PEN_K74*N13+x_PEN_C22*O13)</f>
        <v>4811583.83935967</v>
      </c>
      <c r="AC13" s="0" t="n">
        <f aca="false">x_AGRI*x_EMP*x_WLOSS*(x_PEN_K74*N13+x_PEN_C22*O13)</f>
        <v>5246.34810265262</v>
      </c>
      <c r="AD13" s="0" t="n">
        <f aca="false">x_EMP*x_WAGE*(x_WLOSS*(N13+O13)+P13)+Q13*x_absd*x_WAGE/365</f>
        <v>2572947.14434262</v>
      </c>
      <c r="AE13" s="0" t="n">
        <f aca="false">AD13*x_R_FUS</f>
        <v>814080.476470004</v>
      </c>
      <c r="AF13" s="0" t="n">
        <f aca="false">AD13*x_R_NFZ</f>
        <v>199817.648176792</v>
      </c>
      <c r="AG13" s="0" t="n">
        <f aca="false">AD13*x_R_PIT</f>
        <v>171060.265238648</v>
      </c>
      <c r="AH13" s="0" t="n">
        <f aca="false">AD13*x_R_FP</f>
        <v>65610.1521807367</v>
      </c>
      <c r="AI13" s="0" t="n">
        <f aca="false">W13+X13+Y13+Z13</f>
        <v>656825611.999787</v>
      </c>
      <c r="AJ13" s="0" t="n">
        <f aca="false">AI13+AA13+AB13+AC13+AE13+AF13+AG13+AH13</f>
        <v>662893010.729316</v>
      </c>
      <c r="AK13" s="0" t="n">
        <f aca="false">AI13+AA13+AD13</f>
        <v>659398559.14413</v>
      </c>
      <c r="AL13" s="0" t="n">
        <f aca="false">X13+Y13+Z13</f>
        <v>137833427.610024</v>
      </c>
      <c r="AM13" s="0" t="n">
        <f aca="false">AL13+AA13</f>
        <v>137833427.610024</v>
      </c>
    </row>
    <row r="14" customFormat="false" ht="15" hidden="false" customHeight="false" outlineLevel="0" collapsed="false">
      <c r="A14" s="0" t="n">
        <v>2037</v>
      </c>
      <c r="B14" s="0" t="n">
        <v>11</v>
      </c>
      <c r="C14" s="0" t="n">
        <v>4832</v>
      </c>
      <c r="D14" s="0" t="n">
        <v>0</v>
      </c>
      <c r="E14" s="0" t="n">
        <v>0</v>
      </c>
      <c r="F14" s="0" t="n">
        <v>72909.749</v>
      </c>
      <c r="G14" s="0" t="n">
        <v>11300.973</v>
      </c>
      <c r="H14" s="0" t="n">
        <v>1491.995</v>
      </c>
      <c r="I14" s="0" t="n">
        <v>875.502</v>
      </c>
      <c r="J14" s="0" t="n">
        <v>1313.927</v>
      </c>
      <c r="K14" s="0" t="n">
        <v>102180.916</v>
      </c>
      <c r="L14" s="0" t="n">
        <v>12313.179</v>
      </c>
      <c r="M14" s="0" t="n">
        <v>69.517</v>
      </c>
      <c r="N14" s="0" t="n">
        <v>3.435</v>
      </c>
      <c r="O14" s="0" t="n">
        <v>2.381</v>
      </c>
      <c r="P14" s="0" t="n">
        <v>1.149</v>
      </c>
      <c r="Q14" s="0" t="n">
        <v>84210.723</v>
      </c>
      <c r="R14" s="0" t="n">
        <v>146451.887</v>
      </c>
      <c r="S14" s="0" t="n">
        <v>269.967</v>
      </c>
      <c r="T14" s="0" t="n">
        <v>258.189</v>
      </c>
      <c r="U14" s="0" t="n">
        <v>69.517</v>
      </c>
      <c r="V14" s="0" t="n">
        <v>464.988</v>
      </c>
      <c r="W14" s="0" t="n">
        <f aca="false">F14*x_c_F+G14*x_c_CC+H14*x_c_DC+I14*x_c_HCC+J14*x_c_PLT+K14*x_c_SVRn+L14*x_c_SVRcc+M14*x_c_LT</f>
        <v>520942999.184178</v>
      </c>
      <c r="X14" s="0" t="n">
        <f aca="false">C14*x_c_DAA</f>
        <v>109976320</v>
      </c>
      <c r="Y14" s="0" t="n">
        <f aca="false">C14*x_c_MON</f>
        <v>27857107.6100244</v>
      </c>
      <c r="Z14" s="0" t="n">
        <f aca="false">D14</f>
        <v>0</v>
      </c>
      <c r="AA14" s="0" t="n">
        <f aca="false">E14</f>
        <v>0</v>
      </c>
      <c r="AB14" s="0" t="n">
        <f aca="false">x_z_F*Q14+(1-x_AGRI)*x_EMP*x_WLOSS*(x_PEN_K74*N14+x_PEN_C22*O14)</f>
        <v>4862593.46694975</v>
      </c>
      <c r="AC14" s="0" t="n">
        <f aca="false">x_AGRI*x_EMP*x_WLOSS*(x_PEN_K74*N14+x_PEN_C22*O14)</f>
        <v>9035.51843197308</v>
      </c>
      <c r="AD14" s="0" t="n">
        <f aca="false">x_EMP*x_WAGE*(x_WLOSS*(N14+O14)+P14)+Q14*x_absd*x_WAGE/365</f>
        <v>2828640.33290026</v>
      </c>
      <c r="AE14" s="0" t="n">
        <f aca="false">AD14*x_R_FUS</f>
        <v>894981.801329641</v>
      </c>
      <c r="AF14" s="0" t="n">
        <f aca="false">AD14*x_R_NFZ</f>
        <v>219675.036893367</v>
      </c>
      <c r="AG14" s="0" t="n">
        <f aca="false">AD14*x_R_PIT</f>
        <v>188059.815637714</v>
      </c>
      <c r="AH14" s="0" t="n">
        <f aca="false">AD14*x_R_FP</f>
        <v>72130.3284889565</v>
      </c>
      <c r="AI14" s="0" t="n">
        <f aca="false">W14+X14+Y14+Z14</f>
        <v>658776426.794203</v>
      </c>
      <c r="AJ14" s="0" t="n">
        <f aca="false">AI14+AA14+AB14+AC14+AE14+AF14+AG14+AH14</f>
        <v>665022902.761934</v>
      </c>
      <c r="AK14" s="0" t="n">
        <f aca="false">AI14+AA14+AD14</f>
        <v>661605067.127103</v>
      </c>
      <c r="AL14" s="0" t="n">
        <f aca="false">X14+Y14+Z14</f>
        <v>137833427.610024</v>
      </c>
      <c r="AM14" s="0" t="n">
        <f aca="false">AL14+AA14</f>
        <v>137833427.610024</v>
      </c>
    </row>
    <row r="15" customFormat="false" ht="15" hidden="false" customHeight="false" outlineLevel="0" collapsed="false">
      <c r="A15" s="0" t="n">
        <v>2038</v>
      </c>
      <c r="B15" s="0" t="n">
        <v>12</v>
      </c>
      <c r="C15" s="0" t="n">
        <v>4832</v>
      </c>
      <c r="D15" s="0" t="n">
        <v>0</v>
      </c>
      <c r="E15" s="0" t="n">
        <v>0</v>
      </c>
      <c r="F15" s="0" t="n">
        <v>72776.83</v>
      </c>
      <c r="G15" s="0" t="n">
        <v>11295.703</v>
      </c>
      <c r="H15" s="0" t="n">
        <v>1488.862</v>
      </c>
      <c r="I15" s="0" t="n">
        <v>879.006</v>
      </c>
      <c r="J15" s="0" t="n">
        <v>1292.611</v>
      </c>
      <c r="K15" s="0" t="n">
        <v>104918.879</v>
      </c>
      <c r="L15" s="0" t="n">
        <v>12674.68</v>
      </c>
      <c r="M15" s="0" t="n">
        <v>69.328</v>
      </c>
      <c r="N15" s="0" t="n">
        <v>5.604</v>
      </c>
      <c r="O15" s="0" t="n">
        <v>3.814</v>
      </c>
      <c r="P15" s="0" t="n">
        <v>2.166</v>
      </c>
      <c r="Q15" s="0" t="n">
        <v>84072.533</v>
      </c>
      <c r="R15" s="0" t="n">
        <v>148666.66</v>
      </c>
      <c r="S15" s="0" t="n">
        <v>271.001</v>
      </c>
      <c r="T15" s="0" t="n">
        <v>259.402</v>
      </c>
      <c r="U15" s="0" t="n">
        <v>69.328</v>
      </c>
      <c r="V15" s="0" t="n">
        <v>463.969</v>
      </c>
      <c r="W15" s="0" t="n">
        <f aca="false">F15*x_c_F+G15*x_c_CC+H15*x_c_DC+I15*x_c_HCC+J15*x_c_PLT+K15*x_c_SVRn+L15*x_c_SVRcc+M15*x_c_LT</f>
        <v>522609406.480572</v>
      </c>
      <c r="X15" s="0" t="n">
        <f aca="false">C15*x_c_DAA</f>
        <v>109976320</v>
      </c>
      <c r="Y15" s="0" t="n">
        <f aca="false">C15*x_c_MON</f>
        <v>27857107.6100244</v>
      </c>
      <c r="Z15" s="0" t="n">
        <f aca="false">D15</f>
        <v>0</v>
      </c>
      <c r="AA15" s="0" t="n">
        <f aca="false">E15</f>
        <v>0</v>
      </c>
      <c r="AB15" s="0" t="n">
        <f aca="false">x_z_F*Q15+(1-x_AGRI)*x_EMP*x_WLOSS*(x_PEN_K74*N15+x_PEN_C22*O15)</f>
        <v>4939372.87222607</v>
      </c>
      <c r="AC15" s="0" t="n">
        <f aca="false">x_AGRI*x_EMP*x_WLOSS*(x_PEN_K74*N15+x_PEN_C22*O15)</f>
        <v>14623.0939393063</v>
      </c>
      <c r="AD15" s="0" t="n">
        <f aca="false">x_EMP*x_WAGE*(x_WLOSS*(N15+O15)+P15)+Q15*x_absd*x_WAGE/365</f>
        <v>3218791.22492736</v>
      </c>
      <c r="AE15" s="0" t="n">
        <f aca="false">AD15*x_R_FUS</f>
        <v>1018425.54356702</v>
      </c>
      <c r="AF15" s="0" t="n">
        <f aca="false">AD15*x_R_NFZ</f>
        <v>249974.545319084</v>
      </c>
      <c r="AG15" s="0" t="n">
        <f aca="false">AD15*x_R_PIT</f>
        <v>213998.675369052</v>
      </c>
      <c r="AH15" s="0" t="n">
        <f aca="false">AD15*x_R_FP</f>
        <v>82079.1762356476</v>
      </c>
      <c r="AI15" s="0" t="n">
        <f aca="false">W15+X15+Y15+Z15</f>
        <v>660442834.090596</v>
      </c>
      <c r="AJ15" s="0" t="n">
        <f aca="false">AI15+AA15+AB15+AC15+AE15+AF15+AG15+AH15</f>
        <v>666961307.997253</v>
      </c>
      <c r="AK15" s="0" t="n">
        <f aca="false">AI15+AA15+AD15</f>
        <v>663661625.315524</v>
      </c>
      <c r="AL15" s="0" t="n">
        <f aca="false">X15+Y15+Z15</f>
        <v>137833427.610024</v>
      </c>
      <c r="AM15" s="0" t="n">
        <f aca="false">AL15+AA15</f>
        <v>137833427.610024</v>
      </c>
    </row>
    <row r="16" customFormat="false" ht="15" hidden="false" customHeight="false" outlineLevel="0" collapsed="false">
      <c r="A16" s="0" t="n">
        <v>2039</v>
      </c>
      <c r="B16" s="0" t="n">
        <v>13</v>
      </c>
      <c r="C16" s="0" t="n">
        <v>4832</v>
      </c>
      <c r="D16" s="0" t="n">
        <v>0</v>
      </c>
      <c r="E16" s="0" t="n">
        <v>0</v>
      </c>
      <c r="F16" s="0" t="n">
        <v>72677.505</v>
      </c>
      <c r="G16" s="0" t="n">
        <v>11235.923</v>
      </c>
      <c r="H16" s="0" t="n">
        <v>1485.721</v>
      </c>
      <c r="I16" s="0" t="n">
        <v>881.879</v>
      </c>
      <c r="J16" s="0" t="n">
        <v>1270.633</v>
      </c>
      <c r="K16" s="0" t="n">
        <v>107551.194</v>
      </c>
      <c r="L16" s="0" t="n">
        <v>13009.189</v>
      </c>
      <c r="M16" s="0" t="n">
        <v>69.132</v>
      </c>
      <c r="N16" s="0" t="n">
        <v>8.674</v>
      </c>
      <c r="O16" s="0" t="n">
        <v>5.802</v>
      </c>
      <c r="P16" s="0" t="n">
        <v>3.804</v>
      </c>
      <c r="Q16" s="0" t="n">
        <v>83913.427</v>
      </c>
      <c r="R16" s="0" t="n">
        <v>150777.094</v>
      </c>
      <c r="S16" s="0" t="n">
        <v>270.864</v>
      </c>
      <c r="T16" s="0" t="n">
        <v>259.671</v>
      </c>
      <c r="U16" s="0" t="n">
        <v>69.132</v>
      </c>
      <c r="V16" s="0" t="n">
        <v>462.755</v>
      </c>
      <c r="W16" s="0" t="n">
        <f aca="false">F16*x_c_F+G16*x_c_CC+H16*x_c_DC+I16*x_c_HCC+J16*x_c_PLT+K16*x_c_SVRn+L16*x_c_SVRcc+M16*x_c_LT</f>
        <v>523878173.15754</v>
      </c>
      <c r="X16" s="0" t="n">
        <f aca="false">C16*x_c_DAA</f>
        <v>109976320</v>
      </c>
      <c r="Y16" s="0" t="n">
        <f aca="false">C16*x_c_MON</f>
        <v>27857107.6100244</v>
      </c>
      <c r="Z16" s="0" t="n">
        <f aca="false">D16</f>
        <v>0</v>
      </c>
      <c r="AA16" s="0" t="n">
        <f aca="false">E16</f>
        <v>0</v>
      </c>
      <c r="AB16" s="0" t="n">
        <f aca="false">x_z_F*Q16+(1-x_AGRI)*x_EMP*x_WLOSS*(x_PEN_K74*N16+x_PEN_C22*O16)</f>
        <v>5049075.38692925</v>
      </c>
      <c r="AC16" s="0" t="n">
        <f aca="false">x_AGRI*x_EMP*x_WLOSS*(x_PEN_K74*N16+x_PEN_C22*O16)</f>
        <v>22464.4099399912</v>
      </c>
      <c r="AD16" s="0" t="n">
        <f aca="false">x_EMP*x_WAGE*(x_WLOSS*(N16+O16)+P16)+Q16*x_absd*x_WAGE/365</f>
        <v>3785473.08285463</v>
      </c>
      <c r="AE16" s="0" t="n">
        <f aca="false">AD16*x_R_FUS</f>
        <v>1197723.68341521</v>
      </c>
      <c r="AF16" s="0" t="n">
        <f aca="false">AD16*x_R_NFZ</f>
        <v>293983.625087574</v>
      </c>
      <c r="AG16" s="0" t="n">
        <f aca="false">AD16*x_R_PIT</f>
        <v>251674.050526336</v>
      </c>
      <c r="AH16" s="0" t="n">
        <f aca="false">AD16*x_R_FP</f>
        <v>96529.5636127931</v>
      </c>
      <c r="AI16" s="0" t="n">
        <f aca="false">W16+X16+Y16+Z16</f>
        <v>661711600.767564</v>
      </c>
      <c r="AJ16" s="0" t="n">
        <f aca="false">AI16+AA16+AB16+AC16+AE16+AF16+AG16+AH16</f>
        <v>668623051.487075</v>
      </c>
      <c r="AK16" s="0" t="n">
        <f aca="false">AI16+AA16+AD16</f>
        <v>665497073.850419</v>
      </c>
      <c r="AL16" s="0" t="n">
        <f aca="false">X16+Y16+Z16</f>
        <v>137833427.610024</v>
      </c>
      <c r="AM16" s="0" t="n">
        <f aca="false">AL16+AA16</f>
        <v>137833427.610024</v>
      </c>
    </row>
    <row r="17" customFormat="false" ht="15" hidden="false" customHeight="false" outlineLevel="0" collapsed="false">
      <c r="A17" s="0" t="n">
        <v>2040</v>
      </c>
      <c r="B17" s="0" t="n">
        <v>14</v>
      </c>
      <c r="C17" s="0" t="n">
        <v>4832</v>
      </c>
      <c r="D17" s="0" t="n">
        <v>0</v>
      </c>
      <c r="E17" s="0" t="n">
        <v>0</v>
      </c>
      <c r="F17" s="0" t="n">
        <v>72612.101</v>
      </c>
      <c r="G17" s="0" t="n">
        <v>11128.005</v>
      </c>
      <c r="H17" s="0" t="n">
        <v>1481.389</v>
      </c>
      <c r="I17" s="0" t="n">
        <v>883.345</v>
      </c>
      <c r="J17" s="0" t="n">
        <v>1248.108</v>
      </c>
      <c r="K17" s="0" t="n">
        <v>110080.594</v>
      </c>
      <c r="L17" s="0" t="n">
        <v>13313.49</v>
      </c>
      <c r="M17" s="0" t="n">
        <v>68.872</v>
      </c>
      <c r="N17" s="0" t="n">
        <v>12.84</v>
      </c>
      <c r="O17" s="0" t="n">
        <v>8.449</v>
      </c>
      <c r="P17" s="0" t="n">
        <v>6.307</v>
      </c>
      <c r="Q17" s="0" t="n">
        <v>83740.106</v>
      </c>
      <c r="R17" s="0" t="n">
        <v>152786.245</v>
      </c>
      <c r="S17" s="0" t="n">
        <v>269.67</v>
      </c>
      <c r="T17" s="0" t="n">
        <v>259.053</v>
      </c>
      <c r="U17" s="0" t="n">
        <v>68.872</v>
      </c>
      <c r="V17" s="0" t="n">
        <v>461.003</v>
      </c>
      <c r="W17" s="0" t="n">
        <f aca="false">F17*x_c_F+G17*x_c_CC+H17*x_c_DC+I17*x_c_HCC+J17*x_c_PLT+K17*x_c_SVRn+L17*x_c_SVRcc+M17*x_c_LT</f>
        <v>524691592.65533</v>
      </c>
      <c r="X17" s="0" t="n">
        <f aca="false">C17*x_c_DAA</f>
        <v>109976320</v>
      </c>
      <c r="Y17" s="0" t="n">
        <f aca="false">C17*x_c_MON</f>
        <v>27857107.6100244</v>
      </c>
      <c r="Z17" s="0" t="n">
        <f aca="false">D17</f>
        <v>0</v>
      </c>
      <c r="AA17" s="0" t="n">
        <f aca="false">E17</f>
        <v>0</v>
      </c>
      <c r="AB17" s="0" t="n">
        <f aca="false">x_z_F*Q17+(1-x_AGRI)*x_EMP*x_WLOSS*(x_PEN_K74*N17+x_PEN_C22*O17)</f>
        <v>5199048.81850278</v>
      </c>
      <c r="AC17" s="0" t="n">
        <f aca="false">x_AGRI*x_EMP*x_WLOSS*(x_PEN_K74*N17+x_PEN_C22*O17)</f>
        <v>33020.2856111267</v>
      </c>
      <c r="AD17" s="0" t="n">
        <f aca="false">x_EMP*x_WAGE*(x_WLOSS*(N17+O17)+P17)+Q17*x_absd*x_WAGE/365</f>
        <v>4575160.18553492</v>
      </c>
      <c r="AE17" s="0" t="n">
        <f aca="false">AD17*x_R_FUS</f>
        <v>1447580.68270325</v>
      </c>
      <c r="AF17" s="0" t="n">
        <f aca="false">AD17*x_R_NFZ</f>
        <v>355311.515168828</v>
      </c>
      <c r="AG17" s="0" t="n">
        <f aca="false">AD17*x_R_PIT</f>
        <v>304175.745144141</v>
      </c>
      <c r="AH17" s="0" t="n">
        <f aca="false">AD17*x_R_FP</f>
        <v>116666.584731141</v>
      </c>
      <c r="AI17" s="0" t="n">
        <f aca="false">W17+X17+Y17+Z17</f>
        <v>662525020.265355</v>
      </c>
      <c r="AJ17" s="0" t="n">
        <f aca="false">AI17+AA17+AB17+AC17+AE17+AF17+AG17+AH17</f>
        <v>669980823.897216</v>
      </c>
      <c r="AK17" s="0" t="n">
        <f aca="false">AI17+AA17+AD17</f>
        <v>667100180.45089</v>
      </c>
      <c r="AL17" s="0" t="n">
        <f aca="false">X17+Y17+Z17</f>
        <v>137833427.610024</v>
      </c>
      <c r="AM17" s="0" t="n">
        <f aca="false">AL17+AA17</f>
        <v>137833427.610024</v>
      </c>
    </row>
    <row r="18" customFormat="false" ht="15" hidden="false" customHeight="false" outlineLevel="0" collapsed="false">
      <c r="A18" s="0" t="n">
        <v>2041</v>
      </c>
      <c r="B18" s="0" t="n">
        <v>15</v>
      </c>
      <c r="C18" s="0" t="n">
        <v>4832</v>
      </c>
      <c r="D18" s="0" t="n">
        <v>0</v>
      </c>
      <c r="E18" s="0" t="n">
        <v>0</v>
      </c>
      <c r="F18" s="0" t="n">
        <v>72579.58</v>
      </c>
      <c r="G18" s="0" t="n">
        <v>10978.794</v>
      </c>
      <c r="H18" s="0" t="n">
        <v>1475.008</v>
      </c>
      <c r="I18" s="0" t="n">
        <v>882.911</v>
      </c>
      <c r="J18" s="0" t="n">
        <v>1225.073</v>
      </c>
      <c r="K18" s="0" t="n">
        <v>112509.526</v>
      </c>
      <c r="L18" s="0" t="n">
        <v>13584.763</v>
      </c>
      <c r="M18" s="0" t="n">
        <v>68.509</v>
      </c>
      <c r="N18" s="0" t="n">
        <v>18.305</v>
      </c>
      <c r="O18" s="0" t="n">
        <v>11.853</v>
      </c>
      <c r="P18" s="0" t="n">
        <v>9.97</v>
      </c>
      <c r="Q18" s="0" t="n">
        <v>83558.374</v>
      </c>
      <c r="R18" s="0" t="n">
        <v>154696.708</v>
      </c>
      <c r="S18" s="0" t="n">
        <v>267.54</v>
      </c>
      <c r="T18" s="0" t="n">
        <v>257.617</v>
      </c>
      <c r="U18" s="0" t="n">
        <v>68.509</v>
      </c>
      <c r="V18" s="0" t="n">
        <v>458.475</v>
      </c>
      <c r="W18" s="0" t="n">
        <f aca="false">F18*x_c_F+G18*x_c_CC+H18*x_c_DC+I18*x_c_HCC+J18*x_c_PLT+K18*x_c_SVRn+L18*x_c_SVRcc+M18*x_c_LT</f>
        <v>525018745.625336</v>
      </c>
      <c r="X18" s="0" t="n">
        <f aca="false">C18*x_c_DAA</f>
        <v>109976320</v>
      </c>
      <c r="Y18" s="0" t="n">
        <f aca="false">C18*x_c_MON</f>
        <v>27857107.6100244</v>
      </c>
      <c r="Z18" s="0" t="n">
        <f aca="false">D18</f>
        <v>0</v>
      </c>
      <c r="AA18" s="0" t="n">
        <f aca="false">E18</f>
        <v>0</v>
      </c>
      <c r="AB18" s="0" t="n">
        <f aca="false">x_z_F*Q18+(1-x_AGRI)*x_EMP*x_WLOSS*(x_PEN_K74*N18+x_PEN_C22*O18)</f>
        <v>5396616.92876244</v>
      </c>
      <c r="AC18" s="0" t="n">
        <f aca="false">x_AGRI*x_EMP*x_WLOSS*(x_PEN_K74*N18+x_PEN_C22*O18)</f>
        <v>46753.2781058478</v>
      </c>
      <c r="AD18" s="0" t="n">
        <f aca="false">x_EMP*x_WAGE*(x_WLOSS*(N18+O18)+P18)+Q18*x_absd*x_WAGE/365</f>
        <v>5638821.81305527</v>
      </c>
      <c r="AE18" s="0" t="n">
        <f aca="false">AD18*x_R_FUS</f>
        <v>1784123.22165069</v>
      </c>
      <c r="AF18" s="0" t="n">
        <f aca="false">AD18*x_R_NFZ</f>
        <v>437916.540823685</v>
      </c>
      <c r="AG18" s="0" t="n">
        <f aca="false">AD18*x_R_PIT</f>
        <v>374892.409700532</v>
      </c>
      <c r="AH18" s="0" t="n">
        <f aca="false">AD18*x_R_FP</f>
        <v>143789.956232909</v>
      </c>
      <c r="AI18" s="0" t="n">
        <f aca="false">W18+X18+Y18+Z18</f>
        <v>662852173.23536</v>
      </c>
      <c r="AJ18" s="0" t="n">
        <f aca="false">AI18+AA18+AB18+AC18+AE18+AF18+AG18+AH18</f>
        <v>671036265.570637</v>
      </c>
      <c r="AK18" s="0" t="n">
        <f aca="false">AI18+AA18+AD18</f>
        <v>668490995.048416</v>
      </c>
      <c r="AL18" s="0" t="n">
        <f aca="false">X18+Y18+Z18</f>
        <v>137833427.610024</v>
      </c>
      <c r="AM18" s="0" t="n">
        <f aca="false">AL18+AA18</f>
        <v>137833427.610024</v>
      </c>
    </row>
    <row r="19" customFormat="false" ht="15" hidden="false" customHeight="false" outlineLevel="0" collapsed="false">
      <c r="A19" s="0" t="n">
        <v>2042</v>
      </c>
      <c r="B19" s="0" t="n">
        <v>16</v>
      </c>
      <c r="C19" s="0" t="n">
        <v>4832</v>
      </c>
      <c r="D19" s="0" t="n">
        <v>0</v>
      </c>
      <c r="E19" s="0" t="n">
        <v>0</v>
      </c>
      <c r="F19" s="0" t="n">
        <v>72577.399</v>
      </c>
      <c r="G19" s="0" t="n">
        <v>10795.097</v>
      </c>
      <c r="H19" s="0" t="n">
        <v>1465.976</v>
      </c>
      <c r="I19" s="0" t="n">
        <v>880.286</v>
      </c>
      <c r="J19" s="0" t="n">
        <v>1201.49</v>
      </c>
      <c r="K19" s="0" t="n">
        <v>114838.461</v>
      </c>
      <c r="L19" s="0" t="n">
        <v>13820.333</v>
      </c>
      <c r="M19" s="0" t="n">
        <v>68.018</v>
      </c>
      <c r="N19" s="0" t="n">
        <v>25.264</v>
      </c>
      <c r="O19" s="0" t="n">
        <v>16.109</v>
      </c>
      <c r="P19" s="0" t="n">
        <v>15.131</v>
      </c>
      <c r="Q19" s="0" t="n">
        <v>83372.496</v>
      </c>
      <c r="R19" s="0" t="n">
        <v>156508.705</v>
      </c>
      <c r="S19" s="0" t="n">
        <v>264.612</v>
      </c>
      <c r="T19" s="0" t="n">
        <v>255.457</v>
      </c>
      <c r="U19" s="0" t="n">
        <v>68.018</v>
      </c>
      <c r="V19" s="0" t="n">
        <v>455.049</v>
      </c>
      <c r="W19" s="0" t="n">
        <f aca="false">F19*x_c_F+G19*x_c_CC+H19*x_c_DC+I19*x_c_HCC+J19*x_c_PLT+K19*x_c_SVRn+L19*x_c_SVRcc+M19*x_c_LT</f>
        <v>524842980.002564</v>
      </c>
      <c r="X19" s="0" t="n">
        <f aca="false">C19*x_c_DAA</f>
        <v>109976320</v>
      </c>
      <c r="Y19" s="0" t="n">
        <f aca="false">C19*x_c_MON</f>
        <v>27857107.6100244</v>
      </c>
      <c r="Z19" s="0" t="n">
        <f aca="false">D19</f>
        <v>0</v>
      </c>
      <c r="AA19" s="0" t="n">
        <f aca="false">E19</f>
        <v>0</v>
      </c>
      <c r="AB19" s="0" t="n">
        <f aca="false">x_z_F*Q19+(1-x_AGRI)*x_EMP*x_WLOSS*(x_PEN_K74*N19+x_PEN_C22*O19)</f>
        <v>5648763.13478935</v>
      </c>
      <c r="AC19" s="0" t="n">
        <f aca="false">x_AGRI*x_EMP*x_WLOSS*(x_PEN_K74*N19+x_PEN_C22*O19)</f>
        <v>64109.1572342167</v>
      </c>
      <c r="AD19" s="0" t="n">
        <f aca="false">x_EMP*x_WAGE*(x_WLOSS*(N19+O19)+P19)+Q19*x_absd*x_WAGE/365</f>
        <v>7030114.73891071</v>
      </c>
      <c r="AE19" s="0" t="n">
        <f aca="false">AD19*x_R_FUS</f>
        <v>2224328.30339135</v>
      </c>
      <c r="AF19" s="0" t="n">
        <f aca="false">AD19*x_R_NFZ</f>
        <v>545965.740738545</v>
      </c>
      <c r="AG19" s="0" t="n">
        <f aca="false">AD19*x_R_PIT</f>
        <v>467391.370452519</v>
      </c>
      <c r="AH19" s="0" t="n">
        <f aca="false">AD19*x_R_FP</f>
        <v>179267.925842223</v>
      </c>
      <c r="AI19" s="0" t="n">
        <f aca="false">W19+X19+Y19+Z19</f>
        <v>662676407.612588</v>
      </c>
      <c r="AJ19" s="0" t="n">
        <f aca="false">AI19+AA19+AB19+AC19+AE19+AF19+AG19+AH19</f>
        <v>671806233.245036</v>
      </c>
      <c r="AK19" s="0" t="n">
        <f aca="false">AI19+AA19+AD19</f>
        <v>669706522.351499</v>
      </c>
      <c r="AL19" s="0" t="n">
        <f aca="false">X19+Y19+Z19</f>
        <v>137833427.610024</v>
      </c>
      <c r="AM19" s="0" t="n">
        <f aca="false">AL19+AA19</f>
        <v>137833427.610024</v>
      </c>
    </row>
    <row r="20" customFormat="false" ht="15" hidden="false" customHeight="false" outlineLevel="0" collapsed="false">
      <c r="A20" s="0" t="n">
        <v>2043</v>
      </c>
      <c r="B20" s="0" t="n">
        <v>17</v>
      </c>
      <c r="C20" s="0" t="n">
        <v>4832</v>
      </c>
      <c r="D20" s="0" t="n">
        <v>0</v>
      </c>
      <c r="E20" s="0" t="n">
        <v>0</v>
      </c>
      <c r="F20" s="0" t="n">
        <v>72603.737</v>
      </c>
      <c r="G20" s="0" t="n">
        <v>10584.296</v>
      </c>
      <c r="H20" s="0" t="n">
        <v>1454.02</v>
      </c>
      <c r="I20" s="0" t="n">
        <v>875.402</v>
      </c>
      <c r="J20" s="0" t="n">
        <v>1177.355</v>
      </c>
      <c r="K20" s="0" t="n">
        <v>117072.132</v>
      </c>
      <c r="L20" s="0" t="n">
        <v>14018.787</v>
      </c>
      <c r="M20" s="0" t="n">
        <v>67.379</v>
      </c>
      <c r="N20" s="0" t="n">
        <v>33.906</v>
      </c>
      <c r="O20" s="0" t="n">
        <v>21.298</v>
      </c>
      <c r="P20" s="0" t="n">
        <v>22.172</v>
      </c>
      <c r="Q20" s="0" t="n">
        <v>83188.033</v>
      </c>
      <c r="R20" s="0" t="n">
        <v>158227.618</v>
      </c>
      <c r="S20" s="0" t="n">
        <v>260.989</v>
      </c>
      <c r="T20" s="0" t="n">
        <v>252.635</v>
      </c>
      <c r="U20" s="0" t="n">
        <v>67.379</v>
      </c>
      <c r="V20" s="0" t="n">
        <v>450.608</v>
      </c>
      <c r="W20" s="0" t="n">
        <f aca="false">F20*x_c_F+G20*x_c_CC+H20*x_c_DC+I20*x_c_HCC+J20*x_c_PLT+K20*x_c_SVRn+L20*x_c_SVRcc+M20*x_c_LT</f>
        <v>524181721.637983</v>
      </c>
      <c r="X20" s="0" t="n">
        <f aca="false">C20*x_c_DAA</f>
        <v>109976320</v>
      </c>
      <c r="Y20" s="0" t="n">
        <f aca="false">C20*x_c_MON</f>
        <v>27857107.6100244</v>
      </c>
      <c r="Z20" s="0" t="n">
        <f aca="false">D20</f>
        <v>0</v>
      </c>
      <c r="AA20" s="0" t="n">
        <f aca="false">E20</f>
        <v>0</v>
      </c>
      <c r="AB20" s="0" t="n">
        <f aca="false">x_z_F*Q20+(1-x_AGRI)*x_EMP*x_WLOSS*(x_PEN_K74*N20+x_PEN_C22*O20)</f>
        <v>5962055.85085568</v>
      </c>
      <c r="AC20" s="0" t="n">
        <f aca="false">x_AGRI*x_EMP*x_WLOSS*(x_PEN_K74*N20+x_PEN_C22*O20)</f>
        <v>85501.4545142483</v>
      </c>
      <c r="AD20" s="0" t="n">
        <f aca="false">x_EMP*x_WAGE*(x_WLOSS*(N20+O20)+P20)+Q20*x_absd*x_WAGE/365</f>
        <v>8804776.38187703</v>
      </c>
      <c r="AE20" s="0" t="n">
        <f aca="false">AD20*x_R_FUS</f>
        <v>2785831.24722589</v>
      </c>
      <c r="AF20" s="0" t="n">
        <f aca="false">AD20*x_R_NFZ</f>
        <v>683787.738592952</v>
      </c>
      <c r="AG20" s="0" t="n">
        <f aca="false">AD20*x_R_PIT</f>
        <v>585378.283639667</v>
      </c>
      <c r="AH20" s="0" t="n">
        <f aca="false">AD20*x_R_FP</f>
        <v>224521.797737864</v>
      </c>
      <c r="AI20" s="0" t="n">
        <f aca="false">W20+X20+Y20+Z20</f>
        <v>662015149.248008</v>
      </c>
      <c r="AJ20" s="0" t="n">
        <f aca="false">AI20+AA20+AB20+AC20+AE20+AF20+AG20+AH20</f>
        <v>672342225.620574</v>
      </c>
      <c r="AK20" s="0" t="n">
        <f aca="false">AI20+AA20+AD20</f>
        <v>670819925.629885</v>
      </c>
      <c r="AL20" s="0" t="n">
        <f aca="false">X20+Y20+Z20</f>
        <v>137833427.610024</v>
      </c>
      <c r="AM20" s="0" t="n">
        <f aca="false">AL20+AA20</f>
        <v>137833427.610024</v>
      </c>
    </row>
    <row r="21" customFormat="false" ht="15" hidden="false" customHeight="false" outlineLevel="0" collapsed="false">
      <c r="A21" s="0" t="n">
        <v>2044</v>
      </c>
      <c r="B21" s="0" t="n">
        <v>18</v>
      </c>
      <c r="C21" s="0" t="n">
        <v>4832</v>
      </c>
      <c r="D21" s="0" t="n">
        <v>0</v>
      </c>
      <c r="E21" s="0" t="n">
        <v>0</v>
      </c>
      <c r="F21" s="0" t="n">
        <v>72653.237</v>
      </c>
      <c r="G21" s="0" t="n">
        <v>10351.978</v>
      </c>
      <c r="H21" s="0" t="n">
        <v>1438.849</v>
      </c>
      <c r="I21" s="0" t="n">
        <v>868.186</v>
      </c>
      <c r="J21" s="0" t="n">
        <v>1152.468</v>
      </c>
      <c r="K21" s="0" t="n">
        <v>119203.472</v>
      </c>
      <c r="L21" s="0" t="n">
        <v>14177.063</v>
      </c>
      <c r="M21" s="0" t="n">
        <v>66.584</v>
      </c>
      <c r="N21" s="0" t="n">
        <v>44.406</v>
      </c>
      <c r="O21" s="0" t="n">
        <v>27.489</v>
      </c>
      <c r="P21" s="0" t="n">
        <v>31.514</v>
      </c>
      <c r="Q21" s="0" t="n">
        <v>83005.215</v>
      </c>
      <c r="R21" s="0" t="n">
        <v>159845.088</v>
      </c>
      <c r="S21" s="0" t="n">
        <v>256.789</v>
      </c>
      <c r="T21" s="0" t="n">
        <v>249.237</v>
      </c>
      <c r="U21" s="0" t="n">
        <v>66.584</v>
      </c>
      <c r="V21" s="0" t="n">
        <v>445.128</v>
      </c>
      <c r="W21" s="0" t="n">
        <f aca="false">F21*x_c_F+G21*x_c_CC+H21*x_c_DC+I21*x_c_HCC+J21*x_c_PLT+K21*x_c_SVRn+L21*x_c_SVRcc+M21*x_c_LT</f>
        <v>523017708.376395</v>
      </c>
      <c r="X21" s="0" t="n">
        <f aca="false">C21*x_c_DAA</f>
        <v>109976320</v>
      </c>
      <c r="Y21" s="0" t="n">
        <f aca="false">C21*x_c_MON</f>
        <v>27857107.6100244</v>
      </c>
      <c r="Z21" s="0" t="n">
        <f aca="false">D21</f>
        <v>0</v>
      </c>
      <c r="AA21" s="0" t="n">
        <f aca="false">E21</f>
        <v>0</v>
      </c>
      <c r="AB21" s="0" t="n">
        <f aca="false">x_z_F*Q21+(1-x_AGRI)*x_EMP*x_WLOSS*(x_PEN_K74*N21+x_PEN_C22*O21)</f>
        <v>6342149.09599172</v>
      </c>
      <c r="AC21" s="0" t="n">
        <f aca="false">x_AGRI*x_EMP*x_WLOSS*(x_PEN_K74*N21+x_PEN_C22*O21)</f>
        <v>111303.036588303</v>
      </c>
      <c r="AD21" s="0" t="n">
        <f aca="false">x_EMP*x_WAGE*(x_WLOSS*(N21+O21)+P21)+Q21*x_absd*x_WAGE/365</f>
        <v>11019511.0719626</v>
      </c>
      <c r="AE21" s="0" t="n">
        <f aca="false">AD21*x_R_FUS</f>
        <v>3486573.30316898</v>
      </c>
      <c r="AF21" s="0" t="n">
        <f aca="false">AD21*x_R_NFZ</f>
        <v>855786.249359691</v>
      </c>
      <c r="AG21" s="0" t="n">
        <f aca="false">AD21*x_R_PIT</f>
        <v>732623.089796024</v>
      </c>
      <c r="AH21" s="0" t="n">
        <f aca="false">AD21*x_R_FP</f>
        <v>280997.532335047</v>
      </c>
      <c r="AI21" s="0" t="n">
        <f aca="false">W21+X21+Y21+Z21</f>
        <v>660851135.986419</v>
      </c>
      <c r="AJ21" s="0" t="n">
        <f aca="false">AI21+AA21+AB21+AC21+AE21+AF21+AG21+AH21</f>
        <v>672660568.293659</v>
      </c>
      <c r="AK21" s="0" t="n">
        <f aca="false">AI21+AA21+AD21</f>
        <v>671870647.058381</v>
      </c>
      <c r="AL21" s="0" t="n">
        <f aca="false">X21+Y21+Z21</f>
        <v>137833427.610024</v>
      </c>
      <c r="AM21" s="0" t="n">
        <f aca="false">AL21+AA21</f>
        <v>137833427.610024</v>
      </c>
    </row>
    <row r="22" customFormat="false" ht="15" hidden="false" customHeight="false" outlineLevel="0" collapsed="false">
      <c r="A22" s="0" t="n">
        <v>2045</v>
      </c>
      <c r="B22" s="0" t="n">
        <v>19</v>
      </c>
      <c r="C22" s="0" t="n">
        <v>4832</v>
      </c>
      <c r="D22" s="0" t="n">
        <v>0</v>
      </c>
      <c r="E22" s="0" t="n">
        <v>0</v>
      </c>
      <c r="F22" s="0" t="n">
        <v>72722.274</v>
      </c>
      <c r="G22" s="0" t="n">
        <v>10104.164</v>
      </c>
      <c r="H22" s="0" t="n">
        <v>1420.445</v>
      </c>
      <c r="I22" s="0" t="n">
        <v>858.722</v>
      </c>
      <c r="J22" s="0" t="n">
        <v>1126.708</v>
      </c>
      <c r="K22" s="0" t="n">
        <v>121231.028</v>
      </c>
      <c r="L22" s="0" t="n">
        <v>14293.507</v>
      </c>
      <c r="M22" s="0" t="n">
        <v>65.631</v>
      </c>
      <c r="N22" s="0" t="n">
        <v>56.921</v>
      </c>
      <c r="O22" s="0" t="n">
        <v>34.736</v>
      </c>
      <c r="P22" s="0" t="n">
        <v>43.613</v>
      </c>
      <c r="Q22" s="0" t="n">
        <v>82826.438</v>
      </c>
      <c r="R22" s="0" t="n">
        <v>161359.661</v>
      </c>
      <c r="S22" s="0" t="n">
        <v>252.113</v>
      </c>
      <c r="T22" s="0" t="n">
        <v>245.335</v>
      </c>
      <c r="U22" s="0" t="n">
        <v>65.631</v>
      </c>
      <c r="V22" s="0" t="n">
        <v>438.607</v>
      </c>
      <c r="W22" s="0" t="n">
        <f aca="false">F22*x_c_F+G22*x_c_CC+H22*x_c_DC+I22*x_c_HCC+J22*x_c_PLT+K22*x_c_SVRn+L22*x_c_SVRcc+M22*x_c_LT</f>
        <v>521367821.794393</v>
      </c>
      <c r="X22" s="0" t="n">
        <f aca="false">C22*x_c_DAA</f>
        <v>109976320</v>
      </c>
      <c r="Y22" s="0" t="n">
        <f aca="false">C22*x_c_MON</f>
        <v>27857107.6100244</v>
      </c>
      <c r="Z22" s="0" t="n">
        <f aca="false">D22</f>
        <v>0</v>
      </c>
      <c r="AA22" s="0" t="n">
        <f aca="false">E22</f>
        <v>0</v>
      </c>
      <c r="AB22" s="0" t="n">
        <f aca="false">x_z_F*Q22+(1-x_AGRI)*x_EMP*x_WLOSS*(x_PEN_K74*N22+x_PEN_C22*O22)</f>
        <v>6794038.28946304</v>
      </c>
      <c r="AC22" s="0" t="n">
        <f aca="false">x_AGRI*x_EMP*x_WLOSS*(x_PEN_K74*N22+x_PEN_C22*O22)</f>
        <v>141835.203323709</v>
      </c>
      <c r="AD22" s="0" t="n">
        <f aca="false">x_EMP*x_WAGE*(x_WLOSS*(N22+O22)+P22)+Q22*x_absd*x_WAGE/365</f>
        <v>13731251.1418985</v>
      </c>
      <c r="AE22" s="0" t="n">
        <f aca="false">AD22*x_R_FUS</f>
        <v>4344567.86129668</v>
      </c>
      <c r="AF22" s="0" t="n">
        <f aca="false">AD22*x_R_NFZ</f>
        <v>1066382.69493098</v>
      </c>
      <c r="AG22" s="0" t="n">
        <f aca="false">AD22*x_R_PIT</f>
        <v>912910.888028276</v>
      </c>
      <c r="AH22" s="0" t="n">
        <f aca="false">AD22*x_R_FP</f>
        <v>350146.904118411</v>
      </c>
      <c r="AI22" s="0" t="n">
        <f aca="false">W22+X22+Y22+Z22</f>
        <v>659201249.404417</v>
      </c>
      <c r="AJ22" s="0" t="n">
        <f aca="false">AI22+AA22+AB22+AC22+AE22+AF22+AG22+AH22</f>
        <v>672811131.245578</v>
      </c>
      <c r="AK22" s="0" t="n">
        <f aca="false">AI22+AA22+AD22</f>
        <v>672932500.546315</v>
      </c>
      <c r="AL22" s="0" t="n">
        <f aca="false">X22+Y22+Z22</f>
        <v>137833427.610024</v>
      </c>
      <c r="AM22" s="0" t="n">
        <f aca="false">AL22+AA22</f>
        <v>137833427.610024</v>
      </c>
    </row>
    <row r="23" customFormat="false" ht="15" hidden="false" customHeight="false" outlineLevel="0" collapsed="false">
      <c r="A23" s="0" t="n">
        <v>2046</v>
      </c>
      <c r="B23" s="0" t="n">
        <v>20</v>
      </c>
      <c r="C23" s="0" t="n">
        <v>4832</v>
      </c>
      <c r="D23" s="0" t="n">
        <v>0</v>
      </c>
      <c r="E23" s="0" t="n">
        <v>0</v>
      </c>
      <c r="F23" s="0" t="n">
        <v>72806.581</v>
      </c>
      <c r="G23" s="0" t="n">
        <v>9846.003</v>
      </c>
      <c r="H23" s="0" t="n">
        <v>1398.855</v>
      </c>
      <c r="I23" s="0" t="n">
        <v>847.126</v>
      </c>
      <c r="J23" s="0" t="n">
        <v>1099.909</v>
      </c>
      <c r="K23" s="0" t="n">
        <v>123149.708</v>
      </c>
      <c r="L23" s="0" t="n">
        <v>14366.216</v>
      </c>
      <c r="M23" s="0" t="n">
        <v>64.522</v>
      </c>
      <c r="N23" s="0" t="n">
        <v>71.581</v>
      </c>
      <c r="O23" s="0" t="n">
        <v>43.078</v>
      </c>
      <c r="P23" s="0" t="n">
        <v>58.949</v>
      </c>
      <c r="Q23" s="0" t="n">
        <v>82652.583</v>
      </c>
      <c r="R23" s="0" t="n">
        <v>162766.006</v>
      </c>
      <c r="S23" s="0" t="n">
        <v>247.048</v>
      </c>
      <c r="T23" s="0" t="n">
        <v>240.992</v>
      </c>
      <c r="U23" s="0" t="n">
        <v>64.522</v>
      </c>
      <c r="V23" s="0" t="n">
        <v>431.062</v>
      </c>
      <c r="W23" s="0" t="n">
        <f aca="false">F23*x_c_F+G23*x_c_CC+H23*x_c_DC+I23*x_c_HCC+J23*x_c_PLT+K23*x_c_SVRn+L23*x_c_SVRcc+M23*x_c_LT</f>
        <v>519242536.893424</v>
      </c>
      <c r="X23" s="0" t="n">
        <f aca="false">C23*x_c_DAA</f>
        <v>109976320</v>
      </c>
      <c r="Y23" s="0" t="n">
        <f aca="false">C23*x_c_MON</f>
        <v>27857107.6100244</v>
      </c>
      <c r="Z23" s="0" t="n">
        <f aca="false">D23</f>
        <v>0</v>
      </c>
      <c r="AA23" s="0" t="n">
        <f aca="false">E23</f>
        <v>0</v>
      </c>
      <c r="AB23" s="0" t="n">
        <f aca="false">x_z_F*Q23+(1-x_AGRI)*x_EMP*x_WLOSS*(x_PEN_K74*N23+x_PEN_C22*O23)</f>
        <v>7321653.33112746</v>
      </c>
      <c r="AC23" s="0" t="n">
        <f aca="false">x_AGRI*x_EMP*x_WLOSS*(x_PEN_K74*N23+x_PEN_C22*O23)</f>
        <v>177354.445564446</v>
      </c>
      <c r="AD23" s="0" t="n">
        <f aca="false">x_EMP*x_WAGE*(x_WLOSS*(N23+O23)+P23)+Q23*x_absd*x_WAGE/365</f>
        <v>16995354.0302122</v>
      </c>
      <c r="AE23" s="0" t="n">
        <f aca="false">AD23*x_R_FUS</f>
        <v>5377330.01515915</v>
      </c>
      <c r="AF23" s="0" t="n">
        <f aca="false">AD23*x_R_NFZ</f>
        <v>1319876.18934031</v>
      </c>
      <c r="AG23" s="0" t="n">
        <f aca="false">AD23*x_R_PIT</f>
        <v>1129922.07190312</v>
      </c>
      <c r="AH23" s="0" t="n">
        <f aca="false">AD23*x_R_FP</f>
        <v>433381.527770412</v>
      </c>
      <c r="AI23" s="0" t="n">
        <f aca="false">W23+X23+Y23+Z23</f>
        <v>657075964.503448</v>
      </c>
      <c r="AJ23" s="0" t="n">
        <f aca="false">AI23+AA23+AB23+AC23+AE23+AF23+AG23+AH23</f>
        <v>672835482.084313</v>
      </c>
      <c r="AK23" s="0" t="n">
        <f aca="false">AI23+AA23+AD23</f>
        <v>674071318.533661</v>
      </c>
      <c r="AL23" s="0" t="n">
        <f aca="false">X23+Y23+Z23</f>
        <v>137833427.610024</v>
      </c>
      <c r="AM23" s="0" t="n">
        <f aca="false">AL23+AA23</f>
        <v>137833427.610024</v>
      </c>
    </row>
    <row r="24" customFormat="false" ht="15" hidden="false" customHeight="false" outlineLevel="0" collapsed="false">
      <c r="A24" s="0" t="n">
        <v>2047</v>
      </c>
      <c r="B24" s="0" t="n">
        <v>21</v>
      </c>
      <c r="C24" s="0" t="n">
        <v>4832</v>
      </c>
      <c r="D24" s="0" t="n">
        <v>0</v>
      </c>
      <c r="E24" s="0" t="n">
        <v>0</v>
      </c>
      <c r="F24" s="0" t="n">
        <v>72901.735</v>
      </c>
      <c r="G24" s="0" t="n">
        <v>9581.836</v>
      </c>
      <c r="H24" s="0" t="n">
        <v>1374.176</v>
      </c>
      <c r="I24" s="0" t="n">
        <v>833.526</v>
      </c>
      <c r="J24" s="0" t="n">
        <v>1071.872</v>
      </c>
      <c r="K24" s="0" t="n">
        <v>124951.537</v>
      </c>
      <c r="L24" s="0" t="n">
        <v>14393.057</v>
      </c>
      <c r="M24" s="0" t="n">
        <v>63.266</v>
      </c>
      <c r="N24" s="0" t="n">
        <v>88.49</v>
      </c>
      <c r="O24" s="0" t="n">
        <v>52.532</v>
      </c>
      <c r="P24" s="0" t="n">
        <v>78.019</v>
      </c>
      <c r="Q24" s="0" t="n">
        <v>82483.571</v>
      </c>
      <c r="R24" s="0" t="n">
        <v>164055.888</v>
      </c>
      <c r="S24" s="0" t="n">
        <v>241.685</v>
      </c>
      <c r="T24" s="0" t="n">
        <v>236.281</v>
      </c>
      <c r="U24" s="0" t="n">
        <v>63.266</v>
      </c>
      <c r="V24" s="0" t="n">
        <v>422.558</v>
      </c>
      <c r="W24" s="0" t="n">
        <f aca="false">F24*x_c_F+G24*x_c_CC+H24*x_c_DC+I24*x_c_HCC+J24*x_c_PLT+K24*x_c_SVRn+L24*x_c_SVRcc+M24*x_c_LT</f>
        <v>516648103.850772</v>
      </c>
      <c r="X24" s="0" t="n">
        <f aca="false">C24*x_c_DAA</f>
        <v>109976320</v>
      </c>
      <c r="Y24" s="0" t="n">
        <f aca="false">C24*x_c_MON</f>
        <v>27857107.6100244</v>
      </c>
      <c r="Z24" s="0" t="n">
        <f aca="false">D24</f>
        <v>0</v>
      </c>
      <c r="AA24" s="0" t="n">
        <f aca="false">E24</f>
        <v>0</v>
      </c>
      <c r="AB24" s="0" t="n">
        <f aca="false">x_z_F*Q24+(1-x_AGRI)*x_EMP*x_WLOSS*(x_PEN_K74*N24+x_PEN_C22*O24)</f>
        <v>7927734.92195023</v>
      </c>
      <c r="AC24" s="0" t="n">
        <f aca="false">x_AGRI*x_EMP*x_WLOSS*(x_PEN_K74*N24+x_PEN_C22*O24)</f>
        <v>218042.211428818</v>
      </c>
      <c r="AD24" s="0" t="n">
        <f aca="false">x_EMP*x_WAGE*(x_WLOSS*(N24+O24)+P24)+Q24*x_absd*x_WAGE/365</f>
        <v>20864508.6235522</v>
      </c>
      <c r="AE24" s="0" t="n">
        <f aca="false">AD24*x_R_FUS</f>
        <v>6601530.52849192</v>
      </c>
      <c r="AF24" s="0" t="n">
        <f aca="false">AD24*x_R_NFZ</f>
        <v>1620358.60421369</v>
      </c>
      <c r="AG24" s="0" t="n">
        <f aca="false">AD24*x_R_PIT</f>
        <v>1387159.61852018</v>
      </c>
      <c r="AH24" s="0" t="n">
        <f aca="false">AD24*x_R_FP</f>
        <v>532044.969900581</v>
      </c>
      <c r="AI24" s="0" t="n">
        <f aca="false">W24+X24+Y24+Z24</f>
        <v>654481531.460797</v>
      </c>
      <c r="AJ24" s="0" t="n">
        <f aca="false">AI24+AA24+AB24+AC24+AE24+AF24+AG24+AH24</f>
        <v>672768402.315302</v>
      </c>
      <c r="AK24" s="0" t="n">
        <f aca="false">AI24+AA24+AD24</f>
        <v>675346040.084349</v>
      </c>
      <c r="AL24" s="0" t="n">
        <f aca="false">X24+Y24+Z24</f>
        <v>137833427.610024</v>
      </c>
      <c r="AM24" s="0" t="n">
        <f aca="false">AL24+AA24</f>
        <v>137833427.610024</v>
      </c>
    </row>
    <row r="25" customFormat="false" ht="15" hidden="false" customHeight="false" outlineLevel="0" collapsed="false">
      <c r="A25" s="0" t="n">
        <v>2048</v>
      </c>
      <c r="B25" s="0" t="n">
        <v>22</v>
      </c>
      <c r="C25" s="0" t="n">
        <v>4832</v>
      </c>
      <c r="D25" s="0" t="n">
        <v>0</v>
      </c>
      <c r="E25" s="0" t="n">
        <v>0</v>
      </c>
      <c r="F25" s="0" t="n">
        <v>73004.508</v>
      </c>
      <c r="G25" s="0" t="n">
        <v>9316.006</v>
      </c>
      <c r="H25" s="0" t="n">
        <v>1346.657</v>
      </c>
      <c r="I25" s="0" t="n">
        <v>818.127</v>
      </c>
      <c r="J25" s="0" t="n">
        <v>1042.476</v>
      </c>
      <c r="K25" s="0" t="n">
        <v>126632.439</v>
      </c>
      <c r="L25" s="0" t="n">
        <v>14373.009</v>
      </c>
      <c r="M25" s="0" t="n">
        <v>61.875</v>
      </c>
      <c r="N25" s="0" t="n">
        <v>107.724</v>
      </c>
      <c r="O25" s="0" t="n">
        <v>63.101</v>
      </c>
      <c r="P25" s="0" t="n">
        <v>101.332</v>
      </c>
      <c r="Q25" s="0" t="n">
        <v>82320.514</v>
      </c>
      <c r="R25" s="0" t="n">
        <v>165225.756</v>
      </c>
      <c r="S25" s="0" t="n">
        <v>236.102</v>
      </c>
      <c r="T25" s="0" t="n">
        <v>231.265</v>
      </c>
      <c r="U25" s="0" t="n">
        <v>61.875</v>
      </c>
      <c r="V25" s="0" t="n">
        <v>413.17</v>
      </c>
      <c r="W25" s="0" t="n">
        <f aca="false">F25*x_c_F+G25*x_c_CC+H25*x_c_DC+I25*x_c_HCC+J25*x_c_PLT+K25*x_c_SVRn+L25*x_c_SVRcc+M25*x_c_LT</f>
        <v>513610849.900627</v>
      </c>
      <c r="X25" s="0" t="n">
        <f aca="false">C25*x_c_DAA</f>
        <v>109976320</v>
      </c>
      <c r="Y25" s="0" t="n">
        <f aca="false">C25*x_c_MON</f>
        <v>27857107.6100244</v>
      </c>
      <c r="Z25" s="0" t="n">
        <f aca="false">D25</f>
        <v>0</v>
      </c>
      <c r="AA25" s="0" t="n">
        <f aca="false">E25</f>
        <v>0</v>
      </c>
      <c r="AB25" s="0" t="n">
        <f aca="false">x_z_F*Q25+(1-x_AGRI)*x_EMP*x_WLOSS*(x_PEN_K74*N25+x_PEN_C22*O25)</f>
        <v>8614113.14162983</v>
      </c>
      <c r="AC25" s="0" t="n">
        <f aca="false">x_AGRI*x_EMP*x_WLOSS*(x_PEN_K74*N25+x_PEN_C22*O25)</f>
        <v>264015.340802748</v>
      </c>
      <c r="AD25" s="0" t="n">
        <f aca="false">x_EMP*x_WAGE*(x_WLOSS*(N25+O25)+P25)+Q25*x_absd*x_WAGE/365</f>
        <v>25388877.6008462</v>
      </c>
      <c r="AE25" s="0" t="n">
        <f aca="false">AD25*x_R_FUS</f>
        <v>8033040.87290772</v>
      </c>
      <c r="AF25" s="0" t="n">
        <f aca="false">AD25*x_R_NFZ</f>
        <v>1971725.62335931</v>
      </c>
      <c r="AG25" s="0" t="n">
        <f aca="false">AD25*x_R_PIT</f>
        <v>1687958.55214583</v>
      </c>
      <c r="AH25" s="0" t="n">
        <f aca="false">AD25*x_R_FP</f>
        <v>647416.378821577</v>
      </c>
      <c r="AI25" s="0" t="n">
        <f aca="false">W25+X25+Y25+Z25</f>
        <v>651444277.510651</v>
      </c>
      <c r="AJ25" s="0" t="n">
        <f aca="false">AI25+AA25+AB25+AC25+AE25+AF25+AG25+AH25</f>
        <v>672662547.420318</v>
      </c>
      <c r="AK25" s="0" t="n">
        <f aca="false">AI25+AA25+AD25</f>
        <v>676833155.111497</v>
      </c>
      <c r="AL25" s="0" t="n">
        <f aca="false">X25+Y25+Z25</f>
        <v>137833427.610024</v>
      </c>
      <c r="AM25" s="0" t="n">
        <f aca="false">AL25+AA25</f>
        <v>137833427.610024</v>
      </c>
    </row>
    <row r="26" customFormat="false" ht="15" hidden="false" customHeight="false" outlineLevel="0" collapsed="false">
      <c r="A26" s="0" t="n">
        <v>2049</v>
      </c>
      <c r="B26" s="0" t="n">
        <v>23</v>
      </c>
      <c r="C26" s="0" t="n">
        <v>4832</v>
      </c>
      <c r="D26" s="0" t="n">
        <v>0</v>
      </c>
      <c r="E26" s="0" t="n">
        <v>0</v>
      </c>
      <c r="F26" s="0" t="n">
        <v>73111.787</v>
      </c>
      <c r="G26" s="0" t="n">
        <v>9052.162</v>
      </c>
      <c r="H26" s="0" t="n">
        <v>1316.573</v>
      </c>
      <c r="I26" s="0" t="n">
        <v>801.133</v>
      </c>
      <c r="J26" s="0" t="n">
        <v>1011.6</v>
      </c>
      <c r="K26" s="0" t="n">
        <v>128186.923</v>
      </c>
      <c r="L26" s="0" t="n">
        <v>14305.074</v>
      </c>
      <c r="M26" s="0" t="n">
        <v>60.362</v>
      </c>
      <c r="N26" s="0" t="n">
        <v>129.325</v>
      </c>
      <c r="O26" s="0" t="n">
        <v>74.766</v>
      </c>
      <c r="P26" s="0" t="n">
        <v>129.393</v>
      </c>
      <c r="Q26" s="0" t="n">
        <v>82163.949</v>
      </c>
      <c r="R26" s="0" t="n">
        <v>166270.7</v>
      </c>
      <c r="S26" s="0" t="n">
        <v>230.362</v>
      </c>
      <c r="T26" s="0" t="n">
        <v>225.996</v>
      </c>
      <c r="U26" s="0" t="n">
        <v>60.362</v>
      </c>
      <c r="V26" s="0" t="n">
        <v>402.974</v>
      </c>
      <c r="W26" s="0" t="n">
        <f aca="false">F26*x_c_F+G26*x_c_CC+H26*x_c_DC+I26*x_c_HCC+J26*x_c_PLT+K26*x_c_SVRn+L26*x_c_SVRcc+M26*x_c_LT</f>
        <v>510153630.151506</v>
      </c>
      <c r="X26" s="0" t="n">
        <f aca="false">C26*x_c_DAA</f>
        <v>109976320</v>
      </c>
      <c r="Y26" s="0" t="n">
        <f aca="false">C26*x_c_MON</f>
        <v>27857107.6100244</v>
      </c>
      <c r="Z26" s="0" t="n">
        <f aca="false">D26</f>
        <v>0</v>
      </c>
      <c r="AA26" s="0" t="n">
        <f aca="false">E26</f>
        <v>0</v>
      </c>
      <c r="AB26" s="0" t="n">
        <f aca="false">x_z_F*Q26+(1-x_AGRI)*x_EMP*x_WLOSS*(x_PEN_K74*N26+x_PEN_C22*O26)</f>
        <v>9381272.39498695</v>
      </c>
      <c r="AC26" s="0" t="n">
        <f aca="false">x_AGRI*x_EMP*x_WLOSS*(x_PEN_K74*N26+x_PEN_C22*O26)</f>
        <v>315303.859959088</v>
      </c>
      <c r="AD26" s="0" t="n">
        <f aca="false">x_EMP*x_WAGE*(x_WLOSS*(N26+O26)+P26)+Q26*x_absd*x_WAGE/365</f>
        <v>30613492.7521232</v>
      </c>
      <c r="AE26" s="0" t="n">
        <f aca="false">AD26*x_R_FUS</f>
        <v>9686109.10677178</v>
      </c>
      <c r="AF26" s="0" t="n">
        <f aca="false">AD26*x_R_NFZ</f>
        <v>2377474.46062264</v>
      </c>
      <c r="AG26" s="0" t="n">
        <f aca="false">AD26*x_R_PIT</f>
        <v>2035312.77413691</v>
      </c>
      <c r="AH26" s="0" t="n">
        <f aca="false">AD26*x_R_FP</f>
        <v>780644.065179142</v>
      </c>
      <c r="AI26" s="0" t="n">
        <f aca="false">W26+X26+Y26+Z26</f>
        <v>647987057.761531</v>
      </c>
      <c r="AJ26" s="0" t="n">
        <f aca="false">AI26+AA26+AB26+AC26+AE26+AF26+AG26+AH26</f>
        <v>672563174.423187</v>
      </c>
      <c r="AK26" s="0" t="n">
        <f aca="false">AI26+AA26+AD26</f>
        <v>678600550.513654</v>
      </c>
      <c r="AL26" s="0" t="n">
        <f aca="false">X26+Y26+Z26</f>
        <v>137833427.610024</v>
      </c>
      <c r="AM26" s="0" t="n">
        <f aca="false">AL26+AA26</f>
        <v>137833427.610024</v>
      </c>
    </row>
    <row r="27" customFormat="false" ht="15" hidden="false" customHeight="false" outlineLevel="0" collapsed="false">
      <c r="A27" s="0" t="n">
        <v>2050</v>
      </c>
      <c r="B27" s="0" t="n">
        <v>24</v>
      </c>
      <c r="C27" s="0" t="n">
        <v>4832</v>
      </c>
      <c r="D27" s="0" t="n">
        <v>0</v>
      </c>
      <c r="E27" s="0" t="n">
        <v>0</v>
      </c>
      <c r="F27" s="0" t="n">
        <v>73220.621</v>
      </c>
      <c r="G27" s="0" t="n">
        <v>8793.283</v>
      </c>
      <c r="H27" s="0" t="n">
        <v>1284.204</v>
      </c>
      <c r="I27" s="0" t="n">
        <v>782.738</v>
      </c>
      <c r="J27" s="0" t="n">
        <v>979.12</v>
      </c>
      <c r="K27" s="0" t="n">
        <v>129607.941</v>
      </c>
      <c r="L27" s="0" t="n">
        <v>14188.223</v>
      </c>
      <c r="M27" s="0" t="n">
        <v>58.743</v>
      </c>
      <c r="N27" s="0" t="n">
        <v>153.303</v>
      </c>
      <c r="O27" s="0" t="n">
        <v>87.494</v>
      </c>
      <c r="P27" s="0" t="n">
        <v>162.702</v>
      </c>
      <c r="Q27" s="0" t="n">
        <v>82013.905</v>
      </c>
      <c r="R27" s="0" t="n">
        <v>167184.336</v>
      </c>
      <c r="S27" s="0" t="n">
        <v>224.531</v>
      </c>
      <c r="T27" s="0" t="n">
        <v>220.533</v>
      </c>
      <c r="U27" s="0" t="n">
        <v>58.743</v>
      </c>
      <c r="V27" s="0" t="n">
        <v>392.072</v>
      </c>
      <c r="W27" s="0" t="n">
        <f aca="false">F27*x_c_F+G27*x_c_CC+H27*x_c_DC+I27*x_c_HCC+J27*x_c_PLT+K27*x_c_SVRn+L27*x_c_SVRcc+M27*x_c_LT</f>
        <v>506295506.838431</v>
      </c>
      <c r="X27" s="0" t="n">
        <f aca="false">C27*x_c_DAA</f>
        <v>109976320</v>
      </c>
      <c r="Y27" s="0" t="n">
        <f aca="false">C27*x_c_MON</f>
        <v>27857107.6100244</v>
      </c>
      <c r="Z27" s="0" t="n">
        <f aca="false">D27</f>
        <v>0</v>
      </c>
      <c r="AA27" s="0" t="n">
        <f aca="false">E27</f>
        <v>0</v>
      </c>
      <c r="AB27" s="0" t="n">
        <f aca="false">x_z_F*Q27+(1-x_AGRI)*x_EMP*x_WLOSS*(x_PEN_K74*N27+x_PEN_C22*O27)</f>
        <v>10228602.076849</v>
      </c>
      <c r="AC27" s="0" t="n">
        <f aca="false">x_AGRI*x_EMP*x_WLOSS*(x_PEN_K74*N27+x_PEN_C22*O27)</f>
        <v>371867.301494613</v>
      </c>
      <c r="AD27" s="0" t="n">
        <f aca="false">x_EMP*x_WAGE*(x_WLOSS*(N27+O27)+P27)+Q27*x_absd*x_WAGE/365</f>
        <v>36579024.1009883</v>
      </c>
      <c r="AE27" s="0" t="n">
        <f aca="false">AD27*x_R_FUS</f>
        <v>11573603.2255527</v>
      </c>
      <c r="AF27" s="0" t="n">
        <f aca="false">AD27*x_R_NFZ</f>
        <v>2840763.59070685</v>
      </c>
      <c r="AG27" s="0" t="n">
        <f aca="false">AD27*x_R_PIT</f>
        <v>2431926.19741306</v>
      </c>
      <c r="AH27" s="0" t="n">
        <f aca="false">AD27*x_R_FP</f>
        <v>932765.114575201</v>
      </c>
      <c r="AI27" s="0" t="n">
        <f aca="false">W27+X27+Y27+Z27</f>
        <v>644128934.448455</v>
      </c>
      <c r="AJ27" s="0" t="n">
        <f aca="false">AI27+AA27+AB27+AC27+AE27+AF27+AG27+AH27</f>
        <v>672508461.955046</v>
      </c>
      <c r="AK27" s="0" t="n">
        <f aca="false">AI27+AA27+AD27</f>
        <v>680707958.549443</v>
      </c>
      <c r="AL27" s="0" t="n">
        <f aca="false">X27+Y27+Z27</f>
        <v>137833427.610024</v>
      </c>
      <c r="AM27" s="0" t="n">
        <f aca="false">AL27+AA27</f>
        <v>137833427.610024</v>
      </c>
    </row>
    <row r="28" customFormat="false" ht="15" hidden="false" customHeight="false" outlineLevel="0" collapsed="false">
      <c r="A28" s="0" t="n">
        <v>2051</v>
      </c>
      <c r="B28" s="0" t="n">
        <v>25</v>
      </c>
      <c r="C28" s="0" t="n">
        <v>4832</v>
      </c>
      <c r="D28" s="0" t="n">
        <v>0</v>
      </c>
      <c r="E28" s="0" t="n">
        <v>0</v>
      </c>
      <c r="F28" s="0" t="n">
        <v>73328.898</v>
      </c>
      <c r="G28" s="0" t="n">
        <v>8542.197</v>
      </c>
      <c r="H28" s="0" t="n">
        <v>1249.906</v>
      </c>
      <c r="I28" s="0" t="n">
        <v>763.167</v>
      </c>
      <c r="J28" s="0" t="n">
        <v>944.988</v>
      </c>
      <c r="K28" s="0" t="n">
        <v>130891.608</v>
      </c>
      <c r="L28" s="0" t="n">
        <v>14022.348</v>
      </c>
      <c r="M28" s="0" t="n">
        <v>57.035</v>
      </c>
      <c r="N28" s="0" t="n">
        <v>179.638</v>
      </c>
      <c r="O28" s="0" t="n">
        <v>101.234</v>
      </c>
      <c r="P28" s="0" t="n">
        <v>201.736</v>
      </c>
      <c r="Q28" s="0" t="n">
        <v>81871.096</v>
      </c>
      <c r="R28" s="0" t="n">
        <v>167963.888</v>
      </c>
      <c r="S28" s="0" t="n">
        <v>218.657</v>
      </c>
      <c r="T28" s="0" t="n">
        <v>214.917</v>
      </c>
      <c r="U28" s="0" t="n">
        <v>57.035</v>
      </c>
      <c r="V28" s="0" t="n">
        <v>380.552</v>
      </c>
      <c r="W28" s="0" t="n">
        <f aca="false">F28*x_c_F+G28*x_c_CC+H28*x_c_DC+I28*x_c_HCC+J28*x_c_PLT+K28*x_c_SVRn+L28*x_c_SVRcc+M28*x_c_LT</f>
        <v>502067748.387124</v>
      </c>
      <c r="X28" s="0" t="n">
        <f aca="false">C28*x_c_DAA</f>
        <v>109976320</v>
      </c>
      <c r="Y28" s="0" t="n">
        <f aca="false">C28*x_c_MON</f>
        <v>27857107.6100244</v>
      </c>
      <c r="Z28" s="0" t="n">
        <f aca="false">D28</f>
        <v>0</v>
      </c>
      <c r="AA28" s="0" t="n">
        <f aca="false">E28</f>
        <v>0</v>
      </c>
      <c r="AB28" s="0" t="n">
        <f aca="false">x_z_F*Q28+(1-x_AGRI)*x_EMP*x_WLOSS*(x_PEN_K74*N28+x_PEN_C22*O28)</f>
        <v>11154406.851429</v>
      </c>
      <c r="AC28" s="0" t="n">
        <f aca="false">x_AGRI*x_EMP*x_WLOSS*(x_PEN_K74*N28+x_PEN_C22*O28)</f>
        <v>433590.958444297</v>
      </c>
      <c r="AD28" s="0" t="n">
        <f aca="false">x_EMP*x_WAGE*(x_WLOSS*(N28+O28)+P28)+Q28*x_absd*x_WAGE/365</f>
        <v>43320106.3548836</v>
      </c>
      <c r="AE28" s="0" t="n">
        <f aca="false">AD28*x_R_FUS</f>
        <v>13706481.6506852</v>
      </c>
      <c r="AF28" s="0" t="n">
        <f aca="false">AD28*x_R_NFZ</f>
        <v>3364282.77962661</v>
      </c>
      <c r="AG28" s="0" t="n">
        <f aca="false">AD28*x_R_PIT</f>
        <v>2880101.48188495</v>
      </c>
      <c r="AH28" s="0" t="n">
        <f aca="false">AD28*x_R_FP</f>
        <v>1104662.71204953</v>
      </c>
      <c r="AI28" s="0" t="n">
        <f aca="false">W28+X28+Y28+Z28</f>
        <v>639901175.997148</v>
      </c>
      <c r="AJ28" s="0" t="n">
        <f aca="false">AI28+AA28+AB28+AC28+AE28+AF28+AG28+AH28</f>
        <v>672544702.431268</v>
      </c>
      <c r="AK28" s="0" t="n">
        <f aca="false">AI28+AA28+AD28</f>
        <v>683221282.352032</v>
      </c>
      <c r="AL28" s="0" t="n">
        <f aca="false">X28+Y28+Z28</f>
        <v>137833427.610024</v>
      </c>
      <c r="AM28" s="0" t="n">
        <f aca="false">AL28+AA28</f>
        <v>137833427.610024</v>
      </c>
    </row>
    <row r="29" customFormat="false" ht="15" hidden="false" customHeight="false" outlineLevel="0" collapsed="false">
      <c r="A29" s="0" t="n">
        <v>2052</v>
      </c>
      <c r="B29" s="0" t="n">
        <v>26</v>
      </c>
      <c r="C29" s="0" t="n">
        <v>4832</v>
      </c>
      <c r="D29" s="0" t="n">
        <v>0</v>
      </c>
      <c r="E29" s="0" t="n">
        <v>0</v>
      </c>
      <c r="F29" s="0" t="n">
        <v>73434.448</v>
      </c>
      <c r="G29" s="0" t="n">
        <v>8300.956</v>
      </c>
      <c r="H29" s="0" t="n">
        <v>1213.992</v>
      </c>
      <c r="I29" s="0" t="n">
        <v>742.607</v>
      </c>
      <c r="J29" s="0" t="n">
        <v>909.133</v>
      </c>
      <c r="K29" s="0" t="n">
        <v>132031.204</v>
      </c>
      <c r="L29" s="0" t="n">
        <v>13806.996</v>
      </c>
      <c r="M29" s="0" t="n">
        <v>55.256</v>
      </c>
      <c r="N29" s="0" t="n">
        <v>208.275</v>
      </c>
      <c r="O29" s="0" t="n">
        <v>115.923</v>
      </c>
      <c r="P29" s="0" t="n">
        <v>246.945</v>
      </c>
      <c r="Q29" s="0" t="n">
        <v>81735.404</v>
      </c>
      <c r="R29" s="0" t="n">
        <v>168603.67</v>
      </c>
      <c r="S29" s="0" t="n">
        <v>212.795</v>
      </c>
      <c r="T29" s="0" t="n">
        <v>209.203</v>
      </c>
      <c r="U29" s="0" t="n">
        <v>55.256</v>
      </c>
      <c r="V29" s="0" t="n">
        <v>368.537</v>
      </c>
      <c r="W29" s="0" t="n">
        <f aca="false">F29*x_c_F+G29*x_c_CC+H29*x_c_DC+I29*x_c_HCC+J29*x_c_PLT+K29*x_c_SVRn+L29*x_c_SVRcc+M29*x_c_LT</f>
        <v>497491013.269977</v>
      </c>
      <c r="X29" s="0" t="n">
        <f aca="false">C29*x_c_DAA</f>
        <v>109976320</v>
      </c>
      <c r="Y29" s="0" t="n">
        <f aca="false">C29*x_c_MON</f>
        <v>27857107.6100244</v>
      </c>
      <c r="Z29" s="0" t="n">
        <f aca="false">D29</f>
        <v>0</v>
      </c>
      <c r="AA29" s="0" t="n">
        <f aca="false">E29</f>
        <v>0</v>
      </c>
      <c r="AB29" s="0" t="n">
        <f aca="false">x_z_F*Q29+(1-x_AGRI)*x_EMP*x_WLOSS*(x_PEN_K74*N29+x_PEN_C22*O29)</f>
        <v>12155862.0053881</v>
      </c>
      <c r="AC29" s="0" t="n">
        <f aca="false">x_AGRI*x_EMP*x_WLOSS*(x_PEN_K74*N29+x_PEN_C22*O29)</f>
        <v>500288.56038805</v>
      </c>
      <c r="AD29" s="0" t="n">
        <f aca="false">x_EMP*x_WAGE*(x_WLOSS*(N29+O29)+P29)+Q29*x_absd*x_WAGE/365</f>
        <v>50865042.8651675</v>
      </c>
      <c r="AE29" s="0" t="n">
        <f aca="false">AD29*x_R_FUS</f>
        <v>16093699.562539</v>
      </c>
      <c r="AF29" s="0" t="n">
        <f aca="false">AD29*x_R_NFZ</f>
        <v>3950230.09395177</v>
      </c>
      <c r="AG29" s="0" t="n">
        <f aca="false">AD29*x_R_PIT</f>
        <v>3381720.35248467</v>
      </c>
      <c r="AH29" s="0" t="n">
        <f aca="false">AD29*x_R_FP</f>
        <v>1297058.59306177</v>
      </c>
      <c r="AI29" s="0" t="n">
        <f aca="false">W29+X29+Y29+Z29</f>
        <v>635324440.880001</v>
      </c>
      <c r="AJ29" s="0" t="n">
        <f aca="false">AI29+AA29+AB29+AC29+AE29+AF29+AG29+AH29</f>
        <v>672703300.047815</v>
      </c>
      <c r="AK29" s="0" t="n">
        <f aca="false">AI29+AA29+AD29</f>
        <v>686189483.745168</v>
      </c>
      <c r="AL29" s="0" t="n">
        <f aca="false">X29+Y29+Z29</f>
        <v>137833427.610024</v>
      </c>
      <c r="AM29" s="0" t="n">
        <f aca="false">AL29+AA29</f>
        <v>137833427.610024</v>
      </c>
    </row>
    <row r="30" customFormat="false" ht="15" hidden="false" customHeight="false" outlineLevel="0" collapsed="false">
      <c r="A30" s="0" t="n">
        <v>2053</v>
      </c>
      <c r="B30" s="0" t="n">
        <v>27</v>
      </c>
      <c r="C30" s="0" t="n">
        <v>4832</v>
      </c>
      <c r="D30" s="0" t="n">
        <v>0</v>
      </c>
      <c r="E30" s="0" t="n">
        <v>0</v>
      </c>
      <c r="F30" s="0" t="n">
        <v>73536.193</v>
      </c>
      <c r="G30" s="0" t="n">
        <v>8071.784</v>
      </c>
      <c r="H30" s="0" t="n">
        <v>1176.875</v>
      </c>
      <c r="I30" s="0" t="n">
        <v>721.299</v>
      </c>
      <c r="J30" s="0" t="n">
        <v>871.608</v>
      </c>
      <c r="K30" s="0" t="n">
        <v>133026.563</v>
      </c>
      <c r="L30" s="0" t="n">
        <v>13543.307</v>
      </c>
      <c r="M30" s="0" t="n">
        <v>53.42</v>
      </c>
      <c r="N30" s="0" t="n">
        <v>239.134</v>
      </c>
      <c r="O30" s="0" t="n">
        <v>131.483</v>
      </c>
      <c r="P30" s="0" t="n">
        <v>298.745</v>
      </c>
      <c r="Q30" s="0" t="n">
        <v>81607.977</v>
      </c>
      <c r="R30" s="0" t="n">
        <v>169105.034</v>
      </c>
      <c r="S30" s="0" t="n">
        <v>206.967</v>
      </c>
      <c r="T30" s="0" t="n">
        <v>203.409</v>
      </c>
      <c r="U30" s="0" t="n">
        <v>53.42</v>
      </c>
      <c r="V30" s="0" t="n">
        <v>356.087</v>
      </c>
      <c r="W30" s="0" t="n">
        <f aca="false">F30*x_c_F+G30*x_c_CC+H30*x_c_DC+I30*x_c_HCC+J30*x_c_PLT+K30*x_c_SVRn+L30*x_c_SVRcc+M30*x_c_LT</f>
        <v>492606273.083474</v>
      </c>
      <c r="X30" s="0" t="n">
        <f aca="false">C30*x_c_DAA</f>
        <v>109976320</v>
      </c>
      <c r="Y30" s="0" t="n">
        <f aca="false">C30*x_c_MON</f>
        <v>27857107.6100244</v>
      </c>
      <c r="Z30" s="0" t="n">
        <f aca="false">D30</f>
        <v>0</v>
      </c>
      <c r="AA30" s="0" t="n">
        <f aca="false">E30</f>
        <v>0</v>
      </c>
      <c r="AB30" s="0" t="n">
        <f aca="false">x_z_F*Q30+(1-x_AGRI)*x_EMP*x_WLOSS*(x_PEN_K74*N30+x_PEN_C22*O30)</f>
        <v>13229277.8958714</v>
      </c>
      <c r="AC30" s="0" t="n">
        <f aca="false">x_AGRI*x_EMP*x_WLOSS*(x_PEN_K74*N30+x_PEN_C22*O30)</f>
        <v>571711.97060428</v>
      </c>
      <c r="AD30" s="0" t="n">
        <f aca="false">x_EMP*x_WAGE*(x_WLOSS*(N30+O30)+P30)+Q30*x_absd*x_WAGE/365</f>
        <v>59235861.3042581</v>
      </c>
      <c r="AE30" s="0" t="n">
        <f aca="false">AD30*x_R_FUS</f>
        <v>18742226.5166673</v>
      </c>
      <c r="AF30" s="0" t="n">
        <f aca="false">AD30*x_R_NFZ</f>
        <v>4600316.22474998</v>
      </c>
      <c r="AG30" s="0" t="n">
        <f aca="false">AD30*x_R_PIT</f>
        <v>3938247.30081467</v>
      </c>
      <c r="AH30" s="0" t="n">
        <f aca="false">AD30*x_R_FP</f>
        <v>1510514.46325858</v>
      </c>
      <c r="AI30" s="0" t="n">
        <f aca="false">W30+X30+Y30+Z30</f>
        <v>630439700.693498</v>
      </c>
      <c r="AJ30" s="0" t="n">
        <f aca="false">AI30+AA30+AB30+AC30+AE30+AF30+AG30+AH30</f>
        <v>673031995.065465</v>
      </c>
      <c r="AK30" s="0" t="n">
        <f aca="false">AI30+AA30+AD30</f>
        <v>689675561.997757</v>
      </c>
      <c r="AL30" s="0" t="n">
        <f aca="false">X30+Y30+Z30</f>
        <v>137833427.610024</v>
      </c>
      <c r="AM30" s="0" t="n">
        <f aca="false">AL30+AA30</f>
        <v>137833427.610024</v>
      </c>
    </row>
    <row r="31" customFormat="false" ht="15" hidden="false" customHeight="false" outlineLevel="0" collapsed="false">
      <c r="A31" s="0" t="n">
        <v>2054</v>
      </c>
      <c r="B31" s="0" t="n">
        <v>28</v>
      </c>
      <c r="C31" s="0" t="n">
        <v>4832</v>
      </c>
      <c r="D31" s="0" t="n">
        <v>0</v>
      </c>
      <c r="E31" s="0" t="n">
        <v>0</v>
      </c>
      <c r="F31" s="0" t="n">
        <v>73632.133</v>
      </c>
      <c r="G31" s="0" t="n">
        <v>7855.493</v>
      </c>
      <c r="H31" s="0" t="n">
        <v>1138.775</v>
      </c>
      <c r="I31" s="0" t="n">
        <v>699.359</v>
      </c>
      <c r="J31" s="0" t="n">
        <v>832.331</v>
      </c>
      <c r="K31" s="0" t="n">
        <v>133867.08</v>
      </c>
      <c r="L31" s="0" t="n">
        <v>13230.391</v>
      </c>
      <c r="M31" s="0" t="n">
        <v>51.54</v>
      </c>
      <c r="N31" s="0" t="n">
        <v>272.105</v>
      </c>
      <c r="O31" s="0" t="n">
        <v>147.828</v>
      </c>
      <c r="P31" s="0" t="n">
        <v>357.506</v>
      </c>
      <c r="Q31" s="0" t="n">
        <v>81487.626</v>
      </c>
      <c r="R31" s="0" t="n">
        <v>169458.396</v>
      </c>
      <c r="S31" s="0" t="n">
        <v>201.199</v>
      </c>
      <c r="T31" s="0" t="n">
        <v>197.567</v>
      </c>
      <c r="U31" s="0" t="n">
        <v>51.54</v>
      </c>
      <c r="V31" s="0" t="n">
        <v>343.291</v>
      </c>
      <c r="W31" s="0" t="n">
        <f aca="false">F31*x_c_F+G31*x_c_CC+H31*x_c_DC+I31*x_c_HCC+J31*x_c_PLT+K31*x_c_SVRn+L31*x_c_SVRcc+M31*x_c_LT</f>
        <v>487416189.647428</v>
      </c>
      <c r="X31" s="0" t="n">
        <f aca="false">C31*x_c_DAA</f>
        <v>109976320</v>
      </c>
      <c r="Y31" s="0" t="n">
        <f aca="false">C31*x_c_MON</f>
        <v>27857107.6100244</v>
      </c>
      <c r="Z31" s="0" t="n">
        <f aca="false">D31</f>
        <v>0</v>
      </c>
      <c r="AA31" s="0" t="n">
        <f aca="false">E31</f>
        <v>0</v>
      </c>
      <c r="AB31" s="0" t="n">
        <f aca="false">x_z_F*Q31+(1-x_AGRI)*x_EMP*x_WLOSS*(x_PEN_K74*N31+x_PEN_C22*O31)</f>
        <v>14369963.5355623</v>
      </c>
      <c r="AC31" s="0" t="n">
        <f aca="false">x_AGRI*x_EMP*x_WLOSS*(x_PEN_K74*N31+x_PEN_C22*O31)</f>
        <v>647555.534328523</v>
      </c>
      <c r="AD31" s="0" t="n">
        <f aca="false">x_EMP*x_WAGE*(x_WLOSS*(N31+O31)+P31)+Q31*x_absd*x_WAGE/365</f>
        <v>68447365.4435929</v>
      </c>
      <c r="AE31" s="0" t="n">
        <f aca="false">AD31*x_R_FUS</f>
        <v>21656746.4263528</v>
      </c>
      <c r="AF31" s="0" t="n">
        <f aca="false">AD31*x_R_NFZ</f>
        <v>5315690.84771487</v>
      </c>
      <c r="AG31" s="0" t="n">
        <f aca="false">AD31*x_R_PIT</f>
        <v>4550666.54338878</v>
      </c>
      <c r="AH31" s="0" t="n">
        <f aca="false">AD31*x_R_FP</f>
        <v>1745407.81881162</v>
      </c>
      <c r="AI31" s="0" t="n">
        <f aca="false">W31+X31+Y31+Z31</f>
        <v>625249617.257452</v>
      </c>
      <c r="AJ31" s="0" t="n">
        <f aca="false">AI31+AA31+AB31+AC31+AE31+AF31+AG31+AH31</f>
        <v>673535647.963611</v>
      </c>
      <c r="AK31" s="0" t="n">
        <f aca="false">AI31+AA31+AD31</f>
        <v>693696982.701045</v>
      </c>
      <c r="AL31" s="0" t="n">
        <f aca="false">X31+Y31+Z31</f>
        <v>137833427.610024</v>
      </c>
      <c r="AM31" s="0" t="n">
        <f aca="false">AL31+AA31</f>
        <v>137833427.610024</v>
      </c>
    </row>
    <row r="32" customFormat="false" ht="15" hidden="false" customHeight="false" outlineLevel="0" collapsed="false">
      <c r="A32" s="0" t="n">
        <v>2055</v>
      </c>
      <c r="B32" s="0" t="n">
        <v>29</v>
      </c>
      <c r="C32" s="0" t="n">
        <v>4832</v>
      </c>
      <c r="D32" s="0" t="n">
        <v>0</v>
      </c>
      <c r="E32" s="0" t="n">
        <v>0</v>
      </c>
      <c r="F32" s="0" t="n">
        <v>73721.248</v>
      </c>
      <c r="G32" s="0" t="n">
        <v>7653.112</v>
      </c>
      <c r="H32" s="0" t="n">
        <v>1099.997</v>
      </c>
      <c r="I32" s="0" t="n">
        <v>676.949</v>
      </c>
      <c r="J32" s="0" t="n">
        <v>791.331</v>
      </c>
      <c r="K32" s="0" t="n">
        <v>134548.342</v>
      </c>
      <c r="L32" s="0" t="n">
        <v>12868.801</v>
      </c>
      <c r="M32" s="0" t="n">
        <v>49.632</v>
      </c>
      <c r="N32" s="0" t="n">
        <v>307.058</v>
      </c>
      <c r="O32" s="0" t="n">
        <v>164.863</v>
      </c>
      <c r="P32" s="0" t="n">
        <v>423.551</v>
      </c>
      <c r="Q32" s="0" t="n">
        <v>81374.36</v>
      </c>
      <c r="R32" s="0" t="n">
        <v>169660.762</v>
      </c>
      <c r="S32" s="0" t="n">
        <v>195.515</v>
      </c>
      <c r="T32" s="0" t="n">
        <v>191.699</v>
      </c>
      <c r="U32" s="0" t="n">
        <v>49.632</v>
      </c>
      <c r="V32" s="0" t="n">
        <v>330.228</v>
      </c>
      <c r="W32" s="0" t="n">
        <f aca="false">F32*x_c_F+G32*x_c_CC+H32*x_c_DC+I32*x_c_HCC+J32*x_c_PLT+K32*x_c_SVRn+L32*x_c_SVRcc+M32*x_c_LT</f>
        <v>481944230.061911</v>
      </c>
      <c r="X32" s="0" t="n">
        <f aca="false">C32*x_c_DAA</f>
        <v>109976320</v>
      </c>
      <c r="Y32" s="0" t="n">
        <f aca="false">C32*x_c_MON</f>
        <v>27857107.6100244</v>
      </c>
      <c r="Z32" s="0" t="n">
        <f aca="false">D32</f>
        <v>0</v>
      </c>
      <c r="AA32" s="0" t="n">
        <f aca="false">E32</f>
        <v>0</v>
      </c>
      <c r="AB32" s="0" t="n">
        <f aca="false">x_z_F*Q32+(1-x_AGRI)*x_EMP*x_WLOSS*(x_PEN_K74*N32+x_PEN_C22*O32)</f>
        <v>15572622.2810512</v>
      </c>
      <c r="AC32" s="0" t="n">
        <f aca="false">x_AGRI*x_EMP*x_WLOSS*(x_PEN_K74*N32+x_PEN_C22*O32)</f>
        <v>727469.120210795</v>
      </c>
      <c r="AD32" s="0" t="n">
        <f aca="false">x_EMP*x_WAGE*(x_WLOSS*(N32+O32)+P32)+Q32*x_absd*x_WAGE/365</f>
        <v>78507911.0500908</v>
      </c>
      <c r="AE32" s="0" t="n">
        <f aca="false">AD32*x_R_FUS</f>
        <v>24839903.0562487</v>
      </c>
      <c r="AF32" s="0" t="n">
        <f aca="false">AD32*x_R_NFZ</f>
        <v>6097002.8800611</v>
      </c>
      <c r="AG32" s="0" t="n">
        <f aca="false">AD32*x_R_PIT</f>
        <v>5219533.60646742</v>
      </c>
      <c r="AH32" s="0" t="n">
        <f aca="false">AD32*x_R_FP</f>
        <v>2001951.73177731</v>
      </c>
      <c r="AI32" s="0" t="n">
        <f aca="false">W32+X32+Y32+Z32</f>
        <v>619777657.671935</v>
      </c>
      <c r="AJ32" s="0" t="n">
        <f aca="false">AI32+AA32+AB32+AC32+AE32+AF32+AG32+AH32</f>
        <v>674236140.347751</v>
      </c>
      <c r="AK32" s="0" t="n">
        <f aca="false">AI32+AA32+AD32</f>
        <v>698285568.722026</v>
      </c>
      <c r="AL32" s="0" t="n">
        <f aca="false">X32+Y32+Z32</f>
        <v>137833427.610024</v>
      </c>
      <c r="AM32" s="0" t="n">
        <f aca="false">AL32+AA32</f>
        <v>137833427.610024</v>
      </c>
    </row>
    <row r="33" customFormat="false" ht="15" hidden="false" customHeight="false" outlineLevel="0" collapsed="false">
      <c r="A33" s="0" t="n">
        <v>2056</v>
      </c>
      <c r="B33" s="0" t="n">
        <v>30</v>
      </c>
      <c r="C33" s="0" t="n">
        <v>4832</v>
      </c>
      <c r="D33" s="0" t="n">
        <v>0</v>
      </c>
      <c r="E33" s="0" t="n">
        <v>0</v>
      </c>
      <c r="F33" s="0" t="n">
        <v>73802.68</v>
      </c>
      <c r="G33" s="0" t="n">
        <v>7465.279</v>
      </c>
      <c r="H33" s="0" t="n">
        <v>1060.807</v>
      </c>
      <c r="I33" s="0" t="n">
        <v>654.205</v>
      </c>
      <c r="J33" s="0" t="n">
        <v>748.651</v>
      </c>
      <c r="K33" s="0" t="n">
        <v>135065.443</v>
      </c>
      <c r="L33" s="0" t="n">
        <v>12459.141</v>
      </c>
      <c r="M33" s="0" t="n">
        <v>47.708</v>
      </c>
      <c r="N33" s="0" t="n">
        <v>343.837</v>
      </c>
      <c r="O33" s="0" t="n">
        <v>182.488</v>
      </c>
      <c r="P33" s="0" t="n">
        <v>497.144</v>
      </c>
      <c r="Q33" s="0" t="n">
        <v>81267.959</v>
      </c>
      <c r="R33" s="0" t="n">
        <v>169708.676</v>
      </c>
      <c r="S33" s="0" t="n">
        <v>189.93</v>
      </c>
      <c r="T33" s="0" t="n">
        <v>185.827</v>
      </c>
      <c r="U33" s="0" t="n">
        <v>47.708</v>
      </c>
      <c r="V33" s="0" t="n">
        <v>316.975</v>
      </c>
      <c r="W33" s="0" t="n">
        <f aca="false">F33*x_c_F+G33*x_c_CC+H33*x_c_DC+I33*x_c_HCC+J33*x_c_PLT+K33*x_c_SVRn+L33*x_c_SVRcc+M33*x_c_LT</f>
        <v>476208795.522219</v>
      </c>
      <c r="X33" s="0" t="n">
        <f aca="false">C33*x_c_DAA</f>
        <v>109976320</v>
      </c>
      <c r="Y33" s="0" t="n">
        <f aca="false">C33*x_c_MON</f>
        <v>27857107.6100244</v>
      </c>
      <c r="Z33" s="0" t="n">
        <f aca="false">D33</f>
        <v>0</v>
      </c>
      <c r="AA33" s="0" t="n">
        <f aca="false">E33</f>
        <v>0</v>
      </c>
      <c r="AB33" s="0" t="n">
        <f aca="false">x_z_F*Q33+(1-x_AGRI)*x_EMP*x_WLOSS*(x_PEN_K74*N33+x_PEN_C22*O33)</f>
        <v>16831239.3803394</v>
      </c>
      <c r="AC33" s="0" t="n">
        <f aca="false">x_AGRI*x_EMP*x_WLOSS*(x_PEN_K74*N33+x_PEN_C22*O33)</f>
        <v>811055.980757614</v>
      </c>
      <c r="AD33" s="0" t="n">
        <f aca="false">x_EMP*x_WAGE*(x_WLOSS*(N33+O33)+P33)+Q33*x_absd*x_WAGE/365</f>
        <v>89418174.369272</v>
      </c>
      <c r="AE33" s="0" t="n">
        <f aca="false">AD33*x_R_FUS</f>
        <v>28291910.3704377</v>
      </c>
      <c r="AF33" s="0" t="n">
        <f aca="false">AD33*x_R_NFZ</f>
        <v>6944304.83969203</v>
      </c>
      <c r="AG33" s="0" t="n">
        <f aca="false">AD33*x_R_PIT</f>
        <v>5944893.44967535</v>
      </c>
      <c r="AH33" s="0" t="n">
        <f aca="false">AD33*x_R_FP</f>
        <v>2280163.44641644</v>
      </c>
      <c r="AI33" s="0" t="n">
        <f aca="false">W33+X33+Y33+Z33</f>
        <v>614042223.132243</v>
      </c>
      <c r="AJ33" s="0" t="n">
        <f aca="false">AI33+AA33+AB33+AC33+AE33+AF33+AG33+AH33</f>
        <v>675145790.599561</v>
      </c>
      <c r="AK33" s="0" t="n">
        <f aca="false">AI33+AA33+AD33</f>
        <v>703460397.501515</v>
      </c>
      <c r="AL33" s="0" t="n">
        <f aca="false">X33+Y33+Z33</f>
        <v>137833427.610024</v>
      </c>
      <c r="AM33" s="0" t="n">
        <f aca="false">AL33+AA33</f>
        <v>137833427.610024</v>
      </c>
    </row>
    <row r="34" customFormat="false" ht="15" hidden="false" customHeight="false" outlineLevel="0" collapsed="false">
      <c r="A34" s="0" t="n">
        <v>2057</v>
      </c>
      <c r="B34" s="0" t="n">
        <v>31</v>
      </c>
      <c r="C34" s="0" t="n">
        <v>4832</v>
      </c>
      <c r="D34" s="0" t="n">
        <v>0</v>
      </c>
      <c r="E34" s="0" t="n">
        <v>0</v>
      </c>
      <c r="F34" s="0" t="n">
        <v>73875.856</v>
      </c>
      <c r="G34" s="0" t="n">
        <v>7292.408</v>
      </c>
      <c r="H34" s="0" t="n">
        <v>1021.462</v>
      </c>
      <c r="I34" s="0" t="n">
        <v>631.254</v>
      </c>
      <c r="J34" s="0" t="n">
        <v>704.361</v>
      </c>
      <c r="K34" s="0" t="n">
        <v>135414.545</v>
      </c>
      <c r="L34" s="0" t="n">
        <v>12002.359</v>
      </c>
      <c r="M34" s="0" t="n">
        <v>45.786</v>
      </c>
      <c r="N34" s="0" t="n">
        <v>382.272</v>
      </c>
      <c r="O34" s="0" t="n">
        <v>200.599</v>
      </c>
      <c r="P34" s="0" t="n">
        <v>578.489</v>
      </c>
      <c r="Q34" s="0" t="n">
        <v>81168.264</v>
      </c>
      <c r="R34" s="0" t="n">
        <v>169599.801</v>
      </c>
      <c r="S34" s="0" t="n">
        <v>184.475</v>
      </c>
      <c r="T34" s="0" t="n">
        <v>179.985</v>
      </c>
      <c r="U34" s="0" t="n">
        <v>45.786</v>
      </c>
      <c r="V34" s="0" t="n">
        <v>303.639</v>
      </c>
      <c r="W34" s="0" t="n">
        <f aca="false">F34*x_c_F+G34*x_c_CC+H34*x_c_DC+I34*x_c_HCC+J34*x_c_PLT+K34*x_c_SVRn+L34*x_c_SVRcc+M34*x_c_LT</f>
        <v>470231700.649191</v>
      </c>
      <c r="X34" s="0" t="n">
        <f aca="false">C34*x_c_DAA</f>
        <v>109976320</v>
      </c>
      <c r="Y34" s="0" t="n">
        <f aca="false">C34*x_c_MON</f>
        <v>27857107.6100244</v>
      </c>
      <c r="Z34" s="0" t="n">
        <f aca="false">D34</f>
        <v>0</v>
      </c>
      <c r="AA34" s="0" t="n">
        <f aca="false">E34</f>
        <v>0</v>
      </c>
      <c r="AB34" s="0" t="n">
        <f aca="false">x_z_F*Q34+(1-x_AGRI)*x_EMP*x_WLOSS*(x_PEN_K74*N34+x_PEN_C22*O34)</f>
        <v>18139390.6688444</v>
      </c>
      <c r="AC34" s="0" t="n">
        <f aca="false">x_AGRI*x_EMP*x_WLOSS*(x_PEN_K74*N34+x_PEN_C22*O34)</f>
        <v>897892.080814989</v>
      </c>
      <c r="AD34" s="0" t="n">
        <f aca="false">x_EMP*x_WAGE*(x_WLOSS*(N34+O34)+P34)+Q34*x_absd*x_WAGE/365</f>
        <v>101172182.947224</v>
      </c>
      <c r="AE34" s="0" t="n">
        <f aca="false">AD34*x_R_FUS</f>
        <v>32010878.6845016</v>
      </c>
      <c r="AF34" s="0" t="n">
        <f aca="false">AD34*x_R_NFZ</f>
        <v>7857132.89986433</v>
      </c>
      <c r="AG34" s="0" t="n">
        <f aca="false">AD34*x_R_PIT</f>
        <v>6726348.99934831</v>
      </c>
      <c r="AH34" s="0" t="n">
        <f aca="false">AD34*x_R_FP</f>
        <v>2579890.6651542</v>
      </c>
      <c r="AI34" s="0" t="n">
        <f aca="false">W34+X34+Y34+Z34</f>
        <v>608065128.259215</v>
      </c>
      <c r="AJ34" s="0" t="n">
        <f aca="false">AI34+AA34+AB34+AC34+AE34+AF34+AG34+AH34</f>
        <v>676276662.257743</v>
      </c>
      <c r="AK34" s="0" t="n">
        <f aca="false">AI34+AA34+AD34</f>
        <v>709237311.206439</v>
      </c>
      <c r="AL34" s="0" t="n">
        <f aca="false">X34+Y34+Z34</f>
        <v>137833427.610024</v>
      </c>
      <c r="AM34" s="0" t="n">
        <f aca="false">AL34+AA34</f>
        <v>137833427.610024</v>
      </c>
    </row>
    <row r="35" customFormat="false" ht="15" hidden="false" customHeight="false" outlineLevel="0" collapsed="false">
      <c r="A35" s="0" t="n">
        <v>2058</v>
      </c>
      <c r="B35" s="0" t="n">
        <v>32</v>
      </c>
      <c r="C35" s="0" t="n">
        <v>4832</v>
      </c>
      <c r="D35" s="0" t="n">
        <v>0</v>
      </c>
      <c r="E35" s="0" t="n">
        <v>0</v>
      </c>
      <c r="F35" s="0" t="n">
        <v>73940.947</v>
      </c>
      <c r="G35" s="0" t="n">
        <v>7135.202</v>
      </c>
      <c r="H35" s="0" t="n">
        <v>982.305</v>
      </c>
      <c r="I35" s="0" t="n">
        <v>608.276</v>
      </c>
      <c r="J35" s="0" t="n">
        <v>658.666</v>
      </c>
      <c r="K35" s="0" t="n">
        <v>135599.679</v>
      </c>
      <c r="L35" s="0" t="n">
        <v>11501.328</v>
      </c>
      <c r="M35" s="0" t="n">
        <v>43.896</v>
      </c>
      <c r="N35" s="0" t="n">
        <v>422.176</v>
      </c>
      <c r="O35" s="0" t="n">
        <v>219.089</v>
      </c>
      <c r="P35" s="0" t="n">
        <v>667.724</v>
      </c>
      <c r="Q35" s="0" t="n">
        <v>81076.149</v>
      </c>
      <c r="R35" s="0" t="n">
        <v>169339.866</v>
      </c>
      <c r="S35" s="0" t="n">
        <v>179.219</v>
      </c>
      <c r="T35" s="0" t="n">
        <v>174.253</v>
      </c>
      <c r="U35" s="0" t="n">
        <v>43.896</v>
      </c>
      <c r="V35" s="0" t="n">
        <v>290.417</v>
      </c>
      <c r="W35" s="0" t="n">
        <f aca="false">F35*x_c_F+G35*x_c_CC+H35*x_c_DC+I35*x_c_HCC+J35*x_c_PLT+K35*x_c_SVRn+L35*x_c_SVRcc+M35*x_c_LT</f>
        <v>464061910.199589</v>
      </c>
      <c r="X35" s="0" t="n">
        <f aca="false">C35*x_c_DAA</f>
        <v>109976320</v>
      </c>
      <c r="Y35" s="0" t="n">
        <f aca="false">C35*x_c_MON</f>
        <v>27857107.6100244</v>
      </c>
      <c r="Z35" s="0" t="n">
        <f aca="false">D35</f>
        <v>0</v>
      </c>
      <c r="AA35" s="0" t="n">
        <f aca="false">E35</f>
        <v>0</v>
      </c>
      <c r="AB35" s="0" t="n">
        <f aca="false">x_z_F*Q35+(1-x_AGRI)*x_EMP*x_WLOSS*(x_PEN_K74*N35+x_PEN_C22*O35)</f>
        <v>19490255.6351524</v>
      </c>
      <c r="AC35" s="0" t="n">
        <f aca="false">x_AGRI*x_EMP*x_WLOSS*(x_PEN_K74*N35+x_PEN_C22*O35)</f>
        <v>987523.355637537</v>
      </c>
      <c r="AD35" s="0" t="n">
        <f aca="false">x_EMP*x_WAGE*(x_WLOSS*(N35+O35)+P35)+Q35*x_absd*x_WAGE/365</f>
        <v>113756659.341805</v>
      </c>
      <c r="AE35" s="0" t="n">
        <f aca="false">AD35*x_R_FUS</f>
        <v>35992607.0157472</v>
      </c>
      <c r="AF35" s="0" t="n">
        <f aca="false">AD35*x_R_NFZ</f>
        <v>8834455.92114393</v>
      </c>
      <c r="AG35" s="0" t="n">
        <f aca="false">AD35*x_R_PIT</f>
        <v>7563017.51571483</v>
      </c>
      <c r="AH35" s="0" t="n">
        <f aca="false">AD35*x_R_FP</f>
        <v>2900794.81321603</v>
      </c>
      <c r="AI35" s="0" t="n">
        <f aca="false">W35+X35+Y35+Z35</f>
        <v>601895337.809613</v>
      </c>
      <c r="AJ35" s="0" t="n">
        <f aca="false">AI35+AA35+AB35+AC35+AE35+AF35+AG35+AH35</f>
        <v>677663992.066225</v>
      </c>
      <c r="AK35" s="0" t="n">
        <f aca="false">AI35+AA35+AD35</f>
        <v>715651997.151419</v>
      </c>
      <c r="AL35" s="0" t="n">
        <f aca="false">X35+Y35+Z35</f>
        <v>137833427.610024</v>
      </c>
      <c r="AM35" s="0" t="n">
        <f aca="false">AL35+AA35</f>
        <v>137833427.610024</v>
      </c>
    </row>
    <row r="36" customFormat="false" ht="15" hidden="false" customHeight="false" outlineLevel="0" collapsed="false">
      <c r="A36" s="0" t="n">
        <v>2059</v>
      </c>
      <c r="B36" s="0" t="n">
        <v>33</v>
      </c>
      <c r="C36" s="0" t="n">
        <v>4832</v>
      </c>
      <c r="D36" s="0" t="n">
        <v>0</v>
      </c>
      <c r="E36" s="0" t="n">
        <v>0</v>
      </c>
      <c r="F36" s="0" t="n">
        <v>73999.517</v>
      </c>
      <c r="G36" s="0" t="n">
        <v>6995.329</v>
      </c>
      <c r="H36" s="0" t="n">
        <v>943.933</v>
      </c>
      <c r="I36" s="0" t="n">
        <v>585.61</v>
      </c>
      <c r="J36" s="0" t="n">
        <v>612.058</v>
      </c>
      <c r="K36" s="0" t="n">
        <v>135644.216</v>
      </c>
      <c r="L36" s="0" t="n">
        <v>10963.498</v>
      </c>
      <c r="M36" s="0" t="n">
        <v>42.074</v>
      </c>
      <c r="N36" s="0" t="n">
        <v>463.35</v>
      </c>
      <c r="O36" s="0" t="n">
        <v>237.852</v>
      </c>
      <c r="P36" s="0" t="n">
        <v>764.917</v>
      </c>
      <c r="Q36" s="0" t="n">
        <v>80994.846</v>
      </c>
      <c r="R36" s="0" t="n">
        <v>168954.175</v>
      </c>
      <c r="S36" s="0" t="n">
        <v>174.248</v>
      </c>
      <c r="T36" s="0" t="n">
        <v>168.728</v>
      </c>
      <c r="U36" s="0" t="n">
        <v>42.074</v>
      </c>
      <c r="V36" s="0" t="n">
        <v>277.544</v>
      </c>
      <c r="W36" s="0" t="n">
        <f aca="false">F36*x_c_F+G36*x_c_CC+H36*x_c_DC+I36*x_c_HCC+J36*x_c_PLT+K36*x_c_SVRn+L36*x_c_SVRcc+M36*x_c_LT</f>
        <v>457807884.506448</v>
      </c>
      <c r="X36" s="0" t="n">
        <f aca="false">C36*x_c_DAA</f>
        <v>109976320</v>
      </c>
      <c r="Y36" s="0" t="n">
        <f aca="false">C36*x_c_MON</f>
        <v>27857107.6100244</v>
      </c>
      <c r="Z36" s="0" t="n">
        <f aca="false">D36</f>
        <v>0</v>
      </c>
      <c r="AA36" s="0" t="n">
        <f aca="false">E36</f>
        <v>0</v>
      </c>
      <c r="AB36" s="0" t="n">
        <f aca="false">x_z_F*Q36+(1-x_AGRI)*x_EMP*x_WLOSS*(x_PEN_K74*N36+x_PEN_C22*O36)</f>
        <v>20876904.2733398</v>
      </c>
      <c r="AC36" s="0" t="n">
        <f aca="false">x_AGRI*x_EMP*x_WLOSS*(x_PEN_K74*N36+x_PEN_C22*O36)</f>
        <v>1079479.75630067</v>
      </c>
      <c r="AD36" s="0" t="n">
        <f aca="false">x_EMP*x_WAGE*(x_WLOSS*(N36+O36)+P36)+Q36*x_absd*x_WAGE/365</f>
        <v>127151482.588217</v>
      </c>
      <c r="AE36" s="0" t="n">
        <f aca="false">AD36*x_R_FUS</f>
        <v>40230729.0909117</v>
      </c>
      <c r="AF36" s="0" t="n">
        <f aca="false">AD36*x_R_NFZ</f>
        <v>9874711.28928349</v>
      </c>
      <c r="AG36" s="0" t="n">
        <f aca="false">AD36*x_R_PIT</f>
        <v>8453561.27305322</v>
      </c>
      <c r="AH36" s="0" t="n">
        <f aca="false">AD36*x_R_FP</f>
        <v>3242362.80599952</v>
      </c>
      <c r="AI36" s="0" t="n">
        <f aca="false">W36+X36+Y36+Z36</f>
        <v>595641312.116472</v>
      </c>
      <c r="AJ36" s="0" t="n">
        <f aca="false">AI36+AA36+AB36+AC36+AE36+AF36+AG36+AH36</f>
        <v>679399060.60536</v>
      </c>
      <c r="AK36" s="0" t="n">
        <f aca="false">AI36+AA36+AD36</f>
        <v>722792794.704689</v>
      </c>
      <c r="AL36" s="0" t="n">
        <f aca="false">X36+Y36+Z36</f>
        <v>137833427.610024</v>
      </c>
      <c r="AM36" s="0" t="n">
        <f aca="false">AL36+AA36</f>
        <v>137833427.610024</v>
      </c>
    </row>
    <row r="37" customFormat="false" ht="15" hidden="false" customHeight="false" outlineLevel="0" collapsed="false">
      <c r="A37" s="0" t="n">
        <v>2060</v>
      </c>
      <c r="B37" s="0" t="n">
        <v>34</v>
      </c>
      <c r="C37" s="0" t="n">
        <v>4832</v>
      </c>
      <c r="D37" s="0" t="n">
        <v>0</v>
      </c>
      <c r="E37" s="0" t="n">
        <v>0</v>
      </c>
      <c r="F37" s="0" t="n">
        <v>74053.731</v>
      </c>
      <c r="G37" s="0" t="n">
        <v>6874.678</v>
      </c>
      <c r="H37" s="0" t="n">
        <v>907.054</v>
      </c>
      <c r="I37" s="0" t="n">
        <v>563.665</v>
      </c>
      <c r="J37" s="0" t="n">
        <v>565.21</v>
      </c>
      <c r="K37" s="0" t="n">
        <v>135583.685</v>
      </c>
      <c r="L37" s="0" t="n">
        <v>10399.378</v>
      </c>
      <c r="M37" s="0" t="n">
        <v>40.364</v>
      </c>
      <c r="N37" s="0" t="n">
        <v>474.067</v>
      </c>
      <c r="O37" s="0" t="n">
        <v>243.001</v>
      </c>
      <c r="P37" s="0" t="n">
        <v>785.815</v>
      </c>
      <c r="Q37" s="0" t="n">
        <v>80928.409</v>
      </c>
      <c r="R37" s="0" t="n">
        <v>168480</v>
      </c>
      <c r="S37" s="0" t="n">
        <v>169.672</v>
      </c>
      <c r="T37" s="0" t="n">
        <v>163.539</v>
      </c>
      <c r="U37" s="0" t="n">
        <v>40.364</v>
      </c>
      <c r="V37" s="0" t="n">
        <v>265.319</v>
      </c>
      <c r="W37" s="0" t="n">
        <f aca="false">F37*x_c_F+G37*x_c_CC+H37*x_c_DC+I37*x_c_HCC+J37*x_c_PLT+K37*x_c_SVRn+L37*x_c_SVRcc+M37*x_c_LT</f>
        <v>451611786.387443</v>
      </c>
      <c r="X37" s="0" t="n">
        <f aca="false">C37*x_c_DAA</f>
        <v>109976320</v>
      </c>
      <c r="Y37" s="0" t="n">
        <f aca="false">C37*x_c_MON</f>
        <v>27857107.6100244</v>
      </c>
      <c r="Z37" s="0" t="n">
        <f aca="false">D37</f>
        <v>0</v>
      </c>
      <c r="AA37" s="0" t="n">
        <f aca="false">E37</f>
        <v>0</v>
      </c>
      <c r="AB37" s="0" t="n">
        <f aca="false">x_z_F*Q37+(1-x_AGRI)*x_EMP*x_WLOSS*(x_PEN_K74*N37+x_PEN_C22*O37)</f>
        <v>21241998.7253605</v>
      </c>
      <c r="AC37" s="0" t="n">
        <f aca="false">x_AGRI*x_EMP*x_WLOSS*(x_PEN_K74*N37+x_PEN_C22*O37)</f>
        <v>1103858.24142283</v>
      </c>
      <c r="AD37" s="0" t="n">
        <f aca="false">x_EMP*x_WAGE*(x_WLOSS*(N37+O37)+P37)+Q37*x_absd*x_WAGE/365</f>
        <v>130284236.144765</v>
      </c>
      <c r="AE37" s="0" t="n">
        <f aca="false">AD37*x_R_FUS</f>
        <v>41221932.3162038</v>
      </c>
      <c r="AF37" s="0" t="n">
        <f aca="false">AD37*x_R_NFZ</f>
        <v>10118004.0632386</v>
      </c>
      <c r="AG37" s="0" t="n">
        <f aca="false">AD37*x_R_PIT</f>
        <v>8661839.80512057</v>
      </c>
      <c r="AH37" s="0" t="n">
        <f aca="false">AD37*x_R_FP</f>
        <v>3322248.02169152</v>
      </c>
      <c r="AI37" s="0" t="n">
        <f aca="false">W37+X37+Y37+Z37</f>
        <v>589445213.997468</v>
      </c>
      <c r="AJ37" s="0" t="n">
        <f aca="false">AI37+AA37+AB37+AC37+AE37+AF37+AG37+AH37</f>
        <v>675115095.170505</v>
      </c>
      <c r="AK37" s="0" t="n">
        <f aca="false">AI37+AA37+AD37</f>
        <v>719729450.142233</v>
      </c>
      <c r="AL37" s="0" t="n">
        <f aca="false">X37+Y37+Z37</f>
        <v>137833427.610024</v>
      </c>
      <c r="AM37" s="0" t="n">
        <f aca="false">AL37+AA37</f>
        <v>137833427.610024</v>
      </c>
    </row>
    <row r="38" customFormat="false" ht="15" hidden="false" customHeight="false" outlineLevel="0" collapsed="false">
      <c r="A38" s="0" t="n">
        <v>2061</v>
      </c>
      <c r="B38" s="0" t="n">
        <v>35</v>
      </c>
      <c r="C38" s="0" t="n">
        <v>4832</v>
      </c>
      <c r="D38" s="0" t="n">
        <v>0</v>
      </c>
      <c r="E38" s="0" t="n">
        <v>0</v>
      </c>
      <c r="F38" s="0" t="n">
        <v>74106.554</v>
      </c>
      <c r="G38" s="0" t="n">
        <v>6775.545</v>
      </c>
      <c r="H38" s="0" t="n">
        <v>872.547</v>
      </c>
      <c r="I38" s="0" t="n">
        <v>542.962</v>
      </c>
      <c r="J38" s="0" t="n">
        <v>519.039</v>
      </c>
      <c r="K38" s="0" t="n">
        <v>135471.074</v>
      </c>
      <c r="L38" s="0" t="n">
        <v>9823.777</v>
      </c>
      <c r="M38" s="0" t="n">
        <v>38.81</v>
      </c>
      <c r="N38" s="0" t="n">
        <v>485.335</v>
      </c>
      <c r="O38" s="0" t="n">
        <v>248.318</v>
      </c>
      <c r="P38" s="0" t="n">
        <v>809.246</v>
      </c>
      <c r="Q38" s="0" t="n">
        <v>80882.099</v>
      </c>
      <c r="R38" s="0" t="n">
        <v>167971.746</v>
      </c>
      <c r="S38" s="0" t="n">
        <v>165.609</v>
      </c>
      <c r="T38" s="0" t="n">
        <v>158.823</v>
      </c>
      <c r="U38" s="0" t="n">
        <v>38.81</v>
      </c>
      <c r="V38" s="0" t="n">
        <v>254.057</v>
      </c>
      <c r="W38" s="0" t="n">
        <f aca="false">F38*x_c_F+G38*x_c_CC+H38*x_c_DC+I38*x_c_HCC+J38*x_c_PLT+K38*x_c_SVRn+L38*x_c_SVRcc+M38*x_c_LT</f>
        <v>445660707.72839</v>
      </c>
      <c r="X38" s="0" t="n">
        <f aca="false">C38*x_c_DAA</f>
        <v>109976320</v>
      </c>
      <c r="Y38" s="0" t="n">
        <f aca="false">C38*x_c_MON</f>
        <v>27857107.6100244</v>
      </c>
      <c r="Z38" s="0" t="n">
        <f aca="false">D38</f>
        <v>0</v>
      </c>
      <c r="AA38" s="0" t="n">
        <f aca="false">E38</f>
        <v>0</v>
      </c>
      <c r="AB38" s="0" t="n">
        <f aca="false">x_z_F*Q38+(1-x_AGRI)*x_EMP*x_WLOSS*(x_PEN_K74*N38+x_PEN_C22*O38)</f>
        <v>21624738.1797648</v>
      </c>
      <c r="AC38" s="0" t="n">
        <f aca="false">x_AGRI*x_EMP*x_WLOSS*(x_PEN_K74*N38+x_PEN_C22*O38)</f>
        <v>1129328.36793227</v>
      </c>
      <c r="AD38" s="0" t="n">
        <f aca="false">x_EMP*x_WAGE*(x_WLOSS*(N38+O38)+P38)+Q38*x_absd*x_WAGE/365</f>
        <v>133694790.950969</v>
      </c>
      <c r="AE38" s="0" t="n">
        <f aca="false">AD38*x_R_FUS</f>
        <v>42301031.8568865</v>
      </c>
      <c r="AF38" s="0" t="n">
        <f aca="false">AD38*x_R_NFZ</f>
        <v>10382871.1600432</v>
      </c>
      <c r="AG38" s="0" t="n">
        <f aca="false">AD38*x_R_PIT</f>
        <v>8888587.72376431</v>
      </c>
      <c r="AH38" s="0" t="n">
        <f aca="false">AD38*x_R_FP</f>
        <v>3409217.1692497</v>
      </c>
      <c r="AI38" s="0" t="n">
        <f aca="false">W38+X38+Y38+Z38</f>
        <v>583494135.338414</v>
      </c>
      <c r="AJ38" s="0" t="n">
        <f aca="false">AI38+AA38+AB38+AC38+AE38+AF38+AG38+AH38</f>
        <v>671229909.796055</v>
      </c>
      <c r="AK38" s="0" t="n">
        <f aca="false">AI38+AA38+AD38</f>
        <v>717188926.289383</v>
      </c>
      <c r="AL38" s="0" t="n">
        <f aca="false">X38+Y38+Z38</f>
        <v>137833427.610024</v>
      </c>
      <c r="AM38" s="0" t="n">
        <f aca="false">AL38+AA38</f>
        <v>137833427.610024</v>
      </c>
    </row>
    <row r="39" customFormat="false" ht="15" hidden="false" customHeight="false" outlineLevel="0" collapsed="false">
      <c r="A39" s="0" t="n">
        <v>2062</v>
      </c>
      <c r="B39" s="0" t="n">
        <v>36</v>
      </c>
      <c r="C39" s="0" t="n">
        <v>4832</v>
      </c>
      <c r="D39" s="0" t="n">
        <v>0</v>
      </c>
      <c r="E39" s="0" t="n">
        <v>0</v>
      </c>
      <c r="F39" s="0" t="n">
        <v>74161.145</v>
      </c>
      <c r="G39" s="0" t="n">
        <v>6699.979</v>
      </c>
      <c r="H39" s="0" t="n">
        <v>841.318</v>
      </c>
      <c r="I39" s="0" t="n">
        <v>524.053</v>
      </c>
      <c r="J39" s="0" t="n">
        <v>474.58</v>
      </c>
      <c r="K39" s="0" t="n">
        <v>135368.988</v>
      </c>
      <c r="L39" s="0" t="n">
        <v>9253.967</v>
      </c>
      <c r="M39" s="0" t="n">
        <v>37.453</v>
      </c>
      <c r="N39" s="0" t="n">
        <v>496.488</v>
      </c>
      <c r="O39" s="0" t="n">
        <v>253.512</v>
      </c>
      <c r="P39" s="0" t="n">
        <v>833.497</v>
      </c>
      <c r="Q39" s="0" t="n">
        <v>80861.124</v>
      </c>
      <c r="R39" s="0" t="n">
        <v>167492.828</v>
      </c>
      <c r="S39" s="0" t="n">
        <v>162.162</v>
      </c>
      <c r="T39" s="0" t="n">
        <v>154.707</v>
      </c>
      <c r="U39" s="0" t="n">
        <v>37.453</v>
      </c>
      <c r="V39" s="0" t="n">
        <v>244.049</v>
      </c>
      <c r="W39" s="0" t="n">
        <f aca="false">F39*x_c_F+G39*x_c_CC+H39*x_c_DC+I39*x_c_HCC+J39*x_c_PLT+K39*x_c_SVRn+L39*x_c_SVRcc+M39*x_c_LT</f>
        <v>440158771.763026</v>
      </c>
      <c r="X39" s="0" t="n">
        <f aca="false">C39*x_c_DAA</f>
        <v>109976320</v>
      </c>
      <c r="Y39" s="0" t="n">
        <f aca="false">C39*x_c_MON</f>
        <v>27857107.6100244</v>
      </c>
      <c r="Z39" s="0" t="n">
        <f aca="false">D39</f>
        <v>0</v>
      </c>
      <c r="AA39" s="0" t="n">
        <f aca="false">E39</f>
        <v>0</v>
      </c>
      <c r="AB39" s="0" t="n">
        <f aca="false">x_z_F*Q39+(1-x_AGRI)*x_EMP*x_WLOSS*(x_PEN_K74*N39+x_PEN_C22*O39)</f>
        <v>22003227.8414692</v>
      </c>
      <c r="AC39" s="0" t="n">
        <f aca="false">x_AGRI*x_EMP*x_WLOSS*(x_PEN_K74*N39+x_PEN_C22*O39)</f>
        <v>1154423.61325259</v>
      </c>
      <c r="AD39" s="0" t="n">
        <f aca="false">x_EMP*x_WAGE*(x_WLOSS*(N39+O39)+P39)+Q39*x_absd*x_WAGE/365</f>
        <v>137155639.707977</v>
      </c>
      <c r="AE39" s="0" t="n">
        <f aca="false">AD39*x_R_FUS</f>
        <v>43396044.4036038</v>
      </c>
      <c r="AF39" s="0" t="n">
        <f aca="false">AD39*x_R_NFZ</f>
        <v>10651644.1353612</v>
      </c>
      <c r="AG39" s="0" t="n">
        <f aca="false">AD39*x_R_PIT</f>
        <v>9118679.39417673</v>
      </c>
      <c r="AH39" s="0" t="n">
        <f aca="false">AD39*x_R_FP</f>
        <v>3497468.81255341</v>
      </c>
      <c r="AI39" s="0" t="n">
        <f aca="false">W39+X39+Y39+Z39</f>
        <v>577992199.37305</v>
      </c>
      <c r="AJ39" s="0" t="n">
        <f aca="false">AI39+AA39+AB39+AC39+AE39+AF39+AG39+AH39</f>
        <v>667813687.573467</v>
      </c>
      <c r="AK39" s="0" t="n">
        <f aca="false">AI39+AA39+AD39</f>
        <v>715147839.081027</v>
      </c>
      <c r="AL39" s="0" t="n">
        <f aca="false">X39+Y39+Z39</f>
        <v>137833427.610024</v>
      </c>
      <c r="AM39" s="0" t="n">
        <f aca="false">AL39+AA39</f>
        <v>137833427.610024</v>
      </c>
    </row>
    <row r="40" customFormat="false" ht="15" hidden="false" customHeight="false" outlineLevel="0" collapsed="false">
      <c r="A40" s="0" t="n">
        <v>2063</v>
      </c>
      <c r="B40" s="0" t="n">
        <v>37</v>
      </c>
      <c r="C40" s="0" t="n">
        <v>4832</v>
      </c>
      <c r="D40" s="0" t="n">
        <v>0</v>
      </c>
      <c r="E40" s="0" t="n">
        <v>0</v>
      </c>
      <c r="F40" s="0" t="n">
        <v>74220.404</v>
      </c>
      <c r="G40" s="0" t="n">
        <v>6649.292</v>
      </c>
      <c r="H40" s="0" t="n">
        <v>814.178</v>
      </c>
      <c r="I40" s="0" t="n">
        <v>507.438</v>
      </c>
      <c r="J40" s="0" t="n">
        <v>432.865</v>
      </c>
      <c r="K40" s="0" t="n">
        <v>135341.549</v>
      </c>
      <c r="L40" s="0" t="n">
        <v>8707.716</v>
      </c>
      <c r="M40" s="0" t="n">
        <v>36.324</v>
      </c>
      <c r="N40" s="0" t="n">
        <v>506.806</v>
      </c>
      <c r="O40" s="0" t="n">
        <v>258.27</v>
      </c>
      <c r="P40" s="0" t="n">
        <v>856.638</v>
      </c>
      <c r="Q40" s="0" t="n">
        <v>80869.695</v>
      </c>
      <c r="R40" s="0" t="n">
        <v>167107.461</v>
      </c>
      <c r="S40" s="0" t="n">
        <v>159.402</v>
      </c>
      <c r="T40" s="0" t="n">
        <v>151.283</v>
      </c>
      <c r="U40" s="0" t="n">
        <v>36.324</v>
      </c>
      <c r="V40" s="0" t="n">
        <v>235.516</v>
      </c>
      <c r="W40" s="0" t="n">
        <f aca="false">F40*x_c_F+G40*x_c_CC+H40*x_c_DC+I40*x_c_HCC+J40*x_c_PLT+K40*x_c_SVRn+L40*x_c_SVRcc+M40*x_c_LT</f>
        <v>435299121.742543</v>
      </c>
      <c r="X40" s="0" t="n">
        <f aca="false">C40*x_c_DAA</f>
        <v>109976320</v>
      </c>
      <c r="Y40" s="0" t="n">
        <f aca="false">C40*x_c_MON</f>
        <v>27857107.6100244</v>
      </c>
      <c r="Z40" s="0" t="n">
        <f aca="false">D40</f>
        <v>0</v>
      </c>
      <c r="AA40" s="0" t="n">
        <f aca="false">E40</f>
        <v>0</v>
      </c>
      <c r="AB40" s="0" t="n">
        <f aca="false">x_z_F*Q40+(1-x_AGRI)*x_EMP*x_WLOSS*(x_PEN_K74*N40+x_PEN_C22*O40)</f>
        <v>22353758.3525899</v>
      </c>
      <c r="AC40" s="0" t="n">
        <f aca="false">x_AGRI*x_EMP*x_WLOSS*(x_PEN_K74*N40+x_PEN_C22*O40)</f>
        <v>1177561.21397582</v>
      </c>
      <c r="AD40" s="0" t="n">
        <f aca="false">x_EMP*x_WAGE*(x_WLOSS*(N40+O40)+P40)+Q40*x_absd*x_WAGE/365</f>
        <v>140414267.334621</v>
      </c>
      <c r="AE40" s="0" t="n">
        <f aca="false">AD40*x_R_FUS</f>
        <v>44427074.1846741</v>
      </c>
      <c r="AF40" s="0" t="n">
        <f aca="false">AD40*x_R_NFZ</f>
        <v>10904712.415474</v>
      </c>
      <c r="AG40" s="0" t="n">
        <f aca="false">AD40*x_R_PIT</f>
        <v>9335326.5598029</v>
      </c>
      <c r="AH40" s="0" t="n">
        <f aca="false">AD40*x_R_FP</f>
        <v>3580563.81703284</v>
      </c>
      <c r="AI40" s="0" t="n">
        <f aca="false">W40+X40+Y40+Z40</f>
        <v>573132549.352567</v>
      </c>
      <c r="AJ40" s="0" t="n">
        <f aca="false">AI40+AA40+AB40+AC40+AE40+AF40+AG40+AH40</f>
        <v>664911545.896117</v>
      </c>
      <c r="AK40" s="0" t="n">
        <f aca="false">AI40+AA40+AD40</f>
        <v>713546816.687188</v>
      </c>
      <c r="AL40" s="0" t="n">
        <f aca="false">X40+Y40+Z40</f>
        <v>137833427.610024</v>
      </c>
      <c r="AM40" s="0" t="n">
        <f aca="false">AL40+AA40</f>
        <v>137833427.610024</v>
      </c>
    </row>
    <row r="41" customFormat="false" ht="15" hidden="false" customHeight="false" outlineLevel="0" collapsed="false">
      <c r="A41" s="0" t="n">
        <v>2064</v>
      </c>
      <c r="B41" s="0" t="n">
        <v>38</v>
      </c>
      <c r="C41" s="0" t="n">
        <v>4832</v>
      </c>
      <c r="D41" s="0" t="n">
        <v>0</v>
      </c>
      <c r="E41" s="0" t="n">
        <v>0</v>
      </c>
      <c r="F41" s="0" t="n">
        <v>74286.57</v>
      </c>
      <c r="G41" s="0" t="n">
        <v>6623.685</v>
      </c>
      <c r="H41" s="0" t="n">
        <v>791.723</v>
      </c>
      <c r="I41" s="0" t="n">
        <v>493.498</v>
      </c>
      <c r="J41" s="0" t="n">
        <v>394.778</v>
      </c>
      <c r="K41" s="0" t="n">
        <v>135445.292</v>
      </c>
      <c r="L41" s="0" t="n">
        <v>8201.003</v>
      </c>
      <c r="M41" s="0" t="n">
        <v>35.44</v>
      </c>
      <c r="N41" s="0" t="n">
        <v>516.134</v>
      </c>
      <c r="O41" s="0" t="n">
        <v>262.528</v>
      </c>
      <c r="P41" s="0" t="n">
        <v>878.234</v>
      </c>
      <c r="Q41" s="0" t="n">
        <v>80910.255</v>
      </c>
      <c r="R41" s="0" t="n">
        <v>166871.603</v>
      </c>
      <c r="S41" s="0" t="n">
        <v>157.371</v>
      </c>
      <c r="T41" s="0" t="n">
        <v>148.612</v>
      </c>
      <c r="U41" s="0" t="n">
        <v>35.44</v>
      </c>
      <c r="V41" s="0" t="n">
        <v>228.607</v>
      </c>
      <c r="W41" s="0" t="n">
        <f aca="false">F41*x_c_F+G41*x_c_CC+H41*x_c_DC+I41*x_c_HCC+J41*x_c_PLT+K41*x_c_SVRn+L41*x_c_SVRcc+M41*x_c_LT</f>
        <v>431236510.780954</v>
      </c>
      <c r="X41" s="0" t="n">
        <f aca="false">C41*x_c_DAA</f>
        <v>109976320</v>
      </c>
      <c r="Y41" s="0" t="n">
        <f aca="false">C41*x_c_MON</f>
        <v>27857107.6100244</v>
      </c>
      <c r="Z41" s="0" t="n">
        <f aca="false">D41</f>
        <v>0</v>
      </c>
      <c r="AA41" s="0" t="n">
        <f aca="false">E41</f>
        <v>0</v>
      </c>
      <c r="AB41" s="0" t="n">
        <f aca="false">x_z_F*Q41+(1-x_AGRI)*x_EMP*x_WLOSS*(x_PEN_K74*N41+x_PEN_C22*O41)</f>
        <v>22671397.3980461</v>
      </c>
      <c r="AC41" s="0" t="n">
        <f aca="false">x_AGRI*x_EMP*x_WLOSS*(x_PEN_K74*N41+x_PEN_C22*O41)</f>
        <v>1198406.09143756</v>
      </c>
      <c r="AD41" s="0" t="n">
        <f aca="false">x_EMP*x_WAGE*(x_WLOSS*(N41+O41)+P41)+Q41*x_absd*x_WAGE/365</f>
        <v>143414978.302898</v>
      </c>
      <c r="AE41" s="0" t="n">
        <f aca="false">AD41*x_R_FUS</f>
        <v>45376499.1350371</v>
      </c>
      <c r="AF41" s="0" t="n">
        <f aca="false">AD41*x_R_NFZ</f>
        <v>11137750.6299814</v>
      </c>
      <c r="AG41" s="0" t="n">
        <f aca="false">AD41*x_R_PIT</f>
        <v>9534826.34947666</v>
      </c>
      <c r="AH41" s="0" t="n">
        <f aca="false">AD41*x_R_FP</f>
        <v>3657081.94672391</v>
      </c>
      <c r="AI41" s="0" t="n">
        <f aca="false">W41+X41+Y41+Z41</f>
        <v>569069938.390979</v>
      </c>
      <c r="AJ41" s="0" t="n">
        <f aca="false">AI41+AA41+AB41+AC41+AE41+AF41+AG41+AH41</f>
        <v>662645899.941681</v>
      </c>
      <c r="AK41" s="0" t="n">
        <f aca="false">AI41+AA41+AD41</f>
        <v>712484916.693877</v>
      </c>
      <c r="AL41" s="0" t="n">
        <f aca="false">X41+Y41+Z41</f>
        <v>137833427.610024</v>
      </c>
      <c r="AM41" s="0" t="n">
        <f aca="false">AL41+AA41</f>
        <v>137833427.610024</v>
      </c>
    </row>
    <row r="42" customFormat="false" ht="15" hidden="false" customHeight="false" outlineLevel="0" collapsed="false">
      <c r="A42" s="0" t="n">
        <v>2065</v>
      </c>
      <c r="B42" s="0" t="n">
        <v>39</v>
      </c>
      <c r="C42" s="0" t="n">
        <v>4832</v>
      </c>
      <c r="D42" s="0" t="n">
        <v>0</v>
      </c>
      <c r="E42" s="0" t="n">
        <v>0</v>
      </c>
      <c r="F42" s="0" t="n">
        <v>74361.228</v>
      </c>
      <c r="G42" s="0" t="n">
        <v>6622.321</v>
      </c>
      <c r="H42" s="0" t="n">
        <v>774.312</v>
      </c>
      <c r="I42" s="0" t="n">
        <v>482.475</v>
      </c>
      <c r="J42" s="0" t="n">
        <v>361.015</v>
      </c>
      <c r="K42" s="0" t="n">
        <v>135726.216</v>
      </c>
      <c r="L42" s="0" t="n">
        <v>7747.19</v>
      </c>
      <c r="M42" s="0" t="n">
        <v>34.811</v>
      </c>
      <c r="N42" s="0" t="n">
        <v>524.301</v>
      </c>
      <c r="O42" s="0" t="n">
        <v>266.217</v>
      </c>
      <c r="P42" s="0" t="n">
        <v>897.774</v>
      </c>
      <c r="Q42" s="0" t="n">
        <v>80983.549</v>
      </c>
      <c r="R42" s="0" t="n">
        <v>166830.173</v>
      </c>
      <c r="S42" s="0" t="n">
        <v>156.083</v>
      </c>
      <c r="T42" s="0" t="n">
        <v>146.727</v>
      </c>
      <c r="U42" s="0" t="n">
        <v>34.811</v>
      </c>
      <c r="V42" s="0" t="n">
        <v>223.409</v>
      </c>
      <c r="W42" s="0" t="n">
        <f aca="false">F42*x_c_F+G42*x_c_CC+H42*x_c_DC+I42*x_c_HCC+J42*x_c_PLT+K42*x_c_SVRn+L42*x_c_SVRcc+M42*x_c_LT</f>
        <v>428083117.447794</v>
      </c>
      <c r="X42" s="0" t="n">
        <f aca="false">C42*x_c_DAA</f>
        <v>109976320</v>
      </c>
      <c r="Y42" s="0" t="n">
        <f aca="false">C42*x_c_MON</f>
        <v>27857107.6100244</v>
      </c>
      <c r="Z42" s="0" t="n">
        <f aca="false">D42</f>
        <v>0</v>
      </c>
      <c r="AA42" s="0" t="n">
        <f aca="false">E42</f>
        <v>0</v>
      </c>
      <c r="AB42" s="0" t="n">
        <f aca="false">x_z_F*Q42+(1-x_AGRI)*x_EMP*x_WLOSS*(x_PEN_K74*N42+x_PEN_C22*O42)</f>
        <v>22950634.7167482</v>
      </c>
      <c r="AC42" s="0" t="n">
        <f aca="false">x_AGRI*x_EMP*x_WLOSS*(x_PEN_K74*N42+x_PEN_C22*O42)</f>
        <v>1216591.26443913</v>
      </c>
      <c r="AD42" s="0" t="n">
        <f aca="false">x_EMP*x_WAGE*(x_WLOSS*(N42+O42)+P42)+Q42*x_absd*x_WAGE/365</f>
        <v>146093761.755357</v>
      </c>
      <c r="AE42" s="0" t="n">
        <f aca="false">AD42*x_R_FUS</f>
        <v>46224066.219395</v>
      </c>
      <c r="AF42" s="0" t="n">
        <f aca="false">AD42*x_R_NFZ</f>
        <v>11345787.6316828</v>
      </c>
      <c r="AG42" s="0" t="n">
        <f aca="false">AD42*x_R_PIT</f>
        <v>9712923.05422321</v>
      </c>
      <c r="AH42" s="0" t="n">
        <f aca="false">AD42*x_R_FP</f>
        <v>3725390.92476161</v>
      </c>
      <c r="AI42" s="0" t="n">
        <f aca="false">W42+X42+Y42+Z42</f>
        <v>565916545.057818</v>
      </c>
      <c r="AJ42" s="0" t="n">
        <f aca="false">AI42+AA42+AB42+AC42+AE42+AF42+AG42+AH42</f>
        <v>661091938.869068</v>
      </c>
      <c r="AK42" s="0" t="n">
        <f aca="false">AI42+AA42+AD42</f>
        <v>712010306.813175</v>
      </c>
      <c r="AL42" s="0" t="n">
        <f aca="false">X42+Y42+Z42</f>
        <v>137833427.610024</v>
      </c>
      <c r="AM42" s="0" t="n">
        <f aca="false">AL42+AA42</f>
        <v>137833427.610024</v>
      </c>
    </row>
    <row r="43" customFormat="false" ht="15" hidden="false" customHeight="false" outlineLevel="0" collapsed="false">
      <c r="A43" s="0" t="n">
        <v>2066</v>
      </c>
      <c r="B43" s="0" t="n">
        <v>40</v>
      </c>
      <c r="C43" s="0" t="n">
        <v>4832</v>
      </c>
      <c r="D43" s="0" t="n">
        <v>0</v>
      </c>
      <c r="E43" s="0" t="n">
        <v>0</v>
      </c>
      <c r="F43" s="0" t="n">
        <v>74445.509</v>
      </c>
      <c r="G43" s="0" t="n">
        <v>6643.663</v>
      </c>
      <c r="H43" s="0" t="n">
        <v>762.119</v>
      </c>
      <c r="I43" s="0" t="n">
        <v>474.51</v>
      </c>
      <c r="J43" s="0" t="n">
        <v>332.114</v>
      </c>
      <c r="K43" s="0" t="n">
        <v>136221.803</v>
      </c>
      <c r="L43" s="0" t="n">
        <v>7357.404</v>
      </c>
      <c r="M43" s="0" t="n">
        <v>34.435</v>
      </c>
      <c r="N43" s="0" t="n">
        <v>531.125</v>
      </c>
      <c r="O43" s="0" t="n">
        <v>269.264</v>
      </c>
      <c r="P43" s="0" t="n">
        <v>914.668</v>
      </c>
      <c r="Q43" s="0" t="n">
        <v>81089.172</v>
      </c>
      <c r="R43" s="0" t="n">
        <v>167019.236</v>
      </c>
      <c r="S43" s="0" t="n">
        <v>155.522</v>
      </c>
      <c r="T43" s="0" t="n">
        <v>145.627</v>
      </c>
      <c r="U43" s="0" t="n">
        <v>34.435</v>
      </c>
      <c r="V43" s="0" t="n">
        <v>219.93</v>
      </c>
      <c r="W43" s="0" t="n">
        <f aca="false">F43*x_c_F+G43*x_c_CC+H43*x_c_DC+I43*x_c_HCC+J43*x_c_PLT+K43*x_c_SVRn+L43*x_c_SVRcc+M43*x_c_LT</f>
        <v>425915819.35877</v>
      </c>
      <c r="X43" s="0" t="n">
        <f aca="false">C43*x_c_DAA</f>
        <v>109976320</v>
      </c>
      <c r="Y43" s="0" t="n">
        <f aca="false">C43*x_c_MON</f>
        <v>27857107.6100244</v>
      </c>
      <c r="Z43" s="0" t="n">
        <f aca="false">D43</f>
        <v>0</v>
      </c>
      <c r="AA43" s="0" t="n">
        <f aca="false">E43</f>
        <v>0</v>
      </c>
      <c r="AB43" s="0" t="n">
        <f aca="false">x_z_F*Q43+(1-x_AGRI)*x_EMP*x_WLOSS*(x_PEN_K74*N43+x_PEN_C22*O43)</f>
        <v>23185549.4546608</v>
      </c>
      <c r="AC43" s="0" t="n">
        <f aca="false">x_AGRI*x_EMP*x_WLOSS*(x_PEN_K74*N43+x_PEN_C22*O43)</f>
        <v>1231726.87820413</v>
      </c>
      <c r="AD43" s="0" t="n">
        <f aca="false">x_EMP*x_WAGE*(x_WLOSS*(N43+O43)+P43)+Q43*x_absd*x_WAGE/365</f>
        <v>148378561.829503</v>
      </c>
      <c r="AE43" s="0" t="n">
        <f aca="false">AD43*x_R_FUS</f>
        <v>46946976.9628547</v>
      </c>
      <c r="AF43" s="0" t="n">
        <f aca="false">AD43*x_R_NFZ</f>
        <v>11523227.490241</v>
      </c>
      <c r="AG43" s="0" t="n">
        <f aca="false">AD43*x_R_PIT</f>
        <v>9864826.09955395</v>
      </c>
      <c r="AH43" s="0" t="n">
        <f aca="false">AD43*x_R_FP</f>
        <v>3783653.32665233</v>
      </c>
      <c r="AI43" s="0" t="n">
        <f aca="false">W43+X43+Y43+Z43</f>
        <v>563749246.968795</v>
      </c>
      <c r="AJ43" s="0" t="n">
        <f aca="false">AI43+AA43+AB43+AC43+AE43+AF43+AG43+AH43</f>
        <v>660285207.180962</v>
      </c>
      <c r="AK43" s="0" t="n">
        <f aca="false">AI43+AA43+AD43</f>
        <v>712127808.798298</v>
      </c>
      <c r="AL43" s="0" t="n">
        <f aca="false">X43+Y43+Z43</f>
        <v>137833427.610024</v>
      </c>
      <c r="AM43" s="0" t="n">
        <f aca="false">AL43+AA43</f>
        <v>137833427.610024</v>
      </c>
    </row>
    <row r="44" customFormat="false" ht="15" hidden="false" customHeight="false" outlineLevel="0" collapsed="false">
      <c r="A44" s="0" t="n">
        <v>2067</v>
      </c>
      <c r="B44" s="0" t="n">
        <v>41</v>
      </c>
      <c r="C44" s="0" t="n">
        <v>4832</v>
      </c>
      <c r="D44" s="0" t="n">
        <v>0</v>
      </c>
      <c r="E44" s="0" t="n">
        <v>0</v>
      </c>
      <c r="F44" s="0" t="n">
        <v>74539.92</v>
      </c>
      <c r="G44" s="0" t="n">
        <v>6685.395</v>
      </c>
      <c r="H44" s="0" t="n">
        <v>755.084</v>
      </c>
      <c r="I44" s="0" t="n">
        <v>469.599</v>
      </c>
      <c r="J44" s="0" t="n">
        <v>308.375</v>
      </c>
      <c r="K44" s="0" t="n">
        <v>136955.016</v>
      </c>
      <c r="L44" s="0" t="n">
        <v>7039.011</v>
      </c>
      <c r="M44" s="0" t="n">
        <v>34.303</v>
      </c>
      <c r="N44" s="0" t="n">
        <v>536.409</v>
      </c>
      <c r="O44" s="0" t="n">
        <v>271.594</v>
      </c>
      <c r="P44" s="0" t="n">
        <v>928.246</v>
      </c>
      <c r="Q44" s="0" t="n">
        <v>81225.314</v>
      </c>
      <c r="R44" s="0" t="n">
        <v>167460.189</v>
      </c>
      <c r="S44" s="0" t="n">
        <v>155.653</v>
      </c>
      <c r="T44" s="0" t="n">
        <v>145.287</v>
      </c>
      <c r="U44" s="0" t="n">
        <v>34.303</v>
      </c>
      <c r="V44" s="0" t="n">
        <v>218.128</v>
      </c>
      <c r="W44" s="0" t="n">
        <f aca="false">F44*x_c_F+G44*x_c_CC+H44*x_c_DC+I44*x_c_HCC+J44*x_c_PLT+K44*x_c_SVRn+L44*x_c_SVRcc+M44*x_c_LT</f>
        <v>424762926.225166</v>
      </c>
      <c r="X44" s="0" t="n">
        <f aca="false">C44*x_c_DAA</f>
        <v>109976320</v>
      </c>
      <c r="Y44" s="0" t="n">
        <f aca="false">C44*x_c_MON</f>
        <v>27857107.6100244</v>
      </c>
      <c r="Z44" s="0" t="n">
        <f aca="false">D44</f>
        <v>0</v>
      </c>
      <c r="AA44" s="0" t="n">
        <f aca="false">E44</f>
        <v>0</v>
      </c>
      <c r="AB44" s="0" t="n">
        <f aca="false">x_z_F*Q44+(1-x_AGRI)*x_EMP*x_WLOSS*(x_PEN_K74*N44+x_PEN_C22*O44)</f>
        <v>23369757.4092481</v>
      </c>
      <c r="AC44" s="0" t="n">
        <f aca="false">x_AGRI*x_EMP*x_WLOSS*(x_PEN_K74*N44+x_PEN_C22*O44)</f>
        <v>1243397.66323853</v>
      </c>
      <c r="AD44" s="0" t="n">
        <f aca="false">x_EMP*x_WAGE*(x_WLOSS*(N44+O44)+P44)+Q44*x_absd*x_WAGE/365</f>
        <v>150189015.109086</v>
      </c>
      <c r="AE44" s="0" t="n">
        <f aca="false">AD44*x_R_FUS</f>
        <v>47519804.3805149</v>
      </c>
      <c r="AF44" s="0" t="n">
        <f aca="false">AD44*x_R_NFZ</f>
        <v>11663829.1023867</v>
      </c>
      <c r="AG44" s="0" t="n">
        <f aca="false">AD44*x_R_PIT</f>
        <v>9985192.59013214</v>
      </c>
      <c r="AH44" s="0" t="n">
        <f aca="false">AD44*x_R_FP</f>
        <v>3829819.8852817</v>
      </c>
      <c r="AI44" s="0" t="n">
        <f aca="false">W44+X44+Y44+Z44</f>
        <v>562596353.835191</v>
      </c>
      <c r="AJ44" s="0" t="n">
        <f aca="false">AI44+AA44+AB44+AC44+AE44+AF44+AG44+AH44</f>
        <v>660208154.865993</v>
      </c>
      <c r="AK44" s="0" t="n">
        <f aca="false">AI44+AA44+AD44</f>
        <v>712785368.944277</v>
      </c>
      <c r="AL44" s="0" t="n">
        <f aca="false">X44+Y44+Z44</f>
        <v>137833427.610024</v>
      </c>
      <c r="AM44" s="0" t="n">
        <f aca="false">AL44+AA44</f>
        <v>137833427.610024</v>
      </c>
    </row>
    <row r="45" customFormat="false" ht="15" hidden="false" customHeight="false" outlineLevel="0" collapsed="false">
      <c r="A45" s="0" t="n">
        <v>2068</v>
      </c>
      <c r="B45" s="0" t="n">
        <v>42</v>
      </c>
      <c r="C45" s="0" t="n">
        <v>4832</v>
      </c>
      <c r="D45" s="0" t="n">
        <v>0</v>
      </c>
      <c r="E45" s="0" t="n">
        <v>0</v>
      </c>
      <c r="F45" s="0" t="n">
        <v>74644.61</v>
      </c>
      <c r="G45" s="0" t="n">
        <v>6744.856</v>
      </c>
      <c r="H45" s="0" t="n">
        <v>752.999</v>
      </c>
      <c r="I45" s="0" t="n">
        <v>467.653</v>
      </c>
      <c r="J45" s="0" t="n">
        <v>289.929</v>
      </c>
      <c r="K45" s="0" t="n">
        <v>137938.979</v>
      </c>
      <c r="L45" s="0" t="n">
        <v>6796.763</v>
      </c>
      <c r="M45" s="0" t="n">
        <v>34.393</v>
      </c>
      <c r="N45" s="0" t="n">
        <v>539.939</v>
      </c>
      <c r="O45" s="0" t="n">
        <v>273.126</v>
      </c>
      <c r="P45" s="0" t="n">
        <v>937.744</v>
      </c>
      <c r="Q45" s="0" t="n">
        <v>81389.467</v>
      </c>
      <c r="R45" s="0" t="n">
        <v>168164.604</v>
      </c>
      <c r="S45" s="0" t="n">
        <v>156.41</v>
      </c>
      <c r="T45" s="0" t="n">
        <v>145.649</v>
      </c>
      <c r="U45" s="0" t="n">
        <v>34.393</v>
      </c>
      <c r="V45" s="0" t="n">
        <v>217.881</v>
      </c>
      <c r="W45" s="0" t="n">
        <f aca="false">F45*x_c_F+G45*x_c_CC+H45*x_c_DC+I45*x_c_HCC+J45*x_c_PLT+K45*x_c_SVRn+L45*x_c_SVRcc+M45*x_c_LT</f>
        <v>424618787.899446</v>
      </c>
      <c r="X45" s="0" t="n">
        <f aca="false">C45*x_c_DAA</f>
        <v>109976320</v>
      </c>
      <c r="Y45" s="0" t="n">
        <f aca="false">C45*x_c_MON</f>
        <v>27857107.6100244</v>
      </c>
      <c r="Z45" s="0" t="n">
        <f aca="false">D45</f>
        <v>0</v>
      </c>
      <c r="AA45" s="0" t="n">
        <f aca="false">E45</f>
        <v>0</v>
      </c>
      <c r="AB45" s="0" t="n">
        <f aca="false">x_z_F*Q45+(1-x_AGRI)*x_EMP*x_WLOSS*(x_PEN_K74*N45+x_PEN_C22*O45)</f>
        <v>23496304.9935284</v>
      </c>
      <c r="AC45" s="0" t="n">
        <f aca="false">x_AGRI*x_EMP*x_WLOSS*(x_PEN_K74*N45+x_PEN_C22*O45)</f>
        <v>1251153.30400118</v>
      </c>
      <c r="AD45" s="0" t="n">
        <f aca="false">x_EMP*x_WAGE*(x_WLOSS*(N45+O45)+P45)+Q45*x_absd*x_WAGE/365</f>
        <v>151434764.176798</v>
      </c>
      <c r="AE45" s="0" t="n">
        <f aca="false">AD45*x_R_FUS</f>
        <v>47913959.3855389</v>
      </c>
      <c r="AF45" s="0" t="n">
        <f aca="false">AD45*x_R_NFZ</f>
        <v>11760575.2207343</v>
      </c>
      <c r="AG45" s="0" t="n">
        <f aca="false">AD45*x_R_PIT</f>
        <v>10068015.1877172</v>
      </c>
      <c r="AH45" s="0" t="n">
        <f aca="false">AD45*x_R_FP</f>
        <v>3861586.48650835</v>
      </c>
      <c r="AI45" s="0" t="n">
        <f aca="false">W45+X45+Y45+Z45</f>
        <v>562452215.509471</v>
      </c>
      <c r="AJ45" s="0" t="n">
        <f aca="false">AI45+AA45+AB45+AC45+AE45+AF45+AG45+AH45</f>
        <v>660803810.087499</v>
      </c>
      <c r="AK45" s="0" t="n">
        <f aca="false">AI45+AA45+AD45</f>
        <v>713886979.686269</v>
      </c>
      <c r="AL45" s="0" t="n">
        <f aca="false">X45+Y45+Z45</f>
        <v>137833427.610024</v>
      </c>
      <c r="AM45" s="0" t="n">
        <f aca="false">AL45+AA45</f>
        <v>137833427.610024</v>
      </c>
    </row>
    <row r="46" customFormat="false" ht="15" hidden="false" customHeight="false" outlineLevel="0" collapsed="false">
      <c r="A46" s="0" t="n">
        <v>2069</v>
      </c>
      <c r="B46" s="0" t="n">
        <v>43</v>
      </c>
      <c r="C46" s="0" t="n">
        <v>4832</v>
      </c>
      <c r="D46" s="0" t="n">
        <v>0</v>
      </c>
      <c r="E46" s="0" t="n">
        <v>0</v>
      </c>
      <c r="F46" s="0" t="n">
        <v>74759.097</v>
      </c>
      <c r="G46" s="0" t="n">
        <v>6818.86</v>
      </c>
      <c r="H46" s="0" t="n">
        <v>755.432</v>
      </c>
      <c r="I46" s="0" t="n">
        <v>468.443</v>
      </c>
      <c r="J46" s="0" t="n">
        <v>276.636</v>
      </c>
      <c r="K46" s="0" t="n">
        <v>139168.565</v>
      </c>
      <c r="L46" s="0" t="n">
        <v>6630.752</v>
      </c>
      <c r="M46" s="0" t="n">
        <v>34.683</v>
      </c>
      <c r="N46" s="0" t="n">
        <v>541.483</v>
      </c>
      <c r="O46" s="0" t="n">
        <v>273.774</v>
      </c>
      <c r="P46" s="0" t="n">
        <v>942.293</v>
      </c>
      <c r="Q46" s="0" t="n">
        <v>81577.956</v>
      </c>
      <c r="R46" s="0" t="n">
        <v>169126.094</v>
      </c>
      <c r="S46" s="0" t="n">
        <v>157.726</v>
      </c>
      <c r="T46" s="0" t="n">
        <v>146.647</v>
      </c>
      <c r="U46" s="0" t="n">
        <v>34.683</v>
      </c>
      <c r="V46" s="0" t="n">
        <v>219.054</v>
      </c>
      <c r="W46" s="0" t="n">
        <f aca="false">F46*x_c_F+G46*x_c_CC+H46*x_c_DC+I46*x_c_HCC+J46*x_c_PLT+K46*x_c_SVRn+L46*x_c_SVRcc+M46*x_c_LT</f>
        <v>425427639.202932</v>
      </c>
      <c r="X46" s="0" t="n">
        <f aca="false">C46*x_c_DAA</f>
        <v>109976320</v>
      </c>
      <c r="Y46" s="0" t="n">
        <f aca="false">C46*x_c_MON</f>
        <v>27857107.6100244</v>
      </c>
      <c r="Z46" s="0" t="n">
        <f aca="false">D46</f>
        <v>0</v>
      </c>
      <c r="AA46" s="0" t="n">
        <f aca="false">E46</f>
        <v>0</v>
      </c>
      <c r="AB46" s="0" t="n">
        <f aca="false">x_z_F*Q46+(1-x_AGRI)*x_EMP*x_WLOSS*(x_PEN_K74*N46+x_PEN_C22*O46)</f>
        <v>23557645.9536285</v>
      </c>
      <c r="AC46" s="0" t="n">
        <f aca="false">x_AGRI*x_EMP*x_WLOSS*(x_PEN_K74*N46+x_PEN_C22*O46)</f>
        <v>1254508.63969488</v>
      </c>
      <c r="AD46" s="0" t="n">
        <f aca="false">x_EMP*x_WAGE*(x_WLOSS*(N46+O46)+P46)+Q46*x_absd*x_WAGE/365</f>
        <v>152014507.302459</v>
      </c>
      <c r="AE46" s="0" t="n">
        <f aca="false">AD46*x_R_FUS</f>
        <v>48097390.1104979</v>
      </c>
      <c r="AF46" s="0" t="n">
        <f aca="false">AD46*x_R_NFZ</f>
        <v>11805598.6516162</v>
      </c>
      <c r="AG46" s="0" t="n">
        <f aca="false">AD46*x_R_PIT</f>
        <v>10106558.9304691</v>
      </c>
      <c r="AH46" s="0" t="n">
        <f aca="false">AD46*x_R_FP</f>
        <v>3876369.9362127</v>
      </c>
      <c r="AI46" s="0" t="n">
        <f aca="false">W46+X46+Y46+Z46</f>
        <v>563261066.812956</v>
      </c>
      <c r="AJ46" s="0" t="n">
        <f aca="false">AI46+AA46+AB46+AC46+AE46+AF46+AG46+AH46</f>
        <v>661959139.035075</v>
      </c>
      <c r="AK46" s="0" t="n">
        <f aca="false">AI46+AA46+AD46</f>
        <v>715275574.115415</v>
      </c>
      <c r="AL46" s="0" t="n">
        <f aca="false">X46+Y46+Z46</f>
        <v>137833427.610024</v>
      </c>
      <c r="AM46" s="0" t="n">
        <f aca="false">AL46+AA46</f>
        <v>137833427.610024</v>
      </c>
    </row>
    <row r="47" customFormat="false" ht="15" hidden="false" customHeight="false" outlineLevel="0" collapsed="false">
      <c r="A47" s="0" t="n">
        <v>2070</v>
      </c>
      <c r="B47" s="0" t="n">
        <v>44</v>
      </c>
      <c r="C47" s="0" t="n">
        <v>4832</v>
      </c>
      <c r="D47" s="0" t="n">
        <v>0</v>
      </c>
      <c r="E47" s="0" t="n">
        <v>0</v>
      </c>
      <c r="F47" s="0" t="n">
        <v>74882.843</v>
      </c>
      <c r="G47" s="0" t="n">
        <v>6904.405</v>
      </c>
      <c r="H47" s="0" t="n">
        <v>761.922</v>
      </c>
      <c r="I47" s="0" t="n">
        <v>471.719</v>
      </c>
      <c r="J47" s="0" t="n">
        <v>268.283</v>
      </c>
      <c r="K47" s="0" t="n">
        <v>140634.426</v>
      </c>
      <c r="L47" s="0" t="n">
        <v>6539.76</v>
      </c>
      <c r="M47" s="0" t="n">
        <v>35.142</v>
      </c>
      <c r="N47" s="0" t="n">
        <v>540.784</v>
      </c>
      <c r="O47" s="0" t="n">
        <v>273.443</v>
      </c>
      <c r="P47" s="0" t="n">
        <v>940.913</v>
      </c>
      <c r="Q47" s="0" t="n">
        <v>81787.247</v>
      </c>
      <c r="R47" s="0" t="n">
        <v>170334.213</v>
      </c>
      <c r="S47" s="0" t="n">
        <v>159.506</v>
      </c>
      <c r="T47" s="0" t="n">
        <v>148.187</v>
      </c>
      <c r="U47" s="0" t="n">
        <v>35.142</v>
      </c>
      <c r="V47" s="0" t="n">
        <v>221.444</v>
      </c>
      <c r="W47" s="0" t="n">
        <f aca="false">F47*x_c_F+G47*x_c_CC+H47*x_c_DC+I47*x_c_HCC+J47*x_c_PLT+K47*x_c_SVRn+L47*x_c_SVRcc+M47*x_c_LT</f>
        <v>427121122.782787</v>
      </c>
      <c r="X47" s="0" t="n">
        <f aca="false">C47*x_c_DAA</f>
        <v>109976320</v>
      </c>
      <c r="Y47" s="0" t="n">
        <f aca="false">C47*x_c_MON</f>
        <v>27857107.6100244</v>
      </c>
      <c r="Z47" s="0" t="n">
        <f aca="false">D47</f>
        <v>0</v>
      </c>
      <c r="AA47" s="0" t="n">
        <f aca="false">E47</f>
        <v>0</v>
      </c>
      <c r="AB47" s="0" t="n">
        <f aca="false">x_z_F*Q47+(1-x_AGRI)*x_EMP*x_WLOSS*(x_PEN_K74*N47+x_PEN_C22*O47)</f>
        <v>23545457.7595451</v>
      </c>
      <c r="AC47" s="0" t="n">
        <f aca="false">x_AGRI*x_EMP*x_WLOSS*(x_PEN_K74*N47+x_PEN_C22*O47)</f>
        <v>1252926.67613225</v>
      </c>
      <c r="AD47" s="0" t="n">
        <f aca="false">x_EMP*x_WAGE*(x_WLOSS*(N47+O47)+P47)+Q47*x_absd*x_WAGE/365</f>
        <v>151814583.726643</v>
      </c>
      <c r="AE47" s="0" t="n">
        <f aca="false">AD47*x_R_FUS</f>
        <v>48034134.2911098</v>
      </c>
      <c r="AF47" s="0" t="n">
        <f aca="false">AD47*x_R_NFZ</f>
        <v>11790072.3867948</v>
      </c>
      <c r="AG47" s="0" t="n">
        <f aca="false">AD47*x_R_PIT</f>
        <v>10093267.1766989</v>
      </c>
      <c r="AH47" s="0" t="n">
        <f aca="false">AD47*x_R_FP</f>
        <v>3871271.88502939</v>
      </c>
      <c r="AI47" s="0" t="n">
        <f aca="false">W47+X47+Y47+Z47</f>
        <v>564954550.392811</v>
      </c>
      <c r="AJ47" s="0" t="n">
        <f aca="false">AI47+AA47+AB47+AC47+AE47+AF47+AG47+AH47</f>
        <v>663541680.568122</v>
      </c>
      <c r="AK47" s="0" t="n">
        <f aca="false">AI47+AA47+AD47</f>
        <v>716769134.119454</v>
      </c>
      <c r="AL47" s="0" t="n">
        <f aca="false">X47+Y47+Z47</f>
        <v>137833427.610024</v>
      </c>
      <c r="AM47" s="0" t="n">
        <f aca="false">AL47+AA47</f>
        <v>137833427.610024</v>
      </c>
    </row>
    <row r="48" customFormat="false" ht="15" hidden="false" customHeight="false" outlineLevel="0" collapsed="false">
      <c r="A48" s="0" t="n">
        <v>2071</v>
      </c>
      <c r="B48" s="0" t="n">
        <v>45</v>
      </c>
      <c r="C48" s="0" t="n">
        <v>4832</v>
      </c>
      <c r="D48" s="0" t="n">
        <v>0</v>
      </c>
      <c r="E48" s="0" t="n">
        <v>0</v>
      </c>
      <c r="F48" s="0" t="n">
        <v>75014.709</v>
      </c>
      <c r="G48" s="0" t="n">
        <v>6998.195</v>
      </c>
      <c r="H48" s="0" t="n">
        <v>771.817</v>
      </c>
      <c r="I48" s="0" t="n">
        <v>477.109</v>
      </c>
      <c r="J48" s="0" t="n">
        <v>264.39</v>
      </c>
      <c r="K48" s="0" t="n">
        <v>142307.81</v>
      </c>
      <c r="L48" s="0" t="n">
        <v>6517.735</v>
      </c>
      <c r="M48" s="0" t="n">
        <v>35.739</v>
      </c>
      <c r="N48" s="0" t="n">
        <v>540.167</v>
      </c>
      <c r="O48" s="0" t="n">
        <v>273.156</v>
      </c>
      <c r="P48" s="0" t="n">
        <v>939.612</v>
      </c>
      <c r="Q48" s="0" t="n">
        <v>82012.904</v>
      </c>
      <c r="R48" s="0" t="n">
        <v>171759.739</v>
      </c>
      <c r="S48" s="0" t="n">
        <v>161.661</v>
      </c>
      <c r="T48" s="0" t="n">
        <v>150.173</v>
      </c>
      <c r="U48" s="0" t="n">
        <v>35.739</v>
      </c>
      <c r="V48" s="0" t="n">
        <v>224.844</v>
      </c>
      <c r="W48" s="0" t="n">
        <f aca="false">F48*x_c_F+G48*x_c_CC+H48*x_c_DC+I48*x_c_HCC+J48*x_c_PLT+K48*x_c_SVRn+L48*x_c_SVRcc+M48*x_c_LT</f>
        <v>429582778.422504</v>
      </c>
      <c r="X48" s="0" t="n">
        <f aca="false">C48*x_c_DAA</f>
        <v>109976320</v>
      </c>
      <c r="Y48" s="0" t="n">
        <f aca="false">C48*x_c_MON</f>
        <v>27857107.6100244</v>
      </c>
      <c r="Z48" s="0" t="n">
        <f aca="false">D48</f>
        <v>0</v>
      </c>
      <c r="AA48" s="0" t="n">
        <f aca="false">E48</f>
        <v>0</v>
      </c>
      <c r="AB48" s="0" t="n">
        <f aca="false">x_z_F*Q48+(1-x_AGRI)*x_EMP*x_WLOSS*(x_PEN_K74*N48+x_PEN_C22*O48)</f>
        <v>23537126.4788937</v>
      </c>
      <c r="AC48" s="0" t="n">
        <f aca="false">x_AGRI*x_EMP*x_WLOSS*(x_PEN_K74*N48+x_PEN_C22*O48)</f>
        <v>1251538.9388487</v>
      </c>
      <c r="AD48" s="0" t="n">
        <f aca="false">x_EMP*x_WAGE*(x_WLOSS*(N48+O48)+P48)+Q48*x_absd*x_WAGE/365</f>
        <v>151632572.875574</v>
      </c>
      <c r="AE48" s="0" t="n">
        <f aca="false">AD48*x_R_FUS</f>
        <v>47976546.0578317</v>
      </c>
      <c r="AF48" s="0" t="n">
        <f aca="false">AD48*x_R_NFZ</f>
        <v>11775937.24209</v>
      </c>
      <c r="AG48" s="0" t="n">
        <f aca="false">AD48*x_R_PIT</f>
        <v>10081166.3356347</v>
      </c>
      <c r="AH48" s="0" t="n">
        <f aca="false">AD48*x_R_FP</f>
        <v>3866630.60832714</v>
      </c>
      <c r="AI48" s="0" t="n">
        <f aca="false">W48+X48+Y48+Z48</f>
        <v>567416206.032528</v>
      </c>
      <c r="AJ48" s="0" t="n">
        <f aca="false">AI48+AA48+AB48+AC48+AE48+AF48+AG48+AH48</f>
        <v>665905151.694154</v>
      </c>
      <c r="AK48" s="0" t="n">
        <f aca="false">AI48+AA48+AD48</f>
        <v>719048778.908102</v>
      </c>
      <c r="AL48" s="0" t="n">
        <f aca="false">X48+Y48+Z48</f>
        <v>137833427.610024</v>
      </c>
      <c r="AM48" s="0" t="n">
        <f aca="false">AL48+AA48</f>
        <v>137833427.610024</v>
      </c>
    </row>
    <row r="49" customFormat="false" ht="15" hidden="false" customHeight="false" outlineLevel="0" collapsed="false">
      <c r="A49" s="0" t="n">
        <v>2072</v>
      </c>
      <c r="B49" s="0" t="n">
        <v>46</v>
      </c>
      <c r="C49" s="0" t="n">
        <v>4832</v>
      </c>
      <c r="D49" s="0" t="n">
        <v>0</v>
      </c>
      <c r="E49" s="0" t="n">
        <v>0</v>
      </c>
      <c r="F49" s="0" t="n">
        <v>75153.548</v>
      </c>
      <c r="G49" s="0" t="n">
        <v>7097.311</v>
      </c>
      <c r="H49" s="0" t="n">
        <v>784.478</v>
      </c>
      <c r="I49" s="0" t="n">
        <v>484.244</v>
      </c>
      <c r="J49" s="0" t="n">
        <v>264.434</v>
      </c>
      <c r="K49" s="0" t="n">
        <v>144156.632</v>
      </c>
      <c r="L49" s="0" t="n">
        <v>6557.601</v>
      </c>
      <c r="M49" s="0" t="n">
        <v>36.438</v>
      </c>
      <c r="N49" s="0" t="n">
        <v>539.64</v>
      </c>
      <c r="O49" s="0" t="n">
        <v>272.917</v>
      </c>
      <c r="P49" s="0" t="n">
        <v>938.407</v>
      </c>
      <c r="Q49" s="0" t="n">
        <v>82250.858</v>
      </c>
      <c r="R49" s="0" t="n">
        <v>173370.441</v>
      </c>
      <c r="S49" s="0" t="n">
        <v>164.087</v>
      </c>
      <c r="T49" s="0" t="n">
        <v>152.494</v>
      </c>
      <c r="U49" s="0" t="n">
        <v>36.438</v>
      </c>
      <c r="V49" s="0" t="n">
        <v>229.017</v>
      </c>
      <c r="W49" s="0" t="n">
        <f aca="false">F49*x_c_F+G49*x_c_CC+H49*x_c_DC+I49*x_c_HCC+J49*x_c_PLT+K49*x_c_SVRn+L49*x_c_SVRcc+M49*x_c_LT</f>
        <v>432690660.824287</v>
      </c>
      <c r="X49" s="0" t="n">
        <f aca="false">C49*x_c_DAA</f>
        <v>109976320</v>
      </c>
      <c r="Y49" s="0" t="n">
        <f aca="false">C49*x_c_MON</f>
        <v>27857107.6100244</v>
      </c>
      <c r="Z49" s="0" t="n">
        <f aca="false">D49</f>
        <v>0</v>
      </c>
      <c r="AA49" s="0" t="n">
        <f aca="false">E49</f>
        <v>0</v>
      </c>
      <c r="AB49" s="0" t="n">
        <f aca="false">x_z_F*Q49+(1-x_AGRI)*x_EMP*x_WLOSS*(x_PEN_K74*N49+x_PEN_C22*O49)</f>
        <v>23532703.0342186</v>
      </c>
      <c r="AC49" s="0" t="n">
        <f aca="false">x_AGRI*x_EMP*x_WLOSS*(x_PEN_K74*N49+x_PEN_C22*O49)</f>
        <v>1250363.8873392</v>
      </c>
      <c r="AD49" s="0" t="n">
        <f aca="false">x_EMP*x_WAGE*(x_WLOSS*(N49+O49)+P49)+Q49*x_absd*x_WAGE/365</f>
        <v>151470839.319543</v>
      </c>
      <c r="AE49" s="0" t="n">
        <f aca="false">AD49*x_R_FUS</f>
        <v>47925373.5607034</v>
      </c>
      <c r="AF49" s="0" t="n">
        <f aca="false">AD49*x_R_NFZ</f>
        <v>11763376.852395</v>
      </c>
      <c r="AG49" s="0" t="n">
        <f aca="false">AD49*x_R_PIT</f>
        <v>10070413.613779</v>
      </c>
      <c r="AH49" s="0" t="n">
        <f aca="false">AD49*x_R_FP</f>
        <v>3862506.40264835</v>
      </c>
      <c r="AI49" s="0" t="n">
        <f aca="false">W49+X49+Y49+Z49</f>
        <v>570524088.434312</v>
      </c>
      <c r="AJ49" s="0" t="n">
        <f aca="false">AI49+AA49+AB49+AC49+AE49+AF49+AG49+AH49</f>
        <v>668928825.785395</v>
      </c>
      <c r="AK49" s="0" t="n">
        <f aca="false">AI49+AA49+AD49</f>
        <v>721994927.753855</v>
      </c>
      <c r="AL49" s="0" t="n">
        <f aca="false">X49+Y49+Z49</f>
        <v>137833427.610024</v>
      </c>
      <c r="AM49" s="0" t="n">
        <f aca="false">AL49+AA49</f>
        <v>137833427.610024</v>
      </c>
    </row>
    <row r="50" customFormat="false" ht="15" hidden="false" customHeight="false" outlineLevel="0" collapsed="false">
      <c r="A50" s="0" t="n">
        <v>2073</v>
      </c>
      <c r="B50" s="0" t="n">
        <v>47</v>
      </c>
      <c r="C50" s="0" t="n">
        <v>4832</v>
      </c>
      <c r="D50" s="0" t="n">
        <v>0</v>
      </c>
      <c r="E50" s="0" t="n">
        <v>0</v>
      </c>
      <c r="F50" s="0" t="n">
        <v>75297.873</v>
      </c>
      <c r="G50" s="0" t="n">
        <v>7198.909</v>
      </c>
      <c r="H50" s="0" t="n">
        <v>799.184</v>
      </c>
      <c r="I50" s="0" t="n">
        <v>492.695</v>
      </c>
      <c r="J50" s="0" t="n">
        <v>267.734</v>
      </c>
      <c r="K50" s="0" t="n">
        <v>146136.075</v>
      </c>
      <c r="L50" s="0" t="n">
        <v>6649.128</v>
      </c>
      <c r="M50" s="0" t="n">
        <v>37.208</v>
      </c>
      <c r="N50" s="0" t="n">
        <v>539.209</v>
      </c>
      <c r="O50" s="0" t="n">
        <v>272.729</v>
      </c>
      <c r="P50" s="0" t="n">
        <v>937.312</v>
      </c>
      <c r="Q50" s="0" t="n">
        <v>82496.782</v>
      </c>
      <c r="R50" s="0" t="n">
        <v>175122.003</v>
      </c>
      <c r="S50" s="0" t="n">
        <v>166.698</v>
      </c>
      <c r="T50" s="0" t="n">
        <v>155.055</v>
      </c>
      <c r="U50" s="0" t="n">
        <v>37.208</v>
      </c>
      <c r="V50" s="0" t="n">
        <v>233.754</v>
      </c>
      <c r="W50" s="0" t="n">
        <f aca="false">F50*x_c_F+G50*x_c_CC+H50*x_c_DC+I50*x_c_HCC+J50*x_c_PLT+K50*x_c_SVRn+L50*x_c_SVRcc+M50*x_c_LT</f>
        <v>436297226.501759</v>
      </c>
      <c r="X50" s="0" t="n">
        <f aca="false">C50*x_c_DAA</f>
        <v>109976320</v>
      </c>
      <c r="Y50" s="0" t="n">
        <f aca="false">C50*x_c_MON</f>
        <v>27857107.6100244</v>
      </c>
      <c r="Z50" s="0" t="n">
        <f aca="false">D50</f>
        <v>0</v>
      </c>
      <c r="AA50" s="0" t="n">
        <f aca="false">E50</f>
        <v>0</v>
      </c>
      <c r="AB50" s="0" t="n">
        <f aca="false">x_z_F*Q50+(1-x_AGRI)*x_EMP*x_WLOSS*(x_PEN_K74*N50+x_PEN_C22*O50)</f>
        <v>23532154.0505639</v>
      </c>
      <c r="AC50" s="0" t="n">
        <f aca="false">x_AGRI*x_EMP*x_WLOSS*(x_PEN_K74*N50+x_PEN_C22*O50)</f>
        <v>1249415.36622497</v>
      </c>
      <c r="AD50" s="0" t="n">
        <f aca="false">x_EMP*x_WAGE*(x_WLOSS*(N50+O50)+P50)+Q50*x_absd*x_WAGE/365</f>
        <v>151331229.219041</v>
      </c>
      <c r="AE50" s="0" t="n">
        <f aca="false">AD50*x_R_FUS</f>
        <v>47881200.9249044</v>
      </c>
      <c r="AF50" s="0" t="n">
        <f aca="false">AD50*x_R_NFZ</f>
        <v>11752534.5923799</v>
      </c>
      <c r="AG50" s="0" t="n">
        <f aca="false">AD50*x_R_PIT</f>
        <v>10061131.7515866</v>
      </c>
      <c r="AH50" s="0" t="n">
        <f aca="false">AD50*x_R_FP</f>
        <v>3858946.34508553</v>
      </c>
      <c r="AI50" s="0" t="n">
        <f aca="false">W50+X50+Y50+Z50</f>
        <v>574130654.111783</v>
      </c>
      <c r="AJ50" s="0" t="n">
        <f aca="false">AI50+AA50+AB50+AC50+AE50+AF50+AG50+AH50</f>
        <v>672466037.142529</v>
      </c>
      <c r="AK50" s="0" t="n">
        <f aca="false">AI50+AA50+AD50</f>
        <v>725461883.330824</v>
      </c>
      <c r="AL50" s="0" t="n">
        <f aca="false">X50+Y50+Z50</f>
        <v>137833427.610024</v>
      </c>
      <c r="AM50" s="0" t="n">
        <f aca="false">AL50+AA50</f>
        <v>137833427.610024</v>
      </c>
    </row>
    <row r="51" customFormat="false" ht="15" hidden="false" customHeight="false" outlineLevel="0" collapsed="false">
      <c r="A51" s="0" t="n">
        <v>2074</v>
      </c>
      <c r="B51" s="0" t="n">
        <v>48</v>
      </c>
      <c r="C51" s="0" t="n">
        <v>4832</v>
      </c>
      <c r="D51" s="0" t="n">
        <v>0</v>
      </c>
      <c r="E51" s="0" t="n">
        <v>0</v>
      </c>
      <c r="F51" s="0" t="n">
        <v>75446.37</v>
      </c>
      <c r="G51" s="0" t="n">
        <v>7300.732</v>
      </c>
      <c r="H51" s="0" t="n">
        <v>815.312</v>
      </c>
      <c r="I51" s="0" t="n">
        <v>502.089</v>
      </c>
      <c r="J51" s="0" t="n">
        <v>273.667</v>
      </c>
      <c r="K51" s="0" t="n">
        <v>148204.409</v>
      </c>
      <c r="L51" s="0" t="n">
        <v>6782.721</v>
      </c>
      <c r="M51" s="0" t="n">
        <v>37.611</v>
      </c>
      <c r="N51" s="0" t="n">
        <v>538.882</v>
      </c>
      <c r="O51" s="0" t="n">
        <v>272.596</v>
      </c>
      <c r="P51" s="0" t="n">
        <v>936.339</v>
      </c>
      <c r="Q51" s="0" t="n">
        <v>82747.101</v>
      </c>
      <c r="R51" s="0" t="n">
        <v>176973.429</v>
      </c>
      <c r="S51" s="0" t="n">
        <v>168.152</v>
      </c>
      <c r="T51" s="0" t="n">
        <v>156.313</v>
      </c>
      <c r="U51" s="0" t="n">
        <v>37.611</v>
      </c>
      <c r="V51" s="0" t="n">
        <v>235.87</v>
      </c>
      <c r="W51" s="0" t="n">
        <f aca="false">F51*x_c_F+G51*x_c_CC+H51*x_c_DC+I51*x_c_HCC+J51*x_c_PLT+K51*x_c_SVRn+L51*x_c_SVRcc+M51*x_c_LT</f>
        <v>440129860.966155</v>
      </c>
      <c r="X51" s="0" t="n">
        <f aca="false">C51*x_c_DAA</f>
        <v>109976320</v>
      </c>
      <c r="Y51" s="0" t="n">
        <f aca="false">C51*x_c_MON</f>
        <v>27857107.6100244</v>
      </c>
      <c r="Z51" s="0" t="n">
        <f aca="false">D51</f>
        <v>0</v>
      </c>
      <c r="AA51" s="0" t="n">
        <f aca="false">E51</f>
        <v>0</v>
      </c>
      <c r="AB51" s="0" t="n">
        <f aca="false">x_z_F*Q51+(1-x_AGRI)*x_EMP*x_WLOSS*(x_PEN_K74*N51+x_PEN_C22*O51)</f>
        <v>23535558.1736896</v>
      </c>
      <c r="AC51" s="0" t="n">
        <f aca="false">x_AGRI*x_EMP*x_WLOSS*(x_PEN_K74*N51+x_PEN_C22*O51)</f>
        <v>1248711.83500097</v>
      </c>
      <c r="AD51" s="0" t="n">
        <f aca="false">x_EMP*x_WAGE*(x_WLOSS*(N51+O51)+P51)+Q51*x_absd*x_WAGE/365</f>
        <v>151215693.951775</v>
      </c>
      <c r="AE51" s="0" t="n">
        <f aca="false">AD51*x_R_FUS</f>
        <v>47844645.5663415</v>
      </c>
      <c r="AF51" s="0" t="n">
        <f aca="false">AD51*x_R_NFZ</f>
        <v>11743562.0079888</v>
      </c>
      <c r="AG51" s="0" t="n">
        <f aca="false">AD51*x_R_PIT</f>
        <v>10053450.4847925</v>
      </c>
      <c r="AH51" s="0" t="n">
        <f aca="false">AD51*x_R_FP</f>
        <v>3856000.19577026</v>
      </c>
      <c r="AI51" s="0" t="n">
        <f aca="false">W51+X51+Y51+Z51</f>
        <v>577963288.576179</v>
      </c>
      <c r="AJ51" s="0" t="n">
        <f aca="false">AI51+AA51+AB51+AC51+AE51+AF51+AG51+AH51</f>
        <v>676245216.839763</v>
      </c>
      <c r="AK51" s="0" t="n">
        <f aca="false">AI51+AA51+AD51</f>
        <v>729178982.527954</v>
      </c>
      <c r="AL51" s="0" t="n">
        <f aca="false">X51+Y51+Z51</f>
        <v>137833427.610024</v>
      </c>
      <c r="AM51" s="0" t="n">
        <f aca="false">AL51+AA51</f>
        <v>137833427.610024</v>
      </c>
    </row>
    <row r="52" customFormat="false" ht="15" hidden="false" customHeight="false" outlineLevel="0" collapsed="false">
      <c r="A52" s="0" t="n">
        <v>2075</v>
      </c>
      <c r="B52" s="0" t="n">
        <v>49</v>
      </c>
      <c r="C52" s="0" t="n">
        <v>4832</v>
      </c>
      <c r="D52" s="0" t="n">
        <v>0</v>
      </c>
      <c r="E52" s="0" t="n">
        <v>0</v>
      </c>
      <c r="F52" s="0" t="n">
        <v>75572.58</v>
      </c>
      <c r="G52" s="0" t="n">
        <v>7378.782</v>
      </c>
      <c r="H52" s="0" t="n">
        <v>823.927</v>
      </c>
      <c r="I52" s="0" t="n">
        <v>506.621</v>
      </c>
      <c r="J52" s="0" t="n">
        <v>271.36</v>
      </c>
      <c r="K52" s="0" t="n">
        <v>149496.553</v>
      </c>
      <c r="L52" s="0" t="n">
        <v>6756.158</v>
      </c>
      <c r="M52" s="0" t="n">
        <v>38.591</v>
      </c>
      <c r="N52" s="0" t="n">
        <v>538.662</v>
      </c>
      <c r="O52" s="0" t="n">
        <v>272.518</v>
      </c>
      <c r="P52" s="0" t="n">
        <v>935.501</v>
      </c>
      <c r="Q52" s="0" t="n">
        <v>82951.362</v>
      </c>
      <c r="R52" s="0" t="n">
        <v>178090.029</v>
      </c>
      <c r="S52" s="0" t="n">
        <v>171.349</v>
      </c>
      <c r="T52" s="0" t="n">
        <v>159.61</v>
      </c>
      <c r="U52" s="0" t="n">
        <v>38.591</v>
      </c>
      <c r="V52" s="0" t="n">
        <v>242.236</v>
      </c>
      <c r="W52" s="0" t="n">
        <f aca="false">F52*x_c_F+G52*x_c_CC+H52*x_c_DC+I52*x_c_HCC+J52*x_c_PLT+K52*x_c_SVRn+L52*x_c_SVRcc+M52*x_c_LT</f>
        <v>442348204.922403</v>
      </c>
      <c r="X52" s="0" t="n">
        <f aca="false">C52*x_c_DAA</f>
        <v>109976320</v>
      </c>
      <c r="Y52" s="0" t="n">
        <f aca="false">C52*x_c_MON</f>
        <v>27857107.6100244</v>
      </c>
      <c r="Z52" s="0" t="n">
        <f aca="false">D52</f>
        <v>0</v>
      </c>
      <c r="AA52" s="0" t="n">
        <f aca="false">E52</f>
        <v>0</v>
      </c>
      <c r="AB52" s="0" t="n">
        <f aca="false">x_z_F*Q52+(1-x_AGRI)*x_EMP*x_WLOSS*(x_PEN_K74*N52+x_PEN_C22*O52)</f>
        <v>23540150.7686013</v>
      </c>
      <c r="AC52" s="0" t="n">
        <f aca="false">x_AGRI*x_EMP*x_WLOSS*(x_PEN_K74*N52+x_PEN_C22*O52)</f>
        <v>1248257.70774998</v>
      </c>
      <c r="AD52" s="0" t="n">
        <f aca="false">x_EMP*x_WAGE*(x_WLOSS*(N52+O52)+P52)+Q52*x_absd*x_WAGE/365</f>
        <v>151124258.753786</v>
      </c>
      <c r="AE52" s="0" t="n">
        <f aca="false">AD52*x_R_FUS</f>
        <v>47815715.4696979</v>
      </c>
      <c r="AF52" s="0" t="n">
        <f aca="false">AD52*x_R_NFZ</f>
        <v>11736461.0590778</v>
      </c>
      <c r="AG52" s="0" t="n">
        <f aca="false">AD52*x_R_PIT</f>
        <v>10047371.4911938</v>
      </c>
      <c r="AH52" s="0" t="n">
        <f aca="false">AD52*x_R_FP</f>
        <v>3853668.59822154</v>
      </c>
      <c r="AI52" s="0" t="n">
        <f aca="false">W52+X52+Y52+Z52</f>
        <v>580181632.532428</v>
      </c>
      <c r="AJ52" s="0" t="n">
        <f aca="false">AI52+AA52+AB52+AC52+AE52+AF52+AG52+AH52</f>
        <v>678423257.62697</v>
      </c>
      <c r="AK52" s="0" t="n">
        <f aca="false">AI52+AA52+AD52</f>
        <v>731305891.286214</v>
      </c>
      <c r="AL52" s="0" t="n">
        <f aca="false">X52+Y52+Z52</f>
        <v>137833427.610024</v>
      </c>
      <c r="AM52" s="0" t="n">
        <f aca="false">AL52+AA52</f>
        <v>137833427.610024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1" t="s">
        <v>482</v>
      </c>
    </row>
    <row r="2" customFormat="false" ht="15" hidden="false" customHeight="false" outlineLevel="0" collapsed="false">
      <c r="A2" s="1" t="s">
        <v>483</v>
      </c>
      <c r="B2" s="0" t="n">
        <f aca="false">x_H</f>
        <v>20</v>
      </c>
    </row>
    <row r="3" customFormat="false" ht="15" hidden="false" customHeight="false" outlineLevel="0" collapsed="false">
      <c r="A3" s="1" t="s">
        <v>484</v>
      </c>
      <c r="B3" s="0" t="n">
        <f aca="false">SUM(H13:H62)</f>
        <v>748683906.323462</v>
      </c>
    </row>
    <row r="4" customFormat="false" ht="15" hidden="false" customHeight="false" outlineLevel="0" collapsed="false">
      <c r="A4" s="1" t="s">
        <v>485</v>
      </c>
      <c r="B4" s="0" t="n">
        <f aca="false">SUM(F13:F62)</f>
        <v>250526463.159752</v>
      </c>
    </row>
    <row r="5" customFormat="false" ht="15" hidden="false" customHeight="false" outlineLevel="0" collapsed="false">
      <c r="A5" s="1" t="s">
        <v>486</v>
      </c>
      <c r="B5" s="0" t="n">
        <f aca="false">B3-B4</f>
        <v>498157443.16371</v>
      </c>
    </row>
    <row r="6" customFormat="false" ht="15" hidden="false" customHeight="false" outlineLevel="0" collapsed="false">
      <c r="A6" s="1" t="s">
        <v>487</v>
      </c>
      <c r="B6" s="0" t="n">
        <f aca="false">IF(B3=0,"—",(B5-B3)/ABS(B3))</f>
        <v>-0.334622476914195</v>
      </c>
    </row>
    <row r="7" customFormat="false" ht="15" hidden="false" customHeight="false" outlineLevel="0" collapsed="false">
      <c r="A7" s="1" t="s">
        <v>488</v>
      </c>
      <c r="B7" s="0" t="str">
        <f aca="false">IFERROR(INDEX(A13:A62,MATCH(1,M13:M62,0)),"brak w horyzoncie")</f>
        <v>brak w horyzoncie</v>
      </c>
    </row>
    <row r="8" customFormat="false" ht="15" hidden="false" customHeight="false" outlineLevel="0" collapsed="false">
      <c r="A8" s="1" t="s">
        <v>489</v>
      </c>
      <c r="B8" s="0" t="str">
        <f aca="false">IFERROR(INDEX(A13:A62,MATCH(1,N13:N62,0)),"brak w horyzoncie")</f>
        <v>brak w horyzoncie</v>
      </c>
    </row>
    <row r="9" customFormat="false" ht="15" hidden="false" customHeight="false" outlineLevel="0" collapsed="false">
      <c r="A9" s="1" t="s">
        <v>490</v>
      </c>
      <c r="B9" s="0" t="n">
        <f aca="false">SUM(E13:E62)</f>
        <v>296007458.76734</v>
      </c>
    </row>
    <row r="10" customFormat="false" ht="15" hidden="false" customHeight="false" outlineLevel="0" collapsed="false">
      <c r="A10" s="1" t="s">
        <v>491</v>
      </c>
      <c r="B10" s="0" t="n">
        <f aca="false">IFERROR(B4/SUM(P13:P62),"—")</f>
        <v>19199.3907439363</v>
      </c>
    </row>
    <row r="12" customFormat="false" ht="55.2" hidden="false" customHeight="false" outlineLevel="0" collapsed="false">
      <c r="A12" s="3" t="s">
        <v>309</v>
      </c>
      <c r="B12" s="3" t="s">
        <v>444</v>
      </c>
      <c r="C12" s="3" t="s">
        <v>492</v>
      </c>
      <c r="D12" s="3" t="s">
        <v>493</v>
      </c>
      <c r="E12" s="3" t="s">
        <v>494</v>
      </c>
      <c r="F12" s="3" t="s">
        <v>495</v>
      </c>
      <c r="G12" s="3" t="s">
        <v>496</v>
      </c>
      <c r="H12" s="3" t="s">
        <v>497</v>
      </c>
      <c r="I12" s="3" t="s">
        <v>498</v>
      </c>
      <c r="J12" s="3" t="s">
        <v>499</v>
      </c>
      <c r="K12" s="3" t="s">
        <v>500</v>
      </c>
      <c r="L12" s="3" t="s">
        <v>501</v>
      </c>
      <c r="M12" s="3" t="s">
        <v>502</v>
      </c>
      <c r="N12" s="3" t="s">
        <v>503</v>
      </c>
      <c r="O12" s="3" t="s">
        <v>504</v>
      </c>
      <c r="P12" s="3" t="s">
        <v>505</v>
      </c>
    </row>
    <row r="13" customFormat="false" ht="15" hidden="false" customHeight="false" outlineLevel="0" collapsed="false">
      <c r="A13" s="0" t="n">
        <v>2026</v>
      </c>
      <c r="B13" s="0" t="n">
        <v>0</v>
      </c>
      <c r="C13" s="0" t="n">
        <f aca="false">IF(B13&lt;x_H,(1+x_rc)^(-B13),0)</f>
        <v>1</v>
      </c>
      <c r="D13" s="0" t="n">
        <f aca="false">IF(B13&lt;x_H,(1+x_RE)^(-B13),0)</f>
        <v>1</v>
      </c>
      <c r="E13" s="0" t="n">
        <f aca="false">(L_I1!AI3-L_S1!AI3)*C13</f>
        <v>34708293.6509264</v>
      </c>
      <c r="F13" s="0" t="n">
        <f aca="false">(L_I1!AJ3-L_S1!AJ3)*C13</f>
        <v>34661196.5774534</v>
      </c>
      <c r="G13" s="0" t="n">
        <f aca="false">(L_I1!AK3-L_S1!AK3)*C13</f>
        <v>34690184.4608769</v>
      </c>
      <c r="H13" s="0" t="n">
        <f aca="false">(L_I1!AM3-L_S1!AM3)*C13</f>
        <v>36328325.569297</v>
      </c>
      <c r="I13" s="0" t="n">
        <f aca="false">E13</f>
        <v>34708293.6509264</v>
      </c>
      <c r="J13" s="0" t="n">
        <f aca="false">F13</f>
        <v>34661196.5774534</v>
      </c>
      <c r="K13" s="0" t="n">
        <f aca="false">G13</f>
        <v>34690184.4608769</v>
      </c>
      <c r="L13" s="0" t="n">
        <f aca="false">J13</f>
        <v>34661196.5774534</v>
      </c>
      <c r="M13" s="0" t="n">
        <v>0</v>
      </c>
      <c r="N13" s="0" t="n">
        <v>0</v>
      </c>
      <c r="O13" s="0" t="n">
        <f aca="false">I13</f>
        <v>34708293.6509264</v>
      </c>
      <c r="P13" s="0" t="n">
        <f aca="false">(L_I1!R3-L_S1!R3)*D13</f>
        <v>37.5310000000027</v>
      </c>
    </row>
    <row r="14" customFormat="false" ht="15" hidden="false" customHeight="false" outlineLevel="0" collapsed="false">
      <c r="A14" s="0" t="n">
        <v>2027</v>
      </c>
      <c r="B14" s="0" t="n">
        <v>1</v>
      </c>
      <c r="C14" s="0" t="n">
        <f aca="false">IF(B14&lt;x_H,(1+x_rc)^(-B14),0)</f>
        <v>0.952380952380952</v>
      </c>
      <c r="D14" s="0" t="n">
        <f aca="false">IF(B14&lt;x_H,(1+x_RE)^(-B14),0)</f>
        <v>0.963391136801541</v>
      </c>
      <c r="E14" s="0" t="n">
        <f aca="false">(L_I1!AI4-L_S1!AI4)*C14</f>
        <v>64238194.3519774</v>
      </c>
      <c r="F14" s="0" t="n">
        <f aca="false">(L_I1!AJ4-L_S1!AJ4)*C14</f>
        <v>64015328.275542</v>
      </c>
      <c r="G14" s="0" t="n">
        <f aca="false">(L_I1!AK4-L_S1!AK4)*C14</f>
        <v>64072215.4243085</v>
      </c>
      <c r="H14" s="0" t="n">
        <f aca="false">(L_I1!AM4-L_S1!AM4)*C14</f>
        <v>68909250.1311895</v>
      </c>
      <c r="I14" s="0" t="n">
        <f aca="false">I13+E14</f>
        <v>98946488.0029037</v>
      </c>
      <c r="J14" s="0" t="n">
        <f aca="false">J13+F14</f>
        <v>98676524.8529954</v>
      </c>
      <c r="K14" s="0" t="n">
        <f aca="false">K13+G14</f>
        <v>98762399.8851855</v>
      </c>
      <c r="L14" s="0" t="n">
        <f aca="false">MAX(L13,J14)</f>
        <v>98676524.8529954</v>
      </c>
      <c r="M14" s="0" t="n">
        <f aca="false">IF(AND(B14&lt;x_H,J14&lt;=0,L13&gt;0),1,0)</f>
        <v>0</v>
      </c>
      <c r="N14" s="0" t="n">
        <f aca="false">IF(AND(B14&lt;x_H,I14&lt;=0,O13&gt;0),1,0)</f>
        <v>0</v>
      </c>
      <c r="O14" s="0" t="n">
        <f aca="false">MAX(O13,I14)</f>
        <v>98946488.0029037</v>
      </c>
      <c r="P14" s="0" t="n">
        <f aca="false">(L_I1!R4-L_S1!R4)*D14</f>
        <v>109.137764932566</v>
      </c>
    </row>
    <row r="15" customFormat="false" ht="15" hidden="false" customHeight="false" outlineLevel="0" collapsed="false">
      <c r="A15" s="0" t="n">
        <v>2028</v>
      </c>
      <c r="B15" s="0" t="n">
        <v>2</v>
      </c>
      <c r="C15" s="0" t="n">
        <f aca="false">IF(B15&lt;x_H,(1+x_rc)^(-B15),0)</f>
        <v>0.90702947845805</v>
      </c>
      <c r="D15" s="0" t="n">
        <f aca="false">IF(B15&lt;x_H,(1+x_RE)^(-B15),0)</f>
        <v>0.928122482467766</v>
      </c>
      <c r="E15" s="0" t="n">
        <f aca="false">(L_I1!AI5-L_S1!AI5)*C15</f>
        <v>88816083.879504</v>
      </c>
      <c r="F15" s="0" t="n">
        <f aca="false">(L_I1!AJ5-L_S1!AJ5)*C15</f>
        <v>88204365.790506</v>
      </c>
      <c r="G15" s="0" t="n">
        <f aca="false">(L_I1!AK5-L_S1!AK5)*C15</f>
        <v>88250114.7602434</v>
      </c>
      <c r="H15" s="0" t="n">
        <f aca="false">(L_I1!AM5-L_S1!AM5)*C15</f>
        <v>97781490.5939802</v>
      </c>
      <c r="I15" s="0" t="n">
        <f aca="false">I14+E15</f>
        <v>187762571.882408</v>
      </c>
      <c r="J15" s="0" t="n">
        <f aca="false">J14+F15</f>
        <v>186880890.643501</v>
      </c>
      <c r="K15" s="0" t="n">
        <f aca="false">K14+G15</f>
        <v>187012514.645429</v>
      </c>
      <c r="L15" s="0" t="n">
        <f aca="false">MAX(L14,J15)</f>
        <v>186880890.643501</v>
      </c>
      <c r="M15" s="0" t="n">
        <f aca="false">IF(AND(B15&lt;x_H,J15&lt;=0,L14&gt;0),1,0)</f>
        <v>0</v>
      </c>
      <c r="N15" s="0" t="n">
        <f aca="false">IF(AND(B15&lt;x_H,I15&lt;=0,O14&gt;0),1,0)</f>
        <v>0</v>
      </c>
      <c r="O15" s="0" t="n">
        <f aca="false">MAX(O14,I15)</f>
        <v>187762571.882408</v>
      </c>
      <c r="P15" s="0" t="n">
        <f aca="false">(L_I1!R5-L_S1!R5)*D15</f>
        <v>211.583154205692</v>
      </c>
    </row>
    <row r="16" customFormat="false" ht="15" hidden="false" customHeight="false" outlineLevel="0" collapsed="false">
      <c r="A16" s="0" t="n">
        <v>2029</v>
      </c>
      <c r="B16" s="0" t="n">
        <v>3</v>
      </c>
      <c r="C16" s="0" t="n">
        <f aca="false">IF(B16&lt;x_H,(1+x_rc)^(-B16),0)</f>
        <v>0.863837598531476</v>
      </c>
      <c r="D16" s="0" t="n">
        <f aca="false">IF(B16&lt;x_H,(1+x_RE)^(-B16),0)</f>
        <v>0.89414497347569</v>
      </c>
      <c r="E16" s="0" t="n">
        <f aca="false">(L_I1!AI6-L_S1!AI6)*C16</f>
        <v>79301127.0958222</v>
      </c>
      <c r="F16" s="0" t="n">
        <f aca="false">(L_I1!AJ6-L_S1!AJ6)*C16</f>
        <v>78038354.1424486</v>
      </c>
      <c r="G16" s="0" t="n">
        <f aca="false">(L_I1!AK6-L_S1!AK6)*C16</f>
        <v>77964830.9331045</v>
      </c>
      <c r="H16" s="0" t="n">
        <f aca="false">(L_I1!AM6-L_S1!AM6)*C16</f>
        <v>92267941.3333274</v>
      </c>
      <c r="I16" s="0" t="n">
        <f aca="false">I15+E16</f>
        <v>267063698.97823</v>
      </c>
      <c r="J16" s="0" t="n">
        <f aca="false">J15+F16</f>
        <v>264919244.78595</v>
      </c>
      <c r="K16" s="0" t="n">
        <f aca="false">K15+G16</f>
        <v>264977345.578533</v>
      </c>
      <c r="L16" s="0" t="n">
        <f aca="false">MAX(L15,J16)</f>
        <v>264919244.78595</v>
      </c>
      <c r="M16" s="0" t="n">
        <f aca="false">IF(AND(B16&lt;x_H,J16&lt;=0,L15&gt;0),1,0)</f>
        <v>0</v>
      </c>
      <c r="N16" s="0" t="n">
        <f aca="false">IF(AND(B16&lt;x_H,I16&lt;=0,O15&gt;0),1,0)</f>
        <v>0</v>
      </c>
      <c r="O16" s="0" t="n">
        <f aca="false">MAX(O15,I16)</f>
        <v>267063698.97823</v>
      </c>
      <c r="P16" s="0" t="n">
        <f aca="false">(L_I1!R6-L_S1!R6)*D16</f>
        <v>309.377737402483</v>
      </c>
    </row>
    <row r="17" customFormat="false" ht="15" hidden="false" customHeight="false" outlineLevel="0" collapsed="false">
      <c r="A17" s="0" t="n">
        <v>2030</v>
      </c>
      <c r="B17" s="0" t="n">
        <v>4</v>
      </c>
      <c r="C17" s="0" t="n">
        <f aca="false">IF(B17&lt;x_H,(1+x_rc)^(-B17),0)</f>
        <v>0.822702474791882</v>
      </c>
      <c r="D17" s="0" t="n">
        <f aca="false">IF(B17&lt;x_H,(1+x_RE)^(-B17),0)</f>
        <v>0.861411342462129</v>
      </c>
      <c r="E17" s="0" t="n">
        <f aca="false">(L_I1!AI7-L_S1!AI7)*C17</f>
        <v>70359161.1755731</v>
      </c>
      <c r="F17" s="0" t="n">
        <f aca="false">(L_I1!AJ7-L_S1!AJ7)*C17</f>
        <v>68181424.3384949</v>
      </c>
      <c r="G17" s="0" t="n">
        <f aca="false">(L_I1!AK7-L_S1!AK7)*C17</f>
        <v>67862298.3700298</v>
      </c>
      <c r="H17" s="0" t="n">
        <f aca="false">(L_I1!AM7-L_S1!AM7)*C17</f>
        <v>87049316.8960373</v>
      </c>
      <c r="I17" s="0" t="n">
        <f aca="false">I16+E17</f>
        <v>337422860.153803</v>
      </c>
      <c r="J17" s="0" t="n">
        <f aca="false">J16+F17</f>
        <v>333100669.124445</v>
      </c>
      <c r="K17" s="0" t="n">
        <f aca="false">K16+G17</f>
        <v>332839643.948563</v>
      </c>
      <c r="L17" s="0" t="n">
        <f aca="false">MAX(L16,J17)</f>
        <v>333100669.124445</v>
      </c>
      <c r="M17" s="0" t="n">
        <f aca="false">IF(AND(B17&lt;x_H,J17&lt;=0,L16&gt;0),1,0)</f>
        <v>0</v>
      </c>
      <c r="N17" s="0" t="n">
        <f aca="false">IF(AND(B17&lt;x_H,I17&lt;=0,O16&gt;0),1,0)</f>
        <v>0</v>
      </c>
      <c r="O17" s="0" t="n">
        <f aca="false">MAX(O16,I17)</f>
        <v>337422860.153803</v>
      </c>
      <c r="P17" s="0" t="n">
        <f aca="false">(L_I1!R7-L_S1!R7)*D17</f>
        <v>403.301592193321</v>
      </c>
    </row>
    <row r="18" customFormat="false" ht="15" hidden="false" customHeight="false" outlineLevel="0" collapsed="false">
      <c r="A18" s="0" t="n">
        <v>2031</v>
      </c>
      <c r="B18" s="0" t="n">
        <v>5</v>
      </c>
      <c r="C18" s="0" t="n">
        <f aca="false">IF(B18&lt;x_H,(1+x_rc)^(-B18),0)</f>
        <v>0.783526166468459</v>
      </c>
      <c r="D18" s="0" t="n">
        <f aca="false">IF(B18&lt;x_H,(1+x_RE)^(-B18),0)</f>
        <v>0.829876052468332</v>
      </c>
      <c r="E18" s="0" t="n">
        <f aca="false">(L_I1!AI8-L_S1!AI8)*C18</f>
        <v>61963687.666124</v>
      </c>
      <c r="F18" s="0" t="n">
        <f aca="false">(L_I1!AJ8-L_S1!AJ8)*C18</f>
        <v>58609003.9607343</v>
      </c>
      <c r="G18" s="0" t="n">
        <f aca="false">(L_I1!AK8-L_S1!AK8)*C18</f>
        <v>57903975.039001</v>
      </c>
      <c r="H18" s="0" t="n">
        <f aca="false">(L_I1!AM8-L_S1!AM8)*C18</f>
        <v>82112467.7532082</v>
      </c>
      <c r="I18" s="0" t="n">
        <f aca="false">I17+E18</f>
        <v>399386547.819927</v>
      </c>
      <c r="J18" s="0" t="n">
        <f aca="false">J17+F18</f>
        <v>391709673.085179</v>
      </c>
      <c r="K18" s="0" t="n">
        <f aca="false">K17+G18</f>
        <v>390743618.987564</v>
      </c>
      <c r="L18" s="0" t="n">
        <f aca="false">MAX(L17,J18)</f>
        <v>391709673.085179</v>
      </c>
      <c r="M18" s="0" t="n">
        <f aca="false">IF(AND(B18&lt;x_H,J18&lt;=0,L17&gt;0),1,0)</f>
        <v>0</v>
      </c>
      <c r="N18" s="0" t="n">
        <f aca="false">IF(AND(B18&lt;x_H,I18&lt;=0,O17&gt;0),1,0)</f>
        <v>0</v>
      </c>
      <c r="O18" s="0" t="n">
        <f aca="false">MAX(O17,I18)</f>
        <v>399386547.819927</v>
      </c>
      <c r="P18" s="0" t="n">
        <f aca="false">(L_I1!R8-L_S1!R8)*D18</f>
        <v>493.885794857582</v>
      </c>
    </row>
    <row r="19" customFormat="false" ht="15" hidden="false" customHeight="false" outlineLevel="0" collapsed="false">
      <c r="A19" s="0" t="n">
        <v>2032</v>
      </c>
      <c r="B19" s="0" t="n">
        <v>6</v>
      </c>
      <c r="C19" s="0" t="n">
        <f aca="false">IF(B19&lt;x_H,(1+x_rc)^(-B19),0)</f>
        <v>0.746215396636628</v>
      </c>
      <c r="D19" s="0" t="n">
        <f aca="false">IF(B19&lt;x_H,(1+x_RE)^(-B19),0)</f>
        <v>0.799495233591842</v>
      </c>
      <c r="E19" s="0" t="n">
        <f aca="false">(L_I1!AI9-L_S1!AI9)*C19</f>
        <v>54092259.7572717</v>
      </c>
      <c r="F19" s="0" t="n">
        <f aca="false">(L_I1!AJ9-L_S1!AJ9)*C19</f>
        <v>49307347.4889706</v>
      </c>
      <c r="G19" s="0" t="n">
        <f aca="false">(L_I1!AK9-L_S1!AK9)*C19</f>
        <v>48067388.280859</v>
      </c>
      <c r="H19" s="0" t="n">
        <f aca="false">(L_I1!AM9-L_S1!AM9)*C19</f>
        <v>77442763.2168144</v>
      </c>
      <c r="I19" s="0" t="n">
        <f aca="false">I18+E19</f>
        <v>453478807.577199</v>
      </c>
      <c r="J19" s="0" t="n">
        <f aca="false">J18+F19</f>
        <v>441017020.57415</v>
      </c>
      <c r="K19" s="0" t="n">
        <f aca="false">K18+G19</f>
        <v>438811007.268423</v>
      </c>
      <c r="L19" s="0" t="n">
        <f aca="false">MAX(L18,J19)</f>
        <v>441017020.57415</v>
      </c>
      <c r="M19" s="0" t="n">
        <f aca="false">IF(AND(B19&lt;x_H,J19&lt;=0,L18&gt;0),1,0)</f>
        <v>0</v>
      </c>
      <c r="N19" s="0" t="n">
        <f aca="false">IF(AND(B19&lt;x_H,I19&lt;=0,O18&gt;0),1,0)</f>
        <v>0</v>
      </c>
      <c r="O19" s="0" t="n">
        <f aca="false">MAX(O18,I19)</f>
        <v>453478807.577199</v>
      </c>
      <c r="P19" s="0" t="n">
        <f aca="false">(L_I1!R9-L_S1!R9)*D19</f>
        <v>581.436106610602</v>
      </c>
    </row>
    <row r="20" customFormat="false" ht="15" hidden="false" customHeight="false" outlineLevel="0" collapsed="false">
      <c r="A20" s="0" t="n">
        <v>2033</v>
      </c>
      <c r="B20" s="0" t="n">
        <v>7</v>
      </c>
      <c r="C20" s="0" t="n">
        <f aca="false">IF(B20&lt;x_H,(1+x_rc)^(-B20),0)</f>
        <v>0.710681330130121</v>
      </c>
      <c r="D20" s="0" t="n">
        <f aca="false">IF(B20&lt;x_H,(1+x_RE)^(-B20),0)</f>
        <v>0.770226621957459</v>
      </c>
      <c r="E20" s="0" t="n">
        <f aca="false">(L_I1!AI10-L_S1!AI10)*C20</f>
        <v>46727957.596365</v>
      </c>
      <c r="F20" s="0" t="n">
        <f aca="false">(L_I1!AJ10-L_S1!AJ10)*C20</f>
        <v>40275312.4719988</v>
      </c>
      <c r="G20" s="0" t="n">
        <f aca="false">(L_I1!AK10-L_S1!AK10)*C20</f>
        <v>38347570.1683014</v>
      </c>
      <c r="H20" s="0" t="n">
        <f aca="false">(L_I1!AM10-L_S1!AM10)*C20</f>
        <v>73027643.279725</v>
      </c>
      <c r="I20" s="0" t="n">
        <f aca="false">I19+E20</f>
        <v>500206765.173564</v>
      </c>
      <c r="J20" s="0" t="n">
        <f aca="false">J19+F20</f>
        <v>481292333.046149</v>
      </c>
      <c r="K20" s="0" t="n">
        <f aca="false">K19+G20</f>
        <v>477158577.436724</v>
      </c>
      <c r="L20" s="0" t="n">
        <f aca="false">MAX(L19,J20)</f>
        <v>481292333.046149</v>
      </c>
      <c r="M20" s="0" t="n">
        <f aca="false">IF(AND(B20&lt;x_H,J20&lt;=0,L19&gt;0),1,0)</f>
        <v>0</v>
      </c>
      <c r="N20" s="0" t="n">
        <f aca="false">IF(AND(B20&lt;x_H,I20&lt;=0,O19&gt;0),1,0)</f>
        <v>0</v>
      </c>
      <c r="O20" s="0" t="n">
        <f aca="false">MAX(O19,I20)</f>
        <v>500206765.173564</v>
      </c>
      <c r="P20" s="0" t="n">
        <f aca="false">(L_I1!R10-L_S1!R10)*D20</f>
        <v>666.105076521392</v>
      </c>
    </row>
    <row r="21" customFormat="false" ht="15" hidden="false" customHeight="false" outlineLevel="0" collapsed="false">
      <c r="A21" s="0" t="n">
        <v>2034</v>
      </c>
      <c r="B21" s="0" t="n">
        <v>8</v>
      </c>
      <c r="C21" s="0" t="n">
        <f aca="false">IF(B21&lt;x_H,(1+x_rc)^(-B21),0)</f>
        <v>0.676839362028687</v>
      </c>
      <c r="D21" s="0" t="n">
        <f aca="false">IF(B21&lt;x_H,(1+x_RE)^(-B21),0)</f>
        <v>0.742029500922407</v>
      </c>
      <c r="E21" s="0" t="n">
        <f aca="false">(L_I1!AI11-L_S1!AI11)*C21</f>
        <v>39857429.355039</v>
      </c>
      <c r="F21" s="0" t="n">
        <f aca="false">(L_I1!AJ11-L_S1!AJ11)*C21</f>
        <v>31522993.1713706</v>
      </c>
      <c r="G21" s="0" t="n">
        <f aca="false">(L_I1!AK11-L_S1!AK11)*C21</f>
        <v>28756186.4763345</v>
      </c>
      <c r="H21" s="0" t="n">
        <f aca="false">(L_I1!AM11-L_S1!AM11)*C21</f>
        <v>68854063.683851</v>
      </c>
      <c r="I21" s="0" t="n">
        <f aca="false">I20+E21</f>
        <v>540064194.528603</v>
      </c>
      <c r="J21" s="0" t="n">
        <f aca="false">J20+F21</f>
        <v>512815326.217519</v>
      </c>
      <c r="K21" s="0" t="n">
        <f aca="false">K20+G21</f>
        <v>505914763.913059</v>
      </c>
      <c r="L21" s="0" t="n">
        <f aca="false">MAX(L20,J21)</f>
        <v>512815326.217519</v>
      </c>
      <c r="M21" s="0" t="n">
        <f aca="false">IF(AND(B21&lt;x_H,J21&lt;=0,L20&gt;0),1,0)</f>
        <v>0</v>
      </c>
      <c r="N21" s="0" t="n">
        <f aca="false">IF(AND(B21&lt;x_H,I21&lt;=0,O20&gt;0),1,0)</f>
        <v>0</v>
      </c>
      <c r="O21" s="0" t="n">
        <f aca="false">MAX(O20,I21)</f>
        <v>540064194.528603</v>
      </c>
      <c r="P21" s="0" t="n">
        <f aca="false">(L_I1!R11-L_S1!R11)*D21</f>
        <v>747.890791950197</v>
      </c>
    </row>
    <row r="22" customFormat="false" ht="15" hidden="false" customHeight="false" outlineLevel="0" collapsed="false">
      <c r="A22" s="0" t="n">
        <v>2035</v>
      </c>
      <c r="B22" s="0" t="n">
        <v>9</v>
      </c>
      <c r="C22" s="0" t="n">
        <f aca="false">IF(B22&lt;x_H,(1+x_rc)^(-B22),0)</f>
        <v>0.644608916217797</v>
      </c>
      <c r="D22" s="0" t="n">
        <f aca="false">IF(B22&lt;x_H,(1+x_RE)^(-B22),0)</f>
        <v>0.714864644433919</v>
      </c>
      <c r="E22" s="0" t="n">
        <f aca="false">(L_I1!AI12-L_S1!AI12)*C22</f>
        <v>33471351.242447</v>
      </c>
      <c r="F22" s="0" t="n">
        <f aca="false">(L_I1!AJ12-L_S1!AJ12)*C22</f>
        <v>23070771.5924039</v>
      </c>
      <c r="G22" s="0" t="n">
        <f aca="false">(L_I1!AK12-L_S1!AK12)*C22</f>
        <v>19320229.3774047</v>
      </c>
      <c r="H22" s="0" t="n">
        <f aca="false">(L_I1!AM12-L_S1!AM12)*C22</f>
        <v>64910643.8660323</v>
      </c>
      <c r="I22" s="0" t="n">
        <f aca="false">I21+E22</f>
        <v>573535545.77105</v>
      </c>
      <c r="J22" s="0" t="n">
        <f aca="false">J21+F22</f>
        <v>535886097.809923</v>
      </c>
      <c r="K22" s="0" t="n">
        <f aca="false">K21+G22</f>
        <v>525234993.290463</v>
      </c>
      <c r="L22" s="0" t="n">
        <f aca="false">MAX(L21,J22)</f>
        <v>535886097.809923</v>
      </c>
      <c r="M22" s="0" t="n">
        <f aca="false">IF(AND(B22&lt;x_H,J22&lt;=0,L21&gt;0),1,0)</f>
        <v>0</v>
      </c>
      <c r="N22" s="0" t="n">
        <f aca="false">IF(AND(B22&lt;x_H,I22&lt;=0,O21&gt;0),1,0)</f>
        <v>0</v>
      </c>
      <c r="O22" s="0" t="n">
        <f aca="false">MAX(O21,I22)</f>
        <v>573535545.77105</v>
      </c>
      <c r="P22" s="0" t="n">
        <f aca="false">(L_I1!R12-L_S1!R12)*D22</f>
        <v>826.704503190956</v>
      </c>
    </row>
    <row r="23" customFormat="false" ht="15" hidden="false" customHeight="false" outlineLevel="0" collapsed="false">
      <c r="A23" s="0" t="n">
        <v>2036</v>
      </c>
      <c r="B23" s="0" t="n">
        <v>10</v>
      </c>
      <c r="C23" s="0" t="n">
        <f aca="false">IF(B23&lt;x_H,(1+x_rc)^(-B23),0)</f>
        <v>0.613913253540759</v>
      </c>
      <c r="D23" s="0" t="n">
        <f aca="false">IF(B23&lt;x_H,(1+x_RE)^(-B23),0)</f>
        <v>0.688694262460422</v>
      </c>
      <c r="E23" s="0" t="n">
        <f aca="false">(L_I1!AI13-L_S1!AI13)*C23</f>
        <v>-31086764.9274094</v>
      </c>
      <c r="F23" s="0" t="n">
        <f aca="false">(L_I1!AJ13-L_S1!AJ13)*C23</f>
        <v>-31788460.8990201</v>
      </c>
      <c r="G23" s="0" t="n">
        <f aca="false">(L_I1!AK13-L_S1!AK13)*C23</f>
        <v>-31382051.2089394</v>
      </c>
      <c r="H23" s="0" t="n">
        <f aca="false">(L_I1!AM13-L_S1!AM13)*C23</f>
        <v>0</v>
      </c>
      <c r="I23" s="0" t="n">
        <f aca="false">I22+E23</f>
        <v>542448780.84364</v>
      </c>
      <c r="J23" s="0" t="n">
        <f aca="false">J22+F23</f>
        <v>504097636.910903</v>
      </c>
      <c r="K23" s="0" t="n">
        <f aca="false">K22+G23</f>
        <v>493852942.081524</v>
      </c>
      <c r="L23" s="0" t="n">
        <f aca="false">MAX(L22,J23)</f>
        <v>535886097.809923</v>
      </c>
      <c r="M23" s="0" t="n">
        <f aca="false">IF(AND(B23&lt;x_H,J23&lt;=0,L22&gt;0),1,0)</f>
        <v>0</v>
      </c>
      <c r="N23" s="0" t="n">
        <f aca="false">IF(AND(B23&lt;x_H,I23&lt;=0,O22&gt;0),1,0)</f>
        <v>0</v>
      </c>
      <c r="O23" s="0" t="n">
        <f aca="false">MAX(O22,I23)</f>
        <v>573535545.77105</v>
      </c>
      <c r="P23" s="0" t="n">
        <f aca="false">(L_I1!R13-L_S1!R13)*D23</f>
        <v>837.056223950951</v>
      </c>
    </row>
    <row r="24" customFormat="false" ht="15" hidden="false" customHeight="false" outlineLevel="0" collapsed="false">
      <c r="A24" s="0" t="n">
        <v>2037</v>
      </c>
      <c r="B24" s="0" t="n">
        <v>11</v>
      </c>
      <c r="C24" s="0" t="n">
        <f aca="false">IF(B24&lt;x_H,(1+x_rc)^(-B24),0)</f>
        <v>0.584679289086437</v>
      </c>
      <c r="D24" s="0" t="n">
        <f aca="false">IF(B24&lt;x_H,(1+x_RE)^(-B24),0)</f>
        <v>0.663481948420446</v>
      </c>
      <c r="E24" s="0" t="n">
        <f aca="false">(L_I1!AI14-L_S1!AI14)*C24</f>
        <v>-30591869.2568151</v>
      </c>
      <c r="F24" s="0" t="n">
        <f aca="false">(L_I1!AJ14-L_S1!AJ14)*C24</f>
        <v>-31272220.716931</v>
      </c>
      <c r="G24" s="0" t="n">
        <f aca="false">(L_I1!AK14-L_S1!AK14)*C24</f>
        <v>-30900781.3503302</v>
      </c>
      <c r="H24" s="0" t="n">
        <f aca="false">(L_I1!AM14-L_S1!AM14)*C24</f>
        <v>0</v>
      </c>
      <c r="I24" s="0" t="n">
        <f aca="false">I23+E24</f>
        <v>511856911.586825</v>
      </c>
      <c r="J24" s="0" t="n">
        <f aca="false">J23+F24</f>
        <v>472825416.193972</v>
      </c>
      <c r="K24" s="0" t="n">
        <f aca="false">K23+G24</f>
        <v>462952160.731194</v>
      </c>
      <c r="L24" s="0" t="n">
        <f aca="false">MAX(L23,J24)</f>
        <v>535886097.809923</v>
      </c>
      <c r="M24" s="0" t="n">
        <f aca="false">IF(AND(B24&lt;x_H,J24&lt;=0,L23&gt;0),1,0)</f>
        <v>0</v>
      </c>
      <c r="N24" s="0" t="n">
        <f aca="false">IF(AND(B24&lt;x_H,I24&lt;=0,O23&gt;0),1,0)</f>
        <v>0</v>
      </c>
      <c r="O24" s="0" t="n">
        <f aca="false">MAX(O23,I24)</f>
        <v>573535545.77105</v>
      </c>
      <c r="P24" s="0" t="n">
        <f aca="false">(L_I1!R14-L_S1!R14)*D24</f>
        <v>847.235264481339</v>
      </c>
    </row>
    <row r="25" customFormat="false" ht="15" hidden="false" customHeight="false" outlineLevel="0" collapsed="false">
      <c r="A25" s="0" t="n">
        <v>2038</v>
      </c>
      <c r="B25" s="0" t="n">
        <v>12</v>
      </c>
      <c r="C25" s="0" t="n">
        <f aca="false">IF(B25&lt;x_H,(1+x_rc)^(-B25),0)</f>
        <v>0.556837418177559</v>
      </c>
      <c r="D25" s="0" t="n">
        <f aca="false">IF(B25&lt;x_H,(1+x_RE)^(-B25),0)</f>
        <v>0.639192628536075</v>
      </c>
      <c r="E25" s="0" t="n">
        <f aca="false">(L_I1!AI15-L_S1!AI15)*C25</f>
        <v>-29979383.7810894</v>
      </c>
      <c r="F25" s="0" t="n">
        <f aca="false">(L_I1!AJ15-L_S1!AJ15)*C25</f>
        <v>-30650476.4655291</v>
      </c>
      <c r="G25" s="0" t="n">
        <f aca="false">(L_I1!AK15-L_S1!AK15)*C25</f>
        <v>-30317095.4798577</v>
      </c>
      <c r="H25" s="0" t="n">
        <f aca="false">(L_I1!AM15-L_S1!AM15)*C25</f>
        <v>0</v>
      </c>
      <c r="I25" s="0" t="n">
        <f aca="false">I24+E25</f>
        <v>481877527.805736</v>
      </c>
      <c r="J25" s="0" t="n">
        <f aca="false">J24+F25</f>
        <v>442174939.728443</v>
      </c>
      <c r="K25" s="0" t="n">
        <f aca="false">K24+G25</f>
        <v>432635065.251336</v>
      </c>
      <c r="L25" s="0" t="n">
        <f aca="false">MAX(L24,J25)</f>
        <v>535886097.809923</v>
      </c>
      <c r="M25" s="0" t="n">
        <f aca="false">IF(AND(B25&lt;x_H,J25&lt;=0,L24&gt;0),1,0)</f>
        <v>0</v>
      </c>
      <c r="N25" s="0" t="n">
        <f aca="false">IF(AND(B25&lt;x_H,I25&lt;=0,O24&gt;0),1,0)</f>
        <v>0</v>
      </c>
      <c r="O25" s="0" t="n">
        <f aca="false">MAX(O24,I25)</f>
        <v>573535545.77105</v>
      </c>
      <c r="P25" s="0" t="n">
        <f aca="false">(L_I1!R15-L_S1!R15)*D25</f>
        <v>856.653631075589</v>
      </c>
    </row>
    <row r="26" customFormat="false" ht="15" hidden="false" customHeight="false" outlineLevel="0" collapsed="false">
      <c r="A26" s="0" t="n">
        <v>2039</v>
      </c>
      <c r="B26" s="0" t="n">
        <v>13</v>
      </c>
      <c r="C26" s="0" t="n">
        <f aca="false">IF(B26&lt;x_H,(1+x_rc)^(-B26),0)</f>
        <v>0.530321350645295</v>
      </c>
      <c r="D26" s="0" t="n">
        <f aca="false">IF(B26&lt;x_H,(1+x_RE)^(-B26),0)</f>
        <v>0.615792513040534</v>
      </c>
      <c r="E26" s="0" t="n">
        <f aca="false">(L_I1!AI16-L_S1!AI16)*C26</f>
        <v>-29265973.2206209</v>
      </c>
      <c r="F26" s="0" t="n">
        <f aca="false">(L_I1!AJ16-L_S1!AJ16)*C26</f>
        <v>-29941854.9952084</v>
      </c>
      <c r="G26" s="0" t="n">
        <f aca="false">(L_I1!AK16-L_S1!AK16)*C26</f>
        <v>-29650803.2541186</v>
      </c>
      <c r="H26" s="0" t="n">
        <f aca="false">(L_I1!AM16-L_S1!AM16)*C26</f>
        <v>0</v>
      </c>
      <c r="I26" s="0" t="n">
        <f aca="false">I25+E26</f>
        <v>452611554.585115</v>
      </c>
      <c r="J26" s="0" t="n">
        <f aca="false">J25+F26</f>
        <v>412233084.733234</v>
      </c>
      <c r="K26" s="0" t="n">
        <f aca="false">K25+G26</f>
        <v>402984261.997218</v>
      </c>
      <c r="L26" s="0" t="n">
        <f aca="false">MAX(L25,J26)</f>
        <v>535886097.809923</v>
      </c>
      <c r="M26" s="0" t="n">
        <f aca="false">IF(AND(B26&lt;x_H,J26&lt;=0,L25&gt;0),1,0)</f>
        <v>0</v>
      </c>
      <c r="N26" s="0" t="n">
        <f aca="false">IF(AND(B26&lt;x_H,I26&lt;=0,O25&gt;0),1,0)</f>
        <v>0</v>
      </c>
      <c r="O26" s="0" t="n">
        <f aca="false">MAX(O25,I26)</f>
        <v>573535545.77105</v>
      </c>
      <c r="P26" s="0" t="n">
        <f aca="false">(L_I1!R16-L_S1!R16)*D26</f>
        <v>864.844252807156</v>
      </c>
    </row>
    <row r="27" customFormat="false" ht="15" hidden="false" customHeight="false" outlineLevel="0" collapsed="false">
      <c r="A27" s="0" t="n">
        <v>2040</v>
      </c>
      <c r="B27" s="0" t="n">
        <v>14</v>
      </c>
      <c r="C27" s="0" t="n">
        <f aca="false">IF(B27&lt;x_H,(1+x_rc)^(-B27),0)</f>
        <v>0.505067952995519</v>
      </c>
      <c r="D27" s="0" t="n">
        <f aca="false">IF(B27&lt;x_H,(1+x_RE)^(-B27),0)</f>
        <v>0.593249049171998</v>
      </c>
      <c r="E27" s="0" t="n">
        <f aca="false">(L_I1!AI17-L_S1!AI17)*C27</f>
        <v>-28466808.6506431</v>
      </c>
      <c r="F27" s="0" t="n">
        <f aca="false">(L_I1!AJ17-L_S1!AJ17)*C27</f>
        <v>-29163220.7211638</v>
      </c>
      <c r="G27" s="0" t="n">
        <f aca="false">(L_I1!AK17-L_S1!AK17)*C27</f>
        <v>-28919891.6584291</v>
      </c>
      <c r="H27" s="0" t="n">
        <f aca="false">(L_I1!AM17-L_S1!AM17)*C27</f>
        <v>0</v>
      </c>
      <c r="I27" s="0" t="n">
        <f aca="false">I26+E27</f>
        <v>424144745.934472</v>
      </c>
      <c r="J27" s="0" t="n">
        <f aca="false">J26+F27</f>
        <v>383069864.012071</v>
      </c>
      <c r="K27" s="0" t="n">
        <f aca="false">K26+G27</f>
        <v>374064370.338788</v>
      </c>
      <c r="L27" s="0" t="n">
        <f aca="false">MAX(L26,J27)</f>
        <v>535886097.809923</v>
      </c>
      <c r="M27" s="0" t="n">
        <f aca="false">IF(AND(B27&lt;x_H,J27&lt;=0,L26&gt;0),1,0)</f>
        <v>0</v>
      </c>
      <c r="N27" s="0" t="n">
        <f aca="false">IF(AND(B27&lt;x_H,I27&lt;=0,O26&gt;0),1,0)</f>
        <v>0</v>
      </c>
      <c r="O27" s="0" t="n">
        <f aca="false">MAX(O26,I27)</f>
        <v>573535545.77105</v>
      </c>
      <c r="P27" s="0" t="n">
        <f aca="false">(L_I1!R17-L_S1!R17)*D27</f>
        <v>871.460309769797</v>
      </c>
    </row>
    <row r="28" customFormat="false" ht="15" hidden="false" customHeight="false" outlineLevel="0" collapsed="false">
      <c r="A28" s="0" t="n">
        <v>2041</v>
      </c>
      <c r="B28" s="0" t="n">
        <v>15</v>
      </c>
      <c r="C28" s="0" t="n">
        <f aca="false">IF(B28&lt;x_H,(1+x_rc)^(-B28),0)</f>
        <v>0.48101709809097</v>
      </c>
      <c r="D28" s="0" t="n">
        <f aca="false">IF(B28&lt;x_H,(1+x_RE)^(-B28),0)</f>
        <v>0.571530875888245</v>
      </c>
      <c r="E28" s="0" t="n">
        <f aca="false">(L_I1!AI18-L_S1!AI18)*C28</f>
        <v>-27593817.5407521</v>
      </c>
      <c r="F28" s="0" t="n">
        <f aca="false">(L_I1!AJ18-L_S1!AJ18)*C28</f>
        <v>-28327792.5413489</v>
      </c>
      <c r="G28" s="0" t="n">
        <f aca="false">(L_I1!AK18-L_S1!AK18)*C28</f>
        <v>-28138632.7577855</v>
      </c>
      <c r="H28" s="0" t="n">
        <f aca="false">(L_I1!AM18-L_S1!AM18)*C28</f>
        <v>0</v>
      </c>
      <c r="I28" s="0" t="n">
        <f aca="false">I27+E28</f>
        <v>396550928.39372</v>
      </c>
      <c r="J28" s="0" t="n">
        <f aca="false">J27+F28</f>
        <v>354742071.470722</v>
      </c>
      <c r="K28" s="0" t="n">
        <f aca="false">K27+G28</f>
        <v>345925737.581003</v>
      </c>
      <c r="L28" s="0" t="n">
        <f aca="false">MAX(L27,J28)</f>
        <v>535886097.809923</v>
      </c>
      <c r="M28" s="0" t="n">
        <f aca="false">IF(AND(B28&lt;x_H,J28&lt;=0,L27&gt;0),1,0)</f>
        <v>0</v>
      </c>
      <c r="N28" s="0" t="n">
        <f aca="false">IF(AND(B28&lt;x_H,I28&lt;=0,O27&gt;0),1,0)</f>
        <v>0</v>
      </c>
      <c r="O28" s="0" t="n">
        <f aca="false">MAX(O27,I28)</f>
        <v>573535545.77105</v>
      </c>
      <c r="P28" s="0" t="n">
        <f aca="false">(L_I1!R18-L_S1!R18)*D28</f>
        <v>876.219701133019</v>
      </c>
    </row>
    <row r="29" customFormat="false" ht="15" hidden="false" customHeight="false" outlineLevel="0" collapsed="false">
      <c r="A29" s="0" t="n">
        <v>2042</v>
      </c>
      <c r="B29" s="0" t="n">
        <v>16</v>
      </c>
      <c r="C29" s="0" t="n">
        <f aca="false">IF(B29&lt;x_H,(1+x_rc)^(-B29),0)</f>
        <v>0.4581115219914</v>
      </c>
      <c r="D29" s="0" t="n">
        <f aca="false">IF(B29&lt;x_H,(1+x_RE)^(-B29),0)</f>
        <v>0.550607780239157</v>
      </c>
      <c r="E29" s="0" t="n">
        <f aca="false">(L_I1!AI19-L_S1!AI19)*C29</f>
        <v>-26658410.8176962</v>
      </c>
      <c r="F29" s="0" t="n">
        <f aca="false">(L_I1!AJ19-L_S1!AJ19)*C29</f>
        <v>-27447869.0555541</v>
      </c>
      <c r="G29" s="0" t="n">
        <f aca="false">(L_I1!AK19-L_S1!AK19)*C29</f>
        <v>-27320257.5047729</v>
      </c>
      <c r="H29" s="0" t="n">
        <f aca="false">(L_I1!AM19-L_S1!AM19)*C29</f>
        <v>0</v>
      </c>
      <c r="I29" s="0" t="n">
        <f aca="false">I28+E29</f>
        <v>369892517.576024</v>
      </c>
      <c r="J29" s="0" t="n">
        <f aca="false">J28+F29</f>
        <v>327294202.415168</v>
      </c>
      <c r="K29" s="0" t="n">
        <f aca="false">K28+G29</f>
        <v>318605480.07623</v>
      </c>
      <c r="L29" s="0" t="n">
        <f aca="false">MAX(L28,J29)</f>
        <v>535886097.809923</v>
      </c>
      <c r="M29" s="0" t="n">
        <f aca="false">IF(AND(B29&lt;x_H,J29&lt;=0,L28&gt;0),1,0)</f>
        <v>0</v>
      </c>
      <c r="N29" s="0" t="n">
        <f aca="false">IF(AND(B29&lt;x_H,I29&lt;=0,O28&gt;0),1,0)</f>
        <v>0</v>
      </c>
      <c r="O29" s="0" t="n">
        <f aca="false">MAX(O28,I29)</f>
        <v>573535545.77105</v>
      </c>
      <c r="P29" s="0" t="n">
        <f aca="false">(L_I1!R19-L_S1!R19)*D29</f>
        <v>878.883993072201</v>
      </c>
    </row>
    <row r="30" customFormat="false" ht="15" hidden="false" customHeight="false" outlineLevel="0" collapsed="false">
      <c r="A30" s="0" t="n">
        <v>2043</v>
      </c>
      <c r="B30" s="0" t="n">
        <v>17</v>
      </c>
      <c r="C30" s="0" t="n">
        <f aca="false">IF(B30&lt;x_H,(1+x_rc)^(-B30),0)</f>
        <v>0.436296687610857</v>
      </c>
      <c r="D30" s="0" t="n">
        <f aca="false">IF(B30&lt;x_H,(1+x_RE)^(-B30),0)</f>
        <v>0.530450655336375</v>
      </c>
      <c r="E30" s="0" t="n">
        <f aca="false">(L_I1!AI20-L_S1!AI20)*C30</f>
        <v>-25671215.6622634</v>
      </c>
      <c r="F30" s="0" t="n">
        <f aca="false">(L_I1!AJ20-L_S1!AJ20)*C30</f>
        <v>-26534351.1376609</v>
      </c>
      <c r="G30" s="0" t="n">
        <f aca="false">(L_I1!AK20-L_S1!AK20)*C30</f>
        <v>-26476373.971659</v>
      </c>
      <c r="H30" s="0" t="n">
        <f aca="false">(L_I1!AM20-L_S1!AM20)*C30</f>
        <v>0</v>
      </c>
      <c r="I30" s="0" t="n">
        <f aca="false">I29+E30</f>
        <v>344221301.91376</v>
      </c>
      <c r="J30" s="0" t="n">
        <f aca="false">J29+F30</f>
        <v>300759851.277507</v>
      </c>
      <c r="K30" s="0" t="n">
        <f aca="false">K29+G30</f>
        <v>292129106.104571</v>
      </c>
      <c r="L30" s="0" t="n">
        <f aca="false">MAX(L29,J30)</f>
        <v>535886097.809923</v>
      </c>
      <c r="M30" s="0" t="n">
        <f aca="false">IF(AND(B30&lt;x_H,J30&lt;=0,L29&gt;0),1,0)</f>
        <v>0</v>
      </c>
      <c r="N30" s="0" t="n">
        <f aca="false">IF(AND(B30&lt;x_H,I30&lt;=0,O29&gt;0),1,0)</f>
        <v>0</v>
      </c>
      <c r="O30" s="0" t="n">
        <f aca="false">MAX(O29,I30)</f>
        <v>573535545.77105</v>
      </c>
      <c r="P30" s="0" t="n">
        <f aca="false">(L_I1!R20-L_S1!R20)*D30</f>
        <v>879.313198732754</v>
      </c>
    </row>
    <row r="31" customFormat="false" ht="15" hidden="false" customHeight="false" outlineLevel="0" collapsed="false">
      <c r="A31" s="0" t="n">
        <v>2044</v>
      </c>
      <c r="B31" s="0" t="n">
        <v>18</v>
      </c>
      <c r="C31" s="0" t="n">
        <f aca="false">IF(B31&lt;x_H,(1+x_rc)^(-B31),0)</f>
        <v>0.415520654867483</v>
      </c>
      <c r="D31" s="0" t="n">
        <f aca="false">IF(B31&lt;x_H,(1+x_RE)^(-B31),0)</f>
        <v>0.511031459861633</v>
      </c>
      <c r="E31" s="0" t="n">
        <f aca="false">(L_I1!AI21-L_S1!AI21)*C31</f>
        <v>-24640109.0635416</v>
      </c>
      <c r="F31" s="0" t="n">
        <f aca="false">(L_I1!AJ21-L_S1!AJ21)*C31</f>
        <v>-25595133.0898145</v>
      </c>
      <c r="G31" s="0" t="n">
        <f aca="false">(L_I1!AK21-L_S1!AK21)*C31</f>
        <v>-25615498.5842672</v>
      </c>
      <c r="H31" s="0" t="n">
        <f aca="false">(L_I1!AM21-L_S1!AM21)*C31</f>
        <v>0</v>
      </c>
      <c r="I31" s="0" t="n">
        <f aca="false">I30+E31</f>
        <v>319581192.850219</v>
      </c>
      <c r="J31" s="0" t="n">
        <f aca="false">J30+F31</f>
        <v>275164718.187692</v>
      </c>
      <c r="K31" s="0" t="n">
        <f aca="false">K30+G31</f>
        <v>266513607.520304</v>
      </c>
      <c r="L31" s="0" t="n">
        <f aca="false">MAX(L30,J31)</f>
        <v>535886097.809923</v>
      </c>
      <c r="M31" s="0" t="n">
        <f aca="false">IF(AND(B31&lt;x_H,J31&lt;=0,L30&gt;0),1,0)</f>
        <v>0</v>
      </c>
      <c r="N31" s="0" t="n">
        <f aca="false">IF(AND(B31&lt;x_H,I31&lt;=0,O30&gt;0),1,0)</f>
        <v>0</v>
      </c>
      <c r="O31" s="0" t="n">
        <f aca="false">MAX(O30,I31)</f>
        <v>573535545.77105</v>
      </c>
      <c r="P31" s="0" t="n">
        <f aca="false">(L_I1!R21-L_S1!R21)*D31</f>
        <v>877.302016025342</v>
      </c>
    </row>
    <row r="32" customFormat="false" ht="15" hidden="false" customHeight="false" outlineLevel="0" collapsed="false">
      <c r="A32" s="0" t="n">
        <v>2045</v>
      </c>
      <c r="B32" s="0" t="n">
        <v>19</v>
      </c>
      <c r="C32" s="0" t="n">
        <f aca="false">IF(B32&lt;x_H,(1+x_rc)^(-B32),0)</f>
        <v>0.39573395701665</v>
      </c>
      <c r="D32" s="0" t="n">
        <f aca="false">IF(B32&lt;x_H,(1+x_RE)^(-B32),0)</f>
        <v>0.49232317905745</v>
      </c>
      <c r="E32" s="0" t="n">
        <f aca="false">(L_I1!AI22-L_S1!AI22)*C32</f>
        <v>-23573734.0828788</v>
      </c>
      <c r="F32" s="0" t="n">
        <f aca="false">(L_I1!AJ22-L_S1!AJ22)*C32</f>
        <v>-24638255.0279401</v>
      </c>
      <c r="G32" s="0" t="n">
        <f aca="false">(L_I1!AK22-L_S1!AK22)*C32</f>
        <v>-24745984.8876861</v>
      </c>
      <c r="H32" s="0" t="n">
        <f aca="false">(L_I1!AM22-L_S1!AM22)*C32</f>
        <v>0</v>
      </c>
      <c r="I32" s="0" t="n">
        <f aca="false">I31+E32</f>
        <v>296007458.76734</v>
      </c>
      <c r="J32" s="0" t="n">
        <f aca="false">J31+F32</f>
        <v>250526463.159752</v>
      </c>
      <c r="K32" s="0" t="n">
        <f aca="false">K31+G32</f>
        <v>241767622.632618</v>
      </c>
      <c r="L32" s="0" t="n">
        <f aca="false">MAX(L31,J32)</f>
        <v>535886097.809923</v>
      </c>
      <c r="M32" s="0" t="n">
        <f aca="false">IF(AND(B32&lt;x_H,J32&lt;=0,L31&gt;0),1,0)</f>
        <v>0</v>
      </c>
      <c r="N32" s="0" t="n">
        <f aca="false">IF(AND(B32&lt;x_H,I32&lt;=0,O31&gt;0),1,0)</f>
        <v>0</v>
      </c>
      <c r="O32" s="0" t="n">
        <f aca="false">MAX(O31,I32)</f>
        <v>573535545.77105</v>
      </c>
      <c r="P32" s="0" t="n">
        <f aca="false">(L_I1!R22-L_S1!R22)*D32</f>
        <v>872.745238100566</v>
      </c>
    </row>
    <row r="33" customFormat="false" ht="15" hidden="false" customHeight="false" outlineLevel="0" collapsed="false">
      <c r="A33" s="0" t="n">
        <v>2046</v>
      </c>
      <c r="B33" s="0" t="n">
        <v>20</v>
      </c>
      <c r="C33" s="0" t="n">
        <f aca="false">IF(B33&lt;x_H,(1+x_rc)^(-B33),0)</f>
        <v>0</v>
      </c>
      <c r="D33" s="0" t="n">
        <f aca="false">IF(B33&lt;x_H,(1+x_RE)^(-B33),0)</f>
        <v>0</v>
      </c>
      <c r="E33" s="0" t="n">
        <f aca="false">(L_I1!AI23-L_S1!AI23)*C33</f>
        <v>-0</v>
      </c>
      <c r="F33" s="0" t="n">
        <f aca="false">(L_I1!AJ23-L_S1!AJ23)*C33</f>
        <v>-0</v>
      </c>
      <c r="G33" s="0" t="n">
        <f aca="false">(L_I1!AK23-L_S1!AK23)*C33</f>
        <v>-0</v>
      </c>
      <c r="H33" s="0" t="n">
        <f aca="false">(L_I1!AM23-L_S1!AM23)*C33</f>
        <v>0</v>
      </c>
      <c r="I33" s="0" t="n">
        <f aca="false">I32+E33</f>
        <v>296007458.76734</v>
      </c>
      <c r="J33" s="0" t="n">
        <f aca="false">J32+F33</f>
        <v>250526463.159752</v>
      </c>
      <c r="K33" s="0" t="n">
        <f aca="false">K32+G33</f>
        <v>241767622.632618</v>
      </c>
      <c r="L33" s="0" t="n">
        <f aca="false">MAX(L32,J33)</f>
        <v>535886097.809923</v>
      </c>
      <c r="M33" s="0" t="n">
        <f aca="false">IF(AND(B33&lt;x_H,J33&lt;=0,L32&gt;0),1,0)</f>
        <v>0</v>
      </c>
      <c r="N33" s="0" t="n">
        <f aca="false">IF(AND(B33&lt;x_H,I33&lt;=0,O32&gt;0),1,0)</f>
        <v>0</v>
      </c>
      <c r="O33" s="0" t="n">
        <f aca="false">MAX(O32,I33)</f>
        <v>573535545.77105</v>
      </c>
      <c r="P33" s="0" t="n">
        <f aca="false">(L_I1!R23-L_S1!R23)*D33</f>
        <v>0</v>
      </c>
    </row>
    <row r="34" customFormat="false" ht="15" hidden="false" customHeight="false" outlineLevel="0" collapsed="false">
      <c r="A34" s="0" t="n">
        <v>2047</v>
      </c>
      <c r="B34" s="0" t="n">
        <v>21</v>
      </c>
      <c r="C34" s="0" t="n">
        <f aca="false">IF(B34&lt;x_H,(1+x_rc)^(-B34),0)</f>
        <v>0</v>
      </c>
      <c r="D34" s="0" t="n">
        <f aca="false">IF(B34&lt;x_H,(1+x_RE)^(-B34),0)</f>
        <v>0</v>
      </c>
      <c r="E34" s="0" t="n">
        <f aca="false">(L_I1!AI24-L_S1!AI24)*C34</f>
        <v>-0</v>
      </c>
      <c r="F34" s="0" t="n">
        <f aca="false">(L_I1!AJ24-L_S1!AJ24)*C34</f>
        <v>-0</v>
      </c>
      <c r="G34" s="0" t="n">
        <f aca="false">(L_I1!AK24-L_S1!AK24)*C34</f>
        <v>-0</v>
      </c>
      <c r="H34" s="0" t="n">
        <f aca="false">(L_I1!AM24-L_S1!AM24)*C34</f>
        <v>0</v>
      </c>
      <c r="I34" s="0" t="n">
        <f aca="false">I33+E34</f>
        <v>296007458.76734</v>
      </c>
      <c r="J34" s="0" t="n">
        <f aca="false">J33+F34</f>
        <v>250526463.159752</v>
      </c>
      <c r="K34" s="0" t="n">
        <f aca="false">K33+G34</f>
        <v>241767622.632618</v>
      </c>
      <c r="L34" s="0" t="n">
        <f aca="false">MAX(L33,J34)</f>
        <v>535886097.809923</v>
      </c>
      <c r="M34" s="0" t="n">
        <f aca="false">IF(AND(B34&lt;x_H,J34&lt;=0,L33&gt;0),1,0)</f>
        <v>0</v>
      </c>
      <c r="N34" s="0" t="n">
        <f aca="false">IF(AND(B34&lt;x_H,I34&lt;=0,O33&gt;0),1,0)</f>
        <v>0</v>
      </c>
      <c r="O34" s="0" t="n">
        <f aca="false">MAX(O33,I34)</f>
        <v>573535545.77105</v>
      </c>
      <c r="P34" s="0" t="n">
        <f aca="false">(L_I1!R24-L_S1!R24)*D34</f>
        <v>0</v>
      </c>
    </row>
    <row r="35" customFormat="false" ht="15" hidden="false" customHeight="false" outlineLevel="0" collapsed="false">
      <c r="A35" s="0" t="n">
        <v>2048</v>
      </c>
      <c r="B35" s="0" t="n">
        <v>22</v>
      </c>
      <c r="C35" s="0" t="n">
        <f aca="false">IF(B35&lt;x_H,(1+x_rc)^(-B35),0)</f>
        <v>0</v>
      </c>
      <c r="D35" s="0" t="n">
        <f aca="false">IF(B35&lt;x_H,(1+x_RE)^(-B35),0)</f>
        <v>0</v>
      </c>
      <c r="E35" s="0" t="n">
        <f aca="false">(L_I1!AI25-L_S1!AI25)*C35</f>
        <v>-0</v>
      </c>
      <c r="F35" s="0" t="n">
        <f aca="false">(L_I1!AJ25-L_S1!AJ25)*C35</f>
        <v>-0</v>
      </c>
      <c r="G35" s="0" t="n">
        <f aca="false">(L_I1!AK25-L_S1!AK25)*C35</f>
        <v>-0</v>
      </c>
      <c r="H35" s="0" t="n">
        <f aca="false">(L_I1!AM25-L_S1!AM25)*C35</f>
        <v>0</v>
      </c>
      <c r="I35" s="0" t="n">
        <f aca="false">I34+E35</f>
        <v>296007458.76734</v>
      </c>
      <c r="J35" s="0" t="n">
        <f aca="false">J34+F35</f>
        <v>250526463.159752</v>
      </c>
      <c r="K35" s="0" t="n">
        <f aca="false">K34+G35</f>
        <v>241767622.632618</v>
      </c>
      <c r="L35" s="0" t="n">
        <f aca="false">MAX(L34,J35)</f>
        <v>535886097.809923</v>
      </c>
      <c r="M35" s="0" t="n">
        <f aca="false">IF(AND(B35&lt;x_H,J35&lt;=0,L34&gt;0),1,0)</f>
        <v>0</v>
      </c>
      <c r="N35" s="0" t="n">
        <f aca="false">IF(AND(B35&lt;x_H,I35&lt;=0,O34&gt;0),1,0)</f>
        <v>0</v>
      </c>
      <c r="O35" s="0" t="n">
        <f aca="false">MAX(O34,I35)</f>
        <v>573535545.77105</v>
      </c>
      <c r="P35" s="0" t="n">
        <f aca="false">(L_I1!R25-L_S1!R25)*D35</f>
        <v>0</v>
      </c>
    </row>
    <row r="36" customFormat="false" ht="15" hidden="false" customHeight="false" outlineLevel="0" collapsed="false">
      <c r="A36" s="0" t="n">
        <v>2049</v>
      </c>
      <c r="B36" s="0" t="n">
        <v>23</v>
      </c>
      <c r="C36" s="0" t="n">
        <f aca="false">IF(B36&lt;x_H,(1+x_rc)^(-B36),0)</f>
        <v>0</v>
      </c>
      <c r="D36" s="0" t="n">
        <f aca="false">IF(B36&lt;x_H,(1+x_RE)^(-B36),0)</f>
        <v>0</v>
      </c>
      <c r="E36" s="0" t="n">
        <f aca="false">(L_I1!AI26-L_S1!AI26)*C36</f>
        <v>-0</v>
      </c>
      <c r="F36" s="0" t="n">
        <f aca="false">(L_I1!AJ26-L_S1!AJ26)*C36</f>
        <v>-0</v>
      </c>
      <c r="G36" s="0" t="n">
        <f aca="false">(L_I1!AK26-L_S1!AK26)*C36</f>
        <v>-0</v>
      </c>
      <c r="H36" s="0" t="n">
        <f aca="false">(L_I1!AM26-L_S1!AM26)*C36</f>
        <v>0</v>
      </c>
      <c r="I36" s="0" t="n">
        <f aca="false">I35+E36</f>
        <v>296007458.76734</v>
      </c>
      <c r="J36" s="0" t="n">
        <f aca="false">J35+F36</f>
        <v>250526463.159752</v>
      </c>
      <c r="K36" s="0" t="n">
        <f aca="false">K35+G36</f>
        <v>241767622.632618</v>
      </c>
      <c r="L36" s="0" t="n">
        <f aca="false">MAX(L35,J36)</f>
        <v>535886097.809923</v>
      </c>
      <c r="M36" s="0" t="n">
        <f aca="false">IF(AND(B36&lt;x_H,J36&lt;=0,L35&gt;0),1,0)</f>
        <v>0</v>
      </c>
      <c r="N36" s="0" t="n">
        <f aca="false">IF(AND(B36&lt;x_H,I36&lt;=0,O35&gt;0),1,0)</f>
        <v>0</v>
      </c>
      <c r="O36" s="0" t="n">
        <f aca="false">MAX(O35,I36)</f>
        <v>573535545.77105</v>
      </c>
      <c r="P36" s="0" t="n">
        <f aca="false">(L_I1!R26-L_S1!R26)*D36</f>
        <v>0</v>
      </c>
    </row>
    <row r="37" customFormat="false" ht="15" hidden="false" customHeight="false" outlineLevel="0" collapsed="false">
      <c r="A37" s="0" t="n">
        <v>2050</v>
      </c>
      <c r="B37" s="0" t="n">
        <v>24</v>
      </c>
      <c r="C37" s="0" t="n">
        <f aca="false">IF(B37&lt;x_H,(1+x_rc)^(-B37),0)</f>
        <v>0</v>
      </c>
      <c r="D37" s="0" t="n">
        <f aca="false">IF(B37&lt;x_H,(1+x_RE)^(-B37),0)</f>
        <v>0</v>
      </c>
      <c r="E37" s="0" t="n">
        <f aca="false">(L_I1!AI27-L_S1!AI27)*C37</f>
        <v>-0</v>
      </c>
      <c r="F37" s="0" t="n">
        <f aca="false">(L_I1!AJ27-L_S1!AJ27)*C37</f>
        <v>-0</v>
      </c>
      <c r="G37" s="0" t="n">
        <f aca="false">(L_I1!AK27-L_S1!AK27)*C37</f>
        <v>-0</v>
      </c>
      <c r="H37" s="0" t="n">
        <f aca="false">(L_I1!AM27-L_S1!AM27)*C37</f>
        <v>0</v>
      </c>
      <c r="I37" s="0" t="n">
        <f aca="false">I36+E37</f>
        <v>296007458.76734</v>
      </c>
      <c r="J37" s="0" t="n">
        <f aca="false">J36+F37</f>
        <v>250526463.159752</v>
      </c>
      <c r="K37" s="0" t="n">
        <f aca="false">K36+G37</f>
        <v>241767622.632618</v>
      </c>
      <c r="L37" s="0" t="n">
        <f aca="false">MAX(L36,J37)</f>
        <v>535886097.809923</v>
      </c>
      <c r="M37" s="0" t="n">
        <f aca="false">IF(AND(B37&lt;x_H,J37&lt;=0,L36&gt;0),1,0)</f>
        <v>0</v>
      </c>
      <c r="N37" s="0" t="n">
        <f aca="false">IF(AND(B37&lt;x_H,I37&lt;=0,O36&gt;0),1,0)</f>
        <v>0</v>
      </c>
      <c r="O37" s="0" t="n">
        <f aca="false">MAX(O36,I37)</f>
        <v>573535545.77105</v>
      </c>
      <c r="P37" s="0" t="n">
        <f aca="false">(L_I1!R27-L_S1!R27)*D37</f>
        <v>0</v>
      </c>
    </row>
    <row r="38" customFormat="false" ht="15" hidden="false" customHeight="false" outlineLevel="0" collapsed="false">
      <c r="A38" s="0" t="n">
        <v>2051</v>
      </c>
      <c r="B38" s="0" t="n">
        <v>25</v>
      </c>
      <c r="C38" s="0" t="n">
        <f aca="false">IF(B38&lt;x_H,(1+x_rc)^(-B38),0)</f>
        <v>0</v>
      </c>
      <c r="D38" s="0" t="n">
        <f aca="false">IF(B38&lt;x_H,(1+x_RE)^(-B38),0)</f>
        <v>0</v>
      </c>
      <c r="E38" s="0" t="n">
        <f aca="false">(L_I1!AI28-L_S1!AI28)*C38</f>
        <v>-0</v>
      </c>
      <c r="F38" s="0" t="n">
        <f aca="false">(L_I1!AJ28-L_S1!AJ28)*C38</f>
        <v>-0</v>
      </c>
      <c r="G38" s="0" t="n">
        <f aca="false">(L_I1!AK28-L_S1!AK28)*C38</f>
        <v>-0</v>
      </c>
      <c r="H38" s="0" t="n">
        <f aca="false">(L_I1!AM28-L_S1!AM28)*C38</f>
        <v>0</v>
      </c>
      <c r="I38" s="0" t="n">
        <f aca="false">I37+E38</f>
        <v>296007458.76734</v>
      </c>
      <c r="J38" s="0" t="n">
        <f aca="false">J37+F38</f>
        <v>250526463.159752</v>
      </c>
      <c r="K38" s="0" t="n">
        <f aca="false">K37+G38</f>
        <v>241767622.632618</v>
      </c>
      <c r="L38" s="0" t="n">
        <f aca="false">MAX(L37,J38)</f>
        <v>535886097.809923</v>
      </c>
      <c r="M38" s="0" t="n">
        <f aca="false">IF(AND(B38&lt;x_H,J38&lt;=0,L37&gt;0),1,0)</f>
        <v>0</v>
      </c>
      <c r="N38" s="0" t="n">
        <f aca="false">IF(AND(B38&lt;x_H,I38&lt;=0,O37&gt;0),1,0)</f>
        <v>0</v>
      </c>
      <c r="O38" s="0" t="n">
        <f aca="false">MAX(O37,I38)</f>
        <v>573535545.77105</v>
      </c>
      <c r="P38" s="0" t="n">
        <f aca="false">(L_I1!R28-L_S1!R28)*D38</f>
        <v>0</v>
      </c>
    </row>
    <row r="39" customFormat="false" ht="15" hidden="false" customHeight="false" outlineLevel="0" collapsed="false">
      <c r="A39" s="0" t="n">
        <v>2052</v>
      </c>
      <c r="B39" s="0" t="n">
        <v>26</v>
      </c>
      <c r="C39" s="0" t="n">
        <f aca="false">IF(B39&lt;x_H,(1+x_rc)^(-B39),0)</f>
        <v>0</v>
      </c>
      <c r="D39" s="0" t="n">
        <f aca="false">IF(B39&lt;x_H,(1+x_RE)^(-B39),0)</f>
        <v>0</v>
      </c>
      <c r="E39" s="0" t="n">
        <f aca="false">(L_I1!AI29-L_S1!AI29)*C39</f>
        <v>-0</v>
      </c>
      <c r="F39" s="0" t="n">
        <f aca="false">(L_I1!AJ29-L_S1!AJ29)*C39</f>
        <v>-0</v>
      </c>
      <c r="G39" s="0" t="n">
        <f aca="false">(L_I1!AK29-L_S1!AK29)*C39</f>
        <v>-0</v>
      </c>
      <c r="H39" s="0" t="n">
        <f aca="false">(L_I1!AM29-L_S1!AM29)*C39</f>
        <v>0</v>
      </c>
      <c r="I39" s="0" t="n">
        <f aca="false">I38+E39</f>
        <v>296007458.76734</v>
      </c>
      <c r="J39" s="0" t="n">
        <f aca="false">J38+F39</f>
        <v>250526463.159752</v>
      </c>
      <c r="K39" s="0" t="n">
        <f aca="false">K38+G39</f>
        <v>241767622.632618</v>
      </c>
      <c r="L39" s="0" t="n">
        <f aca="false">MAX(L38,J39)</f>
        <v>535886097.809923</v>
      </c>
      <c r="M39" s="0" t="n">
        <f aca="false">IF(AND(B39&lt;x_H,J39&lt;=0,L38&gt;0),1,0)</f>
        <v>0</v>
      </c>
      <c r="N39" s="0" t="n">
        <f aca="false">IF(AND(B39&lt;x_H,I39&lt;=0,O38&gt;0),1,0)</f>
        <v>0</v>
      </c>
      <c r="O39" s="0" t="n">
        <f aca="false">MAX(O38,I39)</f>
        <v>573535545.77105</v>
      </c>
      <c r="P39" s="0" t="n">
        <f aca="false">(L_I1!R29-L_S1!R29)*D39</f>
        <v>0</v>
      </c>
    </row>
    <row r="40" customFormat="false" ht="15" hidden="false" customHeight="false" outlineLevel="0" collapsed="false">
      <c r="A40" s="0" t="n">
        <v>2053</v>
      </c>
      <c r="B40" s="0" t="n">
        <v>27</v>
      </c>
      <c r="C40" s="0" t="n">
        <f aca="false">IF(B40&lt;x_H,(1+x_rc)^(-B40),0)</f>
        <v>0</v>
      </c>
      <c r="D40" s="0" t="n">
        <f aca="false">IF(B40&lt;x_H,(1+x_RE)^(-B40),0)</f>
        <v>0</v>
      </c>
      <c r="E40" s="0" t="n">
        <f aca="false">(L_I1!AI30-L_S1!AI30)*C40</f>
        <v>-0</v>
      </c>
      <c r="F40" s="0" t="n">
        <f aca="false">(L_I1!AJ30-L_S1!AJ30)*C40</f>
        <v>-0</v>
      </c>
      <c r="G40" s="0" t="n">
        <f aca="false">(L_I1!AK30-L_S1!AK30)*C40</f>
        <v>-0</v>
      </c>
      <c r="H40" s="0" t="n">
        <f aca="false">(L_I1!AM30-L_S1!AM30)*C40</f>
        <v>0</v>
      </c>
      <c r="I40" s="0" t="n">
        <f aca="false">I39+E40</f>
        <v>296007458.76734</v>
      </c>
      <c r="J40" s="0" t="n">
        <f aca="false">J39+F40</f>
        <v>250526463.159752</v>
      </c>
      <c r="K40" s="0" t="n">
        <f aca="false">K39+G40</f>
        <v>241767622.632618</v>
      </c>
      <c r="L40" s="0" t="n">
        <f aca="false">MAX(L39,J40)</f>
        <v>535886097.809923</v>
      </c>
      <c r="M40" s="0" t="n">
        <f aca="false">IF(AND(B40&lt;x_H,J40&lt;=0,L39&gt;0),1,0)</f>
        <v>0</v>
      </c>
      <c r="N40" s="0" t="n">
        <f aca="false">IF(AND(B40&lt;x_H,I40&lt;=0,O39&gt;0),1,0)</f>
        <v>0</v>
      </c>
      <c r="O40" s="0" t="n">
        <f aca="false">MAX(O39,I40)</f>
        <v>573535545.77105</v>
      </c>
      <c r="P40" s="0" t="n">
        <f aca="false">(L_I1!R30-L_S1!R30)*D40</f>
        <v>0</v>
      </c>
    </row>
    <row r="41" customFormat="false" ht="15" hidden="false" customHeight="false" outlineLevel="0" collapsed="false">
      <c r="A41" s="0" t="n">
        <v>2054</v>
      </c>
      <c r="B41" s="0" t="n">
        <v>28</v>
      </c>
      <c r="C41" s="0" t="n">
        <f aca="false">IF(B41&lt;x_H,(1+x_rc)^(-B41),0)</f>
        <v>0</v>
      </c>
      <c r="D41" s="0" t="n">
        <f aca="false">IF(B41&lt;x_H,(1+x_RE)^(-B41),0)</f>
        <v>0</v>
      </c>
      <c r="E41" s="0" t="n">
        <f aca="false">(L_I1!AI31-L_S1!AI31)*C41</f>
        <v>-0</v>
      </c>
      <c r="F41" s="0" t="n">
        <f aca="false">(L_I1!AJ31-L_S1!AJ31)*C41</f>
        <v>-0</v>
      </c>
      <c r="G41" s="0" t="n">
        <f aca="false">(L_I1!AK31-L_S1!AK31)*C41</f>
        <v>-0</v>
      </c>
      <c r="H41" s="0" t="n">
        <f aca="false">(L_I1!AM31-L_S1!AM31)*C41</f>
        <v>0</v>
      </c>
      <c r="I41" s="0" t="n">
        <f aca="false">I40+E41</f>
        <v>296007458.76734</v>
      </c>
      <c r="J41" s="0" t="n">
        <f aca="false">J40+F41</f>
        <v>250526463.159752</v>
      </c>
      <c r="K41" s="0" t="n">
        <f aca="false">K40+G41</f>
        <v>241767622.632618</v>
      </c>
      <c r="L41" s="0" t="n">
        <f aca="false">MAX(L40,J41)</f>
        <v>535886097.809923</v>
      </c>
      <c r="M41" s="0" t="n">
        <f aca="false">IF(AND(B41&lt;x_H,J41&lt;=0,L40&gt;0),1,0)</f>
        <v>0</v>
      </c>
      <c r="N41" s="0" t="n">
        <f aca="false">IF(AND(B41&lt;x_H,I41&lt;=0,O40&gt;0),1,0)</f>
        <v>0</v>
      </c>
      <c r="O41" s="0" t="n">
        <f aca="false">MAX(O40,I41)</f>
        <v>573535545.77105</v>
      </c>
      <c r="P41" s="0" t="n">
        <f aca="false">(L_I1!R31-L_S1!R31)*D41</f>
        <v>0</v>
      </c>
    </row>
    <row r="42" customFormat="false" ht="15" hidden="false" customHeight="false" outlineLevel="0" collapsed="false">
      <c r="A42" s="0" t="n">
        <v>2055</v>
      </c>
      <c r="B42" s="0" t="n">
        <v>29</v>
      </c>
      <c r="C42" s="0" t="n">
        <f aca="false">IF(B42&lt;x_H,(1+x_rc)^(-B42),0)</f>
        <v>0</v>
      </c>
      <c r="D42" s="0" t="n">
        <f aca="false">IF(B42&lt;x_H,(1+x_RE)^(-B42),0)</f>
        <v>0</v>
      </c>
      <c r="E42" s="0" t="n">
        <f aca="false">(L_I1!AI32-L_S1!AI32)*C42</f>
        <v>-0</v>
      </c>
      <c r="F42" s="0" t="n">
        <f aca="false">(L_I1!AJ32-L_S1!AJ32)*C42</f>
        <v>-0</v>
      </c>
      <c r="G42" s="0" t="n">
        <f aca="false">(L_I1!AK32-L_S1!AK32)*C42</f>
        <v>-0</v>
      </c>
      <c r="H42" s="0" t="n">
        <f aca="false">(L_I1!AM32-L_S1!AM32)*C42</f>
        <v>0</v>
      </c>
      <c r="I42" s="0" t="n">
        <f aca="false">I41+E42</f>
        <v>296007458.76734</v>
      </c>
      <c r="J42" s="0" t="n">
        <f aca="false">J41+F42</f>
        <v>250526463.159752</v>
      </c>
      <c r="K42" s="0" t="n">
        <f aca="false">K41+G42</f>
        <v>241767622.632618</v>
      </c>
      <c r="L42" s="0" t="n">
        <f aca="false">MAX(L41,J42)</f>
        <v>535886097.809923</v>
      </c>
      <c r="M42" s="0" t="n">
        <f aca="false">IF(AND(B42&lt;x_H,J42&lt;=0,L41&gt;0),1,0)</f>
        <v>0</v>
      </c>
      <c r="N42" s="0" t="n">
        <f aca="false">IF(AND(B42&lt;x_H,I42&lt;=0,O41&gt;0),1,0)</f>
        <v>0</v>
      </c>
      <c r="O42" s="0" t="n">
        <f aca="false">MAX(O41,I42)</f>
        <v>573535545.77105</v>
      </c>
      <c r="P42" s="0" t="n">
        <f aca="false">(L_I1!R32-L_S1!R32)*D42</f>
        <v>0</v>
      </c>
    </row>
    <row r="43" customFormat="false" ht="15" hidden="false" customHeight="false" outlineLevel="0" collapsed="false">
      <c r="A43" s="0" t="n">
        <v>2056</v>
      </c>
      <c r="B43" s="0" t="n">
        <v>30</v>
      </c>
      <c r="C43" s="0" t="n">
        <f aca="false">IF(B43&lt;x_H,(1+x_rc)^(-B43),0)</f>
        <v>0</v>
      </c>
      <c r="D43" s="0" t="n">
        <f aca="false">IF(B43&lt;x_H,(1+x_RE)^(-B43),0)</f>
        <v>0</v>
      </c>
      <c r="E43" s="0" t="n">
        <f aca="false">(L_I1!AI33-L_S1!AI33)*C43</f>
        <v>-0</v>
      </c>
      <c r="F43" s="0" t="n">
        <f aca="false">(L_I1!AJ33-L_S1!AJ33)*C43</f>
        <v>-0</v>
      </c>
      <c r="G43" s="0" t="n">
        <f aca="false">(L_I1!AK33-L_S1!AK33)*C43</f>
        <v>-0</v>
      </c>
      <c r="H43" s="0" t="n">
        <f aca="false">(L_I1!AM33-L_S1!AM33)*C43</f>
        <v>0</v>
      </c>
      <c r="I43" s="0" t="n">
        <f aca="false">I42+E43</f>
        <v>296007458.76734</v>
      </c>
      <c r="J43" s="0" t="n">
        <f aca="false">J42+F43</f>
        <v>250526463.159752</v>
      </c>
      <c r="K43" s="0" t="n">
        <f aca="false">K42+G43</f>
        <v>241767622.632618</v>
      </c>
      <c r="L43" s="0" t="n">
        <f aca="false">MAX(L42,J43)</f>
        <v>535886097.809923</v>
      </c>
      <c r="M43" s="0" t="n">
        <f aca="false">IF(AND(B43&lt;x_H,J43&lt;=0,L42&gt;0),1,0)</f>
        <v>0</v>
      </c>
      <c r="N43" s="0" t="n">
        <f aca="false">IF(AND(B43&lt;x_H,I43&lt;=0,O42&gt;0),1,0)</f>
        <v>0</v>
      </c>
      <c r="O43" s="0" t="n">
        <f aca="false">MAX(O42,I43)</f>
        <v>573535545.77105</v>
      </c>
      <c r="P43" s="0" t="n">
        <f aca="false">(L_I1!R33-L_S1!R33)*D43</f>
        <v>0</v>
      </c>
    </row>
    <row r="44" customFormat="false" ht="15" hidden="false" customHeight="false" outlineLevel="0" collapsed="false">
      <c r="A44" s="0" t="n">
        <v>2057</v>
      </c>
      <c r="B44" s="0" t="n">
        <v>31</v>
      </c>
      <c r="C44" s="0" t="n">
        <f aca="false">IF(B44&lt;x_H,(1+x_rc)^(-B44),0)</f>
        <v>0</v>
      </c>
      <c r="D44" s="0" t="n">
        <f aca="false">IF(B44&lt;x_H,(1+x_RE)^(-B44),0)</f>
        <v>0</v>
      </c>
      <c r="E44" s="0" t="n">
        <f aca="false">(L_I1!AI34-L_S1!AI34)*C44</f>
        <v>-0</v>
      </c>
      <c r="F44" s="0" t="n">
        <f aca="false">(L_I1!AJ34-L_S1!AJ34)*C44</f>
        <v>-0</v>
      </c>
      <c r="G44" s="0" t="n">
        <f aca="false">(L_I1!AK34-L_S1!AK34)*C44</f>
        <v>-0</v>
      </c>
      <c r="H44" s="0" t="n">
        <f aca="false">(L_I1!AM34-L_S1!AM34)*C44</f>
        <v>0</v>
      </c>
      <c r="I44" s="0" t="n">
        <f aca="false">I43+E44</f>
        <v>296007458.76734</v>
      </c>
      <c r="J44" s="0" t="n">
        <f aca="false">J43+F44</f>
        <v>250526463.159752</v>
      </c>
      <c r="K44" s="0" t="n">
        <f aca="false">K43+G44</f>
        <v>241767622.632618</v>
      </c>
      <c r="L44" s="0" t="n">
        <f aca="false">MAX(L43,J44)</f>
        <v>535886097.809923</v>
      </c>
      <c r="M44" s="0" t="n">
        <f aca="false">IF(AND(B44&lt;x_H,J44&lt;=0,L43&gt;0),1,0)</f>
        <v>0</v>
      </c>
      <c r="N44" s="0" t="n">
        <f aca="false">IF(AND(B44&lt;x_H,I44&lt;=0,O43&gt;0),1,0)</f>
        <v>0</v>
      </c>
      <c r="O44" s="0" t="n">
        <f aca="false">MAX(O43,I44)</f>
        <v>573535545.77105</v>
      </c>
      <c r="P44" s="0" t="n">
        <f aca="false">(L_I1!R34-L_S1!R34)*D44</f>
        <v>0</v>
      </c>
    </row>
    <row r="45" customFormat="false" ht="15" hidden="false" customHeight="false" outlineLevel="0" collapsed="false">
      <c r="A45" s="0" t="n">
        <v>2058</v>
      </c>
      <c r="B45" s="0" t="n">
        <v>32</v>
      </c>
      <c r="C45" s="0" t="n">
        <f aca="false">IF(B45&lt;x_H,(1+x_rc)^(-B45),0)</f>
        <v>0</v>
      </c>
      <c r="D45" s="0" t="n">
        <f aca="false">IF(B45&lt;x_H,(1+x_RE)^(-B45),0)</f>
        <v>0</v>
      </c>
      <c r="E45" s="0" t="n">
        <f aca="false">(L_I1!AI35-L_S1!AI35)*C45</f>
        <v>-0</v>
      </c>
      <c r="F45" s="0" t="n">
        <f aca="false">(L_I1!AJ35-L_S1!AJ35)*C45</f>
        <v>-0</v>
      </c>
      <c r="G45" s="0" t="n">
        <f aca="false">(L_I1!AK35-L_S1!AK35)*C45</f>
        <v>-0</v>
      </c>
      <c r="H45" s="0" t="n">
        <f aca="false">(L_I1!AM35-L_S1!AM35)*C45</f>
        <v>0</v>
      </c>
      <c r="I45" s="0" t="n">
        <f aca="false">I44+E45</f>
        <v>296007458.76734</v>
      </c>
      <c r="J45" s="0" t="n">
        <f aca="false">J44+F45</f>
        <v>250526463.159752</v>
      </c>
      <c r="K45" s="0" t="n">
        <f aca="false">K44+G45</f>
        <v>241767622.632618</v>
      </c>
      <c r="L45" s="0" t="n">
        <f aca="false">MAX(L44,J45)</f>
        <v>535886097.809923</v>
      </c>
      <c r="M45" s="0" t="n">
        <f aca="false">IF(AND(B45&lt;x_H,J45&lt;=0,L44&gt;0),1,0)</f>
        <v>0</v>
      </c>
      <c r="N45" s="0" t="n">
        <f aca="false">IF(AND(B45&lt;x_H,I45&lt;=0,O44&gt;0),1,0)</f>
        <v>0</v>
      </c>
      <c r="O45" s="0" t="n">
        <f aca="false">MAX(O44,I45)</f>
        <v>573535545.77105</v>
      </c>
      <c r="P45" s="0" t="n">
        <f aca="false">(L_I1!R35-L_S1!R35)*D45</f>
        <v>0</v>
      </c>
    </row>
    <row r="46" customFormat="false" ht="15" hidden="false" customHeight="false" outlineLevel="0" collapsed="false">
      <c r="A46" s="0" t="n">
        <v>2059</v>
      </c>
      <c r="B46" s="0" t="n">
        <v>33</v>
      </c>
      <c r="C46" s="0" t="n">
        <f aca="false">IF(B46&lt;x_H,(1+x_rc)^(-B46),0)</f>
        <v>0</v>
      </c>
      <c r="D46" s="0" t="n">
        <f aca="false">IF(B46&lt;x_H,(1+x_RE)^(-B46),0)</f>
        <v>0</v>
      </c>
      <c r="E46" s="0" t="n">
        <f aca="false">(L_I1!AI36-L_S1!AI36)*C46</f>
        <v>-0</v>
      </c>
      <c r="F46" s="0" t="n">
        <f aca="false">(L_I1!AJ36-L_S1!AJ36)*C46</f>
        <v>-0</v>
      </c>
      <c r="G46" s="0" t="n">
        <f aca="false">(L_I1!AK36-L_S1!AK36)*C46</f>
        <v>-0</v>
      </c>
      <c r="H46" s="0" t="n">
        <f aca="false">(L_I1!AM36-L_S1!AM36)*C46</f>
        <v>0</v>
      </c>
      <c r="I46" s="0" t="n">
        <f aca="false">I45+E46</f>
        <v>296007458.76734</v>
      </c>
      <c r="J46" s="0" t="n">
        <f aca="false">J45+F46</f>
        <v>250526463.159752</v>
      </c>
      <c r="K46" s="0" t="n">
        <f aca="false">K45+G46</f>
        <v>241767622.632618</v>
      </c>
      <c r="L46" s="0" t="n">
        <f aca="false">MAX(L45,J46)</f>
        <v>535886097.809923</v>
      </c>
      <c r="M46" s="0" t="n">
        <f aca="false">IF(AND(B46&lt;x_H,J46&lt;=0,L45&gt;0),1,0)</f>
        <v>0</v>
      </c>
      <c r="N46" s="0" t="n">
        <f aca="false">IF(AND(B46&lt;x_H,I46&lt;=0,O45&gt;0),1,0)</f>
        <v>0</v>
      </c>
      <c r="O46" s="0" t="n">
        <f aca="false">MAX(O45,I46)</f>
        <v>573535545.77105</v>
      </c>
      <c r="P46" s="0" t="n">
        <f aca="false">(L_I1!R36-L_S1!R36)*D46</f>
        <v>0</v>
      </c>
    </row>
    <row r="47" customFormat="false" ht="15" hidden="false" customHeight="false" outlineLevel="0" collapsed="false">
      <c r="A47" s="0" t="n">
        <v>2060</v>
      </c>
      <c r="B47" s="0" t="n">
        <v>34</v>
      </c>
      <c r="C47" s="0" t="n">
        <f aca="false">IF(B47&lt;x_H,(1+x_rc)^(-B47),0)</f>
        <v>0</v>
      </c>
      <c r="D47" s="0" t="n">
        <f aca="false">IF(B47&lt;x_H,(1+x_RE)^(-B47),0)</f>
        <v>0</v>
      </c>
      <c r="E47" s="0" t="n">
        <f aca="false">(L_I1!AI37-L_S1!AI37)*C47</f>
        <v>-0</v>
      </c>
      <c r="F47" s="0" t="n">
        <f aca="false">(L_I1!AJ37-L_S1!AJ37)*C47</f>
        <v>-0</v>
      </c>
      <c r="G47" s="0" t="n">
        <f aca="false">(L_I1!AK37-L_S1!AK37)*C47</f>
        <v>-0</v>
      </c>
      <c r="H47" s="0" t="n">
        <f aca="false">(L_I1!AM37-L_S1!AM37)*C47</f>
        <v>0</v>
      </c>
      <c r="I47" s="0" t="n">
        <f aca="false">I46+E47</f>
        <v>296007458.76734</v>
      </c>
      <c r="J47" s="0" t="n">
        <f aca="false">J46+F47</f>
        <v>250526463.159752</v>
      </c>
      <c r="K47" s="0" t="n">
        <f aca="false">K46+G47</f>
        <v>241767622.632618</v>
      </c>
      <c r="L47" s="0" t="n">
        <f aca="false">MAX(L46,J47)</f>
        <v>535886097.809923</v>
      </c>
      <c r="M47" s="0" t="n">
        <f aca="false">IF(AND(B47&lt;x_H,J47&lt;=0,L46&gt;0),1,0)</f>
        <v>0</v>
      </c>
      <c r="N47" s="0" t="n">
        <f aca="false">IF(AND(B47&lt;x_H,I47&lt;=0,O46&gt;0),1,0)</f>
        <v>0</v>
      </c>
      <c r="O47" s="0" t="n">
        <f aca="false">MAX(O46,I47)</f>
        <v>573535545.77105</v>
      </c>
      <c r="P47" s="0" t="n">
        <f aca="false">(L_I1!R37-L_S1!R37)*D47</f>
        <v>0</v>
      </c>
    </row>
    <row r="48" customFormat="false" ht="15" hidden="false" customHeight="false" outlineLevel="0" collapsed="false">
      <c r="A48" s="0" t="n">
        <v>2061</v>
      </c>
      <c r="B48" s="0" t="n">
        <v>35</v>
      </c>
      <c r="C48" s="0" t="n">
        <f aca="false">IF(B48&lt;x_H,(1+x_rc)^(-B48),0)</f>
        <v>0</v>
      </c>
      <c r="D48" s="0" t="n">
        <f aca="false">IF(B48&lt;x_H,(1+x_RE)^(-B48),0)</f>
        <v>0</v>
      </c>
      <c r="E48" s="0" t="n">
        <f aca="false">(L_I1!AI38-L_S1!AI38)*C48</f>
        <v>-0</v>
      </c>
      <c r="F48" s="0" t="n">
        <f aca="false">(L_I1!AJ38-L_S1!AJ38)*C48</f>
        <v>-0</v>
      </c>
      <c r="G48" s="0" t="n">
        <f aca="false">(L_I1!AK38-L_S1!AK38)*C48</f>
        <v>-0</v>
      </c>
      <c r="H48" s="0" t="n">
        <f aca="false">(L_I1!AM38-L_S1!AM38)*C48</f>
        <v>0</v>
      </c>
      <c r="I48" s="0" t="n">
        <f aca="false">I47+E48</f>
        <v>296007458.76734</v>
      </c>
      <c r="J48" s="0" t="n">
        <f aca="false">J47+F48</f>
        <v>250526463.159752</v>
      </c>
      <c r="K48" s="0" t="n">
        <f aca="false">K47+G48</f>
        <v>241767622.632618</v>
      </c>
      <c r="L48" s="0" t="n">
        <f aca="false">MAX(L47,J48)</f>
        <v>535886097.809923</v>
      </c>
      <c r="M48" s="0" t="n">
        <f aca="false">IF(AND(B48&lt;x_H,J48&lt;=0,L47&gt;0),1,0)</f>
        <v>0</v>
      </c>
      <c r="N48" s="0" t="n">
        <f aca="false">IF(AND(B48&lt;x_H,I48&lt;=0,O47&gt;0),1,0)</f>
        <v>0</v>
      </c>
      <c r="O48" s="0" t="n">
        <f aca="false">MAX(O47,I48)</f>
        <v>573535545.77105</v>
      </c>
      <c r="P48" s="0" t="n">
        <f aca="false">(L_I1!R38-L_S1!R38)*D48</f>
        <v>0</v>
      </c>
    </row>
    <row r="49" customFormat="false" ht="15" hidden="false" customHeight="false" outlineLevel="0" collapsed="false">
      <c r="A49" s="0" t="n">
        <v>2062</v>
      </c>
      <c r="B49" s="0" t="n">
        <v>36</v>
      </c>
      <c r="C49" s="0" t="n">
        <f aca="false">IF(B49&lt;x_H,(1+x_rc)^(-B49),0)</f>
        <v>0</v>
      </c>
      <c r="D49" s="0" t="n">
        <f aca="false">IF(B49&lt;x_H,(1+x_RE)^(-B49),0)</f>
        <v>0</v>
      </c>
      <c r="E49" s="0" t="n">
        <f aca="false">(L_I1!AI39-L_S1!AI39)*C49</f>
        <v>-0</v>
      </c>
      <c r="F49" s="0" t="n">
        <f aca="false">(L_I1!AJ39-L_S1!AJ39)*C49</f>
        <v>-0</v>
      </c>
      <c r="G49" s="0" t="n">
        <f aca="false">(L_I1!AK39-L_S1!AK39)*C49</f>
        <v>-0</v>
      </c>
      <c r="H49" s="0" t="n">
        <f aca="false">(L_I1!AM39-L_S1!AM39)*C49</f>
        <v>0</v>
      </c>
      <c r="I49" s="0" t="n">
        <f aca="false">I48+E49</f>
        <v>296007458.76734</v>
      </c>
      <c r="J49" s="0" t="n">
        <f aca="false">J48+F49</f>
        <v>250526463.159752</v>
      </c>
      <c r="K49" s="0" t="n">
        <f aca="false">K48+G49</f>
        <v>241767622.632618</v>
      </c>
      <c r="L49" s="0" t="n">
        <f aca="false">MAX(L48,J49)</f>
        <v>535886097.809923</v>
      </c>
      <c r="M49" s="0" t="n">
        <f aca="false">IF(AND(B49&lt;x_H,J49&lt;=0,L48&gt;0),1,0)</f>
        <v>0</v>
      </c>
      <c r="N49" s="0" t="n">
        <f aca="false">IF(AND(B49&lt;x_H,I49&lt;=0,O48&gt;0),1,0)</f>
        <v>0</v>
      </c>
      <c r="O49" s="0" t="n">
        <f aca="false">MAX(O48,I49)</f>
        <v>573535545.77105</v>
      </c>
      <c r="P49" s="0" t="n">
        <f aca="false">(L_I1!R39-L_S1!R39)*D49</f>
        <v>0</v>
      </c>
    </row>
    <row r="50" customFormat="false" ht="15" hidden="false" customHeight="false" outlineLevel="0" collapsed="false">
      <c r="A50" s="0" t="n">
        <v>2063</v>
      </c>
      <c r="B50" s="0" t="n">
        <v>37</v>
      </c>
      <c r="C50" s="0" t="n">
        <f aca="false">IF(B50&lt;x_H,(1+x_rc)^(-B50),0)</f>
        <v>0</v>
      </c>
      <c r="D50" s="0" t="n">
        <f aca="false">IF(B50&lt;x_H,(1+x_RE)^(-B50),0)</f>
        <v>0</v>
      </c>
      <c r="E50" s="0" t="n">
        <f aca="false">(L_I1!AI40-L_S1!AI40)*C50</f>
        <v>-0</v>
      </c>
      <c r="F50" s="0" t="n">
        <f aca="false">(L_I1!AJ40-L_S1!AJ40)*C50</f>
        <v>-0</v>
      </c>
      <c r="G50" s="0" t="n">
        <f aca="false">(L_I1!AK40-L_S1!AK40)*C50</f>
        <v>-0</v>
      </c>
      <c r="H50" s="0" t="n">
        <f aca="false">(L_I1!AM40-L_S1!AM40)*C50</f>
        <v>0</v>
      </c>
      <c r="I50" s="0" t="n">
        <f aca="false">I49+E50</f>
        <v>296007458.76734</v>
      </c>
      <c r="J50" s="0" t="n">
        <f aca="false">J49+F50</f>
        <v>250526463.159752</v>
      </c>
      <c r="K50" s="0" t="n">
        <f aca="false">K49+G50</f>
        <v>241767622.632618</v>
      </c>
      <c r="L50" s="0" t="n">
        <f aca="false">MAX(L49,J50)</f>
        <v>535886097.809923</v>
      </c>
      <c r="M50" s="0" t="n">
        <f aca="false">IF(AND(B50&lt;x_H,J50&lt;=0,L49&gt;0),1,0)</f>
        <v>0</v>
      </c>
      <c r="N50" s="0" t="n">
        <f aca="false">IF(AND(B50&lt;x_H,I50&lt;=0,O49&gt;0),1,0)</f>
        <v>0</v>
      </c>
      <c r="O50" s="0" t="n">
        <f aca="false">MAX(O49,I50)</f>
        <v>573535545.77105</v>
      </c>
      <c r="P50" s="0" t="n">
        <f aca="false">(L_I1!R40-L_S1!R40)*D50</f>
        <v>0</v>
      </c>
    </row>
    <row r="51" customFormat="false" ht="15" hidden="false" customHeight="false" outlineLevel="0" collapsed="false">
      <c r="A51" s="0" t="n">
        <v>2064</v>
      </c>
      <c r="B51" s="0" t="n">
        <v>38</v>
      </c>
      <c r="C51" s="0" t="n">
        <f aca="false">IF(B51&lt;x_H,(1+x_rc)^(-B51),0)</f>
        <v>0</v>
      </c>
      <c r="D51" s="0" t="n">
        <f aca="false">IF(B51&lt;x_H,(1+x_RE)^(-B51),0)</f>
        <v>0</v>
      </c>
      <c r="E51" s="0" t="n">
        <f aca="false">(L_I1!AI41-L_S1!AI41)*C51</f>
        <v>-0</v>
      </c>
      <c r="F51" s="0" t="n">
        <f aca="false">(L_I1!AJ41-L_S1!AJ41)*C51</f>
        <v>-0</v>
      </c>
      <c r="G51" s="0" t="n">
        <f aca="false">(L_I1!AK41-L_S1!AK41)*C51</f>
        <v>-0</v>
      </c>
      <c r="H51" s="0" t="n">
        <f aca="false">(L_I1!AM41-L_S1!AM41)*C51</f>
        <v>0</v>
      </c>
      <c r="I51" s="0" t="n">
        <f aca="false">I50+E51</f>
        <v>296007458.76734</v>
      </c>
      <c r="J51" s="0" t="n">
        <f aca="false">J50+F51</f>
        <v>250526463.159752</v>
      </c>
      <c r="K51" s="0" t="n">
        <f aca="false">K50+G51</f>
        <v>241767622.632618</v>
      </c>
      <c r="L51" s="0" t="n">
        <f aca="false">MAX(L50,J51)</f>
        <v>535886097.809923</v>
      </c>
      <c r="M51" s="0" t="n">
        <f aca="false">IF(AND(B51&lt;x_H,J51&lt;=0,L50&gt;0),1,0)</f>
        <v>0</v>
      </c>
      <c r="N51" s="0" t="n">
        <f aca="false">IF(AND(B51&lt;x_H,I51&lt;=0,O50&gt;0),1,0)</f>
        <v>0</v>
      </c>
      <c r="O51" s="0" t="n">
        <f aca="false">MAX(O50,I51)</f>
        <v>573535545.77105</v>
      </c>
      <c r="P51" s="0" t="n">
        <f aca="false">(L_I1!R41-L_S1!R41)*D51</f>
        <v>0</v>
      </c>
    </row>
    <row r="52" customFormat="false" ht="15" hidden="false" customHeight="false" outlineLevel="0" collapsed="false">
      <c r="A52" s="0" t="n">
        <v>2065</v>
      </c>
      <c r="B52" s="0" t="n">
        <v>39</v>
      </c>
      <c r="C52" s="0" t="n">
        <f aca="false">IF(B52&lt;x_H,(1+x_rc)^(-B52),0)</f>
        <v>0</v>
      </c>
      <c r="D52" s="0" t="n">
        <f aca="false">IF(B52&lt;x_H,(1+x_RE)^(-B52),0)</f>
        <v>0</v>
      </c>
      <c r="E52" s="0" t="n">
        <f aca="false">(L_I1!AI42-L_S1!AI42)*C52</f>
        <v>-0</v>
      </c>
      <c r="F52" s="0" t="n">
        <f aca="false">(L_I1!AJ42-L_S1!AJ42)*C52</f>
        <v>-0</v>
      </c>
      <c r="G52" s="0" t="n">
        <f aca="false">(L_I1!AK42-L_S1!AK42)*C52</f>
        <v>-0</v>
      </c>
      <c r="H52" s="0" t="n">
        <f aca="false">(L_I1!AM42-L_S1!AM42)*C52</f>
        <v>0</v>
      </c>
      <c r="I52" s="0" t="n">
        <f aca="false">I51+E52</f>
        <v>296007458.76734</v>
      </c>
      <c r="J52" s="0" t="n">
        <f aca="false">J51+F52</f>
        <v>250526463.159752</v>
      </c>
      <c r="K52" s="0" t="n">
        <f aca="false">K51+G52</f>
        <v>241767622.632618</v>
      </c>
      <c r="L52" s="0" t="n">
        <f aca="false">MAX(L51,J52)</f>
        <v>535886097.809923</v>
      </c>
      <c r="M52" s="0" t="n">
        <f aca="false">IF(AND(B52&lt;x_H,J52&lt;=0,L51&gt;0),1,0)</f>
        <v>0</v>
      </c>
      <c r="N52" s="0" t="n">
        <f aca="false">IF(AND(B52&lt;x_H,I52&lt;=0,O51&gt;0),1,0)</f>
        <v>0</v>
      </c>
      <c r="O52" s="0" t="n">
        <f aca="false">MAX(O51,I52)</f>
        <v>573535545.77105</v>
      </c>
      <c r="P52" s="0" t="n">
        <f aca="false">(L_I1!R42-L_S1!R42)*D52</f>
        <v>0</v>
      </c>
    </row>
    <row r="53" customFormat="false" ht="15" hidden="false" customHeight="false" outlineLevel="0" collapsed="false">
      <c r="A53" s="0" t="n">
        <v>2066</v>
      </c>
      <c r="B53" s="0" t="n">
        <v>40</v>
      </c>
      <c r="C53" s="0" t="n">
        <f aca="false">IF(B53&lt;x_H,(1+x_rc)^(-B53),0)</f>
        <v>0</v>
      </c>
      <c r="D53" s="0" t="n">
        <f aca="false">IF(B53&lt;x_H,(1+x_RE)^(-B53),0)</f>
        <v>0</v>
      </c>
      <c r="E53" s="0" t="n">
        <f aca="false">(L_I1!AI43-L_S1!AI43)*C53</f>
        <v>-0</v>
      </c>
      <c r="F53" s="0" t="n">
        <f aca="false">(L_I1!AJ43-L_S1!AJ43)*C53</f>
        <v>-0</v>
      </c>
      <c r="G53" s="0" t="n">
        <f aca="false">(L_I1!AK43-L_S1!AK43)*C53</f>
        <v>-0</v>
      </c>
      <c r="H53" s="0" t="n">
        <f aca="false">(L_I1!AM43-L_S1!AM43)*C53</f>
        <v>0</v>
      </c>
      <c r="I53" s="0" t="n">
        <f aca="false">I52+E53</f>
        <v>296007458.76734</v>
      </c>
      <c r="J53" s="0" t="n">
        <f aca="false">J52+F53</f>
        <v>250526463.159752</v>
      </c>
      <c r="K53" s="0" t="n">
        <f aca="false">K52+G53</f>
        <v>241767622.632618</v>
      </c>
      <c r="L53" s="0" t="n">
        <f aca="false">MAX(L52,J53)</f>
        <v>535886097.809923</v>
      </c>
      <c r="M53" s="0" t="n">
        <f aca="false">IF(AND(B53&lt;x_H,J53&lt;=0,L52&gt;0),1,0)</f>
        <v>0</v>
      </c>
      <c r="N53" s="0" t="n">
        <f aca="false">IF(AND(B53&lt;x_H,I53&lt;=0,O52&gt;0),1,0)</f>
        <v>0</v>
      </c>
      <c r="O53" s="0" t="n">
        <f aca="false">MAX(O52,I53)</f>
        <v>573535545.77105</v>
      </c>
      <c r="P53" s="0" t="n">
        <f aca="false">(L_I1!R43-L_S1!R43)*D53</f>
        <v>0</v>
      </c>
    </row>
    <row r="54" customFormat="false" ht="15" hidden="false" customHeight="false" outlineLevel="0" collapsed="false">
      <c r="A54" s="0" t="n">
        <v>2067</v>
      </c>
      <c r="B54" s="0" t="n">
        <v>41</v>
      </c>
      <c r="C54" s="0" t="n">
        <f aca="false">IF(B54&lt;x_H,(1+x_rc)^(-B54),0)</f>
        <v>0</v>
      </c>
      <c r="D54" s="0" t="n">
        <f aca="false">IF(B54&lt;x_H,(1+x_RE)^(-B54),0)</f>
        <v>0</v>
      </c>
      <c r="E54" s="0" t="n">
        <f aca="false">(L_I1!AI44-L_S1!AI44)*C54</f>
        <v>-0</v>
      </c>
      <c r="F54" s="0" t="n">
        <f aca="false">(L_I1!AJ44-L_S1!AJ44)*C54</f>
        <v>-0</v>
      </c>
      <c r="G54" s="0" t="n">
        <f aca="false">(L_I1!AK44-L_S1!AK44)*C54</f>
        <v>-0</v>
      </c>
      <c r="H54" s="0" t="n">
        <f aca="false">(L_I1!AM44-L_S1!AM44)*C54</f>
        <v>0</v>
      </c>
      <c r="I54" s="0" t="n">
        <f aca="false">I53+E54</f>
        <v>296007458.76734</v>
      </c>
      <c r="J54" s="0" t="n">
        <f aca="false">J53+F54</f>
        <v>250526463.159752</v>
      </c>
      <c r="K54" s="0" t="n">
        <f aca="false">K53+G54</f>
        <v>241767622.632618</v>
      </c>
      <c r="L54" s="0" t="n">
        <f aca="false">MAX(L53,J54)</f>
        <v>535886097.809923</v>
      </c>
      <c r="M54" s="0" t="n">
        <f aca="false">IF(AND(B54&lt;x_H,J54&lt;=0,L53&gt;0),1,0)</f>
        <v>0</v>
      </c>
      <c r="N54" s="0" t="n">
        <f aca="false">IF(AND(B54&lt;x_H,I54&lt;=0,O53&gt;0),1,0)</f>
        <v>0</v>
      </c>
      <c r="O54" s="0" t="n">
        <f aca="false">MAX(O53,I54)</f>
        <v>573535545.77105</v>
      </c>
      <c r="P54" s="0" t="n">
        <f aca="false">(L_I1!R44-L_S1!R44)*D54</f>
        <v>0</v>
      </c>
    </row>
    <row r="55" customFormat="false" ht="15" hidden="false" customHeight="false" outlineLevel="0" collapsed="false">
      <c r="A55" s="0" t="n">
        <v>2068</v>
      </c>
      <c r="B55" s="0" t="n">
        <v>42</v>
      </c>
      <c r="C55" s="0" t="n">
        <f aca="false">IF(B55&lt;x_H,(1+x_rc)^(-B55),0)</f>
        <v>0</v>
      </c>
      <c r="D55" s="0" t="n">
        <f aca="false">IF(B55&lt;x_H,(1+x_RE)^(-B55),0)</f>
        <v>0</v>
      </c>
      <c r="E55" s="0" t="n">
        <f aca="false">(L_I1!AI45-L_S1!AI45)*C55</f>
        <v>-0</v>
      </c>
      <c r="F55" s="0" t="n">
        <f aca="false">(L_I1!AJ45-L_S1!AJ45)*C55</f>
        <v>-0</v>
      </c>
      <c r="G55" s="0" t="n">
        <f aca="false">(L_I1!AK45-L_S1!AK45)*C55</f>
        <v>-0</v>
      </c>
      <c r="H55" s="0" t="n">
        <f aca="false">(L_I1!AM45-L_S1!AM45)*C55</f>
        <v>0</v>
      </c>
      <c r="I55" s="0" t="n">
        <f aca="false">I54+E55</f>
        <v>296007458.76734</v>
      </c>
      <c r="J55" s="0" t="n">
        <f aca="false">J54+F55</f>
        <v>250526463.159752</v>
      </c>
      <c r="K55" s="0" t="n">
        <f aca="false">K54+G55</f>
        <v>241767622.632618</v>
      </c>
      <c r="L55" s="0" t="n">
        <f aca="false">MAX(L54,J55)</f>
        <v>535886097.809923</v>
      </c>
      <c r="M55" s="0" t="n">
        <f aca="false">IF(AND(B55&lt;x_H,J55&lt;=0,L54&gt;0),1,0)</f>
        <v>0</v>
      </c>
      <c r="N55" s="0" t="n">
        <f aca="false">IF(AND(B55&lt;x_H,I55&lt;=0,O54&gt;0),1,0)</f>
        <v>0</v>
      </c>
      <c r="O55" s="0" t="n">
        <f aca="false">MAX(O54,I55)</f>
        <v>573535545.77105</v>
      </c>
      <c r="P55" s="0" t="n">
        <f aca="false">(L_I1!R45-L_S1!R45)*D55</f>
        <v>0</v>
      </c>
    </row>
    <row r="56" customFormat="false" ht="15" hidden="false" customHeight="false" outlineLevel="0" collapsed="false">
      <c r="A56" s="0" t="n">
        <v>2069</v>
      </c>
      <c r="B56" s="0" t="n">
        <v>43</v>
      </c>
      <c r="C56" s="0" t="n">
        <f aca="false">IF(B56&lt;x_H,(1+x_rc)^(-B56),0)</f>
        <v>0</v>
      </c>
      <c r="D56" s="0" t="n">
        <f aca="false">IF(B56&lt;x_H,(1+x_RE)^(-B56),0)</f>
        <v>0</v>
      </c>
      <c r="E56" s="0" t="n">
        <f aca="false">(L_I1!AI46-L_S1!AI46)*C56</f>
        <v>-0</v>
      </c>
      <c r="F56" s="0" t="n">
        <f aca="false">(L_I1!AJ46-L_S1!AJ46)*C56</f>
        <v>-0</v>
      </c>
      <c r="G56" s="0" t="n">
        <f aca="false">(L_I1!AK46-L_S1!AK46)*C56</f>
        <v>-0</v>
      </c>
      <c r="H56" s="0" t="n">
        <f aca="false">(L_I1!AM46-L_S1!AM46)*C56</f>
        <v>0</v>
      </c>
      <c r="I56" s="0" t="n">
        <f aca="false">I55+E56</f>
        <v>296007458.76734</v>
      </c>
      <c r="J56" s="0" t="n">
        <f aca="false">J55+F56</f>
        <v>250526463.159752</v>
      </c>
      <c r="K56" s="0" t="n">
        <f aca="false">K55+G56</f>
        <v>241767622.632618</v>
      </c>
      <c r="L56" s="0" t="n">
        <f aca="false">MAX(L55,J56)</f>
        <v>535886097.809923</v>
      </c>
      <c r="M56" s="0" t="n">
        <f aca="false">IF(AND(B56&lt;x_H,J56&lt;=0,L55&gt;0),1,0)</f>
        <v>0</v>
      </c>
      <c r="N56" s="0" t="n">
        <f aca="false">IF(AND(B56&lt;x_H,I56&lt;=0,O55&gt;0),1,0)</f>
        <v>0</v>
      </c>
      <c r="O56" s="0" t="n">
        <f aca="false">MAX(O55,I56)</f>
        <v>573535545.77105</v>
      </c>
      <c r="P56" s="0" t="n">
        <f aca="false">(L_I1!R46-L_S1!R46)*D56</f>
        <v>0</v>
      </c>
    </row>
    <row r="57" customFormat="false" ht="15" hidden="false" customHeight="false" outlineLevel="0" collapsed="false">
      <c r="A57" s="0" t="n">
        <v>2070</v>
      </c>
      <c r="B57" s="0" t="n">
        <v>44</v>
      </c>
      <c r="C57" s="0" t="n">
        <f aca="false">IF(B57&lt;x_H,(1+x_rc)^(-B57),0)</f>
        <v>0</v>
      </c>
      <c r="D57" s="0" t="n">
        <f aca="false">IF(B57&lt;x_H,(1+x_RE)^(-B57),0)</f>
        <v>0</v>
      </c>
      <c r="E57" s="0" t="n">
        <f aca="false">(L_I1!AI47-L_S1!AI47)*C57</f>
        <v>-0</v>
      </c>
      <c r="F57" s="0" t="n">
        <f aca="false">(L_I1!AJ47-L_S1!AJ47)*C57</f>
        <v>-0</v>
      </c>
      <c r="G57" s="0" t="n">
        <f aca="false">(L_I1!AK47-L_S1!AK47)*C57</f>
        <v>-0</v>
      </c>
      <c r="H57" s="0" t="n">
        <f aca="false">(L_I1!AM47-L_S1!AM47)*C57</f>
        <v>0</v>
      </c>
      <c r="I57" s="0" t="n">
        <f aca="false">I56+E57</f>
        <v>296007458.76734</v>
      </c>
      <c r="J57" s="0" t="n">
        <f aca="false">J56+F57</f>
        <v>250526463.159752</v>
      </c>
      <c r="K57" s="0" t="n">
        <f aca="false">K56+G57</f>
        <v>241767622.632618</v>
      </c>
      <c r="L57" s="0" t="n">
        <f aca="false">MAX(L56,J57)</f>
        <v>535886097.809923</v>
      </c>
      <c r="M57" s="0" t="n">
        <f aca="false">IF(AND(B57&lt;x_H,J57&lt;=0,L56&gt;0),1,0)</f>
        <v>0</v>
      </c>
      <c r="N57" s="0" t="n">
        <f aca="false">IF(AND(B57&lt;x_H,I57&lt;=0,O56&gt;0),1,0)</f>
        <v>0</v>
      </c>
      <c r="O57" s="0" t="n">
        <f aca="false">MAX(O56,I57)</f>
        <v>573535545.77105</v>
      </c>
      <c r="P57" s="0" t="n">
        <f aca="false">(L_I1!R47-L_S1!R47)*D57</f>
        <v>0</v>
      </c>
    </row>
    <row r="58" customFormat="false" ht="15" hidden="false" customHeight="false" outlineLevel="0" collapsed="false">
      <c r="A58" s="0" t="n">
        <v>2071</v>
      </c>
      <c r="B58" s="0" t="n">
        <v>45</v>
      </c>
      <c r="C58" s="0" t="n">
        <f aca="false">IF(B58&lt;x_H,(1+x_rc)^(-B58),0)</f>
        <v>0</v>
      </c>
      <c r="D58" s="0" t="n">
        <f aca="false">IF(B58&lt;x_H,(1+x_RE)^(-B58),0)</f>
        <v>0</v>
      </c>
      <c r="E58" s="0" t="n">
        <f aca="false">(L_I1!AI48-L_S1!AI48)*C58</f>
        <v>-0</v>
      </c>
      <c r="F58" s="0" t="n">
        <f aca="false">(L_I1!AJ48-L_S1!AJ48)*C58</f>
        <v>-0</v>
      </c>
      <c r="G58" s="0" t="n">
        <f aca="false">(L_I1!AK48-L_S1!AK48)*C58</f>
        <v>-0</v>
      </c>
      <c r="H58" s="0" t="n">
        <f aca="false">(L_I1!AM48-L_S1!AM48)*C58</f>
        <v>0</v>
      </c>
      <c r="I58" s="0" t="n">
        <f aca="false">I57+E58</f>
        <v>296007458.76734</v>
      </c>
      <c r="J58" s="0" t="n">
        <f aca="false">J57+F58</f>
        <v>250526463.159752</v>
      </c>
      <c r="K58" s="0" t="n">
        <f aca="false">K57+G58</f>
        <v>241767622.632618</v>
      </c>
      <c r="L58" s="0" t="n">
        <f aca="false">MAX(L57,J58)</f>
        <v>535886097.809923</v>
      </c>
      <c r="M58" s="0" t="n">
        <f aca="false">IF(AND(B58&lt;x_H,J58&lt;=0,L57&gt;0),1,0)</f>
        <v>0</v>
      </c>
      <c r="N58" s="0" t="n">
        <f aca="false">IF(AND(B58&lt;x_H,I58&lt;=0,O57&gt;0),1,0)</f>
        <v>0</v>
      </c>
      <c r="O58" s="0" t="n">
        <f aca="false">MAX(O57,I58)</f>
        <v>573535545.77105</v>
      </c>
      <c r="P58" s="0" t="n">
        <f aca="false">(L_I1!R48-L_S1!R48)*D58</f>
        <v>0</v>
      </c>
    </row>
    <row r="59" customFormat="false" ht="15" hidden="false" customHeight="false" outlineLevel="0" collapsed="false">
      <c r="A59" s="0" t="n">
        <v>2072</v>
      </c>
      <c r="B59" s="0" t="n">
        <v>46</v>
      </c>
      <c r="C59" s="0" t="n">
        <f aca="false">IF(B59&lt;x_H,(1+x_rc)^(-B59),0)</f>
        <v>0</v>
      </c>
      <c r="D59" s="0" t="n">
        <f aca="false">IF(B59&lt;x_H,(1+x_RE)^(-B59),0)</f>
        <v>0</v>
      </c>
      <c r="E59" s="0" t="n">
        <f aca="false">(L_I1!AI49-L_S1!AI49)*C59</f>
        <v>-0</v>
      </c>
      <c r="F59" s="0" t="n">
        <f aca="false">(L_I1!AJ49-L_S1!AJ49)*C59</f>
        <v>-0</v>
      </c>
      <c r="G59" s="0" t="n">
        <f aca="false">(L_I1!AK49-L_S1!AK49)*C59</f>
        <v>-0</v>
      </c>
      <c r="H59" s="0" t="n">
        <f aca="false">(L_I1!AM49-L_S1!AM49)*C59</f>
        <v>0</v>
      </c>
      <c r="I59" s="0" t="n">
        <f aca="false">I58+E59</f>
        <v>296007458.76734</v>
      </c>
      <c r="J59" s="0" t="n">
        <f aca="false">J58+F59</f>
        <v>250526463.159752</v>
      </c>
      <c r="K59" s="0" t="n">
        <f aca="false">K58+G59</f>
        <v>241767622.632618</v>
      </c>
      <c r="L59" s="0" t="n">
        <f aca="false">MAX(L58,J59)</f>
        <v>535886097.809923</v>
      </c>
      <c r="M59" s="0" t="n">
        <f aca="false">IF(AND(B59&lt;x_H,J59&lt;=0,L58&gt;0),1,0)</f>
        <v>0</v>
      </c>
      <c r="N59" s="0" t="n">
        <f aca="false">IF(AND(B59&lt;x_H,I59&lt;=0,O58&gt;0),1,0)</f>
        <v>0</v>
      </c>
      <c r="O59" s="0" t="n">
        <f aca="false">MAX(O58,I59)</f>
        <v>573535545.77105</v>
      </c>
      <c r="P59" s="0" t="n">
        <f aca="false">(L_I1!R49-L_S1!R49)*D59</f>
        <v>0</v>
      </c>
    </row>
    <row r="60" customFormat="false" ht="15" hidden="false" customHeight="false" outlineLevel="0" collapsed="false">
      <c r="A60" s="0" t="n">
        <v>2073</v>
      </c>
      <c r="B60" s="0" t="n">
        <v>47</v>
      </c>
      <c r="C60" s="0" t="n">
        <f aca="false">IF(B60&lt;x_H,(1+x_rc)^(-B60),0)</f>
        <v>0</v>
      </c>
      <c r="D60" s="0" t="n">
        <f aca="false">IF(B60&lt;x_H,(1+x_RE)^(-B60),0)</f>
        <v>0</v>
      </c>
      <c r="E60" s="0" t="n">
        <f aca="false">(L_I1!AI50-L_S1!AI50)*C60</f>
        <v>-0</v>
      </c>
      <c r="F60" s="0" t="n">
        <f aca="false">(L_I1!AJ50-L_S1!AJ50)*C60</f>
        <v>-0</v>
      </c>
      <c r="G60" s="0" t="n">
        <f aca="false">(L_I1!AK50-L_S1!AK50)*C60</f>
        <v>-0</v>
      </c>
      <c r="H60" s="0" t="n">
        <f aca="false">(L_I1!AM50-L_S1!AM50)*C60</f>
        <v>0</v>
      </c>
      <c r="I60" s="0" t="n">
        <f aca="false">I59+E60</f>
        <v>296007458.76734</v>
      </c>
      <c r="J60" s="0" t="n">
        <f aca="false">J59+F60</f>
        <v>250526463.159752</v>
      </c>
      <c r="K60" s="0" t="n">
        <f aca="false">K59+G60</f>
        <v>241767622.632618</v>
      </c>
      <c r="L60" s="0" t="n">
        <f aca="false">MAX(L59,J60)</f>
        <v>535886097.809923</v>
      </c>
      <c r="M60" s="0" t="n">
        <f aca="false">IF(AND(B60&lt;x_H,J60&lt;=0,L59&gt;0),1,0)</f>
        <v>0</v>
      </c>
      <c r="N60" s="0" t="n">
        <f aca="false">IF(AND(B60&lt;x_H,I60&lt;=0,O59&gt;0),1,0)</f>
        <v>0</v>
      </c>
      <c r="O60" s="0" t="n">
        <f aca="false">MAX(O59,I60)</f>
        <v>573535545.77105</v>
      </c>
      <c r="P60" s="0" t="n">
        <f aca="false">(L_I1!R50-L_S1!R50)*D60</f>
        <v>0</v>
      </c>
    </row>
    <row r="61" customFormat="false" ht="15" hidden="false" customHeight="false" outlineLevel="0" collapsed="false">
      <c r="A61" s="0" t="n">
        <v>2074</v>
      </c>
      <c r="B61" s="0" t="n">
        <v>48</v>
      </c>
      <c r="C61" s="0" t="n">
        <f aca="false">IF(B61&lt;x_H,(1+x_rc)^(-B61),0)</f>
        <v>0</v>
      </c>
      <c r="D61" s="0" t="n">
        <f aca="false">IF(B61&lt;x_H,(1+x_RE)^(-B61),0)</f>
        <v>0</v>
      </c>
      <c r="E61" s="0" t="n">
        <f aca="false">(L_I1!AI51-L_S1!AI51)*C61</f>
        <v>-0</v>
      </c>
      <c r="F61" s="0" t="n">
        <f aca="false">(L_I1!AJ51-L_S1!AJ51)*C61</f>
        <v>-0</v>
      </c>
      <c r="G61" s="0" t="n">
        <f aca="false">(L_I1!AK51-L_S1!AK51)*C61</f>
        <v>-0</v>
      </c>
      <c r="H61" s="0" t="n">
        <f aca="false">(L_I1!AM51-L_S1!AM51)*C61</f>
        <v>0</v>
      </c>
      <c r="I61" s="0" t="n">
        <f aca="false">I60+E61</f>
        <v>296007458.76734</v>
      </c>
      <c r="J61" s="0" t="n">
        <f aca="false">J60+F61</f>
        <v>250526463.159752</v>
      </c>
      <c r="K61" s="0" t="n">
        <f aca="false">K60+G61</f>
        <v>241767622.632618</v>
      </c>
      <c r="L61" s="0" t="n">
        <f aca="false">MAX(L60,J61)</f>
        <v>535886097.809923</v>
      </c>
      <c r="M61" s="0" t="n">
        <f aca="false">IF(AND(B61&lt;x_H,J61&lt;=0,L60&gt;0),1,0)</f>
        <v>0</v>
      </c>
      <c r="N61" s="0" t="n">
        <f aca="false">IF(AND(B61&lt;x_H,I61&lt;=0,O60&gt;0),1,0)</f>
        <v>0</v>
      </c>
      <c r="O61" s="0" t="n">
        <f aca="false">MAX(O60,I61)</f>
        <v>573535545.77105</v>
      </c>
      <c r="P61" s="0" t="n">
        <f aca="false">(L_I1!R51-L_S1!R51)*D61</f>
        <v>0</v>
      </c>
    </row>
    <row r="62" customFormat="false" ht="15" hidden="false" customHeight="false" outlineLevel="0" collapsed="false">
      <c r="A62" s="0" t="n">
        <v>2075</v>
      </c>
      <c r="B62" s="0" t="n">
        <v>49</v>
      </c>
      <c r="C62" s="0" t="n">
        <f aca="false">IF(B62&lt;x_H,(1+x_rc)^(-B62),0)</f>
        <v>0</v>
      </c>
      <c r="D62" s="0" t="n">
        <f aca="false">IF(B62&lt;x_H,(1+x_RE)^(-B62),0)</f>
        <v>0</v>
      </c>
      <c r="E62" s="0" t="n">
        <f aca="false">(L_I1!AI52-L_S1!AI52)*C62</f>
        <v>-0</v>
      </c>
      <c r="F62" s="0" t="n">
        <f aca="false">(L_I1!AJ52-L_S1!AJ52)*C62</f>
        <v>-0</v>
      </c>
      <c r="G62" s="0" t="n">
        <f aca="false">(L_I1!AK52-L_S1!AK52)*C62</f>
        <v>-0</v>
      </c>
      <c r="H62" s="0" t="n">
        <f aca="false">(L_I1!AM52-L_S1!AM52)*C62</f>
        <v>0</v>
      </c>
      <c r="I62" s="0" t="n">
        <f aca="false">I61+E62</f>
        <v>296007458.76734</v>
      </c>
      <c r="J62" s="0" t="n">
        <f aca="false">J61+F62</f>
        <v>250526463.159752</v>
      </c>
      <c r="K62" s="0" t="n">
        <f aca="false">K61+G62</f>
        <v>241767622.632618</v>
      </c>
      <c r="L62" s="0" t="n">
        <f aca="false">MAX(L61,J62)</f>
        <v>535886097.809923</v>
      </c>
      <c r="M62" s="0" t="n">
        <f aca="false">IF(AND(B62&lt;x_H,J62&lt;=0,L61&gt;0),1,0)</f>
        <v>0</v>
      </c>
      <c r="N62" s="0" t="n">
        <f aca="false">IF(AND(B62&lt;x_H,I62&lt;=0,O61&gt;0),1,0)</f>
        <v>0</v>
      </c>
      <c r="O62" s="0" t="n">
        <f aca="false">MAX(O61,I62)</f>
        <v>573535545.77105</v>
      </c>
      <c r="P62" s="0" t="n">
        <f aca="false">(L_I1!R52-L_S1!R52)*D62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1" t="s">
        <v>506</v>
      </c>
    </row>
    <row r="2" customFormat="false" ht="15" hidden="false" customHeight="false" outlineLevel="0" collapsed="false">
      <c r="A2" s="1" t="s">
        <v>483</v>
      </c>
      <c r="B2" s="0" t="n">
        <f aca="false">x_H</f>
        <v>20</v>
      </c>
    </row>
    <row r="3" customFormat="false" ht="15" hidden="false" customHeight="false" outlineLevel="0" collapsed="false">
      <c r="A3" s="1" t="s">
        <v>484</v>
      </c>
      <c r="B3" s="0" t="n">
        <f aca="false">SUM(H13:H62)</f>
        <v>135571609.408058</v>
      </c>
    </row>
    <row r="4" customFormat="false" ht="15" hidden="false" customHeight="false" outlineLevel="0" collapsed="false">
      <c r="A4" s="1" t="s">
        <v>485</v>
      </c>
      <c r="B4" s="0" t="n">
        <f aca="false">SUM(F13:F62)</f>
        <v>-13333817.3382896</v>
      </c>
    </row>
    <row r="5" customFormat="false" ht="15" hidden="false" customHeight="false" outlineLevel="0" collapsed="false">
      <c r="A5" s="1" t="s">
        <v>486</v>
      </c>
      <c r="B5" s="0" t="n">
        <f aca="false">B3-B4</f>
        <v>148905426.746348</v>
      </c>
    </row>
    <row r="6" customFormat="false" ht="15" hidden="false" customHeight="false" outlineLevel="0" collapsed="false">
      <c r="A6" s="1" t="s">
        <v>487</v>
      </c>
      <c r="B6" s="0" t="n">
        <f aca="false">IF(B3=0,"—",(B5-B3)/ABS(B3))</f>
        <v>0.0983525783643683</v>
      </c>
    </row>
    <row r="7" customFormat="false" ht="15" hidden="false" customHeight="false" outlineLevel="0" collapsed="false">
      <c r="A7" s="1" t="s">
        <v>488</v>
      </c>
      <c r="B7" s="0" t="n">
        <f aca="false">IFERROR(INDEX(A13:A62,MATCH(1,M13:M62,0)),"brak w horyzoncie")</f>
        <v>2043</v>
      </c>
    </row>
    <row r="8" customFormat="false" ht="15" hidden="false" customHeight="false" outlineLevel="0" collapsed="false">
      <c r="A8" s="1" t="s">
        <v>489</v>
      </c>
      <c r="B8" s="0" t="n">
        <f aca="false">IFERROR(INDEX(A13:A62,MATCH(1,N13:N62,0)),"brak w horyzoncie")</f>
        <v>2044</v>
      </c>
    </row>
    <row r="9" customFormat="false" ht="15" hidden="false" customHeight="false" outlineLevel="0" collapsed="false">
      <c r="A9" s="1" t="s">
        <v>490</v>
      </c>
      <c r="B9" s="0" t="n">
        <f aca="false">SUM(E13:E62)</f>
        <v>-8689449.55665702</v>
      </c>
    </row>
    <row r="10" customFormat="false" ht="15" hidden="false" customHeight="false" outlineLevel="0" collapsed="false">
      <c r="A10" s="1" t="s">
        <v>491</v>
      </c>
      <c r="B10" s="0" t="n">
        <f aca="false">IFERROR(B4/SUM(P13:P62),"—")</f>
        <v>-3488.90577711197</v>
      </c>
    </row>
    <row r="12" customFormat="false" ht="55.2" hidden="false" customHeight="false" outlineLevel="0" collapsed="false">
      <c r="A12" s="3" t="s">
        <v>309</v>
      </c>
      <c r="B12" s="3" t="s">
        <v>444</v>
      </c>
      <c r="C12" s="3" t="s">
        <v>492</v>
      </c>
      <c r="D12" s="3" t="s">
        <v>493</v>
      </c>
      <c r="E12" s="3" t="s">
        <v>494</v>
      </c>
      <c r="F12" s="3" t="s">
        <v>495</v>
      </c>
      <c r="G12" s="3" t="s">
        <v>496</v>
      </c>
      <c r="H12" s="3" t="s">
        <v>497</v>
      </c>
      <c r="I12" s="3" t="s">
        <v>498</v>
      </c>
      <c r="J12" s="3" t="s">
        <v>499</v>
      </c>
      <c r="K12" s="3" t="s">
        <v>500</v>
      </c>
      <c r="L12" s="3" t="s">
        <v>501</v>
      </c>
      <c r="M12" s="3" t="s">
        <v>502</v>
      </c>
      <c r="N12" s="3" t="s">
        <v>503</v>
      </c>
      <c r="O12" s="3" t="s">
        <v>504</v>
      </c>
      <c r="P12" s="3" t="s">
        <v>505</v>
      </c>
    </row>
    <row r="13" customFormat="false" ht="15" hidden="false" customHeight="false" outlineLevel="0" collapsed="false">
      <c r="A13" s="0" t="n">
        <v>2026</v>
      </c>
      <c r="B13" s="0" t="n">
        <v>0</v>
      </c>
      <c r="C13" s="0" t="n">
        <f aca="false">IF(B13&lt;x_H,(1+x_rc)^(-B13),0)</f>
        <v>1</v>
      </c>
      <c r="D13" s="0" t="n">
        <f aca="false">IF(B13&lt;x_H,(1+x_RE)^(-B13),0)</f>
        <v>1</v>
      </c>
      <c r="E13" s="0" t="n">
        <f aca="false">(L_I3!AI3-L_S1!AI3)*C13</f>
        <v>14073999.9665147</v>
      </c>
      <c r="F13" s="0" t="n">
        <f aca="false">(L_I3!AJ3-L_S1!AJ3)*C13</f>
        <v>14703926.9103644</v>
      </c>
      <c r="G13" s="0" t="n">
        <f aca="false">(L_I3!AK3-L_S1!AK3)*C13</f>
        <v>14726539.924999</v>
      </c>
      <c r="H13" s="0" t="n">
        <f aca="false">(L_I3!AM3-L_S1!AM3)*C13</f>
        <v>16004429.3308901</v>
      </c>
      <c r="I13" s="0" t="n">
        <f aca="false">E13</f>
        <v>14073999.9665147</v>
      </c>
      <c r="J13" s="0" t="n">
        <f aca="false">F13</f>
        <v>14703926.9103644</v>
      </c>
      <c r="K13" s="0" t="n">
        <f aca="false">G13</f>
        <v>14726539.924999</v>
      </c>
      <c r="L13" s="0" t="n">
        <f aca="false">J13</f>
        <v>14703926.9103644</v>
      </c>
      <c r="M13" s="0" t="n">
        <v>0</v>
      </c>
      <c r="N13" s="0" t="n">
        <v>0</v>
      </c>
      <c r="O13" s="0" t="n">
        <f aca="false">I13</f>
        <v>14073999.9665147</v>
      </c>
      <c r="P13" s="0" t="n">
        <f aca="false">(L_I3!R3-L_S1!R3)*D13</f>
        <v>29.2770000000019</v>
      </c>
    </row>
    <row r="14" customFormat="false" ht="15" hidden="false" customHeight="false" outlineLevel="0" collapsed="false">
      <c r="A14" s="0" t="n">
        <v>2027</v>
      </c>
      <c r="B14" s="0" t="n">
        <v>1</v>
      </c>
      <c r="C14" s="0" t="n">
        <f aca="false">IF(B14&lt;x_H,(1+x_rc)^(-B14),0)</f>
        <v>0.952380952380952</v>
      </c>
      <c r="D14" s="0" t="n">
        <f aca="false">IF(B14&lt;x_H,(1+x_RE)^(-B14),0)</f>
        <v>0.963391136801541</v>
      </c>
      <c r="E14" s="0" t="n">
        <f aca="false">(L_I3!AI4-L_S1!AI4)*C14</f>
        <v>22709993.6970374</v>
      </c>
      <c r="F14" s="0" t="n">
        <f aca="false">(L_I3!AJ4-L_S1!AJ4)*C14</f>
        <v>23814113.1305931</v>
      </c>
      <c r="G14" s="0" t="n">
        <f aca="false">(L_I3!AK4-L_S1!AK4)*C14</f>
        <v>23853455.1075238</v>
      </c>
      <c r="H14" s="0" t="n">
        <f aca="false">(L_I3!AM4-L_S1!AM4)*C14</f>
        <v>27342923.8238979</v>
      </c>
      <c r="I14" s="0" t="n">
        <f aca="false">I13+E14</f>
        <v>36783993.6635521</v>
      </c>
      <c r="J14" s="0" t="n">
        <f aca="false">J13+F14</f>
        <v>38518040.0409575</v>
      </c>
      <c r="K14" s="0" t="n">
        <f aca="false">K13+G14</f>
        <v>38579995.0325228</v>
      </c>
      <c r="L14" s="0" t="n">
        <f aca="false">MAX(L13,J14)</f>
        <v>38518040.0409575</v>
      </c>
      <c r="M14" s="0" t="n">
        <f aca="false">IF(AND(B14&lt;x_H,J14&lt;=0,L13&gt;0),1,0)</f>
        <v>0</v>
      </c>
      <c r="N14" s="0" t="n">
        <f aca="false">IF(AND(B14&lt;x_H,I14&lt;=0,O13&gt;0),1,0)</f>
        <v>0</v>
      </c>
      <c r="O14" s="0" t="n">
        <f aca="false">MAX(O13,I14)</f>
        <v>36783993.6635521</v>
      </c>
      <c r="P14" s="0" t="n">
        <f aca="false">(L_I3!R4-L_S1!R4)*D14</f>
        <v>78.553949903651</v>
      </c>
    </row>
    <row r="15" customFormat="false" ht="15" hidden="false" customHeight="false" outlineLevel="0" collapsed="false">
      <c r="A15" s="0" t="n">
        <v>2028</v>
      </c>
      <c r="B15" s="0" t="n">
        <v>2</v>
      </c>
      <c r="C15" s="0" t="n">
        <f aca="false">IF(B15&lt;x_H,(1+x_rc)^(-B15),0)</f>
        <v>0.90702947845805</v>
      </c>
      <c r="D15" s="0" t="n">
        <f aca="false">IF(B15&lt;x_H,(1+x_RE)^(-B15),0)</f>
        <v>0.928122482467766</v>
      </c>
      <c r="E15" s="0" t="n">
        <f aca="false">(L_I3!AI5-L_S1!AI5)*C15</f>
        <v>23587139.3746049</v>
      </c>
      <c r="F15" s="0" t="n">
        <f aca="false">(L_I3!AJ5-L_S1!AJ5)*C15</f>
        <v>24977148.6827963</v>
      </c>
      <c r="G15" s="0" t="n">
        <f aca="false">(L_I3!AK5-L_S1!AK5)*C15</f>
        <v>24993103.457032</v>
      </c>
      <c r="H15" s="0" t="n">
        <f aca="false">(L_I3!AM5-L_S1!AM5)*C15</f>
        <v>31050286.049257</v>
      </c>
      <c r="I15" s="0" t="n">
        <f aca="false">I14+E15</f>
        <v>60371133.038157</v>
      </c>
      <c r="J15" s="0" t="n">
        <f aca="false">J14+F15</f>
        <v>63495188.7237537</v>
      </c>
      <c r="K15" s="0" t="n">
        <f aca="false">K14+G15</f>
        <v>63573098.4895548</v>
      </c>
      <c r="L15" s="0" t="n">
        <f aca="false">MAX(L14,J15)</f>
        <v>63495188.7237537</v>
      </c>
      <c r="M15" s="0" t="n">
        <f aca="false">IF(AND(B15&lt;x_H,J15&lt;=0,L14&gt;0),1,0)</f>
        <v>0</v>
      </c>
      <c r="N15" s="0" t="n">
        <f aca="false">IF(AND(B15&lt;x_H,I15&lt;=0,O14&gt;0),1,0)</f>
        <v>0</v>
      </c>
      <c r="O15" s="0" t="n">
        <f aca="false">MAX(O14,I15)</f>
        <v>60371133.038157</v>
      </c>
      <c r="P15" s="0" t="n">
        <f aca="false">(L_I3!R5-L_S1!R5)*D15</f>
        <v>133.234766725695</v>
      </c>
    </row>
    <row r="16" customFormat="false" ht="15" hidden="false" customHeight="false" outlineLevel="0" collapsed="false">
      <c r="A16" s="0" t="n">
        <v>2029</v>
      </c>
      <c r="B16" s="0" t="n">
        <v>3</v>
      </c>
      <c r="C16" s="0" t="n">
        <f aca="false">IF(B16&lt;x_H,(1+x_rc)^(-B16),0)</f>
        <v>0.863837598531476</v>
      </c>
      <c r="D16" s="0" t="n">
        <f aca="false">IF(B16&lt;x_H,(1+x_RE)^(-B16),0)</f>
        <v>0.89414497347569</v>
      </c>
      <c r="E16" s="0" t="n">
        <f aca="false">(L_I3!AI6-L_S1!AI6)*C16</f>
        <v>11855016.5452827</v>
      </c>
      <c r="F16" s="0" t="n">
        <f aca="false">(L_I3!AJ6-L_S1!AJ6)*C16</f>
        <v>12776889.7780213</v>
      </c>
      <c r="G16" s="0" t="n">
        <f aca="false">(L_I3!AK6-L_S1!AK6)*C16</f>
        <v>12692336.218729</v>
      </c>
      <c r="H16" s="0" t="n">
        <f aca="false">(L_I3!AM6-L_S1!AM6)*C16</f>
        <v>20588770.7540601</v>
      </c>
      <c r="I16" s="0" t="n">
        <f aca="false">I15+E16</f>
        <v>72226149.5834398</v>
      </c>
      <c r="J16" s="0" t="n">
        <f aca="false">J15+F16</f>
        <v>76272078.501775</v>
      </c>
      <c r="K16" s="0" t="n">
        <f aca="false">K15+G16</f>
        <v>76265434.7082838</v>
      </c>
      <c r="L16" s="0" t="n">
        <f aca="false">MAX(L15,J16)</f>
        <v>76272078.501775</v>
      </c>
      <c r="M16" s="0" t="n">
        <f aca="false">IF(AND(B16&lt;x_H,J16&lt;=0,L15&gt;0),1,0)</f>
        <v>0</v>
      </c>
      <c r="N16" s="0" t="n">
        <f aca="false">IF(AND(B16&lt;x_H,I16&lt;=0,O15&gt;0),1,0)</f>
        <v>0</v>
      </c>
      <c r="O16" s="0" t="n">
        <f aca="false">MAX(O15,I16)</f>
        <v>72226149.5834398</v>
      </c>
      <c r="P16" s="0" t="n">
        <f aca="false">(L_I3!R6-L_S1!R6)*D16</f>
        <v>167.086188758493</v>
      </c>
    </row>
    <row r="17" customFormat="false" ht="15" hidden="false" customHeight="false" outlineLevel="0" collapsed="false">
      <c r="A17" s="0" t="n">
        <v>2030</v>
      </c>
      <c r="B17" s="0" t="n">
        <v>4</v>
      </c>
      <c r="C17" s="0" t="n">
        <f aca="false">IF(B17&lt;x_H,(1+x_rc)^(-B17),0)</f>
        <v>0.822702474791882</v>
      </c>
      <c r="D17" s="0" t="n">
        <f aca="false">IF(B17&lt;x_H,(1+x_RE)^(-B17),0)</f>
        <v>0.861411342462129</v>
      </c>
      <c r="E17" s="0" t="n">
        <f aca="false">(L_I3!AI7-L_S1!AI7)*C17</f>
        <v>4395723.96765528</v>
      </c>
      <c r="F17" s="0" t="n">
        <f aca="false">(L_I3!AJ7-L_S1!AJ7)*C17</f>
        <v>4767622.84768939</v>
      </c>
      <c r="G17" s="0" t="n">
        <f aca="false">(L_I3!AK7-L_S1!AK7)*C17</f>
        <v>4516485.9547781</v>
      </c>
      <c r="H17" s="0" t="n">
        <f aca="false">(L_I3!AM7-L_S1!AM7)*C17</f>
        <v>13813217.0401802</v>
      </c>
      <c r="I17" s="0" t="n">
        <f aca="false">I16+E17</f>
        <v>76621873.551095</v>
      </c>
      <c r="J17" s="0" t="n">
        <f aca="false">J16+F17</f>
        <v>81039701.3494644</v>
      </c>
      <c r="K17" s="0" t="n">
        <f aca="false">K16+G17</f>
        <v>80781920.6630619</v>
      </c>
      <c r="L17" s="0" t="n">
        <f aca="false">MAX(L16,J17)</f>
        <v>81039701.3494644</v>
      </c>
      <c r="M17" s="0" t="n">
        <f aca="false">IF(AND(B17&lt;x_H,J17&lt;=0,L16&gt;0),1,0)</f>
        <v>0</v>
      </c>
      <c r="N17" s="0" t="n">
        <f aca="false">IF(AND(B17&lt;x_H,I17&lt;=0,O16&gt;0),1,0)</f>
        <v>0</v>
      </c>
      <c r="O17" s="0" t="n">
        <f aca="false">MAX(O16,I17)</f>
        <v>76621873.551095</v>
      </c>
      <c r="P17" s="0" t="n">
        <f aca="false">(L_I3!R7-L_S1!R7)*D17</f>
        <v>188.030590655324</v>
      </c>
    </row>
    <row r="18" customFormat="false" ht="15" hidden="false" customHeight="false" outlineLevel="0" collapsed="false">
      <c r="A18" s="0" t="n">
        <v>2031</v>
      </c>
      <c r="B18" s="0" t="n">
        <v>5</v>
      </c>
      <c r="C18" s="0" t="n">
        <f aca="false">IF(B18&lt;x_H,(1+x_rc)^(-B18),0)</f>
        <v>0.783526166468459</v>
      </c>
      <c r="D18" s="0" t="n">
        <f aca="false">IF(B18&lt;x_H,(1+x_RE)^(-B18),0)</f>
        <v>0.829876052468332</v>
      </c>
      <c r="E18" s="0" t="n">
        <f aca="false">(L_I3!AI8-L_S1!AI8)*C18</f>
        <v>-313043.952773307</v>
      </c>
      <c r="F18" s="0" t="n">
        <f aca="false">(L_I3!AJ8-L_S1!AJ8)*C18</f>
        <v>-545001.873558405</v>
      </c>
      <c r="G18" s="0" t="n">
        <f aca="false">(L_I3!AK8-L_S1!AK8)*C18</f>
        <v>-1018277.38726403</v>
      </c>
      <c r="H18" s="0" t="n">
        <f aca="false">(L_I3!AM8-L_S1!AM8)*C18</f>
        <v>9416839.84278707</v>
      </c>
      <c r="I18" s="0" t="n">
        <f aca="false">I17+E18</f>
        <v>76308829.5983217</v>
      </c>
      <c r="J18" s="0" t="n">
        <f aca="false">J17+F18</f>
        <v>80494699.475906</v>
      </c>
      <c r="K18" s="0" t="n">
        <f aca="false">K17+G18</f>
        <v>79763643.2757979</v>
      </c>
      <c r="L18" s="0" t="n">
        <f aca="false">MAX(L17,J18)</f>
        <v>81039701.3494644</v>
      </c>
      <c r="M18" s="0" t="n">
        <f aca="false">IF(AND(B18&lt;x_H,J18&lt;=0,L17&gt;0),1,0)</f>
        <v>0</v>
      </c>
      <c r="N18" s="0" t="n">
        <f aca="false">IF(AND(B18&lt;x_H,I18&lt;=0,O17&gt;0),1,0)</f>
        <v>0</v>
      </c>
      <c r="O18" s="0" t="n">
        <f aca="false">MAX(O17,I18)</f>
        <v>76621873.551095</v>
      </c>
      <c r="P18" s="0" t="n">
        <f aca="false">(L_I3!R8-L_S1!R8)*D18</f>
        <v>201.055730983606</v>
      </c>
    </row>
    <row r="19" customFormat="false" ht="15" hidden="false" customHeight="false" outlineLevel="0" collapsed="false">
      <c r="A19" s="0" t="n">
        <v>2032</v>
      </c>
      <c r="B19" s="0" t="n">
        <v>6</v>
      </c>
      <c r="C19" s="0" t="n">
        <f aca="false">IF(B19&lt;x_H,(1+x_rc)^(-B19),0)</f>
        <v>0.746215396636628</v>
      </c>
      <c r="D19" s="0" t="n">
        <f aca="false">IF(B19&lt;x_H,(1+x_RE)^(-B19),0)</f>
        <v>0.799495233591842</v>
      </c>
      <c r="E19" s="0" t="n">
        <f aca="false">(L_I3!AI9-L_S1!AI9)*C19</f>
        <v>-3251048.62638416</v>
      </c>
      <c r="F19" s="0" t="n">
        <f aca="false">(L_I3!AJ9-L_S1!AJ9)*C19</f>
        <v>-4118479.93713977</v>
      </c>
      <c r="G19" s="0" t="n">
        <f aca="false">(L_I3!AK9-L_S1!AK9)*C19</f>
        <v>-4859203.42594834</v>
      </c>
      <c r="H19" s="0" t="n">
        <f aca="false">(L_I3!AM9-L_S1!AM9)*C19</f>
        <v>6556557.1477595</v>
      </c>
      <c r="I19" s="0" t="n">
        <f aca="false">I18+E19</f>
        <v>73057780.9719376</v>
      </c>
      <c r="J19" s="0" t="n">
        <f aca="false">J18+F19</f>
        <v>76376219.5387662</v>
      </c>
      <c r="K19" s="0" t="n">
        <f aca="false">K18+G19</f>
        <v>74904439.8498495</v>
      </c>
      <c r="L19" s="0" t="n">
        <f aca="false">MAX(L18,J19)</f>
        <v>81039701.3494644</v>
      </c>
      <c r="M19" s="0" t="n">
        <f aca="false">IF(AND(B19&lt;x_H,J19&lt;=0,L18&gt;0),1,0)</f>
        <v>0</v>
      </c>
      <c r="N19" s="0" t="n">
        <f aca="false">IF(AND(B19&lt;x_H,I19&lt;=0,O18&gt;0),1,0)</f>
        <v>0</v>
      </c>
      <c r="O19" s="0" t="n">
        <f aca="false">MAX(O18,I19)</f>
        <v>76621873.551095</v>
      </c>
      <c r="P19" s="0" t="n">
        <f aca="false">(L_I3!R9-L_S1!R9)*D19</f>
        <v>209.255884964161</v>
      </c>
    </row>
    <row r="20" customFormat="false" ht="15" hidden="false" customHeight="false" outlineLevel="0" collapsed="false">
      <c r="A20" s="0" t="n">
        <v>2033</v>
      </c>
      <c r="B20" s="0" t="n">
        <v>7</v>
      </c>
      <c r="C20" s="0" t="n">
        <f aca="false">IF(B20&lt;x_H,(1+x_rc)^(-B20),0)</f>
        <v>0.710681330130121</v>
      </c>
      <c r="D20" s="0" t="n">
        <f aca="false">IF(B20&lt;x_H,(1+x_RE)^(-B20),0)</f>
        <v>0.770226621957459</v>
      </c>
      <c r="E20" s="0" t="n">
        <f aca="false">(L_I3!AI10-L_S1!AI10)*C20</f>
        <v>-5047946.14474476</v>
      </c>
      <c r="F20" s="0" t="n">
        <f aca="false">(L_I3!AJ10-L_S1!AJ10)*C20</f>
        <v>-6564039.15609541</v>
      </c>
      <c r="G20" s="0" t="n">
        <f aca="false">(L_I3!AK10-L_S1!AK10)*C20</f>
        <v>-7607588.24980749</v>
      </c>
      <c r="H20" s="0" t="n">
        <f aca="false">(L_I3!AM10-L_S1!AM10)*C20</f>
        <v>4688361.77270408</v>
      </c>
      <c r="I20" s="0" t="n">
        <f aca="false">I19+E20</f>
        <v>68009834.8271928</v>
      </c>
      <c r="J20" s="0" t="n">
        <f aca="false">J19+F20</f>
        <v>69812180.3826708</v>
      </c>
      <c r="K20" s="0" t="n">
        <f aca="false">K19+G20</f>
        <v>67296851.600042</v>
      </c>
      <c r="L20" s="0" t="n">
        <f aca="false">MAX(L19,J20)</f>
        <v>81039701.3494644</v>
      </c>
      <c r="M20" s="0" t="n">
        <f aca="false">IF(AND(B20&lt;x_H,J20&lt;=0,L19&gt;0),1,0)</f>
        <v>0</v>
      </c>
      <c r="N20" s="0" t="n">
        <f aca="false">IF(AND(B20&lt;x_H,I20&lt;=0,O19&gt;0),1,0)</f>
        <v>0</v>
      </c>
      <c r="O20" s="0" t="n">
        <f aca="false">MAX(O19,I20)</f>
        <v>76621873.551095</v>
      </c>
      <c r="P20" s="0" t="n">
        <f aca="false">(L_I3!R10-L_S1!R10)*D20</f>
        <v>214.539693506651</v>
      </c>
    </row>
    <row r="21" customFormat="false" ht="15" hidden="false" customHeight="false" outlineLevel="0" collapsed="false">
      <c r="A21" s="0" t="n">
        <v>2034</v>
      </c>
      <c r="B21" s="0" t="n">
        <v>8</v>
      </c>
      <c r="C21" s="0" t="n">
        <f aca="false">IF(B21&lt;x_H,(1+x_rc)^(-B21),0)</f>
        <v>0.676839362028687</v>
      </c>
      <c r="D21" s="0" t="n">
        <f aca="false">IF(B21&lt;x_H,(1+x_RE)^(-B21),0)</f>
        <v>0.742029500922407</v>
      </c>
      <c r="E21" s="0" t="n">
        <f aca="false">(L_I3!AI11-L_S1!AI11)*C21</f>
        <v>-6108008.63250178</v>
      </c>
      <c r="F21" s="0" t="n">
        <f aca="false">(L_I3!AJ11-L_S1!AJ11)*C21</f>
        <v>-8270376.12661787</v>
      </c>
      <c r="G21" s="0" t="n">
        <f aca="false">(L_I3!AK11-L_S1!AK11)*C21</f>
        <v>-9642582.90962986</v>
      </c>
      <c r="H21" s="0" t="n">
        <f aca="false">(L_I3!AM11-L_S1!AM11)*C21</f>
        <v>3461319.81544548</v>
      </c>
      <c r="I21" s="0" t="n">
        <f aca="false">I20+E21</f>
        <v>61901826.1946911</v>
      </c>
      <c r="J21" s="0" t="n">
        <f aca="false">J20+F21</f>
        <v>61541804.256053</v>
      </c>
      <c r="K21" s="0" t="n">
        <f aca="false">K20+G21</f>
        <v>57654268.6904122</v>
      </c>
      <c r="L21" s="0" t="n">
        <f aca="false">MAX(L20,J21)</f>
        <v>81039701.3494644</v>
      </c>
      <c r="M21" s="0" t="n">
        <f aca="false">IF(AND(B21&lt;x_H,J21&lt;=0,L20&gt;0),1,0)</f>
        <v>0</v>
      </c>
      <c r="N21" s="0" t="n">
        <f aca="false">IF(AND(B21&lt;x_H,I21&lt;=0,O20&gt;0),1,0)</f>
        <v>0</v>
      </c>
      <c r="O21" s="0" t="n">
        <f aca="false">MAX(O20,I21)</f>
        <v>76621873.551095</v>
      </c>
      <c r="P21" s="0" t="n">
        <f aca="false">(L_I3!R11-L_S1!R11)*D21</f>
        <v>218.044626816561</v>
      </c>
    </row>
    <row r="22" customFormat="false" ht="15" hidden="false" customHeight="false" outlineLevel="0" collapsed="false">
      <c r="A22" s="0" t="n">
        <v>2035</v>
      </c>
      <c r="B22" s="0" t="n">
        <v>9</v>
      </c>
      <c r="C22" s="0" t="n">
        <f aca="false">IF(B22&lt;x_H,(1+x_rc)^(-B22),0)</f>
        <v>0.644608916217797</v>
      </c>
      <c r="D22" s="0" t="n">
        <f aca="false">IF(B22&lt;x_H,(1+x_RE)^(-B22),0)</f>
        <v>0.714864644433919</v>
      </c>
      <c r="E22" s="0" t="n">
        <f aca="false">(L_I3!AI12-L_S1!AI12)*C22</f>
        <v>-6690758.62393047</v>
      </c>
      <c r="F22" s="0" t="n">
        <f aca="false">(L_I3!AJ12-L_S1!AJ12)*C22</f>
        <v>-9483821.73792121</v>
      </c>
      <c r="G22" s="0" t="n">
        <f aca="false">(L_I3!AK12-L_S1!AK12)*C22</f>
        <v>-11201343.5807927</v>
      </c>
      <c r="H22" s="0" t="n">
        <f aca="false">(L_I3!AM12-L_S1!AM12)*C22</f>
        <v>2648903.83107709</v>
      </c>
      <c r="I22" s="0" t="n">
        <f aca="false">I21+E22</f>
        <v>55211067.5707606</v>
      </c>
      <c r="J22" s="0" t="n">
        <f aca="false">J21+F22</f>
        <v>52057982.5181317</v>
      </c>
      <c r="K22" s="0" t="n">
        <f aca="false">K21+G22</f>
        <v>46452925.1096195</v>
      </c>
      <c r="L22" s="0" t="n">
        <f aca="false">MAX(L21,J22)</f>
        <v>81039701.3494644</v>
      </c>
      <c r="M22" s="0" t="n">
        <f aca="false">IF(AND(B22&lt;x_H,J22&lt;=0,L21&gt;0),1,0)</f>
        <v>0</v>
      </c>
      <c r="N22" s="0" t="n">
        <f aca="false">IF(AND(B22&lt;x_H,I22&lt;=0,O21&gt;0),1,0)</f>
        <v>0</v>
      </c>
      <c r="O22" s="0" t="n">
        <f aca="false">MAX(O21,I22)</f>
        <v>76621873.551095</v>
      </c>
      <c r="P22" s="0" t="n">
        <f aca="false">(L_I3!R12-L_S1!R12)*D22</f>
        <v>220.433517163702</v>
      </c>
    </row>
    <row r="23" customFormat="false" ht="15" hidden="false" customHeight="false" outlineLevel="0" collapsed="false">
      <c r="A23" s="0" t="n">
        <v>2036</v>
      </c>
      <c r="B23" s="0" t="n">
        <v>10</v>
      </c>
      <c r="C23" s="0" t="n">
        <f aca="false">IF(B23&lt;x_H,(1+x_rc)^(-B23),0)</f>
        <v>0.613913253540759</v>
      </c>
      <c r="D23" s="0" t="n">
        <f aca="false">IF(B23&lt;x_H,(1+x_RE)^(-B23),0)</f>
        <v>0.688694262460422</v>
      </c>
      <c r="E23" s="0" t="n">
        <f aca="false">(L_I3!AI13-L_S1!AI13)*C23</f>
        <v>-7767093.23453046</v>
      </c>
      <c r="F23" s="0" t="n">
        <f aca="false">(L_I3!AJ13-L_S1!AJ13)*C23</f>
        <v>-7918082.55681491</v>
      </c>
      <c r="G23" s="0" t="n">
        <f aca="false">(L_I3!AK13-L_S1!AK13)*C23</f>
        <v>-7832034.899536</v>
      </c>
      <c r="H23" s="0" t="n">
        <f aca="false">(L_I3!AM13-L_S1!AM13)*C23</f>
        <v>0</v>
      </c>
      <c r="I23" s="0" t="n">
        <f aca="false">I22+E23</f>
        <v>47443974.3362301</v>
      </c>
      <c r="J23" s="0" t="n">
        <f aca="false">J22+F23</f>
        <v>44139899.9613168</v>
      </c>
      <c r="K23" s="0" t="n">
        <f aca="false">K22+G23</f>
        <v>38620890.2100835</v>
      </c>
      <c r="L23" s="0" t="n">
        <f aca="false">MAX(L22,J23)</f>
        <v>81039701.3494644</v>
      </c>
      <c r="M23" s="0" t="n">
        <f aca="false">IF(AND(B23&lt;x_H,J23&lt;=0,L22&gt;0),1,0)</f>
        <v>0</v>
      </c>
      <c r="N23" s="0" t="n">
        <f aca="false">IF(AND(B23&lt;x_H,I23&lt;=0,O22&gt;0),1,0)</f>
        <v>0</v>
      </c>
      <c r="O23" s="0" t="n">
        <f aca="false">MAX(O22,I23)</f>
        <v>76621873.551095</v>
      </c>
      <c r="P23" s="0" t="n">
        <f aca="false">(L_I3!R13-L_S1!R13)*D23</f>
        <v>220.184508734001</v>
      </c>
    </row>
    <row r="24" customFormat="false" ht="15" hidden="false" customHeight="false" outlineLevel="0" collapsed="false">
      <c r="A24" s="0" t="n">
        <v>2037</v>
      </c>
      <c r="B24" s="0" t="n">
        <v>11</v>
      </c>
      <c r="C24" s="0" t="n">
        <f aca="false">IF(B24&lt;x_H,(1+x_rc)^(-B24),0)</f>
        <v>0.584679289086437</v>
      </c>
      <c r="D24" s="0" t="n">
        <f aca="false">IF(B24&lt;x_H,(1+x_RE)^(-B24),0)</f>
        <v>0.663481948420446</v>
      </c>
      <c r="E24" s="0" t="n">
        <f aca="false">(L_I3!AI14-L_S1!AI14)*C24</f>
        <v>-7477437.07273927</v>
      </c>
      <c r="F24" s="0" t="n">
        <f aca="false">(L_I3!AJ14-L_S1!AJ14)*C24</f>
        <v>-7619247.72295006</v>
      </c>
      <c r="G24" s="0" t="n">
        <f aca="false">(L_I3!AK14-L_S1!AK14)*C24</f>
        <v>-7543844.68804629</v>
      </c>
      <c r="H24" s="0" t="n">
        <f aca="false">(L_I3!AM14-L_S1!AM14)*C24</f>
        <v>0</v>
      </c>
      <c r="I24" s="0" t="n">
        <f aca="false">I23+E24</f>
        <v>39966537.2634909</v>
      </c>
      <c r="J24" s="0" t="n">
        <f aca="false">J23+F24</f>
        <v>36520652.2383668</v>
      </c>
      <c r="K24" s="0" t="n">
        <f aca="false">K23+G24</f>
        <v>31077045.5220372</v>
      </c>
      <c r="L24" s="0" t="n">
        <f aca="false">MAX(L23,J24)</f>
        <v>81039701.3494644</v>
      </c>
      <c r="M24" s="0" t="n">
        <f aca="false">IF(AND(B24&lt;x_H,J24&lt;=0,L23&gt;0),1,0)</f>
        <v>0</v>
      </c>
      <c r="N24" s="0" t="n">
        <f aca="false">IF(AND(B24&lt;x_H,I24&lt;=0,O23&gt;0),1,0)</f>
        <v>0</v>
      </c>
      <c r="O24" s="0" t="n">
        <f aca="false">MAX(O23,I24)</f>
        <v>76621873.551095</v>
      </c>
      <c r="P24" s="0" t="n">
        <f aca="false">(L_I3!R14-L_S1!R14)*D24</f>
        <v>220.044451675598</v>
      </c>
    </row>
    <row r="25" customFormat="false" ht="15" hidden="false" customHeight="false" outlineLevel="0" collapsed="false">
      <c r="A25" s="0" t="n">
        <v>2038</v>
      </c>
      <c r="B25" s="0" t="n">
        <v>12</v>
      </c>
      <c r="C25" s="0" t="n">
        <f aca="false">IF(B25&lt;x_H,(1+x_rc)^(-B25),0)</f>
        <v>0.556837418177559</v>
      </c>
      <c r="D25" s="0" t="n">
        <f aca="false">IF(B25&lt;x_H,(1+x_RE)^(-B25),0)</f>
        <v>0.639192628536075</v>
      </c>
      <c r="E25" s="0" t="n">
        <f aca="false">(L_I3!AI15-L_S1!AI15)*C25</f>
        <v>-7181109.21244564</v>
      </c>
      <c r="F25" s="0" t="n">
        <f aca="false">(L_I3!AJ15-L_S1!AJ15)*C25</f>
        <v>-7316891.11919903</v>
      </c>
      <c r="G25" s="0" t="n">
        <f aca="false">(L_I3!AK15-L_S1!AK15)*C25</f>
        <v>-7252310.30760847</v>
      </c>
      <c r="H25" s="0" t="n">
        <f aca="false">(L_I3!AM15-L_S1!AM15)*C25</f>
        <v>0</v>
      </c>
      <c r="I25" s="0" t="n">
        <f aca="false">I24+E25</f>
        <v>32785428.0510452</v>
      </c>
      <c r="J25" s="0" t="n">
        <f aca="false">J24+F25</f>
        <v>29203761.1191677</v>
      </c>
      <c r="K25" s="0" t="n">
        <f aca="false">K24+G25</f>
        <v>23824735.2144287</v>
      </c>
      <c r="L25" s="0" t="n">
        <f aca="false">MAX(L24,J25)</f>
        <v>81039701.3494644</v>
      </c>
      <c r="M25" s="0" t="n">
        <f aca="false">IF(AND(B25&lt;x_H,J25&lt;=0,L24&gt;0),1,0)</f>
        <v>0</v>
      </c>
      <c r="N25" s="0" t="n">
        <f aca="false">IF(AND(B25&lt;x_H,I25&lt;=0,O24&gt;0),1,0)</f>
        <v>0</v>
      </c>
      <c r="O25" s="0" t="n">
        <f aca="false">MAX(O24,I25)</f>
        <v>76621873.551095</v>
      </c>
      <c r="P25" s="0" t="n">
        <f aca="false">(L_I3!R15-L_S1!R15)*D25</f>
        <v>219.828572035611</v>
      </c>
    </row>
    <row r="26" customFormat="false" ht="15" hidden="false" customHeight="false" outlineLevel="0" collapsed="false">
      <c r="A26" s="0" t="n">
        <v>2039</v>
      </c>
      <c r="B26" s="0" t="n">
        <v>13</v>
      </c>
      <c r="C26" s="0" t="n">
        <f aca="false">IF(B26&lt;x_H,(1+x_rc)^(-B26),0)</f>
        <v>0.530321350645295</v>
      </c>
      <c r="D26" s="0" t="n">
        <f aca="false">IF(B26&lt;x_H,(1+x_RE)^(-B26),0)</f>
        <v>0.615792513040534</v>
      </c>
      <c r="E26" s="0" t="n">
        <f aca="false">(L_I3!AI16-L_S1!AI16)*C26</f>
        <v>-6877674.37426297</v>
      </c>
      <c r="F26" s="0" t="n">
        <f aca="false">(L_I3!AJ16-L_S1!AJ16)*C26</f>
        <v>-7010678.69961837</v>
      </c>
      <c r="G26" s="0" t="n">
        <f aca="false">(L_I3!AK16-L_S1!AK16)*C26</f>
        <v>-6957276.49683579</v>
      </c>
      <c r="H26" s="0" t="n">
        <f aca="false">(L_I3!AM16-L_S1!AM16)*C26</f>
        <v>0</v>
      </c>
      <c r="I26" s="0" t="n">
        <f aca="false">I25+E26</f>
        <v>25907753.6767822</v>
      </c>
      <c r="J26" s="0" t="n">
        <f aca="false">J25+F26</f>
        <v>22193082.4195494</v>
      </c>
      <c r="K26" s="0" t="n">
        <f aca="false">K25+G26</f>
        <v>16867458.7175929</v>
      </c>
      <c r="L26" s="0" t="n">
        <f aca="false">MAX(L25,J26)</f>
        <v>81039701.3494644</v>
      </c>
      <c r="M26" s="0" t="n">
        <f aca="false">IF(AND(B26&lt;x_H,J26&lt;=0,L25&gt;0),1,0)</f>
        <v>0</v>
      </c>
      <c r="N26" s="0" t="n">
        <f aca="false">IF(AND(B26&lt;x_H,I26&lt;=0,O25&gt;0),1,0)</f>
        <v>0</v>
      </c>
      <c r="O26" s="0" t="n">
        <f aca="false">MAX(O25,I26)</f>
        <v>76621873.551095</v>
      </c>
      <c r="P26" s="0" t="n">
        <f aca="false">(L_I3!R16-L_S1!R16)*D26</f>
        <v>219.385319658377</v>
      </c>
    </row>
    <row r="27" customFormat="false" ht="15" hidden="false" customHeight="false" outlineLevel="0" collapsed="false">
      <c r="A27" s="0" t="n">
        <v>2040</v>
      </c>
      <c r="B27" s="0" t="n">
        <v>14</v>
      </c>
      <c r="C27" s="0" t="n">
        <f aca="false">IF(B27&lt;x_H,(1+x_rc)^(-B27),0)</f>
        <v>0.505067952995519</v>
      </c>
      <c r="D27" s="0" t="n">
        <f aca="false">IF(B27&lt;x_H,(1+x_RE)^(-B27),0)</f>
        <v>0.593249049171998</v>
      </c>
      <c r="E27" s="0" t="n">
        <f aca="false">(L_I3!AI17-L_S1!AI17)*C27</f>
        <v>-6567833.00102286</v>
      </c>
      <c r="F27" s="0" t="n">
        <f aca="false">(L_I3!AJ17-L_S1!AJ17)*C27</f>
        <v>-6701537.58239328</v>
      </c>
      <c r="G27" s="0" t="n">
        <f aca="false">(L_I3!AK17-L_S1!AK17)*C27</f>
        <v>-6659927.57371805</v>
      </c>
      <c r="H27" s="0" t="n">
        <f aca="false">(L_I3!AM17-L_S1!AM17)*C27</f>
        <v>0</v>
      </c>
      <c r="I27" s="0" t="n">
        <f aca="false">I26+E27</f>
        <v>19339920.6757594</v>
      </c>
      <c r="J27" s="0" t="n">
        <f aca="false">J26+F27</f>
        <v>15491544.8371561</v>
      </c>
      <c r="K27" s="0" t="n">
        <f aca="false">K26+G27</f>
        <v>10207531.1438748</v>
      </c>
      <c r="L27" s="0" t="n">
        <f aca="false">MAX(L26,J27)</f>
        <v>81039701.3494644</v>
      </c>
      <c r="M27" s="0" t="n">
        <f aca="false">IF(AND(B27&lt;x_H,J27&lt;=0,L26&gt;0),1,0)</f>
        <v>0</v>
      </c>
      <c r="N27" s="0" t="n">
        <f aca="false">IF(AND(B27&lt;x_H,I27&lt;=0,O26&gt;0),1,0)</f>
        <v>0</v>
      </c>
      <c r="O27" s="0" t="n">
        <f aca="false">MAX(O26,I27)</f>
        <v>76621873.551095</v>
      </c>
      <c r="P27" s="0" t="n">
        <f aca="false">(L_I3!R17-L_S1!R17)*D27</f>
        <v>218.601002887947</v>
      </c>
    </row>
    <row r="28" customFormat="false" ht="15" hidden="false" customHeight="false" outlineLevel="0" collapsed="false">
      <c r="A28" s="0" t="n">
        <v>2041</v>
      </c>
      <c r="B28" s="0" t="n">
        <v>15</v>
      </c>
      <c r="C28" s="0" t="n">
        <f aca="false">IF(B28&lt;x_H,(1+x_rc)^(-B28),0)</f>
        <v>0.48101709809097</v>
      </c>
      <c r="D28" s="0" t="n">
        <f aca="false">IF(B28&lt;x_H,(1+x_RE)^(-B28),0)</f>
        <v>0.571530875888245</v>
      </c>
      <c r="E28" s="0" t="n">
        <f aca="false">(L_I3!AI18-L_S1!AI18)*C28</f>
        <v>-6252022.13037752</v>
      </c>
      <c r="F28" s="0" t="n">
        <f aca="false">(L_I3!AJ18-L_S1!AJ18)*C28</f>
        <v>-6389855.564039</v>
      </c>
      <c r="G28" s="0" t="n">
        <f aca="false">(L_I3!AK18-L_S1!AK18)*C28</f>
        <v>-6360794.43887484</v>
      </c>
      <c r="H28" s="0" t="n">
        <f aca="false">(L_I3!AM18-L_S1!AM18)*C28</f>
        <v>0</v>
      </c>
      <c r="I28" s="0" t="n">
        <f aca="false">I27+E28</f>
        <v>13087898.5453819</v>
      </c>
      <c r="J28" s="0" t="n">
        <f aca="false">J27+F28</f>
        <v>9101689.27311708</v>
      </c>
      <c r="K28" s="0" t="n">
        <f aca="false">K27+G28</f>
        <v>3846736.70500001</v>
      </c>
      <c r="L28" s="0" t="n">
        <f aca="false">MAX(L27,J28)</f>
        <v>81039701.3494644</v>
      </c>
      <c r="M28" s="0" t="n">
        <f aca="false">IF(AND(B28&lt;x_H,J28&lt;=0,L27&gt;0),1,0)</f>
        <v>0</v>
      </c>
      <c r="N28" s="0" t="n">
        <f aca="false">IF(AND(B28&lt;x_H,I28&lt;=0,O27&gt;0),1,0)</f>
        <v>0</v>
      </c>
      <c r="O28" s="0" t="n">
        <f aca="false">MAX(O27,I28)</f>
        <v>76621873.551095</v>
      </c>
      <c r="P28" s="0" t="n">
        <f aca="false">(L_I3!R18-L_S1!R18)*D28</f>
        <v>217.388055483731</v>
      </c>
    </row>
    <row r="29" customFormat="false" ht="15" hidden="false" customHeight="false" outlineLevel="0" collapsed="false">
      <c r="A29" s="0" t="n">
        <v>2042</v>
      </c>
      <c r="B29" s="0" t="n">
        <v>16</v>
      </c>
      <c r="C29" s="0" t="n">
        <f aca="false">IF(B29&lt;x_H,(1+x_rc)^(-B29),0)</f>
        <v>0.4581115219914</v>
      </c>
      <c r="D29" s="0" t="n">
        <f aca="false">IF(B29&lt;x_H,(1+x_RE)^(-B29),0)</f>
        <v>0.550607780239157</v>
      </c>
      <c r="E29" s="0" t="n">
        <f aca="false">(L_I3!AI19-L_S1!AI19)*C29</f>
        <v>-5931571.07577652</v>
      </c>
      <c r="F29" s="0" t="n">
        <f aca="false">(L_I3!AJ19-L_S1!AJ19)*C29</f>
        <v>-6076983.19791938</v>
      </c>
      <c r="G29" s="0" t="n">
        <f aca="false">(L_I3!AK19-L_S1!AK19)*C29</f>
        <v>-6061378.1504804</v>
      </c>
      <c r="H29" s="0" t="n">
        <f aca="false">(L_I3!AM19-L_S1!AM19)*C29</f>
        <v>0</v>
      </c>
      <c r="I29" s="0" t="n">
        <f aca="false">I28+E29</f>
        <v>7156327.46960535</v>
      </c>
      <c r="J29" s="0" t="n">
        <f aca="false">J28+F29</f>
        <v>3024706.0751977</v>
      </c>
      <c r="K29" s="0" t="n">
        <f aca="false">K28+G29</f>
        <v>-2214641.44548039</v>
      </c>
      <c r="L29" s="0" t="n">
        <f aca="false">MAX(L28,J29)</f>
        <v>81039701.3494644</v>
      </c>
      <c r="M29" s="0" t="n">
        <f aca="false">IF(AND(B29&lt;x_H,J29&lt;=0,L28&gt;0),1,0)</f>
        <v>0</v>
      </c>
      <c r="N29" s="0" t="n">
        <f aca="false">IF(AND(B29&lt;x_H,I29&lt;=0,O28&gt;0),1,0)</f>
        <v>0</v>
      </c>
      <c r="O29" s="0" t="n">
        <f aca="false">MAX(O28,I29)</f>
        <v>76621873.551095</v>
      </c>
      <c r="P29" s="0" t="n">
        <f aca="false">(L_I3!R19-L_S1!R19)*D29</f>
        <v>215.675269950798</v>
      </c>
    </row>
    <row r="30" customFormat="false" ht="15" hidden="false" customHeight="false" outlineLevel="0" collapsed="false">
      <c r="A30" s="0" t="n">
        <v>2043</v>
      </c>
      <c r="B30" s="0" t="n">
        <v>17</v>
      </c>
      <c r="C30" s="0" t="n">
        <f aca="false">IF(B30&lt;x_H,(1+x_rc)^(-B30),0)</f>
        <v>0.436296687610857</v>
      </c>
      <c r="D30" s="0" t="n">
        <f aca="false">IF(B30&lt;x_H,(1+x_RE)^(-B30),0)</f>
        <v>0.530450655336375</v>
      </c>
      <c r="E30" s="0" t="n">
        <f aca="false">(L_I3!AI20-L_S1!AI20)*C30</f>
        <v>-5607668.44494026</v>
      </c>
      <c r="F30" s="0" t="n">
        <f aca="false">(L_I3!AJ20-L_S1!AJ20)*C30</f>
        <v>-5763788.45038647</v>
      </c>
      <c r="G30" s="0" t="n">
        <f aca="false">(L_I3!AK20-L_S1!AK20)*C30</f>
        <v>-5762572.61864303</v>
      </c>
      <c r="H30" s="0" t="n">
        <f aca="false">(L_I3!AM20-L_S1!AM20)*C30</f>
        <v>0</v>
      </c>
      <c r="I30" s="0" t="n">
        <f aca="false">I29+E30</f>
        <v>1548659.02466508</v>
      </c>
      <c r="J30" s="0" t="n">
        <f aca="false">J29+F30</f>
        <v>-2739082.37518877</v>
      </c>
      <c r="K30" s="0" t="n">
        <f aca="false">K29+G30</f>
        <v>-7977214.06412341</v>
      </c>
      <c r="L30" s="0" t="n">
        <f aca="false">MAX(L29,J30)</f>
        <v>81039701.3494644</v>
      </c>
      <c r="M30" s="0" t="n">
        <f aca="false">IF(AND(B30&lt;x_H,J30&lt;=0,L29&gt;0),1,0)</f>
        <v>1</v>
      </c>
      <c r="N30" s="0" t="n">
        <f aca="false">IF(AND(B30&lt;x_H,I30&lt;=0,O29&gt;0),1,0)</f>
        <v>0</v>
      </c>
      <c r="O30" s="0" t="n">
        <f aca="false">MAX(O29,I30)</f>
        <v>76621873.551095</v>
      </c>
      <c r="P30" s="0" t="n">
        <f aca="false">(L_I3!R20-L_S1!R20)*D30</f>
        <v>213.425760273279</v>
      </c>
    </row>
    <row r="31" customFormat="false" ht="15" hidden="false" customHeight="false" outlineLevel="0" collapsed="false">
      <c r="A31" s="0" t="n">
        <v>2044</v>
      </c>
      <c r="B31" s="0" t="n">
        <v>18</v>
      </c>
      <c r="C31" s="0" t="n">
        <f aca="false">IF(B31&lt;x_H,(1+x_rc)^(-B31),0)</f>
        <v>0.415520654867483</v>
      </c>
      <c r="D31" s="0" t="n">
        <f aca="false">IF(B31&lt;x_H,(1+x_RE)^(-B31),0)</f>
        <v>0.511031459861633</v>
      </c>
      <c r="E31" s="0" t="n">
        <f aca="false">(L_I3!AI21-L_S1!AI21)*C31</f>
        <v>-5281950.05448243</v>
      </c>
      <c r="F31" s="0" t="n">
        <f aca="false">(L_I3!AJ21-L_S1!AJ21)*C31</f>
        <v>-5451921.87180627</v>
      </c>
      <c r="G31" s="0" t="n">
        <f aca="false">(L_I3!AK21-L_S1!AK21)*C31</f>
        <v>-5466165.55363959</v>
      </c>
      <c r="H31" s="0" t="n">
        <f aca="false">(L_I3!AM21-L_S1!AM21)*C31</f>
        <v>0</v>
      </c>
      <c r="I31" s="0" t="n">
        <f aca="false">I30+E31</f>
        <v>-3733291.02981734</v>
      </c>
      <c r="J31" s="0" t="n">
        <f aca="false">J30+F31</f>
        <v>-8191004.24699504</v>
      </c>
      <c r="K31" s="0" t="n">
        <f aca="false">K30+G31</f>
        <v>-13443379.617763</v>
      </c>
      <c r="L31" s="0" t="n">
        <f aca="false">MAX(L30,J31)</f>
        <v>81039701.3494644</v>
      </c>
      <c r="M31" s="0" t="n">
        <f aca="false">IF(AND(B31&lt;x_H,J31&lt;=0,L30&gt;0),1,0)</f>
        <v>1</v>
      </c>
      <c r="N31" s="0" t="n">
        <f aca="false">IF(AND(B31&lt;x_H,I31&lt;=0,O30&gt;0),1,0)</f>
        <v>1</v>
      </c>
      <c r="O31" s="0" t="n">
        <f aca="false">MAX(O30,I31)</f>
        <v>76621873.551095</v>
      </c>
      <c r="P31" s="0" t="n">
        <f aca="false">(L_I3!R21-L_S1!R21)*D31</f>
        <v>210.587888105622</v>
      </c>
    </row>
    <row r="32" customFormat="false" ht="15" hidden="false" customHeight="false" outlineLevel="0" collapsed="false">
      <c r="A32" s="0" t="n">
        <v>2045</v>
      </c>
      <c r="B32" s="0" t="n">
        <v>19</v>
      </c>
      <c r="C32" s="0" t="n">
        <f aca="false">IF(B32&lt;x_H,(1+x_rc)^(-B32),0)</f>
        <v>0.39573395701665</v>
      </c>
      <c r="D32" s="0" t="n">
        <f aca="false">IF(B32&lt;x_H,(1+x_RE)^(-B32),0)</f>
        <v>0.49232317905745</v>
      </c>
      <c r="E32" s="0" t="n">
        <f aca="false">(L_I3!AI22-L_S1!AI22)*C32</f>
        <v>-4956158.52683965</v>
      </c>
      <c r="F32" s="0" t="n">
        <f aca="false">(L_I3!AJ22-L_S1!AJ22)*C32</f>
        <v>-5142813.09129455</v>
      </c>
      <c r="G32" s="0" t="n">
        <f aca="false">(L_I3!AK22-L_S1!AK22)*C32</f>
        <v>-5173587.87659392</v>
      </c>
      <c r="H32" s="0" t="n">
        <f aca="false">(L_I3!AM22-L_S1!AM22)*C32</f>
        <v>0</v>
      </c>
      <c r="I32" s="0" t="n">
        <f aca="false">I31+E32</f>
        <v>-8689449.55665699</v>
      </c>
      <c r="J32" s="0" t="n">
        <f aca="false">J31+F32</f>
        <v>-13333817.3382896</v>
      </c>
      <c r="K32" s="0" t="n">
        <f aca="false">K31+G32</f>
        <v>-18616967.4943569</v>
      </c>
      <c r="L32" s="0" t="n">
        <f aca="false">MAX(L31,J32)</f>
        <v>81039701.3494644</v>
      </c>
      <c r="M32" s="0" t="n">
        <f aca="false">IF(AND(B32&lt;x_H,J32&lt;=0,L31&gt;0),1,0)</f>
        <v>1</v>
      </c>
      <c r="N32" s="0" t="n">
        <f aca="false">IF(AND(B32&lt;x_H,I32&lt;=0,O31&gt;0),1,0)</f>
        <v>1</v>
      </c>
      <c r="O32" s="0" t="n">
        <f aca="false">MAX(O31,I32)</f>
        <v>76621873.551095</v>
      </c>
      <c r="P32" s="0" t="n">
        <f aca="false">(L_I3!R22-L_S1!R22)*D32</f>
        <v>207.143500618886</v>
      </c>
    </row>
    <row r="33" customFormat="false" ht="15" hidden="false" customHeight="false" outlineLevel="0" collapsed="false">
      <c r="A33" s="0" t="n">
        <v>2046</v>
      </c>
      <c r="B33" s="0" t="n">
        <v>20</v>
      </c>
      <c r="C33" s="0" t="n">
        <f aca="false">IF(B33&lt;x_H,(1+x_rc)^(-B33),0)</f>
        <v>0</v>
      </c>
      <c r="D33" s="0" t="n">
        <f aca="false">IF(B33&lt;x_H,(1+x_RE)^(-B33),0)</f>
        <v>0</v>
      </c>
      <c r="E33" s="0" t="n">
        <f aca="false">(L_I3!AI23-L_S1!AI23)*C33</f>
        <v>-0</v>
      </c>
      <c r="F33" s="0" t="n">
        <f aca="false">(L_I3!AJ23-L_S1!AJ23)*C33</f>
        <v>-0</v>
      </c>
      <c r="G33" s="0" t="n">
        <f aca="false">(L_I3!AK23-L_S1!AK23)*C33</f>
        <v>-0</v>
      </c>
      <c r="H33" s="0" t="n">
        <f aca="false">(L_I3!AM23-L_S1!AM23)*C33</f>
        <v>0</v>
      </c>
      <c r="I33" s="0" t="n">
        <f aca="false">I32+E33</f>
        <v>-8689449.55665699</v>
      </c>
      <c r="J33" s="0" t="n">
        <f aca="false">J32+F33</f>
        <v>-13333817.3382896</v>
      </c>
      <c r="K33" s="0" t="n">
        <f aca="false">K32+G33</f>
        <v>-18616967.4943569</v>
      </c>
      <c r="L33" s="0" t="n">
        <f aca="false">MAX(L32,J33)</f>
        <v>81039701.3494644</v>
      </c>
      <c r="M33" s="0" t="n">
        <f aca="false">IF(AND(B33&lt;x_H,J33&lt;=0,L32&gt;0),1,0)</f>
        <v>0</v>
      </c>
      <c r="N33" s="0" t="n">
        <f aca="false">IF(AND(B33&lt;x_H,I33&lt;=0,O32&gt;0),1,0)</f>
        <v>0</v>
      </c>
      <c r="O33" s="0" t="n">
        <f aca="false">MAX(O32,I33)</f>
        <v>76621873.551095</v>
      </c>
      <c r="P33" s="0" t="n">
        <f aca="false">(L_I3!R23-L_S1!R23)*D33</f>
        <v>0</v>
      </c>
    </row>
    <row r="34" customFormat="false" ht="15" hidden="false" customHeight="false" outlineLevel="0" collapsed="false">
      <c r="A34" s="0" t="n">
        <v>2047</v>
      </c>
      <c r="B34" s="0" t="n">
        <v>21</v>
      </c>
      <c r="C34" s="0" t="n">
        <f aca="false">IF(B34&lt;x_H,(1+x_rc)^(-B34),0)</f>
        <v>0</v>
      </c>
      <c r="D34" s="0" t="n">
        <f aca="false">IF(B34&lt;x_H,(1+x_RE)^(-B34),0)</f>
        <v>0</v>
      </c>
      <c r="E34" s="0" t="n">
        <f aca="false">(L_I3!AI24-L_S1!AI24)*C34</f>
        <v>-0</v>
      </c>
      <c r="F34" s="0" t="n">
        <f aca="false">(L_I3!AJ24-L_S1!AJ24)*C34</f>
        <v>-0</v>
      </c>
      <c r="G34" s="0" t="n">
        <f aca="false">(L_I3!AK24-L_S1!AK24)*C34</f>
        <v>-0</v>
      </c>
      <c r="H34" s="0" t="n">
        <f aca="false">(L_I3!AM24-L_S1!AM24)*C34</f>
        <v>0</v>
      </c>
      <c r="I34" s="0" t="n">
        <f aca="false">I33+E34</f>
        <v>-8689449.55665699</v>
      </c>
      <c r="J34" s="0" t="n">
        <f aca="false">J33+F34</f>
        <v>-13333817.3382896</v>
      </c>
      <c r="K34" s="0" t="n">
        <f aca="false">K33+G34</f>
        <v>-18616967.4943569</v>
      </c>
      <c r="L34" s="0" t="n">
        <f aca="false">MAX(L33,J34)</f>
        <v>81039701.3494644</v>
      </c>
      <c r="M34" s="0" t="n">
        <f aca="false">IF(AND(B34&lt;x_H,J34&lt;=0,L33&gt;0),1,0)</f>
        <v>0</v>
      </c>
      <c r="N34" s="0" t="n">
        <f aca="false">IF(AND(B34&lt;x_H,I34&lt;=0,O33&gt;0),1,0)</f>
        <v>0</v>
      </c>
      <c r="O34" s="0" t="n">
        <f aca="false">MAX(O33,I34)</f>
        <v>76621873.551095</v>
      </c>
      <c r="P34" s="0" t="n">
        <f aca="false">(L_I3!R24-L_S1!R24)*D34</f>
        <v>0</v>
      </c>
    </row>
    <row r="35" customFormat="false" ht="15" hidden="false" customHeight="false" outlineLevel="0" collapsed="false">
      <c r="A35" s="0" t="n">
        <v>2048</v>
      </c>
      <c r="B35" s="0" t="n">
        <v>22</v>
      </c>
      <c r="C35" s="0" t="n">
        <f aca="false">IF(B35&lt;x_H,(1+x_rc)^(-B35),0)</f>
        <v>0</v>
      </c>
      <c r="D35" s="0" t="n">
        <f aca="false">IF(B35&lt;x_H,(1+x_RE)^(-B35),0)</f>
        <v>0</v>
      </c>
      <c r="E35" s="0" t="n">
        <f aca="false">(L_I3!AI25-L_S1!AI25)*C35</f>
        <v>-0</v>
      </c>
      <c r="F35" s="0" t="n">
        <f aca="false">(L_I3!AJ25-L_S1!AJ25)*C35</f>
        <v>-0</v>
      </c>
      <c r="G35" s="0" t="n">
        <f aca="false">(L_I3!AK25-L_S1!AK25)*C35</f>
        <v>-0</v>
      </c>
      <c r="H35" s="0" t="n">
        <f aca="false">(L_I3!AM25-L_S1!AM25)*C35</f>
        <v>0</v>
      </c>
      <c r="I35" s="0" t="n">
        <f aca="false">I34+E35</f>
        <v>-8689449.55665699</v>
      </c>
      <c r="J35" s="0" t="n">
        <f aca="false">J34+F35</f>
        <v>-13333817.3382896</v>
      </c>
      <c r="K35" s="0" t="n">
        <f aca="false">K34+G35</f>
        <v>-18616967.4943569</v>
      </c>
      <c r="L35" s="0" t="n">
        <f aca="false">MAX(L34,J35)</f>
        <v>81039701.3494644</v>
      </c>
      <c r="M35" s="0" t="n">
        <f aca="false">IF(AND(B35&lt;x_H,J35&lt;=0,L34&gt;0),1,0)</f>
        <v>0</v>
      </c>
      <c r="N35" s="0" t="n">
        <f aca="false">IF(AND(B35&lt;x_H,I35&lt;=0,O34&gt;0),1,0)</f>
        <v>0</v>
      </c>
      <c r="O35" s="0" t="n">
        <f aca="false">MAX(O34,I35)</f>
        <v>76621873.551095</v>
      </c>
      <c r="P35" s="0" t="n">
        <f aca="false">(L_I3!R25-L_S1!R25)*D35</f>
        <v>0</v>
      </c>
    </row>
    <row r="36" customFormat="false" ht="15" hidden="false" customHeight="false" outlineLevel="0" collapsed="false">
      <c r="A36" s="0" t="n">
        <v>2049</v>
      </c>
      <c r="B36" s="0" t="n">
        <v>23</v>
      </c>
      <c r="C36" s="0" t="n">
        <f aca="false">IF(B36&lt;x_H,(1+x_rc)^(-B36),0)</f>
        <v>0</v>
      </c>
      <c r="D36" s="0" t="n">
        <f aca="false">IF(B36&lt;x_H,(1+x_RE)^(-B36),0)</f>
        <v>0</v>
      </c>
      <c r="E36" s="0" t="n">
        <f aca="false">(L_I3!AI26-L_S1!AI26)*C36</f>
        <v>-0</v>
      </c>
      <c r="F36" s="0" t="n">
        <f aca="false">(L_I3!AJ26-L_S1!AJ26)*C36</f>
        <v>-0</v>
      </c>
      <c r="G36" s="0" t="n">
        <f aca="false">(L_I3!AK26-L_S1!AK26)*C36</f>
        <v>-0</v>
      </c>
      <c r="H36" s="0" t="n">
        <f aca="false">(L_I3!AM26-L_S1!AM26)*C36</f>
        <v>0</v>
      </c>
      <c r="I36" s="0" t="n">
        <f aca="false">I35+E36</f>
        <v>-8689449.55665699</v>
      </c>
      <c r="J36" s="0" t="n">
        <f aca="false">J35+F36</f>
        <v>-13333817.3382896</v>
      </c>
      <c r="K36" s="0" t="n">
        <f aca="false">K35+G36</f>
        <v>-18616967.4943569</v>
      </c>
      <c r="L36" s="0" t="n">
        <f aca="false">MAX(L35,J36)</f>
        <v>81039701.3494644</v>
      </c>
      <c r="M36" s="0" t="n">
        <f aca="false">IF(AND(B36&lt;x_H,J36&lt;=0,L35&gt;0),1,0)</f>
        <v>0</v>
      </c>
      <c r="N36" s="0" t="n">
        <f aca="false">IF(AND(B36&lt;x_H,I36&lt;=0,O35&gt;0),1,0)</f>
        <v>0</v>
      </c>
      <c r="O36" s="0" t="n">
        <f aca="false">MAX(O35,I36)</f>
        <v>76621873.551095</v>
      </c>
      <c r="P36" s="0" t="n">
        <f aca="false">(L_I3!R26-L_S1!R26)*D36</f>
        <v>0</v>
      </c>
    </row>
    <row r="37" customFormat="false" ht="15" hidden="false" customHeight="false" outlineLevel="0" collapsed="false">
      <c r="A37" s="0" t="n">
        <v>2050</v>
      </c>
      <c r="B37" s="0" t="n">
        <v>24</v>
      </c>
      <c r="C37" s="0" t="n">
        <f aca="false">IF(B37&lt;x_H,(1+x_rc)^(-B37),0)</f>
        <v>0</v>
      </c>
      <c r="D37" s="0" t="n">
        <f aca="false">IF(B37&lt;x_H,(1+x_RE)^(-B37),0)</f>
        <v>0</v>
      </c>
      <c r="E37" s="0" t="n">
        <f aca="false">(L_I3!AI27-L_S1!AI27)*C37</f>
        <v>-0</v>
      </c>
      <c r="F37" s="0" t="n">
        <f aca="false">(L_I3!AJ27-L_S1!AJ27)*C37</f>
        <v>-0</v>
      </c>
      <c r="G37" s="0" t="n">
        <f aca="false">(L_I3!AK27-L_S1!AK27)*C37</f>
        <v>-0</v>
      </c>
      <c r="H37" s="0" t="n">
        <f aca="false">(L_I3!AM27-L_S1!AM27)*C37</f>
        <v>0</v>
      </c>
      <c r="I37" s="0" t="n">
        <f aca="false">I36+E37</f>
        <v>-8689449.55665699</v>
      </c>
      <c r="J37" s="0" t="n">
        <f aca="false">J36+F37</f>
        <v>-13333817.3382896</v>
      </c>
      <c r="K37" s="0" t="n">
        <f aca="false">K36+G37</f>
        <v>-18616967.4943569</v>
      </c>
      <c r="L37" s="0" t="n">
        <f aca="false">MAX(L36,J37)</f>
        <v>81039701.3494644</v>
      </c>
      <c r="M37" s="0" t="n">
        <f aca="false">IF(AND(B37&lt;x_H,J37&lt;=0,L36&gt;0),1,0)</f>
        <v>0</v>
      </c>
      <c r="N37" s="0" t="n">
        <f aca="false">IF(AND(B37&lt;x_H,I37&lt;=0,O36&gt;0),1,0)</f>
        <v>0</v>
      </c>
      <c r="O37" s="0" t="n">
        <f aca="false">MAX(O36,I37)</f>
        <v>76621873.551095</v>
      </c>
      <c r="P37" s="0" t="n">
        <f aca="false">(L_I3!R27-L_S1!R27)*D37</f>
        <v>0</v>
      </c>
    </row>
    <row r="38" customFormat="false" ht="15" hidden="false" customHeight="false" outlineLevel="0" collapsed="false">
      <c r="A38" s="0" t="n">
        <v>2051</v>
      </c>
      <c r="B38" s="0" t="n">
        <v>25</v>
      </c>
      <c r="C38" s="0" t="n">
        <f aca="false">IF(B38&lt;x_H,(1+x_rc)^(-B38),0)</f>
        <v>0</v>
      </c>
      <c r="D38" s="0" t="n">
        <f aca="false">IF(B38&lt;x_H,(1+x_RE)^(-B38),0)</f>
        <v>0</v>
      </c>
      <c r="E38" s="0" t="n">
        <f aca="false">(L_I3!AI28-L_S1!AI28)*C38</f>
        <v>-0</v>
      </c>
      <c r="F38" s="0" t="n">
        <f aca="false">(L_I3!AJ28-L_S1!AJ28)*C38</f>
        <v>-0</v>
      </c>
      <c r="G38" s="0" t="n">
        <f aca="false">(L_I3!AK28-L_S1!AK28)*C38</f>
        <v>-0</v>
      </c>
      <c r="H38" s="0" t="n">
        <f aca="false">(L_I3!AM28-L_S1!AM28)*C38</f>
        <v>0</v>
      </c>
      <c r="I38" s="0" t="n">
        <f aca="false">I37+E38</f>
        <v>-8689449.55665699</v>
      </c>
      <c r="J38" s="0" t="n">
        <f aca="false">J37+F38</f>
        <v>-13333817.3382896</v>
      </c>
      <c r="K38" s="0" t="n">
        <f aca="false">K37+G38</f>
        <v>-18616967.4943569</v>
      </c>
      <c r="L38" s="0" t="n">
        <f aca="false">MAX(L37,J38)</f>
        <v>81039701.3494644</v>
      </c>
      <c r="M38" s="0" t="n">
        <f aca="false">IF(AND(B38&lt;x_H,J38&lt;=0,L37&gt;0),1,0)</f>
        <v>0</v>
      </c>
      <c r="N38" s="0" t="n">
        <f aca="false">IF(AND(B38&lt;x_H,I38&lt;=0,O37&gt;0),1,0)</f>
        <v>0</v>
      </c>
      <c r="O38" s="0" t="n">
        <f aca="false">MAX(O37,I38)</f>
        <v>76621873.551095</v>
      </c>
      <c r="P38" s="0" t="n">
        <f aca="false">(L_I3!R28-L_S1!R28)*D38</f>
        <v>0</v>
      </c>
    </row>
    <row r="39" customFormat="false" ht="15" hidden="false" customHeight="false" outlineLevel="0" collapsed="false">
      <c r="A39" s="0" t="n">
        <v>2052</v>
      </c>
      <c r="B39" s="0" t="n">
        <v>26</v>
      </c>
      <c r="C39" s="0" t="n">
        <f aca="false">IF(B39&lt;x_H,(1+x_rc)^(-B39),0)</f>
        <v>0</v>
      </c>
      <c r="D39" s="0" t="n">
        <f aca="false">IF(B39&lt;x_H,(1+x_RE)^(-B39),0)</f>
        <v>0</v>
      </c>
      <c r="E39" s="0" t="n">
        <f aca="false">(L_I3!AI29-L_S1!AI29)*C39</f>
        <v>-0</v>
      </c>
      <c r="F39" s="0" t="n">
        <f aca="false">(L_I3!AJ29-L_S1!AJ29)*C39</f>
        <v>-0</v>
      </c>
      <c r="G39" s="0" t="n">
        <f aca="false">(L_I3!AK29-L_S1!AK29)*C39</f>
        <v>-0</v>
      </c>
      <c r="H39" s="0" t="n">
        <f aca="false">(L_I3!AM29-L_S1!AM29)*C39</f>
        <v>0</v>
      </c>
      <c r="I39" s="0" t="n">
        <f aca="false">I38+E39</f>
        <v>-8689449.55665699</v>
      </c>
      <c r="J39" s="0" t="n">
        <f aca="false">J38+F39</f>
        <v>-13333817.3382896</v>
      </c>
      <c r="K39" s="0" t="n">
        <f aca="false">K38+G39</f>
        <v>-18616967.4943569</v>
      </c>
      <c r="L39" s="0" t="n">
        <f aca="false">MAX(L38,J39)</f>
        <v>81039701.3494644</v>
      </c>
      <c r="M39" s="0" t="n">
        <f aca="false">IF(AND(B39&lt;x_H,J39&lt;=0,L38&gt;0),1,0)</f>
        <v>0</v>
      </c>
      <c r="N39" s="0" t="n">
        <f aca="false">IF(AND(B39&lt;x_H,I39&lt;=0,O38&gt;0),1,0)</f>
        <v>0</v>
      </c>
      <c r="O39" s="0" t="n">
        <f aca="false">MAX(O38,I39)</f>
        <v>76621873.551095</v>
      </c>
      <c r="P39" s="0" t="n">
        <f aca="false">(L_I3!R29-L_S1!R29)*D39</f>
        <v>0</v>
      </c>
    </row>
    <row r="40" customFormat="false" ht="15" hidden="false" customHeight="false" outlineLevel="0" collapsed="false">
      <c r="A40" s="0" t="n">
        <v>2053</v>
      </c>
      <c r="B40" s="0" t="n">
        <v>27</v>
      </c>
      <c r="C40" s="0" t="n">
        <f aca="false">IF(B40&lt;x_H,(1+x_rc)^(-B40),0)</f>
        <v>0</v>
      </c>
      <c r="D40" s="0" t="n">
        <f aca="false">IF(B40&lt;x_H,(1+x_RE)^(-B40),0)</f>
        <v>0</v>
      </c>
      <c r="E40" s="0" t="n">
        <f aca="false">(L_I3!AI30-L_S1!AI30)*C40</f>
        <v>-0</v>
      </c>
      <c r="F40" s="0" t="n">
        <f aca="false">(L_I3!AJ30-L_S1!AJ30)*C40</f>
        <v>-0</v>
      </c>
      <c r="G40" s="0" t="n">
        <f aca="false">(L_I3!AK30-L_S1!AK30)*C40</f>
        <v>-0</v>
      </c>
      <c r="H40" s="0" t="n">
        <f aca="false">(L_I3!AM30-L_S1!AM30)*C40</f>
        <v>0</v>
      </c>
      <c r="I40" s="0" t="n">
        <f aca="false">I39+E40</f>
        <v>-8689449.55665699</v>
      </c>
      <c r="J40" s="0" t="n">
        <f aca="false">J39+F40</f>
        <v>-13333817.3382896</v>
      </c>
      <c r="K40" s="0" t="n">
        <f aca="false">K39+G40</f>
        <v>-18616967.4943569</v>
      </c>
      <c r="L40" s="0" t="n">
        <f aca="false">MAX(L39,J40)</f>
        <v>81039701.3494644</v>
      </c>
      <c r="M40" s="0" t="n">
        <f aca="false">IF(AND(B40&lt;x_H,J40&lt;=0,L39&gt;0),1,0)</f>
        <v>0</v>
      </c>
      <c r="N40" s="0" t="n">
        <f aca="false">IF(AND(B40&lt;x_H,I40&lt;=0,O39&gt;0),1,0)</f>
        <v>0</v>
      </c>
      <c r="O40" s="0" t="n">
        <f aca="false">MAX(O39,I40)</f>
        <v>76621873.551095</v>
      </c>
      <c r="P40" s="0" t="n">
        <f aca="false">(L_I3!R30-L_S1!R30)*D40</f>
        <v>0</v>
      </c>
    </row>
    <row r="41" customFormat="false" ht="15" hidden="false" customHeight="false" outlineLevel="0" collapsed="false">
      <c r="A41" s="0" t="n">
        <v>2054</v>
      </c>
      <c r="B41" s="0" t="n">
        <v>28</v>
      </c>
      <c r="C41" s="0" t="n">
        <f aca="false">IF(B41&lt;x_H,(1+x_rc)^(-B41),0)</f>
        <v>0</v>
      </c>
      <c r="D41" s="0" t="n">
        <f aca="false">IF(B41&lt;x_H,(1+x_RE)^(-B41),0)</f>
        <v>0</v>
      </c>
      <c r="E41" s="0" t="n">
        <f aca="false">(L_I3!AI31-L_S1!AI31)*C41</f>
        <v>-0</v>
      </c>
      <c r="F41" s="0" t="n">
        <f aca="false">(L_I3!AJ31-L_S1!AJ31)*C41</f>
        <v>-0</v>
      </c>
      <c r="G41" s="0" t="n">
        <f aca="false">(L_I3!AK31-L_S1!AK31)*C41</f>
        <v>-0</v>
      </c>
      <c r="H41" s="0" t="n">
        <f aca="false">(L_I3!AM31-L_S1!AM31)*C41</f>
        <v>0</v>
      </c>
      <c r="I41" s="0" t="n">
        <f aca="false">I40+E41</f>
        <v>-8689449.55665699</v>
      </c>
      <c r="J41" s="0" t="n">
        <f aca="false">J40+F41</f>
        <v>-13333817.3382896</v>
      </c>
      <c r="K41" s="0" t="n">
        <f aca="false">K40+G41</f>
        <v>-18616967.4943569</v>
      </c>
      <c r="L41" s="0" t="n">
        <f aca="false">MAX(L40,J41)</f>
        <v>81039701.3494644</v>
      </c>
      <c r="M41" s="0" t="n">
        <f aca="false">IF(AND(B41&lt;x_H,J41&lt;=0,L40&gt;0),1,0)</f>
        <v>0</v>
      </c>
      <c r="N41" s="0" t="n">
        <f aca="false">IF(AND(B41&lt;x_H,I41&lt;=0,O40&gt;0),1,0)</f>
        <v>0</v>
      </c>
      <c r="O41" s="0" t="n">
        <f aca="false">MAX(O40,I41)</f>
        <v>76621873.551095</v>
      </c>
      <c r="P41" s="0" t="n">
        <f aca="false">(L_I3!R31-L_S1!R31)*D41</f>
        <v>0</v>
      </c>
    </row>
    <row r="42" customFormat="false" ht="15" hidden="false" customHeight="false" outlineLevel="0" collapsed="false">
      <c r="A42" s="0" t="n">
        <v>2055</v>
      </c>
      <c r="B42" s="0" t="n">
        <v>29</v>
      </c>
      <c r="C42" s="0" t="n">
        <f aca="false">IF(B42&lt;x_H,(1+x_rc)^(-B42),0)</f>
        <v>0</v>
      </c>
      <c r="D42" s="0" t="n">
        <f aca="false">IF(B42&lt;x_H,(1+x_RE)^(-B42),0)</f>
        <v>0</v>
      </c>
      <c r="E42" s="0" t="n">
        <f aca="false">(L_I3!AI32-L_S1!AI32)*C42</f>
        <v>-0</v>
      </c>
      <c r="F42" s="0" t="n">
        <f aca="false">(L_I3!AJ32-L_S1!AJ32)*C42</f>
        <v>-0</v>
      </c>
      <c r="G42" s="0" t="n">
        <f aca="false">(L_I3!AK32-L_S1!AK32)*C42</f>
        <v>-0</v>
      </c>
      <c r="H42" s="0" t="n">
        <f aca="false">(L_I3!AM32-L_S1!AM32)*C42</f>
        <v>0</v>
      </c>
      <c r="I42" s="0" t="n">
        <f aca="false">I41+E42</f>
        <v>-8689449.55665699</v>
      </c>
      <c r="J42" s="0" t="n">
        <f aca="false">J41+F42</f>
        <v>-13333817.3382896</v>
      </c>
      <c r="K42" s="0" t="n">
        <f aca="false">K41+G42</f>
        <v>-18616967.4943569</v>
      </c>
      <c r="L42" s="0" t="n">
        <f aca="false">MAX(L41,J42)</f>
        <v>81039701.3494644</v>
      </c>
      <c r="M42" s="0" t="n">
        <f aca="false">IF(AND(B42&lt;x_H,J42&lt;=0,L41&gt;0),1,0)</f>
        <v>0</v>
      </c>
      <c r="N42" s="0" t="n">
        <f aca="false">IF(AND(B42&lt;x_H,I42&lt;=0,O41&gt;0),1,0)</f>
        <v>0</v>
      </c>
      <c r="O42" s="0" t="n">
        <f aca="false">MAX(O41,I42)</f>
        <v>76621873.551095</v>
      </c>
      <c r="P42" s="0" t="n">
        <f aca="false">(L_I3!R32-L_S1!R32)*D42</f>
        <v>0</v>
      </c>
    </row>
    <row r="43" customFormat="false" ht="15" hidden="false" customHeight="false" outlineLevel="0" collapsed="false">
      <c r="A43" s="0" t="n">
        <v>2056</v>
      </c>
      <c r="B43" s="0" t="n">
        <v>30</v>
      </c>
      <c r="C43" s="0" t="n">
        <f aca="false">IF(B43&lt;x_H,(1+x_rc)^(-B43),0)</f>
        <v>0</v>
      </c>
      <c r="D43" s="0" t="n">
        <f aca="false">IF(B43&lt;x_H,(1+x_RE)^(-B43),0)</f>
        <v>0</v>
      </c>
      <c r="E43" s="0" t="n">
        <f aca="false">(L_I3!AI33-L_S1!AI33)*C43</f>
        <v>-0</v>
      </c>
      <c r="F43" s="0" t="n">
        <f aca="false">(L_I3!AJ33-L_S1!AJ33)*C43</f>
        <v>-0</v>
      </c>
      <c r="G43" s="0" t="n">
        <f aca="false">(L_I3!AK33-L_S1!AK33)*C43</f>
        <v>-0</v>
      </c>
      <c r="H43" s="0" t="n">
        <f aca="false">(L_I3!AM33-L_S1!AM33)*C43</f>
        <v>0</v>
      </c>
      <c r="I43" s="0" t="n">
        <f aca="false">I42+E43</f>
        <v>-8689449.55665699</v>
      </c>
      <c r="J43" s="0" t="n">
        <f aca="false">J42+F43</f>
        <v>-13333817.3382896</v>
      </c>
      <c r="K43" s="0" t="n">
        <f aca="false">K42+G43</f>
        <v>-18616967.4943569</v>
      </c>
      <c r="L43" s="0" t="n">
        <f aca="false">MAX(L42,J43)</f>
        <v>81039701.3494644</v>
      </c>
      <c r="M43" s="0" t="n">
        <f aca="false">IF(AND(B43&lt;x_H,J43&lt;=0,L42&gt;0),1,0)</f>
        <v>0</v>
      </c>
      <c r="N43" s="0" t="n">
        <f aca="false">IF(AND(B43&lt;x_H,I43&lt;=0,O42&gt;0),1,0)</f>
        <v>0</v>
      </c>
      <c r="O43" s="0" t="n">
        <f aca="false">MAX(O42,I43)</f>
        <v>76621873.551095</v>
      </c>
      <c r="P43" s="0" t="n">
        <f aca="false">(L_I3!R33-L_S1!R33)*D43</f>
        <v>0</v>
      </c>
    </row>
    <row r="44" customFormat="false" ht="15" hidden="false" customHeight="false" outlineLevel="0" collapsed="false">
      <c r="A44" s="0" t="n">
        <v>2057</v>
      </c>
      <c r="B44" s="0" t="n">
        <v>31</v>
      </c>
      <c r="C44" s="0" t="n">
        <f aca="false">IF(B44&lt;x_H,(1+x_rc)^(-B44),0)</f>
        <v>0</v>
      </c>
      <c r="D44" s="0" t="n">
        <f aca="false">IF(B44&lt;x_H,(1+x_RE)^(-B44),0)</f>
        <v>0</v>
      </c>
      <c r="E44" s="0" t="n">
        <f aca="false">(L_I3!AI34-L_S1!AI34)*C44</f>
        <v>-0</v>
      </c>
      <c r="F44" s="0" t="n">
        <f aca="false">(L_I3!AJ34-L_S1!AJ34)*C44</f>
        <v>-0</v>
      </c>
      <c r="G44" s="0" t="n">
        <f aca="false">(L_I3!AK34-L_S1!AK34)*C44</f>
        <v>-0</v>
      </c>
      <c r="H44" s="0" t="n">
        <f aca="false">(L_I3!AM34-L_S1!AM34)*C44</f>
        <v>0</v>
      </c>
      <c r="I44" s="0" t="n">
        <f aca="false">I43+E44</f>
        <v>-8689449.55665699</v>
      </c>
      <c r="J44" s="0" t="n">
        <f aca="false">J43+F44</f>
        <v>-13333817.3382896</v>
      </c>
      <c r="K44" s="0" t="n">
        <f aca="false">K43+G44</f>
        <v>-18616967.4943569</v>
      </c>
      <c r="L44" s="0" t="n">
        <f aca="false">MAX(L43,J44)</f>
        <v>81039701.3494644</v>
      </c>
      <c r="M44" s="0" t="n">
        <f aca="false">IF(AND(B44&lt;x_H,J44&lt;=0,L43&gt;0),1,0)</f>
        <v>0</v>
      </c>
      <c r="N44" s="0" t="n">
        <f aca="false">IF(AND(B44&lt;x_H,I44&lt;=0,O43&gt;0),1,0)</f>
        <v>0</v>
      </c>
      <c r="O44" s="0" t="n">
        <f aca="false">MAX(O43,I44)</f>
        <v>76621873.551095</v>
      </c>
      <c r="P44" s="0" t="n">
        <f aca="false">(L_I3!R34-L_S1!R34)*D44</f>
        <v>0</v>
      </c>
    </row>
    <row r="45" customFormat="false" ht="15" hidden="false" customHeight="false" outlineLevel="0" collapsed="false">
      <c r="A45" s="0" t="n">
        <v>2058</v>
      </c>
      <c r="B45" s="0" t="n">
        <v>32</v>
      </c>
      <c r="C45" s="0" t="n">
        <f aca="false">IF(B45&lt;x_H,(1+x_rc)^(-B45),0)</f>
        <v>0</v>
      </c>
      <c r="D45" s="0" t="n">
        <f aca="false">IF(B45&lt;x_H,(1+x_RE)^(-B45),0)</f>
        <v>0</v>
      </c>
      <c r="E45" s="0" t="n">
        <f aca="false">(L_I3!AI35-L_S1!AI35)*C45</f>
        <v>-0</v>
      </c>
      <c r="F45" s="0" t="n">
        <f aca="false">(L_I3!AJ35-L_S1!AJ35)*C45</f>
        <v>-0</v>
      </c>
      <c r="G45" s="0" t="n">
        <f aca="false">(L_I3!AK35-L_S1!AK35)*C45</f>
        <v>-0</v>
      </c>
      <c r="H45" s="0" t="n">
        <f aca="false">(L_I3!AM35-L_S1!AM35)*C45</f>
        <v>0</v>
      </c>
      <c r="I45" s="0" t="n">
        <f aca="false">I44+E45</f>
        <v>-8689449.55665699</v>
      </c>
      <c r="J45" s="0" t="n">
        <f aca="false">J44+F45</f>
        <v>-13333817.3382896</v>
      </c>
      <c r="K45" s="0" t="n">
        <f aca="false">K44+G45</f>
        <v>-18616967.4943569</v>
      </c>
      <c r="L45" s="0" t="n">
        <f aca="false">MAX(L44,J45)</f>
        <v>81039701.3494644</v>
      </c>
      <c r="M45" s="0" t="n">
        <f aca="false">IF(AND(B45&lt;x_H,J45&lt;=0,L44&gt;0),1,0)</f>
        <v>0</v>
      </c>
      <c r="N45" s="0" t="n">
        <f aca="false">IF(AND(B45&lt;x_H,I45&lt;=0,O44&gt;0),1,0)</f>
        <v>0</v>
      </c>
      <c r="O45" s="0" t="n">
        <f aca="false">MAX(O44,I45)</f>
        <v>76621873.551095</v>
      </c>
      <c r="P45" s="0" t="n">
        <f aca="false">(L_I3!R35-L_S1!R35)*D45</f>
        <v>0</v>
      </c>
    </row>
    <row r="46" customFormat="false" ht="15" hidden="false" customHeight="false" outlineLevel="0" collapsed="false">
      <c r="A46" s="0" t="n">
        <v>2059</v>
      </c>
      <c r="B46" s="0" t="n">
        <v>33</v>
      </c>
      <c r="C46" s="0" t="n">
        <f aca="false">IF(B46&lt;x_H,(1+x_rc)^(-B46),0)</f>
        <v>0</v>
      </c>
      <c r="D46" s="0" t="n">
        <f aca="false">IF(B46&lt;x_H,(1+x_RE)^(-B46),0)</f>
        <v>0</v>
      </c>
      <c r="E46" s="0" t="n">
        <f aca="false">(L_I3!AI36-L_S1!AI36)*C46</f>
        <v>-0</v>
      </c>
      <c r="F46" s="0" t="n">
        <f aca="false">(L_I3!AJ36-L_S1!AJ36)*C46</f>
        <v>-0</v>
      </c>
      <c r="G46" s="0" t="n">
        <f aca="false">(L_I3!AK36-L_S1!AK36)*C46</f>
        <v>-0</v>
      </c>
      <c r="H46" s="0" t="n">
        <f aca="false">(L_I3!AM36-L_S1!AM36)*C46</f>
        <v>0</v>
      </c>
      <c r="I46" s="0" t="n">
        <f aca="false">I45+E46</f>
        <v>-8689449.55665699</v>
      </c>
      <c r="J46" s="0" t="n">
        <f aca="false">J45+F46</f>
        <v>-13333817.3382896</v>
      </c>
      <c r="K46" s="0" t="n">
        <f aca="false">K45+G46</f>
        <v>-18616967.4943569</v>
      </c>
      <c r="L46" s="0" t="n">
        <f aca="false">MAX(L45,J46)</f>
        <v>81039701.3494644</v>
      </c>
      <c r="M46" s="0" t="n">
        <f aca="false">IF(AND(B46&lt;x_H,J46&lt;=0,L45&gt;0),1,0)</f>
        <v>0</v>
      </c>
      <c r="N46" s="0" t="n">
        <f aca="false">IF(AND(B46&lt;x_H,I46&lt;=0,O45&gt;0),1,0)</f>
        <v>0</v>
      </c>
      <c r="O46" s="0" t="n">
        <f aca="false">MAX(O45,I46)</f>
        <v>76621873.551095</v>
      </c>
      <c r="P46" s="0" t="n">
        <f aca="false">(L_I3!R36-L_S1!R36)*D46</f>
        <v>0</v>
      </c>
    </row>
    <row r="47" customFormat="false" ht="15" hidden="false" customHeight="false" outlineLevel="0" collapsed="false">
      <c r="A47" s="0" t="n">
        <v>2060</v>
      </c>
      <c r="B47" s="0" t="n">
        <v>34</v>
      </c>
      <c r="C47" s="0" t="n">
        <f aca="false">IF(B47&lt;x_H,(1+x_rc)^(-B47),0)</f>
        <v>0</v>
      </c>
      <c r="D47" s="0" t="n">
        <f aca="false">IF(B47&lt;x_H,(1+x_RE)^(-B47),0)</f>
        <v>0</v>
      </c>
      <c r="E47" s="0" t="n">
        <f aca="false">(L_I3!AI37-L_S1!AI37)*C47</f>
        <v>-0</v>
      </c>
      <c r="F47" s="0" t="n">
        <f aca="false">(L_I3!AJ37-L_S1!AJ37)*C47</f>
        <v>-0</v>
      </c>
      <c r="G47" s="0" t="n">
        <f aca="false">(L_I3!AK37-L_S1!AK37)*C47</f>
        <v>-0</v>
      </c>
      <c r="H47" s="0" t="n">
        <f aca="false">(L_I3!AM37-L_S1!AM37)*C47</f>
        <v>0</v>
      </c>
      <c r="I47" s="0" t="n">
        <f aca="false">I46+E47</f>
        <v>-8689449.55665699</v>
      </c>
      <c r="J47" s="0" t="n">
        <f aca="false">J46+F47</f>
        <v>-13333817.3382896</v>
      </c>
      <c r="K47" s="0" t="n">
        <f aca="false">K46+G47</f>
        <v>-18616967.4943569</v>
      </c>
      <c r="L47" s="0" t="n">
        <f aca="false">MAX(L46,J47)</f>
        <v>81039701.3494644</v>
      </c>
      <c r="M47" s="0" t="n">
        <f aca="false">IF(AND(B47&lt;x_H,J47&lt;=0,L46&gt;0),1,0)</f>
        <v>0</v>
      </c>
      <c r="N47" s="0" t="n">
        <f aca="false">IF(AND(B47&lt;x_H,I47&lt;=0,O46&gt;0),1,0)</f>
        <v>0</v>
      </c>
      <c r="O47" s="0" t="n">
        <f aca="false">MAX(O46,I47)</f>
        <v>76621873.551095</v>
      </c>
      <c r="P47" s="0" t="n">
        <f aca="false">(L_I3!R37-L_S1!R37)*D47</f>
        <v>0</v>
      </c>
    </row>
    <row r="48" customFormat="false" ht="15" hidden="false" customHeight="false" outlineLevel="0" collapsed="false">
      <c r="A48" s="0" t="n">
        <v>2061</v>
      </c>
      <c r="B48" s="0" t="n">
        <v>35</v>
      </c>
      <c r="C48" s="0" t="n">
        <f aca="false">IF(B48&lt;x_H,(1+x_rc)^(-B48),0)</f>
        <v>0</v>
      </c>
      <c r="D48" s="0" t="n">
        <f aca="false">IF(B48&lt;x_H,(1+x_RE)^(-B48),0)</f>
        <v>0</v>
      </c>
      <c r="E48" s="0" t="n">
        <f aca="false">(L_I3!AI38-L_S1!AI38)*C48</f>
        <v>-0</v>
      </c>
      <c r="F48" s="0" t="n">
        <f aca="false">(L_I3!AJ38-L_S1!AJ38)*C48</f>
        <v>-0</v>
      </c>
      <c r="G48" s="0" t="n">
        <f aca="false">(L_I3!AK38-L_S1!AK38)*C48</f>
        <v>-0</v>
      </c>
      <c r="H48" s="0" t="n">
        <f aca="false">(L_I3!AM38-L_S1!AM38)*C48</f>
        <v>0</v>
      </c>
      <c r="I48" s="0" t="n">
        <f aca="false">I47+E48</f>
        <v>-8689449.55665699</v>
      </c>
      <c r="J48" s="0" t="n">
        <f aca="false">J47+F48</f>
        <v>-13333817.3382896</v>
      </c>
      <c r="K48" s="0" t="n">
        <f aca="false">K47+G48</f>
        <v>-18616967.4943569</v>
      </c>
      <c r="L48" s="0" t="n">
        <f aca="false">MAX(L47,J48)</f>
        <v>81039701.3494644</v>
      </c>
      <c r="M48" s="0" t="n">
        <f aca="false">IF(AND(B48&lt;x_H,J48&lt;=0,L47&gt;0),1,0)</f>
        <v>0</v>
      </c>
      <c r="N48" s="0" t="n">
        <f aca="false">IF(AND(B48&lt;x_H,I48&lt;=0,O47&gt;0),1,0)</f>
        <v>0</v>
      </c>
      <c r="O48" s="0" t="n">
        <f aca="false">MAX(O47,I48)</f>
        <v>76621873.551095</v>
      </c>
      <c r="P48" s="0" t="n">
        <f aca="false">(L_I3!R38-L_S1!R38)*D48</f>
        <v>0</v>
      </c>
    </row>
    <row r="49" customFormat="false" ht="15" hidden="false" customHeight="false" outlineLevel="0" collapsed="false">
      <c r="A49" s="0" t="n">
        <v>2062</v>
      </c>
      <c r="B49" s="0" t="n">
        <v>36</v>
      </c>
      <c r="C49" s="0" t="n">
        <f aca="false">IF(B49&lt;x_H,(1+x_rc)^(-B49),0)</f>
        <v>0</v>
      </c>
      <c r="D49" s="0" t="n">
        <f aca="false">IF(B49&lt;x_H,(1+x_RE)^(-B49),0)</f>
        <v>0</v>
      </c>
      <c r="E49" s="0" t="n">
        <f aca="false">(L_I3!AI39-L_S1!AI39)*C49</f>
        <v>-0</v>
      </c>
      <c r="F49" s="0" t="n">
        <f aca="false">(L_I3!AJ39-L_S1!AJ39)*C49</f>
        <v>-0</v>
      </c>
      <c r="G49" s="0" t="n">
        <f aca="false">(L_I3!AK39-L_S1!AK39)*C49</f>
        <v>-0</v>
      </c>
      <c r="H49" s="0" t="n">
        <f aca="false">(L_I3!AM39-L_S1!AM39)*C49</f>
        <v>0</v>
      </c>
      <c r="I49" s="0" t="n">
        <f aca="false">I48+E49</f>
        <v>-8689449.55665699</v>
      </c>
      <c r="J49" s="0" t="n">
        <f aca="false">J48+F49</f>
        <v>-13333817.3382896</v>
      </c>
      <c r="K49" s="0" t="n">
        <f aca="false">K48+G49</f>
        <v>-18616967.4943569</v>
      </c>
      <c r="L49" s="0" t="n">
        <f aca="false">MAX(L48,J49)</f>
        <v>81039701.3494644</v>
      </c>
      <c r="M49" s="0" t="n">
        <f aca="false">IF(AND(B49&lt;x_H,J49&lt;=0,L48&gt;0),1,0)</f>
        <v>0</v>
      </c>
      <c r="N49" s="0" t="n">
        <f aca="false">IF(AND(B49&lt;x_H,I49&lt;=0,O48&gt;0),1,0)</f>
        <v>0</v>
      </c>
      <c r="O49" s="0" t="n">
        <f aca="false">MAX(O48,I49)</f>
        <v>76621873.551095</v>
      </c>
      <c r="P49" s="0" t="n">
        <f aca="false">(L_I3!R39-L_S1!R39)*D49</f>
        <v>0</v>
      </c>
    </row>
    <row r="50" customFormat="false" ht="15" hidden="false" customHeight="false" outlineLevel="0" collapsed="false">
      <c r="A50" s="0" t="n">
        <v>2063</v>
      </c>
      <c r="B50" s="0" t="n">
        <v>37</v>
      </c>
      <c r="C50" s="0" t="n">
        <f aca="false">IF(B50&lt;x_H,(1+x_rc)^(-B50),0)</f>
        <v>0</v>
      </c>
      <c r="D50" s="0" t="n">
        <f aca="false">IF(B50&lt;x_H,(1+x_RE)^(-B50),0)</f>
        <v>0</v>
      </c>
      <c r="E50" s="0" t="n">
        <f aca="false">(L_I3!AI40-L_S1!AI40)*C50</f>
        <v>-0</v>
      </c>
      <c r="F50" s="0" t="n">
        <f aca="false">(L_I3!AJ40-L_S1!AJ40)*C50</f>
        <v>-0</v>
      </c>
      <c r="G50" s="0" t="n">
        <f aca="false">(L_I3!AK40-L_S1!AK40)*C50</f>
        <v>-0</v>
      </c>
      <c r="H50" s="0" t="n">
        <f aca="false">(L_I3!AM40-L_S1!AM40)*C50</f>
        <v>0</v>
      </c>
      <c r="I50" s="0" t="n">
        <f aca="false">I49+E50</f>
        <v>-8689449.55665699</v>
      </c>
      <c r="J50" s="0" t="n">
        <f aca="false">J49+F50</f>
        <v>-13333817.3382896</v>
      </c>
      <c r="K50" s="0" t="n">
        <f aca="false">K49+G50</f>
        <v>-18616967.4943569</v>
      </c>
      <c r="L50" s="0" t="n">
        <f aca="false">MAX(L49,J50)</f>
        <v>81039701.3494644</v>
      </c>
      <c r="M50" s="0" t="n">
        <f aca="false">IF(AND(B50&lt;x_H,J50&lt;=0,L49&gt;0),1,0)</f>
        <v>0</v>
      </c>
      <c r="N50" s="0" t="n">
        <f aca="false">IF(AND(B50&lt;x_H,I50&lt;=0,O49&gt;0),1,0)</f>
        <v>0</v>
      </c>
      <c r="O50" s="0" t="n">
        <f aca="false">MAX(O49,I50)</f>
        <v>76621873.551095</v>
      </c>
      <c r="P50" s="0" t="n">
        <f aca="false">(L_I3!R40-L_S1!R40)*D50</f>
        <v>0</v>
      </c>
    </row>
    <row r="51" customFormat="false" ht="15" hidden="false" customHeight="false" outlineLevel="0" collapsed="false">
      <c r="A51" s="0" t="n">
        <v>2064</v>
      </c>
      <c r="B51" s="0" t="n">
        <v>38</v>
      </c>
      <c r="C51" s="0" t="n">
        <f aca="false">IF(B51&lt;x_H,(1+x_rc)^(-B51),0)</f>
        <v>0</v>
      </c>
      <c r="D51" s="0" t="n">
        <f aca="false">IF(B51&lt;x_H,(1+x_RE)^(-B51),0)</f>
        <v>0</v>
      </c>
      <c r="E51" s="0" t="n">
        <f aca="false">(L_I3!AI41-L_S1!AI41)*C51</f>
        <v>-0</v>
      </c>
      <c r="F51" s="0" t="n">
        <f aca="false">(L_I3!AJ41-L_S1!AJ41)*C51</f>
        <v>-0</v>
      </c>
      <c r="G51" s="0" t="n">
        <f aca="false">(L_I3!AK41-L_S1!AK41)*C51</f>
        <v>-0</v>
      </c>
      <c r="H51" s="0" t="n">
        <f aca="false">(L_I3!AM41-L_S1!AM41)*C51</f>
        <v>0</v>
      </c>
      <c r="I51" s="0" t="n">
        <f aca="false">I50+E51</f>
        <v>-8689449.55665699</v>
      </c>
      <c r="J51" s="0" t="n">
        <f aca="false">J50+F51</f>
        <v>-13333817.3382896</v>
      </c>
      <c r="K51" s="0" t="n">
        <f aca="false">K50+G51</f>
        <v>-18616967.4943569</v>
      </c>
      <c r="L51" s="0" t="n">
        <f aca="false">MAX(L50,J51)</f>
        <v>81039701.3494644</v>
      </c>
      <c r="M51" s="0" t="n">
        <f aca="false">IF(AND(B51&lt;x_H,J51&lt;=0,L50&gt;0),1,0)</f>
        <v>0</v>
      </c>
      <c r="N51" s="0" t="n">
        <f aca="false">IF(AND(B51&lt;x_H,I51&lt;=0,O50&gt;0),1,0)</f>
        <v>0</v>
      </c>
      <c r="O51" s="0" t="n">
        <f aca="false">MAX(O50,I51)</f>
        <v>76621873.551095</v>
      </c>
      <c r="P51" s="0" t="n">
        <f aca="false">(L_I3!R41-L_S1!R41)*D51</f>
        <v>0</v>
      </c>
    </row>
    <row r="52" customFormat="false" ht="15" hidden="false" customHeight="false" outlineLevel="0" collapsed="false">
      <c r="A52" s="0" t="n">
        <v>2065</v>
      </c>
      <c r="B52" s="0" t="n">
        <v>39</v>
      </c>
      <c r="C52" s="0" t="n">
        <f aca="false">IF(B52&lt;x_H,(1+x_rc)^(-B52),0)</f>
        <v>0</v>
      </c>
      <c r="D52" s="0" t="n">
        <f aca="false">IF(B52&lt;x_H,(1+x_RE)^(-B52),0)</f>
        <v>0</v>
      </c>
      <c r="E52" s="0" t="n">
        <f aca="false">(L_I3!AI42-L_S1!AI42)*C52</f>
        <v>-0</v>
      </c>
      <c r="F52" s="0" t="n">
        <f aca="false">(L_I3!AJ42-L_S1!AJ42)*C52</f>
        <v>-0</v>
      </c>
      <c r="G52" s="0" t="n">
        <f aca="false">(L_I3!AK42-L_S1!AK42)*C52</f>
        <v>-0</v>
      </c>
      <c r="H52" s="0" t="n">
        <f aca="false">(L_I3!AM42-L_S1!AM42)*C52</f>
        <v>0</v>
      </c>
      <c r="I52" s="0" t="n">
        <f aca="false">I51+E52</f>
        <v>-8689449.55665699</v>
      </c>
      <c r="J52" s="0" t="n">
        <f aca="false">J51+F52</f>
        <v>-13333817.3382896</v>
      </c>
      <c r="K52" s="0" t="n">
        <f aca="false">K51+G52</f>
        <v>-18616967.4943569</v>
      </c>
      <c r="L52" s="0" t="n">
        <f aca="false">MAX(L51,J52)</f>
        <v>81039701.3494644</v>
      </c>
      <c r="M52" s="0" t="n">
        <f aca="false">IF(AND(B52&lt;x_H,J52&lt;=0,L51&gt;0),1,0)</f>
        <v>0</v>
      </c>
      <c r="N52" s="0" t="n">
        <f aca="false">IF(AND(B52&lt;x_H,I52&lt;=0,O51&gt;0),1,0)</f>
        <v>0</v>
      </c>
      <c r="O52" s="0" t="n">
        <f aca="false">MAX(O51,I52)</f>
        <v>76621873.551095</v>
      </c>
      <c r="P52" s="0" t="n">
        <f aca="false">(L_I3!R42-L_S1!R42)*D52</f>
        <v>0</v>
      </c>
    </row>
    <row r="53" customFormat="false" ht="15" hidden="false" customHeight="false" outlineLevel="0" collapsed="false">
      <c r="A53" s="0" t="n">
        <v>2066</v>
      </c>
      <c r="B53" s="0" t="n">
        <v>40</v>
      </c>
      <c r="C53" s="0" t="n">
        <f aca="false">IF(B53&lt;x_H,(1+x_rc)^(-B53),0)</f>
        <v>0</v>
      </c>
      <c r="D53" s="0" t="n">
        <f aca="false">IF(B53&lt;x_H,(1+x_RE)^(-B53),0)</f>
        <v>0</v>
      </c>
      <c r="E53" s="0" t="n">
        <f aca="false">(L_I3!AI43-L_S1!AI43)*C53</f>
        <v>-0</v>
      </c>
      <c r="F53" s="0" t="n">
        <f aca="false">(L_I3!AJ43-L_S1!AJ43)*C53</f>
        <v>-0</v>
      </c>
      <c r="G53" s="0" t="n">
        <f aca="false">(L_I3!AK43-L_S1!AK43)*C53</f>
        <v>-0</v>
      </c>
      <c r="H53" s="0" t="n">
        <f aca="false">(L_I3!AM43-L_S1!AM43)*C53</f>
        <v>0</v>
      </c>
      <c r="I53" s="0" t="n">
        <f aca="false">I52+E53</f>
        <v>-8689449.55665699</v>
      </c>
      <c r="J53" s="0" t="n">
        <f aca="false">J52+F53</f>
        <v>-13333817.3382896</v>
      </c>
      <c r="K53" s="0" t="n">
        <f aca="false">K52+G53</f>
        <v>-18616967.4943569</v>
      </c>
      <c r="L53" s="0" t="n">
        <f aca="false">MAX(L52,J53)</f>
        <v>81039701.3494644</v>
      </c>
      <c r="M53" s="0" t="n">
        <f aca="false">IF(AND(B53&lt;x_H,J53&lt;=0,L52&gt;0),1,0)</f>
        <v>0</v>
      </c>
      <c r="N53" s="0" t="n">
        <f aca="false">IF(AND(B53&lt;x_H,I53&lt;=0,O52&gt;0),1,0)</f>
        <v>0</v>
      </c>
      <c r="O53" s="0" t="n">
        <f aca="false">MAX(O52,I53)</f>
        <v>76621873.551095</v>
      </c>
      <c r="P53" s="0" t="n">
        <f aca="false">(L_I3!R43-L_S1!R43)*D53</f>
        <v>0</v>
      </c>
    </row>
    <row r="54" customFormat="false" ht="15" hidden="false" customHeight="false" outlineLevel="0" collapsed="false">
      <c r="A54" s="0" t="n">
        <v>2067</v>
      </c>
      <c r="B54" s="0" t="n">
        <v>41</v>
      </c>
      <c r="C54" s="0" t="n">
        <f aca="false">IF(B54&lt;x_H,(1+x_rc)^(-B54),0)</f>
        <v>0</v>
      </c>
      <c r="D54" s="0" t="n">
        <f aca="false">IF(B54&lt;x_H,(1+x_RE)^(-B54),0)</f>
        <v>0</v>
      </c>
      <c r="E54" s="0" t="n">
        <f aca="false">(L_I3!AI44-L_S1!AI44)*C54</f>
        <v>-0</v>
      </c>
      <c r="F54" s="0" t="n">
        <f aca="false">(L_I3!AJ44-L_S1!AJ44)*C54</f>
        <v>-0</v>
      </c>
      <c r="G54" s="0" t="n">
        <f aca="false">(L_I3!AK44-L_S1!AK44)*C54</f>
        <v>-0</v>
      </c>
      <c r="H54" s="0" t="n">
        <f aca="false">(L_I3!AM44-L_S1!AM44)*C54</f>
        <v>0</v>
      </c>
      <c r="I54" s="0" t="n">
        <f aca="false">I53+E54</f>
        <v>-8689449.55665699</v>
      </c>
      <c r="J54" s="0" t="n">
        <f aca="false">J53+F54</f>
        <v>-13333817.3382896</v>
      </c>
      <c r="K54" s="0" t="n">
        <f aca="false">K53+G54</f>
        <v>-18616967.4943569</v>
      </c>
      <c r="L54" s="0" t="n">
        <f aca="false">MAX(L53,J54)</f>
        <v>81039701.3494644</v>
      </c>
      <c r="M54" s="0" t="n">
        <f aca="false">IF(AND(B54&lt;x_H,J54&lt;=0,L53&gt;0),1,0)</f>
        <v>0</v>
      </c>
      <c r="N54" s="0" t="n">
        <f aca="false">IF(AND(B54&lt;x_H,I54&lt;=0,O53&gt;0),1,0)</f>
        <v>0</v>
      </c>
      <c r="O54" s="0" t="n">
        <f aca="false">MAX(O53,I54)</f>
        <v>76621873.551095</v>
      </c>
      <c r="P54" s="0" t="n">
        <f aca="false">(L_I3!R44-L_S1!R44)*D54</f>
        <v>0</v>
      </c>
    </row>
    <row r="55" customFormat="false" ht="15" hidden="false" customHeight="false" outlineLevel="0" collapsed="false">
      <c r="A55" s="0" t="n">
        <v>2068</v>
      </c>
      <c r="B55" s="0" t="n">
        <v>42</v>
      </c>
      <c r="C55" s="0" t="n">
        <f aca="false">IF(B55&lt;x_H,(1+x_rc)^(-B55),0)</f>
        <v>0</v>
      </c>
      <c r="D55" s="0" t="n">
        <f aca="false">IF(B55&lt;x_H,(1+x_RE)^(-B55),0)</f>
        <v>0</v>
      </c>
      <c r="E55" s="0" t="n">
        <f aca="false">(L_I3!AI45-L_S1!AI45)*C55</f>
        <v>-0</v>
      </c>
      <c r="F55" s="0" t="n">
        <f aca="false">(L_I3!AJ45-L_S1!AJ45)*C55</f>
        <v>-0</v>
      </c>
      <c r="G55" s="0" t="n">
        <f aca="false">(L_I3!AK45-L_S1!AK45)*C55</f>
        <v>-0</v>
      </c>
      <c r="H55" s="0" t="n">
        <f aca="false">(L_I3!AM45-L_S1!AM45)*C55</f>
        <v>0</v>
      </c>
      <c r="I55" s="0" t="n">
        <f aca="false">I54+E55</f>
        <v>-8689449.55665699</v>
      </c>
      <c r="J55" s="0" t="n">
        <f aca="false">J54+F55</f>
        <v>-13333817.3382896</v>
      </c>
      <c r="K55" s="0" t="n">
        <f aca="false">K54+G55</f>
        <v>-18616967.4943569</v>
      </c>
      <c r="L55" s="0" t="n">
        <f aca="false">MAX(L54,J55)</f>
        <v>81039701.3494644</v>
      </c>
      <c r="M55" s="0" t="n">
        <f aca="false">IF(AND(B55&lt;x_H,J55&lt;=0,L54&gt;0),1,0)</f>
        <v>0</v>
      </c>
      <c r="N55" s="0" t="n">
        <f aca="false">IF(AND(B55&lt;x_H,I55&lt;=0,O54&gt;0),1,0)</f>
        <v>0</v>
      </c>
      <c r="O55" s="0" t="n">
        <f aca="false">MAX(O54,I55)</f>
        <v>76621873.551095</v>
      </c>
      <c r="P55" s="0" t="n">
        <f aca="false">(L_I3!R45-L_S1!R45)*D55</f>
        <v>0</v>
      </c>
    </row>
    <row r="56" customFormat="false" ht="15" hidden="false" customHeight="false" outlineLevel="0" collapsed="false">
      <c r="A56" s="0" t="n">
        <v>2069</v>
      </c>
      <c r="B56" s="0" t="n">
        <v>43</v>
      </c>
      <c r="C56" s="0" t="n">
        <f aca="false">IF(B56&lt;x_H,(1+x_rc)^(-B56),0)</f>
        <v>0</v>
      </c>
      <c r="D56" s="0" t="n">
        <f aca="false">IF(B56&lt;x_H,(1+x_RE)^(-B56),0)</f>
        <v>0</v>
      </c>
      <c r="E56" s="0" t="n">
        <f aca="false">(L_I3!AI46-L_S1!AI46)*C56</f>
        <v>-0</v>
      </c>
      <c r="F56" s="0" t="n">
        <f aca="false">(L_I3!AJ46-L_S1!AJ46)*C56</f>
        <v>-0</v>
      </c>
      <c r="G56" s="0" t="n">
        <f aca="false">(L_I3!AK46-L_S1!AK46)*C56</f>
        <v>-0</v>
      </c>
      <c r="H56" s="0" t="n">
        <f aca="false">(L_I3!AM46-L_S1!AM46)*C56</f>
        <v>0</v>
      </c>
      <c r="I56" s="0" t="n">
        <f aca="false">I55+E56</f>
        <v>-8689449.55665699</v>
      </c>
      <c r="J56" s="0" t="n">
        <f aca="false">J55+F56</f>
        <v>-13333817.3382896</v>
      </c>
      <c r="K56" s="0" t="n">
        <f aca="false">K55+G56</f>
        <v>-18616967.4943569</v>
      </c>
      <c r="L56" s="0" t="n">
        <f aca="false">MAX(L55,J56)</f>
        <v>81039701.3494644</v>
      </c>
      <c r="M56" s="0" t="n">
        <f aca="false">IF(AND(B56&lt;x_H,J56&lt;=0,L55&gt;0),1,0)</f>
        <v>0</v>
      </c>
      <c r="N56" s="0" t="n">
        <f aca="false">IF(AND(B56&lt;x_H,I56&lt;=0,O55&gt;0),1,0)</f>
        <v>0</v>
      </c>
      <c r="O56" s="0" t="n">
        <f aca="false">MAX(O55,I56)</f>
        <v>76621873.551095</v>
      </c>
      <c r="P56" s="0" t="n">
        <f aca="false">(L_I3!R46-L_S1!R46)*D56</f>
        <v>0</v>
      </c>
    </row>
    <row r="57" customFormat="false" ht="15" hidden="false" customHeight="false" outlineLevel="0" collapsed="false">
      <c r="A57" s="0" t="n">
        <v>2070</v>
      </c>
      <c r="B57" s="0" t="n">
        <v>44</v>
      </c>
      <c r="C57" s="0" t="n">
        <f aca="false">IF(B57&lt;x_H,(1+x_rc)^(-B57),0)</f>
        <v>0</v>
      </c>
      <c r="D57" s="0" t="n">
        <f aca="false">IF(B57&lt;x_H,(1+x_RE)^(-B57),0)</f>
        <v>0</v>
      </c>
      <c r="E57" s="0" t="n">
        <f aca="false">(L_I3!AI47-L_S1!AI47)*C57</f>
        <v>-0</v>
      </c>
      <c r="F57" s="0" t="n">
        <f aca="false">(L_I3!AJ47-L_S1!AJ47)*C57</f>
        <v>-0</v>
      </c>
      <c r="G57" s="0" t="n">
        <f aca="false">(L_I3!AK47-L_S1!AK47)*C57</f>
        <v>-0</v>
      </c>
      <c r="H57" s="0" t="n">
        <f aca="false">(L_I3!AM47-L_S1!AM47)*C57</f>
        <v>0</v>
      </c>
      <c r="I57" s="0" t="n">
        <f aca="false">I56+E57</f>
        <v>-8689449.55665699</v>
      </c>
      <c r="J57" s="0" t="n">
        <f aca="false">J56+F57</f>
        <v>-13333817.3382896</v>
      </c>
      <c r="K57" s="0" t="n">
        <f aca="false">K56+G57</f>
        <v>-18616967.4943569</v>
      </c>
      <c r="L57" s="0" t="n">
        <f aca="false">MAX(L56,J57)</f>
        <v>81039701.3494644</v>
      </c>
      <c r="M57" s="0" t="n">
        <f aca="false">IF(AND(B57&lt;x_H,J57&lt;=0,L56&gt;0),1,0)</f>
        <v>0</v>
      </c>
      <c r="N57" s="0" t="n">
        <f aca="false">IF(AND(B57&lt;x_H,I57&lt;=0,O56&gt;0),1,0)</f>
        <v>0</v>
      </c>
      <c r="O57" s="0" t="n">
        <f aca="false">MAX(O56,I57)</f>
        <v>76621873.551095</v>
      </c>
      <c r="P57" s="0" t="n">
        <f aca="false">(L_I3!R47-L_S1!R47)*D57</f>
        <v>0</v>
      </c>
    </row>
    <row r="58" customFormat="false" ht="15" hidden="false" customHeight="false" outlineLevel="0" collapsed="false">
      <c r="A58" s="0" t="n">
        <v>2071</v>
      </c>
      <c r="B58" s="0" t="n">
        <v>45</v>
      </c>
      <c r="C58" s="0" t="n">
        <f aca="false">IF(B58&lt;x_H,(1+x_rc)^(-B58),0)</f>
        <v>0</v>
      </c>
      <c r="D58" s="0" t="n">
        <f aca="false">IF(B58&lt;x_H,(1+x_RE)^(-B58),0)</f>
        <v>0</v>
      </c>
      <c r="E58" s="0" t="n">
        <f aca="false">(L_I3!AI48-L_S1!AI48)*C58</f>
        <v>-0</v>
      </c>
      <c r="F58" s="0" t="n">
        <f aca="false">(L_I3!AJ48-L_S1!AJ48)*C58</f>
        <v>-0</v>
      </c>
      <c r="G58" s="0" t="n">
        <f aca="false">(L_I3!AK48-L_S1!AK48)*C58</f>
        <v>-0</v>
      </c>
      <c r="H58" s="0" t="n">
        <f aca="false">(L_I3!AM48-L_S1!AM48)*C58</f>
        <v>0</v>
      </c>
      <c r="I58" s="0" t="n">
        <f aca="false">I57+E58</f>
        <v>-8689449.55665699</v>
      </c>
      <c r="J58" s="0" t="n">
        <f aca="false">J57+F58</f>
        <v>-13333817.3382896</v>
      </c>
      <c r="K58" s="0" t="n">
        <f aca="false">K57+G58</f>
        <v>-18616967.4943569</v>
      </c>
      <c r="L58" s="0" t="n">
        <f aca="false">MAX(L57,J58)</f>
        <v>81039701.3494644</v>
      </c>
      <c r="M58" s="0" t="n">
        <f aca="false">IF(AND(B58&lt;x_H,J58&lt;=0,L57&gt;0),1,0)</f>
        <v>0</v>
      </c>
      <c r="N58" s="0" t="n">
        <f aca="false">IF(AND(B58&lt;x_H,I58&lt;=0,O57&gt;0),1,0)</f>
        <v>0</v>
      </c>
      <c r="O58" s="0" t="n">
        <f aca="false">MAX(O57,I58)</f>
        <v>76621873.551095</v>
      </c>
      <c r="P58" s="0" t="n">
        <f aca="false">(L_I3!R48-L_S1!R48)*D58</f>
        <v>0</v>
      </c>
    </row>
    <row r="59" customFormat="false" ht="15" hidden="false" customHeight="false" outlineLevel="0" collapsed="false">
      <c r="A59" s="0" t="n">
        <v>2072</v>
      </c>
      <c r="B59" s="0" t="n">
        <v>46</v>
      </c>
      <c r="C59" s="0" t="n">
        <f aca="false">IF(B59&lt;x_H,(1+x_rc)^(-B59),0)</f>
        <v>0</v>
      </c>
      <c r="D59" s="0" t="n">
        <f aca="false">IF(B59&lt;x_H,(1+x_RE)^(-B59),0)</f>
        <v>0</v>
      </c>
      <c r="E59" s="0" t="n">
        <f aca="false">(L_I3!AI49-L_S1!AI49)*C59</f>
        <v>-0</v>
      </c>
      <c r="F59" s="0" t="n">
        <f aca="false">(L_I3!AJ49-L_S1!AJ49)*C59</f>
        <v>-0</v>
      </c>
      <c r="G59" s="0" t="n">
        <f aca="false">(L_I3!AK49-L_S1!AK49)*C59</f>
        <v>-0</v>
      </c>
      <c r="H59" s="0" t="n">
        <f aca="false">(L_I3!AM49-L_S1!AM49)*C59</f>
        <v>0</v>
      </c>
      <c r="I59" s="0" t="n">
        <f aca="false">I58+E59</f>
        <v>-8689449.55665699</v>
      </c>
      <c r="J59" s="0" t="n">
        <f aca="false">J58+F59</f>
        <v>-13333817.3382896</v>
      </c>
      <c r="K59" s="0" t="n">
        <f aca="false">K58+G59</f>
        <v>-18616967.4943569</v>
      </c>
      <c r="L59" s="0" t="n">
        <f aca="false">MAX(L58,J59)</f>
        <v>81039701.3494644</v>
      </c>
      <c r="M59" s="0" t="n">
        <f aca="false">IF(AND(B59&lt;x_H,J59&lt;=0,L58&gt;0),1,0)</f>
        <v>0</v>
      </c>
      <c r="N59" s="0" t="n">
        <f aca="false">IF(AND(B59&lt;x_H,I59&lt;=0,O58&gt;0),1,0)</f>
        <v>0</v>
      </c>
      <c r="O59" s="0" t="n">
        <f aca="false">MAX(O58,I59)</f>
        <v>76621873.551095</v>
      </c>
      <c r="P59" s="0" t="n">
        <f aca="false">(L_I3!R49-L_S1!R49)*D59</f>
        <v>0</v>
      </c>
    </row>
    <row r="60" customFormat="false" ht="15" hidden="false" customHeight="false" outlineLevel="0" collapsed="false">
      <c r="A60" s="0" t="n">
        <v>2073</v>
      </c>
      <c r="B60" s="0" t="n">
        <v>47</v>
      </c>
      <c r="C60" s="0" t="n">
        <f aca="false">IF(B60&lt;x_H,(1+x_rc)^(-B60),0)</f>
        <v>0</v>
      </c>
      <c r="D60" s="0" t="n">
        <f aca="false">IF(B60&lt;x_H,(1+x_RE)^(-B60),0)</f>
        <v>0</v>
      </c>
      <c r="E60" s="0" t="n">
        <f aca="false">(L_I3!AI50-L_S1!AI50)*C60</f>
        <v>-0</v>
      </c>
      <c r="F60" s="0" t="n">
        <f aca="false">(L_I3!AJ50-L_S1!AJ50)*C60</f>
        <v>-0</v>
      </c>
      <c r="G60" s="0" t="n">
        <f aca="false">(L_I3!AK50-L_S1!AK50)*C60</f>
        <v>-0</v>
      </c>
      <c r="H60" s="0" t="n">
        <f aca="false">(L_I3!AM50-L_S1!AM50)*C60</f>
        <v>0</v>
      </c>
      <c r="I60" s="0" t="n">
        <f aca="false">I59+E60</f>
        <v>-8689449.55665699</v>
      </c>
      <c r="J60" s="0" t="n">
        <f aca="false">J59+F60</f>
        <v>-13333817.3382896</v>
      </c>
      <c r="K60" s="0" t="n">
        <f aca="false">K59+G60</f>
        <v>-18616967.4943569</v>
      </c>
      <c r="L60" s="0" t="n">
        <f aca="false">MAX(L59,J60)</f>
        <v>81039701.3494644</v>
      </c>
      <c r="M60" s="0" t="n">
        <f aca="false">IF(AND(B60&lt;x_H,J60&lt;=0,L59&gt;0),1,0)</f>
        <v>0</v>
      </c>
      <c r="N60" s="0" t="n">
        <f aca="false">IF(AND(B60&lt;x_H,I60&lt;=0,O59&gt;0),1,0)</f>
        <v>0</v>
      </c>
      <c r="O60" s="0" t="n">
        <f aca="false">MAX(O59,I60)</f>
        <v>76621873.551095</v>
      </c>
      <c r="P60" s="0" t="n">
        <f aca="false">(L_I3!R50-L_S1!R50)*D60</f>
        <v>0</v>
      </c>
    </row>
    <row r="61" customFormat="false" ht="15" hidden="false" customHeight="false" outlineLevel="0" collapsed="false">
      <c r="A61" s="0" t="n">
        <v>2074</v>
      </c>
      <c r="B61" s="0" t="n">
        <v>48</v>
      </c>
      <c r="C61" s="0" t="n">
        <f aca="false">IF(B61&lt;x_H,(1+x_rc)^(-B61),0)</f>
        <v>0</v>
      </c>
      <c r="D61" s="0" t="n">
        <f aca="false">IF(B61&lt;x_H,(1+x_RE)^(-B61),0)</f>
        <v>0</v>
      </c>
      <c r="E61" s="0" t="n">
        <f aca="false">(L_I3!AI51-L_S1!AI51)*C61</f>
        <v>-0</v>
      </c>
      <c r="F61" s="0" t="n">
        <f aca="false">(L_I3!AJ51-L_S1!AJ51)*C61</f>
        <v>-0</v>
      </c>
      <c r="G61" s="0" t="n">
        <f aca="false">(L_I3!AK51-L_S1!AK51)*C61</f>
        <v>-0</v>
      </c>
      <c r="H61" s="0" t="n">
        <f aca="false">(L_I3!AM51-L_S1!AM51)*C61</f>
        <v>0</v>
      </c>
      <c r="I61" s="0" t="n">
        <f aca="false">I60+E61</f>
        <v>-8689449.55665699</v>
      </c>
      <c r="J61" s="0" t="n">
        <f aca="false">J60+F61</f>
        <v>-13333817.3382896</v>
      </c>
      <c r="K61" s="0" t="n">
        <f aca="false">K60+G61</f>
        <v>-18616967.4943569</v>
      </c>
      <c r="L61" s="0" t="n">
        <f aca="false">MAX(L60,J61)</f>
        <v>81039701.3494644</v>
      </c>
      <c r="M61" s="0" t="n">
        <f aca="false">IF(AND(B61&lt;x_H,J61&lt;=0,L60&gt;0),1,0)</f>
        <v>0</v>
      </c>
      <c r="N61" s="0" t="n">
        <f aca="false">IF(AND(B61&lt;x_H,I61&lt;=0,O60&gt;0),1,0)</f>
        <v>0</v>
      </c>
      <c r="O61" s="0" t="n">
        <f aca="false">MAX(O60,I61)</f>
        <v>76621873.551095</v>
      </c>
      <c r="P61" s="0" t="n">
        <f aca="false">(L_I3!R51-L_S1!R51)*D61</f>
        <v>0</v>
      </c>
    </row>
    <row r="62" customFormat="false" ht="15" hidden="false" customHeight="false" outlineLevel="0" collapsed="false">
      <c r="A62" s="0" t="n">
        <v>2075</v>
      </c>
      <c r="B62" s="0" t="n">
        <v>49</v>
      </c>
      <c r="C62" s="0" t="n">
        <f aca="false">IF(B62&lt;x_H,(1+x_rc)^(-B62),0)</f>
        <v>0</v>
      </c>
      <c r="D62" s="0" t="n">
        <f aca="false">IF(B62&lt;x_H,(1+x_RE)^(-B62),0)</f>
        <v>0</v>
      </c>
      <c r="E62" s="0" t="n">
        <f aca="false">(L_I3!AI52-L_S1!AI52)*C62</f>
        <v>-0</v>
      </c>
      <c r="F62" s="0" t="n">
        <f aca="false">(L_I3!AJ52-L_S1!AJ52)*C62</f>
        <v>-0</v>
      </c>
      <c r="G62" s="0" t="n">
        <f aca="false">(L_I3!AK52-L_S1!AK52)*C62</f>
        <v>-0</v>
      </c>
      <c r="H62" s="0" t="n">
        <f aca="false">(L_I3!AM52-L_S1!AM52)*C62</f>
        <v>0</v>
      </c>
      <c r="I62" s="0" t="n">
        <f aca="false">I61+E62</f>
        <v>-8689449.55665699</v>
      </c>
      <c r="J62" s="0" t="n">
        <f aca="false">J61+F62</f>
        <v>-13333817.3382896</v>
      </c>
      <c r="K62" s="0" t="n">
        <f aca="false">K61+G62</f>
        <v>-18616967.4943569</v>
      </c>
      <c r="L62" s="0" t="n">
        <f aca="false">MAX(L61,J62)</f>
        <v>81039701.3494644</v>
      </c>
      <c r="M62" s="0" t="n">
        <f aca="false">IF(AND(B62&lt;x_H,J62&lt;=0,L61&gt;0),1,0)</f>
        <v>0</v>
      </c>
      <c r="N62" s="0" t="n">
        <f aca="false">IF(AND(B62&lt;x_H,I62&lt;=0,O61&gt;0),1,0)</f>
        <v>0</v>
      </c>
      <c r="O62" s="0" t="n">
        <f aca="false">MAX(O61,I62)</f>
        <v>76621873.551095</v>
      </c>
      <c r="P62" s="0" t="n">
        <f aca="false">(L_I3!R52-L_S1!R52)*D62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1" t="s">
        <v>507</v>
      </c>
    </row>
    <row r="2" customFormat="false" ht="15" hidden="false" customHeight="false" outlineLevel="0" collapsed="false">
      <c r="A2" s="1" t="s">
        <v>483</v>
      </c>
      <c r="B2" s="0" t="n">
        <f aca="false">x_H</f>
        <v>20</v>
      </c>
    </row>
    <row r="3" customFormat="false" ht="15" hidden="false" customHeight="false" outlineLevel="0" collapsed="false">
      <c r="A3" s="1" t="s">
        <v>484</v>
      </c>
      <c r="B3" s="0" t="n">
        <f aca="false">SUM(H13:H62)</f>
        <v>3353895159.35274</v>
      </c>
    </row>
    <row r="4" customFormat="false" ht="15" hidden="false" customHeight="false" outlineLevel="0" collapsed="false">
      <c r="A4" s="1" t="s">
        <v>485</v>
      </c>
      <c r="B4" s="0" t="n">
        <f aca="false">SUM(F13:F62)</f>
        <v>1364499509.38912</v>
      </c>
    </row>
    <row r="5" customFormat="false" ht="15" hidden="false" customHeight="false" outlineLevel="0" collapsed="false">
      <c r="A5" s="1" t="s">
        <v>486</v>
      </c>
      <c r="B5" s="0" t="n">
        <f aca="false">B3-B4</f>
        <v>1989395649.96362</v>
      </c>
    </row>
    <row r="6" customFormat="false" ht="15" hidden="false" customHeight="false" outlineLevel="0" collapsed="false">
      <c r="A6" s="1" t="s">
        <v>487</v>
      </c>
      <c r="B6" s="0" t="n">
        <f aca="false">IF(B3=0,"—",(B5-B3)/ABS(B3))</f>
        <v>-0.406840239350968</v>
      </c>
    </row>
    <row r="7" customFormat="false" ht="15" hidden="false" customHeight="false" outlineLevel="0" collapsed="false">
      <c r="A7" s="1" t="s">
        <v>488</v>
      </c>
      <c r="B7" s="0" t="str">
        <f aca="false">IFERROR(INDEX(A13:A62,MATCH(1,M13:M62,0)),"brak w horyzoncie")</f>
        <v>brak w horyzoncie</v>
      </c>
    </row>
    <row r="8" customFormat="false" ht="15" hidden="false" customHeight="false" outlineLevel="0" collapsed="false">
      <c r="A8" s="1" t="s">
        <v>489</v>
      </c>
      <c r="B8" s="0" t="str">
        <f aca="false">IFERROR(INDEX(A13:A62,MATCH(1,N13:N62,0)),"brak w horyzoncie")</f>
        <v>brak w horyzoncie</v>
      </c>
    </row>
    <row r="9" customFormat="false" ht="15" hidden="false" customHeight="false" outlineLevel="0" collapsed="false">
      <c r="A9" s="1" t="s">
        <v>490</v>
      </c>
      <c r="B9" s="0" t="n">
        <f aca="false">SUM(E13:E62)</f>
        <v>1547132143.16396</v>
      </c>
    </row>
    <row r="10" customFormat="false" ht="15" hidden="false" customHeight="false" outlineLevel="0" collapsed="false">
      <c r="A10" s="1" t="s">
        <v>491</v>
      </c>
      <c r="B10" s="0" t="n">
        <f aca="false">IFERROR(B4/SUM(P13:P62),"—")</f>
        <v>26300.6364731436</v>
      </c>
    </row>
    <row r="12" customFormat="false" ht="55.2" hidden="false" customHeight="false" outlineLevel="0" collapsed="false">
      <c r="A12" s="3" t="s">
        <v>309</v>
      </c>
      <c r="B12" s="3" t="s">
        <v>444</v>
      </c>
      <c r="C12" s="3" t="s">
        <v>492</v>
      </c>
      <c r="D12" s="3" t="s">
        <v>493</v>
      </c>
      <c r="E12" s="3" t="s">
        <v>494</v>
      </c>
      <c r="F12" s="3" t="s">
        <v>495</v>
      </c>
      <c r="G12" s="3" t="s">
        <v>496</v>
      </c>
      <c r="H12" s="3" t="s">
        <v>497</v>
      </c>
      <c r="I12" s="3" t="s">
        <v>498</v>
      </c>
      <c r="J12" s="3" t="s">
        <v>499</v>
      </c>
      <c r="K12" s="3" t="s">
        <v>500</v>
      </c>
      <c r="L12" s="3" t="s">
        <v>501</v>
      </c>
      <c r="M12" s="3" t="s">
        <v>502</v>
      </c>
      <c r="N12" s="3" t="s">
        <v>503</v>
      </c>
      <c r="O12" s="3" t="s">
        <v>504</v>
      </c>
      <c r="P12" s="3" t="s">
        <v>505</v>
      </c>
    </row>
    <row r="13" customFormat="false" ht="15" hidden="false" customHeight="false" outlineLevel="0" collapsed="false">
      <c r="A13" s="0" t="n">
        <v>2026</v>
      </c>
      <c r="B13" s="0" t="n">
        <v>0</v>
      </c>
      <c r="C13" s="0" t="n">
        <f aca="false">IF(B13&lt;x_H,(1+x_rc)^(-B13),0)</f>
        <v>1</v>
      </c>
      <c r="D13" s="0" t="n">
        <f aca="false">IF(B13&lt;x_H,(1+x_RE)^(-B13),0)</f>
        <v>1</v>
      </c>
      <c r="E13" s="0" t="n">
        <f aca="false">(L_I4!AI3-L_S1!AI3)*C13</f>
        <v>180362040.060296</v>
      </c>
      <c r="F13" s="0" t="n">
        <f aca="false">(L_I4!AJ3-L_S1!AJ3)*C13</f>
        <v>180775416.415875</v>
      </c>
      <c r="G13" s="0" t="n">
        <f aca="false">(L_I4!AK3-L_S1!AK3)*C13</f>
        <v>180931314.637959</v>
      </c>
      <c r="H13" s="0" t="n">
        <f aca="false">(L_I4!AM3-L_S1!AM3)*C13</f>
        <v>189741315.806967</v>
      </c>
      <c r="I13" s="0" t="n">
        <f aca="false">E13</f>
        <v>180362040.060296</v>
      </c>
      <c r="J13" s="0" t="n">
        <f aca="false">F13</f>
        <v>180775416.415875</v>
      </c>
      <c r="K13" s="0" t="n">
        <f aca="false">G13</f>
        <v>180931314.637959</v>
      </c>
      <c r="L13" s="0" t="n">
        <f aca="false">J13</f>
        <v>180775416.415875</v>
      </c>
      <c r="M13" s="0" t="n">
        <v>0</v>
      </c>
      <c r="N13" s="0" t="n">
        <v>0</v>
      </c>
      <c r="O13" s="0" t="n">
        <f aca="false">I13</f>
        <v>180362040.060296</v>
      </c>
      <c r="P13" s="0" t="n">
        <f aca="false">(L_I4!R3-L_S1!R3)*D13</f>
        <v>201.843999999997</v>
      </c>
    </row>
    <row r="14" customFormat="false" ht="15" hidden="false" customHeight="false" outlineLevel="0" collapsed="false">
      <c r="A14" s="0" t="n">
        <v>2027</v>
      </c>
      <c r="B14" s="0" t="n">
        <v>1</v>
      </c>
      <c r="C14" s="0" t="n">
        <f aca="false">IF(B14&lt;x_H,(1+x_rc)^(-B14),0)</f>
        <v>0.952380952380952</v>
      </c>
      <c r="D14" s="0" t="n">
        <f aca="false">IF(B14&lt;x_H,(1+x_RE)^(-B14),0)</f>
        <v>0.963391136801541</v>
      </c>
      <c r="E14" s="0" t="n">
        <f aca="false">(L_I4!AI4-L_S1!AI4)*C14</f>
        <v>326556671.720482</v>
      </c>
      <c r="F14" s="0" t="n">
        <f aca="false">(L_I4!AJ4-L_S1!AJ4)*C14</f>
        <v>326648122.394436</v>
      </c>
      <c r="G14" s="0" t="n">
        <f aca="false">(L_I4!AK4-L_S1!AK4)*C14</f>
        <v>326941683.531755</v>
      </c>
      <c r="H14" s="0" t="n">
        <f aca="false">(L_I4!AM4-L_S1!AM4)*C14</f>
        <v>352255191.74714</v>
      </c>
      <c r="I14" s="0" t="n">
        <f aca="false">I13+E14</f>
        <v>506918711.780779</v>
      </c>
      <c r="J14" s="0" t="n">
        <f aca="false">J13+F14</f>
        <v>507423538.81031</v>
      </c>
      <c r="K14" s="0" t="n">
        <f aca="false">K13+G14</f>
        <v>507872998.169714</v>
      </c>
      <c r="L14" s="0" t="n">
        <f aca="false">MAX(L13,J14)</f>
        <v>507423538.81031</v>
      </c>
      <c r="M14" s="0" t="n">
        <f aca="false">IF(AND(B14&lt;x_H,J14&lt;=0,L13&gt;0),1,0)</f>
        <v>0</v>
      </c>
      <c r="N14" s="0" t="n">
        <f aca="false">IF(AND(B14&lt;x_H,I14&lt;=0,O13&gt;0),1,0)</f>
        <v>0</v>
      </c>
      <c r="O14" s="0" t="n">
        <f aca="false">MAX(O13,I14)</f>
        <v>506918711.780779</v>
      </c>
      <c r="P14" s="0" t="n">
        <f aca="false">(L_I4!R4-L_S1!R4)*D14</f>
        <v>570.707129094413</v>
      </c>
    </row>
    <row r="15" customFormat="false" ht="15" hidden="false" customHeight="false" outlineLevel="0" collapsed="false">
      <c r="A15" s="0" t="n">
        <v>2028</v>
      </c>
      <c r="B15" s="0" t="n">
        <v>2</v>
      </c>
      <c r="C15" s="0" t="n">
        <f aca="false">IF(B15&lt;x_H,(1+x_rc)^(-B15),0)</f>
        <v>0.90702947845805</v>
      </c>
      <c r="D15" s="0" t="n">
        <f aca="false">IF(B15&lt;x_H,(1+x_RE)^(-B15),0)</f>
        <v>0.928122482467766</v>
      </c>
      <c r="E15" s="0" t="n">
        <f aca="false">(L_I4!AI5-L_S1!AI5)*C15</f>
        <v>433178783.488165</v>
      </c>
      <c r="F15" s="0" t="n">
        <f aca="false">(L_I4!AJ5-L_S1!AJ5)*C15</f>
        <v>431839098.423217</v>
      </c>
      <c r="G15" s="0" t="n">
        <f aca="false">(L_I4!AK5-L_S1!AK5)*C15</f>
        <v>432035980.779945</v>
      </c>
      <c r="H15" s="0" t="n">
        <f aca="false">(L_I4!AM5-L_S1!AM5)*C15</f>
        <v>479814174.959817</v>
      </c>
      <c r="I15" s="0" t="n">
        <f aca="false">I14+E15</f>
        <v>940097495.268944</v>
      </c>
      <c r="J15" s="0" t="n">
        <f aca="false">J14+F15</f>
        <v>939262637.233528</v>
      </c>
      <c r="K15" s="0" t="n">
        <f aca="false">K14+G15</f>
        <v>939908978.949659</v>
      </c>
      <c r="L15" s="0" t="n">
        <f aca="false">MAX(L14,J15)</f>
        <v>939262637.233528</v>
      </c>
      <c r="M15" s="0" t="n">
        <f aca="false">IF(AND(B15&lt;x_H,J15&lt;=0,L14&gt;0),1,0)</f>
        <v>0</v>
      </c>
      <c r="N15" s="0" t="n">
        <f aca="false">IF(AND(B15&lt;x_H,I15&lt;=0,O14&gt;0),1,0)</f>
        <v>0</v>
      </c>
      <c r="O15" s="0" t="n">
        <f aca="false">MAX(O14,I15)</f>
        <v>940097495.268944</v>
      </c>
      <c r="P15" s="0" t="n">
        <f aca="false">(L_I4!R5-L_S1!R5)*D15</f>
        <v>1057.63176554883</v>
      </c>
    </row>
    <row r="16" customFormat="false" ht="15" hidden="false" customHeight="false" outlineLevel="0" collapsed="false">
      <c r="A16" s="0" t="n">
        <v>2029</v>
      </c>
      <c r="B16" s="0" t="n">
        <v>3</v>
      </c>
      <c r="C16" s="0" t="n">
        <f aca="false">IF(B16&lt;x_H,(1+x_rc)^(-B16),0)</f>
        <v>0.863837598531476</v>
      </c>
      <c r="D16" s="0" t="n">
        <f aca="false">IF(B16&lt;x_H,(1+x_RE)^(-B16),0)</f>
        <v>0.89414497347569</v>
      </c>
      <c r="E16" s="0" t="n">
        <f aca="false">(L_I4!AI6-L_S1!AI6)*C16</f>
        <v>365654572.91385</v>
      </c>
      <c r="F16" s="0" t="n">
        <f aca="false">(L_I4!AJ6-L_S1!AJ6)*C16</f>
        <v>361062879.319277</v>
      </c>
      <c r="G16" s="0" t="n">
        <f aca="false">(L_I4!AK6-L_S1!AK6)*C16</f>
        <v>360601084.830982</v>
      </c>
      <c r="H16" s="0" t="n">
        <f aca="false">(L_I4!AM6-L_S1!AM6)*C16</f>
        <v>429121584.060006</v>
      </c>
      <c r="I16" s="0" t="n">
        <f aca="false">I15+E16</f>
        <v>1305752068.18279</v>
      </c>
      <c r="J16" s="0" t="n">
        <f aca="false">J15+F16</f>
        <v>1300325516.55281</v>
      </c>
      <c r="K16" s="0" t="n">
        <f aca="false">K15+G16</f>
        <v>1300510063.78064</v>
      </c>
      <c r="L16" s="0" t="n">
        <f aca="false">MAX(L15,J16)</f>
        <v>1300325516.55281</v>
      </c>
      <c r="M16" s="0" t="n">
        <f aca="false">IF(AND(B16&lt;x_H,J16&lt;=0,L15&gt;0),1,0)</f>
        <v>0</v>
      </c>
      <c r="N16" s="0" t="n">
        <f aca="false">IF(AND(B16&lt;x_H,I16&lt;=0,O15&gt;0),1,0)</f>
        <v>0</v>
      </c>
      <c r="O16" s="0" t="n">
        <f aca="false">MAX(O15,I16)</f>
        <v>1305752068.18279</v>
      </c>
      <c r="P16" s="0" t="n">
        <f aca="false">(L_I4!R6-L_S1!R6)*D16</f>
        <v>1473.05734826258</v>
      </c>
    </row>
    <row r="17" customFormat="false" ht="15" hidden="false" customHeight="false" outlineLevel="0" collapsed="false">
      <c r="A17" s="0" t="n">
        <v>2030</v>
      </c>
      <c r="B17" s="0" t="n">
        <v>4</v>
      </c>
      <c r="C17" s="0" t="n">
        <f aca="false">IF(B17&lt;x_H,(1+x_rc)^(-B17),0)</f>
        <v>0.822702474791882</v>
      </c>
      <c r="D17" s="0" t="n">
        <f aca="false">IF(B17&lt;x_H,(1+x_RE)^(-B17),0)</f>
        <v>0.861411342462129</v>
      </c>
      <c r="E17" s="0" t="n">
        <f aca="false">(L_I4!AI7-L_S1!AI7)*C17</f>
        <v>310515237.20143</v>
      </c>
      <c r="F17" s="0" t="n">
        <f aca="false">(L_I4!AJ7-L_S1!AJ7)*C17</f>
        <v>301595392.062657</v>
      </c>
      <c r="G17" s="0" t="n">
        <f aca="false">(L_I4!AK7-L_S1!AK7)*C17</f>
        <v>299883455.018612</v>
      </c>
      <c r="H17" s="0" t="n">
        <f aca="false">(L_I4!AM7-L_S1!AM7)*C17</f>
        <v>388146864.763678</v>
      </c>
      <c r="I17" s="0" t="n">
        <f aca="false">I16+E17</f>
        <v>1616267305.38422</v>
      </c>
      <c r="J17" s="0" t="n">
        <f aca="false">J16+F17</f>
        <v>1601920908.61546</v>
      </c>
      <c r="K17" s="0" t="n">
        <f aca="false">K16+G17</f>
        <v>1600393518.79925</v>
      </c>
      <c r="L17" s="0" t="n">
        <f aca="false">MAX(L16,J17)</f>
        <v>1601920908.61546</v>
      </c>
      <c r="M17" s="0" t="n">
        <f aca="false">IF(AND(B17&lt;x_H,J17&lt;=0,L16&gt;0),1,0)</f>
        <v>0</v>
      </c>
      <c r="N17" s="0" t="n">
        <f aca="false">IF(AND(B17&lt;x_H,I17&lt;=0,O16&gt;0),1,0)</f>
        <v>0</v>
      </c>
      <c r="O17" s="0" t="n">
        <f aca="false">MAX(O16,I17)</f>
        <v>1616267305.38422</v>
      </c>
      <c r="P17" s="0" t="n">
        <f aca="false">(L_I4!R7-L_S1!R7)*D17</f>
        <v>1837.15522817523</v>
      </c>
    </row>
    <row r="18" customFormat="false" ht="15" hidden="false" customHeight="false" outlineLevel="0" collapsed="false">
      <c r="A18" s="0" t="n">
        <v>2031</v>
      </c>
      <c r="B18" s="0" t="n">
        <v>5</v>
      </c>
      <c r="C18" s="0" t="n">
        <f aca="false">IF(B18&lt;x_H,(1+x_rc)^(-B18),0)</f>
        <v>0.783526166468459</v>
      </c>
      <c r="D18" s="0" t="n">
        <f aca="false">IF(B18&lt;x_H,(1+x_RE)^(-B18),0)</f>
        <v>0.829876052468332</v>
      </c>
      <c r="E18" s="0" t="n">
        <f aca="false">(L_I4!AI8-L_S1!AI8)*C18</f>
        <v>264420846.52075</v>
      </c>
      <c r="F18" s="0" t="n">
        <f aca="false">(L_I4!AJ8-L_S1!AJ8)*C18</f>
        <v>250203418.61051</v>
      </c>
      <c r="G18" s="0" t="n">
        <f aca="false">(L_I4!AK8-L_S1!AK8)*C18</f>
        <v>246639153.816062</v>
      </c>
      <c r="H18" s="0" t="n">
        <f aca="false">(L_I4!AM8-L_S1!AM8)*C18</f>
        <v>354098586.774775</v>
      </c>
      <c r="I18" s="0" t="n">
        <f aca="false">I17+E18</f>
        <v>1880688151.90497</v>
      </c>
      <c r="J18" s="0" t="n">
        <f aca="false">J17+F18</f>
        <v>1852124327.22597</v>
      </c>
      <c r="K18" s="0" t="n">
        <f aca="false">K17+G18</f>
        <v>1847032672.61531</v>
      </c>
      <c r="L18" s="0" t="n">
        <f aca="false">MAX(L17,J18)</f>
        <v>1852124327.22597</v>
      </c>
      <c r="M18" s="0" t="n">
        <f aca="false">IF(AND(B18&lt;x_H,J18&lt;=0,L17&gt;0),1,0)</f>
        <v>0</v>
      </c>
      <c r="N18" s="0" t="n">
        <f aca="false">IF(AND(B18&lt;x_H,I18&lt;=0,O17&gt;0),1,0)</f>
        <v>0</v>
      </c>
      <c r="O18" s="0" t="n">
        <f aca="false">MAX(O17,I18)</f>
        <v>1880688151.90497</v>
      </c>
      <c r="P18" s="0" t="n">
        <f aca="false">(L_I4!R8-L_S1!R8)*D18</f>
        <v>2163.14247022316</v>
      </c>
    </row>
    <row r="19" customFormat="false" ht="15" hidden="false" customHeight="false" outlineLevel="0" collapsed="false">
      <c r="A19" s="0" t="n">
        <v>2032</v>
      </c>
      <c r="B19" s="0" t="n">
        <v>6</v>
      </c>
      <c r="C19" s="0" t="n">
        <f aca="false">IF(B19&lt;x_H,(1+x_rc)^(-B19),0)</f>
        <v>0.746215396636628</v>
      </c>
      <c r="D19" s="0" t="n">
        <f aca="false">IF(B19&lt;x_H,(1+x_RE)^(-B19),0)</f>
        <v>0.799495233591842</v>
      </c>
      <c r="E19" s="0" t="n">
        <f aca="false">(L_I4!AI9-L_S1!AI9)*C19</f>
        <v>225145321.577907</v>
      </c>
      <c r="F19" s="0" t="n">
        <f aca="false">(L_I4!AJ9-L_S1!AJ9)*C19</f>
        <v>204778656.442295</v>
      </c>
      <c r="G19" s="0" t="n">
        <f aca="false">(L_I4!AK9-L_S1!AK9)*C19</f>
        <v>198769018.374895</v>
      </c>
      <c r="H19" s="0" t="n">
        <f aca="false">(L_I4!AM9-L_S1!AM9)*C19</f>
        <v>325114668.465755</v>
      </c>
      <c r="I19" s="0" t="n">
        <f aca="false">I18+E19</f>
        <v>2105833473.48288</v>
      </c>
      <c r="J19" s="0" t="n">
        <f aca="false">J18+F19</f>
        <v>2056902983.66827</v>
      </c>
      <c r="K19" s="0" t="n">
        <f aca="false">K18+G19</f>
        <v>2045801690.99021</v>
      </c>
      <c r="L19" s="0" t="n">
        <f aca="false">MAX(L18,J19)</f>
        <v>2056902983.66827</v>
      </c>
      <c r="M19" s="0" t="n">
        <f aca="false">IF(AND(B19&lt;x_H,J19&lt;=0,L18&gt;0),1,0)</f>
        <v>0</v>
      </c>
      <c r="N19" s="0" t="n">
        <f aca="false">IF(AND(B19&lt;x_H,I19&lt;=0,O18&gt;0),1,0)</f>
        <v>0</v>
      </c>
      <c r="O19" s="0" t="n">
        <f aca="false">MAX(O18,I19)</f>
        <v>2105833473.48288</v>
      </c>
      <c r="P19" s="0" t="n">
        <f aca="false">(L_I4!R9-L_S1!R9)*D19</f>
        <v>2459.48878608905</v>
      </c>
    </row>
    <row r="20" customFormat="false" ht="15" hidden="false" customHeight="false" outlineLevel="0" collapsed="false">
      <c r="A20" s="0" t="n">
        <v>2033</v>
      </c>
      <c r="B20" s="0" t="n">
        <v>7</v>
      </c>
      <c r="C20" s="0" t="n">
        <f aca="false">IF(B20&lt;x_H,(1+x_rc)^(-B20),0)</f>
        <v>0.710681330130121</v>
      </c>
      <c r="D20" s="0" t="n">
        <f aca="false">IF(B20&lt;x_H,(1+x_RE)^(-B20),0)</f>
        <v>0.770226621957459</v>
      </c>
      <c r="E20" s="0" t="n">
        <f aca="false">(L_I4!AI10-L_S1!AI10)*C20</f>
        <v>191194672.039011</v>
      </c>
      <c r="F20" s="0" t="n">
        <f aca="false">(L_I4!AJ10-L_S1!AJ10)*C20</f>
        <v>163960229.263793</v>
      </c>
      <c r="G20" s="0" t="n">
        <f aca="false">(L_I4!AK10-L_S1!AK10)*C20</f>
        <v>154940429.354588</v>
      </c>
      <c r="H20" s="0" t="n">
        <f aca="false">(L_I4!AM10-L_S1!AM10)*C20</f>
        <v>299947531.68487</v>
      </c>
      <c r="I20" s="0" t="n">
        <f aca="false">I19+E20</f>
        <v>2297028145.52189</v>
      </c>
      <c r="J20" s="0" t="n">
        <f aca="false">J19+F20</f>
        <v>2220863212.93206</v>
      </c>
      <c r="K20" s="0" t="n">
        <f aca="false">K19+G20</f>
        <v>2200742120.3448</v>
      </c>
      <c r="L20" s="0" t="n">
        <f aca="false">MAX(L19,J20)</f>
        <v>2220863212.93206</v>
      </c>
      <c r="M20" s="0" t="n">
        <f aca="false">IF(AND(B20&lt;x_H,J20&lt;=0,L19&gt;0),1,0)</f>
        <v>0</v>
      </c>
      <c r="N20" s="0" t="n">
        <f aca="false">IF(AND(B20&lt;x_H,I20&lt;=0,O19&gt;0),1,0)</f>
        <v>0</v>
      </c>
      <c r="O20" s="0" t="n">
        <f aca="false">MAX(O19,I20)</f>
        <v>2297028145.52189</v>
      </c>
      <c r="P20" s="0" t="n">
        <f aca="false">(L_I4!R10-L_S1!R10)*D20</f>
        <v>2731.62642998445</v>
      </c>
    </row>
    <row r="21" customFormat="false" ht="15" hidden="false" customHeight="false" outlineLevel="0" collapsed="false">
      <c r="A21" s="0" t="n">
        <v>2034</v>
      </c>
      <c r="B21" s="0" t="n">
        <v>8</v>
      </c>
      <c r="C21" s="0" t="n">
        <f aca="false">IF(B21&lt;x_H,(1+x_rc)^(-B21),0)</f>
        <v>0.676839362028687</v>
      </c>
      <c r="D21" s="0" t="n">
        <f aca="false">IF(B21&lt;x_H,(1+x_RE)^(-B21),0)</f>
        <v>0.742029500922407</v>
      </c>
      <c r="E21" s="0" t="n">
        <f aca="false">(L_I4!AI11-L_S1!AI11)*C21</f>
        <v>161553957.275815</v>
      </c>
      <c r="F21" s="0" t="n">
        <f aca="false">(L_I4!AJ11-L_S1!AJ11)*C21</f>
        <v>126882915.107352</v>
      </c>
      <c r="G21" s="0" t="n">
        <f aca="false">(L_I4!AK11-L_S1!AK11)*C21</f>
        <v>114335076.867841</v>
      </c>
      <c r="H21" s="0" t="n">
        <f aca="false">(L_I4!AM11-L_S1!AM11)*C21</f>
        <v>277743338.654064</v>
      </c>
      <c r="I21" s="0" t="n">
        <f aca="false">I20+E21</f>
        <v>2458582102.79771</v>
      </c>
      <c r="J21" s="0" t="n">
        <f aca="false">J20+F21</f>
        <v>2347746128.03941</v>
      </c>
      <c r="K21" s="0" t="n">
        <f aca="false">K20+G21</f>
        <v>2315077197.21264</v>
      </c>
      <c r="L21" s="0" t="n">
        <f aca="false">MAX(L20,J21)</f>
        <v>2347746128.03941</v>
      </c>
      <c r="M21" s="0" t="n">
        <f aca="false">IF(AND(B21&lt;x_H,J21&lt;=0,L20&gt;0),1,0)</f>
        <v>0</v>
      </c>
      <c r="N21" s="0" t="n">
        <f aca="false">IF(AND(B21&lt;x_H,I21&lt;=0,O20&gt;0),1,0)</f>
        <v>0</v>
      </c>
      <c r="O21" s="0" t="n">
        <f aca="false">MAX(O20,I21)</f>
        <v>2458582102.79771</v>
      </c>
      <c r="P21" s="0" t="n">
        <f aca="false">(L_I4!R11-L_S1!R11)*D21</f>
        <v>2982.81018780791</v>
      </c>
    </row>
    <row r="22" customFormat="false" ht="15" hidden="false" customHeight="false" outlineLevel="0" collapsed="false">
      <c r="A22" s="0" t="n">
        <v>2035</v>
      </c>
      <c r="B22" s="0" t="n">
        <v>9</v>
      </c>
      <c r="C22" s="0" t="n">
        <f aca="false">IF(B22&lt;x_H,(1+x_rc)^(-B22),0)</f>
        <v>0.644608916217797</v>
      </c>
      <c r="D22" s="0" t="n">
        <f aca="false">IF(B22&lt;x_H,(1+x_RE)^(-B22),0)</f>
        <v>0.714864644433919</v>
      </c>
      <c r="E22" s="0" t="n">
        <f aca="false">(L_I4!AI12-L_S1!AI12)*C22</f>
        <v>135520093.720733</v>
      </c>
      <c r="F22" s="0" t="n">
        <f aca="false">(L_I4!AJ12-L_S1!AJ12)*C22</f>
        <v>93004400.8669739</v>
      </c>
      <c r="G22" s="0" t="n">
        <f aca="false">(L_I4!AK12-L_S1!AK12)*C22</f>
        <v>76473236.1012568</v>
      </c>
      <c r="H22" s="0" t="n">
        <f aca="false">(L_I4!AM12-L_S1!AM12)*C22</f>
        <v>257911902.435671</v>
      </c>
      <c r="I22" s="0" t="n">
        <f aca="false">I21+E22</f>
        <v>2594102196.51844</v>
      </c>
      <c r="J22" s="0" t="n">
        <f aca="false">J21+F22</f>
        <v>2440750528.90639</v>
      </c>
      <c r="K22" s="0" t="n">
        <f aca="false">K21+G22</f>
        <v>2391550433.3139</v>
      </c>
      <c r="L22" s="0" t="n">
        <f aca="false">MAX(L21,J22)</f>
        <v>2440750528.90639</v>
      </c>
      <c r="M22" s="0" t="n">
        <f aca="false">IF(AND(B22&lt;x_H,J22&lt;=0,L21&gt;0),1,0)</f>
        <v>0</v>
      </c>
      <c r="N22" s="0" t="n">
        <f aca="false">IF(AND(B22&lt;x_H,I22&lt;=0,O21&gt;0),1,0)</f>
        <v>0</v>
      </c>
      <c r="O22" s="0" t="n">
        <f aca="false">MAX(O21,I22)</f>
        <v>2594102196.51844</v>
      </c>
      <c r="P22" s="0" t="n">
        <f aca="false">(L_I4!R12-L_S1!R12)*D22</f>
        <v>3214.98149648735</v>
      </c>
    </row>
    <row r="23" customFormat="false" ht="15" hidden="false" customHeight="false" outlineLevel="0" collapsed="false">
      <c r="A23" s="0" t="n">
        <v>2036</v>
      </c>
      <c r="B23" s="0" t="n">
        <v>10</v>
      </c>
      <c r="C23" s="0" t="n">
        <f aca="false">IF(B23&lt;x_H,(1+x_rc)^(-B23),0)</f>
        <v>0.613913253540759</v>
      </c>
      <c r="D23" s="0" t="n">
        <f aca="false">IF(B23&lt;x_H,(1+x_RE)^(-B23),0)</f>
        <v>0.688694262460422</v>
      </c>
      <c r="E23" s="0" t="n">
        <f aca="false">(L_I4!AI13-L_S1!AI13)*C23</f>
        <v>-119126768.927194</v>
      </c>
      <c r="F23" s="0" t="n">
        <f aca="false">(L_I4!AJ13-L_S1!AJ13)*C23</f>
        <v>-121765321.693388</v>
      </c>
      <c r="G23" s="0" t="n">
        <f aca="false">(L_I4!AK13-L_S1!AK13)*C23</f>
        <v>-120241184.417655</v>
      </c>
      <c r="H23" s="0" t="n">
        <f aca="false">(L_I4!AM13-L_S1!AM13)*C23</f>
        <v>0</v>
      </c>
      <c r="I23" s="0" t="n">
        <f aca="false">I22+E23</f>
        <v>2474975427.59125</v>
      </c>
      <c r="J23" s="0" t="n">
        <f aca="false">J22+F23</f>
        <v>2318985207.213</v>
      </c>
      <c r="K23" s="0" t="n">
        <f aca="false">K22+G23</f>
        <v>2271309248.89624</v>
      </c>
      <c r="L23" s="0" t="n">
        <f aca="false">MAX(L22,J23)</f>
        <v>2440750528.90639</v>
      </c>
      <c r="M23" s="0" t="n">
        <f aca="false">IF(AND(B23&lt;x_H,J23&lt;=0,L22&gt;0),1,0)</f>
        <v>0</v>
      </c>
      <c r="N23" s="0" t="n">
        <f aca="false">IF(AND(B23&lt;x_H,I23&lt;=0,O22&gt;0),1,0)</f>
        <v>0</v>
      </c>
      <c r="O23" s="0" t="n">
        <f aca="false">MAX(O22,I23)</f>
        <v>2594102196.51844</v>
      </c>
      <c r="P23" s="0" t="n">
        <f aca="false">(L_I4!R13-L_S1!R13)*D23</f>
        <v>3246.32500403593</v>
      </c>
    </row>
    <row r="24" customFormat="false" ht="15" hidden="false" customHeight="false" outlineLevel="0" collapsed="false">
      <c r="A24" s="0" t="n">
        <v>2037</v>
      </c>
      <c r="B24" s="0" t="n">
        <v>11</v>
      </c>
      <c r="C24" s="0" t="n">
        <f aca="false">IF(B24&lt;x_H,(1+x_rc)^(-B24),0)</f>
        <v>0.584679289086437</v>
      </c>
      <c r="D24" s="0" t="n">
        <f aca="false">IF(B24&lt;x_H,(1+x_RE)^(-B24),0)</f>
        <v>0.663481948420446</v>
      </c>
      <c r="E24" s="0" t="n">
        <f aca="false">(L_I4!AI14-L_S1!AI14)*C24</f>
        <v>-116708268.251062</v>
      </c>
      <c r="F24" s="0" t="n">
        <f aca="false">(L_I4!AJ14-L_S1!AJ14)*C24</f>
        <v>-119260200.041827</v>
      </c>
      <c r="G24" s="0" t="n">
        <f aca="false">(L_I4!AK14-L_S1!AK14)*C24</f>
        <v>-117872191.563645</v>
      </c>
      <c r="H24" s="0" t="n">
        <f aca="false">(L_I4!AM14-L_S1!AM14)*C24</f>
        <v>0</v>
      </c>
      <c r="I24" s="0" t="n">
        <f aca="false">I23+E24</f>
        <v>2358267159.34018</v>
      </c>
      <c r="J24" s="0" t="n">
        <f aca="false">J23+F24</f>
        <v>2199725007.17117</v>
      </c>
      <c r="K24" s="0" t="n">
        <f aca="false">K23+G24</f>
        <v>2153437057.3326</v>
      </c>
      <c r="L24" s="0" t="n">
        <f aca="false">MAX(L23,J24)</f>
        <v>2440750528.90639</v>
      </c>
      <c r="M24" s="0" t="n">
        <f aca="false">IF(AND(B24&lt;x_H,J24&lt;=0,L23&gt;0),1,0)</f>
        <v>0</v>
      </c>
      <c r="N24" s="0" t="n">
        <f aca="false">IF(AND(B24&lt;x_H,I24&lt;=0,O23&gt;0),1,0)</f>
        <v>0</v>
      </c>
      <c r="O24" s="0" t="n">
        <f aca="false">MAX(O23,I24)</f>
        <v>2594102196.51844</v>
      </c>
      <c r="P24" s="0" t="n">
        <f aca="false">(L_I4!R14-L_S1!R14)*D24</f>
        <v>3276.76152053224</v>
      </c>
    </row>
    <row r="25" customFormat="false" ht="15" hidden="false" customHeight="false" outlineLevel="0" collapsed="false">
      <c r="A25" s="0" t="n">
        <v>2038</v>
      </c>
      <c r="B25" s="0" t="n">
        <v>12</v>
      </c>
      <c r="C25" s="0" t="n">
        <f aca="false">IF(B25&lt;x_H,(1+x_rc)^(-B25),0)</f>
        <v>0.556837418177559</v>
      </c>
      <c r="D25" s="0" t="n">
        <f aca="false">IF(B25&lt;x_H,(1+x_RE)^(-B25),0)</f>
        <v>0.639192628536075</v>
      </c>
      <c r="E25" s="0" t="n">
        <f aca="false">(L_I4!AI15-L_S1!AI15)*C25</f>
        <v>-113915795.29641</v>
      </c>
      <c r="F25" s="0" t="n">
        <f aca="false">(L_I4!AJ15-L_S1!AJ15)*C25</f>
        <v>-116428025.689305</v>
      </c>
      <c r="G25" s="0" t="n">
        <f aca="false">(L_I4!AK15-L_S1!AK15)*C25</f>
        <v>-115187127.008453</v>
      </c>
      <c r="H25" s="0" t="n">
        <f aca="false">(L_I4!AM15-L_S1!AM15)*C25</f>
        <v>0</v>
      </c>
      <c r="I25" s="0" t="n">
        <f aca="false">I24+E25</f>
        <v>2244351364.04377</v>
      </c>
      <c r="J25" s="0" t="n">
        <f aca="false">J24+F25</f>
        <v>2083296981.48187</v>
      </c>
      <c r="K25" s="0" t="n">
        <f aca="false">K24+G25</f>
        <v>2038249930.32414</v>
      </c>
      <c r="L25" s="0" t="n">
        <f aca="false">MAX(L24,J25)</f>
        <v>2440750528.90639</v>
      </c>
      <c r="M25" s="0" t="n">
        <f aca="false">IF(AND(B25&lt;x_H,J25&lt;=0,L24&gt;0),1,0)</f>
        <v>0</v>
      </c>
      <c r="N25" s="0" t="n">
        <f aca="false">IF(AND(B25&lt;x_H,I25&lt;=0,O24&gt;0),1,0)</f>
        <v>0</v>
      </c>
      <c r="O25" s="0" t="n">
        <f aca="false">MAX(O24,I25)</f>
        <v>2594102196.51844</v>
      </c>
      <c r="P25" s="0" t="n">
        <f aca="false">(L_I4!R15-L_S1!R15)*D25</f>
        <v>3304.12731928125</v>
      </c>
    </row>
    <row r="26" customFormat="false" ht="15" hidden="false" customHeight="false" outlineLevel="0" collapsed="false">
      <c r="A26" s="0" t="n">
        <v>2039</v>
      </c>
      <c r="B26" s="0" t="n">
        <v>13</v>
      </c>
      <c r="C26" s="0" t="n">
        <f aca="false">IF(B26&lt;x_H,(1+x_rc)^(-B26),0)</f>
        <v>0.530321350645295</v>
      </c>
      <c r="D26" s="0" t="n">
        <f aca="false">IF(B26&lt;x_H,(1+x_RE)^(-B26),0)</f>
        <v>0.615792513040534</v>
      </c>
      <c r="E26" s="0" t="n">
        <f aca="false">(L_I4!AI16-L_S1!AI16)*C26</f>
        <v>-110797816.093764</v>
      </c>
      <c r="F26" s="0" t="n">
        <f aca="false">(L_I4!AJ16-L_S1!AJ16)*C26</f>
        <v>-113324095.426813</v>
      </c>
      <c r="G26" s="0" t="n">
        <f aca="false">(L_I4!AK16-L_S1!AK16)*C26</f>
        <v>-112245583.931725</v>
      </c>
      <c r="H26" s="0" t="n">
        <f aca="false">(L_I4!AM16-L_S1!AM16)*C26</f>
        <v>0</v>
      </c>
      <c r="I26" s="0" t="n">
        <f aca="false">I25+E26</f>
        <v>2133553547.95001</v>
      </c>
      <c r="J26" s="0" t="n">
        <f aca="false">J25+F26</f>
        <v>1969972886.05505</v>
      </c>
      <c r="K26" s="0" t="n">
        <f aca="false">K25+G26</f>
        <v>1926004346.39242</v>
      </c>
      <c r="L26" s="0" t="n">
        <f aca="false">MAX(L25,J26)</f>
        <v>2440750528.90639</v>
      </c>
      <c r="M26" s="0" t="n">
        <f aca="false">IF(AND(B26&lt;x_H,J26&lt;=0,L25&gt;0),1,0)</f>
        <v>0</v>
      </c>
      <c r="N26" s="0" t="n">
        <f aca="false">IF(AND(B26&lt;x_H,I26&lt;=0,O25&gt;0),1,0)</f>
        <v>0</v>
      </c>
      <c r="O26" s="0" t="n">
        <f aca="false">MAX(O25,I26)</f>
        <v>2594102196.51844</v>
      </c>
      <c r="P26" s="0" t="n">
        <f aca="false">(L_I4!R16-L_S1!R16)*D26</f>
        <v>3326.69466161386</v>
      </c>
    </row>
    <row r="27" customFormat="false" ht="15" hidden="false" customHeight="false" outlineLevel="0" collapsed="false">
      <c r="A27" s="0" t="n">
        <v>2040</v>
      </c>
      <c r="B27" s="0" t="n">
        <v>14</v>
      </c>
      <c r="C27" s="0" t="n">
        <f aca="false">IF(B27&lt;x_H,(1+x_rc)^(-B27),0)</f>
        <v>0.505067952995519</v>
      </c>
      <c r="D27" s="0" t="n">
        <f aca="false">IF(B27&lt;x_H,(1+x_RE)^(-B27),0)</f>
        <v>0.593249049171998</v>
      </c>
      <c r="E27" s="0" t="n">
        <f aca="false">(L_I4!AI17-L_S1!AI17)*C27</f>
        <v>-107400963.901799</v>
      </c>
      <c r="F27" s="0" t="n">
        <f aca="false">(L_I4!AJ17-L_S1!AJ17)*C27</f>
        <v>-110001374.390631</v>
      </c>
      <c r="G27" s="0" t="n">
        <f aca="false">(L_I4!AK17-L_S1!AK17)*C27</f>
        <v>-109104879.539636</v>
      </c>
      <c r="H27" s="0" t="n">
        <f aca="false">(L_I4!AM17-L_S1!AM17)*C27</f>
        <v>0</v>
      </c>
      <c r="I27" s="0" t="n">
        <f aca="false">I26+E27</f>
        <v>2026152584.04821</v>
      </c>
      <c r="J27" s="0" t="n">
        <f aca="false">J26+F27</f>
        <v>1859971511.66442</v>
      </c>
      <c r="K27" s="0" t="n">
        <f aca="false">K26+G27</f>
        <v>1816899466.85278</v>
      </c>
      <c r="L27" s="0" t="n">
        <f aca="false">MAX(L26,J27)</f>
        <v>2440750528.90639</v>
      </c>
      <c r="M27" s="0" t="n">
        <f aca="false">IF(AND(B27&lt;x_H,J27&lt;=0,L26&gt;0),1,0)</f>
        <v>0</v>
      </c>
      <c r="N27" s="0" t="n">
        <f aca="false">IF(AND(B27&lt;x_H,I27&lt;=0,O26&gt;0),1,0)</f>
        <v>0</v>
      </c>
      <c r="O27" s="0" t="n">
        <f aca="false">MAX(O26,I27)</f>
        <v>2594102196.51844</v>
      </c>
      <c r="P27" s="0" t="n">
        <f aca="false">(L_I4!R17-L_S1!R17)*D27</f>
        <v>3343.19153896052</v>
      </c>
    </row>
    <row r="28" customFormat="false" ht="15" hidden="false" customHeight="false" outlineLevel="0" collapsed="false">
      <c r="A28" s="0" t="n">
        <v>2041</v>
      </c>
      <c r="B28" s="0" t="n">
        <v>15</v>
      </c>
      <c r="C28" s="0" t="n">
        <f aca="false">IF(B28&lt;x_H,(1+x_rc)^(-B28),0)</f>
        <v>0.48101709809097</v>
      </c>
      <c r="D28" s="0" t="n">
        <f aca="false">IF(B28&lt;x_H,(1+x_RE)^(-B28),0)</f>
        <v>0.571530875888245</v>
      </c>
      <c r="E28" s="0" t="n">
        <f aca="false">(L_I4!AI18-L_S1!AI18)*C28</f>
        <v>-103765970.439792</v>
      </c>
      <c r="F28" s="0" t="n">
        <f aca="false">(L_I4!AJ18-L_S1!AJ18)*C28</f>
        <v>-106505302.970162</v>
      </c>
      <c r="G28" s="0" t="n">
        <f aca="false">(L_I4!AK18-L_S1!AK18)*C28</f>
        <v>-105814386.358939</v>
      </c>
      <c r="H28" s="0" t="n">
        <f aca="false">(L_I4!AM18-L_S1!AM18)*C28</f>
        <v>0</v>
      </c>
      <c r="I28" s="0" t="n">
        <f aca="false">I27+E28</f>
        <v>1922386613.60842</v>
      </c>
      <c r="J28" s="0" t="n">
        <f aca="false">J27+F28</f>
        <v>1753466208.69426</v>
      </c>
      <c r="K28" s="0" t="n">
        <f aca="false">K27+G28</f>
        <v>1711085080.49384</v>
      </c>
      <c r="L28" s="0" t="n">
        <f aca="false">MAX(L27,J28)</f>
        <v>2440750528.90639</v>
      </c>
      <c r="M28" s="0" t="n">
        <f aca="false">IF(AND(B28&lt;x_H,J28&lt;=0,L27&gt;0),1,0)</f>
        <v>0</v>
      </c>
      <c r="N28" s="0" t="n">
        <f aca="false">IF(AND(B28&lt;x_H,I28&lt;=0,O27&gt;0),1,0)</f>
        <v>0</v>
      </c>
      <c r="O28" s="0" t="n">
        <f aca="false">MAX(O27,I28)</f>
        <v>2594102196.51844</v>
      </c>
      <c r="P28" s="0" t="n">
        <f aca="false">(L_I4!R18-L_S1!R18)*D28</f>
        <v>3352.61040551622</v>
      </c>
    </row>
    <row r="29" customFormat="false" ht="15" hidden="false" customHeight="false" outlineLevel="0" collapsed="false">
      <c r="A29" s="0" t="n">
        <v>2042</v>
      </c>
      <c r="B29" s="0" t="n">
        <v>16</v>
      </c>
      <c r="C29" s="0" t="n">
        <f aca="false">IF(B29&lt;x_H,(1+x_rc)^(-B29),0)</f>
        <v>0.4581115219914</v>
      </c>
      <c r="D29" s="0" t="n">
        <f aca="false">IF(B29&lt;x_H,(1+x_RE)^(-B29),0)</f>
        <v>0.550607780239157</v>
      </c>
      <c r="E29" s="0" t="n">
        <f aca="false">(L_I4!AI19-L_S1!AI19)*C29</f>
        <v>-99931253.2623038</v>
      </c>
      <c r="F29" s="0" t="n">
        <f aca="false">(L_I4!AJ19-L_S1!AJ19)*C29</f>
        <v>-102877348.292355</v>
      </c>
      <c r="G29" s="0" t="n">
        <f aca="false">(L_I4!AK19-L_S1!AK19)*C29</f>
        <v>-102419119.765176</v>
      </c>
      <c r="H29" s="0" t="n">
        <f aca="false">(L_I4!AM19-L_S1!AM19)*C29</f>
        <v>0</v>
      </c>
      <c r="I29" s="0" t="n">
        <f aca="false">I28+E29</f>
        <v>1822455360.34611</v>
      </c>
      <c r="J29" s="0" t="n">
        <f aca="false">J28+F29</f>
        <v>1650588860.40191</v>
      </c>
      <c r="K29" s="0" t="n">
        <f aca="false">K28+G29</f>
        <v>1608665960.72867</v>
      </c>
      <c r="L29" s="0" t="n">
        <f aca="false">MAX(L28,J29)</f>
        <v>2440750528.90639</v>
      </c>
      <c r="M29" s="0" t="n">
        <f aca="false">IF(AND(B29&lt;x_H,J29&lt;=0,L28&gt;0),1,0)</f>
        <v>0</v>
      </c>
      <c r="N29" s="0" t="n">
        <f aca="false">IF(AND(B29&lt;x_H,I29&lt;=0,O28&gt;0),1,0)</f>
        <v>0</v>
      </c>
      <c r="O29" s="0" t="n">
        <f aca="false">MAX(O28,I29)</f>
        <v>2594102196.51844</v>
      </c>
      <c r="P29" s="0" t="n">
        <f aca="false">(L_I4!R19-L_S1!R19)*D29</f>
        <v>3354.11318814054</v>
      </c>
    </row>
    <row r="30" customFormat="false" ht="15" hidden="false" customHeight="false" outlineLevel="0" collapsed="false">
      <c r="A30" s="0" t="n">
        <v>2043</v>
      </c>
      <c r="B30" s="0" t="n">
        <v>17</v>
      </c>
      <c r="C30" s="0" t="n">
        <f aca="false">IF(B30&lt;x_H,(1+x_rc)^(-B30),0)</f>
        <v>0.436296687610857</v>
      </c>
      <c r="D30" s="0" t="n">
        <f aca="false">IF(B30&lt;x_H,(1+x_RE)^(-B30),0)</f>
        <v>0.530450655336375</v>
      </c>
      <c r="E30" s="0" t="n">
        <f aca="false">(L_I4!AI20-L_S1!AI20)*C30</f>
        <v>-95935615.1002345</v>
      </c>
      <c r="F30" s="0" t="n">
        <f aca="false">(L_I4!AJ20-L_S1!AJ20)*C30</f>
        <v>-99157662.8019097</v>
      </c>
      <c r="G30" s="0" t="n">
        <f aca="false">(L_I4!AK20-L_S1!AK20)*C30</f>
        <v>-98962076.3652412</v>
      </c>
      <c r="H30" s="0" t="n">
        <f aca="false">(L_I4!AM20-L_S1!AM20)*C30</f>
        <v>0</v>
      </c>
      <c r="I30" s="0" t="n">
        <f aca="false">I29+E30</f>
        <v>1726519745.24588</v>
      </c>
      <c r="J30" s="0" t="n">
        <f aca="false">J29+F30</f>
        <v>1551431197.6</v>
      </c>
      <c r="K30" s="0" t="n">
        <f aca="false">K29+G30</f>
        <v>1509703884.36343</v>
      </c>
      <c r="L30" s="0" t="n">
        <f aca="false">MAX(L29,J30)</f>
        <v>2440750528.90639</v>
      </c>
      <c r="M30" s="0" t="n">
        <f aca="false">IF(AND(B30&lt;x_H,J30&lt;=0,L29&gt;0),1,0)</f>
        <v>0</v>
      </c>
      <c r="N30" s="0" t="n">
        <f aca="false">IF(AND(B30&lt;x_H,I30&lt;=0,O29&gt;0),1,0)</f>
        <v>0</v>
      </c>
      <c r="O30" s="0" t="n">
        <f aca="false">MAX(O29,I30)</f>
        <v>2594102196.51844</v>
      </c>
      <c r="P30" s="0" t="n">
        <f aca="false">(L_I4!R20-L_S1!R20)*D30</f>
        <v>3347.24654259965</v>
      </c>
    </row>
    <row r="31" customFormat="false" ht="15" hidden="false" customHeight="false" outlineLevel="0" collapsed="false">
      <c r="A31" s="0" t="n">
        <v>2044</v>
      </c>
      <c r="B31" s="0" t="n">
        <v>18</v>
      </c>
      <c r="C31" s="0" t="n">
        <f aca="false">IF(B31&lt;x_H,(1+x_rc)^(-B31),0)</f>
        <v>0.415520654867483</v>
      </c>
      <c r="D31" s="0" t="n">
        <f aca="false">IF(B31&lt;x_H,(1+x_RE)^(-B31),0)</f>
        <v>0.511031459861633</v>
      </c>
      <c r="E31" s="0" t="n">
        <f aca="false">(L_I4!AI21-L_S1!AI21)*C31</f>
        <v>-91807500.4649184</v>
      </c>
      <c r="F31" s="0" t="n">
        <f aca="false">(L_I4!AJ21-L_S1!AJ21)*C31</f>
        <v>-95374118.8881465</v>
      </c>
      <c r="G31" s="0" t="n">
        <f aca="false">(L_I4!AK21-L_S1!AK21)*C31</f>
        <v>-95473303.1273755</v>
      </c>
      <c r="H31" s="0" t="n">
        <f aca="false">(L_I4!AM21-L_S1!AM21)*C31</f>
        <v>0</v>
      </c>
      <c r="I31" s="0" t="n">
        <f aca="false">I30+E31</f>
        <v>1634712244.78096</v>
      </c>
      <c r="J31" s="0" t="n">
        <f aca="false">J30+F31</f>
        <v>1456057078.71185</v>
      </c>
      <c r="K31" s="0" t="n">
        <f aca="false">K30+G31</f>
        <v>1414230581.23605</v>
      </c>
      <c r="L31" s="0" t="n">
        <f aca="false">MAX(L30,J31)</f>
        <v>2440750528.90639</v>
      </c>
      <c r="M31" s="0" t="n">
        <f aca="false">IF(AND(B31&lt;x_H,J31&lt;=0,L30&gt;0),1,0)</f>
        <v>0</v>
      </c>
      <c r="N31" s="0" t="n">
        <f aca="false">IF(AND(B31&lt;x_H,I31&lt;=0,O30&gt;0),1,0)</f>
        <v>0</v>
      </c>
      <c r="O31" s="0" t="n">
        <f aca="false">MAX(O30,I31)</f>
        <v>2594102196.51844</v>
      </c>
      <c r="P31" s="0" t="n">
        <f aca="false">(L_I4!R21-L_S1!R21)*D31</f>
        <v>3331.31852395499</v>
      </c>
    </row>
    <row r="32" customFormat="false" ht="15" hidden="false" customHeight="false" outlineLevel="0" collapsed="false">
      <c r="A32" s="0" t="n">
        <v>2045</v>
      </c>
      <c r="B32" s="0" t="n">
        <v>19</v>
      </c>
      <c r="C32" s="0" t="n">
        <f aca="false">IF(B32&lt;x_H,(1+x_rc)^(-B32),0)</f>
        <v>0.39573395701665</v>
      </c>
      <c r="D32" s="0" t="n">
        <f aca="false">IF(B32&lt;x_H,(1+x_RE)^(-B32),0)</f>
        <v>0.49232317905745</v>
      </c>
      <c r="E32" s="0" t="n">
        <f aca="false">(L_I4!AI22-L_S1!AI22)*C32</f>
        <v>-87580101.6170014</v>
      </c>
      <c r="F32" s="0" t="n">
        <f aca="false">(L_I4!AJ22-L_S1!AJ22)*C32</f>
        <v>-91557569.3227279</v>
      </c>
      <c r="G32" s="0" t="n">
        <f aca="false">(L_I4!AK22-L_S1!AK22)*C32</f>
        <v>-91984858.8907549</v>
      </c>
      <c r="H32" s="0" t="n">
        <f aca="false">(L_I4!AM22-L_S1!AM22)*C32</f>
        <v>0</v>
      </c>
      <c r="I32" s="0" t="n">
        <f aca="false">I31+E32</f>
        <v>1547132143.16396</v>
      </c>
      <c r="J32" s="0" t="n">
        <f aca="false">J31+F32</f>
        <v>1364499509.38912</v>
      </c>
      <c r="K32" s="0" t="n">
        <f aca="false">K31+G32</f>
        <v>1322245722.34529</v>
      </c>
      <c r="L32" s="0" t="n">
        <f aca="false">MAX(L31,J32)</f>
        <v>2440750528.90639</v>
      </c>
      <c r="M32" s="0" t="n">
        <f aca="false">IF(AND(B32&lt;x_H,J32&lt;=0,L31&gt;0),1,0)</f>
        <v>0</v>
      </c>
      <c r="N32" s="0" t="n">
        <f aca="false">IF(AND(B32&lt;x_H,I32&lt;=0,O31&gt;0),1,0)</f>
        <v>0</v>
      </c>
      <c r="O32" s="0" t="n">
        <f aca="false">MAX(O31,I32)</f>
        <v>2594102196.51844</v>
      </c>
      <c r="P32" s="0" t="n">
        <f aca="false">(L_I4!R22-L_S1!R22)*D32</f>
        <v>3306.02153423173</v>
      </c>
    </row>
    <row r="33" customFormat="false" ht="15" hidden="false" customHeight="false" outlineLevel="0" collapsed="false">
      <c r="A33" s="0" t="n">
        <v>2046</v>
      </c>
      <c r="B33" s="0" t="n">
        <v>20</v>
      </c>
      <c r="C33" s="0" t="n">
        <f aca="false">IF(B33&lt;x_H,(1+x_rc)^(-B33),0)</f>
        <v>0</v>
      </c>
      <c r="D33" s="0" t="n">
        <f aca="false">IF(B33&lt;x_H,(1+x_RE)^(-B33),0)</f>
        <v>0</v>
      </c>
      <c r="E33" s="0" t="n">
        <f aca="false">(L_I4!AI23-L_S1!AI23)*C33</f>
        <v>-0</v>
      </c>
      <c r="F33" s="0" t="n">
        <f aca="false">(L_I4!AJ23-L_S1!AJ23)*C33</f>
        <v>-0</v>
      </c>
      <c r="G33" s="0" t="n">
        <f aca="false">(L_I4!AK23-L_S1!AK23)*C33</f>
        <v>-0</v>
      </c>
      <c r="H33" s="0" t="n">
        <f aca="false">(L_I4!AM23-L_S1!AM23)*C33</f>
        <v>0</v>
      </c>
      <c r="I33" s="0" t="n">
        <f aca="false">I32+E33</f>
        <v>1547132143.16396</v>
      </c>
      <c r="J33" s="0" t="n">
        <f aca="false">J32+F33</f>
        <v>1364499509.38912</v>
      </c>
      <c r="K33" s="0" t="n">
        <f aca="false">K32+G33</f>
        <v>1322245722.34529</v>
      </c>
      <c r="L33" s="0" t="n">
        <f aca="false">MAX(L32,J33)</f>
        <v>2440750528.90639</v>
      </c>
      <c r="M33" s="0" t="n">
        <f aca="false">IF(AND(B33&lt;x_H,J33&lt;=0,L32&gt;0),1,0)</f>
        <v>0</v>
      </c>
      <c r="N33" s="0" t="n">
        <f aca="false">IF(AND(B33&lt;x_H,I33&lt;=0,O32&gt;0),1,0)</f>
        <v>0</v>
      </c>
      <c r="O33" s="0" t="n">
        <f aca="false">MAX(O32,I33)</f>
        <v>2594102196.51844</v>
      </c>
      <c r="P33" s="0" t="n">
        <f aca="false">(L_I4!R23-L_S1!R23)*D33</f>
        <v>0</v>
      </c>
    </row>
    <row r="34" customFormat="false" ht="15" hidden="false" customHeight="false" outlineLevel="0" collapsed="false">
      <c r="A34" s="0" t="n">
        <v>2047</v>
      </c>
      <c r="B34" s="0" t="n">
        <v>21</v>
      </c>
      <c r="C34" s="0" t="n">
        <f aca="false">IF(B34&lt;x_H,(1+x_rc)^(-B34),0)</f>
        <v>0</v>
      </c>
      <c r="D34" s="0" t="n">
        <f aca="false">IF(B34&lt;x_H,(1+x_RE)^(-B34),0)</f>
        <v>0</v>
      </c>
      <c r="E34" s="0" t="n">
        <f aca="false">(L_I4!AI24-L_S1!AI24)*C34</f>
        <v>-0</v>
      </c>
      <c r="F34" s="0" t="n">
        <f aca="false">(L_I4!AJ24-L_S1!AJ24)*C34</f>
        <v>-0</v>
      </c>
      <c r="G34" s="0" t="n">
        <f aca="false">(L_I4!AK24-L_S1!AK24)*C34</f>
        <v>-0</v>
      </c>
      <c r="H34" s="0" t="n">
        <f aca="false">(L_I4!AM24-L_S1!AM24)*C34</f>
        <v>0</v>
      </c>
      <c r="I34" s="0" t="n">
        <f aca="false">I33+E34</f>
        <v>1547132143.16396</v>
      </c>
      <c r="J34" s="0" t="n">
        <f aca="false">J33+F34</f>
        <v>1364499509.38912</v>
      </c>
      <c r="K34" s="0" t="n">
        <f aca="false">K33+G34</f>
        <v>1322245722.34529</v>
      </c>
      <c r="L34" s="0" t="n">
        <f aca="false">MAX(L33,J34)</f>
        <v>2440750528.90639</v>
      </c>
      <c r="M34" s="0" t="n">
        <f aca="false">IF(AND(B34&lt;x_H,J34&lt;=0,L33&gt;0),1,0)</f>
        <v>0</v>
      </c>
      <c r="N34" s="0" t="n">
        <f aca="false">IF(AND(B34&lt;x_H,I34&lt;=0,O33&gt;0),1,0)</f>
        <v>0</v>
      </c>
      <c r="O34" s="0" t="n">
        <f aca="false">MAX(O33,I34)</f>
        <v>2594102196.51844</v>
      </c>
      <c r="P34" s="0" t="n">
        <f aca="false">(L_I4!R24-L_S1!R24)*D34</f>
        <v>0</v>
      </c>
    </row>
    <row r="35" customFormat="false" ht="15" hidden="false" customHeight="false" outlineLevel="0" collapsed="false">
      <c r="A35" s="0" t="n">
        <v>2048</v>
      </c>
      <c r="B35" s="0" t="n">
        <v>22</v>
      </c>
      <c r="C35" s="0" t="n">
        <f aca="false">IF(B35&lt;x_H,(1+x_rc)^(-B35),0)</f>
        <v>0</v>
      </c>
      <c r="D35" s="0" t="n">
        <f aca="false">IF(B35&lt;x_H,(1+x_RE)^(-B35),0)</f>
        <v>0</v>
      </c>
      <c r="E35" s="0" t="n">
        <f aca="false">(L_I4!AI25-L_S1!AI25)*C35</f>
        <v>-0</v>
      </c>
      <c r="F35" s="0" t="n">
        <f aca="false">(L_I4!AJ25-L_S1!AJ25)*C35</f>
        <v>-0</v>
      </c>
      <c r="G35" s="0" t="n">
        <f aca="false">(L_I4!AK25-L_S1!AK25)*C35</f>
        <v>-0</v>
      </c>
      <c r="H35" s="0" t="n">
        <f aca="false">(L_I4!AM25-L_S1!AM25)*C35</f>
        <v>0</v>
      </c>
      <c r="I35" s="0" t="n">
        <f aca="false">I34+E35</f>
        <v>1547132143.16396</v>
      </c>
      <c r="J35" s="0" t="n">
        <f aca="false">J34+F35</f>
        <v>1364499509.38912</v>
      </c>
      <c r="K35" s="0" t="n">
        <f aca="false">K34+G35</f>
        <v>1322245722.34529</v>
      </c>
      <c r="L35" s="0" t="n">
        <f aca="false">MAX(L34,J35)</f>
        <v>2440750528.90639</v>
      </c>
      <c r="M35" s="0" t="n">
        <f aca="false">IF(AND(B35&lt;x_H,J35&lt;=0,L34&gt;0),1,0)</f>
        <v>0</v>
      </c>
      <c r="N35" s="0" t="n">
        <f aca="false">IF(AND(B35&lt;x_H,I35&lt;=0,O34&gt;0),1,0)</f>
        <v>0</v>
      </c>
      <c r="O35" s="0" t="n">
        <f aca="false">MAX(O34,I35)</f>
        <v>2594102196.51844</v>
      </c>
      <c r="P35" s="0" t="n">
        <f aca="false">(L_I4!R25-L_S1!R25)*D35</f>
        <v>0</v>
      </c>
    </row>
    <row r="36" customFormat="false" ht="15" hidden="false" customHeight="false" outlineLevel="0" collapsed="false">
      <c r="A36" s="0" t="n">
        <v>2049</v>
      </c>
      <c r="B36" s="0" t="n">
        <v>23</v>
      </c>
      <c r="C36" s="0" t="n">
        <f aca="false">IF(B36&lt;x_H,(1+x_rc)^(-B36),0)</f>
        <v>0</v>
      </c>
      <c r="D36" s="0" t="n">
        <f aca="false">IF(B36&lt;x_H,(1+x_RE)^(-B36),0)</f>
        <v>0</v>
      </c>
      <c r="E36" s="0" t="n">
        <f aca="false">(L_I4!AI26-L_S1!AI26)*C36</f>
        <v>-0</v>
      </c>
      <c r="F36" s="0" t="n">
        <f aca="false">(L_I4!AJ26-L_S1!AJ26)*C36</f>
        <v>-0</v>
      </c>
      <c r="G36" s="0" t="n">
        <f aca="false">(L_I4!AK26-L_S1!AK26)*C36</f>
        <v>-0</v>
      </c>
      <c r="H36" s="0" t="n">
        <f aca="false">(L_I4!AM26-L_S1!AM26)*C36</f>
        <v>0</v>
      </c>
      <c r="I36" s="0" t="n">
        <f aca="false">I35+E36</f>
        <v>1547132143.16396</v>
      </c>
      <c r="J36" s="0" t="n">
        <f aca="false">J35+F36</f>
        <v>1364499509.38912</v>
      </c>
      <c r="K36" s="0" t="n">
        <f aca="false">K35+G36</f>
        <v>1322245722.34529</v>
      </c>
      <c r="L36" s="0" t="n">
        <f aca="false">MAX(L35,J36)</f>
        <v>2440750528.90639</v>
      </c>
      <c r="M36" s="0" t="n">
        <f aca="false">IF(AND(B36&lt;x_H,J36&lt;=0,L35&gt;0),1,0)</f>
        <v>0</v>
      </c>
      <c r="N36" s="0" t="n">
        <f aca="false">IF(AND(B36&lt;x_H,I36&lt;=0,O35&gt;0),1,0)</f>
        <v>0</v>
      </c>
      <c r="O36" s="0" t="n">
        <f aca="false">MAX(O35,I36)</f>
        <v>2594102196.51844</v>
      </c>
      <c r="P36" s="0" t="n">
        <f aca="false">(L_I4!R26-L_S1!R26)*D36</f>
        <v>0</v>
      </c>
    </row>
    <row r="37" customFormat="false" ht="15" hidden="false" customHeight="false" outlineLevel="0" collapsed="false">
      <c r="A37" s="0" t="n">
        <v>2050</v>
      </c>
      <c r="B37" s="0" t="n">
        <v>24</v>
      </c>
      <c r="C37" s="0" t="n">
        <f aca="false">IF(B37&lt;x_H,(1+x_rc)^(-B37),0)</f>
        <v>0</v>
      </c>
      <c r="D37" s="0" t="n">
        <f aca="false">IF(B37&lt;x_H,(1+x_RE)^(-B37),0)</f>
        <v>0</v>
      </c>
      <c r="E37" s="0" t="n">
        <f aca="false">(L_I4!AI27-L_S1!AI27)*C37</f>
        <v>-0</v>
      </c>
      <c r="F37" s="0" t="n">
        <f aca="false">(L_I4!AJ27-L_S1!AJ27)*C37</f>
        <v>-0</v>
      </c>
      <c r="G37" s="0" t="n">
        <f aca="false">(L_I4!AK27-L_S1!AK27)*C37</f>
        <v>-0</v>
      </c>
      <c r="H37" s="0" t="n">
        <f aca="false">(L_I4!AM27-L_S1!AM27)*C37</f>
        <v>0</v>
      </c>
      <c r="I37" s="0" t="n">
        <f aca="false">I36+E37</f>
        <v>1547132143.16396</v>
      </c>
      <c r="J37" s="0" t="n">
        <f aca="false">J36+F37</f>
        <v>1364499509.38912</v>
      </c>
      <c r="K37" s="0" t="n">
        <f aca="false">K36+G37</f>
        <v>1322245722.34529</v>
      </c>
      <c r="L37" s="0" t="n">
        <f aca="false">MAX(L36,J37)</f>
        <v>2440750528.90639</v>
      </c>
      <c r="M37" s="0" t="n">
        <f aca="false">IF(AND(B37&lt;x_H,J37&lt;=0,L36&gt;0),1,0)</f>
        <v>0</v>
      </c>
      <c r="N37" s="0" t="n">
        <f aca="false">IF(AND(B37&lt;x_H,I37&lt;=0,O36&gt;0),1,0)</f>
        <v>0</v>
      </c>
      <c r="O37" s="0" t="n">
        <f aca="false">MAX(O36,I37)</f>
        <v>2594102196.51844</v>
      </c>
      <c r="P37" s="0" t="n">
        <f aca="false">(L_I4!R27-L_S1!R27)*D37</f>
        <v>0</v>
      </c>
    </row>
    <row r="38" customFormat="false" ht="15" hidden="false" customHeight="false" outlineLevel="0" collapsed="false">
      <c r="A38" s="0" t="n">
        <v>2051</v>
      </c>
      <c r="B38" s="0" t="n">
        <v>25</v>
      </c>
      <c r="C38" s="0" t="n">
        <f aca="false">IF(B38&lt;x_H,(1+x_rc)^(-B38),0)</f>
        <v>0</v>
      </c>
      <c r="D38" s="0" t="n">
        <f aca="false">IF(B38&lt;x_H,(1+x_RE)^(-B38),0)</f>
        <v>0</v>
      </c>
      <c r="E38" s="0" t="n">
        <f aca="false">(L_I4!AI28-L_S1!AI28)*C38</f>
        <v>-0</v>
      </c>
      <c r="F38" s="0" t="n">
        <f aca="false">(L_I4!AJ28-L_S1!AJ28)*C38</f>
        <v>-0</v>
      </c>
      <c r="G38" s="0" t="n">
        <f aca="false">(L_I4!AK28-L_S1!AK28)*C38</f>
        <v>-0</v>
      </c>
      <c r="H38" s="0" t="n">
        <f aca="false">(L_I4!AM28-L_S1!AM28)*C38</f>
        <v>0</v>
      </c>
      <c r="I38" s="0" t="n">
        <f aca="false">I37+E38</f>
        <v>1547132143.16396</v>
      </c>
      <c r="J38" s="0" t="n">
        <f aca="false">J37+F38</f>
        <v>1364499509.38912</v>
      </c>
      <c r="K38" s="0" t="n">
        <f aca="false">K37+G38</f>
        <v>1322245722.34529</v>
      </c>
      <c r="L38" s="0" t="n">
        <f aca="false">MAX(L37,J38)</f>
        <v>2440750528.90639</v>
      </c>
      <c r="M38" s="0" t="n">
        <f aca="false">IF(AND(B38&lt;x_H,J38&lt;=0,L37&gt;0),1,0)</f>
        <v>0</v>
      </c>
      <c r="N38" s="0" t="n">
        <f aca="false">IF(AND(B38&lt;x_H,I38&lt;=0,O37&gt;0),1,0)</f>
        <v>0</v>
      </c>
      <c r="O38" s="0" t="n">
        <f aca="false">MAX(O37,I38)</f>
        <v>2594102196.51844</v>
      </c>
      <c r="P38" s="0" t="n">
        <f aca="false">(L_I4!R28-L_S1!R28)*D38</f>
        <v>0</v>
      </c>
    </row>
    <row r="39" customFormat="false" ht="15" hidden="false" customHeight="false" outlineLevel="0" collapsed="false">
      <c r="A39" s="0" t="n">
        <v>2052</v>
      </c>
      <c r="B39" s="0" t="n">
        <v>26</v>
      </c>
      <c r="C39" s="0" t="n">
        <f aca="false">IF(B39&lt;x_H,(1+x_rc)^(-B39),0)</f>
        <v>0</v>
      </c>
      <c r="D39" s="0" t="n">
        <f aca="false">IF(B39&lt;x_H,(1+x_RE)^(-B39),0)</f>
        <v>0</v>
      </c>
      <c r="E39" s="0" t="n">
        <f aca="false">(L_I4!AI29-L_S1!AI29)*C39</f>
        <v>-0</v>
      </c>
      <c r="F39" s="0" t="n">
        <f aca="false">(L_I4!AJ29-L_S1!AJ29)*C39</f>
        <v>-0</v>
      </c>
      <c r="G39" s="0" t="n">
        <f aca="false">(L_I4!AK29-L_S1!AK29)*C39</f>
        <v>-0</v>
      </c>
      <c r="H39" s="0" t="n">
        <f aca="false">(L_I4!AM29-L_S1!AM29)*C39</f>
        <v>0</v>
      </c>
      <c r="I39" s="0" t="n">
        <f aca="false">I38+E39</f>
        <v>1547132143.16396</v>
      </c>
      <c r="J39" s="0" t="n">
        <f aca="false">J38+F39</f>
        <v>1364499509.38912</v>
      </c>
      <c r="K39" s="0" t="n">
        <f aca="false">K38+G39</f>
        <v>1322245722.34529</v>
      </c>
      <c r="L39" s="0" t="n">
        <f aca="false">MAX(L38,J39)</f>
        <v>2440750528.90639</v>
      </c>
      <c r="M39" s="0" t="n">
        <f aca="false">IF(AND(B39&lt;x_H,J39&lt;=0,L38&gt;0),1,0)</f>
        <v>0</v>
      </c>
      <c r="N39" s="0" t="n">
        <f aca="false">IF(AND(B39&lt;x_H,I39&lt;=0,O38&gt;0),1,0)</f>
        <v>0</v>
      </c>
      <c r="O39" s="0" t="n">
        <f aca="false">MAX(O38,I39)</f>
        <v>2594102196.51844</v>
      </c>
      <c r="P39" s="0" t="n">
        <f aca="false">(L_I4!R29-L_S1!R29)*D39</f>
        <v>0</v>
      </c>
    </row>
    <row r="40" customFormat="false" ht="15" hidden="false" customHeight="false" outlineLevel="0" collapsed="false">
      <c r="A40" s="0" t="n">
        <v>2053</v>
      </c>
      <c r="B40" s="0" t="n">
        <v>27</v>
      </c>
      <c r="C40" s="0" t="n">
        <f aca="false">IF(B40&lt;x_H,(1+x_rc)^(-B40),0)</f>
        <v>0</v>
      </c>
      <c r="D40" s="0" t="n">
        <f aca="false">IF(B40&lt;x_H,(1+x_RE)^(-B40),0)</f>
        <v>0</v>
      </c>
      <c r="E40" s="0" t="n">
        <f aca="false">(L_I4!AI30-L_S1!AI30)*C40</f>
        <v>-0</v>
      </c>
      <c r="F40" s="0" t="n">
        <f aca="false">(L_I4!AJ30-L_S1!AJ30)*C40</f>
        <v>-0</v>
      </c>
      <c r="G40" s="0" t="n">
        <f aca="false">(L_I4!AK30-L_S1!AK30)*C40</f>
        <v>-0</v>
      </c>
      <c r="H40" s="0" t="n">
        <f aca="false">(L_I4!AM30-L_S1!AM30)*C40</f>
        <v>0</v>
      </c>
      <c r="I40" s="0" t="n">
        <f aca="false">I39+E40</f>
        <v>1547132143.16396</v>
      </c>
      <c r="J40" s="0" t="n">
        <f aca="false">J39+F40</f>
        <v>1364499509.38912</v>
      </c>
      <c r="K40" s="0" t="n">
        <f aca="false">K39+G40</f>
        <v>1322245722.34529</v>
      </c>
      <c r="L40" s="0" t="n">
        <f aca="false">MAX(L39,J40)</f>
        <v>2440750528.90639</v>
      </c>
      <c r="M40" s="0" t="n">
        <f aca="false">IF(AND(B40&lt;x_H,J40&lt;=0,L39&gt;0),1,0)</f>
        <v>0</v>
      </c>
      <c r="N40" s="0" t="n">
        <f aca="false">IF(AND(B40&lt;x_H,I40&lt;=0,O39&gt;0),1,0)</f>
        <v>0</v>
      </c>
      <c r="O40" s="0" t="n">
        <f aca="false">MAX(O39,I40)</f>
        <v>2594102196.51844</v>
      </c>
      <c r="P40" s="0" t="n">
        <f aca="false">(L_I4!R30-L_S1!R30)*D40</f>
        <v>0</v>
      </c>
    </row>
    <row r="41" customFormat="false" ht="15" hidden="false" customHeight="false" outlineLevel="0" collapsed="false">
      <c r="A41" s="0" t="n">
        <v>2054</v>
      </c>
      <c r="B41" s="0" t="n">
        <v>28</v>
      </c>
      <c r="C41" s="0" t="n">
        <f aca="false">IF(B41&lt;x_H,(1+x_rc)^(-B41),0)</f>
        <v>0</v>
      </c>
      <c r="D41" s="0" t="n">
        <f aca="false">IF(B41&lt;x_H,(1+x_RE)^(-B41),0)</f>
        <v>0</v>
      </c>
      <c r="E41" s="0" t="n">
        <f aca="false">(L_I4!AI31-L_S1!AI31)*C41</f>
        <v>-0</v>
      </c>
      <c r="F41" s="0" t="n">
        <f aca="false">(L_I4!AJ31-L_S1!AJ31)*C41</f>
        <v>-0</v>
      </c>
      <c r="G41" s="0" t="n">
        <f aca="false">(L_I4!AK31-L_S1!AK31)*C41</f>
        <v>-0</v>
      </c>
      <c r="H41" s="0" t="n">
        <f aca="false">(L_I4!AM31-L_S1!AM31)*C41</f>
        <v>0</v>
      </c>
      <c r="I41" s="0" t="n">
        <f aca="false">I40+E41</f>
        <v>1547132143.16396</v>
      </c>
      <c r="J41" s="0" t="n">
        <f aca="false">J40+F41</f>
        <v>1364499509.38912</v>
      </c>
      <c r="K41" s="0" t="n">
        <f aca="false">K40+G41</f>
        <v>1322245722.34529</v>
      </c>
      <c r="L41" s="0" t="n">
        <f aca="false">MAX(L40,J41)</f>
        <v>2440750528.90639</v>
      </c>
      <c r="M41" s="0" t="n">
        <f aca="false">IF(AND(B41&lt;x_H,J41&lt;=0,L40&gt;0),1,0)</f>
        <v>0</v>
      </c>
      <c r="N41" s="0" t="n">
        <f aca="false">IF(AND(B41&lt;x_H,I41&lt;=0,O40&gt;0),1,0)</f>
        <v>0</v>
      </c>
      <c r="O41" s="0" t="n">
        <f aca="false">MAX(O40,I41)</f>
        <v>2594102196.51844</v>
      </c>
      <c r="P41" s="0" t="n">
        <f aca="false">(L_I4!R31-L_S1!R31)*D41</f>
        <v>0</v>
      </c>
    </row>
    <row r="42" customFormat="false" ht="15" hidden="false" customHeight="false" outlineLevel="0" collapsed="false">
      <c r="A42" s="0" t="n">
        <v>2055</v>
      </c>
      <c r="B42" s="0" t="n">
        <v>29</v>
      </c>
      <c r="C42" s="0" t="n">
        <f aca="false">IF(B42&lt;x_H,(1+x_rc)^(-B42),0)</f>
        <v>0</v>
      </c>
      <c r="D42" s="0" t="n">
        <f aca="false">IF(B42&lt;x_H,(1+x_RE)^(-B42),0)</f>
        <v>0</v>
      </c>
      <c r="E42" s="0" t="n">
        <f aca="false">(L_I4!AI32-L_S1!AI32)*C42</f>
        <v>-0</v>
      </c>
      <c r="F42" s="0" t="n">
        <f aca="false">(L_I4!AJ32-L_S1!AJ32)*C42</f>
        <v>-0</v>
      </c>
      <c r="G42" s="0" t="n">
        <f aca="false">(L_I4!AK32-L_S1!AK32)*C42</f>
        <v>-0</v>
      </c>
      <c r="H42" s="0" t="n">
        <f aca="false">(L_I4!AM32-L_S1!AM32)*C42</f>
        <v>0</v>
      </c>
      <c r="I42" s="0" t="n">
        <f aca="false">I41+E42</f>
        <v>1547132143.16396</v>
      </c>
      <c r="J42" s="0" t="n">
        <f aca="false">J41+F42</f>
        <v>1364499509.38912</v>
      </c>
      <c r="K42" s="0" t="n">
        <f aca="false">K41+G42</f>
        <v>1322245722.34529</v>
      </c>
      <c r="L42" s="0" t="n">
        <f aca="false">MAX(L41,J42)</f>
        <v>2440750528.90639</v>
      </c>
      <c r="M42" s="0" t="n">
        <f aca="false">IF(AND(B42&lt;x_H,J42&lt;=0,L41&gt;0),1,0)</f>
        <v>0</v>
      </c>
      <c r="N42" s="0" t="n">
        <f aca="false">IF(AND(B42&lt;x_H,I42&lt;=0,O41&gt;0),1,0)</f>
        <v>0</v>
      </c>
      <c r="O42" s="0" t="n">
        <f aca="false">MAX(O41,I42)</f>
        <v>2594102196.51844</v>
      </c>
      <c r="P42" s="0" t="n">
        <f aca="false">(L_I4!R32-L_S1!R32)*D42</f>
        <v>0</v>
      </c>
    </row>
    <row r="43" customFormat="false" ht="15" hidden="false" customHeight="false" outlineLevel="0" collapsed="false">
      <c r="A43" s="0" t="n">
        <v>2056</v>
      </c>
      <c r="B43" s="0" t="n">
        <v>30</v>
      </c>
      <c r="C43" s="0" t="n">
        <f aca="false">IF(B43&lt;x_H,(1+x_rc)^(-B43),0)</f>
        <v>0</v>
      </c>
      <c r="D43" s="0" t="n">
        <f aca="false">IF(B43&lt;x_H,(1+x_RE)^(-B43),0)</f>
        <v>0</v>
      </c>
      <c r="E43" s="0" t="n">
        <f aca="false">(L_I4!AI33-L_S1!AI33)*C43</f>
        <v>-0</v>
      </c>
      <c r="F43" s="0" t="n">
        <f aca="false">(L_I4!AJ33-L_S1!AJ33)*C43</f>
        <v>-0</v>
      </c>
      <c r="G43" s="0" t="n">
        <f aca="false">(L_I4!AK33-L_S1!AK33)*C43</f>
        <v>-0</v>
      </c>
      <c r="H43" s="0" t="n">
        <f aca="false">(L_I4!AM33-L_S1!AM33)*C43</f>
        <v>0</v>
      </c>
      <c r="I43" s="0" t="n">
        <f aca="false">I42+E43</f>
        <v>1547132143.16396</v>
      </c>
      <c r="J43" s="0" t="n">
        <f aca="false">J42+F43</f>
        <v>1364499509.38912</v>
      </c>
      <c r="K43" s="0" t="n">
        <f aca="false">K42+G43</f>
        <v>1322245722.34529</v>
      </c>
      <c r="L43" s="0" t="n">
        <f aca="false">MAX(L42,J43)</f>
        <v>2440750528.90639</v>
      </c>
      <c r="M43" s="0" t="n">
        <f aca="false">IF(AND(B43&lt;x_H,J43&lt;=0,L42&gt;0),1,0)</f>
        <v>0</v>
      </c>
      <c r="N43" s="0" t="n">
        <f aca="false">IF(AND(B43&lt;x_H,I43&lt;=0,O42&gt;0),1,0)</f>
        <v>0</v>
      </c>
      <c r="O43" s="0" t="n">
        <f aca="false">MAX(O42,I43)</f>
        <v>2594102196.51844</v>
      </c>
      <c r="P43" s="0" t="n">
        <f aca="false">(L_I4!R33-L_S1!R33)*D43</f>
        <v>0</v>
      </c>
    </row>
    <row r="44" customFormat="false" ht="15" hidden="false" customHeight="false" outlineLevel="0" collapsed="false">
      <c r="A44" s="0" t="n">
        <v>2057</v>
      </c>
      <c r="B44" s="0" t="n">
        <v>31</v>
      </c>
      <c r="C44" s="0" t="n">
        <f aca="false">IF(B44&lt;x_H,(1+x_rc)^(-B44),0)</f>
        <v>0</v>
      </c>
      <c r="D44" s="0" t="n">
        <f aca="false">IF(B44&lt;x_H,(1+x_RE)^(-B44),0)</f>
        <v>0</v>
      </c>
      <c r="E44" s="0" t="n">
        <f aca="false">(L_I4!AI34-L_S1!AI34)*C44</f>
        <v>-0</v>
      </c>
      <c r="F44" s="0" t="n">
        <f aca="false">(L_I4!AJ34-L_S1!AJ34)*C44</f>
        <v>-0</v>
      </c>
      <c r="G44" s="0" t="n">
        <f aca="false">(L_I4!AK34-L_S1!AK34)*C44</f>
        <v>-0</v>
      </c>
      <c r="H44" s="0" t="n">
        <f aca="false">(L_I4!AM34-L_S1!AM34)*C44</f>
        <v>0</v>
      </c>
      <c r="I44" s="0" t="n">
        <f aca="false">I43+E44</f>
        <v>1547132143.16396</v>
      </c>
      <c r="J44" s="0" t="n">
        <f aca="false">J43+F44</f>
        <v>1364499509.38912</v>
      </c>
      <c r="K44" s="0" t="n">
        <f aca="false">K43+G44</f>
        <v>1322245722.34529</v>
      </c>
      <c r="L44" s="0" t="n">
        <f aca="false">MAX(L43,J44)</f>
        <v>2440750528.90639</v>
      </c>
      <c r="M44" s="0" t="n">
        <f aca="false">IF(AND(B44&lt;x_H,J44&lt;=0,L43&gt;0),1,0)</f>
        <v>0</v>
      </c>
      <c r="N44" s="0" t="n">
        <f aca="false">IF(AND(B44&lt;x_H,I44&lt;=0,O43&gt;0),1,0)</f>
        <v>0</v>
      </c>
      <c r="O44" s="0" t="n">
        <f aca="false">MAX(O43,I44)</f>
        <v>2594102196.51844</v>
      </c>
      <c r="P44" s="0" t="n">
        <f aca="false">(L_I4!R34-L_S1!R34)*D44</f>
        <v>0</v>
      </c>
    </row>
    <row r="45" customFormat="false" ht="15" hidden="false" customHeight="false" outlineLevel="0" collapsed="false">
      <c r="A45" s="0" t="n">
        <v>2058</v>
      </c>
      <c r="B45" s="0" t="n">
        <v>32</v>
      </c>
      <c r="C45" s="0" t="n">
        <f aca="false">IF(B45&lt;x_H,(1+x_rc)^(-B45),0)</f>
        <v>0</v>
      </c>
      <c r="D45" s="0" t="n">
        <f aca="false">IF(B45&lt;x_H,(1+x_RE)^(-B45),0)</f>
        <v>0</v>
      </c>
      <c r="E45" s="0" t="n">
        <f aca="false">(L_I4!AI35-L_S1!AI35)*C45</f>
        <v>-0</v>
      </c>
      <c r="F45" s="0" t="n">
        <f aca="false">(L_I4!AJ35-L_S1!AJ35)*C45</f>
        <v>-0</v>
      </c>
      <c r="G45" s="0" t="n">
        <f aca="false">(L_I4!AK35-L_S1!AK35)*C45</f>
        <v>-0</v>
      </c>
      <c r="H45" s="0" t="n">
        <f aca="false">(L_I4!AM35-L_S1!AM35)*C45</f>
        <v>0</v>
      </c>
      <c r="I45" s="0" t="n">
        <f aca="false">I44+E45</f>
        <v>1547132143.16396</v>
      </c>
      <c r="J45" s="0" t="n">
        <f aca="false">J44+F45</f>
        <v>1364499509.38912</v>
      </c>
      <c r="K45" s="0" t="n">
        <f aca="false">K44+G45</f>
        <v>1322245722.34529</v>
      </c>
      <c r="L45" s="0" t="n">
        <f aca="false">MAX(L44,J45)</f>
        <v>2440750528.90639</v>
      </c>
      <c r="M45" s="0" t="n">
        <f aca="false">IF(AND(B45&lt;x_H,J45&lt;=0,L44&gt;0),1,0)</f>
        <v>0</v>
      </c>
      <c r="N45" s="0" t="n">
        <f aca="false">IF(AND(B45&lt;x_H,I45&lt;=0,O44&gt;0),1,0)</f>
        <v>0</v>
      </c>
      <c r="O45" s="0" t="n">
        <f aca="false">MAX(O44,I45)</f>
        <v>2594102196.51844</v>
      </c>
      <c r="P45" s="0" t="n">
        <f aca="false">(L_I4!R35-L_S1!R35)*D45</f>
        <v>0</v>
      </c>
    </row>
    <row r="46" customFormat="false" ht="15" hidden="false" customHeight="false" outlineLevel="0" collapsed="false">
      <c r="A46" s="0" t="n">
        <v>2059</v>
      </c>
      <c r="B46" s="0" t="n">
        <v>33</v>
      </c>
      <c r="C46" s="0" t="n">
        <f aca="false">IF(B46&lt;x_H,(1+x_rc)^(-B46),0)</f>
        <v>0</v>
      </c>
      <c r="D46" s="0" t="n">
        <f aca="false">IF(B46&lt;x_H,(1+x_RE)^(-B46),0)</f>
        <v>0</v>
      </c>
      <c r="E46" s="0" t="n">
        <f aca="false">(L_I4!AI36-L_S1!AI36)*C46</f>
        <v>-0</v>
      </c>
      <c r="F46" s="0" t="n">
        <f aca="false">(L_I4!AJ36-L_S1!AJ36)*C46</f>
        <v>-0</v>
      </c>
      <c r="G46" s="0" t="n">
        <f aca="false">(L_I4!AK36-L_S1!AK36)*C46</f>
        <v>-0</v>
      </c>
      <c r="H46" s="0" t="n">
        <f aca="false">(L_I4!AM36-L_S1!AM36)*C46</f>
        <v>0</v>
      </c>
      <c r="I46" s="0" t="n">
        <f aca="false">I45+E46</f>
        <v>1547132143.16396</v>
      </c>
      <c r="J46" s="0" t="n">
        <f aca="false">J45+F46</f>
        <v>1364499509.38912</v>
      </c>
      <c r="K46" s="0" t="n">
        <f aca="false">K45+G46</f>
        <v>1322245722.34529</v>
      </c>
      <c r="L46" s="0" t="n">
        <f aca="false">MAX(L45,J46)</f>
        <v>2440750528.90639</v>
      </c>
      <c r="M46" s="0" t="n">
        <f aca="false">IF(AND(B46&lt;x_H,J46&lt;=0,L45&gt;0),1,0)</f>
        <v>0</v>
      </c>
      <c r="N46" s="0" t="n">
        <f aca="false">IF(AND(B46&lt;x_H,I46&lt;=0,O45&gt;0),1,0)</f>
        <v>0</v>
      </c>
      <c r="O46" s="0" t="n">
        <f aca="false">MAX(O45,I46)</f>
        <v>2594102196.51844</v>
      </c>
      <c r="P46" s="0" t="n">
        <f aca="false">(L_I4!R36-L_S1!R36)*D46</f>
        <v>0</v>
      </c>
    </row>
    <row r="47" customFormat="false" ht="15" hidden="false" customHeight="false" outlineLevel="0" collapsed="false">
      <c r="A47" s="0" t="n">
        <v>2060</v>
      </c>
      <c r="B47" s="0" t="n">
        <v>34</v>
      </c>
      <c r="C47" s="0" t="n">
        <f aca="false">IF(B47&lt;x_H,(1+x_rc)^(-B47),0)</f>
        <v>0</v>
      </c>
      <c r="D47" s="0" t="n">
        <f aca="false">IF(B47&lt;x_H,(1+x_RE)^(-B47),0)</f>
        <v>0</v>
      </c>
      <c r="E47" s="0" t="n">
        <f aca="false">(L_I4!AI37-L_S1!AI37)*C47</f>
        <v>-0</v>
      </c>
      <c r="F47" s="0" t="n">
        <f aca="false">(L_I4!AJ37-L_S1!AJ37)*C47</f>
        <v>-0</v>
      </c>
      <c r="G47" s="0" t="n">
        <f aca="false">(L_I4!AK37-L_S1!AK37)*C47</f>
        <v>-0</v>
      </c>
      <c r="H47" s="0" t="n">
        <f aca="false">(L_I4!AM37-L_S1!AM37)*C47</f>
        <v>0</v>
      </c>
      <c r="I47" s="0" t="n">
        <f aca="false">I46+E47</f>
        <v>1547132143.16396</v>
      </c>
      <c r="J47" s="0" t="n">
        <f aca="false">J46+F47</f>
        <v>1364499509.38912</v>
      </c>
      <c r="K47" s="0" t="n">
        <f aca="false">K46+G47</f>
        <v>1322245722.34529</v>
      </c>
      <c r="L47" s="0" t="n">
        <f aca="false">MAX(L46,J47)</f>
        <v>2440750528.90639</v>
      </c>
      <c r="M47" s="0" t="n">
        <f aca="false">IF(AND(B47&lt;x_H,J47&lt;=0,L46&gt;0),1,0)</f>
        <v>0</v>
      </c>
      <c r="N47" s="0" t="n">
        <f aca="false">IF(AND(B47&lt;x_H,I47&lt;=0,O46&gt;0),1,0)</f>
        <v>0</v>
      </c>
      <c r="O47" s="0" t="n">
        <f aca="false">MAX(O46,I47)</f>
        <v>2594102196.51844</v>
      </c>
      <c r="P47" s="0" t="n">
        <f aca="false">(L_I4!R37-L_S1!R37)*D47</f>
        <v>0</v>
      </c>
    </row>
    <row r="48" customFormat="false" ht="15" hidden="false" customHeight="false" outlineLevel="0" collapsed="false">
      <c r="A48" s="0" t="n">
        <v>2061</v>
      </c>
      <c r="B48" s="0" t="n">
        <v>35</v>
      </c>
      <c r="C48" s="0" t="n">
        <f aca="false">IF(B48&lt;x_H,(1+x_rc)^(-B48),0)</f>
        <v>0</v>
      </c>
      <c r="D48" s="0" t="n">
        <f aca="false">IF(B48&lt;x_H,(1+x_RE)^(-B48),0)</f>
        <v>0</v>
      </c>
      <c r="E48" s="0" t="n">
        <f aca="false">(L_I4!AI38-L_S1!AI38)*C48</f>
        <v>-0</v>
      </c>
      <c r="F48" s="0" t="n">
        <f aca="false">(L_I4!AJ38-L_S1!AJ38)*C48</f>
        <v>-0</v>
      </c>
      <c r="G48" s="0" t="n">
        <f aca="false">(L_I4!AK38-L_S1!AK38)*C48</f>
        <v>-0</v>
      </c>
      <c r="H48" s="0" t="n">
        <f aca="false">(L_I4!AM38-L_S1!AM38)*C48</f>
        <v>0</v>
      </c>
      <c r="I48" s="0" t="n">
        <f aca="false">I47+E48</f>
        <v>1547132143.16396</v>
      </c>
      <c r="J48" s="0" t="n">
        <f aca="false">J47+F48</f>
        <v>1364499509.38912</v>
      </c>
      <c r="K48" s="0" t="n">
        <f aca="false">K47+G48</f>
        <v>1322245722.34529</v>
      </c>
      <c r="L48" s="0" t="n">
        <f aca="false">MAX(L47,J48)</f>
        <v>2440750528.90639</v>
      </c>
      <c r="M48" s="0" t="n">
        <f aca="false">IF(AND(B48&lt;x_H,J48&lt;=0,L47&gt;0),1,0)</f>
        <v>0</v>
      </c>
      <c r="N48" s="0" t="n">
        <f aca="false">IF(AND(B48&lt;x_H,I48&lt;=0,O47&gt;0),1,0)</f>
        <v>0</v>
      </c>
      <c r="O48" s="0" t="n">
        <f aca="false">MAX(O47,I48)</f>
        <v>2594102196.51844</v>
      </c>
      <c r="P48" s="0" t="n">
        <f aca="false">(L_I4!R38-L_S1!R38)*D48</f>
        <v>0</v>
      </c>
    </row>
    <row r="49" customFormat="false" ht="15" hidden="false" customHeight="false" outlineLevel="0" collapsed="false">
      <c r="A49" s="0" t="n">
        <v>2062</v>
      </c>
      <c r="B49" s="0" t="n">
        <v>36</v>
      </c>
      <c r="C49" s="0" t="n">
        <f aca="false">IF(B49&lt;x_H,(1+x_rc)^(-B49),0)</f>
        <v>0</v>
      </c>
      <c r="D49" s="0" t="n">
        <f aca="false">IF(B49&lt;x_H,(1+x_RE)^(-B49),0)</f>
        <v>0</v>
      </c>
      <c r="E49" s="0" t="n">
        <f aca="false">(L_I4!AI39-L_S1!AI39)*C49</f>
        <v>-0</v>
      </c>
      <c r="F49" s="0" t="n">
        <f aca="false">(L_I4!AJ39-L_S1!AJ39)*C49</f>
        <v>-0</v>
      </c>
      <c r="G49" s="0" t="n">
        <f aca="false">(L_I4!AK39-L_S1!AK39)*C49</f>
        <v>-0</v>
      </c>
      <c r="H49" s="0" t="n">
        <f aca="false">(L_I4!AM39-L_S1!AM39)*C49</f>
        <v>0</v>
      </c>
      <c r="I49" s="0" t="n">
        <f aca="false">I48+E49</f>
        <v>1547132143.16396</v>
      </c>
      <c r="J49" s="0" t="n">
        <f aca="false">J48+F49</f>
        <v>1364499509.38912</v>
      </c>
      <c r="K49" s="0" t="n">
        <f aca="false">K48+G49</f>
        <v>1322245722.34529</v>
      </c>
      <c r="L49" s="0" t="n">
        <f aca="false">MAX(L48,J49)</f>
        <v>2440750528.90639</v>
      </c>
      <c r="M49" s="0" t="n">
        <f aca="false">IF(AND(B49&lt;x_H,J49&lt;=0,L48&gt;0),1,0)</f>
        <v>0</v>
      </c>
      <c r="N49" s="0" t="n">
        <f aca="false">IF(AND(B49&lt;x_H,I49&lt;=0,O48&gt;0),1,0)</f>
        <v>0</v>
      </c>
      <c r="O49" s="0" t="n">
        <f aca="false">MAX(O48,I49)</f>
        <v>2594102196.51844</v>
      </c>
      <c r="P49" s="0" t="n">
        <f aca="false">(L_I4!R39-L_S1!R39)*D49</f>
        <v>0</v>
      </c>
    </row>
    <row r="50" customFormat="false" ht="15" hidden="false" customHeight="false" outlineLevel="0" collapsed="false">
      <c r="A50" s="0" t="n">
        <v>2063</v>
      </c>
      <c r="B50" s="0" t="n">
        <v>37</v>
      </c>
      <c r="C50" s="0" t="n">
        <f aca="false">IF(B50&lt;x_H,(1+x_rc)^(-B50),0)</f>
        <v>0</v>
      </c>
      <c r="D50" s="0" t="n">
        <f aca="false">IF(B50&lt;x_H,(1+x_RE)^(-B50),0)</f>
        <v>0</v>
      </c>
      <c r="E50" s="0" t="n">
        <f aca="false">(L_I4!AI40-L_S1!AI40)*C50</f>
        <v>-0</v>
      </c>
      <c r="F50" s="0" t="n">
        <f aca="false">(L_I4!AJ40-L_S1!AJ40)*C50</f>
        <v>-0</v>
      </c>
      <c r="G50" s="0" t="n">
        <f aca="false">(L_I4!AK40-L_S1!AK40)*C50</f>
        <v>-0</v>
      </c>
      <c r="H50" s="0" t="n">
        <f aca="false">(L_I4!AM40-L_S1!AM40)*C50</f>
        <v>0</v>
      </c>
      <c r="I50" s="0" t="n">
        <f aca="false">I49+E50</f>
        <v>1547132143.16396</v>
      </c>
      <c r="J50" s="0" t="n">
        <f aca="false">J49+F50</f>
        <v>1364499509.38912</v>
      </c>
      <c r="K50" s="0" t="n">
        <f aca="false">K49+G50</f>
        <v>1322245722.34529</v>
      </c>
      <c r="L50" s="0" t="n">
        <f aca="false">MAX(L49,J50)</f>
        <v>2440750528.90639</v>
      </c>
      <c r="M50" s="0" t="n">
        <f aca="false">IF(AND(B50&lt;x_H,J50&lt;=0,L49&gt;0),1,0)</f>
        <v>0</v>
      </c>
      <c r="N50" s="0" t="n">
        <f aca="false">IF(AND(B50&lt;x_H,I50&lt;=0,O49&gt;0),1,0)</f>
        <v>0</v>
      </c>
      <c r="O50" s="0" t="n">
        <f aca="false">MAX(O49,I50)</f>
        <v>2594102196.51844</v>
      </c>
      <c r="P50" s="0" t="n">
        <f aca="false">(L_I4!R40-L_S1!R40)*D50</f>
        <v>0</v>
      </c>
    </row>
    <row r="51" customFormat="false" ht="15" hidden="false" customHeight="false" outlineLevel="0" collapsed="false">
      <c r="A51" s="0" t="n">
        <v>2064</v>
      </c>
      <c r="B51" s="0" t="n">
        <v>38</v>
      </c>
      <c r="C51" s="0" t="n">
        <f aca="false">IF(B51&lt;x_H,(1+x_rc)^(-B51),0)</f>
        <v>0</v>
      </c>
      <c r="D51" s="0" t="n">
        <f aca="false">IF(B51&lt;x_H,(1+x_RE)^(-B51),0)</f>
        <v>0</v>
      </c>
      <c r="E51" s="0" t="n">
        <f aca="false">(L_I4!AI41-L_S1!AI41)*C51</f>
        <v>-0</v>
      </c>
      <c r="F51" s="0" t="n">
        <f aca="false">(L_I4!AJ41-L_S1!AJ41)*C51</f>
        <v>-0</v>
      </c>
      <c r="G51" s="0" t="n">
        <f aca="false">(L_I4!AK41-L_S1!AK41)*C51</f>
        <v>-0</v>
      </c>
      <c r="H51" s="0" t="n">
        <f aca="false">(L_I4!AM41-L_S1!AM41)*C51</f>
        <v>0</v>
      </c>
      <c r="I51" s="0" t="n">
        <f aca="false">I50+E51</f>
        <v>1547132143.16396</v>
      </c>
      <c r="J51" s="0" t="n">
        <f aca="false">J50+F51</f>
        <v>1364499509.38912</v>
      </c>
      <c r="K51" s="0" t="n">
        <f aca="false">K50+G51</f>
        <v>1322245722.34529</v>
      </c>
      <c r="L51" s="0" t="n">
        <f aca="false">MAX(L50,J51)</f>
        <v>2440750528.90639</v>
      </c>
      <c r="M51" s="0" t="n">
        <f aca="false">IF(AND(B51&lt;x_H,J51&lt;=0,L50&gt;0),1,0)</f>
        <v>0</v>
      </c>
      <c r="N51" s="0" t="n">
        <f aca="false">IF(AND(B51&lt;x_H,I51&lt;=0,O50&gt;0),1,0)</f>
        <v>0</v>
      </c>
      <c r="O51" s="0" t="n">
        <f aca="false">MAX(O50,I51)</f>
        <v>2594102196.51844</v>
      </c>
      <c r="P51" s="0" t="n">
        <f aca="false">(L_I4!R41-L_S1!R41)*D51</f>
        <v>0</v>
      </c>
    </row>
    <row r="52" customFormat="false" ht="15" hidden="false" customHeight="false" outlineLevel="0" collapsed="false">
      <c r="A52" s="0" t="n">
        <v>2065</v>
      </c>
      <c r="B52" s="0" t="n">
        <v>39</v>
      </c>
      <c r="C52" s="0" t="n">
        <f aca="false">IF(B52&lt;x_H,(1+x_rc)^(-B52),0)</f>
        <v>0</v>
      </c>
      <c r="D52" s="0" t="n">
        <f aca="false">IF(B52&lt;x_H,(1+x_RE)^(-B52),0)</f>
        <v>0</v>
      </c>
      <c r="E52" s="0" t="n">
        <f aca="false">(L_I4!AI42-L_S1!AI42)*C52</f>
        <v>-0</v>
      </c>
      <c r="F52" s="0" t="n">
        <f aca="false">(L_I4!AJ42-L_S1!AJ42)*C52</f>
        <v>-0</v>
      </c>
      <c r="G52" s="0" t="n">
        <f aca="false">(L_I4!AK42-L_S1!AK42)*C52</f>
        <v>-0</v>
      </c>
      <c r="H52" s="0" t="n">
        <f aca="false">(L_I4!AM42-L_S1!AM42)*C52</f>
        <v>0</v>
      </c>
      <c r="I52" s="0" t="n">
        <f aca="false">I51+E52</f>
        <v>1547132143.16396</v>
      </c>
      <c r="J52" s="0" t="n">
        <f aca="false">J51+F52</f>
        <v>1364499509.38912</v>
      </c>
      <c r="K52" s="0" t="n">
        <f aca="false">K51+G52</f>
        <v>1322245722.34529</v>
      </c>
      <c r="L52" s="0" t="n">
        <f aca="false">MAX(L51,J52)</f>
        <v>2440750528.90639</v>
      </c>
      <c r="M52" s="0" t="n">
        <f aca="false">IF(AND(B52&lt;x_H,J52&lt;=0,L51&gt;0),1,0)</f>
        <v>0</v>
      </c>
      <c r="N52" s="0" t="n">
        <f aca="false">IF(AND(B52&lt;x_H,I52&lt;=0,O51&gt;0),1,0)</f>
        <v>0</v>
      </c>
      <c r="O52" s="0" t="n">
        <f aca="false">MAX(O51,I52)</f>
        <v>2594102196.51844</v>
      </c>
      <c r="P52" s="0" t="n">
        <f aca="false">(L_I4!R42-L_S1!R42)*D52</f>
        <v>0</v>
      </c>
    </row>
    <row r="53" customFormat="false" ht="15" hidden="false" customHeight="false" outlineLevel="0" collapsed="false">
      <c r="A53" s="0" t="n">
        <v>2066</v>
      </c>
      <c r="B53" s="0" t="n">
        <v>40</v>
      </c>
      <c r="C53" s="0" t="n">
        <f aca="false">IF(B53&lt;x_H,(1+x_rc)^(-B53),0)</f>
        <v>0</v>
      </c>
      <c r="D53" s="0" t="n">
        <f aca="false">IF(B53&lt;x_H,(1+x_RE)^(-B53),0)</f>
        <v>0</v>
      </c>
      <c r="E53" s="0" t="n">
        <f aca="false">(L_I4!AI43-L_S1!AI43)*C53</f>
        <v>-0</v>
      </c>
      <c r="F53" s="0" t="n">
        <f aca="false">(L_I4!AJ43-L_S1!AJ43)*C53</f>
        <v>-0</v>
      </c>
      <c r="G53" s="0" t="n">
        <f aca="false">(L_I4!AK43-L_S1!AK43)*C53</f>
        <v>-0</v>
      </c>
      <c r="H53" s="0" t="n">
        <f aca="false">(L_I4!AM43-L_S1!AM43)*C53</f>
        <v>0</v>
      </c>
      <c r="I53" s="0" t="n">
        <f aca="false">I52+E53</f>
        <v>1547132143.16396</v>
      </c>
      <c r="J53" s="0" t="n">
        <f aca="false">J52+F53</f>
        <v>1364499509.38912</v>
      </c>
      <c r="K53" s="0" t="n">
        <f aca="false">K52+G53</f>
        <v>1322245722.34529</v>
      </c>
      <c r="L53" s="0" t="n">
        <f aca="false">MAX(L52,J53)</f>
        <v>2440750528.90639</v>
      </c>
      <c r="M53" s="0" t="n">
        <f aca="false">IF(AND(B53&lt;x_H,J53&lt;=0,L52&gt;0),1,0)</f>
        <v>0</v>
      </c>
      <c r="N53" s="0" t="n">
        <f aca="false">IF(AND(B53&lt;x_H,I53&lt;=0,O52&gt;0),1,0)</f>
        <v>0</v>
      </c>
      <c r="O53" s="0" t="n">
        <f aca="false">MAX(O52,I53)</f>
        <v>2594102196.51844</v>
      </c>
      <c r="P53" s="0" t="n">
        <f aca="false">(L_I4!R43-L_S1!R43)*D53</f>
        <v>0</v>
      </c>
    </row>
    <row r="54" customFormat="false" ht="15" hidden="false" customHeight="false" outlineLevel="0" collapsed="false">
      <c r="A54" s="0" t="n">
        <v>2067</v>
      </c>
      <c r="B54" s="0" t="n">
        <v>41</v>
      </c>
      <c r="C54" s="0" t="n">
        <f aca="false">IF(B54&lt;x_H,(1+x_rc)^(-B54),0)</f>
        <v>0</v>
      </c>
      <c r="D54" s="0" t="n">
        <f aca="false">IF(B54&lt;x_H,(1+x_RE)^(-B54),0)</f>
        <v>0</v>
      </c>
      <c r="E54" s="0" t="n">
        <f aca="false">(L_I4!AI44-L_S1!AI44)*C54</f>
        <v>-0</v>
      </c>
      <c r="F54" s="0" t="n">
        <f aca="false">(L_I4!AJ44-L_S1!AJ44)*C54</f>
        <v>-0</v>
      </c>
      <c r="G54" s="0" t="n">
        <f aca="false">(L_I4!AK44-L_S1!AK44)*C54</f>
        <v>-0</v>
      </c>
      <c r="H54" s="0" t="n">
        <f aca="false">(L_I4!AM44-L_S1!AM44)*C54</f>
        <v>0</v>
      </c>
      <c r="I54" s="0" t="n">
        <f aca="false">I53+E54</f>
        <v>1547132143.16396</v>
      </c>
      <c r="J54" s="0" t="n">
        <f aca="false">J53+F54</f>
        <v>1364499509.38912</v>
      </c>
      <c r="K54" s="0" t="n">
        <f aca="false">K53+G54</f>
        <v>1322245722.34529</v>
      </c>
      <c r="L54" s="0" t="n">
        <f aca="false">MAX(L53,J54)</f>
        <v>2440750528.90639</v>
      </c>
      <c r="M54" s="0" t="n">
        <f aca="false">IF(AND(B54&lt;x_H,J54&lt;=0,L53&gt;0),1,0)</f>
        <v>0</v>
      </c>
      <c r="N54" s="0" t="n">
        <f aca="false">IF(AND(B54&lt;x_H,I54&lt;=0,O53&gt;0),1,0)</f>
        <v>0</v>
      </c>
      <c r="O54" s="0" t="n">
        <f aca="false">MAX(O53,I54)</f>
        <v>2594102196.51844</v>
      </c>
      <c r="P54" s="0" t="n">
        <f aca="false">(L_I4!R44-L_S1!R44)*D54</f>
        <v>0</v>
      </c>
    </row>
    <row r="55" customFormat="false" ht="15" hidden="false" customHeight="false" outlineLevel="0" collapsed="false">
      <c r="A55" s="0" t="n">
        <v>2068</v>
      </c>
      <c r="B55" s="0" t="n">
        <v>42</v>
      </c>
      <c r="C55" s="0" t="n">
        <f aca="false">IF(B55&lt;x_H,(1+x_rc)^(-B55),0)</f>
        <v>0</v>
      </c>
      <c r="D55" s="0" t="n">
        <f aca="false">IF(B55&lt;x_H,(1+x_RE)^(-B55),0)</f>
        <v>0</v>
      </c>
      <c r="E55" s="0" t="n">
        <f aca="false">(L_I4!AI45-L_S1!AI45)*C55</f>
        <v>-0</v>
      </c>
      <c r="F55" s="0" t="n">
        <f aca="false">(L_I4!AJ45-L_S1!AJ45)*C55</f>
        <v>-0</v>
      </c>
      <c r="G55" s="0" t="n">
        <f aca="false">(L_I4!AK45-L_S1!AK45)*C55</f>
        <v>-0</v>
      </c>
      <c r="H55" s="0" t="n">
        <f aca="false">(L_I4!AM45-L_S1!AM45)*C55</f>
        <v>0</v>
      </c>
      <c r="I55" s="0" t="n">
        <f aca="false">I54+E55</f>
        <v>1547132143.16396</v>
      </c>
      <c r="J55" s="0" t="n">
        <f aca="false">J54+F55</f>
        <v>1364499509.38912</v>
      </c>
      <c r="K55" s="0" t="n">
        <f aca="false">K54+G55</f>
        <v>1322245722.34529</v>
      </c>
      <c r="L55" s="0" t="n">
        <f aca="false">MAX(L54,J55)</f>
        <v>2440750528.90639</v>
      </c>
      <c r="M55" s="0" t="n">
        <f aca="false">IF(AND(B55&lt;x_H,J55&lt;=0,L54&gt;0),1,0)</f>
        <v>0</v>
      </c>
      <c r="N55" s="0" t="n">
        <f aca="false">IF(AND(B55&lt;x_H,I55&lt;=0,O54&gt;0),1,0)</f>
        <v>0</v>
      </c>
      <c r="O55" s="0" t="n">
        <f aca="false">MAX(O54,I55)</f>
        <v>2594102196.51844</v>
      </c>
      <c r="P55" s="0" t="n">
        <f aca="false">(L_I4!R45-L_S1!R45)*D55</f>
        <v>0</v>
      </c>
    </row>
    <row r="56" customFormat="false" ht="15" hidden="false" customHeight="false" outlineLevel="0" collapsed="false">
      <c r="A56" s="0" t="n">
        <v>2069</v>
      </c>
      <c r="B56" s="0" t="n">
        <v>43</v>
      </c>
      <c r="C56" s="0" t="n">
        <f aca="false">IF(B56&lt;x_H,(1+x_rc)^(-B56),0)</f>
        <v>0</v>
      </c>
      <c r="D56" s="0" t="n">
        <f aca="false">IF(B56&lt;x_H,(1+x_RE)^(-B56),0)</f>
        <v>0</v>
      </c>
      <c r="E56" s="0" t="n">
        <f aca="false">(L_I4!AI46-L_S1!AI46)*C56</f>
        <v>-0</v>
      </c>
      <c r="F56" s="0" t="n">
        <f aca="false">(L_I4!AJ46-L_S1!AJ46)*C56</f>
        <v>-0</v>
      </c>
      <c r="G56" s="0" t="n">
        <f aca="false">(L_I4!AK46-L_S1!AK46)*C56</f>
        <v>-0</v>
      </c>
      <c r="H56" s="0" t="n">
        <f aca="false">(L_I4!AM46-L_S1!AM46)*C56</f>
        <v>0</v>
      </c>
      <c r="I56" s="0" t="n">
        <f aca="false">I55+E56</f>
        <v>1547132143.16396</v>
      </c>
      <c r="J56" s="0" t="n">
        <f aca="false">J55+F56</f>
        <v>1364499509.38912</v>
      </c>
      <c r="K56" s="0" t="n">
        <f aca="false">K55+G56</f>
        <v>1322245722.34529</v>
      </c>
      <c r="L56" s="0" t="n">
        <f aca="false">MAX(L55,J56)</f>
        <v>2440750528.90639</v>
      </c>
      <c r="M56" s="0" t="n">
        <f aca="false">IF(AND(B56&lt;x_H,J56&lt;=0,L55&gt;0),1,0)</f>
        <v>0</v>
      </c>
      <c r="N56" s="0" t="n">
        <f aca="false">IF(AND(B56&lt;x_H,I56&lt;=0,O55&gt;0),1,0)</f>
        <v>0</v>
      </c>
      <c r="O56" s="0" t="n">
        <f aca="false">MAX(O55,I56)</f>
        <v>2594102196.51844</v>
      </c>
      <c r="P56" s="0" t="n">
        <f aca="false">(L_I4!R46-L_S1!R46)*D56</f>
        <v>0</v>
      </c>
    </row>
    <row r="57" customFormat="false" ht="15" hidden="false" customHeight="false" outlineLevel="0" collapsed="false">
      <c r="A57" s="0" t="n">
        <v>2070</v>
      </c>
      <c r="B57" s="0" t="n">
        <v>44</v>
      </c>
      <c r="C57" s="0" t="n">
        <f aca="false">IF(B57&lt;x_H,(1+x_rc)^(-B57),0)</f>
        <v>0</v>
      </c>
      <c r="D57" s="0" t="n">
        <f aca="false">IF(B57&lt;x_H,(1+x_RE)^(-B57),0)</f>
        <v>0</v>
      </c>
      <c r="E57" s="0" t="n">
        <f aca="false">(L_I4!AI47-L_S1!AI47)*C57</f>
        <v>-0</v>
      </c>
      <c r="F57" s="0" t="n">
        <f aca="false">(L_I4!AJ47-L_S1!AJ47)*C57</f>
        <v>-0</v>
      </c>
      <c r="G57" s="0" t="n">
        <f aca="false">(L_I4!AK47-L_S1!AK47)*C57</f>
        <v>-0</v>
      </c>
      <c r="H57" s="0" t="n">
        <f aca="false">(L_I4!AM47-L_S1!AM47)*C57</f>
        <v>0</v>
      </c>
      <c r="I57" s="0" t="n">
        <f aca="false">I56+E57</f>
        <v>1547132143.16396</v>
      </c>
      <c r="J57" s="0" t="n">
        <f aca="false">J56+F57</f>
        <v>1364499509.38912</v>
      </c>
      <c r="K57" s="0" t="n">
        <f aca="false">K56+G57</f>
        <v>1322245722.34529</v>
      </c>
      <c r="L57" s="0" t="n">
        <f aca="false">MAX(L56,J57)</f>
        <v>2440750528.90639</v>
      </c>
      <c r="M57" s="0" t="n">
        <f aca="false">IF(AND(B57&lt;x_H,J57&lt;=0,L56&gt;0),1,0)</f>
        <v>0</v>
      </c>
      <c r="N57" s="0" t="n">
        <f aca="false">IF(AND(B57&lt;x_H,I57&lt;=0,O56&gt;0),1,0)</f>
        <v>0</v>
      </c>
      <c r="O57" s="0" t="n">
        <f aca="false">MAX(O56,I57)</f>
        <v>2594102196.51844</v>
      </c>
      <c r="P57" s="0" t="n">
        <f aca="false">(L_I4!R47-L_S1!R47)*D57</f>
        <v>0</v>
      </c>
    </row>
    <row r="58" customFormat="false" ht="15" hidden="false" customHeight="false" outlineLevel="0" collapsed="false">
      <c r="A58" s="0" t="n">
        <v>2071</v>
      </c>
      <c r="B58" s="0" t="n">
        <v>45</v>
      </c>
      <c r="C58" s="0" t="n">
        <f aca="false">IF(B58&lt;x_H,(1+x_rc)^(-B58),0)</f>
        <v>0</v>
      </c>
      <c r="D58" s="0" t="n">
        <f aca="false">IF(B58&lt;x_H,(1+x_RE)^(-B58),0)</f>
        <v>0</v>
      </c>
      <c r="E58" s="0" t="n">
        <f aca="false">(L_I4!AI48-L_S1!AI48)*C58</f>
        <v>-0</v>
      </c>
      <c r="F58" s="0" t="n">
        <f aca="false">(L_I4!AJ48-L_S1!AJ48)*C58</f>
        <v>-0</v>
      </c>
      <c r="G58" s="0" t="n">
        <f aca="false">(L_I4!AK48-L_S1!AK48)*C58</f>
        <v>-0</v>
      </c>
      <c r="H58" s="0" t="n">
        <f aca="false">(L_I4!AM48-L_S1!AM48)*C58</f>
        <v>0</v>
      </c>
      <c r="I58" s="0" t="n">
        <f aca="false">I57+E58</f>
        <v>1547132143.16396</v>
      </c>
      <c r="J58" s="0" t="n">
        <f aca="false">J57+F58</f>
        <v>1364499509.38912</v>
      </c>
      <c r="K58" s="0" t="n">
        <f aca="false">K57+G58</f>
        <v>1322245722.34529</v>
      </c>
      <c r="L58" s="0" t="n">
        <f aca="false">MAX(L57,J58)</f>
        <v>2440750528.90639</v>
      </c>
      <c r="M58" s="0" t="n">
        <f aca="false">IF(AND(B58&lt;x_H,J58&lt;=0,L57&gt;0),1,0)</f>
        <v>0</v>
      </c>
      <c r="N58" s="0" t="n">
        <f aca="false">IF(AND(B58&lt;x_H,I58&lt;=0,O57&gt;0),1,0)</f>
        <v>0</v>
      </c>
      <c r="O58" s="0" t="n">
        <f aca="false">MAX(O57,I58)</f>
        <v>2594102196.51844</v>
      </c>
      <c r="P58" s="0" t="n">
        <f aca="false">(L_I4!R48-L_S1!R48)*D58</f>
        <v>0</v>
      </c>
    </row>
    <row r="59" customFormat="false" ht="15" hidden="false" customHeight="false" outlineLevel="0" collapsed="false">
      <c r="A59" s="0" t="n">
        <v>2072</v>
      </c>
      <c r="B59" s="0" t="n">
        <v>46</v>
      </c>
      <c r="C59" s="0" t="n">
        <f aca="false">IF(B59&lt;x_H,(1+x_rc)^(-B59),0)</f>
        <v>0</v>
      </c>
      <c r="D59" s="0" t="n">
        <f aca="false">IF(B59&lt;x_H,(1+x_RE)^(-B59),0)</f>
        <v>0</v>
      </c>
      <c r="E59" s="0" t="n">
        <f aca="false">(L_I4!AI49-L_S1!AI49)*C59</f>
        <v>-0</v>
      </c>
      <c r="F59" s="0" t="n">
        <f aca="false">(L_I4!AJ49-L_S1!AJ49)*C59</f>
        <v>-0</v>
      </c>
      <c r="G59" s="0" t="n">
        <f aca="false">(L_I4!AK49-L_S1!AK49)*C59</f>
        <v>-0</v>
      </c>
      <c r="H59" s="0" t="n">
        <f aca="false">(L_I4!AM49-L_S1!AM49)*C59</f>
        <v>0</v>
      </c>
      <c r="I59" s="0" t="n">
        <f aca="false">I58+E59</f>
        <v>1547132143.16396</v>
      </c>
      <c r="J59" s="0" t="n">
        <f aca="false">J58+F59</f>
        <v>1364499509.38912</v>
      </c>
      <c r="K59" s="0" t="n">
        <f aca="false">K58+G59</f>
        <v>1322245722.34529</v>
      </c>
      <c r="L59" s="0" t="n">
        <f aca="false">MAX(L58,J59)</f>
        <v>2440750528.90639</v>
      </c>
      <c r="M59" s="0" t="n">
        <f aca="false">IF(AND(B59&lt;x_H,J59&lt;=0,L58&gt;0),1,0)</f>
        <v>0</v>
      </c>
      <c r="N59" s="0" t="n">
        <f aca="false">IF(AND(B59&lt;x_H,I59&lt;=0,O58&gt;0),1,0)</f>
        <v>0</v>
      </c>
      <c r="O59" s="0" t="n">
        <f aca="false">MAX(O58,I59)</f>
        <v>2594102196.51844</v>
      </c>
      <c r="P59" s="0" t="n">
        <f aca="false">(L_I4!R49-L_S1!R49)*D59</f>
        <v>0</v>
      </c>
    </row>
    <row r="60" customFormat="false" ht="15" hidden="false" customHeight="false" outlineLevel="0" collapsed="false">
      <c r="A60" s="0" t="n">
        <v>2073</v>
      </c>
      <c r="B60" s="0" t="n">
        <v>47</v>
      </c>
      <c r="C60" s="0" t="n">
        <f aca="false">IF(B60&lt;x_H,(1+x_rc)^(-B60),0)</f>
        <v>0</v>
      </c>
      <c r="D60" s="0" t="n">
        <f aca="false">IF(B60&lt;x_H,(1+x_RE)^(-B60),0)</f>
        <v>0</v>
      </c>
      <c r="E60" s="0" t="n">
        <f aca="false">(L_I4!AI50-L_S1!AI50)*C60</f>
        <v>-0</v>
      </c>
      <c r="F60" s="0" t="n">
        <f aca="false">(L_I4!AJ50-L_S1!AJ50)*C60</f>
        <v>-0</v>
      </c>
      <c r="G60" s="0" t="n">
        <f aca="false">(L_I4!AK50-L_S1!AK50)*C60</f>
        <v>-0</v>
      </c>
      <c r="H60" s="0" t="n">
        <f aca="false">(L_I4!AM50-L_S1!AM50)*C60</f>
        <v>0</v>
      </c>
      <c r="I60" s="0" t="n">
        <f aca="false">I59+E60</f>
        <v>1547132143.16396</v>
      </c>
      <c r="J60" s="0" t="n">
        <f aca="false">J59+F60</f>
        <v>1364499509.38912</v>
      </c>
      <c r="K60" s="0" t="n">
        <f aca="false">K59+G60</f>
        <v>1322245722.34529</v>
      </c>
      <c r="L60" s="0" t="n">
        <f aca="false">MAX(L59,J60)</f>
        <v>2440750528.90639</v>
      </c>
      <c r="M60" s="0" t="n">
        <f aca="false">IF(AND(B60&lt;x_H,J60&lt;=0,L59&gt;0),1,0)</f>
        <v>0</v>
      </c>
      <c r="N60" s="0" t="n">
        <f aca="false">IF(AND(B60&lt;x_H,I60&lt;=0,O59&gt;0),1,0)</f>
        <v>0</v>
      </c>
      <c r="O60" s="0" t="n">
        <f aca="false">MAX(O59,I60)</f>
        <v>2594102196.51844</v>
      </c>
      <c r="P60" s="0" t="n">
        <f aca="false">(L_I4!R50-L_S1!R50)*D60</f>
        <v>0</v>
      </c>
    </row>
    <row r="61" customFormat="false" ht="15" hidden="false" customHeight="false" outlineLevel="0" collapsed="false">
      <c r="A61" s="0" t="n">
        <v>2074</v>
      </c>
      <c r="B61" s="0" t="n">
        <v>48</v>
      </c>
      <c r="C61" s="0" t="n">
        <f aca="false">IF(B61&lt;x_H,(1+x_rc)^(-B61),0)</f>
        <v>0</v>
      </c>
      <c r="D61" s="0" t="n">
        <f aca="false">IF(B61&lt;x_H,(1+x_RE)^(-B61),0)</f>
        <v>0</v>
      </c>
      <c r="E61" s="0" t="n">
        <f aca="false">(L_I4!AI51-L_S1!AI51)*C61</f>
        <v>-0</v>
      </c>
      <c r="F61" s="0" t="n">
        <f aca="false">(L_I4!AJ51-L_S1!AJ51)*C61</f>
        <v>-0</v>
      </c>
      <c r="G61" s="0" t="n">
        <f aca="false">(L_I4!AK51-L_S1!AK51)*C61</f>
        <v>-0</v>
      </c>
      <c r="H61" s="0" t="n">
        <f aca="false">(L_I4!AM51-L_S1!AM51)*C61</f>
        <v>0</v>
      </c>
      <c r="I61" s="0" t="n">
        <f aca="false">I60+E61</f>
        <v>1547132143.16396</v>
      </c>
      <c r="J61" s="0" t="n">
        <f aca="false">J60+F61</f>
        <v>1364499509.38912</v>
      </c>
      <c r="K61" s="0" t="n">
        <f aca="false">K60+G61</f>
        <v>1322245722.34529</v>
      </c>
      <c r="L61" s="0" t="n">
        <f aca="false">MAX(L60,J61)</f>
        <v>2440750528.90639</v>
      </c>
      <c r="M61" s="0" t="n">
        <f aca="false">IF(AND(B61&lt;x_H,J61&lt;=0,L60&gt;0),1,0)</f>
        <v>0</v>
      </c>
      <c r="N61" s="0" t="n">
        <f aca="false">IF(AND(B61&lt;x_H,I61&lt;=0,O60&gt;0),1,0)</f>
        <v>0</v>
      </c>
      <c r="O61" s="0" t="n">
        <f aca="false">MAX(O60,I61)</f>
        <v>2594102196.51844</v>
      </c>
      <c r="P61" s="0" t="n">
        <f aca="false">(L_I4!R51-L_S1!R51)*D61</f>
        <v>0</v>
      </c>
    </row>
    <row r="62" customFormat="false" ht="15" hidden="false" customHeight="false" outlineLevel="0" collapsed="false">
      <c r="A62" s="0" t="n">
        <v>2075</v>
      </c>
      <c r="B62" s="0" t="n">
        <v>49</v>
      </c>
      <c r="C62" s="0" t="n">
        <f aca="false">IF(B62&lt;x_H,(1+x_rc)^(-B62),0)</f>
        <v>0</v>
      </c>
      <c r="D62" s="0" t="n">
        <f aca="false">IF(B62&lt;x_H,(1+x_RE)^(-B62),0)</f>
        <v>0</v>
      </c>
      <c r="E62" s="0" t="n">
        <f aca="false">(L_I4!AI52-L_S1!AI52)*C62</f>
        <v>-0</v>
      </c>
      <c r="F62" s="0" t="n">
        <f aca="false">(L_I4!AJ52-L_S1!AJ52)*C62</f>
        <v>-0</v>
      </c>
      <c r="G62" s="0" t="n">
        <f aca="false">(L_I4!AK52-L_S1!AK52)*C62</f>
        <v>-0</v>
      </c>
      <c r="H62" s="0" t="n">
        <f aca="false">(L_I4!AM52-L_S1!AM52)*C62</f>
        <v>0</v>
      </c>
      <c r="I62" s="0" t="n">
        <f aca="false">I61+E62</f>
        <v>1547132143.16396</v>
      </c>
      <c r="J62" s="0" t="n">
        <f aca="false">J61+F62</f>
        <v>1364499509.38912</v>
      </c>
      <c r="K62" s="0" t="n">
        <f aca="false">K61+G62</f>
        <v>1322245722.34529</v>
      </c>
      <c r="L62" s="0" t="n">
        <f aca="false">MAX(L61,J62)</f>
        <v>2440750528.90639</v>
      </c>
      <c r="M62" s="0" t="n">
        <f aca="false">IF(AND(B62&lt;x_H,J62&lt;=0,L61&gt;0),1,0)</f>
        <v>0</v>
      </c>
      <c r="N62" s="0" t="n">
        <f aca="false">IF(AND(B62&lt;x_H,I62&lt;=0,O61&gt;0),1,0)</f>
        <v>0</v>
      </c>
      <c r="O62" s="0" t="n">
        <f aca="false">MAX(O61,I62)</f>
        <v>2594102196.51844</v>
      </c>
      <c r="P62" s="0" t="n">
        <f aca="false">(L_I4!R52-L_S1!R52)*D62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1" t="s">
        <v>508</v>
      </c>
    </row>
    <row r="2" customFormat="false" ht="55.2" hidden="false" customHeight="false" outlineLevel="0" collapsed="false">
      <c r="A2" s="3" t="s">
        <v>509</v>
      </c>
      <c r="B2" s="3" t="s">
        <v>510</v>
      </c>
      <c r="C2" s="3" t="s">
        <v>511</v>
      </c>
      <c r="D2" s="3" t="s">
        <v>512</v>
      </c>
      <c r="E2" s="3" t="s">
        <v>513</v>
      </c>
      <c r="F2" s="3" t="s">
        <v>514</v>
      </c>
      <c r="G2" s="3" t="s">
        <v>515</v>
      </c>
      <c r="H2" s="3" t="s">
        <v>513</v>
      </c>
      <c r="I2" s="3" t="s">
        <v>514</v>
      </c>
      <c r="J2" s="3" t="s">
        <v>516</v>
      </c>
      <c r="K2" s="3" t="s">
        <v>517</v>
      </c>
      <c r="L2" s="3" t="s">
        <v>518</v>
      </c>
      <c r="M2" s="3" t="s">
        <v>519</v>
      </c>
      <c r="N2" s="3" t="s">
        <v>513</v>
      </c>
      <c r="O2" s="3" t="s">
        <v>514</v>
      </c>
    </row>
    <row r="3" customFormat="false" ht="15" hidden="false" customHeight="false" outlineLevel="0" collapsed="false">
      <c r="A3" s="0" t="s">
        <v>520</v>
      </c>
      <c r="B3" s="0" t="n">
        <v>5</v>
      </c>
      <c r="C3" s="0" t="s">
        <v>123</v>
      </c>
      <c r="D3" s="0" t="n">
        <v>345.8</v>
      </c>
      <c r="E3" s="0" t="n">
        <v>287.6</v>
      </c>
      <c r="F3" s="0" t="n">
        <v>413.9</v>
      </c>
      <c r="G3" s="0" t="n">
        <v>-0.879</v>
      </c>
      <c r="H3" s="0" t="n">
        <v>-0.914</v>
      </c>
      <c r="I3" s="0" t="n">
        <v>-0.837</v>
      </c>
      <c r="J3" s="0" t="s">
        <v>521</v>
      </c>
      <c r="K3" s="0" t="n">
        <v>0</v>
      </c>
      <c r="L3" s="0" t="n">
        <v>0.011</v>
      </c>
      <c r="M3" s="0" t="n">
        <v>14</v>
      </c>
      <c r="N3" s="0" t="n">
        <v>8</v>
      </c>
      <c r="O3" s="0" t="n">
        <v>23</v>
      </c>
    </row>
    <row r="4" customFormat="false" ht="15" hidden="false" customHeight="false" outlineLevel="0" collapsed="false">
      <c r="A4" s="0" t="s">
        <v>520</v>
      </c>
      <c r="B4" s="0" t="n">
        <v>5</v>
      </c>
      <c r="C4" s="0" t="s">
        <v>475</v>
      </c>
      <c r="D4" s="0" t="n">
        <v>339.4</v>
      </c>
      <c r="E4" s="0" t="n">
        <v>283.7</v>
      </c>
      <c r="F4" s="0" t="n">
        <v>405.8</v>
      </c>
      <c r="G4" s="0" t="n">
        <v>-0.863</v>
      </c>
      <c r="H4" s="0" t="n">
        <v>-0.901</v>
      </c>
      <c r="I4" s="0" t="n">
        <v>-0.819</v>
      </c>
      <c r="J4" s="0" t="s">
        <v>521</v>
      </c>
      <c r="K4" s="0" t="n">
        <v>0</v>
      </c>
      <c r="L4" s="0" t="n">
        <v>0.018</v>
      </c>
      <c r="M4" s="0" t="n">
        <v>14</v>
      </c>
      <c r="N4" s="0" t="n">
        <v>8</v>
      </c>
      <c r="O4" s="0" t="n">
        <v>23</v>
      </c>
    </row>
    <row r="5" customFormat="false" ht="15" hidden="false" customHeight="false" outlineLevel="0" collapsed="false">
      <c r="A5" s="0" t="s">
        <v>520</v>
      </c>
      <c r="B5" s="0" t="n">
        <v>5</v>
      </c>
      <c r="C5" s="0" t="s">
        <v>476</v>
      </c>
      <c r="D5" s="0" t="n">
        <v>338.4</v>
      </c>
      <c r="E5" s="0" t="n">
        <v>283</v>
      </c>
      <c r="F5" s="0" t="n">
        <v>404.9</v>
      </c>
      <c r="G5" s="0" t="n">
        <v>-0.861</v>
      </c>
      <c r="H5" s="0" t="n">
        <v>-0.9</v>
      </c>
      <c r="I5" s="0" t="n">
        <v>-0.816</v>
      </c>
      <c r="J5" s="0" t="s">
        <v>521</v>
      </c>
      <c r="K5" s="0" t="n">
        <v>0</v>
      </c>
      <c r="L5" s="0" t="n">
        <v>0.019</v>
      </c>
      <c r="M5" s="0" t="n">
        <v>14</v>
      </c>
      <c r="N5" s="0" t="n">
        <v>8</v>
      </c>
      <c r="O5" s="0" t="n">
        <v>23</v>
      </c>
    </row>
    <row r="6" customFormat="false" ht="15" hidden="false" customHeight="false" outlineLevel="0" collapsed="false">
      <c r="A6" s="0" t="s">
        <v>520</v>
      </c>
      <c r="B6" s="0" t="n">
        <v>10</v>
      </c>
      <c r="C6" s="0" t="s">
        <v>123</v>
      </c>
      <c r="D6" s="0" t="n">
        <v>575.7</v>
      </c>
      <c r="E6" s="0" t="n">
        <v>494.6</v>
      </c>
      <c r="F6" s="0" t="n">
        <v>681.6</v>
      </c>
      <c r="G6" s="0" t="n">
        <v>-0.753</v>
      </c>
      <c r="H6" s="0" t="n">
        <v>-0.823</v>
      </c>
      <c r="I6" s="0" t="n">
        <v>-0.674</v>
      </c>
      <c r="J6" s="0" t="s">
        <v>521</v>
      </c>
      <c r="K6" s="0" t="n">
        <v>0</v>
      </c>
      <c r="L6" s="0" t="n">
        <v>1</v>
      </c>
      <c r="M6" s="0" t="n">
        <v>152</v>
      </c>
      <c r="N6" s="0" t="n">
        <v>89</v>
      </c>
      <c r="O6" s="0" t="n">
        <v>243</v>
      </c>
    </row>
    <row r="7" customFormat="false" ht="15" hidden="false" customHeight="false" outlineLevel="0" collapsed="false">
      <c r="A7" s="0" t="s">
        <v>520</v>
      </c>
      <c r="B7" s="0" t="n">
        <v>10</v>
      </c>
      <c r="C7" s="0" t="s">
        <v>475</v>
      </c>
      <c r="D7" s="0" t="n">
        <v>517.6</v>
      </c>
      <c r="E7" s="0" t="n">
        <v>447.5</v>
      </c>
      <c r="F7" s="0" t="n">
        <v>612.1</v>
      </c>
      <c r="G7" s="0" t="n">
        <v>-0.68</v>
      </c>
      <c r="H7" s="0" t="n">
        <v>-0.766</v>
      </c>
      <c r="I7" s="0" t="n">
        <v>-0.583</v>
      </c>
      <c r="J7" s="0" t="s">
        <v>521</v>
      </c>
      <c r="K7" s="0" t="n">
        <v>0</v>
      </c>
      <c r="L7" s="0" t="n">
        <v>1</v>
      </c>
      <c r="M7" s="0" t="n">
        <v>152</v>
      </c>
      <c r="N7" s="0" t="n">
        <v>89</v>
      </c>
      <c r="O7" s="0" t="n">
        <v>243</v>
      </c>
    </row>
    <row r="8" customFormat="false" ht="15" hidden="false" customHeight="false" outlineLevel="0" collapsed="false">
      <c r="A8" s="0" t="s">
        <v>520</v>
      </c>
      <c r="B8" s="0" t="n">
        <v>10</v>
      </c>
      <c r="C8" s="0" t="s">
        <v>476</v>
      </c>
      <c r="D8" s="0" t="n">
        <v>499.2</v>
      </c>
      <c r="E8" s="0" t="n">
        <v>430.7</v>
      </c>
      <c r="F8" s="0" t="n">
        <v>592.3</v>
      </c>
      <c r="G8" s="0" t="n">
        <v>-0.656</v>
      </c>
      <c r="H8" s="0" t="n">
        <v>-0.749</v>
      </c>
      <c r="I8" s="0" t="n">
        <v>-0.552</v>
      </c>
      <c r="J8" s="0" t="s">
        <v>521</v>
      </c>
      <c r="K8" s="0" t="n">
        <v>0</v>
      </c>
      <c r="L8" s="0" t="n">
        <v>1</v>
      </c>
      <c r="M8" s="0" t="n">
        <v>152</v>
      </c>
      <c r="N8" s="0" t="n">
        <v>89</v>
      </c>
      <c r="O8" s="0" t="n">
        <v>243</v>
      </c>
    </row>
    <row r="9" customFormat="false" ht="15" hidden="false" customHeight="false" outlineLevel="0" collapsed="false">
      <c r="A9" s="0" t="s">
        <v>520</v>
      </c>
      <c r="B9" s="0" t="n">
        <v>20</v>
      </c>
      <c r="C9" s="0" t="s">
        <v>123</v>
      </c>
      <c r="D9" s="0" t="n">
        <v>264.3</v>
      </c>
      <c r="E9" s="0" t="n">
        <v>136.6</v>
      </c>
      <c r="F9" s="0" t="n">
        <v>362.4</v>
      </c>
      <c r="G9" s="0" t="n">
        <v>-0.343</v>
      </c>
      <c r="H9" s="0" t="n">
        <v>-0.514</v>
      </c>
      <c r="I9" s="0" t="n">
        <v>-0.156</v>
      </c>
      <c r="J9" s="0" t="s">
        <v>521</v>
      </c>
      <c r="K9" s="0" t="n">
        <v>0.001</v>
      </c>
      <c r="L9" s="0" t="n">
        <v>1</v>
      </c>
      <c r="M9" s="0" t="n">
        <v>1057</v>
      </c>
      <c r="N9" s="0" t="n">
        <v>646</v>
      </c>
      <c r="O9" s="0" t="n">
        <v>1622</v>
      </c>
    </row>
    <row r="10" customFormat="false" ht="15" hidden="false" customHeight="false" outlineLevel="0" collapsed="false">
      <c r="A10" s="0" t="s">
        <v>520</v>
      </c>
      <c r="B10" s="0" t="n">
        <v>20</v>
      </c>
      <c r="C10" s="0" t="s">
        <v>475</v>
      </c>
      <c r="D10" s="0" t="n">
        <v>197.5</v>
      </c>
      <c r="E10" s="0" t="n">
        <v>43.1</v>
      </c>
      <c r="F10" s="0" t="n">
        <v>306.4</v>
      </c>
      <c r="G10" s="0" t="n">
        <v>-0.256</v>
      </c>
      <c r="H10" s="0" t="n">
        <v>-0.446</v>
      </c>
      <c r="I10" s="0" t="n">
        <v>-0.05</v>
      </c>
      <c r="J10" s="0" t="s">
        <v>521</v>
      </c>
      <c r="K10" s="0" t="n">
        <v>0.006</v>
      </c>
      <c r="L10" s="0" t="n">
        <v>1</v>
      </c>
      <c r="M10" s="0" t="n">
        <v>1057</v>
      </c>
      <c r="N10" s="0" t="n">
        <v>646</v>
      </c>
      <c r="O10" s="0" t="n">
        <v>1622</v>
      </c>
    </row>
    <row r="11" customFormat="false" ht="15" hidden="false" customHeight="false" outlineLevel="0" collapsed="false">
      <c r="A11" s="0" t="s">
        <v>520</v>
      </c>
      <c r="B11" s="0" t="n">
        <v>20</v>
      </c>
      <c r="C11" s="0" t="s">
        <v>476</v>
      </c>
      <c r="D11" s="0" t="n">
        <v>180.4</v>
      </c>
      <c r="E11" s="0" t="n">
        <v>19.7</v>
      </c>
      <c r="F11" s="0" t="n">
        <v>294.1</v>
      </c>
      <c r="G11" s="0" t="n">
        <v>-0.235</v>
      </c>
      <c r="H11" s="0" t="n">
        <v>-0.432</v>
      </c>
      <c r="I11" s="0" t="n">
        <v>-0.022</v>
      </c>
      <c r="J11" s="0" t="s">
        <v>521</v>
      </c>
      <c r="K11" s="0" t="n">
        <v>0.014</v>
      </c>
      <c r="L11" s="0" t="n">
        <v>1</v>
      </c>
      <c r="M11" s="0" t="n">
        <v>1057</v>
      </c>
      <c r="N11" s="0" t="n">
        <v>646</v>
      </c>
      <c r="O11" s="0" t="n">
        <v>1622</v>
      </c>
    </row>
    <row r="12" customFormat="false" ht="15" hidden="false" customHeight="false" outlineLevel="0" collapsed="false">
      <c r="A12" s="0" t="s">
        <v>520</v>
      </c>
      <c r="B12" s="0" t="n">
        <v>50</v>
      </c>
      <c r="C12" s="0" t="s">
        <v>123</v>
      </c>
      <c r="D12" s="0" t="n">
        <v>-55.2</v>
      </c>
      <c r="E12" s="0" t="n">
        <v>-313.9</v>
      </c>
      <c r="F12" s="0" t="n">
        <v>130</v>
      </c>
      <c r="G12" s="0" t="n">
        <v>0.072</v>
      </c>
      <c r="H12" s="0" t="n">
        <v>-0.194</v>
      </c>
      <c r="I12" s="0" t="n">
        <v>0.355</v>
      </c>
      <c r="J12" s="0" t="n">
        <v>2062</v>
      </c>
      <c r="K12" s="0" t="n">
        <v>0.69</v>
      </c>
      <c r="L12" s="0" t="n">
        <v>1</v>
      </c>
      <c r="M12" s="0" t="n">
        <v>3630</v>
      </c>
      <c r="N12" s="0" t="n">
        <v>2273</v>
      </c>
      <c r="O12" s="0" t="n">
        <v>5437</v>
      </c>
    </row>
    <row r="13" customFormat="false" ht="15" hidden="false" customHeight="false" outlineLevel="0" collapsed="false">
      <c r="A13" s="0" t="s">
        <v>520</v>
      </c>
      <c r="B13" s="0" t="n">
        <v>50</v>
      </c>
      <c r="C13" s="0" t="s">
        <v>475</v>
      </c>
      <c r="D13" s="0" t="n">
        <v>-203.6</v>
      </c>
      <c r="E13" s="0" t="n">
        <v>-532.4</v>
      </c>
      <c r="F13" s="0" t="n">
        <v>31.2</v>
      </c>
      <c r="G13" s="0" t="n">
        <v>0.269</v>
      </c>
      <c r="H13" s="0" t="n">
        <v>-0.047</v>
      </c>
      <c r="I13" s="0" t="n">
        <v>0.606</v>
      </c>
      <c r="J13" s="0" t="n">
        <v>2054</v>
      </c>
      <c r="K13" s="0" t="n">
        <v>0.952</v>
      </c>
      <c r="L13" s="0" t="n">
        <v>1</v>
      </c>
      <c r="M13" s="0" t="n">
        <v>3630</v>
      </c>
      <c r="N13" s="0" t="n">
        <v>2273</v>
      </c>
      <c r="O13" s="0" t="n">
        <v>5437</v>
      </c>
    </row>
    <row r="14" customFormat="false" ht="15" hidden="false" customHeight="false" outlineLevel="0" collapsed="false">
      <c r="A14" s="0" t="s">
        <v>520</v>
      </c>
      <c r="B14" s="0" t="n">
        <v>50</v>
      </c>
      <c r="C14" s="0" t="s">
        <v>476</v>
      </c>
      <c r="D14" s="0" t="n">
        <v>-262.9</v>
      </c>
      <c r="E14" s="0" t="n">
        <v>-623.9</v>
      </c>
      <c r="F14" s="0" t="n">
        <v>-6.2</v>
      </c>
      <c r="G14" s="0" t="n">
        <v>0.343</v>
      </c>
      <c r="H14" s="0" t="n">
        <v>0.009</v>
      </c>
      <c r="I14" s="0" t="n">
        <v>0.711</v>
      </c>
      <c r="J14" s="0" t="n">
        <v>2053</v>
      </c>
      <c r="K14" s="0" t="n">
        <v>0.978</v>
      </c>
      <c r="L14" s="0" t="n">
        <v>1</v>
      </c>
      <c r="M14" s="0" t="n">
        <v>3630</v>
      </c>
      <c r="N14" s="0" t="n">
        <v>2273</v>
      </c>
      <c r="O14" s="0" t="n">
        <v>5437</v>
      </c>
    </row>
    <row r="15" customFormat="false" ht="15" hidden="false" customHeight="false" outlineLevel="0" collapsed="false">
      <c r="A15" s="0" t="s">
        <v>522</v>
      </c>
      <c r="B15" s="0" t="n">
        <v>5</v>
      </c>
      <c r="C15" s="0" t="s">
        <v>123</v>
      </c>
      <c r="D15" s="0" t="n">
        <v>207.7</v>
      </c>
      <c r="E15" s="0" t="n">
        <v>197.3</v>
      </c>
      <c r="F15" s="0" t="n">
        <v>219.9</v>
      </c>
      <c r="G15" s="0" t="n">
        <v>-0.961</v>
      </c>
      <c r="H15" s="0" t="n">
        <v>-0.976</v>
      </c>
      <c r="I15" s="0" t="n">
        <v>-0.943</v>
      </c>
      <c r="J15" s="0" t="s">
        <v>521</v>
      </c>
      <c r="K15" s="0" t="n">
        <v>0</v>
      </c>
      <c r="L15" s="0" t="n">
        <v>0</v>
      </c>
      <c r="M15" s="0" t="n">
        <v>2</v>
      </c>
      <c r="N15" s="0" t="n">
        <v>1</v>
      </c>
      <c r="O15" s="0" t="n">
        <v>4</v>
      </c>
    </row>
    <row r="16" customFormat="false" ht="15" hidden="false" customHeight="false" outlineLevel="0" collapsed="false">
      <c r="A16" s="0" t="s">
        <v>522</v>
      </c>
      <c r="B16" s="0" t="n">
        <v>5</v>
      </c>
      <c r="C16" s="0" t="s">
        <v>475</v>
      </c>
      <c r="D16" s="0" t="n">
        <v>206.5</v>
      </c>
      <c r="E16" s="0" t="n">
        <v>196.6</v>
      </c>
      <c r="F16" s="0" t="n">
        <v>218.5</v>
      </c>
      <c r="G16" s="0" t="n">
        <v>-0.956</v>
      </c>
      <c r="H16" s="0" t="n">
        <v>-0.972</v>
      </c>
      <c r="I16" s="0" t="n">
        <v>-0.937</v>
      </c>
      <c r="J16" s="0" t="s">
        <v>521</v>
      </c>
      <c r="K16" s="0" t="n">
        <v>0</v>
      </c>
      <c r="L16" s="0" t="n">
        <v>0</v>
      </c>
      <c r="M16" s="0" t="n">
        <v>2</v>
      </c>
      <c r="N16" s="0" t="n">
        <v>1</v>
      </c>
      <c r="O16" s="0" t="n">
        <v>4</v>
      </c>
    </row>
    <row r="17" customFormat="false" ht="15" hidden="false" customHeight="false" outlineLevel="0" collapsed="false">
      <c r="A17" s="0" t="s">
        <v>522</v>
      </c>
      <c r="B17" s="0" t="n">
        <v>5</v>
      </c>
      <c r="C17" s="0" t="s">
        <v>476</v>
      </c>
      <c r="D17" s="0" t="n">
        <v>206.4</v>
      </c>
      <c r="E17" s="0" t="n">
        <v>196.5</v>
      </c>
      <c r="F17" s="0" t="n">
        <v>218.3</v>
      </c>
      <c r="G17" s="0" t="n">
        <v>-0.955</v>
      </c>
      <c r="H17" s="0" t="n">
        <v>-0.971</v>
      </c>
      <c r="I17" s="0" t="n">
        <v>-0.936</v>
      </c>
      <c r="J17" s="0" t="s">
        <v>521</v>
      </c>
      <c r="K17" s="0" t="n">
        <v>0</v>
      </c>
      <c r="L17" s="0" t="n">
        <v>0</v>
      </c>
      <c r="M17" s="0" t="n">
        <v>2</v>
      </c>
      <c r="N17" s="0" t="n">
        <v>1</v>
      </c>
      <c r="O17" s="0" t="n">
        <v>4</v>
      </c>
    </row>
    <row r="18" customFormat="false" ht="15" hidden="false" customHeight="false" outlineLevel="0" collapsed="false">
      <c r="A18" s="0" t="s">
        <v>522</v>
      </c>
      <c r="B18" s="0" t="n">
        <v>10</v>
      </c>
      <c r="C18" s="0" t="s">
        <v>123</v>
      </c>
      <c r="D18" s="0" t="n">
        <v>396.3</v>
      </c>
      <c r="E18" s="0" t="n">
        <v>381.2</v>
      </c>
      <c r="F18" s="0" t="n">
        <v>416.5</v>
      </c>
      <c r="G18" s="0" t="n">
        <v>-0.921</v>
      </c>
      <c r="H18" s="0" t="n">
        <v>-0.95</v>
      </c>
      <c r="I18" s="0" t="n">
        <v>-0.887</v>
      </c>
      <c r="J18" s="0" t="s">
        <v>521</v>
      </c>
      <c r="K18" s="0" t="n">
        <v>0</v>
      </c>
      <c r="L18" s="0" t="n">
        <v>0</v>
      </c>
      <c r="M18" s="0" t="n">
        <v>27</v>
      </c>
      <c r="N18" s="0" t="n">
        <v>16</v>
      </c>
      <c r="O18" s="0" t="n">
        <v>44</v>
      </c>
    </row>
    <row r="19" customFormat="false" ht="15" hidden="false" customHeight="false" outlineLevel="0" collapsed="false">
      <c r="A19" s="0" t="s">
        <v>522</v>
      </c>
      <c r="B19" s="0" t="n">
        <v>10</v>
      </c>
      <c r="C19" s="0" t="s">
        <v>475</v>
      </c>
      <c r="D19" s="0" t="n">
        <v>385.9</v>
      </c>
      <c r="E19" s="0" t="n">
        <v>372.8</v>
      </c>
      <c r="F19" s="0" t="n">
        <v>403.7</v>
      </c>
      <c r="G19" s="0" t="n">
        <v>-0.898</v>
      </c>
      <c r="H19" s="0" t="n">
        <v>-0.933</v>
      </c>
      <c r="I19" s="0" t="n">
        <v>-0.855</v>
      </c>
      <c r="J19" s="0" t="s">
        <v>521</v>
      </c>
      <c r="K19" s="0" t="n">
        <v>0</v>
      </c>
      <c r="L19" s="0" t="n">
        <v>0</v>
      </c>
      <c r="M19" s="0" t="n">
        <v>27</v>
      </c>
      <c r="N19" s="0" t="n">
        <v>16</v>
      </c>
      <c r="O19" s="0" t="n">
        <v>44</v>
      </c>
    </row>
    <row r="20" customFormat="false" ht="15" hidden="false" customHeight="false" outlineLevel="0" collapsed="false">
      <c r="A20" s="0" t="s">
        <v>522</v>
      </c>
      <c r="B20" s="0" t="n">
        <v>10</v>
      </c>
      <c r="C20" s="0" t="s">
        <v>476</v>
      </c>
      <c r="D20" s="0" t="n">
        <v>382.6</v>
      </c>
      <c r="E20" s="0" t="n">
        <v>370</v>
      </c>
      <c r="F20" s="0" t="n">
        <v>400.2</v>
      </c>
      <c r="G20" s="0" t="n">
        <v>-0.891</v>
      </c>
      <c r="H20" s="0" t="n">
        <v>-0.928</v>
      </c>
      <c r="I20" s="0" t="n">
        <v>-0.845</v>
      </c>
      <c r="J20" s="0" t="s">
        <v>521</v>
      </c>
      <c r="K20" s="0" t="n">
        <v>0</v>
      </c>
      <c r="L20" s="0" t="n">
        <v>0</v>
      </c>
      <c r="M20" s="0" t="n">
        <v>27</v>
      </c>
      <c r="N20" s="0" t="n">
        <v>16</v>
      </c>
      <c r="O20" s="0" t="n">
        <v>44</v>
      </c>
    </row>
    <row r="21" customFormat="false" ht="15" hidden="false" customHeight="false" outlineLevel="0" collapsed="false">
      <c r="A21" s="0" t="s">
        <v>522</v>
      </c>
      <c r="B21" s="0" t="n">
        <v>20</v>
      </c>
      <c r="C21" s="0" t="s">
        <v>123</v>
      </c>
      <c r="D21" s="0" t="n">
        <v>339.8</v>
      </c>
      <c r="E21" s="0" t="n">
        <v>316.5</v>
      </c>
      <c r="F21" s="0" t="n">
        <v>357.6</v>
      </c>
      <c r="G21" s="0" t="n">
        <v>-0.789</v>
      </c>
      <c r="H21" s="0" t="n">
        <v>-0.862</v>
      </c>
      <c r="I21" s="0" t="n">
        <v>-0.702</v>
      </c>
      <c r="J21" s="0" t="s">
        <v>521</v>
      </c>
      <c r="K21" s="0" t="n">
        <v>0</v>
      </c>
      <c r="L21" s="0" t="n">
        <v>0.995</v>
      </c>
      <c r="M21" s="0" t="n">
        <v>191</v>
      </c>
      <c r="N21" s="0" t="n">
        <v>115</v>
      </c>
      <c r="O21" s="0" t="n">
        <v>297</v>
      </c>
    </row>
    <row r="22" customFormat="false" ht="15" hidden="false" customHeight="false" outlineLevel="0" collapsed="false">
      <c r="A22" s="0" t="s">
        <v>522</v>
      </c>
      <c r="B22" s="0" t="n">
        <v>20</v>
      </c>
      <c r="C22" s="0" t="s">
        <v>475</v>
      </c>
      <c r="D22" s="0" t="n">
        <v>328</v>
      </c>
      <c r="E22" s="0" t="n">
        <v>299.9</v>
      </c>
      <c r="F22" s="0" t="n">
        <v>347.5</v>
      </c>
      <c r="G22" s="0" t="n">
        <v>-0.761</v>
      </c>
      <c r="H22" s="0" t="n">
        <v>-0.842</v>
      </c>
      <c r="I22" s="0" t="n">
        <v>-0.664</v>
      </c>
      <c r="J22" s="0" t="s">
        <v>521</v>
      </c>
      <c r="K22" s="0" t="n">
        <v>0</v>
      </c>
      <c r="L22" s="0" t="n">
        <v>0.996</v>
      </c>
      <c r="M22" s="0" t="n">
        <v>191</v>
      </c>
      <c r="N22" s="0" t="n">
        <v>115</v>
      </c>
      <c r="O22" s="0" t="n">
        <v>297</v>
      </c>
    </row>
    <row r="23" customFormat="false" ht="15" hidden="false" customHeight="false" outlineLevel="0" collapsed="false">
      <c r="A23" s="0" t="s">
        <v>522</v>
      </c>
      <c r="B23" s="0" t="n">
        <v>20</v>
      </c>
      <c r="C23" s="0" t="s">
        <v>476</v>
      </c>
      <c r="D23" s="0" t="n">
        <v>324.9</v>
      </c>
      <c r="E23" s="0" t="n">
        <v>295.5</v>
      </c>
      <c r="F23" s="0" t="n">
        <v>345.4</v>
      </c>
      <c r="G23" s="0" t="n">
        <v>-0.754</v>
      </c>
      <c r="H23" s="0" t="n">
        <v>-0.837</v>
      </c>
      <c r="I23" s="0" t="n">
        <v>-0.653</v>
      </c>
      <c r="J23" s="0" t="s">
        <v>521</v>
      </c>
      <c r="K23" s="0" t="n">
        <v>0</v>
      </c>
      <c r="L23" s="0" t="n">
        <v>0.996</v>
      </c>
      <c r="M23" s="0" t="n">
        <v>191</v>
      </c>
      <c r="N23" s="0" t="n">
        <v>115</v>
      </c>
      <c r="O23" s="0" t="n">
        <v>297</v>
      </c>
    </row>
    <row r="24" customFormat="false" ht="15" hidden="false" customHeight="false" outlineLevel="0" collapsed="false">
      <c r="A24" s="0" t="s">
        <v>522</v>
      </c>
      <c r="B24" s="0" t="n">
        <v>50</v>
      </c>
      <c r="C24" s="0" t="s">
        <v>123</v>
      </c>
      <c r="D24" s="0" t="n">
        <v>281.9</v>
      </c>
      <c r="E24" s="0" t="n">
        <v>234</v>
      </c>
      <c r="F24" s="0" t="n">
        <v>315.8</v>
      </c>
      <c r="G24" s="0" t="n">
        <v>-0.655</v>
      </c>
      <c r="H24" s="0" t="n">
        <v>-0.77</v>
      </c>
      <c r="I24" s="0" t="n">
        <v>-0.516</v>
      </c>
      <c r="J24" s="0" t="s">
        <v>521</v>
      </c>
      <c r="K24" s="0" t="n">
        <v>0</v>
      </c>
      <c r="L24" s="0" t="n">
        <v>1</v>
      </c>
      <c r="M24" s="0" t="n">
        <v>660</v>
      </c>
      <c r="N24" s="0" t="n">
        <v>407</v>
      </c>
      <c r="O24" s="0" t="n">
        <v>1002</v>
      </c>
    </row>
    <row r="25" customFormat="false" ht="15" hidden="false" customHeight="false" outlineLevel="0" collapsed="false">
      <c r="A25" s="0" t="s">
        <v>522</v>
      </c>
      <c r="B25" s="0" t="n">
        <v>50</v>
      </c>
      <c r="C25" s="0" t="s">
        <v>475</v>
      </c>
      <c r="D25" s="0" t="n">
        <v>255.5</v>
      </c>
      <c r="E25" s="0" t="n">
        <v>195.3</v>
      </c>
      <c r="F25" s="0" t="n">
        <v>298.4</v>
      </c>
      <c r="G25" s="0" t="n">
        <v>-0.593</v>
      </c>
      <c r="H25" s="0" t="n">
        <v>-0.728</v>
      </c>
      <c r="I25" s="0" t="n">
        <v>-0.432</v>
      </c>
      <c r="J25" s="0" t="s">
        <v>521</v>
      </c>
      <c r="K25" s="0" t="n">
        <v>0</v>
      </c>
      <c r="L25" s="0" t="n">
        <v>1</v>
      </c>
      <c r="M25" s="0" t="n">
        <v>660</v>
      </c>
      <c r="N25" s="0" t="n">
        <v>407</v>
      </c>
      <c r="O25" s="0" t="n">
        <v>1002</v>
      </c>
    </row>
    <row r="26" customFormat="false" ht="15" hidden="false" customHeight="false" outlineLevel="0" collapsed="false">
      <c r="A26" s="0" t="s">
        <v>522</v>
      </c>
      <c r="B26" s="0" t="n">
        <v>50</v>
      </c>
      <c r="C26" s="0" t="s">
        <v>476</v>
      </c>
      <c r="D26" s="0" t="n">
        <v>245</v>
      </c>
      <c r="E26" s="0" t="n">
        <v>178.3</v>
      </c>
      <c r="F26" s="0" t="n">
        <v>291.6</v>
      </c>
      <c r="G26" s="0" t="n">
        <v>-0.569</v>
      </c>
      <c r="H26" s="0" t="n">
        <v>-0.711</v>
      </c>
      <c r="I26" s="0" t="n">
        <v>-0.393</v>
      </c>
      <c r="J26" s="0" t="s">
        <v>521</v>
      </c>
      <c r="K26" s="0" t="n">
        <v>0</v>
      </c>
      <c r="L26" s="0" t="n">
        <v>1</v>
      </c>
      <c r="M26" s="0" t="n">
        <v>660</v>
      </c>
      <c r="N26" s="0" t="n">
        <v>407</v>
      </c>
      <c r="O26" s="0" t="n">
        <v>1002</v>
      </c>
    </row>
    <row r="27" customFormat="false" ht="15" hidden="false" customHeight="false" outlineLevel="0" collapsed="false">
      <c r="A27" s="0" t="s">
        <v>523</v>
      </c>
      <c r="B27" s="0" t="n">
        <v>5</v>
      </c>
      <c r="C27" s="0" t="s">
        <v>123</v>
      </c>
      <c r="D27" s="0" t="n">
        <v>81</v>
      </c>
      <c r="E27" s="0" t="n">
        <v>52.4</v>
      </c>
      <c r="F27" s="0" t="n">
        <v>115.8</v>
      </c>
      <c r="G27" s="0" t="n">
        <v>-0.75</v>
      </c>
      <c r="H27" s="0" t="n">
        <v>-0.81</v>
      </c>
      <c r="I27" s="0" t="n">
        <v>-0.679</v>
      </c>
      <c r="J27" s="0" t="s">
        <v>521</v>
      </c>
      <c r="K27" s="0" t="n">
        <v>0</v>
      </c>
      <c r="L27" s="0" t="n">
        <v>1</v>
      </c>
      <c r="M27" s="0" t="n">
        <v>9</v>
      </c>
      <c r="N27" s="0" t="n">
        <v>5</v>
      </c>
      <c r="O27" s="0" t="n">
        <v>15</v>
      </c>
    </row>
    <row r="28" customFormat="false" ht="15" hidden="false" customHeight="false" outlineLevel="0" collapsed="false">
      <c r="A28" s="0" t="s">
        <v>523</v>
      </c>
      <c r="B28" s="0" t="n">
        <v>5</v>
      </c>
      <c r="C28" s="0" t="s">
        <v>475</v>
      </c>
      <c r="D28" s="0" t="n">
        <v>84.1</v>
      </c>
      <c r="E28" s="0" t="n">
        <v>56.9</v>
      </c>
      <c r="F28" s="0" t="n">
        <v>117.7</v>
      </c>
      <c r="G28" s="0" t="n">
        <v>-0.731</v>
      </c>
      <c r="H28" s="0" t="n">
        <v>-0.791</v>
      </c>
      <c r="I28" s="0" t="n">
        <v>-0.662</v>
      </c>
      <c r="J28" s="0" t="s">
        <v>521</v>
      </c>
      <c r="K28" s="0" t="n">
        <v>0</v>
      </c>
      <c r="L28" s="0" t="n">
        <v>1</v>
      </c>
      <c r="M28" s="0" t="n">
        <v>9</v>
      </c>
      <c r="N28" s="0" t="n">
        <v>5</v>
      </c>
      <c r="O28" s="0" t="n">
        <v>15</v>
      </c>
    </row>
    <row r="29" customFormat="false" ht="15" hidden="false" customHeight="false" outlineLevel="0" collapsed="false">
      <c r="A29" s="0" t="s">
        <v>523</v>
      </c>
      <c r="B29" s="0" t="n">
        <v>5</v>
      </c>
      <c r="C29" s="0" t="s">
        <v>476</v>
      </c>
      <c r="D29" s="0" t="n">
        <v>83.4</v>
      </c>
      <c r="E29" s="0" t="n">
        <v>56.5</v>
      </c>
      <c r="F29" s="0" t="n">
        <v>117</v>
      </c>
      <c r="G29" s="0" t="n">
        <v>-0.725</v>
      </c>
      <c r="H29" s="0" t="n">
        <v>-0.787</v>
      </c>
      <c r="I29" s="0" t="n">
        <v>-0.655</v>
      </c>
      <c r="J29" s="0" t="s">
        <v>521</v>
      </c>
      <c r="K29" s="0" t="n">
        <v>0</v>
      </c>
      <c r="L29" s="0" t="n">
        <v>1</v>
      </c>
      <c r="M29" s="0" t="n">
        <v>9</v>
      </c>
      <c r="N29" s="0" t="n">
        <v>5</v>
      </c>
      <c r="O29" s="0" t="n">
        <v>15</v>
      </c>
    </row>
    <row r="30" customFormat="false" ht="15" hidden="false" customHeight="false" outlineLevel="0" collapsed="false">
      <c r="A30" s="0" t="s">
        <v>523</v>
      </c>
      <c r="B30" s="0" t="n">
        <v>10</v>
      </c>
      <c r="C30" s="0" t="s">
        <v>123</v>
      </c>
      <c r="D30" s="0" t="n">
        <v>55</v>
      </c>
      <c r="E30" s="0" t="n">
        <v>31</v>
      </c>
      <c r="F30" s="0" t="n">
        <v>87.8</v>
      </c>
      <c r="G30" s="0" t="n">
        <v>-0.432</v>
      </c>
      <c r="H30" s="0" t="n">
        <v>-0.555</v>
      </c>
      <c r="I30" s="0" t="n">
        <v>-0.289</v>
      </c>
      <c r="J30" s="0" t="s">
        <v>521</v>
      </c>
      <c r="K30" s="0" t="n">
        <v>0</v>
      </c>
      <c r="L30" s="0" t="n">
        <v>1</v>
      </c>
      <c r="M30" s="0" t="n">
        <v>70</v>
      </c>
      <c r="N30" s="0" t="n">
        <v>40</v>
      </c>
      <c r="O30" s="0" t="n">
        <v>113</v>
      </c>
    </row>
    <row r="31" customFormat="false" ht="15" hidden="false" customHeight="false" outlineLevel="0" collapsed="false">
      <c r="A31" s="0" t="s">
        <v>523</v>
      </c>
      <c r="B31" s="0" t="n">
        <v>10</v>
      </c>
      <c r="C31" s="0" t="s">
        <v>475</v>
      </c>
      <c r="D31" s="0" t="n">
        <v>42.7</v>
      </c>
      <c r="E31" s="0" t="n">
        <v>20</v>
      </c>
      <c r="F31" s="0" t="n">
        <v>71</v>
      </c>
      <c r="G31" s="0" t="n">
        <v>-0.305</v>
      </c>
      <c r="H31" s="0" t="n">
        <v>-0.443</v>
      </c>
      <c r="I31" s="0" t="n">
        <v>-0.136</v>
      </c>
      <c r="J31" s="0" t="s">
        <v>521</v>
      </c>
      <c r="K31" s="0" t="n">
        <v>0</v>
      </c>
      <c r="L31" s="0" t="n">
        <v>1</v>
      </c>
      <c r="M31" s="0" t="n">
        <v>70</v>
      </c>
      <c r="N31" s="0" t="n">
        <v>40</v>
      </c>
      <c r="O31" s="0" t="n">
        <v>113</v>
      </c>
    </row>
    <row r="32" customFormat="false" ht="15" hidden="false" customHeight="false" outlineLevel="0" collapsed="false">
      <c r="A32" s="0" t="s">
        <v>523</v>
      </c>
      <c r="B32" s="0" t="n">
        <v>10</v>
      </c>
      <c r="C32" s="0" t="s">
        <v>476</v>
      </c>
      <c r="D32" s="0" t="n">
        <v>34</v>
      </c>
      <c r="E32" s="0" t="n">
        <v>8.6</v>
      </c>
      <c r="F32" s="0" t="n">
        <v>60.6</v>
      </c>
      <c r="G32" s="0" t="n">
        <v>-0.24</v>
      </c>
      <c r="H32" s="0" t="n">
        <v>-0.395</v>
      </c>
      <c r="I32" s="0" t="n">
        <v>-0.052</v>
      </c>
      <c r="J32" s="0" t="s">
        <v>521</v>
      </c>
      <c r="K32" s="0" t="n">
        <v>0.005</v>
      </c>
      <c r="L32" s="0" t="n">
        <v>1</v>
      </c>
      <c r="M32" s="0" t="n">
        <v>70</v>
      </c>
      <c r="N32" s="0" t="n">
        <v>40</v>
      </c>
      <c r="O32" s="0" t="n">
        <v>113</v>
      </c>
    </row>
    <row r="33" customFormat="false" ht="15" hidden="false" customHeight="false" outlineLevel="0" collapsed="false">
      <c r="A33" s="0" t="s">
        <v>523</v>
      </c>
      <c r="B33" s="0" t="n">
        <v>20</v>
      </c>
      <c r="C33" s="0" t="s">
        <v>123</v>
      </c>
      <c r="D33" s="0" t="n">
        <v>-18.6</v>
      </c>
      <c r="E33" s="0" t="n">
        <v>-57.2</v>
      </c>
      <c r="F33" s="0" t="n">
        <v>10.9</v>
      </c>
      <c r="G33" s="0" t="n">
        <v>0.149</v>
      </c>
      <c r="H33" s="0" t="n">
        <v>-0.084</v>
      </c>
      <c r="I33" s="0" t="n">
        <v>0.406</v>
      </c>
      <c r="J33" s="0" t="n">
        <v>2042</v>
      </c>
      <c r="K33" s="0" t="n">
        <v>0.883</v>
      </c>
      <c r="L33" s="0" t="n">
        <v>1</v>
      </c>
      <c r="M33" s="0" t="n">
        <v>342</v>
      </c>
      <c r="N33" s="0" t="n">
        <v>206</v>
      </c>
      <c r="O33" s="0" t="n">
        <v>535</v>
      </c>
    </row>
    <row r="34" customFormat="false" ht="15" hidden="false" customHeight="false" outlineLevel="0" collapsed="false">
      <c r="A34" s="0" t="s">
        <v>523</v>
      </c>
      <c r="B34" s="0" t="n">
        <v>20</v>
      </c>
      <c r="C34" s="0" t="s">
        <v>475</v>
      </c>
      <c r="D34" s="0" t="n">
        <v>-32.9</v>
      </c>
      <c r="E34" s="0" t="n">
        <v>-81.4</v>
      </c>
      <c r="F34" s="0" t="n">
        <v>1.8</v>
      </c>
      <c r="G34" s="0" t="n">
        <v>0.23</v>
      </c>
      <c r="H34" s="0" t="n">
        <v>-0.015</v>
      </c>
      <c r="I34" s="0" t="n">
        <v>0.504</v>
      </c>
      <c r="J34" s="0" t="n">
        <v>2041</v>
      </c>
      <c r="K34" s="0" t="n">
        <v>0.965</v>
      </c>
      <c r="L34" s="0" t="n">
        <v>1</v>
      </c>
      <c r="M34" s="0" t="n">
        <v>342</v>
      </c>
      <c r="N34" s="0" t="n">
        <v>206</v>
      </c>
      <c r="O34" s="0" t="n">
        <v>535</v>
      </c>
    </row>
    <row r="35" customFormat="false" ht="15" hidden="false" customHeight="false" outlineLevel="0" collapsed="false">
      <c r="A35" s="0" t="s">
        <v>523</v>
      </c>
      <c r="B35" s="0" t="n">
        <v>20</v>
      </c>
      <c r="C35" s="0" t="s">
        <v>476</v>
      </c>
      <c r="D35" s="0" t="n">
        <v>-41.9</v>
      </c>
      <c r="E35" s="0" t="n">
        <v>-96.2</v>
      </c>
      <c r="F35" s="0" t="n">
        <v>-4.7</v>
      </c>
      <c r="G35" s="0" t="n">
        <v>0.293</v>
      </c>
      <c r="H35" s="0" t="n">
        <v>0.037</v>
      </c>
      <c r="I35" s="0" t="n">
        <v>0.588</v>
      </c>
      <c r="J35" s="0" t="n">
        <v>2040</v>
      </c>
      <c r="K35" s="0" t="n">
        <v>0.989</v>
      </c>
      <c r="L35" s="0" t="n">
        <v>1</v>
      </c>
      <c r="M35" s="0" t="n">
        <v>342</v>
      </c>
      <c r="N35" s="0" t="n">
        <v>206</v>
      </c>
      <c r="O35" s="0" t="n">
        <v>535</v>
      </c>
    </row>
    <row r="36" customFormat="false" ht="15" hidden="false" customHeight="false" outlineLevel="0" collapsed="false">
      <c r="A36" s="0" t="s">
        <v>523</v>
      </c>
      <c r="B36" s="0" t="n">
        <v>50</v>
      </c>
      <c r="C36" s="0" t="s">
        <v>123</v>
      </c>
      <c r="D36" s="0" t="n">
        <v>-71.5</v>
      </c>
      <c r="E36" s="0" t="n">
        <v>-132.8</v>
      </c>
      <c r="F36" s="0" t="n">
        <v>-27.9</v>
      </c>
      <c r="G36" s="0" t="n">
        <v>0.561</v>
      </c>
      <c r="H36" s="0" t="n">
        <v>0.24</v>
      </c>
      <c r="I36" s="0" t="n">
        <v>0.901</v>
      </c>
      <c r="J36" s="0" t="n">
        <v>2042</v>
      </c>
      <c r="K36" s="0" t="n">
        <v>1</v>
      </c>
      <c r="L36" s="0" t="n">
        <v>1</v>
      </c>
      <c r="M36" s="0" t="n">
        <v>830</v>
      </c>
      <c r="N36" s="0" t="n">
        <v>518</v>
      </c>
      <c r="O36" s="0" t="n">
        <v>1272</v>
      </c>
    </row>
    <row r="37" customFormat="false" ht="15" hidden="false" customHeight="false" outlineLevel="0" collapsed="false">
      <c r="A37" s="0" t="s">
        <v>523</v>
      </c>
      <c r="B37" s="0" t="n">
        <v>50</v>
      </c>
      <c r="C37" s="0" t="s">
        <v>475</v>
      </c>
      <c r="D37" s="0" t="n">
        <v>-96.9</v>
      </c>
      <c r="E37" s="0" t="n">
        <v>-174.3</v>
      </c>
      <c r="F37" s="0" t="n">
        <v>-42.7</v>
      </c>
      <c r="G37" s="0" t="n">
        <v>0.68</v>
      </c>
      <c r="H37" s="0" t="n">
        <v>0.332</v>
      </c>
      <c r="I37" s="0" t="n">
        <v>1.04</v>
      </c>
      <c r="J37" s="0" t="n">
        <v>2041</v>
      </c>
      <c r="K37" s="0" t="n">
        <v>1</v>
      </c>
      <c r="L37" s="0" t="n">
        <v>1</v>
      </c>
      <c r="M37" s="0" t="n">
        <v>830</v>
      </c>
      <c r="N37" s="0" t="n">
        <v>518</v>
      </c>
      <c r="O37" s="0" t="n">
        <v>1272</v>
      </c>
    </row>
    <row r="38" customFormat="false" ht="15" hidden="false" customHeight="false" outlineLevel="0" collapsed="false">
      <c r="A38" s="0" t="s">
        <v>523</v>
      </c>
      <c r="B38" s="0" t="n">
        <v>50</v>
      </c>
      <c r="C38" s="0" t="s">
        <v>476</v>
      </c>
      <c r="D38" s="0" t="n">
        <v>-112.1</v>
      </c>
      <c r="E38" s="0" t="n">
        <v>-199.1</v>
      </c>
      <c r="F38" s="0" t="n">
        <v>-52.5</v>
      </c>
      <c r="G38" s="0" t="n">
        <v>0.785</v>
      </c>
      <c r="H38" s="0" t="n">
        <v>0.412</v>
      </c>
      <c r="I38" s="0" t="n">
        <v>1.178</v>
      </c>
      <c r="J38" s="0" t="n">
        <v>2040</v>
      </c>
      <c r="K38" s="0" t="n">
        <v>1</v>
      </c>
      <c r="L38" s="0" t="n">
        <v>1</v>
      </c>
      <c r="M38" s="0" t="n">
        <v>830</v>
      </c>
      <c r="N38" s="0" t="n">
        <v>518</v>
      </c>
      <c r="O38" s="0" t="n">
        <v>1272</v>
      </c>
    </row>
    <row r="39" customFormat="false" ht="15" hidden="false" customHeight="false" outlineLevel="0" collapsed="false">
      <c r="A39" s="0" t="s">
        <v>524</v>
      </c>
      <c r="B39" s="0" t="n">
        <v>5</v>
      </c>
      <c r="C39" s="0" t="s">
        <v>123</v>
      </c>
      <c r="D39" s="0" t="n">
        <v>1578.4</v>
      </c>
      <c r="E39" s="0" t="n">
        <v>1449.3</v>
      </c>
      <c r="F39" s="0" t="n">
        <v>1702.4</v>
      </c>
      <c r="G39" s="0" t="n">
        <v>-0.884</v>
      </c>
      <c r="H39" s="0" t="n">
        <v>-0.913</v>
      </c>
      <c r="I39" s="0" t="n">
        <v>-0.849</v>
      </c>
      <c r="J39" s="0" t="s">
        <v>521</v>
      </c>
      <c r="K39" s="0" t="n">
        <v>0</v>
      </c>
      <c r="L39" s="0" t="n">
        <v>0</v>
      </c>
      <c r="M39" s="0" t="n">
        <v>62</v>
      </c>
      <c r="N39" s="0" t="n">
        <v>40</v>
      </c>
      <c r="O39" s="0" t="n">
        <v>94</v>
      </c>
    </row>
    <row r="40" customFormat="false" ht="15" hidden="false" customHeight="false" outlineLevel="0" collapsed="false">
      <c r="A40" s="0" t="s">
        <v>524</v>
      </c>
      <c r="B40" s="0" t="n">
        <v>5</v>
      </c>
      <c r="C40" s="0" t="s">
        <v>475</v>
      </c>
      <c r="D40" s="0" t="n">
        <v>1556.5</v>
      </c>
      <c r="E40" s="0" t="n">
        <v>1431.4</v>
      </c>
      <c r="F40" s="0" t="n">
        <v>1677.3</v>
      </c>
      <c r="G40" s="0" t="n">
        <v>-0.869</v>
      </c>
      <c r="H40" s="0" t="n">
        <v>-0.899</v>
      </c>
      <c r="I40" s="0" t="n">
        <v>-0.833</v>
      </c>
      <c r="J40" s="0" t="s">
        <v>521</v>
      </c>
      <c r="K40" s="0" t="n">
        <v>0</v>
      </c>
      <c r="L40" s="0" t="n">
        <v>0</v>
      </c>
      <c r="M40" s="0" t="n">
        <v>62</v>
      </c>
      <c r="N40" s="0" t="n">
        <v>40</v>
      </c>
      <c r="O40" s="0" t="n">
        <v>94</v>
      </c>
    </row>
    <row r="41" customFormat="false" ht="15" hidden="false" customHeight="false" outlineLevel="0" collapsed="false">
      <c r="A41" s="0" t="s">
        <v>524</v>
      </c>
      <c r="B41" s="0" t="n">
        <v>5</v>
      </c>
      <c r="C41" s="0" t="s">
        <v>476</v>
      </c>
      <c r="D41" s="0" t="n">
        <v>1553.2</v>
      </c>
      <c r="E41" s="0" t="n">
        <v>1427</v>
      </c>
      <c r="F41" s="0" t="n">
        <v>1673.3</v>
      </c>
      <c r="G41" s="0" t="n">
        <v>-0.866</v>
      </c>
      <c r="H41" s="0" t="n">
        <v>-0.897</v>
      </c>
      <c r="I41" s="0" t="n">
        <v>-0.83</v>
      </c>
      <c r="J41" s="0" t="s">
        <v>521</v>
      </c>
      <c r="K41" s="0" t="n">
        <v>0</v>
      </c>
      <c r="L41" s="0" t="n">
        <v>0.001</v>
      </c>
      <c r="M41" s="0" t="n">
        <v>62</v>
      </c>
      <c r="N41" s="0" t="n">
        <v>40</v>
      </c>
      <c r="O41" s="0" t="n">
        <v>94</v>
      </c>
    </row>
    <row r="42" customFormat="false" ht="15" hidden="false" customHeight="false" outlineLevel="0" collapsed="false">
      <c r="A42" s="0" t="s">
        <v>524</v>
      </c>
      <c r="B42" s="0" t="n">
        <v>10</v>
      </c>
      <c r="C42" s="0" t="s">
        <v>123</v>
      </c>
      <c r="D42" s="0" t="n">
        <v>2525.2</v>
      </c>
      <c r="E42" s="0" t="n">
        <v>2316.7</v>
      </c>
      <c r="F42" s="0" t="n">
        <v>2748.5</v>
      </c>
      <c r="G42" s="0" t="n">
        <v>-0.776</v>
      </c>
      <c r="H42" s="0" t="n">
        <v>-0.827</v>
      </c>
      <c r="I42" s="0" t="n">
        <v>-0.716</v>
      </c>
      <c r="J42" s="0" t="s">
        <v>521</v>
      </c>
      <c r="K42" s="0" t="n">
        <v>0</v>
      </c>
      <c r="L42" s="0" t="n">
        <v>1</v>
      </c>
      <c r="M42" s="0" t="n">
        <v>608</v>
      </c>
      <c r="N42" s="0" t="n">
        <v>407</v>
      </c>
      <c r="O42" s="0" t="n">
        <v>864</v>
      </c>
    </row>
    <row r="43" customFormat="false" ht="15" hidden="false" customHeight="false" outlineLevel="0" collapsed="false">
      <c r="A43" s="0" t="s">
        <v>524</v>
      </c>
      <c r="B43" s="0" t="n">
        <v>10</v>
      </c>
      <c r="C43" s="0" t="s">
        <v>475</v>
      </c>
      <c r="D43" s="0" t="n">
        <v>2314.7</v>
      </c>
      <c r="E43" s="0" t="n">
        <v>2078.8</v>
      </c>
      <c r="F43" s="0" t="n">
        <v>2542</v>
      </c>
      <c r="G43" s="0" t="n">
        <v>-0.707</v>
      </c>
      <c r="H43" s="0" t="n">
        <v>-0.768</v>
      </c>
      <c r="I43" s="0" t="n">
        <v>-0.636</v>
      </c>
      <c r="J43" s="0" t="s">
        <v>521</v>
      </c>
      <c r="K43" s="0" t="n">
        <v>0</v>
      </c>
      <c r="L43" s="0" t="n">
        <v>1</v>
      </c>
      <c r="M43" s="0" t="n">
        <v>608</v>
      </c>
      <c r="N43" s="0" t="n">
        <v>407</v>
      </c>
      <c r="O43" s="0" t="n">
        <v>864</v>
      </c>
    </row>
    <row r="44" customFormat="false" ht="15" hidden="false" customHeight="false" outlineLevel="0" collapsed="false">
      <c r="A44" s="0" t="s">
        <v>524</v>
      </c>
      <c r="B44" s="0" t="n">
        <v>10</v>
      </c>
      <c r="C44" s="0" t="s">
        <v>476</v>
      </c>
      <c r="D44" s="0" t="n">
        <v>2241.3</v>
      </c>
      <c r="E44" s="0" t="n">
        <v>1991</v>
      </c>
      <c r="F44" s="0" t="n">
        <v>2480.4</v>
      </c>
      <c r="G44" s="0" t="n">
        <v>-0.684</v>
      </c>
      <c r="H44" s="0" t="n">
        <v>-0.752</v>
      </c>
      <c r="I44" s="0" t="n">
        <v>-0.608</v>
      </c>
      <c r="J44" s="0" t="s">
        <v>521</v>
      </c>
      <c r="K44" s="0" t="n">
        <v>0</v>
      </c>
      <c r="L44" s="0" t="n">
        <v>1</v>
      </c>
      <c r="M44" s="0" t="n">
        <v>608</v>
      </c>
      <c r="N44" s="0" t="n">
        <v>407</v>
      </c>
      <c r="O44" s="0" t="n">
        <v>864</v>
      </c>
    </row>
    <row r="45" customFormat="false" ht="15" hidden="false" customHeight="false" outlineLevel="0" collapsed="false">
      <c r="A45" s="0" t="s">
        <v>524</v>
      </c>
      <c r="B45" s="0" t="n">
        <v>20</v>
      </c>
      <c r="C45" s="0" t="s">
        <v>123</v>
      </c>
      <c r="D45" s="0" t="n">
        <v>1447.5</v>
      </c>
      <c r="E45" s="0" t="n">
        <v>1051.9</v>
      </c>
      <c r="F45" s="0" t="n">
        <v>1809</v>
      </c>
      <c r="G45" s="0" t="n">
        <v>-0.445</v>
      </c>
      <c r="H45" s="0" t="n">
        <v>-0.558</v>
      </c>
      <c r="I45" s="0" t="n">
        <v>-0.319</v>
      </c>
      <c r="J45" s="0" t="s">
        <v>521</v>
      </c>
      <c r="K45" s="0" t="n">
        <v>0</v>
      </c>
      <c r="L45" s="0" t="n">
        <v>1</v>
      </c>
      <c r="M45" s="0" t="n">
        <v>3768</v>
      </c>
      <c r="N45" s="0" t="n">
        <v>2699</v>
      </c>
      <c r="O45" s="0" t="n">
        <v>5022</v>
      </c>
    </row>
    <row r="46" customFormat="false" ht="15" hidden="false" customHeight="false" outlineLevel="0" collapsed="false">
      <c r="A46" s="0" t="s">
        <v>524</v>
      </c>
      <c r="B46" s="0" t="n">
        <v>20</v>
      </c>
      <c r="C46" s="0" t="s">
        <v>475</v>
      </c>
      <c r="D46" s="0" t="n">
        <v>1204.9</v>
      </c>
      <c r="E46" s="0" t="n">
        <v>761.1</v>
      </c>
      <c r="F46" s="0" t="n">
        <v>1588.6</v>
      </c>
      <c r="G46" s="0" t="n">
        <v>-0.368</v>
      </c>
      <c r="H46" s="0" t="n">
        <v>-0.489</v>
      </c>
      <c r="I46" s="0" t="n">
        <v>-0.229</v>
      </c>
      <c r="J46" s="0" t="s">
        <v>521</v>
      </c>
      <c r="K46" s="0" t="n">
        <v>0</v>
      </c>
      <c r="L46" s="0" t="n">
        <v>1</v>
      </c>
      <c r="M46" s="0" t="n">
        <v>3768</v>
      </c>
      <c r="N46" s="0" t="n">
        <v>2699</v>
      </c>
      <c r="O46" s="0" t="n">
        <v>5022</v>
      </c>
    </row>
    <row r="47" customFormat="false" ht="15" hidden="false" customHeight="false" outlineLevel="0" collapsed="false">
      <c r="A47" s="0" t="s">
        <v>524</v>
      </c>
      <c r="B47" s="0" t="n">
        <v>20</v>
      </c>
      <c r="C47" s="0" t="s">
        <v>476</v>
      </c>
      <c r="D47" s="0" t="n">
        <v>1138.2</v>
      </c>
      <c r="E47" s="0" t="n">
        <v>674.4</v>
      </c>
      <c r="F47" s="0" t="n">
        <v>1541.9</v>
      </c>
      <c r="G47" s="0" t="n">
        <v>-0.345</v>
      </c>
      <c r="H47" s="0" t="n">
        <v>-0.473</v>
      </c>
      <c r="I47" s="0" t="n">
        <v>-0.206</v>
      </c>
      <c r="J47" s="0" t="s">
        <v>521</v>
      </c>
      <c r="K47" s="0" t="n">
        <v>0</v>
      </c>
      <c r="L47" s="0" t="n">
        <v>1</v>
      </c>
      <c r="M47" s="0" t="n">
        <v>3768</v>
      </c>
      <c r="N47" s="0" t="n">
        <v>2699</v>
      </c>
      <c r="O47" s="0" t="n">
        <v>5022</v>
      </c>
    </row>
    <row r="48" customFormat="false" ht="15" hidden="false" customHeight="false" outlineLevel="0" collapsed="false">
      <c r="A48" s="0" t="s">
        <v>524</v>
      </c>
      <c r="B48" s="0" t="n">
        <v>50</v>
      </c>
      <c r="C48" s="0" t="s">
        <v>123</v>
      </c>
      <c r="D48" s="0" t="n">
        <v>386.2</v>
      </c>
      <c r="E48" s="0" t="n">
        <v>-236.6</v>
      </c>
      <c r="F48" s="0" t="n">
        <v>916.3</v>
      </c>
      <c r="G48" s="0" t="n">
        <v>-0.119</v>
      </c>
      <c r="H48" s="0" t="n">
        <v>-0.288</v>
      </c>
      <c r="I48" s="0" t="n">
        <v>0.073</v>
      </c>
      <c r="J48" s="0" t="s">
        <v>521</v>
      </c>
      <c r="K48" s="0" t="n">
        <v>0.102</v>
      </c>
      <c r="L48" s="0" t="n">
        <v>1</v>
      </c>
      <c r="M48" s="0" t="n">
        <v>12263</v>
      </c>
      <c r="N48" s="0" t="n">
        <v>9270</v>
      </c>
      <c r="O48" s="0" t="n">
        <v>15639</v>
      </c>
    </row>
    <row r="49" customFormat="false" ht="15" hidden="false" customHeight="false" outlineLevel="0" collapsed="false">
      <c r="A49" s="0" t="s">
        <v>524</v>
      </c>
      <c r="B49" s="0" t="n">
        <v>50</v>
      </c>
      <c r="C49" s="0" t="s">
        <v>475</v>
      </c>
      <c r="D49" s="0" t="n">
        <v>-140.6</v>
      </c>
      <c r="E49" s="0" t="n">
        <v>-889.7</v>
      </c>
      <c r="F49" s="0" t="n">
        <v>481.5</v>
      </c>
      <c r="G49" s="0" t="n">
        <v>0.043</v>
      </c>
      <c r="H49" s="0" t="n">
        <v>-0.151</v>
      </c>
      <c r="I49" s="0" t="n">
        <v>0.267</v>
      </c>
      <c r="J49" s="0" t="n">
        <v>2067</v>
      </c>
      <c r="K49" s="0" t="n">
        <v>0.67</v>
      </c>
      <c r="L49" s="0" t="n">
        <v>1</v>
      </c>
      <c r="M49" s="0" t="n">
        <v>12263</v>
      </c>
      <c r="N49" s="0" t="n">
        <v>9270</v>
      </c>
      <c r="O49" s="0" t="n">
        <v>15639</v>
      </c>
    </row>
    <row r="50" customFormat="false" ht="15" hidden="false" customHeight="false" outlineLevel="0" collapsed="false">
      <c r="A50" s="0" t="s">
        <v>524</v>
      </c>
      <c r="B50" s="0" t="n">
        <v>50</v>
      </c>
      <c r="C50" s="0" t="s">
        <v>476</v>
      </c>
      <c r="D50" s="0" t="n">
        <v>-362.4</v>
      </c>
      <c r="E50" s="0" t="n">
        <v>-1181.8</v>
      </c>
      <c r="F50" s="0" t="n">
        <v>321.6</v>
      </c>
      <c r="G50" s="0" t="n">
        <v>0.11</v>
      </c>
      <c r="H50" s="0" t="n">
        <v>-0.099</v>
      </c>
      <c r="I50" s="0" t="n">
        <v>0.353</v>
      </c>
      <c r="J50" s="0" t="n">
        <v>2061</v>
      </c>
      <c r="K50" s="0" t="n">
        <v>0.838</v>
      </c>
      <c r="L50" s="0" t="n">
        <v>1</v>
      </c>
      <c r="M50" s="0" t="n">
        <v>12263</v>
      </c>
      <c r="N50" s="0" t="n">
        <v>9270</v>
      </c>
      <c r="O50" s="0" t="n">
        <v>15639</v>
      </c>
    </row>
    <row r="51" customFormat="false" ht="15" hidden="false" customHeight="false" outlineLevel="0" collapsed="false">
      <c r="A51" s="0" t="s">
        <v>525</v>
      </c>
      <c r="B51" s="0" t="n">
        <v>5</v>
      </c>
      <c r="C51" s="0" t="s">
        <v>123</v>
      </c>
      <c r="D51" s="0" t="n">
        <v>-140</v>
      </c>
      <c r="E51" s="0" t="n">
        <v>-154.7</v>
      </c>
      <c r="F51" s="0" t="n">
        <v>-123.3</v>
      </c>
      <c r="G51" s="0" t="n">
        <v>0.743</v>
      </c>
      <c r="H51" s="0" t="n">
        <v>0.67</v>
      </c>
      <c r="I51" s="0" t="n">
        <v>0.806</v>
      </c>
      <c r="J51" s="0" t="s">
        <v>521</v>
      </c>
      <c r="K51" s="0" t="n">
        <v>0</v>
      </c>
      <c r="L51" s="0" t="n">
        <v>0</v>
      </c>
      <c r="M51" s="0" t="n">
        <v>-16</v>
      </c>
      <c r="N51" s="0" t="n">
        <v>-23</v>
      </c>
      <c r="O51" s="0" t="n">
        <v>-11</v>
      </c>
    </row>
    <row r="52" customFormat="false" ht="15" hidden="false" customHeight="false" outlineLevel="0" collapsed="false">
      <c r="A52" s="0" t="s">
        <v>525</v>
      </c>
      <c r="B52" s="0" t="n">
        <v>5</v>
      </c>
      <c r="C52" s="0" t="s">
        <v>475</v>
      </c>
      <c r="D52" s="0" t="n">
        <v>-132.6</v>
      </c>
      <c r="E52" s="0" t="n">
        <v>-148.1</v>
      </c>
      <c r="F52" s="0" t="n">
        <v>-116</v>
      </c>
      <c r="G52" s="0" t="n">
        <v>0.706</v>
      </c>
      <c r="H52" s="0" t="n">
        <v>0.63</v>
      </c>
      <c r="I52" s="0" t="n">
        <v>0.77</v>
      </c>
      <c r="J52" s="0" t="s">
        <v>521</v>
      </c>
      <c r="K52" s="0" t="n">
        <v>0</v>
      </c>
      <c r="L52" s="0" t="n">
        <v>0</v>
      </c>
      <c r="M52" s="0" t="n">
        <v>-16</v>
      </c>
      <c r="N52" s="0" t="n">
        <v>-23</v>
      </c>
      <c r="O52" s="0" t="n">
        <v>-11</v>
      </c>
    </row>
    <row r="53" customFormat="false" ht="15" hidden="false" customHeight="false" outlineLevel="0" collapsed="false">
      <c r="A53" s="0" t="s">
        <v>525</v>
      </c>
      <c r="B53" s="0" t="n">
        <v>5</v>
      </c>
      <c r="C53" s="0" t="s">
        <v>476</v>
      </c>
      <c r="D53" s="0" t="n">
        <v>-131.3</v>
      </c>
      <c r="E53" s="0" t="n">
        <v>-147.2</v>
      </c>
      <c r="F53" s="0" t="n">
        <v>-114.6</v>
      </c>
      <c r="G53" s="0" t="n">
        <v>0.699</v>
      </c>
      <c r="H53" s="0" t="n">
        <v>0.622</v>
      </c>
      <c r="I53" s="0" t="n">
        <v>0.766</v>
      </c>
      <c r="J53" s="0" t="s">
        <v>521</v>
      </c>
      <c r="K53" s="0" t="n">
        <v>0</v>
      </c>
      <c r="L53" s="0" t="n">
        <v>0</v>
      </c>
      <c r="M53" s="0" t="n">
        <v>-16</v>
      </c>
      <c r="N53" s="0" t="n">
        <v>-23</v>
      </c>
      <c r="O53" s="0" t="n">
        <v>-11</v>
      </c>
    </row>
    <row r="54" customFormat="false" ht="15" hidden="false" customHeight="false" outlineLevel="0" collapsed="false">
      <c r="A54" s="0" t="s">
        <v>525</v>
      </c>
      <c r="B54" s="0" t="n">
        <v>10</v>
      </c>
      <c r="C54" s="0" t="s">
        <v>123</v>
      </c>
      <c r="D54" s="0" t="n">
        <v>-170.5</v>
      </c>
      <c r="E54" s="0" t="n">
        <v>-209.6</v>
      </c>
      <c r="F54" s="0" t="n">
        <v>-126</v>
      </c>
      <c r="G54" s="0" t="n">
        <v>0.507</v>
      </c>
      <c r="H54" s="0" t="n">
        <v>0.383</v>
      </c>
      <c r="I54" s="0" t="n">
        <v>0.613</v>
      </c>
      <c r="J54" s="0" t="s">
        <v>521</v>
      </c>
      <c r="K54" s="0" t="n">
        <v>0</v>
      </c>
      <c r="L54" s="0" t="n">
        <v>0</v>
      </c>
      <c r="M54" s="0" t="n">
        <v>-137</v>
      </c>
      <c r="N54" s="0" t="n">
        <v>-186</v>
      </c>
      <c r="O54" s="0" t="n">
        <v>-96</v>
      </c>
    </row>
    <row r="55" customFormat="false" ht="15" hidden="false" customHeight="false" outlineLevel="0" collapsed="false">
      <c r="A55" s="0" t="s">
        <v>525</v>
      </c>
      <c r="B55" s="0" t="n">
        <v>10</v>
      </c>
      <c r="C55" s="0" t="s">
        <v>475</v>
      </c>
      <c r="D55" s="0" t="n">
        <v>-118.4</v>
      </c>
      <c r="E55" s="0" t="n">
        <v>-164.1</v>
      </c>
      <c r="F55" s="0" t="n">
        <v>-68.1</v>
      </c>
      <c r="G55" s="0" t="n">
        <v>0.353</v>
      </c>
      <c r="H55" s="0" t="n">
        <v>0.204</v>
      </c>
      <c r="I55" s="0" t="n">
        <v>0.482</v>
      </c>
      <c r="J55" s="0" t="s">
        <v>521</v>
      </c>
      <c r="K55" s="0" t="n">
        <v>0</v>
      </c>
      <c r="L55" s="0" t="n">
        <v>0</v>
      </c>
      <c r="M55" s="0" t="n">
        <v>-137</v>
      </c>
      <c r="N55" s="0" t="n">
        <v>-186</v>
      </c>
      <c r="O55" s="0" t="n">
        <v>-96</v>
      </c>
    </row>
    <row r="56" customFormat="false" ht="15" hidden="false" customHeight="false" outlineLevel="0" collapsed="false">
      <c r="A56" s="0" t="s">
        <v>525</v>
      </c>
      <c r="B56" s="0" t="n">
        <v>10</v>
      </c>
      <c r="C56" s="0" t="s">
        <v>476</v>
      </c>
      <c r="D56" s="0" t="n">
        <v>-101.6</v>
      </c>
      <c r="E56" s="0" t="n">
        <v>-152.1</v>
      </c>
      <c r="F56" s="0" t="n">
        <v>-46.2</v>
      </c>
      <c r="G56" s="0" t="n">
        <v>0.303</v>
      </c>
      <c r="H56" s="0" t="n">
        <v>0.14</v>
      </c>
      <c r="I56" s="0" t="n">
        <v>0.443</v>
      </c>
      <c r="J56" s="0" t="s">
        <v>521</v>
      </c>
      <c r="K56" s="0" t="n">
        <v>0</v>
      </c>
      <c r="L56" s="0" t="n">
        <v>0</v>
      </c>
      <c r="M56" s="0" t="n">
        <v>-137</v>
      </c>
      <c r="N56" s="0" t="n">
        <v>-186</v>
      </c>
      <c r="O56" s="0" t="n">
        <v>-96</v>
      </c>
    </row>
    <row r="57" customFormat="false" ht="15" hidden="false" customHeight="false" outlineLevel="0" collapsed="false">
      <c r="A57" s="0" t="s">
        <v>525</v>
      </c>
      <c r="B57" s="0" t="n">
        <v>20</v>
      </c>
      <c r="C57" s="0" t="s">
        <v>123</v>
      </c>
      <c r="D57" s="0" t="n">
        <v>-14.6</v>
      </c>
      <c r="E57" s="0" t="n">
        <v>-120.8</v>
      </c>
      <c r="F57" s="0" t="n">
        <v>101.9</v>
      </c>
      <c r="G57" s="0" t="n">
        <v>0.027</v>
      </c>
      <c r="H57" s="0" t="n">
        <v>-0.187</v>
      </c>
      <c r="I57" s="0" t="n">
        <v>0.22</v>
      </c>
      <c r="J57" s="0" t="s">
        <v>521</v>
      </c>
      <c r="K57" s="0" t="n">
        <v>0</v>
      </c>
      <c r="L57" s="0" t="n">
        <v>0</v>
      </c>
      <c r="M57" s="0" t="n">
        <v>-1076</v>
      </c>
      <c r="N57" s="0" t="n">
        <v>-1384</v>
      </c>
      <c r="O57" s="0" t="n">
        <v>-802</v>
      </c>
    </row>
    <row r="58" customFormat="false" ht="15" hidden="false" customHeight="false" outlineLevel="0" collapsed="false">
      <c r="A58" s="0" t="s">
        <v>525</v>
      </c>
      <c r="B58" s="0" t="n">
        <v>20</v>
      </c>
      <c r="C58" s="0" t="s">
        <v>475</v>
      </c>
      <c r="D58" s="0" t="n">
        <v>48</v>
      </c>
      <c r="E58" s="0" t="n">
        <v>-66.8</v>
      </c>
      <c r="F58" s="0" t="n">
        <v>174.4</v>
      </c>
      <c r="G58" s="0" t="n">
        <v>-0.089</v>
      </c>
      <c r="H58" s="0" t="n">
        <v>-0.322</v>
      </c>
      <c r="I58" s="0" t="n">
        <v>0.122</v>
      </c>
      <c r="J58" s="0" t="s">
        <v>521</v>
      </c>
      <c r="K58" s="0" t="n">
        <v>0</v>
      </c>
      <c r="L58" s="0" t="n">
        <v>0</v>
      </c>
      <c r="M58" s="0" t="n">
        <v>-1076</v>
      </c>
      <c r="N58" s="0" t="n">
        <v>-1384</v>
      </c>
      <c r="O58" s="0" t="n">
        <v>-802</v>
      </c>
    </row>
    <row r="59" customFormat="false" ht="15" hidden="false" customHeight="false" outlineLevel="0" collapsed="false">
      <c r="A59" s="0" t="s">
        <v>525</v>
      </c>
      <c r="B59" s="0" t="n">
        <v>20</v>
      </c>
      <c r="C59" s="0" t="s">
        <v>476</v>
      </c>
      <c r="D59" s="0" t="n">
        <v>62.5</v>
      </c>
      <c r="E59" s="0" t="n">
        <v>-53.9</v>
      </c>
      <c r="F59" s="0" t="n">
        <v>191.9</v>
      </c>
      <c r="G59" s="0" t="n">
        <v>-0.116</v>
      </c>
      <c r="H59" s="0" t="n">
        <v>-0.36</v>
      </c>
      <c r="I59" s="0" t="n">
        <v>0.098</v>
      </c>
      <c r="J59" s="0" t="s">
        <v>521</v>
      </c>
      <c r="K59" s="0" t="n">
        <v>0</v>
      </c>
      <c r="L59" s="0" t="n">
        <v>0</v>
      </c>
      <c r="M59" s="0" t="n">
        <v>-1076</v>
      </c>
      <c r="N59" s="0" t="n">
        <v>-1384</v>
      </c>
      <c r="O59" s="0" t="n">
        <v>-802</v>
      </c>
    </row>
    <row r="60" customFormat="false" ht="15" hidden="false" customHeight="false" outlineLevel="0" collapsed="false">
      <c r="A60" s="0" t="s">
        <v>525</v>
      </c>
      <c r="B60" s="0" t="n">
        <v>50</v>
      </c>
      <c r="C60" s="0" t="s">
        <v>123</v>
      </c>
      <c r="D60" s="0" t="n">
        <v>575.6</v>
      </c>
      <c r="E60" s="0" t="n">
        <v>324.9</v>
      </c>
      <c r="F60" s="0" t="n">
        <v>844</v>
      </c>
      <c r="G60" s="0" t="n">
        <v>-0.726</v>
      </c>
      <c r="H60" s="0" t="n">
        <v>-1.082</v>
      </c>
      <c r="I60" s="0" t="n">
        <v>-0.402</v>
      </c>
      <c r="J60" s="0" t="s">
        <v>521</v>
      </c>
      <c r="K60" s="0" t="n">
        <v>0</v>
      </c>
      <c r="L60" s="0" t="n">
        <v>0</v>
      </c>
      <c r="M60" s="0" t="n">
        <v>-7693</v>
      </c>
      <c r="N60" s="0" t="n">
        <v>-9524</v>
      </c>
      <c r="O60" s="0" t="n">
        <v>-5979</v>
      </c>
    </row>
    <row r="61" customFormat="false" ht="15" hidden="false" customHeight="false" outlineLevel="0" collapsed="false">
      <c r="A61" s="0" t="s">
        <v>525</v>
      </c>
      <c r="B61" s="0" t="n">
        <v>50</v>
      </c>
      <c r="C61" s="0" t="s">
        <v>475</v>
      </c>
      <c r="D61" s="0" t="n">
        <v>891.5</v>
      </c>
      <c r="E61" s="0" t="n">
        <v>593</v>
      </c>
      <c r="F61" s="0" t="n">
        <v>1228.1</v>
      </c>
      <c r="G61" s="0" t="n">
        <v>-1.13</v>
      </c>
      <c r="H61" s="0" t="n">
        <v>-1.57</v>
      </c>
      <c r="I61" s="0" t="n">
        <v>-0.735</v>
      </c>
      <c r="J61" s="0" t="s">
        <v>521</v>
      </c>
      <c r="K61" s="0" t="n">
        <v>0</v>
      </c>
      <c r="L61" s="0" t="n">
        <v>0</v>
      </c>
      <c r="M61" s="0" t="n">
        <v>-7693</v>
      </c>
      <c r="N61" s="0" t="n">
        <v>-9524</v>
      </c>
      <c r="O61" s="0" t="n">
        <v>-5979</v>
      </c>
    </row>
    <row r="62" customFormat="false" ht="15" hidden="false" customHeight="false" outlineLevel="0" collapsed="false">
      <c r="A62" s="0" t="s">
        <v>525</v>
      </c>
      <c r="B62" s="0" t="n">
        <v>50</v>
      </c>
      <c r="C62" s="0" t="s">
        <v>476</v>
      </c>
      <c r="D62" s="0" t="n">
        <v>1032.4</v>
      </c>
      <c r="E62" s="0" t="n">
        <v>706.2</v>
      </c>
      <c r="F62" s="0" t="n">
        <v>1410.8</v>
      </c>
      <c r="G62" s="0" t="n">
        <v>-1.305</v>
      </c>
      <c r="H62" s="0" t="n">
        <v>-1.797</v>
      </c>
      <c r="I62" s="0" t="n">
        <v>-0.882</v>
      </c>
      <c r="J62" s="0" t="s">
        <v>521</v>
      </c>
      <c r="K62" s="0" t="n">
        <v>0</v>
      </c>
      <c r="L62" s="0" t="n">
        <v>0</v>
      </c>
      <c r="M62" s="0" t="n">
        <v>-7693</v>
      </c>
      <c r="N62" s="0" t="n">
        <v>-9524</v>
      </c>
      <c r="O62" s="0" t="n">
        <v>-5979</v>
      </c>
    </row>
    <row r="63" customFormat="false" ht="15" hidden="false" customHeight="false" outlineLevel="0" collapsed="false">
      <c r="A63" s="0" t="s">
        <v>526</v>
      </c>
      <c r="B63" s="0" t="n">
        <v>5</v>
      </c>
      <c r="C63" s="0" t="s">
        <v>123</v>
      </c>
      <c r="D63" s="0" t="n">
        <v>-466.6</v>
      </c>
      <c r="E63" s="0" t="n">
        <v>-515.5</v>
      </c>
      <c r="F63" s="0" t="n">
        <v>-411.1</v>
      </c>
      <c r="G63" s="0" t="n">
        <v>0.743</v>
      </c>
      <c r="H63" s="0" t="n">
        <v>0.67</v>
      </c>
      <c r="I63" s="0" t="n">
        <v>0.806</v>
      </c>
      <c r="J63" s="0" t="s">
        <v>521</v>
      </c>
      <c r="K63" s="0" t="n">
        <v>0</v>
      </c>
      <c r="L63" s="0" t="n">
        <v>0</v>
      </c>
      <c r="M63" s="0" t="n">
        <v>-53</v>
      </c>
      <c r="N63" s="0" t="n">
        <v>-76</v>
      </c>
      <c r="O63" s="0" t="n">
        <v>-36</v>
      </c>
    </row>
    <row r="64" customFormat="false" ht="15" hidden="false" customHeight="false" outlineLevel="0" collapsed="false">
      <c r="A64" s="0" t="s">
        <v>526</v>
      </c>
      <c r="B64" s="0" t="n">
        <v>5</v>
      </c>
      <c r="C64" s="0" t="s">
        <v>475</v>
      </c>
      <c r="D64" s="0" t="n">
        <v>-442</v>
      </c>
      <c r="E64" s="0" t="n">
        <v>-493.7</v>
      </c>
      <c r="F64" s="0" t="n">
        <v>-386.8</v>
      </c>
      <c r="G64" s="0" t="n">
        <v>0.706</v>
      </c>
      <c r="H64" s="0" t="n">
        <v>0.63</v>
      </c>
      <c r="I64" s="0" t="n">
        <v>0.77</v>
      </c>
      <c r="J64" s="0" t="s">
        <v>521</v>
      </c>
      <c r="K64" s="0" t="n">
        <v>0</v>
      </c>
      <c r="L64" s="0" t="n">
        <v>0</v>
      </c>
      <c r="M64" s="0" t="n">
        <v>-53</v>
      </c>
      <c r="N64" s="0" t="n">
        <v>-76</v>
      </c>
      <c r="O64" s="0" t="n">
        <v>-36</v>
      </c>
    </row>
    <row r="65" customFormat="false" ht="15" hidden="false" customHeight="false" outlineLevel="0" collapsed="false">
      <c r="A65" s="0" t="s">
        <v>526</v>
      </c>
      <c r="B65" s="0" t="n">
        <v>5</v>
      </c>
      <c r="C65" s="0" t="s">
        <v>476</v>
      </c>
      <c r="D65" s="0" t="n">
        <v>-437.8</v>
      </c>
      <c r="E65" s="0" t="n">
        <v>-490.5</v>
      </c>
      <c r="F65" s="0" t="n">
        <v>-381.8</v>
      </c>
      <c r="G65" s="0" t="n">
        <v>0.699</v>
      </c>
      <c r="H65" s="0" t="n">
        <v>0.622</v>
      </c>
      <c r="I65" s="0" t="n">
        <v>0.766</v>
      </c>
      <c r="J65" s="0" t="s">
        <v>521</v>
      </c>
      <c r="K65" s="0" t="n">
        <v>0</v>
      </c>
      <c r="L65" s="0" t="n">
        <v>0</v>
      </c>
      <c r="M65" s="0" t="n">
        <v>-53</v>
      </c>
      <c r="N65" s="0" t="n">
        <v>-76</v>
      </c>
      <c r="O65" s="0" t="n">
        <v>-36</v>
      </c>
    </row>
    <row r="66" customFormat="false" ht="15" hidden="false" customHeight="false" outlineLevel="0" collapsed="false">
      <c r="A66" s="0" t="s">
        <v>526</v>
      </c>
      <c r="B66" s="0" t="n">
        <v>10</v>
      </c>
      <c r="C66" s="0" t="s">
        <v>123</v>
      </c>
      <c r="D66" s="0" t="n">
        <v>-567.8</v>
      </c>
      <c r="E66" s="0" t="n">
        <v>-698.3</v>
      </c>
      <c r="F66" s="0" t="n">
        <v>-419.9</v>
      </c>
      <c r="G66" s="0" t="n">
        <v>0.507</v>
      </c>
      <c r="H66" s="0" t="n">
        <v>0.382</v>
      </c>
      <c r="I66" s="0" t="n">
        <v>0.613</v>
      </c>
      <c r="J66" s="0" t="s">
        <v>521</v>
      </c>
      <c r="K66" s="0" t="n">
        <v>0</v>
      </c>
      <c r="L66" s="0" t="n">
        <v>0</v>
      </c>
      <c r="M66" s="0" t="n">
        <v>-457</v>
      </c>
      <c r="N66" s="0" t="n">
        <v>-623</v>
      </c>
      <c r="O66" s="0" t="n">
        <v>-321</v>
      </c>
    </row>
    <row r="67" customFormat="false" ht="15" hidden="false" customHeight="false" outlineLevel="0" collapsed="false">
      <c r="A67" s="0" t="s">
        <v>526</v>
      </c>
      <c r="B67" s="0" t="n">
        <v>10</v>
      </c>
      <c r="C67" s="0" t="s">
        <v>475</v>
      </c>
      <c r="D67" s="0" t="n">
        <v>-393.6</v>
      </c>
      <c r="E67" s="0" t="n">
        <v>-546</v>
      </c>
      <c r="F67" s="0" t="n">
        <v>-225.8</v>
      </c>
      <c r="G67" s="0" t="n">
        <v>0.352</v>
      </c>
      <c r="H67" s="0" t="n">
        <v>0.203</v>
      </c>
      <c r="I67" s="0" t="n">
        <v>0.481</v>
      </c>
      <c r="J67" s="0" t="s">
        <v>521</v>
      </c>
      <c r="K67" s="0" t="n">
        <v>0</v>
      </c>
      <c r="L67" s="0" t="n">
        <v>0</v>
      </c>
      <c r="M67" s="0" t="n">
        <v>-457</v>
      </c>
      <c r="N67" s="0" t="n">
        <v>-623</v>
      </c>
      <c r="O67" s="0" t="n">
        <v>-321</v>
      </c>
    </row>
    <row r="68" customFormat="false" ht="15" hidden="false" customHeight="false" outlineLevel="0" collapsed="false">
      <c r="A68" s="0" t="s">
        <v>526</v>
      </c>
      <c r="B68" s="0" t="n">
        <v>10</v>
      </c>
      <c r="C68" s="0" t="s">
        <v>476</v>
      </c>
      <c r="D68" s="0" t="n">
        <v>-337.3</v>
      </c>
      <c r="E68" s="0" t="n">
        <v>-505.8</v>
      </c>
      <c r="F68" s="0" t="n">
        <v>-152.6</v>
      </c>
      <c r="G68" s="0" t="n">
        <v>0.302</v>
      </c>
      <c r="H68" s="0" t="n">
        <v>0.138</v>
      </c>
      <c r="I68" s="0" t="n">
        <v>0.442</v>
      </c>
      <c r="J68" s="0" t="s">
        <v>521</v>
      </c>
      <c r="K68" s="0" t="n">
        <v>0</v>
      </c>
      <c r="L68" s="0" t="n">
        <v>0</v>
      </c>
      <c r="M68" s="0" t="n">
        <v>-457</v>
      </c>
      <c r="N68" s="0" t="n">
        <v>-623</v>
      </c>
      <c r="O68" s="0" t="n">
        <v>-321</v>
      </c>
    </row>
    <row r="69" customFormat="false" ht="15" hidden="false" customHeight="false" outlineLevel="0" collapsed="false">
      <c r="A69" s="0" t="s">
        <v>526</v>
      </c>
      <c r="B69" s="0" t="n">
        <v>20</v>
      </c>
      <c r="C69" s="0" t="s">
        <v>123</v>
      </c>
      <c r="D69" s="0" t="n">
        <v>-39.4</v>
      </c>
      <c r="E69" s="0" t="n">
        <v>-394.6</v>
      </c>
      <c r="F69" s="0" t="n">
        <v>348.4</v>
      </c>
      <c r="G69" s="0" t="n">
        <v>0.022</v>
      </c>
      <c r="H69" s="0" t="n">
        <v>-0.194</v>
      </c>
      <c r="I69" s="0" t="n">
        <v>0.216</v>
      </c>
      <c r="J69" s="0" t="s">
        <v>521</v>
      </c>
      <c r="K69" s="0" t="n">
        <v>0</v>
      </c>
      <c r="L69" s="0" t="n">
        <v>0</v>
      </c>
      <c r="M69" s="0" t="n">
        <v>-3653</v>
      </c>
      <c r="N69" s="0" t="n">
        <v>-4703</v>
      </c>
      <c r="O69" s="0" t="n">
        <v>-2726</v>
      </c>
    </row>
    <row r="70" customFormat="false" ht="15" hidden="false" customHeight="false" outlineLevel="0" collapsed="false">
      <c r="A70" s="0" t="s">
        <v>526</v>
      </c>
      <c r="B70" s="0" t="n">
        <v>20</v>
      </c>
      <c r="C70" s="0" t="s">
        <v>475</v>
      </c>
      <c r="D70" s="0" t="n">
        <v>169.1</v>
      </c>
      <c r="E70" s="0" t="n">
        <v>-217.6</v>
      </c>
      <c r="F70" s="0" t="n">
        <v>590.4</v>
      </c>
      <c r="G70" s="0" t="n">
        <v>-0.093</v>
      </c>
      <c r="H70" s="0" t="n">
        <v>-0.328</v>
      </c>
      <c r="I70" s="0" t="n">
        <v>0.117</v>
      </c>
      <c r="J70" s="0" t="s">
        <v>521</v>
      </c>
      <c r="K70" s="0" t="n">
        <v>0</v>
      </c>
      <c r="L70" s="0" t="n">
        <v>0</v>
      </c>
      <c r="M70" s="0" t="n">
        <v>-3653</v>
      </c>
      <c r="N70" s="0" t="n">
        <v>-4703</v>
      </c>
      <c r="O70" s="0" t="n">
        <v>-2726</v>
      </c>
    </row>
    <row r="71" customFormat="false" ht="15" hidden="false" customHeight="false" outlineLevel="0" collapsed="false">
      <c r="A71" s="0" t="s">
        <v>526</v>
      </c>
      <c r="B71" s="0" t="n">
        <v>20</v>
      </c>
      <c r="C71" s="0" t="s">
        <v>476</v>
      </c>
      <c r="D71" s="0" t="n">
        <v>217.5</v>
      </c>
      <c r="E71" s="0" t="n">
        <v>-173.7</v>
      </c>
      <c r="F71" s="0" t="n">
        <v>650.1</v>
      </c>
      <c r="G71" s="0" t="n">
        <v>-0.121</v>
      </c>
      <c r="H71" s="0" t="n">
        <v>-0.364</v>
      </c>
      <c r="I71" s="0" t="n">
        <v>0.094</v>
      </c>
      <c r="J71" s="0" t="s">
        <v>521</v>
      </c>
      <c r="K71" s="0" t="n">
        <v>0</v>
      </c>
      <c r="L71" s="0" t="n">
        <v>0</v>
      </c>
      <c r="M71" s="0" t="n">
        <v>-3653</v>
      </c>
      <c r="N71" s="0" t="n">
        <v>-4703</v>
      </c>
      <c r="O71" s="0" t="n">
        <v>-2726</v>
      </c>
    </row>
    <row r="72" customFormat="false" ht="15" hidden="false" customHeight="false" outlineLevel="0" collapsed="false">
      <c r="A72" s="0" t="s">
        <v>526</v>
      </c>
      <c r="B72" s="0" t="n">
        <v>50</v>
      </c>
      <c r="C72" s="0" t="s">
        <v>123</v>
      </c>
      <c r="D72" s="0" t="n">
        <v>1934.7</v>
      </c>
      <c r="E72" s="0" t="n">
        <v>1103.1</v>
      </c>
      <c r="F72" s="0" t="n">
        <v>2828.4</v>
      </c>
      <c r="G72" s="0" t="n">
        <v>-0.733</v>
      </c>
      <c r="H72" s="0" t="n">
        <v>-1.088</v>
      </c>
      <c r="I72" s="0" t="n">
        <v>-0.41</v>
      </c>
      <c r="J72" s="0" t="s">
        <v>521</v>
      </c>
      <c r="K72" s="0" t="n">
        <v>0</v>
      </c>
      <c r="L72" s="0" t="n">
        <v>0</v>
      </c>
      <c r="M72" s="0" t="n">
        <v>-26878</v>
      </c>
      <c r="N72" s="0" t="n">
        <v>-33186</v>
      </c>
      <c r="O72" s="0" t="n">
        <v>-20822</v>
      </c>
    </row>
    <row r="73" customFormat="false" ht="15" hidden="false" customHeight="false" outlineLevel="0" collapsed="false">
      <c r="A73" s="0" t="s">
        <v>526</v>
      </c>
      <c r="B73" s="0" t="n">
        <v>50</v>
      </c>
      <c r="C73" s="0" t="s">
        <v>475</v>
      </c>
      <c r="D73" s="0" t="n">
        <v>2967.4</v>
      </c>
      <c r="E73" s="0" t="n">
        <v>1976.6</v>
      </c>
      <c r="F73" s="0" t="n">
        <v>4086.3</v>
      </c>
      <c r="G73" s="0" t="n">
        <v>-1.125</v>
      </c>
      <c r="H73" s="0" t="n">
        <v>-1.561</v>
      </c>
      <c r="I73" s="0" t="n">
        <v>-0.733</v>
      </c>
      <c r="J73" s="0" t="s">
        <v>521</v>
      </c>
      <c r="K73" s="0" t="n">
        <v>0</v>
      </c>
      <c r="L73" s="0" t="n">
        <v>0</v>
      </c>
      <c r="M73" s="0" t="n">
        <v>-26878</v>
      </c>
      <c r="N73" s="0" t="n">
        <v>-33186</v>
      </c>
      <c r="O73" s="0" t="n">
        <v>-20822</v>
      </c>
    </row>
    <row r="74" customFormat="false" ht="15" hidden="false" customHeight="false" outlineLevel="0" collapsed="false">
      <c r="A74" s="0" t="s">
        <v>526</v>
      </c>
      <c r="B74" s="0" t="n">
        <v>50</v>
      </c>
      <c r="C74" s="0" t="s">
        <v>476</v>
      </c>
      <c r="D74" s="0" t="n">
        <v>3418</v>
      </c>
      <c r="E74" s="0" t="n">
        <v>2330.6</v>
      </c>
      <c r="F74" s="0" t="n">
        <v>4669.3</v>
      </c>
      <c r="G74" s="0" t="n">
        <v>-1.294</v>
      </c>
      <c r="H74" s="0" t="n">
        <v>-1.781</v>
      </c>
      <c r="I74" s="0" t="n">
        <v>-0.875</v>
      </c>
      <c r="J74" s="0" t="s">
        <v>521</v>
      </c>
      <c r="K74" s="0" t="n">
        <v>0</v>
      </c>
      <c r="L74" s="0" t="n">
        <v>0</v>
      </c>
      <c r="M74" s="0" t="n">
        <v>-26878</v>
      </c>
      <c r="N74" s="0" t="n">
        <v>-33186</v>
      </c>
      <c r="O74" s="0" t="n">
        <v>-20822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40"/>
  </cols>
  <sheetData>
    <row r="1" customFormat="false" ht="15" hidden="false" customHeight="false" outlineLevel="0" collapsed="false">
      <c r="A1" s="0" t="s">
        <v>527</v>
      </c>
    </row>
    <row r="2" customFormat="false" ht="15" hidden="false" customHeight="false" outlineLevel="0" collapsed="false">
      <c r="A2" s="0" t="s">
        <v>528</v>
      </c>
    </row>
    <row r="3" customFormat="false" ht="15" hidden="false" customHeight="false" outlineLevel="0" collapsed="false">
      <c r="A3" s="0" t="s">
        <v>529</v>
      </c>
    </row>
    <row r="4" customFormat="false" ht="15" hidden="false" customHeight="false" outlineLevel="0" collapsed="false">
      <c r="A4" s="0" t="s">
        <v>530</v>
      </c>
    </row>
    <row r="5" customFormat="false" ht="15" hidden="false" customHeight="false" outlineLevel="0" collapsed="false">
      <c r="A5" s="0" t="s">
        <v>531</v>
      </c>
    </row>
    <row r="6" customFormat="false" ht="15" hidden="false" customHeight="false" outlineLevel="0" collapsed="false">
      <c r="A6" s="0" t="s">
        <v>532</v>
      </c>
    </row>
    <row r="7" customFormat="false" ht="15" hidden="false" customHeight="false" outlineLevel="0" collapsed="false">
      <c r="A7" s="0" t="s">
        <v>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/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2026-10-27T00:00:00Z</dcterms:created>
  <dc:creator/>
  <dc:description/>
  <dc:language>en-US</dc:language>
  <cp:lastModifiedBy/>
  <dcterms:modified xsi:type="dcterms:W3CDTF">2026-10-27T00:00:00Z</dcterms:modified>
  <cp:revision>0</cp:revision>
  <dc:subject/>
  <dc:title>HCV – model inwestycji (szacunek)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